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MS-L01\Desktop\"/>
    </mc:Choice>
  </mc:AlternateContent>
  <workbookProtection workbookAlgorithmName="SHA-512" workbookHashValue="G9IJsYoZgHlB0XQ5GEexfeuf3h14HD6PRhLGzcwFx+8/gu9Lx2vR3Aw/PTkkW31hGpmRj5vI3PFOQaFRvpvesQ==" workbookSaltValue="6vRTMj+EKhJlxNFuMp52TA==" workbookSpinCount="100000" lockStructure="1"/>
  <bookViews>
    <workbookView xWindow="0" yWindow="0" windowWidth="28695" windowHeight="14025" activeTab="0"/>
  </bookViews>
  <sheets>
    <sheet name="基本信息" sheetId="9" r:id="rId3"/>
    <sheet name="数据" sheetId="10" r:id="rId4"/>
    <sheet name="站位样品信息" sheetId="11" r:id="rId5"/>
    <sheet name="生物种群" sheetId="12" r:id="rId6"/>
  </sheets>
  <definedNames/>
  <calcPr fullCalcOnLoad="1"/>
</workbook>
</file>

<file path=xl/sharedStrings.xml><?xml version="1.0" encoding="utf-8"?>
<sst xmlns="http://schemas.openxmlformats.org/spreadsheetml/2006/main" count="27838" uniqueCount="14486">
  <si>
    <r>
      <rPr>
        <sz val="11"/>
        <rFont val="宋体"/>
        <family val="3"/>
        <charset val="134"/>
      </rPr>
      <t>备注</t>
    </r>
  </si>
  <si>
    <t>校对者</t>
  </si>
  <si>
    <t>仪器型号</t>
  </si>
  <si>
    <t>仪器编号</t>
  </si>
  <si>
    <t>站位样品信息</t>
  </si>
  <si>
    <t>基本信息</t>
  </si>
  <si>
    <t>站位号</t>
  </si>
  <si>
    <t>类群</t>
  </si>
  <si>
    <t>目类群</t>
  </si>
  <si>
    <t>命名者</t>
  </si>
  <si>
    <t>Brachiostomidae sp.</t>
  </si>
  <si>
    <t>wcy</t>
  </si>
  <si>
    <t>Bra</t>
  </si>
  <si>
    <t>Eptatretidae sp.</t>
  </si>
  <si>
    <t>nwm</t>
  </si>
  <si>
    <t>Ept</t>
  </si>
  <si>
    <t/>
  </si>
  <si>
    <t>Petromyzonidae sp.</t>
  </si>
  <si>
    <t>mmk</t>
  </si>
  <si>
    <t>Pet</t>
  </si>
  <si>
    <t>Eptatretus burgeri</t>
  </si>
  <si>
    <t>psw</t>
  </si>
  <si>
    <t>Eptbu</t>
  </si>
  <si>
    <t>(Girard)</t>
  </si>
  <si>
    <t>Eptatretus okinoseanus</t>
  </si>
  <si>
    <t>zmm</t>
  </si>
  <si>
    <t>Eptok</t>
  </si>
  <si>
    <t>(Dean)</t>
  </si>
  <si>
    <t>Paramyxine cheni</t>
  </si>
  <si>
    <t>csz</t>
  </si>
  <si>
    <t>Parch</t>
  </si>
  <si>
    <t>Shen et Tao</t>
  </si>
  <si>
    <t>Paramyxine taiwanae</t>
  </si>
  <si>
    <t>twz</t>
  </si>
  <si>
    <t>Parta</t>
  </si>
  <si>
    <t>Paramyxine yangi</t>
  </si>
  <si>
    <t>ysz</t>
  </si>
  <si>
    <t>Parya</t>
  </si>
  <si>
    <t>Teng</t>
  </si>
  <si>
    <t>Hexanchidae sp.</t>
  </si>
  <si>
    <t>lss</t>
  </si>
  <si>
    <t>Hex</t>
  </si>
  <si>
    <t>Heptranchias dakini</t>
  </si>
  <si>
    <t>ssq</t>
  </si>
  <si>
    <t>Hepda</t>
  </si>
  <si>
    <t>Whitley</t>
  </si>
  <si>
    <t>Heptranchias perlo</t>
  </si>
  <si>
    <t>jwq</t>
  </si>
  <si>
    <t>Heppe</t>
  </si>
  <si>
    <t>(Bonnaterre)</t>
  </si>
  <si>
    <t>Hexanchus griseus</t>
  </si>
  <si>
    <t>hls</t>
  </si>
  <si>
    <t>Hexgr</t>
  </si>
  <si>
    <t>Hexanchus vitulus</t>
  </si>
  <si>
    <t>dyl</t>
  </si>
  <si>
    <t>Hexvi</t>
  </si>
  <si>
    <t>Springer et Waller</t>
  </si>
  <si>
    <t>Notorhynchus cepedianus</t>
  </si>
  <si>
    <t>bth</t>
  </si>
  <si>
    <t>Notce</t>
  </si>
  <si>
    <t>(Peron)</t>
  </si>
  <si>
    <t>Heterodontidae sp.</t>
  </si>
  <si>
    <t>hsk</t>
  </si>
  <si>
    <t>Het</t>
  </si>
  <si>
    <t>Heterodontus japonicus</t>
  </si>
  <si>
    <t>kwh</t>
  </si>
  <si>
    <t>Hetja</t>
  </si>
  <si>
    <t>Maclay et Macleay</t>
  </si>
  <si>
    <t>Heterodontus zebra</t>
  </si>
  <si>
    <t>xwh</t>
  </si>
  <si>
    <t>Hetze</t>
  </si>
  <si>
    <t>(Gray)</t>
  </si>
  <si>
    <t>Carchariidae sp.</t>
  </si>
  <si>
    <t>zcs</t>
  </si>
  <si>
    <t>Car</t>
  </si>
  <si>
    <t>Carcharias arenarias</t>
  </si>
  <si>
    <t>szc</t>
  </si>
  <si>
    <t>Carar</t>
  </si>
  <si>
    <t>Ogilby</t>
  </si>
  <si>
    <t>Carcharias owstoni</t>
  </si>
  <si>
    <t>osz</t>
  </si>
  <si>
    <t>Carow</t>
  </si>
  <si>
    <t>Garman</t>
  </si>
  <si>
    <t>Isuridae sp.</t>
  </si>
  <si>
    <t>jsk</t>
  </si>
  <si>
    <t>Isu</t>
  </si>
  <si>
    <t>Carcharodon carcharias</t>
  </si>
  <si>
    <t>srs</t>
  </si>
  <si>
    <t>Carca</t>
  </si>
  <si>
    <t>(Linnaeus)</t>
  </si>
  <si>
    <t>Isurus glaucus</t>
  </si>
  <si>
    <t>hjs</t>
  </si>
  <si>
    <t>Isugl</t>
  </si>
  <si>
    <t>(Muller et Henle)</t>
  </si>
  <si>
    <t>Isurus oxyrinchus</t>
  </si>
  <si>
    <t>jwh</t>
  </si>
  <si>
    <t>Isuox</t>
  </si>
  <si>
    <t>Rafinesque</t>
  </si>
  <si>
    <t>Isurus paucus</t>
  </si>
  <si>
    <t>cbh</t>
  </si>
  <si>
    <t>Isupa</t>
  </si>
  <si>
    <t>Guitart Mauday</t>
  </si>
  <si>
    <t>Celorhinidae sp.</t>
  </si>
  <si>
    <t>lsk</t>
  </si>
  <si>
    <t>Cel</t>
  </si>
  <si>
    <t>Alopiidae sp.</t>
  </si>
  <si>
    <t>cws</t>
  </si>
  <si>
    <t>Alo</t>
  </si>
  <si>
    <t>Alopias pelagicus</t>
  </si>
  <si>
    <t>qhc</t>
  </si>
  <si>
    <t>Alope</t>
  </si>
  <si>
    <t>Nakamura</t>
  </si>
  <si>
    <t>Alopias superciliosus</t>
  </si>
  <si>
    <t>shc</t>
  </si>
  <si>
    <t>Alosu</t>
  </si>
  <si>
    <t>(Lowe)</t>
  </si>
  <si>
    <t>Alopias vulpinus</t>
  </si>
  <si>
    <t>hxc</t>
  </si>
  <si>
    <t>Alovu</t>
  </si>
  <si>
    <t>Otectolobidae sp.</t>
  </si>
  <si>
    <t>xsk</t>
  </si>
  <si>
    <t>Ote</t>
  </si>
  <si>
    <t>Chiloscyllium colax</t>
  </si>
  <si>
    <t>cqb</t>
  </si>
  <si>
    <t>Chico</t>
  </si>
  <si>
    <t>(Meuschen)</t>
  </si>
  <si>
    <t>Chiloscyllium griseum</t>
  </si>
  <si>
    <t>hbz</t>
  </si>
  <si>
    <t>Chigr</t>
  </si>
  <si>
    <t>Muller et Henle</t>
  </si>
  <si>
    <t>Chiloscyllium indicum</t>
  </si>
  <si>
    <t>ydb</t>
  </si>
  <si>
    <t>Chiin</t>
  </si>
  <si>
    <t>(Gmelin)</t>
  </si>
  <si>
    <t>Chiloscyllium plagiosum</t>
  </si>
  <si>
    <t>twb</t>
  </si>
  <si>
    <t>Chipl</t>
  </si>
  <si>
    <t>(Bennett)</t>
  </si>
  <si>
    <t>Chiloscyllium punctatum</t>
  </si>
  <si>
    <t>dwb</t>
  </si>
  <si>
    <t>Chipu</t>
  </si>
  <si>
    <t>Ginglymostoma ferrugineum</t>
  </si>
  <si>
    <t>xsx</t>
  </si>
  <si>
    <t>Ginfe</t>
  </si>
  <si>
    <t>(Lesson)</t>
  </si>
  <si>
    <t>Nebrius macrurus</t>
  </si>
  <si>
    <t>gls</t>
  </si>
  <si>
    <t>Nebma</t>
  </si>
  <si>
    <t>(Garman)</t>
  </si>
  <si>
    <t>Orectolobus japonicus</t>
  </si>
  <si>
    <t>rbx</t>
  </si>
  <si>
    <t>Oreja</t>
  </si>
  <si>
    <t>Regan</t>
  </si>
  <si>
    <t>Orectolobus maculatus</t>
  </si>
  <si>
    <t>bwx</t>
  </si>
  <si>
    <t>Orema</t>
  </si>
  <si>
    <t>Stegostoma fasciatum</t>
  </si>
  <si>
    <t>bws</t>
  </si>
  <si>
    <t>Stefa</t>
  </si>
  <si>
    <t>(Hermann)</t>
  </si>
  <si>
    <t>Rhincodontidae sp.</t>
  </si>
  <si>
    <t>Rhi</t>
  </si>
  <si>
    <t>Scyliorhinidae sp.</t>
  </si>
  <si>
    <t>msk</t>
  </si>
  <si>
    <t>Scy</t>
  </si>
  <si>
    <t>Apristurus abbreriatus</t>
  </si>
  <si>
    <t>dtg</t>
  </si>
  <si>
    <t>Aprab</t>
  </si>
  <si>
    <t>Deng, Xiong et Zhan</t>
  </si>
  <si>
    <t>Apristurus acanutus</t>
  </si>
  <si>
    <t>wbg</t>
  </si>
  <si>
    <t>Aprac</t>
  </si>
  <si>
    <t>Meng, Chu et Li</t>
  </si>
  <si>
    <t>Apristurus canutus</t>
  </si>
  <si>
    <t>hgw</t>
  </si>
  <si>
    <t>Aprca</t>
  </si>
  <si>
    <t>Springer et Heemstna</t>
  </si>
  <si>
    <t>Apristurus grbbosug</t>
  </si>
  <si>
    <t>tbg</t>
  </si>
  <si>
    <t>Aprgr</t>
  </si>
  <si>
    <t>Apristurus herklotsi</t>
  </si>
  <si>
    <t>hsg</t>
  </si>
  <si>
    <t>Aprhe</t>
  </si>
  <si>
    <t>(Fowler)</t>
  </si>
  <si>
    <t>Apristurus japonicus</t>
  </si>
  <si>
    <t>rbg</t>
  </si>
  <si>
    <t>Aprja</t>
  </si>
  <si>
    <t>Nakaya</t>
  </si>
  <si>
    <t>Apristurus longicephalus</t>
  </si>
  <si>
    <t>ctg</t>
  </si>
  <si>
    <t>Aprlo</t>
  </si>
  <si>
    <t>Apristurus macrorhynchus</t>
  </si>
  <si>
    <t>dwg</t>
  </si>
  <si>
    <t>Aprma</t>
  </si>
  <si>
    <t>(Tanaka)</t>
  </si>
  <si>
    <t>Apristurus macrostomus</t>
  </si>
  <si>
    <t>dkg</t>
  </si>
  <si>
    <t>Apristurus microps</t>
  </si>
  <si>
    <t>xyg</t>
  </si>
  <si>
    <t>Aprmi</t>
  </si>
  <si>
    <t>(Gilchrist)</t>
  </si>
  <si>
    <t>Apristurus pinguis</t>
  </si>
  <si>
    <t>Aprpi</t>
  </si>
  <si>
    <t>Deng, Xiong et Zhou</t>
  </si>
  <si>
    <t>Apristurus platyrhynchus</t>
  </si>
  <si>
    <t>bwg</t>
  </si>
  <si>
    <t>Aprpl</t>
  </si>
  <si>
    <t>Apristurus sinensis</t>
  </si>
  <si>
    <t>zhg</t>
  </si>
  <si>
    <t>Aprsi</t>
  </si>
  <si>
    <t>Chu et Wu</t>
  </si>
  <si>
    <t>Apristurus verweyi</t>
  </si>
  <si>
    <t>fsg</t>
  </si>
  <si>
    <t>Aprve</t>
  </si>
  <si>
    <t>Apristurus xenolepis</t>
  </si>
  <si>
    <t>ylg</t>
  </si>
  <si>
    <t>Aprxe</t>
  </si>
  <si>
    <t>Atelomycterus marmoratus</t>
  </si>
  <si>
    <t>bs</t>
  </si>
  <si>
    <t>Atema</t>
  </si>
  <si>
    <t>Cephaloscyllium fasciatum</t>
  </si>
  <si>
    <t>wwr</t>
  </si>
  <si>
    <t>Cepfa</t>
  </si>
  <si>
    <t>Chan</t>
  </si>
  <si>
    <t>Cephaloscyllium isabellum</t>
  </si>
  <si>
    <t>trm</t>
  </si>
  <si>
    <t>Cepis</t>
  </si>
  <si>
    <t>(Bonaterre)</t>
  </si>
  <si>
    <t>Cephaloscyllium umbratile</t>
  </si>
  <si>
    <t>yyr</t>
  </si>
  <si>
    <t>Cepum</t>
  </si>
  <si>
    <t>Jordan et Fowler</t>
  </si>
  <si>
    <t>Figaro melanobranchus</t>
  </si>
  <si>
    <t>hss</t>
  </si>
  <si>
    <t>Figme</t>
  </si>
  <si>
    <t>(Chan)</t>
  </si>
  <si>
    <t>Figaro piceus</t>
  </si>
  <si>
    <t>zhs</t>
  </si>
  <si>
    <t>Figpi</t>
  </si>
  <si>
    <t>Chu, Meng et Liu</t>
  </si>
  <si>
    <t>Galeus eastmani</t>
  </si>
  <si>
    <t>ysj</t>
  </si>
  <si>
    <t>Galea</t>
  </si>
  <si>
    <t>(Jordan et Snyder)</t>
  </si>
  <si>
    <t>Galeus nipponensis</t>
  </si>
  <si>
    <t>rbj</t>
  </si>
  <si>
    <t>Galni</t>
  </si>
  <si>
    <t>Galeus sauteri</t>
  </si>
  <si>
    <t>ssj</t>
  </si>
  <si>
    <t>Galsa</t>
  </si>
  <si>
    <t>(Jordan et Richardson)</t>
  </si>
  <si>
    <t>Halaelurus burgeri</t>
  </si>
  <si>
    <t>mhs</t>
  </si>
  <si>
    <t>Halbu</t>
  </si>
  <si>
    <t>Halaelurus immaculatus</t>
  </si>
  <si>
    <t>wbm</t>
  </si>
  <si>
    <t>Halim</t>
  </si>
  <si>
    <t>Chu et Meng</t>
  </si>
  <si>
    <t>Proscyllium habereri</t>
  </si>
  <si>
    <t>hst</t>
  </si>
  <si>
    <t>Proha</t>
  </si>
  <si>
    <t>(Hilgendorf)</t>
  </si>
  <si>
    <t>Scyliorhinus torazame</t>
  </si>
  <si>
    <t>hwm</t>
  </si>
  <si>
    <t>Scyto</t>
  </si>
  <si>
    <t>Triakidae sp.</t>
  </si>
  <si>
    <t>Tri</t>
  </si>
  <si>
    <t>Eridacnis radcliffei</t>
  </si>
  <si>
    <t>gcs</t>
  </si>
  <si>
    <t>Erira</t>
  </si>
  <si>
    <t>Smith</t>
  </si>
  <si>
    <t>Galeorhinus hyugaensis</t>
  </si>
  <si>
    <t>hqc</t>
  </si>
  <si>
    <t>Galhy</t>
  </si>
  <si>
    <t>(Miyosi)</t>
  </si>
  <si>
    <t>Galeorhinus japonicus</t>
  </si>
  <si>
    <t>rbc</t>
  </si>
  <si>
    <t>Galja</t>
  </si>
  <si>
    <t>Mustelus griseus</t>
  </si>
  <si>
    <t>hxs</t>
  </si>
  <si>
    <t>Musgr</t>
  </si>
  <si>
    <t>Pietschmann</t>
  </si>
  <si>
    <t>Mustelus kanekonis</t>
  </si>
  <si>
    <t>qqx</t>
  </si>
  <si>
    <t>Muska</t>
  </si>
  <si>
    <t>Mustelus manazo</t>
  </si>
  <si>
    <t>bbx</t>
  </si>
  <si>
    <t>Musma</t>
  </si>
  <si>
    <t>Bleeker</t>
  </si>
  <si>
    <t>Triakis scyllium</t>
  </si>
  <si>
    <t>Trisc</t>
  </si>
  <si>
    <t>Triakis venustum</t>
  </si>
  <si>
    <t>bdz</t>
  </si>
  <si>
    <t>Trive</t>
  </si>
  <si>
    <t>Carcharhinidae sp.</t>
  </si>
  <si>
    <t>zsk</t>
  </si>
  <si>
    <t>Aprionodon brevipenna</t>
  </si>
  <si>
    <t>dqz</t>
  </si>
  <si>
    <t>Aprbr</t>
  </si>
  <si>
    <t>Carcharhinus albimarginatus</t>
  </si>
  <si>
    <t>bbz</t>
  </si>
  <si>
    <t>Caral</t>
  </si>
  <si>
    <t>(Ruppell)</t>
  </si>
  <si>
    <t>Carcharhinus altimus</t>
  </si>
  <si>
    <t>dbz</t>
  </si>
  <si>
    <t>(Springer)</t>
  </si>
  <si>
    <t>Carcharhinus atrodorsus</t>
  </si>
  <si>
    <t>Carat</t>
  </si>
  <si>
    <t>Carcharhinus brachyurus</t>
  </si>
  <si>
    <t>dwz</t>
  </si>
  <si>
    <t>Carbr</t>
  </si>
  <si>
    <t>(Gunther)</t>
  </si>
  <si>
    <t>Carcharhinus brevipinna</t>
  </si>
  <si>
    <t>qwz</t>
  </si>
  <si>
    <t>Carcharhinus dussumieri</t>
  </si>
  <si>
    <t>dsz</t>
  </si>
  <si>
    <t>Cardu</t>
  </si>
  <si>
    <t>(Valenciennes)</t>
  </si>
  <si>
    <t>Carcharhinus falciformis</t>
  </si>
  <si>
    <t>phz</t>
  </si>
  <si>
    <t>Carfa</t>
  </si>
  <si>
    <t>(Bibron)</t>
  </si>
  <si>
    <t>Carcharhinus gangeticus</t>
  </si>
  <si>
    <t>hhz</t>
  </si>
  <si>
    <t>Carga</t>
  </si>
  <si>
    <t>Carcharhinus latistomus</t>
  </si>
  <si>
    <t>kkz</t>
  </si>
  <si>
    <t>Carla</t>
  </si>
  <si>
    <t>Fang et Wang</t>
  </si>
  <si>
    <t>Carcharhinus leucas</t>
  </si>
  <si>
    <t>gnz</t>
  </si>
  <si>
    <t>Carle</t>
  </si>
  <si>
    <t>Carcharhinus limbatus</t>
  </si>
  <si>
    <t>Carli</t>
  </si>
  <si>
    <t>Carcharhinus longimanus</t>
  </si>
  <si>
    <t>cqz</t>
  </si>
  <si>
    <t>Carlo</t>
  </si>
  <si>
    <t>Poey</t>
  </si>
  <si>
    <t>Carcharhinus macloti</t>
  </si>
  <si>
    <t>qtz</t>
  </si>
  <si>
    <t>Carma</t>
  </si>
  <si>
    <t>Carcharhinus macrops</t>
  </si>
  <si>
    <t>dyz</t>
  </si>
  <si>
    <t>Liu</t>
  </si>
  <si>
    <t>Carcharhinus melanopterus</t>
  </si>
  <si>
    <t>wcz</t>
  </si>
  <si>
    <t>Carme</t>
  </si>
  <si>
    <t>(Quoy et Gaimard)</t>
  </si>
  <si>
    <t>Carcharhinus menisorrah</t>
  </si>
  <si>
    <t>hyz</t>
  </si>
  <si>
    <t>Carcharhinus microphthalmus</t>
  </si>
  <si>
    <t>xyz</t>
  </si>
  <si>
    <t>Carmi</t>
  </si>
  <si>
    <t>Chu</t>
  </si>
  <si>
    <t>Carcharhinus obscunella</t>
  </si>
  <si>
    <t>atz</t>
  </si>
  <si>
    <t>Carob</t>
  </si>
  <si>
    <t>Carcharhinus obscurus</t>
  </si>
  <si>
    <t>hsz</t>
  </si>
  <si>
    <t>(Lesueur)</t>
  </si>
  <si>
    <t>Carcharhinus pleurotaenia</t>
  </si>
  <si>
    <t>ctz</t>
  </si>
  <si>
    <t>Carpl</t>
  </si>
  <si>
    <t>(Bleeker)</t>
  </si>
  <si>
    <t>Carcharhinus plumbeus</t>
  </si>
  <si>
    <t>gqz</t>
  </si>
  <si>
    <t>(Nardo)</t>
  </si>
  <si>
    <t>Carcharhinus remotoides</t>
  </si>
  <si>
    <t>yqz</t>
  </si>
  <si>
    <t>Carre</t>
  </si>
  <si>
    <t>Carcharhinus sorrah</t>
  </si>
  <si>
    <t>slz</t>
  </si>
  <si>
    <t>Carso</t>
  </si>
  <si>
    <t>Galeocerdo cuvier</t>
  </si>
  <si>
    <t>ys</t>
  </si>
  <si>
    <t>Galcu</t>
  </si>
  <si>
    <t>(Peron et Lesueur)</t>
  </si>
  <si>
    <t>Hypoprion atripinnis</t>
  </si>
  <si>
    <t>hqj</t>
  </si>
  <si>
    <t>Hypat</t>
  </si>
  <si>
    <t>Hypoprion macloti</t>
  </si>
  <si>
    <t>cwj</t>
  </si>
  <si>
    <t>Hypma</t>
  </si>
  <si>
    <t>Negaprion queenslandicus</t>
  </si>
  <si>
    <t>nms</t>
  </si>
  <si>
    <t>Negqu</t>
  </si>
  <si>
    <t>(Whitley)</t>
  </si>
  <si>
    <t>Negogaleus balfouri</t>
  </si>
  <si>
    <t>bss</t>
  </si>
  <si>
    <t>Negba</t>
  </si>
  <si>
    <t>(Day)</t>
  </si>
  <si>
    <t>Negogaleus brachygnathus</t>
  </si>
  <si>
    <t>dhs</t>
  </si>
  <si>
    <t>Negbr</t>
  </si>
  <si>
    <t>Negogaleus macrostoma</t>
  </si>
  <si>
    <t>dks</t>
  </si>
  <si>
    <t>Negma</t>
  </si>
  <si>
    <t>Negogaleus microstoma</t>
  </si>
  <si>
    <t>xks</t>
  </si>
  <si>
    <t>Negmi</t>
  </si>
  <si>
    <t>Paragaleus acutiventralis</t>
  </si>
  <si>
    <t>jqf</t>
  </si>
  <si>
    <t>Parac</t>
  </si>
  <si>
    <t>Paragaleus tengi</t>
  </si>
  <si>
    <t>dsf</t>
  </si>
  <si>
    <t>Parte</t>
  </si>
  <si>
    <t>(Chen)</t>
  </si>
  <si>
    <t>Physodon mulleri</t>
  </si>
  <si>
    <t>msb</t>
  </si>
  <si>
    <t>Phymu</t>
  </si>
  <si>
    <t>Prionace glauca</t>
  </si>
  <si>
    <t>dqs</t>
  </si>
  <si>
    <t>Prigl</t>
  </si>
  <si>
    <t>Scoliodon dumerili</t>
  </si>
  <si>
    <t>dsx</t>
  </si>
  <si>
    <t>Scodu</t>
  </si>
  <si>
    <t>Scoliodon laticaudus</t>
  </si>
  <si>
    <t>kw</t>
  </si>
  <si>
    <t>Scola</t>
  </si>
  <si>
    <t>Scoliodon palasorrah</t>
  </si>
  <si>
    <t>dqx</t>
  </si>
  <si>
    <t>Scopa</t>
  </si>
  <si>
    <t>(Cuvier)</t>
  </si>
  <si>
    <t>Scoliodon sorrakowah</t>
  </si>
  <si>
    <t>jtx</t>
  </si>
  <si>
    <t>Scoso</t>
  </si>
  <si>
    <t>Scoliodon walbeehmi</t>
  </si>
  <si>
    <t>wsx</t>
  </si>
  <si>
    <t>Scowa</t>
  </si>
  <si>
    <t>Triaenodon obesus</t>
  </si>
  <si>
    <t>scs</t>
  </si>
  <si>
    <t>Triob</t>
  </si>
  <si>
    <t>Sphyrnidae sp.</t>
  </si>
  <si>
    <t>sjs</t>
  </si>
  <si>
    <t>Sph</t>
  </si>
  <si>
    <t>Sphyrna blochi</t>
  </si>
  <si>
    <t>dzs</t>
  </si>
  <si>
    <t>Sphbl</t>
  </si>
  <si>
    <t>Sphyrna lewini</t>
  </si>
  <si>
    <t>Sphle</t>
  </si>
  <si>
    <t>(Griffith et Smith)</t>
  </si>
  <si>
    <t>Sphyrna mokarran</t>
  </si>
  <si>
    <t>wgs</t>
  </si>
  <si>
    <t>Sphmo</t>
  </si>
  <si>
    <t>Sphyrna tiburo</t>
  </si>
  <si>
    <t>zts</t>
  </si>
  <si>
    <t>Sphti</t>
  </si>
  <si>
    <t>Sphyrna zygaena</t>
  </si>
  <si>
    <t>cts</t>
  </si>
  <si>
    <t>Sphzy</t>
  </si>
  <si>
    <t>Squalidae sp.</t>
  </si>
  <si>
    <t>Squ</t>
  </si>
  <si>
    <t>Centrophorus acus</t>
  </si>
  <si>
    <t>jqc</t>
  </si>
  <si>
    <t>Cenac</t>
  </si>
  <si>
    <t>Centrophorus follaceus</t>
  </si>
  <si>
    <t>fqc</t>
  </si>
  <si>
    <t>Cenfo</t>
  </si>
  <si>
    <t>Gunther</t>
  </si>
  <si>
    <t>Centrophorus granulosus</t>
  </si>
  <si>
    <t>klc</t>
  </si>
  <si>
    <t>Cengr</t>
  </si>
  <si>
    <t>(Schneider)</t>
  </si>
  <si>
    <t>Centrophorus lusitanicus</t>
  </si>
  <si>
    <t>hjq</t>
  </si>
  <si>
    <t>Cenlu</t>
  </si>
  <si>
    <t>Bocage et Capello</t>
  </si>
  <si>
    <t>Centrophorus moluccensis</t>
  </si>
  <si>
    <t>zpc</t>
  </si>
  <si>
    <t>Cenmo</t>
  </si>
  <si>
    <t>Centrophorus niaukang</t>
  </si>
  <si>
    <t>dsc</t>
  </si>
  <si>
    <t>Cenni</t>
  </si>
  <si>
    <t>Centrophorus robustus</t>
  </si>
  <si>
    <t>ctc</t>
  </si>
  <si>
    <t>Cenro</t>
  </si>
  <si>
    <t>Centrophorus squamosus</t>
  </si>
  <si>
    <t>ylc</t>
  </si>
  <si>
    <t>Censq</t>
  </si>
  <si>
    <t>Centrophorus tasselatus</t>
  </si>
  <si>
    <t>jcc</t>
  </si>
  <si>
    <t>Centa</t>
  </si>
  <si>
    <t>Centrophorus ugato</t>
  </si>
  <si>
    <t>jtc</t>
  </si>
  <si>
    <t>Cenug</t>
  </si>
  <si>
    <t>(Rafimesque)</t>
  </si>
  <si>
    <t>Centroscyllium fabricii</t>
  </si>
  <si>
    <t>fsx</t>
  </si>
  <si>
    <t>Cenfa</t>
  </si>
  <si>
    <t>(Reinnhart)</t>
  </si>
  <si>
    <t>Centroscyllium kamoharai</t>
  </si>
  <si>
    <t>ps</t>
  </si>
  <si>
    <t>Cenka</t>
  </si>
  <si>
    <t>Abe</t>
  </si>
  <si>
    <t>Centroscyllium nigrum</t>
  </si>
  <si>
    <t>Centroscymnus macrops</t>
  </si>
  <si>
    <t>dyj</t>
  </si>
  <si>
    <t>Cenma</t>
  </si>
  <si>
    <t>Hu et Li</t>
  </si>
  <si>
    <t>Centroscymnus owstoni</t>
  </si>
  <si>
    <t>osj</t>
  </si>
  <si>
    <t>Cenow</t>
  </si>
  <si>
    <t>Deania calcea</t>
  </si>
  <si>
    <t>tss</t>
  </si>
  <si>
    <t>Deaca</t>
  </si>
  <si>
    <t>Etmopterus lucifer</t>
  </si>
  <si>
    <t>ws</t>
  </si>
  <si>
    <t>Etmlu</t>
  </si>
  <si>
    <t>Jordan et Snyder</t>
  </si>
  <si>
    <t>Etmopterus molleri</t>
  </si>
  <si>
    <t>mll</t>
  </si>
  <si>
    <t>Etmmo</t>
  </si>
  <si>
    <t>Etmopterus pusillus</t>
  </si>
  <si>
    <t>xws</t>
  </si>
  <si>
    <t>Etmpu</t>
  </si>
  <si>
    <t>Etmopterus splendidus</t>
  </si>
  <si>
    <t>spl</t>
  </si>
  <si>
    <t>Etmsp</t>
  </si>
  <si>
    <t>Yano</t>
  </si>
  <si>
    <t>Pseudocentrophorus isodon</t>
  </si>
  <si>
    <t>tcn</t>
  </si>
  <si>
    <t>Pseis</t>
  </si>
  <si>
    <t>Scymnodon niger</t>
  </si>
  <si>
    <t>hyl</t>
  </si>
  <si>
    <t>Scyni</t>
  </si>
  <si>
    <t>Scymnodon squamulasus</t>
  </si>
  <si>
    <t>yls</t>
  </si>
  <si>
    <t>Scysq</t>
  </si>
  <si>
    <t>Squalus acanthias</t>
  </si>
  <si>
    <t>bbj</t>
  </si>
  <si>
    <t>Squac</t>
  </si>
  <si>
    <t>Linnaeus</t>
  </si>
  <si>
    <t>Squalus acutirostris</t>
  </si>
  <si>
    <t>jwj</t>
  </si>
  <si>
    <t>Chu, Meng et Li</t>
  </si>
  <si>
    <t>Squalus japonicus</t>
  </si>
  <si>
    <t>Squja</t>
  </si>
  <si>
    <t>Ishikawa</t>
  </si>
  <si>
    <t>Squalus megalops</t>
  </si>
  <si>
    <t>dwj</t>
  </si>
  <si>
    <t>Squme</t>
  </si>
  <si>
    <t>Macleay</t>
  </si>
  <si>
    <t>Squalus mitsukurii</t>
  </si>
  <si>
    <t>Squmi</t>
  </si>
  <si>
    <t>Squatiophoridae sp.</t>
  </si>
  <si>
    <t>bsk</t>
  </si>
  <si>
    <t>Squatina formosa</t>
  </si>
  <si>
    <t>Squfo</t>
  </si>
  <si>
    <t>Shen et Ting</t>
  </si>
  <si>
    <t>Squatina japonica</t>
  </si>
  <si>
    <t>rbb</t>
  </si>
  <si>
    <t>Squatina nebulosa</t>
  </si>
  <si>
    <t>xyb</t>
  </si>
  <si>
    <t>Squne</t>
  </si>
  <si>
    <t>Squatina tergocellatoldes</t>
  </si>
  <si>
    <t>nbb</t>
  </si>
  <si>
    <t>Squte</t>
  </si>
  <si>
    <t>Chen</t>
  </si>
  <si>
    <t>Pristiophoridae sp.</t>
  </si>
  <si>
    <t>Pri</t>
  </si>
  <si>
    <t>Pristidae sp.</t>
  </si>
  <si>
    <t>jyk</t>
  </si>
  <si>
    <t>Pristiophorus japonicus</t>
  </si>
  <si>
    <t>Prija</t>
  </si>
  <si>
    <t>Pristis cuspidatus</t>
  </si>
  <si>
    <t>jcj</t>
  </si>
  <si>
    <t>Pricu</t>
  </si>
  <si>
    <t>Latham</t>
  </si>
  <si>
    <t>Pristis microdon</t>
  </si>
  <si>
    <t>xcj</t>
  </si>
  <si>
    <t>Primi</t>
  </si>
  <si>
    <t>Rhinidae sp.</t>
  </si>
  <si>
    <t>ylt</t>
  </si>
  <si>
    <t>Rhinobatidae sp.</t>
  </si>
  <si>
    <t>lty</t>
  </si>
  <si>
    <t>Platyrhinidae sp.</t>
  </si>
  <si>
    <t>tsy</t>
  </si>
  <si>
    <t>Pla</t>
  </si>
  <si>
    <t>Rajidae sp.</t>
  </si>
  <si>
    <t>yk</t>
  </si>
  <si>
    <t>Raj</t>
  </si>
  <si>
    <t>Bathyraja isotrachys</t>
  </si>
  <si>
    <t>jjs</t>
  </si>
  <si>
    <t>Batis</t>
  </si>
  <si>
    <t>Breviraja tobitukai</t>
  </si>
  <si>
    <t>Breto</t>
  </si>
  <si>
    <t>(Hiyama)</t>
  </si>
  <si>
    <t>Raja acutispinna</t>
  </si>
  <si>
    <t>jqy</t>
  </si>
  <si>
    <t>Rajac</t>
  </si>
  <si>
    <t>Ishiyama</t>
  </si>
  <si>
    <t>Raja boesemani</t>
  </si>
  <si>
    <t>bsy</t>
  </si>
  <si>
    <t>Rajbo</t>
  </si>
  <si>
    <t>Ishihara</t>
  </si>
  <si>
    <t>Raja chinensis</t>
  </si>
  <si>
    <t>hy</t>
  </si>
  <si>
    <t>Rajch</t>
  </si>
  <si>
    <t>Basilewsky</t>
  </si>
  <si>
    <t>Raja gigas</t>
  </si>
  <si>
    <t>jy</t>
  </si>
  <si>
    <t>Rajgi</t>
  </si>
  <si>
    <t>Raja hollandi</t>
  </si>
  <si>
    <t>hsy</t>
  </si>
  <si>
    <t>Rajho</t>
  </si>
  <si>
    <t>Jordan et Richardson</t>
  </si>
  <si>
    <t>Raja katsukii</t>
  </si>
  <si>
    <t>wwy</t>
  </si>
  <si>
    <t>Rajka</t>
  </si>
  <si>
    <t>Tanaka</t>
  </si>
  <si>
    <t>Raja kenojei</t>
  </si>
  <si>
    <t>by</t>
  </si>
  <si>
    <t>Rajke</t>
  </si>
  <si>
    <t>Raja kwangtungensis</t>
  </si>
  <si>
    <t>gdy</t>
  </si>
  <si>
    <t>Rajkw</t>
  </si>
  <si>
    <t>Raja macrocanda</t>
  </si>
  <si>
    <t>dwy</t>
  </si>
  <si>
    <t>Rajma</t>
  </si>
  <si>
    <t>Raja macrophthalma</t>
  </si>
  <si>
    <t>dyy</t>
  </si>
  <si>
    <t>Raja porosa</t>
  </si>
  <si>
    <t>ky</t>
  </si>
  <si>
    <t>Rajpo</t>
  </si>
  <si>
    <t>Raja pulchra</t>
  </si>
  <si>
    <t>my</t>
  </si>
  <si>
    <t>Rajpu</t>
  </si>
  <si>
    <t>Raja tengn</t>
  </si>
  <si>
    <t>cby</t>
  </si>
  <si>
    <t>Rajte</t>
  </si>
  <si>
    <t>Hexatrygonidae sp.</t>
  </si>
  <si>
    <t>lsg</t>
  </si>
  <si>
    <t>Hexatrygon bickelli</t>
  </si>
  <si>
    <t>Hexbi</t>
  </si>
  <si>
    <t>Heemstra et Smith</t>
  </si>
  <si>
    <t>Hexatrygon brevirostra</t>
  </si>
  <si>
    <t>dwl</t>
  </si>
  <si>
    <t>Hexbr</t>
  </si>
  <si>
    <t>Shen</t>
  </si>
  <si>
    <t>Hexatrygon longirostrum</t>
  </si>
  <si>
    <t>cwl</t>
  </si>
  <si>
    <t>Hexlo</t>
  </si>
  <si>
    <t>(Chu et Meng)</t>
  </si>
  <si>
    <t>Hexatrygon taiwanensis</t>
  </si>
  <si>
    <t>twl</t>
  </si>
  <si>
    <t>Hexta</t>
  </si>
  <si>
    <t>Hexatrygon yangi</t>
  </si>
  <si>
    <t>ysl</t>
  </si>
  <si>
    <t>Hexya</t>
  </si>
  <si>
    <t>Shen et Liu</t>
  </si>
  <si>
    <t>Dasyatidae sp.</t>
  </si>
  <si>
    <t>gk</t>
  </si>
  <si>
    <t>Das</t>
  </si>
  <si>
    <t>Dasyatis akajei</t>
  </si>
  <si>
    <t>cg</t>
  </si>
  <si>
    <t>Dasak</t>
  </si>
  <si>
    <t>Dasyatis atratus</t>
  </si>
  <si>
    <t>hg</t>
  </si>
  <si>
    <t>Dasat</t>
  </si>
  <si>
    <t>Ishiyama et Okada</t>
  </si>
  <si>
    <t>Dasyatis bennetti</t>
  </si>
  <si>
    <t>Dasbe</t>
  </si>
  <si>
    <t>Dasyatis gerrardi</t>
  </si>
  <si>
    <t>qsg</t>
  </si>
  <si>
    <t>Dasge</t>
  </si>
  <si>
    <t>Dasyatis imbricatus</t>
  </si>
  <si>
    <t>wg</t>
  </si>
  <si>
    <t>Dasim</t>
  </si>
  <si>
    <t>(Bloch et Schneider)</t>
  </si>
  <si>
    <t>Dasyatis kuhlii</t>
  </si>
  <si>
    <t>gsg</t>
  </si>
  <si>
    <t>Dasku</t>
  </si>
  <si>
    <t>Dasyatis laevigatus</t>
  </si>
  <si>
    <t>gg</t>
  </si>
  <si>
    <t>Dasla</t>
  </si>
  <si>
    <t>Dasyatis lata</t>
  </si>
  <si>
    <t>Dasyatis microphthalmus</t>
  </si>
  <si>
    <t>Dasmi</t>
  </si>
  <si>
    <t>Dasyatis navarrae</t>
  </si>
  <si>
    <t>nsg</t>
  </si>
  <si>
    <t>Dasna</t>
  </si>
  <si>
    <t>(Steindachner)</t>
  </si>
  <si>
    <t>Dasyatis sinensis</t>
  </si>
  <si>
    <t>zgg</t>
  </si>
  <si>
    <t>Dassi</t>
  </si>
  <si>
    <t>Dasyatis uarnak</t>
  </si>
  <si>
    <t>hdg</t>
  </si>
  <si>
    <t>Dasua</t>
  </si>
  <si>
    <t>(Forskal)</t>
  </si>
  <si>
    <t>Dasyatis ushiei</t>
  </si>
  <si>
    <t>ng</t>
  </si>
  <si>
    <t>Dasus</t>
  </si>
  <si>
    <t>Jordan et Hubbs</t>
  </si>
  <si>
    <t>Dasyatis zugei</t>
  </si>
  <si>
    <t>jzg</t>
  </si>
  <si>
    <t>Daszu</t>
  </si>
  <si>
    <t>Taeniura melanospilos</t>
  </si>
  <si>
    <t>hbt</t>
  </si>
  <si>
    <t>Taeme</t>
  </si>
  <si>
    <t>Urogymnus africanus</t>
  </si>
  <si>
    <t>fzs</t>
  </si>
  <si>
    <t>Uroaf</t>
  </si>
  <si>
    <t>Gymnuridae sp.</t>
  </si>
  <si>
    <t>ygk</t>
  </si>
  <si>
    <t>Gym</t>
  </si>
  <si>
    <t>Aetoplatea zonura</t>
  </si>
  <si>
    <t>twy</t>
  </si>
  <si>
    <t>Aetzo</t>
  </si>
  <si>
    <t>Gymnura bimaculata</t>
  </si>
  <si>
    <t>sby</t>
  </si>
  <si>
    <t>Gymbi</t>
  </si>
  <si>
    <t>(Norman)</t>
  </si>
  <si>
    <t>Gymnura japonica</t>
  </si>
  <si>
    <t>rby</t>
  </si>
  <si>
    <t>Gymja</t>
  </si>
  <si>
    <t>(Temminck et Schlegel)</t>
  </si>
  <si>
    <t>Gymnura poecilura</t>
  </si>
  <si>
    <t>hwy</t>
  </si>
  <si>
    <t>Gympo</t>
  </si>
  <si>
    <t>(Shaw)</t>
  </si>
  <si>
    <t>Myliobatidae sp.</t>
  </si>
  <si>
    <t>fk</t>
  </si>
  <si>
    <t>Myl</t>
  </si>
  <si>
    <t>Aetomylaeus maculatus</t>
  </si>
  <si>
    <t>hdw</t>
  </si>
  <si>
    <t>Aetma</t>
  </si>
  <si>
    <t>Aetomylaeus milvus</t>
  </si>
  <si>
    <t>yzw</t>
  </si>
  <si>
    <t>Aetmi</t>
  </si>
  <si>
    <t>Aetomylaeus nichofi</t>
  </si>
  <si>
    <t>nsw</t>
  </si>
  <si>
    <t>Aetni</t>
  </si>
  <si>
    <t>Aetomylaeus vespertilio</t>
  </si>
  <si>
    <t>fzw</t>
  </si>
  <si>
    <t>Aetve</t>
  </si>
  <si>
    <t>Myliobatis tobijei</t>
  </si>
  <si>
    <t>yf</t>
  </si>
  <si>
    <t>Mylto</t>
  </si>
  <si>
    <t>Aetobatidae sp.</t>
  </si>
  <si>
    <t>yfk</t>
  </si>
  <si>
    <t>Aet</t>
  </si>
  <si>
    <t>Rhinopteridae sp.</t>
  </si>
  <si>
    <t>nbf</t>
  </si>
  <si>
    <t>Mobulidae sp.</t>
  </si>
  <si>
    <t>bfk</t>
  </si>
  <si>
    <t>Mob</t>
  </si>
  <si>
    <t>Torpedinidae sp.</t>
  </si>
  <si>
    <t>dyk</t>
  </si>
  <si>
    <t>Tor</t>
  </si>
  <si>
    <t>Benthobatis moresbyi</t>
  </si>
  <si>
    <t>shd</t>
  </si>
  <si>
    <t>Benmo</t>
  </si>
  <si>
    <t>Alcock</t>
  </si>
  <si>
    <t>Narcine lingula</t>
  </si>
  <si>
    <t>sxs</t>
  </si>
  <si>
    <t>Narli</t>
  </si>
  <si>
    <t>Richardson</t>
  </si>
  <si>
    <t>Narcine maculata</t>
  </si>
  <si>
    <t>hbs</t>
  </si>
  <si>
    <t>Narma</t>
  </si>
  <si>
    <t>Narcine timlei</t>
  </si>
  <si>
    <t>dss</t>
  </si>
  <si>
    <t>Narti</t>
  </si>
  <si>
    <t>Torpedo macnilli</t>
  </si>
  <si>
    <t>msd</t>
  </si>
  <si>
    <t>Torma</t>
  </si>
  <si>
    <t>Torpedo nobilina</t>
  </si>
  <si>
    <t>dzh</t>
  </si>
  <si>
    <t>Torno</t>
  </si>
  <si>
    <t>Bonaparte</t>
  </si>
  <si>
    <t>Torpedo tokionis</t>
  </si>
  <si>
    <t>djd</t>
  </si>
  <si>
    <t>Torto</t>
  </si>
  <si>
    <t>Chimaeridae sp.</t>
  </si>
  <si>
    <t>yjk</t>
  </si>
  <si>
    <t>Chi</t>
  </si>
  <si>
    <t>Chimaera jordani</t>
  </si>
  <si>
    <t>qsy</t>
  </si>
  <si>
    <t>Chijo</t>
  </si>
  <si>
    <t>Chimaera phantasma</t>
  </si>
  <si>
    <t>hxy</t>
  </si>
  <si>
    <t>Chiph</t>
  </si>
  <si>
    <t>Harriotta opisthoptera</t>
  </si>
  <si>
    <t>Harop</t>
  </si>
  <si>
    <t>Hydrolagus tsengi</t>
  </si>
  <si>
    <t>csd</t>
  </si>
  <si>
    <t>Hydts</t>
  </si>
  <si>
    <t>(Fang et Wang)</t>
  </si>
  <si>
    <t>Psychichthys mitsukurii</t>
  </si>
  <si>
    <t>Psymi</t>
  </si>
  <si>
    <t>Rhinochimaera pacifica</t>
  </si>
  <si>
    <t>tpy</t>
  </si>
  <si>
    <t>Rhipa</t>
  </si>
  <si>
    <t>(Mitsukuri)</t>
  </si>
  <si>
    <t>Acipenseridae sp.</t>
  </si>
  <si>
    <t>xk</t>
  </si>
  <si>
    <t>Aci</t>
  </si>
  <si>
    <t>Acipenser baeri</t>
  </si>
  <si>
    <t>dwx</t>
  </si>
  <si>
    <t>Aciba</t>
  </si>
  <si>
    <t>Brandt</t>
  </si>
  <si>
    <t>Acipenser dabryanus</t>
  </si>
  <si>
    <t>Acida</t>
  </si>
  <si>
    <t>Deril</t>
  </si>
  <si>
    <t>Acipenser medirobtris</t>
  </si>
  <si>
    <t>kyx</t>
  </si>
  <si>
    <t>Acime</t>
  </si>
  <si>
    <t>Ayres</t>
  </si>
  <si>
    <t>Acipenser nudiventris</t>
  </si>
  <si>
    <t>lfx</t>
  </si>
  <si>
    <t>Acinu</t>
  </si>
  <si>
    <t>Lovetzky</t>
  </si>
  <si>
    <t>Acipenser ruthenus</t>
  </si>
  <si>
    <t>xxx</t>
  </si>
  <si>
    <t>Aciru</t>
  </si>
  <si>
    <t>Acipenser schrenckii</t>
  </si>
  <si>
    <t>ssx</t>
  </si>
  <si>
    <t>Acisc</t>
  </si>
  <si>
    <t>Acipenser sinensis</t>
  </si>
  <si>
    <t>zhx</t>
  </si>
  <si>
    <t>Acisi</t>
  </si>
  <si>
    <t>Gray</t>
  </si>
  <si>
    <t>Huso dauricus</t>
  </si>
  <si>
    <t>h</t>
  </si>
  <si>
    <t>Husda</t>
  </si>
  <si>
    <t>(Georgi)</t>
  </si>
  <si>
    <t>Polyodontidae sp.</t>
  </si>
  <si>
    <t>bxk</t>
  </si>
  <si>
    <t>Pol</t>
  </si>
  <si>
    <t>Psephurus gladius</t>
  </si>
  <si>
    <t>bx</t>
  </si>
  <si>
    <t>Psegl</t>
  </si>
  <si>
    <t>(Martens)</t>
  </si>
  <si>
    <t>Elopidae sp.</t>
  </si>
  <si>
    <t>hlk</t>
  </si>
  <si>
    <t>Elo</t>
  </si>
  <si>
    <t>Elops sp.</t>
  </si>
  <si>
    <t>hailianshu</t>
  </si>
  <si>
    <t>Elosp</t>
  </si>
  <si>
    <t>Elops machnata(Forskal</t>
  </si>
  <si>
    <t>hl</t>
  </si>
  <si>
    <t>Eloma</t>
  </si>
  <si>
    <t>1775)</t>
  </si>
  <si>
    <t>Megalopidae sp.</t>
  </si>
  <si>
    <t>dhl</t>
  </si>
  <si>
    <t>Meg</t>
  </si>
  <si>
    <t>Megalops cyprinoides</t>
  </si>
  <si>
    <t>Megcy</t>
  </si>
  <si>
    <t>(Broussonet)</t>
  </si>
  <si>
    <t>Albulidae sp.</t>
  </si>
  <si>
    <t>Alb</t>
  </si>
  <si>
    <t>Albula glossdonta</t>
  </si>
  <si>
    <t>Albgl</t>
  </si>
  <si>
    <t>Gonorhynchidae sp.</t>
  </si>
  <si>
    <t>sxk</t>
  </si>
  <si>
    <t>Gon</t>
  </si>
  <si>
    <t>Gonorhynchus sp.</t>
  </si>
  <si>
    <t>Gonorhynchus abbreviatus</t>
  </si>
  <si>
    <t>sx</t>
  </si>
  <si>
    <t>Gonab</t>
  </si>
  <si>
    <t>Temminck et Schlegel,1846</t>
  </si>
  <si>
    <t>Chanidae sp.</t>
  </si>
  <si>
    <t>zmy</t>
  </si>
  <si>
    <t>Cha</t>
  </si>
  <si>
    <t>Chanos chanos</t>
  </si>
  <si>
    <t>Chach</t>
  </si>
  <si>
    <t>(Forsk)</t>
  </si>
  <si>
    <t>Pterothrissidae sp.</t>
  </si>
  <si>
    <t>Pte</t>
  </si>
  <si>
    <t>Pterothrissus gissu</t>
  </si>
  <si>
    <t>Ptegi</t>
  </si>
  <si>
    <t>Hilgendorf</t>
  </si>
  <si>
    <t>Clupeidae sp.</t>
  </si>
  <si>
    <t>feike</t>
  </si>
  <si>
    <t>Clu</t>
  </si>
  <si>
    <t>Dussumieria acuta</t>
  </si>
  <si>
    <t>jwy</t>
  </si>
  <si>
    <t>Dusac</t>
  </si>
  <si>
    <t>Cuvier et Valenciennes</t>
  </si>
  <si>
    <t>Dussumieria elopsoides</t>
  </si>
  <si>
    <t>yff</t>
  </si>
  <si>
    <t>Dusel</t>
  </si>
  <si>
    <t>Amblygaster sirm</t>
  </si>
  <si>
    <t>dbd</t>
  </si>
  <si>
    <t>Ambsi</t>
  </si>
  <si>
    <t>(Walbaum)</t>
  </si>
  <si>
    <t>Clupea harengus</t>
  </si>
  <si>
    <t>f</t>
  </si>
  <si>
    <t>Cluha</t>
  </si>
  <si>
    <t>Valenciennes</t>
  </si>
  <si>
    <t>Eseualosa thoracata</t>
  </si>
  <si>
    <t>jbf</t>
  </si>
  <si>
    <t>Eseth</t>
  </si>
  <si>
    <t>Etrumeus sp.</t>
  </si>
  <si>
    <t>zyf</t>
  </si>
  <si>
    <t>Etr</t>
  </si>
  <si>
    <t>Etrumeus teres(De,</t>
  </si>
  <si>
    <t>Etrte</t>
  </si>
  <si>
    <t>Kay,1842)</t>
  </si>
  <si>
    <t>Clupea sp.</t>
  </si>
  <si>
    <t>fs</t>
  </si>
  <si>
    <t>Clusp</t>
  </si>
  <si>
    <t>Sardinella sp.</t>
  </si>
  <si>
    <t>xsd</t>
  </si>
  <si>
    <t>Sarsp</t>
  </si>
  <si>
    <t>et Valenciennes</t>
  </si>
  <si>
    <t>Sardinops sp.</t>
  </si>
  <si>
    <t>nsd</t>
  </si>
  <si>
    <t>Herklotsichthys quadrimaculatus</t>
  </si>
  <si>
    <t>sbs</t>
  </si>
  <si>
    <t>Herqu</t>
  </si>
  <si>
    <t>Sardinella albella</t>
  </si>
  <si>
    <t>bsd</t>
  </si>
  <si>
    <t>Saral</t>
  </si>
  <si>
    <t>Sardinella brachysoma</t>
  </si>
  <si>
    <t>dts</t>
  </si>
  <si>
    <t>Sarbr</t>
  </si>
  <si>
    <t>Sardinella clupeoides</t>
  </si>
  <si>
    <t>bfs</t>
  </si>
  <si>
    <t>Sarcl</t>
  </si>
  <si>
    <t>Sardinella fimbriata</t>
  </si>
  <si>
    <t>sls</t>
  </si>
  <si>
    <t>Sarfi</t>
  </si>
  <si>
    <t>Sardinella gibbosa</t>
  </si>
  <si>
    <t>jds</t>
  </si>
  <si>
    <t>Sargi</t>
  </si>
  <si>
    <t>Sardinella hualiensis</t>
  </si>
  <si>
    <t>Sarhu</t>
  </si>
  <si>
    <t>(Chu et Tsai)</t>
  </si>
  <si>
    <t>Sardinella jussius</t>
  </si>
  <si>
    <t>qss</t>
  </si>
  <si>
    <t>Sarju</t>
  </si>
  <si>
    <t>(Cuvier et Valenciennes)</t>
  </si>
  <si>
    <t>Sardinella lemuru</t>
  </si>
  <si>
    <t>jss</t>
  </si>
  <si>
    <t>Sarle</t>
  </si>
  <si>
    <t>Sardinella longiceps</t>
  </si>
  <si>
    <t>Sarlo</t>
  </si>
  <si>
    <t>Sardinella melanura</t>
  </si>
  <si>
    <t>hws</t>
  </si>
  <si>
    <t>Sarme</t>
  </si>
  <si>
    <t>Sardinella richardsoni</t>
  </si>
  <si>
    <t>Sarri</t>
  </si>
  <si>
    <t>Wongratana</t>
  </si>
  <si>
    <t>Sardinella sindensis</t>
  </si>
  <si>
    <t>xds</t>
  </si>
  <si>
    <t>Sarsi</t>
  </si>
  <si>
    <t>Sardinella zunasi</t>
  </si>
  <si>
    <t>qls</t>
  </si>
  <si>
    <t>Sarzu</t>
  </si>
  <si>
    <t>Sardinops sp.</t>
  </si>
  <si>
    <t>sny</t>
  </si>
  <si>
    <t>Sar</t>
  </si>
  <si>
    <t>Sardinops melenosticta</t>
  </si>
  <si>
    <t>bds</t>
  </si>
  <si>
    <t>(Temminck et Schlegel,1846)</t>
  </si>
  <si>
    <t>Clupanodo kelee</t>
  </si>
  <si>
    <t>hds</t>
  </si>
  <si>
    <t>Cluke</t>
  </si>
  <si>
    <t>Tenuolosa reevesi</t>
  </si>
  <si>
    <t>s</t>
  </si>
  <si>
    <t>Tenre</t>
  </si>
  <si>
    <t>(Richardson)</t>
  </si>
  <si>
    <t>Konosirus sp.</t>
  </si>
  <si>
    <t>bjs</t>
  </si>
  <si>
    <t>Kon</t>
  </si>
  <si>
    <t>Anodontostoma chacunda</t>
  </si>
  <si>
    <t>wcj</t>
  </si>
  <si>
    <t>Anoch</t>
  </si>
  <si>
    <t>(Buchanan-Hamilton)</t>
  </si>
  <si>
    <t>Clupanodon thrissa</t>
  </si>
  <si>
    <t>hj</t>
  </si>
  <si>
    <t>Cluth</t>
  </si>
  <si>
    <t>Clupanodon punctatus</t>
  </si>
  <si>
    <t>bj</t>
  </si>
  <si>
    <t>Konpu</t>
  </si>
  <si>
    <t>Nematalosa come</t>
  </si>
  <si>
    <t>hqh</t>
  </si>
  <si>
    <t>Nemco</t>
  </si>
  <si>
    <t>Nematalosa japonica</t>
  </si>
  <si>
    <t>rbh</t>
  </si>
  <si>
    <t>Nemja</t>
  </si>
  <si>
    <t>Nematalosa nasus</t>
  </si>
  <si>
    <t>ywh</t>
  </si>
  <si>
    <t>Nemna</t>
  </si>
  <si>
    <t>(Bloch)</t>
  </si>
  <si>
    <t>Ilisha elongata</t>
  </si>
  <si>
    <t>l</t>
  </si>
  <si>
    <t>Iliel</t>
  </si>
  <si>
    <t>Ilisha melastoma</t>
  </si>
  <si>
    <t>ydl</t>
  </si>
  <si>
    <t>Ilime</t>
  </si>
  <si>
    <t>Opisthopterus tardoore</t>
  </si>
  <si>
    <t>hqy</t>
  </si>
  <si>
    <t>Opita</t>
  </si>
  <si>
    <t>Pellona ditchela</t>
  </si>
  <si>
    <t>pll</t>
  </si>
  <si>
    <t>Peldi</t>
  </si>
  <si>
    <t>Spratelloides gracilis</t>
  </si>
  <si>
    <t>Sprgr</t>
  </si>
  <si>
    <t>(Temminck et Schegel)</t>
  </si>
  <si>
    <t>Nematalosa sp.</t>
  </si>
  <si>
    <t>Engraulidae sp.</t>
  </si>
  <si>
    <t>tk</t>
  </si>
  <si>
    <t>Eng</t>
  </si>
  <si>
    <t>Coilia sp.</t>
  </si>
  <si>
    <t>js</t>
  </si>
  <si>
    <t>Coi</t>
  </si>
  <si>
    <t>Coilia mystus</t>
  </si>
  <si>
    <t>fj</t>
  </si>
  <si>
    <t>Coimy</t>
  </si>
  <si>
    <t>(Linnaeus,1758)</t>
  </si>
  <si>
    <t>Coilia brachygnathus</t>
  </si>
  <si>
    <t>dhj</t>
  </si>
  <si>
    <t>Coibr</t>
  </si>
  <si>
    <t>Kreyenberg et Pappenheim</t>
  </si>
  <si>
    <t>Coilia ectenes</t>
  </si>
  <si>
    <t>j</t>
  </si>
  <si>
    <t>Coiec</t>
  </si>
  <si>
    <t>Jordan et Seale</t>
  </si>
  <si>
    <t>Coilia grayii</t>
  </si>
  <si>
    <t>qsj</t>
  </si>
  <si>
    <t>Coigr</t>
  </si>
  <si>
    <t>Setipinna taty</t>
  </si>
  <si>
    <t>Setta</t>
  </si>
  <si>
    <t>Engraulis sp.</t>
  </si>
  <si>
    <t>ts</t>
  </si>
  <si>
    <t>Engraulis japonicus(Temminck</t>
  </si>
  <si>
    <t>t</t>
  </si>
  <si>
    <t>Engja</t>
  </si>
  <si>
    <t>et Schlegel,1846)</t>
  </si>
  <si>
    <t>Stolephorus sp.</t>
  </si>
  <si>
    <t>xgy</t>
  </si>
  <si>
    <t>Sto</t>
  </si>
  <si>
    <t>Stolephorus chinensis</t>
  </si>
  <si>
    <t>zhxgY</t>
  </si>
  <si>
    <t>Stoch</t>
  </si>
  <si>
    <t>Stolephorus commersonii</t>
  </si>
  <si>
    <t>ksx</t>
  </si>
  <si>
    <t>Stoco</t>
  </si>
  <si>
    <t>(Lacepede)</t>
  </si>
  <si>
    <t>Stolephorus heteroloba</t>
  </si>
  <si>
    <t>jwx</t>
  </si>
  <si>
    <t>Stohe</t>
  </si>
  <si>
    <t>Stolephorus indicus</t>
  </si>
  <si>
    <t>ydx</t>
  </si>
  <si>
    <t>Stoin</t>
  </si>
  <si>
    <t>(van Hasselt)</t>
  </si>
  <si>
    <t>Stolephorus insularis</t>
  </si>
  <si>
    <t>dyx</t>
  </si>
  <si>
    <t>Hardenberg</t>
  </si>
  <si>
    <t>Stolephorus punctifer</t>
  </si>
  <si>
    <t>jxg</t>
  </si>
  <si>
    <t>Stopu</t>
  </si>
  <si>
    <t>Stolephorus shantungensis</t>
  </si>
  <si>
    <t>sdx</t>
  </si>
  <si>
    <t>Stosh</t>
  </si>
  <si>
    <t>Li</t>
  </si>
  <si>
    <t>Stolephorus tri</t>
  </si>
  <si>
    <t>ynx</t>
  </si>
  <si>
    <t>Stotr</t>
  </si>
  <si>
    <t>Stolephorus zollingeri</t>
  </si>
  <si>
    <t>qd</t>
  </si>
  <si>
    <t>Stozo</t>
  </si>
  <si>
    <t>Thryssa chefuensis</t>
  </si>
  <si>
    <t>zwl</t>
  </si>
  <si>
    <t>Thrch</t>
  </si>
  <si>
    <t>Thryssa dussumieri</t>
  </si>
  <si>
    <t>dsl</t>
  </si>
  <si>
    <t>Thrdu</t>
  </si>
  <si>
    <t>Thryssa hamiltonii</t>
  </si>
  <si>
    <t>hsl</t>
  </si>
  <si>
    <t>Thrha</t>
  </si>
  <si>
    <t>Thryssa kammalensis</t>
  </si>
  <si>
    <t>cbl</t>
  </si>
  <si>
    <t>Thrka</t>
  </si>
  <si>
    <t>Thryssa mystax</t>
  </si>
  <si>
    <t>zhl</t>
  </si>
  <si>
    <t>Thrmy</t>
  </si>
  <si>
    <t>Thryssa setirostris</t>
  </si>
  <si>
    <t>chl</t>
  </si>
  <si>
    <t>Thrse</t>
  </si>
  <si>
    <t>Thryssa vitrirostris</t>
  </si>
  <si>
    <t>hwl</t>
  </si>
  <si>
    <t>Thrvi</t>
  </si>
  <si>
    <t>(Gilchrist et Thompson)</t>
  </si>
  <si>
    <t>Thryssa sp.</t>
  </si>
  <si>
    <t>lts</t>
  </si>
  <si>
    <t>Thrsp</t>
  </si>
  <si>
    <t>Chirocentridae sp.</t>
  </si>
  <si>
    <t>bdy</t>
  </si>
  <si>
    <t>Chirocentrus dorab</t>
  </si>
  <si>
    <t>Chido</t>
  </si>
  <si>
    <t>Chirocentrus nudus</t>
  </si>
  <si>
    <t>chb</t>
  </si>
  <si>
    <t>Chinu</t>
  </si>
  <si>
    <t>Swainson</t>
  </si>
  <si>
    <t>Plecoglossidae sp.</t>
  </si>
  <si>
    <t>xyk</t>
  </si>
  <si>
    <t>Ple</t>
  </si>
  <si>
    <t>Plecoglossus altivelis</t>
  </si>
  <si>
    <t>xy</t>
  </si>
  <si>
    <t>Pleal</t>
  </si>
  <si>
    <t>Temminck et Schlegel</t>
  </si>
  <si>
    <t>Salangidae sp.</t>
  </si>
  <si>
    <t>yyk</t>
  </si>
  <si>
    <t>Sal</t>
  </si>
  <si>
    <t>Neosalanx anderssoni</t>
  </si>
  <si>
    <t>asy</t>
  </si>
  <si>
    <t>Neoan</t>
  </si>
  <si>
    <t>(Rendahl)</t>
  </si>
  <si>
    <t>Neosalanx argentia</t>
  </si>
  <si>
    <t>ysx</t>
  </si>
  <si>
    <t>Neoar</t>
  </si>
  <si>
    <t>(Lin)</t>
  </si>
  <si>
    <t>Neosalanx brevirostris</t>
  </si>
  <si>
    <t>Neobr</t>
  </si>
  <si>
    <t>Pellegrin</t>
  </si>
  <si>
    <t>Neosalanx jordani</t>
  </si>
  <si>
    <t>qsx</t>
  </si>
  <si>
    <t>Neojo</t>
  </si>
  <si>
    <t>Wakiya et Takahasi</t>
  </si>
  <si>
    <t>Neosalanx oligodontis</t>
  </si>
  <si>
    <t>gcx</t>
  </si>
  <si>
    <t>Neool</t>
  </si>
  <si>
    <t>Neosalanx pseudotaihuensis</t>
  </si>
  <si>
    <t>jth</t>
  </si>
  <si>
    <t>Neops</t>
  </si>
  <si>
    <t>Zhang</t>
  </si>
  <si>
    <t>Neosalanx taihuensis</t>
  </si>
  <si>
    <t>thx</t>
  </si>
  <si>
    <t>Neota</t>
  </si>
  <si>
    <t>Neosalanx tangkahkeii</t>
  </si>
  <si>
    <t>csx</t>
  </si>
  <si>
    <t>(Wu)</t>
  </si>
  <si>
    <t>Protosalanx chinensis</t>
  </si>
  <si>
    <t>Proch</t>
  </si>
  <si>
    <t>(Basilewsky)</t>
  </si>
  <si>
    <t>Salangichthys microdon</t>
  </si>
  <si>
    <t>xcr</t>
  </si>
  <si>
    <t>Salmi</t>
  </si>
  <si>
    <t>Hemisalanx brachyrostralis</t>
  </si>
  <si>
    <t>Hembr</t>
  </si>
  <si>
    <t>(Fang)</t>
  </si>
  <si>
    <t>Hemisalanx prognathus</t>
  </si>
  <si>
    <t>jhj</t>
  </si>
  <si>
    <t>Hempr</t>
  </si>
  <si>
    <t>Leucosoma chinensis</t>
  </si>
  <si>
    <t>bjy</t>
  </si>
  <si>
    <t>Leuch</t>
  </si>
  <si>
    <t>(Osbeck)</t>
  </si>
  <si>
    <t>Salanx ariakensis</t>
  </si>
  <si>
    <t>ymy</t>
  </si>
  <si>
    <t>Salar</t>
  </si>
  <si>
    <t>Kishinouye</t>
  </si>
  <si>
    <t>Salanx cuvieri</t>
  </si>
  <si>
    <t>jsy</t>
  </si>
  <si>
    <t>Salcu</t>
  </si>
  <si>
    <t>Alepocephalidae sp.</t>
  </si>
  <si>
    <t>pty</t>
  </si>
  <si>
    <t>Ale</t>
  </si>
  <si>
    <t>hty</t>
  </si>
  <si>
    <t>Alepocephalus bicolor</t>
  </si>
  <si>
    <t>Alebi</t>
  </si>
  <si>
    <t>Alepocephalus longiceps</t>
  </si>
  <si>
    <t>dhp</t>
  </si>
  <si>
    <t>Alelo</t>
  </si>
  <si>
    <t>Lloyd</t>
  </si>
  <si>
    <t>Alepocephalus longirostris</t>
  </si>
  <si>
    <t>cwp</t>
  </si>
  <si>
    <t>Okamura et Kawanishi</t>
  </si>
  <si>
    <t>Alepocephalus owstoni</t>
  </si>
  <si>
    <t>osp</t>
  </si>
  <si>
    <t>Aleow</t>
  </si>
  <si>
    <t>Alepocephalus triangnlaris</t>
  </si>
  <si>
    <t>jwp</t>
  </si>
  <si>
    <t>Aletr</t>
  </si>
  <si>
    <t>Alepocephalus umbriceps</t>
  </si>
  <si>
    <t>asp</t>
  </si>
  <si>
    <t>Aleum</t>
  </si>
  <si>
    <t>Jordan et Thopson</t>
  </si>
  <si>
    <t>Bathytroctes rostratus</t>
  </si>
  <si>
    <t>yty</t>
  </si>
  <si>
    <t>Batro</t>
  </si>
  <si>
    <t>Leptoderma retropinnum</t>
  </si>
  <si>
    <t>Lepre</t>
  </si>
  <si>
    <t>Fowler</t>
  </si>
  <si>
    <t>Narcetes lloydi</t>
  </si>
  <si>
    <t>hky</t>
  </si>
  <si>
    <t>Narll</t>
  </si>
  <si>
    <t>Rouleina guentheri</t>
  </si>
  <si>
    <t>zy</t>
  </si>
  <si>
    <t>Rougu</t>
  </si>
  <si>
    <t>(Alcock)</t>
  </si>
  <si>
    <t>Rouleina watasei</t>
  </si>
  <si>
    <t>wsz</t>
  </si>
  <si>
    <t>Rouwa</t>
  </si>
  <si>
    <t>Talismania antillarum</t>
  </si>
  <si>
    <t>adl</t>
  </si>
  <si>
    <t>Talan</t>
  </si>
  <si>
    <t>(Goode et Bean)</t>
  </si>
  <si>
    <t>Talismania brachycephala</t>
  </si>
  <si>
    <t>dtd</t>
  </si>
  <si>
    <t>Talbr</t>
  </si>
  <si>
    <t>Sazonov</t>
  </si>
  <si>
    <t>Xenodermichthys nodulosus</t>
  </si>
  <si>
    <t>pey</t>
  </si>
  <si>
    <t>Xenno</t>
  </si>
  <si>
    <t>Stomiatidae sp.</t>
  </si>
  <si>
    <t>jky</t>
  </si>
  <si>
    <t>Astronesthidae sp.</t>
  </si>
  <si>
    <t>xcy</t>
  </si>
  <si>
    <t>Ast</t>
  </si>
  <si>
    <t>Chauliodus sloani</t>
  </si>
  <si>
    <t>ky</t>
  </si>
  <si>
    <t>Chasl</t>
  </si>
  <si>
    <t>Bloch et Schneider</t>
  </si>
  <si>
    <t>Medanostomiatidae sp.</t>
  </si>
  <si>
    <t>hjk</t>
  </si>
  <si>
    <t>Med</t>
  </si>
  <si>
    <t>Aristostomias scintillans</t>
  </si>
  <si>
    <t>dmj</t>
  </si>
  <si>
    <t>Arisc</t>
  </si>
  <si>
    <t>(Gilbert)</t>
  </si>
  <si>
    <t>Bathophilus longipinnis</t>
  </si>
  <si>
    <t>cys</t>
  </si>
  <si>
    <t>Batlo</t>
  </si>
  <si>
    <t>(Pappenheim)</t>
  </si>
  <si>
    <t>Eustomias longibarba</t>
  </si>
  <si>
    <t>cxz</t>
  </si>
  <si>
    <t>Euslo</t>
  </si>
  <si>
    <t>Parr</t>
  </si>
  <si>
    <t>Leptostomias robustus</t>
  </si>
  <si>
    <t>qzx</t>
  </si>
  <si>
    <t>Lepro</t>
  </si>
  <si>
    <t>Imai</t>
  </si>
  <si>
    <t>Melanostomias melanopogon</t>
  </si>
  <si>
    <t>wxh</t>
  </si>
  <si>
    <t>Melme</t>
  </si>
  <si>
    <t>Regan et Trewavas</t>
  </si>
  <si>
    <t>Opostomias mitsuii</t>
  </si>
  <si>
    <t>zjk</t>
  </si>
  <si>
    <t>Opomi</t>
  </si>
  <si>
    <t>Pachystomias microdon</t>
  </si>
  <si>
    <t>Pacmi</t>
  </si>
  <si>
    <t>Photonectes albipennis</t>
  </si>
  <si>
    <t>mqd</t>
  </si>
  <si>
    <t>Phoal</t>
  </si>
  <si>
    <t>(Doderlein)</t>
  </si>
  <si>
    <t>Thysanactis dentex</t>
  </si>
  <si>
    <t>Thyde</t>
  </si>
  <si>
    <t>Rogan et Trewavas</t>
  </si>
  <si>
    <t>Malacosteidae sp.</t>
  </si>
  <si>
    <t>rhy</t>
  </si>
  <si>
    <t>Mal</t>
  </si>
  <si>
    <t>Omosudidae sp.</t>
  </si>
  <si>
    <t>chy</t>
  </si>
  <si>
    <t>Omo</t>
  </si>
  <si>
    <t>Argentinidae sp.</t>
  </si>
  <si>
    <t>szy</t>
  </si>
  <si>
    <t>Arg</t>
  </si>
  <si>
    <t>Osmeridae sp.</t>
  </si>
  <si>
    <t>hgy</t>
  </si>
  <si>
    <t>Osm</t>
  </si>
  <si>
    <t>Hypomesus japonicus</t>
  </si>
  <si>
    <t>Hypja</t>
  </si>
  <si>
    <t>(Brevoort)</t>
  </si>
  <si>
    <t>Hypomesus nipponensis</t>
  </si>
  <si>
    <t>xtg</t>
  </si>
  <si>
    <t>Hypni</t>
  </si>
  <si>
    <t>McAllister</t>
  </si>
  <si>
    <t>Hypomesus olidus</t>
  </si>
  <si>
    <t>czg</t>
  </si>
  <si>
    <t>Hypol</t>
  </si>
  <si>
    <t>Pallas</t>
  </si>
  <si>
    <t>Mallotus villosus</t>
  </si>
  <si>
    <t>mly</t>
  </si>
  <si>
    <t>Malvi</t>
  </si>
  <si>
    <t>(Muller)</t>
  </si>
  <si>
    <t>Osmerus mordax</t>
  </si>
  <si>
    <t>Osmmo</t>
  </si>
  <si>
    <t>(Mitchill)</t>
  </si>
  <si>
    <t>Thymallidae sp.</t>
  </si>
  <si>
    <t>hyk</t>
  </si>
  <si>
    <t>Thy</t>
  </si>
  <si>
    <t>Thymallus arcticus</t>
  </si>
  <si>
    <t>bjh</t>
  </si>
  <si>
    <t>Thyar</t>
  </si>
  <si>
    <t>(Pallas)</t>
  </si>
  <si>
    <t>hlj</t>
  </si>
  <si>
    <t>Dybowskii</t>
  </si>
  <si>
    <t>ylj</t>
  </si>
  <si>
    <t>Mori</t>
  </si>
  <si>
    <t>Salmonidae sp.</t>
  </si>
  <si>
    <t>sal</t>
  </si>
  <si>
    <t>Brachymystax lenok</t>
  </si>
  <si>
    <t>xlg</t>
  </si>
  <si>
    <t>Brale</t>
  </si>
  <si>
    <t>qlx</t>
  </si>
  <si>
    <t>Hucho bleekeri</t>
  </si>
  <si>
    <t>scz</t>
  </si>
  <si>
    <t>Hucbl</t>
  </si>
  <si>
    <t>Kimura</t>
  </si>
  <si>
    <t>Hucho ishikawai</t>
  </si>
  <si>
    <t>Hucis</t>
  </si>
  <si>
    <t>Hucho taimen</t>
  </si>
  <si>
    <t>zly</t>
  </si>
  <si>
    <t>Hucta</t>
  </si>
  <si>
    <t>Oncorhynchus gorbuscha</t>
  </si>
  <si>
    <t>tbd</t>
  </si>
  <si>
    <t>Oncgo</t>
  </si>
  <si>
    <t>Walbaum</t>
  </si>
  <si>
    <t>Oncorhynchus keta</t>
  </si>
  <si>
    <t>dmh</t>
  </si>
  <si>
    <t>Oncke</t>
  </si>
  <si>
    <t>Oncorhynchus masou</t>
  </si>
  <si>
    <t>Oncma</t>
  </si>
  <si>
    <t>twd</t>
  </si>
  <si>
    <t>(Jordan et Oshima)</t>
  </si>
  <si>
    <t>Oncorhynchus mykiss</t>
  </si>
  <si>
    <t>hz</t>
  </si>
  <si>
    <t>Oncmy</t>
  </si>
  <si>
    <t>Salvelinus leucomaenis</t>
  </si>
  <si>
    <t>bbh</t>
  </si>
  <si>
    <t>Salle</t>
  </si>
  <si>
    <t>Salvelinus malma</t>
  </si>
  <si>
    <t>hgh</t>
  </si>
  <si>
    <t>Salma</t>
  </si>
  <si>
    <t>Coregonus chadary</t>
  </si>
  <si>
    <t>kdb</t>
  </si>
  <si>
    <t>Corch</t>
  </si>
  <si>
    <t>Dybowski</t>
  </si>
  <si>
    <t>Coregonus ussuriensis</t>
  </si>
  <si>
    <t>wsl</t>
  </si>
  <si>
    <t>Corus</t>
  </si>
  <si>
    <t>Berg</t>
  </si>
  <si>
    <t>Stenodus leucichthys</t>
  </si>
  <si>
    <t>bg</t>
  </si>
  <si>
    <t>Stele</t>
  </si>
  <si>
    <t>Gueldenstadt</t>
  </si>
  <si>
    <t>Gonostomidae sp.</t>
  </si>
  <si>
    <t>zgy</t>
  </si>
  <si>
    <t>Bonapartia pedaliota</t>
  </si>
  <si>
    <t>lgy</t>
  </si>
  <si>
    <t>Bonpe</t>
  </si>
  <si>
    <t>(Jespersen et Taning)</t>
  </si>
  <si>
    <t>Cyclothone sp.</t>
  </si>
  <si>
    <t>yfy</t>
  </si>
  <si>
    <t>cycsp</t>
  </si>
  <si>
    <t>Cyclothone acclinidens</t>
  </si>
  <si>
    <t>Cycac</t>
  </si>
  <si>
    <t>Cyclothone alba</t>
  </si>
  <si>
    <t>byf</t>
  </si>
  <si>
    <t>Cycal</t>
  </si>
  <si>
    <t>Brauer</t>
  </si>
  <si>
    <t>Cyclothone atraria</t>
  </si>
  <si>
    <t>hyf</t>
  </si>
  <si>
    <t>Cycat</t>
  </si>
  <si>
    <t>Gilbert</t>
  </si>
  <si>
    <t>Cyclothone obscura</t>
  </si>
  <si>
    <t>ayf</t>
  </si>
  <si>
    <t>Cycob</t>
  </si>
  <si>
    <t>Cyclothone pallida</t>
  </si>
  <si>
    <t>cyf</t>
  </si>
  <si>
    <t>Cycpa</t>
  </si>
  <si>
    <t>Cyclothone pseudopallida</t>
  </si>
  <si>
    <t>jcy</t>
  </si>
  <si>
    <t>Cycps</t>
  </si>
  <si>
    <t>Mukacheve</t>
  </si>
  <si>
    <t>Diplophos orientalis</t>
  </si>
  <si>
    <t>dfs</t>
  </si>
  <si>
    <t>Dipor</t>
  </si>
  <si>
    <t>Matsubara</t>
  </si>
  <si>
    <t>Diplophos taenia</t>
  </si>
  <si>
    <t>tws</t>
  </si>
  <si>
    <t>Dipta</t>
  </si>
  <si>
    <t>Gonostoma atlanticus</t>
  </si>
  <si>
    <t>xzg</t>
  </si>
  <si>
    <t>Gonat</t>
  </si>
  <si>
    <t>Norman</t>
  </si>
  <si>
    <t>Gonostoma ebelingi</t>
  </si>
  <si>
    <t>asz</t>
  </si>
  <si>
    <t>Goneb</t>
  </si>
  <si>
    <t>Grey</t>
  </si>
  <si>
    <t>Gonostoma elongatus</t>
  </si>
  <si>
    <t>Gonel</t>
  </si>
  <si>
    <t>Gonostoma gracile</t>
  </si>
  <si>
    <t>Gongr</t>
  </si>
  <si>
    <t>Ichthyococcus irregularis</t>
  </si>
  <si>
    <t>yhg</t>
  </si>
  <si>
    <t>Ichir</t>
  </si>
  <si>
    <t>Rechnitzer et Bohlke</t>
  </si>
  <si>
    <t>Ichthyococcus ovatus</t>
  </si>
  <si>
    <t>lxh</t>
  </si>
  <si>
    <t>Ichov</t>
  </si>
  <si>
    <t>(Cocco)</t>
  </si>
  <si>
    <t>Margrethia obtusirostra</t>
  </si>
  <si>
    <t>Marob</t>
  </si>
  <si>
    <t>Jespersen et Taning</t>
  </si>
  <si>
    <t>Pollichthys mauli</t>
  </si>
  <si>
    <t>bgy</t>
  </si>
  <si>
    <t>Polma</t>
  </si>
  <si>
    <t>(Poll)</t>
  </si>
  <si>
    <t>Polymetme elongata</t>
  </si>
  <si>
    <t>cdg</t>
  </si>
  <si>
    <t>Polel</t>
  </si>
  <si>
    <t>(Matsubara)</t>
  </si>
  <si>
    <t>Polymetme illustris</t>
  </si>
  <si>
    <t>dgy</t>
  </si>
  <si>
    <t>Polil</t>
  </si>
  <si>
    <t>McCulloch</t>
  </si>
  <si>
    <t>Triplophls hemingi</t>
  </si>
  <si>
    <t>Trihe</t>
  </si>
  <si>
    <t>(McArdle)</t>
  </si>
  <si>
    <t>Valenciennellus tripunctulatus</t>
  </si>
  <si>
    <t>cgy</t>
  </si>
  <si>
    <t>Valtr</t>
  </si>
  <si>
    <t>(Esmark)</t>
  </si>
  <si>
    <t>Vinciguerria attenuata</t>
  </si>
  <si>
    <t>xcg</t>
  </si>
  <si>
    <t>Vinat</t>
  </si>
  <si>
    <t>Vinciguerria lucetia</t>
  </si>
  <si>
    <t>ycg</t>
  </si>
  <si>
    <t>Vinlu</t>
  </si>
  <si>
    <t>Vinciguerria nimbara</t>
  </si>
  <si>
    <t>chuanguangyu</t>
  </si>
  <si>
    <t>Vinni</t>
  </si>
  <si>
    <t>(Jordan et Williams)</t>
  </si>
  <si>
    <t>Vinciguerria poweriae</t>
  </si>
  <si>
    <t>qcg</t>
  </si>
  <si>
    <t>Vinpo</t>
  </si>
  <si>
    <t>Vinciguerria sp.</t>
  </si>
  <si>
    <t>Vinsp</t>
  </si>
  <si>
    <t>Sternopty chidae</t>
  </si>
  <si>
    <t>zxy</t>
  </si>
  <si>
    <t>Stech</t>
  </si>
  <si>
    <t>Araiophos eastropas</t>
  </si>
  <si>
    <t>Araea</t>
  </si>
  <si>
    <t>Ahlstrom et Moser</t>
  </si>
  <si>
    <t>Argyropelecus aculeatus</t>
  </si>
  <si>
    <t>Argac</t>
  </si>
  <si>
    <t>Argyropelecus affinis</t>
  </si>
  <si>
    <t>Argaf</t>
  </si>
  <si>
    <t>Argyropelecus hemigymnus</t>
  </si>
  <si>
    <t>yfy</t>
  </si>
  <si>
    <t>Arghe</t>
  </si>
  <si>
    <t>Cocco</t>
  </si>
  <si>
    <t>Argyropelecus sladeni</t>
  </si>
  <si>
    <t>gyf</t>
  </si>
  <si>
    <t>Argsl</t>
  </si>
  <si>
    <t>Danaphos oculatus</t>
  </si>
  <si>
    <t>Danoc</t>
  </si>
  <si>
    <t>Maurolicus japonicus</t>
  </si>
  <si>
    <t>rba</t>
  </si>
  <si>
    <t>Mauja</t>
  </si>
  <si>
    <t>Ischikawa</t>
  </si>
  <si>
    <t>Maurolicus muelleri</t>
  </si>
  <si>
    <t>lsa</t>
  </si>
  <si>
    <t>Maumu</t>
  </si>
  <si>
    <t>Polyipnus aquavitus</t>
  </si>
  <si>
    <t>ghz</t>
  </si>
  <si>
    <t>Polaq</t>
  </si>
  <si>
    <t>Baird</t>
  </si>
  <si>
    <t>Polyipnus spinosus</t>
  </si>
  <si>
    <t>Polsp</t>
  </si>
  <si>
    <t>Polyipnus sterope</t>
  </si>
  <si>
    <t>sdz</t>
  </si>
  <si>
    <t>Polst</t>
  </si>
  <si>
    <t>Jordan et Starks</t>
  </si>
  <si>
    <t>Polyipnus tridentifer</t>
  </si>
  <si>
    <t>Poltr</t>
  </si>
  <si>
    <t>Polyipnus triphanos</t>
  </si>
  <si>
    <t>szg</t>
  </si>
  <si>
    <t>Schultz</t>
  </si>
  <si>
    <t>Sternoptyx diaphana</t>
  </si>
  <si>
    <t>Stedi</t>
  </si>
  <si>
    <t>Hermann</t>
  </si>
  <si>
    <t>Sternoptyx obscura</t>
  </si>
  <si>
    <t>dzx</t>
  </si>
  <si>
    <t>Steob</t>
  </si>
  <si>
    <t>Sternoptyx pseudobscura</t>
  </si>
  <si>
    <t>Steps</t>
  </si>
  <si>
    <t>Maurolicus sp.</t>
  </si>
  <si>
    <t>agy</t>
  </si>
  <si>
    <t>Mau</t>
  </si>
  <si>
    <t>Ischikawa,1915</t>
  </si>
  <si>
    <t>Bathylagus sp.</t>
  </si>
  <si>
    <t>shg</t>
  </si>
  <si>
    <t>batsp</t>
  </si>
  <si>
    <t>Bathylagus bericoides</t>
  </si>
  <si>
    <t>rdshg</t>
  </si>
  <si>
    <t>Bath</t>
  </si>
  <si>
    <t>Myctophiformes sp.</t>
  </si>
  <si>
    <t>dly</t>
  </si>
  <si>
    <t>Myc</t>
  </si>
  <si>
    <t>Aulopiformes</t>
  </si>
  <si>
    <t>xny</t>
  </si>
  <si>
    <t>aul</t>
  </si>
  <si>
    <t>Synodontidae sp.</t>
  </si>
  <si>
    <t>gmy</t>
  </si>
  <si>
    <t>Syn</t>
  </si>
  <si>
    <t>Saurida sp.</t>
  </si>
  <si>
    <t>szs</t>
  </si>
  <si>
    <t>Sau</t>
  </si>
  <si>
    <t>Saurida elongata</t>
  </si>
  <si>
    <t>Sauel</t>
  </si>
  <si>
    <t>Saurida gracilis</t>
  </si>
  <si>
    <t>xsz</t>
  </si>
  <si>
    <t>Saugr</t>
  </si>
  <si>
    <t>Saurida macropectoralis</t>
  </si>
  <si>
    <t>xxq</t>
  </si>
  <si>
    <t>Sauma</t>
  </si>
  <si>
    <t>Shindo et Yamada</t>
  </si>
  <si>
    <t>Saurida tumbil</t>
  </si>
  <si>
    <t>dcs</t>
  </si>
  <si>
    <t>Sautu</t>
  </si>
  <si>
    <t>Bloch</t>
  </si>
  <si>
    <t>Saurida undosquamis</t>
  </si>
  <si>
    <t>Sauun</t>
  </si>
  <si>
    <t>Saurida wanieso</t>
  </si>
  <si>
    <t>esz</t>
  </si>
  <si>
    <t>Sauwa</t>
  </si>
  <si>
    <t>Synodus binotatus</t>
  </si>
  <si>
    <t>sbg</t>
  </si>
  <si>
    <t>Synbi</t>
  </si>
  <si>
    <t>Synodus englemani</t>
  </si>
  <si>
    <t>zdg</t>
  </si>
  <si>
    <t>Synen</t>
  </si>
  <si>
    <t>Synodus fuscus</t>
  </si>
  <si>
    <t>bbg</t>
  </si>
  <si>
    <t>Synfu</t>
  </si>
  <si>
    <t>Synodus hoshinonis</t>
  </si>
  <si>
    <t>jbg</t>
  </si>
  <si>
    <t>Synho</t>
  </si>
  <si>
    <t>Synodus indicus</t>
  </si>
  <si>
    <t>ydg</t>
  </si>
  <si>
    <t>Synin</t>
  </si>
  <si>
    <t>Synodus jaculum</t>
  </si>
  <si>
    <t>llg</t>
  </si>
  <si>
    <t>Synja</t>
  </si>
  <si>
    <t>Russell et Cressey</t>
  </si>
  <si>
    <t>Synodus kaianus</t>
  </si>
  <si>
    <t>fbg</t>
  </si>
  <si>
    <t>Synka</t>
  </si>
  <si>
    <t>Synodus macrops</t>
  </si>
  <si>
    <t>cbg</t>
  </si>
  <si>
    <t>Synma</t>
  </si>
  <si>
    <t>Synodus rubromarmoratus</t>
  </si>
  <si>
    <t>hbg</t>
  </si>
  <si>
    <t>Synru</t>
  </si>
  <si>
    <t>Synodus variegatus</t>
  </si>
  <si>
    <t>zbg</t>
  </si>
  <si>
    <t>Synva</t>
  </si>
  <si>
    <t>Trachinocephalus myops</t>
  </si>
  <si>
    <t>dtgmy</t>
  </si>
  <si>
    <t>Tramy</t>
  </si>
  <si>
    <t>Synodus sp.</t>
  </si>
  <si>
    <t>Trachinocephalus sp.</t>
  </si>
  <si>
    <t>Tra</t>
  </si>
  <si>
    <t>Harpadontidae sp.</t>
  </si>
  <si>
    <t>Har</t>
  </si>
  <si>
    <t>Harpadon sp.</t>
  </si>
  <si>
    <t>Harpadon nehereus</t>
  </si>
  <si>
    <t>Harne</t>
  </si>
  <si>
    <t>(Hamilton,1822)</t>
  </si>
  <si>
    <t>Harpadon microchir</t>
  </si>
  <si>
    <t>xql</t>
  </si>
  <si>
    <t>Harmi</t>
  </si>
  <si>
    <t>Aulopidae sp.</t>
  </si>
  <si>
    <t>xny</t>
  </si>
  <si>
    <t>Aul</t>
  </si>
  <si>
    <t>Aulopus japonicus</t>
  </si>
  <si>
    <t>Aulja</t>
  </si>
  <si>
    <t>Chlorophthalmidae sp.</t>
  </si>
  <si>
    <t>qyy</t>
  </si>
  <si>
    <t>Chl</t>
  </si>
  <si>
    <t>Chlorophthalmus acutifrons</t>
  </si>
  <si>
    <t>lbq</t>
  </si>
  <si>
    <t>Chlac</t>
  </si>
  <si>
    <t>Hiyama</t>
  </si>
  <si>
    <t>Chlorophthalmus agassizi</t>
  </si>
  <si>
    <t>dwq</t>
  </si>
  <si>
    <t>Chlag</t>
  </si>
  <si>
    <t>Chlorophthalmus albatrossis</t>
  </si>
  <si>
    <t>dyq</t>
  </si>
  <si>
    <t>Chlal</t>
  </si>
  <si>
    <t>Chlorophthalmus bicornis</t>
  </si>
  <si>
    <t>sjq</t>
  </si>
  <si>
    <t>Chlbi</t>
  </si>
  <si>
    <t>Chlorophthalmus nigromarginatus</t>
  </si>
  <si>
    <t>hyq</t>
  </si>
  <si>
    <t>Chlni</t>
  </si>
  <si>
    <t>Kamohara</t>
  </si>
  <si>
    <t>Chlorophthalmus oblongus</t>
  </si>
  <si>
    <t>cqy</t>
  </si>
  <si>
    <t>Chlob</t>
  </si>
  <si>
    <t>Neoscopelidae sp.</t>
  </si>
  <si>
    <t>xdy</t>
  </si>
  <si>
    <t>Neo</t>
  </si>
  <si>
    <t>Neoscopelus macrolepidotus</t>
  </si>
  <si>
    <t>dlx</t>
  </si>
  <si>
    <t>Neoma</t>
  </si>
  <si>
    <t>Johnson</t>
  </si>
  <si>
    <t>Neoscopelus microchir</t>
  </si>
  <si>
    <t>xqx</t>
  </si>
  <si>
    <t>Neomi</t>
  </si>
  <si>
    <t>Neoscopelus porosus</t>
  </si>
  <si>
    <t>dkx</t>
  </si>
  <si>
    <t>Neopo</t>
  </si>
  <si>
    <t>Arai</t>
  </si>
  <si>
    <t>Scopelengys tristis</t>
  </si>
  <si>
    <t>ndl</t>
  </si>
  <si>
    <t>Scotr</t>
  </si>
  <si>
    <t>Myctophidae sp.</t>
  </si>
  <si>
    <t>denglongyuke</t>
  </si>
  <si>
    <t>Protomyctophum sp.</t>
  </si>
  <si>
    <t>ydly</t>
  </si>
  <si>
    <t>prosp</t>
  </si>
  <si>
    <t>Triphoturus sp.</t>
  </si>
  <si>
    <t>wdys</t>
  </si>
  <si>
    <t>Tri</t>
  </si>
  <si>
    <t>200600-x</t>
  </si>
  <si>
    <t>Bethosema sp.</t>
  </si>
  <si>
    <t>ddy</t>
  </si>
  <si>
    <t>Betsp</t>
  </si>
  <si>
    <t>Benthosema fibulatum</t>
  </si>
  <si>
    <t>ddd</t>
  </si>
  <si>
    <t>Benfi</t>
  </si>
  <si>
    <t>(Gilbert et Cramer)</t>
  </si>
  <si>
    <t>Benthosema pterotum</t>
  </si>
  <si>
    <t>qxd</t>
  </si>
  <si>
    <t>Benpt</t>
  </si>
  <si>
    <t>Benthosema suborbitale</t>
  </si>
  <si>
    <t>yyd</t>
  </si>
  <si>
    <t>Bensu</t>
  </si>
  <si>
    <t>Bolinichthys longipes</t>
  </si>
  <si>
    <t>cqh</t>
  </si>
  <si>
    <t>Bollo</t>
  </si>
  <si>
    <t>(Brauer)</t>
  </si>
  <si>
    <t>Bolinichthys nanshanensis</t>
  </si>
  <si>
    <t>nsh</t>
  </si>
  <si>
    <t>Bolna</t>
  </si>
  <si>
    <t>Yang et Huang</t>
  </si>
  <si>
    <t>Bolinichthys pyrsobolus</t>
  </si>
  <si>
    <t>kah</t>
  </si>
  <si>
    <t>Bolpy</t>
  </si>
  <si>
    <t>Bolinichthys sp.</t>
  </si>
  <si>
    <t>hdy</t>
  </si>
  <si>
    <t>bolsp</t>
  </si>
  <si>
    <t>Centrobranchus sp.</t>
  </si>
  <si>
    <t>jdy</t>
  </si>
  <si>
    <t>Censp</t>
  </si>
  <si>
    <t>Centrobranchus choerocephalus</t>
  </si>
  <si>
    <t>tjd</t>
  </si>
  <si>
    <t>Cench</t>
  </si>
  <si>
    <t>Ceratoscopelus warmingii</t>
  </si>
  <si>
    <t>wmj</t>
  </si>
  <si>
    <t>Cerwa</t>
  </si>
  <si>
    <t>(Lutken)</t>
  </si>
  <si>
    <t>Diaphus sp.</t>
  </si>
  <si>
    <t>kuangdengyushu</t>
  </si>
  <si>
    <t>Dia</t>
  </si>
  <si>
    <t>Diaphus aliciae</t>
  </si>
  <si>
    <t>cjk</t>
  </si>
  <si>
    <t>Diaal</t>
  </si>
  <si>
    <t>Diaphus brachycephalus</t>
  </si>
  <si>
    <t>tdk</t>
  </si>
  <si>
    <t>Diabr</t>
  </si>
  <si>
    <t>Taning</t>
  </si>
  <si>
    <t>Diaphus burtoni</t>
  </si>
  <si>
    <t>btk</t>
  </si>
  <si>
    <t>Diabu</t>
  </si>
  <si>
    <t>Diaphus chrysorhynchus</t>
  </si>
  <si>
    <t>jbk</t>
  </si>
  <si>
    <t>Diach</t>
  </si>
  <si>
    <t>Gilbert et Cramer</t>
  </si>
  <si>
    <t>Diaphus coeruleus</t>
  </si>
  <si>
    <t>tlk</t>
  </si>
  <si>
    <t>Diaco</t>
  </si>
  <si>
    <t>(Klunzinger)</t>
  </si>
  <si>
    <t>Diaphus diademophilus</t>
  </si>
  <si>
    <t>gmk</t>
  </si>
  <si>
    <t>Diadi</t>
  </si>
  <si>
    <t>Nafpaktitis</t>
  </si>
  <si>
    <t>Diaphus fulgens</t>
  </si>
  <si>
    <t>clk</t>
  </si>
  <si>
    <t>Diafu</t>
  </si>
  <si>
    <t>Diaphus garmani</t>
  </si>
  <si>
    <t>ksk</t>
  </si>
  <si>
    <t>Diaga</t>
  </si>
  <si>
    <t>Diaphus holti</t>
  </si>
  <si>
    <t>Diaho</t>
  </si>
  <si>
    <t>Diaphus jenseni</t>
  </si>
  <si>
    <t>ysk</t>
  </si>
  <si>
    <t>Diaje</t>
  </si>
  <si>
    <t>Diaphus luetkeni</t>
  </si>
  <si>
    <t>Dialu</t>
  </si>
  <si>
    <t>Diaphus malayanus</t>
  </si>
  <si>
    <t>mlk</t>
  </si>
  <si>
    <t>Diama</t>
  </si>
  <si>
    <t>Weber</t>
  </si>
  <si>
    <t>Diaphus mollis</t>
  </si>
  <si>
    <t>djk</t>
  </si>
  <si>
    <t>Diamo</t>
  </si>
  <si>
    <t>Diaphus parri</t>
  </si>
  <si>
    <t>Diapa</t>
  </si>
  <si>
    <t>Diaphus perspicillatus</t>
  </si>
  <si>
    <t>Diape</t>
  </si>
  <si>
    <t>(Ogilby)</t>
  </si>
  <si>
    <t>Diaphus problematicus</t>
  </si>
  <si>
    <t>Diapr</t>
  </si>
  <si>
    <t>Diaphus regani</t>
  </si>
  <si>
    <t>qgk</t>
  </si>
  <si>
    <t>Diare</t>
  </si>
  <si>
    <t>Diaphus richardsoni</t>
  </si>
  <si>
    <t>Diari</t>
  </si>
  <si>
    <t>Diaphus signatus</t>
  </si>
  <si>
    <t>hgk</t>
  </si>
  <si>
    <t>Diasi</t>
  </si>
  <si>
    <t>Diaphus similis</t>
  </si>
  <si>
    <t>gwk</t>
  </si>
  <si>
    <t>Wisner</t>
  </si>
  <si>
    <t>Diaphus suborbitalis</t>
  </si>
  <si>
    <t>gxk</t>
  </si>
  <si>
    <t>Diasu</t>
  </si>
  <si>
    <t>Diaphus termophilus</t>
  </si>
  <si>
    <t>dbk</t>
  </si>
  <si>
    <t>Diate</t>
  </si>
  <si>
    <t>Diaphus watasei</t>
  </si>
  <si>
    <t>wsk</t>
  </si>
  <si>
    <t>Diawa</t>
  </si>
  <si>
    <t>Diogenichthys sp.</t>
  </si>
  <si>
    <t>mdy</t>
  </si>
  <si>
    <t>Diosp</t>
  </si>
  <si>
    <t>Diogenichthys atlanticus</t>
  </si>
  <si>
    <t>xmd</t>
  </si>
  <si>
    <t>Dioat</t>
  </si>
  <si>
    <t>(Taning)</t>
  </si>
  <si>
    <t>Diogenichthys laternatus</t>
  </si>
  <si>
    <t>lmd</t>
  </si>
  <si>
    <t>Diola</t>
  </si>
  <si>
    <t>Diogenichthys panurgus</t>
  </si>
  <si>
    <t>ymd</t>
  </si>
  <si>
    <t>Diopa</t>
  </si>
  <si>
    <t>Bolin</t>
  </si>
  <si>
    <t>Gonichthys coccoi</t>
  </si>
  <si>
    <t>Gonco</t>
  </si>
  <si>
    <t>Hygoplum sp.</t>
  </si>
  <si>
    <t>zdy</t>
  </si>
  <si>
    <t>Hygsp</t>
  </si>
  <si>
    <t>Hygophum atratum</t>
  </si>
  <si>
    <t>hzd</t>
  </si>
  <si>
    <t>Hygat</t>
  </si>
  <si>
    <t>Hygophum reinhardtii</t>
  </si>
  <si>
    <t>lszdy</t>
  </si>
  <si>
    <t>Hygo</t>
  </si>
  <si>
    <t>Hygophum proximum</t>
  </si>
  <si>
    <t>jzdy</t>
  </si>
  <si>
    <t>Hygpr</t>
  </si>
  <si>
    <t>Becker</t>
  </si>
  <si>
    <t>Lampadena luminosa</t>
  </si>
  <si>
    <t>fgj</t>
  </si>
  <si>
    <t>Lamlu</t>
  </si>
  <si>
    <t>Lampadena speculigera</t>
  </si>
  <si>
    <t>abj</t>
  </si>
  <si>
    <t>Lamsp</t>
  </si>
  <si>
    <t>Goode et Bean</t>
  </si>
  <si>
    <t>Lampanyctus alatus</t>
  </si>
  <si>
    <t>xbz</t>
  </si>
  <si>
    <t>Lamal</t>
  </si>
  <si>
    <t>Lampanyctus hubbsi</t>
  </si>
  <si>
    <t>hdz</t>
  </si>
  <si>
    <t>Lamhu</t>
  </si>
  <si>
    <t>Lampanyctus macropterus</t>
  </si>
  <si>
    <t>Lamma</t>
  </si>
  <si>
    <t>Lampanyctus niger</t>
  </si>
  <si>
    <t>Lamni</t>
  </si>
  <si>
    <t>Lampanyctus omostigma</t>
  </si>
  <si>
    <t>tdz</t>
  </si>
  <si>
    <t>Lamom</t>
  </si>
  <si>
    <t>Lampanyctus sp.</t>
  </si>
  <si>
    <t>zdy</t>
  </si>
  <si>
    <t>lamsp</t>
  </si>
  <si>
    <t>Myctophum sp.</t>
  </si>
  <si>
    <t>Mycsp</t>
  </si>
  <si>
    <t>Myctophum affinis</t>
  </si>
  <si>
    <t>mgd</t>
  </si>
  <si>
    <t>Mycaf</t>
  </si>
  <si>
    <t>Myctophum asperum</t>
  </si>
  <si>
    <t>cld</t>
  </si>
  <si>
    <t>Mycas</t>
  </si>
  <si>
    <t>Myctophum aurolaternatum</t>
  </si>
  <si>
    <t>jyd</t>
  </si>
  <si>
    <t>Mycau</t>
  </si>
  <si>
    <t>Myctophum brachygnathum</t>
  </si>
  <si>
    <t>dhd</t>
  </si>
  <si>
    <t>Mycbr</t>
  </si>
  <si>
    <t>Myctophum lychnobium</t>
  </si>
  <si>
    <t>sdd</t>
  </si>
  <si>
    <t>Mycly</t>
  </si>
  <si>
    <t>Myctophum nitidulum</t>
  </si>
  <si>
    <t>sgd</t>
  </si>
  <si>
    <t>Mycni</t>
  </si>
  <si>
    <t>Myctophum obtusirostris</t>
  </si>
  <si>
    <t>dwd</t>
  </si>
  <si>
    <t>Mycob</t>
  </si>
  <si>
    <t>Myctophum selenops</t>
  </si>
  <si>
    <t>cdd</t>
  </si>
  <si>
    <t>Mycse</t>
  </si>
  <si>
    <t>Myctophum spinosum</t>
  </si>
  <si>
    <t>zcd</t>
  </si>
  <si>
    <t>Notoscopelus resplendens</t>
  </si>
  <si>
    <t>xgj</t>
  </si>
  <si>
    <t>Notre</t>
  </si>
  <si>
    <t>Symbolophorus boops</t>
  </si>
  <si>
    <t>dyb</t>
  </si>
  <si>
    <t>Symbo</t>
  </si>
  <si>
    <t>Symbolophorus evermanni</t>
  </si>
  <si>
    <t>gcb</t>
  </si>
  <si>
    <t>Symev</t>
  </si>
  <si>
    <t>Symbolophorus rufinum</t>
  </si>
  <si>
    <t>hbd</t>
  </si>
  <si>
    <t>Symru</t>
  </si>
  <si>
    <t>Centrobranchus andrea</t>
  </si>
  <si>
    <t>mujindengyu</t>
  </si>
  <si>
    <t>Cenand</t>
  </si>
  <si>
    <t>T.A.Pertzeva-Ostroumova</t>
  </si>
  <si>
    <t>Taaningichthys bathyphila</t>
  </si>
  <si>
    <t>ydy</t>
  </si>
  <si>
    <t>Taaba</t>
  </si>
  <si>
    <t>Triphoturus micropterus</t>
  </si>
  <si>
    <t>xqw</t>
  </si>
  <si>
    <t>Trimi</t>
  </si>
  <si>
    <t>Triphoturus nigrescens</t>
  </si>
  <si>
    <t>qhw</t>
  </si>
  <si>
    <t>Trini</t>
  </si>
  <si>
    <t>Bathypteroidae sp.</t>
  </si>
  <si>
    <t>shg</t>
  </si>
  <si>
    <t>Bat</t>
  </si>
  <si>
    <t>Alepisauridae sp.</t>
  </si>
  <si>
    <t>fxy</t>
  </si>
  <si>
    <t>Paralepididae sp.</t>
  </si>
  <si>
    <t>lgm</t>
  </si>
  <si>
    <t>Par</t>
  </si>
  <si>
    <t>Lestidium atlanticum</t>
  </si>
  <si>
    <t>lxy</t>
  </si>
  <si>
    <t>lesat</t>
  </si>
  <si>
    <t>(T. Ozawa)</t>
  </si>
  <si>
    <t>Sudis sp.</t>
  </si>
  <si>
    <t>zxy</t>
  </si>
  <si>
    <t>sudsp</t>
  </si>
  <si>
    <t>Barbourisidae sp.</t>
  </si>
  <si>
    <t>Bar</t>
  </si>
  <si>
    <t>Ateleopidae sp.</t>
  </si>
  <si>
    <t>byk</t>
  </si>
  <si>
    <t>Ate</t>
  </si>
  <si>
    <t>Ateleopus purpureus</t>
  </si>
  <si>
    <t>zby</t>
  </si>
  <si>
    <t>Atepu</t>
  </si>
  <si>
    <t>Ijimaia dofleini</t>
  </si>
  <si>
    <t>dby</t>
  </si>
  <si>
    <t>Ijido</t>
  </si>
  <si>
    <t>Sauter</t>
  </si>
  <si>
    <t>Rondeletiidae sp.</t>
  </si>
  <si>
    <t>lsy</t>
  </si>
  <si>
    <t>Ron</t>
  </si>
  <si>
    <t>Anguillidae sp.</t>
  </si>
  <si>
    <t>MANLIKE</t>
  </si>
  <si>
    <t>Ang</t>
  </si>
  <si>
    <t>Anguilla sp.</t>
  </si>
  <si>
    <t>manlishu</t>
  </si>
  <si>
    <t>ANG</t>
  </si>
  <si>
    <t>220100-X</t>
  </si>
  <si>
    <t>Anguilla breviceps</t>
  </si>
  <si>
    <t>dtm</t>
  </si>
  <si>
    <t>Angbr</t>
  </si>
  <si>
    <t>Chu et Jin</t>
  </si>
  <si>
    <t>Anguilla foochowensis</t>
  </si>
  <si>
    <t>fzm</t>
  </si>
  <si>
    <t>Angfo</t>
  </si>
  <si>
    <t>Anguilla japonica</t>
  </si>
  <si>
    <t>ml</t>
  </si>
  <si>
    <t>Angja</t>
  </si>
  <si>
    <t>Anguilla marmorata</t>
  </si>
  <si>
    <t>hml</t>
  </si>
  <si>
    <t>Angma</t>
  </si>
  <si>
    <t>Quoy et Gaimard</t>
  </si>
  <si>
    <t>Anguilla nebulosa</t>
  </si>
  <si>
    <t>ywm</t>
  </si>
  <si>
    <t>Angne</t>
  </si>
  <si>
    <t>McClelland</t>
  </si>
  <si>
    <t>Anguilla nigricans</t>
  </si>
  <si>
    <t>wem</t>
  </si>
  <si>
    <t>Angni</t>
  </si>
  <si>
    <t>Synaphobranchidae sp.</t>
  </si>
  <si>
    <t>hsm</t>
  </si>
  <si>
    <t>Synaphobranchus affinis</t>
  </si>
  <si>
    <t>Synaf</t>
  </si>
  <si>
    <t>Synaphobranchus brevidorsalis</t>
  </si>
  <si>
    <t>dqh</t>
  </si>
  <si>
    <t>Synbr</t>
  </si>
  <si>
    <t>Synaphobranchus kaupii</t>
  </si>
  <si>
    <t>ksh</t>
  </si>
  <si>
    <t>Synaphobranchus pinnatus</t>
  </si>
  <si>
    <t>qhs</t>
  </si>
  <si>
    <t>Synpi</t>
  </si>
  <si>
    <t>(Gronov)</t>
  </si>
  <si>
    <t>Congridae sp.</t>
  </si>
  <si>
    <t>kjm</t>
  </si>
  <si>
    <t>Con</t>
  </si>
  <si>
    <t>Acromyster nezumi</t>
  </si>
  <si>
    <t>Acrne</t>
  </si>
  <si>
    <t>(Asano)</t>
  </si>
  <si>
    <t>Alloconger anagoides</t>
  </si>
  <si>
    <t>qm</t>
  </si>
  <si>
    <t>Allan</t>
  </si>
  <si>
    <t>Alloconger major</t>
  </si>
  <si>
    <t>dqm</t>
  </si>
  <si>
    <t>Allma</t>
  </si>
  <si>
    <t>Asano</t>
  </si>
  <si>
    <t>Anago anago</t>
  </si>
  <si>
    <t>qtm</t>
  </si>
  <si>
    <t>Anaan</t>
  </si>
  <si>
    <t>Bathymurus simus</t>
  </si>
  <si>
    <t>cwh</t>
  </si>
  <si>
    <t>Batsi</t>
  </si>
  <si>
    <t>Bathyuroconger vicinus</t>
  </si>
  <si>
    <t>swm</t>
  </si>
  <si>
    <t>Batvi</t>
  </si>
  <si>
    <t>(Vaillant)</t>
  </si>
  <si>
    <t>Coloconger scholesi</t>
  </si>
  <si>
    <t>nhd</t>
  </si>
  <si>
    <t>Colsc</t>
  </si>
  <si>
    <t>Chank</t>
  </si>
  <si>
    <t>Conger cinereus</t>
  </si>
  <si>
    <t>hkj</t>
  </si>
  <si>
    <t>Conci</t>
  </si>
  <si>
    <t>Ruppell</t>
  </si>
  <si>
    <t>Conger japonicus</t>
  </si>
  <si>
    <t>rbk</t>
  </si>
  <si>
    <t>Conja</t>
  </si>
  <si>
    <t>Conger myriaster</t>
  </si>
  <si>
    <t>xkj</t>
  </si>
  <si>
    <t>Conmy</t>
  </si>
  <si>
    <t>Congrina retrotincta</t>
  </si>
  <si>
    <t>hbk</t>
  </si>
  <si>
    <t>Conre</t>
  </si>
  <si>
    <t>Congriscus megastomus</t>
  </si>
  <si>
    <t>Conme</t>
  </si>
  <si>
    <t>Parabathymurus macrophthalmus</t>
  </si>
  <si>
    <t>dyn</t>
  </si>
  <si>
    <t>Parma</t>
  </si>
  <si>
    <t>Rhynchoconger brevirostris</t>
  </si>
  <si>
    <t>dww</t>
  </si>
  <si>
    <t>Rhybr</t>
  </si>
  <si>
    <t>Chen et Weng</t>
  </si>
  <si>
    <t>Rhynchoconger ectenurus</t>
  </si>
  <si>
    <t>hww</t>
  </si>
  <si>
    <t>Rhyec</t>
  </si>
  <si>
    <t>Rhynchocymba nystromi</t>
  </si>
  <si>
    <t>yst</t>
  </si>
  <si>
    <t>Rhyny</t>
  </si>
  <si>
    <t>Japonoconger sivicola</t>
  </si>
  <si>
    <t>nm</t>
  </si>
  <si>
    <t>Japsi</t>
  </si>
  <si>
    <t>(Matsubara et Ochiai)</t>
  </si>
  <si>
    <t>Uroconger lepturus</t>
  </si>
  <si>
    <t>jwm</t>
  </si>
  <si>
    <t>Urole</t>
  </si>
  <si>
    <t>Ariosoma sp.</t>
  </si>
  <si>
    <t>mtm</t>
  </si>
  <si>
    <t>Arisp</t>
  </si>
  <si>
    <t>Muraenesocidae sp.</t>
  </si>
  <si>
    <t>hmk</t>
  </si>
  <si>
    <t>Mur</t>
  </si>
  <si>
    <t>Muraenesox cinereus</t>
  </si>
  <si>
    <t>hm</t>
  </si>
  <si>
    <t>Murci</t>
  </si>
  <si>
    <t>Forskal</t>
  </si>
  <si>
    <t>Muraenesox talabon</t>
  </si>
  <si>
    <t>yhh</t>
  </si>
  <si>
    <t>Murta</t>
  </si>
  <si>
    <t>Muraenesox talabonoides</t>
  </si>
  <si>
    <t>hhm</t>
  </si>
  <si>
    <t>Muraenesox yamaguchiensis</t>
  </si>
  <si>
    <t>skh</t>
  </si>
  <si>
    <t>Murya</t>
  </si>
  <si>
    <t>Katayama et Takai</t>
  </si>
  <si>
    <t>Oxyconger leptognathus</t>
  </si>
  <si>
    <t>xhm</t>
  </si>
  <si>
    <t>Oxyle</t>
  </si>
  <si>
    <t>Muraenidae sp.</t>
  </si>
  <si>
    <t>haishanke</t>
  </si>
  <si>
    <t>Anarchias cantonensis</t>
  </si>
  <si>
    <t>kdg</t>
  </si>
  <si>
    <t>Anaca</t>
  </si>
  <si>
    <t>(Schultz)</t>
  </si>
  <si>
    <t>Anarchias fuscus</t>
  </si>
  <si>
    <t>asg</t>
  </si>
  <si>
    <t>Anafu</t>
  </si>
  <si>
    <t>Echidna delicatula</t>
  </si>
  <si>
    <t>zbs</t>
  </si>
  <si>
    <t>Echde</t>
  </si>
  <si>
    <t>(Kaup)</t>
  </si>
  <si>
    <t>Echidna nebulosa</t>
  </si>
  <si>
    <t>yws</t>
  </si>
  <si>
    <t>Echne</t>
  </si>
  <si>
    <t>(Ahl)</t>
  </si>
  <si>
    <t>Echidna polyzona</t>
  </si>
  <si>
    <t>dds</t>
  </si>
  <si>
    <t>Echpo</t>
  </si>
  <si>
    <t>Echidna zebra</t>
  </si>
  <si>
    <t>Echze</t>
  </si>
  <si>
    <t>Enchelycore schismatorhynchus</t>
  </si>
  <si>
    <t>lwl</t>
  </si>
  <si>
    <t>Encsc</t>
  </si>
  <si>
    <t>Gymnothorax berndti</t>
  </si>
  <si>
    <t>bsl</t>
  </si>
  <si>
    <t>Gymbe</t>
  </si>
  <si>
    <t>Snyder</t>
  </si>
  <si>
    <t>Gymnothorax boschi</t>
  </si>
  <si>
    <t>Gymbo</t>
  </si>
  <si>
    <t>Gymnothorax buroansis</t>
  </si>
  <si>
    <t>bel</t>
  </si>
  <si>
    <t>Gymbu</t>
  </si>
  <si>
    <t>Gymnothorax chilospilus</t>
  </si>
  <si>
    <t>ywl</t>
  </si>
  <si>
    <t>Gymch</t>
  </si>
  <si>
    <t>Gymnothorax eurostus</t>
  </si>
  <si>
    <t>Gymeu</t>
  </si>
  <si>
    <t>(Abbott)</t>
  </si>
  <si>
    <t>Gymnothorax favagineus</t>
  </si>
  <si>
    <t>ddl</t>
  </si>
  <si>
    <t>Gymfa</t>
  </si>
  <si>
    <t>Bloch et Schneider</t>
  </si>
  <si>
    <t>Gymnothorax fimbriata</t>
  </si>
  <si>
    <t>xbl</t>
  </si>
  <si>
    <t>Gymfi</t>
  </si>
  <si>
    <t>(Bennctt)</t>
  </si>
  <si>
    <t>Gymnothorax flavimarginatus</t>
  </si>
  <si>
    <t>hbl</t>
  </si>
  <si>
    <t>Gymfl</t>
  </si>
  <si>
    <t>Gymnothorax javanicus</t>
  </si>
  <si>
    <t>Gymnothorax kidako</t>
  </si>
  <si>
    <t>rwl</t>
  </si>
  <si>
    <t>Gymki</t>
  </si>
  <si>
    <t>Gymnothorax leucostigma</t>
  </si>
  <si>
    <t>bbl</t>
  </si>
  <si>
    <t>Gymle</t>
  </si>
  <si>
    <t>Gymnothorax melatremus</t>
  </si>
  <si>
    <t>Gymme</t>
  </si>
  <si>
    <t>Gymnothorax meleagris</t>
  </si>
  <si>
    <t>bdl</t>
  </si>
  <si>
    <t>(Shaw et Nodder)</t>
  </si>
  <si>
    <t>Gymnothorax neglectus</t>
  </si>
  <si>
    <t>Gymne</t>
  </si>
  <si>
    <t>Gymnothorax permistus</t>
  </si>
  <si>
    <t>hdl</t>
  </si>
  <si>
    <t>Gympe</t>
  </si>
  <si>
    <t>(Smith)</t>
  </si>
  <si>
    <t>Gymnothorax pictus</t>
  </si>
  <si>
    <t>Gympi</t>
  </si>
  <si>
    <t>Gymnothorax polyuranodon</t>
  </si>
  <si>
    <t>bwl</t>
  </si>
  <si>
    <t>Gymnothorax pseudothyrsoideus</t>
  </si>
  <si>
    <t>mwl</t>
  </si>
  <si>
    <t>Gymps</t>
  </si>
  <si>
    <t>Gymnothorax punctatofasciatus</t>
  </si>
  <si>
    <t>btl</t>
  </si>
  <si>
    <t>Gympu</t>
  </si>
  <si>
    <t>Gymnothorax reevesii</t>
  </si>
  <si>
    <t>ybl</t>
  </si>
  <si>
    <t>Gymre</t>
  </si>
  <si>
    <t>Gymnothorax reticularis</t>
  </si>
  <si>
    <t>wwl</t>
  </si>
  <si>
    <t>Gymnothorax richardsoni</t>
  </si>
  <si>
    <t>Gymri</t>
  </si>
  <si>
    <t>Gymnothorax Petelli</t>
  </si>
  <si>
    <t>abl</t>
  </si>
  <si>
    <t>GymPe</t>
  </si>
  <si>
    <t>(Muraena)</t>
  </si>
  <si>
    <t>Gymnothorax thyrsoideus</t>
  </si>
  <si>
    <t>mhl</t>
  </si>
  <si>
    <t>Gymth</t>
  </si>
  <si>
    <t>Gymnothorax undulatus</t>
  </si>
  <si>
    <t>Gymun</t>
  </si>
  <si>
    <t>(Lacpepde)</t>
  </si>
  <si>
    <t>Gymnothorax zonipectis</t>
  </si>
  <si>
    <t>Gymzo</t>
  </si>
  <si>
    <t>Seale</t>
  </si>
  <si>
    <t>Gymnothorax pescadoris</t>
  </si>
  <si>
    <t>phl</t>
  </si>
  <si>
    <t>Jordan et Everman</t>
  </si>
  <si>
    <t>Gymnothorax melanospilus</t>
  </si>
  <si>
    <t>Muraena pardalis</t>
  </si>
  <si>
    <t>bwh</t>
  </si>
  <si>
    <t>Murpa</t>
  </si>
  <si>
    <t>Rhinomuraena quaesita</t>
  </si>
  <si>
    <t>gbh</t>
  </si>
  <si>
    <t>Rhiqu</t>
  </si>
  <si>
    <t>Enchelynassa canina</t>
  </si>
  <si>
    <t>rcs</t>
  </si>
  <si>
    <t>Encca</t>
  </si>
  <si>
    <t>Strophidon brummeri</t>
  </si>
  <si>
    <t>bch</t>
  </si>
  <si>
    <t>Strbr</t>
  </si>
  <si>
    <t>Strophidon ui</t>
  </si>
  <si>
    <t>chs</t>
  </si>
  <si>
    <t>Strui</t>
  </si>
  <si>
    <t>Thyrsoidea macrurus</t>
  </si>
  <si>
    <t>Thyma</t>
  </si>
  <si>
    <t>Uropterygius concolor</t>
  </si>
  <si>
    <t>Uroco</t>
  </si>
  <si>
    <t>Uropterygius marmorata</t>
  </si>
  <si>
    <t>Uroma</t>
  </si>
  <si>
    <t>Uropterygius micropterus</t>
  </si>
  <si>
    <t>Uromi</t>
  </si>
  <si>
    <t>Uropterygius tigrinus</t>
  </si>
  <si>
    <t>Uroti</t>
  </si>
  <si>
    <t>Neenchelys parvipectoralis</t>
  </si>
  <si>
    <t>wqx</t>
  </si>
  <si>
    <t>Neepa</t>
  </si>
  <si>
    <t>Chu, Wu et Jin</t>
  </si>
  <si>
    <t>Moringuidae sp.</t>
  </si>
  <si>
    <t>ymk</t>
  </si>
  <si>
    <t>Mor</t>
  </si>
  <si>
    <t>Moringua sp.</t>
  </si>
  <si>
    <t>yms</t>
  </si>
  <si>
    <t>Morsp</t>
  </si>
  <si>
    <t>Moringua abbreviata</t>
  </si>
  <si>
    <t>xym</t>
  </si>
  <si>
    <t>Morab</t>
  </si>
  <si>
    <t>Moringua macrocephala</t>
  </si>
  <si>
    <t>dty</t>
  </si>
  <si>
    <t>Morma</t>
  </si>
  <si>
    <t>Moringua macrochir</t>
  </si>
  <si>
    <t>dqy</t>
  </si>
  <si>
    <t>Nemichthyidae sp.</t>
  </si>
  <si>
    <t>xmk</t>
  </si>
  <si>
    <t>Nem</t>
  </si>
  <si>
    <t>Nemichthys scolopaceus</t>
  </si>
  <si>
    <t>xm</t>
  </si>
  <si>
    <t>Nemsc</t>
  </si>
  <si>
    <t>Dysommidae sp.</t>
  </si>
  <si>
    <t>qgm</t>
  </si>
  <si>
    <t>Dys</t>
  </si>
  <si>
    <t>Serriromeridae sp.</t>
  </si>
  <si>
    <t>jlm</t>
  </si>
  <si>
    <t>Ser</t>
  </si>
  <si>
    <t>Echelidae sp.</t>
  </si>
  <si>
    <t>rmk</t>
  </si>
  <si>
    <t>Ech</t>
  </si>
  <si>
    <t>Ophichthyidae sp.</t>
  </si>
  <si>
    <t>smk</t>
  </si>
  <si>
    <t>Oph</t>
  </si>
  <si>
    <t>Ophichthus sp.</t>
  </si>
  <si>
    <t>sms</t>
  </si>
  <si>
    <t>Ophsp</t>
  </si>
  <si>
    <t>Bascanichthys kirkii</t>
  </si>
  <si>
    <t>Baski</t>
  </si>
  <si>
    <t>Brachysomorphis cirrhocheilos</t>
  </si>
  <si>
    <t>lxd</t>
  </si>
  <si>
    <t>Braci</t>
  </si>
  <si>
    <t>Brachysomorphis crocodilinus</t>
  </si>
  <si>
    <t>exd</t>
  </si>
  <si>
    <t>Bracr</t>
  </si>
  <si>
    <t>Caecula longipinnis</t>
  </si>
  <si>
    <t>cqm</t>
  </si>
  <si>
    <t>Caelo</t>
  </si>
  <si>
    <t>Kner et Steindachner</t>
  </si>
  <si>
    <t>Callechelys sp.</t>
  </si>
  <si>
    <t>lms</t>
  </si>
  <si>
    <t>calsp</t>
  </si>
  <si>
    <t>Callechelys maculatus</t>
  </si>
  <si>
    <t>Calma</t>
  </si>
  <si>
    <t>Cirrhimuraena chinensis</t>
  </si>
  <si>
    <t>Circh</t>
  </si>
  <si>
    <t>Kaup</t>
  </si>
  <si>
    <t>Leiuranus semicinctus</t>
  </si>
  <si>
    <t>bhp</t>
  </si>
  <si>
    <t>Leise</t>
  </si>
  <si>
    <t>(Lay et Bennett)</t>
  </si>
  <si>
    <t>Myrichthys colubrinus</t>
  </si>
  <si>
    <t>bzh</t>
  </si>
  <si>
    <t>Myrco</t>
  </si>
  <si>
    <t>(Boddaert)</t>
  </si>
  <si>
    <t>Myrichthys maculosus</t>
  </si>
  <si>
    <t>hbh</t>
  </si>
  <si>
    <t>Myrma</t>
  </si>
  <si>
    <t>Mystriophis porphyreus</t>
  </si>
  <si>
    <t>zym</t>
  </si>
  <si>
    <t>Myspo</t>
  </si>
  <si>
    <t>Ophichthus altipins</t>
  </si>
  <si>
    <t>gqs</t>
  </si>
  <si>
    <t>Ophal</t>
  </si>
  <si>
    <t>Ophichthus apicalis</t>
  </si>
  <si>
    <t>jws</t>
  </si>
  <si>
    <t>Ophap</t>
  </si>
  <si>
    <t>Ophichthus asakusae</t>
  </si>
  <si>
    <t>Ophas</t>
  </si>
  <si>
    <t>Ophichthus brevicaudatus</t>
  </si>
  <si>
    <t>dws</t>
  </si>
  <si>
    <t>Ophbr</t>
  </si>
  <si>
    <t>Ophichthus celebicus</t>
  </si>
  <si>
    <t>xlb</t>
  </si>
  <si>
    <t>Ophce</t>
  </si>
  <si>
    <t>Ophichthus cephalozona</t>
  </si>
  <si>
    <t>jbs</t>
  </si>
  <si>
    <t>Ophichthus erabo</t>
  </si>
  <si>
    <t>Opher</t>
  </si>
  <si>
    <t>Ophichthus evermanni</t>
  </si>
  <si>
    <t>ass</t>
  </si>
  <si>
    <t>Ophev</t>
  </si>
  <si>
    <t>Ophichthus fasciatus</t>
  </si>
  <si>
    <t>hdx</t>
  </si>
  <si>
    <t>Ophfa</t>
  </si>
  <si>
    <t>Ophichthus intermedius</t>
  </si>
  <si>
    <t>hbx</t>
  </si>
  <si>
    <t>Ophin</t>
  </si>
  <si>
    <t>(Regan)</t>
  </si>
  <si>
    <t>Ophichthus macrochir</t>
  </si>
  <si>
    <t>Ophma</t>
  </si>
  <si>
    <t>Ophichthus polyophthalmus</t>
  </si>
  <si>
    <t>ybx</t>
  </si>
  <si>
    <t>Ophpo</t>
  </si>
  <si>
    <t>Ophichthus sternopterus</t>
  </si>
  <si>
    <t>zqs</t>
  </si>
  <si>
    <t>Ophst</t>
  </si>
  <si>
    <t>Cope</t>
  </si>
  <si>
    <t>Ophichthus tsuchidae</t>
  </si>
  <si>
    <t>mls</t>
  </si>
  <si>
    <t>Ophts</t>
  </si>
  <si>
    <t>Ophichthus urolophus</t>
  </si>
  <si>
    <t>qqs</t>
  </si>
  <si>
    <t>Ophur</t>
  </si>
  <si>
    <t>Pisodonophis macrorhynchus</t>
  </si>
  <si>
    <t>Pisma</t>
  </si>
  <si>
    <t>Pisoodonophis boro</t>
  </si>
  <si>
    <t>zsd</t>
  </si>
  <si>
    <t>Pisbo</t>
  </si>
  <si>
    <t>(Hamilton)</t>
  </si>
  <si>
    <t>Pisoodonophis cancrivorus</t>
  </si>
  <si>
    <t>sxd</t>
  </si>
  <si>
    <t>Pisca</t>
  </si>
  <si>
    <t>Pisoodonophis rubicandus</t>
  </si>
  <si>
    <t>hsd</t>
  </si>
  <si>
    <t>Pisru</t>
  </si>
  <si>
    <t>Xyrias revulsus</t>
  </si>
  <si>
    <t>gcm</t>
  </si>
  <si>
    <t>Xyrre</t>
  </si>
  <si>
    <t>Plotosidae sp.</t>
  </si>
  <si>
    <t>mnk</t>
  </si>
  <si>
    <t>Plo</t>
  </si>
  <si>
    <t>Ariidae sp.</t>
  </si>
  <si>
    <t>hnk</t>
  </si>
  <si>
    <t>Ari</t>
  </si>
  <si>
    <t>Neenchelidae sp.</t>
  </si>
  <si>
    <t>Nee</t>
  </si>
  <si>
    <t>Nettastomidae sp.</t>
  </si>
  <si>
    <t>Net</t>
  </si>
  <si>
    <t>xkm</t>
  </si>
  <si>
    <t>Cyematidae sp.</t>
  </si>
  <si>
    <t>ywmk</t>
  </si>
  <si>
    <t>Cye</t>
  </si>
  <si>
    <t>Nettastomatidae</t>
  </si>
  <si>
    <t>yzmk</t>
  </si>
  <si>
    <t>Nett</t>
  </si>
  <si>
    <t>Saurenchlys sp.</t>
  </si>
  <si>
    <t>cms</t>
  </si>
  <si>
    <t>sausp</t>
  </si>
  <si>
    <t>Halossuridae sp.</t>
  </si>
  <si>
    <t>Hal</t>
  </si>
  <si>
    <t>Notacarrthidae sp.</t>
  </si>
  <si>
    <t>Not</t>
  </si>
  <si>
    <t>Gyrinocheilidae sp.</t>
  </si>
  <si>
    <t>sky</t>
  </si>
  <si>
    <t>Gyr</t>
  </si>
  <si>
    <t>Gyrinocheilus aymonieri</t>
  </si>
  <si>
    <t>Gyray</t>
  </si>
  <si>
    <t>(Tirant)</t>
  </si>
  <si>
    <t>Catostomidae sp.</t>
  </si>
  <si>
    <t>yzy</t>
  </si>
  <si>
    <t>Cat</t>
  </si>
  <si>
    <t>Myxocyprinus asiaticus</t>
  </si>
  <si>
    <t>Myxas</t>
  </si>
  <si>
    <t>Cyprinidae sp.</t>
  </si>
  <si>
    <t>lk</t>
  </si>
  <si>
    <t>Cyp</t>
  </si>
  <si>
    <t>Aphyocypris chinensis</t>
  </si>
  <si>
    <t>Aphch</t>
  </si>
  <si>
    <t>Aphyocypris kikuchii</t>
  </si>
  <si>
    <t>twx</t>
  </si>
  <si>
    <t>Aphki</t>
  </si>
  <si>
    <t>(Oshima)</t>
  </si>
  <si>
    <t>Aphyocypris lini</t>
  </si>
  <si>
    <t>lsx</t>
  </si>
  <si>
    <t>Aphli</t>
  </si>
  <si>
    <t>(Weitzman et Chan)</t>
  </si>
  <si>
    <t>Aspidoparia morar</t>
  </si>
  <si>
    <t>yg</t>
  </si>
  <si>
    <t>Aspmo</t>
  </si>
  <si>
    <t>Hamilton</t>
  </si>
  <si>
    <t>Barilius barila</t>
  </si>
  <si>
    <t>dxd</t>
  </si>
  <si>
    <t>Barba</t>
  </si>
  <si>
    <t>Barilius caudiocellatus</t>
  </si>
  <si>
    <t>bwd</t>
  </si>
  <si>
    <t>Barca</t>
  </si>
  <si>
    <t>Barilius pulchellus</t>
  </si>
  <si>
    <t>lsd</t>
  </si>
  <si>
    <t>Barpu</t>
  </si>
  <si>
    <t>Candidia barbata</t>
  </si>
  <si>
    <t>xl</t>
  </si>
  <si>
    <t>Canba</t>
  </si>
  <si>
    <t>Danio aequipinnatus</t>
  </si>
  <si>
    <t>btd</t>
  </si>
  <si>
    <t>Danae</t>
  </si>
  <si>
    <t>(McClelland)</t>
  </si>
  <si>
    <t>Danio apogon</t>
  </si>
  <si>
    <t>Danap</t>
  </si>
  <si>
    <t>Danio chrysotaeniatus</t>
  </si>
  <si>
    <t>jxd</t>
  </si>
  <si>
    <t>Danch</t>
  </si>
  <si>
    <t>Danio interrupta</t>
  </si>
  <si>
    <t>bxd</t>
  </si>
  <si>
    <t>Danin</t>
  </si>
  <si>
    <t>Danio kakhienensis</t>
  </si>
  <si>
    <t>Danka</t>
  </si>
  <si>
    <t>Anderson</t>
  </si>
  <si>
    <t>Danio myersi</t>
  </si>
  <si>
    <t>Danmy</t>
  </si>
  <si>
    <t>Gobiocypris rarus</t>
  </si>
  <si>
    <t>xyj</t>
  </si>
  <si>
    <t>Gobra</t>
  </si>
  <si>
    <t>Ye et Fu</t>
  </si>
  <si>
    <t>Nicholsicypris normalis</t>
  </si>
  <si>
    <t>nxj</t>
  </si>
  <si>
    <t>Nicno</t>
  </si>
  <si>
    <t>(Nichols et Pope)</t>
  </si>
  <si>
    <t>Opsariichthys bidens</t>
  </si>
  <si>
    <t>mky</t>
  </si>
  <si>
    <t>Opsbi</t>
  </si>
  <si>
    <t>Parazacco spilurus</t>
  </si>
  <si>
    <t>yl</t>
  </si>
  <si>
    <t>Parsp</t>
  </si>
  <si>
    <t>ylh</t>
  </si>
  <si>
    <t>(Koller)</t>
  </si>
  <si>
    <t>ylz</t>
  </si>
  <si>
    <t>Raiamas guttatus</t>
  </si>
  <si>
    <t>czl</t>
  </si>
  <si>
    <t>Raigu</t>
  </si>
  <si>
    <t>Rasbora myersi</t>
  </si>
  <si>
    <t>Rasmy</t>
  </si>
  <si>
    <t>Brittan</t>
  </si>
  <si>
    <t>Rasbora steineri</t>
  </si>
  <si>
    <t>nfb</t>
  </si>
  <si>
    <t>Rasst</t>
  </si>
  <si>
    <t>Nichols et Pope</t>
  </si>
  <si>
    <t>Tanichthys albonubes</t>
  </si>
  <si>
    <t>ty</t>
  </si>
  <si>
    <t>Tanal</t>
  </si>
  <si>
    <t>Lin</t>
  </si>
  <si>
    <t>Yaoshanicus arcus</t>
  </si>
  <si>
    <t>Yaoar</t>
  </si>
  <si>
    <t>Zacco chengtui</t>
  </si>
  <si>
    <t>cdl</t>
  </si>
  <si>
    <t>Zacch</t>
  </si>
  <si>
    <t>Zacco pachycephalus</t>
  </si>
  <si>
    <t>csl</t>
  </si>
  <si>
    <t>Zacpa</t>
  </si>
  <si>
    <t>Zacco platypus</t>
  </si>
  <si>
    <t>kql</t>
  </si>
  <si>
    <t>Zacpl</t>
  </si>
  <si>
    <t>Zacco taiwanensis</t>
  </si>
  <si>
    <t>Zacta</t>
  </si>
  <si>
    <t>Abramis brama</t>
  </si>
  <si>
    <t>ob</t>
  </si>
  <si>
    <t>Abrbr</t>
  </si>
  <si>
    <t>dfo</t>
  </si>
  <si>
    <t>Ctenopharyngodon idellus</t>
  </si>
  <si>
    <t>cy</t>
  </si>
  <si>
    <t>Cteid</t>
  </si>
  <si>
    <t>Elopichthys bambusa</t>
  </si>
  <si>
    <t>g</t>
  </si>
  <si>
    <t>Eloba</t>
  </si>
  <si>
    <t>Leuciscus chuanchicus</t>
  </si>
  <si>
    <t>hhy</t>
  </si>
  <si>
    <t>(Kessler)</t>
  </si>
  <si>
    <t>Leuciscus waleckii</t>
  </si>
  <si>
    <t>wsy</t>
  </si>
  <si>
    <t>Leuwa</t>
  </si>
  <si>
    <t>(Dybowski)</t>
  </si>
  <si>
    <t>tmy</t>
  </si>
  <si>
    <t>Leuciscus idus</t>
  </si>
  <si>
    <t>gty</t>
  </si>
  <si>
    <t>Leuid</t>
  </si>
  <si>
    <t>Leuciscus leuciscus</t>
  </si>
  <si>
    <t>yly</t>
  </si>
  <si>
    <t>Leule</t>
  </si>
  <si>
    <t>bje</t>
  </si>
  <si>
    <t>Leuciscus merzbacheri</t>
  </si>
  <si>
    <t>xjy</t>
  </si>
  <si>
    <t>Leume</t>
  </si>
  <si>
    <t>(Zugmayer)</t>
  </si>
  <si>
    <t>Luciobrama macrocephalus</t>
  </si>
  <si>
    <t>z</t>
  </si>
  <si>
    <t>Lucma</t>
  </si>
  <si>
    <t>Mylopharyngodon piceus</t>
  </si>
  <si>
    <t>qy</t>
  </si>
  <si>
    <t>Mylpi</t>
  </si>
  <si>
    <t>Ochetobius elongatus</t>
  </si>
  <si>
    <t>Ochel</t>
  </si>
  <si>
    <t>(Kner)</t>
  </si>
  <si>
    <t>Phoxinus brachyurus</t>
  </si>
  <si>
    <t>Phobr</t>
  </si>
  <si>
    <t>Phoxinus czekanowskii</t>
  </si>
  <si>
    <t>hjg</t>
  </si>
  <si>
    <t>Phocz</t>
  </si>
  <si>
    <t>Phoxinus grumi</t>
  </si>
  <si>
    <t>tlf</t>
  </si>
  <si>
    <t>Phogr</t>
  </si>
  <si>
    <t>Phoxinus lagowskii</t>
  </si>
  <si>
    <t>Phola</t>
  </si>
  <si>
    <t>Phoxinus percnurus</t>
  </si>
  <si>
    <t>Phope</t>
  </si>
  <si>
    <t>Phoxinus phoxinus</t>
  </si>
  <si>
    <t>zg</t>
  </si>
  <si>
    <t>Phoph</t>
  </si>
  <si>
    <t>zgz</t>
  </si>
  <si>
    <t>alt</t>
  </si>
  <si>
    <t>Kaschtschenko</t>
  </si>
  <si>
    <t>tmg</t>
  </si>
  <si>
    <t>Luo</t>
  </si>
  <si>
    <t>Phoxinus kumkang</t>
  </si>
  <si>
    <t>bqg</t>
  </si>
  <si>
    <t>Phoku</t>
  </si>
  <si>
    <t>(Uchida)</t>
  </si>
  <si>
    <t>Phoxinus oxycephalus</t>
  </si>
  <si>
    <t>jtg</t>
  </si>
  <si>
    <t>Phoox</t>
  </si>
  <si>
    <t>(Sauvage et Dabry)</t>
  </si>
  <si>
    <t>Pseudaspius leptocephalus</t>
  </si>
  <si>
    <t>ncs</t>
  </si>
  <si>
    <t>Psele</t>
  </si>
  <si>
    <t>Rutilus rutilus</t>
  </si>
  <si>
    <t>nl</t>
  </si>
  <si>
    <t>Rutru</t>
  </si>
  <si>
    <t>hnl</t>
  </si>
  <si>
    <t>Squaliobarbus curriculus</t>
  </si>
  <si>
    <t>cyz</t>
  </si>
  <si>
    <t>Squcu</t>
  </si>
  <si>
    <t>Tinca tinca</t>
  </si>
  <si>
    <t>dg</t>
  </si>
  <si>
    <t>Tinti</t>
  </si>
  <si>
    <t>Tribolodon hakonensis</t>
  </si>
  <si>
    <t>zxs</t>
  </si>
  <si>
    <t>Triha</t>
  </si>
  <si>
    <t>Tribolodon brandti</t>
  </si>
  <si>
    <t>Tribr</t>
  </si>
  <si>
    <t>Anabarilius alburnops</t>
  </si>
  <si>
    <t>yby</t>
  </si>
  <si>
    <t>Anaal</t>
  </si>
  <si>
    <t>Anabarilius andersoni</t>
  </si>
  <si>
    <t>Anabarilius qiluensisl</t>
  </si>
  <si>
    <t>qlb</t>
  </si>
  <si>
    <t>Anaqi</t>
  </si>
  <si>
    <t>Chen et Chu</t>
  </si>
  <si>
    <t>Anabarilius liui</t>
  </si>
  <si>
    <t>Anali</t>
  </si>
  <si>
    <t>He</t>
  </si>
  <si>
    <t>Anabarilius grahami</t>
  </si>
  <si>
    <t>kly</t>
  </si>
  <si>
    <t>Anagr</t>
  </si>
  <si>
    <t>xcb</t>
  </si>
  <si>
    <t>(Chang)</t>
  </si>
  <si>
    <t>ylb</t>
  </si>
  <si>
    <t>He et Liu</t>
  </si>
  <si>
    <t>Anabarilius longicaudatus</t>
  </si>
  <si>
    <t>cwb</t>
  </si>
  <si>
    <t>Analo</t>
  </si>
  <si>
    <t>Anabarilius macrolepis</t>
  </si>
  <si>
    <t>dlb</t>
  </si>
  <si>
    <t>Anama</t>
  </si>
  <si>
    <t>Yih et Woo</t>
  </si>
  <si>
    <t>Anabarilius maculatus</t>
  </si>
  <si>
    <t>bby</t>
  </si>
  <si>
    <t>Anabarilius polylepis</t>
  </si>
  <si>
    <t>Anapo</t>
  </si>
  <si>
    <t>Anabarilius qionghaiensis</t>
  </si>
  <si>
    <t>khb</t>
  </si>
  <si>
    <t>Anabarilius songmingensis</t>
  </si>
  <si>
    <t>smb</t>
  </si>
  <si>
    <t>Anaso</t>
  </si>
  <si>
    <t>Anabarilius transmontana</t>
  </si>
  <si>
    <t>Anatr</t>
  </si>
  <si>
    <t>(Nichols)</t>
  </si>
  <si>
    <t>Anabarilius xundianensis</t>
  </si>
  <si>
    <t>xdb</t>
  </si>
  <si>
    <t>Anaxu</t>
  </si>
  <si>
    <t>Anabarilius yangzonensis</t>
  </si>
  <si>
    <t>yzb</t>
  </si>
  <si>
    <t>Anaya</t>
  </si>
  <si>
    <t>Ancherythroculter kurematsui</t>
  </si>
  <si>
    <t>gtj</t>
  </si>
  <si>
    <t>Ancku</t>
  </si>
  <si>
    <t>(Kimura)</t>
  </si>
  <si>
    <t>Ancherythroculter nigrocauda</t>
  </si>
  <si>
    <t>hwj</t>
  </si>
  <si>
    <t>Ancni</t>
  </si>
  <si>
    <t>Ancherythroculter wangi</t>
  </si>
  <si>
    <t>wsj</t>
  </si>
  <si>
    <t>Ancwa</t>
  </si>
  <si>
    <t>(Tchang)</t>
  </si>
  <si>
    <t>Ancherythroculter lini</t>
  </si>
  <si>
    <t>Ancli</t>
  </si>
  <si>
    <t>Cultrichthys erythropterus</t>
  </si>
  <si>
    <t>Culer</t>
  </si>
  <si>
    <t>Cultrichthys compressocorpus</t>
  </si>
  <si>
    <t>bty</t>
  </si>
  <si>
    <t>Culco</t>
  </si>
  <si>
    <t>(Yih et Chu)</t>
  </si>
  <si>
    <t>Culter dabryi</t>
  </si>
  <si>
    <t>dsb</t>
  </si>
  <si>
    <t>Culda</t>
  </si>
  <si>
    <t>xkd</t>
  </si>
  <si>
    <t>Yih et Chu</t>
  </si>
  <si>
    <t>Culter alburnus</t>
  </si>
  <si>
    <t>qzb</t>
  </si>
  <si>
    <t>Culal</t>
  </si>
  <si>
    <t>Culter mongolicus</t>
  </si>
  <si>
    <t>mgb</t>
  </si>
  <si>
    <t>Culmo</t>
  </si>
  <si>
    <t>Ding</t>
  </si>
  <si>
    <t>Culter oxycephaloides</t>
  </si>
  <si>
    <t>njt</t>
  </si>
  <si>
    <t>Culox</t>
  </si>
  <si>
    <t>(Kreyenberg et Pappenheim)</t>
  </si>
  <si>
    <t>Culter oxycephalus</t>
  </si>
  <si>
    <t>jtb</t>
  </si>
  <si>
    <t>Macrochirichthys macrochirius</t>
  </si>
  <si>
    <t>Macma</t>
  </si>
  <si>
    <t>Megalobrama amblycephala</t>
  </si>
  <si>
    <t>ttf</t>
  </si>
  <si>
    <t>Megam</t>
  </si>
  <si>
    <t>Yih</t>
  </si>
  <si>
    <t>Megalobrama elongata</t>
  </si>
  <si>
    <t>ctf</t>
  </si>
  <si>
    <t>Megel</t>
  </si>
  <si>
    <t>Huang et Zhang</t>
  </si>
  <si>
    <t>Megalobrama pellegrini</t>
  </si>
  <si>
    <t>hhf</t>
  </si>
  <si>
    <t>Megpe</t>
  </si>
  <si>
    <t>Megalobrama skolkovii</t>
  </si>
  <si>
    <t>Megsk</t>
  </si>
  <si>
    <t>Dybowsky</t>
  </si>
  <si>
    <t>Megalobrama terminalis</t>
  </si>
  <si>
    <t>sjf</t>
  </si>
  <si>
    <t>Megte</t>
  </si>
  <si>
    <t>Parabramis pekinensis</t>
  </si>
  <si>
    <t>b</t>
  </si>
  <si>
    <t>Parpe</t>
  </si>
  <si>
    <t>Paralaubuca barroni</t>
  </si>
  <si>
    <t>lby</t>
  </si>
  <si>
    <t>Parba</t>
  </si>
  <si>
    <t>Pseudolaubuca engraulis</t>
  </si>
  <si>
    <t>glp</t>
  </si>
  <si>
    <t>Pseen</t>
  </si>
  <si>
    <t>Pseudolaubuca sinensis</t>
  </si>
  <si>
    <t>ypy</t>
  </si>
  <si>
    <t>Psesi</t>
  </si>
  <si>
    <t>Rasborinus formosae</t>
  </si>
  <si>
    <t>txb</t>
  </si>
  <si>
    <t>Rasfo</t>
  </si>
  <si>
    <t>Oshima</t>
  </si>
  <si>
    <t>Rasborinus lineatus</t>
  </si>
  <si>
    <t>xb</t>
  </si>
  <si>
    <t>Rasli</t>
  </si>
  <si>
    <t>(Pellegrin)</t>
  </si>
  <si>
    <t>Pogobrama barbatula</t>
  </si>
  <si>
    <t>xhb</t>
  </si>
  <si>
    <t>Pogba</t>
  </si>
  <si>
    <t>(Luo et Huang)</t>
  </si>
  <si>
    <t>Sinibrama changi</t>
  </si>
  <si>
    <t>sch</t>
  </si>
  <si>
    <t>Sinch</t>
  </si>
  <si>
    <t>Chang</t>
  </si>
  <si>
    <t>Sinibrama macrops</t>
  </si>
  <si>
    <t>dyh</t>
  </si>
  <si>
    <t>Sinma</t>
  </si>
  <si>
    <t>Sinibrama melrosei</t>
  </si>
  <si>
    <t>hnh</t>
  </si>
  <si>
    <t>Sinme</t>
  </si>
  <si>
    <t>Sinibrama wui</t>
  </si>
  <si>
    <t>wsh</t>
  </si>
  <si>
    <t>Sinwu</t>
  </si>
  <si>
    <t>Toxabramis hoffmanni</t>
  </si>
  <si>
    <t>xsq</t>
  </si>
  <si>
    <t>Toxho</t>
  </si>
  <si>
    <t>Toxabramis houdermeri</t>
  </si>
  <si>
    <t>hns</t>
  </si>
  <si>
    <t>Toxabramis swinhonis</t>
  </si>
  <si>
    <t>sq</t>
  </si>
  <si>
    <t>Toxsw</t>
  </si>
  <si>
    <t>Distoechodon hupeinensis</t>
  </si>
  <si>
    <t>hby</t>
  </si>
  <si>
    <t>Dishu</t>
  </si>
  <si>
    <t>Distoechodon tumirostris</t>
  </si>
  <si>
    <t>ywg</t>
  </si>
  <si>
    <t>Distu</t>
  </si>
  <si>
    <t>Peters</t>
  </si>
  <si>
    <t>Pseudobrama simoni</t>
  </si>
  <si>
    <t>Xenocyprioides carinatus</t>
  </si>
  <si>
    <t>Xenca</t>
  </si>
  <si>
    <t>Chen et Huang</t>
  </si>
  <si>
    <t>Xenocyprioides parvulus</t>
  </si>
  <si>
    <t>xsg</t>
  </si>
  <si>
    <t>Xenpa</t>
  </si>
  <si>
    <t>Xenocypris argentea</t>
  </si>
  <si>
    <t>Xenar</t>
  </si>
  <si>
    <t>Xenocypris davidi</t>
  </si>
  <si>
    <t>hwg</t>
  </si>
  <si>
    <t>Xenda</t>
  </si>
  <si>
    <t>Xenocypris fangi</t>
  </si>
  <si>
    <t>Xenfa</t>
  </si>
  <si>
    <t>Tchang</t>
  </si>
  <si>
    <t>Xenocypris microlepis</t>
  </si>
  <si>
    <t>Xenmi</t>
  </si>
  <si>
    <t>Xenocypris yunnanensis</t>
  </si>
  <si>
    <t>yng</t>
  </si>
  <si>
    <t>Xenyu</t>
  </si>
  <si>
    <t>Nichols</t>
  </si>
  <si>
    <t>Acheilognathus barbatulus</t>
  </si>
  <si>
    <t>dxq</t>
  </si>
  <si>
    <t>Achba</t>
  </si>
  <si>
    <t>Acheilognathus chankaensis</t>
  </si>
  <si>
    <t>xgq</t>
  </si>
  <si>
    <t>Achch</t>
  </si>
  <si>
    <t>Acheilognathus elongatus</t>
  </si>
  <si>
    <t>csq</t>
  </si>
  <si>
    <t>Achel</t>
  </si>
  <si>
    <t>dwc</t>
  </si>
  <si>
    <t>Chen et Li</t>
  </si>
  <si>
    <t>Acheilognathus gracilis</t>
  </si>
  <si>
    <t>wxq</t>
  </si>
  <si>
    <t>Achgr</t>
  </si>
  <si>
    <t>Acheilognathus hypselonotus</t>
  </si>
  <si>
    <t>glq</t>
  </si>
  <si>
    <t>Achhy</t>
  </si>
  <si>
    <t>Acheilognathus macropterus</t>
  </si>
  <si>
    <t>dqq</t>
  </si>
  <si>
    <t>Achma</t>
  </si>
  <si>
    <t>Acheilognathus omeiensis</t>
  </si>
  <si>
    <t>emq</t>
  </si>
  <si>
    <t>Achom</t>
  </si>
  <si>
    <t>(Shih et Tchang)</t>
  </si>
  <si>
    <t>Acheilognathus polylepis</t>
  </si>
  <si>
    <t>dlq</t>
  </si>
  <si>
    <t>Achpo</t>
  </si>
  <si>
    <t>(Woo)</t>
  </si>
  <si>
    <t>Acheilognathus tabira</t>
  </si>
  <si>
    <t>jkq</t>
  </si>
  <si>
    <t>Achta</t>
  </si>
  <si>
    <t>Jordan et Thompson</t>
  </si>
  <si>
    <t>Acheilognathus barbatus</t>
  </si>
  <si>
    <t>xq</t>
  </si>
  <si>
    <t>Paracheilognathus himantegus</t>
  </si>
  <si>
    <t>gtf</t>
  </si>
  <si>
    <t>Parhi</t>
  </si>
  <si>
    <t>Paracheilognathus imberbis</t>
  </si>
  <si>
    <t>cfq</t>
  </si>
  <si>
    <t>Parim</t>
  </si>
  <si>
    <t>Paracheilognathus meridianus</t>
  </si>
  <si>
    <t>gxf</t>
  </si>
  <si>
    <t>Parme</t>
  </si>
  <si>
    <t>Wu</t>
  </si>
  <si>
    <t>Psedoperilampus monguonnsis</t>
  </si>
  <si>
    <t>mgs</t>
  </si>
  <si>
    <t>Psemo</t>
  </si>
  <si>
    <t>Rhodeus lighti</t>
  </si>
  <si>
    <t>csp</t>
  </si>
  <si>
    <t>Rholi</t>
  </si>
  <si>
    <t>Rhodeus ocellatus</t>
  </si>
  <si>
    <t>gtp</t>
  </si>
  <si>
    <t>Rhooc</t>
  </si>
  <si>
    <t>Rhodeus sericeus</t>
  </si>
  <si>
    <t>Rhose</t>
  </si>
  <si>
    <t>Rhodeus spinalis</t>
  </si>
  <si>
    <t>cqp</t>
  </si>
  <si>
    <t>Rhosp</t>
  </si>
  <si>
    <t>Rhodeus fangi</t>
  </si>
  <si>
    <t>fsp</t>
  </si>
  <si>
    <t>Rhofa</t>
  </si>
  <si>
    <t>(Miao)</t>
  </si>
  <si>
    <t>Acrossocheilus clivosius</t>
  </si>
  <si>
    <t>dbg</t>
  </si>
  <si>
    <t>Acrcl</t>
  </si>
  <si>
    <t>Acrossocheilus elongatus</t>
  </si>
  <si>
    <t>Acrel</t>
  </si>
  <si>
    <t>(Pellegrin et Chevey)</t>
  </si>
  <si>
    <t>Acrossocheilus fasciatus</t>
  </si>
  <si>
    <t>gcy</t>
  </si>
  <si>
    <t>Acrfa</t>
  </si>
  <si>
    <t>Acrossocheilus hemispinus</t>
  </si>
  <si>
    <t>Acrhe</t>
  </si>
  <si>
    <t>dbc</t>
  </si>
  <si>
    <t>Acrossocheilus ikedai</t>
  </si>
  <si>
    <t>dlg</t>
  </si>
  <si>
    <t>Acrik</t>
  </si>
  <si>
    <t>(Harada)</t>
  </si>
  <si>
    <t>Acrossocheilus iridescens</t>
  </si>
  <si>
    <t>hcg</t>
  </si>
  <si>
    <t>Acrir</t>
  </si>
  <si>
    <t>yjh</t>
  </si>
  <si>
    <t>Wu et Lin</t>
  </si>
  <si>
    <t>zjh</t>
  </si>
  <si>
    <t>Acrossocheilus krempfi</t>
  </si>
  <si>
    <t>hkg</t>
  </si>
  <si>
    <t>Acrkr</t>
  </si>
  <si>
    <t>Acrossocheilus kreyenbergi</t>
  </si>
  <si>
    <t>bhg</t>
  </si>
  <si>
    <t>Acrossocheilus labiatus</t>
  </si>
  <si>
    <t>hcy</t>
  </si>
  <si>
    <t>Acrla</t>
  </si>
  <si>
    <t>Acrossocheilus longipinnis</t>
  </si>
  <si>
    <t>cqg</t>
  </si>
  <si>
    <t>Acrlo</t>
  </si>
  <si>
    <t>Acrossocheilus monticola</t>
  </si>
  <si>
    <t>kkg</t>
  </si>
  <si>
    <t>Acrmo</t>
  </si>
  <si>
    <t>Acrossocheilus paradoxus</t>
  </si>
  <si>
    <t>twg</t>
  </si>
  <si>
    <t>Acrpa</t>
  </si>
  <si>
    <t>Acrossocheilus parallens</t>
  </si>
  <si>
    <t>cth</t>
  </si>
  <si>
    <t>Acrossocheilus stenotaeniatus</t>
  </si>
  <si>
    <t>ztg</t>
  </si>
  <si>
    <t>Acrst</t>
  </si>
  <si>
    <t>Chu et Cui</t>
  </si>
  <si>
    <t>Acrossocheilus wenchowensis</t>
  </si>
  <si>
    <t>wzh</t>
  </si>
  <si>
    <t>Acrwe</t>
  </si>
  <si>
    <t>Wang</t>
  </si>
  <si>
    <t>(Wang)</t>
  </si>
  <si>
    <t>Acrossocheilus yunnanensis</t>
  </si>
  <si>
    <t>Acryu</t>
  </si>
  <si>
    <t>Balantiocheilus hekouensis</t>
  </si>
  <si>
    <t>dcy</t>
  </si>
  <si>
    <t>Balhe</t>
  </si>
  <si>
    <t>Barbodes benasi</t>
  </si>
  <si>
    <t>rqs</t>
  </si>
  <si>
    <t>Barbe</t>
  </si>
  <si>
    <t>Barbodes coggini</t>
  </si>
  <si>
    <t>hts</t>
  </si>
  <si>
    <t>Barco</t>
  </si>
  <si>
    <t>(Chaudhuri)</t>
  </si>
  <si>
    <t>Barbodes daliensis</t>
  </si>
  <si>
    <t>ehs</t>
  </si>
  <si>
    <t>Barda</t>
  </si>
  <si>
    <t>Barbodes daruphani</t>
  </si>
  <si>
    <t>dls</t>
  </si>
  <si>
    <t>Barbodes exigua</t>
  </si>
  <si>
    <t>Barex</t>
  </si>
  <si>
    <t>Barbodes fuxianhuensis</t>
  </si>
  <si>
    <t>wxs</t>
  </si>
  <si>
    <t>Barfu</t>
  </si>
  <si>
    <t>(Wang et al)</t>
  </si>
  <si>
    <t>Barbodes hexagonlepis</t>
  </si>
  <si>
    <t>mts</t>
  </si>
  <si>
    <t>Barhe</t>
  </si>
  <si>
    <t>Barbodes huangchuchieni</t>
  </si>
  <si>
    <t>yns</t>
  </si>
  <si>
    <t>Barhu</t>
  </si>
  <si>
    <t>fxs</t>
  </si>
  <si>
    <t>Barbodes lacustris</t>
  </si>
  <si>
    <t>hsx</t>
  </si>
  <si>
    <t>Barla</t>
  </si>
  <si>
    <t>Barbodes laticeps</t>
  </si>
  <si>
    <t>kts</t>
  </si>
  <si>
    <t>Lin et Chang</t>
  </si>
  <si>
    <t>Barbodes margarianus</t>
  </si>
  <si>
    <t>tps</t>
  </si>
  <si>
    <t>Barma</t>
  </si>
  <si>
    <t>(Anderson)</t>
  </si>
  <si>
    <t>Barbodes opisthoptera</t>
  </si>
  <si>
    <t>hqs</t>
  </si>
  <si>
    <t>Barop</t>
  </si>
  <si>
    <t>Barbodes pachygnathus</t>
  </si>
  <si>
    <t>hhs</t>
  </si>
  <si>
    <t>Barpa</t>
  </si>
  <si>
    <t>Barbodes parva</t>
  </si>
  <si>
    <t>Wu et lin</t>
  </si>
  <si>
    <t>Barbodes paucimaculatus</t>
  </si>
  <si>
    <t>Wang et Ni</t>
  </si>
  <si>
    <t>Barbodes pierrei</t>
  </si>
  <si>
    <t>gts</t>
  </si>
  <si>
    <t>Barpi</t>
  </si>
  <si>
    <t>(Sauvage)</t>
  </si>
  <si>
    <t>Barbodes polylepis</t>
  </si>
  <si>
    <t>Barpo</t>
  </si>
  <si>
    <t>Barbodes punctatus</t>
  </si>
  <si>
    <t>ybs</t>
  </si>
  <si>
    <t>Day</t>
  </si>
  <si>
    <t>Barbodes shanensis</t>
  </si>
  <si>
    <t>Barsh</t>
  </si>
  <si>
    <t>(Hora et Mukerji)</t>
  </si>
  <si>
    <t>Barbodes sophore</t>
  </si>
  <si>
    <t>Barso</t>
  </si>
  <si>
    <t>Barbodes wynaadensis</t>
  </si>
  <si>
    <t>Barwy</t>
  </si>
  <si>
    <t>Capoeta semifasciolata</t>
  </si>
  <si>
    <t>twe</t>
  </si>
  <si>
    <t>Capse</t>
  </si>
  <si>
    <t>Cosmochilus cardinalis</t>
  </si>
  <si>
    <t>hqf</t>
  </si>
  <si>
    <t>Cosca</t>
  </si>
  <si>
    <t>Chu et Roberts</t>
  </si>
  <si>
    <t>Cosmochilus nanlaensis</t>
  </si>
  <si>
    <t>nlf</t>
  </si>
  <si>
    <t>Cosna</t>
  </si>
  <si>
    <t>Chen, He et He</t>
  </si>
  <si>
    <t>Cyclocheilichthys sinensis</t>
  </si>
  <si>
    <t>ycy</t>
  </si>
  <si>
    <t>Cycsi</t>
  </si>
  <si>
    <t>Hampala macrolepidota</t>
  </si>
  <si>
    <t>Hamma</t>
  </si>
  <si>
    <t>Van Hasselt</t>
  </si>
  <si>
    <t>Luciocyprinus langsoni</t>
  </si>
  <si>
    <t>sg</t>
  </si>
  <si>
    <t>Lucla</t>
  </si>
  <si>
    <t>Vaillant</t>
  </si>
  <si>
    <t>Luciocyprinus striolatus</t>
  </si>
  <si>
    <t>Lucst</t>
  </si>
  <si>
    <t>Cui et Chu</t>
  </si>
  <si>
    <t>Mystacoleucus chilopterus</t>
  </si>
  <si>
    <t>ybc</t>
  </si>
  <si>
    <t>Mysch</t>
  </si>
  <si>
    <t>Mystacoleucus lepturus</t>
  </si>
  <si>
    <t>xwc</t>
  </si>
  <si>
    <t>Mysle</t>
  </si>
  <si>
    <t>Huang</t>
  </si>
  <si>
    <t>Mystacoleucus marginatus</t>
  </si>
  <si>
    <t>ctb</t>
  </si>
  <si>
    <t>Mysma</t>
  </si>
  <si>
    <t>Percocypris pingi</t>
  </si>
  <si>
    <t>ll</t>
  </si>
  <si>
    <t>Perpi</t>
  </si>
  <si>
    <t>llz</t>
  </si>
  <si>
    <t>hll</t>
  </si>
  <si>
    <t>Sikukia flavicaudata</t>
  </si>
  <si>
    <t>hwd</t>
  </si>
  <si>
    <t>Sikfl</t>
  </si>
  <si>
    <t>Chu et Chen</t>
  </si>
  <si>
    <t>Sikukia stejnegeri</t>
  </si>
  <si>
    <t>Sikst</t>
  </si>
  <si>
    <t>Sinocyclocheilus anatirostris</t>
  </si>
  <si>
    <t>jzj</t>
  </si>
  <si>
    <t>Sinan</t>
  </si>
  <si>
    <t>Lin et Luo</t>
  </si>
  <si>
    <t>Sinocyclocheilus angularis</t>
  </si>
  <si>
    <t>jjx</t>
  </si>
  <si>
    <t>Zheng et Wang</t>
  </si>
  <si>
    <t>Sinocyclocheilus angustiporus</t>
  </si>
  <si>
    <t>Zheng et Xie</t>
  </si>
  <si>
    <t>Sinocyclocheilus anophthalmus</t>
  </si>
  <si>
    <t>wyj</t>
  </si>
  <si>
    <t>Sinocyclocheilus brevis</t>
  </si>
  <si>
    <t>dsj</t>
  </si>
  <si>
    <t>Sinbr</t>
  </si>
  <si>
    <t>Lan et Chen</t>
  </si>
  <si>
    <t>Sinocyclocheilus grahami</t>
  </si>
  <si>
    <t>jxb</t>
  </si>
  <si>
    <t>Singr</t>
  </si>
  <si>
    <t>jb</t>
  </si>
  <si>
    <t>wxj</t>
  </si>
  <si>
    <t>Fang</t>
  </si>
  <si>
    <t>yzj</t>
  </si>
  <si>
    <t>Tsu et Chen</t>
  </si>
  <si>
    <t>Sinocyclocheilus hyalinus</t>
  </si>
  <si>
    <t>tmj</t>
  </si>
  <si>
    <t>Sinhy</t>
  </si>
  <si>
    <t>Chen et Yang</t>
  </si>
  <si>
    <t>Sinocyclocheilus jii</t>
  </si>
  <si>
    <t>jsj</t>
  </si>
  <si>
    <t>Sinji</t>
  </si>
  <si>
    <t>Zhang et Dai</t>
  </si>
  <si>
    <t>Sinocyclocheilus lateristritus</t>
  </si>
  <si>
    <t>ctj</t>
  </si>
  <si>
    <t>Sinla</t>
  </si>
  <si>
    <t>Sinocyclocheilus lunanensis</t>
  </si>
  <si>
    <t>lnj</t>
  </si>
  <si>
    <t>Sinlu</t>
  </si>
  <si>
    <t>Sinocyclocheilus macrocephalus</t>
  </si>
  <si>
    <t>dtj</t>
  </si>
  <si>
    <t>Sinocyclocheilus macrolepis</t>
  </si>
  <si>
    <t>dlj</t>
  </si>
  <si>
    <t>Sinocyclocheilus maitianheensis</t>
  </si>
  <si>
    <t>mth</t>
  </si>
  <si>
    <t>Sinocyclocheilus malacopterus</t>
  </si>
  <si>
    <t>rqj</t>
  </si>
  <si>
    <t>Sinocyclocheilus microphthalmus</t>
  </si>
  <si>
    <t>Sinmi</t>
  </si>
  <si>
    <t>Sinocyclocheilus multipunctatus</t>
  </si>
  <si>
    <t>gzj</t>
  </si>
  <si>
    <t>Sinmu</t>
  </si>
  <si>
    <t>Sinocyclocheilus oxycephalus</t>
  </si>
  <si>
    <t>jtj</t>
  </si>
  <si>
    <t>Sinox</t>
  </si>
  <si>
    <t>Sinocyclocheilus purpureus</t>
  </si>
  <si>
    <t>zsj</t>
  </si>
  <si>
    <t>Sinpu</t>
  </si>
  <si>
    <t>Sinocyclocheilus robustus</t>
  </si>
  <si>
    <t>czj</t>
  </si>
  <si>
    <t>Sinro</t>
  </si>
  <si>
    <t>Chen et Zhao</t>
  </si>
  <si>
    <t>Spinibarbus caldwelli</t>
  </si>
  <si>
    <t>cb</t>
  </si>
  <si>
    <t>Spica</t>
  </si>
  <si>
    <t>Spinibarbus denticulatus</t>
  </si>
  <si>
    <t>dcb</t>
  </si>
  <si>
    <t>Spide</t>
  </si>
  <si>
    <t>dld</t>
  </si>
  <si>
    <t>ynd</t>
  </si>
  <si>
    <t>Tsu</t>
  </si>
  <si>
    <t>Spinibarbus elongatus</t>
  </si>
  <si>
    <t>csc</t>
  </si>
  <si>
    <t>Spiel</t>
  </si>
  <si>
    <t>Spinibarbus hollandi</t>
  </si>
  <si>
    <t>gdc</t>
  </si>
  <si>
    <t>Spiho</t>
  </si>
  <si>
    <t>Spinibarbus sinensis</t>
  </si>
  <si>
    <t>zhd</t>
  </si>
  <si>
    <t>Spisi</t>
  </si>
  <si>
    <t>Tor brevifilis</t>
  </si>
  <si>
    <t>Torbr</t>
  </si>
  <si>
    <t>(Peters)</t>
  </si>
  <si>
    <t>hnb</t>
  </si>
  <si>
    <t>Tor douronensis</t>
  </si>
  <si>
    <t>Tordo</t>
  </si>
  <si>
    <t>Tor hemispinus</t>
  </si>
  <si>
    <t>bcj</t>
  </si>
  <si>
    <t>Torhe</t>
  </si>
  <si>
    <t>Tor putitora</t>
  </si>
  <si>
    <t>Torpu</t>
  </si>
  <si>
    <t>Tor qiaojiensis</t>
  </si>
  <si>
    <t>qjj</t>
  </si>
  <si>
    <t>Torqi</t>
  </si>
  <si>
    <t>Tor tor</t>
  </si>
  <si>
    <t>zgj</t>
  </si>
  <si>
    <t>Tor yunnanensis</t>
  </si>
  <si>
    <t>ynb</t>
  </si>
  <si>
    <t>Toryu</t>
  </si>
  <si>
    <t>Wang et al</t>
  </si>
  <si>
    <t>Tor zonatus</t>
  </si>
  <si>
    <t>yjy</t>
  </si>
  <si>
    <t>Torzo</t>
  </si>
  <si>
    <t>Typhlobarbus nudiventris</t>
  </si>
  <si>
    <t>lfm</t>
  </si>
  <si>
    <t>Typnu</t>
  </si>
  <si>
    <t>Varicorhinus acanthopterus</t>
  </si>
  <si>
    <t>slb</t>
  </si>
  <si>
    <t>Varac</t>
  </si>
  <si>
    <t>Varicorhinus alticorpus</t>
  </si>
  <si>
    <t>gtc</t>
  </si>
  <si>
    <t>Varal</t>
  </si>
  <si>
    <t>Varicorhinus angustistomatus</t>
  </si>
  <si>
    <t>scb</t>
  </si>
  <si>
    <t>Varan</t>
  </si>
  <si>
    <t>Varicorhinus barbatulus</t>
  </si>
  <si>
    <t>twc</t>
  </si>
  <si>
    <t>Varba</t>
  </si>
  <si>
    <t>Varicorhinus barbatus</t>
  </si>
  <si>
    <t>cxc</t>
  </si>
  <si>
    <t>Varicorhinus brevis</t>
  </si>
  <si>
    <t>Varbr</t>
  </si>
  <si>
    <t>Wu et Chen</t>
  </si>
  <si>
    <t>Varicorhinus daduensis</t>
  </si>
  <si>
    <t>ddb</t>
  </si>
  <si>
    <t>Varda</t>
  </si>
  <si>
    <t>Varicorhinus elongatus</t>
  </si>
  <si>
    <t>Varel</t>
  </si>
  <si>
    <t>Varicorhinus gerlachi</t>
  </si>
  <si>
    <t>Varge</t>
  </si>
  <si>
    <t>Varicorhinus lepturus</t>
  </si>
  <si>
    <t>Varle</t>
  </si>
  <si>
    <t>(Boulenger)</t>
  </si>
  <si>
    <t>Varicorhinus lini</t>
  </si>
  <si>
    <t>xkb</t>
  </si>
  <si>
    <t>Varli</t>
  </si>
  <si>
    <t>Varicorhinus macracanthus</t>
  </si>
  <si>
    <t>Varma</t>
  </si>
  <si>
    <t>Varicorhinus macrolepis</t>
  </si>
  <si>
    <t>dlc</t>
  </si>
  <si>
    <t>Varicorhinus ovalis</t>
  </si>
  <si>
    <t>lxb</t>
  </si>
  <si>
    <t>Varov</t>
  </si>
  <si>
    <t>zjl</t>
  </si>
  <si>
    <t>Tang</t>
  </si>
  <si>
    <t>Varicorhinus rarus</t>
  </si>
  <si>
    <t>Varra</t>
  </si>
  <si>
    <t>Varicorhinus simus</t>
  </si>
  <si>
    <t>Varsi</t>
  </si>
  <si>
    <t>Cirrhinus lineatus</t>
  </si>
  <si>
    <t>Cirli</t>
  </si>
  <si>
    <t>Cirrhinus molitorella</t>
  </si>
  <si>
    <t>Cirmo</t>
  </si>
  <si>
    <t>Crossocheilus bamaensis</t>
  </si>
  <si>
    <t>bm</t>
  </si>
  <si>
    <t>Croba</t>
  </si>
  <si>
    <t>Crossocheilus latius</t>
  </si>
  <si>
    <t>chh</t>
  </si>
  <si>
    <t>Crola</t>
  </si>
  <si>
    <t>Crossocheilus reticulatus</t>
  </si>
  <si>
    <t>wwh</t>
  </si>
  <si>
    <t>Crore</t>
  </si>
  <si>
    <t>Crossocheilus tchangi</t>
  </si>
  <si>
    <t>zsh</t>
  </si>
  <si>
    <t>Crotc</t>
  </si>
  <si>
    <t>Discogobio bismargaritus</t>
  </si>
  <si>
    <t>szp</t>
  </si>
  <si>
    <t>Disbi</t>
  </si>
  <si>
    <t>Chu, Cui et Zhou</t>
  </si>
  <si>
    <t>Discogobio brachyphysallidos</t>
  </si>
  <si>
    <t>dtp</t>
  </si>
  <si>
    <t>Disbr</t>
  </si>
  <si>
    <t>Discogobio elongatus</t>
  </si>
  <si>
    <t>ctp</t>
  </si>
  <si>
    <t>Disel</t>
  </si>
  <si>
    <t>Discogobio laticeps</t>
  </si>
  <si>
    <t>ktp</t>
  </si>
  <si>
    <t>Disla</t>
  </si>
  <si>
    <t>Discogobio macrophysallidos</t>
  </si>
  <si>
    <t>cbp</t>
  </si>
  <si>
    <t>Disma</t>
  </si>
  <si>
    <t>Discogobio longibarbatus</t>
  </si>
  <si>
    <t>cxp</t>
  </si>
  <si>
    <t>Dislo</t>
  </si>
  <si>
    <t>Discogobio tetrabarbatus</t>
  </si>
  <si>
    <t>sxp</t>
  </si>
  <si>
    <t>Diste</t>
  </si>
  <si>
    <t>Discogobio yunnanensis</t>
  </si>
  <si>
    <t>ynp</t>
  </si>
  <si>
    <t>Disyu</t>
  </si>
  <si>
    <t>Discolabeo wui</t>
  </si>
  <si>
    <t>wsp</t>
  </si>
  <si>
    <t>Diswu</t>
  </si>
  <si>
    <t>Chen et Lan</t>
  </si>
  <si>
    <t>Epalzeorhynchus bicornis</t>
  </si>
  <si>
    <t>Epabi</t>
  </si>
  <si>
    <t>Garra alticorpora</t>
  </si>
  <si>
    <t>gtm</t>
  </si>
  <si>
    <t>Garal</t>
  </si>
  <si>
    <t>Garra gravelyi</t>
  </si>
  <si>
    <t>gem</t>
  </si>
  <si>
    <t>Gargr</t>
  </si>
  <si>
    <t>(Annandale)</t>
  </si>
  <si>
    <t>Garra kempi</t>
  </si>
  <si>
    <t>xzm</t>
  </si>
  <si>
    <t>Garke</t>
  </si>
  <si>
    <t>Hora</t>
  </si>
  <si>
    <t>Garra mirofrontis</t>
  </si>
  <si>
    <t>qem</t>
  </si>
  <si>
    <t>Garmi</t>
  </si>
  <si>
    <t>Garra orientalis</t>
  </si>
  <si>
    <t>dfm</t>
  </si>
  <si>
    <t>Garor</t>
  </si>
  <si>
    <t>Garra pingi</t>
  </si>
  <si>
    <t>mty</t>
  </si>
  <si>
    <t>Garpi</t>
  </si>
  <si>
    <t>hnm</t>
  </si>
  <si>
    <t>Chen et Zheng</t>
  </si>
  <si>
    <t>ylm</t>
  </si>
  <si>
    <t>Garra qiaojiensis</t>
  </si>
  <si>
    <t>qjm</t>
  </si>
  <si>
    <t>Garqi</t>
  </si>
  <si>
    <t>Wu et Yao</t>
  </si>
  <si>
    <t>Garra taeniata</t>
  </si>
  <si>
    <t>twm</t>
  </si>
  <si>
    <t>Garta</t>
  </si>
  <si>
    <t>Henicorhynchus lineatus</t>
  </si>
  <si>
    <t>Henli</t>
  </si>
  <si>
    <t>Labeo yunnanensis</t>
  </si>
  <si>
    <t>yny</t>
  </si>
  <si>
    <t>Labyu</t>
  </si>
  <si>
    <t>Chaudhuri</t>
  </si>
  <si>
    <t>Labiobarbus lineatus</t>
  </si>
  <si>
    <t>cbb</t>
  </si>
  <si>
    <t>Labli</t>
  </si>
  <si>
    <t>Lobocheilus melanotaenia</t>
  </si>
  <si>
    <t>scy</t>
  </si>
  <si>
    <t>Lobme</t>
  </si>
  <si>
    <t>Mekongina erythrospila</t>
  </si>
  <si>
    <t>mgy</t>
  </si>
  <si>
    <t>Meker</t>
  </si>
  <si>
    <t>Mekongina latius</t>
  </si>
  <si>
    <t>kmg</t>
  </si>
  <si>
    <t>Mekla</t>
  </si>
  <si>
    <t>Osteochilus salsburyi</t>
  </si>
  <si>
    <t>Ostsa</t>
  </si>
  <si>
    <t>Parasinilabeo assimilis</t>
  </si>
  <si>
    <t>yhl</t>
  </si>
  <si>
    <t>Paras</t>
  </si>
  <si>
    <t>Placocheilus caudofasciatus</t>
  </si>
  <si>
    <t>wwp</t>
  </si>
  <si>
    <t>Placa</t>
  </si>
  <si>
    <t>Placocheilus cryptonemus</t>
  </si>
  <si>
    <t>qxp</t>
  </si>
  <si>
    <t>Placr</t>
  </si>
  <si>
    <t>Cui et Li</t>
  </si>
  <si>
    <t>Ptychidio jordani</t>
  </si>
  <si>
    <t>Ptyjo</t>
  </si>
  <si>
    <t>Myers</t>
  </si>
  <si>
    <t>Ptychidio longibarbus</t>
  </si>
  <si>
    <t>cxj</t>
  </si>
  <si>
    <t>Ptylo</t>
  </si>
  <si>
    <t>Chen et Chen</t>
  </si>
  <si>
    <t>Ptychidio macrops</t>
  </si>
  <si>
    <t>Ptyma</t>
  </si>
  <si>
    <t>Rectoris luxiensis</t>
  </si>
  <si>
    <t>lxz</t>
  </si>
  <si>
    <t>Reclu</t>
  </si>
  <si>
    <t>Rectoris mutabilis</t>
  </si>
  <si>
    <t>bxz</t>
  </si>
  <si>
    <t>Recmu</t>
  </si>
  <si>
    <t>Rectoris posehensis</t>
  </si>
  <si>
    <t>zkl</t>
  </si>
  <si>
    <t>Recpo</t>
  </si>
  <si>
    <t>Semilabeo notabilis</t>
  </si>
  <si>
    <t>cl</t>
  </si>
  <si>
    <t>Semno</t>
  </si>
  <si>
    <t>Semilabeo obscurus</t>
  </si>
  <si>
    <t>asc</t>
  </si>
  <si>
    <t>Semob</t>
  </si>
  <si>
    <t>Semilabeo prochilus</t>
  </si>
  <si>
    <t>Sempr</t>
  </si>
  <si>
    <t>Sinilabeo cirrhinoides</t>
  </si>
  <si>
    <t>slh</t>
  </si>
  <si>
    <t>Sinci</t>
  </si>
  <si>
    <t>Sinilabeo decorus</t>
  </si>
  <si>
    <t>ghl</t>
  </si>
  <si>
    <t>Sinde</t>
  </si>
  <si>
    <t>yjg</t>
  </si>
  <si>
    <t>Sinilabeo dero</t>
  </si>
  <si>
    <t>Sinilabeo discognathoides</t>
  </si>
  <si>
    <t>pch</t>
  </si>
  <si>
    <t>Sindi</t>
  </si>
  <si>
    <t>Zheng et Chen</t>
  </si>
  <si>
    <t>Sinilabeo laticeps</t>
  </si>
  <si>
    <t>kth</t>
  </si>
  <si>
    <t>Sinilabeo lemassoni</t>
  </si>
  <si>
    <t>Sinle</t>
  </si>
  <si>
    <t>Sinilabeo longibarbatus</t>
  </si>
  <si>
    <t>cxh</t>
  </si>
  <si>
    <t>Sinlo</t>
  </si>
  <si>
    <t>Sinilabeo rendahli</t>
  </si>
  <si>
    <t>Sinre</t>
  </si>
  <si>
    <t>Sinilabeo tonkinensis</t>
  </si>
  <si>
    <t>hkh</t>
  </si>
  <si>
    <t>Sinto</t>
  </si>
  <si>
    <t>Sinilabeo tungting</t>
  </si>
  <si>
    <t>xhl</t>
  </si>
  <si>
    <t>Sintu</t>
  </si>
  <si>
    <t>Sinilabeo yunnanensis</t>
  </si>
  <si>
    <t>ynh</t>
  </si>
  <si>
    <t>Sinyu</t>
  </si>
  <si>
    <t>(Chu et Wang)</t>
  </si>
  <si>
    <t>Sinilabeo zhui</t>
  </si>
  <si>
    <t>Sinzh</t>
  </si>
  <si>
    <t>Sinocrossocheilus guizhouensis</t>
  </si>
  <si>
    <t>hyy</t>
  </si>
  <si>
    <t>Singu</t>
  </si>
  <si>
    <t>Sinocrossocheilus tridentis</t>
  </si>
  <si>
    <t>Sintr</t>
  </si>
  <si>
    <t>Abbottina obtusirostris</t>
  </si>
  <si>
    <t>Abbob</t>
  </si>
  <si>
    <t>(Wu et Wang)</t>
  </si>
  <si>
    <t>Abbottina rivularis</t>
  </si>
  <si>
    <t>bhy</t>
  </si>
  <si>
    <t>Abbri</t>
  </si>
  <si>
    <t>Abbottina liaoningensis</t>
  </si>
  <si>
    <t>lnb</t>
  </si>
  <si>
    <t>Abbli</t>
  </si>
  <si>
    <t>Qin</t>
  </si>
  <si>
    <t>Acanthogobio guentheri</t>
  </si>
  <si>
    <t>cj</t>
  </si>
  <si>
    <t>Acagu</t>
  </si>
  <si>
    <t>Herzenstein</t>
  </si>
  <si>
    <t>Belligobio nummifer</t>
  </si>
  <si>
    <t>Belnu</t>
  </si>
  <si>
    <t>Belligobio pengxianensis</t>
  </si>
  <si>
    <t>pxs</t>
  </si>
  <si>
    <t>Belpe</t>
  </si>
  <si>
    <t>Lo, Yao et Chen</t>
  </si>
  <si>
    <t>Coreius guichenoti</t>
  </si>
  <si>
    <t>ykt</t>
  </si>
  <si>
    <t>Corgu</t>
  </si>
  <si>
    <t>Coreius heterodon</t>
  </si>
  <si>
    <t>Corhe</t>
  </si>
  <si>
    <t>Coreius septentrionalis</t>
  </si>
  <si>
    <t>bft</t>
  </si>
  <si>
    <t>Corse</t>
  </si>
  <si>
    <t>Gnathopogon herzensteini</t>
  </si>
  <si>
    <t>jlh</t>
  </si>
  <si>
    <t>Gnahe</t>
  </si>
  <si>
    <t>Gnathopogon imberbis</t>
  </si>
  <si>
    <t>dxh</t>
  </si>
  <si>
    <t>Gnaim</t>
  </si>
  <si>
    <t>Gnathopogon mantschuricus</t>
  </si>
  <si>
    <t>dfh</t>
  </si>
  <si>
    <t>Gnama</t>
  </si>
  <si>
    <t>(Berg)</t>
  </si>
  <si>
    <t>Gnathopogon nicholsi</t>
  </si>
  <si>
    <t>yxh</t>
  </si>
  <si>
    <t>Gnani</t>
  </si>
  <si>
    <t>Gnathopogon polytaenia</t>
  </si>
  <si>
    <t>dwh</t>
  </si>
  <si>
    <t>Gnapo</t>
  </si>
  <si>
    <t>Gnathopogon taeniellus</t>
  </si>
  <si>
    <t>Gnata</t>
  </si>
  <si>
    <t>Gnathopogon tsinanensis</t>
  </si>
  <si>
    <t>jnh</t>
  </si>
  <si>
    <t>Gnats</t>
  </si>
  <si>
    <t>(Mori)</t>
  </si>
  <si>
    <t>Gobio coriparoides</t>
  </si>
  <si>
    <t>stj</t>
  </si>
  <si>
    <t>Gobco</t>
  </si>
  <si>
    <t>Gobio acutipnnatus</t>
  </si>
  <si>
    <t>jqj</t>
  </si>
  <si>
    <t>Gobac</t>
  </si>
  <si>
    <t>Men'schikov</t>
  </si>
  <si>
    <t>Gobio cynocephalus</t>
  </si>
  <si>
    <t>Gobcy</t>
  </si>
  <si>
    <t>Gobio macrocephalus</t>
  </si>
  <si>
    <t>Gobma</t>
  </si>
  <si>
    <t>Gobio rivuloides</t>
  </si>
  <si>
    <t>bhj</t>
  </si>
  <si>
    <t>Gobri</t>
  </si>
  <si>
    <t>Gobio huanghensis</t>
  </si>
  <si>
    <t>hhj</t>
  </si>
  <si>
    <t>Gobhu</t>
  </si>
  <si>
    <t>Gobio lingyuanensis</t>
  </si>
  <si>
    <t>lyj</t>
  </si>
  <si>
    <t>Gobli</t>
  </si>
  <si>
    <t>Gobio meriodionalis</t>
  </si>
  <si>
    <t>nfj</t>
  </si>
  <si>
    <t>Gobme</t>
  </si>
  <si>
    <t>Xu</t>
  </si>
  <si>
    <t>Gobio soldatovi</t>
  </si>
  <si>
    <t>Gobso</t>
  </si>
  <si>
    <t>Gobio tenuicorpus</t>
  </si>
  <si>
    <t>xtj</t>
  </si>
  <si>
    <t>Gobte</t>
  </si>
  <si>
    <t>Hemibarbus laboe</t>
  </si>
  <si>
    <t>Hemla</t>
  </si>
  <si>
    <t>Hemibarbus longirostris</t>
  </si>
  <si>
    <t>cwg</t>
  </si>
  <si>
    <t>Hemlo</t>
  </si>
  <si>
    <t>Hemibarbus macracanthus</t>
  </si>
  <si>
    <t>dcg</t>
  </si>
  <si>
    <t>Hemma</t>
  </si>
  <si>
    <t>Hemibarbus maculatus</t>
  </si>
  <si>
    <t>Hemibarbus medius</t>
  </si>
  <si>
    <t>jg</t>
  </si>
  <si>
    <t>Hemme</t>
  </si>
  <si>
    <t>Yue</t>
  </si>
  <si>
    <t>Hemibarbus brevipennus</t>
  </si>
  <si>
    <t>dqg</t>
  </si>
  <si>
    <t>Hemibarbus qianjiangensis</t>
  </si>
  <si>
    <t>qjg</t>
  </si>
  <si>
    <t>Hemqi</t>
  </si>
  <si>
    <t>Yu</t>
  </si>
  <si>
    <t>Hemibarbus umbrifer</t>
  </si>
  <si>
    <t>Hemum</t>
  </si>
  <si>
    <t>Huigobio chenhsienensis</t>
  </si>
  <si>
    <t>Huich</t>
  </si>
  <si>
    <t>Huigobio chinssuensis</t>
  </si>
  <si>
    <t>qxh</t>
  </si>
  <si>
    <t>Ladislavia taczanowskii</t>
  </si>
  <si>
    <t>pkj</t>
  </si>
  <si>
    <t>Ladta</t>
  </si>
  <si>
    <t>Mesogobio lachneri</t>
  </si>
  <si>
    <t>zj</t>
  </si>
  <si>
    <t>Mesla</t>
  </si>
  <si>
    <t>Banarescu et Nabant</t>
  </si>
  <si>
    <t>Mesogobio tumenensis</t>
  </si>
  <si>
    <t>Mestu</t>
  </si>
  <si>
    <t>Microphysogobio brevirostris</t>
  </si>
  <si>
    <t>Micbr</t>
  </si>
  <si>
    <t>Microphysogobio elongata</t>
  </si>
  <si>
    <t>ctx</t>
  </si>
  <si>
    <t>Micel</t>
  </si>
  <si>
    <t>(Yao et Yang)</t>
  </si>
  <si>
    <t>Microphysogobio fukiensis</t>
  </si>
  <si>
    <t>fjx</t>
  </si>
  <si>
    <t>Micfu</t>
  </si>
  <si>
    <t>Microphysogobio microstomus</t>
  </si>
  <si>
    <t>xkx</t>
  </si>
  <si>
    <t>Micmi</t>
  </si>
  <si>
    <t>Microphysogobio kachekensis</t>
  </si>
  <si>
    <t>Micka</t>
  </si>
  <si>
    <t>Microphysogobio kiatingensis</t>
  </si>
  <si>
    <t>Micki</t>
  </si>
  <si>
    <t>Microphysogobio labeoides</t>
  </si>
  <si>
    <t>slx</t>
  </si>
  <si>
    <t>Micla</t>
  </si>
  <si>
    <t>Microphysogobio lingheensis</t>
  </si>
  <si>
    <t>lhx</t>
  </si>
  <si>
    <t>Micli</t>
  </si>
  <si>
    <t>Xie</t>
  </si>
  <si>
    <t>Microphysogobio tafangensis</t>
  </si>
  <si>
    <t>jdx</t>
  </si>
  <si>
    <t>Micta</t>
  </si>
  <si>
    <t>Microphysogobio tungtingensis</t>
  </si>
  <si>
    <t>dtx</t>
  </si>
  <si>
    <t>Mictu</t>
  </si>
  <si>
    <t>Microphysogobio yunnanensis</t>
  </si>
  <si>
    <t>Micyu</t>
  </si>
  <si>
    <t>Paracanthobrama guichenoti</t>
  </si>
  <si>
    <t>Pargu</t>
  </si>
  <si>
    <t>Paracanthobrama umbrifer</t>
  </si>
  <si>
    <t>Parum</t>
  </si>
  <si>
    <t>Paraleucogobio notacantus</t>
  </si>
  <si>
    <t>sbj</t>
  </si>
  <si>
    <t>Parno</t>
  </si>
  <si>
    <t>Paraleucogobio strigatus</t>
  </si>
  <si>
    <t>Parst</t>
  </si>
  <si>
    <t>Platysmacheilus exiguus</t>
  </si>
  <si>
    <t>pcj</t>
  </si>
  <si>
    <t>Plaex</t>
  </si>
  <si>
    <t>Platysmacheilus longibarbatus</t>
  </si>
  <si>
    <t>Plalo</t>
  </si>
  <si>
    <t>Platysmacheilus nudiventris</t>
  </si>
  <si>
    <t>lfp</t>
  </si>
  <si>
    <t>Planu</t>
  </si>
  <si>
    <t>Pseudogobio vaillanti</t>
  </si>
  <si>
    <t>sj</t>
  </si>
  <si>
    <t>Pseva</t>
  </si>
  <si>
    <t>Pseudogobio guilienesis</t>
  </si>
  <si>
    <t>Psegu</t>
  </si>
  <si>
    <t>Yao et Yang</t>
  </si>
  <si>
    <t>Pseudorasbora elongata</t>
  </si>
  <si>
    <t>cmh</t>
  </si>
  <si>
    <t>Pseel</t>
  </si>
  <si>
    <t>Pseudorasbora parva</t>
  </si>
  <si>
    <t>mhy</t>
  </si>
  <si>
    <t>Psepa</t>
  </si>
  <si>
    <t>(Tamminck et Schlegel)</t>
  </si>
  <si>
    <t>Pungtungia herzi</t>
  </si>
  <si>
    <t>bwj</t>
  </si>
  <si>
    <t>Punhe</t>
  </si>
  <si>
    <t>Rhinogobio cylindricus</t>
  </si>
  <si>
    <t>ytw</t>
  </si>
  <si>
    <t>Rhicy</t>
  </si>
  <si>
    <t>Rhinogobio hunanensis</t>
  </si>
  <si>
    <t>hnw</t>
  </si>
  <si>
    <t>Rhihu</t>
  </si>
  <si>
    <t>Rhinogobio nasutus</t>
  </si>
  <si>
    <t>dbw</t>
  </si>
  <si>
    <t>Rhina</t>
  </si>
  <si>
    <t>Rhinogobio typus</t>
  </si>
  <si>
    <t>wj</t>
  </si>
  <si>
    <t>Rhity</t>
  </si>
  <si>
    <t>Rhinogobio ventralis</t>
  </si>
  <si>
    <t>cqw</t>
  </si>
  <si>
    <t>Rhive</t>
  </si>
  <si>
    <t>Sauvage et Dabry</t>
  </si>
  <si>
    <t>Rostrogobio amurensis</t>
  </si>
  <si>
    <t>twj</t>
  </si>
  <si>
    <t>Rosam</t>
  </si>
  <si>
    <t>Taranetz</t>
  </si>
  <si>
    <t>Rostrogobio liaoheensis</t>
  </si>
  <si>
    <t>lht</t>
  </si>
  <si>
    <t>Rosli</t>
  </si>
  <si>
    <t>Sarcocheilichthys davidi</t>
  </si>
  <si>
    <t>cxq</t>
  </si>
  <si>
    <t>Sarda</t>
  </si>
  <si>
    <t>Sarcocheilichthys kiangsiensis</t>
  </si>
  <si>
    <t>jxq</t>
  </si>
  <si>
    <t>Sarki</t>
  </si>
  <si>
    <t>Sarcocheilichthys lacustris</t>
  </si>
  <si>
    <t>dbq</t>
  </si>
  <si>
    <t>Sarla</t>
  </si>
  <si>
    <t>Sarcocheilichthys nigripinnis</t>
  </si>
  <si>
    <t>hqq</t>
  </si>
  <si>
    <t>Sarni</t>
  </si>
  <si>
    <t>Sarcocheilichthys czerskii</t>
  </si>
  <si>
    <t>Sarcz</t>
  </si>
  <si>
    <t>Sarcocheilichthys parvus</t>
  </si>
  <si>
    <t>Sarpa</t>
  </si>
  <si>
    <t>Sarcocheilichthys sinensis</t>
  </si>
  <si>
    <t>hq</t>
  </si>
  <si>
    <t>fjh</t>
  </si>
  <si>
    <t>hqz</t>
  </si>
  <si>
    <t>Saurogobio dabryi</t>
  </si>
  <si>
    <t>Sauda</t>
  </si>
  <si>
    <t>Saurogobio dumerili</t>
  </si>
  <si>
    <t>csj</t>
  </si>
  <si>
    <t>Saudu</t>
  </si>
  <si>
    <t>Saurogobio gracilicaudatus</t>
  </si>
  <si>
    <t>Saurogobio gymnocheilus</t>
  </si>
  <si>
    <t>Saugy</t>
  </si>
  <si>
    <t>Saurogobio immaculatus</t>
  </si>
  <si>
    <t>wbs</t>
  </si>
  <si>
    <t>Sauim</t>
  </si>
  <si>
    <t>Koller</t>
  </si>
  <si>
    <t>Saurogobio xiangjiangensis</t>
  </si>
  <si>
    <t>xjs</t>
  </si>
  <si>
    <t>Sauxi</t>
  </si>
  <si>
    <t>Squalidus argentatus</t>
  </si>
  <si>
    <t>yj</t>
  </si>
  <si>
    <t>Squar</t>
  </si>
  <si>
    <t>Squalidus atromaculatus</t>
  </si>
  <si>
    <t>aby</t>
  </si>
  <si>
    <t>Squat</t>
  </si>
  <si>
    <t>Squalidus chankaensis</t>
  </si>
  <si>
    <t>xky</t>
  </si>
  <si>
    <t>Squch</t>
  </si>
  <si>
    <t>Squalidus iijimae</t>
  </si>
  <si>
    <t>Squii</t>
  </si>
  <si>
    <t>Squalidus intermedius</t>
  </si>
  <si>
    <t>zjy</t>
  </si>
  <si>
    <t>Squin</t>
  </si>
  <si>
    <t>Squalidus nitens</t>
  </si>
  <si>
    <t>Squni</t>
  </si>
  <si>
    <t>Squalidus minor</t>
  </si>
  <si>
    <t>Squalidus woltestorffi</t>
  </si>
  <si>
    <t>hpd</t>
  </si>
  <si>
    <t>Squwo</t>
  </si>
  <si>
    <t>Wu et Wu</t>
  </si>
  <si>
    <t>Aspiorhynchus laticeps</t>
  </si>
  <si>
    <t>bwy</t>
  </si>
  <si>
    <t>Aspla</t>
  </si>
  <si>
    <t>Chuanchia labiosa</t>
  </si>
  <si>
    <t>gch</t>
  </si>
  <si>
    <t>Chula</t>
  </si>
  <si>
    <t>Diptychus maculatus</t>
  </si>
  <si>
    <t>bzc</t>
  </si>
  <si>
    <t>Dipma</t>
  </si>
  <si>
    <t>Steindachner</t>
  </si>
  <si>
    <t>Gymnocypris chilianensis</t>
  </si>
  <si>
    <t>qll</t>
  </si>
  <si>
    <t>Li et Chang</t>
  </si>
  <si>
    <t>Gymnocypris chui</t>
  </si>
  <si>
    <t>lgh</t>
  </si>
  <si>
    <t>Tchang, Yueh et Hwang</t>
  </si>
  <si>
    <t>Gymnocypris dobula</t>
  </si>
  <si>
    <t>rcl</t>
  </si>
  <si>
    <t>Gymdo</t>
  </si>
  <si>
    <t>Gymnocypris eckloni</t>
  </si>
  <si>
    <t>Gymec</t>
  </si>
  <si>
    <t>Gymnocypris firmispinatus</t>
  </si>
  <si>
    <t>ycl</t>
  </si>
  <si>
    <t>Gymnocypris potanini</t>
  </si>
  <si>
    <t>Gymnocypris przewalskii</t>
  </si>
  <si>
    <t>qhh</t>
  </si>
  <si>
    <t>Gympr</t>
  </si>
  <si>
    <t>Zhu et Wu</t>
  </si>
  <si>
    <t>Gymnocypris scolistomus</t>
  </si>
  <si>
    <t>xkl</t>
  </si>
  <si>
    <t>Gymsc</t>
  </si>
  <si>
    <t>Gymnocypris waddelli</t>
  </si>
  <si>
    <t>gyl</t>
  </si>
  <si>
    <t>Gymwa</t>
  </si>
  <si>
    <t>Gymnodiptychus dybowskii</t>
  </si>
  <si>
    <t>xjl</t>
  </si>
  <si>
    <t>Gymdy</t>
  </si>
  <si>
    <t>Gymnodiptychus integrigymnatus</t>
  </si>
  <si>
    <t>Gymin</t>
  </si>
  <si>
    <t>Gymnodiptychus pachycheilus</t>
  </si>
  <si>
    <t>hcl</t>
  </si>
  <si>
    <t>Gympa</t>
  </si>
  <si>
    <t>Oxygymnocypris stewarti</t>
  </si>
  <si>
    <t>jll</t>
  </si>
  <si>
    <t>Oxyst</t>
  </si>
  <si>
    <t>(Lloyd)</t>
  </si>
  <si>
    <t>Platypharodon extremus</t>
  </si>
  <si>
    <t>byc</t>
  </si>
  <si>
    <t>Ptychobarbus chungtienensis</t>
  </si>
  <si>
    <t>Ptych</t>
  </si>
  <si>
    <t>(Tsao)</t>
  </si>
  <si>
    <t>Huang et Chen</t>
  </si>
  <si>
    <t>Ptychobarbus conirostris</t>
  </si>
  <si>
    <t>zwy</t>
  </si>
  <si>
    <t>Ptyco</t>
  </si>
  <si>
    <t>Ptychobarbus dipogon</t>
  </si>
  <si>
    <t>sxy</t>
  </si>
  <si>
    <t>Ptydi</t>
  </si>
  <si>
    <t>Ptychobarbus kaznakovi</t>
  </si>
  <si>
    <t>lfy</t>
  </si>
  <si>
    <t>Ptyka</t>
  </si>
  <si>
    <t>Nikolsky</t>
  </si>
  <si>
    <t>Racoma argentatus</t>
  </si>
  <si>
    <t>ysg</t>
  </si>
  <si>
    <t>Racar</t>
  </si>
  <si>
    <t>Kessler</t>
  </si>
  <si>
    <t>Racoma biddulphi</t>
  </si>
  <si>
    <t>tlm</t>
  </si>
  <si>
    <t>Racbi</t>
  </si>
  <si>
    <t>Racoma chongi</t>
  </si>
  <si>
    <t>Racch</t>
  </si>
  <si>
    <t>Racoma curvilabiata</t>
  </si>
  <si>
    <t>Raccu</t>
  </si>
  <si>
    <t>Wu et Tsao</t>
  </si>
  <si>
    <t>Racoma davidi</t>
  </si>
  <si>
    <t>zkg</t>
  </si>
  <si>
    <t>Racda</t>
  </si>
  <si>
    <t>Racoma dolichonema</t>
  </si>
  <si>
    <t>csg</t>
  </si>
  <si>
    <t>Racdo</t>
  </si>
  <si>
    <t>Racoma esocina</t>
  </si>
  <si>
    <t>bzg</t>
  </si>
  <si>
    <t>Races</t>
  </si>
  <si>
    <t>(Heckel)</t>
  </si>
  <si>
    <t>Racoma eurystomus</t>
  </si>
  <si>
    <t>Raceu</t>
  </si>
  <si>
    <t>Racoma gongshanensis</t>
  </si>
  <si>
    <t>Racgo</t>
  </si>
  <si>
    <t>Tsao</t>
  </si>
  <si>
    <t>Racoma grahami</t>
  </si>
  <si>
    <t>Racgr</t>
  </si>
  <si>
    <t>Racoma griseus</t>
  </si>
  <si>
    <t>Racoma heterochilus</t>
  </si>
  <si>
    <t>Rache</t>
  </si>
  <si>
    <t>Racoma integrilabiata</t>
  </si>
  <si>
    <t>Racin</t>
  </si>
  <si>
    <t>Wu et al</t>
  </si>
  <si>
    <t>Racoma intermedia</t>
  </si>
  <si>
    <t>zcg</t>
  </si>
  <si>
    <t>Racoma kozlovi</t>
  </si>
  <si>
    <t>scg</t>
  </si>
  <si>
    <t>Racko</t>
  </si>
  <si>
    <t>Racoma labiata</t>
  </si>
  <si>
    <t>Racla</t>
  </si>
  <si>
    <t>Racoma labrosus</t>
  </si>
  <si>
    <t>(Wang, Zhuang et Gao)</t>
  </si>
  <si>
    <t>Racoma lantsangensis</t>
  </si>
  <si>
    <t>lcg</t>
  </si>
  <si>
    <t>Racoma lissolabiatus</t>
  </si>
  <si>
    <t>gcg</t>
  </si>
  <si>
    <t>Racli</t>
  </si>
  <si>
    <t>Racoma longibarbus</t>
  </si>
  <si>
    <t>cxg</t>
  </si>
  <si>
    <t>Raclo</t>
  </si>
  <si>
    <t>Racoma macropogon</t>
  </si>
  <si>
    <t>Racma</t>
  </si>
  <si>
    <t>(Renan)</t>
  </si>
  <si>
    <t>Racoma microstomus</t>
  </si>
  <si>
    <t>xkg</t>
  </si>
  <si>
    <t>Racmi</t>
  </si>
  <si>
    <t>(Huang)</t>
  </si>
  <si>
    <t>Racoma ninglangensis</t>
  </si>
  <si>
    <t>nwg</t>
  </si>
  <si>
    <t>Racni</t>
  </si>
  <si>
    <t>(Wang, Zhang et Zhuang)</t>
  </si>
  <si>
    <t>Racoma nukiangensis</t>
  </si>
  <si>
    <t>njg</t>
  </si>
  <si>
    <t>Racnu</t>
  </si>
  <si>
    <t>Racoma oconnori</t>
  </si>
  <si>
    <t>Racoc</t>
  </si>
  <si>
    <t>Racoma parvus</t>
  </si>
  <si>
    <t>Racpa</t>
  </si>
  <si>
    <t>Racoma prenanti</t>
  </si>
  <si>
    <t>qkg</t>
  </si>
  <si>
    <t>Racpr</t>
  </si>
  <si>
    <t>Racoma pseudaksaiensis</t>
  </si>
  <si>
    <t>Racps</t>
  </si>
  <si>
    <t>(Herzenstein)</t>
  </si>
  <si>
    <t>Racoma scleracantha</t>
  </si>
  <si>
    <t>Racsc</t>
  </si>
  <si>
    <t>(Wu et Chen)</t>
  </si>
  <si>
    <t>Racoma sinensis</t>
  </si>
  <si>
    <t>Racsi</t>
  </si>
  <si>
    <t>Racoma taliensis</t>
  </si>
  <si>
    <t>Racta</t>
  </si>
  <si>
    <t>Racoma waltoni</t>
  </si>
  <si>
    <t>Racwa</t>
  </si>
  <si>
    <t>Racoma wangchiachii</t>
  </si>
  <si>
    <t>dxg</t>
  </si>
  <si>
    <t>Racoma yunnanensis</t>
  </si>
  <si>
    <t>Racyu</t>
  </si>
  <si>
    <t>bsg</t>
  </si>
  <si>
    <t>Schizopygopsis anteroventris</t>
  </si>
  <si>
    <t>qfl</t>
  </si>
  <si>
    <t>Schan</t>
  </si>
  <si>
    <t>Schizopygopsis baoxingensis</t>
  </si>
  <si>
    <t>bxl</t>
  </si>
  <si>
    <t>Schba</t>
  </si>
  <si>
    <t>Fu, Ding et Ye</t>
  </si>
  <si>
    <t>Schizopygopsis kessleri</t>
  </si>
  <si>
    <t>cdm</t>
  </si>
  <si>
    <t>Schke</t>
  </si>
  <si>
    <t>Schizopygopsis kialingensis</t>
  </si>
  <si>
    <t>Schki</t>
  </si>
  <si>
    <t>Tsao et Tun</t>
  </si>
  <si>
    <t>Schizopygopsis malacanthus</t>
  </si>
  <si>
    <t>Schma</t>
  </si>
  <si>
    <t>ddr</t>
  </si>
  <si>
    <t>Schizopygopsis microcephalus</t>
  </si>
  <si>
    <t>xtl</t>
  </si>
  <si>
    <t>Schmi</t>
  </si>
  <si>
    <t>Schizopygopsis pylzovi</t>
  </si>
  <si>
    <t>hhl</t>
  </si>
  <si>
    <t>Schpy</t>
  </si>
  <si>
    <t>Schizopygopsis stoliczkae</t>
  </si>
  <si>
    <t>Schst</t>
  </si>
  <si>
    <t>mpy</t>
  </si>
  <si>
    <t>Wa et Chu</t>
  </si>
  <si>
    <t>Schizopygopsis thermalis</t>
  </si>
  <si>
    <t>wql</t>
  </si>
  <si>
    <t>Schth</t>
  </si>
  <si>
    <t>Herzecnstein</t>
  </si>
  <si>
    <t>Schizopygopsis younghusbandi</t>
  </si>
  <si>
    <t>lsl</t>
  </si>
  <si>
    <t>Schyo</t>
  </si>
  <si>
    <t>xml</t>
  </si>
  <si>
    <t>arl</t>
  </si>
  <si>
    <t>Schizothorax cryptolepis</t>
  </si>
  <si>
    <t>yll</t>
  </si>
  <si>
    <t>Schcr</t>
  </si>
  <si>
    <t>Fu et Ye</t>
  </si>
  <si>
    <t>Schizothorax dulongensis</t>
  </si>
  <si>
    <t>dll</t>
  </si>
  <si>
    <t>Schdu</t>
  </si>
  <si>
    <t>Schizothorax elongatus</t>
  </si>
  <si>
    <t>Schel</t>
  </si>
  <si>
    <t>Schizothorax malacanthus</t>
  </si>
  <si>
    <t>Schizothorax meridionalis</t>
  </si>
  <si>
    <t>nfl</t>
  </si>
  <si>
    <t>Schme</t>
  </si>
  <si>
    <t>Schizothorax molesworthi</t>
  </si>
  <si>
    <t>mtl</t>
  </si>
  <si>
    <t>Schmo</t>
  </si>
  <si>
    <t>Schizothorax myzostomus</t>
  </si>
  <si>
    <t>Schmy</t>
  </si>
  <si>
    <t>Schizothorax oligolepis</t>
  </si>
  <si>
    <t>sll</t>
  </si>
  <si>
    <t>Schol</t>
  </si>
  <si>
    <t>Schizothorax plagiostomus</t>
  </si>
  <si>
    <t>hkl</t>
  </si>
  <si>
    <t>Schpl</t>
  </si>
  <si>
    <t>Heckel</t>
  </si>
  <si>
    <t>Schizothorax rotundimaxillaria</t>
  </si>
  <si>
    <t>Schro</t>
  </si>
  <si>
    <t>Carassioides cantonensis</t>
  </si>
  <si>
    <t>xj</t>
  </si>
  <si>
    <t>(Heincke)</t>
  </si>
  <si>
    <t>Carassius auratus</t>
  </si>
  <si>
    <t>Carau</t>
  </si>
  <si>
    <t>jzm</t>
  </si>
  <si>
    <t>Carassius carassius</t>
  </si>
  <si>
    <t>mj</t>
  </si>
  <si>
    <t>Cyprinus acutidorsalis</t>
  </si>
  <si>
    <t>jql</t>
  </si>
  <si>
    <t>Cypac</t>
  </si>
  <si>
    <t>Cyprinus carpio</t>
  </si>
  <si>
    <t>Cypca</t>
  </si>
  <si>
    <t>Wu et al.</t>
  </si>
  <si>
    <t>Lacepede</t>
  </si>
  <si>
    <t>Cyprinus crassilabris</t>
  </si>
  <si>
    <t>Cypcr</t>
  </si>
  <si>
    <t>Chen et Hwang</t>
  </si>
  <si>
    <t>Cyprinus ilishaectomus</t>
  </si>
  <si>
    <t>qzl</t>
  </si>
  <si>
    <t>Cypil</t>
  </si>
  <si>
    <t>Cyprinus longipectoralis</t>
  </si>
  <si>
    <t>Cyplo</t>
  </si>
  <si>
    <t>Cyprinus longzhouensis</t>
  </si>
  <si>
    <t>lzl</t>
  </si>
  <si>
    <t>Yang et Hwang</t>
  </si>
  <si>
    <t>Cyprinus megalophthalmus</t>
  </si>
  <si>
    <t>Cypme</t>
  </si>
  <si>
    <t>Cyprinus micristius</t>
  </si>
  <si>
    <t>Cypmi</t>
  </si>
  <si>
    <t>wxx</t>
  </si>
  <si>
    <t>Yang et al.</t>
  </si>
  <si>
    <t>xlz</t>
  </si>
  <si>
    <t>Cyprinus multitaeniata</t>
  </si>
  <si>
    <t>sjl</t>
  </si>
  <si>
    <t>Cypmu</t>
  </si>
  <si>
    <t>Pellegrin et Chevey</t>
  </si>
  <si>
    <t>Cyprinus pellegrini</t>
  </si>
  <si>
    <t>dtl</t>
  </si>
  <si>
    <t>Cyppe</t>
  </si>
  <si>
    <t>ehd</t>
  </si>
  <si>
    <t>Cyprinus qionghaiensis</t>
  </si>
  <si>
    <t>khl</t>
  </si>
  <si>
    <t>Cypqi</t>
  </si>
  <si>
    <t>Cyprinus yilongensis</t>
  </si>
  <si>
    <t>Cypyi</t>
  </si>
  <si>
    <t>Cyprinus yunnanensis</t>
  </si>
  <si>
    <t>ynl</t>
  </si>
  <si>
    <t>Cypyu</t>
  </si>
  <si>
    <t>Procypris merus</t>
  </si>
  <si>
    <t>wyl</t>
  </si>
  <si>
    <t>Prome</t>
  </si>
  <si>
    <t>Procypris rabaudi</t>
  </si>
  <si>
    <t>yyl</t>
  </si>
  <si>
    <t>Prora</t>
  </si>
  <si>
    <t>Puntioplites proctozysron</t>
  </si>
  <si>
    <t>bl</t>
  </si>
  <si>
    <t>Punpr</t>
  </si>
  <si>
    <t>Puntioplites waandersi</t>
  </si>
  <si>
    <t>zwb</t>
  </si>
  <si>
    <t>Punwa</t>
  </si>
  <si>
    <t>Gobiobotia abbreviata</t>
  </si>
  <si>
    <t>dsq</t>
  </si>
  <si>
    <t>Gobab</t>
  </si>
  <si>
    <t>Xenophysogobio boulengeri</t>
  </si>
  <si>
    <t>ybq</t>
  </si>
  <si>
    <t>Xenbo</t>
  </si>
  <si>
    <t>Gobiobotia brevirostris</t>
  </si>
  <si>
    <t>Gobbr</t>
  </si>
  <si>
    <t>Chen et Tsao</t>
  </si>
  <si>
    <t>Gobiobotia cheni</t>
  </si>
  <si>
    <t>twq</t>
  </si>
  <si>
    <t>Gobch</t>
  </si>
  <si>
    <t>Banarescu et Nalbant</t>
  </si>
  <si>
    <t>Gobiobotia filifer</t>
  </si>
  <si>
    <t>ycq</t>
  </si>
  <si>
    <t>Gobfi</t>
  </si>
  <si>
    <t>Gobiobotia guilinensis</t>
  </si>
  <si>
    <t>Gobgu</t>
  </si>
  <si>
    <t>Gobiobotia homalopteroidea</t>
  </si>
  <si>
    <t>pqq</t>
  </si>
  <si>
    <t>Gobho</t>
  </si>
  <si>
    <t>Rendahl</t>
  </si>
  <si>
    <t>Gobiobotia kolleri</t>
  </si>
  <si>
    <t>hnq</t>
  </si>
  <si>
    <t>Gobko</t>
  </si>
  <si>
    <t>Gobiobotia longibarba</t>
  </si>
  <si>
    <t>Goblo</t>
  </si>
  <si>
    <t>Gobiobotia meridionalis</t>
  </si>
  <si>
    <t>nfq</t>
  </si>
  <si>
    <t>Xenophysogobio nudicorpa</t>
  </si>
  <si>
    <t>Xennu</t>
  </si>
  <si>
    <t>(Huang et Zhang)</t>
  </si>
  <si>
    <t>Gobiobotia pappenheimi</t>
  </si>
  <si>
    <t>fsq</t>
  </si>
  <si>
    <t>Gobpa</t>
  </si>
  <si>
    <t>Kreyenberg</t>
  </si>
  <si>
    <t>Gobiobotia paucirastella</t>
  </si>
  <si>
    <t>sbq</t>
  </si>
  <si>
    <t>Zheng et Yan</t>
  </si>
  <si>
    <t>Gobiobotia tungi</t>
  </si>
  <si>
    <t>Gobtu</t>
  </si>
  <si>
    <t>Aristichthys nobilis</t>
  </si>
  <si>
    <t>y</t>
  </si>
  <si>
    <t>Arino</t>
  </si>
  <si>
    <t>Hypophthalmichthys harmandi</t>
  </si>
  <si>
    <t>Hypha</t>
  </si>
  <si>
    <t>Sauvage</t>
  </si>
  <si>
    <t>Hypophthalmichthys molitrix</t>
  </si>
  <si>
    <t>Hypmo</t>
  </si>
  <si>
    <t>Psilorhynchidae sp.</t>
  </si>
  <si>
    <t>lwy</t>
  </si>
  <si>
    <t>Psi</t>
  </si>
  <si>
    <t>Psilorhynchus homaloptera</t>
  </si>
  <si>
    <t>pql</t>
  </si>
  <si>
    <t>Psiho</t>
  </si>
  <si>
    <t>Hora et Mukerji</t>
  </si>
  <si>
    <t>Cobitidae sp.</t>
  </si>
  <si>
    <t>qk</t>
  </si>
  <si>
    <t>Cob</t>
  </si>
  <si>
    <t>Aborichthys kempi</t>
  </si>
  <si>
    <t>mta</t>
  </si>
  <si>
    <t>Aboke</t>
  </si>
  <si>
    <t>Barbatula altayensis</t>
  </si>
  <si>
    <t>Baral</t>
  </si>
  <si>
    <t>Zhu</t>
  </si>
  <si>
    <t>Barbatula barbatula</t>
  </si>
  <si>
    <t>bfx</t>
  </si>
  <si>
    <t>(Linneaus)</t>
  </si>
  <si>
    <t>Barbatula labiata</t>
  </si>
  <si>
    <t>hcx</t>
  </si>
  <si>
    <t>Barbatula microphthalma</t>
  </si>
  <si>
    <t>xyx</t>
  </si>
  <si>
    <t>Barmi</t>
  </si>
  <si>
    <t>Heminoemacheilus zhengbaoshani</t>
  </si>
  <si>
    <t>Hemzh</t>
  </si>
  <si>
    <t>Zhu et Cao</t>
  </si>
  <si>
    <t>Lefua costata</t>
  </si>
  <si>
    <t>bq</t>
  </si>
  <si>
    <t>Lefco</t>
  </si>
  <si>
    <t>Micronemacheilus pulcher</t>
  </si>
  <si>
    <t>mlx</t>
  </si>
  <si>
    <t>Micpu</t>
  </si>
  <si>
    <t>Nemacheilus macrotaenia</t>
  </si>
  <si>
    <t>dbt</t>
  </si>
  <si>
    <t>Nemma</t>
  </si>
  <si>
    <t>Yang</t>
  </si>
  <si>
    <t>Nemacheilus obscurus</t>
  </si>
  <si>
    <t>awt</t>
  </si>
  <si>
    <t>Nemob</t>
  </si>
  <si>
    <t>Nemacheilus polytaenia</t>
  </si>
  <si>
    <t>dwt</t>
  </si>
  <si>
    <t>Nempo</t>
  </si>
  <si>
    <t>Nemacheilus putaoensis</t>
  </si>
  <si>
    <t>ptt</t>
  </si>
  <si>
    <t>Nempu</t>
  </si>
  <si>
    <t>Nemacheilus schultzi</t>
  </si>
  <si>
    <t>dlt</t>
  </si>
  <si>
    <t>Nemacheilus shuangjiangensis</t>
  </si>
  <si>
    <t>sjt</t>
  </si>
  <si>
    <t>Nemsh</t>
  </si>
  <si>
    <t>Zhu et Wang</t>
  </si>
  <si>
    <t>Nemacheilus subfuscus</t>
  </si>
  <si>
    <t>qzt</t>
  </si>
  <si>
    <t>Nemsu</t>
  </si>
  <si>
    <t>Nemacheilus yingjiangensis</t>
  </si>
  <si>
    <t>yjt</t>
  </si>
  <si>
    <t>Nemyi</t>
  </si>
  <si>
    <t>Neonoemacheilus labeosus</t>
  </si>
  <si>
    <t>Neola</t>
  </si>
  <si>
    <t>(Kottelat)</t>
  </si>
  <si>
    <t>Neonoemacheilus mengdingensis</t>
  </si>
  <si>
    <t>mdx</t>
  </si>
  <si>
    <t>Neome</t>
  </si>
  <si>
    <t>Zhu et Guo</t>
  </si>
  <si>
    <t>Oreonectes anophthalmus</t>
  </si>
  <si>
    <t>wyp</t>
  </si>
  <si>
    <t>Orean</t>
  </si>
  <si>
    <t>Zheng</t>
  </si>
  <si>
    <t>Oreonectes furcocaudalis</t>
  </si>
  <si>
    <t>Orefu</t>
  </si>
  <si>
    <t>Oreonectes platycephalus</t>
  </si>
  <si>
    <t>ptq</t>
  </si>
  <si>
    <t>Orepl</t>
  </si>
  <si>
    <t>Paracobitis acuticephala</t>
  </si>
  <si>
    <t>jtf</t>
  </si>
  <si>
    <t>Zhou et He</t>
  </si>
  <si>
    <t>Paracobitis anguillioides</t>
  </si>
  <si>
    <t>nmf</t>
  </si>
  <si>
    <t>Paran</t>
  </si>
  <si>
    <t>Paracobitis erhaiensis</t>
  </si>
  <si>
    <t>ehf</t>
  </si>
  <si>
    <t>Parer</t>
  </si>
  <si>
    <t>Paracobitis oligolepis</t>
  </si>
  <si>
    <t>glf</t>
  </si>
  <si>
    <t>Parol</t>
  </si>
  <si>
    <t>Cao et Zhu</t>
  </si>
  <si>
    <t>Paracobitis potanini</t>
  </si>
  <si>
    <t>dtf</t>
  </si>
  <si>
    <t>Parpo</t>
  </si>
  <si>
    <t>Paracobitis variegatus</t>
  </si>
  <si>
    <t>hwf</t>
  </si>
  <si>
    <t>Parva</t>
  </si>
  <si>
    <t>Paracobitis wujiangensis</t>
  </si>
  <si>
    <t>wjf</t>
  </si>
  <si>
    <t>Parwu</t>
  </si>
  <si>
    <t>Ding et Deng</t>
  </si>
  <si>
    <t>Paranemachilus genilepis</t>
  </si>
  <si>
    <t>xly</t>
  </si>
  <si>
    <t>Parge</t>
  </si>
  <si>
    <t>Schistura bucculentus</t>
  </si>
  <si>
    <t>gxn</t>
  </si>
  <si>
    <t>Schbu</t>
  </si>
  <si>
    <t>Schistura callichroma</t>
  </si>
  <si>
    <t>mbn</t>
  </si>
  <si>
    <t>Schca</t>
  </si>
  <si>
    <t>(Zhu et Wang)</t>
  </si>
  <si>
    <t>Schistura conirostris</t>
  </si>
  <si>
    <t>zwn</t>
  </si>
  <si>
    <t>Schco</t>
  </si>
  <si>
    <t>(Zhu)</t>
  </si>
  <si>
    <t>Schistura dabryi</t>
  </si>
  <si>
    <t>dsn</t>
  </si>
  <si>
    <t>Schda</t>
  </si>
  <si>
    <t>Schistura fasciolatus</t>
  </si>
  <si>
    <t>hwn</t>
  </si>
  <si>
    <t>Schfa</t>
  </si>
  <si>
    <t>Schistura gejiuensis</t>
  </si>
  <si>
    <t>gjm</t>
  </si>
  <si>
    <t>Schge</t>
  </si>
  <si>
    <t>(Chu et Chen)</t>
  </si>
  <si>
    <t>Schistura incerta</t>
  </si>
  <si>
    <t>wbn</t>
  </si>
  <si>
    <t>Schin</t>
  </si>
  <si>
    <t>Schistura laterivittata</t>
  </si>
  <si>
    <t>cdn</t>
  </si>
  <si>
    <t>Schla</t>
  </si>
  <si>
    <t>Schistura latifasciata</t>
  </si>
  <si>
    <t>kwn</t>
  </si>
  <si>
    <t>Schistura longus</t>
  </si>
  <si>
    <t>cnq</t>
  </si>
  <si>
    <t>Schlo</t>
  </si>
  <si>
    <t>Schistura meridionalis</t>
  </si>
  <si>
    <t>nfn</t>
  </si>
  <si>
    <t>Schistura nandingensis</t>
  </si>
  <si>
    <t>ndn</t>
  </si>
  <si>
    <t>Schna</t>
  </si>
  <si>
    <t>Schistura rara</t>
  </si>
  <si>
    <t>xyn</t>
  </si>
  <si>
    <t>Schra</t>
  </si>
  <si>
    <t>(Zhu et Cao)</t>
  </si>
  <si>
    <t>Schistura thai</t>
  </si>
  <si>
    <t>tgn</t>
  </si>
  <si>
    <t>Schistura vinciguerrae</t>
  </si>
  <si>
    <t>mwn</t>
  </si>
  <si>
    <t>Schvi</t>
  </si>
  <si>
    <t>(Hora)</t>
  </si>
  <si>
    <t>Schistura xiangxiensis</t>
  </si>
  <si>
    <t>xxm</t>
  </si>
  <si>
    <t>Schxi</t>
  </si>
  <si>
    <t>(Yang, Yuan et Liao)</t>
  </si>
  <si>
    <t>Sphaerophysa dianchiensis</t>
  </si>
  <si>
    <t>dcq</t>
  </si>
  <si>
    <t>Sphdi</t>
  </si>
  <si>
    <t>Triplophysa aliensis</t>
  </si>
  <si>
    <t>alg</t>
  </si>
  <si>
    <t>Trial</t>
  </si>
  <si>
    <t>(Wu et Zhu)</t>
  </si>
  <si>
    <t>Triplophysa alticeps</t>
  </si>
  <si>
    <t>ltg</t>
  </si>
  <si>
    <t>Triplophysa angeli</t>
  </si>
  <si>
    <t>Trian</t>
  </si>
  <si>
    <t>Triplophysa anterodorsalis</t>
  </si>
  <si>
    <t>qqg</t>
  </si>
  <si>
    <t>Triplophysa bleekeri</t>
  </si>
  <si>
    <t>Tribl</t>
  </si>
  <si>
    <t>Triplophysa bombifrons</t>
  </si>
  <si>
    <t>leg</t>
  </si>
  <si>
    <t>Tribo</t>
  </si>
  <si>
    <t>Triplophysa brevibarba</t>
  </si>
  <si>
    <t>Triplophysa cakaensis</t>
  </si>
  <si>
    <t>ckg</t>
  </si>
  <si>
    <t>Trica</t>
  </si>
  <si>
    <t>Triplophysa chondrostoma</t>
  </si>
  <si>
    <t>rkg</t>
  </si>
  <si>
    <t>Trich</t>
  </si>
  <si>
    <t>Triplophysa crassilabris</t>
  </si>
  <si>
    <t>ccg</t>
  </si>
  <si>
    <t>Tricr</t>
  </si>
  <si>
    <t>Triplophysa cuneicephala</t>
  </si>
  <si>
    <t>Tricu</t>
  </si>
  <si>
    <t>(Shaw et Tchang)</t>
  </si>
  <si>
    <t>Triplophysa dalaica</t>
  </si>
  <si>
    <t>dlh</t>
  </si>
  <si>
    <t>Trida</t>
  </si>
  <si>
    <t>Triplophysa daqiaoensis</t>
  </si>
  <si>
    <t>Triplophysa dorsalis</t>
  </si>
  <si>
    <t>Trido</t>
  </si>
  <si>
    <t>Triplophysa furva</t>
  </si>
  <si>
    <t>Trifu</t>
  </si>
  <si>
    <t>Triplophysa fuxianensis</t>
  </si>
  <si>
    <t>wxg</t>
  </si>
  <si>
    <t>Yang et Chu</t>
  </si>
  <si>
    <t>Triplophysa grahami</t>
  </si>
  <si>
    <t>Trigr</t>
  </si>
  <si>
    <t>Triplophysa heyangensis</t>
  </si>
  <si>
    <t>hyg</t>
  </si>
  <si>
    <t>Triplophysa hutjertjuensis</t>
  </si>
  <si>
    <t>hjt</t>
  </si>
  <si>
    <t>Trihu</t>
  </si>
  <si>
    <t>Triplophysa lacustris</t>
  </si>
  <si>
    <t>Trila</t>
  </si>
  <si>
    <t>Triplophysa leptosoma</t>
  </si>
  <si>
    <t>lxg</t>
  </si>
  <si>
    <t>Trile</t>
  </si>
  <si>
    <t>Triplophysa longianguis</t>
  </si>
  <si>
    <t>sxg</t>
  </si>
  <si>
    <t>Trilo</t>
  </si>
  <si>
    <t>Triplophysa macromaculatus</t>
  </si>
  <si>
    <t>Trima</t>
  </si>
  <si>
    <t>Triplophysa macrophthalma</t>
  </si>
  <si>
    <t>dyg</t>
  </si>
  <si>
    <t>Triplophysa markehenensis</t>
  </si>
  <si>
    <t>mek</t>
  </si>
  <si>
    <t>(Zhu et Wu)</t>
  </si>
  <si>
    <t>Triplophysa microphysa</t>
  </si>
  <si>
    <t>xbg</t>
  </si>
  <si>
    <t>Triplophysa microps</t>
  </si>
  <si>
    <t>Triplophysa minuta</t>
  </si>
  <si>
    <t>(Li)</t>
  </si>
  <si>
    <t>Triplophysa minxianensis</t>
  </si>
  <si>
    <t>mxg</t>
  </si>
  <si>
    <t>(Wang et Zhu)</t>
  </si>
  <si>
    <t>Triplophysa moquensis</t>
  </si>
  <si>
    <t>mqg</t>
  </si>
  <si>
    <t>Trimo</t>
  </si>
  <si>
    <t>Triplophysa nanpanjiangensis</t>
  </si>
  <si>
    <t>npj</t>
  </si>
  <si>
    <t>Trina</t>
  </si>
  <si>
    <t>Triplophysa ninglangensis</t>
  </si>
  <si>
    <t>nlg</t>
  </si>
  <si>
    <t>Triplophysa obscura</t>
  </si>
  <si>
    <t>htg</t>
  </si>
  <si>
    <t>Triplophysa orientalis</t>
  </si>
  <si>
    <t>dfg</t>
  </si>
  <si>
    <t>Trior</t>
  </si>
  <si>
    <t>Triplophysa pappenheimi</t>
  </si>
  <si>
    <t>hhg</t>
  </si>
  <si>
    <t>Tripa</t>
  </si>
  <si>
    <t>Triplophysa polymaculata</t>
  </si>
  <si>
    <t>Tripo</t>
  </si>
  <si>
    <t>Triplophysa pseudoscleroptera</t>
  </si>
  <si>
    <t>nyc</t>
  </si>
  <si>
    <t>Trips</t>
  </si>
  <si>
    <t>Triplophysa robusta</t>
  </si>
  <si>
    <t>Triro</t>
  </si>
  <si>
    <t>Triplophysa rotundiventris</t>
  </si>
  <si>
    <t>yfg</t>
  </si>
  <si>
    <t>Triplophysa scleroptera</t>
  </si>
  <si>
    <t>Triplophysa sellaefer</t>
  </si>
  <si>
    <t>slg</t>
  </si>
  <si>
    <t>Trise</t>
  </si>
  <si>
    <t>Triplophysa shilinensis</t>
  </si>
  <si>
    <t>slm</t>
  </si>
  <si>
    <t>Trish</t>
  </si>
  <si>
    <t>(Chen et Yang)</t>
  </si>
  <si>
    <t>Triplophysa siluroides</t>
  </si>
  <si>
    <t>nng</t>
  </si>
  <si>
    <t>Trisi</t>
  </si>
  <si>
    <t>Triplophysa stenura</t>
  </si>
  <si>
    <t>xwg</t>
  </si>
  <si>
    <t>Trist</t>
  </si>
  <si>
    <t>Triplophysa stewarti</t>
  </si>
  <si>
    <t>Triplophysa stoliczkae</t>
  </si>
  <si>
    <t>ssg</t>
  </si>
  <si>
    <t>Triplophysa strauchii</t>
  </si>
  <si>
    <t>mbg</t>
  </si>
  <si>
    <t>Triplophysa tenuicauda</t>
  </si>
  <si>
    <t>zwg</t>
  </si>
  <si>
    <t>Trite</t>
  </si>
  <si>
    <t>Triplophysa tenuis</t>
  </si>
  <si>
    <t>Triplophysa tibetana</t>
  </si>
  <si>
    <t>Triti</t>
  </si>
  <si>
    <t>Triplophysa turpanensis</t>
  </si>
  <si>
    <t>Tritu</t>
  </si>
  <si>
    <t>Triplophysa venusta</t>
  </si>
  <si>
    <t>Triplophysa wuweiensis</t>
  </si>
  <si>
    <t>wwg</t>
  </si>
  <si>
    <t>Triwu</t>
  </si>
  <si>
    <t>(Li et Chang)</t>
  </si>
  <si>
    <t>Triplophysa xichangensis</t>
  </si>
  <si>
    <t>Trixi</t>
  </si>
  <si>
    <t>Triplophysa yarkandensis</t>
  </si>
  <si>
    <t>yeq</t>
  </si>
  <si>
    <t>Triya</t>
  </si>
  <si>
    <t>Triplophysa yunnanensis</t>
  </si>
  <si>
    <t>Triyu</t>
  </si>
  <si>
    <t>Triplophysa zamegacephala</t>
  </si>
  <si>
    <t>Triza</t>
  </si>
  <si>
    <t>(Zhao)</t>
  </si>
  <si>
    <t>Yunnanilus altus</t>
  </si>
  <si>
    <t>Yunal</t>
  </si>
  <si>
    <t>Kottelat et Chu</t>
  </si>
  <si>
    <t>Yunnanilus analis</t>
  </si>
  <si>
    <t>cty</t>
  </si>
  <si>
    <t>Yunan</t>
  </si>
  <si>
    <t>Yunnanilus caohaiensis</t>
  </si>
  <si>
    <t>Yunca</t>
  </si>
  <si>
    <t>Yunnanilus discoloris</t>
  </si>
  <si>
    <t>ysy</t>
  </si>
  <si>
    <t>Yundi</t>
  </si>
  <si>
    <t>Yunnanilus elakatis</t>
  </si>
  <si>
    <t>fcy</t>
  </si>
  <si>
    <t>Yunel</t>
  </si>
  <si>
    <t>Yunnanilus longibulla</t>
  </si>
  <si>
    <t>Yunlo</t>
  </si>
  <si>
    <t>Yunnanilus macrogaster</t>
  </si>
  <si>
    <t>pfy</t>
  </si>
  <si>
    <t>Yunma</t>
  </si>
  <si>
    <t>Yunnanilus niger</t>
  </si>
  <si>
    <t>Yunni</t>
  </si>
  <si>
    <t>Yunnanilus nigromaculatus</t>
  </si>
  <si>
    <t>Yunnanilus pachycephalus</t>
  </si>
  <si>
    <t>kty</t>
  </si>
  <si>
    <t>Yunpa</t>
  </si>
  <si>
    <t>Yunnanilus paludosus</t>
  </si>
  <si>
    <t>zzy</t>
  </si>
  <si>
    <t>Yunnanilus parva</t>
  </si>
  <si>
    <t>Yunnanilus plenrotaenia</t>
  </si>
  <si>
    <t>cwy</t>
  </si>
  <si>
    <t>Yunpl</t>
  </si>
  <si>
    <t>Yunnanilus sichuanensis</t>
  </si>
  <si>
    <t>Yunsi</t>
  </si>
  <si>
    <t>Yunnanilus yanzonghaiensis</t>
  </si>
  <si>
    <t>yzh</t>
  </si>
  <si>
    <t>Yunya</t>
  </si>
  <si>
    <t>Botia beauforti</t>
  </si>
  <si>
    <t>bqs</t>
  </si>
  <si>
    <t>Botbe</t>
  </si>
  <si>
    <t>Smith et Chu</t>
  </si>
  <si>
    <t>Botia berdmorei</t>
  </si>
  <si>
    <t>mds</t>
  </si>
  <si>
    <t>(Blyth)</t>
  </si>
  <si>
    <t>Botia histrionica</t>
  </si>
  <si>
    <t>ylw</t>
  </si>
  <si>
    <t>Bothi</t>
  </si>
  <si>
    <t>Blyth</t>
  </si>
  <si>
    <t>Botia lucasbahi</t>
  </si>
  <si>
    <t>nfs</t>
  </si>
  <si>
    <t>Botlu</t>
  </si>
  <si>
    <t>Botia nigrolineata</t>
  </si>
  <si>
    <t>Botni</t>
  </si>
  <si>
    <t>Botia pulchra</t>
  </si>
  <si>
    <t>Botpu</t>
  </si>
  <si>
    <t>Botia reevesae</t>
  </si>
  <si>
    <t>Botre</t>
  </si>
  <si>
    <t>Botia robusta</t>
  </si>
  <si>
    <t>Botro</t>
  </si>
  <si>
    <t>Botia rostrata</t>
  </si>
  <si>
    <t>Botia superciliaris</t>
  </si>
  <si>
    <t>Botsu</t>
  </si>
  <si>
    <t>Botia yunnanensis</t>
  </si>
  <si>
    <t>Botyu</t>
  </si>
  <si>
    <t>Leptobotia curta</t>
  </si>
  <si>
    <t>Lepcu</t>
  </si>
  <si>
    <t>Leptobotia elongata</t>
  </si>
  <si>
    <t>cbq</t>
  </si>
  <si>
    <t>Lepel</t>
  </si>
  <si>
    <t>Leptobotia flavolineata</t>
  </si>
  <si>
    <t>hxb</t>
  </si>
  <si>
    <t>Lepfl</t>
  </si>
  <si>
    <t>Leptobotia guilinensis</t>
  </si>
  <si>
    <t>glb</t>
  </si>
  <si>
    <t>Lepgu</t>
  </si>
  <si>
    <t>Leptobotia hengyangensis</t>
  </si>
  <si>
    <t>hyb</t>
  </si>
  <si>
    <t>Lephe</t>
  </si>
  <si>
    <t>Leptobotia microphthalrna</t>
  </si>
  <si>
    <t>Lepmi</t>
  </si>
  <si>
    <t>Leptobotia orientalis</t>
  </si>
  <si>
    <t>dfb</t>
  </si>
  <si>
    <t>Lepor</t>
  </si>
  <si>
    <t>Xu, Fang et Wang</t>
  </si>
  <si>
    <t>Leptobotia pellegrini</t>
  </si>
  <si>
    <t>Leppe</t>
  </si>
  <si>
    <t>Leptobotia posterodoralis</t>
  </si>
  <si>
    <t>hqb</t>
  </si>
  <si>
    <t>Leppo</t>
  </si>
  <si>
    <t>Leptobotia rubrilabris</t>
  </si>
  <si>
    <t>hcb</t>
  </si>
  <si>
    <t>Lepru</t>
  </si>
  <si>
    <t>(Dabry et Thiersant)</t>
  </si>
  <si>
    <t>Leptobotia taeniops</t>
  </si>
  <si>
    <t>zbq</t>
  </si>
  <si>
    <t>Lepta</t>
  </si>
  <si>
    <t>Leptobotia tchangi</t>
  </si>
  <si>
    <t>zsb</t>
  </si>
  <si>
    <t>Leptc</t>
  </si>
  <si>
    <t>Leptobotia tientaiensis</t>
  </si>
  <si>
    <t>bhb</t>
  </si>
  <si>
    <t>Lepti</t>
  </si>
  <si>
    <t>mjb</t>
  </si>
  <si>
    <t>hsb</t>
  </si>
  <si>
    <t>Fang et Xu</t>
  </si>
  <si>
    <t>ttb</t>
  </si>
  <si>
    <t>Leptobotia zebra</t>
  </si>
  <si>
    <t>bwb</t>
  </si>
  <si>
    <t>Lepze</t>
  </si>
  <si>
    <t>Parabotia banarescui</t>
  </si>
  <si>
    <t>wcf</t>
  </si>
  <si>
    <t>(Nalbant)</t>
  </si>
  <si>
    <t>Parabotia bimaculata</t>
  </si>
  <si>
    <t>sbf</t>
  </si>
  <si>
    <t>Parbi</t>
  </si>
  <si>
    <t>Parabotia fasciata</t>
  </si>
  <si>
    <t>hbf</t>
  </si>
  <si>
    <t>Parfa</t>
  </si>
  <si>
    <t>Dabry</t>
  </si>
  <si>
    <t>Parabotia lijiangensis</t>
  </si>
  <si>
    <t>ljf</t>
  </si>
  <si>
    <t>Parli</t>
  </si>
  <si>
    <t>Parabotia maculosa</t>
  </si>
  <si>
    <t>dmf</t>
  </si>
  <si>
    <t>Parabotia parva</t>
  </si>
  <si>
    <t>xfs</t>
  </si>
  <si>
    <t>Parpa</t>
  </si>
  <si>
    <t>Acanthopsis choirorhyrchos</t>
  </si>
  <si>
    <t>mtq</t>
  </si>
  <si>
    <t>Acach</t>
  </si>
  <si>
    <t>Acanthopsoides gracilis</t>
  </si>
  <si>
    <t>ncq</t>
  </si>
  <si>
    <t>Acagr</t>
  </si>
  <si>
    <t>Cobitis arenae</t>
  </si>
  <si>
    <t>shq</t>
  </si>
  <si>
    <t>Cobar</t>
  </si>
  <si>
    <t>Cobitis granoci</t>
  </si>
  <si>
    <t>ffh</t>
  </si>
  <si>
    <t>Cobgr</t>
  </si>
  <si>
    <t>Cobitis laterimaculata</t>
  </si>
  <si>
    <t>Cobla</t>
  </si>
  <si>
    <t>Yan et Zheng</t>
  </si>
  <si>
    <t>Cobitis lutheri</t>
  </si>
  <si>
    <t>Coblu</t>
  </si>
  <si>
    <t>Cobitis macrostigma</t>
  </si>
  <si>
    <t>dbh</t>
  </si>
  <si>
    <t>Cobma</t>
  </si>
  <si>
    <t>Cobitis sinensis</t>
  </si>
  <si>
    <t>zhh</t>
  </si>
  <si>
    <t>Cobsi</t>
  </si>
  <si>
    <t>Lepidocephalus octocirrhus</t>
  </si>
  <si>
    <t>ltq</t>
  </si>
  <si>
    <t>Lepoc</t>
  </si>
  <si>
    <t>Misgurnus anguillicaudatus</t>
  </si>
  <si>
    <t>nq</t>
  </si>
  <si>
    <t>Misan</t>
  </si>
  <si>
    <t>(Cantor)</t>
  </si>
  <si>
    <t>Misgurnus bipartitus</t>
  </si>
  <si>
    <t>ffn</t>
  </si>
  <si>
    <t>Misbi</t>
  </si>
  <si>
    <t>Misgurnus mohoity</t>
  </si>
  <si>
    <t>Mismo</t>
  </si>
  <si>
    <t>Misgurnus olygoskolopos</t>
  </si>
  <si>
    <t>sln</t>
  </si>
  <si>
    <t>Misol</t>
  </si>
  <si>
    <t>Paralepidocephalus yui</t>
  </si>
  <si>
    <t>tq</t>
  </si>
  <si>
    <t>Paryu</t>
  </si>
  <si>
    <t>Paramisgurnus dabryanus</t>
  </si>
  <si>
    <t>dlf</t>
  </si>
  <si>
    <t>Parda</t>
  </si>
  <si>
    <t>Homalopteridae sp.</t>
  </si>
  <si>
    <t>Hom</t>
  </si>
  <si>
    <t>Beaufortia cyclica</t>
  </si>
  <si>
    <t>ytp</t>
  </si>
  <si>
    <t>Beacy</t>
  </si>
  <si>
    <t>Beaufortia huangguoshuensis</t>
  </si>
  <si>
    <t>pgs</t>
  </si>
  <si>
    <t>Beahu</t>
  </si>
  <si>
    <t>Zheng et Zhang</t>
  </si>
  <si>
    <t>Beaufortia kweichowensis</t>
  </si>
  <si>
    <t>gzp</t>
  </si>
  <si>
    <t>Beakw</t>
  </si>
  <si>
    <t>Beaufortia leveretti</t>
  </si>
  <si>
    <t>pyq</t>
  </si>
  <si>
    <t>Beale</t>
  </si>
  <si>
    <t>Beaufortia liui</t>
  </si>
  <si>
    <t>cgp</t>
  </si>
  <si>
    <t>Beali</t>
  </si>
  <si>
    <t>Beaufortia pingi</t>
  </si>
  <si>
    <t>tbp</t>
  </si>
  <si>
    <t>Beapi</t>
  </si>
  <si>
    <t>Beaufortia polylepis</t>
  </si>
  <si>
    <t>dlp</t>
  </si>
  <si>
    <t>Beapo</t>
  </si>
  <si>
    <t>Beaufortia szechuanensis</t>
  </si>
  <si>
    <t>scp</t>
  </si>
  <si>
    <t>Beasz</t>
  </si>
  <si>
    <t>Crossostoma davidi</t>
  </si>
  <si>
    <t>ykq</t>
  </si>
  <si>
    <t>Croda</t>
  </si>
  <si>
    <t>Crossostoma fascicauda</t>
  </si>
  <si>
    <t>Crofa</t>
  </si>
  <si>
    <t>Crossostoma lacustre</t>
  </si>
  <si>
    <t>Crossostoma paucisquama</t>
  </si>
  <si>
    <t>sly</t>
  </si>
  <si>
    <t>Cropa</t>
  </si>
  <si>
    <t>Crossostoma stigmata</t>
  </si>
  <si>
    <t>Crost</t>
  </si>
  <si>
    <t>Crossostoma tinkhami</t>
  </si>
  <si>
    <t>Croti</t>
  </si>
  <si>
    <t>Herre</t>
  </si>
  <si>
    <t>Liniparhomaloptera disparis</t>
  </si>
  <si>
    <t>npq</t>
  </si>
  <si>
    <t>Lindi</t>
  </si>
  <si>
    <t>qzn</t>
  </si>
  <si>
    <t>Liniparhomaloptera obtusirostris</t>
  </si>
  <si>
    <t>dwn</t>
  </si>
  <si>
    <t>Linob</t>
  </si>
  <si>
    <t>Paraprotomyzon multifasciatus</t>
  </si>
  <si>
    <t>syx</t>
  </si>
  <si>
    <t>Parmu</t>
  </si>
  <si>
    <t>Pellegrin et Fang</t>
  </si>
  <si>
    <t>Plesiomyzon baotingensis</t>
  </si>
  <si>
    <t>btj</t>
  </si>
  <si>
    <t>Pleba</t>
  </si>
  <si>
    <t>Protomyzon pachychilus</t>
  </si>
  <si>
    <t>Propa</t>
  </si>
  <si>
    <t>Protomyzon sinensis</t>
  </si>
  <si>
    <t>zhy</t>
  </si>
  <si>
    <t>Prosi</t>
  </si>
  <si>
    <t>Pseudogastromyzon changtingensis</t>
  </si>
  <si>
    <t>Psech</t>
  </si>
  <si>
    <t>Liang</t>
  </si>
  <si>
    <t>dpn</t>
  </si>
  <si>
    <t>Chen et Liang</t>
  </si>
  <si>
    <t>Pseudogastromyzon cheni</t>
  </si>
  <si>
    <t>ybn</t>
  </si>
  <si>
    <t>Pseudogastromyzon fangi</t>
  </si>
  <si>
    <t>zjn</t>
  </si>
  <si>
    <t>Psefa</t>
  </si>
  <si>
    <t>Pseudogastromyzon fasciatus</t>
  </si>
  <si>
    <t>nfx</t>
  </si>
  <si>
    <t>jlj</t>
  </si>
  <si>
    <t>Pseudogastromyzon laticeps</t>
  </si>
  <si>
    <t>ktn</t>
  </si>
  <si>
    <t>Psela</t>
  </si>
  <si>
    <t>Pseudogastromyzon lianjiangensis</t>
  </si>
  <si>
    <t>ljn</t>
  </si>
  <si>
    <t>Pseli</t>
  </si>
  <si>
    <t>Pseudogastromyzon myersi</t>
  </si>
  <si>
    <t>msn</t>
  </si>
  <si>
    <t>Psemy</t>
  </si>
  <si>
    <t>Pseudogastromyzon peristictus</t>
  </si>
  <si>
    <t>Psepe</t>
  </si>
  <si>
    <t>Zheng et Li</t>
  </si>
  <si>
    <t>Vanmanenia caldwelli</t>
  </si>
  <si>
    <t>Vanca</t>
  </si>
  <si>
    <t>Vanmanenia gymnetrus</t>
  </si>
  <si>
    <t>Vangy</t>
  </si>
  <si>
    <t>Vanmanenia hainanensis</t>
  </si>
  <si>
    <t>hny</t>
  </si>
  <si>
    <t>Vanha</t>
  </si>
  <si>
    <t>Vanmanenia lineata</t>
  </si>
  <si>
    <t>xwy</t>
  </si>
  <si>
    <t>Vanli</t>
  </si>
  <si>
    <t>Vanmanenia pingchowensis</t>
  </si>
  <si>
    <t>pzy</t>
  </si>
  <si>
    <t>Vanpi</t>
  </si>
  <si>
    <t>Vanmanenia stenosoma</t>
  </si>
  <si>
    <t>Vanst</t>
  </si>
  <si>
    <t>zny</t>
  </si>
  <si>
    <t>Vanmanenia striata</t>
  </si>
  <si>
    <t>Vanmanenia xinyiensis</t>
  </si>
  <si>
    <t>xyy</t>
  </si>
  <si>
    <t>Vanxi</t>
  </si>
  <si>
    <t>Balitora brucei</t>
  </si>
  <si>
    <t>pq</t>
  </si>
  <si>
    <t>Balbr</t>
  </si>
  <si>
    <t>Balitora elongata</t>
  </si>
  <si>
    <t>Balel</t>
  </si>
  <si>
    <t>Balitora tchangi</t>
  </si>
  <si>
    <t>zsp</t>
  </si>
  <si>
    <t>Baltc</t>
  </si>
  <si>
    <t>Hemimyzon abbreviata</t>
  </si>
  <si>
    <t>Hemab</t>
  </si>
  <si>
    <t>Hemimyzon elongata</t>
  </si>
  <si>
    <t>Hemel</t>
  </si>
  <si>
    <t>(Chen et Li)</t>
  </si>
  <si>
    <t>Hemimyzon formosanum</t>
  </si>
  <si>
    <t>Hemfo</t>
  </si>
  <si>
    <t>Hemimyzon macroptera</t>
  </si>
  <si>
    <t>dqj</t>
  </si>
  <si>
    <t>Hemimyzon megalopseos</t>
  </si>
  <si>
    <t>Li et Chen</t>
  </si>
  <si>
    <t>Hemimyzon nujiangensis</t>
  </si>
  <si>
    <t>njj</t>
  </si>
  <si>
    <t>Hemnu</t>
  </si>
  <si>
    <t>(Zhang et Zheng)</t>
  </si>
  <si>
    <t>Hemimyzon pengi</t>
  </si>
  <si>
    <t>psj</t>
  </si>
  <si>
    <t>Hempe</t>
  </si>
  <si>
    <t>Hemimyzon pumilicorpora</t>
  </si>
  <si>
    <t>asj</t>
  </si>
  <si>
    <t>Hempu</t>
  </si>
  <si>
    <t>Hemimyzon sinensis</t>
  </si>
  <si>
    <t>zhj</t>
  </si>
  <si>
    <t>Hemsi</t>
  </si>
  <si>
    <t>Hemimyzon taitungensis</t>
  </si>
  <si>
    <t>tdj</t>
  </si>
  <si>
    <t>Hemta</t>
  </si>
  <si>
    <t>Tzeng et Shen</t>
  </si>
  <si>
    <t>Hemimyzon yaotanensis</t>
  </si>
  <si>
    <t>qtj</t>
  </si>
  <si>
    <t>Hemya</t>
  </si>
  <si>
    <t>Homaloptera yunnanensis</t>
  </si>
  <si>
    <t>Homyu</t>
  </si>
  <si>
    <t>Lepturichthys dolichopterus</t>
  </si>
  <si>
    <t>cql</t>
  </si>
  <si>
    <t>Lepdo</t>
  </si>
  <si>
    <t>Dai</t>
  </si>
  <si>
    <t>Lepturichthys fimbriata</t>
  </si>
  <si>
    <t>Lepfi</t>
  </si>
  <si>
    <t>Metahomaloptera omeiensis</t>
  </si>
  <si>
    <t>emh</t>
  </si>
  <si>
    <t>Metom</t>
  </si>
  <si>
    <t>Sinogastromyzon nanpanjiangensis</t>
  </si>
  <si>
    <t>Sinna</t>
  </si>
  <si>
    <t>Sinogastromyzon puliensis</t>
  </si>
  <si>
    <t>plh</t>
  </si>
  <si>
    <t>Sinogastromyzon sichangensis</t>
  </si>
  <si>
    <t>xch</t>
  </si>
  <si>
    <t>Sinsi</t>
  </si>
  <si>
    <t>Sinogastromyzon szechuanensis</t>
  </si>
  <si>
    <t>Sinsz</t>
  </si>
  <si>
    <t>xsh</t>
  </si>
  <si>
    <t>Sinogastromyzon tonkinensis</t>
  </si>
  <si>
    <t>Sinogastromyzon wui</t>
  </si>
  <si>
    <t>Sinohomaloptera kwangsiensis</t>
  </si>
  <si>
    <t>gxh</t>
  </si>
  <si>
    <t>Sinkw</t>
  </si>
  <si>
    <t>Sinohomaloptera lancangjiangensis</t>
  </si>
  <si>
    <t>lcj</t>
  </si>
  <si>
    <t>Sinohomaloptera longibarbatus</t>
  </si>
  <si>
    <t>Siluridae sp.</t>
  </si>
  <si>
    <t>nk</t>
  </si>
  <si>
    <t>Sil</t>
  </si>
  <si>
    <t>Silurus gilberti</t>
  </si>
  <si>
    <t>xjn</t>
  </si>
  <si>
    <t>Silgi</t>
  </si>
  <si>
    <t>Silurus soldatovi</t>
  </si>
  <si>
    <t>htn</t>
  </si>
  <si>
    <t>Silso</t>
  </si>
  <si>
    <t>Nikolsky et Soin</t>
  </si>
  <si>
    <t>Silurus cochinchinensis</t>
  </si>
  <si>
    <t>ynn</t>
  </si>
  <si>
    <t>Silco</t>
  </si>
  <si>
    <t>Silurus microdorsalis</t>
  </si>
  <si>
    <t>xbq</t>
  </si>
  <si>
    <t>Silmi</t>
  </si>
  <si>
    <t>Silurus asotus</t>
  </si>
  <si>
    <t>n</t>
  </si>
  <si>
    <t>Silas</t>
  </si>
  <si>
    <t>Silurus mento</t>
  </si>
  <si>
    <t>kmn</t>
  </si>
  <si>
    <t>Silme</t>
  </si>
  <si>
    <t>Silurus grahami</t>
  </si>
  <si>
    <t>wxn</t>
  </si>
  <si>
    <t>Silgr</t>
  </si>
  <si>
    <t>Silurus meridionalis</t>
  </si>
  <si>
    <t>dkn</t>
  </si>
  <si>
    <t>Silurus lanzhouensis</t>
  </si>
  <si>
    <t>lzn</t>
  </si>
  <si>
    <t>Silla</t>
  </si>
  <si>
    <t>Kryptopterus moorei</t>
  </si>
  <si>
    <t>mzq</t>
  </si>
  <si>
    <t>Krymo</t>
  </si>
  <si>
    <t>Kryptopterus bleekeri</t>
  </si>
  <si>
    <t>bhq</t>
  </si>
  <si>
    <t>Krybl</t>
  </si>
  <si>
    <t>Wallago attu</t>
  </si>
  <si>
    <t>cwn</t>
  </si>
  <si>
    <t>Walat</t>
  </si>
  <si>
    <t>Hemisilurus heterorhynchus</t>
  </si>
  <si>
    <t>bn</t>
  </si>
  <si>
    <t>Hemhe</t>
  </si>
  <si>
    <t>Clariidae sp.</t>
  </si>
  <si>
    <t>hzn</t>
  </si>
  <si>
    <t>Cla</t>
  </si>
  <si>
    <t>Clarias batrachus</t>
  </si>
  <si>
    <t>hn</t>
  </si>
  <si>
    <t>Claba</t>
  </si>
  <si>
    <t>Schilbidae sp.</t>
  </si>
  <si>
    <t>dnk</t>
  </si>
  <si>
    <t>Sch</t>
  </si>
  <si>
    <t>Platytropius sinensis</t>
  </si>
  <si>
    <t>Plasi</t>
  </si>
  <si>
    <t>Platytropius longianlis</t>
  </si>
  <si>
    <t>cbd</t>
  </si>
  <si>
    <t>Plotosus anguillaris</t>
  </si>
  <si>
    <t>mn</t>
  </si>
  <si>
    <t>Ploan</t>
  </si>
  <si>
    <t>Plotosus brevibarbus</t>
  </si>
  <si>
    <t>dxm</t>
  </si>
  <si>
    <t>Plobr</t>
  </si>
  <si>
    <t>Bessednov</t>
  </si>
  <si>
    <t>Pangasidae sp.</t>
  </si>
  <si>
    <t>mk</t>
  </si>
  <si>
    <t>Pan</t>
  </si>
  <si>
    <t>Sinopangasius semicultratus</t>
  </si>
  <si>
    <t>blh</t>
  </si>
  <si>
    <t>Sinse</t>
  </si>
  <si>
    <t>Chang et Wu</t>
  </si>
  <si>
    <t>Pangasius sanitwangsei</t>
  </si>
  <si>
    <t>ssm</t>
  </si>
  <si>
    <t>Pansa</t>
  </si>
  <si>
    <t>Pangasius micronemus</t>
  </si>
  <si>
    <t>Panmi</t>
  </si>
  <si>
    <t>Pangasius nasutus</t>
  </si>
  <si>
    <t>xwm</t>
  </si>
  <si>
    <t>Panna</t>
  </si>
  <si>
    <t>Pangasius beani</t>
  </si>
  <si>
    <t>cwm</t>
  </si>
  <si>
    <t>Panbe</t>
  </si>
  <si>
    <t>Cranoglanididae sp.</t>
  </si>
  <si>
    <t>ctw</t>
  </si>
  <si>
    <t>Cra</t>
  </si>
  <si>
    <t>Cranoglanis bouderius</t>
  </si>
  <si>
    <t>Crabo</t>
  </si>
  <si>
    <t>hnc</t>
  </si>
  <si>
    <t>Akysidae sp.</t>
  </si>
  <si>
    <t>lnk</t>
  </si>
  <si>
    <t>Aky</t>
  </si>
  <si>
    <t>Akysis brachybarbatus</t>
  </si>
  <si>
    <t>dxl</t>
  </si>
  <si>
    <t>Akybr</t>
  </si>
  <si>
    <t>Akysis sinensis</t>
  </si>
  <si>
    <t>Akysi</t>
  </si>
  <si>
    <t>Bagridae sp.</t>
  </si>
  <si>
    <t>ck</t>
  </si>
  <si>
    <t>Bag</t>
  </si>
  <si>
    <t>Pelteobagrus fulvidraco</t>
  </si>
  <si>
    <t>Pelfu</t>
  </si>
  <si>
    <t>Pelteobagrus intermedius</t>
  </si>
  <si>
    <t>Pelin</t>
  </si>
  <si>
    <t>Pelteobagrus eupogon</t>
  </si>
  <si>
    <t>Peleu</t>
  </si>
  <si>
    <t>Pelteobagrus vachelli</t>
  </si>
  <si>
    <t>Pelva</t>
  </si>
  <si>
    <t>(Richardsony)</t>
  </si>
  <si>
    <t>Pelteobagrus nitidus</t>
  </si>
  <si>
    <t>gzh</t>
  </si>
  <si>
    <t>Pelni</t>
  </si>
  <si>
    <t>Leiocassis longirostris</t>
  </si>
  <si>
    <t>cww</t>
  </si>
  <si>
    <t>Leilo</t>
  </si>
  <si>
    <t>Leiocassis crassilabris</t>
  </si>
  <si>
    <t>czw</t>
  </si>
  <si>
    <t>Leicr</t>
  </si>
  <si>
    <t>Leiocassis tenuifurcatus</t>
  </si>
  <si>
    <t>Leite</t>
  </si>
  <si>
    <t>Leiocassis virgatus</t>
  </si>
  <si>
    <t>tww</t>
  </si>
  <si>
    <t>Leivi</t>
  </si>
  <si>
    <t>Leiocassis argentivittatus</t>
  </si>
  <si>
    <t>zdw</t>
  </si>
  <si>
    <t>Leiar</t>
  </si>
  <si>
    <t>Leiocassis longibarbus</t>
  </si>
  <si>
    <t>cxw</t>
  </si>
  <si>
    <t>Cui</t>
  </si>
  <si>
    <t>Pseudobagrus ondon</t>
  </si>
  <si>
    <t>atn</t>
  </si>
  <si>
    <t>Pseon</t>
  </si>
  <si>
    <t>Shaw</t>
  </si>
  <si>
    <t>Pseudobagrus medianalis</t>
  </si>
  <si>
    <t>ztn</t>
  </si>
  <si>
    <t>Pseme</t>
  </si>
  <si>
    <t>Pseudobagrus taiwanensis</t>
  </si>
  <si>
    <t>twn</t>
  </si>
  <si>
    <t>Pseta</t>
  </si>
  <si>
    <t>Pseudobagrus taeniatus</t>
  </si>
  <si>
    <t>Pseudobagrus analis</t>
  </si>
  <si>
    <t>ctn</t>
  </si>
  <si>
    <t>Psean</t>
  </si>
  <si>
    <t>Pseudobagrus tenuis</t>
  </si>
  <si>
    <t>ywn</t>
  </si>
  <si>
    <t>Psete</t>
  </si>
  <si>
    <t>Pseudobagrus trilineatus</t>
  </si>
  <si>
    <t>sxn</t>
  </si>
  <si>
    <t>Psetr</t>
  </si>
  <si>
    <t>(Zheng)</t>
  </si>
  <si>
    <t>Pseudobagrus ussuriensis</t>
  </si>
  <si>
    <t>wsn</t>
  </si>
  <si>
    <t>Pseus</t>
  </si>
  <si>
    <t>Pseudobagrus truncatus</t>
  </si>
  <si>
    <t>qwn</t>
  </si>
  <si>
    <t>Pseudobagrus brevianalis</t>
  </si>
  <si>
    <t>dtn</t>
  </si>
  <si>
    <t>Psebr</t>
  </si>
  <si>
    <t>Pseudobagrus emarginatus</t>
  </si>
  <si>
    <t>awn</t>
  </si>
  <si>
    <t>Pseem</t>
  </si>
  <si>
    <t>Pseudobagrus pratti</t>
  </si>
  <si>
    <t>xtn</t>
  </si>
  <si>
    <t>Psepr</t>
  </si>
  <si>
    <t>Pseudobagrus adiposalis</t>
  </si>
  <si>
    <t>czn</t>
  </si>
  <si>
    <t>Psead</t>
  </si>
  <si>
    <t>Pseudobagrus brevicaudatus</t>
  </si>
  <si>
    <t>Pseudobagrus omeihensis</t>
  </si>
  <si>
    <t>emn</t>
  </si>
  <si>
    <t>Pseom</t>
  </si>
  <si>
    <t>Mystus nemurus</t>
  </si>
  <si>
    <t>swh</t>
  </si>
  <si>
    <t>Mysne</t>
  </si>
  <si>
    <t>Mystus macropterus</t>
  </si>
  <si>
    <t>Mystus guttatus</t>
  </si>
  <si>
    <t>bh</t>
  </si>
  <si>
    <t>Mysgu</t>
  </si>
  <si>
    <t>Mystus pluriradiatus</t>
  </si>
  <si>
    <t>yh</t>
  </si>
  <si>
    <t>Myspl</t>
  </si>
  <si>
    <t>Liobagrus marginatus</t>
  </si>
  <si>
    <t>byy</t>
  </si>
  <si>
    <t>Lioma</t>
  </si>
  <si>
    <t>Liobagrus kingi</t>
  </si>
  <si>
    <t>Lioki</t>
  </si>
  <si>
    <t>Liobagrus nigricauda</t>
  </si>
  <si>
    <t>Lioni</t>
  </si>
  <si>
    <t>Liobagrus styani</t>
  </si>
  <si>
    <t>ssy</t>
  </si>
  <si>
    <t>Liost</t>
  </si>
  <si>
    <t>Liobagrus marginatoides</t>
  </si>
  <si>
    <t>nyy</t>
  </si>
  <si>
    <t>Liobagrus formosanus</t>
  </si>
  <si>
    <t>Liofo</t>
  </si>
  <si>
    <t>Liobagrus nantoensis</t>
  </si>
  <si>
    <t>nty</t>
  </si>
  <si>
    <t>Liona</t>
  </si>
  <si>
    <t>Liobagrus anguillicauda</t>
  </si>
  <si>
    <t>mwy</t>
  </si>
  <si>
    <t>Lioan</t>
  </si>
  <si>
    <t>Liobagrus xiurenensis</t>
  </si>
  <si>
    <t>xry</t>
  </si>
  <si>
    <t>Lioxi</t>
  </si>
  <si>
    <t>Sisoridae sp.</t>
  </si>
  <si>
    <t>zk</t>
  </si>
  <si>
    <t>Sis</t>
  </si>
  <si>
    <t>Bagarius bagarius</t>
  </si>
  <si>
    <t>p</t>
  </si>
  <si>
    <t>Bagba</t>
  </si>
  <si>
    <t>Bagarius yarrelli</t>
  </si>
  <si>
    <t>jp</t>
  </si>
  <si>
    <t>Bagya</t>
  </si>
  <si>
    <t>(Sykes)</t>
  </si>
  <si>
    <t>Glyptothorax fukiensis</t>
  </si>
  <si>
    <t>Glyfu</t>
  </si>
  <si>
    <t>fjw</t>
  </si>
  <si>
    <t>hhw</t>
  </si>
  <si>
    <t>Glyptothorax annandalei</t>
  </si>
  <si>
    <t>mtw</t>
  </si>
  <si>
    <t>Glyan</t>
  </si>
  <si>
    <t>Glyptothorax sinense</t>
  </si>
  <si>
    <t>zhw</t>
  </si>
  <si>
    <t>Glysi</t>
  </si>
  <si>
    <t>Glyptothorax trilineatus</t>
  </si>
  <si>
    <t>sxw</t>
  </si>
  <si>
    <t>Glytr</t>
  </si>
  <si>
    <t>Glyptothorax deqinensis</t>
  </si>
  <si>
    <t>dqw</t>
  </si>
  <si>
    <t>Glyde</t>
  </si>
  <si>
    <t>Mo et Chu</t>
  </si>
  <si>
    <t>Glyptothorax zanaensis</t>
  </si>
  <si>
    <t>znw</t>
  </si>
  <si>
    <t>Glyza</t>
  </si>
  <si>
    <t>Wu, He et Chu</t>
  </si>
  <si>
    <t>Glyptothorax laosensis</t>
  </si>
  <si>
    <t>lww</t>
  </si>
  <si>
    <t>Glyla</t>
  </si>
  <si>
    <t>Glyptothorax pallozonum</t>
  </si>
  <si>
    <t>bxw</t>
  </si>
  <si>
    <t>Glypa</t>
  </si>
  <si>
    <t>Glyptothorax cavia</t>
  </si>
  <si>
    <t>xxw</t>
  </si>
  <si>
    <t>Glyca</t>
  </si>
  <si>
    <t>Glyptothorax minimaculatus</t>
  </si>
  <si>
    <t>xbw</t>
  </si>
  <si>
    <t>Glymi</t>
  </si>
  <si>
    <t>Glyptothorax longjiangensis</t>
  </si>
  <si>
    <t>ljw</t>
  </si>
  <si>
    <t>Glylo</t>
  </si>
  <si>
    <t>Glyptothorax macromaculatus</t>
  </si>
  <si>
    <t>Glyma</t>
  </si>
  <si>
    <t>Glyptothorax lampris</t>
  </si>
  <si>
    <t>lwx</t>
  </si>
  <si>
    <t>Glyptothorax quadriocellatus</t>
  </si>
  <si>
    <t>sbw</t>
  </si>
  <si>
    <t>Glyqu</t>
  </si>
  <si>
    <t>Mai</t>
  </si>
  <si>
    <t>Glyptothorax longicauda</t>
  </si>
  <si>
    <t>Glyptothorax dorsalis</t>
  </si>
  <si>
    <t>lbw</t>
  </si>
  <si>
    <t>Glydo</t>
  </si>
  <si>
    <t>Vinciguerra</t>
  </si>
  <si>
    <t>Glyptothorax interspinalum</t>
  </si>
  <si>
    <t>jjw</t>
  </si>
  <si>
    <t>Glyin</t>
  </si>
  <si>
    <t>Pseudecheneis sulcatus</t>
  </si>
  <si>
    <t>Psesu</t>
  </si>
  <si>
    <t>Pseudecheneis immaculatus</t>
  </si>
  <si>
    <t>wbz</t>
  </si>
  <si>
    <t>Pseim</t>
  </si>
  <si>
    <t>Pseudecheneis paviei</t>
  </si>
  <si>
    <t>pwz</t>
  </si>
  <si>
    <t>Pseudecheneis intermedius</t>
  </si>
  <si>
    <t>jzz</t>
  </si>
  <si>
    <t>Psein</t>
  </si>
  <si>
    <t>Pseudecheneis sulcatoides</t>
  </si>
  <si>
    <t>shb</t>
  </si>
  <si>
    <t>Zhou et Chu</t>
  </si>
  <si>
    <t>Parachiloglanis hodgarti</t>
  </si>
  <si>
    <t>pcz</t>
  </si>
  <si>
    <t>Parho</t>
  </si>
  <si>
    <t>Glyptosternum maculatum</t>
  </si>
  <si>
    <t>Glyptosternum reticulatum</t>
  </si>
  <si>
    <t>Glyre</t>
  </si>
  <si>
    <t>(McCl)</t>
  </si>
  <si>
    <t>Euchiloglanis davidi</t>
  </si>
  <si>
    <t>qsp</t>
  </si>
  <si>
    <t>Eucda</t>
  </si>
  <si>
    <t>Euchiloglanis kishinouyei</t>
  </si>
  <si>
    <t>hsp</t>
  </si>
  <si>
    <t>Eucki</t>
  </si>
  <si>
    <t>Pareuchiloglanis sinensis</t>
  </si>
  <si>
    <t>zhz</t>
  </si>
  <si>
    <t>Parsi</t>
  </si>
  <si>
    <t>Hora et Silas</t>
  </si>
  <si>
    <t>Pareuchiloglanis macrotrema</t>
  </si>
  <si>
    <t>dkz</t>
  </si>
  <si>
    <t>Pareuchiloglanis longicauda</t>
  </si>
  <si>
    <t>cwz</t>
  </si>
  <si>
    <t>Parlo</t>
  </si>
  <si>
    <t>Pareuchiloglanis gracilicaudata</t>
  </si>
  <si>
    <t>xwz</t>
  </si>
  <si>
    <t>Pargr</t>
  </si>
  <si>
    <t>Pareuchiloglanis feae</t>
  </si>
  <si>
    <t>Parfe</t>
  </si>
  <si>
    <t>(Vinciguerra)</t>
  </si>
  <si>
    <t>Pareuchiloglanis myzostoma</t>
  </si>
  <si>
    <t>lpz</t>
  </si>
  <si>
    <t>Parmy</t>
  </si>
  <si>
    <t>Pareuchiloglanis kamengensis</t>
  </si>
  <si>
    <t>btz</t>
  </si>
  <si>
    <t>Parka</t>
  </si>
  <si>
    <t>Jayaram</t>
  </si>
  <si>
    <t>Pareuchiloglanis anteanalis</t>
  </si>
  <si>
    <t>Fang,Xu et Cui</t>
  </si>
  <si>
    <t>Pareuchiloglanis gongshanensis</t>
  </si>
  <si>
    <t>gsz</t>
  </si>
  <si>
    <t>Pargo</t>
  </si>
  <si>
    <t>Pareuchiloglanis rabusta</t>
  </si>
  <si>
    <t>ztz</t>
  </si>
  <si>
    <t>Parra</t>
  </si>
  <si>
    <t>Ding,Fu et Ye</t>
  </si>
  <si>
    <t>Pareuchiloglanis sichuanensis</t>
  </si>
  <si>
    <t>Glaridoglanis andersonii</t>
  </si>
  <si>
    <t>zcz</t>
  </si>
  <si>
    <t>Glaan</t>
  </si>
  <si>
    <t>Gagata cenia</t>
  </si>
  <si>
    <t>Gagce</t>
  </si>
  <si>
    <t>Oreoglanis macropterus</t>
  </si>
  <si>
    <t>Oreoglanis delacori</t>
  </si>
  <si>
    <t>Orede</t>
  </si>
  <si>
    <t>Pseudexostoma yunnanensis</t>
  </si>
  <si>
    <t>ny</t>
  </si>
  <si>
    <t>Pseyu</t>
  </si>
  <si>
    <t>nyz</t>
  </si>
  <si>
    <t>Exostoma labiatum</t>
  </si>
  <si>
    <t>Exola</t>
  </si>
  <si>
    <t>Arius sinensis</t>
  </si>
  <si>
    <t>Arisi</t>
  </si>
  <si>
    <t>Arius leiotetocephalus</t>
  </si>
  <si>
    <t>yth</t>
  </si>
  <si>
    <t>Arile</t>
  </si>
  <si>
    <t>Arius thalassinus</t>
  </si>
  <si>
    <t>Arith</t>
  </si>
  <si>
    <t>Gobiesocidae sp.</t>
  </si>
  <si>
    <t>hpy</t>
  </si>
  <si>
    <t>Gob</t>
  </si>
  <si>
    <t>Conidens laticephalus</t>
  </si>
  <si>
    <t>Conla</t>
  </si>
  <si>
    <t>Diademichthys lineatus</t>
  </si>
  <si>
    <t>Diali</t>
  </si>
  <si>
    <t>Discotrema crinophila</t>
  </si>
  <si>
    <t>pkh</t>
  </si>
  <si>
    <t>Discr</t>
  </si>
  <si>
    <t>Briggs</t>
  </si>
  <si>
    <t>Lepadichthys frenatus</t>
  </si>
  <si>
    <t>hhp</t>
  </si>
  <si>
    <t>Lepfr</t>
  </si>
  <si>
    <t>Waite</t>
  </si>
  <si>
    <t>Cyprinodontidae sp.</t>
  </si>
  <si>
    <t>Oryziatidae sp.</t>
  </si>
  <si>
    <t>qjk</t>
  </si>
  <si>
    <t>Ory</t>
  </si>
  <si>
    <t>Oryzias latipes</t>
  </si>
  <si>
    <t>qj</t>
  </si>
  <si>
    <t>Oryla</t>
  </si>
  <si>
    <t>zhq</t>
  </si>
  <si>
    <t>Chen, Uwa et Chu</t>
  </si>
  <si>
    <t>Oryzias minutillus</t>
  </si>
  <si>
    <t>xqj</t>
  </si>
  <si>
    <t>Orymi</t>
  </si>
  <si>
    <t>Gambusia affinis</t>
  </si>
  <si>
    <t>swy</t>
  </si>
  <si>
    <t>Gamaf</t>
  </si>
  <si>
    <t>(Baird et Girard)</t>
  </si>
  <si>
    <t>Atherinidae sp.</t>
  </si>
  <si>
    <t>yhy</t>
  </si>
  <si>
    <t>Ath</t>
  </si>
  <si>
    <t>Allanetta barnesi</t>
  </si>
  <si>
    <t>bey</t>
  </si>
  <si>
    <t>Allba</t>
  </si>
  <si>
    <t>Allanetta bleekeri</t>
  </si>
  <si>
    <t>bsyHY</t>
  </si>
  <si>
    <t>Allbl</t>
  </si>
  <si>
    <t>Allanetta forskali</t>
  </si>
  <si>
    <t>dyyhy</t>
  </si>
  <si>
    <t>Allfo</t>
  </si>
  <si>
    <t>Allanetta woodwardi</t>
  </si>
  <si>
    <t>Allwo</t>
  </si>
  <si>
    <t>(Jordan et Starks)</t>
  </si>
  <si>
    <t>Atherinomorus lacunosus</t>
  </si>
  <si>
    <t>Athla</t>
  </si>
  <si>
    <t>(Bloch et Schneiber)</t>
  </si>
  <si>
    <t>Atherion elymus</t>
  </si>
  <si>
    <t>myh</t>
  </si>
  <si>
    <t>Athel</t>
  </si>
  <si>
    <t>Hypoatherina temminckii</t>
  </si>
  <si>
    <t>xyh</t>
  </si>
  <si>
    <t>Hypte</t>
  </si>
  <si>
    <t>Iso flosmaris</t>
  </si>
  <si>
    <t>lhy</t>
  </si>
  <si>
    <t>Isofl</t>
  </si>
  <si>
    <t>Iso rhothophilus</t>
  </si>
  <si>
    <t>Isorh</t>
  </si>
  <si>
    <t>Scombresocidae sp.</t>
  </si>
  <si>
    <t>Sco</t>
  </si>
  <si>
    <t>Cololabis saira</t>
  </si>
  <si>
    <t>qdy</t>
  </si>
  <si>
    <t>Colsa</t>
  </si>
  <si>
    <t>Belonidae sp.</t>
  </si>
  <si>
    <t>hzy</t>
  </si>
  <si>
    <t>Bel</t>
  </si>
  <si>
    <t>Strongyluea anastomella</t>
  </si>
  <si>
    <t>jzy</t>
  </si>
  <si>
    <t>Stran</t>
  </si>
  <si>
    <t>Strongyluea leiurus</t>
  </si>
  <si>
    <t>Strle</t>
  </si>
  <si>
    <t>Strongyluea strongylurus</t>
  </si>
  <si>
    <t>yqy</t>
  </si>
  <si>
    <t>Strst</t>
  </si>
  <si>
    <t>(Van Hasselt)</t>
  </si>
  <si>
    <t>Ablennes hians</t>
  </si>
  <si>
    <t>hdb</t>
  </si>
  <si>
    <t>Ablhi</t>
  </si>
  <si>
    <t>Platybelone argalus</t>
  </si>
  <si>
    <t>Plaar</t>
  </si>
  <si>
    <t>Tylosurus crocodilus</t>
  </si>
  <si>
    <t>exy</t>
  </si>
  <si>
    <t>Tylcr</t>
  </si>
  <si>
    <t>Tylosurus giganteus</t>
  </si>
  <si>
    <t>Tylgi</t>
  </si>
  <si>
    <t>Tylosurus melanotus</t>
  </si>
  <si>
    <t>Tylme</t>
  </si>
  <si>
    <t>Hemiramphidae sp.</t>
  </si>
  <si>
    <t>ZHENKE</t>
  </si>
  <si>
    <t>Hem</t>
  </si>
  <si>
    <t>Euleptorhamphus viridis</t>
  </si>
  <si>
    <t>cbz</t>
  </si>
  <si>
    <t>Eulvi</t>
  </si>
  <si>
    <t>Hemiramphus archipelagicus</t>
  </si>
  <si>
    <t>Hemar</t>
  </si>
  <si>
    <t>Colletle et Parin</t>
  </si>
  <si>
    <t>Hemiramphus far</t>
  </si>
  <si>
    <t>bz</t>
  </si>
  <si>
    <t>Hemfa</t>
  </si>
  <si>
    <t>Hemiramphus lutkei</t>
  </si>
  <si>
    <t>cbw</t>
  </si>
  <si>
    <t>Hemlu</t>
  </si>
  <si>
    <t>Hyporhamphus affinis</t>
  </si>
  <si>
    <t>nhx</t>
  </si>
  <si>
    <t>Hypaf</t>
  </si>
  <si>
    <t>Collette et Parin</t>
  </si>
  <si>
    <t>Hyporhamphus dussumieri</t>
  </si>
  <si>
    <t>Hypdu</t>
  </si>
  <si>
    <t>Hyporhamphus intermedius</t>
  </si>
  <si>
    <t>jxz</t>
  </si>
  <si>
    <t>Hypin</t>
  </si>
  <si>
    <t>Hyporhamphus limbatus</t>
  </si>
  <si>
    <t>yxz</t>
  </si>
  <si>
    <t>Hypli</t>
  </si>
  <si>
    <t>Hyporhamphus gernaerti</t>
  </si>
  <si>
    <t>Hypge</t>
  </si>
  <si>
    <t>Hyporhamphus paucirastris</t>
  </si>
  <si>
    <t>sbx</t>
  </si>
  <si>
    <t>Hyppa</t>
  </si>
  <si>
    <t>Hyporhamphus quoyi</t>
  </si>
  <si>
    <t>gsx</t>
  </si>
  <si>
    <t>Hypqu</t>
  </si>
  <si>
    <t>Hyporhamphus sojori</t>
  </si>
  <si>
    <t>Hypso</t>
  </si>
  <si>
    <t>Hyporhamphus taiwanensis</t>
  </si>
  <si>
    <t>Hypta</t>
  </si>
  <si>
    <t>Collette et Su</t>
  </si>
  <si>
    <t>Rhynchorhamphus georgii</t>
  </si>
  <si>
    <t>qsw</t>
  </si>
  <si>
    <t>Rhyge</t>
  </si>
  <si>
    <t>Zenarchopterus buffonis</t>
  </si>
  <si>
    <t>Zenbu</t>
  </si>
  <si>
    <t>Hemirhamphus sp.</t>
  </si>
  <si>
    <t>zhenshu</t>
  </si>
  <si>
    <t>Hemir</t>
  </si>
  <si>
    <t>Oxyporhamphidae sp.</t>
  </si>
  <si>
    <t>zfy</t>
  </si>
  <si>
    <t>Oxy</t>
  </si>
  <si>
    <t>Oxyporhamphus convexus</t>
  </si>
  <si>
    <t>Oxyco</t>
  </si>
  <si>
    <t>(Weber et de Beaufort)</t>
  </si>
  <si>
    <t>Oxyporhamphus micropterus</t>
  </si>
  <si>
    <t>xqz</t>
  </si>
  <si>
    <t>Oxymi</t>
  </si>
  <si>
    <t>Exocoetoidae sp.</t>
  </si>
  <si>
    <t>feiyuke</t>
  </si>
  <si>
    <t>EXT</t>
  </si>
  <si>
    <t>Cypselurus sp.</t>
  </si>
  <si>
    <t>yys</t>
  </si>
  <si>
    <t>Cypsp</t>
  </si>
  <si>
    <t>Cypselurus angusticeps</t>
  </si>
  <si>
    <t>xty</t>
  </si>
  <si>
    <t>Cypan</t>
  </si>
  <si>
    <t>Nichols et Breder</t>
  </si>
  <si>
    <t>Cypselurus arcticeps</t>
  </si>
  <si>
    <t>Cypar</t>
  </si>
  <si>
    <t>Cypselurus atrisignis</t>
  </si>
  <si>
    <t>Cypat</t>
  </si>
  <si>
    <t>Jenkins</t>
  </si>
  <si>
    <t>Cypselurus bahiensis</t>
  </si>
  <si>
    <t>Cypba</t>
  </si>
  <si>
    <t>(Ranzani)</t>
  </si>
  <si>
    <t>Cypselurus brevipinnis</t>
  </si>
  <si>
    <t>Cypbr</t>
  </si>
  <si>
    <t>Cypselurus brevis</t>
  </si>
  <si>
    <t>Weber et de Beaufort</t>
  </si>
  <si>
    <t>Cypselurus cyanopterus</t>
  </si>
  <si>
    <t>Cypcy</t>
  </si>
  <si>
    <t>Cypselurus katoptron</t>
  </si>
  <si>
    <t>Cypka</t>
  </si>
  <si>
    <t>Cypselurus naresi</t>
  </si>
  <si>
    <t>cxy</t>
  </si>
  <si>
    <t>Cypna</t>
  </si>
  <si>
    <t>Cypselurus oligolepis</t>
  </si>
  <si>
    <t>Cypol</t>
  </si>
  <si>
    <t>Cypselurus opisthopus</t>
  </si>
  <si>
    <t>Cypop</t>
  </si>
  <si>
    <t>Cypselurus oxycephalus</t>
  </si>
  <si>
    <t>jty</t>
  </si>
  <si>
    <t>Cypox</t>
  </si>
  <si>
    <t>Cypselurus poecilopterus</t>
  </si>
  <si>
    <t>Cyppo</t>
  </si>
  <si>
    <t>Cypselurus simus</t>
  </si>
  <si>
    <t>dfy</t>
  </si>
  <si>
    <t>Cypsi</t>
  </si>
  <si>
    <t>Cypselurus speculiger</t>
  </si>
  <si>
    <t>Cypsp</t>
  </si>
  <si>
    <t>Cypselurus spilonotopterus</t>
  </si>
  <si>
    <t>zqy</t>
  </si>
  <si>
    <t>Cypselurus spilopterus</t>
  </si>
  <si>
    <t>bqy</t>
  </si>
  <si>
    <t>Cypselurus starksi</t>
  </si>
  <si>
    <t>sfy</t>
  </si>
  <si>
    <t>Cypst</t>
  </si>
  <si>
    <t>Cypselurus suttoni</t>
  </si>
  <si>
    <t>Cypsu</t>
  </si>
  <si>
    <t>(Whitley et Colefax)</t>
  </si>
  <si>
    <t>Cypselurus unicolor</t>
  </si>
  <si>
    <t>dsy</t>
  </si>
  <si>
    <t>Cypun</t>
  </si>
  <si>
    <t>Cypselurus heterurus doederleini</t>
  </si>
  <si>
    <t>xyyy</t>
  </si>
  <si>
    <t>Exocoetus monocirrhus</t>
  </si>
  <si>
    <t>dxf</t>
  </si>
  <si>
    <t>Exomo</t>
  </si>
  <si>
    <t>Exocoetus volitans</t>
  </si>
  <si>
    <t>axf</t>
  </si>
  <si>
    <t>Exovo</t>
  </si>
  <si>
    <t>Exocoetus sp.</t>
  </si>
  <si>
    <t>fys</t>
  </si>
  <si>
    <t>Exosp</t>
  </si>
  <si>
    <t>Fodiator acutus</t>
  </si>
  <si>
    <t>jkf</t>
  </si>
  <si>
    <t>Fodac</t>
  </si>
  <si>
    <t>Brunn</t>
  </si>
  <si>
    <t>Parexocoetus brachypterus</t>
  </si>
  <si>
    <t>dqn</t>
  </si>
  <si>
    <t>Parbr</t>
  </si>
  <si>
    <t>Parexocoetus mento</t>
  </si>
  <si>
    <t>chn</t>
  </si>
  <si>
    <t>Prognichthys agoo</t>
  </si>
  <si>
    <t>zyy</t>
  </si>
  <si>
    <t>Proag</t>
  </si>
  <si>
    <t>Prognichthys albimaculatus</t>
  </si>
  <si>
    <t>Proal</t>
  </si>
  <si>
    <t>Prognichthys rondeleti</t>
  </si>
  <si>
    <t>Proro</t>
  </si>
  <si>
    <t>Gadidae sp.</t>
  </si>
  <si>
    <t>Gad</t>
  </si>
  <si>
    <t>Gadus macrocephalus</t>
  </si>
  <si>
    <t>Gadma</t>
  </si>
  <si>
    <t>Tilesius</t>
  </si>
  <si>
    <t>Eleginus gracilis</t>
  </si>
  <si>
    <t>Elegr</t>
  </si>
  <si>
    <t>(Tilesius)</t>
  </si>
  <si>
    <t>Theragra chalcogramma</t>
  </si>
  <si>
    <t>hxx</t>
  </si>
  <si>
    <t>Thech</t>
  </si>
  <si>
    <t>Gaidropsarus pacificus</t>
  </si>
  <si>
    <t>Gaipa</t>
  </si>
  <si>
    <t>Giliata tchangi</t>
  </si>
  <si>
    <t>zsw</t>
  </si>
  <si>
    <t>Giltc</t>
  </si>
  <si>
    <t>Lota lota</t>
  </si>
  <si>
    <t>jx</t>
  </si>
  <si>
    <t>Lotlo</t>
  </si>
  <si>
    <t>Moridae sp.</t>
  </si>
  <si>
    <t>shx</t>
  </si>
  <si>
    <t>Physiculus japonicus</t>
  </si>
  <si>
    <t>Phyja</t>
  </si>
  <si>
    <t>Physiculus maximowiczi</t>
  </si>
  <si>
    <t>msx</t>
  </si>
  <si>
    <t>Phyma</t>
  </si>
  <si>
    <t>Physiculus nigrescense</t>
  </si>
  <si>
    <t>hxh</t>
  </si>
  <si>
    <t>Phyni</t>
  </si>
  <si>
    <t>Smith et Radcliffe</t>
  </si>
  <si>
    <t>Gadella jordani</t>
  </si>
  <si>
    <t>jsd</t>
  </si>
  <si>
    <t>Gadjo</t>
  </si>
  <si>
    <t>(Bohlke et Mead)</t>
  </si>
  <si>
    <t>Gadella inbarbatum</t>
  </si>
  <si>
    <t>wxd</t>
  </si>
  <si>
    <t>Gadin</t>
  </si>
  <si>
    <t>(Kamohara)</t>
  </si>
  <si>
    <t>Lotella phycis</t>
  </si>
  <si>
    <t>hjx</t>
  </si>
  <si>
    <t>Lotph</t>
  </si>
  <si>
    <t>Merlucciidae sp.</t>
  </si>
  <si>
    <t>Mer</t>
  </si>
  <si>
    <t>Merluccius productus</t>
  </si>
  <si>
    <t>btp</t>
  </si>
  <si>
    <t>Merpr</t>
  </si>
  <si>
    <t>(Ayres)</t>
  </si>
  <si>
    <t>Bregmacerotidae sp.</t>
  </si>
  <si>
    <t>xxk</t>
  </si>
  <si>
    <t>Bre</t>
  </si>
  <si>
    <t>Bregmaceros macclellandii</t>
  </si>
  <si>
    <t>msxx</t>
  </si>
  <si>
    <t>Brema</t>
  </si>
  <si>
    <t>Thompson</t>
  </si>
  <si>
    <t>Bregmaceros atlanticus</t>
  </si>
  <si>
    <t>dxy</t>
  </si>
  <si>
    <t>Breat</t>
  </si>
  <si>
    <t>Bregmaceros rarisquamosus</t>
  </si>
  <si>
    <t>Brera</t>
  </si>
  <si>
    <t>Munro</t>
  </si>
  <si>
    <t>Bregmaceros nectabanus</t>
  </si>
  <si>
    <t>yyx</t>
  </si>
  <si>
    <t>Brene</t>
  </si>
  <si>
    <t>Bregmaceros arabicus</t>
  </si>
  <si>
    <t>alb</t>
  </si>
  <si>
    <t>Brear</t>
  </si>
  <si>
    <t>D'Ancona et Cavinato</t>
  </si>
  <si>
    <t>Bregmaceros bathmaster</t>
  </si>
  <si>
    <t>ssyxs</t>
  </si>
  <si>
    <t>breba</t>
  </si>
  <si>
    <t>Jordan et Bollman</t>
  </si>
  <si>
    <t>Macrouridae sp.</t>
  </si>
  <si>
    <t>cwx</t>
  </si>
  <si>
    <t>Mac</t>
  </si>
  <si>
    <t>Gadomus colletti</t>
  </si>
  <si>
    <t>kss</t>
  </si>
  <si>
    <t>Gadco</t>
  </si>
  <si>
    <t>Jordan et Gilbert</t>
  </si>
  <si>
    <t>Gadomus introniger</t>
  </si>
  <si>
    <t>hks</t>
  </si>
  <si>
    <t>Gilbert et Hubbs</t>
  </si>
  <si>
    <t>Gadomus multifilis</t>
  </si>
  <si>
    <t>Gadmu</t>
  </si>
  <si>
    <t>Bathygadus antrodes</t>
  </si>
  <si>
    <t>Batan</t>
  </si>
  <si>
    <t>(Jordan et Gilbert)</t>
  </si>
  <si>
    <t>Bathygadus garretti</t>
  </si>
  <si>
    <t>Batga</t>
  </si>
  <si>
    <t>Bathygadus spongiceps</t>
  </si>
  <si>
    <t>Batsp</t>
  </si>
  <si>
    <t>Hymenocephalus longiceps</t>
  </si>
  <si>
    <t>ctm</t>
  </si>
  <si>
    <t>Hymlo</t>
  </si>
  <si>
    <t>Hymenocephalus longibarbis</t>
  </si>
  <si>
    <t>cxm</t>
  </si>
  <si>
    <t>Hymenocephalus striatissimus</t>
  </si>
  <si>
    <t>whm</t>
  </si>
  <si>
    <t>Hymst</t>
  </si>
  <si>
    <t>Hymenocephalus torvus</t>
  </si>
  <si>
    <t>dsm</t>
  </si>
  <si>
    <t>Hymto</t>
  </si>
  <si>
    <t>Hymenocephalus lethonemus</t>
  </si>
  <si>
    <t>Hymle</t>
  </si>
  <si>
    <t>Hymenocephalus nascens</t>
  </si>
  <si>
    <t>xmt</t>
  </si>
  <si>
    <t>Hymna</t>
  </si>
  <si>
    <t>Hymenogadus gracilis</t>
  </si>
  <si>
    <t>xsm</t>
  </si>
  <si>
    <t>Hymgr</t>
  </si>
  <si>
    <t>Hymenogadus kuronumai</t>
  </si>
  <si>
    <t>pzm</t>
  </si>
  <si>
    <t>Hymku</t>
  </si>
  <si>
    <t>Trachomurus villosus</t>
  </si>
  <si>
    <t>rpc</t>
  </si>
  <si>
    <t>Travi</t>
  </si>
  <si>
    <t>Malacocephalus luzonensis</t>
  </si>
  <si>
    <t>lsr</t>
  </si>
  <si>
    <t>Mallu</t>
  </si>
  <si>
    <t>Malacocephalus laevis</t>
  </si>
  <si>
    <t>gcr</t>
  </si>
  <si>
    <t>Malla</t>
  </si>
  <si>
    <t>Ventrifossa lucifer</t>
  </si>
  <si>
    <t>mda</t>
  </si>
  <si>
    <t>Venlu</t>
  </si>
  <si>
    <t>Ventrifossa nigromarginata</t>
  </si>
  <si>
    <t>hba</t>
  </si>
  <si>
    <t>Venni</t>
  </si>
  <si>
    <t>(Smith et Radcliffe)</t>
  </si>
  <si>
    <t>Ventrifossa macronema</t>
  </si>
  <si>
    <t>cza</t>
  </si>
  <si>
    <t>Venma</t>
  </si>
  <si>
    <t>Ventrifossa rhipidodorsalis</t>
  </si>
  <si>
    <t>sqa</t>
  </si>
  <si>
    <t>Venrh</t>
  </si>
  <si>
    <t>Okamura</t>
  </si>
  <si>
    <t>Ventrifossa petersoni</t>
  </si>
  <si>
    <t>dfa</t>
  </si>
  <si>
    <t>Venpe</t>
  </si>
  <si>
    <t>Ventrifossa nigrodorsalis</t>
  </si>
  <si>
    <t>Ventrifossa garmani</t>
  </si>
  <si>
    <t>jma</t>
  </si>
  <si>
    <t>Venga</t>
  </si>
  <si>
    <t>Ventrifossa saikaiensis</t>
  </si>
  <si>
    <t>bba</t>
  </si>
  <si>
    <t>Vensa</t>
  </si>
  <si>
    <t>Ventrifossa divergens</t>
  </si>
  <si>
    <t>qya</t>
  </si>
  <si>
    <t>Vendi</t>
  </si>
  <si>
    <t>Ventrifossa longibarbata</t>
  </si>
  <si>
    <t>cxa</t>
  </si>
  <si>
    <t>Venlo</t>
  </si>
  <si>
    <t>Ventrifossa misakia</t>
  </si>
  <si>
    <t>Venmi</t>
  </si>
  <si>
    <t>Nezumia dara</t>
  </si>
  <si>
    <t>jhw</t>
  </si>
  <si>
    <t>Nezda</t>
  </si>
  <si>
    <t>(Gilbert et Hubbs)</t>
  </si>
  <si>
    <t>Nezumia proxima</t>
  </si>
  <si>
    <t>Nezpr</t>
  </si>
  <si>
    <t>(Simth et Radcliffe)</t>
  </si>
  <si>
    <t>Nezumia condylura</t>
  </si>
  <si>
    <t>Nezco</t>
  </si>
  <si>
    <t>Coelorhynchus carinifer</t>
  </si>
  <si>
    <t>jcq</t>
  </si>
  <si>
    <t>Coeca</t>
  </si>
  <si>
    <t>Coelorhynchus macrorhynchus</t>
  </si>
  <si>
    <t>Coema</t>
  </si>
  <si>
    <t>Coelorhynchus sparsilepis</t>
  </si>
  <si>
    <t>slq</t>
  </si>
  <si>
    <t>Coesp</t>
  </si>
  <si>
    <t>Okamura et Yatou</t>
  </si>
  <si>
    <t>Coelorhynchus parallelus</t>
  </si>
  <si>
    <t>pcq</t>
  </si>
  <si>
    <t>Coepa</t>
  </si>
  <si>
    <t>Coelorhynchus japonicus</t>
  </si>
  <si>
    <t>rbq</t>
  </si>
  <si>
    <t>Coeja</t>
  </si>
  <si>
    <t>Coelorhynchus smithi</t>
  </si>
  <si>
    <t>Coesm</t>
  </si>
  <si>
    <t>Coelorhynchus divergens</t>
  </si>
  <si>
    <t>fcq</t>
  </si>
  <si>
    <t>Coedi</t>
  </si>
  <si>
    <t>(Okamura et Yatou)</t>
  </si>
  <si>
    <t>Coelorhynchus commutabilis</t>
  </si>
  <si>
    <t>byq</t>
  </si>
  <si>
    <t>Coeco</t>
  </si>
  <si>
    <t>Smith &amp; Radcliffe</t>
  </si>
  <si>
    <t>Coelorhynchus maculatus</t>
  </si>
  <si>
    <t>jbq</t>
  </si>
  <si>
    <t>Coelorhynchus velifer</t>
  </si>
  <si>
    <t>Coeve</t>
  </si>
  <si>
    <t>Coelorhynchus argus</t>
  </si>
  <si>
    <t>Coear</t>
  </si>
  <si>
    <t>Coelorhynchus kishinouyei</t>
  </si>
  <si>
    <t>asq</t>
  </si>
  <si>
    <t>Coeki</t>
  </si>
  <si>
    <t>Coelorhynchus macrolepis</t>
  </si>
  <si>
    <t>Coelorhynchus macrochir</t>
  </si>
  <si>
    <t>Coelorhynchus tokiensis</t>
  </si>
  <si>
    <t>djq</t>
  </si>
  <si>
    <t>Coeto</t>
  </si>
  <si>
    <t>(Steindachner et Doderlei)</t>
  </si>
  <si>
    <t>Coelorhynchus asteroides</t>
  </si>
  <si>
    <t>xlq</t>
  </si>
  <si>
    <t>Coeas</t>
  </si>
  <si>
    <t>(Okamura)</t>
  </si>
  <si>
    <t>Coelorhynchus anatirostris</t>
  </si>
  <si>
    <t>yzq</t>
  </si>
  <si>
    <t>Coean</t>
  </si>
  <si>
    <t>Coelorhynchus productus</t>
  </si>
  <si>
    <t>Coepr</t>
  </si>
  <si>
    <t>Coelorhynchus jordani</t>
  </si>
  <si>
    <t>jdq</t>
  </si>
  <si>
    <t>Coejo</t>
  </si>
  <si>
    <t>Smith et Pope</t>
  </si>
  <si>
    <t>Coelorhynchus formosanus</t>
  </si>
  <si>
    <t>Coefo</t>
  </si>
  <si>
    <t>Coelorhynchus thompsoni</t>
  </si>
  <si>
    <t>Coeth</t>
  </si>
  <si>
    <t>Coelorhynchus multispinulosus</t>
  </si>
  <si>
    <t>Coemu</t>
  </si>
  <si>
    <t>Katayama</t>
  </si>
  <si>
    <t>Coelorhynchus argetatus</t>
  </si>
  <si>
    <t>ysq</t>
  </si>
  <si>
    <t>Coelorhynchus kamoharai</t>
  </si>
  <si>
    <t>Coeka</t>
  </si>
  <si>
    <t>Coelorhynchus longissimus</t>
  </si>
  <si>
    <t>cgq</t>
  </si>
  <si>
    <t>Coelo</t>
  </si>
  <si>
    <t>Coelorhynchus cingulatus</t>
  </si>
  <si>
    <t>hdq</t>
  </si>
  <si>
    <t>Coeci</t>
  </si>
  <si>
    <t>Coelorhynchus brevirostris</t>
  </si>
  <si>
    <t>Coebr</t>
  </si>
  <si>
    <t>Coryphaenoides marginatus</t>
  </si>
  <si>
    <t>hbq</t>
  </si>
  <si>
    <t>Corma</t>
  </si>
  <si>
    <t>Steindachner et Doderlein</t>
  </si>
  <si>
    <t>Coryphaenoides nasutus</t>
  </si>
  <si>
    <t>Corna</t>
  </si>
  <si>
    <t>Squalogadus modificatus</t>
  </si>
  <si>
    <t>Squmo</t>
  </si>
  <si>
    <t>Ophidiidae sp.</t>
  </si>
  <si>
    <t>swk</t>
  </si>
  <si>
    <t>Brotula multibarbata</t>
  </si>
  <si>
    <t>dxx</t>
  </si>
  <si>
    <t>Bromu</t>
  </si>
  <si>
    <t>Ophidion asiro</t>
  </si>
  <si>
    <t>xls</t>
  </si>
  <si>
    <t>Ophidion muraenolepis</t>
  </si>
  <si>
    <t>Ophmu</t>
  </si>
  <si>
    <t>Hoplobrotula armata</t>
  </si>
  <si>
    <t>jyw</t>
  </si>
  <si>
    <t>Hopar</t>
  </si>
  <si>
    <t>Sirembo imberbis</t>
  </si>
  <si>
    <t>xyw</t>
  </si>
  <si>
    <t>Sirim</t>
  </si>
  <si>
    <t>Sirembo philippinus</t>
  </si>
  <si>
    <t>flb</t>
  </si>
  <si>
    <t>Sirph</t>
  </si>
  <si>
    <t>Herre et Herald</t>
  </si>
  <si>
    <t>Glyptophidium oceanicum</t>
  </si>
  <si>
    <t>Glyoc</t>
  </si>
  <si>
    <t>Porogadus guntheri</t>
  </si>
  <si>
    <t>gsk</t>
  </si>
  <si>
    <t>Porgu</t>
  </si>
  <si>
    <t>Porogadus gracilis</t>
  </si>
  <si>
    <t>bwk</t>
  </si>
  <si>
    <t>Porgr</t>
  </si>
  <si>
    <t>Bassozetus robustus</t>
  </si>
  <si>
    <t>Basro</t>
  </si>
  <si>
    <t>Pycnocraspedum microlepis</t>
  </si>
  <si>
    <t>xlh</t>
  </si>
  <si>
    <t>Pycmi</t>
  </si>
  <si>
    <t>Pycnocraspedum fulvum</t>
  </si>
  <si>
    <t>Pycfu</t>
  </si>
  <si>
    <t>Machida</t>
  </si>
  <si>
    <t>Luciobrotula bartschi</t>
  </si>
  <si>
    <t>bsm</t>
  </si>
  <si>
    <t>Lucba</t>
  </si>
  <si>
    <t>Dicrolene quinquarius</t>
  </si>
  <si>
    <t>wzz</t>
  </si>
  <si>
    <t>Dicqu</t>
  </si>
  <si>
    <t>Dicrolene tristis</t>
  </si>
  <si>
    <t>sqz</t>
  </si>
  <si>
    <t>Dictr</t>
  </si>
  <si>
    <t>Dicrolene multifilis</t>
  </si>
  <si>
    <t>Dicmu</t>
  </si>
  <si>
    <t>Homostolus japonicus</t>
  </si>
  <si>
    <t>Homja</t>
  </si>
  <si>
    <t>Monomitopus pallidus</t>
  </si>
  <si>
    <t>Monpa</t>
  </si>
  <si>
    <t>Monomitopus longiceps</t>
  </si>
  <si>
    <t>ctd</t>
  </si>
  <si>
    <t>Monlo</t>
  </si>
  <si>
    <t>Monomitopus kumae</t>
  </si>
  <si>
    <t>xjd</t>
  </si>
  <si>
    <t>Monku</t>
  </si>
  <si>
    <t>Neobythites fasciatus</t>
  </si>
  <si>
    <t>Neofa</t>
  </si>
  <si>
    <t>Neobythites nigromaculatus</t>
  </si>
  <si>
    <t>Neoni</t>
  </si>
  <si>
    <t>Neobythites stigmosus</t>
  </si>
  <si>
    <t>dbx</t>
  </si>
  <si>
    <t>Neost</t>
  </si>
  <si>
    <t>Neobythites sivicola</t>
  </si>
  <si>
    <t>Neosi</t>
  </si>
  <si>
    <t>Bassobythites macropterus</t>
  </si>
  <si>
    <t>Basma</t>
  </si>
  <si>
    <t>Bythitidae sp.</t>
  </si>
  <si>
    <t>tyw</t>
  </si>
  <si>
    <t>Byt</t>
  </si>
  <si>
    <t>Saccogaster tuberculatus</t>
  </si>
  <si>
    <t>mtn</t>
  </si>
  <si>
    <t>Sactu</t>
  </si>
  <si>
    <t>Diplacanthopoma brunnea</t>
  </si>
  <si>
    <t>Dipbr</t>
  </si>
  <si>
    <t>Cataetyx platyrhynchus</t>
  </si>
  <si>
    <t>Catpl</t>
  </si>
  <si>
    <t>Oligopus robustus</t>
  </si>
  <si>
    <t>ztd</t>
  </si>
  <si>
    <t>Oliro</t>
  </si>
  <si>
    <t>Dinematichthys iluocoeteoides</t>
  </si>
  <si>
    <t>Dinil</t>
  </si>
  <si>
    <t>Dinematichthys dasyrhynchus</t>
  </si>
  <si>
    <t>mws</t>
  </si>
  <si>
    <t>Dinda</t>
  </si>
  <si>
    <t>Cohen et Hutchins</t>
  </si>
  <si>
    <t>Dinematichthys minyomma</t>
  </si>
  <si>
    <t>xys</t>
  </si>
  <si>
    <t>Dinmi</t>
  </si>
  <si>
    <t>Sedor et Cohen</t>
  </si>
  <si>
    <t>Brotulina fusca</t>
  </si>
  <si>
    <t>Brofu</t>
  </si>
  <si>
    <t>Aphyonus bolini</t>
  </si>
  <si>
    <t>blj</t>
  </si>
  <si>
    <t>Aphbo</t>
  </si>
  <si>
    <t>Nielsen</t>
  </si>
  <si>
    <t>Barathronus diaphanus</t>
  </si>
  <si>
    <t>Bardi</t>
  </si>
  <si>
    <t>Barathronus maculatus</t>
  </si>
  <si>
    <t>Shcherbachev</t>
  </si>
  <si>
    <t>Encheliophis gracilis</t>
  </si>
  <si>
    <t>xmq</t>
  </si>
  <si>
    <t>Encgr</t>
  </si>
  <si>
    <t>Encheliophis sagamianus</t>
  </si>
  <si>
    <t>xmw</t>
  </si>
  <si>
    <t>Encsa</t>
  </si>
  <si>
    <t>Carapus lumbricoides</t>
  </si>
  <si>
    <t>Carlu</t>
  </si>
  <si>
    <t>Carapus parvipinnis</t>
  </si>
  <si>
    <t>xqq</t>
  </si>
  <si>
    <t>Carpa</t>
  </si>
  <si>
    <t>Carapus homei</t>
  </si>
  <si>
    <t>hmq</t>
  </si>
  <si>
    <t>Carho</t>
  </si>
  <si>
    <t>Carapus kagoshimanus</t>
  </si>
  <si>
    <t>hgq</t>
  </si>
  <si>
    <t>Carka</t>
  </si>
  <si>
    <t>(Steindachner et Doderlein)</t>
  </si>
  <si>
    <t>Echiodon owasianus</t>
  </si>
  <si>
    <t>rbs</t>
  </si>
  <si>
    <t>Echow</t>
  </si>
  <si>
    <t>Onuxodon parvibrachium</t>
  </si>
  <si>
    <t>Onupa</t>
  </si>
  <si>
    <t>Onuxodon margaritiferae</t>
  </si>
  <si>
    <t>zbz</t>
  </si>
  <si>
    <t>Onuma</t>
  </si>
  <si>
    <t>Monocentridae sp.</t>
  </si>
  <si>
    <t>sqy</t>
  </si>
  <si>
    <t>Mon</t>
  </si>
  <si>
    <t>Monocentris japonicus</t>
  </si>
  <si>
    <t>Monja</t>
  </si>
  <si>
    <t>(Houttuyn)</t>
  </si>
  <si>
    <t>Trachichthyidae sp.</t>
  </si>
  <si>
    <t>jdk</t>
  </si>
  <si>
    <t>Gephyroberyx japonicus</t>
  </si>
  <si>
    <t>Gepja</t>
  </si>
  <si>
    <t>Hoplostethus mediterraneus</t>
  </si>
  <si>
    <t>Hopme</t>
  </si>
  <si>
    <t>Paratrachichthys prosthemius</t>
  </si>
  <si>
    <t>qgj</t>
  </si>
  <si>
    <t>Parpr</t>
  </si>
  <si>
    <t>Anomalopidae sp.</t>
  </si>
  <si>
    <t>qyd</t>
  </si>
  <si>
    <t>Ano</t>
  </si>
  <si>
    <t>Anomalops katoptron</t>
  </si>
  <si>
    <t>Anoka</t>
  </si>
  <si>
    <t>Diretmidae sp.</t>
  </si>
  <si>
    <t>dqd</t>
  </si>
  <si>
    <t>Dir</t>
  </si>
  <si>
    <t>Diretmus argenteus</t>
  </si>
  <si>
    <t>ysd</t>
  </si>
  <si>
    <t>Dirar</t>
  </si>
  <si>
    <t>Anoplogasteridae sp.</t>
  </si>
  <si>
    <t>gfd</t>
  </si>
  <si>
    <t>Caulolepis longidens</t>
  </si>
  <si>
    <t>ccb</t>
  </si>
  <si>
    <t>Caulo</t>
  </si>
  <si>
    <t>Gill,</t>
  </si>
  <si>
    <t>Berycidae sp.</t>
  </si>
  <si>
    <t>Ber</t>
  </si>
  <si>
    <t>Beryx splendens</t>
  </si>
  <si>
    <t>hjy</t>
  </si>
  <si>
    <t>Bersp</t>
  </si>
  <si>
    <t>Lowe</t>
  </si>
  <si>
    <t>Beryx decadactylus</t>
  </si>
  <si>
    <t>szj</t>
  </si>
  <si>
    <t>Berde</t>
  </si>
  <si>
    <t>Beryx mollis</t>
  </si>
  <si>
    <t>rjy</t>
  </si>
  <si>
    <t>Bermo</t>
  </si>
  <si>
    <t>Centroberyx rubricaudus</t>
  </si>
  <si>
    <t>Cenru</t>
  </si>
  <si>
    <t>Liu et Shen</t>
  </si>
  <si>
    <t>Holocentridae sp.</t>
  </si>
  <si>
    <t>wk</t>
  </si>
  <si>
    <t>Hol</t>
  </si>
  <si>
    <t>Myrispristis chryseres</t>
  </si>
  <si>
    <t>Myrch</t>
  </si>
  <si>
    <t>Jordan et Evermann</t>
  </si>
  <si>
    <t>Myrispristis vittatus</t>
  </si>
  <si>
    <t>Myrvi</t>
  </si>
  <si>
    <t>Cuvier,</t>
  </si>
  <si>
    <t>Myrispristis pralinius</t>
  </si>
  <si>
    <t>hjl</t>
  </si>
  <si>
    <t>Myrpr</t>
  </si>
  <si>
    <t>Myrispristis kuntee</t>
  </si>
  <si>
    <t>hjj</t>
  </si>
  <si>
    <t>Myrku</t>
  </si>
  <si>
    <t>Myrispristis adustus</t>
  </si>
  <si>
    <t>Myrad</t>
  </si>
  <si>
    <t>Myrispristis hexagonus</t>
  </si>
  <si>
    <t>ckj</t>
  </si>
  <si>
    <t>Myrhe</t>
  </si>
  <si>
    <t>Myrispristis violaceus</t>
  </si>
  <si>
    <t>Myrispristis parvidens</t>
  </si>
  <si>
    <t>Myrpa</t>
  </si>
  <si>
    <t>Myrispristis murdjan</t>
  </si>
  <si>
    <t>Myrmu</t>
  </si>
  <si>
    <t>(Forsskal)</t>
  </si>
  <si>
    <t>Myrispristis seychellensis</t>
  </si>
  <si>
    <t>sse</t>
  </si>
  <si>
    <t>Myrse</t>
  </si>
  <si>
    <t>Myrispristis berndti</t>
  </si>
  <si>
    <t>bet</t>
  </si>
  <si>
    <t>Myrbe</t>
  </si>
  <si>
    <t>Jordan et Evermann,</t>
  </si>
  <si>
    <t>Ostichthys japonicus</t>
  </si>
  <si>
    <t>Ostja</t>
  </si>
  <si>
    <t>Ostichthys kaianus</t>
  </si>
  <si>
    <t>kyd</t>
  </si>
  <si>
    <t>Ostka</t>
  </si>
  <si>
    <t>Ostichthys Sheni</t>
  </si>
  <si>
    <t>OstSh</t>
  </si>
  <si>
    <t>Chen,</t>
  </si>
  <si>
    <t>Plectrypops lima</t>
  </si>
  <si>
    <t>Pleli</t>
  </si>
  <si>
    <t>Neoniphon sammara</t>
  </si>
  <si>
    <t>Neosa</t>
  </si>
  <si>
    <t>Neoniphon opercularis</t>
  </si>
  <si>
    <t>bbc</t>
  </si>
  <si>
    <t>Neoop</t>
  </si>
  <si>
    <t>Sargocentron spinifer</t>
  </si>
  <si>
    <t>jw</t>
  </si>
  <si>
    <t>Sarsp</t>
  </si>
  <si>
    <t>Sargocentron furcatus</t>
  </si>
  <si>
    <t>Sarfu</t>
  </si>
  <si>
    <t>Sargocentron spinosissimus</t>
  </si>
  <si>
    <t>dcw</t>
  </si>
  <si>
    <t>Sargocentron cornutus</t>
  </si>
  <si>
    <t>Sarco</t>
  </si>
  <si>
    <t>Sargocentron violaceus</t>
  </si>
  <si>
    <t>zw</t>
  </si>
  <si>
    <t>Sarvi</t>
  </si>
  <si>
    <t>Sargocentron caudimaculatus</t>
  </si>
  <si>
    <t>bww</t>
  </si>
  <si>
    <t>Sarca</t>
  </si>
  <si>
    <t>Sargocentron lacteoguttatus</t>
  </si>
  <si>
    <t>rbw</t>
  </si>
  <si>
    <t>Sargocentron microstomus</t>
  </si>
  <si>
    <t>xkw</t>
  </si>
  <si>
    <t>Sarmi</t>
  </si>
  <si>
    <t>Sargocentron tiere</t>
  </si>
  <si>
    <t>cw</t>
  </si>
  <si>
    <t>Sarti</t>
  </si>
  <si>
    <t>Sargocentron ittodai</t>
  </si>
  <si>
    <t>ydw</t>
  </si>
  <si>
    <t>Sarit</t>
  </si>
  <si>
    <t>(Jordan et Fowler)</t>
  </si>
  <si>
    <t>Sargocentron diadema</t>
  </si>
  <si>
    <t>Sardi</t>
  </si>
  <si>
    <t>Dispinus ruber</t>
  </si>
  <si>
    <t>hw</t>
  </si>
  <si>
    <t>Disru</t>
  </si>
  <si>
    <t>Melamphaidae sp.</t>
  </si>
  <si>
    <t>ktd</t>
  </si>
  <si>
    <t>Mel</t>
  </si>
  <si>
    <t>Melamphaes simus</t>
  </si>
  <si>
    <t>bbk</t>
  </si>
  <si>
    <t>Melsi</t>
  </si>
  <si>
    <t>Ebeling,</t>
  </si>
  <si>
    <t>Scopeloberyx opisthopterus</t>
  </si>
  <si>
    <t>hqd</t>
  </si>
  <si>
    <t>Scoop</t>
  </si>
  <si>
    <t>(Parr)</t>
  </si>
  <si>
    <t>Scopeloberyx leprus</t>
  </si>
  <si>
    <t>Scole</t>
  </si>
  <si>
    <t>Ebeling</t>
  </si>
  <si>
    <t>Scopeloberyx robustus</t>
  </si>
  <si>
    <t>Scoro</t>
  </si>
  <si>
    <t>Poromitra oscitans</t>
  </si>
  <si>
    <t>Poros</t>
  </si>
  <si>
    <t>Poromitra megalops</t>
  </si>
  <si>
    <t>Porme</t>
  </si>
  <si>
    <t>Lutken</t>
  </si>
  <si>
    <t>Poromitra crassiceps</t>
  </si>
  <si>
    <t>htx</t>
  </si>
  <si>
    <t>Porcr</t>
  </si>
  <si>
    <t>Poromitra malayanus</t>
  </si>
  <si>
    <t>Porma</t>
  </si>
  <si>
    <t>(Weber)</t>
  </si>
  <si>
    <t>Scopelogadus mizolepis</t>
  </si>
  <si>
    <t>Scomi</t>
  </si>
  <si>
    <t>Polymixiidae sp.</t>
  </si>
  <si>
    <t>xwk</t>
  </si>
  <si>
    <t>Polymixia berndti</t>
  </si>
  <si>
    <t>Polbe</t>
  </si>
  <si>
    <t>Polymixia longispina</t>
  </si>
  <si>
    <t>cjx</t>
  </si>
  <si>
    <t>Pollo</t>
  </si>
  <si>
    <t>Deng,</t>
  </si>
  <si>
    <t>Polymixia japonica</t>
  </si>
  <si>
    <t>Polja</t>
  </si>
  <si>
    <t>Grammicolepidae sp.</t>
  </si>
  <si>
    <t>ddk</t>
  </si>
  <si>
    <t>Gra</t>
  </si>
  <si>
    <t>Xenolepidichthys dalgleishi</t>
  </si>
  <si>
    <t>ldd</t>
  </si>
  <si>
    <t>Gilchrist</t>
  </si>
  <si>
    <t>Zeidae sp.</t>
  </si>
  <si>
    <t>hfk</t>
  </si>
  <si>
    <t>Zei</t>
  </si>
  <si>
    <t>Cyttomimus affinis</t>
  </si>
  <si>
    <t>qlh</t>
  </si>
  <si>
    <t>Cytaf</t>
  </si>
  <si>
    <t>Cyttopsis rosens</t>
  </si>
  <si>
    <t>shf</t>
  </si>
  <si>
    <t>Cytro</t>
  </si>
  <si>
    <t>Parazen pacificus</t>
  </si>
  <si>
    <t>fhf</t>
  </si>
  <si>
    <t>Zen cypho</t>
  </si>
  <si>
    <t>lbn</t>
  </si>
  <si>
    <t>Zency</t>
  </si>
  <si>
    <t>Zen itea</t>
  </si>
  <si>
    <t>lnh</t>
  </si>
  <si>
    <t>Zenit</t>
  </si>
  <si>
    <t>Zenion holoeepis</t>
  </si>
  <si>
    <t>xhf</t>
  </si>
  <si>
    <t>Zenho</t>
  </si>
  <si>
    <t>Zenion japonicum</t>
  </si>
  <si>
    <t>jyh</t>
  </si>
  <si>
    <t>Zenja</t>
  </si>
  <si>
    <t>Zenopsis nebulosus</t>
  </si>
  <si>
    <t>yyy</t>
  </si>
  <si>
    <t>Zenne</t>
  </si>
  <si>
    <t>Zeus fober</t>
  </si>
  <si>
    <t>Zeufo</t>
  </si>
  <si>
    <t>Antigonidae sp.</t>
  </si>
  <si>
    <t>ldk</t>
  </si>
  <si>
    <t>Ant</t>
  </si>
  <si>
    <t>Antigonia capros</t>
  </si>
  <si>
    <t>gld</t>
  </si>
  <si>
    <t>Antca</t>
  </si>
  <si>
    <t>Antigonia rubescens</t>
  </si>
  <si>
    <t>hld</t>
  </si>
  <si>
    <t>Antru</t>
  </si>
  <si>
    <t>Antigonia rubicunda</t>
  </si>
  <si>
    <t>fld</t>
  </si>
  <si>
    <t>Veliferidae sp.</t>
  </si>
  <si>
    <t>Vel</t>
  </si>
  <si>
    <t>Trachipteridae sp.</t>
  </si>
  <si>
    <t>Regalecidae sp.</t>
  </si>
  <si>
    <t>hdy</t>
  </si>
  <si>
    <t>Reg</t>
  </si>
  <si>
    <t>Gasterosteidae sp.</t>
  </si>
  <si>
    <t>cyk</t>
  </si>
  <si>
    <t>Gas</t>
  </si>
  <si>
    <t>Gasterosteus aculeatus</t>
  </si>
  <si>
    <t>Gasac</t>
  </si>
  <si>
    <t>Pungitius sinensis</t>
  </si>
  <si>
    <t>Punsi</t>
  </si>
  <si>
    <t>(Guichenot)</t>
  </si>
  <si>
    <t>Fistulariidae sp.</t>
  </si>
  <si>
    <t>ygy</t>
  </si>
  <si>
    <t>Fis</t>
  </si>
  <si>
    <t>Fistularia commersonii</t>
  </si>
  <si>
    <t>jyg</t>
  </si>
  <si>
    <t>Fisco</t>
  </si>
  <si>
    <t>Fistularia petimba</t>
  </si>
  <si>
    <t>lyg</t>
  </si>
  <si>
    <t>Fispe</t>
  </si>
  <si>
    <t>Fistularia villosa</t>
  </si>
  <si>
    <t>myg</t>
  </si>
  <si>
    <t>Fisvi</t>
  </si>
  <si>
    <t>Klunzinger</t>
  </si>
  <si>
    <t>Aulostomidae sp.</t>
  </si>
  <si>
    <t>gky</t>
  </si>
  <si>
    <t>Aulostomus chinensis</t>
  </si>
  <si>
    <t>Aulch</t>
  </si>
  <si>
    <t>Macrorhamphosidae sp.</t>
  </si>
  <si>
    <t>Macrorhamphosus gracilis</t>
  </si>
  <si>
    <t>xjc</t>
  </si>
  <si>
    <t>Macgr</t>
  </si>
  <si>
    <t>Macrorhamphosus japonicus</t>
  </si>
  <si>
    <t>Macja</t>
  </si>
  <si>
    <t>Macrorhamphosus scolopax</t>
  </si>
  <si>
    <t>jcw</t>
  </si>
  <si>
    <t>Macsc</t>
  </si>
  <si>
    <t>Centriscidae sp.</t>
  </si>
  <si>
    <t>Cen</t>
  </si>
  <si>
    <t>Solenostomidae sp.</t>
  </si>
  <si>
    <t>tdy</t>
  </si>
  <si>
    <t>Sol</t>
  </si>
  <si>
    <t>Solenostomus cyanopterus</t>
  </si>
  <si>
    <t>lqt</t>
  </si>
  <si>
    <t>Solcy</t>
  </si>
  <si>
    <t>Solenostomus paegnius</t>
  </si>
  <si>
    <t>jct</t>
  </si>
  <si>
    <t>Solpa</t>
  </si>
  <si>
    <t>Jardan et Thompson</t>
  </si>
  <si>
    <t>Solenostomus paradoxus</t>
  </si>
  <si>
    <t>Syngnathidae sp.</t>
  </si>
  <si>
    <t>HAILONGKE</t>
  </si>
  <si>
    <t>Choeroichthys sculptus</t>
  </si>
  <si>
    <t>Chosc</t>
  </si>
  <si>
    <t>Corythoichthys crenulatus</t>
  </si>
  <si>
    <t>cgh</t>
  </si>
  <si>
    <t>Corcr</t>
  </si>
  <si>
    <t>Corythoichthys fasciatus</t>
  </si>
  <si>
    <t>Corfa</t>
  </si>
  <si>
    <t>Cosmocampus banneri</t>
  </si>
  <si>
    <t>bsh</t>
  </si>
  <si>
    <t>Cosba</t>
  </si>
  <si>
    <t>(Herald et Randall)</t>
  </si>
  <si>
    <t>Doryrhamphus dactyliophorus</t>
  </si>
  <si>
    <t>hhh</t>
  </si>
  <si>
    <t>Dorda</t>
  </si>
  <si>
    <t>Doryrhamphus excisus</t>
  </si>
  <si>
    <t>hjh</t>
  </si>
  <si>
    <t>Dorex</t>
  </si>
  <si>
    <t>Doryrhamphus japonicus</t>
  </si>
  <si>
    <t>Dorja</t>
  </si>
  <si>
    <t>Araga et Yoshino</t>
  </si>
  <si>
    <t>Doryrhamphus melanopleura</t>
  </si>
  <si>
    <t>mwh</t>
  </si>
  <si>
    <t>Dorme</t>
  </si>
  <si>
    <t>Halicampus grayi</t>
  </si>
  <si>
    <t>Halgr</t>
  </si>
  <si>
    <t>Halicampus macrorhynchus</t>
  </si>
  <si>
    <t>Halma</t>
  </si>
  <si>
    <t>Bamber</t>
  </si>
  <si>
    <t>Halicampus mataafae</t>
  </si>
  <si>
    <t>(Jordan et Seale)</t>
  </si>
  <si>
    <t>Hippocampus coronatus</t>
  </si>
  <si>
    <t>ghm</t>
  </si>
  <si>
    <t>Hipco</t>
  </si>
  <si>
    <t>Hippocampus histrix</t>
  </si>
  <si>
    <t>chm</t>
  </si>
  <si>
    <t>Hiphi</t>
  </si>
  <si>
    <t>Hippocampus japonicus</t>
  </si>
  <si>
    <t>Hipja</t>
  </si>
  <si>
    <t>Hippocampus kuda</t>
  </si>
  <si>
    <t>Hipku</t>
  </si>
  <si>
    <t>Hippocampus trimaculatus</t>
  </si>
  <si>
    <t>bhm</t>
  </si>
  <si>
    <t>Hiptr</t>
  </si>
  <si>
    <t>Leach</t>
  </si>
  <si>
    <t>Hippocampus sp.</t>
  </si>
  <si>
    <t>hms</t>
  </si>
  <si>
    <t>Ichthyocampus belcheri</t>
  </si>
  <si>
    <t>Ichbe</t>
  </si>
  <si>
    <t>Microphis boaja</t>
  </si>
  <si>
    <t>bjf</t>
  </si>
  <si>
    <t>Micbo</t>
  </si>
  <si>
    <t>Microphis brachyurus</t>
  </si>
  <si>
    <t>Microphis leiaspis</t>
  </si>
  <si>
    <t>wjh</t>
  </si>
  <si>
    <t>Micle</t>
  </si>
  <si>
    <t>Microphis manadensis</t>
  </si>
  <si>
    <t>Micma</t>
  </si>
  <si>
    <t>Phoxocampus diacanthus</t>
  </si>
  <si>
    <t>hdh</t>
  </si>
  <si>
    <t>Phodi</t>
  </si>
  <si>
    <t>Solegnathus hardwicki</t>
  </si>
  <si>
    <t>Solha</t>
  </si>
  <si>
    <t>Syngnathoides biaculeatus</t>
  </si>
  <si>
    <t>nhl</t>
  </si>
  <si>
    <t>Syngnathus acus</t>
  </si>
  <si>
    <t>jhl</t>
  </si>
  <si>
    <t>Synac</t>
  </si>
  <si>
    <t>Syngnathus argyrostictus</t>
  </si>
  <si>
    <t>Synar</t>
  </si>
  <si>
    <t>Syngnathus cyanospilus</t>
  </si>
  <si>
    <t>lhl</t>
  </si>
  <si>
    <t>Syncy</t>
  </si>
  <si>
    <t>Syngnathus djarong</t>
  </si>
  <si>
    <t>Syndj</t>
  </si>
  <si>
    <t>Syngnathus pelagicus</t>
  </si>
  <si>
    <t>Synpe</t>
  </si>
  <si>
    <t>Syngnathus schlegeli</t>
  </si>
  <si>
    <t>Synsc</t>
  </si>
  <si>
    <t>Syngnathus spicifer</t>
  </si>
  <si>
    <t>Synsp</t>
  </si>
  <si>
    <t>Trachyrhamphus serratus</t>
  </si>
  <si>
    <t>zwh</t>
  </si>
  <si>
    <t>Trase</t>
  </si>
  <si>
    <t>Urocampus nanus</t>
  </si>
  <si>
    <t>Urona</t>
  </si>
  <si>
    <t>Yozia bicoarctatus</t>
  </si>
  <si>
    <t>whl</t>
  </si>
  <si>
    <t>Yozbi</t>
  </si>
  <si>
    <t>Sphyraenidae sp.</t>
  </si>
  <si>
    <t>yuke</t>
  </si>
  <si>
    <t>Sphyraena acutipinnis</t>
  </si>
  <si>
    <t>Sphac</t>
  </si>
  <si>
    <t>Sphyraena barracuda</t>
  </si>
  <si>
    <t>dy</t>
  </si>
  <si>
    <t>Sphba</t>
  </si>
  <si>
    <t>Sphyraena flavicauda</t>
  </si>
  <si>
    <t>Sphfl</t>
  </si>
  <si>
    <t>Sphyraena forsteri</t>
  </si>
  <si>
    <t>Sphfo</t>
  </si>
  <si>
    <t>Sphyraena helleri</t>
  </si>
  <si>
    <t>Sphhe</t>
  </si>
  <si>
    <t>Sphyraena japonica</t>
  </si>
  <si>
    <t>Sphja</t>
  </si>
  <si>
    <t>Sphyraena jello</t>
  </si>
  <si>
    <t>Sphje</t>
  </si>
  <si>
    <t>Sphyraena nigripinnis</t>
  </si>
  <si>
    <t>Sphni</t>
  </si>
  <si>
    <t>Temminck et Scnlegel</t>
  </si>
  <si>
    <t>Sphyraena obtusata</t>
  </si>
  <si>
    <t>Sphob</t>
  </si>
  <si>
    <t>Sphyraena pinguis</t>
  </si>
  <si>
    <t>yy</t>
  </si>
  <si>
    <t>Sphpi</t>
  </si>
  <si>
    <t>Sphyraena putnamiae</t>
  </si>
  <si>
    <t>Sphpu</t>
  </si>
  <si>
    <t>Jordan et Schlegel</t>
  </si>
  <si>
    <t>Mugilidae sp.</t>
  </si>
  <si>
    <t>zike</t>
  </si>
  <si>
    <t>Mug</t>
  </si>
  <si>
    <t>Crenimugil crenilabis</t>
  </si>
  <si>
    <t>lcz</t>
  </si>
  <si>
    <t>Crecr</t>
  </si>
  <si>
    <t>Ellochelon vaigiensis</t>
  </si>
  <si>
    <t>Ellva</t>
  </si>
  <si>
    <t>Liza affinis</t>
  </si>
  <si>
    <t>ls</t>
  </si>
  <si>
    <t>Lizaf</t>
  </si>
  <si>
    <t>Liza dussumieri</t>
  </si>
  <si>
    <t>cls</t>
  </si>
  <si>
    <t>Lizdu</t>
  </si>
  <si>
    <t>Liza haematocheila</t>
  </si>
  <si>
    <t>Lizha</t>
  </si>
  <si>
    <t>Liza macrolepis</t>
  </si>
  <si>
    <t>Lizma</t>
  </si>
  <si>
    <t>Liza melinopterus</t>
  </si>
  <si>
    <t>Lizme</t>
  </si>
  <si>
    <t>Liza tade</t>
  </si>
  <si>
    <t>jts</t>
  </si>
  <si>
    <t>Lizta</t>
  </si>
  <si>
    <t>Mugil cephalus</t>
  </si>
  <si>
    <t>Mugce</t>
  </si>
  <si>
    <t>Osteomugil ophuyseni</t>
  </si>
  <si>
    <t>qlg</t>
  </si>
  <si>
    <t>Ostop</t>
  </si>
  <si>
    <t>Osteomugil strongylocephalus</t>
  </si>
  <si>
    <t>ytg</t>
  </si>
  <si>
    <t>Ostst</t>
  </si>
  <si>
    <t>Plicomugil labiosus</t>
  </si>
  <si>
    <t>Plila</t>
  </si>
  <si>
    <t>Valamugil buchanani</t>
  </si>
  <si>
    <t>pwf</t>
  </si>
  <si>
    <t>Valbu</t>
  </si>
  <si>
    <t>Valamugil seheli</t>
  </si>
  <si>
    <t>ywf</t>
  </si>
  <si>
    <t>Valse</t>
  </si>
  <si>
    <t>Mugil sp.</t>
  </si>
  <si>
    <t>zs</t>
  </si>
  <si>
    <t>mug</t>
  </si>
  <si>
    <t>Liza sp.</t>
  </si>
  <si>
    <t>ss</t>
  </si>
  <si>
    <t>liz</t>
  </si>
  <si>
    <t>Polynemidae sp.</t>
  </si>
  <si>
    <t>mbk</t>
  </si>
  <si>
    <t>Eleutheronema tetradactylum</t>
  </si>
  <si>
    <t>szm</t>
  </si>
  <si>
    <t>Elete</t>
  </si>
  <si>
    <t>Polydactylus plebejus</t>
  </si>
  <si>
    <t>wzm</t>
  </si>
  <si>
    <t>Polpl</t>
  </si>
  <si>
    <t>Polydactylus sextarius</t>
  </si>
  <si>
    <t>lzm</t>
  </si>
  <si>
    <t>Polse</t>
  </si>
  <si>
    <t>Ambassidae sp.</t>
  </si>
  <si>
    <t>Amb</t>
  </si>
  <si>
    <t>Ambassis gymnocephalus</t>
  </si>
  <si>
    <t>kjs</t>
  </si>
  <si>
    <t>Ambgy</t>
  </si>
  <si>
    <t>Ambassis kopsi</t>
  </si>
  <si>
    <t>gss</t>
  </si>
  <si>
    <t>Ambko</t>
  </si>
  <si>
    <t>Ambassis miops</t>
  </si>
  <si>
    <t>Ambmi</t>
  </si>
  <si>
    <t>Ambassis urotaenia</t>
  </si>
  <si>
    <t>wws</t>
  </si>
  <si>
    <t>Ambur</t>
  </si>
  <si>
    <t>Latidae sp.</t>
  </si>
  <si>
    <t>jwl</t>
  </si>
  <si>
    <t>Lat</t>
  </si>
  <si>
    <t>Lates calcarifer</t>
  </si>
  <si>
    <t>Latca</t>
  </si>
  <si>
    <t>Psammoperca waigiensis</t>
  </si>
  <si>
    <t>sl</t>
  </si>
  <si>
    <t>Psawa</t>
  </si>
  <si>
    <t>Serranidae sp.</t>
  </si>
  <si>
    <t>yike</t>
  </si>
  <si>
    <t>Malakichthys elegans</t>
  </si>
  <si>
    <t>mry</t>
  </si>
  <si>
    <t>Malel</t>
  </si>
  <si>
    <t>Matsubara et Yamaguchi</t>
  </si>
  <si>
    <t>Malakichthys griseus</t>
  </si>
  <si>
    <t>hry</t>
  </si>
  <si>
    <t>Malgr</t>
  </si>
  <si>
    <t>Doderlein</t>
  </si>
  <si>
    <t>Malakichthys wakiyai</t>
  </si>
  <si>
    <t>ry</t>
  </si>
  <si>
    <t>Malwa</t>
  </si>
  <si>
    <t>Belonoperca chabanaudi</t>
  </si>
  <si>
    <t>kbr</t>
  </si>
  <si>
    <t>Belch</t>
  </si>
  <si>
    <t>Fowler et Bean</t>
  </si>
  <si>
    <t>Grammistes sexlineatus</t>
  </si>
  <si>
    <t>Grase</t>
  </si>
  <si>
    <t>(Thunberg)</t>
  </si>
  <si>
    <t>Pogonoperca punctatus</t>
  </si>
  <si>
    <t>Pogpu</t>
  </si>
  <si>
    <t>Niphon spinosus</t>
  </si>
  <si>
    <t>Nipsp</t>
  </si>
  <si>
    <t>Lateolabrax japonicus</t>
  </si>
  <si>
    <t>HUALU</t>
  </si>
  <si>
    <t>Latja</t>
  </si>
  <si>
    <t>Aulacocephalus temmincki</t>
  </si>
  <si>
    <t>zl</t>
  </si>
  <si>
    <t>Aulte</t>
  </si>
  <si>
    <t>Diploprion bifasciatum</t>
  </si>
  <si>
    <t>sdh</t>
  </si>
  <si>
    <t>Dipbi</t>
  </si>
  <si>
    <t>Kuhl et van Hasselt</t>
  </si>
  <si>
    <t>Doederleinia berycoides</t>
  </si>
  <si>
    <t>Doebe</t>
  </si>
  <si>
    <t>Synagrops japonicus</t>
  </si>
  <si>
    <t>jyl</t>
  </si>
  <si>
    <t>Synagrops philippinensis</t>
  </si>
  <si>
    <t>fjj</t>
  </si>
  <si>
    <t>Synph</t>
  </si>
  <si>
    <t>Synagrops serratospinosus</t>
  </si>
  <si>
    <t>jjj</t>
  </si>
  <si>
    <t>Synse</t>
  </si>
  <si>
    <t>Coreoperca herzi</t>
  </si>
  <si>
    <t>cxs</t>
  </si>
  <si>
    <t>Coreoperca kawamebari</t>
  </si>
  <si>
    <t>Corka</t>
  </si>
  <si>
    <t>Coreoperca loona</t>
  </si>
  <si>
    <t>ljs</t>
  </si>
  <si>
    <t>Corlo</t>
  </si>
  <si>
    <t>Coreoperca whiteheadi</t>
  </si>
  <si>
    <t>zgs</t>
  </si>
  <si>
    <t>Corwh</t>
  </si>
  <si>
    <t>Boulenger</t>
  </si>
  <si>
    <t>Coreosiniperca roulei</t>
  </si>
  <si>
    <t>Corro</t>
  </si>
  <si>
    <t>Siniperca chuatsi</t>
  </si>
  <si>
    <t>Siniperca fortis</t>
  </si>
  <si>
    <t>Sinfo</t>
  </si>
  <si>
    <t>Siniperca kneri</t>
  </si>
  <si>
    <t>Sinkn</t>
  </si>
  <si>
    <t>Siniperca liuzhouensis</t>
  </si>
  <si>
    <t>lzj</t>
  </si>
  <si>
    <t>Sinli</t>
  </si>
  <si>
    <t>Zhou, Kong et Chu</t>
  </si>
  <si>
    <t>Siniperca obscura</t>
  </si>
  <si>
    <t>aj</t>
  </si>
  <si>
    <t>Sinob</t>
  </si>
  <si>
    <t>Siniperca robusta</t>
  </si>
  <si>
    <t>Kwang, Yu et Ni</t>
  </si>
  <si>
    <t>Siniperca scherzeri</t>
  </si>
  <si>
    <t>Sinsc</t>
  </si>
  <si>
    <t>Siniperca undulata</t>
  </si>
  <si>
    <t>Sinun</t>
  </si>
  <si>
    <t>Fang et Chong</t>
  </si>
  <si>
    <t>Aethaloperca rogaa</t>
  </si>
  <si>
    <t>Aetro</t>
  </si>
  <si>
    <t>Anyperodon leucogrammicus</t>
  </si>
  <si>
    <t>bxg</t>
  </si>
  <si>
    <t>Anyle</t>
  </si>
  <si>
    <t>Cephalopholis analis</t>
  </si>
  <si>
    <t>ttj</t>
  </si>
  <si>
    <t>Cepan</t>
  </si>
  <si>
    <t>Cephalopholis argus</t>
  </si>
  <si>
    <t>bdj</t>
  </si>
  <si>
    <t>Cepar</t>
  </si>
  <si>
    <t>Cephalopholis formosa</t>
  </si>
  <si>
    <t>Cepfo</t>
  </si>
  <si>
    <t>Cephalopholis igarashiensis</t>
  </si>
  <si>
    <t>Cepig</t>
  </si>
  <si>
    <t>Cephalopholis leopardus</t>
  </si>
  <si>
    <t>mwj</t>
  </si>
  <si>
    <t>Ceple</t>
  </si>
  <si>
    <t>Cephalopholis miniatus</t>
  </si>
  <si>
    <t>qxj</t>
  </si>
  <si>
    <t>Cepmi</t>
  </si>
  <si>
    <t>Cephalopholis sexmaculatus</t>
  </si>
  <si>
    <t>lbj</t>
  </si>
  <si>
    <t>Cepse</t>
  </si>
  <si>
    <t>Cephalopholis sonnerati</t>
  </si>
  <si>
    <t>Cepso</t>
  </si>
  <si>
    <t>Cephalopholis spiloparaea</t>
  </si>
  <si>
    <t>hyj</t>
  </si>
  <si>
    <t>Cepsp</t>
  </si>
  <si>
    <t>Cephalopholis urodelus</t>
  </si>
  <si>
    <t>wwj</t>
  </si>
  <si>
    <t>Cepur</t>
  </si>
  <si>
    <t>Chromileptes altivelis</t>
  </si>
  <si>
    <t>tbl</t>
  </si>
  <si>
    <t>Chral</t>
  </si>
  <si>
    <t>Epinephelus akaara</t>
  </si>
  <si>
    <t>cds</t>
  </si>
  <si>
    <t>Epiak</t>
  </si>
  <si>
    <t>Epinephelus amblycephalus</t>
  </si>
  <si>
    <t>Epiam</t>
  </si>
  <si>
    <t>Epinephelus areolatus</t>
  </si>
  <si>
    <t>Epiar</t>
  </si>
  <si>
    <t>Epinephelus awoara</t>
  </si>
  <si>
    <t>qsb</t>
  </si>
  <si>
    <t>Epiaw</t>
  </si>
  <si>
    <t>Epinephelus bleekeri</t>
  </si>
  <si>
    <t>Epibl</t>
  </si>
  <si>
    <t>(Vaillant et Bocourt)</t>
  </si>
  <si>
    <t>Epinephelus bontoides</t>
  </si>
  <si>
    <t>Epibo</t>
  </si>
  <si>
    <t>Epinephelus brunneus</t>
  </si>
  <si>
    <t>Epibr</t>
  </si>
  <si>
    <t>Epinephelus caeruleopunctatus</t>
  </si>
  <si>
    <t>yds</t>
  </si>
  <si>
    <t>Epica</t>
  </si>
  <si>
    <t>Epinephelus chlorostigma</t>
  </si>
  <si>
    <t>Epich</t>
  </si>
  <si>
    <t>Epinephelus coioides</t>
  </si>
  <si>
    <t>Epico</t>
  </si>
  <si>
    <t>Epinephelus cometae</t>
  </si>
  <si>
    <t>Epinephelus corallicola</t>
  </si>
  <si>
    <t>Epinephelus cyanopodus</t>
  </si>
  <si>
    <t>Epicy</t>
  </si>
  <si>
    <t>Epinephelus epistictus</t>
  </si>
  <si>
    <t>Epiep</t>
  </si>
  <si>
    <t>Epinephelus fasciatomaculosus</t>
  </si>
  <si>
    <t>Epifa</t>
  </si>
  <si>
    <t>Epinephelus fasciatus</t>
  </si>
  <si>
    <t>Epinephelus fuscoguttatus</t>
  </si>
  <si>
    <t>Epifu</t>
  </si>
  <si>
    <t>Epinephelus heniochus</t>
  </si>
  <si>
    <t>Epihe</t>
  </si>
  <si>
    <t>Epinephelus hexagonatus</t>
  </si>
  <si>
    <t>Epinephelus latifasciatus</t>
  </si>
  <si>
    <t>kds</t>
  </si>
  <si>
    <t>Epila</t>
  </si>
  <si>
    <t>Epinephelus maculatus</t>
  </si>
  <si>
    <t>Epima</t>
  </si>
  <si>
    <t>Epinephelus megachir</t>
  </si>
  <si>
    <t>zys</t>
  </si>
  <si>
    <t>Epime</t>
  </si>
  <si>
    <t>Epinephelus melanostigma</t>
  </si>
  <si>
    <t>Epinephelus merra</t>
  </si>
  <si>
    <t>fcs</t>
  </si>
  <si>
    <t>Epinephelus microdon</t>
  </si>
  <si>
    <t>Epimi</t>
  </si>
  <si>
    <t>Epinephelus morrhua</t>
  </si>
  <si>
    <t>gbs</t>
  </si>
  <si>
    <t>Epimo</t>
  </si>
  <si>
    <t>Epinephelus poecilonotus</t>
  </si>
  <si>
    <t>lls</t>
  </si>
  <si>
    <t>Epipo</t>
  </si>
  <si>
    <t>Epinephelus quoyanus</t>
  </si>
  <si>
    <t>dms</t>
  </si>
  <si>
    <t>Epiqu</t>
  </si>
  <si>
    <t>Epinephelus radiatus</t>
  </si>
  <si>
    <t>Epira</t>
  </si>
  <si>
    <t>Epinephelus retouti</t>
  </si>
  <si>
    <t>Epire</t>
  </si>
  <si>
    <t>Epinephelus rivulatus</t>
  </si>
  <si>
    <t>sds</t>
  </si>
  <si>
    <t>Epiri</t>
  </si>
  <si>
    <t>Epinephelus sexfasciatus</t>
  </si>
  <si>
    <t>lds</t>
  </si>
  <si>
    <t>Epise</t>
  </si>
  <si>
    <t>Epinephelus spilotoceps</t>
  </si>
  <si>
    <t>Episp</t>
  </si>
  <si>
    <t>Epinephelus stigmogrammacus</t>
  </si>
  <si>
    <t>dxs</t>
  </si>
  <si>
    <t>Epist</t>
  </si>
  <si>
    <t>Cheng et Yang</t>
  </si>
  <si>
    <t>Epinephelus tauvina</t>
  </si>
  <si>
    <t>jsb</t>
  </si>
  <si>
    <t>Epita</t>
  </si>
  <si>
    <t>Epinephelus trimaculatus</t>
  </si>
  <si>
    <t>gds</t>
  </si>
  <si>
    <t>Epitr</t>
  </si>
  <si>
    <t>Epinephelus tukula</t>
  </si>
  <si>
    <t>Epitu</t>
  </si>
  <si>
    <t>Morgans</t>
  </si>
  <si>
    <t>Epinephelus undulosus</t>
  </si>
  <si>
    <t>Epiun</t>
  </si>
  <si>
    <t>Gracila albomarginatus</t>
  </si>
  <si>
    <t>xcl</t>
  </si>
  <si>
    <t>Graal</t>
  </si>
  <si>
    <t>(Fowler et Bean)</t>
  </si>
  <si>
    <t>Petrometopon boenack</t>
  </si>
  <si>
    <t>zwa</t>
  </si>
  <si>
    <t>Petbo</t>
  </si>
  <si>
    <t>(Block)</t>
  </si>
  <si>
    <t>Petrometopon pachycentron</t>
  </si>
  <si>
    <t>hda</t>
  </si>
  <si>
    <t>Petpa</t>
  </si>
  <si>
    <t>Plectropomus laevis</t>
  </si>
  <si>
    <t>phs</t>
  </si>
  <si>
    <t>Plela</t>
  </si>
  <si>
    <t>Plectropomus leopardus</t>
  </si>
  <si>
    <t>Plele</t>
  </si>
  <si>
    <t>Plectropomus oligacanthus</t>
  </si>
  <si>
    <t>Pleol</t>
  </si>
  <si>
    <t>Plectropomus truncatus</t>
  </si>
  <si>
    <t>Pletr</t>
  </si>
  <si>
    <t>Promicrops lanceolatus</t>
  </si>
  <si>
    <t>kel</t>
  </si>
  <si>
    <t>Prola</t>
  </si>
  <si>
    <t>Saloptia powelli</t>
  </si>
  <si>
    <t>bsp</t>
  </si>
  <si>
    <t>Salpo</t>
  </si>
  <si>
    <t>Trisotropis dermopterus</t>
  </si>
  <si>
    <t>Tride</t>
  </si>
  <si>
    <t>Variola albimarginata</t>
  </si>
  <si>
    <t>Baissac</t>
  </si>
  <si>
    <t>Variola louti</t>
  </si>
  <si>
    <t>cyl</t>
  </si>
  <si>
    <t>Varlo</t>
  </si>
  <si>
    <t>Chorististium aragai</t>
  </si>
  <si>
    <t>hkc</t>
  </si>
  <si>
    <t>Choar</t>
  </si>
  <si>
    <t>Randall et Taylor</t>
  </si>
  <si>
    <t>Chorististium japonicum</t>
  </si>
  <si>
    <t>Choja</t>
  </si>
  <si>
    <t>Chorististium latifasciata</t>
  </si>
  <si>
    <t>kdc</t>
  </si>
  <si>
    <t>Chola</t>
  </si>
  <si>
    <t>Chorististium susumi</t>
  </si>
  <si>
    <t>Chosu</t>
  </si>
  <si>
    <t>Chelidoperca hirundinacea</t>
  </si>
  <si>
    <t>ycz</t>
  </si>
  <si>
    <t>Chehi</t>
  </si>
  <si>
    <t>Chelidoperca margaritifera</t>
  </si>
  <si>
    <t>Chema</t>
  </si>
  <si>
    <t>Chelidoperca pleurospilus</t>
  </si>
  <si>
    <t>cbc</t>
  </si>
  <si>
    <t>Chepl</t>
  </si>
  <si>
    <t>Anthias fasciatus</t>
  </si>
  <si>
    <t>dnh</t>
  </si>
  <si>
    <t>Antfa</t>
  </si>
  <si>
    <t>Anthias luzonensis</t>
  </si>
  <si>
    <t>lsh</t>
  </si>
  <si>
    <t>Antlu</t>
  </si>
  <si>
    <t>Katayama et Masuda</t>
  </si>
  <si>
    <t>Anthias pascalus</t>
  </si>
  <si>
    <t>hch</t>
  </si>
  <si>
    <t>Antpa</t>
  </si>
  <si>
    <t>(Jordan et Tanaka)</t>
  </si>
  <si>
    <t>Anthias pleurotaenia</t>
  </si>
  <si>
    <t>cdh</t>
  </si>
  <si>
    <t>Antpl</t>
  </si>
  <si>
    <t>Anthias squamipinnis</t>
  </si>
  <si>
    <t>cjh</t>
  </si>
  <si>
    <t>Antsq</t>
  </si>
  <si>
    <t>Anthias truncatus</t>
  </si>
  <si>
    <t>jxh</t>
  </si>
  <si>
    <t>Anttr</t>
  </si>
  <si>
    <t>Callanthias japonicus</t>
  </si>
  <si>
    <t>hmz</t>
  </si>
  <si>
    <t>Calja</t>
  </si>
  <si>
    <t>Frang</t>
  </si>
  <si>
    <t>Caprodon schlegeli</t>
  </si>
  <si>
    <t>Capsc</t>
  </si>
  <si>
    <t>Giganthias immaculatus</t>
  </si>
  <si>
    <t>wbj</t>
  </si>
  <si>
    <t>Gigim</t>
  </si>
  <si>
    <t>Holanthias borbonius</t>
  </si>
  <si>
    <t>bpj</t>
  </si>
  <si>
    <t>Holbo</t>
  </si>
  <si>
    <t>Holanthias chrysostictus</t>
  </si>
  <si>
    <t>hdj</t>
  </si>
  <si>
    <t>Holch</t>
  </si>
  <si>
    <t>Mirolabrichthys tuka</t>
  </si>
  <si>
    <t>Mirtu</t>
  </si>
  <si>
    <t>Odontanthias rhodopeplus</t>
  </si>
  <si>
    <t>Odorh</t>
  </si>
  <si>
    <t>Odontanthias unimaculatus</t>
  </si>
  <si>
    <t>Odoun</t>
  </si>
  <si>
    <t>(Taraka)</t>
  </si>
  <si>
    <t>Plectranthias anthioides</t>
  </si>
  <si>
    <t>jjh</t>
  </si>
  <si>
    <t>Plean</t>
  </si>
  <si>
    <t>Plectranthias helenae</t>
  </si>
  <si>
    <t>Plehe</t>
  </si>
  <si>
    <t>Randall</t>
  </si>
  <si>
    <t>Plectranthias japonicus</t>
  </si>
  <si>
    <t>Pleja</t>
  </si>
  <si>
    <t>Plectranthias kelloggi</t>
  </si>
  <si>
    <t>ksj</t>
  </si>
  <si>
    <t>Pleke</t>
  </si>
  <si>
    <t>(Jordan et Evermann)</t>
  </si>
  <si>
    <t>Plectranthias longimanus</t>
  </si>
  <si>
    <t>Plelo</t>
  </si>
  <si>
    <t>Plectranthias nanus</t>
  </si>
  <si>
    <t>Plena</t>
  </si>
  <si>
    <t>Plectranthias wheeleri</t>
  </si>
  <si>
    <t>Plewh</t>
  </si>
  <si>
    <t>Plectranthias whiteheadi</t>
  </si>
  <si>
    <t>Plectranthias yamakawai</t>
  </si>
  <si>
    <t>scj</t>
  </si>
  <si>
    <t>Pleya</t>
  </si>
  <si>
    <t>Yoshino</t>
  </si>
  <si>
    <t>Pseudanthias cichlops</t>
  </si>
  <si>
    <t>Pseci</t>
  </si>
  <si>
    <t>Pseudanthias elongatus</t>
  </si>
  <si>
    <t>cnh</t>
  </si>
  <si>
    <t>(Franz)</t>
  </si>
  <si>
    <t>Pseudanthias rubrizonatus</t>
  </si>
  <si>
    <t>Pseru</t>
  </si>
  <si>
    <t>(Randall)</t>
  </si>
  <si>
    <t>Sacura margaritacea</t>
  </si>
  <si>
    <t>Sacma</t>
  </si>
  <si>
    <t>Selenanthias analis</t>
  </si>
  <si>
    <t>tby</t>
  </si>
  <si>
    <t>Selan</t>
  </si>
  <si>
    <t>Serranocirrhitus latus</t>
  </si>
  <si>
    <t>Serla</t>
  </si>
  <si>
    <t>Watanabe</t>
  </si>
  <si>
    <t>Tosana niwae</t>
  </si>
  <si>
    <t>jz</t>
  </si>
  <si>
    <t>Tosni</t>
  </si>
  <si>
    <t>Pseudochromidae sp.</t>
  </si>
  <si>
    <t>nsd</t>
  </si>
  <si>
    <t>Pse</t>
  </si>
  <si>
    <t>Dampieria cyclophthalmus</t>
  </si>
  <si>
    <t>hyd</t>
  </si>
  <si>
    <t>Damcy</t>
  </si>
  <si>
    <t>(Muller et Troschel)</t>
  </si>
  <si>
    <t>Dampieria melanotaenia</t>
  </si>
  <si>
    <t>hxd</t>
  </si>
  <si>
    <t>Damme</t>
  </si>
  <si>
    <t>Pseudochromis cyanotaenia</t>
  </si>
  <si>
    <t>ldn</t>
  </si>
  <si>
    <t>Psecy</t>
  </si>
  <si>
    <t>Pseudochromis fuscus</t>
  </si>
  <si>
    <t>znq</t>
  </si>
  <si>
    <t>Psefu</t>
  </si>
  <si>
    <t>Muller et Troschel</t>
  </si>
  <si>
    <t>Pseudochromis porphyreus</t>
  </si>
  <si>
    <t>Psepo</t>
  </si>
  <si>
    <t>Lubbock et Goldman</t>
  </si>
  <si>
    <t>Pseudochromis tapeinosoma</t>
  </si>
  <si>
    <t>xsn</t>
  </si>
  <si>
    <t>Pseudochromis xanthochir</t>
  </si>
  <si>
    <t>Psexa</t>
  </si>
  <si>
    <t>Priacanthidae sp.</t>
  </si>
  <si>
    <t>dyd</t>
  </si>
  <si>
    <t>Priacanthus blochii</t>
  </si>
  <si>
    <t>Pribl</t>
  </si>
  <si>
    <t>Priacanthus boops</t>
  </si>
  <si>
    <t>Pribo</t>
  </si>
  <si>
    <t>Priacanthus cruentatus</t>
  </si>
  <si>
    <t>bqd</t>
  </si>
  <si>
    <t>Pricr</t>
  </si>
  <si>
    <t>Priacanthus hamrur</t>
  </si>
  <si>
    <t>jmd</t>
  </si>
  <si>
    <t>Priha</t>
  </si>
  <si>
    <t>Priacanthus macracanthus</t>
  </si>
  <si>
    <t>Prima</t>
  </si>
  <si>
    <t>Priacanthus tayenus</t>
  </si>
  <si>
    <t>cwd</t>
  </si>
  <si>
    <t>Prita</t>
  </si>
  <si>
    <t>Pseudopriacanthus multifasciatus</t>
  </si>
  <si>
    <t>ddn</t>
  </si>
  <si>
    <t>Psemu</t>
  </si>
  <si>
    <t>(Yoshino et Iwai)</t>
  </si>
  <si>
    <t>Pseudopriacanthus niphonius</t>
  </si>
  <si>
    <t>ndy</t>
  </si>
  <si>
    <t>Pseni</t>
  </si>
  <si>
    <t>Acropomidae sp.</t>
  </si>
  <si>
    <t>fgd</t>
  </si>
  <si>
    <t>Acr</t>
  </si>
  <si>
    <t>Acropoma hanedai</t>
  </si>
  <si>
    <t>ylf</t>
  </si>
  <si>
    <t>Acrha</t>
  </si>
  <si>
    <t>Acropoma japonicum</t>
  </si>
  <si>
    <t>Acrja</t>
  </si>
  <si>
    <t>Apogon amboinensis</t>
  </si>
  <si>
    <t>gxt</t>
  </si>
  <si>
    <t>Apoam</t>
  </si>
  <si>
    <t>Apogon angustatus</t>
  </si>
  <si>
    <t>xdt</t>
  </si>
  <si>
    <t>Apoan</t>
  </si>
  <si>
    <t>(Smith et Radelffe)</t>
  </si>
  <si>
    <t>Apogon apogonides</t>
  </si>
  <si>
    <t>Apoap</t>
  </si>
  <si>
    <t>Apogon aureus</t>
  </si>
  <si>
    <t>htz</t>
  </si>
  <si>
    <t>Apoau</t>
  </si>
  <si>
    <t>Apogon bandanensis</t>
  </si>
  <si>
    <t>jwt</t>
  </si>
  <si>
    <t>Apoba</t>
  </si>
  <si>
    <t>Apogon cheni</t>
  </si>
  <si>
    <t>cst</t>
  </si>
  <si>
    <t>Apoch</t>
  </si>
  <si>
    <t>Hayashi</t>
  </si>
  <si>
    <t>Apogon chrysotaenia</t>
  </si>
  <si>
    <t>dxt</t>
  </si>
  <si>
    <t>Apogon coccineus</t>
  </si>
  <si>
    <t>Apoco</t>
  </si>
  <si>
    <t>Apogon compressus</t>
  </si>
  <si>
    <t>ldt</t>
  </si>
  <si>
    <t>Apogon cookii</t>
  </si>
  <si>
    <t>kst</t>
  </si>
  <si>
    <t>Apogon crassiceps</t>
  </si>
  <si>
    <t>dqt</t>
  </si>
  <si>
    <t>Apocr</t>
  </si>
  <si>
    <t>Apogon cyanosoma</t>
  </si>
  <si>
    <t>lst</t>
  </si>
  <si>
    <t>Apocy</t>
  </si>
  <si>
    <t>Apogon doederleini</t>
  </si>
  <si>
    <t>dst</t>
  </si>
  <si>
    <t>Apodo</t>
  </si>
  <si>
    <t>Apogon doryssa</t>
  </si>
  <si>
    <t>cjt</t>
  </si>
  <si>
    <t>Apogon ellioti</t>
  </si>
  <si>
    <t>Apoel</t>
  </si>
  <si>
    <t>Apogon endekataenia</t>
  </si>
  <si>
    <t>xtt</t>
  </si>
  <si>
    <t>Apoen</t>
  </si>
  <si>
    <t>Apogon erythrinus</t>
  </si>
  <si>
    <t>fht</t>
  </si>
  <si>
    <t>Apoer</t>
  </si>
  <si>
    <t>Apogon exostiyma</t>
  </si>
  <si>
    <t>Apoex</t>
  </si>
  <si>
    <t>Apogon fasciatus</t>
  </si>
  <si>
    <t>dtz</t>
  </si>
  <si>
    <t>Apofa</t>
  </si>
  <si>
    <t>(White)</t>
  </si>
  <si>
    <t>Apogon fleurieu</t>
  </si>
  <si>
    <t>bbt</t>
  </si>
  <si>
    <t>Apofl</t>
  </si>
  <si>
    <t>Apogon fraenatus</t>
  </si>
  <si>
    <t>tjt</t>
  </si>
  <si>
    <t>Apofr</t>
  </si>
  <si>
    <t>Apogon fusca</t>
  </si>
  <si>
    <t>Apofu</t>
  </si>
  <si>
    <t>Quoy et Caimard</t>
  </si>
  <si>
    <t>Apogon guamemsis</t>
  </si>
  <si>
    <t>yxt</t>
  </si>
  <si>
    <t>Apogu</t>
  </si>
  <si>
    <t>Apogon kallopterus</t>
  </si>
  <si>
    <t>mqt</t>
  </si>
  <si>
    <t>Apoka</t>
  </si>
  <si>
    <t>Apogon kiensis</t>
  </si>
  <si>
    <t>zxt</t>
  </si>
  <si>
    <t>Apoki</t>
  </si>
  <si>
    <t>Apogon lateralis</t>
  </si>
  <si>
    <t>cdt</t>
  </si>
  <si>
    <t>Apola</t>
  </si>
  <si>
    <t>Apogon lineatus</t>
  </si>
  <si>
    <t>Apoli</t>
  </si>
  <si>
    <t>Apogon melas</t>
  </si>
  <si>
    <t>Apome</t>
  </si>
  <si>
    <t>Apogon moluccensis</t>
  </si>
  <si>
    <t>mlj</t>
  </si>
  <si>
    <t>Apomo</t>
  </si>
  <si>
    <t>Apogon nigrofasciatus</t>
  </si>
  <si>
    <t>hdt</t>
  </si>
  <si>
    <t>Aponi</t>
  </si>
  <si>
    <t>Lachner</t>
  </si>
  <si>
    <t>Apogon nitidus</t>
  </si>
  <si>
    <t>hwt</t>
  </si>
  <si>
    <t>Apogon notatus</t>
  </si>
  <si>
    <t>tbt</t>
  </si>
  <si>
    <t>Apono</t>
  </si>
  <si>
    <t>Apogon novemfasciatus</t>
  </si>
  <si>
    <t>jxt</t>
  </si>
  <si>
    <t>Apogon orbicularis</t>
  </si>
  <si>
    <t>bdt</t>
  </si>
  <si>
    <t>Apoor</t>
  </si>
  <si>
    <t>Apogon pseudotaeniatus</t>
  </si>
  <si>
    <t>nsx</t>
  </si>
  <si>
    <t>Apops</t>
  </si>
  <si>
    <t>Apogon quadrifasciatus</t>
  </si>
  <si>
    <t>sxt</t>
  </si>
  <si>
    <t>Apoqu</t>
  </si>
  <si>
    <t>Apogon robustus</t>
  </si>
  <si>
    <t>ctt</t>
  </si>
  <si>
    <t>Aporo</t>
  </si>
  <si>
    <t>Apogon semilineatus</t>
  </si>
  <si>
    <t>bxt</t>
  </si>
  <si>
    <t>Apose</t>
  </si>
  <si>
    <t>Apogon semiornatus</t>
  </si>
  <si>
    <t>Apogon striatus</t>
  </si>
  <si>
    <t>ktt</t>
  </si>
  <si>
    <t>Apost</t>
  </si>
  <si>
    <t>Apogon taeniatus</t>
  </si>
  <si>
    <t>sdt</t>
  </si>
  <si>
    <t>Apota</t>
  </si>
  <si>
    <t>Apogon taeniophorus</t>
  </si>
  <si>
    <t>Apogon timorensis</t>
  </si>
  <si>
    <t>Apoti</t>
  </si>
  <si>
    <t>Apogon trimaculatus</t>
  </si>
  <si>
    <t>sbt</t>
  </si>
  <si>
    <t>Apotr</t>
  </si>
  <si>
    <t>Apogonichthys albomarginatus</t>
  </si>
  <si>
    <t>Apoal</t>
  </si>
  <si>
    <t>Simth et Radcliffe</t>
  </si>
  <si>
    <t>Apogonichthys arafurae</t>
  </si>
  <si>
    <t>Apoar</t>
  </si>
  <si>
    <t>Apogonichthys brachygrammus</t>
  </si>
  <si>
    <t>dtt</t>
  </si>
  <si>
    <t>Apobr</t>
  </si>
  <si>
    <t>(Jenkins)</t>
  </si>
  <si>
    <t>Apogonichthys carinatus</t>
  </si>
  <si>
    <t>bqt</t>
  </si>
  <si>
    <t>Apoca</t>
  </si>
  <si>
    <t>Apogonichthys niger</t>
  </si>
  <si>
    <t>Apogonichthys ocellatus</t>
  </si>
  <si>
    <t>ybt</t>
  </si>
  <si>
    <t>Apooc</t>
  </si>
  <si>
    <t>(Weger)</t>
  </si>
  <si>
    <t>Apogonichthys perdix</t>
  </si>
  <si>
    <t>jbt</t>
  </si>
  <si>
    <t>Apope</t>
  </si>
  <si>
    <t>Apogonichthys waikiki</t>
  </si>
  <si>
    <t>Apowa</t>
  </si>
  <si>
    <t>Archamia biguttata</t>
  </si>
  <si>
    <t>sbc</t>
  </si>
  <si>
    <t>Arcbi</t>
  </si>
  <si>
    <t>Archamia dispilus</t>
  </si>
  <si>
    <t>hwc</t>
  </si>
  <si>
    <t>Arcdi</t>
  </si>
  <si>
    <t>Archamia fucata</t>
  </si>
  <si>
    <t>hbc</t>
  </si>
  <si>
    <t>Arcfu</t>
  </si>
  <si>
    <t>Archamia goni</t>
  </si>
  <si>
    <t>gsc</t>
  </si>
  <si>
    <t>Arcgo</t>
  </si>
  <si>
    <t>Chen et Shao</t>
  </si>
  <si>
    <t>Archamia lineolata</t>
  </si>
  <si>
    <t>tcq</t>
  </si>
  <si>
    <t>Arcli</t>
  </si>
  <si>
    <t>Archamia macropterus</t>
  </si>
  <si>
    <t>cqt</t>
  </si>
  <si>
    <t>Arcma</t>
  </si>
  <si>
    <t>Cheilodipterus macrodon</t>
  </si>
  <si>
    <t>jyt</t>
  </si>
  <si>
    <t>Cheilodipterus subalatus</t>
  </si>
  <si>
    <t>pjj</t>
  </si>
  <si>
    <t>Chesu</t>
  </si>
  <si>
    <t>Foa abocellata</t>
  </si>
  <si>
    <t>bdf</t>
  </si>
  <si>
    <t>Foaab</t>
  </si>
  <si>
    <t>(Goren et Karplus)</t>
  </si>
  <si>
    <t>Fowleria variegata</t>
  </si>
  <si>
    <t>Fowva</t>
  </si>
  <si>
    <t>Gymnapogon philippinus</t>
  </si>
  <si>
    <t>Gymph</t>
  </si>
  <si>
    <t>(Herre)</t>
  </si>
  <si>
    <t>Gynmapogon urospilotus</t>
  </si>
  <si>
    <t>wbl</t>
  </si>
  <si>
    <t>Gynur</t>
  </si>
  <si>
    <t>Howella sherborni</t>
  </si>
  <si>
    <t>jjd</t>
  </si>
  <si>
    <t>Howsh</t>
  </si>
  <si>
    <t>Papillapogon auritus</t>
  </si>
  <si>
    <t>rtt</t>
  </si>
  <si>
    <t>Papau</t>
  </si>
  <si>
    <t>Paramia quinquelineatus</t>
  </si>
  <si>
    <t>wdf</t>
  </si>
  <si>
    <t>Parqu</t>
  </si>
  <si>
    <t>Pseudamia gelatinosa</t>
  </si>
  <si>
    <t>Psege</t>
  </si>
  <si>
    <t>Pseudamiop gracilicauda</t>
  </si>
  <si>
    <t>Psegr</t>
  </si>
  <si>
    <t>(Lachner)</t>
  </si>
  <si>
    <t>Rhabadamia cypselurus</t>
  </si>
  <si>
    <t>djt</t>
  </si>
  <si>
    <t>Rhacy</t>
  </si>
  <si>
    <t>Rhabacamia gracilis</t>
  </si>
  <si>
    <t>jtz</t>
  </si>
  <si>
    <t>Rhagr</t>
  </si>
  <si>
    <t>Siphamia majimai</t>
  </si>
  <si>
    <t>msg</t>
  </si>
  <si>
    <t>Sipma</t>
  </si>
  <si>
    <t>Mataubara et Iwia</t>
  </si>
  <si>
    <t>Sphaeramia nematopterus</t>
  </si>
  <si>
    <t>sqg</t>
  </si>
  <si>
    <t>Sphne</t>
  </si>
  <si>
    <t>Apogonidae sp.</t>
  </si>
  <si>
    <t>tzd</t>
  </si>
  <si>
    <t>Apogo</t>
  </si>
  <si>
    <t>Sillaginidae sp.</t>
  </si>
  <si>
    <t>xike</t>
  </si>
  <si>
    <t>Sillago asiatica</t>
  </si>
  <si>
    <t>yzx</t>
  </si>
  <si>
    <t>Mckay</t>
  </si>
  <si>
    <t>Sillago ingenuua</t>
  </si>
  <si>
    <t>Silin</t>
  </si>
  <si>
    <t>Sillago japonica</t>
  </si>
  <si>
    <t>shaolinxi</t>
  </si>
  <si>
    <t>Silja</t>
  </si>
  <si>
    <t>Sillago maculata</t>
  </si>
  <si>
    <t>Silma</t>
  </si>
  <si>
    <t>Sillago sihama</t>
  </si>
  <si>
    <t>DUOLINXI</t>
  </si>
  <si>
    <t>Silsi</t>
  </si>
  <si>
    <t>Branchiostegidae sp.</t>
  </si>
  <si>
    <t>fty</t>
  </si>
  <si>
    <t>Branchiostegus albus</t>
  </si>
  <si>
    <t>bmf</t>
  </si>
  <si>
    <t>Braal</t>
  </si>
  <si>
    <t>Dooley</t>
  </si>
  <si>
    <t>Branchiostegus argentatus</t>
  </si>
  <si>
    <t>yft</t>
  </si>
  <si>
    <t>Braar</t>
  </si>
  <si>
    <t>Branchiostegus auratus</t>
  </si>
  <si>
    <t>bqf</t>
  </si>
  <si>
    <t>Braau</t>
  </si>
  <si>
    <t>(Kishinouye)</t>
  </si>
  <si>
    <t>Branchiostegus japonicus</t>
  </si>
  <si>
    <t>rbf</t>
  </si>
  <si>
    <t>Braja</t>
  </si>
  <si>
    <t>Malacanthus brevirostris</t>
  </si>
  <si>
    <t>dwr</t>
  </si>
  <si>
    <t>Malbr</t>
  </si>
  <si>
    <t>Guichenot</t>
  </si>
  <si>
    <t>Malacanthus hoedti</t>
  </si>
  <si>
    <t>wdr</t>
  </si>
  <si>
    <t>Malho</t>
  </si>
  <si>
    <t>Malacanthus latovittatus</t>
  </si>
  <si>
    <t>ctr</t>
  </si>
  <si>
    <t>Carangidae sp.</t>
  </si>
  <si>
    <t>sk</t>
  </si>
  <si>
    <t>Scomberoides sp.</t>
  </si>
  <si>
    <t>sss</t>
  </si>
  <si>
    <t>Scom</t>
  </si>
  <si>
    <t>Alectis ciliaris</t>
  </si>
  <si>
    <t>Aleci</t>
  </si>
  <si>
    <t>Alectis indicus</t>
  </si>
  <si>
    <t>Alein</t>
  </si>
  <si>
    <t>Atropus atropus</t>
  </si>
  <si>
    <t>gs</t>
  </si>
  <si>
    <t>Atrat</t>
  </si>
  <si>
    <t>Alepes sp.</t>
  </si>
  <si>
    <t>fyss</t>
  </si>
  <si>
    <t>Ale</t>
  </si>
  <si>
    <t>Caranx armatus</t>
  </si>
  <si>
    <t>jlx</t>
  </si>
  <si>
    <t>Caranx bucculentus</t>
  </si>
  <si>
    <t>Carbu</t>
  </si>
  <si>
    <t>Alleyne et Macleay</t>
  </si>
  <si>
    <t>Caranx chrysophrys</t>
  </si>
  <si>
    <t>Carch</t>
  </si>
  <si>
    <t>Caranx coeruleopinnatus</t>
  </si>
  <si>
    <t>qyl</t>
  </si>
  <si>
    <t>Carco</t>
  </si>
  <si>
    <t>Caranx delicatissimus</t>
  </si>
  <si>
    <t>mrw</t>
  </si>
  <si>
    <t>Carde</t>
  </si>
  <si>
    <t>Caranx dinema</t>
  </si>
  <si>
    <t>sxl</t>
  </si>
  <si>
    <t>Cardi</t>
  </si>
  <si>
    <t>Caranx djeddaba</t>
  </si>
  <si>
    <t>Cardj</t>
  </si>
  <si>
    <t>Caranx equula</t>
  </si>
  <si>
    <t>gtr</t>
  </si>
  <si>
    <t>Careq</t>
  </si>
  <si>
    <t>Caranx ferdau</t>
  </si>
  <si>
    <t>pxr</t>
  </si>
  <si>
    <t>Carfe</t>
  </si>
  <si>
    <t>Caranx hedlandensis</t>
  </si>
  <si>
    <t>Carhe</t>
  </si>
  <si>
    <t>Caranx helvolus</t>
  </si>
  <si>
    <t>bsw</t>
  </si>
  <si>
    <t>(Forster)</t>
  </si>
  <si>
    <t>Caranx hippos</t>
  </si>
  <si>
    <t>ms</t>
  </si>
  <si>
    <t>Carhi</t>
  </si>
  <si>
    <t>Caranx ignobilis</t>
  </si>
  <si>
    <t>Carig</t>
  </si>
  <si>
    <t>Caranx ishikawai</t>
  </si>
  <si>
    <t>Caris</t>
  </si>
  <si>
    <t>Wakiya</t>
  </si>
  <si>
    <t>Caranx kalla</t>
  </si>
  <si>
    <t>lys</t>
  </si>
  <si>
    <t>Caranx lugubris</t>
  </si>
  <si>
    <t>kbs</t>
  </si>
  <si>
    <t>Caranx macrurus</t>
  </si>
  <si>
    <t>Caranx malabaricus</t>
  </si>
  <si>
    <t>mlb</t>
  </si>
  <si>
    <t>Caranx malam</t>
  </si>
  <si>
    <t>Caranx mate</t>
  </si>
  <si>
    <t>Caranx melampygus</t>
  </si>
  <si>
    <t>Caranx oblongus</t>
  </si>
  <si>
    <t>tyl</t>
  </si>
  <si>
    <t>Cuvier</t>
  </si>
  <si>
    <t>Caranx orthognvmus</t>
  </si>
  <si>
    <t>Caror</t>
  </si>
  <si>
    <t>Caranx oshimai</t>
  </si>
  <si>
    <t>Caros</t>
  </si>
  <si>
    <t>Caranx papuensis</t>
  </si>
  <si>
    <t>Caranx pectoralis</t>
  </si>
  <si>
    <t>Carpe</t>
  </si>
  <si>
    <t>Chu et Cheng</t>
  </si>
  <si>
    <t>Caranx plagiotaenia</t>
  </si>
  <si>
    <t>xtr</t>
  </si>
  <si>
    <t>Caranx platessa</t>
  </si>
  <si>
    <t>bcw</t>
  </si>
  <si>
    <t>Caranx plumbeus</t>
  </si>
  <si>
    <t>qhl</t>
  </si>
  <si>
    <t>Caranx praeustus</t>
  </si>
  <si>
    <t>bqr</t>
  </si>
  <si>
    <t>Carpr</t>
  </si>
  <si>
    <t>Benneu</t>
  </si>
  <si>
    <t>Caranx sansun</t>
  </si>
  <si>
    <t>Carsa</t>
  </si>
  <si>
    <t>Caranx sexfasciatus</t>
  </si>
  <si>
    <t>liudaishen</t>
  </si>
  <si>
    <t>Carse</t>
  </si>
  <si>
    <t>Caranx stellatus</t>
  </si>
  <si>
    <t>Carst</t>
  </si>
  <si>
    <t>Eydoux et Souleyet</t>
  </si>
  <si>
    <t>Caranx talamparoides</t>
  </si>
  <si>
    <t>Carta</t>
  </si>
  <si>
    <t>Caranx tille</t>
  </si>
  <si>
    <t>tlr</t>
  </si>
  <si>
    <t>Carti</t>
  </si>
  <si>
    <t>Decapterus sp.</t>
  </si>
  <si>
    <t>yss</t>
  </si>
  <si>
    <t>Decsp</t>
  </si>
  <si>
    <t>Decapterus fasciatus</t>
  </si>
  <si>
    <t>Decfa</t>
  </si>
  <si>
    <t>Decapterus kurroides</t>
  </si>
  <si>
    <t>wby</t>
  </si>
  <si>
    <t>Decku</t>
  </si>
  <si>
    <t>Decapterus lajang</t>
  </si>
  <si>
    <t>hys</t>
  </si>
  <si>
    <t>Decla</t>
  </si>
  <si>
    <t>Decapterus macrosoma</t>
  </si>
  <si>
    <t>Decma</t>
  </si>
  <si>
    <t>Decapterus maruadsi</t>
  </si>
  <si>
    <t>Decapterus muruadsi</t>
  </si>
  <si>
    <t>Decmu</t>
  </si>
  <si>
    <t>Decapterus russelli</t>
  </si>
  <si>
    <t>Decru</t>
  </si>
  <si>
    <t>Decapterus tabl</t>
  </si>
  <si>
    <t>Decta</t>
  </si>
  <si>
    <t>Berry</t>
  </si>
  <si>
    <t>Gnathanodon speciosus</t>
  </si>
  <si>
    <t>hlw</t>
  </si>
  <si>
    <t>Gnasp</t>
  </si>
  <si>
    <t>Megalaspis cordyla</t>
  </si>
  <si>
    <t>djs</t>
  </si>
  <si>
    <t>Megco</t>
  </si>
  <si>
    <t>Selar boops</t>
  </si>
  <si>
    <t>nya</t>
  </si>
  <si>
    <t>Selbo</t>
  </si>
  <si>
    <t>Selar crumenophthalmus</t>
  </si>
  <si>
    <t>zya</t>
  </si>
  <si>
    <t>Selcr</t>
  </si>
  <si>
    <t>Selaroides leptolepis</t>
  </si>
  <si>
    <t>Selle</t>
  </si>
  <si>
    <t>Trachurus japonicus</t>
  </si>
  <si>
    <t>Traja</t>
  </si>
  <si>
    <t>Ulua mandibularis</t>
  </si>
  <si>
    <t>yss</t>
  </si>
  <si>
    <t>Uluma</t>
  </si>
  <si>
    <t>(Macleay)</t>
  </si>
  <si>
    <t>Trachinotus bailloni</t>
  </si>
  <si>
    <t>xbc</t>
  </si>
  <si>
    <t>Traba</t>
  </si>
  <si>
    <t>Trachinotus blochii</t>
  </si>
  <si>
    <t>lxc</t>
  </si>
  <si>
    <t>Trabl</t>
  </si>
  <si>
    <t>Trachinotus russelli</t>
  </si>
  <si>
    <t>Traru</t>
  </si>
  <si>
    <t>Elagatis bipinnulatus</t>
  </si>
  <si>
    <t>fangchuishi</t>
  </si>
  <si>
    <t>Elabi</t>
  </si>
  <si>
    <t>Naucrates ductor</t>
  </si>
  <si>
    <t>ds</t>
  </si>
  <si>
    <t>Naudu</t>
  </si>
  <si>
    <t>Seriola aureovittata</t>
  </si>
  <si>
    <t>Serau</t>
  </si>
  <si>
    <t>Seriola dumerili</t>
  </si>
  <si>
    <t>Serdu</t>
  </si>
  <si>
    <t>(Risso)</t>
  </si>
  <si>
    <t>Seriola quinqueradiata</t>
  </si>
  <si>
    <t>wts</t>
  </si>
  <si>
    <t>Serqu</t>
  </si>
  <si>
    <t>Zonichthys nigrofasciata</t>
  </si>
  <si>
    <t>Zonni</t>
  </si>
  <si>
    <t>Chorinemus formosanus</t>
  </si>
  <si>
    <t>Chofo</t>
  </si>
  <si>
    <t>(Wakiya)</t>
  </si>
  <si>
    <t>Chorinemus hainanensis</t>
  </si>
  <si>
    <t>Choha</t>
  </si>
  <si>
    <t>Chorinemus lysan</t>
  </si>
  <si>
    <t>chc</t>
  </si>
  <si>
    <t>Choly</t>
  </si>
  <si>
    <t>Chorinemus moadetta</t>
  </si>
  <si>
    <t>zlc</t>
  </si>
  <si>
    <t>Chomo</t>
  </si>
  <si>
    <t>Chorinemus orientalis</t>
  </si>
  <si>
    <t>dfc</t>
  </si>
  <si>
    <t>Choor</t>
  </si>
  <si>
    <t>Chorinemus sanctipetri</t>
  </si>
  <si>
    <t>xcc</t>
  </si>
  <si>
    <t>Chosa</t>
  </si>
  <si>
    <t>Chorinemus tala</t>
  </si>
  <si>
    <t>tlc</t>
  </si>
  <si>
    <t>Chota</t>
  </si>
  <si>
    <t>Chorinemus tolooparah</t>
  </si>
  <si>
    <t>hhc</t>
  </si>
  <si>
    <t>Choto</t>
  </si>
  <si>
    <t>Coryphaenidae sp.</t>
  </si>
  <si>
    <t>qqk</t>
  </si>
  <si>
    <t>Cor</t>
  </si>
  <si>
    <t>Coryphaena equixetis</t>
  </si>
  <si>
    <t>djqq</t>
  </si>
  <si>
    <t>Coreq</t>
  </si>
  <si>
    <t>Coryphaena hippurus</t>
  </si>
  <si>
    <t>qq</t>
  </si>
  <si>
    <t>Corhi</t>
  </si>
  <si>
    <t>Sciaenidae sp.</t>
  </si>
  <si>
    <t>shishouyuke</t>
  </si>
  <si>
    <t>Sci</t>
  </si>
  <si>
    <t>Johnius amblycephalus</t>
  </si>
  <si>
    <t>Joham</t>
  </si>
  <si>
    <t>Johnius coitor</t>
  </si>
  <si>
    <t>Johco</t>
  </si>
  <si>
    <t>Johnius fasciatus</t>
  </si>
  <si>
    <t>Johfa</t>
  </si>
  <si>
    <t>Chu, Lo et Wu</t>
  </si>
  <si>
    <t>Johnius sp.</t>
  </si>
  <si>
    <t>jgy</t>
  </si>
  <si>
    <t>johsp</t>
  </si>
  <si>
    <t>Johnius grypotus</t>
  </si>
  <si>
    <t>Johgr</t>
  </si>
  <si>
    <t>Johnius macrorhynus</t>
  </si>
  <si>
    <t>Johma</t>
  </si>
  <si>
    <t>(Mohan)</t>
  </si>
  <si>
    <t>Johnius weberi</t>
  </si>
  <si>
    <t>hsj</t>
  </si>
  <si>
    <t>Johwe</t>
  </si>
  <si>
    <t>Wak distinctus</t>
  </si>
  <si>
    <t>dh</t>
  </si>
  <si>
    <t>Wakdi</t>
  </si>
  <si>
    <t>Megalonibea fusca</t>
  </si>
  <si>
    <t>hmc</t>
  </si>
  <si>
    <t>Megfu</t>
  </si>
  <si>
    <t>Bahaba taipingensis</t>
  </si>
  <si>
    <t>Bahta</t>
  </si>
  <si>
    <t>Macrospinosa cuja</t>
  </si>
  <si>
    <t>xwd</t>
  </si>
  <si>
    <t>Maccu</t>
  </si>
  <si>
    <t>Panna microdon</t>
  </si>
  <si>
    <t>xyf</t>
  </si>
  <si>
    <t>Dendrophysa russelli</t>
  </si>
  <si>
    <t>lsz</t>
  </si>
  <si>
    <t>Denru</t>
  </si>
  <si>
    <t>Chrysochir aureus</t>
  </si>
  <si>
    <t>Chrau</t>
  </si>
  <si>
    <t>Otolithes ruber</t>
  </si>
  <si>
    <t>hyh</t>
  </si>
  <si>
    <t>Otoru</t>
  </si>
  <si>
    <t>Argyrosomus argentatus</t>
  </si>
  <si>
    <t>Argar</t>
  </si>
  <si>
    <t>Argyrosomus japonica</t>
  </si>
  <si>
    <t>Argja</t>
  </si>
  <si>
    <t>Argyrosomus macrocephalus</t>
  </si>
  <si>
    <t>dtb</t>
  </si>
  <si>
    <t>Argma</t>
  </si>
  <si>
    <t>(Tang)</t>
  </si>
  <si>
    <t>Argyrosomus macrophthalmus</t>
  </si>
  <si>
    <t>Argyrosomus miichthioides</t>
  </si>
  <si>
    <t>mzb</t>
  </si>
  <si>
    <t>Argmi</t>
  </si>
  <si>
    <t>Argyrosomus pawak</t>
  </si>
  <si>
    <t>bqb</t>
  </si>
  <si>
    <t>Argpa</t>
  </si>
  <si>
    <t>Nibea albiflora</t>
  </si>
  <si>
    <t>Nibal</t>
  </si>
  <si>
    <t>Nibea chui</t>
  </si>
  <si>
    <t>ydh</t>
  </si>
  <si>
    <t>Nibch</t>
  </si>
  <si>
    <t>Trewavas</t>
  </si>
  <si>
    <t>Nibea semifasciata</t>
  </si>
  <si>
    <t>bhh</t>
  </si>
  <si>
    <t>Nibse</t>
  </si>
  <si>
    <t>Nibea soldado</t>
  </si>
  <si>
    <t>Nibso</t>
  </si>
  <si>
    <t>Paranibea semiluctuosa</t>
  </si>
  <si>
    <t>Parse</t>
  </si>
  <si>
    <t>Protonibea deacanthus</t>
  </si>
  <si>
    <t>sjy</t>
  </si>
  <si>
    <t>Prode</t>
  </si>
  <si>
    <t>Atrobucca nibe</t>
  </si>
  <si>
    <t>Atrni</t>
  </si>
  <si>
    <t>(Jordan et Thompson)</t>
  </si>
  <si>
    <t>Collichthys lucidus</t>
  </si>
  <si>
    <t>jtm</t>
  </si>
  <si>
    <t>Collu</t>
  </si>
  <si>
    <t>Collichthys niveatus</t>
  </si>
  <si>
    <t>Colni</t>
  </si>
  <si>
    <t>Miichthys miiuy</t>
  </si>
  <si>
    <t>m</t>
  </si>
  <si>
    <t>Miimi</t>
  </si>
  <si>
    <t>Pseudosciaena crocea</t>
  </si>
  <si>
    <t>dhy</t>
  </si>
  <si>
    <t>Psecr</t>
  </si>
  <si>
    <t>Pseudosciaena polyactis</t>
  </si>
  <si>
    <t>xhy</t>
  </si>
  <si>
    <t>Leiognathidae sp.</t>
  </si>
  <si>
    <t>bk</t>
  </si>
  <si>
    <t>Lei</t>
  </si>
  <si>
    <t>Gazza minuta</t>
  </si>
  <si>
    <t>Gazmi</t>
  </si>
  <si>
    <t>Leiognathus berbis</t>
  </si>
  <si>
    <t>xwb</t>
  </si>
  <si>
    <t>Leibe</t>
  </si>
  <si>
    <t>Leiognathus bindus</t>
  </si>
  <si>
    <t>hbb</t>
  </si>
  <si>
    <t>Leibi</t>
  </si>
  <si>
    <t>Leiognathus brevirostris</t>
  </si>
  <si>
    <t>Leibr</t>
  </si>
  <si>
    <t>Leiognathus daura</t>
  </si>
  <si>
    <t>Leida</t>
  </si>
  <si>
    <t>Leiognathus dussumieri</t>
  </si>
  <si>
    <t>Leidu</t>
  </si>
  <si>
    <t>Leiognathus elongatus</t>
  </si>
  <si>
    <t>Leiel</t>
  </si>
  <si>
    <t>Leiognathus equulus</t>
  </si>
  <si>
    <t>djb</t>
  </si>
  <si>
    <t>Leieq</t>
  </si>
  <si>
    <t>Leiognathus fasciatus</t>
  </si>
  <si>
    <t>cjb</t>
  </si>
  <si>
    <t>Leifa</t>
  </si>
  <si>
    <t>Leiognathus leuciscus</t>
  </si>
  <si>
    <t>ysb</t>
  </si>
  <si>
    <t>Leile</t>
  </si>
  <si>
    <t>Leiognathus lineolatus</t>
  </si>
  <si>
    <t>Leili</t>
  </si>
  <si>
    <t>Leiognathus nuchalis</t>
  </si>
  <si>
    <t>jdb</t>
  </si>
  <si>
    <t>Leinu</t>
  </si>
  <si>
    <t>Leiognathus rivulatus</t>
  </si>
  <si>
    <t>tb</t>
  </si>
  <si>
    <t>Leiri</t>
  </si>
  <si>
    <t>Leiognathus splendens</t>
  </si>
  <si>
    <t>Leisp</t>
  </si>
  <si>
    <t>Secutor insidiator</t>
  </si>
  <si>
    <t>Secin</t>
  </si>
  <si>
    <t>Secutor ruconius</t>
  </si>
  <si>
    <t>lbb</t>
  </si>
  <si>
    <t>Secru</t>
  </si>
  <si>
    <t>Centrogeniidae sp.</t>
  </si>
  <si>
    <t>nylk</t>
  </si>
  <si>
    <t>Cen</t>
  </si>
  <si>
    <t>352250-x</t>
  </si>
  <si>
    <t>390131-x</t>
  </si>
  <si>
    <t>Bramidae</t>
  </si>
  <si>
    <t>wfk</t>
  </si>
  <si>
    <t>bra</t>
  </si>
  <si>
    <t>Brama japonica</t>
  </si>
  <si>
    <t>rbw</t>
  </si>
  <si>
    <t>braja</t>
  </si>
  <si>
    <t>W. Mead</t>
  </si>
  <si>
    <t>Gerridae sp.</t>
  </si>
  <si>
    <t>ylk</t>
  </si>
  <si>
    <t>Ger</t>
  </si>
  <si>
    <t>Gerreomorpha japonica</t>
  </si>
  <si>
    <t>Gerja</t>
  </si>
  <si>
    <t>Gerres abbreviatus</t>
  </si>
  <si>
    <t>Gerab</t>
  </si>
  <si>
    <t>Gerres acinaces</t>
  </si>
  <si>
    <t>Gerac</t>
  </si>
  <si>
    <t>Gerres argyreus</t>
  </si>
  <si>
    <t>syl</t>
  </si>
  <si>
    <t>Gerar</t>
  </si>
  <si>
    <t>Gerres filamentosus</t>
  </si>
  <si>
    <t>cjy</t>
  </si>
  <si>
    <t>Gerfi</t>
  </si>
  <si>
    <t>Gerres lucidus</t>
  </si>
  <si>
    <t>djy</t>
  </si>
  <si>
    <t>Gerlu</t>
  </si>
  <si>
    <t>Gerres macrosoma</t>
  </si>
  <si>
    <t>Germa</t>
  </si>
  <si>
    <t>Gerres oblongus</t>
  </si>
  <si>
    <t>cyy</t>
  </si>
  <si>
    <t>Gerob</t>
  </si>
  <si>
    <t>Gerres oyena</t>
  </si>
  <si>
    <t>Geroy</t>
  </si>
  <si>
    <t>Gerres poeti</t>
  </si>
  <si>
    <t>qjy</t>
  </si>
  <si>
    <t>Gerpo</t>
  </si>
  <si>
    <t>Pentaprion longimanus</t>
  </si>
  <si>
    <t>wjy</t>
  </si>
  <si>
    <t>Penlo</t>
  </si>
  <si>
    <t>Lutjanidae sp.</t>
  </si>
  <si>
    <t>Lut</t>
  </si>
  <si>
    <t>Aphareus furcatus</t>
  </si>
  <si>
    <t>Aphfu</t>
  </si>
  <si>
    <t>Aphareus rutilans</t>
  </si>
  <si>
    <t>xsc</t>
  </si>
  <si>
    <t>Aphru</t>
  </si>
  <si>
    <t>Aprion virescens</t>
  </si>
  <si>
    <t>ldq</t>
  </si>
  <si>
    <t>Aprvi</t>
  </si>
  <si>
    <t>Caesio chrysozona</t>
  </si>
  <si>
    <t>jdm</t>
  </si>
  <si>
    <t>Caech</t>
  </si>
  <si>
    <t>Caesio coerulaureus</t>
  </si>
  <si>
    <t>hmd</t>
  </si>
  <si>
    <t>Caeco</t>
  </si>
  <si>
    <t>Caesio diagramma</t>
  </si>
  <si>
    <t>edm</t>
  </si>
  <si>
    <t>Caedi</t>
  </si>
  <si>
    <t>Caesio erythrogaster</t>
  </si>
  <si>
    <t>Caeer</t>
  </si>
  <si>
    <t>Caesio lunaris</t>
  </si>
  <si>
    <t>Caelu</t>
  </si>
  <si>
    <t>Caesio tile</t>
  </si>
  <si>
    <t>cbm</t>
  </si>
  <si>
    <t>Caeti</t>
  </si>
  <si>
    <t>Caesio xanthonotus</t>
  </si>
  <si>
    <t>hbm</t>
  </si>
  <si>
    <t>Caexa</t>
  </si>
  <si>
    <t>Etelis carbunculus</t>
  </si>
  <si>
    <t>gzy</t>
  </si>
  <si>
    <t>Eteca</t>
  </si>
  <si>
    <t>Etelis coruscans</t>
  </si>
  <si>
    <t>szh</t>
  </si>
  <si>
    <t>Eteco</t>
  </si>
  <si>
    <t>Etelis radiosus</t>
  </si>
  <si>
    <t>dkh</t>
  </si>
  <si>
    <t>Etera</t>
  </si>
  <si>
    <t>Glabrilutjanus nematophorus</t>
  </si>
  <si>
    <t>sqd</t>
  </si>
  <si>
    <t>Glane</t>
  </si>
  <si>
    <t>Lutjanus altifrontalis</t>
  </si>
  <si>
    <t>ged</t>
  </si>
  <si>
    <t>Lutal</t>
  </si>
  <si>
    <t>Lutjanus argentimaculatus</t>
  </si>
  <si>
    <t>Lutar</t>
  </si>
  <si>
    <t>Lutjanus bohar</t>
  </si>
  <si>
    <t>bbd</t>
  </si>
  <si>
    <t>Lutbo</t>
  </si>
  <si>
    <t>Lutjanus boutton</t>
  </si>
  <si>
    <t>Lutjanus carponotatus</t>
  </si>
  <si>
    <t>xbd</t>
  </si>
  <si>
    <t>Lutca</t>
  </si>
  <si>
    <t>Lutjanus chrysotaenia</t>
  </si>
  <si>
    <t>jtd</t>
  </si>
  <si>
    <t>Lutch</t>
  </si>
  <si>
    <t>Lutjanus decussatus</t>
  </si>
  <si>
    <t>jcd</t>
  </si>
  <si>
    <t>Lutde</t>
  </si>
  <si>
    <t>Lutjanus dodecacanthoides</t>
  </si>
  <si>
    <t>sej</t>
  </si>
  <si>
    <t>Lutdo</t>
  </si>
  <si>
    <t>Lutjanus fulviflamma</t>
  </si>
  <si>
    <t>Lutfu</t>
  </si>
  <si>
    <t>Lutjanus fulvus</t>
  </si>
  <si>
    <t>jhd</t>
  </si>
  <si>
    <t>Lutjanus gibbus</t>
  </si>
  <si>
    <t>Lutgi</t>
  </si>
  <si>
    <t>Lutjanus johni</t>
  </si>
  <si>
    <t>Lutjo</t>
  </si>
  <si>
    <t>Lutjanus kasmira</t>
  </si>
  <si>
    <t>Lutka</t>
  </si>
  <si>
    <t>Lutjanus lineolatus</t>
  </si>
  <si>
    <t>Lutli</t>
  </si>
  <si>
    <t>Lutjanus lutjanus</t>
  </si>
  <si>
    <t>hdd</t>
  </si>
  <si>
    <t>Lutlu</t>
  </si>
  <si>
    <t>Lutjanus monostigma</t>
  </si>
  <si>
    <t>Lutmo</t>
  </si>
  <si>
    <t>Lutjanus quinauelineatus</t>
  </si>
  <si>
    <t>Lutqu</t>
  </si>
  <si>
    <t>Lutjanus rivulatus</t>
  </si>
  <si>
    <t>Lutri</t>
  </si>
  <si>
    <t>Lutjanus russelli</t>
  </si>
  <si>
    <t>Lutru</t>
  </si>
  <si>
    <t>Lutjanus sanguineus</t>
  </si>
  <si>
    <t>Lutsa</t>
  </si>
  <si>
    <t>Lutjanus sebae</t>
  </si>
  <si>
    <t>qnd</t>
  </si>
  <si>
    <t>Lutse</t>
  </si>
  <si>
    <t>Lutjanus spilurus</t>
  </si>
  <si>
    <t>wdd</t>
  </si>
  <si>
    <t>Lutsp</t>
  </si>
  <si>
    <t>Lutjanus stellatus</t>
  </si>
  <si>
    <t>Lutst</t>
  </si>
  <si>
    <t>Akazaki</t>
  </si>
  <si>
    <t>Lutjanus vaigiensis</t>
  </si>
  <si>
    <t>jdd</t>
  </si>
  <si>
    <t>Lutva</t>
  </si>
  <si>
    <t>Lutjanus vitta</t>
  </si>
  <si>
    <t>Lutvi</t>
  </si>
  <si>
    <t>Macolor niger</t>
  </si>
  <si>
    <t>Macni</t>
  </si>
  <si>
    <t>Paracaesio caeruleus</t>
  </si>
  <si>
    <t>lrm</t>
  </si>
  <si>
    <t>Parca</t>
  </si>
  <si>
    <t>(Katayama)</t>
  </si>
  <si>
    <t>Paracaesio kusakarii</t>
  </si>
  <si>
    <t>cxr</t>
  </si>
  <si>
    <t>Parku</t>
  </si>
  <si>
    <t>Paracaesio xanthurus</t>
  </si>
  <si>
    <t>rmd</t>
  </si>
  <si>
    <t>Parxa</t>
  </si>
  <si>
    <t>Pinjalo pinjalo</t>
  </si>
  <si>
    <t>xld</t>
  </si>
  <si>
    <t>Pinpi</t>
  </si>
  <si>
    <t>Pristipomoides auricilla</t>
  </si>
  <si>
    <t>hwz</t>
  </si>
  <si>
    <t>Priau</t>
  </si>
  <si>
    <t>(Jordan, Evermann et Tanaka)</t>
  </si>
  <si>
    <t>Pristipomoides filamentosus</t>
  </si>
  <si>
    <t>Prifi</t>
  </si>
  <si>
    <t>Pristipomoides flavipinnis</t>
  </si>
  <si>
    <t>Prifl</t>
  </si>
  <si>
    <t>Shinohara</t>
  </si>
  <si>
    <t>Pristipomoides microlepis</t>
  </si>
  <si>
    <t>Pristipomoides multidens</t>
  </si>
  <si>
    <t>wmz</t>
  </si>
  <si>
    <t>Primu</t>
  </si>
  <si>
    <t>Pristipomoides sieboldii</t>
  </si>
  <si>
    <t>Prisi</t>
  </si>
  <si>
    <t>Pristipomoides typus</t>
  </si>
  <si>
    <t>Prity</t>
  </si>
  <si>
    <t>Symphorus spilurus</t>
  </si>
  <si>
    <t>cqd</t>
  </si>
  <si>
    <t>Symsp</t>
  </si>
  <si>
    <t>Tangia carnolabrum</t>
  </si>
  <si>
    <t>hcd</t>
  </si>
  <si>
    <t>Tanca</t>
  </si>
  <si>
    <t>Tropidinius amoenus</t>
  </si>
  <si>
    <t>Troam</t>
  </si>
  <si>
    <t>(Snyder)</t>
  </si>
  <si>
    <t>Tropidinius zonatus</t>
  </si>
  <si>
    <t>Trozo</t>
  </si>
  <si>
    <t>Lethrinidae sp.</t>
  </si>
  <si>
    <t>ljd</t>
  </si>
  <si>
    <t>Let</t>
  </si>
  <si>
    <t>Lethrinus haematopterus</t>
  </si>
  <si>
    <t>hql</t>
  </si>
  <si>
    <t>Letha</t>
  </si>
  <si>
    <t>Lethrinus harak</t>
  </si>
  <si>
    <t>dbl</t>
  </si>
  <si>
    <t>Lethrinus kallopterus</t>
  </si>
  <si>
    <t>lql</t>
  </si>
  <si>
    <t>Letka</t>
  </si>
  <si>
    <t>Lethrinus leutjanus</t>
  </si>
  <si>
    <t>zdl</t>
  </si>
  <si>
    <t>Letle</t>
  </si>
  <si>
    <t>Lethrinus mahsena</t>
  </si>
  <si>
    <t>Letma</t>
  </si>
  <si>
    <t>Lethrinus miniatus</t>
  </si>
  <si>
    <t>Letmi</t>
  </si>
  <si>
    <t>Lethrinus nebulosus</t>
  </si>
  <si>
    <t>Letne</t>
  </si>
  <si>
    <t>Lethrinus nematacanthus</t>
  </si>
  <si>
    <t>Lethrinus ornatus</t>
  </si>
  <si>
    <t>Letor</t>
  </si>
  <si>
    <t>Lethrinus rhodopterus</t>
  </si>
  <si>
    <t>Letrh</t>
  </si>
  <si>
    <t>Lethrinus rubrioperculatus</t>
  </si>
  <si>
    <t>Letru</t>
  </si>
  <si>
    <t>Sato</t>
  </si>
  <si>
    <t>Lethrinus semicinctus</t>
  </si>
  <si>
    <t>Letse</t>
  </si>
  <si>
    <t>Lethrinus variegatus</t>
  </si>
  <si>
    <t>zsl</t>
  </si>
  <si>
    <t>Letva</t>
  </si>
  <si>
    <t>Lethrinus xanthochilus</t>
  </si>
  <si>
    <t>Letxa</t>
  </si>
  <si>
    <t>Wattsia mossambicus</t>
  </si>
  <si>
    <t>Watmo</t>
  </si>
  <si>
    <t>Sparidae sp.</t>
  </si>
  <si>
    <t>dk</t>
  </si>
  <si>
    <t>Spa</t>
  </si>
  <si>
    <t>Argyrops bleekeri</t>
  </si>
  <si>
    <t>Argbl</t>
  </si>
  <si>
    <t>Evynnis japonicus</t>
  </si>
  <si>
    <t>lcd</t>
  </si>
  <si>
    <t>Evyja</t>
  </si>
  <si>
    <t>Monotaxis grandoculis</t>
  </si>
  <si>
    <t>Mongr</t>
  </si>
  <si>
    <t>Pagrosomus major</t>
  </si>
  <si>
    <t>zd</t>
  </si>
  <si>
    <t>Pagma</t>
  </si>
  <si>
    <t>Parargyrops edita</t>
  </si>
  <si>
    <t>ecj</t>
  </si>
  <si>
    <t>Pared</t>
  </si>
  <si>
    <t>Rhabdosargus sarba</t>
  </si>
  <si>
    <t>pd</t>
  </si>
  <si>
    <t>Rhasa</t>
  </si>
  <si>
    <t>Sparus berda</t>
  </si>
  <si>
    <t>huiqidiao</t>
  </si>
  <si>
    <t>Spabe</t>
  </si>
  <si>
    <t>Sparus latus</t>
  </si>
  <si>
    <t>huangqidiao</t>
  </si>
  <si>
    <t>Spala</t>
  </si>
  <si>
    <t>Houttuyn</t>
  </si>
  <si>
    <t>Sparus macrocephalus</t>
  </si>
  <si>
    <t>hd</t>
  </si>
  <si>
    <t>Spama</t>
  </si>
  <si>
    <t>Taius tumifrons</t>
  </si>
  <si>
    <t>Taitu</t>
  </si>
  <si>
    <t>Nemipteridae sp.</t>
  </si>
  <si>
    <t>jxy</t>
  </si>
  <si>
    <t>Nemipterus aurora</t>
  </si>
  <si>
    <t>chj</t>
  </si>
  <si>
    <t>Nemau</t>
  </si>
  <si>
    <t>Russell</t>
  </si>
  <si>
    <t>Nemipterus bathybius</t>
  </si>
  <si>
    <t>SSJXY</t>
  </si>
  <si>
    <t>Nemba</t>
  </si>
  <si>
    <t>Nemipterus delagoae</t>
  </si>
  <si>
    <t>ldj</t>
  </si>
  <si>
    <t>Nemde</t>
  </si>
  <si>
    <t>Simth</t>
  </si>
  <si>
    <t>Nemipterus hexodon</t>
  </si>
  <si>
    <t>Nemhe</t>
  </si>
  <si>
    <t>Nemipterus japonicus</t>
  </si>
  <si>
    <t>Nemipterus marginatus</t>
  </si>
  <si>
    <t>sdj</t>
  </si>
  <si>
    <t>Nemipterus nermatophorus</t>
  </si>
  <si>
    <t>Nemne</t>
  </si>
  <si>
    <t>Nemipterus oveni</t>
  </si>
  <si>
    <t>hbj</t>
  </si>
  <si>
    <t>Nemov</t>
  </si>
  <si>
    <t>Nemipterus peronii</t>
  </si>
  <si>
    <t>fsj</t>
  </si>
  <si>
    <t>Nempe</t>
  </si>
  <si>
    <t>Nemipterus thosaporni</t>
  </si>
  <si>
    <t>Nemth</t>
  </si>
  <si>
    <t>Nemipterus tolu</t>
  </si>
  <si>
    <t>bqj</t>
  </si>
  <si>
    <t>Nemto</t>
  </si>
  <si>
    <t>Nemipterus virgatus</t>
  </si>
  <si>
    <t>jinxianyu</t>
  </si>
  <si>
    <t>Nemvi</t>
  </si>
  <si>
    <t>Nemipterus zysron</t>
  </si>
  <si>
    <t>Nemzy</t>
  </si>
  <si>
    <t>Pentapodidae sp.</t>
  </si>
  <si>
    <t>Pen</t>
  </si>
  <si>
    <t>Gnathodentex aurolineatus</t>
  </si>
  <si>
    <t>jdc</t>
  </si>
  <si>
    <t>Gnaau</t>
  </si>
  <si>
    <t>(Lecepede)</t>
  </si>
  <si>
    <t>Gymnocranius griseus</t>
  </si>
  <si>
    <t>Gymgr</t>
  </si>
  <si>
    <t>Pentapus macrurus</t>
  </si>
  <si>
    <t>Penma</t>
  </si>
  <si>
    <t>Pentapus nagasakiensis</t>
  </si>
  <si>
    <t>Penna</t>
  </si>
  <si>
    <t>Pentapus setosus</t>
  </si>
  <si>
    <t>Pense</t>
  </si>
  <si>
    <t>Scolopsidae sp.</t>
  </si>
  <si>
    <t>kjl</t>
  </si>
  <si>
    <t>Parascolopsis eriomma</t>
  </si>
  <si>
    <t>(Jorkan et Richardson)</t>
  </si>
  <si>
    <t>Parascolopsis inermis</t>
  </si>
  <si>
    <t>hdn</t>
  </si>
  <si>
    <t>Parin</t>
  </si>
  <si>
    <t>Scolopsis affinis</t>
  </si>
  <si>
    <t>Scoaf</t>
  </si>
  <si>
    <t>Peter</t>
  </si>
  <si>
    <t>Scolopsis bilineatus</t>
  </si>
  <si>
    <t>Scobi</t>
  </si>
  <si>
    <t>Scolopsis bimaculatus</t>
  </si>
  <si>
    <t>sbk</t>
  </si>
  <si>
    <t>Scolopsis cancellatus</t>
  </si>
  <si>
    <t>Scoca</t>
  </si>
  <si>
    <t>Scolopsis ciliatus</t>
  </si>
  <si>
    <t>chk</t>
  </si>
  <si>
    <t>Scoci</t>
  </si>
  <si>
    <t>Scolopsis eriomma</t>
  </si>
  <si>
    <t>rkj</t>
  </si>
  <si>
    <t>Scoer</t>
  </si>
  <si>
    <t>Scolopsis inermis</t>
  </si>
  <si>
    <t>hdk</t>
  </si>
  <si>
    <t>Scoin</t>
  </si>
  <si>
    <t>Scolopsis lineatus</t>
  </si>
  <si>
    <t>Scoli</t>
  </si>
  <si>
    <t>Scolopsis margaritifer</t>
  </si>
  <si>
    <t>zbk</t>
  </si>
  <si>
    <t>Scoma</t>
  </si>
  <si>
    <t>Scolopsis monoqramma</t>
  </si>
  <si>
    <t>Scomo</t>
  </si>
  <si>
    <t>Scolopsis taeniopterus</t>
  </si>
  <si>
    <t>twk</t>
  </si>
  <si>
    <t>Scota</t>
  </si>
  <si>
    <t>Scolopsis vosmeri</t>
  </si>
  <si>
    <t>fsk</t>
  </si>
  <si>
    <t>Scovo</t>
  </si>
  <si>
    <t>Scolopsis xenochrous</t>
  </si>
  <si>
    <t>lbk</t>
  </si>
  <si>
    <t>Scoxe</t>
  </si>
  <si>
    <t>Pomadasyidae sp.</t>
  </si>
  <si>
    <t>slk</t>
  </si>
  <si>
    <t>Pom</t>
  </si>
  <si>
    <t>Hapalogenys kishinouyei</t>
  </si>
  <si>
    <t>zdz</t>
  </si>
  <si>
    <t>Hapki</t>
  </si>
  <si>
    <t>Hapalogenys mucronatus</t>
  </si>
  <si>
    <t>Hapmu</t>
  </si>
  <si>
    <t>(Eydoux et Souleyet)</t>
  </si>
  <si>
    <t>Hapalogenys nitens</t>
  </si>
  <si>
    <t>xdz</t>
  </si>
  <si>
    <t>Hapni</t>
  </si>
  <si>
    <t>Parapristipoma trilineatus</t>
  </si>
  <si>
    <t>sxj</t>
  </si>
  <si>
    <t>Partr</t>
  </si>
  <si>
    <t>Plectorhynchus celebicus</t>
  </si>
  <si>
    <t>xblb</t>
  </si>
  <si>
    <t>Plece</t>
  </si>
  <si>
    <t>Plectorhynchus chaetodonoides</t>
  </si>
  <si>
    <t>Plech</t>
  </si>
  <si>
    <t>Plectorhynchus cinctus</t>
  </si>
  <si>
    <t>hwh</t>
  </si>
  <si>
    <t>Pleci</t>
  </si>
  <si>
    <t>Plectorhynchus diagrammus</t>
  </si>
  <si>
    <t>Pledi</t>
  </si>
  <si>
    <t>Plectorhynchus flavomaculatus</t>
  </si>
  <si>
    <t>Plefl</t>
  </si>
  <si>
    <t>Plectorhynchus foetela</t>
  </si>
  <si>
    <t>Plefo</t>
  </si>
  <si>
    <t>Plectorhynchus goldmanni</t>
  </si>
  <si>
    <t>Plego</t>
  </si>
  <si>
    <t>Plectorhynchus lineatus</t>
  </si>
  <si>
    <t>twh</t>
  </si>
  <si>
    <t>Plectorhynchus nigrus</t>
  </si>
  <si>
    <t>Pleni</t>
  </si>
  <si>
    <t>Plectorhynchus orientalis</t>
  </si>
  <si>
    <t>Pleor</t>
  </si>
  <si>
    <t>Plectorhynchus pictus</t>
  </si>
  <si>
    <t>hjd</t>
  </si>
  <si>
    <t>Plepi</t>
  </si>
  <si>
    <t>Plectorhynchus punctatissimus</t>
  </si>
  <si>
    <t>mdh</t>
  </si>
  <si>
    <t>Plepu</t>
  </si>
  <si>
    <t>(Playfair)</t>
  </si>
  <si>
    <t>Plectorhynchus reticulatus</t>
  </si>
  <si>
    <t>Plere</t>
  </si>
  <si>
    <t>Plectorhynchus schotaf</t>
  </si>
  <si>
    <t>Plesc</t>
  </si>
  <si>
    <t>Plectorhynchus sinensis</t>
  </si>
  <si>
    <t>Plesi</t>
  </si>
  <si>
    <t>Zhu, Wu et Jin</t>
  </si>
  <si>
    <t>Pomadasys argenteus</t>
  </si>
  <si>
    <t>Pomar</t>
  </si>
  <si>
    <t>Pomadasys furcatus</t>
  </si>
  <si>
    <t>cbs</t>
  </si>
  <si>
    <t>Pomfu</t>
  </si>
  <si>
    <t>Pomadasys grunniens</t>
  </si>
  <si>
    <t>Pomgr</t>
  </si>
  <si>
    <t>Pomadasys hasta</t>
  </si>
  <si>
    <t>dbs</t>
  </si>
  <si>
    <t>Pomha</t>
  </si>
  <si>
    <t>Pomadasys maculatus</t>
  </si>
  <si>
    <t>Pomma</t>
  </si>
  <si>
    <t>Pomadasys unimaculatus</t>
  </si>
  <si>
    <t>Pomun</t>
  </si>
  <si>
    <t>Tian</t>
  </si>
  <si>
    <t>Emmelichthyidae sp.</t>
  </si>
  <si>
    <t>xieyuke</t>
  </si>
  <si>
    <t>emm</t>
  </si>
  <si>
    <t>353225-X</t>
  </si>
  <si>
    <t>390210-x</t>
  </si>
  <si>
    <t>Theraponidae sp.</t>
  </si>
  <si>
    <t>lake</t>
  </si>
  <si>
    <t>The</t>
  </si>
  <si>
    <t>Helotes qinglanensis</t>
  </si>
  <si>
    <t>Helqi</t>
  </si>
  <si>
    <t>Sun</t>
  </si>
  <si>
    <t>Helotes sexlineatus</t>
  </si>
  <si>
    <t>Helse</t>
  </si>
  <si>
    <t>Pelates quadrilineatus</t>
  </si>
  <si>
    <t>lyl</t>
  </si>
  <si>
    <t>Pelqu</t>
  </si>
  <si>
    <t>Therapon jarbua</t>
  </si>
  <si>
    <t>xll</t>
  </si>
  <si>
    <t>Theja</t>
  </si>
  <si>
    <t>Therapon oxyrhynchus</t>
  </si>
  <si>
    <t>jianwenla</t>
  </si>
  <si>
    <t>Theox</t>
  </si>
  <si>
    <t>Therapon theraps</t>
  </si>
  <si>
    <t>layu</t>
  </si>
  <si>
    <t>Theth</t>
  </si>
  <si>
    <t>Kyphosidae sp.</t>
  </si>
  <si>
    <t>tuoke</t>
  </si>
  <si>
    <t>Kyp</t>
  </si>
  <si>
    <t>Kyphosus bigibbus</t>
  </si>
  <si>
    <t>nft</t>
  </si>
  <si>
    <t>Kypbi</t>
  </si>
  <si>
    <t>Kyphosus cinerascens</t>
  </si>
  <si>
    <t>Kypci</t>
  </si>
  <si>
    <t>Kyphosus lembus</t>
  </si>
  <si>
    <t>Kyple</t>
  </si>
  <si>
    <t>Girellidae sp.</t>
  </si>
  <si>
    <t>jk</t>
  </si>
  <si>
    <t>Gir</t>
  </si>
  <si>
    <t>Girella melenichthys</t>
  </si>
  <si>
    <t>Girme</t>
  </si>
  <si>
    <t>Girella mezina</t>
  </si>
  <si>
    <t>Girella punctata</t>
  </si>
  <si>
    <t>Girpu</t>
  </si>
  <si>
    <t>Mullidae sp.</t>
  </si>
  <si>
    <t>yangyuke</t>
  </si>
  <si>
    <t>mul</t>
  </si>
  <si>
    <t>Mulloidichthys auriflamma</t>
  </si>
  <si>
    <t>jdn</t>
  </si>
  <si>
    <t>Mulau</t>
  </si>
  <si>
    <t>Mulloidichthys flavolineatus</t>
  </si>
  <si>
    <t>hxn</t>
  </si>
  <si>
    <t>Mulfl</t>
  </si>
  <si>
    <t>Mulloidichthys pfluegeri</t>
  </si>
  <si>
    <t>hbn</t>
  </si>
  <si>
    <t>Mulpf</t>
  </si>
  <si>
    <t>Mulloidichthys samoensis</t>
  </si>
  <si>
    <t>bdn</t>
  </si>
  <si>
    <t>Mulsa</t>
  </si>
  <si>
    <t>Mulloidichthys vanicolensis</t>
  </si>
  <si>
    <t>Mulva</t>
  </si>
  <si>
    <t>Parupeneus barberinoides</t>
  </si>
  <si>
    <t>ndd</t>
  </si>
  <si>
    <t>Parupeneus barberinus</t>
  </si>
  <si>
    <t>tbf</t>
  </si>
  <si>
    <t>Parupeneus bifasciatus</t>
  </si>
  <si>
    <t>edf</t>
  </si>
  <si>
    <t>Parupeneus chryserdros</t>
  </si>
  <si>
    <t>tdf</t>
  </si>
  <si>
    <t>Parupeneus chrysopleuron</t>
  </si>
  <si>
    <t>hdf</t>
  </si>
  <si>
    <t>Parupeneus ciliatus</t>
  </si>
  <si>
    <t>ztf</t>
  </si>
  <si>
    <t>Parci</t>
  </si>
  <si>
    <t>Parupeneus cyclostomus</t>
  </si>
  <si>
    <t>ykf</t>
  </si>
  <si>
    <t>Parcy</t>
  </si>
  <si>
    <t>Parupeneus indicus</t>
  </si>
  <si>
    <t>ydf</t>
  </si>
  <si>
    <t>Parupeneus luteus</t>
  </si>
  <si>
    <t>hff</t>
  </si>
  <si>
    <t>Parlu</t>
  </si>
  <si>
    <t>Parupeneus megalops</t>
  </si>
  <si>
    <t>dyf</t>
  </si>
  <si>
    <t>Parupeneus multifasciatus</t>
  </si>
  <si>
    <t>ddf</t>
  </si>
  <si>
    <t>Parupeneus pleurospilos</t>
  </si>
  <si>
    <t>cbf</t>
  </si>
  <si>
    <t>Parpl</t>
  </si>
  <si>
    <t>Parupeneus pleurostigma</t>
  </si>
  <si>
    <t>Parupeneus trifasciatus</t>
  </si>
  <si>
    <t>sdf</t>
  </si>
  <si>
    <t>Upeneus bensasi</t>
  </si>
  <si>
    <t>twf</t>
  </si>
  <si>
    <t>Upebe</t>
  </si>
  <si>
    <t>Upeneus luzonius</t>
  </si>
  <si>
    <t>lsf</t>
  </si>
  <si>
    <t>Upelu</t>
  </si>
  <si>
    <t>Upeneus moluccensis</t>
  </si>
  <si>
    <t>mlf</t>
  </si>
  <si>
    <t>Upemo</t>
  </si>
  <si>
    <t>Upeneus quadrilineatus</t>
  </si>
  <si>
    <t>Upequ</t>
  </si>
  <si>
    <t>Cheng et Wang</t>
  </si>
  <si>
    <t>Upeneus subvittatus</t>
  </si>
  <si>
    <t>zdf</t>
  </si>
  <si>
    <t>Upesu</t>
  </si>
  <si>
    <t>Upeneus sulphureus</t>
  </si>
  <si>
    <t>Upeneus tragula</t>
  </si>
  <si>
    <t>Upetr</t>
  </si>
  <si>
    <t>Upeneus vittatus</t>
  </si>
  <si>
    <t>bwf</t>
  </si>
  <si>
    <t>Upevi</t>
  </si>
  <si>
    <t>Upeneus sp.</t>
  </si>
  <si>
    <t>fls</t>
  </si>
  <si>
    <t>Upene</t>
  </si>
  <si>
    <t>Pempheridae sp.</t>
  </si>
  <si>
    <t>Pem</t>
  </si>
  <si>
    <t>Parapriacanthus ransonneti</t>
  </si>
  <si>
    <t>ndq</t>
  </si>
  <si>
    <t>Pempheris japonicus</t>
  </si>
  <si>
    <t>rbd</t>
  </si>
  <si>
    <t>Pemja</t>
  </si>
  <si>
    <t>Pempheris nyctereutes</t>
  </si>
  <si>
    <t>Pemny</t>
  </si>
  <si>
    <t>Pempheris oualensis</t>
  </si>
  <si>
    <t>Pemou</t>
  </si>
  <si>
    <t>Pempheris vanicolensis</t>
  </si>
  <si>
    <t>Pemva</t>
  </si>
  <si>
    <t>Pempheris xanthopterus</t>
  </si>
  <si>
    <t>Pemxa</t>
  </si>
  <si>
    <t>Tominaga</t>
  </si>
  <si>
    <t>Ephippidae sp.</t>
  </si>
  <si>
    <t>bck</t>
  </si>
  <si>
    <t>Eph</t>
  </si>
  <si>
    <t>Ephippus orbis</t>
  </si>
  <si>
    <t>bc</t>
  </si>
  <si>
    <t>Ephor</t>
  </si>
  <si>
    <t>Platax batavianus</t>
  </si>
  <si>
    <t>Plaba</t>
  </si>
  <si>
    <t>Platax orbicularis</t>
  </si>
  <si>
    <t>Plaor</t>
  </si>
  <si>
    <t>Platax pinnatus</t>
  </si>
  <si>
    <t>Plapi</t>
  </si>
  <si>
    <t>Platax teira</t>
  </si>
  <si>
    <t>Plate</t>
  </si>
  <si>
    <t>Scatophagidae sp.</t>
  </si>
  <si>
    <t>Sca</t>
  </si>
  <si>
    <t>Scatophagus argus</t>
  </si>
  <si>
    <t>Scaar</t>
  </si>
  <si>
    <t>Scorpidae sp.</t>
  </si>
  <si>
    <t>Microcanthus strigatus</t>
  </si>
  <si>
    <t>Micst</t>
  </si>
  <si>
    <t>Chaetodontidae sp.</t>
  </si>
  <si>
    <t>hdyk</t>
  </si>
  <si>
    <t>Chaetodon adiergastos</t>
  </si>
  <si>
    <t>xbh</t>
  </si>
  <si>
    <t>Chaad</t>
  </si>
  <si>
    <t>Chaetodon argentatus</t>
  </si>
  <si>
    <t>ych</t>
  </si>
  <si>
    <t>Chaar</t>
  </si>
  <si>
    <t>Chaetodon auriga</t>
  </si>
  <si>
    <t>Chaau</t>
  </si>
  <si>
    <t>Chaetodon auripes</t>
  </si>
  <si>
    <t>Chaetodon baronessa</t>
  </si>
  <si>
    <t>qwh</t>
  </si>
  <si>
    <t>Chaba</t>
  </si>
  <si>
    <t>Chaetodon bennetti</t>
  </si>
  <si>
    <t>sth</t>
  </si>
  <si>
    <t>Chabe</t>
  </si>
  <si>
    <t>Chaetodon chrysurus</t>
  </si>
  <si>
    <t>Desjardins</t>
  </si>
  <si>
    <t>Chaetodon citrinellus</t>
  </si>
  <si>
    <t>Chaci</t>
  </si>
  <si>
    <t>Chaetodon collare</t>
  </si>
  <si>
    <t>Chaco</t>
  </si>
  <si>
    <t>Chaetodon ephippium</t>
  </si>
  <si>
    <t>bhd</t>
  </si>
  <si>
    <t>Chaep</t>
  </si>
  <si>
    <t>Chaetodon falcula</t>
  </si>
  <si>
    <t>wdh</t>
  </si>
  <si>
    <t>Chafa</t>
  </si>
  <si>
    <t>Chaetodon guentheri</t>
  </si>
  <si>
    <t>gsh</t>
  </si>
  <si>
    <t>Chagu</t>
  </si>
  <si>
    <t>Ahl</t>
  </si>
  <si>
    <t>Chaetodon kleini</t>
  </si>
  <si>
    <t>Chakl</t>
  </si>
  <si>
    <t>Chaetodon lineolatus</t>
  </si>
  <si>
    <t>Chali</t>
  </si>
  <si>
    <t>Chaetodon lunula</t>
  </si>
  <si>
    <t>yyh</t>
  </si>
  <si>
    <t>Chalu</t>
  </si>
  <si>
    <t>Chaetodon melanotus</t>
  </si>
  <si>
    <t>Chame</t>
  </si>
  <si>
    <t>Chaetodon meyeri</t>
  </si>
  <si>
    <t>meh</t>
  </si>
  <si>
    <t>Bloch et Scheider</t>
  </si>
  <si>
    <t>Chaetodon modestus</t>
  </si>
  <si>
    <t>phd</t>
  </si>
  <si>
    <t>Chamo</t>
  </si>
  <si>
    <t>Chaetodon octofasciatus</t>
  </si>
  <si>
    <t>bdh</t>
  </si>
  <si>
    <t>Chaoc</t>
  </si>
  <si>
    <t>Chaetodon ornatissimus</t>
  </si>
  <si>
    <t>Chaor</t>
  </si>
  <si>
    <t>Chaetodon plebeius</t>
  </si>
  <si>
    <t>lbh</t>
  </si>
  <si>
    <t>Chapl</t>
  </si>
  <si>
    <t>Chaetodon punctatofasciatus</t>
  </si>
  <si>
    <t>Chapu</t>
  </si>
  <si>
    <t>Chaetodon quadrimaculatus</t>
  </si>
  <si>
    <t>Chaqu</t>
  </si>
  <si>
    <t>Chaetodon rafflesii</t>
  </si>
  <si>
    <t>gwh</t>
  </si>
  <si>
    <t>Chara</t>
  </si>
  <si>
    <t>Bennett</t>
  </si>
  <si>
    <t>Chaetodon reticulatus</t>
  </si>
  <si>
    <t>Chare</t>
  </si>
  <si>
    <t>Chaetodon selene</t>
  </si>
  <si>
    <t>Chase</t>
  </si>
  <si>
    <t>Chaetodon semeion</t>
  </si>
  <si>
    <t>xdh</t>
  </si>
  <si>
    <t>Chaetodon speculum</t>
  </si>
  <si>
    <t>Chasp</t>
  </si>
  <si>
    <t>Chaetodon strigangulus</t>
  </si>
  <si>
    <t>Chast</t>
  </si>
  <si>
    <t>Gmelin</t>
  </si>
  <si>
    <t>Chaetodon triangulum</t>
  </si>
  <si>
    <t>sjh</t>
  </si>
  <si>
    <t>Chatr</t>
  </si>
  <si>
    <t>Chaetodon trifasciatus</t>
  </si>
  <si>
    <t>Mungo Park</t>
  </si>
  <si>
    <t>Chaetodon unimaculatus</t>
  </si>
  <si>
    <t>Chaun</t>
  </si>
  <si>
    <t>Chaetodon vagabundus</t>
  </si>
  <si>
    <t>Chava</t>
  </si>
  <si>
    <t>Chaetodon wiebeli</t>
  </si>
  <si>
    <t>mhd</t>
  </si>
  <si>
    <t>Chawi</t>
  </si>
  <si>
    <t>Chaetodon xanthurus</t>
  </si>
  <si>
    <t>Chaxa</t>
  </si>
  <si>
    <t>Chelmon rostratus</t>
  </si>
  <si>
    <t>Chero</t>
  </si>
  <si>
    <t>Coradion altivelis</t>
  </si>
  <si>
    <t>Coral</t>
  </si>
  <si>
    <t>Coradion chrysozonus</t>
  </si>
  <si>
    <t>Forcipiger flavissimus</t>
  </si>
  <si>
    <t>shn</t>
  </si>
  <si>
    <t>Forfl</t>
  </si>
  <si>
    <t>Tordan et McGreyor</t>
  </si>
  <si>
    <t>Forcipiger longirostris</t>
  </si>
  <si>
    <t>nky</t>
  </si>
  <si>
    <t>Forlo</t>
  </si>
  <si>
    <t>Hemitaurichthys polylepis</t>
  </si>
  <si>
    <t>Hempo</t>
  </si>
  <si>
    <t>Hemitaurichthys zoster</t>
  </si>
  <si>
    <t>Hemzo</t>
  </si>
  <si>
    <t>Heniochus acuminatus</t>
  </si>
  <si>
    <t>mfy</t>
  </si>
  <si>
    <t>Henac</t>
  </si>
  <si>
    <t>Heniochus chrysostomus</t>
  </si>
  <si>
    <t>hkm</t>
  </si>
  <si>
    <t>Hench</t>
  </si>
  <si>
    <t>Heniochus monoceros</t>
  </si>
  <si>
    <t>djm</t>
  </si>
  <si>
    <t>Henmo</t>
  </si>
  <si>
    <t>Heniochus permutatus</t>
  </si>
  <si>
    <t>sdm</t>
  </si>
  <si>
    <t>Henpe</t>
  </si>
  <si>
    <t>Heniochus singularius</t>
  </si>
  <si>
    <t>Hensi</t>
  </si>
  <si>
    <t>Heniochus varius</t>
  </si>
  <si>
    <t>bdm</t>
  </si>
  <si>
    <t>Henva</t>
  </si>
  <si>
    <t>Parachaetodon ocellatus</t>
  </si>
  <si>
    <t>fhd</t>
  </si>
  <si>
    <t>Paroc</t>
  </si>
  <si>
    <t>Apolemichthys trimaculatus</t>
  </si>
  <si>
    <t>sda</t>
  </si>
  <si>
    <t>Centropyge bicolor</t>
  </si>
  <si>
    <t>esc</t>
  </si>
  <si>
    <t>Cenbi</t>
  </si>
  <si>
    <t>Centropyge bispinosus</t>
  </si>
  <si>
    <t>sjc</t>
  </si>
  <si>
    <t>Centropyge ferrugatus</t>
  </si>
  <si>
    <t>xhc</t>
  </si>
  <si>
    <t>Cenfe</t>
  </si>
  <si>
    <t>Randall et Burgess</t>
  </si>
  <si>
    <t>Centropyge flavicauda</t>
  </si>
  <si>
    <t>Cenfl</t>
  </si>
  <si>
    <t>Fraser et Brunner</t>
  </si>
  <si>
    <t>Centropyge heraldi</t>
  </si>
  <si>
    <t>hck</t>
  </si>
  <si>
    <t>Cenhe</t>
  </si>
  <si>
    <t>Woods et Schultz</t>
  </si>
  <si>
    <t>Centropyge tibicen</t>
  </si>
  <si>
    <t>Centi</t>
  </si>
  <si>
    <t>Centropyge vroliki</t>
  </si>
  <si>
    <t>zck</t>
  </si>
  <si>
    <t>Cenvr</t>
  </si>
  <si>
    <t>Chaetodontoplus duboulayi</t>
  </si>
  <si>
    <t>Chadu</t>
  </si>
  <si>
    <t>Chaetodontoplus septentrionalis</t>
  </si>
  <si>
    <t>Euxiphipops sexstriatus</t>
  </si>
  <si>
    <t>Euxse</t>
  </si>
  <si>
    <t>Genicanthus macclesfieldiensis</t>
  </si>
  <si>
    <t>zsy</t>
  </si>
  <si>
    <t>Genma</t>
  </si>
  <si>
    <t>Genicanthus melanospilus</t>
  </si>
  <si>
    <t>Genme</t>
  </si>
  <si>
    <t>Holacanthus trimaculatus</t>
  </si>
  <si>
    <t>Holtr</t>
  </si>
  <si>
    <t>Pomacanthus annularis</t>
  </si>
  <si>
    <t>jhc</t>
  </si>
  <si>
    <t>Poman</t>
  </si>
  <si>
    <t>Pomacanthus imperator</t>
  </si>
  <si>
    <t>Pomim</t>
  </si>
  <si>
    <t>Pomacanthus semicirculatus</t>
  </si>
  <si>
    <t>bhc</t>
  </si>
  <si>
    <t>Pomse</t>
  </si>
  <si>
    <t>Pygoplites diacanthus</t>
  </si>
  <si>
    <t>Pygdi</t>
  </si>
  <si>
    <t>Cepolidae sp.</t>
  </si>
  <si>
    <t>cdy</t>
  </si>
  <si>
    <t>Cep</t>
  </si>
  <si>
    <t>Acanthocepola indica</t>
  </si>
  <si>
    <t>ydj</t>
  </si>
  <si>
    <t>Acain</t>
  </si>
  <si>
    <t>Acanthocepola krusensterni</t>
  </si>
  <si>
    <t>Acakr</t>
  </si>
  <si>
    <t>Acanthocepola limbata</t>
  </si>
  <si>
    <t>Acali</t>
  </si>
  <si>
    <t>Cepola schlegeli</t>
  </si>
  <si>
    <t>Cepsc</t>
  </si>
  <si>
    <t>Labridae sp.</t>
  </si>
  <si>
    <t>ltyk</t>
  </si>
  <si>
    <t>Lab</t>
  </si>
  <si>
    <t>Bodianus axillaris</t>
  </si>
  <si>
    <t>ybp</t>
  </si>
  <si>
    <t>Bodax</t>
  </si>
  <si>
    <t>Bodianus bilunulatus</t>
  </si>
  <si>
    <t>Bodbi</t>
  </si>
  <si>
    <t>Bodianus diana</t>
  </si>
  <si>
    <t>qbp</t>
  </si>
  <si>
    <t>Boddi</t>
  </si>
  <si>
    <t>Bodianus hirsutus</t>
  </si>
  <si>
    <t>xbp</t>
  </si>
  <si>
    <t>Bodhi</t>
  </si>
  <si>
    <t>Bodianus izuensis</t>
  </si>
  <si>
    <t>yjp</t>
  </si>
  <si>
    <t>Bodiz</t>
  </si>
  <si>
    <t>Arga et Yoshino</t>
  </si>
  <si>
    <t>Bodianus leucostictus</t>
  </si>
  <si>
    <t>hbp</t>
  </si>
  <si>
    <t>Bodle</t>
  </si>
  <si>
    <t>Bodianus masudai</t>
  </si>
  <si>
    <t>Bodma</t>
  </si>
  <si>
    <t>Bodianus mesothorax</t>
  </si>
  <si>
    <t>zxp</t>
  </si>
  <si>
    <t>Bodme</t>
  </si>
  <si>
    <t>(Bloch et Scheiger)</t>
  </si>
  <si>
    <t>Bodianus oxycephalus</t>
  </si>
  <si>
    <t>jtp</t>
  </si>
  <si>
    <t>Bodox</t>
  </si>
  <si>
    <t>Bodianus perditio</t>
  </si>
  <si>
    <t>hpt</t>
  </si>
  <si>
    <t>Bodpe</t>
  </si>
  <si>
    <t>Bodianus thoracotaeniatus</t>
  </si>
  <si>
    <t>sqp</t>
  </si>
  <si>
    <t>Bodth</t>
  </si>
  <si>
    <t>Yamamoto</t>
  </si>
  <si>
    <t>Choerodon anchorago</t>
  </si>
  <si>
    <t>anz</t>
  </si>
  <si>
    <t>Choan</t>
  </si>
  <si>
    <t>Choerodon azurio</t>
  </si>
  <si>
    <t>lzc</t>
  </si>
  <si>
    <t>Choaz</t>
  </si>
  <si>
    <t>Choerodon fasciatus</t>
  </si>
  <si>
    <t>Chofa</t>
  </si>
  <si>
    <t>Choerodon jordani</t>
  </si>
  <si>
    <t>qsz</t>
  </si>
  <si>
    <t>Chojo</t>
  </si>
  <si>
    <t>Choerodon melanostigma</t>
  </si>
  <si>
    <t>Chome</t>
  </si>
  <si>
    <t>Choerodon nectemblema</t>
  </si>
  <si>
    <t>lbz</t>
  </si>
  <si>
    <t>Chone</t>
  </si>
  <si>
    <t>Choerodon pescadorensis</t>
  </si>
  <si>
    <t>Chope</t>
  </si>
  <si>
    <t>Choerodon robustus</t>
  </si>
  <si>
    <t>czc</t>
  </si>
  <si>
    <t>Choro</t>
  </si>
  <si>
    <t>Choerodon schoenleinii</t>
  </si>
  <si>
    <t>Choerodonoides gymnogenys</t>
  </si>
  <si>
    <t>nzc</t>
  </si>
  <si>
    <t>Chogy</t>
  </si>
  <si>
    <t>Xiphocheilus quadrimaculatus</t>
  </si>
  <si>
    <t>Xipqu</t>
  </si>
  <si>
    <t>Xiphocheilus typus</t>
  </si>
  <si>
    <t>Xipty</t>
  </si>
  <si>
    <t>Anampses caeruleopunctatus</t>
  </si>
  <si>
    <t>qba</t>
  </si>
  <si>
    <t>Anampses diadematus</t>
  </si>
  <si>
    <t>xan</t>
  </si>
  <si>
    <t>Anadi</t>
  </si>
  <si>
    <t>Anampses geographius</t>
  </si>
  <si>
    <t>rwa</t>
  </si>
  <si>
    <t>Anage</t>
  </si>
  <si>
    <t>Anampses melanurus</t>
  </si>
  <si>
    <t>wba</t>
  </si>
  <si>
    <t>Aname</t>
  </si>
  <si>
    <t>Anampses meleagrides</t>
  </si>
  <si>
    <t>hwa</t>
  </si>
  <si>
    <t>Anampses neoguinaicus</t>
  </si>
  <si>
    <t>Anane</t>
  </si>
  <si>
    <t>Anampses twisti</t>
  </si>
  <si>
    <t>Anatw</t>
  </si>
  <si>
    <t>Cheilio inermis</t>
  </si>
  <si>
    <t>Chein</t>
  </si>
  <si>
    <t>Duymaeria flagellifera</t>
  </si>
  <si>
    <t>cjj</t>
  </si>
  <si>
    <t>Duyfl</t>
  </si>
  <si>
    <t>Gomphosus varius</t>
  </si>
  <si>
    <t>zcj</t>
  </si>
  <si>
    <t>Gomva</t>
  </si>
  <si>
    <t>Halichoeres argus</t>
  </si>
  <si>
    <t>qzh</t>
  </si>
  <si>
    <t>Halar</t>
  </si>
  <si>
    <t>Halichoeres biocellatus</t>
  </si>
  <si>
    <t>snh</t>
  </si>
  <si>
    <t>Halbi</t>
  </si>
  <si>
    <t>Halichoeres chrysus</t>
  </si>
  <si>
    <t>hsh</t>
  </si>
  <si>
    <t>Halch</t>
  </si>
  <si>
    <t>Halichoeres cyanopleura</t>
  </si>
  <si>
    <t>lch</t>
  </si>
  <si>
    <t>Halcy</t>
  </si>
  <si>
    <t>Halichoeres hartzfeldi</t>
  </si>
  <si>
    <t>zdh</t>
  </si>
  <si>
    <t>Halha</t>
  </si>
  <si>
    <t>Halichoeres hortulanus</t>
  </si>
  <si>
    <t>fbh</t>
  </si>
  <si>
    <t>Halho</t>
  </si>
  <si>
    <t>Halichoeres hyrtli</t>
  </si>
  <si>
    <t>Halhy</t>
  </si>
  <si>
    <t>Halichoeres leparensis</t>
  </si>
  <si>
    <t>Halle</t>
  </si>
  <si>
    <t>Halichoeres margaritaceus</t>
  </si>
  <si>
    <t>Halichoeres marginatus</t>
  </si>
  <si>
    <t>ybh</t>
  </si>
  <si>
    <t>Halichoeres melanochir</t>
  </si>
  <si>
    <t>Halme</t>
  </si>
  <si>
    <t>Halichoeres melanurus</t>
  </si>
  <si>
    <t>Halichoeres miniatus</t>
  </si>
  <si>
    <t>tdh</t>
  </si>
  <si>
    <t>Halmi</t>
  </si>
  <si>
    <t>Halichoeres nebulosus</t>
  </si>
  <si>
    <t>Halne</t>
  </si>
  <si>
    <t>Halichoeres nigrescens</t>
  </si>
  <si>
    <t>Halni</t>
  </si>
  <si>
    <t>Halichoeres ornatissimus</t>
  </si>
  <si>
    <t>ldh</t>
  </si>
  <si>
    <t>Halor</t>
  </si>
  <si>
    <t>(Garett)</t>
  </si>
  <si>
    <t>Halichoeres pelicieri</t>
  </si>
  <si>
    <t>Halpe</t>
  </si>
  <si>
    <t>Randall et Smith</t>
  </si>
  <si>
    <t>Halichoeres poecilopterus</t>
  </si>
  <si>
    <t>Halpo</t>
  </si>
  <si>
    <t>Halichoeres prosopein</t>
  </si>
  <si>
    <t>heh</t>
  </si>
  <si>
    <t>Halpr</t>
  </si>
  <si>
    <t>Halichoeres purpurascens</t>
  </si>
  <si>
    <t>tzh</t>
  </si>
  <si>
    <t>Halpu</t>
  </si>
  <si>
    <t>Halichoeres scapularis</t>
  </si>
  <si>
    <t>Halsc</t>
  </si>
  <si>
    <t>Halichoeres tenuispinis</t>
  </si>
  <si>
    <t>xjh</t>
  </si>
  <si>
    <t>Halte</t>
  </si>
  <si>
    <t>Halichoeres trimaculatus</t>
  </si>
  <si>
    <t>sbh</t>
  </si>
  <si>
    <t>Haltr</t>
  </si>
  <si>
    <t>Halichoeres sp.</t>
  </si>
  <si>
    <t>hzys</t>
  </si>
  <si>
    <t>halsp</t>
  </si>
  <si>
    <t>Hemigymnus fasciatus</t>
  </si>
  <si>
    <t>hdc</t>
  </si>
  <si>
    <t>Hemigymnus melapterus</t>
  </si>
  <si>
    <t>Labrichthys cyanotaenia</t>
  </si>
  <si>
    <t>tcy</t>
  </si>
  <si>
    <t>Labcy</t>
  </si>
  <si>
    <t>Labrichthys unilineatus</t>
  </si>
  <si>
    <t>Labun</t>
  </si>
  <si>
    <t>Labroides bicolor</t>
  </si>
  <si>
    <t>scl</t>
  </si>
  <si>
    <t>Labbi</t>
  </si>
  <si>
    <t>Labroides dimidiatus</t>
  </si>
  <si>
    <t>lcy</t>
  </si>
  <si>
    <t>Labdi</t>
  </si>
  <si>
    <t>Labropsis manabei</t>
  </si>
  <si>
    <t>Labma</t>
  </si>
  <si>
    <t>Schmidt</t>
  </si>
  <si>
    <t>Macropharyngodon meleagris</t>
  </si>
  <si>
    <t>zbd</t>
  </si>
  <si>
    <t>Macme</t>
  </si>
  <si>
    <t>Macropharyngodon negrosensis</t>
  </si>
  <si>
    <t>Macne</t>
  </si>
  <si>
    <t>Pseudolabrus gracilis</t>
  </si>
  <si>
    <t>xnl</t>
  </si>
  <si>
    <t>Pseudolabrus japonicus</t>
  </si>
  <si>
    <t>cnl</t>
  </si>
  <si>
    <t>Pseja</t>
  </si>
  <si>
    <t>Stethojulis axillaris</t>
  </si>
  <si>
    <t>hxz</t>
  </si>
  <si>
    <t>Steax</t>
  </si>
  <si>
    <t>Stethojulis bandanedsis</t>
  </si>
  <si>
    <t>Steba</t>
  </si>
  <si>
    <t>Stethojulis interrupta</t>
  </si>
  <si>
    <t>Stein</t>
  </si>
  <si>
    <t>Stethojulis kalosoma</t>
  </si>
  <si>
    <t>mtz</t>
  </si>
  <si>
    <t>Steka</t>
  </si>
  <si>
    <t>Stethojulis linearis</t>
  </si>
  <si>
    <t>Steli</t>
  </si>
  <si>
    <t>Stethojulis phekadopleura</t>
  </si>
  <si>
    <t>Steph</t>
  </si>
  <si>
    <t>Stethojulis renardi</t>
  </si>
  <si>
    <t>sxz</t>
  </si>
  <si>
    <t>Stere</t>
  </si>
  <si>
    <t>Stethojulis strigiventer</t>
  </si>
  <si>
    <t>fwz</t>
  </si>
  <si>
    <t>Stest</t>
  </si>
  <si>
    <t>Stethojulis trilineata</t>
  </si>
  <si>
    <t>Stetr</t>
  </si>
  <si>
    <t>Thalassoma amblycephalus</t>
  </si>
  <si>
    <t>Thaam</t>
  </si>
  <si>
    <t>Thalassoma cupido</t>
  </si>
  <si>
    <t>Thacu</t>
  </si>
  <si>
    <t>Thalassoma fuscum</t>
  </si>
  <si>
    <t>zwj</t>
  </si>
  <si>
    <t>Thafu</t>
  </si>
  <si>
    <t>Thalassoma hardwicki</t>
  </si>
  <si>
    <t>Thaha</t>
  </si>
  <si>
    <t>Thalassoma janseni</t>
  </si>
  <si>
    <t>dbj</t>
  </si>
  <si>
    <t>Thaja</t>
  </si>
  <si>
    <t>Thalassoma lunare</t>
  </si>
  <si>
    <t>Thalu</t>
  </si>
  <si>
    <t>Thalassoma lutescens</t>
  </si>
  <si>
    <t>xbj</t>
  </si>
  <si>
    <t>Thalassoma purpureum</t>
  </si>
  <si>
    <t>zej</t>
  </si>
  <si>
    <t>Thapu</t>
  </si>
  <si>
    <t>Thalassoma quinquevittatus</t>
  </si>
  <si>
    <t>Thaqu</t>
  </si>
  <si>
    <t>Thalassoma umbrostigma</t>
  </si>
  <si>
    <t>Thaum</t>
  </si>
  <si>
    <t>Coris aygula</t>
  </si>
  <si>
    <t>Coray</t>
  </si>
  <si>
    <t>Coris dorsomacula</t>
  </si>
  <si>
    <t>Cordo</t>
  </si>
  <si>
    <t>Coris gaimard</t>
  </si>
  <si>
    <t>lzk</t>
  </si>
  <si>
    <t>Corga</t>
  </si>
  <si>
    <t>Coris picta</t>
  </si>
  <si>
    <t>zdk</t>
  </si>
  <si>
    <t>Corpi</t>
  </si>
  <si>
    <t>Hologymnosus annutltus</t>
  </si>
  <si>
    <t>xlk</t>
  </si>
  <si>
    <t>Holan</t>
  </si>
  <si>
    <t>Hologymnosus doliatus</t>
  </si>
  <si>
    <t>yxl</t>
  </si>
  <si>
    <t>Holdo</t>
  </si>
  <si>
    <t>Pseudocoris awayae</t>
  </si>
  <si>
    <t>Pseaw</t>
  </si>
  <si>
    <t>(Schmidt)</t>
  </si>
  <si>
    <t>Pseudocoris yamashiroi</t>
  </si>
  <si>
    <t>zhn</t>
  </si>
  <si>
    <t>Pseya</t>
  </si>
  <si>
    <t>Cheilinus bimaculatus</t>
  </si>
  <si>
    <t>Chebi</t>
  </si>
  <si>
    <t>Cheilinus celebieus</t>
  </si>
  <si>
    <t>cwc</t>
  </si>
  <si>
    <t>Chece</t>
  </si>
  <si>
    <t>Cheilinus chlorurus</t>
  </si>
  <si>
    <t>lwc</t>
  </si>
  <si>
    <t>Chech</t>
  </si>
  <si>
    <t>Cheilinus diagramma</t>
  </si>
  <si>
    <t>dxc</t>
  </si>
  <si>
    <t>Chedi</t>
  </si>
  <si>
    <t>Cheilinus faseiatus</t>
  </si>
  <si>
    <t>Chefa</t>
  </si>
  <si>
    <t>Cheilinus mentalis</t>
  </si>
  <si>
    <t>Cheme</t>
  </si>
  <si>
    <t>Cheilinus oxycephalus</t>
  </si>
  <si>
    <t>Cheox</t>
  </si>
  <si>
    <t>Cheilinus rhodochrous</t>
  </si>
  <si>
    <t>Cherh</t>
  </si>
  <si>
    <t>Cheilinus trilobatus</t>
  </si>
  <si>
    <t>syc</t>
  </si>
  <si>
    <t>Chetr</t>
  </si>
  <si>
    <t>Cheilinus undulatus</t>
  </si>
  <si>
    <t>Cheun</t>
  </si>
  <si>
    <t>Cirrhilabrus cyanopleur</t>
  </si>
  <si>
    <t>lbs</t>
  </si>
  <si>
    <t>Circy</t>
  </si>
  <si>
    <t>Cirrhilabrus exquistitus</t>
  </si>
  <si>
    <t>Cirex</t>
  </si>
  <si>
    <t>Cirrhilabrus melanomarginatus</t>
  </si>
  <si>
    <t>Cirme</t>
  </si>
  <si>
    <t>Randall et Shen</t>
  </si>
  <si>
    <t>Cirrhilabrus rubimarginatus</t>
  </si>
  <si>
    <t>Cirru</t>
  </si>
  <si>
    <t>Cirrhilabrus solorensis</t>
  </si>
  <si>
    <t>Cirso</t>
  </si>
  <si>
    <t>Cirrhilabrus temminckii</t>
  </si>
  <si>
    <t>Cirte</t>
  </si>
  <si>
    <t>Cymolutes lecluse</t>
  </si>
  <si>
    <t>Cymle</t>
  </si>
  <si>
    <t>Epibulus insidiator</t>
  </si>
  <si>
    <t>Epiin</t>
  </si>
  <si>
    <t>Hemipteronotus aneitensis</t>
  </si>
  <si>
    <t>Heman</t>
  </si>
  <si>
    <t>Hemipteronotus caerulopunctatus</t>
  </si>
  <si>
    <t>Hemca</t>
  </si>
  <si>
    <t>Hemipteronotus evides</t>
  </si>
  <si>
    <t>sbl</t>
  </si>
  <si>
    <t>Hemev</t>
  </si>
  <si>
    <t>Hemipteronotus melanopus</t>
  </si>
  <si>
    <t>Hemipteronotus pentadactylus</t>
  </si>
  <si>
    <t>Hemipteronotus verrens</t>
  </si>
  <si>
    <t>Hemve</t>
  </si>
  <si>
    <t>Iniistius dea</t>
  </si>
  <si>
    <t>lsj</t>
  </si>
  <si>
    <t>Inide</t>
  </si>
  <si>
    <t>Iniistius pavo</t>
  </si>
  <si>
    <t>kqj</t>
  </si>
  <si>
    <t>Inipa</t>
  </si>
  <si>
    <t>(Curier et Valenciennes)</t>
  </si>
  <si>
    <t>Neocirrhilabrus oxyurus</t>
  </si>
  <si>
    <t>Neoox</t>
  </si>
  <si>
    <t>Novaculichthys macrolepidotus</t>
  </si>
  <si>
    <t>Novma</t>
  </si>
  <si>
    <t>Novaculichthys taeniourus</t>
  </si>
  <si>
    <t>Novta</t>
  </si>
  <si>
    <t>Paracheilinus carpenteri</t>
  </si>
  <si>
    <t>ksf</t>
  </si>
  <si>
    <t>Randall et Lubbock</t>
  </si>
  <si>
    <t>Pseudocheilinus evanidus</t>
  </si>
  <si>
    <t>jnc</t>
  </si>
  <si>
    <t>Pseev</t>
  </si>
  <si>
    <t>Pseudocheilinus hexataenia</t>
  </si>
  <si>
    <t>ncy</t>
  </si>
  <si>
    <t>Psehe</t>
  </si>
  <si>
    <t>Pseudocheilinus octotaenia</t>
  </si>
  <si>
    <t>Pseoc</t>
  </si>
  <si>
    <t>Wetmorella nigropinnata</t>
  </si>
  <si>
    <t>Wetni</t>
  </si>
  <si>
    <t>(Seale)</t>
  </si>
  <si>
    <t>Xyrichtys dea</t>
  </si>
  <si>
    <t>Xyrde</t>
  </si>
  <si>
    <t>Xyrichtys evides</t>
  </si>
  <si>
    <t>lhc</t>
  </si>
  <si>
    <t>Xyrev</t>
  </si>
  <si>
    <t>Xyrichtys melanopus</t>
  </si>
  <si>
    <t>Xyrme</t>
  </si>
  <si>
    <t>Xyrichtys pavo</t>
  </si>
  <si>
    <t>bfh</t>
  </si>
  <si>
    <t>Xyrpa</t>
  </si>
  <si>
    <t>Scaridae sp.</t>
  </si>
  <si>
    <t>yzyk</t>
  </si>
  <si>
    <t>Bolbometopon bicolor</t>
  </si>
  <si>
    <t>ecd</t>
  </si>
  <si>
    <t>Bolbi</t>
  </si>
  <si>
    <t>Bolbometopon muricatus</t>
  </si>
  <si>
    <t>Bolmu</t>
  </si>
  <si>
    <t>Calotomus carolinuse</t>
  </si>
  <si>
    <t>klx</t>
  </si>
  <si>
    <t>Calca</t>
  </si>
  <si>
    <t>Calotomus japonicus</t>
  </si>
  <si>
    <t>ywx</t>
  </si>
  <si>
    <t>Calotomus spinidens</t>
  </si>
  <si>
    <t>awx</t>
  </si>
  <si>
    <t>Calsp</t>
  </si>
  <si>
    <t>Leptoscarus vaigiensis</t>
  </si>
  <si>
    <t>Lepva</t>
  </si>
  <si>
    <t>Scarops rubroviolaceus</t>
  </si>
  <si>
    <t>Scaru</t>
  </si>
  <si>
    <t>Scarus aeruginosus</t>
  </si>
  <si>
    <t>tfy</t>
  </si>
  <si>
    <t>Scaae</t>
  </si>
  <si>
    <t>Scarus atropectoralis</t>
  </si>
  <si>
    <t>Scaat</t>
  </si>
  <si>
    <t>Scarus bowersi</t>
  </si>
  <si>
    <t>Scabo</t>
  </si>
  <si>
    <t>Scarus chlorodon</t>
  </si>
  <si>
    <t>lyy</t>
  </si>
  <si>
    <t>Scach</t>
  </si>
  <si>
    <t>Jenyns</t>
  </si>
  <si>
    <t>Scarus dimidiatus</t>
  </si>
  <si>
    <t>Scadi</t>
  </si>
  <si>
    <t>Scarus fasciatus</t>
  </si>
  <si>
    <t>Scafa</t>
  </si>
  <si>
    <t>Scarus festivus</t>
  </si>
  <si>
    <t>Scafe</t>
  </si>
  <si>
    <t>Scarus forsteri</t>
  </si>
  <si>
    <t>Scafo</t>
  </si>
  <si>
    <t>Scarus frenatus</t>
  </si>
  <si>
    <t>wty</t>
  </si>
  <si>
    <t>Scafr</t>
  </si>
  <si>
    <t>Scarus ghobban</t>
  </si>
  <si>
    <t>Scagh</t>
  </si>
  <si>
    <t>Scarus gibbus</t>
  </si>
  <si>
    <t>Scagi</t>
  </si>
  <si>
    <t>Scarus globiceps</t>
  </si>
  <si>
    <t>Scagl</t>
  </si>
  <si>
    <t>Scarus janthochir</t>
  </si>
  <si>
    <t>ljy</t>
  </si>
  <si>
    <t>Scaja</t>
  </si>
  <si>
    <t>Scarus lepidus</t>
  </si>
  <si>
    <t>Scale</t>
  </si>
  <si>
    <t>Scarus longiceps</t>
  </si>
  <si>
    <t>Scalo</t>
  </si>
  <si>
    <t>Scarus lunula</t>
  </si>
  <si>
    <t>Scalu</t>
  </si>
  <si>
    <t>Scarus niger</t>
  </si>
  <si>
    <t>Scani</t>
  </si>
  <si>
    <t>Scarus oedema</t>
  </si>
  <si>
    <t>yyz</t>
  </si>
  <si>
    <t>Scaoe</t>
  </si>
  <si>
    <t>Scarus oviceps</t>
  </si>
  <si>
    <t>hay</t>
  </si>
  <si>
    <t>Scaov</t>
  </si>
  <si>
    <t>Scarus ovifrons</t>
  </si>
  <si>
    <t>tey</t>
  </si>
  <si>
    <t>Scarus prasiognathos</t>
  </si>
  <si>
    <t>Scapr</t>
  </si>
  <si>
    <t>Scarus psittacus</t>
  </si>
  <si>
    <t>ywy</t>
  </si>
  <si>
    <t>Scaps</t>
  </si>
  <si>
    <t>Scarus pyrrhurus</t>
  </si>
  <si>
    <t>Scapy</t>
  </si>
  <si>
    <t>Scarus rivulatus</t>
  </si>
  <si>
    <t>Scari</t>
  </si>
  <si>
    <t>Scarus scaber</t>
  </si>
  <si>
    <t>Scasc</t>
  </si>
  <si>
    <t>Scarus schlebeli</t>
  </si>
  <si>
    <t>Scarus sordidus</t>
  </si>
  <si>
    <t>Scaso</t>
  </si>
  <si>
    <t>Scarus taeniurus</t>
  </si>
  <si>
    <t>Scata</t>
  </si>
  <si>
    <t>Scarus venosus</t>
  </si>
  <si>
    <t>wdy</t>
  </si>
  <si>
    <t>Scave</t>
  </si>
  <si>
    <t>Pomacentridae sp.</t>
  </si>
  <si>
    <t>qdk</t>
  </si>
  <si>
    <t>Abudefduf anabatoides</t>
  </si>
  <si>
    <t>pld</t>
  </si>
  <si>
    <t>Abuan</t>
  </si>
  <si>
    <t>Abudefduf aureus</t>
  </si>
  <si>
    <t>Abuau</t>
  </si>
  <si>
    <t>Abudefduf bankieri</t>
  </si>
  <si>
    <t>bkd</t>
  </si>
  <si>
    <t>Abuba</t>
  </si>
  <si>
    <t>Abudefduf behnii</t>
  </si>
  <si>
    <t>Abube</t>
  </si>
  <si>
    <t>Abudefduf bengalensis</t>
  </si>
  <si>
    <t>mjl</t>
  </si>
  <si>
    <t>Abudefduf biocellatus</t>
  </si>
  <si>
    <t>snd</t>
  </si>
  <si>
    <t>Abubi</t>
  </si>
  <si>
    <t>Abudefduf coelestinus</t>
  </si>
  <si>
    <t>Abuco</t>
  </si>
  <si>
    <t>Abudefduf curacao</t>
  </si>
  <si>
    <t>kls</t>
  </si>
  <si>
    <t>Abucu</t>
  </si>
  <si>
    <t>Abudefduf cyaneus</t>
  </si>
  <si>
    <t>Abucy</t>
  </si>
  <si>
    <t>Abudefduf dicki</t>
  </si>
  <si>
    <t>Abudi</t>
  </si>
  <si>
    <t>(Lienard)</t>
  </si>
  <si>
    <t>Abudefduf glaucus</t>
  </si>
  <si>
    <t>sdn</t>
  </si>
  <si>
    <t>Abugl</t>
  </si>
  <si>
    <t>Abudefduf lacrymatus</t>
  </si>
  <si>
    <t>ydd</t>
  </si>
  <si>
    <t>Abula</t>
  </si>
  <si>
    <t>Abudefduf leucogaster</t>
  </si>
  <si>
    <t>bfd</t>
  </si>
  <si>
    <t>Abule</t>
  </si>
  <si>
    <t>Abudefduf lorenzi</t>
  </si>
  <si>
    <t>Abulo</t>
  </si>
  <si>
    <t>Hensley et Allen</t>
  </si>
  <si>
    <t>Abudefduf melas</t>
  </si>
  <si>
    <t>Abume</t>
  </si>
  <si>
    <t>Abudefduf notatus</t>
  </si>
  <si>
    <t>Abuno</t>
  </si>
  <si>
    <t>Abudefduf richardsoni</t>
  </si>
  <si>
    <t>Aburi</t>
  </si>
  <si>
    <t>Abudefduf septemfasciatus</t>
  </si>
  <si>
    <t>qwd</t>
  </si>
  <si>
    <t>Abuse</t>
  </si>
  <si>
    <t>Abudefduf sexfasciatus</t>
  </si>
  <si>
    <t>Abudefduf sordidus</t>
  </si>
  <si>
    <t>dny</t>
  </si>
  <si>
    <t>Abuso</t>
  </si>
  <si>
    <t>Abudefduf thoracotaeniatus</t>
  </si>
  <si>
    <t>xdd</t>
  </si>
  <si>
    <t>Abuth</t>
  </si>
  <si>
    <t>Abudefduf uniocellatus</t>
  </si>
  <si>
    <t>Abuun</t>
  </si>
  <si>
    <t>Abudefduf vaigiensis</t>
  </si>
  <si>
    <t>Abuva</t>
  </si>
  <si>
    <t>Abudefduf xanthozona</t>
  </si>
  <si>
    <t>Abuxa</t>
  </si>
  <si>
    <t>Abudefduf zonatus</t>
  </si>
  <si>
    <t>Abuzo</t>
  </si>
  <si>
    <t>Amblyglyphidodon aureus</t>
  </si>
  <si>
    <t>Ambau</t>
  </si>
  <si>
    <t>Amblyglyphidodon curacao</t>
  </si>
  <si>
    <t>hwk</t>
  </si>
  <si>
    <t>Ambcu</t>
  </si>
  <si>
    <t>Amphiprion akallopisus</t>
  </si>
  <si>
    <t>Ampak</t>
  </si>
  <si>
    <t>Amphiprion bicinctus</t>
  </si>
  <si>
    <t>eds</t>
  </si>
  <si>
    <t>Ampbi</t>
  </si>
  <si>
    <t>Amphiprion clarkii</t>
  </si>
  <si>
    <t>Ampcl</t>
  </si>
  <si>
    <t>Amphiprion frenatus</t>
  </si>
  <si>
    <t>bts</t>
  </si>
  <si>
    <t>Ampfr</t>
  </si>
  <si>
    <t>Brevoort</t>
  </si>
  <si>
    <t>Amphiprion percula</t>
  </si>
  <si>
    <t>Amppe</t>
  </si>
  <si>
    <t>Amphiprion perideraion</t>
  </si>
  <si>
    <t>jhs</t>
  </si>
  <si>
    <t>Amphiprion polymnus</t>
  </si>
  <si>
    <t>Amppo</t>
  </si>
  <si>
    <t>Cheiloprion labiatus</t>
  </si>
  <si>
    <t>Chela</t>
  </si>
  <si>
    <t>Chromis alleni</t>
  </si>
  <si>
    <t>Randall, Ida et Moyer</t>
  </si>
  <si>
    <t>Chromis analis</t>
  </si>
  <si>
    <t>Chran</t>
  </si>
  <si>
    <t>Chromis atripectoralis</t>
  </si>
  <si>
    <t>yyg</t>
  </si>
  <si>
    <t>Chrat</t>
  </si>
  <si>
    <t>Weland et Schultz</t>
  </si>
  <si>
    <t>Chromis atripes</t>
  </si>
  <si>
    <t>hqg</t>
  </si>
  <si>
    <t>Chromis caeruleus</t>
  </si>
  <si>
    <t>lgs</t>
  </si>
  <si>
    <t>Chrca</t>
  </si>
  <si>
    <t>Chromis chrysura</t>
  </si>
  <si>
    <t>cjg</t>
  </si>
  <si>
    <t>Chrch</t>
  </si>
  <si>
    <t>(Bliss)</t>
  </si>
  <si>
    <t>Chromis dimidiatus</t>
  </si>
  <si>
    <t>Chrdi</t>
  </si>
  <si>
    <t>Chromis elerae</t>
  </si>
  <si>
    <t>Chrel</t>
  </si>
  <si>
    <t>Chromis fumea</t>
  </si>
  <si>
    <t>Chrfu</t>
  </si>
  <si>
    <t>Chromis isharae</t>
  </si>
  <si>
    <t>lqg</t>
  </si>
  <si>
    <t>Chris</t>
  </si>
  <si>
    <t>Chromis lepidolepis</t>
  </si>
  <si>
    <t>Chrle</t>
  </si>
  <si>
    <t>Chromis margaritifer</t>
  </si>
  <si>
    <t>ecg</t>
  </si>
  <si>
    <t>Chrma</t>
  </si>
  <si>
    <t>Chromis notatus</t>
  </si>
  <si>
    <t>Chrno</t>
  </si>
  <si>
    <t>Chromis ovatiformis</t>
  </si>
  <si>
    <t>rxg</t>
  </si>
  <si>
    <t>Chrov</t>
  </si>
  <si>
    <t>Chromis retrofasciatus</t>
  </si>
  <si>
    <t>Chrre</t>
  </si>
  <si>
    <t>Chromis ternatensis</t>
  </si>
  <si>
    <t>Chrte</t>
  </si>
  <si>
    <t>Chromis vanderbilti</t>
  </si>
  <si>
    <t>Chrva</t>
  </si>
  <si>
    <t>Chromis virides</t>
  </si>
  <si>
    <t>Chrvi</t>
  </si>
  <si>
    <t>Chromis weberi</t>
  </si>
  <si>
    <t>wsg</t>
  </si>
  <si>
    <t>Chrwe</t>
  </si>
  <si>
    <t>Chromis xanthochir</t>
  </si>
  <si>
    <t>hgs</t>
  </si>
  <si>
    <t>Chrxa</t>
  </si>
  <si>
    <t>Chromis xanthurus</t>
  </si>
  <si>
    <t>Chrysiptera biocellatus</t>
  </si>
  <si>
    <t>edk</t>
  </si>
  <si>
    <t>Chrbi</t>
  </si>
  <si>
    <t>(Quoy et Gainard)</t>
  </si>
  <si>
    <t>Chrysiptera cyaneus</t>
  </si>
  <si>
    <t>lkc</t>
  </si>
  <si>
    <t>Chrcy</t>
  </si>
  <si>
    <t>Chrysiptera glauca</t>
  </si>
  <si>
    <t>Chrgl</t>
  </si>
  <si>
    <t>Chrysiptera leucopoma</t>
  </si>
  <si>
    <t>Chrysiptera rex</t>
  </si>
  <si>
    <t>Chrysiptera starcki</t>
  </si>
  <si>
    <t>ssk</t>
  </si>
  <si>
    <t>Chrst</t>
  </si>
  <si>
    <t>(Alien)</t>
  </si>
  <si>
    <t>Dascyllus aruanus</t>
  </si>
  <si>
    <t>Dasar</t>
  </si>
  <si>
    <t>Dascyllus marginatus</t>
  </si>
  <si>
    <t>Dasma</t>
  </si>
  <si>
    <t>Dascyllus melanurus</t>
  </si>
  <si>
    <t>Dasme</t>
  </si>
  <si>
    <t>Dascyllus reticulatus</t>
  </si>
  <si>
    <t>wwz</t>
  </si>
  <si>
    <t>Dasre</t>
  </si>
  <si>
    <t>Dascyllus trimaculatus</t>
  </si>
  <si>
    <t>sbz</t>
  </si>
  <si>
    <t>Dastr</t>
  </si>
  <si>
    <t>Daya jordani</t>
  </si>
  <si>
    <t>qst</t>
  </si>
  <si>
    <t>Dayjo</t>
  </si>
  <si>
    <t>(Rutter)</t>
  </si>
  <si>
    <t>Hemiglyphidodon plagiometopon</t>
  </si>
  <si>
    <t>msy</t>
  </si>
  <si>
    <t>Hempl</t>
  </si>
  <si>
    <t>Neoglyphidodon melas</t>
  </si>
  <si>
    <t>hfq</t>
  </si>
  <si>
    <t>Neoglyphidodon nigroris</t>
  </si>
  <si>
    <t>Neopomacentrus azysron</t>
  </si>
  <si>
    <t>qxq</t>
  </si>
  <si>
    <t>Neoaz</t>
  </si>
  <si>
    <t>Plectroglyphidodon dickii</t>
  </si>
  <si>
    <t>Lienard</t>
  </si>
  <si>
    <t>Plectroglyphidodon imparipemmis</t>
  </si>
  <si>
    <t>wqj</t>
  </si>
  <si>
    <t>Pleim</t>
  </si>
  <si>
    <t>(Vaillant et Sauvage)</t>
  </si>
  <si>
    <t>Plectroglyphidodon johnstonianus</t>
  </si>
  <si>
    <t>Plejo</t>
  </si>
  <si>
    <t>Fowler et Ball</t>
  </si>
  <si>
    <t>Plectroglyphidodon lacrymatus</t>
  </si>
  <si>
    <t>zdj</t>
  </si>
  <si>
    <t>Plectroglyphidodon leucozona</t>
  </si>
  <si>
    <t>bjq</t>
  </si>
  <si>
    <t>Pomacentrus albifasciatus</t>
  </si>
  <si>
    <t>bdq</t>
  </si>
  <si>
    <t>Pomal</t>
  </si>
  <si>
    <t>Schlegel et Muller</t>
  </si>
  <si>
    <t>Pomacentrus amboinensis</t>
  </si>
  <si>
    <t>abq</t>
  </si>
  <si>
    <t>Pomam</t>
  </si>
  <si>
    <t>Pomacentrus bankanensis</t>
  </si>
  <si>
    <t>bkq</t>
  </si>
  <si>
    <t>Pomba</t>
  </si>
  <si>
    <t>Pomacentrus chrysurus</t>
  </si>
  <si>
    <t>bwq</t>
  </si>
  <si>
    <t>Pomch</t>
  </si>
  <si>
    <t>Pomacentrus coelestis</t>
  </si>
  <si>
    <t>nhq</t>
  </si>
  <si>
    <t>Pomco</t>
  </si>
  <si>
    <t>Pomacentrus dorsalis</t>
  </si>
  <si>
    <t>bqq</t>
  </si>
  <si>
    <t>Pomdo</t>
  </si>
  <si>
    <t>Gill</t>
  </si>
  <si>
    <t>Pomacentrus jenkinsi</t>
  </si>
  <si>
    <t>Pomje</t>
  </si>
  <si>
    <t>Pomacentrus lepidoginys</t>
  </si>
  <si>
    <t>jlq</t>
  </si>
  <si>
    <t>Pomle</t>
  </si>
  <si>
    <t>Pomacentrus lividus</t>
  </si>
  <si>
    <t>cwq</t>
  </si>
  <si>
    <t>Pomli</t>
  </si>
  <si>
    <t>Pomacentrus melanopterus</t>
  </si>
  <si>
    <t>Pomme</t>
  </si>
  <si>
    <t>Pomacentrus moluccensis</t>
  </si>
  <si>
    <t>Pommo</t>
  </si>
  <si>
    <t>Pomacentrus nagasakiensis</t>
  </si>
  <si>
    <t>cqq</t>
  </si>
  <si>
    <t>Pomna</t>
  </si>
  <si>
    <t>Pomacentrus nigricans</t>
  </si>
  <si>
    <t>Pomni</t>
  </si>
  <si>
    <t>Pomacentrus nigromarginatus</t>
  </si>
  <si>
    <t>Allen</t>
  </si>
  <si>
    <t>Pomacentrus niomatus</t>
  </si>
  <si>
    <t>acq</t>
  </si>
  <si>
    <t>De Vis</t>
  </si>
  <si>
    <t>Pomacentrus notophthalmus</t>
  </si>
  <si>
    <t>Pomno</t>
  </si>
  <si>
    <t>Pomacentrus pavo</t>
  </si>
  <si>
    <t>kqq</t>
  </si>
  <si>
    <t>Pompa</t>
  </si>
  <si>
    <t>Pomacentrus perspicilliatus</t>
  </si>
  <si>
    <t>Pompe</t>
  </si>
  <si>
    <t>Pomacentrus philippinus</t>
  </si>
  <si>
    <t>Pomph</t>
  </si>
  <si>
    <t>Evermann et Seale</t>
  </si>
  <si>
    <t>Pomacentrus prosopotaenia</t>
  </si>
  <si>
    <t>wmq</t>
  </si>
  <si>
    <t>Pompr</t>
  </si>
  <si>
    <t>Pomacentrus stigma</t>
  </si>
  <si>
    <t>bsq</t>
  </si>
  <si>
    <t>Pomst</t>
  </si>
  <si>
    <t>Montalbon</t>
  </si>
  <si>
    <t>Pomacentrus taeniurus</t>
  </si>
  <si>
    <t>Pomta</t>
  </si>
  <si>
    <t>Pomacentrus tripunctatus</t>
  </si>
  <si>
    <t>Pomtr</t>
  </si>
  <si>
    <t>Pomacentrus vaiuli</t>
  </si>
  <si>
    <t>wzq</t>
  </si>
  <si>
    <t>Pomva</t>
  </si>
  <si>
    <t>Hordan et Seale</t>
  </si>
  <si>
    <t>Pomacentrus violascens</t>
  </si>
  <si>
    <t>zqd</t>
  </si>
  <si>
    <t>Pomvi</t>
  </si>
  <si>
    <t>Pomachromis richardsonni</t>
  </si>
  <si>
    <t>lsb</t>
  </si>
  <si>
    <t>Pomri</t>
  </si>
  <si>
    <t>Prislotis jerdoni</t>
  </si>
  <si>
    <t>ysh</t>
  </si>
  <si>
    <t>Prije</t>
  </si>
  <si>
    <t>Stegustes altus</t>
  </si>
  <si>
    <t>Steal</t>
  </si>
  <si>
    <t>(Okada et Ikeda)</t>
  </si>
  <si>
    <t>Stegustes apicalis</t>
  </si>
  <si>
    <t>azz</t>
  </si>
  <si>
    <t>Steap</t>
  </si>
  <si>
    <t>(De Vis)</t>
  </si>
  <si>
    <t>Stegustes fasciolatus</t>
  </si>
  <si>
    <t>Cirrhitidae sp.</t>
  </si>
  <si>
    <t>Cir</t>
  </si>
  <si>
    <t>Amblycirrhitus bimacula</t>
  </si>
  <si>
    <t>sbd</t>
  </si>
  <si>
    <t>Ambbi</t>
  </si>
  <si>
    <t>(Jenkis)</t>
  </si>
  <si>
    <t>Cirrhitichthys aprinus</t>
  </si>
  <si>
    <t>bjw</t>
  </si>
  <si>
    <t>Cirap</t>
  </si>
  <si>
    <t>Cirrhitichthys aureus</t>
  </si>
  <si>
    <t>Cirau</t>
  </si>
  <si>
    <t>Cirrhitichthys falco</t>
  </si>
  <si>
    <t>Cirfa</t>
  </si>
  <si>
    <t>Cirrhitichthys oxycephalus</t>
  </si>
  <si>
    <t>Cirox</t>
  </si>
  <si>
    <t>Cirrhitus pinnulatus</t>
  </si>
  <si>
    <t>w</t>
  </si>
  <si>
    <t>Cirpi</t>
  </si>
  <si>
    <t>Cyprinocirrhites polyactis</t>
  </si>
  <si>
    <t>Oxycirrhites typus</t>
  </si>
  <si>
    <t>Oxyty</t>
  </si>
  <si>
    <t>Paracirrhites arcatus</t>
  </si>
  <si>
    <t>fw</t>
  </si>
  <si>
    <t>Parar</t>
  </si>
  <si>
    <t>Paracirrhites forsteri</t>
  </si>
  <si>
    <t>fsf</t>
  </si>
  <si>
    <t>Parfo</t>
  </si>
  <si>
    <t>Bembrops candimacnla</t>
  </si>
  <si>
    <t>Bemca</t>
  </si>
  <si>
    <t>Bembrops curvatura</t>
  </si>
  <si>
    <t>qxy</t>
  </si>
  <si>
    <t>Bemcu</t>
  </si>
  <si>
    <t>Okada et Suzuki</t>
  </si>
  <si>
    <t>Chrionema chryseres</t>
  </si>
  <si>
    <t>Parapercidae sp.</t>
  </si>
  <si>
    <t>blk</t>
  </si>
  <si>
    <t>Parapercis alboguttata</t>
  </si>
  <si>
    <t>bbn</t>
  </si>
  <si>
    <t>Paral</t>
  </si>
  <si>
    <t>Parapercis aurantiaca</t>
  </si>
  <si>
    <t>Parau</t>
  </si>
  <si>
    <t>Parapercis clathrata</t>
  </si>
  <si>
    <t>jbn</t>
  </si>
  <si>
    <t>Parcl</t>
  </si>
  <si>
    <t>Parapercis cylindrica</t>
  </si>
  <si>
    <t>Parapercis hexophthalma</t>
  </si>
  <si>
    <t>bwn</t>
  </si>
  <si>
    <t>Parhe</t>
  </si>
  <si>
    <t>Parapercis kamoharai</t>
  </si>
  <si>
    <t>pyn</t>
  </si>
  <si>
    <t>Parapercis mimaseana</t>
  </si>
  <si>
    <t>Parmi</t>
  </si>
  <si>
    <t>Parapercis multifasciata</t>
  </si>
  <si>
    <t>dhb</t>
  </si>
  <si>
    <t>Steindacher et Doderlein</t>
  </si>
  <si>
    <t>Parapercis multiplicata</t>
  </si>
  <si>
    <t>Parapercis muronis</t>
  </si>
  <si>
    <t>adn</t>
  </si>
  <si>
    <t>Parapercis ommatura</t>
  </si>
  <si>
    <t>Parom</t>
  </si>
  <si>
    <t>Jordan et Snyber</t>
  </si>
  <si>
    <t>Parapercis polyphthalma</t>
  </si>
  <si>
    <t>Parapercis pulchella</t>
  </si>
  <si>
    <t>mnl</t>
  </si>
  <si>
    <t>Parpu</t>
  </si>
  <si>
    <t>Parapercis punctata</t>
  </si>
  <si>
    <t>Parapercis quadrispinosus</t>
  </si>
  <si>
    <t>sjn</t>
  </si>
  <si>
    <t>Parapercis sexfasciata</t>
  </si>
  <si>
    <t>Parapercis snyderi</t>
  </si>
  <si>
    <t>Parsn</t>
  </si>
  <si>
    <t>Parapercis somalenesis</t>
  </si>
  <si>
    <t>sml</t>
  </si>
  <si>
    <t>Parso</t>
  </si>
  <si>
    <t>Parapercis striolata</t>
  </si>
  <si>
    <t>bjn</t>
  </si>
  <si>
    <t>Parapercis tetracanthus</t>
  </si>
  <si>
    <t>Parapercis xanthozona</t>
  </si>
  <si>
    <t>Hemerocoetidae sp.</t>
  </si>
  <si>
    <t>Acanthaphritis grandisquamis</t>
  </si>
  <si>
    <t>Trichonotidae sp.</t>
  </si>
  <si>
    <t>mby</t>
  </si>
  <si>
    <t>Trichonotus filamentosus</t>
  </si>
  <si>
    <t>xqm</t>
  </si>
  <si>
    <t>Trifi</t>
  </si>
  <si>
    <t>Trichonotus setiger</t>
  </si>
  <si>
    <t>Uranoscopidae sp.</t>
  </si>
  <si>
    <t>Ura</t>
  </si>
  <si>
    <t>Gnathagnus elongatus</t>
  </si>
  <si>
    <t>qt</t>
  </si>
  <si>
    <t>Gnael</t>
  </si>
  <si>
    <t>Ichthyoscopus lebeck</t>
  </si>
  <si>
    <t>pjt</t>
  </si>
  <si>
    <t>Ichle</t>
  </si>
  <si>
    <t>Uranoscopus bicinctus</t>
  </si>
  <si>
    <t>Urabi</t>
  </si>
  <si>
    <t>Uranoscopus japonicus</t>
  </si>
  <si>
    <t>rbt</t>
  </si>
  <si>
    <t>Uraja</t>
  </si>
  <si>
    <t>Uranoscopus oligolepis</t>
  </si>
  <si>
    <t>slt</t>
  </si>
  <si>
    <t>Uraol</t>
  </si>
  <si>
    <t>Zalescopus tosae</t>
  </si>
  <si>
    <t>xlt</t>
  </si>
  <si>
    <t>Zalto</t>
  </si>
  <si>
    <t>Champsodontidae sp.</t>
  </si>
  <si>
    <t>ecy</t>
  </si>
  <si>
    <t>Champsodon atridorsalis</t>
  </si>
  <si>
    <t>gbe</t>
  </si>
  <si>
    <t>Chaat</t>
  </si>
  <si>
    <t>Ochiai et Nakamura,</t>
  </si>
  <si>
    <t>Champsodon capensis</t>
  </si>
  <si>
    <t>echiyu</t>
  </si>
  <si>
    <t>Chaca</t>
  </si>
  <si>
    <t>Champsodon snyderi</t>
  </si>
  <si>
    <t>dec</t>
  </si>
  <si>
    <t>Chasn</t>
  </si>
  <si>
    <t>Franz</t>
  </si>
  <si>
    <t>Tripterygiidae sp.</t>
  </si>
  <si>
    <t>sqw</t>
  </si>
  <si>
    <t>Enneapterygius hemimelas</t>
  </si>
  <si>
    <t>Ennhe</t>
  </si>
  <si>
    <t>(Kner et Steindachner)</t>
  </si>
  <si>
    <t>Enneapterygius minutus</t>
  </si>
  <si>
    <t>xjj</t>
  </si>
  <si>
    <t>Ennmi</t>
  </si>
  <si>
    <t>Helcogramma habena</t>
  </si>
  <si>
    <t>xtw</t>
  </si>
  <si>
    <t>Helha</t>
  </si>
  <si>
    <t>Wiliam et McCormick</t>
  </si>
  <si>
    <t>Helcogramma striata</t>
  </si>
  <si>
    <t>Helst</t>
  </si>
  <si>
    <t>Hadley Hansen</t>
  </si>
  <si>
    <t>Tripterygion etheostoma</t>
  </si>
  <si>
    <t>Triet</t>
  </si>
  <si>
    <t>Tripterygion fuligicauda</t>
  </si>
  <si>
    <t>Blenniidae sp.</t>
  </si>
  <si>
    <t>Ble</t>
  </si>
  <si>
    <t>Alticus saliens</t>
  </si>
  <si>
    <t>ttw</t>
  </si>
  <si>
    <t>Altsa</t>
  </si>
  <si>
    <t>Andamia pacifica</t>
  </si>
  <si>
    <t>Andpa</t>
  </si>
  <si>
    <t>Tomiyama</t>
  </si>
  <si>
    <t>Andamia reyi</t>
  </si>
  <si>
    <t>Andre</t>
  </si>
  <si>
    <t>Andamia tetradactylus</t>
  </si>
  <si>
    <t>scx</t>
  </si>
  <si>
    <t>Andte</t>
  </si>
  <si>
    <t>Aspidontus filamentosus</t>
  </si>
  <si>
    <t>Aspfi</t>
  </si>
  <si>
    <t>Aspidontus taeniatus</t>
  </si>
  <si>
    <t>zdd</t>
  </si>
  <si>
    <t>Aspta</t>
  </si>
  <si>
    <t>Atrosalarias fuscus</t>
  </si>
  <si>
    <t>ww</t>
  </si>
  <si>
    <t>Atrfu</t>
  </si>
  <si>
    <t>Blennius yatabei</t>
  </si>
  <si>
    <t>Bleya</t>
  </si>
  <si>
    <t>Cirripectes castaneus</t>
  </si>
  <si>
    <t>Circa</t>
  </si>
  <si>
    <t>Cirripectes fuscoguttatus</t>
  </si>
  <si>
    <t>Cirfu</t>
  </si>
  <si>
    <t>Strasburg et Schultz</t>
  </si>
  <si>
    <t>Cirripectes imitator</t>
  </si>
  <si>
    <t>mfs</t>
  </si>
  <si>
    <t>Cirim</t>
  </si>
  <si>
    <t>Williams</t>
  </si>
  <si>
    <t>Cirripectes perustus</t>
  </si>
  <si>
    <t>Cirpe</t>
  </si>
  <si>
    <t>Cirripectes polyzona</t>
  </si>
  <si>
    <t>Cirpo</t>
  </si>
  <si>
    <t>Cirripectes quagga</t>
  </si>
  <si>
    <t>bsj</t>
  </si>
  <si>
    <t>Cirqu</t>
  </si>
  <si>
    <t>(Fowler et Ball)</t>
  </si>
  <si>
    <t>Cirripectes variolosus</t>
  </si>
  <si>
    <t>sjw</t>
  </si>
  <si>
    <t>Cirva</t>
  </si>
  <si>
    <t>Dasson brevicips</t>
  </si>
  <si>
    <t>Dasbr</t>
  </si>
  <si>
    <t>Dasson trossulus</t>
  </si>
  <si>
    <t>zdm</t>
  </si>
  <si>
    <t>Ecsenius bicolor</t>
  </si>
  <si>
    <t>Ecsbi</t>
  </si>
  <si>
    <t>Ecsenius frontalis</t>
  </si>
  <si>
    <t>eyc</t>
  </si>
  <si>
    <t>Ecsfr</t>
  </si>
  <si>
    <t>Ecsenius lineatus</t>
  </si>
  <si>
    <t>Ecsli</t>
  </si>
  <si>
    <t>Klausewitz</t>
  </si>
  <si>
    <t>Ecsenius namiyei</t>
  </si>
  <si>
    <t>Ecsna</t>
  </si>
  <si>
    <t>Ecsenius yaeyamaensis</t>
  </si>
  <si>
    <t>Ecsya</t>
  </si>
  <si>
    <t>(Aoyagi)</t>
  </si>
  <si>
    <t>Entomacrodus caudofasciatus</t>
  </si>
  <si>
    <t>xdj</t>
  </si>
  <si>
    <t>Entca</t>
  </si>
  <si>
    <t>Entomacrodus decussatus</t>
  </si>
  <si>
    <t>Entde</t>
  </si>
  <si>
    <t>Entomacrodus striatus</t>
  </si>
  <si>
    <t>Entst</t>
  </si>
  <si>
    <t>Exallias brevis</t>
  </si>
  <si>
    <t>ddx</t>
  </si>
  <si>
    <t>Exabr</t>
  </si>
  <si>
    <t>Istiblennius bilitonensis</t>
  </si>
  <si>
    <t>Istbi</t>
  </si>
  <si>
    <t>Istiblennius cyanostigma</t>
  </si>
  <si>
    <t>Istcy</t>
  </si>
  <si>
    <t>Istiblennius dussumieri</t>
  </si>
  <si>
    <t>dsw</t>
  </si>
  <si>
    <t>Istdu</t>
  </si>
  <si>
    <t>Istiblennius edentulus</t>
  </si>
  <si>
    <t>Isted</t>
  </si>
  <si>
    <t>Istiblennius interruptus</t>
  </si>
  <si>
    <t>Istin</t>
  </si>
  <si>
    <t>Istiblennius lineatus</t>
  </si>
  <si>
    <t>wsw</t>
  </si>
  <si>
    <t>Istli</t>
  </si>
  <si>
    <t>Meiacanthus grammistes</t>
  </si>
  <si>
    <t>Meigr</t>
  </si>
  <si>
    <t>Mimoblennius atrocinctus</t>
  </si>
  <si>
    <t>nw</t>
  </si>
  <si>
    <t>Mimat</t>
  </si>
  <si>
    <t>Omobranchus elegans</t>
  </si>
  <si>
    <t>mjs</t>
  </si>
  <si>
    <t>Omoel</t>
  </si>
  <si>
    <t>Omobranchus fasciolaticeps</t>
  </si>
  <si>
    <t>Omofa</t>
  </si>
  <si>
    <t>Omobranchus germaini</t>
  </si>
  <si>
    <t>Omoge</t>
  </si>
  <si>
    <t>Omobranchus japonicus</t>
  </si>
  <si>
    <t>Omoja</t>
  </si>
  <si>
    <t>Omobranchus kraussi</t>
  </si>
  <si>
    <t>Omokr</t>
  </si>
  <si>
    <t>Omobranchus uekii</t>
  </si>
  <si>
    <t>gjs</t>
  </si>
  <si>
    <t>Omoue</t>
  </si>
  <si>
    <t>Plagiotremus laudandus</t>
  </si>
  <si>
    <t>Plala</t>
  </si>
  <si>
    <t>Plagiotremus rhinorbynchos</t>
  </si>
  <si>
    <t>byd</t>
  </si>
  <si>
    <t>Plarh</t>
  </si>
  <si>
    <t>Plagiotremus spilistius</t>
  </si>
  <si>
    <t>Plasp</t>
  </si>
  <si>
    <t>Plagiotremus tapeinosoma</t>
  </si>
  <si>
    <t>Plata</t>
  </si>
  <si>
    <t>Praealticus tanegasimae</t>
  </si>
  <si>
    <t>agw</t>
  </si>
  <si>
    <t>Prata</t>
  </si>
  <si>
    <t>Salarias dussumieri</t>
  </si>
  <si>
    <t>Saldu</t>
  </si>
  <si>
    <t>Salarias edentulus</t>
  </si>
  <si>
    <t>awf</t>
  </si>
  <si>
    <t>Saled</t>
  </si>
  <si>
    <t>Salarias fasciatus</t>
  </si>
  <si>
    <t>xwf</t>
  </si>
  <si>
    <t>Salfa</t>
  </si>
  <si>
    <t>Salarias guttatus</t>
  </si>
  <si>
    <t>ybf</t>
  </si>
  <si>
    <t>Salgu</t>
  </si>
  <si>
    <t>Salarias lineatus</t>
  </si>
  <si>
    <t>Salli</t>
  </si>
  <si>
    <t>Salarias margaritatus</t>
  </si>
  <si>
    <t>xbf</t>
  </si>
  <si>
    <t>Kendall et Radcliffe</t>
  </si>
  <si>
    <t>Salarias periophthalmus</t>
  </si>
  <si>
    <t>Salpe</t>
  </si>
  <si>
    <t>Xiphasia setifer</t>
  </si>
  <si>
    <t>dw</t>
  </si>
  <si>
    <t>Xipse</t>
  </si>
  <si>
    <t>Pholidae sp.</t>
  </si>
  <si>
    <t>jwk</t>
  </si>
  <si>
    <t>Pho</t>
  </si>
  <si>
    <t>Azuma emmnion</t>
  </si>
  <si>
    <t>sw</t>
  </si>
  <si>
    <t>Azuem</t>
  </si>
  <si>
    <t>Dictyosoma burgeri</t>
  </si>
  <si>
    <t>Dicbu</t>
  </si>
  <si>
    <t>Van der Hoeven</t>
  </si>
  <si>
    <t>Enedrias fangi</t>
  </si>
  <si>
    <t>fsy</t>
  </si>
  <si>
    <t>Enefa</t>
  </si>
  <si>
    <t>Wang et Wang</t>
  </si>
  <si>
    <t>Enedrias nebulosus</t>
  </si>
  <si>
    <t>yw</t>
  </si>
  <si>
    <t>Enene</t>
  </si>
  <si>
    <t>Enchelyopus elongatus</t>
  </si>
  <si>
    <t>cmw</t>
  </si>
  <si>
    <t>Encel</t>
  </si>
  <si>
    <t>Ammodytidae sp.</t>
  </si>
  <si>
    <t>Amm</t>
  </si>
  <si>
    <t>Ammodytes personatus</t>
  </si>
  <si>
    <t>Ammpe</t>
  </si>
  <si>
    <t>Girard</t>
  </si>
  <si>
    <t>Bleekeria anguilliviridis</t>
  </si>
  <si>
    <t>Blean</t>
  </si>
  <si>
    <t>Embolichthys mitsukurii</t>
  </si>
  <si>
    <t>Embmi</t>
  </si>
  <si>
    <t>Callionymidae sp.</t>
  </si>
  <si>
    <t>xianke</t>
  </si>
  <si>
    <t>Cal</t>
  </si>
  <si>
    <t>Callionymus sp.</t>
  </si>
  <si>
    <t>xianshu</t>
  </si>
  <si>
    <t>Callionymus altipinnis</t>
  </si>
  <si>
    <t>Calal</t>
  </si>
  <si>
    <t>Fricke</t>
  </si>
  <si>
    <t>Callionymus beniteguri</t>
  </si>
  <si>
    <t>fx</t>
  </si>
  <si>
    <t>Calbe</t>
  </si>
  <si>
    <t>Callionymus curvicornis</t>
  </si>
  <si>
    <t>wjx</t>
  </si>
  <si>
    <t>Calcu</t>
  </si>
  <si>
    <t>Callionymus enneactis</t>
  </si>
  <si>
    <t>bqx</t>
  </si>
  <si>
    <t>Calen</t>
  </si>
  <si>
    <t>Callionymus formosanus</t>
  </si>
  <si>
    <t>Calfo</t>
  </si>
  <si>
    <t>Callionymus hainanensis</t>
  </si>
  <si>
    <t>hnx</t>
  </si>
  <si>
    <t>Calha</t>
  </si>
  <si>
    <t>Callionymus hindsi</t>
  </si>
  <si>
    <t>Calhi</t>
  </si>
  <si>
    <t>Callionymus hugurnini</t>
  </si>
  <si>
    <t>cqx</t>
  </si>
  <si>
    <t>Calhu</t>
  </si>
  <si>
    <t>Callionymus kaianus</t>
  </si>
  <si>
    <t>Calka</t>
  </si>
  <si>
    <t>Callionymus koreanus</t>
  </si>
  <si>
    <t>cxx</t>
  </si>
  <si>
    <t>Calko</t>
  </si>
  <si>
    <t>(Nakabo, Jeon et Li)</t>
  </si>
  <si>
    <t>Callionymus lunatus</t>
  </si>
  <si>
    <t>Callu</t>
  </si>
  <si>
    <t>Callionymus macclesfieldensis</t>
  </si>
  <si>
    <t>zsx</t>
  </si>
  <si>
    <t>Callionymus meridionalis</t>
  </si>
  <si>
    <t>Calme</t>
  </si>
  <si>
    <t>Suwardji</t>
  </si>
  <si>
    <t>Callionymus octostigmatus</t>
  </si>
  <si>
    <t>btx</t>
  </si>
  <si>
    <t>Caloc</t>
  </si>
  <si>
    <t>Callionymus olidus</t>
  </si>
  <si>
    <t>xx</t>
  </si>
  <si>
    <t>Calol</t>
  </si>
  <si>
    <t>Callionymus ornatipinnis</t>
  </si>
  <si>
    <t>sqx</t>
  </si>
  <si>
    <t>Calor</t>
  </si>
  <si>
    <t>Callionymus planus</t>
  </si>
  <si>
    <t>Calpl</t>
  </si>
  <si>
    <t>Ochiai</t>
  </si>
  <si>
    <t>Callionymus sagitta</t>
  </si>
  <si>
    <t>Calsa</t>
  </si>
  <si>
    <t>Callionymus schaapi</t>
  </si>
  <si>
    <t>Calsc</t>
  </si>
  <si>
    <t>Callionymus valenciennei</t>
  </si>
  <si>
    <t>Calva</t>
  </si>
  <si>
    <t>Callionymus virgis</t>
  </si>
  <si>
    <t>Calvi</t>
  </si>
  <si>
    <t>Calliurichthys doryssus</t>
  </si>
  <si>
    <t>sqm</t>
  </si>
  <si>
    <t>Caldo</t>
  </si>
  <si>
    <t>Calliurichthys filamentosus</t>
  </si>
  <si>
    <t>Calfi</t>
  </si>
  <si>
    <t>Calliurichthys japonicus</t>
  </si>
  <si>
    <t>mwx</t>
  </si>
  <si>
    <t>Calliurichthys luridus</t>
  </si>
  <si>
    <t>(Fricke)</t>
  </si>
  <si>
    <t>Calliurichthys martinae</t>
  </si>
  <si>
    <t>hym</t>
  </si>
  <si>
    <t>Calliurichthys recurvispinnis</t>
  </si>
  <si>
    <t>fjm</t>
  </si>
  <si>
    <t>Calre</t>
  </si>
  <si>
    <t>Calliurichthys variegatus</t>
  </si>
  <si>
    <t>ysm</t>
  </si>
  <si>
    <t>Dactylopus dactylopus</t>
  </si>
  <si>
    <t>zjx</t>
  </si>
  <si>
    <t>Dacda</t>
  </si>
  <si>
    <t>Diplogrammus xenicus</t>
  </si>
  <si>
    <t>sxx</t>
  </si>
  <si>
    <t>Dipxe</t>
  </si>
  <si>
    <t>Draculo mirabilis</t>
  </si>
  <si>
    <t>Drami</t>
  </si>
  <si>
    <t>Synchiropus altivelis</t>
  </si>
  <si>
    <t>hlq</t>
  </si>
  <si>
    <t>Synal</t>
  </si>
  <si>
    <t>Synchiropus ijimai</t>
  </si>
  <si>
    <t>fdl</t>
  </si>
  <si>
    <t>Synij</t>
  </si>
  <si>
    <t>Synchiropus lateralis</t>
  </si>
  <si>
    <t>Synla</t>
  </si>
  <si>
    <t>Synchiropus ocellatus</t>
  </si>
  <si>
    <t>Synoc</t>
  </si>
  <si>
    <t>Synchiropus splendidus</t>
  </si>
  <si>
    <t>Siganidae sp.</t>
  </si>
  <si>
    <t>lzy</t>
  </si>
  <si>
    <t>Sig</t>
  </si>
  <si>
    <t>Siganus argenteus</t>
  </si>
  <si>
    <t>Sigar</t>
  </si>
  <si>
    <t>Siganus canaliculatus</t>
  </si>
  <si>
    <t>glz</t>
  </si>
  <si>
    <t>Sigca</t>
  </si>
  <si>
    <t>(Park)</t>
  </si>
  <si>
    <t>Siganus chrysospilos</t>
  </si>
  <si>
    <t>jdl</t>
  </si>
  <si>
    <t>Sigch</t>
  </si>
  <si>
    <t>Siganus corallinus</t>
  </si>
  <si>
    <t>awl</t>
  </si>
  <si>
    <t>Sigco</t>
  </si>
  <si>
    <t>Siganus fuscescens</t>
  </si>
  <si>
    <t>hlz</t>
  </si>
  <si>
    <t>Sigfu</t>
  </si>
  <si>
    <t>Siganus guttatus</t>
  </si>
  <si>
    <t>Siggu</t>
  </si>
  <si>
    <t>Siganus javus</t>
  </si>
  <si>
    <t>Sigja</t>
  </si>
  <si>
    <t>Siganus oramin</t>
  </si>
  <si>
    <t>Sigor</t>
  </si>
  <si>
    <t>Siganus puellus</t>
  </si>
  <si>
    <t>Sigpu</t>
  </si>
  <si>
    <t>(Schlegel)</t>
  </si>
  <si>
    <t>Siganus rostratus</t>
  </si>
  <si>
    <t>Sigro</t>
  </si>
  <si>
    <t>Siganus spinus</t>
  </si>
  <si>
    <t>clz</t>
  </si>
  <si>
    <t>Sigsp</t>
  </si>
  <si>
    <t>Siganus virgatus</t>
  </si>
  <si>
    <t>dlz</t>
  </si>
  <si>
    <t>Sigvi</t>
  </si>
  <si>
    <t>Siganus vulpinus</t>
  </si>
  <si>
    <t>Sigvu</t>
  </si>
  <si>
    <t>(Schlegel et Muller)</t>
  </si>
  <si>
    <t>Acanthurus bariene</t>
  </si>
  <si>
    <t>Acaba</t>
  </si>
  <si>
    <t>Lesson</t>
  </si>
  <si>
    <t>Acanthurus bleekeri</t>
  </si>
  <si>
    <t>Acabl</t>
  </si>
  <si>
    <t>Acanthurus dussumieri</t>
  </si>
  <si>
    <t>edc</t>
  </si>
  <si>
    <t>Acadu</t>
  </si>
  <si>
    <t>Acanthurus gahhm</t>
  </si>
  <si>
    <t>Acaga</t>
  </si>
  <si>
    <t>Acanthurus glaucopareius</t>
  </si>
  <si>
    <t>hec</t>
  </si>
  <si>
    <t>Acagl</t>
  </si>
  <si>
    <t>Acanthurus leucopareius</t>
  </si>
  <si>
    <t>Acale</t>
  </si>
  <si>
    <t>Acanthurus lineatus</t>
  </si>
  <si>
    <t>cdc</t>
  </si>
  <si>
    <t>Acanthurus maculiceps</t>
  </si>
  <si>
    <t>btc</t>
  </si>
  <si>
    <t>Acama</t>
  </si>
  <si>
    <t>Acanthurus mata</t>
  </si>
  <si>
    <t>acc</t>
  </si>
  <si>
    <t>Acanthurus nigrofuscus</t>
  </si>
  <si>
    <t>Acani</t>
  </si>
  <si>
    <t>Acanthurus olivaceus</t>
  </si>
  <si>
    <t>Acaol</t>
  </si>
  <si>
    <t>Acanthurus pyroferus</t>
  </si>
  <si>
    <t>hsc</t>
  </si>
  <si>
    <t>Acapy</t>
  </si>
  <si>
    <t>Kittlitz</t>
  </si>
  <si>
    <t>Acanthurus thompsoni</t>
  </si>
  <si>
    <t>Acath</t>
  </si>
  <si>
    <t>Acanthurus triostegus</t>
  </si>
  <si>
    <t>Acatr</t>
  </si>
  <si>
    <t>Acanthurus xanthopterus</t>
  </si>
  <si>
    <t>hyc</t>
  </si>
  <si>
    <t>Acaxa</t>
  </si>
  <si>
    <t>Axinurus thynnoides</t>
  </si>
  <si>
    <t>Axith</t>
  </si>
  <si>
    <t>Callicanthus hexacanthus</t>
  </si>
  <si>
    <t>xcs</t>
  </si>
  <si>
    <t>Calhe</t>
  </si>
  <si>
    <t>Callicanthus lituratus</t>
  </si>
  <si>
    <t>Calli</t>
  </si>
  <si>
    <t>Callicanthus lopezi</t>
  </si>
  <si>
    <t>qbs</t>
  </si>
  <si>
    <t>Callo</t>
  </si>
  <si>
    <t>Ctenochaetus binotatus</t>
  </si>
  <si>
    <t>Ctebi</t>
  </si>
  <si>
    <t>Ctenochaetus striatus</t>
  </si>
  <si>
    <t>zcc</t>
  </si>
  <si>
    <t>Ctest</t>
  </si>
  <si>
    <t>Naso annulatus</t>
  </si>
  <si>
    <t>tjb</t>
  </si>
  <si>
    <t>Nasan</t>
  </si>
  <si>
    <t>Naso brevirostris</t>
  </si>
  <si>
    <t>Nasbr</t>
  </si>
  <si>
    <t>Naso herrei</t>
  </si>
  <si>
    <t>jjb</t>
  </si>
  <si>
    <t>Nashe</t>
  </si>
  <si>
    <t>Naso hexacanthus</t>
  </si>
  <si>
    <t>Naso lituratus</t>
  </si>
  <si>
    <t>gtb</t>
  </si>
  <si>
    <t>Nasli</t>
  </si>
  <si>
    <t>Naso lopezi</t>
  </si>
  <si>
    <t>Naslo</t>
  </si>
  <si>
    <t>Naso thynnoides</t>
  </si>
  <si>
    <t>nyb</t>
  </si>
  <si>
    <t>Nasth</t>
  </si>
  <si>
    <t>Naso unicornis</t>
  </si>
  <si>
    <t>Nasun</t>
  </si>
  <si>
    <t>Naso vlamingii</t>
  </si>
  <si>
    <t>swb</t>
  </si>
  <si>
    <t>Nasvl</t>
  </si>
  <si>
    <t>Paracanthurus hepatus</t>
  </si>
  <si>
    <t>fcw</t>
  </si>
  <si>
    <t>Prionurus scalprus</t>
  </si>
  <si>
    <t>Prisc</t>
  </si>
  <si>
    <t>Zebrasoma flavescens</t>
  </si>
  <si>
    <t>Zebfl</t>
  </si>
  <si>
    <t>Zebrasoma scopas</t>
  </si>
  <si>
    <t>Zebsc</t>
  </si>
  <si>
    <t>Zebrasoma veliferum</t>
  </si>
  <si>
    <t>gqc</t>
  </si>
  <si>
    <t>Zebve</t>
  </si>
  <si>
    <t>Trichiuridae sp.</t>
  </si>
  <si>
    <t>daiyuke</t>
  </si>
  <si>
    <t>Benthodesmns tenuis</t>
  </si>
  <si>
    <t>Bente</t>
  </si>
  <si>
    <t>Eupleurogrammus muticus</t>
  </si>
  <si>
    <t>Eupmu</t>
  </si>
  <si>
    <t>Lepturacanthus savala</t>
  </si>
  <si>
    <t>sdy</t>
  </si>
  <si>
    <t>Lepsa</t>
  </si>
  <si>
    <t>Tentoriceps cristatus</t>
  </si>
  <si>
    <t>zld</t>
  </si>
  <si>
    <t>Tencr</t>
  </si>
  <si>
    <t>Trichiurus brevis</t>
  </si>
  <si>
    <t>Wang et You</t>
  </si>
  <si>
    <t>Trichiurus lepturus</t>
  </si>
  <si>
    <t>daiyu</t>
  </si>
  <si>
    <t>Trichiurus nanhaiensis</t>
  </si>
  <si>
    <t>Wang et Xu</t>
  </si>
  <si>
    <t>Gempylidae sp.</t>
  </si>
  <si>
    <t>sqk</t>
  </si>
  <si>
    <t>Gem</t>
  </si>
  <si>
    <t>Gempylus serpens</t>
  </si>
  <si>
    <t>Gemse</t>
  </si>
  <si>
    <t>Lepidocybium flavobrunneum</t>
  </si>
  <si>
    <t>Nealotus tripes</t>
  </si>
  <si>
    <t>yjs</t>
  </si>
  <si>
    <t>Neatr</t>
  </si>
  <si>
    <t>Neoepinnula orientalis</t>
  </si>
  <si>
    <t>dys</t>
  </si>
  <si>
    <t>Neoor</t>
  </si>
  <si>
    <t>(Gilchrist et VonBonde)</t>
  </si>
  <si>
    <t>Nesiarchus nasutus</t>
  </si>
  <si>
    <t>Nesna</t>
  </si>
  <si>
    <t>Promethichthys prometheus</t>
  </si>
  <si>
    <t>Propr</t>
  </si>
  <si>
    <t>Rexea solandri</t>
  </si>
  <si>
    <t>Rexso</t>
  </si>
  <si>
    <t>Ruvettus pretrosus</t>
  </si>
  <si>
    <t>jqs</t>
  </si>
  <si>
    <t>Ruvpr</t>
  </si>
  <si>
    <t>Thyrsitoides marleyi</t>
  </si>
  <si>
    <t>Rexes prometheoides</t>
  </si>
  <si>
    <t>rexpr</t>
  </si>
  <si>
    <t>Scombridae sp.</t>
  </si>
  <si>
    <t>qingke</t>
  </si>
  <si>
    <t>Acanthocybium solandi</t>
  </si>
  <si>
    <t>Acaso</t>
  </si>
  <si>
    <t>Grammatorcynus bilineatus</t>
  </si>
  <si>
    <t>sxb</t>
  </si>
  <si>
    <t>Grabi</t>
  </si>
  <si>
    <t>Rastrelliger faughni</t>
  </si>
  <si>
    <t>Rasfa</t>
  </si>
  <si>
    <t>Matsui</t>
  </si>
  <si>
    <t>Rastrelliger kanagurta</t>
  </si>
  <si>
    <t>Raska</t>
  </si>
  <si>
    <t>Scomber australasicus</t>
  </si>
  <si>
    <t>azq</t>
  </si>
  <si>
    <t>Scoau</t>
  </si>
  <si>
    <t>Scomber japonicus</t>
  </si>
  <si>
    <t>Scoja</t>
  </si>
  <si>
    <t>Scomberomorus commersoni</t>
  </si>
  <si>
    <t>ksm</t>
  </si>
  <si>
    <t>Scoco</t>
  </si>
  <si>
    <t>Scomberomorus guttatus</t>
  </si>
  <si>
    <t>Scogu</t>
  </si>
  <si>
    <t>Scomberomorus koreanus</t>
  </si>
  <si>
    <t>Scoko</t>
  </si>
  <si>
    <t>Scomberomorus niphonius</t>
  </si>
  <si>
    <t>ldm</t>
  </si>
  <si>
    <t>Sconi</t>
  </si>
  <si>
    <t>Scomberomorus sinensis</t>
  </si>
  <si>
    <t>Scosi</t>
  </si>
  <si>
    <t>Thunnidae sp.</t>
  </si>
  <si>
    <t>Thu</t>
  </si>
  <si>
    <t>Sarda orientalis</t>
  </si>
  <si>
    <t>Saror</t>
  </si>
  <si>
    <t>Thunnus alalunga</t>
  </si>
  <si>
    <t>cqj</t>
  </si>
  <si>
    <t>Thual</t>
  </si>
  <si>
    <t>Thunnus albacora</t>
  </si>
  <si>
    <t>Thunnus obesus</t>
  </si>
  <si>
    <t>Thuob</t>
  </si>
  <si>
    <t>Thunnus thunnus</t>
  </si>
  <si>
    <t>Thuth</t>
  </si>
  <si>
    <t>Thunnus tonggol</t>
  </si>
  <si>
    <t>Thuto</t>
  </si>
  <si>
    <t>Thunnus sp.</t>
  </si>
  <si>
    <t>jqys</t>
  </si>
  <si>
    <t>Thusp</t>
  </si>
  <si>
    <t>Auxis rochei</t>
  </si>
  <si>
    <t>ytj</t>
  </si>
  <si>
    <t>Auxro</t>
  </si>
  <si>
    <t>Auxis thazard</t>
  </si>
  <si>
    <t>byj</t>
  </si>
  <si>
    <t>Auxth</t>
  </si>
  <si>
    <t>Euthynnus affinis</t>
  </si>
  <si>
    <t>bpy</t>
  </si>
  <si>
    <t>Eutaf</t>
  </si>
  <si>
    <t>Gymnosarda unicolor</t>
  </si>
  <si>
    <t>lhj</t>
  </si>
  <si>
    <t>Katsuwonus pelamis</t>
  </si>
  <si>
    <t>Katpe</t>
  </si>
  <si>
    <t>Katsuwonus sp.</t>
  </si>
  <si>
    <t>jianshu</t>
  </si>
  <si>
    <t>Nomeidae sp.</t>
  </si>
  <si>
    <t>sqc</t>
  </si>
  <si>
    <t>Nom</t>
  </si>
  <si>
    <t>Cubiceps squamicepoides</t>
  </si>
  <si>
    <t>nls</t>
  </si>
  <si>
    <t>Cubsq</t>
  </si>
  <si>
    <t>Deng, Xiong et Zhang</t>
  </si>
  <si>
    <t>Cubiceps squamiceps</t>
  </si>
  <si>
    <t>Nomeus gronovii</t>
  </si>
  <si>
    <t>Nomgr</t>
  </si>
  <si>
    <t>Psenes arafurensis</t>
  </si>
  <si>
    <t>smy</t>
  </si>
  <si>
    <t>Psear</t>
  </si>
  <si>
    <t>Psenes cyanophrys</t>
  </si>
  <si>
    <t>bly</t>
  </si>
  <si>
    <t>Psenes pellucidus</t>
  </si>
  <si>
    <t>yc</t>
  </si>
  <si>
    <t>Psenes indicus</t>
  </si>
  <si>
    <t>psein</t>
  </si>
  <si>
    <t>Stromateidae sp.</t>
  </si>
  <si>
    <t>Str</t>
  </si>
  <si>
    <t>Pampus argenteus</t>
  </si>
  <si>
    <t>Pamar</t>
  </si>
  <si>
    <t>(Euphrasen)</t>
  </si>
  <si>
    <t>Pampus chinensis</t>
  </si>
  <si>
    <t>zgc</t>
  </si>
  <si>
    <t>Pamch</t>
  </si>
  <si>
    <t>Pampus nozawae</t>
  </si>
  <si>
    <t>ywc</t>
  </si>
  <si>
    <t>Pamno</t>
  </si>
  <si>
    <t>(Ishikawa)</t>
  </si>
  <si>
    <t>Eleotridae sp.</t>
  </si>
  <si>
    <t>Ele</t>
  </si>
  <si>
    <t>Brionobutis koilomatodon</t>
  </si>
  <si>
    <t>jtl</t>
  </si>
  <si>
    <t>Briko</t>
  </si>
  <si>
    <t>Centrolophidae sp.</t>
  </si>
  <si>
    <t>cck</t>
  </si>
  <si>
    <t>centr</t>
  </si>
  <si>
    <t>Psenopsis anomala</t>
  </si>
  <si>
    <t>cc</t>
  </si>
  <si>
    <t>psean</t>
  </si>
  <si>
    <t>(Temminck et schlegel)</t>
  </si>
  <si>
    <t>Gobiidae sp.</t>
  </si>
  <si>
    <t>xhyk</t>
  </si>
  <si>
    <t>Gobiodon erythrospilus</t>
  </si>
  <si>
    <t>Gober</t>
  </si>
  <si>
    <t>Gobiodon multilineatus</t>
  </si>
  <si>
    <t>Gobmu</t>
  </si>
  <si>
    <t>Gobiodon oculolineatus</t>
  </si>
  <si>
    <t>Goboc</t>
  </si>
  <si>
    <t>Gobiodon okinawae</t>
  </si>
  <si>
    <t>Gobok</t>
  </si>
  <si>
    <t>Sawada, Arai et Abe</t>
  </si>
  <si>
    <t>Gobiodon quinquestrigatus</t>
  </si>
  <si>
    <t>wxy</t>
  </si>
  <si>
    <t>Gobqu</t>
  </si>
  <si>
    <t>Gobiodon verticalis</t>
  </si>
  <si>
    <t>Gobve</t>
  </si>
  <si>
    <t>Paragobiodon echinocephalus</t>
  </si>
  <si>
    <t>Parec</t>
  </si>
  <si>
    <t>Paragobiodon melanosomus</t>
  </si>
  <si>
    <t>hfy</t>
  </si>
  <si>
    <t>Paragobiodon modestus</t>
  </si>
  <si>
    <t>dff</t>
  </si>
  <si>
    <t>Parmo</t>
  </si>
  <si>
    <t>Paragobiodon xanthosomus</t>
  </si>
  <si>
    <t>Tridentiger barbatus</t>
  </si>
  <si>
    <t>zkx</t>
  </si>
  <si>
    <t>Triba</t>
  </si>
  <si>
    <t>Tridentiger obscurus</t>
  </si>
  <si>
    <t>agx</t>
  </si>
  <si>
    <t>Tridentiger trigonocephalus</t>
  </si>
  <si>
    <t>wgx</t>
  </si>
  <si>
    <t>Tritr</t>
  </si>
  <si>
    <t>(Gill)</t>
  </si>
  <si>
    <t>Aboma tsushimae</t>
  </si>
  <si>
    <t>dma</t>
  </si>
  <si>
    <t>Abots</t>
  </si>
  <si>
    <t>Acanthogobius elongata</t>
  </si>
  <si>
    <t>Acael</t>
  </si>
  <si>
    <t>Ni et Wu</t>
  </si>
  <si>
    <t>Acanthogobius flavimanus</t>
  </si>
  <si>
    <t>Acafl</t>
  </si>
  <si>
    <t>Acanthogobius jacoti</t>
  </si>
  <si>
    <t>ysc</t>
  </si>
  <si>
    <t>Acaja</t>
  </si>
  <si>
    <t>Acanthogobius lactipes</t>
  </si>
  <si>
    <t>rcc</t>
  </si>
  <si>
    <t>Acala</t>
  </si>
  <si>
    <t>Acanthogobius luridus</t>
  </si>
  <si>
    <t>zcx</t>
  </si>
  <si>
    <t>Acalu</t>
  </si>
  <si>
    <t>Acentrogobius cauerensis</t>
  </si>
  <si>
    <t>glx</t>
  </si>
  <si>
    <t>Aceca</t>
  </si>
  <si>
    <t>Acentrogobius chlorosigmatoides</t>
  </si>
  <si>
    <t>lbx</t>
  </si>
  <si>
    <t>Acech</t>
  </si>
  <si>
    <t>Acentrogobius cyanomos</t>
  </si>
  <si>
    <t>Acecy</t>
  </si>
  <si>
    <t>Acentrogobius hoepplii</t>
  </si>
  <si>
    <t>Aceho</t>
  </si>
  <si>
    <t>Acentrogobius masoni</t>
  </si>
  <si>
    <t>Acema</t>
  </si>
  <si>
    <t>Acentrogobius microps</t>
  </si>
  <si>
    <t>Acemi</t>
  </si>
  <si>
    <t>Acentrogobius pflaumi</t>
  </si>
  <si>
    <t>psx</t>
  </si>
  <si>
    <t>Acepf</t>
  </si>
  <si>
    <t>Acentrogobius triangularis</t>
  </si>
  <si>
    <t>sjx</t>
  </si>
  <si>
    <t>Acetr</t>
  </si>
  <si>
    <t>Acentrogobius tsinanensis</t>
  </si>
  <si>
    <t>jnx</t>
  </si>
  <si>
    <t>Acets</t>
  </si>
  <si>
    <t>Acentrogobius viganensis</t>
  </si>
  <si>
    <t>Acevi</t>
  </si>
  <si>
    <t>Acentrogobius viridipunctatus</t>
  </si>
  <si>
    <t>qbx</t>
  </si>
  <si>
    <t>Amblychaeturichthys hexanema</t>
  </si>
  <si>
    <t>Ambhe</t>
  </si>
  <si>
    <t>Amblygobius albimaculatus</t>
  </si>
  <si>
    <t>Ambal</t>
  </si>
  <si>
    <t>Amblygobius bynoensis</t>
  </si>
  <si>
    <t>bnd</t>
  </si>
  <si>
    <t>Ambby</t>
  </si>
  <si>
    <t>Awaous melanocephalus</t>
  </si>
  <si>
    <t>hsa</t>
  </si>
  <si>
    <t>Awame</t>
  </si>
  <si>
    <t>Awaous ocellaris</t>
  </si>
  <si>
    <t>Awaoc</t>
  </si>
  <si>
    <t>(Broussenet)</t>
  </si>
  <si>
    <t>Bathygobius cotticeps</t>
  </si>
  <si>
    <t>Batco</t>
  </si>
  <si>
    <t>(Steinachner)</t>
  </si>
  <si>
    <t>Bathygobius fuscus</t>
  </si>
  <si>
    <t>sxh</t>
  </si>
  <si>
    <t>Batfu</t>
  </si>
  <si>
    <t>Callogobius liolepis</t>
  </si>
  <si>
    <t>Koumans</t>
  </si>
  <si>
    <t>Callogobius sclateri</t>
  </si>
  <si>
    <t>mxh</t>
  </si>
  <si>
    <t>Callogobius snelliusi</t>
  </si>
  <si>
    <t>Calsn</t>
  </si>
  <si>
    <t>Chaenogobius heptacanthus</t>
  </si>
  <si>
    <t>qjl</t>
  </si>
  <si>
    <t>Chahe</t>
  </si>
  <si>
    <t>Chaenogobius mororana</t>
  </si>
  <si>
    <t>Chaenogobius taranetzi</t>
  </si>
  <si>
    <t>tsl</t>
  </si>
  <si>
    <t>Chata</t>
  </si>
  <si>
    <t>Pinchuk</t>
  </si>
  <si>
    <t>Chaenogobius transversefasciatus</t>
  </si>
  <si>
    <t>Wu et Zhou</t>
  </si>
  <si>
    <t>Chaenogobius urotaenia</t>
  </si>
  <si>
    <t>Chaur</t>
  </si>
  <si>
    <t>Chaeturichthys stigmatias</t>
  </si>
  <si>
    <t>Chaeturichthys hexanema</t>
  </si>
  <si>
    <t>lsm</t>
  </si>
  <si>
    <t>chahe</t>
  </si>
  <si>
    <t>bleeker</t>
  </si>
  <si>
    <t>Chasmichthys gulosus</t>
  </si>
  <si>
    <t>Cristatogobius albius</t>
  </si>
  <si>
    <t>Crial</t>
  </si>
  <si>
    <t>Cryptocentrus cyanotaenia</t>
  </si>
  <si>
    <t>Crycy</t>
  </si>
  <si>
    <t>Cryptocentrus filifer</t>
  </si>
  <si>
    <t>Cryfi</t>
  </si>
  <si>
    <t>Cryptocentrus gymnocephalus</t>
  </si>
  <si>
    <t>Crygy</t>
  </si>
  <si>
    <t>Cryptocentrus papuanus</t>
  </si>
  <si>
    <t>Crypa</t>
  </si>
  <si>
    <t>Cryptocentrus pavoninoides</t>
  </si>
  <si>
    <t>kqs</t>
  </si>
  <si>
    <t>Cryptocentrus russus</t>
  </si>
  <si>
    <t>Cryru</t>
  </si>
  <si>
    <t>Cryptocentrus yangi</t>
  </si>
  <si>
    <t>Cryya</t>
  </si>
  <si>
    <t>Cryptocentrus yatsui</t>
  </si>
  <si>
    <t>Eutaeniichthys gilli</t>
  </si>
  <si>
    <t>Eutgi</t>
  </si>
  <si>
    <t>Exyrias puntang</t>
  </si>
  <si>
    <t>pdy</t>
  </si>
  <si>
    <t>Exypu</t>
  </si>
  <si>
    <t>Favonigobius gymnauchen</t>
  </si>
  <si>
    <t>lxf</t>
  </si>
  <si>
    <t>Favgy</t>
  </si>
  <si>
    <t>Glossogobius aureus</t>
  </si>
  <si>
    <t>Gloau</t>
  </si>
  <si>
    <t>Akihito et Meguro</t>
  </si>
  <si>
    <t>Glossogobius biocellatus</t>
  </si>
  <si>
    <t>Globi</t>
  </si>
  <si>
    <t>Glossogobius giuris</t>
  </si>
  <si>
    <t>Glogi</t>
  </si>
  <si>
    <t>Glossogobius olivaceus</t>
  </si>
  <si>
    <t>Glool</t>
  </si>
  <si>
    <t>Gnatholepis calliurus</t>
  </si>
  <si>
    <t>Gnaca</t>
  </si>
  <si>
    <t>Gnatholepis scapulostigma</t>
  </si>
  <si>
    <t>Gnasc</t>
  </si>
  <si>
    <t>Gobiopsis macrostoma</t>
  </si>
  <si>
    <t>dkr</t>
  </si>
  <si>
    <t>Hazeus otakii</t>
  </si>
  <si>
    <t>Hazot</t>
  </si>
  <si>
    <t>Illana bicirrhosus</t>
  </si>
  <si>
    <t>Illbi</t>
  </si>
  <si>
    <t>Istigobius campbelli</t>
  </si>
  <si>
    <t>Istca</t>
  </si>
  <si>
    <t>Istigobius hoshinonis</t>
  </si>
  <si>
    <t>hgx</t>
  </si>
  <si>
    <t>Istho</t>
  </si>
  <si>
    <t>Istigobius ornatus</t>
  </si>
  <si>
    <t>Istor</t>
  </si>
  <si>
    <t>Lophiogobius ocellicauda</t>
  </si>
  <si>
    <t>qwk</t>
  </si>
  <si>
    <t>Lopoc</t>
  </si>
  <si>
    <t>Luciogobius guttatus</t>
  </si>
  <si>
    <t>Lucgu</t>
  </si>
  <si>
    <t>Mugilogobius abei</t>
  </si>
  <si>
    <t>abz</t>
  </si>
  <si>
    <t>Mugab</t>
  </si>
  <si>
    <t>Mugilogobius myxodermus</t>
  </si>
  <si>
    <t>npz</t>
  </si>
  <si>
    <t>Mugmy</t>
  </si>
  <si>
    <t>Mugilogobius obliquifasciatus</t>
  </si>
  <si>
    <t>Mugob</t>
  </si>
  <si>
    <t>Wu et Ni</t>
  </si>
  <si>
    <t>Mugilogobius polylepis</t>
  </si>
  <si>
    <t>Mugpo</t>
  </si>
  <si>
    <t>Mugilogobius tagala</t>
  </si>
  <si>
    <t>tjl</t>
  </si>
  <si>
    <t>Mugta</t>
  </si>
  <si>
    <t>Oligolepis acutipinnis</t>
  </si>
  <si>
    <t>jqg</t>
  </si>
  <si>
    <t>Oliac</t>
  </si>
  <si>
    <t>Oligolepis fasciatus</t>
  </si>
  <si>
    <t>Olifa</t>
  </si>
  <si>
    <t>Oplopomus caninoides</t>
  </si>
  <si>
    <t>cgx</t>
  </si>
  <si>
    <t>Oplca</t>
  </si>
  <si>
    <t>Oxyurichthys formosanus</t>
  </si>
  <si>
    <t>Oxyfo</t>
  </si>
  <si>
    <t>Oxyurichthys macrolepis</t>
  </si>
  <si>
    <t>Oxyma</t>
  </si>
  <si>
    <t>Oxyurichthys microlepis</t>
  </si>
  <si>
    <t>Oxyurichthys ophthalmonema</t>
  </si>
  <si>
    <t>ybg</t>
  </si>
  <si>
    <t>Oxyop</t>
  </si>
  <si>
    <t>Oxyurichthys papuensis</t>
  </si>
  <si>
    <t>Oxypa</t>
  </si>
  <si>
    <t>Oxyurichthys tentacularis</t>
  </si>
  <si>
    <t>Oxyte</t>
  </si>
  <si>
    <t>Parachaeturichthys polynema</t>
  </si>
  <si>
    <t>nmw</t>
  </si>
  <si>
    <t>Polyspondylogobius sinensis</t>
  </si>
  <si>
    <t>Polsi</t>
  </si>
  <si>
    <t>Kimura et Wu</t>
  </si>
  <si>
    <t>Priolepis semidoliatus</t>
  </si>
  <si>
    <t>Prise</t>
  </si>
  <si>
    <t>Pseudogobius javanicus</t>
  </si>
  <si>
    <t>Pterogobius elapoides</t>
  </si>
  <si>
    <t>Pteel</t>
  </si>
  <si>
    <t>Pterogobius zacalles</t>
  </si>
  <si>
    <t>Pteza</t>
  </si>
  <si>
    <t>Quisquilius malayanus</t>
  </si>
  <si>
    <t>Quima</t>
  </si>
  <si>
    <t>Redigobius caninus</t>
  </si>
  <si>
    <t>Redca</t>
  </si>
  <si>
    <t>Rhinogobius aestivaregia</t>
  </si>
  <si>
    <t>xgw</t>
  </si>
  <si>
    <t>Rhiae</t>
  </si>
  <si>
    <t>Rhinogobius brevirostris</t>
  </si>
  <si>
    <t>Rhibr</t>
  </si>
  <si>
    <t>Rhinogobius brunneus</t>
  </si>
  <si>
    <t>hwx</t>
  </si>
  <si>
    <t>Rhinogobius cervicosguamus</t>
  </si>
  <si>
    <t>xlw</t>
  </si>
  <si>
    <t>Rhice</t>
  </si>
  <si>
    <t>(Wu, Lu et Ni)</t>
  </si>
  <si>
    <t>Rhinogobius chengtuensis</t>
  </si>
  <si>
    <t>cdw</t>
  </si>
  <si>
    <t>Rhich</t>
  </si>
  <si>
    <t>Rhinogobius clarki</t>
  </si>
  <si>
    <t>ksw</t>
  </si>
  <si>
    <t>Rhicl</t>
  </si>
  <si>
    <t>(Evermann et Shaw)</t>
  </si>
  <si>
    <t>Rhinogobius cliffordpopei</t>
  </si>
  <si>
    <t>Rhinogobius davidi</t>
  </si>
  <si>
    <t>Rhida</t>
  </si>
  <si>
    <t>Rhinogobius duospilus</t>
  </si>
  <si>
    <t>Rhidu</t>
  </si>
  <si>
    <t>Rhinogobius filamentosus</t>
  </si>
  <si>
    <t>Rhifi</t>
  </si>
  <si>
    <t>Rhinogobius fukushimai</t>
  </si>
  <si>
    <t>fdw</t>
  </si>
  <si>
    <t>Rhifu</t>
  </si>
  <si>
    <t>Rhinogobius giurinus</t>
  </si>
  <si>
    <t>zlw</t>
  </si>
  <si>
    <t>Rhigi</t>
  </si>
  <si>
    <t>Rhinogobius lentiginis</t>
  </si>
  <si>
    <t>qbw</t>
  </si>
  <si>
    <t>Rhile</t>
  </si>
  <si>
    <t>(Zheng et Wu)</t>
  </si>
  <si>
    <t>Rhinogobius multimaculatus</t>
  </si>
  <si>
    <t>mdw</t>
  </si>
  <si>
    <t>Rhimu</t>
  </si>
  <si>
    <t>Rhinogobius notophthalmus</t>
  </si>
  <si>
    <t>dxw</t>
  </si>
  <si>
    <t>Rhino</t>
  </si>
  <si>
    <t>Rhinogobius parvus</t>
  </si>
  <si>
    <t>xwx</t>
  </si>
  <si>
    <t>(Luo)</t>
  </si>
  <si>
    <t>Rhinogobius punctatus</t>
  </si>
  <si>
    <t>Rhipu</t>
  </si>
  <si>
    <t>Rhinogobius puncticeps</t>
  </si>
  <si>
    <t>btw</t>
  </si>
  <si>
    <t>(Deng et Xiong)</t>
  </si>
  <si>
    <t>Rhinogobius shennongensis</t>
  </si>
  <si>
    <t>snw</t>
  </si>
  <si>
    <t>Rhish</t>
  </si>
  <si>
    <t>(Yang et Xie)</t>
  </si>
  <si>
    <t>Rhinogobius sowerbyi</t>
  </si>
  <si>
    <t>ssw</t>
  </si>
  <si>
    <t>Rhiso</t>
  </si>
  <si>
    <t>(Ginsburg)</t>
  </si>
  <si>
    <t>Rhinogobius szechuanensis</t>
  </si>
  <si>
    <t>scw</t>
  </si>
  <si>
    <t>Rhisz</t>
  </si>
  <si>
    <t>(Liu)</t>
  </si>
  <si>
    <t>Rhinogobius yaoshanensis</t>
  </si>
  <si>
    <t>ysw</t>
  </si>
  <si>
    <t>Rhiya</t>
  </si>
  <si>
    <t>Stenogobius genivittatus</t>
  </si>
  <si>
    <t>Stege</t>
  </si>
  <si>
    <t>Stenogobius lacrymosus</t>
  </si>
  <si>
    <t>Stela</t>
  </si>
  <si>
    <t>Stigmatogobius hoeveni</t>
  </si>
  <si>
    <t>Stiho</t>
  </si>
  <si>
    <t>Stiphodon multisquamus</t>
  </si>
  <si>
    <t>Stimu</t>
  </si>
  <si>
    <t>Synechogobius hasta</t>
  </si>
  <si>
    <t>mwf</t>
  </si>
  <si>
    <t>Synha</t>
  </si>
  <si>
    <t>Synechogobius ommaturus</t>
  </si>
  <si>
    <t>Synom</t>
  </si>
  <si>
    <t>Yongeichthys criniger</t>
  </si>
  <si>
    <t>Yoncr</t>
  </si>
  <si>
    <t>(Valanciennes)</t>
  </si>
  <si>
    <t>Apocryptichthys sericus</t>
  </si>
  <si>
    <t>zht</t>
  </si>
  <si>
    <t>Apocryptodon glyphisodon</t>
  </si>
  <si>
    <t>scc</t>
  </si>
  <si>
    <t>Apogl</t>
  </si>
  <si>
    <t>Apocryptodon madurensis</t>
  </si>
  <si>
    <t>mdl</t>
  </si>
  <si>
    <t>Apoma</t>
  </si>
  <si>
    <t>Apocryptodon malcolmi</t>
  </si>
  <si>
    <t>xdc</t>
  </si>
  <si>
    <t>Smich</t>
  </si>
  <si>
    <t>Parapocryptes macrolepis</t>
  </si>
  <si>
    <t>Parapocryptes serperaster</t>
  </si>
  <si>
    <t>xxf</t>
  </si>
  <si>
    <t>Pseudapocryptes lanceolatus</t>
  </si>
  <si>
    <t>mzn</t>
  </si>
  <si>
    <t>Gobiopterus macrolepis</t>
  </si>
  <si>
    <t>Cheng</t>
  </si>
  <si>
    <t>Sicyopterus japonicus</t>
  </si>
  <si>
    <t>rbp</t>
  </si>
  <si>
    <t>Sicja</t>
  </si>
  <si>
    <t>Ctenotrypauchen sp.</t>
  </si>
  <si>
    <t>cte</t>
  </si>
  <si>
    <t>Periophthalmidae sp.</t>
  </si>
  <si>
    <t>tty</t>
  </si>
  <si>
    <t>Per</t>
  </si>
  <si>
    <t>Boleophthalmus pectinirostris</t>
  </si>
  <si>
    <t>Bolpe</t>
  </si>
  <si>
    <t>Periophthalmus argentilineatus</t>
  </si>
  <si>
    <t>Perar</t>
  </si>
  <si>
    <t>Periophthalmus cantonensis</t>
  </si>
  <si>
    <t>Perca</t>
  </si>
  <si>
    <t>Scartelaos gigas</t>
  </si>
  <si>
    <t>sqt</t>
  </si>
  <si>
    <t>Scartelaos viridis</t>
  </si>
  <si>
    <t>qtt</t>
  </si>
  <si>
    <t>Scavi</t>
  </si>
  <si>
    <t>Taenioididae sp.</t>
  </si>
  <si>
    <t>mxhYK</t>
  </si>
  <si>
    <t>Tae</t>
  </si>
  <si>
    <t>Brachyamblyopus brachysoma</t>
  </si>
  <si>
    <t>Brabr</t>
  </si>
  <si>
    <t>Odontamblyopus rubicundus</t>
  </si>
  <si>
    <t>hly</t>
  </si>
  <si>
    <t>Odoru</t>
  </si>
  <si>
    <t>Taenioides anguillaris</t>
  </si>
  <si>
    <t>Taean</t>
  </si>
  <si>
    <t>Taenioides cirratus</t>
  </si>
  <si>
    <t>xmx</t>
  </si>
  <si>
    <t>Taeci</t>
  </si>
  <si>
    <t>Amblyotrypauchen arctocephalus</t>
  </si>
  <si>
    <t>dhx</t>
  </si>
  <si>
    <t>Ambar</t>
  </si>
  <si>
    <t>Ctenotrypauchen chinensis</t>
  </si>
  <si>
    <t>Ctech</t>
  </si>
  <si>
    <t>Ctenotrypauchen microcephalus</t>
  </si>
  <si>
    <t>xtz</t>
  </si>
  <si>
    <t>Ctemi</t>
  </si>
  <si>
    <t>Trypauchen taenia</t>
  </si>
  <si>
    <t>dlk</t>
  </si>
  <si>
    <t>Tryta</t>
  </si>
  <si>
    <t>Trypauchen vagina</t>
  </si>
  <si>
    <t>kxh</t>
  </si>
  <si>
    <t>Tryva</t>
  </si>
  <si>
    <t>Scorpaenidae sp.</t>
  </si>
  <si>
    <t>youke</t>
  </si>
  <si>
    <t>Helicolenus hilgendorfi</t>
  </si>
  <si>
    <t>Helhi</t>
  </si>
  <si>
    <t>Sebastes hubbsi</t>
  </si>
  <si>
    <t>kpy</t>
  </si>
  <si>
    <t>Sebhu</t>
  </si>
  <si>
    <t>Sebastes inermis</t>
  </si>
  <si>
    <t>wbp</t>
  </si>
  <si>
    <t>Sebin</t>
  </si>
  <si>
    <t>Sebastes itinus</t>
  </si>
  <si>
    <t>lpy</t>
  </si>
  <si>
    <t>Sebit</t>
  </si>
  <si>
    <t>(Jordan Starks)</t>
  </si>
  <si>
    <t>Sebastes joyneri</t>
  </si>
  <si>
    <t>jsp</t>
  </si>
  <si>
    <t>Sebjo</t>
  </si>
  <si>
    <t>Sebastes nigricans</t>
  </si>
  <si>
    <t>Sebni</t>
  </si>
  <si>
    <t>Sebastes nivosus</t>
  </si>
  <si>
    <t>Hilgendort</t>
  </si>
  <si>
    <t>Sebastes pachycephalus</t>
  </si>
  <si>
    <t>htp</t>
  </si>
  <si>
    <t>Sebpa</t>
  </si>
  <si>
    <t>Sebastes schlegeli</t>
  </si>
  <si>
    <t>xsp</t>
  </si>
  <si>
    <t>Sebsc</t>
  </si>
  <si>
    <t>Sebastes thompsoni</t>
  </si>
  <si>
    <t>tsp</t>
  </si>
  <si>
    <t>Sebth</t>
  </si>
  <si>
    <t>(Jordan et Hubbs)</t>
  </si>
  <si>
    <t>Sebastes trivittatus</t>
  </si>
  <si>
    <t>Sebtr</t>
  </si>
  <si>
    <t>Sebastiscus albofasciatus</t>
  </si>
  <si>
    <t>Sebal</t>
  </si>
  <si>
    <t>Sebastiscus marmoratus</t>
  </si>
  <si>
    <t>Sebma</t>
  </si>
  <si>
    <t>Hoplosebastes armatus</t>
  </si>
  <si>
    <t>Hozukius embremarius</t>
  </si>
  <si>
    <t>kjy</t>
  </si>
  <si>
    <t>Hozem</t>
  </si>
  <si>
    <t>Iracundus signifer</t>
  </si>
  <si>
    <t>bdb</t>
  </si>
  <si>
    <t>Irasi</t>
  </si>
  <si>
    <t>Parascorpaena mcadamsi</t>
  </si>
  <si>
    <t>bcy</t>
  </si>
  <si>
    <t>Parmc</t>
  </si>
  <si>
    <t>Parascorpaena mossambica</t>
  </si>
  <si>
    <t>(Peter)</t>
  </si>
  <si>
    <t>Parascorpaena picta</t>
  </si>
  <si>
    <t>Parpi</t>
  </si>
  <si>
    <t>Scorpaena frondosa</t>
  </si>
  <si>
    <t>qqy</t>
  </si>
  <si>
    <t>Scofr</t>
  </si>
  <si>
    <t>Scorpaena hatizyoensis</t>
  </si>
  <si>
    <t>gjy</t>
  </si>
  <si>
    <t>Scoha</t>
  </si>
  <si>
    <t>Scorpaena izensis</t>
  </si>
  <si>
    <t>lxy</t>
  </si>
  <si>
    <t>Scoiz</t>
  </si>
  <si>
    <t>Scorpaena neglecta</t>
  </si>
  <si>
    <t>Scone</t>
  </si>
  <si>
    <t>Scorpaena onaria</t>
  </si>
  <si>
    <t>Scoon</t>
  </si>
  <si>
    <t>Scorpaenodes guamensis</t>
  </si>
  <si>
    <t>gdx</t>
  </si>
  <si>
    <t>Scorpaenodes kelloggi</t>
  </si>
  <si>
    <t>Scoke</t>
  </si>
  <si>
    <t>Scorpaenodes littoralis</t>
  </si>
  <si>
    <t>qhx</t>
  </si>
  <si>
    <t>Scorpaenodes minor</t>
  </si>
  <si>
    <t>xxy</t>
  </si>
  <si>
    <t>Scorpaenodes parvipinnis</t>
  </si>
  <si>
    <t>dcx</t>
  </si>
  <si>
    <t>(Garrett)</t>
  </si>
  <si>
    <t>Scorpaenodes scabra</t>
  </si>
  <si>
    <t>Scosc</t>
  </si>
  <si>
    <t>(Ramsay et Ogilby)</t>
  </si>
  <si>
    <t>Scorpaenodes varipinnis</t>
  </si>
  <si>
    <t>Scova</t>
  </si>
  <si>
    <t>Scorpaenopsis cirrhosa</t>
  </si>
  <si>
    <t>Scorpaenopsis diabolis</t>
  </si>
  <si>
    <t>Scodi</t>
  </si>
  <si>
    <t>Scorpaenopsis gibbosa</t>
  </si>
  <si>
    <t>tbn</t>
  </si>
  <si>
    <t>Scogi</t>
  </si>
  <si>
    <t>Sebastapistes albobrunnea</t>
  </si>
  <si>
    <t>ssl</t>
  </si>
  <si>
    <t>Sebastapistes bynoensis</t>
  </si>
  <si>
    <t>bnl</t>
  </si>
  <si>
    <t>Sebby</t>
  </si>
  <si>
    <t>Sebastapistes megalepis</t>
  </si>
  <si>
    <t>Sebme</t>
  </si>
  <si>
    <t>Sebastapistes nuchalis</t>
  </si>
  <si>
    <t>Sebnu</t>
  </si>
  <si>
    <t>Sebastapistes vachelli</t>
  </si>
  <si>
    <t>Sebva</t>
  </si>
  <si>
    <t>Taenianotus triacanthus</t>
  </si>
  <si>
    <t>sjg</t>
  </si>
  <si>
    <t>Taetr</t>
  </si>
  <si>
    <t>Plectrogenium nanum</t>
  </si>
  <si>
    <t>Brachypterois serrulatus</t>
  </si>
  <si>
    <t>Brase</t>
  </si>
  <si>
    <t>Dendrochirus bellus</t>
  </si>
  <si>
    <t>mld</t>
  </si>
  <si>
    <t>Denbe</t>
  </si>
  <si>
    <t>Dendrochirus biocellatus</t>
  </si>
  <si>
    <t>Denbi</t>
  </si>
  <si>
    <t>Dendrochirus zebra</t>
  </si>
  <si>
    <t>Denze</t>
  </si>
  <si>
    <t>Ebosia bleekeri</t>
  </si>
  <si>
    <t>ksy</t>
  </si>
  <si>
    <t>Ebobl</t>
  </si>
  <si>
    <t>Parapterois heterurus</t>
  </si>
  <si>
    <t>nsy</t>
  </si>
  <si>
    <t>Pontinus tentacularis</t>
  </si>
  <si>
    <t>Ponte</t>
  </si>
  <si>
    <t>Pteroidichthys amboinensis</t>
  </si>
  <si>
    <t>Pteam</t>
  </si>
  <si>
    <t>Pterois antennata</t>
  </si>
  <si>
    <t>Ptean</t>
  </si>
  <si>
    <t>Pterois lunulata</t>
  </si>
  <si>
    <t>Ptelu</t>
  </si>
  <si>
    <t>Pterois radiata</t>
  </si>
  <si>
    <t>Ptera</t>
  </si>
  <si>
    <t>Pterois russelli</t>
  </si>
  <si>
    <t>Pteru</t>
  </si>
  <si>
    <t>Pterois volitans</t>
  </si>
  <si>
    <t>axs</t>
  </si>
  <si>
    <t>Ptevo</t>
  </si>
  <si>
    <t>Setarches fidjiensis</t>
  </si>
  <si>
    <t>fjn</t>
  </si>
  <si>
    <t>Setfi</t>
  </si>
  <si>
    <t>Setarches guentheni</t>
  </si>
  <si>
    <t>gsn</t>
  </si>
  <si>
    <t>Setgu</t>
  </si>
  <si>
    <t>Setarches longimanus</t>
  </si>
  <si>
    <t>cbn</t>
  </si>
  <si>
    <t>Setlo</t>
  </si>
  <si>
    <t>(Alcock et McGrichrist)</t>
  </si>
  <si>
    <t>Apistus carinatus</t>
  </si>
  <si>
    <t>xsy</t>
  </si>
  <si>
    <t>Apica</t>
  </si>
  <si>
    <t>Neosebastes entaxis</t>
  </si>
  <si>
    <t>xpy</t>
  </si>
  <si>
    <t>Neoen</t>
  </si>
  <si>
    <t>Synanceiidae sp.</t>
  </si>
  <si>
    <t>Choridactylus multibarbis</t>
  </si>
  <si>
    <t>Chomu</t>
  </si>
  <si>
    <t>Erosa erosa</t>
  </si>
  <si>
    <t>sty</t>
  </si>
  <si>
    <t>Eroer</t>
  </si>
  <si>
    <t>(Langsdorf)</t>
  </si>
  <si>
    <t>Inimicus cuvieri</t>
  </si>
  <si>
    <t>jsg</t>
  </si>
  <si>
    <t>Inicu</t>
  </si>
  <si>
    <t>Inimicus didactylus</t>
  </si>
  <si>
    <t>Inidi</t>
  </si>
  <si>
    <t>Inimicus japonicus</t>
  </si>
  <si>
    <t>gy</t>
  </si>
  <si>
    <t>Inija</t>
  </si>
  <si>
    <t>Minous inermis</t>
  </si>
  <si>
    <t>wbh</t>
  </si>
  <si>
    <t>Minin</t>
  </si>
  <si>
    <t>Minous monodactylus</t>
  </si>
  <si>
    <t>huyou</t>
  </si>
  <si>
    <t>Minmo</t>
  </si>
  <si>
    <t>Minous pusillus</t>
  </si>
  <si>
    <t>Minpu</t>
  </si>
  <si>
    <t>Minous trachycephalus</t>
  </si>
  <si>
    <t>Mintr</t>
  </si>
  <si>
    <t>Polycaulus uranoscopa</t>
  </si>
  <si>
    <t>Polur</t>
  </si>
  <si>
    <t>Synanceia horrida</t>
  </si>
  <si>
    <t>Synanceia verrucosa</t>
  </si>
  <si>
    <t>Synve</t>
  </si>
  <si>
    <t>Triglidae sp.</t>
  </si>
  <si>
    <t>ffk</t>
  </si>
  <si>
    <t>Chelidonichthys kumu</t>
  </si>
  <si>
    <t>lqy</t>
  </si>
  <si>
    <t>Cheku</t>
  </si>
  <si>
    <t>(Lesson et Garnot)</t>
  </si>
  <si>
    <t>Chelidonichthys spinosus</t>
  </si>
  <si>
    <t>xyl</t>
  </si>
  <si>
    <t>Chesp</t>
  </si>
  <si>
    <t>Lepidotrigla sp.</t>
  </si>
  <si>
    <t>hnys</t>
  </si>
  <si>
    <t>Lepidotrigla abyssalis</t>
  </si>
  <si>
    <t>shh</t>
  </si>
  <si>
    <t>Lepab</t>
  </si>
  <si>
    <t>Lepidotrigla alata</t>
  </si>
  <si>
    <t>yhn</t>
  </si>
  <si>
    <t>Lepal</t>
  </si>
  <si>
    <t>Lepidotrigla guentheri</t>
  </si>
  <si>
    <t>Lepidotrigla hime</t>
  </si>
  <si>
    <t>jhn</t>
  </si>
  <si>
    <t>Lephi</t>
  </si>
  <si>
    <t>Matsubara et Hiyama</t>
  </si>
  <si>
    <t>Lepidotrigla japonice</t>
  </si>
  <si>
    <t>Lepja</t>
  </si>
  <si>
    <t>Lepidotrigla kishinouyi</t>
  </si>
  <si>
    <t>ash</t>
  </si>
  <si>
    <t>Lepki</t>
  </si>
  <si>
    <t>Lepidotrigla lepidojugulata</t>
  </si>
  <si>
    <t>Leple</t>
  </si>
  <si>
    <t>Lepidotrigla longifaciata</t>
  </si>
  <si>
    <t>Leplo</t>
  </si>
  <si>
    <t>Yatou</t>
  </si>
  <si>
    <t>Lepidotrigla longimana</t>
  </si>
  <si>
    <t>czh</t>
  </si>
  <si>
    <t>Lepidotrigla marisinensis</t>
  </si>
  <si>
    <t>nhh</t>
  </si>
  <si>
    <t>Lepma</t>
  </si>
  <si>
    <t>Lepidotrigla micropterus</t>
  </si>
  <si>
    <t>Lepidotrigla oglina</t>
  </si>
  <si>
    <t>Lepog</t>
  </si>
  <si>
    <t>Lepidotrigla punctipectoralis</t>
  </si>
  <si>
    <t>bqh</t>
  </si>
  <si>
    <t>Leppu</t>
  </si>
  <si>
    <t>Lepidotrigla spilopterus</t>
  </si>
  <si>
    <t>Lepsp</t>
  </si>
  <si>
    <t>Pterygotrigla hemisticta</t>
  </si>
  <si>
    <t>djj</t>
  </si>
  <si>
    <t>Ptehe</t>
  </si>
  <si>
    <t>Pterygotrigla ryukyuensis</t>
  </si>
  <si>
    <t>lqj</t>
  </si>
  <si>
    <t>Ptery</t>
  </si>
  <si>
    <t>Peristediidae sp.</t>
  </si>
  <si>
    <t>Gargariscus prionocephalus</t>
  </si>
  <si>
    <t>ltf</t>
  </si>
  <si>
    <t>Garpr</t>
  </si>
  <si>
    <t>(Dumeril)</t>
  </si>
  <si>
    <t>Parapterygotrigla multiocellata</t>
  </si>
  <si>
    <t>Peristedion nierstrasi</t>
  </si>
  <si>
    <t>Perni</t>
  </si>
  <si>
    <t>Peristedion orientale</t>
  </si>
  <si>
    <t>Peror</t>
  </si>
  <si>
    <t>Satyrichthys amiscus</t>
  </si>
  <si>
    <t>Satam</t>
  </si>
  <si>
    <t>Satyrichthys fowleri</t>
  </si>
  <si>
    <t>fsh</t>
  </si>
  <si>
    <t>Satfo</t>
  </si>
  <si>
    <t>Beaufort et Briggs</t>
  </si>
  <si>
    <t>Satyrichthys piercei</t>
  </si>
  <si>
    <t>psh</t>
  </si>
  <si>
    <t>Satpi</t>
  </si>
  <si>
    <t>Satyrichthys rieffeli</t>
  </si>
  <si>
    <t>rsh</t>
  </si>
  <si>
    <t>Satri</t>
  </si>
  <si>
    <t>Satyrichthys welchi</t>
  </si>
  <si>
    <t>Satwe</t>
  </si>
  <si>
    <t>Congiopodidae sp.</t>
  </si>
  <si>
    <t>Acanthosphex leurynnis</t>
  </si>
  <si>
    <t>Amblyapistus macracanthus</t>
  </si>
  <si>
    <t>cjd</t>
  </si>
  <si>
    <t>Ambma</t>
  </si>
  <si>
    <t>Amblyapistus taenianotus</t>
  </si>
  <si>
    <t>Ambta</t>
  </si>
  <si>
    <t>Aploactis aspera</t>
  </si>
  <si>
    <t>Aplas</t>
  </si>
  <si>
    <t>Caracanthus macultus</t>
  </si>
  <si>
    <t>cpy</t>
  </si>
  <si>
    <t>Centropogon fuscovirens</t>
  </si>
  <si>
    <t>Cenfu</t>
  </si>
  <si>
    <t>Centropogon urostigma</t>
  </si>
  <si>
    <t>Cenur</t>
  </si>
  <si>
    <t>Cottapistus cottoides</t>
  </si>
  <si>
    <t>nxy</t>
  </si>
  <si>
    <t>Cotco</t>
  </si>
  <si>
    <t>Erisphex pottii</t>
  </si>
  <si>
    <t>Eripo</t>
  </si>
  <si>
    <t>Hypodytes indieus</t>
  </si>
  <si>
    <t>ydc</t>
  </si>
  <si>
    <t>Hypodytes longispinis</t>
  </si>
  <si>
    <t>ccy</t>
  </si>
  <si>
    <t>Hyplo</t>
  </si>
  <si>
    <t>Hypodytes rubripinnis</t>
  </si>
  <si>
    <t>Hypru</t>
  </si>
  <si>
    <t>Neocentropogon aeglefinus</t>
  </si>
  <si>
    <t>Neoae</t>
  </si>
  <si>
    <t>Malsubara</t>
  </si>
  <si>
    <t>Ocosia fasciata</t>
  </si>
  <si>
    <t>bmy</t>
  </si>
  <si>
    <t>Ocofa</t>
  </si>
  <si>
    <t>Ocosia vespa</t>
  </si>
  <si>
    <t>lry</t>
  </si>
  <si>
    <t>Ocove</t>
  </si>
  <si>
    <t>Sthenopus mollis</t>
  </si>
  <si>
    <t>fy</t>
  </si>
  <si>
    <t>Sthmo</t>
  </si>
  <si>
    <t>Tetraroge leucogaster</t>
  </si>
  <si>
    <t>Tetle</t>
  </si>
  <si>
    <t>Vespicula sinensis</t>
  </si>
  <si>
    <t>zhf</t>
  </si>
  <si>
    <t>Vessi</t>
  </si>
  <si>
    <t>Vespicula trachinoides</t>
  </si>
  <si>
    <t>cfy</t>
  </si>
  <si>
    <t>Vestr</t>
  </si>
  <si>
    <t>Hexagrammidae sp.</t>
  </si>
  <si>
    <t>hex</t>
  </si>
  <si>
    <t>Agrammus agrammus</t>
  </si>
  <si>
    <t>Agrag</t>
  </si>
  <si>
    <t>Hexagrammos lagocephalus</t>
  </si>
  <si>
    <t>cxl</t>
  </si>
  <si>
    <t>Hexla</t>
  </si>
  <si>
    <t>Hexagrammos octogrammus</t>
  </si>
  <si>
    <t>Hexoc</t>
  </si>
  <si>
    <t>Hexagrammos otakii</t>
  </si>
  <si>
    <t>Hexot</t>
  </si>
  <si>
    <t>Platycephalidae sp.</t>
  </si>
  <si>
    <t>Cociella crocodilus</t>
  </si>
  <si>
    <t>ey</t>
  </si>
  <si>
    <t>Coccr</t>
  </si>
  <si>
    <t>Cymbacephalus nematophthalmus</t>
  </si>
  <si>
    <t>Cymne</t>
  </si>
  <si>
    <t>Elates ransonneti</t>
  </si>
  <si>
    <t>Elara</t>
  </si>
  <si>
    <t>Grammoplites scaber</t>
  </si>
  <si>
    <t>Grasc</t>
  </si>
  <si>
    <t>Inegocia guttatus</t>
  </si>
  <si>
    <t>Inegu</t>
  </si>
  <si>
    <t>Inegocia japonicus</t>
  </si>
  <si>
    <t>Ineja</t>
  </si>
  <si>
    <t>Kumococius detrusus</t>
  </si>
  <si>
    <t>aqy</t>
  </si>
  <si>
    <t>Kumde</t>
  </si>
  <si>
    <t>Onigocia macrolepis</t>
  </si>
  <si>
    <t>Onima</t>
  </si>
  <si>
    <t>Onigocia spinosus</t>
  </si>
  <si>
    <t>jcl</t>
  </si>
  <si>
    <t>Onisp</t>
  </si>
  <si>
    <t>Onigocia tuberculatus</t>
  </si>
  <si>
    <t>ltl</t>
  </si>
  <si>
    <t>Onitu</t>
  </si>
  <si>
    <t>Platycephalus indicus</t>
  </si>
  <si>
    <t>yong</t>
  </si>
  <si>
    <t>Plain</t>
  </si>
  <si>
    <t>Ratabulus megacephalus</t>
  </si>
  <si>
    <t>Ratme</t>
  </si>
  <si>
    <t>Rogadius asper</t>
  </si>
  <si>
    <t>Rogas</t>
  </si>
  <si>
    <t>Rogadius patriciae</t>
  </si>
  <si>
    <t>psd</t>
  </si>
  <si>
    <t>Rogpa</t>
  </si>
  <si>
    <t>Knapp</t>
  </si>
  <si>
    <t>Suggrundus macracanthus</t>
  </si>
  <si>
    <t>Sugma</t>
  </si>
  <si>
    <t>Suggrundus meerdervoorti</t>
  </si>
  <si>
    <t>Sugme</t>
  </si>
  <si>
    <t>Suggrundus rodericensis</t>
  </si>
  <si>
    <t>Sugro</t>
  </si>
  <si>
    <t>Thysanophrys arenicola</t>
  </si>
  <si>
    <t>Thysanophrys bataviensis</t>
  </si>
  <si>
    <t>sy</t>
  </si>
  <si>
    <t>Thyba</t>
  </si>
  <si>
    <t>Thysanophrys chilitonae</t>
  </si>
  <si>
    <t>Thych</t>
  </si>
  <si>
    <t>Thysanophrys otaitenisis</t>
  </si>
  <si>
    <t>Thyot</t>
  </si>
  <si>
    <t>(Parkinson)</t>
  </si>
  <si>
    <t>Hoplichthys sp.</t>
  </si>
  <si>
    <t>jys</t>
  </si>
  <si>
    <t>Hopsp</t>
  </si>
  <si>
    <t>Cottidae sp.</t>
  </si>
  <si>
    <t>Cot</t>
  </si>
  <si>
    <t>Cottiusculus gonez</t>
  </si>
  <si>
    <t>xdf</t>
  </si>
  <si>
    <t>Cotgo</t>
  </si>
  <si>
    <t>Cottus czerskii</t>
  </si>
  <si>
    <t>ksd</t>
  </si>
  <si>
    <t>Cotcz</t>
  </si>
  <si>
    <t>Cottus hangionensis</t>
  </si>
  <si>
    <t>tmd</t>
  </si>
  <si>
    <t>Cotha</t>
  </si>
  <si>
    <t>Cottus poecilopus</t>
  </si>
  <si>
    <t>Cotpo</t>
  </si>
  <si>
    <t>Cottus pollux</t>
  </si>
  <si>
    <t>mzd</t>
  </si>
  <si>
    <t>Cottus sibiricus</t>
  </si>
  <si>
    <t>aet</t>
  </si>
  <si>
    <t>Cotsi</t>
  </si>
  <si>
    <t>Li et Ho</t>
  </si>
  <si>
    <t>Enophrys diceraus</t>
  </si>
  <si>
    <t>jdf</t>
  </si>
  <si>
    <t>Enodi</t>
  </si>
  <si>
    <t>Ereunias grallator</t>
  </si>
  <si>
    <t>ndf</t>
  </si>
  <si>
    <t>Eregr</t>
  </si>
  <si>
    <t>Furcina dabryi</t>
  </si>
  <si>
    <t>cdf</t>
  </si>
  <si>
    <t>Furda</t>
  </si>
  <si>
    <t>Gymnocanthus herzensteini</t>
  </si>
  <si>
    <t>ldf</t>
  </si>
  <si>
    <t>Gymhe</t>
  </si>
  <si>
    <t>Hemitripterus villosus</t>
  </si>
  <si>
    <t>rdf</t>
  </si>
  <si>
    <t>Hemvi</t>
  </si>
  <si>
    <t>Mesocottus haitei</t>
  </si>
  <si>
    <t>Mesha</t>
  </si>
  <si>
    <t>Myoxocephalus platycephalus</t>
  </si>
  <si>
    <t>Myopl</t>
  </si>
  <si>
    <t>Myoxocephalus sinensis</t>
  </si>
  <si>
    <t>zhc</t>
  </si>
  <si>
    <t>Myosi</t>
  </si>
  <si>
    <t>Pseudoblennius cottoides</t>
  </si>
  <si>
    <t>Pseco</t>
  </si>
  <si>
    <t>Trachidermus fasciatus</t>
  </si>
  <si>
    <t>Trafa</t>
  </si>
  <si>
    <t>Vellitor centropomus</t>
  </si>
  <si>
    <t>Velce</t>
  </si>
  <si>
    <t>Liparidae sp.</t>
  </si>
  <si>
    <t>Lip</t>
  </si>
  <si>
    <t>Liparis chefuensis</t>
  </si>
  <si>
    <t>Lipch</t>
  </si>
  <si>
    <t>Wu et Wang</t>
  </si>
  <si>
    <t>Liparis choanus</t>
  </si>
  <si>
    <t>zss</t>
  </si>
  <si>
    <t>Liparis petschiliensis</t>
  </si>
  <si>
    <t>Lippe</t>
  </si>
  <si>
    <t>Liparis tanakae</t>
  </si>
  <si>
    <t>Lipta</t>
  </si>
  <si>
    <t>(Gilbert et Burke)</t>
  </si>
  <si>
    <t>Citharidae sp.</t>
  </si>
  <si>
    <t>jpk</t>
  </si>
  <si>
    <t>Cit</t>
  </si>
  <si>
    <t>Citharoides macrolepidotus</t>
  </si>
  <si>
    <t>dln</t>
  </si>
  <si>
    <t>Citma</t>
  </si>
  <si>
    <t>Hubbs</t>
  </si>
  <si>
    <t>Brachypleura novaezeelandiae</t>
  </si>
  <si>
    <t>dd</t>
  </si>
  <si>
    <t>Brano</t>
  </si>
  <si>
    <t>Lepidoblepharon ophthalmolepis</t>
  </si>
  <si>
    <t>lyd</t>
  </si>
  <si>
    <t>Lepop</t>
  </si>
  <si>
    <t>Paralichthyidae sp.</t>
  </si>
  <si>
    <t>ypk</t>
  </si>
  <si>
    <t>Paralichthys olivaceus</t>
  </si>
  <si>
    <t>Pseudorhombus arsius</t>
  </si>
  <si>
    <t>Pseudorhombus cinnamomeus</t>
  </si>
  <si>
    <t>gpb</t>
  </si>
  <si>
    <t>Pseudorhombus ctenosquamis</t>
  </si>
  <si>
    <t>zlb</t>
  </si>
  <si>
    <t>Psect</t>
  </si>
  <si>
    <t>Pseudorhombus dupliocellatus</t>
  </si>
  <si>
    <t>stb</t>
  </si>
  <si>
    <t>Psedu</t>
  </si>
  <si>
    <t>Pseudorhombus elevatus</t>
  </si>
  <si>
    <t>Pseudorhombus javanicus</t>
  </si>
  <si>
    <t>Pseudorhombus levisquamis</t>
  </si>
  <si>
    <t>Pseudorhombus malayanus</t>
  </si>
  <si>
    <t>Psema</t>
  </si>
  <si>
    <t>Pseudorhombus neglectus</t>
  </si>
  <si>
    <t>nhb</t>
  </si>
  <si>
    <t>Psene</t>
  </si>
  <si>
    <t>Pseudorhombus oligodon</t>
  </si>
  <si>
    <t>syb</t>
  </si>
  <si>
    <t>Pseol</t>
  </si>
  <si>
    <t>Pseudorhombus pentophthalmus</t>
  </si>
  <si>
    <t>wyb</t>
  </si>
  <si>
    <t>Pseudorhombus quinquocellatus</t>
  </si>
  <si>
    <t>wdb</t>
  </si>
  <si>
    <t>Psequ</t>
  </si>
  <si>
    <t>Weberde Beaufort</t>
  </si>
  <si>
    <t>Pseudorhombus triocellatus</t>
  </si>
  <si>
    <t>Tarphops oligolepis</t>
  </si>
  <si>
    <t>gtd</t>
  </si>
  <si>
    <t>Tarol</t>
  </si>
  <si>
    <t>Tephrinectes sinensis</t>
  </si>
  <si>
    <t>hp</t>
  </si>
  <si>
    <t>Tepsi</t>
  </si>
  <si>
    <t>Bothidae sp.</t>
  </si>
  <si>
    <t>pk</t>
  </si>
  <si>
    <t>Bot</t>
  </si>
  <si>
    <t>Arnoglossus aspilos</t>
  </si>
  <si>
    <t>Arnas</t>
  </si>
  <si>
    <t>Arnoglossus japonicus</t>
  </si>
  <si>
    <t>jys</t>
  </si>
  <si>
    <t>Arnja</t>
  </si>
  <si>
    <t>Arnoglossus polyspilus</t>
  </si>
  <si>
    <t>Arnpo</t>
  </si>
  <si>
    <t>Arnoglossus scapha</t>
  </si>
  <si>
    <t>Arnsc</t>
  </si>
  <si>
    <t>Arnoglossus tapeinosoma</t>
  </si>
  <si>
    <t>Arnta</t>
  </si>
  <si>
    <t>Arnoglossus tenuis</t>
  </si>
  <si>
    <t>Arnte</t>
  </si>
  <si>
    <t>Arnoglossus sp.</t>
  </si>
  <si>
    <t>ysp</t>
  </si>
  <si>
    <t>Arnsp</t>
  </si>
  <si>
    <t>Asterorhombus intermedius</t>
  </si>
  <si>
    <t>zjj</t>
  </si>
  <si>
    <t>Astin</t>
  </si>
  <si>
    <t>Bothus assimilis</t>
  </si>
  <si>
    <t>ylp</t>
  </si>
  <si>
    <t>Botas</t>
  </si>
  <si>
    <t>Bothus mancus</t>
  </si>
  <si>
    <t>awp</t>
  </si>
  <si>
    <t>Botma</t>
  </si>
  <si>
    <t>Bothus myriaster</t>
  </si>
  <si>
    <t>fxp</t>
  </si>
  <si>
    <t>Botmy</t>
  </si>
  <si>
    <t>Bothus pantherinus</t>
  </si>
  <si>
    <t>bp</t>
  </si>
  <si>
    <t>Botpa</t>
  </si>
  <si>
    <t>Chascanopsetta lugubris</t>
  </si>
  <si>
    <t>dkp</t>
  </si>
  <si>
    <t>Chascanopsetta sp.</t>
  </si>
  <si>
    <t>chps</t>
  </si>
  <si>
    <t>Chasc</t>
  </si>
  <si>
    <t>Crossorhombus sp.</t>
  </si>
  <si>
    <t>yps</t>
  </si>
  <si>
    <t>Crosp</t>
  </si>
  <si>
    <t>Crossorhombus azureus</t>
  </si>
  <si>
    <t>qyp</t>
  </si>
  <si>
    <t>Croaz</t>
  </si>
  <si>
    <t>Crossorhombus kanekonis</t>
  </si>
  <si>
    <t>Croka</t>
  </si>
  <si>
    <t>Crossorhombus kobensis</t>
  </si>
  <si>
    <t>Croko</t>
  </si>
  <si>
    <t>Crossorhombus valderostratus</t>
  </si>
  <si>
    <t>key</t>
  </si>
  <si>
    <t>Crova</t>
  </si>
  <si>
    <t>Engyprosopon filipennis</t>
  </si>
  <si>
    <t>Engfi</t>
  </si>
  <si>
    <t>Wu et Tang</t>
  </si>
  <si>
    <t>Engyprosopon grandisquama</t>
  </si>
  <si>
    <t>Enggr</t>
  </si>
  <si>
    <t>Engyprosopon latifrons</t>
  </si>
  <si>
    <t>ked</t>
  </si>
  <si>
    <t>Engla</t>
  </si>
  <si>
    <t>Engyprosopon longipelvis</t>
  </si>
  <si>
    <t>Englo</t>
  </si>
  <si>
    <t>Amaoka</t>
  </si>
  <si>
    <t>Engyprosopon macroptera</t>
  </si>
  <si>
    <t>Engma</t>
  </si>
  <si>
    <t>Engyprosopon mogkii</t>
  </si>
  <si>
    <t>Engmo</t>
  </si>
  <si>
    <t>Engyprosopon multisquama</t>
  </si>
  <si>
    <t>Engmu</t>
  </si>
  <si>
    <t>Engyprosopon sp.</t>
  </si>
  <si>
    <t>dep</t>
  </si>
  <si>
    <t>Engsp</t>
  </si>
  <si>
    <t>Grammatobothus krempfi</t>
  </si>
  <si>
    <t>Grakr</t>
  </si>
  <si>
    <t>Chabanaud</t>
  </si>
  <si>
    <t>Grammatobothus polyophthalmus</t>
  </si>
  <si>
    <t>Grapo</t>
  </si>
  <si>
    <t>Kamoharaia megastoma</t>
  </si>
  <si>
    <t>dze</t>
  </si>
  <si>
    <t>Kamme</t>
  </si>
  <si>
    <t>Laeops lanceolata</t>
  </si>
  <si>
    <t>mzz</t>
  </si>
  <si>
    <t>Laela</t>
  </si>
  <si>
    <t>Laeops parviceps</t>
  </si>
  <si>
    <t>Laepa</t>
  </si>
  <si>
    <t>Neolaeops microphthalmus</t>
  </si>
  <si>
    <t>(Von Bonde)</t>
  </si>
  <si>
    <t>Parabothus coarctatus</t>
  </si>
  <si>
    <t>dfn</t>
  </si>
  <si>
    <t>Parco</t>
  </si>
  <si>
    <t>Parabothus chlorospilus</t>
  </si>
  <si>
    <t>Psettina filimanus</t>
  </si>
  <si>
    <t>Psefi</t>
  </si>
  <si>
    <t>Li et Wang</t>
  </si>
  <si>
    <t>Psettina gigantea</t>
  </si>
  <si>
    <t>djp</t>
  </si>
  <si>
    <t>Psegi</t>
  </si>
  <si>
    <t>Psettina hainanensis</t>
  </si>
  <si>
    <t>hnj</t>
  </si>
  <si>
    <t>Pseha</t>
  </si>
  <si>
    <t>(Wu et Tang)</t>
  </si>
  <si>
    <t>Psettina iijimae</t>
  </si>
  <si>
    <t>Pseii</t>
  </si>
  <si>
    <t>Psettina tosana</t>
  </si>
  <si>
    <t>tzj</t>
  </si>
  <si>
    <t>Pseto</t>
  </si>
  <si>
    <t>Psettina sp.</t>
  </si>
  <si>
    <t>jps</t>
  </si>
  <si>
    <t>psesp</t>
  </si>
  <si>
    <t>Pleuronectidae sp.</t>
  </si>
  <si>
    <t>Cleisthenes herzensteini</t>
  </si>
  <si>
    <t>gyd</t>
  </si>
  <si>
    <t>Clehe</t>
  </si>
  <si>
    <t>Clidoderma asperrima</t>
  </si>
  <si>
    <t>ld</t>
  </si>
  <si>
    <t>Clias</t>
  </si>
  <si>
    <t>Eopsetta grigorjewi</t>
  </si>
  <si>
    <t>cd</t>
  </si>
  <si>
    <t>Eopgr</t>
  </si>
  <si>
    <t>Hippoglossoides dubius</t>
  </si>
  <si>
    <t>Hipdu</t>
  </si>
  <si>
    <t>Kareius bicoloratus</t>
  </si>
  <si>
    <t>sd</t>
  </si>
  <si>
    <t>Karbi</t>
  </si>
  <si>
    <t>Liopsetta obscura</t>
  </si>
  <si>
    <t>hgd</t>
  </si>
  <si>
    <t>Lioob</t>
  </si>
  <si>
    <t>Microstomus achne</t>
  </si>
  <si>
    <t>Micac</t>
  </si>
  <si>
    <t>Platichthys stellatus</t>
  </si>
  <si>
    <t>Plast</t>
  </si>
  <si>
    <t>Pleuronichthys cornutus</t>
  </si>
  <si>
    <t>jmy</t>
  </si>
  <si>
    <t>Pleco</t>
  </si>
  <si>
    <t>Pseudopleuronectes herzensteini</t>
  </si>
  <si>
    <t>Pseudopleuronectes yokohamae</t>
  </si>
  <si>
    <t>Pseyo</t>
  </si>
  <si>
    <t>Tanakius kitaharae</t>
  </si>
  <si>
    <t>Tanki</t>
  </si>
  <si>
    <t>Verasper moseri</t>
  </si>
  <si>
    <t>tbx</t>
  </si>
  <si>
    <t>Vermo</t>
  </si>
  <si>
    <t>Jordan et Gibert</t>
  </si>
  <si>
    <t>Verasper variegatus</t>
  </si>
  <si>
    <t>Verva</t>
  </si>
  <si>
    <t>Poecilopsetta colorata</t>
  </si>
  <si>
    <t>hbw</t>
  </si>
  <si>
    <t>Poeco</t>
  </si>
  <si>
    <t>Poecilopsetta megalepis</t>
  </si>
  <si>
    <t>dlw</t>
  </si>
  <si>
    <t>Poeme</t>
  </si>
  <si>
    <t>Poecilopsetta natalensis</t>
  </si>
  <si>
    <t>nte</t>
  </si>
  <si>
    <t>Poena</t>
  </si>
  <si>
    <t>Poecilopsetta plinthus</t>
  </si>
  <si>
    <t>Poepl</t>
  </si>
  <si>
    <t>Poecilopsetta praelonga</t>
  </si>
  <si>
    <t>Poepr</t>
  </si>
  <si>
    <t>Samaridae sp.</t>
  </si>
  <si>
    <t>gdk</t>
  </si>
  <si>
    <t>Sam</t>
  </si>
  <si>
    <t>Soleidae sp.</t>
  </si>
  <si>
    <t>Aseraggodes kaianus</t>
  </si>
  <si>
    <t>Aseka</t>
  </si>
  <si>
    <t>Aseraggodes kobensis</t>
  </si>
  <si>
    <t>Aseko</t>
  </si>
  <si>
    <t>Liachirus melanospilus</t>
  </si>
  <si>
    <t>Liame</t>
  </si>
  <si>
    <t>Monochirus trichodactylus</t>
  </si>
  <si>
    <t>Montr</t>
  </si>
  <si>
    <t>Pardachirus pavoninus</t>
  </si>
  <si>
    <t>ybb</t>
  </si>
  <si>
    <t>Solea ovata</t>
  </si>
  <si>
    <t>rt</t>
  </si>
  <si>
    <t>Solov</t>
  </si>
  <si>
    <t>Soleichthys heterorhinos</t>
  </si>
  <si>
    <t>Solhe</t>
  </si>
  <si>
    <t>Heteromycteris japonicus</t>
  </si>
  <si>
    <t>Heteromycteris matsubarai</t>
  </si>
  <si>
    <t>rzg</t>
  </si>
  <si>
    <t>Hetma</t>
  </si>
  <si>
    <t>Aesopia cornuta</t>
  </si>
  <si>
    <t>jt</t>
  </si>
  <si>
    <t>Aesco</t>
  </si>
  <si>
    <t>Brachirus annularis</t>
  </si>
  <si>
    <t>hwr</t>
  </si>
  <si>
    <t>Braan</t>
  </si>
  <si>
    <t>Brachirus orientalis</t>
  </si>
  <si>
    <t>dfr</t>
  </si>
  <si>
    <t>Braor</t>
  </si>
  <si>
    <t>Brachirus pan</t>
  </si>
  <si>
    <t>ylr</t>
  </si>
  <si>
    <t>Brapa</t>
  </si>
  <si>
    <t>Brachirus swinhonis</t>
  </si>
  <si>
    <t>zdr</t>
  </si>
  <si>
    <t>Brasw</t>
  </si>
  <si>
    <t>Zebrias crossolepis</t>
  </si>
  <si>
    <t>Zebcr</t>
  </si>
  <si>
    <t>Cheng et Chang</t>
  </si>
  <si>
    <t>Zebrias japonicus</t>
  </si>
  <si>
    <t>Zebja</t>
  </si>
  <si>
    <t>Zebrias quagga</t>
  </si>
  <si>
    <t>emt</t>
  </si>
  <si>
    <t>Zebqu</t>
  </si>
  <si>
    <t>Zebrias zebra</t>
  </si>
  <si>
    <t>Zebze</t>
  </si>
  <si>
    <t>Solea sp.</t>
  </si>
  <si>
    <t>Cynoglossidae sp.</t>
  </si>
  <si>
    <t>stk</t>
  </si>
  <si>
    <t>cyn</t>
  </si>
  <si>
    <t>Cynoglossus abbreviatus</t>
  </si>
  <si>
    <t>Cynab</t>
  </si>
  <si>
    <t>Cynoglossus arel</t>
  </si>
  <si>
    <t>Cynar</t>
  </si>
  <si>
    <t>Cynoglossus bilineatus</t>
  </si>
  <si>
    <t>Cynbi</t>
  </si>
  <si>
    <t>Cynoglossus gracilis</t>
  </si>
  <si>
    <t>Cyngr</t>
  </si>
  <si>
    <t>Cynoglossus interruptus</t>
  </si>
  <si>
    <t>Cynin</t>
  </si>
  <si>
    <t>Cynoglossus itinus</t>
  </si>
  <si>
    <t>Cynit</t>
  </si>
  <si>
    <t>Cynoglossus joyneri</t>
  </si>
  <si>
    <t>Cynjo</t>
  </si>
  <si>
    <t>Cynoglossus kopsii</t>
  </si>
  <si>
    <t>kps</t>
  </si>
  <si>
    <t>Cynko</t>
  </si>
  <si>
    <t>Cynoglossus lida</t>
  </si>
  <si>
    <t>nys</t>
  </si>
  <si>
    <t>Cynli</t>
  </si>
  <si>
    <t>Cynoglossus lighti</t>
  </si>
  <si>
    <t>Cynoglossus lineolatus</t>
  </si>
  <si>
    <t>Cynoglossus macrolepidotus</t>
  </si>
  <si>
    <t>Cynma</t>
  </si>
  <si>
    <t>Cynoglossus melampetalus</t>
  </si>
  <si>
    <t>Cynme</t>
  </si>
  <si>
    <t>Cynoglossus microlepis</t>
  </si>
  <si>
    <t>Cynmi</t>
  </si>
  <si>
    <t>Cynoglossus monopus</t>
  </si>
  <si>
    <t>gys</t>
  </si>
  <si>
    <t>Cynmo</t>
  </si>
  <si>
    <t>Cynoglossus nigropinnatus</t>
  </si>
  <si>
    <t>Cynni</t>
  </si>
  <si>
    <t>Cynoglossus oligolepis</t>
  </si>
  <si>
    <t>Cynol</t>
  </si>
  <si>
    <t>Cynoglossus puncticeps</t>
  </si>
  <si>
    <t>Cynpu</t>
  </si>
  <si>
    <t>Cynoglossus purpureomaculatus</t>
  </si>
  <si>
    <t>Cynoglossus robustus</t>
  </si>
  <si>
    <t>Cynro</t>
  </si>
  <si>
    <t>Cynoglossus roulei</t>
  </si>
  <si>
    <t>Cynoglossus semilaevis</t>
  </si>
  <si>
    <t>bhs</t>
  </si>
  <si>
    <t>Cynse</t>
  </si>
  <si>
    <t>Cynoglossus sibogae</t>
  </si>
  <si>
    <t>xbs</t>
  </si>
  <si>
    <t>Cynsi</t>
  </si>
  <si>
    <t>Cynoglossus sinicus</t>
  </si>
  <si>
    <t>Cynoglossus trigrammus</t>
  </si>
  <si>
    <t>Cyntr</t>
  </si>
  <si>
    <t>Paraplagusia bilineata</t>
  </si>
  <si>
    <t>Paraplagusia blochi</t>
  </si>
  <si>
    <t>dgx</t>
  </si>
  <si>
    <t>Parbl</t>
  </si>
  <si>
    <t>Paraplagusia guttata</t>
  </si>
  <si>
    <t>zlx</t>
  </si>
  <si>
    <t>Paraplagusia japonica</t>
  </si>
  <si>
    <t>Parja</t>
  </si>
  <si>
    <t>Symphurus novemfasciatus</t>
  </si>
  <si>
    <t>jdw</t>
  </si>
  <si>
    <t>Symno</t>
  </si>
  <si>
    <t>Shen et Lin</t>
  </si>
  <si>
    <t>Symphurus orientalis</t>
  </si>
  <si>
    <t>dfw</t>
  </si>
  <si>
    <t>Symor</t>
  </si>
  <si>
    <t>Symphurus strictus</t>
  </si>
  <si>
    <t>xww</t>
  </si>
  <si>
    <t>Symst</t>
  </si>
  <si>
    <t>xfx</t>
  </si>
  <si>
    <t>Cynoglossus sp.</t>
  </si>
  <si>
    <t>sts</t>
  </si>
  <si>
    <t>Triacanthodidae sp.</t>
  </si>
  <si>
    <t>nsc</t>
  </si>
  <si>
    <t>Triacanthidae sp.</t>
  </si>
  <si>
    <t>sct</t>
  </si>
  <si>
    <t>Triacanthus brevirostris</t>
  </si>
  <si>
    <t>Balistidae sp.</t>
  </si>
  <si>
    <t>ltk</t>
  </si>
  <si>
    <t>Bal</t>
  </si>
  <si>
    <t>Abalistes stellatus</t>
  </si>
  <si>
    <t>kwl</t>
  </si>
  <si>
    <t>Amanses scopas</t>
  </si>
  <si>
    <t>czm</t>
  </si>
  <si>
    <t>Amasc</t>
  </si>
  <si>
    <t>Balistapus undulatus</t>
  </si>
  <si>
    <t>Balun</t>
  </si>
  <si>
    <t>(Mungo Park)</t>
  </si>
  <si>
    <t>Balistes vetula</t>
  </si>
  <si>
    <t>olt</t>
  </si>
  <si>
    <t>Balve</t>
  </si>
  <si>
    <t>Balistoides conspicillum</t>
  </si>
  <si>
    <t>Balco</t>
  </si>
  <si>
    <t>Balistoides viridescens</t>
  </si>
  <si>
    <t>lnl</t>
  </si>
  <si>
    <t>Balvi</t>
  </si>
  <si>
    <t>Canthidermis maculatus</t>
  </si>
  <si>
    <t>ryy</t>
  </si>
  <si>
    <t>Canma</t>
  </si>
  <si>
    <t>Melichthys niger</t>
  </si>
  <si>
    <t>jlt</t>
  </si>
  <si>
    <t>Melni</t>
  </si>
  <si>
    <t>Melichthys vidua</t>
  </si>
  <si>
    <t>Melvi</t>
  </si>
  <si>
    <t>(Solander)</t>
  </si>
  <si>
    <t>Odonus niger</t>
  </si>
  <si>
    <t>Odoni</t>
  </si>
  <si>
    <t>Pseudobalistes flavimarginatus</t>
  </si>
  <si>
    <t>Psefl</t>
  </si>
  <si>
    <t>Pseudobalistes fuscus</t>
  </si>
  <si>
    <t>hfl</t>
  </si>
  <si>
    <t>Rhinecanthus aculeatus</t>
  </si>
  <si>
    <t>Rhiac</t>
  </si>
  <si>
    <t>Rhinecanthus echarpe</t>
  </si>
  <si>
    <t>Rhiec</t>
  </si>
  <si>
    <t>Rhinecanthus verrucosus</t>
  </si>
  <si>
    <t>dcl</t>
  </si>
  <si>
    <t>Sufflamen bursa</t>
  </si>
  <si>
    <t>nqj</t>
  </si>
  <si>
    <t>Sufbu</t>
  </si>
  <si>
    <t>Sufflamen chrysopterus</t>
  </si>
  <si>
    <t>Sufch</t>
  </si>
  <si>
    <t>Sufflamen fraenatus</t>
  </si>
  <si>
    <t>jwd</t>
  </si>
  <si>
    <t>Suffr</t>
  </si>
  <si>
    <t>(Latreille)</t>
  </si>
  <si>
    <t>Xanthichthys auromarginatus</t>
  </si>
  <si>
    <t>Xanau</t>
  </si>
  <si>
    <t>Xanthichthys lineopunctatus</t>
  </si>
  <si>
    <t>Xanli</t>
  </si>
  <si>
    <t>(Hollard)</t>
  </si>
  <si>
    <t>Aluteridae sp.</t>
  </si>
  <si>
    <t>gtt</t>
  </si>
  <si>
    <t>Alu</t>
  </si>
  <si>
    <t>Aluterus monoceros</t>
  </si>
  <si>
    <t>djg</t>
  </si>
  <si>
    <t>Alumo</t>
  </si>
  <si>
    <t>(Linnaes)</t>
  </si>
  <si>
    <t>Aluterus scriptus</t>
  </si>
  <si>
    <t>ntg</t>
  </si>
  <si>
    <t>Alusc</t>
  </si>
  <si>
    <t>Arotrolepis sulcatus</t>
  </si>
  <si>
    <t>rwx</t>
  </si>
  <si>
    <t>Arosu</t>
  </si>
  <si>
    <t>Cantherhines dumerili</t>
  </si>
  <si>
    <t>Candu</t>
  </si>
  <si>
    <t>Cantherhines fronticinctus</t>
  </si>
  <si>
    <t>ebq</t>
  </si>
  <si>
    <t>Canfr</t>
  </si>
  <si>
    <t>Cantherhines pardalis</t>
  </si>
  <si>
    <t>Canpa</t>
  </si>
  <si>
    <t>Chaetodermis spinosissimus</t>
  </si>
  <si>
    <t>jpt</t>
  </si>
  <si>
    <t>Laputa kneri</t>
  </si>
  <si>
    <t>ksq</t>
  </si>
  <si>
    <t>Lapkn</t>
  </si>
  <si>
    <t>Monacanthus chinensis</t>
  </si>
  <si>
    <t>Monch</t>
  </si>
  <si>
    <t>Navodon septentrionalis</t>
  </si>
  <si>
    <t>lqm</t>
  </si>
  <si>
    <t>Navse</t>
  </si>
  <si>
    <t>Navodon tessellatus</t>
  </si>
  <si>
    <t>mbm</t>
  </si>
  <si>
    <t>Navte</t>
  </si>
  <si>
    <t>Navodon xanthopterus</t>
  </si>
  <si>
    <t>hqm</t>
  </si>
  <si>
    <t>Navxa</t>
  </si>
  <si>
    <t>Xu et Zhan</t>
  </si>
  <si>
    <t>Oxymonacanthus longirostris</t>
  </si>
  <si>
    <t>Oxylo</t>
  </si>
  <si>
    <t>Paramonacanthus nipponensis</t>
  </si>
  <si>
    <t>Parni</t>
  </si>
  <si>
    <t>Paramonacanthus oblongus</t>
  </si>
  <si>
    <t>cff</t>
  </si>
  <si>
    <t>Parob</t>
  </si>
  <si>
    <t>Pervagor aspricaudus</t>
  </si>
  <si>
    <t>Peras</t>
  </si>
  <si>
    <t>Pervagor janthinosoma</t>
  </si>
  <si>
    <t>qjt</t>
  </si>
  <si>
    <t>Perja</t>
  </si>
  <si>
    <t>Pervagor melanocephalus</t>
  </si>
  <si>
    <t>Perme</t>
  </si>
  <si>
    <t>Pervagor nitens</t>
  </si>
  <si>
    <t>awq</t>
  </si>
  <si>
    <t>Pervagor tomentosus</t>
  </si>
  <si>
    <t>sqq</t>
  </si>
  <si>
    <t>Perto</t>
  </si>
  <si>
    <t>Pseudalutarius nasicornis</t>
  </si>
  <si>
    <t>Psena</t>
  </si>
  <si>
    <t>(Schiegel)</t>
  </si>
  <si>
    <t>Rudarius ercodes</t>
  </si>
  <si>
    <t>cpt</t>
  </si>
  <si>
    <t>Ruder</t>
  </si>
  <si>
    <t>Stephanolepis cirrhifer</t>
  </si>
  <si>
    <t>Steci</t>
  </si>
  <si>
    <t>Stephanolepis japonicus</t>
  </si>
  <si>
    <t>Steja</t>
  </si>
  <si>
    <t>Ostraciontidae sp.</t>
  </si>
  <si>
    <t>xtk</t>
  </si>
  <si>
    <t>Ost</t>
  </si>
  <si>
    <t>Lactoria cornutus</t>
  </si>
  <si>
    <t>Lacco</t>
  </si>
  <si>
    <t>Lactoria diaphana</t>
  </si>
  <si>
    <t>jbj</t>
  </si>
  <si>
    <t>Lacdi</t>
  </si>
  <si>
    <t>Lactoria fornasini</t>
  </si>
  <si>
    <t>fnj</t>
  </si>
  <si>
    <t>Lacfo</t>
  </si>
  <si>
    <t>(Bianconi)</t>
  </si>
  <si>
    <t>Ostracion cubicus</t>
  </si>
  <si>
    <t>ltx</t>
  </si>
  <si>
    <t>Ostcu</t>
  </si>
  <si>
    <t>Ostracion meleagris</t>
  </si>
  <si>
    <t>Ostme</t>
  </si>
  <si>
    <t>Ostracion solorensis</t>
  </si>
  <si>
    <t>ldx</t>
  </si>
  <si>
    <t>Ostso</t>
  </si>
  <si>
    <t>Rhynchostracion nasus</t>
  </si>
  <si>
    <t>jbx</t>
  </si>
  <si>
    <t>Rhyna</t>
  </si>
  <si>
    <t>Rhynchostracion rhinorhynchus</t>
  </si>
  <si>
    <t>Rhyrh</t>
  </si>
  <si>
    <t>Tetrosomus concatenatus</t>
  </si>
  <si>
    <t>sfs</t>
  </si>
  <si>
    <t>Tetco</t>
  </si>
  <si>
    <t>Tetrosomus gibbosus</t>
  </si>
  <si>
    <t>tbs</t>
  </si>
  <si>
    <t>Tetgi</t>
  </si>
  <si>
    <t>Tetraodontidae sp.</t>
  </si>
  <si>
    <t>Tet</t>
  </si>
  <si>
    <t>Amblyrhynchotes honckeni</t>
  </si>
  <si>
    <t>bdk</t>
  </si>
  <si>
    <t>Ambho</t>
  </si>
  <si>
    <t>Amblyrhynchotes hypselogencion</t>
  </si>
  <si>
    <t>Ambhy</t>
  </si>
  <si>
    <t>Amblyrhynchotes rufopunctatus</t>
  </si>
  <si>
    <t>Ambru</t>
  </si>
  <si>
    <t>Amblyrhynchotes spinosissimus</t>
  </si>
  <si>
    <t>Ambsp</t>
  </si>
  <si>
    <t>Arothron hispidus</t>
  </si>
  <si>
    <t>wfc</t>
  </si>
  <si>
    <t>Arohi</t>
  </si>
  <si>
    <t>Arothron immaculatus</t>
  </si>
  <si>
    <t>Aroim</t>
  </si>
  <si>
    <t>Arothron mappa</t>
  </si>
  <si>
    <t>Aroma</t>
  </si>
  <si>
    <t>Arothron meleagris</t>
  </si>
  <si>
    <t>bdc</t>
  </si>
  <si>
    <t>Arome</t>
  </si>
  <si>
    <t>Arothron nigropunctatus</t>
  </si>
  <si>
    <t>Aroni</t>
  </si>
  <si>
    <t>Arothron reticularis</t>
  </si>
  <si>
    <t>wwc</t>
  </si>
  <si>
    <t>Arore</t>
  </si>
  <si>
    <t>Arothron stellatus</t>
  </si>
  <si>
    <t>Arost</t>
  </si>
  <si>
    <t>Boesemanichthys firmamentum</t>
  </si>
  <si>
    <t>Boefi</t>
  </si>
  <si>
    <t>(Timminck et Schlegel)</t>
  </si>
  <si>
    <t>Canthigaster amboinensis</t>
  </si>
  <si>
    <t>awb</t>
  </si>
  <si>
    <t>Canam</t>
  </si>
  <si>
    <t>Canthigaster compressa</t>
  </si>
  <si>
    <t>Canco</t>
  </si>
  <si>
    <t>Proce</t>
  </si>
  <si>
    <t>Canthigaster janthinopterus</t>
  </si>
  <si>
    <t>Canja</t>
  </si>
  <si>
    <t>Canthigaster rivulatus</t>
  </si>
  <si>
    <t>Canri</t>
  </si>
  <si>
    <t>Canthigaster valentini</t>
  </si>
  <si>
    <t>Canva</t>
  </si>
  <si>
    <t>Chelonodon patoca</t>
  </si>
  <si>
    <t>abt</t>
  </si>
  <si>
    <t>Chepa</t>
  </si>
  <si>
    <t>Gastrophysus gloveri</t>
  </si>
  <si>
    <t>gdf</t>
  </si>
  <si>
    <t>Gasgl</t>
  </si>
  <si>
    <t>(Abe et Tabeta)</t>
  </si>
  <si>
    <t>Gastrophysus lunaris</t>
  </si>
  <si>
    <t>yfc</t>
  </si>
  <si>
    <t>Gaslu</t>
  </si>
  <si>
    <t>Gastrophysus spadiceus</t>
  </si>
  <si>
    <t>zbf</t>
  </si>
  <si>
    <t>Gassp</t>
  </si>
  <si>
    <t>Lagocephalus inermis</t>
  </si>
  <si>
    <t>Lagin</t>
  </si>
  <si>
    <t>Lagocephalus oceanicus</t>
  </si>
  <si>
    <t>hqt</t>
  </si>
  <si>
    <t>Lagoc</t>
  </si>
  <si>
    <t>Lagocephalus sceleratus</t>
  </si>
  <si>
    <t>ydt</t>
  </si>
  <si>
    <t>Lagsc</t>
  </si>
  <si>
    <t>Lagocephalus wheeleri</t>
  </si>
  <si>
    <t>Lagwh</t>
  </si>
  <si>
    <t>Abe, Tabeta et Kitahama</t>
  </si>
  <si>
    <t>Liosaccus cutaneus</t>
  </si>
  <si>
    <t>mgt</t>
  </si>
  <si>
    <t>Liocu</t>
  </si>
  <si>
    <t>Monotremus leiurus</t>
  </si>
  <si>
    <t>Monle</t>
  </si>
  <si>
    <t>Monotremus palembangensis</t>
  </si>
  <si>
    <t>wwd</t>
  </si>
  <si>
    <t>Pleuranacanthus sceleratus</t>
  </si>
  <si>
    <t>Pleuranacanthus suezensis</t>
  </si>
  <si>
    <t>zbb</t>
  </si>
  <si>
    <t>Plesu</t>
  </si>
  <si>
    <t>(Gohar)</t>
  </si>
  <si>
    <t>Sphoeroides pachygaster</t>
  </si>
  <si>
    <t>Sphpa</t>
  </si>
  <si>
    <t>Takifugu alboplumbeus</t>
  </si>
  <si>
    <t>qdd</t>
  </si>
  <si>
    <t>Takal</t>
  </si>
  <si>
    <t>Takifugu basilevskianus</t>
  </si>
  <si>
    <t>Takba</t>
  </si>
  <si>
    <t>Takifugu bimaculatus</t>
  </si>
  <si>
    <t>Takbi</t>
  </si>
  <si>
    <t>Takifugu coronoidus</t>
  </si>
  <si>
    <t>yhd</t>
  </si>
  <si>
    <t>Takco</t>
  </si>
  <si>
    <t>Ni et Li</t>
  </si>
  <si>
    <t>Takifugu flavidus</t>
  </si>
  <si>
    <t>Takfl</t>
  </si>
  <si>
    <t>Li, Wang et Wang</t>
  </si>
  <si>
    <t>Takifugu niphobles</t>
  </si>
  <si>
    <t>Takni</t>
  </si>
  <si>
    <t>Takifugu oblongus</t>
  </si>
  <si>
    <t>Takob</t>
  </si>
  <si>
    <t>Takifugu obscurus</t>
  </si>
  <si>
    <t>awd</t>
  </si>
  <si>
    <t>(Abe)</t>
  </si>
  <si>
    <t>Takifugu ocellatus</t>
  </si>
  <si>
    <t>gbd</t>
  </si>
  <si>
    <t>Takoc</t>
  </si>
  <si>
    <t>Takifugu pardalis</t>
  </si>
  <si>
    <t>Takpa</t>
  </si>
  <si>
    <t>Takifugu porphyreus</t>
  </si>
  <si>
    <t>Takpo</t>
  </si>
  <si>
    <t>Takifugu pseudommus</t>
  </si>
  <si>
    <t>Takps</t>
  </si>
  <si>
    <t>(Chu)</t>
  </si>
  <si>
    <t>Takifugu reticularis</t>
  </si>
  <si>
    <t>Takre</t>
  </si>
  <si>
    <t>Tian,Cheng et Wang</t>
  </si>
  <si>
    <t>Takifugu rubripes</t>
  </si>
  <si>
    <t>Takru</t>
  </si>
  <si>
    <t>Takifugu stictonotus</t>
  </si>
  <si>
    <t>mdd</t>
  </si>
  <si>
    <t>Takst</t>
  </si>
  <si>
    <t>Takifugu vermicularis</t>
  </si>
  <si>
    <t>Takve</t>
  </si>
  <si>
    <t>Takifugu xanthopterus</t>
  </si>
  <si>
    <t>htd</t>
  </si>
  <si>
    <t>Takxa</t>
  </si>
  <si>
    <t>Takifugu sp.</t>
  </si>
  <si>
    <t>dft</t>
  </si>
  <si>
    <t>taksp</t>
  </si>
  <si>
    <t>Diodontidae sp.</t>
  </si>
  <si>
    <t>ctk</t>
  </si>
  <si>
    <t>Dio</t>
  </si>
  <si>
    <t>Chilomycterus affinis</t>
  </si>
  <si>
    <t>ldc</t>
  </si>
  <si>
    <t>Chiaf</t>
  </si>
  <si>
    <t>Chilomycterus echinatus</t>
  </si>
  <si>
    <t>ced</t>
  </si>
  <si>
    <t>Chiec</t>
  </si>
  <si>
    <t>(Gronow)</t>
  </si>
  <si>
    <t>Chilomycterus orbicularis</t>
  </si>
  <si>
    <t>Chior</t>
  </si>
  <si>
    <t>Diodon bleekeri</t>
  </si>
  <si>
    <t>bsc</t>
  </si>
  <si>
    <t>Diobl</t>
  </si>
  <si>
    <t>Diodon holacanthus</t>
  </si>
  <si>
    <t>lbc</t>
  </si>
  <si>
    <t>Dioho</t>
  </si>
  <si>
    <t>Diodon hystrix</t>
  </si>
  <si>
    <t>mbc</t>
  </si>
  <si>
    <t>Diohy</t>
  </si>
  <si>
    <t>Diodon novemaculatus</t>
  </si>
  <si>
    <t>jbc</t>
  </si>
  <si>
    <t>Diono</t>
  </si>
  <si>
    <t>Lophiidae sp.</t>
  </si>
  <si>
    <t>akk</t>
  </si>
  <si>
    <t>Lop</t>
  </si>
  <si>
    <t>Lophiomus setigerus</t>
  </si>
  <si>
    <t>hak</t>
  </si>
  <si>
    <t>Lopse</t>
  </si>
  <si>
    <t>(Vahl)</t>
  </si>
  <si>
    <t>Lophius litulon</t>
  </si>
  <si>
    <t>Lopli</t>
  </si>
  <si>
    <t>(Jordan)</t>
  </si>
  <si>
    <t>Ceratiidae sp.</t>
  </si>
  <si>
    <t>jakk</t>
  </si>
  <si>
    <t>Cer</t>
  </si>
  <si>
    <t>Himantolophidae sp.</t>
  </si>
  <si>
    <t>scakk</t>
  </si>
  <si>
    <t>Himan</t>
  </si>
  <si>
    <t>Ogcocephalidae sp.</t>
  </si>
  <si>
    <t>bfy</t>
  </si>
  <si>
    <t>Ogc</t>
  </si>
  <si>
    <t>Halicmetus reticulatus</t>
  </si>
  <si>
    <t>yjq</t>
  </si>
  <si>
    <t>Halre</t>
  </si>
  <si>
    <t>Halieutaea fitzsmonsi</t>
  </si>
  <si>
    <t>Halfi</t>
  </si>
  <si>
    <t>Halieutaea fumosa</t>
  </si>
  <si>
    <t>ywj</t>
  </si>
  <si>
    <t>Halfu</t>
  </si>
  <si>
    <t>Halieutaea indica</t>
  </si>
  <si>
    <t>tej</t>
  </si>
  <si>
    <t>Halin</t>
  </si>
  <si>
    <t>Annandale et Jenkins</t>
  </si>
  <si>
    <t>Halieutaea sinica</t>
  </si>
  <si>
    <t>Halsi</t>
  </si>
  <si>
    <t>Tchang et Chang</t>
  </si>
  <si>
    <t>Halieutaea stellata</t>
  </si>
  <si>
    <t>Halst</t>
  </si>
  <si>
    <t>Malthopsis luteus</t>
  </si>
  <si>
    <t>Anguilliformes sp.</t>
  </si>
  <si>
    <t>mlm</t>
  </si>
  <si>
    <t>angu</t>
  </si>
  <si>
    <t>/</t>
  </si>
  <si>
    <t>WDZ</t>
  </si>
  <si>
    <t>ND</t>
  </si>
  <si>
    <t>中文名</t>
  </si>
  <si>
    <t>拉丁学名</t>
  </si>
  <si>
    <t>体长/卵径(mm)</t>
  </si>
  <si>
    <t>个体数量</t>
  </si>
  <si>
    <t>发育阶段</t>
  </si>
  <si>
    <t>分析者</t>
  </si>
  <si>
    <t>计算者</t>
  </si>
  <si>
    <t>科学</t>
  </si>
  <si>
    <t>严谨</t>
  </si>
  <si>
    <t>安全</t>
  </si>
  <si>
    <t>高效</t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</si>
  <si>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</si>
  <si>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</si>
  <si>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</si>
  <si>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rgb="FFFF0000"/>
        <rFont val="宋体"/>
        <family val="3"/>
        <charset val="134"/>
      </rPr>
      <t>为质控模块</t>
    </r>
  </si>
  <si>
    <t>样品瓶号/袋号</t>
  </si>
  <si>
    <r>
      <rPr>
        <b/>
        <sz val="11"/>
        <color theme="0"/>
        <rFont val="宋体"/>
        <family val="3"/>
        <charset val="134"/>
      </rPr>
      <t>生物种群</t>
    </r>
  </si>
  <si>
    <r>
      <rPr>
        <sz val="11"/>
        <rFont val="宋体"/>
        <family val="3"/>
        <charset val="134"/>
      </rPr>
      <t>中文名称</t>
    </r>
  </si>
  <si>
    <r>
      <rPr>
        <sz val="11"/>
        <rFont val="宋体"/>
        <family val="3"/>
        <charset val="134"/>
      </rPr>
      <t>拉丁名</t>
    </r>
  </si>
  <si>
    <r>
      <rPr>
        <sz val="11"/>
        <rFont val="宋体"/>
        <family val="3"/>
        <charset val="134"/>
      </rPr>
      <t>英文代码</t>
    </r>
  </si>
  <si>
    <r>
      <rPr>
        <sz val="11"/>
        <rFont val="宋体"/>
        <family val="3"/>
        <charset val="134"/>
      </rPr>
      <t>输入代码</t>
    </r>
  </si>
  <si>
    <r>
      <rPr>
        <sz val="11"/>
        <rFont val="宋体"/>
        <family val="3"/>
        <charset val="134"/>
      </rPr>
      <t>命名者</t>
    </r>
  </si>
  <si>
    <r>
      <rPr>
        <sz val="11"/>
        <rFont val="宋体"/>
        <family val="3"/>
        <charset val="134"/>
      </rPr>
      <t>拼音重复</t>
    </r>
  </si>
  <si>
    <r>
      <rPr>
        <sz val="11"/>
        <rFont val="宋体"/>
        <family val="3"/>
        <charset val="134"/>
      </rPr>
      <t>拉丁重复</t>
    </r>
  </si>
  <si>
    <r>
      <rPr>
        <sz val="11"/>
        <rFont val="宋体"/>
        <family val="3"/>
        <charset val="134"/>
      </rPr>
      <t>拼音代码</t>
    </r>
  </si>
  <si>
    <r>
      <rPr>
        <sz val="11"/>
        <rFont val="宋体"/>
        <family val="3"/>
        <charset val="134"/>
      </rPr>
      <t>类群</t>
    </r>
  </si>
  <si>
    <r>
      <rPr>
        <sz val="11"/>
        <rFont val="宋体"/>
        <family val="3"/>
        <charset val="134"/>
      </rPr>
      <t>目类群</t>
    </r>
  </si>
  <si>
    <r>
      <rPr>
        <sz val="11"/>
        <rFont val="宋体"/>
        <family val="3"/>
        <charset val="134"/>
      </rPr>
      <t>科类群码</t>
    </r>
  </si>
  <si>
    <r>
      <rPr>
        <sz val="11"/>
        <rFont val="宋体"/>
        <family val="3"/>
        <charset val="134"/>
      </rPr>
      <t>类群码</t>
    </r>
  </si>
  <si>
    <r>
      <rPr>
        <sz val="11"/>
        <color indexed="8"/>
        <rFont val="宋体"/>
        <family val="3"/>
        <charset val="134"/>
      </rPr>
      <t>文昌鱼科</t>
    </r>
  </si>
  <si>
    <r>
      <rPr>
        <sz val="11"/>
        <color indexed="8"/>
        <rFont val="宋体"/>
        <family val="3"/>
        <charset val="134"/>
      </rPr>
      <t>文昌鱼目</t>
    </r>
  </si>
  <si>
    <r>
      <rPr>
        <sz val="11"/>
        <color indexed="8"/>
        <rFont val="宋体"/>
        <family val="3"/>
        <charset val="134"/>
      </rPr>
      <t>粘盲鳗科</t>
    </r>
  </si>
  <si>
    <r>
      <rPr>
        <sz val="11"/>
        <color indexed="8"/>
        <rFont val="宋体"/>
        <family val="3"/>
        <charset val="134"/>
      </rPr>
      <t>盲鳗目</t>
    </r>
  </si>
  <si>
    <r>
      <rPr>
        <sz val="11"/>
        <color indexed="8"/>
        <rFont val="宋体"/>
        <family val="3"/>
        <charset val="134"/>
      </rPr>
      <t>盲鳗科</t>
    </r>
  </si>
  <si>
    <r>
      <rPr>
        <sz val="11"/>
        <color indexed="8"/>
        <rFont val="宋体"/>
        <family val="3"/>
        <charset val="134"/>
      </rPr>
      <t>蒲氏盲鳗</t>
    </r>
  </si>
  <si>
    <r>
      <rPr>
        <sz val="11"/>
        <color indexed="8"/>
        <rFont val="宋体"/>
        <family val="3"/>
        <charset val="134"/>
      </rPr>
      <t>紫盲鳗</t>
    </r>
  </si>
  <si>
    <r>
      <rPr>
        <sz val="11"/>
        <color indexed="8"/>
        <rFont val="宋体"/>
        <family val="3"/>
        <charset val="134"/>
      </rPr>
      <t>陈氏准盲鳗</t>
    </r>
  </si>
  <si>
    <r>
      <rPr>
        <sz val="11"/>
        <color indexed="8"/>
        <rFont val="宋体"/>
        <family val="3"/>
        <charset val="134"/>
      </rPr>
      <t>台湾准盲鳗</t>
    </r>
  </si>
  <si>
    <r>
      <rPr>
        <sz val="11"/>
        <color indexed="8"/>
        <rFont val="宋体"/>
        <family val="3"/>
        <charset val="134"/>
      </rPr>
      <t>杨氏准盲鳗</t>
    </r>
  </si>
  <si>
    <r>
      <rPr>
        <sz val="11"/>
        <color indexed="8"/>
        <rFont val="宋体"/>
        <family val="3"/>
        <charset val="134"/>
      </rPr>
      <t>六鳃鲨科</t>
    </r>
  </si>
  <si>
    <r>
      <rPr>
        <sz val="11"/>
        <color indexed="8"/>
        <rFont val="宋体"/>
        <family val="3"/>
        <charset val="134"/>
      </rPr>
      <t>六鳃鲨目</t>
    </r>
  </si>
  <si>
    <r>
      <rPr>
        <sz val="11"/>
        <color indexed="8"/>
        <rFont val="宋体"/>
        <family val="3"/>
        <charset val="134"/>
      </rPr>
      <t>达氏七鳃鲨</t>
    </r>
  </si>
  <si>
    <r>
      <rPr>
        <sz val="11"/>
        <color indexed="8"/>
        <rFont val="宋体"/>
        <family val="3"/>
        <charset val="134"/>
      </rPr>
      <t>尖吻七鳃鲨</t>
    </r>
  </si>
  <si>
    <r>
      <rPr>
        <sz val="11"/>
        <color indexed="8"/>
        <rFont val="宋体"/>
        <family val="3"/>
        <charset val="134"/>
      </rPr>
      <t>灰六鳃鲨</t>
    </r>
  </si>
  <si>
    <r>
      <rPr>
        <sz val="11"/>
        <color indexed="8"/>
        <rFont val="宋体"/>
        <family val="3"/>
        <charset val="134"/>
      </rPr>
      <t>大眼六鳃鲨</t>
    </r>
  </si>
  <si>
    <r>
      <rPr>
        <sz val="11"/>
        <color indexed="8"/>
        <rFont val="宋体"/>
        <family val="3"/>
        <charset val="134"/>
      </rPr>
      <t>扁头哈那鲨</t>
    </r>
  </si>
  <si>
    <r>
      <rPr>
        <sz val="11"/>
        <color indexed="8"/>
        <rFont val="宋体"/>
        <family val="3"/>
        <charset val="134"/>
      </rPr>
      <t>虎鲨科</t>
    </r>
  </si>
  <si>
    <r>
      <rPr>
        <sz val="11"/>
        <color indexed="8"/>
        <rFont val="宋体"/>
        <family val="3"/>
        <charset val="134"/>
      </rPr>
      <t>虎鲨目</t>
    </r>
  </si>
  <si>
    <r>
      <rPr>
        <sz val="11"/>
        <color indexed="8"/>
        <rFont val="宋体"/>
        <family val="3"/>
        <charset val="134"/>
      </rPr>
      <t>宽纹虎鲨</t>
    </r>
  </si>
  <si>
    <r>
      <rPr>
        <sz val="11"/>
        <color indexed="8"/>
        <rFont val="宋体"/>
        <family val="3"/>
        <charset val="134"/>
      </rPr>
      <t>狭纹虎鲨</t>
    </r>
  </si>
  <si>
    <r>
      <rPr>
        <sz val="11"/>
        <color indexed="8"/>
        <rFont val="宋体"/>
        <family val="3"/>
        <charset val="134"/>
      </rPr>
      <t>锥齿鲨科</t>
    </r>
  </si>
  <si>
    <r>
      <rPr>
        <sz val="11"/>
        <color indexed="8"/>
        <rFont val="宋体"/>
        <family val="3"/>
        <charset val="134"/>
      </rPr>
      <t>鲭鲨目</t>
    </r>
  </si>
  <si>
    <r>
      <rPr>
        <sz val="11"/>
        <color indexed="8"/>
        <rFont val="宋体"/>
        <family val="3"/>
        <charset val="134"/>
      </rPr>
      <t>沙锥齿鲨</t>
    </r>
  </si>
  <si>
    <r>
      <rPr>
        <sz val="11"/>
        <color indexed="8"/>
        <rFont val="宋体"/>
        <family val="3"/>
        <charset val="134"/>
      </rPr>
      <t>欧氏锥齿鲨</t>
    </r>
  </si>
  <si>
    <r>
      <rPr>
        <sz val="11"/>
        <color indexed="8"/>
        <rFont val="宋体"/>
        <family val="3"/>
        <charset val="134"/>
      </rPr>
      <t>鲭鲨科</t>
    </r>
  </si>
  <si>
    <r>
      <rPr>
        <sz val="11"/>
        <color indexed="8"/>
        <rFont val="宋体"/>
        <family val="3"/>
        <charset val="134"/>
      </rPr>
      <t>噬人鲨</t>
    </r>
  </si>
  <si>
    <r>
      <rPr>
        <sz val="11"/>
        <color indexed="8"/>
        <rFont val="宋体"/>
        <family val="3"/>
        <charset val="134"/>
      </rPr>
      <t>灰鲭鲨</t>
    </r>
  </si>
  <si>
    <r>
      <rPr>
        <sz val="11"/>
        <color indexed="8"/>
        <rFont val="宋体"/>
        <family val="3"/>
        <charset val="134"/>
      </rPr>
      <t>尖吻灰鲭鲨</t>
    </r>
  </si>
  <si>
    <r>
      <rPr>
        <sz val="11"/>
        <color indexed="8"/>
        <rFont val="宋体"/>
        <family val="3"/>
        <charset val="134"/>
      </rPr>
      <t>长臂灰鲭鲨</t>
    </r>
  </si>
  <si>
    <r>
      <rPr>
        <sz val="11"/>
        <color indexed="8"/>
        <rFont val="宋体"/>
        <family val="3"/>
        <charset val="134"/>
      </rPr>
      <t>姥鲨科</t>
    </r>
  </si>
  <si>
    <r>
      <rPr>
        <sz val="11"/>
        <color indexed="8"/>
        <rFont val="宋体"/>
        <family val="3"/>
        <charset val="134"/>
      </rPr>
      <t>长尾鲨科</t>
    </r>
  </si>
  <si>
    <r>
      <rPr>
        <sz val="11"/>
        <color indexed="8"/>
        <rFont val="宋体"/>
        <family val="3"/>
        <charset val="134"/>
      </rPr>
      <t>浅海长尾鲨</t>
    </r>
  </si>
  <si>
    <r>
      <rPr>
        <sz val="11"/>
        <color indexed="8"/>
        <rFont val="宋体"/>
        <family val="3"/>
        <charset val="134"/>
      </rPr>
      <t>深海长尾鲨</t>
    </r>
  </si>
  <si>
    <r>
      <rPr>
        <sz val="11"/>
        <color indexed="8"/>
        <rFont val="宋体"/>
        <family val="3"/>
        <charset val="134"/>
      </rPr>
      <t>狐形长尾鲨</t>
    </r>
  </si>
  <si>
    <r>
      <rPr>
        <sz val="11"/>
        <color indexed="8"/>
        <rFont val="宋体"/>
        <family val="3"/>
        <charset val="134"/>
      </rPr>
      <t>须鲨科</t>
    </r>
  </si>
  <si>
    <r>
      <rPr>
        <sz val="11"/>
        <color indexed="8"/>
        <rFont val="宋体"/>
        <family val="3"/>
        <charset val="134"/>
      </rPr>
      <t>须鲨目</t>
    </r>
  </si>
  <si>
    <r>
      <rPr>
        <sz val="11"/>
        <color indexed="8"/>
        <rFont val="宋体"/>
        <family val="3"/>
        <charset val="134"/>
      </rPr>
      <t>长鳍斑竹鲨</t>
    </r>
  </si>
  <si>
    <r>
      <rPr>
        <sz val="11"/>
        <color indexed="8"/>
        <rFont val="宋体"/>
        <family val="3"/>
        <charset val="134"/>
      </rPr>
      <t>灰斑竹鲨</t>
    </r>
  </si>
  <si>
    <r>
      <rPr>
        <sz val="11"/>
        <color indexed="8"/>
        <rFont val="宋体"/>
        <family val="3"/>
        <charset val="134"/>
      </rPr>
      <t>印度斑竹鲨</t>
    </r>
  </si>
  <si>
    <r>
      <rPr>
        <sz val="11"/>
        <color indexed="8"/>
        <rFont val="宋体"/>
        <family val="3"/>
        <charset val="134"/>
      </rPr>
      <t>条纹斑竹鲨</t>
    </r>
  </si>
  <si>
    <r>
      <rPr>
        <sz val="11"/>
        <color indexed="8"/>
        <rFont val="宋体"/>
        <family val="3"/>
        <charset val="134"/>
      </rPr>
      <t>点纹斑竹鲨</t>
    </r>
  </si>
  <si>
    <r>
      <rPr>
        <sz val="11"/>
        <color indexed="8"/>
        <rFont val="宋体"/>
        <family val="3"/>
        <charset val="134"/>
      </rPr>
      <t>锈色锈口鲨</t>
    </r>
  </si>
  <si>
    <r>
      <rPr>
        <sz val="11"/>
        <color indexed="8"/>
        <rFont val="宋体"/>
        <family val="3"/>
        <charset val="134"/>
      </rPr>
      <t>光鳞鲨</t>
    </r>
  </si>
  <si>
    <r>
      <rPr>
        <sz val="11"/>
        <color indexed="8"/>
        <rFont val="宋体"/>
        <family val="3"/>
        <charset val="134"/>
      </rPr>
      <t>日本须鲨</t>
    </r>
  </si>
  <si>
    <r>
      <rPr>
        <sz val="11"/>
        <color indexed="8"/>
        <rFont val="宋体"/>
        <family val="3"/>
        <charset val="134"/>
      </rPr>
      <t>斑纹须鲨</t>
    </r>
  </si>
  <si>
    <r>
      <rPr>
        <sz val="11"/>
        <color indexed="8"/>
        <rFont val="宋体"/>
        <family val="3"/>
        <charset val="134"/>
      </rPr>
      <t>豹纹鲨</t>
    </r>
  </si>
  <si>
    <r>
      <rPr>
        <sz val="11"/>
        <color indexed="8"/>
        <rFont val="宋体"/>
        <family val="3"/>
        <charset val="134"/>
      </rPr>
      <t>鲸鲨科</t>
    </r>
  </si>
  <si>
    <r>
      <rPr>
        <sz val="11"/>
        <color indexed="8"/>
        <rFont val="宋体"/>
        <family val="3"/>
        <charset val="134"/>
      </rPr>
      <t>猫鲨科</t>
    </r>
  </si>
  <si>
    <r>
      <rPr>
        <sz val="11"/>
        <color indexed="8"/>
        <rFont val="宋体"/>
        <family val="3"/>
        <charset val="134"/>
      </rPr>
      <t>真鲨目</t>
    </r>
  </si>
  <si>
    <r>
      <rPr>
        <sz val="11"/>
        <color indexed="8"/>
        <rFont val="宋体"/>
        <family val="3"/>
        <charset val="134"/>
      </rPr>
      <t>短体光尾鲨</t>
    </r>
  </si>
  <si>
    <r>
      <rPr>
        <sz val="11"/>
        <color indexed="8"/>
        <rFont val="宋体"/>
        <family val="3"/>
        <charset val="134"/>
      </rPr>
      <t>无斑光尾鲨</t>
    </r>
  </si>
  <si>
    <r>
      <rPr>
        <sz val="11"/>
        <color indexed="8"/>
        <rFont val="宋体"/>
        <family val="3"/>
        <charset val="134"/>
      </rPr>
      <t>灰光尾鲨</t>
    </r>
  </si>
  <si>
    <r>
      <rPr>
        <sz val="11"/>
        <color indexed="8"/>
        <rFont val="宋体"/>
        <family val="3"/>
        <charset val="134"/>
      </rPr>
      <t>驼背光尾鲨</t>
    </r>
  </si>
  <si>
    <r>
      <rPr>
        <sz val="11"/>
        <color indexed="8"/>
        <rFont val="宋体"/>
        <family val="3"/>
        <charset val="134"/>
      </rPr>
      <t>霍氏光尾鲨</t>
    </r>
  </si>
  <si>
    <r>
      <rPr>
        <sz val="11"/>
        <color indexed="8"/>
        <rFont val="宋体"/>
        <family val="3"/>
        <charset val="134"/>
      </rPr>
      <t>日本光尾鲨</t>
    </r>
  </si>
  <si>
    <r>
      <rPr>
        <sz val="11"/>
        <color indexed="8"/>
        <rFont val="宋体"/>
        <family val="3"/>
        <charset val="134"/>
      </rPr>
      <t>长头光尾鲨</t>
    </r>
  </si>
  <si>
    <r>
      <rPr>
        <sz val="11"/>
        <color indexed="8"/>
        <rFont val="宋体"/>
        <family val="3"/>
        <charset val="134"/>
      </rPr>
      <t>大吻光尾鲨</t>
    </r>
  </si>
  <si>
    <r>
      <rPr>
        <sz val="11"/>
        <color indexed="8"/>
        <rFont val="宋体"/>
        <family val="3"/>
        <charset val="134"/>
      </rPr>
      <t>大口光尾鲨</t>
    </r>
  </si>
  <si>
    <r>
      <rPr>
        <sz val="11"/>
        <color indexed="8"/>
        <rFont val="宋体"/>
        <family val="3"/>
        <charset val="134"/>
      </rPr>
      <t>小眼光尾鲨</t>
    </r>
  </si>
  <si>
    <r>
      <rPr>
        <sz val="11"/>
        <color indexed="8"/>
        <rFont val="宋体"/>
        <family val="3"/>
        <charset val="134"/>
      </rPr>
      <t>粗体光尾鲨</t>
    </r>
  </si>
  <si>
    <r>
      <rPr>
        <sz val="11"/>
        <color indexed="8"/>
        <rFont val="宋体"/>
        <family val="3"/>
        <charset val="134"/>
      </rPr>
      <t>扁吻光尾鲨</t>
    </r>
  </si>
  <si>
    <r>
      <rPr>
        <sz val="11"/>
        <color indexed="8"/>
        <rFont val="宋体"/>
        <family val="3"/>
        <charset val="134"/>
      </rPr>
      <t>中华光尾鲨</t>
    </r>
  </si>
  <si>
    <r>
      <rPr>
        <sz val="11"/>
        <color indexed="8"/>
        <rFont val="宋体"/>
        <family val="3"/>
        <charset val="134"/>
      </rPr>
      <t>范氏光尾鲨</t>
    </r>
  </si>
  <si>
    <r>
      <rPr>
        <sz val="11"/>
        <color indexed="8"/>
        <rFont val="宋体"/>
        <family val="3"/>
        <charset val="134"/>
      </rPr>
      <t>异鳞光尾鲨</t>
    </r>
  </si>
  <si>
    <r>
      <rPr>
        <sz val="11"/>
        <color indexed="8"/>
        <rFont val="宋体"/>
        <family val="3"/>
        <charset val="134"/>
      </rPr>
      <t>斑鲨</t>
    </r>
  </si>
  <si>
    <r>
      <rPr>
        <sz val="11"/>
        <color indexed="8"/>
        <rFont val="宋体"/>
        <family val="3"/>
        <charset val="134"/>
      </rPr>
      <t>网纹绒毛鲨</t>
    </r>
  </si>
  <si>
    <r>
      <rPr>
        <sz val="11"/>
        <color indexed="8"/>
        <rFont val="宋体"/>
        <family val="3"/>
        <charset val="134"/>
      </rPr>
      <t>头绒毛鲨</t>
    </r>
  </si>
  <si>
    <r>
      <rPr>
        <sz val="11"/>
        <color indexed="8"/>
        <rFont val="宋体"/>
        <family val="3"/>
        <charset val="134"/>
      </rPr>
      <t>阴影绒毛鲨</t>
    </r>
  </si>
  <si>
    <r>
      <rPr>
        <sz val="11"/>
        <color indexed="8"/>
        <rFont val="宋体"/>
        <family val="3"/>
        <charset val="134"/>
      </rPr>
      <t>黑鳃双锯鲨</t>
    </r>
  </si>
  <si>
    <r>
      <rPr>
        <sz val="11"/>
        <color indexed="8"/>
        <rFont val="宋体"/>
        <family val="3"/>
        <charset val="134"/>
      </rPr>
      <t>棕黑双锯鲨</t>
    </r>
  </si>
  <si>
    <r>
      <rPr>
        <sz val="11"/>
        <color indexed="8"/>
        <rFont val="宋体"/>
        <family val="3"/>
        <charset val="134"/>
      </rPr>
      <t>伊氏锯尾鲨</t>
    </r>
  </si>
  <si>
    <r>
      <rPr>
        <sz val="11"/>
        <color indexed="8"/>
        <rFont val="宋体"/>
        <family val="3"/>
        <charset val="134"/>
      </rPr>
      <t>日本锯尾鲨</t>
    </r>
  </si>
  <si>
    <r>
      <rPr>
        <sz val="11"/>
        <color indexed="8"/>
        <rFont val="宋体"/>
        <family val="3"/>
        <charset val="134"/>
      </rPr>
      <t>沙氏锯尾鲨</t>
    </r>
  </si>
  <si>
    <r>
      <rPr>
        <sz val="11"/>
        <color indexed="8"/>
        <rFont val="宋体"/>
        <family val="3"/>
        <charset val="134"/>
      </rPr>
      <t>梅花鲨</t>
    </r>
  </si>
  <si>
    <r>
      <rPr>
        <sz val="11"/>
        <color indexed="8"/>
        <rFont val="宋体"/>
        <family val="3"/>
        <charset val="134"/>
      </rPr>
      <t>无斑梅花鲨</t>
    </r>
  </si>
  <si>
    <r>
      <rPr>
        <sz val="11"/>
        <color indexed="8"/>
        <rFont val="宋体"/>
        <family val="3"/>
        <charset val="134"/>
      </rPr>
      <t>哈氏台湾鲨</t>
    </r>
  </si>
  <si>
    <r>
      <rPr>
        <sz val="11"/>
        <color indexed="8"/>
        <rFont val="宋体"/>
        <family val="3"/>
        <charset val="134"/>
      </rPr>
      <t>虎纹猫鲨</t>
    </r>
  </si>
  <si>
    <r>
      <rPr>
        <sz val="11"/>
        <color indexed="8"/>
        <rFont val="宋体"/>
        <family val="3"/>
        <charset val="134"/>
      </rPr>
      <t>皱唇鲨科</t>
    </r>
  </si>
  <si>
    <r>
      <rPr>
        <sz val="11"/>
        <color indexed="8"/>
        <rFont val="宋体"/>
        <family val="3"/>
        <charset val="134"/>
      </rPr>
      <t>唇鲨科</t>
    </r>
  </si>
  <si>
    <r>
      <rPr>
        <sz val="11"/>
        <color indexed="8"/>
        <rFont val="宋体"/>
        <family val="3"/>
        <charset val="134"/>
      </rPr>
      <t>光唇鲨</t>
    </r>
  </si>
  <si>
    <r>
      <rPr>
        <sz val="11"/>
        <color indexed="8"/>
        <rFont val="宋体"/>
        <family val="3"/>
        <charset val="134"/>
      </rPr>
      <t>黑鳍翅鲨</t>
    </r>
  </si>
  <si>
    <r>
      <rPr>
        <sz val="11"/>
        <color indexed="8"/>
        <rFont val="宋体"/>
        <family val="3"/>
        <charset val="134"/>
      </rPr>
      <t>日本翅鲨</t>
    </r>
  </si>
  <si>
    <r>
      <rPr>
        <sz val="11"/>
        <color indexed="8"/>
        <rFont val="宋体"/>
        <family val="3"/>
        <charset val="134"/>
      </rPr>
      <t>灰星鲨</t>
    </r>
  </si>
  <si>
    <r>
      <rPr>
        <sz val="11"/>
        <color indexed="8"/>
        <rFont val="宋体"/>
        <family val="3"/>
        <charset val="134"/>
      </rPr>
      <t>前鳍星鲨</t>
    </r>
  </si>
  <si>
    <r>
      <rPr>
        <sz val="11"/>
        <color indexed="8"/>
        <rFont val="宋体"/>
        <family val="3"/>
        <charset val="134"/>
      </rPr>
      <t>白斑星鲨</t>
    </r>
  </si>
  <si>
    <r>
      <rPr>
        <sz val="11"/>
        <color indexed="8"/>
        <rFont val="宋体"/>
        <family val="3"/>
        <charset val="134"/>
      </rPr>
      <t>皱唇鲨</t>
    </r>
  </si>
  <si>
    <r>
      <rPr>
        <sz val="11"/>
        <color indexed="8"/>
        <rFont val="宋体"/>
        <family val="3"/>
        <charset val="134"/>
      </rPr>
      <t>斑点皱唇鲨</t>
    </r>
  </si>
  <si>
    <r>
      <rPr>
        <sz val="11"/>
        <color indexed="8"/>
        <rFont val="宋体"/>
        <family val="3"/>
        <charset val="134"/>
      </rPr>
      <t>真鲨科</t>
    </r>
  </si>
  <si>
    <r>
      <rPr>
        <sz val="11"/>
        <color indexed="8"/>
        <rFont val="宋体"/>
        <family val="3"/>
        <charset val="134"/>
      </rPr>
      <t>短鳍直齿鲨</t>
    </r>
  </si>
  <si>
    <r>
      <rPr>
        <sz val="11"/>
        <color indexed="8"/>
        <rFont val="宋体"/>
        <family val="3"/>
        <charset val="134"/>
      </rPr>
      <t>白边真鲨</t>
    </r>
  </si>
  <si>
    <r>
      <rPr>
        <sz val="11"/>
        <color indexed="8"/>
        <rFont val="宋体"/>
        <family val="3"/>
        <charset val="134"/>
      </rPr>
      <t>大鼻真鲨</t>
    </r>
  </si>
  <si>
    <r>
      <rPr>
        <sz val="11"/>
        <color indexed="8"/>
        <rFont val="宋体"/>
        <family val="3"/>
        <charset val="134"/>
      </rPr>
      <t>黑背真鲨</t>
    </r>
  </si>
  <si>
    <r>
      <rPr>
        <sz val="11"/>
        <color indexed="8"/>
        <rFont val="宋体"/>
        <family val="3"/>
        <charset val="134"/>
      </rPr>
      <t>短尾真鲨</t>
    </r>
  </si>
  <si>
    <r>
      <rPr>
        <sz val="11"/>
        <color indexed="8"/>
        <rFont val="宋体"/>
        <family val="3"/>
        <charset val="134"/>
      </rPr>
      <t>蔷薇真鲨</t>
    </r>
  </si>
  <si>
    <r>
      <rPr>
        <sz val="11"/>
        <color indexed="8"/>
        <rFont val="宋体"/>
        <family val="3"/>
        <charset val="134"/>
      </rPr>
      <t>杜氏真鲨</t>
    </r>
  </si>
  <si>
    <r>
      <rPr>
        <sz val="11"/>
        <color indexed="8"/>
        <rFont val="宋体"/>
        <family val="3"/>
        <charset val="134"/>
      </rPr>
      <t>平滑真鲨</t>
    </r>
  </si>
  <si>
    <r>
      <rPr>
        <sz val="11"/>
        <color indexed="8"/>
        <rFont val="宋体"/>
        <family val="3"/>
        <charset val="134"/>
      </rPr>
      <t>恒河真鲨</t>
    </r>
  </si>
  <si>
    <r>
      <rPr>
        <sz val="11"/>
        <color indexed="8"/>
        <rFont val="宋体"/>
        <family val="3"/>
        <charset val="134"/>
      </rPr>
      <t>阔口真鲨</t>
    </r>
  </si>
  <si>
    <r>
      <rPr>
        <sz val="11"/>
        <color indexed="8"/>
        <rFont val="宋体"/>
        <family val="3"/>
        <charset val="134"/>
      </rPr>
      <t>公牛真鲨</t>
    </r>
  </si>
  <si>
    <r>
      <rPr>
        <sz val="11"/>
        <color indexed="8"/>
        <rFont val="宋体"/>
        <family val="3"/>
        <charset val="134"/>
      </rPr>
      <t>黑边真鲨</t>
    </r>
  </si>
  <si>
    <r>
      <rPr>
        <sz val="11"/>
        <color indexed="8"/>
        <rFont val="宋体"/>
        <family val="3"/>
        <charset val="134"/>
      </rPr>
      <t>长鳍真鲨</t>
    </r>
  </si>
  <si>
    <r>
      <rPr>
        <sz val="11"/>
        <color indexed="8"/>
        <rFont val="宋体"/>
        <family val="3"/>
        <charset val="134"/>
      </rPr>
      <t>枪头真鲨</t>
    </r>
  </si>
  <si>
    <r>
      <rPr>
        <sz val="11"/>
        <color indexed="8"/>
        <rFont val="宋体"/>
        <family val="3"/>
        <charset val="134"/>
      </rPr>
      <t>大眼真鲨</t>
    </r>
  </si>
  <si>
    <r>
      <rPr>
        <sz val="11"/>
        <color indexed="8"/>
        <rFont val="宋体"/>
        <family val="3"/>
        <charset val="134"/>
      </rPr>
      <t>乌翅真鲨</t>
    </r>
  </si>
  <si>
    <r>
      <rPr>
        <sz val="11"/>
        <color indexed="8"/>
        <rFont val="宋体"/>
        <family val="3"/>
        <charset val="134"/>
      </rPr>
      <t>黑印真鲨</t>
    </r>
  </si>
  <si>
    <r>
      <rPr>
        <sz val="11"/>
        <color indexed="8"/>
        <rFont val="宋体"/>
        <family val="3"/>
        <charset val="134"/>
      </rPr>
      <t>小眼真鲨</t>
    </r>
  </si>
  <si>
    <r>
      <rPr>
        <sz val="11"/>
        <color indexed="8"/>
        <rFont val="宋体"/>
        <family val="3"/>
        <charset val="134"/>
      </rPr>
      <t>暗体真鲨</t>
    </r>
  </si>
  <si>
    <r>
      <rPr>
        <sz val="11"/>
        <color indexed="8"/>
        <rFont val="宋体"/>
        <family val="3"/>
        <charset val="134"/>
      </rPr>
      <t>灰色真鲨</t>
    </r>
  </si>
  <si>
    <r>
      <rPr>
        <sz val="11"/>
        <color indexed="8"/>
        <rFont val="宋体"/>
        <family val="3"/>
        <charset val="134"/>
      </rPr>
      <t>侧条真鲨</t>
    </r>
  </si>
  <si>
    <r>
      <rPr>
        <sz val="11"/>
        <color indexed="8"/>
        <rFont val="宋体"/>
        <family val="3"/>
        <charset val="134"/>
      </rPr>
      <t>高鳍真鲨</t>
    </r>
  </si>
  <si>
    <r>
      <rPr>
        <sz val="11"/>
        <color indexed="8"/>
        <rFont val="宋体"/>
        <family val="3"/>
        <charset val="134"/>
      </rPr>
      <t>远鳍真鲨</t>
    </r>
  </si>
  <si>
    <r>
      <rPr>
        <sz val="11"/>
        <color indexed="8"/>
        <rFont val="宋体"/>
        <family val="3"/>
        <charset val="134"/>
      </rPr>
      <t>沙拉真鲨</t>
    </r>
  </si>
  <si>
    <r>
      <rPr>
        <sz val="11"/>
        <color indexed="8"/>
        <rFont val="宋体"/>
        <family val="3"/>
        <charset val="134"/>
      </rPr>
      <t>鼬鲨</t>
    </r>
  </si>
  <si>
    <r>
      <rPr>
        <sz val="11"/>
        <color indexed="8"/>
        <rFont val="宋体"/>
        <family val="3"/>
        <charset val="134"/>
      </rPr>
      <t>黑鳍基齿鲨</t>
    </r>
  </si>
  <si>
    <r>
      <rPr>
        <sz val="11"/>
        <color indexed="8"/>
        <rFont val="宋体"/>
        <family val="3"/>
        <charset val="134"/>
      </rPr>
      <t>长吻基齿鲨</t>
    </r>
  </si>
  <si>
    <r>
      <rPr>
        <sz val="11"/>
        <color indexed="8"/>
        <rFont val="宋体"/>
        <family val="3"/>
        <charset val="134"/>
      </rPr>
      <t>柠檬鲨</t>
    </r>
  </si>
  <si>
    <r>
      <rPr>
        <sz val="11"/>
        <color indexed="8"/>
        <rFont val="宋体"/>
        <family val="3"/>
        <charset val="134"/>
      </rPr>
      <t>鲍氏沙条鲨</t>
    </r>
  </si>
  <si>
    <r>
      <rPr>
        <sz val="11"/>
        <color indexed="8"/>
        <rFont val="宋体"/>
        <family val="3"/>
        <charset val="134"/>
      </rPr>
      <t>短颌沙条鲨</t>
    </r>
  </si>
  <si>
    <r>
      <rPr>
        <sz val="11"/>
        <color indexed="8"/>
        <rFont val="宋体"/>
        <family val="3"/>
        <charset val="134"/>
      </rPr>
      <t>大孔沙条鲨</t>
    </r>
  </si>
  <si>
    <r>
      <rPr>
        <sz val="11"/>
        <color indexed="8"/>
        <rFont val="宋体"/>
        <family val="3"/>
        <charset val="134"/>
      </rPr>
      <t>小孔沙条鲨</t>
    </r>
  </si>
  <si>
    <r>
      <rPr>
        <sz val="11"/>
        <color indexed="8"/>
        <rFont val="宋体"/>
        <family val="3"/>
        <charset val="134"/>
      </rPr>
      <t>尖鳍副沙条鲨</t>
    </r>
  </si>
  <si>
    <r>
      <rPr>
        <sz val="11"/>
        <color indexed="8"/>
        <rFont val="宋体"/>
        <family val="3"/>
        <charset val="134"/>
      </rPr>
      <t>邓氏副沙条鲨</t>
    </r>
  </si>
  <si>
    <r>
      <rPr>
        <sz val="11"/>
        <color indexed="8"/>
        <rFont val="宋体"/>
        <family val="3"/>
        <charset val="134"/>
      </rPr>
      <t>墨氏胞齿鲨</t>
    </r>
  </si>
  <si>
    <r>
      <rPr>
        <sz val="11"/>
        <color indexed="8"/>
        <rFont val="宋体"/>
        <family val="3"/>
        <charset val="134"/>
      </rPr>
      <t>大青鲨</t>
    </r>
  </si>
  <si>
    <r>
      <rPr>
        <sz val="11"/>
        <color indexed="8"/>
        <rFont val="宋体"/>
        <family val="3"/>
        <charset val="134"/>
      </rPr>
      <t>杜氏斜齿鲨</t>
    </r>
  </si>
  <si>
    <r>
      <rPr>
        <sz val="11"/>
        <color indexed="8"/>
        <rFont val="宋体"/>
        <family val="3"/>
        <charset val="134"/>
      </rPr>
      <t>宽尾斜齿鲨</t>
    </r>
  </si>
  <si>
    <r>
      <rPr>
        <sz val="11"/>
        <color indexed="8"/>
        <rFont val="宋体"/>
        <family val="3"/>
        <charset val="134"/>
      </rPr>
      <t>短鳍斜齿鲨</t>
    </r>
  </si>
  <si>
    <r>
      <rPr>
        <sz val="11"/>
        <color indexed="8"/>
        <rFont val="宋体"/>
        <family val="3"/>
        <charset val="134"/>
      </rPr>
      <t>尖头斜齿鲨</t>
    </r>
  </si>
  <si>
    <r>
      <rPr>
        <sz val="11"/>
        <color indexed="8"/>
        <rFont val="宋体"/>
        <family val="3"/>
        <charset val="134"/>
      </rPr>
      <t>瓦氏斜齿鲨</t>
    </r>
  </si>
  <si>
    <r>
      <rPr>
        <sz val="11"/>
        <color indexed="8"/>
        <rFont val="宋体"/>
        <family val="3"/>
        <charset val="134"/>
      </rPr>
      <t>三齿鲨</t>
    </r>
  </si>
  <si>
    <r>
      <rPr>
        <sz val="11"/>
        <color indexed="8"/>
        <rFont val="宋体"/>
        <family val="3"/>
        <charset val="134"/>
      </rPr>
      <t>双髻鲨科</t>
    </r>
  </si>
  <si>
    <r>
      <rPr>
        <sz val="11"/>
        <color indexed="8"/>
        <rFont val="宋体"/>
        <family val="3"/>
        <charset val="134"/>
      </rPr>
      <t>丁字双髻鲨</t>
    </r>
  </si>
  <si>
    <r>
      <rPr>
        <sz val="11"/>
        <color indexed="8"/>
        <rFont val="宋体"/>
        <family val="3"/>
        <charset val="134"/>
      </rPr>
      <t>路氏双髻鲨</t>
    </r>
  </si>
  <si>
    <r>
      <rPr>
        <sz val="11"/>
        <color indexed="8"/>
        <rFont val="宋体"/>
        <family val="3"/>
        <charset val="134"/>
      </rPr>
      <t>无沟双髻鲨</t>
    </r>
  </si>
  <si>
    <r>
      <rPr>
        <sz val="11"/>
        <color indexed="8"/>
        <rFont val="宋体"/>
        <family val="3"/>
        <charset val="134"/>
      </rPr>
      <t>窄头双髻鲨</t>
    </r>
  </si>
  <si>
    <r>
      <rPr>
        <sz val="11"/>
        <color indexed="8"/>
        <rFont val="宋体"/>
        <family val="3"/>
        <charset val="134"/>
      </rPr>
      <t>锤头双髻鲨</t>
    </r>
  </si>
  <si>
    <r>
      <rPr>
        <sz val="11"/>
        <color indexed="8"/>
        <rFont val="宋体"/>
        <family val="3"/>
        <charset val="134"/>
      </rPr>
      <t>角鲨科</t>
    </r>
  </si>
  <si>
    <r>
      <rPr>
        <sz val="11"/>
        <color indexed="8"/>
        <rFont val="宋体"/>
        <family val="3"/>
        <charset val="134"/>
      </rPr>
      <t>角鲨目</t>
    </r>
  </si>
  <si>
    <r>
      <rPr>
        <sz val="11"/>
        <color indexed="8"/>
        <rFont val="宋体"/>
        <family val="3"/>
        <charset val="134"/>
      </rPr>
      <t>尖鳍刺鲨</t>
    </r>
  </si>
  <si>
    <r>
      <rPr>
        <sz val="11"/>
        <color indexed="8"/>
        <rFont val="宋体"/>
        <family val="3"/>
        <charset val="134"/>
      </rPr>
      <t>方鳍刺鲨</t>
    </r>
  </si>
  <si>
    <r>
      <rPr>
        <sz val="11"/>
        <color indexed="8"/>
        <rFont val="宋体"/>
        <family val="3"/>
        <charset val="134"/>
      </rPr>
      <t>颗粒刺鲨</t>
    </r>
  </si>
  <si>
    <r>
      <rPr>
        <sz val="11"/>
        <color indexed="8"/>
        <rFont val="宋体"/>
        <family val="3"/>
        <charset val="134"/>
      </rPr>
      <t>黑尖鳍刺鲨</t>
    </r>
  </si>
  <si>
    <r>
      <rPr>
        <sz val="11"/>
        <color indexed="8"/>
        <rFont val="宋体"/>
        <family val="3"/>
        <charset val="134"/>
      </rPr>
      <t>皱皮刺鲨</t>
    </r>
  </si>
  <si>
    <r>
      <rPr>
        <sz val="11"/>
        <color indexed="8"/>
        <rFont val="宋体"/>
        <family val="3"/>
        <charset val="134"/>
      </rPr>
      <t>邓氏刺鲨</t>
    </r>
  </si>
  <si>
    <r>
      <rPr>
        <sz val="11"/>
        <color indexed="8"/>
        <rFont val="宋体"/>
        <family val="3"/>
        <charset val="134"/>
      </rPr>
      <t>粗体刺鲨</t>
    </r>
  </si>
  <si>
    <r>
      <rPr>
        <sz val="11"/>
        <color indexed="8"/>
        <rFont val="宋体"/>
        <family val="3"/>
        <charset val="134"/>
      </rPr>
      <t>叶鳞刺鲨</t>
    </r>
  </si>
  <si>
    <r>
      <rPr>
        <sz val="11"/>
        <color indexed="8"/>
        <rFont val="宋体"/>
        <family val="3"/>
        <charset val="134"/>
      </rPr>
      <t>锯齿刺鲨</t>
    </r>
  </si>
  <si>
    <r>
      <rPr>
        <sz val="11"/>
        <color indexed="8"/>
        <rFont val="宋体"/>
        <family val="3"/>
        <charset val="134"/>
      </rPr>
      <t>箭头刺鲨</t>
    </r>
  </si>
  <si>
    <r>
      <rPr>
        <sz val="11"/>
        <color indexed="8"/>
        <rFont val="宋体"/>
        <family val="3"/>
        <charset val="134"/>
      </rPr>
      <t>法氏霞鲨</t>
    </r>
  </si>
  <si>
    <r>
      <rPr>
        <sz val="11"/>
        <color indexed="8"/>
        <rFont val="宋体"/>
        <family val="3"/>
        <charset val="134"/>
      </rPr>
      <t>蒲氏霞鲨</t>
    </r>
  </si>
  <si>
    <r>
      <rPr>
        <sz val="11"/>
        <color indexed="8"/>
        <rFont val="宋体"/>
        <family val="3"/>
        <charset val="134"/>
      </rPr>
      <t>黑氏霞鲨</t>
    </r>
  </si>
  <si>
    <r>
      <rPr>
        <sz val="11"/>
        <color indexed="8"/>
        <rFont val="宋体"/>
        <family val="3"/>
        <charset val="134"/>
      </rPr>
      <t>大眼荆鲨</t>
    </r>
  </si>
  <si>
    <r>
      <rPr>
        <sz val="11"/>
        <color indexed="8"/>
        <rFont val="宋体"/>
        <family val="3"/>
        <charset val="134"/>
      </rPr>
      <t>欧氏荆鲨</t>
    </r>
  </si>
  <si>
    <r>
      <rPr>
        <sz val="11"/>
        <color indexed="8"/>
        <rFont val="宋体"/>
        <family val="3"/>
        <charset val="134"/>
      </rPr>
      <t>田氏鲨</t>
    </r>
  </si>
  <si>
    <r>
      <rPr>
        <sz val="11"/>
        <color indexed="8"/>
        <rFont val="宋体"/>
        <family val="3"/>
        <charset val="134"/>
      </rPr>
      <t>乌鲨</t>
    </r>
  </si>
  <si>
    <r>
      <rPr>
        <sz val="11"/>
        <color indexed="8"/>
        <rFont val="宋体"/>
        <family val="3"/>
        <charset val="134"/>
      </rPr>
      <t>模拉里乌鲨</t>
    </r>
  </si>
  <si>
    <r>
      <rPr>
        <sz val="11"/>
        <color indexed="8"/>
        <rFont val="宋体"/>
        <family val="3"/>
        <charset val="134"/>
      </rPr>
      <t>小乌鲨</t>
    </r>
  </si>
  <si>
    <r>
      <rPr>
        <sz val="11"/>
        <color indexed="8"/>
        <rFont val="宋体"/>
        <family val="3"/>
        <charset val="134"/>
      </rPr>
      <t>斯普兰汀乌鲨</t>
    </r>
  </si>
  <si>
    <r>
      <rPr>
        <sz val="11"/>
        <color indexed="8"/>
        <rFont val="宋体"/>
        <family val="3"/>
        <charset val="134"/>
      </rPr>
      <t>同齿拟刺鲨</t>
    </r>
  </si>
  <si>
    <r>
      <rPr>
        <sz val="11"/>
        <color indexed="8"/>
        <rFont val="宋体"/>
        <family val="3"/>
        <charset val="134"/>
      </rPr>
      <t>黑异鳞鲨</t>
    </r>
  </si>
  <si>
    <r>
      <rPr>
        <sz val="11"/>
        <color indexed="8"/>
        <rFont val="宋体"/>
        <family val="3"/>
        <charset val="134"/>
      </rPr>
      <t>异鳞鲨</t>
    </r>
  </si>
  <si>
    <r>
      <rPr>
        <sz val="11"/>
        <color indexed="8"/>
        <rFont val="宋体"/>
        <family val="3"/>
        <charset val="134"/>
      </rPr>
      <t>白斑角鲨</t>
    </r>
  </si>
  <si>
    <r>
      <rPr>
        <sz val="11"/>
        <color indexed="8"/>
        <rFont val="宋体"/>
        <family val="3"/>
        <charset val="134"/>
      </rPr>
      <t>尖吻角鲨</t>
    </r>
  </si>
  <si>
    <r>
      <rPr>
        <sz val="11"/>
        <color indexed="8"/>
        <rFont val="宋体"/>
        <family val="3"/>
        <charset val="134"/>
      </rPr>
      <t>日本角鲨</t>
    </r>
  </si>
  <si>
    <r>
      <rPr>
        <sz val="11"/>
        <color indexed="8"/>
        <rFont val="宋体"/>
        <family val="3"/>
        <charset val="134"/>
      </rPr>
      <t>短吻角鲨</t>
    </r>
  </si>
  <si>
    <r>
      <rPr>
        <sz val="11"/>
        <color indexed="8"/>
        <rFont val="宋体"/>
        <family val="3"/>
        <charset val="134"/>
      </rPr>
      <t>长吻角鲨</t>
    </r>
  </si>
  <si>
    <r>
      <rPr>
        <sz val="11"/>
        <color indexed="8"/>
        <rFont val="宋体"/>
        <family val="3"/>
        <charset val="134"/>
      </rPr>
      <t>扁鲨科</t>
    </r>
  </si>
  <si>
    <r>
      <rPr>
        <sz val="11"/>
        <color indexed="8"/>
        <rFont val="宋体"/>
        <family val="3"/>
        <charset val="134"/>
      </rPr>
      <t>扁鲨目</t>
    </r>
  </si>
  <si>
    <r>
      <rPr>
        <sz val="11"/>
        <color indexed="8"/>
        <rFont val="宋体"/>
        <family val="3"/>
        <charset val="134"/>
      </rPr>
      <t>台湾扁鲨</t>
    </r>
  </si>
  <si>
    <r>
      <rPr>
        <sz val="11"/>
        <color indexed="8"/>
        <rFont val="宋体"/>
        <family val="3"/>
        <charset val="134"/>
      </rPr>
      <t>日本扁鲨</t>
    </r>
  </si>
  <si>
    <r>
      <rPr>
        <sz val="11"/>
        <color indexed="8"/>
        <rFont val="宋体"/>
        <family val="3"/>
        <charset val="134"/>
      </rPr>
      <t>星云扁鲨</t>
    </r>
  </si>
  <si>
    <r>
      <rPr>
        <sz val="11"/>
        <color indexed="8"/>
        <rFont val="宋体"/>
        <family val="3"/>
        <charset val="134"/>
      </rPr>
      <t>拟背斑扁鲨</t>
    </r>
  </si>
  <si>
    <r>
      <rPr>
        <sz val="11"/>
        <color indexed="8"/>
        <rFont val="宋体"/>
        <family val="3"/>
        <charset val="134"/>
      </rPr>
      <t>锯鲨科</t>
    </r>
  </si>
  <si>
    <r>
      <rPr>
        <sz val="11"/>
        <color indexed="8"/>
        <rFont val="宋体"/>
        <family val="3"/>
        <charset val="134"/>
      </rPr>
      <t>锯鲨目</t>
    </r>
  </si>
  <si>
    <r>
      <rPr>
        <sz val="11"/>
        <color indexed="8"/>
        <rFont val="宋体"/>
        <family val="3"/>
        <charset val="134"/>
      </rPr>
      <t>锯鳐科</t>
    </r>
  </si>
  <si>
    <r>
      <rPr>
        <sz val="11"/>
        <color indexed="8"/>
        <rFont val="宋体"/>
        <family val="3"/>
        <charset val="134"/>
      </rPr>
      <t>日本锯鲨</t>
    </r>
  </si>
  <si>
    <r>
      <rPr>
        <sz val="11"/>
        <color indexed="8"/>
        <rFont val="宋体"/>
        <family val="3"/>
        <charset val="134"/>
      </rPr>
      <t>尖齿锯鳐</t>
    </r>
  </si>
  <si>
    <r>
      <rPr>
        <sz val="11"/>
        <color indexed="8"/>
        <rFont val="宋体"/>
        <family val="3"/>
        <charset val="134"/>
      </rPr>
      <t>锯鳐目</t>
    </r>
  </si>
  <si>
    <r>
      <rPr>
        <sz val="11"/>
        <color indexed="8"/>
        <rFont val="宋体"/>
        <family val="3"/>
        <charset val="134"/>
      </rPr>
      <t>小齿锯鳐</t>
    </r>
  </si>
  <si>
    <r>
      <rPr>
        <sz val="11"/>
        <color indexed="8"/>
        <rFont val="宋体"/>
        <family val="3"/>
        <charset val="134"/>
      </rPr>
      <t>圆犁头鳐科</t>
    </r>
  </si>
  <si>
    <r>
      <rPr>
        <sz val="11"/>
        <color indexed="8"/>
        <rFont val="宋体"/>
        <family val="3"/>
        <charset val="134"/>
      </rPr>
      <t>鳐形目</t>
    </r>
  </si>
  <si>
    <r>
      <rPr>
        <sz val="11"/>
        <color indexed="8"/>
        <rFont val="宋体"/>
        <family val="3"/>
        <charset val="134"/>
      </rPr>
      <t>犁头鳐科</t>
    </r>
  </si>
  <si>
    <r>
      <rPr>
        <sz val="11"/>
        <color indexed="8"/>
        <rFont val="宋体"/>
        <family val="3"/>
        <charset val="134"/>
      </rPr>
      <t>团扇鳐科</t>
    </r>
  </si>
  <si>
    <r>
      <rPr>
        <sz val="11"/>
        <color indexed="8"/>
        <rFont val="宋体"/>
        <family val="3"/>
        <charset val="134"/>
      </rPr>
      <t>鳐科</t>
    </r>
  </si>
  <si>
    <r>
      <rPr>
        <sz val="11"/>
        <color indexed="8"/>
        <rFont val="宋体"/>
        <family val="3"/>
        <charset val="134"/>
      </rPr>
      <t>匀棘深水鳐</t>
    </r>
  </si>
  <si>
    <r>
      <rPr>
        <sz val="11"/>
        <color indexed="8"/>
        <rFont val="宋体"/>
        <family val="3"/>
        <charset val="134"/>
      </rPr>
      <t>短鳐</t>
    </r>
  </si>
  <si>
    <r>
      <rPr>
        <sz val="11"/>
        <color indexed="8"/>
        <rFont val="宋体"/>
        <family val="3"/>
        <charset val="134"/>
      </rPr>
      <t>尖鳍鳐</t>
    </r>
  </si>
  <si>
    <r>
      <rPr>
        <sz val="11"/>
        <color indexed="8"/>
        <rFont val="宋体"/>
        <family val="3"/>
        <charset val="134"/>
      </rPr>
      <t>鲍氏鳐</t>
    </r>
  </si>
  <si>
    <r>
      <rPr>
        <sz val="11"/>
        <color indexed="8"/>
        <rFont val="宋体"/>
        <family val="3"/>
        <charset val="134"/>
      </rPr>
      <t>华鳐</t>
    </r>
  </si>
  <si>
    <r>
      <rPr>
        <sz val="11"/>
        <color indexed="8"/>
        <rFont val="宋体"/>
        <family val="3"/>
        <charset val="134"/>
      </rPr>
      <t>巨鳐</t>
    </r>
  </si>
  <si>
    <r>
      <rPr>
        <sz val="11"/>
        <color indexed="8"/>
        <rFont val="宋体"/>
        <family val="3"/>
        <charset val="134"/>
      </rPr>
      <t>何氏鳐</t>
    </r>
  </si>
  <si>
    <r>
      <rPr>
        <sz val="11"/>
        <color indexed="8"/>
        <rFont val="宋体"/>
        <family val="3"/>
        <charset val="134"/>
      </rPr>
      <t>网纹鳐</t>
    </r>
  </si>
  <si>
    <r>
      <rPr>
        <sz val="11"/>
        <color indexed="8"/>
        <rFont val="宋体"/>
        <family val="3"/>
        <charset val="134"/>
      </rPr>
      <t>斑鳐</t>
    </r>
  </si>
  <si>
    <r>
      <rPr>
        <sz val="11"/>
        <color indexed="8"/>
        <rFont val="宋体"/>
        <family val="3"/>
        <charset val="134"/>
      </rPr>
      <t>广东鳐</t>
    </r>
  </si>
  <si>
    <r>
      <rPr>
        <sz val="11"/>
        <color indexed="8"/>
        <rFont val="宋体"/>
        <family val="3"/>
        <charset val="134"/>
      </rPr>
      <t>大尾鳐</t>
    </r>
  </si>
  <si>
    <r>
      <rPr>
        <sz val="11"/>
        <color indexed="8"/>
        <rFont val="宋体"/>
        <family val="3"/>
        <charset val="134"/>
      </rPr>
      <t>大眼鳐</t>
    </r>
  </si>
  <si>
    <r>
      <rPr>
        <sz val="11"/>
        <color indexed="8"/>
        <rFont val="宋体"/>
        <family val="3"/>
        <charset val="134"/>
      </rPr>
      <t>孔鳐</t>
    </r>
  </si>
  <si>
    <r>
      <rPr>
        <sz val="11"/>
        <color indexed="8"/>
        <rFont val="宋体"/>
        <family val="3"/>
        <charset val="134"/>
      </rPr>
      <t>美鳐</t>
    </r>
  </si>
  <si>
    <r>
      <rPr>
        <sz val="11"/>
        <color indexed="8"/>
        <rFont val="宋体"/>
        <family val="3"/>
        <charset val="134"/>
      </rPr>
      <t>长鼻鳐</t>
    </r>
  </si>
  <si>
    <r>
      <rPr>
        <sz val="11"/>
        <color indexed="8"/>
        <rFont val="宋体"/>
        <family val="3"/>
        <charset val="134"/>
      </rPr>
      <t>六鳃魟科</t>
    </r>
  </si>
  <si>
    <r>
      <rPr>
        <sz val="11"/>
        <color indexed="8"/>
        <rFont val="宋体"/>
        <family val="3"/>
        <charset val="134"/>
      </rPr>
      <t>鲼形目</t>
    </r>
  </si>
  <si>
    <r>
      <rPr>
        <sz val="11"/>
        <color indexed="8"/>
        <rFont val="宋体"/>
        <family val="3"/>
        <charset val="134"/>
      </rPr>
      <t>六鳃魟</t>
    </r>
  </si>
  <si>
    <r>
      <rPr>
        <sz val="11"/>
        <color indexed="8"/>
        <rFont val="宋体"/>
        <family val="3"/>
        <charset val="134"/>
      </rPr>
      <t>短吻六鳃魟</t>
    </r>
  </si>
  <si>
    <r>
      <rPr>
        <sz val="11"/>
        <color indexed="8"/>
        <rFont val="宋体"/>
        <family val="3"/>
        <charset val="134"/>
      </rPr>
      <t>长吻六鳃魟</t>
    </r>
  </si>
  <si>
    <r>
      <rPr>
        <sz val="11"/>
        <color indexed="8"/>
        <rFont val="宋体"/>
        <family val="3"/>
        <charset val="134"/>
      </rPr>
      <t>台湾六鳃魟</t>
    </r>
  </si>
  <si>
    <r>
      <rPr>
        <sz val="11"/>
        <color indexed="8"/>
        <rFont val="宋体"/>
        <family val="3"/>
        <charset val="134"/>
      </rPr>
      <t>杨氏六鳃魟</t>
    </r>
  </si>
  <si>
    <r>
      <rPr>
        <sz val="11"/>
        <color indexed="8"/>
        <rFont val="宋体"/>
        <family val="3"/>
        <charset val="134"/>
      </rPr>
      <t>魟科</t>
    </r>
  </si>
  <si>
    <r>
      <rPr>
        <sz val="11"/>
        <color indexed="8"/>
        <rFont val="宋体"/>
        <family val="3"/>
        <charset val="134"/>
      </rPr>
      <t>赤魟</t>
    </r>
  </si>
  <si>
    <r>
      <rPr>
        <sz val="11"/>
        <color indexed="8"/>
        <rFont val="宋体"/>
        <family val="3"/>
        <charset val="134"/>
      </rPr>
      <t>黑魟</t>
    </r>
  </si>
  <si>
    <r>
      <rPr>
        <sz val="11"/>
        <color indexed="8"/>
        <rFont val="宋体"/>
        <family val="3"/>
        <charset val="134"/>
      </rPr>
      <t>黄魟</t>
    </r>
  </si>
  <si>
    <r>
      <rPr>
        <sz val="11"/>
        <color indexed="8"/>
        <rFont val="宋体"/>
        <family val="3"/>
        <charset val="134"/>
      </rPr>
      <t>齐氏魟</t>
    </r>
  </si>
  <si>
    <r>
      <rPr>
        <sz val="11"/>
        <color indexed="8"/>
        <rFont val="宋体"/>
        <family val="3"/>
        <charset val="134"/>
      </rPr>
      <t>瓦魟</t>
    </r>
  </si>
  <si>
    <r>
      <rPr>
        <sz val="11"/>
        <color indexed="8"/>
        <rFont val="宋体"/>
        <family val="3"/>
        <charset val="134"/>
      </rPr>
      <t>古氏魟</t>
    </r>
  </si>
  <si>
    <r>
      <rPr>
        <sz val="11"/>
        <color indexed="8"/>
        <rFont val="宋体"/>
        <family val="3"/>
        <charset val="134"/>
      </rPr>
      <t>光魟</t>
    </r>
  </si>
  <si>
    <r>
      <rPr>
        <sz val="11"/>
        <color indexed="8"/>
        <rFont val="宋体"/>
        <family val="3"/>
        <charset val="134"/>
      </rPr>
      <t>鬼魟</t>
    </r>
  </si>
  <si>
    <r>
      <rPr>
        <sz val="11"/>
        <color indexed="8"/>
        <rFont val="宋体"/>
        <family val="3"/>
        <charset val="134"/>
      </rPr>
      <t>小眼魟</t>
    </r>
  </si>
  <si>
    <r>
      <rPr>
        <sz val="11"/>
        <color indexed="8"/>
        <rFont val="宋体"/>
        <family val="3"/>
        <charset val="134"/>
      </rPr>
      <t>奈氏魟</t>
    </r>
  </si>
  <si>
    <r>
      <rPr>
        <sz val="11"/>
        <color indexed="8"/>
        <rFont val="宋体"/>
        <family val="3"/>
        <charset val="134"/>
      </rPr>
      <t>中国魟</t>
    </r>
  </si>
  <si>
    <r>
      <rPr>
        <sz val="11"/>
        <color indexed="8"/>
        <rFont val="宋体"/>
        <family val="3"/>
        <charset val="134"/>
      </rPr>
      <t>花点魟</t>
    </r>
  </si>
  <si>
    <r>
      <rPr>
        <sz val="11"/>
        <color indexed="8"/>
        <rFont val="宋体"/>
        <family val="3"/>
        <charset val="134"/>
      </rPr>
      <t>牛魟</t>
    </r>
  </si>
  <si>
    <r>
      <rPr>
        <sz val="11"/>
        <color indexed="8"/>
        <rFont val="宋体"/>
        <family val="3"/>
        <charset val="134"/>
      </rPr>
      <t>尖嘴魟</t>
    </r>
  </si>
  <si>
    <r>
      <rPr>
        <sz val="11"/>
        <color indexed="8"/>
        <rFont val="宋体"/>
        <family val="3"/>
        <charset val="134"/>
      </rPr>
      <t>黑斑条尾魟</t>
    </r>
  </si>
  <si>
    <r>
      <rPr>
        <sz val="11"/>
        <color indexed="8"/>
        <rFont val="宋体"/>
        <family val="3"/>
        <charset val="134"/>
      </rPr>
      <t>非洲沙粒魟</t>
    </r>
  </si>
  <si>
    <r>
      <rPr>
        <sz val="11"/>
        <color indexed="8"/>
        <rFont val="宋体"/>
        <family val="3"/>
        <charset val="134"/>
      </rPr>
      <t>燕魟科</t>
    </r>
  </si>
  <si>
    <r>
      <rPr>
        <sz val="11"/>
        <color indexed="8"/>
        <rFont val="宋体"/>
        <family val="3"/>
        <charset val="134"/>
      </rPr>
      <t>条尾鸢魟</t>
    </r>
  </si>
  <si>
    <r>
      <rPr>
        <sz val="11"/>
        <color indexed="8"/>
        <rFont val="宋体"/>
        <family val="3"/>
        <charset val="134"/>
      </rPr>
      <t>双斑燕魟</t>
    </r>
  </si>
  <si>
    <r>
      <rPr>
        <sz val="11"/>
        <color indexed="8"/>
        <rFont val="宋体"/>
        <family val="3"/>
        <charset val="134"/>
      </rPr>
      <t>日本燕魟</t>
    </r>
  </si>
  <si>
    <r>
      <rPr>
        <sz val="11"/>
        <color indexed="8"/>
        <rFont val="宋体"/>
        <family val="3"/>
        <charset val="134"/>
      </rPr>
      <t>花尾燕魟</t>
    </r>
  </si>
  <si>
    <r>
      <rPr>
        <sz val="11"/>
        <color indexed="8"/>
        <rFont val="宋体"/>
        <family val="3"/>
        <charset val="134"/>
      </rPr>
      <t>鲼科</t>
    </r>
  </si>
  <si>
    <r>
      <rPr>
        <sz val="11"/>
        <color indexed="8"/>
        <rFont val="宋体"/>
        <family val="3"/>
        <charset val="134"/>
      </rPr>
      <t>花点无刺鲼</t>
    </r>
  </si>
  <si>
    <r>
      <rPr>
        <sz val="11"/>
        <color indexed="8"/>
        <rFont val="宋体"/>
        <family val="3"/>
        <charset val="134"/>
      </rPr>
      <t>鹰状无刺鲼</t>
    </r>
  </si>
  <si>
    <r>
      <rPr>
        <sz val="11"/>
        <color indexed="8"/>
        <rFont val="宋体"/>
        <family val="3"/>
        <charset val="134"/>
      </rPr>
      <t>聂氏无刺鲼</t>
    </r>
  </si>
  <si>
    <r>
      <rPr>
        <sz val="11"/>
        <color indexed="8"/>
        <rFont val="宋体"/>
        <family val="3"/>
        <charset val="134"/>
      </rPr>
      <t>蝠状无刺鲼</t>
    </r>
  </si>
  <si>
    <r>
      <rPr>
        <sz val="11"/>
        <color indexed="8"/>
        <rFont val="宋体"/>
        <family val="3"/>
        <charset val="134"/>
      </rPr>
      <t>鸢鲼</t>
    </r>
  </si>
  <si>
    <r>
      <rPr>
        <sz val="11"/>
        <color indexed="8"/>
        <rFont val="宋体"/>
        <family val="3"/>
        <charset val="134"/>
      </rPr>
      <t>鹞鲼科</t>
    </r>
  </si>
  <si>
    <r>
      <rPr>
        <sz val="11"/>
        <color indexed="8"/>
        <rFont val="宋体"/>
        <family val="3"/>
        <charset val="134"/>
      </rPr>
      <t>牛鼻鲼科</t>
    </r>
  </si>
  <si>
    <r>
      <rPr>
        <sz val="11"/>
        <color indexed="8"/>
        <rFont val="宋体"/>
        <family val="3"/>
        <charset val="134"/>
      </rPr>
      <t>蝠鲼科</t>
    </r>
  </si>
  <si>
    <r>
      <rPr>
        <sz val="11"/>
        <color indexed="8"/>
        <rFont val="宋体"/>
        <family val="3"/>
        <charset val="134"/>
      </rPr>
      <t>电鳐科</t>
    </r>
  </si>
  <si>
    <r>
      <rPr>
        <sz val="11"/>
        <color indexed="8"/>
        <rFont val="宋体"/>
        <family val="3"/>
        <charset val="134"/>
      </rPr>
      <t>电鳐目</t>
    </r>
  </si>
  <si>
    <r>
      <rPr>
        <sz val="11"/>
        <color indexed="8"/>
        <rFont val="宋体"/>
        <family val="3"/>
        <charset val="134"/>
      </rPr>
      <t>深海电鳐</t>
    </r>
  </si>
  <si>
    <r>
      <rPr>
        <sz val="11"/>
        <color indexed="8"/>
        <rFont val="宋体"/>
        <family val="3"/>
        <charset val="134"/>
      </rPr>
      <t>舌形双鳍电鳐</t>
    </r>
  </si>
  <si>
    <r>
      <rPr>
        <sz val="11"/>
        <color indexed="8"/>
        <rFont val="宋体"/>
        <family val="3"/>
        <charset val="134"/>
      </rPr>
      <t>黑斑双鳍电鳐</t>
    </r>
  </si>
  <si>
    <r>
      <rPr>
        <sz val="11"/>
        <color indexed="8"/>
        <rFont val="宋体"/>
        <family val="3"/>
        <charset val="134"/>
      </rPr>
      <t>丁氏双鳍电鳐</t>
    </r>
  </si>
  <si>
    <r>
      <rPr>
        <sz val="11"/>
        <color indexed="8"/>
        <rFont val="宋体"/>
        <family val="3"/>
        <charset val="134"/>
      </rPr>
      <t>麦氏电鳐</t>
    </r>
  </si>
  <si>
    <r>
      <rPr>
        <sz val="11"/>
        <color indexed="8"/>
        <rFont val="宋体"/>
        <family val="3"/>
        <charset val="134"/>
      </rPr>
      <t>地中海电鳐</t>
    </r>
  </si>
  <si>
    <r>
      <rPr>
        <sz val="11"/>
        <color indexed="8"/>
        <rFont val="宋体"/>
        <family val="3"/>
        <charset val="134"/>
      </rPr>
      <t>东京电鳐</t>
    </r>
  </si>
  <si>
    <r>
      <rPr>
        <sz val="11"/>
        <color indexed="8"/>
        <rFont val="宋体"/>
        <family val="3"/>
        <charset val="134"/>
      </rPr>
      <t>银鲛科</t>
    </r>
  </si>
  <si>
    <r>
      <rPr>
        <sz val="11"/>
        <color indexed="8"/>
        <rFont val="宋体"/>
        <family val="3"/>
        <charset val="134"/>
      </rPr>
      <t>银鲛目</t>
    </r>
  </si>
  <si>
    <r>
      <rPr>
        <sz val="11"/>
        <color indexed="8"/>
        <rFont val="宋体"/>
        <family val="3"/>
        <charset val="134"/>
      </rPr>
      <t>乔氏银鲛</t>
    </r>
  </si>
  <si>
    <r>
      <rPr>
        <sz val="11"/>
        <color indexed="8"/>
        <rFont val="宋体"/>
        <family val="3"/>
        <charset val="134"/>
      </rPr>
      <t>黑线银鲛</t>
    </r>
  </si>
  <si>
    <r>
      <rPr>
        <sz val="11"/>
        <color indexed="8"/>
        <rFont val="宋体"/>
        <family val="3"/>
        <charset val="134"/>
      </rPr>
      <t>后鳍尖吻银鲛</t>
    </r>
  </si>
  <si>
    <r>
      <rPr>
        <sz val="11"/>
        <color indexed="8"/>
        <rFont val="宋体"/>
        <family val="3"/>
        <charset val="134"/>
      </rPr>
      <t>曾氏兔银鲛</t>
    </r>
  </si>
  <si>
    <r>
      <rPr>
        <sz val="11"/>
        <color indexed="8"/>
        <rFont val="宋体"/>
        <family val="3"/>
        <charset val="134"/>
      </rPr>
      <t>冬银鲛</t>
    </r>
  </si>
  <si>
    <r>
      <rPr>
        <sz val="11"/>
        <color indexed="8"/>
        <rFont val="宋体"/>
        <family val="3"/>
        <charset val="134"/>
      </rPr>
      <t>太平洋吻银鲛</t>
    </r>
  </si>
  <si>
    <r>
      <rPr>
        <sz val="11"/>
        <color indexed="8"/>
        <rFont val="宋体"/>
        <family val="3"/>
        <charset val="134"/>
      </rPr>
      <t>吻银鲛科</t>
    </r>
  </si>
  <si>
    <r>
      <rPr>
        <sz val="11"/>
        <color indexed="8"/>
        <rFont val="宋体"/>
        <family val="3"/>
        <charset val="134"/>
      </rPr>
      <t>鲟科</t>
    </r>
  </si>
  <si>
    <r>
      <rPr>
        <sz val="11"/>
        <color indexed="8"/>
        <rFont val="宋体"/>
        <family val="3"/>
        <charset val="134"/>
      </rPr>
      <t>鲟形目</t>
    </r>
  </si>
  <si>
    <r>
      <rPr>
        <sz val="11"/>
        <color indexed="8"/>
        <rFont val="宋体"/>
        <family val="3"/>
        <charset val="134"/>
      </rPr>
      <t>钝吻鲟</t>
    </r>
  </si>
  <si>
    <r>
      <rPr>
        <sz val="11"/>
        <color indexed="8"/>
        <rFont val="宋体"/>
        <family val="3"/>
        <charset val="134"/>
      </rPr>
      <t>达氏鲟</t>
    </r>
  </si>
  <si>
    <r>
      <rPr>
        <sz val="11"/>
        <color indexed="8"/>
        <rFont val="宋体"/>
        <family val="3"/>
        <charset val="134"/>
      </rPr>
      <t>库页鲟</t>
    </r>
  </si>
  <si>
    <r>
      <rPr>
        <sz val="11"/>
        <color indexed="8"/>
        <rFont val="宋体"/>
        <family val="3"/>
        <charset val="134"/>
      </rPr>
      <t>裸腹鲟</t>
    </r>
  </si>
  <si>
    <r>
      <rPr>
        <sz val="11"/>
        <color indexed="8"/>
        <rFont val="宋体"/>
        <family val="3"/>
        <charset val="134"/>
      </rPr>
      <t>小体鲟</t>
    </r>
  </si>
  <si>
    <r>
      <rPr>
        <sz val="11"/>
        <color indexed="8"/>
        <rFont val="宋体"/>
        <family val="3"/>
        <charset val="134"/>
      </rPr>
      <t>施氏鲟</t>
    </r>
  </si>
  <si>
    <r>
      <rPr>
        <sz val="11"/>
        <color indexed="8"/>
        <rFont val="宋体"/>
        <family val="3"/>
        <charset val="134"/>
      </rPr>
      <t>中华鲟</t>
    </r>
  </si>
  <si>
    <r>
      <rPr>
        <sz val="11"/>
        <color indexed="8"/>
        <rFont val="宋体"/>
        <family val="3"/>
        <charset val="134"/>
      </rPr>
      <t>鳇</t>
    </r>
  </si>
  <si>
    <r>
      <rPr>
        <sz val="11"/>
        <color indexed="8"/>
        <rFont val="宋体"/>
        <family val="3"/>
        <charset val="134"/>
      </rPr>
      <t>白鲟科</t>
    </r>
  </si>
  <si>
    <r>
      <rPr>
        <sz val="11"/>
        <color indexed="8"/>
        <rFont val="宋体"/>
        <family val="3"/>
        <charset val="134"/>
      </rPr>
      <t>匙吻鲟科</t>
    </r>
  </si>
  <si>
    <r>
      <rPr>
        <sz val="11"/>
        <color indexed="8"/>
        <rFont val="宋体"/>
        <family val="3"/>
        <charset val="134"/>
      </rPr>
      <t>白鲟</t>
    </r>
  </si>
  <si>
    <r>
      <rPr>
        <sz val="11"/>
        <color indexed="8"/>
        <rFont val="宋体"/>
        <family val="3"/>
        <charset val="134"/>
      </rPr>
      <t>海鲢科</t>
    </r>
  </si>
  <si>
    <r>
      <rPr>
        <sz val="11"/>
        <color indexed="8"/>
        <rFont val="宋体"/>
        <family val="3"/>
        <charset val="134"/>
      </rPr>
      <t>海鲢目</t>
    </r>
  </si>
  <si>
    <r>
      <rPr>
        <sz val="11"/>
        <color indexed="8"/>
        <rFont val="宋体"/>
        <family val="3"/>
        <charset val="134"/>
      </rPr>
      <t>海鲢属</t>
    </r>
  </si>
  <si>
    <r>
      <rPr>
        <sz val="11"/>
        <color indexed="8"/>
        <rFont val="宋体"/>
        <family val="3"/>
        <charset val="134"/>
      </rPr>
      <t>海鲢</t>
    </r>
  </si>
  <si>
    <r>
      <rPr>
        <sz val="11"/>
        <color indexed="8"/>
        <rFont val="宋体"/>
        <family val="3"/>
        <charset val="134"/>
      </rPr>
      <t>大海鲢科</t>
    </r>
  </si>
  <si>
    <r>
      <rPr>
        <sz val="11"/>
        <color indexed="8"/>
        <rFont val="宋体"/>
        <family val="3"/>
        <charset val="134"/>
      </rPr>
      <t>大海鲢</t>
    </r>
  </si>
  <si>
    <r>
      <rPr>
        <sz val="11"/>
        <color indexed="8"/>
        <rFont val="宋体"/>
        <family val="3"/>
        <charset val="134"/>
      </rPr>
      <t>北梭鱼科</t>
    </r>
  </si>
  <si>
    <r>
      <rPr>
        <sz val="11"/>
        <color indexed="8"/>
        <rFont val="宋体"/>
        <family val="3"/>
        <charset val="134"/>
      </rPr>
      <t>北梭鱼</t>
    </r>
  </si>
  <si>
    <r>
      <rPr>
        <sz val="11"/>
        <color indexed="8"/>
        <rFont val="宋体"/>
        <family val="3"/>
        <charset val="134"/>
      </rPr>
      <t>鼠鱚科</t>
    </r>
  </si>
  <si>
    <r>
      <rPr>
        <sz val="11"/>
        <color indexed="8"/>
        <rFont val="宋体"/>
        <family val="3"/>
        <charset val="134"/>
      </rPr>
      <t>鼠鱚目</t>
    </r>
  </si>
  <si>
    <r>
      <rPr>
        <sz val="11"/>
        <color indexed="8"/>
        <rFont val="宋体"/>
        <family val="3"/>
        <charset val="134"/>
      </rPr>
      <t>鼠鱚属</t>
    </r>
  </si>
  <si>
    <r>
      <rPr>
        <sz val="11"/>
        <color indexed="8"/>
        <rFont val="宋体"/>
        <family val="3"/>
        <charset val="134"/>
      </rPr>
      <t>鼠鱚</t>
    </r>
  </si>
  <si>
    <r>
      <rPr>
        <sz val="11"/>
        <color indexed="8"/>
        <rFont val="宋体"/>
        <family val="3"/>
        <charset val="134"/>
      </rPr>
      <t>遮目鱼科</t>
    </r>
  </si>
  <si>
    <r>
      <rPr>
        <sz val="11"/>
        <color indexed="8"/>
        <rFont val="宋体"/>
        <family val="3"/>
        <charset val="134"/>
      </rPr>
      <t>遮目鱼</t>
    </r>
  </si>
  <si>
    <r>
      <rPr>
        <sz val="11"/>
        <color indexed="8"/>
        <rFont val="宋体"/>
        <family val="3"/>
        <charset val="134"/>
      </rPr>
      <t>长背鱼科</t>
    </r>
  </si>
  <si>
    <r>
      <rPr>
        <sz val="11"/>
        <color indexed="8"/>
        <rFont val="宋体"/>
        <family val="3"/>
        <charset val="134"/>
      </rPr>
      <t>鲱形目</t>
    </r>
  </si>
  <si>
    <r>
      <rPr>
        <sz val="11"/>
        <color indexed="8"/>
        <rFont val="宋体"/>
        <family val="3"/>
        <charset val="134"/>
      </rPr>
      <t>长背鱼</t>
    </r>
  </si>
  <si>
    <r>
      <rPr>
        <sz val="11"/>
        <color indexed="8"/>
        <rFont val="宋体"/>
        <family val="3"/>
        <charset val="134"/>
      </rPr>
      <t>鲱科</t>
    </r>
  </si>
  <si>
    <r>
      <rPr>
        <sz val="11"/>
        <color indexed="8"/>
        <rFont val="宋体"/>
        <family val="3"/>
        <charset val="134"/>
      </rPr>
      <t>尖吻圆腹鲱</t>
    </r>
  </si>
  <si>
    <r>
      <rPr>
        <sz val="11"/>
        <color indexed="8"/>
        <rFont val="宋体"/>
        <family val="3"/>
        <charset val="134"/>
      </rPr>
      <t>圆腹鲱</t>
    </r>
  </si>
  <si>
    <r>
      <rPr>
        <sz val="11"/>
        <color indexed="8"/>
        <rFont val="宋体"/>
        <family val="3"/>
        <charset val="134"/>
      </rPr>
      <t>多斑钝腹沙丁</t>
    </r>
  </si>
  <si>
    <r>
      <rPr>
        <sz val="11"/>
        <color indexed="8"/>
        <rFont val="宋体"/>
        <family val="3"/>
        <charset val="134"/>
      </rPr>
      <t>鲱</t>
    </r>
  </si>
  <si>
    <r>
      <rPr>
        <sz val="11"/>
        <color indexed="8"/>
        <rFont val="宋体"/>
        <family val="3"/>
        <charset val="134"/>
      </rPr>
      <t>鲱</t>
    </r>
  </si>
  <si>
    <r>
      <rPr>
        <sz val="11"/>
        <color indexed="8"/>
        <rFont val="宋体"/>
        <family val="3"/>
        <charset val="134"/>
      </rPr>
      <t>洁白鲱</t>
    </r>
  </si>
  <si>
    <r>
      <rPr>
        <sz val="11"/>
        <color indexed="8"/>
        <rFont val="宋体"/>
        <family val="3"/>
        <charset val="134"/>
      </rPr>
      <t>脂眼鲱属</t>
    </r>
  </si>
  <si>
    <r>
      <rPr>
        <sz val="11"/>
        <color indexed="8"/>
        <rFont val="宋体"/>
        <family val="3"/>
        <charset val="134"/>
      </rPr>
      <t>脂眼鲱</t>
    </r>
  </si>
  <si>
    <r>
      <rPr>
        <sz val="11"/>
        <color indexed="8"/>
        <rFont val="宋体"/>
        <family val="3"/>
        <charset val="134"/>
      </rPr>
      <t>鲱属</t>
    </r>
  </si>
  <si>
    <r>
      <rPr>
        <sz val="11"/>
        <color indexed="8"/>
        <rFont val="宋体"/>
        <family val="3"/>
        <charset val="134"/>
      </rPr>
      <t>小沙丁鱼属</t>
    </r>
  </si>
  <si>
    <r>
      <rPr>
        <sz val="11"/>
        <color indexed="8"/>
        <rFont val="宋体"/>
        <family val="3"/>
        <charset val="134"/>
      </rPr>
      <t>拟沙丁鱼属</t>
    </r>
  </si>
  <si>
    <r>
      <rPr>
        <sz val="11"/>
        <color indexed="8"/>
        <rFont val="宋体"/>
        <family val="3"/>
        <charset val="134"/>
      </rPr>
      <t>四斑沙丁鱼</t>
    </r>
  </si>
  <si>
    <r>
      <rPr>
        <sz val="11"/>
        <color indexed="8"/>
        <rFont val="宋体"/>
        <family val="3"/>
        <charset val="134"/>
      </rPr>
      <t>白沙丁鱼</t>
    </r>
  </si>
  <si>
    <r>
      <rPr>
        <sz val="11"/>
        <color indexed="8"/>
        <rFont val="宋体"/>
        <family val="3"/>
        <charset val="134"/>
      </rPr>
      <t>短体沙丁鱼</t>
    </r>
  </si>
  <si>
    <r>
      <rPr>
        <sz val="11"/>
        <color indexed="8"/>
        <rFont val="宋体"/>
        <family val="3"/>
        <charset val="134"/>
      </rPr>
      <t>白腹沙丁鱼</t>
    </r>
  </si>
  <si>
    <r>
      <rPr>
        <sz val="11"/>
        <color indexed="8"/>
        <rFont val="宋体"/>
        <family val="3"/>
        <charset val="134"/>
      </rPr>
      <t>繸鳞沙丁鱼</t>
    </r>
  </si>
  <si>
    <r>
      <rPr>
        <sz val="11"/>
        <color indexed="8"/>
        <rFont val="宋体"/>
        <family val="3"/>
        <charset val="134"/>
      </rPr>
      <t>金带沙丁鱼</t>
    </r>
  </si>
  <si>
    <r>
      <rPr>
        <sz val="11"/>
        <color indexed="8"/>
        <rFont val="宋体"/>
        <family val="3"/>
        <charset val="134"/>
      </rPr>
      <t>花莲沙丁鱼</t>
    </r>
  </si>
  <si>
    <r>
      <rPr>
        <sz val="11"/>
        <color indexed="8"/>
        <rFont val="宋体"/>
        <family val="3"/>
        <charset val="134"/>
      </rPr>
      <t>裘氏沙丁鱼</t>
    </r>
  </si>
  <si>
    <r>
      <rPr>
        <sz val="11"/>
        <color indexed="8"/>
        <rFont val="宋体"/>
        <family val="3"/>
        <charset val="134"/>
      </rPr>
      <t>金色沙丁鱼</t>
    </r>
  </si>
  <si>
    <r>
      <rPr>
        <sz val="11"/>
        <color indexed="8"/>
        <rFont val="宋体"/>
        <family val="3"/>
        <charset val="134"/>
      </rPr>
      <t>长头沙丁鱼</t>
    </r>
  </si>
  <si>
    <r>
      <rPr>
        <sz val="11"/>
        <color indexed="8"/>
        <rFont val="宋体"/>
        <family val="3"/>
        <charset val="134"/>
      </rPr>
      <t>黑尾沙丁鱼</t>
    </r>
  </si>
  <si>
    <r>
      <rPr>
        <sz val="11"/>
        <color indexed="8"/>
        <rFont val="宋体"/>
        <family val="3"/>
        <charset val="134"/>
      </rPr>
      <t>理氏沙丁鱼</t>
    </r>
  </si>
  <si>
    <r>
      <rPr>
        <sz val="11"/>
        <color indexed="8"/>
        <rFont val="宋体"/>
        <family val="3"/>
        <charset val="134"/>
      </rPr>
      <t>信德沙丁鱼</t>
    </r>
  </si>
  <si>
    <r>
      <rPr>
        <sz val="11"/>
        <color indexed="8"/>
        <rFont val="宋体"/>
        <family val="3"/>
        <charset val="134"/>
      </rPr>
      <t>青鳞沙丁鱼</t>
    </r>
  </si>
  <si>
    <r>
      <rPr>
        <sz val="11"/>
        <color indexed="8"/>
        <rFont val="宋体"/>
        <family val="3"/>
        <charset val="134"/>
      </rPr>
      <t>莎瑙鱼属</t>
    </r>
  </si>
  <si>
    <r>
      <rPr>
        <sz val="11"/>
        <color indexed="8"/>
        <rFont val="宋体"/>
        <family val="3"/>
        <charset val="134"/>
      </rPr>
      <t>斑点莎瑙鱼</t>
    </r>
  </si>
  <si>
    <r>
      <rPr>
        <sz val="11"/>
        <color indexed="8"/>
        <rFont val="宋体"/>
        <family val="3"/>
        <charset val="134"/>
      </rPr>
      <t>花点鲥</t>
    </r>
  </si>
  <si>
    <r>
      <rPr>
        <sz val="11"/>
        <color indexed="8"/>
        <rFont val="宋体"/>
        <family val="3"/>
        <charset val="134"/>
      </rPr>
      <t>鲥</t>
    </r>
  </si>
  <si>
    <r>
      <rPr>
        <sz val="11"/>
        <color indexed="8"/>
        <rFont val="宋体"/>
        <family val="3"/>
        <charset val="134"/>
      </rPr>
      <t>斑鰶属</t>
    </r>
  </si>
  <si>
    <r>
      <rPr>
        <sz val="11"/>
        <color indexed="8"/>
        <rFont val="宋体"/>
        <family val="3"/>
        <charset val="134"/>
      </rPr>
      <t>无齿鰶</t>
    </r>
  </si>
  <si>
    <r>
      <rPr>
        <sz val="11"/>
        <color indexed="8"/>
        <rFont val="宋体"/>
        <family val="3"/>
        <charset val="134"/>
      </rPr>
      <t>花鰶</t>
    </r>
  </si>
  <si>
    <r>
      <rPr>
        <sz val="11"/>
        <color indexed="8"/>
        <rFont val="宋体"/>
        <family val="3"/>
        <charset val="134"/>
      </rPr>
      <t>斑鰶</t>
    </r>
  </si>
  <si>
    <r>
      <rPr>
        <sz val="11"/>
        <color indexed="8"/>
        <rFont val="宋体"/>
        <family val="3"/>
        <charset val="134"/>
      </rPr>
      <t>环球海鰶</t>
    </r>
  </si>
  <si>
    <r>
      <rPr>
        <sz val="11"/>
        <color indexed="8"/>
        <rFont val="宋体"/>
        <family val="3"/>
        <charset val="134"/>
      </rPr>
      <t>日本海鰶</t>
    </r>
  </si>
  <si>
    <r>
      <rPr>
        <sz val="11"/>
        <color indexed="8"/>
        <rFont val="宋体"/>
        <family val="3"/>
        <charset val="134"/>
      </rPr>
      <t>圆吻海鰶</t>
    </r>
  </si>
  <si>
    <r>
      <rPr>
        <sz val="11"/>
        <color indexed="8"/>
        <rFont val="宋体"/>
        <family val="3"/>
        <charset val="134"/>
      </rPr>
      <t>鳓</t>
    </r>
  </si>
  <si>
    <r>
      <rPr>
        <sz val="11"/>
        <color indexed="8"/>
        <rFont val="宋体"/>
        <family val="3"/>
        <charset val="134"/>
      </rPr>
      <t>印度鳓</t>
    </r>
  </si>
  <si>
    <r>
      <rPr>
        <sz val="11"/>
        <color indexed="8"/>
        <rFont val="宋体"/>
        <family val="3"/>
        <charset val="134"/>
      </rPr>
      <t>后鳍鱼</t>
    </r>
  </si>
  <si>
    <r>
      <rPr>
        <sz val="11"/>
        <color indexed="8"/>
        <rFont val="宋体"/>
        <family val="3"/>
        <charset val="134"/>
      </rPr>
      <t>庇隆鳓</t>
    </r>
  </si>
  <si>
    <r>
      <rPr>
        <sz val="11"/>
        <color indexed="8"/>
        <rFont val="宋体"/>
        <family val="3"/>
        <charset val="134"/>
      </rPr>
      <t>日本银带鲱</t>
    </r>
  </si>
  <si>
    <r>
      <rPr>
        <sz val="11"/>
        <color indexed="8"/>
        <rFont val="宋体"/>
        <family val="3"/>
        <charset val="134"/>
      </rPr>
      <t>海鰶属</t>
    </r>
  </si>
  <si>
    <r>
      <rPr>
        <sz val="11"/>
        <color indexed="8"/>
        <rFont val="宋体"/>
        <family val="3"/>
        <charset val="134"/>
      </rPr>
      <t>鳀科</t>
    </r>
  </si>
  <si>
    <r>
      <rPr>
        <sz val="11"/>
        <color indexed="8"/>
        <rFont val="宋体"/>
        <family val="3"/>
        <charset val="134"/>
      </rPr>
      <t>鲚属</t>
    </r>
  </si>
  <si>
    <r>
      <rPr>
        <sz val="11"/>
        <color indexed="8"/>
        <rFont val="宋体"/>
        <family val="3"/>
        <charset val="134"/>
      </rPr>
      <t>凤鲚</t>
    </r>
  </si>
  <si>
    <r>
      <rPr>
        <sz val="11"/>
        <color indexed="8"/>
        <rFont val="宋体"/>
        <family val="3"/>
        <charset val="134"/>
      </rPr>
      <t>短颌鲚</t>
    </r>
  </si>
  <si>
    <r>
      <rPr>
        <sz val="11"/>
        <color indexed="8"/>
        <rFont val="宋体"/>
        <family val="3"/>
        <charset val="134"/>
      </rPr>
      <t>鲚</t>
    </r>
  </si>
  <si>
    <r>
      <rPr>
        <sz val="11"/>
        <color indexed="8"/>
        <rFont val="宋体"/>
        <family val="3"/>
        <charset val="134"/>
      </rPr>
      <t>七丝鲚</t>
    </r>
  </si>
  <si>
    <r>
      <rPr>
        <sz val="11"/>
        <color indexed="8"/>
        <rFont val="宋体"/>
        <family val="3"/>
        <charset val="134"/>
      </rPr>
      <t>黄鲫</t>
    </r>
  </si>
  <si>
    <r>
      <rPr>
        <sz val="11"/>
        <color indexed="8"/>
        <rFont val="宋体"/>
        <family val="3"/>
        <charset val="134"/>
      </rPr>
      <t>鳀属</t>
    </r>
  </si>
  <si>
    <r>
      <rPr>
        <sz val="11"/>
        <color indexed="8"/>
        <rFont val="宋体"/>
        <family val="3"/>
        <charset val="134"/>
      </rPr>
      <t>鳀</t>
    </r>
  </si>
  <si>
    <r>
      <rPr>
        <sz val="11"/>
        <color indexed="8"/>
        <rFont val="宋体"/>
        <family val="3"/>
        <charset val="134"/>
      </rPr>
      <t>小公鱼属</t>
    </r>
  </si>
  <si>
    <r>
      <rPr>
        <sz val="11"/>
        <color indexed="8"/>
        <rFont val="宋体"/>
        <family val="3"/>
        <charset val="134"/>
      </rPr>
      <t>中华小公鱼</t>
    </r>
  </si>
  <si>
    <r>
      <rPr>
        <sz val="11"/>
        <color indexed="8"/>
        <rFont val="宋体"/>
        <family val="3"/>
        <charset val="134"/>
      </rPr>
      <t>康氏小公鱼</t>
    </r>
  </si>
  <si>
    <r>
      <rPr>
        <sz val="11"/>
        <color indexed="8"/>
        <rFont val="宋体"/>
        <family val="3"/>
        <charset val="134"/>
      </rPr>
      <t>尖吻小公鱼</t>
    </r>
  </si>
  <si>
    <r>
      <rPr>
        <sz val="11"/>
        <color indexed="8"/>
        <rFont val="宋体"/>
        <family val="3"/>
        <charset val="134"/>
      </rPr>
      <t>印度小公鱼</t>
    </r>
  </si>
  <si>
    <r>
      <rPr>
        <sz val="11"/>
        <color indexed="8"/>
        <rFont val="宋体"/>
        <family val="3"/>
        <charset val="134"/>
      </rPr>
      <t>岛屿小公鱼</t>
    </r>
  </si>
  <si>
    <r>
      <rPr>
        <sz val="11"/>
        <color indexed="8"/>
        <rFont val="宋体"/>
        <family val="3"/>
        <charset val="134"/>
      </rPr>
      <t>棘小公鱼</t>
    </r>
  </si>
  <si>
    <r>
      <rPr>
        <sz val="11"/>
        <color indexed="8"/>
        <rFont val="宋体"/>
        <family val="3"/>
        <charset val="134"/>
      </rPr>
      <t>山东小公鱼</t>
    </r>
  </si>
  <si>
    <r>
      <rPr>
        <sz val="11"/>
        <color indexed="8"/>
        <rFont val="宋体"/>
        <family val="3"/>
        <charset val="134"/>
      </rPr>
      <t>印尼小公鱼</t>
    </r>
  </si>
  <si>
    <r>
      <rPr>
        <sz val="11"/>
        <color indexed="8"/>
        <rFont val="宋体"/>
        <family val="3"/>
        <charset val="134"/>
      </rPr>
      <t>青带小公鱼</t>
    </r>
  </si>
  <si>
    <r>
      <rPr>
        <sz val="11"/>
        <color indexed="8"/>
        <rFont val="宋体"/>
        <family val="3"/>
        <charset val="134"/>
      </rPr>
      <t>芝芜棱鳀</t>
    </r>
  </si>
  <si>
    <r>
      <rPr>
        <sz val="11"/>
        <color indexed="8"/>
        <rFont val="宋体"/>
        <family val="3"/>
        <charset val="134"/>
      </rPr>
      <t>杜氏棱鳀</t>
    </r>
  </si>
  <si>
    <r>
      <rPr>
        <sz val="11"/>
        <color indexed="8"/>
        <rFont val="宋体"/>
        <family val="3"/>
        <charset val="134"/>
      </rPr>
      <t>汉氏棱鳀</t>
    </r>
  </si>
  <si>
    <r>
      <rPr>
        <sz val="11"/>
        <color indexed="8"/>
        <rFont val="宋体"/>
        <family val="3"/>
        <charset val="134"/>
      </rPr>
      <t>赤鼻棱鳀</t>
    </r>
  </si>
  <si>
    <r>
      <rPr>
        <sz val="11"/>
        <color indexed="8"/>
        <rFont val="宋体"/>
        <family val="3"/>
        <charset val="134"/>
      </rPr>
      <t>中颌棱鳀</t>
    </r>
  </si>
  <si>
    <r>
      <rPr>
        <sz val="11"/>
        <color indexed="8"/>
        <rFont val="宋体"/>
        <family val="3"/>
        <charset val="134"/>
      </rPr>
      <t>长颌棱鳀</t>
    </r>
  </si>
  <si>
    <r>
      <rPr>
        <sz val="11"/>
        <color indexed="8"/>
        <rFont val="宋体"/>
        <family val="3"/>
        <charset val="134"/>
      </rPr>
      <t>黄吻棱鳀</t>
    </r>
  </si>
  <si>
    <r>
      <rPr>
        <sz val="11"/>
        <color indexed="8"/>
        <rFont val="宋体"/>
        <family val="3"/>
        <charset val="134"/>
      </rPr>
      <t>棱鳀属</t>
    </r>
  </si>
  <si>
    <r>
      <rPr>
        <sz val="11"/>
        <color indexed="8"/>
        <rFont val="宋体"/>
        <family val="3"/>
        <charset val="134"/>
      </rPr>
      <t>宝刀鱼科</t>
    </r>
  </si>
  <si>
    <r>
      <rPr>
        <sz val="11"/>
        <color indexed="8"/>
        <rFont val="宋体"/>
        <family val="3"/>
        <charset val="134"/>
      </rPr>
      <t>宝刀鱼</t>
    </r>
  </si>
  <si>
    <r>
      <rPr>
        <sz val="11"/>
        <color indexed="8"/>
        <rFont val="宋体"/>
        <family val="3"/>
        <charset val="134"/>
      </rPr>
      <t>长颌宝刀鱼</t>
    </r>
  </si>
  <si>
    <r>
      <rPr>
        <sz val="11"/>
        <color indexed="8"/>
        <rFont val="宋体"/>
        <family val="3"/>
        <charset val="134"/>
      </rPr>
      <t>香鱼科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</si>
  <si>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</si>
  <si>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香鱼</t>
    </r>
  </si>
  <si>
    <r>
      <rPr>
        <sz val="11"/>
        <color indexed="8"/>
        <rFont val="宋体"/>
        <family val="3"/>
        <charset val="134"/>
      </rPr>
      <t>银鱼科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</si>
  <si>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</si>
  <si>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安氏新银鱼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</si>
  <si>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</si>
  <si>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银色新银鱼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</si>
  <si>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</si>
  <si>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短吻新银鱼</t>
    </r>
  </si>
  <si>
    <r>
      <rPr>
        <sz val="11"/>
        <color indexed="8"/>
        <rFont val="宋体"/>
        <family val="3"/>
        <charset val="134"/>
      </rPr>
      <t>乔氏新银鱼</t>
    </r>
  </si>
  <si>
    <r>
      <rPr>
        <sz val="11"/>
        <color indexed="8"/>
        <rFont val="宋体"/>
        <family val="3"/>
        <charset val="134"/>
      </rPr>
      <t>寡齿新银鱼</t>
    </r>
  </si>
  <si>
    <r>
      <rPr>
        <sz val="11"/>
        <color indexed="8"/>
        <rFont val="宋体"/>
        <family val="3"/>
        <charset val="134"/>
      </rPr>
      <t>近太湖新银鱼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</si>
  <si>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</si>
  <si>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太湖新银鱼</t>
    </r>
  </si>
  <si>
    <r>
      <rPr>
        <sz val="11"/>
        <color indexed="8"/>
        <rFont val="宋体"/>
        <family val="3"/>
        <charset val="134"/>
      </rPr>
      <t>陈氏新银鱼</t>
    </r>
  </si>
  <si>
    <r>
      <rPr>
        <sz val="11"/>
        <color indexed="8"/>
        <rFont val="宋体"/>
        <family val="3"/>
        <charset val="134"/>
      </rPr>
      <t>大银鱼</t>
    </r>
  </si>
  <si>
    <r>
      <rPr>
        <sz val="11"/>
        <color indexed="8"/>
        <rFont val="宋体"/>
        <family val="3"/>
        <charset val="134"/>
      </rPr>
      <t>小齿日本银鱼</t>
    </r>
  </si>
  <si>
    <r>
      <rPr>
        <sz val="11"/>
        <color indexed="8"/>
        <rFont val="宋体"/>
        <family val="3"/>
        <charset val="134"/>
      </rPr>
      <t>短吻间银鱼</t>
    </r>
  </si>
  <si>
    <r>
      <rPr>
        <sz val="11"/>
        <color indexed="8"/>
        <rFont val="宋体"/>
        <family val="3"/>
        <charset val="134"/>
      </rPr>
      <t>前颌间银鱼</t>
    </r>
  </si>
  <si>
    <r>
      <rPr>
        <sz val="11"/>
        <color indexed="8"/>
        <rFont val="宋体"/>
        <family val="3"/>
        <charset val="134"/>
      </rPr>
      <t>白肌银鱼</t>
    </r>
  </si>
  <si>
    <r>
      <rPr>
        <sz val="11"/>
        <color indexed="8"/>
        <rFont val="宋体"/>
        <family val="3"/>
        <charset val="134"/>
      </rPr>
      <t>有明银鱼</t>
    </r>
  </si>
  <si>
    <r>
      <rPr>
        <sz val="11"/>
        <color indexed="8"/>
        <rFont val="宋体"/>
        <family val="3"/>
        <charset val="134"/>
      </rPr>
      <t>居氏银鱼</t>
    </r>
  </si>
  <si>
    <r>
      <rPr>
        <sz val="11"/>
        <color indexed="8"/>
        <rFont val="宋体"/>
        <family val="3"/>
        <charset val="134"/>
      </rPr>
      <t>平头鱼科</t>
    </r>
  </si>
  <si>
    <r>
      <rPr>
        <sz val="11"/>
        <color indexed="8"/>
        <rFont val="宋体"/>
        <family val="3"/>
        <charset val="134"/>
      </rPr>
      <t>黑头鱼</t>
    </r>
  </si>
  <si>
    <r>
      <rPr>
        <sz val="11"/>
        <color indexed="8"/>
        <rFont val="宋体"/>
        <family val="3"/>
        <charset val="134"/>
      </rPr>
      <t>短颌平头鱼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</si>
  <si>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</si>
  <si>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长吻平头鱼</t>
    </r>
  </si>
  <si>
    <r>
      <rPr>
        <sz val="11"/>
        <color indexed="8"/>
        <rFont val="宋体"/>
        <family val="3"/>
        <charset val="134"/>
      </rPr>
      <t>欧氏平头鱼</t>
    </r>
  </si>
  <si>
    <r>
      <rPr>
        <sz val="11"/>
        <color indexed="8"/>
        <rFont val="宋体"/>
        <family val="3"/>
        <charset val="134"/>
      </rPr>
      <t>尖吻平头鱼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</si>
  <si>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</si>
  <si>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暗首平头鱼</t>
    </r>
  </si>
  <si>
    <r>
      <rPr>
        <sz val="11"/>
        <color indexed="8"/>
        <rFont val="宋体"/>
        <family val="3"/>
        <charset val="134"/>
      </rPr>
      <t>异突鱼</t>
    </r>
  </si>
  <si>
    <r>
      <rPr>
        <sz val="11"/>
        <color indexed="8"/>
        <rFont val="宋体"/>
        <family val="3"/>
        <charset val="134"/>
      </rPr>
      <t>裸体鱼</t>
    </r>
  </si>
  <si>
    <r>
      <rPr>
        <sz val="11"/>
        <color indexed="8"/>
        <rFont val="宋体"/>
        <family val="3"/>
        <charset val="134"/>
      </rPr>
      <t>胡瓜鱼目</t>
    </r>
  </si>
  <si>
    <r>
      <rPr>
        <sz val="11"/>
        <color indexed="8"/>
        <rFont val="宋体"/>
        <family val="3"/>
        <charset val="134"/>
      </rPr>
      <t>黑口鱼</t>
    </r>
  </si>
  <si>
    <r>
      <rPr>
        <sz val="11"/>
        <color indexed="8"/>
        <rFont val="宋体"/>
        <family val="3"/>
        <charset val="134"/>
      </rPr>
      <t>珍鱼</t>
    </r>
  </si>
  <si>
    <r>
      <rPr>
        <sz val="11"/>
        <color indexed="8"/>
        <rFont val="宋体"/>
        <family val="3"/>
        <charset val="134"/>
      </rPr>
      <t>瓦氏珍鱼</t>
    </r>
  </si>
  <si>
    <r>
      <rPr>
        <sz val="11"/>
        <color indexed="8"/>
        <rFont val="宋体"/>
        <family val="3"/>
        <charset val="134"/>
      </rPr>
      <t>安的列斯塔氏鱼</t>
    </r>
  </si>
  <si>
    <r>
      <rPr>
        <sz val="11"/>
        <color indexed="8"/>
        <rFont val="宋体"/>
        <family val="3"/>
        <charset val="134"/>
      </rPr>
      <t>短头塔氏鱼</t>
    </r>
  </si>
  <si>
    <r>
      <rPr>
        <sz val="11"/>
        <color indexed="8"/>
        <rFont val="宋体"/>
        <family val="3"/>
        <charset val="134"/>
      </rPr>
      <t>平额鱼</t>
    </r>
  </si>
  <si>
    <r>
      <rPr>
        <sz val="11"/>
        <color indexed="8"/>
        <rFont val="宋体"/>
        <family val="3"/>
        <charset val="134"/>
      </rPr>
      <t>巨口鱼科</t>
    </r>
  </si>
  <si>
    <r>
      <rPr>
        <sz val="11"/>
        <color indexed="8"/>
        <rFont val="宋体"/>
        <family val="3"/>
        <charset val="134"/>
      </rPr>
      <t>巨口鱼科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</si>
  <si>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</si>
  <si>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星彩鱼科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</si>
  <si>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</si>
  <si>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蝰鱼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</si>
  <si>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</si>
  <si>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黑巨口鱼科</t>
    </r>
  </si>
  <si>
    <r>
      <rPr>
        <sz val="11"/>
        <color indexed="8"/>
        <rFont val="宋体"/>
        <family val="3"/>
        <charset val="134"/>
      </rPr>
      <t>多芒巨口鱼</t>
    </r>
  </si>
  <si>
    <r>
      <rPr>
        <sz val="11"/>
        <color indexed="8"/>
        <rFont val="宋体"/>
        <family val="3"/>
        <charset val="134"/>
      </rPr>
      <t>长羽深巨口鱼</t>
    </r>
  </si>
  <si>
    <r>
      <rPr>
        <sz val="11"/>
        <color indexed="8"/>
        <rFont val="宋体"/>
        <family val="3"/>
        <charset val="134"/>
      </rPr>
      <t>长须真巨口鱼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</si>
  <si>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</si>
  <si>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强壮纤巨口鱼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</si>
  <si>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</si>
  <si>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乌须黑巨口鱼</t>
    </r>
  </si>
  <si>
    <r>
      <rPr>
        <sz val="11"/>
        <color indexed="8"/>
        <rFont val="宋体"/>
        <family val="3"/>
        <charset val="134"/>
      </rPr>
      <t>脂巨口鱼</t>
    </r>
  </si>
  <si>
    <r>
      <rPr>
        <sz val="11"/>
        <color indexed="8"/>
        <rFont val="宋体"/>
        <family val="3"/>
        <charset val="134"/>
      </rPr>
      <t>厚巨口鱼</t>
    </r>
  </si>
  <si>
    <r>
      <rPr>
        <sz val="11"/>
        <color indexed="8"/>
        <rFont val="宋体"/>
        <family val="3"/>
        <charset val="134"/>
      </rPr>
      <t>明鳍袋巨口鱼</t>
    </r>
  </si>
  <si>
    <r>
      <rPr>
        <sz val="11"/>
        <color indexed="8"/>
        <rFont val="宋体"/>
        <family val="3"/>
        <charset val="134"/>
      </rPr>
      <t>缨巨口鱼</t>
    </r>
  </si>
  <si>
    <r>
      <rPr>
        <sz val="11"/>
        <color indexed="8"/>
        <rFont val="宋体"/>
        <family val="3"/>
        <charset val="134"/>
      </rPr>
      <t>软颔鱼科</t>
    </r>
  </si>
  <si>
    <r>
      <rPr>
        <sz val="11"/>
        <color indexed="8"/>
        <rFont val="宋体"/>
        <family val="3"/>
        <charset val="134"/>
      </rPr>
      <t>锤颔鱼科</t>
    </r>
  </si>
  <si>
    <r>
      <rPr>
        <sz val="11"/>
        <color indexed="8"/>
        <rFont val="宋体"/>
        <family val="3"/>
        <charset val="134"/>
      </rPr>
      <t>水珍鱼科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</si>
  <si>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</si>
  <si>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胡瓜鱼科</t>
    </r>
  </si>
  <si>
    <r>
      <rPr>
        <sz val="11"/>
        <color indexed="8"/>
        <rFont val="宋体"/>
        <family val="3"/>
        <charset val="134"/>
      </rPr>
      <t>日本公鱼</t>
    </r>
  </si>
  <si>
    <r>
      <rPr>
        <sz val="11"/>
        <color indexed="8"/>
        <rFont val="宋体"/>
        <family val="3"/>
        <charset val="134"/>
      </rPr>
      <t>西太公鱼</t>
    </r>
  </si>
  <si>
    <r>
      <rPr>
        <sz val="11"/>
        <color indexed="8"/>
        <rFont val="宋体"/>
        <family val="3"/>
        <charset val="134"/>
      </rPr>
      <t>池沼公鱼</t>
    </r>
  </si>
  <si>
    <r>
      <rPr>
        <sz val="11"/>
        <color indexed="8"/>
        <rFont val="宋体"/>
        <family val="3"/>
        <charset val="134"/>
      </rPr>
      <t>毛鳞鱼</t>
    </r>
  </si>
  <si>
    <r>
      <rPr>
        <sz val="11"/>
        <color indexed="8"/>
        <rFont val="宋体"/>
        <family val="3"/>
        <charset val="134"/>
      </rPr>
      <t>胡瓜鱼</t>
    </r>
  </si>
  <si>
    <r>
      <rPr>
        <sz val="11"/>
        <color indexed="8"/>
        <rFont val="宋体"/>
        <family val="3"/>
        <charset val="134"/>
      </rPr>
      <t>茴鱼科</t>
    </r>
  </si>
  <si>
    <r>
      <rPr>
        <sz val="11"/>
        <color indexed="8"/>
        <rFont val="宋体"/>
        <family val="3"/>
        <charset val="134"/>
      </rPr>
      <t>北极茴鱼</t>
    </r>
  </si>
  <si>
    <r>
      <rPr>
        <sz val="11"/>
        <color indexed="8"/>
        <rFont val="宋体"/>
        <family val="3"/>
        <charset val="134"/>
      </rPr>
      <t>北极茴鱼指名亚种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</si>
  <si>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</si>
  <si>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黑龙江北极茴鱼</t>
    </r>
  </si>
  <si>
    <r>
      <rPr>
        <sz val="11"/>
        <color indexed="8"/>
        <rFont val="宋体"/>
        <family val="3"/>
        <charset val="134"/>
      </rPr>
      <t>鸭绿江北极茴鱼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</si>
  <si>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</si>
  <si>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鲑科</t>
    </r>
  </si>
  <si>
    <r>
      <rPr>
        <sz val="11"/>
        <color indexed="8"/>
        <rFont val="宋体"/>
        <family val="3"/>
        <charset val="134"/>
      </rPr>
      <t>鲑科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</si>
  <si>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</si>
  <si>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细鳞鲑</t>
    </r>
  </si>
  <si>
    <r>
      <rPr>
        <sz val="11"/>
        <color indexed="8"/>
        <rFont val="宋体"/>
        <family val="3"/>
        <charset val="134"/>
      </rPr>
      <t>细鳞鲑指名亚种</t>
    </r>
  </si>
  <si>
    <r>
      <rPr>
        <sz val="11"/>
        <color indexed="8"/>
        <rFont val="宋体"/>
        <family val="3"/>
        <charset val="134"/>
      </rPr>
      <t>秦岭细鳞鲑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</si>
  <si>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</si>
  <si>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四川哲罗鱼</t>
    </r>
  </si>
  <si>
    <r>
      <rPr>
        <sz val="11"/>
        <color indexed="8"/>
        <rFont val="宋体"/>
        <family val="3"/>
        <charset val="134"/>
      </rPr>
      <t>石川哲罗鱼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</si>
  <si>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</si>
  <si>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哲罗鱼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</si>
  <si>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</si>
  <si>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驼背大马哈鱼</t>
    </r>
  </si>
  <si>
    <r>
      <rPr>
        <sz val="11"/>
        <color indexed="8"/>
        <rFont val="宋体"/>
        <family val="3"/>
        <charset val="134"/>
      </rPr>
      <t>大马哈鱼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</si>
  <si>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</si>
  <si>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马苏大马哈鱼</t>
    </r>
  </si>
  <si>
    <r>
      <rPr>
        <sz val="11"/>
        <color indexed="8"/>
        <rFont val="宋体"/>
        <family val="3"/>
        <charset val="134"/>
      </rPr>
      <t>台湾大马哈鱼</t>
    </r>
  </si>
  <si>
    <r>
      <rPr>
        <sz val="11"/>
        <color indexed="8"/>
        <rFont val="宋体"/>
        <family val="3"/>
        <charset val="134"/>
      </rPr>
      <t>虹鳟</t>
    </r>
  </si>
  <si>
    <r>
      <rPr>
        <sz val="11"/>
        <color indexed="8"/>
        <rFont val="宋体"/>
        <family val="3"/>
        <charset val="134"/>
      </rPr>
      <t>白斑红点鲑</t>
    </r>
  </si>
  <si>
    <r>
      <rPr>
        <sz val="11"/>
        <color indexed="8"/>
        <rFont val="宋体"/>
        <family val="3"/>
        <charset val="134"/>
      </rPr>
      <t>花羔红点鲑</t>
    </r>
  </si>
  <si>
    <r>
      <rPr>
        <sz val="11"/>
        <color indexed="8"/>
        <rFont val="宋体"/>
        <family val="3"/>
        <charset val="134"/>
      </rPr>
      <t>卡达白鲑</t>
    </r>
  </si>
  <si>
    <r>
      <rPr>
        <sz val="11"/>
        <color indexed="8"/>
        <rFont val="宋体"/>
        <family val="3"/>
        <charset val="134"/>
      </rPr>
      <t>乌苏里白鲑</t>
    </r>
  </si>
  <si>
    <r>
      <rPr>
        <sz val="11"/>
        <color indexed="8"/>
        <rFont val="宋体"/>
        <family val="3"/>
        <charset val="134"/>
      </rPr>
      <t>北鲑</t>
    </r>
  </si>
  <si>
    <r>
      <rPr>
        <sz val="11"/>
        <color indexed="8"/>
        <rFont val="宋体"/>
        <family val="3"/>
        <charset val="134"/>
      </rPr>
      <t>鲑形目</t>
    </r>
  </si>
  <si>
    <r>
      <rPr>
        <sz val="11"/>
        <color indexed="8"/>
        <rFont val="宋体"/>
        <family val="3"/>
        <charset val="134"/>
      </rPr>
      <t>钻光鱼科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</si>
  <si>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</si>
  <si>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丽光鱼</t>
    </r>
  </si>
  <si>
    <r>
      <rPr>
        <sz val="11"/>
        <color indexed="8"/>
        <rFont val="宋体"/>
        <family val="3"/>
        <charset val="134"/>
      </rPr>
      <t>圆帆鱼</t>
    </r>
  </si>
  <si>
    <r>
      <rPr>
        <sz val="11"/>
        <color indexed="8"/>
        <rFont val="宋体"/>
        <family val="3"/>
        <charset val="134"/>
      </rPr>
      <t>斜齿圆帆鱼</t>
    </r>
  </si>
  <si>
    <r>
      <rPr>
        <sz val="11"/>
        <color indexed="8"/>
        <rFont val="宋体"/>
        <family val="3"/>
        <charset val="134"/>
      </rPr>
      <t>白圆帆鱼</t>
    </r>
  </si>
  <si>
    <r>
      <rPr>
        <sz val="11"/>
        <color indexed="8"/>
        <rFont val="宋体"/>
        <family val="3"/>
        <charset val="134"/>
      </rPr>
      <t>黑圆帆鱼</t>
    </r>
  </si>
  <si>
    <r>
      <rPr>
        <sz val="11"/>
        <color indexed="8"/>
        <rFont val="宋体"/>
        <family val="3"/>
        <charset val="134"/>
      </rPr>
      <t>暗圆帆鱼</t>
    </r>
  </si>
  <si>
    <r>
      <rPr>
        <sz val="11"/>
        <color indexed="8"/>
        <rFont val="宋体"/>
        <family val="3"/>
        <charset val="134"/>
      </rPr>
      <t>苍圆帆鱼</t>
    </r>
  </si>
  <si>
    <r>
      <rPr>
        <sz val="11"/>
        <color indexed="8"/>
        <rFont val="宋体"/>
        <family val="3"/>
        <charset val="134"/>
      </rPr>
      <t>近苍圆帆鱼</t>
    </r>
  </si>
  <si>
    <r>
      <rPr>
        <sz val="11"/>
        <color indexed="8"/>
        <rFont val="宋体"/>
        <family val="3"/>
        <charset val="134"/>
      </rPr>
      <t>东方双光鱼</t>
    </r>
  </si>
  <si>
    <r>
      <rPr>
        <sz val="11"/>
        <color indexed="8"/>
        <rFont val="宋体"/>
        <family val="3"/>
        <charset val="134"/>
      </rPr>
      <t>条纹双光鱼</t>
    </r>
  </si>
  <si>
    <r>
      <rPr>
        <sz val="11"/>
        <color indexed="8"/>
        <rFont val="宋体"/>
        <family val="3"/>
        <charset val="134"/>
      </rPr>
      <t>西钻光鱼</t>
    </r>
  </si>
  <si>
    <r>
      <rPr>
        <sz val="11"/>
        <color indexed="8"/>
        <rFont val="宋体"/>
        <family val="3"/>
        <charset val="134"/>
      </rPr>
      <t>艾氏钻光鱼</t>
    </r>
  </si>
  <si>
    <r>
      <rPr>
        <sz val="11"/>
        <color indexed="8"/>
        <rFont val="宋体"/>
        <family val="3"/>
        <charset val="134"/>
      </rPr>
      <t>长钻光鱼</t>
    </r>
  </si>
  <si>
    <r>
      <rPr>
        <sz val="11"/>
        <color indexed="8"/>
        <rFont val="宋体"/>
        <family val="3"/>
        <charset val="134"/>
      </rPr>
      <t>纤钻光鱼</t>
    </r>
  </si>
  <si>
    <r>
      <rPr>
        <sz val="11"/>
        <color indexed="8"/>
        <rFont val="宋体"/>
        <family val="3"/>
        <charset val="134"/>
      </rPr>
      <t>异颌光鱼</t>
    </r>
  </si>
  <si>
    <r>
      <rPr>
        <sz val="11"/>
        <color indexed="8"/>
        <rFont val="宋体"/>
        <family val="3"/>
        <charset val="134"/>
      </rPr>
      <t>卵形颌光鱼</t>
    </r>
  </si>
  <si>
    <r>
      <rPr>
        <sz val="11"/>
        <color indexed="8"/>
        <rFont val="宋体"/>
        <family val="3"/>
        <charset val="134"/>
      </rPr>
      <t>绿光鱼</t>
    </r>
  </si>
  <si>
    <r>
      <rPr>
        <sz val="11"/>
        <color indexed="8"/>
        <rFont val="宋体"/>
        <family val="3"/>
        <charset val="134"/>
      </rPr>
      <t>波光鱼</t>
    </r>
  </si>
  <si>
    <r>
      <rPr>
        <sz val="11"/>
        <color indexed="8"/>
        <rFont val="宋体"/>
        <family val="3"/>
        <charset val="134"/>
      </rPr>
      <t>长刀光鱼</t>
    </r>
  </si>
  <si>
    <r>
      <rPr>
        <sz val="11"/>
        <color indexed="8"/>
        <rFont val="宋体"/>
        <family val="3"/>
        <charset val="134"/>
      </rPr>
      <t>刀光鱼</t>
    </r>
  </si>
  <si>
    <r>
      <rPr>
        <sz val="11"/>
        <color indexed="8"/>
        <rFont val="宋体"/>
        <family val="3"/>
        <charset val="134"/>
      </rPr>
      <t>参钻光鱼</t>
    </r>
  </si>
  <si>
    <r>
      <rPr>
        <sz val="11"/>
        <color indexed="8"/>
        <rFont val="宋体"/>
        <family val="3"/>
        <charset val="134"/>
      </rPr>
      <t>丛光鱼</t>
    </r>
  </si>
  <si>
    <r>
      <rPr>
        <sz val="11"/>
        <color indexed="8"/>
        <rFont val="宋体"/>
        <family val="3"/>
        <charset val="134"/>
      </rPr>
      <t>狭串光鱼</t>
    </r>
  </si>
  <si>
    <r>
      <rPr>
        <sz val="11"/>
        <color indexed="8"/>
        <rFont val="宋体"/>
        <family val="3"/>
        <charset val="134"/>
      </rPr>
      <t>荧串光鱼</t>
    </r>
  </si>
  <si>
    <r>
      <rPr>
        <sz val="11"/>
        <color indexed="8"/>
        <rFont val="宋体"/>
        <family val="3"/>
        <charset val="134"/>
      </rPr>
      <t>串光鱼</t>
    </r>
  </si>
  <si>
    <r>
      <rPr>
        <sz val="11"/>
        <color indexed="8"/>
        <rFont val="宋体"/>
        <family val="3"/>
        <charset val="134"/>
      </rPr>
      <t>强串光鱼</t>
    </r>
  </si>
  <si>
    <r>
      <rPr>
        <sz val="11"/>
        <color indexed="8"/>
        <rFont val="宋体"/>
        <family val="3"/>
        <charset val="134"/>
      </rPr>
      <t>串光鱼属</t>
    </r>
  </si>
  <si>
    <r>
      <rPr>
        <sz val="11"/>
        <color indexed="8"/>
        <rFont val="宋体"/>
        <family val="3"/>
        <charset val="134"/>
      </rPr>
      <t>褶胸鱼科</t>
    </r>
  </si>
  <si>
    <r>
      <rPr>
        <sz val="11"/>
        <color indexed="8"/>
        <rFont val="宋体"/>
        <family val="3"/>
        <charset val="134"/>
      </rPr>
      <t>薄光鱼</t>
    </r>
  </si>
  <si>
    <r>
      <rPr>
        <sz val="11"/>
        <color indexed="8"/>
        <rFont val="宋体"/>
        <family val="3"/>
        <charset val="134"/>
      </rPr>
      <t>巨口鱼目</t>
    </r>
  </si>
  <si>
    <r>
      <rPr>
        <sz val="11"/>
        <color indexed="8"/>
        <rFont val="宋体"/>
        <family val="3"/>
        <charset val="134"/>
      </rPr>
      <t>刺银斧鱼</t>
    </r>
  </si>
  <si>
    <r>
      <rPr>
        <sz val="11"/>
        <color indexed="8"/>
        <rFont val="宋体"/>
        <family val="3"/>
        <charset val="134"/>
      </rPr>
      <t>长银斧鱼</t>
    </r>
  </si>
  <si>
    <r>
      <rPr>
        <sz val="11"/>
        <color indexed="8"/>
        <rFont val="宋体"/>
        <family val="3"/>
        <charset val="134"/>
      </rPr>
      <t>银斧鱼</t>
    </r>
  </si>
  <si>
    <r>
      <rPr>
        <sz val="11"/>
        <color indexed="8"/>
        <rFont val="宋体"/>
        <family val="3"/>
        <charset val="134"/>
      </rPr>
      <t>高银斧鱼</t>
    </r>
  </si>
  <si>
    <r>
      <rPr>
        <sz val="11"/>
        <color indexed="8"/>
        <rFont val="宋体"/>
        <family val="3"/>
        <charset val="134"/>
      </rPr>
      <t>丹光鱼</t>
    </r>
  </si>
  <si>
    <r>
      <rPr>
        <sz val="11"/>
        <color indexed="8"/>
        <rFont val="宋体"/>
        <family val="3"/>
        <charset val="134"/>
      </rPr>
      <t>日本暗光鱼</t>
    </r>
  </si>
  <si>
    <r>
      <rPr>
        <sz val="11"/>
        <color indexed="8"/>
        <rFont val="宋体"/>
        <family val="3"/>
        <charset val="134"/>
      </rPr>
      <t>缪氏暗光鱼</t>
    </r>
  </si>
  <si>
    <r>
      <rPr>
        <sz val="11"/>
        <color indexed="8"/>
        <rFont val="宋体"/>
        <family val="3"/>
        <charset val="134"/>
      </rPr>
      <t>光华烛光鱼</t>
    </r>
  </si>
  <si>
    <r>
      <rPr>
        <sz val="11"/>
        <color indexed="8"/>
        <rFont val="宋体"/>
        <family val="3"/>
        <charset val="134"/>
      </rPr>
      <t>烛光鱼</t>
    </r>
  </si>
  <si>
    <r>
      <rPr>
        <sz val="11"/>
        <color indexed="8"/>
        <rFont val="宋体"/>
        <family val="3"/>
        <charset val="134"/>
      </rPr>
      <t>闪电烛光鱼</t>
    </r>
  </si>
  <si>
    <r>
      <rPr>
        <sz val="11"/>
        <color indexed="8"/>
        <rFont val="宋体"/>
        <family val="3"/>
        <charset val="134"/>
      </rPr>
      <t>三齿烛光鱼</t>
    </r>
  </si>
  <si>
    <r>
      <rPr>
        <sz val="11"/>
        <color indexed="8"/>
        <rFont val="宋体"/>
        <family val="3"/>
        <charset val="134"/>
      </rPr>
      <t>三烛光鱼</t>
    </r>
  </si>
  <si>
    <r>
      <rPr>
        <sz val="11"/>
        <color indexed="8"/>
        <rFont val="宋体"/>
        <family val="3"/>
        <charset val="134"/>
      </rPr>
      <t>褶胸鱼</t>
    </r>
  </si>
  <si>
    <r>
      <rPr>
        <sz val="11"/>
        <color indexed="8"/>
        <rFont val="宋体"/>
        <family val="3"/>
        <charset val="134"/>
      </rPr>
      <t>低褶胸鱼</t>
    </r>
  </si>
  <si>
    <r>
      <rPr>
        <sz val="11"/>
        <color indexed="8"/>
        <rFont val="宋体"/>
        <family val="3"/>
        <charset val="134"/>
      </rPr>
      <t>似低褶胸鱼</t>
    </r>
  </si>
  <si>
    <r>
      <rPr>
        <sz val="11"/>
        <color indexed="8"/>
        <rFont val="宋体"/>
        <family val="3"/>
        <charset val="134"/>
      </rPr>
      <t>暗光鱼属</t>
    </r>
  </si>
  <si>
    <r>
      <rPr>
        <sz val="11"/>
        <color indexed="8"/>
        <rFont val="宋体"/>
        <family val="3"/>
        <charset val="134"/>
      </rPr>
      <t>褶胸鱼科</t>
    </r>
  </si>
  <si>
    <r>
      <rPr>
        <sz val="11"/>
        <color indexed="8"/>
        <rFont val="宋体"/>
        <family val="3"/>
        <charset val="134"/>
      </rPr>
      <t>深海鲑</t>
    </r>
  </si>
  <si>
    <r>
      <rPr>
        <sz val="11"/>
        <color indexed="8"/>
        <rFont val="宋体"/>
        <family val="3"/>
        <charset val="134"/>
      </rPr>
      <t>深海鲑科</t>
    </r>
  </si>
  <si>
    <r>
      <rPr>
        <sz val="11"/>
        <color indexed="8"/>
        <rFont val="宋体"/>
        <family val="3"/>
        <charset val="134"/>
      </rPr>
      <t>热带深海鲑</t>
    </r>
  </si>
  <si>
    <r>
      <rPr>
        <sz val="11"/>
        <color indexed="8"/>
        <rFont val="宋体"/>
        <family val="3"/>
        <charset val="134"/>
      </rPr>
      <t>灯笼鱼目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</si>
  <si>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</si>
  <si>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狗母鱼科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</si>
  <si>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</si>
  <si>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蛇鲻属</t>
    </r>
  </si>
  <si>
    <r>
      <rPr>
        <sz val="11"/>
        <color indexed="8"/>
        <rFont val="宋体"/>
        <family val="3"/>
        <charset val="134"/>
      </rPr>
      <t>长条蛇鲻</t>
    </r>
  </si>
  <si>
    <r>
      <rPr>
        <sz val="11"/>
        <color indexed="8"/>
        <rFont val="宋体"/>
        <family val="3"/>
        <charset val="134"/>
      </rPr>
      <t>细蛇鲻</t>
    </r>
  </si>
  <si>
    <r>
      <rPr>
        <sz val="11"/>
        <color indexed="8"/>
        <rFont val="宋体"/>
        <family val="3"/>
        <charset val="134"/>
      </rPr>
      <t>小胸鳍蛇鲻</t>
    </r>
  </si>
  <si>
    <r>
      <rPr>
        <sz val="11"/>
        <color indexed="8"/>
        <rFont val="宋体"/>
        <family val="3"/>
        <charset val="134"/>
      </rPr>
      <t>多齿蛇鲻</t>
    </r>
  </si>
  <si>
    <r>
      <rPr>
        <sz val="11"/>
        <color indexed="8"/>
        <rFont val="宋体"/>
        <family val="3"/>
        <charset val="134"/>
      </rPr>
      <t>花斑蛇鲻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</si>
  <si>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</si>
  <si>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鳄蛇鲻</t>
    </r>
  </si>
  <si>
    <r>
      <rPr>
        <sz val="11"/>
        <color indexed="8"/>
        <rFont val="宋体"/>
        <family val="3"/>
        <charset val="134"/>
      </rPr>
      <t>双斑狗母鱼</t>
    </r>
  </si>
  <si>
    <r>
      <rPr>
        <sz val="11"/>
        <color indexed="8"/>
        <rFont val="宋体"/>
        <family val="3"/>
        <charset val="134"/>
      </rPr>
      <t>纵带狗母鱼</t>
    </r>
  </si>
  <si>
    <r>
      <rPr>
        <sz val="11"/>
        <color indexed="8"/>
        <rFont val="宋体"/>
        <family val="3"/>
        <charset val="134"/>
      </rPr>
      <t>背斑狗母鱼</t>
    </r>
  </si>
  <si>
    <r>
      <rPr>
        <sz val="11"/>
        <color indexed="8"/>
        <rFont val="宋体"/>
        <family val="3"/>
        <charset val="134"/>
      </rPr>
      <t>肩斑狗母鱼</t>
    </r>
  </si>
  <si>
    <r>
      <rPr>
        <sz val="11"/>
        <color indexed="8"/>
        <rFont val="宋体"/>
        <family val="3"/>
        <charset val="134"/>
      </rPr>
      <t>印度狗母鱼</t>
    </r>
  </si>
  <si>
    <r>
      <rPr>
        <sz val="11"/>
        <color indexed="8"/>
        <rFont val="宋体"/>
        <family val="3"/>
        <charset val="134"/>
      </rPr>
      <t>裸类狗母鱼</t>
    </r>
  </si>
  <si>
    <r>
      <rPr>
        <sz val="11"/>
        <color indexed="8"/>
        <rFont val="宋体"/>
        <family val="3"/>
        <charset val="134"/>
      </rPr>
      <t>方斑狗母鱼</t>
    </r>
  </si>
  <si>
    <r>
      <rPr>
        <sz val="11"/>
        <color indexed="8"/>
        <rFont val="宋体"/>
        <family val="3"/>
        <charset val="134"/>
      </rPr>
      <t>叉斑狗母鱼</t>
    </r>
  </si>
  <si>
    <r>
      <rPr>
        <sz val="11"/>
        <color indexed="8"/>
        <rFont val="宋体"/>
        <family val="3"/>
        <charset val="134"/>
      </rPr>
      <t>红斑狗母鱼</t>
    </r>
  </si>
  <si>
    <r>
      <rPr>
        <sz val="11"/>
        <color indexed="8"/>
        <rFont val="宋体"/>
        <family val="3"/>
        <charset val="134"/>
      </rPr>
      <t>杂斑狗母鱼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</si>
  <si>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</si>
  <si>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大头狗母鱼</t>
    </r>
  </si>
  <si>
    <r>
      <rPr>
        <sz val="11"/>
        <color indexed="8"/>
        <rFont val="宋体"/>
        <family val="3"/>
        <charset val="134"/>
      </rPr>
      <t>仙女鱼目</t>
    </r>
  </si>
  <si>
    <r>
      <rPr>
        <sz val="11"/>
        <color indexed="8"/>
        <rFont val="宋体"/>
        <family val="3"/>
        <charset val="134"/>
      </rPr>
      <t>狗母鱼属</t>
    </r>
  </si>
  <si>
    <r>
      <rPr>
        <sz val="11"/>
        <color indexed="8"/>
        <rFont val="宋体"/>
        <family val="3"/>
        <charset val="134"/>
      </rPr>
      <t>大头狗母鱼属</t>
    </r>
  </si>
  <si>
    <r>
      <rPr>
        <sz val="11"/>
        <color indexed="8"/>
        <rFont val="宋体"/>
        <family val="3"/>
        <charset val="134"/>
      </rPr>
      <t>龙头鱼科</t>
    </r>
  </si>
  <si>
    <r>
      <rPr>
        <sz val="11"/>
        <color indexed="8"/>
        <rFont val="宋体"/>
        <family val="3"/>
        <charset val="134"/>
      </rPr>
      <t>龙头鱼属</t>
    </r>
  </si>
  <si>
    <r>
      <rPr>
        <sz val="11"/>
        <color indexed="8"/>
        <rFont val="宋体"/>
        <family val="3"/>
        <charset val="134"/>
      </rPr>
      <t>龙头鱼</t>
    </r>
  </si>
  <si>
    <r>
      <rPr>
        <sz val="11"/>
        <color indexed="8"/>
        <rFont val="宋体"/>
        <family val="3"/>
        <charset val="134"/>
      </rPr>
      <t>小鳍龙头鱼</t>
    </r>
  </si>
  <si>
    <r>
      <rPr>
        <sz val="11"/>
        <color indexed="8"/>
        <rFont val="宋体"/>
        <family val="3"/>
        <charset val="134"/>
      </rPr>
      <t>仙女鱼科</t>
    </r>
  </si>
  <si>
    <r>
      <rPr>
        <sz val="11"/>
        <color indexed="8"/>
        <rFont val="宋体"/>
        <family val="3"/>
        <charset val="134"/>
      </rPr>
      <t>日本仙鱼</t>
    </r>
  </si>
  <si>
    <r>
      <rPr>
        <sz val="11"/>
        <color indexed="8"/>
        <rFont val="宋体"/>
        <family val="3"/>
        <charset val="134"/>
      </rPr>
      <t>仙鱼科</t>
    </r>
  </si>
  <si>
    <r>
      <rPr>
        <sz val="11"/>
        <color indexed="8"/>
        <rFont val="宋体"/>
        <family val="3"/>
        <charset val="134"/>
      </rPr>
      <t>青眼鱼科</t>
    </r>
  </si>
  <si>
    <r>
      <rPr>
        <sz val="11"/>
        <color indexed="8"/>
        <rFont val="宋体"/>
        <family val="3"/>
        <charset val="134"/>
      </rPr>
      <t>隆背青眼鱼</t>
    </r>
  </si>
  <si>
    <r>
      <rPr>
        <sz val="11"/>
        <color indexed="8"/>
        <rFont val="宋体"/>
        <family val="3"/>
        <charset val="134"/>
      </rPr>
      <t>短吻青眼鱼</t>
    </r>
  </si>
  <si>
    <r>
      <rPr>
        <sz val="11"/>
        <color indexed="8"/>
        <rFont val="宋体"/>
        <family val="3"/>
        <charset val="134"/>
      </rPr>
      <t>大眼青眼鱼</t>
    </r>
  </si>
  <si>
    <r>
      <rPr>
        <sz val="11"/>
        <color indexed="8"/>
        <rFont val="宋体"/>
        <family val="3"/>
        <charset val="134"/>
      </rPr>
      <t>双角青眼鱼</t>
    </r>
  </si>
  <si>
    <r>
      <rPr>
        <sz val="11"/>
        <color indexed="8"/>
        <rFont val="宋体"/>
        <family val="3"/>
        <charset val="134"/>
      </rPr>
      <t>黑缘青眼鱼</t>
    </r>
  </si>
  <si>
    <r>
      <rPr>
        <sz val="11"/>
        <color indexed="8"/>
        <rFont val="宋体"/>
        <family val="3"/>
        <charset val="134"/>
      </rPr>
      <t>长青眼鱼</t>
    </r>
  </si>
  <si>
    <r>
      <rPr>
        <sz val="11"/>
        <color indexed="8"/>
        <rFont val="宋体"/>
        <family val="3"/>
        <charset val="134"/>
      </rPr>
      <t>新灯鱼科</t>
    </r>
  </si>
  <si>
    <r>
      <rPr>
        <sz val="11"/>
        <color indexed="8"/>
        <rFont val="宋体"/>
        <family val="3"/>
        <charset val="134"/>
      </rPr>
      <t>大鳞新灯鱼</t>
    </r>
  </si>
  <si>
    <r>
      <rPr>
        <sz val="11"/>
        <color indexed="8"/>
        <rFont val="宋体"/>
        <family val="3"/>
        <charset val="134"/>
      </rPr>
      <t>小鳍新灯鱼</t>
    </r>
  </si>
  <si>
    <r>
      <rPr>
        <sz val="11"/>
        <color indexed="8"/>
        <rFont val="宋体"/>
        <family val="3"/>
        <charset val="134"/>
      </rPr>
      <t>多孔新灯鱼</t>
    </r>
  </si>
  <si>
    <r>
      <rPr>
        <sz val="11"/>
        <color indexed="8"/>
        <rFont val="宋体"/>
        <family val="3"/>
        <charset val="134"/>
      </rPr>
      <t>拟灯笼鱼</t>
    </r>
  </si>
  <si>
    <r>
      <rPr>
        <sz val="11"/>
        <color indexed="8"/>
        <rFont val="宋体"/>
        <family val="3"/>
        <charset val="134"/>
      </rPr>
      <t>灯笼鱼科</t>
    </r>
  </si>
  <si>
    <r>
      <rPr>
        <sz val="11"/>
        <color indexed="8"/>
        <rFont val="宋体"/>
        <family val="3"/>
        <charset val="134"/>
      </rPr>
      <t>原灯笼鱼</t>
    </r>
  </si>
  <si>
    <r>
      <rPr>
        <sz val="11"/>
        <color indexed="8"/>
        <rFont val="宋体"/>
        <family val="3"/>
        <charset val="134"/>
      </rPr>
      <t>尾灯鱼属</t>
    </r>
  </si>
  <si>
    <r>
      <rPr>
        <sz val="11"/>
        <color indexed="8"/>
        <rFont val="宋体"/>
        <family val="3"/>
        <charset val="134"/>
      </rPr>
      <t>底灯鱼属</t>
    </r>
  </si>
  <si>
    <r>
      <rPr>
        <sz val="11"/>
        <color indexed="8"/>
        <rFont val="宋体"/>
        <family val="3"/>
        <charset val="134"/>
      </rPr>
      <t>带底灯鱼</t>
    </r>
  </si>
  <si>
    <r>
      <rPr>
        <sz val="11"/>
        <color indexed="8"/>
        <rFont val="宋体"/>
        <family val="3"/>
        <charset val="134"/>
      </rPr>
      <t>七星底灯鱼</t>
    </r>
  </si>
  <si>
    <r>
      <rPr>
        <sz val="11"/>
        <color indexed="8"/>
        <rFont val="宋体"/>
        <family val="3"/>
        <charset val="134"/>
      </rPr>
      <t>耀眼底灯鱼</t>
    </r>
  </si>
  <si>
    <r>
      <rPr>
        <sz val="11"/>
        <color indexed="8"/>
        <rFont val="宋体"/>
        <family val="3"/>
        <charset val="134"/>
      </rPr>
      <t>长鳍虹灯鱼</t>
    </r>
  </si>
  <si>
    <r>
      <rPr>
        <sz val="11"/>
        <color indexed="8"/>
        <rFont val="宋体"/>
        <family val="3"/>
        <charset val="134"/>
      </rPr>
      <t>南沙虹灯鱼</t>
    </r>
  </si>
  <si>
    <r>
      <rPr>
        <sz val="11"/>
        <color indexed="8"/>
        <rFont val="宋体"/>
        <family val="3"/>
        <charset val="134"/>
      </rPr>
      <t>眶暗虹灯鱼</t>
    </r>
  </si>
  <si>
    <r>
      <rPr>
        <sz val="11"/>
        <color indexed="8"/>
        <rFont val="宋体"/>
        <family val="3"/>
        <charset val="134"/>
      </rPr>
      <t>虹灯鱼</t>
    </r>
  </si>
  <si>
    <r>
      <rPr>
        <sz val="11"/>
        <color indexed="8"/>
        <rFont val="宋体"/>
        <family val="3"/>
        <charset val="134"/>
      </rPr>
      <t>锦灯鱼</t>
    </r>
  </si>
  <si>
    <r>
      <rPr>
        <sz val="11"/>
        <color indexed="8"/>
        <rFont val="宋体"/>
        <family val="3"/>
        <charset val="134"/>
      </rPr>
      <t>椭锦灯鱼</t>
    </r>
  </si>
  <si>
    <r>
      <rPr>
        <sz val="11"/>
        <color indexed="8"/>
        <rFont val="宋体"/>
        <family val="3"/>
        <charset val="134"/>
      </rPr>
      <t>尾明角灯鱼</t>
    </r>
  </si>
  <si>
    <r>
      <rPr>
        <sz val="11"/>
        <color indexed="8"/>
        <rFont val="宋体"/>
        <family val="3"/>
        <charset val="134"/>
      </rPr>
      <t>眶灯鱼属</t>
    </r>
  </si>
  <si>
    <r>
      <rPr>
        <sz val="11"/>
        <color indexed="8"/>
        <rFont val="宋体"/>
        <family val="3"/>
        <charset val="134"/>
      </rPr>
      <t>长距眶灯鱼</t>
    </r>
  </si>
  <si>
    <r>
      <rPr>
        <sz val="11"/>
        <color indexed="8"/>
        <rFont val="宋体"/>
        <family val="3"/>
        <charset val="134"/>
      </rPr>
      <t>条带眶灯鱼</t>
    </r>
  </si>
  <si>
    <r>
      <rPr>
        <sz val="11"/>
        <color indexed="8"/>
        <rFont val="宋体"/>
        <family val="3"/>
        <charset val="134"/>
      </rPr>
      <t>波腾眶灯鱼</t>
    </r>
  </si>
  <si>
    <r>
      <rPr>
        <sz val="11"/>
        <color indexed="8"/>
        <rFont val="宋体"/>
        <family val="3"/>
        <charset val="134"/>
      </rPr>
      <t>金鼻眶灯鱼</t>
    </r>
  </si>
  <si>
    <r>
      <rPr>
        <sz val="11"/>
        <color indexed="8"/>
        <rFont val="宋体"/>
        <family val="3"/>
        <charset val="134"/>
      </rPr>
      <t>天蓝眶灯鱼</t>
    </r>
  </si>
  <si>
    <r>
      <rPr>
        <sz val="11"/>
        <color indexed="8"/>
        <rFont val="宋体"/>
        <family val="3"/>
        <charset val="134"/>
      </rPr>
      <t>冠冕眶灯鱼</t>
    </r>
  </si>
  <si>
    <r>
      <rPr>
        <sz val="11"/>
        <color indexed="8"/>
        <rFont val="宋体"/>
        <family val="3"/>
        <charset val="134"/>
      </rPr>
      <t>灿烂眶灯鱼</t>
    </r>
  </si>
  <si>
    <r>
      <rPr>
        <sz val="11"/>
        <color indexed="8"/>
        <rFont val="宋体"/>
        <family val="3"/>
        <charset val="134"/>
      </rPr>
      <t>喀氏眶灯鱼</t>
    </r>
  </si>
  <si>
    <r>
      <rPr>
        <sz val="11"/>
        <color indexed="8"/>
        <rFont val="宋体"/>
        <family val="3"/>
        <charset val="134"/>
      </rPr>
      <t>大眼眶灯鱼</t>
    </r>
  </si>
  <si>
    <r>
      <rPr>
        <sz val="11"/>
        <color indexed="8"/>
        <rFont val="宋体"/>
        <family val="3"/>
        <charset val="134"/>
      </rPr>
      <t>颜氏眶灯鱼</t>
    </r>
  </si>
  <si>
    <r>
      <rPr>
        <sz val="11"/>
        <color indexed="8"/>
        <rFont val="宋体"/>
        <family val="3"/>
        <charset val="134"/>
      </rPr>
      <t>吕氏眶灯鱼</t>
    </r>
  </si>
  <si>
    <r>
      <rPr>
        <sz val="11"/>
        <color indexed="8"/>
        <rFont val="宋体"/>
        <family val="3"/>
        <charset val="134"/>
      </rPr>
      <t>马来眶灯鱼</t>
    </r>
  </si>
  <si>
    <r>
      <rPr>
        <sz val="11"/>
        <color indexed="8"/>
        <rFont val="宋体"/>
        <family val="3"/>
        <charset val="134"/>
      </rPr>
      <t>短距眶灯鱼</t>
    </r>
  </si>
  <si>
    <r>
      <rPr>
        <sz val="11"/>
        <color indexed="8"/>
        <rFont val="宋体"/>
        <family val="3"/>
        <charset val="134"/>
      </rPr>
      <t>巴氏眶灯鱼</t>
    </r>
  </si>
  <si>
    <r>
      <rPr>
        <sz val="11"/>
        <color indexed="8"/>
        <rFont val="宋体"/>
        <family val="3"/>
        <charset val="134"/>
      </rPr>
      <t>华丽眶灯鱼</t>
    </r>
  </si>
  <si>
    <r>
      <rPr>
        <sz val="11"/>
        <color indexed="8"/>
        <rFont val="宋体"/>
        <family val="3"/>
        <charset val="134"/>
      </rPr>
      <t>莫名眶灯鱼</t>
    </r>
  </si>
  <si>
    <r>
      <rPr>
        <sz val="11"/>
        <color indexed="8"/>
        <rFont val="宋体"/>
        <family val="3"/>
        <charset val="134"/>
      </rPr>
      <t>翘光眶灯鱼</t>
    </r>
  </si>
  <si>
    <r>
      <rPr>
        <sz val="11"/>
        <color indexed="8"/>
        <rFont val="宋体"/>
        <family val="3"/>
        <charset val="134"/>
      </rPr>
      <t>李氏眶灯鱼</t>
    </r>
  </si>
  <si>
    <r>
      <rPr>
        <sz val="11"/>
        <color indexed="8"/>
        <rFont val="宋体"/>
        <family val="3"/>
        <charset val="134"/>
      </rPr>
      <t>后光眶灯鱼</t>
    </r>
  </si>
  <si>
    <r>
      <rPr>
        <sz val="11"/>
        <color indexed="8"/>
        <rFont val="宋体"/>
        <family val="3"/>
        <charset val="134"/>
      </rPr>
      <t>高位眶灯鱼</t>
    </r>
  </si>
  <si>
    <r>
      <rPr>
        <sz val="11"/>
        <color indexed="8"/>
        <rFont val="宋体"/>
        <family val="3"/>
        <charset val="134"/>
      </rPr>
      <t>光腺眶灯鱼</t>
    </r>
  </si>
  <si>
    <r>
      <rPr>
        <sz val="11"/>
        <color indexed="8"/>
        <rFont val="宋体"/>
        <family val="3"/>
        <charset val="134"/>
      </rPr>
      <t>多耙眶灯鱼</t>
    </r>
  </si>
  <si>
    <r>
      <rPr>
        <sz val="11"/>
        <color indexed="8"/>
        <rFont val="宋体"/>
        <family val="3"/>
        <charset val="134"/>
      </rPr>
      <t>瓦氏眶灯鱼</t>
    </r>
  </si>
  <si>
    <r>
      <rPr>
        <sz val="11"/>
        <color indexed="8"/>
        <rFont val="宋体"/>
        <family val="3"/>
        <charset val="134"/>
      </rPr>
      <t>明灯鱼属</t>
    </r>
  </si>
  <si>
    <r>
      <rPr>
        <sz val="11"/>
        <color indexed="8"/>
        <rFont val="宋体"/>
        <family val="3"/>
        <charset val="134"/>
      </rPr>
      <t>西明灯鱼</t>
    </r>
  </si>
  <si>
    <r>
      <rPr>
        <sz val="11"/>
        <color indexed="8"/>
        <rFont val="宋体"/>
        <family val="3"/>
        <charset val="134"/>
      </rPr>
      <t>朗明灯鱼</t>
    </r>
  </si>
  <si>
    <r>
      <rPr>
        <sz val="11"/>
        <color indexed="8"/>
        <rFont val="宋体"/>
        <family val="3"/>
        <charset val="134"/>
      </rPr>
      <t>印明灯鱼</t>
    </r>
  </si>
  <si>
    <r>
      <rPr>
        <sz val="11"/>
        <color indexed="8"/>
        <rFont val="宋体"/>
        <family val="3"/>
        <charset val="134"/>
      </rPr>
      <t>柯氏星灯鱼</t>
    </r>
  </si>
  <si>
    <r>
      <rPr>
        <sz val="11"/>
        <color indexed="8"/>
        <rFont val="宋体"/>
        <family val="3"/>
        <charset val="134"/>
      </rPr>
      <t>壮灯鱼属</t>
    </r>
  </si>
  <si>
    <r>
      <rPr>
        <sz val="11"/>
        <color indexed="8"/>
        <rFont val="宋体"/>
        <family val="3"/>
        <charset val="134"/>
      </rPr>
      <t>黑壮灯鱼</t>
    </r>
  </si>
  <si>
    <r>
      <rPr>
        <sz val="11"/>
        <color indexed="8"/>
        <rFont val="宋体"/>
        <family val="3"/>
        <charset val="134"/>
      </rPr>
      <t>莱氏壮灯鱼</t>
    </r>
  </si>
  <si>
    <r>
      <rPr>
        <sz val="11"/>
        <color indexed="8"/>
        <rFont val="宋体"/>
        <family val="3"/>
        <charset val="134"/>
      </rPr>
      <t>近壮灯鱼</t>
    </r>
  </si>
  <si>
    <r>
      <rPr>
        <sz val="11"/>
        <color indexed="8"/>
        <rFont val="宋体"/>
        <family val="3"/>
        <charset val="134"/>
      </rPr>
      <t>发光炬灯鱼</t>
    </r>
  </si>
  <si>
    <r>
      <rPr>
        <sz val="11"/>
        <color indexed="8"/>
        <rFont val="宋体"/>
        <family val="3"/>
        <charset val="134"/>
      </rPr>
      <t>暗柄炬灯鱼</t>
    </r>
  </si>
  <si>
    <r>
      <rPr>
        <sz val="11"/>
        <color indexed="8"/>
        <rFont val="宋体"/>
        <family val="3"/>
        <charset val="134"/>
      </rPr>
      <t>细斑珍灯鱼</t>
    </r>
  </si>
  <si>
    <r>
      <rPr>
        <sz val="11"/>
        <color indexed="8"/>
        <rFont val="宋体"/>
        <family val="3"/>
        <charset val="134"/>
      </rPr>
      <t>后点珍灯鱼</t>
    </r>
  </si>
  <si>
    <r>
      <rPr>
        <sz val="11"/>
        <color indexed="8"/>
        <rFont val="宋体"/>
        <family val="3"/>
        <charset val="134"/>
      </rPr>
      <t>大鳍珍灯鱼</t>
    </r>
  </si>
  <si>
    <r>
      <rPr>
        <sz val="11"/>
        <color indexed="8"/>
        <rFont val="宋体"/>
        <family val="3"/>
        <charset val="134"/>
      </rPr>
      <t>黑色珍灯鱼</t>
    </r>
  </si>
  <si>
    <r>
      <rPr>
        <sz val="11"/>
        <color indexed="8"/>
        <rFont val="宋体"/>
        <family val="3"/>
        <charset val="134"/>
      </rPr>
      <t>同点珍灯鱼</t>
    </r>
  </si>
  <si>
    <r>
      <rPr>
        <sz val="11"/>
        <color indexed="8"/>
        <rFont val="宋体"/>
        <family val="3"/>
        <charset val="134"/>
      </rPr>
      <t>珍灯鱼</t>
    </r>
  </si>
  <si>
    <r>
      <rPr>
        <sz val="11"/>
        <color indexed="8"/>
        <rFont val="宋体"/>
        <family val="3"/>
        <charset val="134"/>
      </rPr>
      <t>灯笼鱼属</t>
    </r>
  </si>
  <si>
    <r>
      <rPr>
        <sz val="11"/>
        <color indexed="8"/>
        <rFont val="宋体"/>
        <family val="3"/>
        <charset val="134"/>
      </rPr>
      <t>芒光灯笼鱼</t>
    </r>
  </si>
  <si>
    <r>
      <rPr>
        <sz val="11"/>
        <color indexed="8"/>
        <rFont val="宋体"/>
        <family val="3"/>
        <charset val="134"/>
      </rPr>
      <t>粗鳞灯笼鱼</t>
    </r>
  </si>
  <si>
    <r>
      <rPr>
        <sz val="11"/>
        <color indexed="8"/>
        <rFont val="宋体"/>
        <family val="3"/>
        <charset val="134"/>
      </rPr>
      <t>金焰灯笼鱼</t>
    </r>
  </si>
  <si>
    <r>
      <rPr>
        <sz val="11"/>
        <color indexed="8"/>
        <rFont val="宋体"/>
        <family val="3"/>
        <charset val="134"/>
      </rPr>
      <t>短颌灯笼鱼</t>
    </r>
  </si>
  <si>
    <r>
      <rPr>
        <sz val="11"/>
        <color indexed="8"/>
        <rFont val="宋体"/>
        <family val="3"/>
        <charset val="134"/>
      </rPr>
      <t>双灯灯笼鱼</t>
    </r>
  </si>
  <si>
    <r>
      <rPr>
        <sz val="11"/>
        <color indexed="8"/>
        <rFont val="宋体"/>
        <family val="3"/>
        <charset val="134"/>
      </rPr>
      <t>闪光灯笼鱼</t>
    </r>
  </si>
  <si>
    <r>
      <rPr>
        <sz val="11"/>
        <color indexed="8"/>
        <rFont val="宋体"/>
        <family val="3"/>
        <charset val="134"/>
      </rPr>
      <t>钝吻灯笼鱼</t>
    </r>
  </si>
  <si>
    <r>
      <rPr>
        <sz val="11"/>
        <color indexed="8"/>
        <rFont val="宋体"/>
        <family val="3"/>
        <charset val="134"/>
      </rPr>
      <t>粗短灯笼鱼</t>
    </r>
  </si>
  <si>
    <r>
      <rPr>
        <sz val="11"/>
        <color indexed="8"/>
        <rFont val="宋体"/>
        <family val="3"/>
        <charset val="134"/>
      </rPr>
      <t>栉刺灯笼鱼</t>
    </r>
  </si>
  <si>
    <r>
      <rPr>
        <sz val="11"/>
        <color indexed="8"/>
        <rFont val="宋体"/>
        <family val="3"/>
        <charset val="134"/>
      </rPr>
      <t>闪光肩灯鱼</t>
    </r>
  </si>
  <si>
    <r>
      <rPr>
        <sz val="11"/>
        <color indexed="8"/>
        <rFont val="宋体"/>
        <family val="3"/>
        <charset val="134"/>
      </rPr>
      <t>大眼标灯鱼</t>
    </r>
  </si>
  <si>
    <r>
      <rPr>
        <sz val="11"/>
        <color indexed="8"/>
        <rFont val="宋体"/>
        <family val="3"/>
        <charset val="134"/>
      </rPr>
      <t>光彩标灯鱼</t>
    </r>
  </si>
  <si>
    <r>
      <rPr>
        <sz val="11"/>
        <color indexed="8"/>
        <rFont val="宋体"/>
        <family val="3"/>
        <charset val="134"/>
      </rPr>
      <t>红标灯鱼</t>
    </r>
  </si>
  <si>
    <r>
      <rPr>
        <sz val="11"/>
        <color indexed="8"/>
        <rFont val="宋体"/>
        <family val="3"/>
        <charset val="134"/>
      </rPr>
      <t>牡锦灯鱼</t>
    </r>
  </si>
  <si>
    <r>
      <rPr>
        <sz val="11"/>
        <color indexed="8"/>
        <rFont val="宋体"/>
        <family val="3"/>
        <charset val="134"/>
      </rPr>
      <t>月灯鱼</t>
    </r>
  </si>
  <si>
    <r>
      <rPr>
        <sz val="11"/>
        <color indexed="8"/>
        <rFont val="宋体"/>
        <family val="3"/>
        <charset val="134"/>
      </rPr>
      <t>小鳍尾灯鱼</t>
    </r>
  </si>
  <si>
    <r>
      <rPr>
        <sz val="11"/>
        <color indexed="8"/>
        <rFont val="宋体"/>
        <family val="3"/>
        <charset val="134"/>
      </rPr>
      <t>浅黑尾灯鱼</t>
    </r>
  </si>
  <si>
    <r>
      <rPr>
        <sz val="11"/>
        <color indexed="8"/>
        <rFont val="宋体"/>
        <family val="3"/>
        <charset val="134"/>
      </rPr>
      <t>深海狗母鱼科</t>
    </r>
  </si>
  <si>
    <r>
      <rPr>
        <sz val="11"/>
        <color indexed="8"/>
        <rFont val="宋体"/>
        <family val="3"/>
        <charset val="134"/>
      </rPr>
      <t>帆蜥鱼科</t>
    </r>
  </si>
  <si>
    <r>
      <rPr>
        <sz val="11"/>
        <color indexed="8"/>
        <rFont val="宋体"/>
        <family val="3"/>
        <charset val="134"/>
      </rPr>
      <t>裸狗母鱼科</t>
    </r>
  </si>
  <si>
    <r>
      <rPr>
        <sz val="11"/>
        <color indexed="8"/>
        <rFont val="宋体"/>
        <family val="3"/>
        <charset val="134"/>
      </rPr>
      <t>裸蜥鱼</t>
    </r>
  </si>
  <si>
    <r>
      <rPr>
        <sz val="11"/>
        <color indexed="8"/>
        <rFont val="宋体"/>
        <family val="3"/>
        <charset val="134"/>
      </rPr>
      <t>柱蜥鱼</t>
    </r>
  </si>
  <si>
    <r>
      <rPr>
        <sz val="11"/>
        <color indexed="8"/>
        <rFont val="宋体"/>
        <family val="3"/>
        <charset val="134"/>
      </rPr>
      <t>刺鲸科</t>
    </r>
  </si>
  <si>
    <r>
      <rPr>
        <sz val="11"/>
        <color indexed="8"/>
        <rFont val="宋体"/>
        <family val="3"/>
        <charset val="134"/>
      </rPr>
      <t>鲸头鱼目</t>
    </r>
  </si>
  <si>
    <r>
      <rPr>
        <sz val="11"/>
        <color indexed="8"/>
        <rFont val="宋体"/>
        <family val="3"/>
        <charset val="134"/>
      </rPr>
      <t>辫鱼科</t>
    </r>
  </si>
  <si>
    <r>
      <rPr>
        <sz val="11"/>
        <color indexed="8"/>
        <rFont val="宋体"/>
        <family val="3"/>
        <charset val="134"/>
      </rPr>
      <t>紫辫鱼</t>
    </r>
  </si>
  <si>
    <r>
      <rPr>
        <sz val="11"/>
        <color indexed="8"/>
        <rFont val="宋体"/>
        <family val="3"/>
        <charset val="134"/>
      </rPr>
      <t>大辫鱼</t>
    </r>
  </si>
  <si>
    <r>
      <rPr>
        <sz val="11"/>
        <color indexed="8"/>
        <rFont val="宋体"/>
        <family val="3"/>
        <charset val="134"/>
      </rPr>
      <t>龙氏鱼科</t>
    </r>
  </si>
  <si>
    <r>
      <rPr>
        <sz val="11"/>
        <color indexed="8"/>
        <rFont val="宋体"/>
        <family val="3"/>
        <charset val="134"/>
      </rPr>
      <t>鳗鲡科</t>
    </r>
  </si>
  <si>
    <r>
      <rPr>
        <sz val="11"/>
        <color indexed="8"/>
        <rFont val="宋体"/>
        <family val="3"/>
        <charset val="134"/>
      </rPr>
      <t>鳗鲡科</t>
    </r>
  </si>
  <si>
    <r>
      <rPr>
        <sz val="11"/>
        <color indexed="8"/>
        <rFont val="宋体"/>
        <family val="3"/>
        <charset val="134"/>
      </rPr>
      <t>鳗鲡目</t>
    </r>
  </si>
  <si>
    <r>
      <rPr>
        <sz val="11"/>
        <color indexed="8"/>
        <rFont val="宋体"/>
        <family val="3"/>
        <charset val="134"/>
      </rPr>
      <t>鳗鲡属</t>
    </r>
  </si>
  <si>
    <r>
      <rPr>
        <sz val="11"/>
        <color indexed="8"/>
        <rFont val="宋体"/>
        <family val="3"/>
        <charset val="134"/>
      </rPr>
      <t>短头鳗鲡</t>
    </r>
  </si>
  <si>
    <r>
      <rPr>
        <sz val="11"/>
        <color indexed="8"/>
        <rFont val="宋体"/>
        <family val="3"/>
        <charset val="134"/>
      </rPr>
      <t>福州鳗鲡</t>
    </r>
  </si>
  <si>
    <r>
      <rPr>
        <sz val="11"/>
        <color indexed="8"/>
        <rFont val="宋体"/>
        <family val="3"/>
        <charset val="134"/>
      </rPr>
      <t>鳗鲡</t>
    </r>
  </si>
  <si>
    <r>
      <rPr>
        <sz val="11"/>
        <color indexed="8"/>
        <rFont val="宋体"/>
        <family val="3"/>
        <charset val="134"/>
      </rPr>
      <t>花鳗鲡</t>
    </r>
  </si>
  <si>
    <r>
      <rPr>
        <sz val="11"/>
        <color indexed="8"/>
        <rFont val="宋体"/>
        <family val="3"/>
        <charset val="134"/>
      </rPr>
      <t>云纹鳗鲡</t>
    </r>
  </si>
  <si>
    <r>
      <rPr>
        <sz val="11"/>
        <color indexed="8"/>
        <rFont val="宋体"/>
        <family val="3"/>
        <charset val="134"/>
      </rPr>
      <t>乌耳鳗鲡</t>
    </r>
  </si>
  <si>
    <r>
      <rPr>
        <sz val="11"/>
        <color indexed="8"/>
        <rFont val="宋体"/>
        <family val="3"/>
        <charset val="134"/>
      </rPr>
      <t>合鳃鳗科</t>
    </r>
  </si>
  <si>
    <r>
      <rPr>
        <sz val="11"/>
        <color indexed="8"/>
        <rFont val="宋体"/>
        <family val="3"/>
        <charset val="134"/>
      </rPr>
      <t>合鳃鳗</t>
    </r>
  </si>
  <si>
    <r>
      <rPr>
        <sz val="11"/>
        <color indexed="8"/>
        <rFont val="宋体"/>
        <family val="3"/>
        <charset val="134"/>
      </rPr>
      <t>短鳍合鳃鳗</t>
    </r>
  </si>
  <si>
    <r>
      <rPr>
        <sz val="11"/>
        <color indexed="8"/>
        <rFont val="宋体"/>
        <family val="3"/>
        <charset val="134"/>
      </rPr>
      <t>柯氏合鳃鳗</t>
    </r>
  </si>
  <si>
    <r>
      <rPr>
        <sz val="11"/>
        <color indexed="8"/>
        <rFont val="宋体"/>
        <family val="3"/>
        <charset val="134"/>
      </rPr>
      <t>鳍合鳃鳗</t>
    </r>
  </si>
  <si>
    <r>
      <rPr>
        <sz val="11"/>
        <color indexed="8"/>
        <rFont val="宋体"/>
        <family val="3"/>
        <charset val="134"/>
      </rPr>
      <t>康吉鳗科</t>
    </r>
  </si>
  <si>
    <r>
      <rPr>
        <sz val="11"/>
        <color indexed="8"/>
        <rFont val="宋体"/>
        <family val="3"/>
        <charset val="134"/>
      </rPr>
      <t>顶鼻康吉鳗</t>
    </r>
  </si>
  <si>
    <r>
      <rPr>
        <sz val="11"/>
        <color indexed="8"/>
        <rFont val="宋体"/>
        <family val="3"/>
        <charset val="134"/>
      </rPr>
      <t>奇鳗</t>
    </r>
  </si>
  <si>
    <r>
      <rPr>
        <sz val="11"/>
        <color indexed="8"/>
        <rFont val="宋体"/>
        <family val="3"/>
        <charset val="134"/>
      </rPr>
      <t>大奇鳗</t>
    </r>
  </si>
  <si>
    <r>
      <rPr>
        <sz val="11"/>
        <color indexed="8"/>
        <rFont val="宋体"/>
        <family val="3"/>
        <charset val="134"/>
      </rPr>
      <t>齐头鳗</t>
    </r>
  </si>
  <si>
    <r>
      <rPr>
        <sz val="11"/>
        <color indexed="8"/>
        <rFont val="宋体"/>
        <family val="3"/>
        <charset val="134"/>
      </rPr>
      <t>锉吻海康吉鳗</t>
    </r>
  </si>
  <si>
    <r>
      <rPr>
        <sz val="11"/>
        <color indexed="8"/>
        <rFont val="宋体"/>
        <family val="3"/>
        <charset val="134"/>
      </rPr>
      <t>深尾鳗</t>
    </r>
  </si>
  <si>
    <r>
      <rPr>
        <sz val="11"/>
        <color indexed="8"/>
        <rFont val="宋体"/>
        <family val="3"/>
        <charset val="134"/>
      </rPr>
      <t>南海短尾康吉鳗</t>
    </r>
  </si>
  <si>
    <r>
      <rPr>
        <sz val="11"/>
        <color indexed="8"/>
        <rFont val="宋体"/>
        <family val="3"/>
        <charset val="134"/>
      </rPr>
      <t>灰康吉鳗</t>
    </r>
  </si>
  <si>
    <r>
      <rPr>
        <sz val="11"/>
        <color indexed="8"/>
        <rFont val="宋体"/>
        <family val="3"/>
        <charset val="134"/>
      </rPr>
      <t>日本康吉鳗</t>
    </r>
  </si>
  <si>
    <r>
      <rPr>
        <sz val="11"/>
        <color indexed="8"/>
        <rFont val="宋体"/>
        <family val="3"/>
        <charset val="134"/>
      </rPr>
      <t>星康吉鳗</t>
    </r>
  </si>
  <si>
    <r>
      <rPr>
        <sz val="11"/>
        <color indexed="8"/>
        <rFont val="宋体"/>
        <family val="3"/>
        <charset val="134"/>
      </rPr>
      <t>黑边康吉鳗</t>
    </r>
  </si>
  <si>
    <r>
      <rPr>
        <sz val="11"/>
        <color indexed="8"/>
        <rFont val="宋体"/>
        <family val="3"/>
        <charset val="134"/>
      </rPr>
      <t>斑尾深康吉鳗</t>
    </r>
  </si>
  <si>
    <r>
      <rPr>
        <sz val="11"/>
        <color indexed="8"/>
        <rFont val="宋体"/>
        <family val="3"/>
        <charset val="134"/>
      </rPr>
      <t>大眼拟海康吉鳗</t>
    </r>
  </si>
  <si>
    <r>
      <rPr>
        <sz val="11"/>
        <color indexed="8"/>
        <rFont val="宋体"/>
        <family val="3"/>
        <charset val="134"/>
      </rPr>
      <t>短吻吻鳗</t>
    </r>
  </si>
  <si>
    <r>
      <rPr>
        <sz val="11"/>
        <color indexed="8"/>
        <rFont val="宋体"/>
        <family val="3"/>
        <charset val="134"/>
      </rPr>
      <t>黑尾吻鳗</t>
    </r>
  </si>
  <si>
    <r>
      <rPr>
        <sz val="11"/>
        <color indexed="8"/>
        <rFont val="宋体"/>
        <family val="3"/>
        <charset val="134"/>
      </rPr>
      <t>银色突吻鳗</t>
    </r>
  </si>
  <si>
    <r>
      <rPr>
        <sz val="11"/>
        <color indexed="8"/>
        <rFont val="宋体"/>
        <family val="3"/>
        <charset val="134"/>
      </rPr>
      <t>南鳗</t>
    </r>
  </si>
  <si>
    <r>
      <rPr>
        <sz val="11"/>
        <color indexed="8"/>
        <rFont val="宋体"/>
        <family val="3"/>
        <charset val="134"/>
      </rPr>
      <t>尖尾鳗</t>
    </r>
  </si>
  <si>
    <r>
      <rPr>
        <sz val="11"/>
        <color indexed="8"/>
        <rFont val="宋体"/>
        <family val="3"/>
        <charset val="134"/>
      </rPr>
      <t>美体鳗</t>
    </r>
  </si>
  <si>
    <r>
      <rPr>
        <sz val="11"/>
        <color indexed="8"/>
        <rFont val="宋体"/>
        <family val="3"/>
        <charset val="134"/>
      </rPr>
      <t>海鳗科</t>
    </r>
  </si>
  <si>
    <r>
      <rPr>
        <sz val="11"/>
        <color indexed="8"/>
        <rFont val="宋体"/>
        <family val="3"/>
        <charset val="134"/>
      </rPr>
      <t>海鳗</t>
    </r>
  </si>
  <si>
    <r>
      <rPr>
        <sz val="11"/>
        <color indexed="8"/>
        <rFont val="宋体"/>
        <family val="3"/>
        <charset val="134"/>
      </rPr>
      <t>海鳗科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</si>
  <si>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原鹤海鳗</t>
    </r>
  </si>
  <si>
    <r>
      <rPr>
        <sz val="11"/>
        <color indexed="8"/>
        <rFont val="宋体"/>
        <family val="3"/>
        <charset val="134"/>
      </rPr>
      <t>鹤海鳗</t>
    </r>
  </si>
  <si>
    <r>
      <rPr>
        <sz val="11"/>
        <color indexed="8"/>
        <rFont val="宋体"/>
        <family val="3"/>
        <charset val="134"/>
      </rPr>
      <t>山口海鳗</t>
    </r>
  </si>
  <si>
    <r>
      <rPr>
        <sz val="11"/>
        <color indexed="8"/>
        <rFont val="宋体"/>
        <family val="3"/>
        <charset val="134"/>
      </rPr>
      <t>细颌鳗</t>
    </r>
  </si>
  <si>
    <r>
      <rPr>
        <sz val="11"/>
        <color indexed="8"/>
        <rFont val="宋体"/>
        <family val="3"/>
        <charset val="134"/>
      </rPr>
      <t>海鳝科</t>
    </r>
  </si>
  <si>
    <r>
      <rPr>
        <sz val="11"/>
        <color indexed="8"/>
        <rFont val="宋体"/>
        <family val="3"/>
        <charset val="134"/>
      </rPr>
      <t>坎顿高眉鳝</t>
    </r>
  </si>
  <si>
    <r>
      <rPr>
        <sz val="11"/>
        <color indexed="8"/>
        <rFont val="宋体"/>
        <family val="3"/>
        <charset val="134"/>
      </rPr>
      <t>海鳝科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</si>
  <si>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暗色高眉鳝</t>
    </r>
  </si>
  <si>
    <r>
      <rPr>
        <sz val="11"/>
        <color indexed="8"/>
        <rFont val="宋体"/>
        <family val="3"/>
        <charset val="134"/>
      </rPr>
      <t>棕斑蛇鳗</t>
    </r>
  </si>
  <si>
    <r>
      <rPr>
        <sz val="11"/>
        <color indexed="8"/>
        <rFont val="宋体"/>
        <family val="3"/>
        <charset val="134"/>
      </rPr>
      <t>云纹蛇鳗</t>
    </r>
  </si>
  <si>
    <r>
      <rPr>
        <sz val="11"/>
        <color indexed="8"/>
        <rFont val="宋体"/>
        <family val="3"/>
        <charset val="134"/>
      </rPr>
      <t>多带蛇鳗</t>
    </r>
  </si>
  <si>
    <r>
      <rPr>
        <sz val="11"/>
        <color indexed="8"/>
        <rFont val="宋体"/>
        <family val="3"/>
        <charset val="134"/>
      </rPr>
      <t>条纹蛇鳗</t>
    </r>
  </si>
  <si>
    <r>
      <rPr>
        <sz val="11"/>
        <color indexed="8"/>
        <rFont val="宋体"/>
        <family val="3"/>
        <charset val="134"/>
      </rPr>
      <t>裂纹裸胸鳝</t>
    </r>
  </si>
  <si>
    <r>
      <rPr>
        <sz val="11"/>
        <color indexed="8"/>
        <rFont val="宋体"/>
        <family val="3"/>
        <charset val="134"/>
      </rPr>
      <t>班氏裸胸鳝</t>
    </r>
  </si>
  <si>
    <r>
      <rPr>
        <sz val="11"/>
        <color indexed="8"/>
        <rFont val="宋体"/>
        <family val="3"/>
        <charset val="134"/>
      </rPr>
      <t>褐色裸胸鳝</t>
    </r>
  </si>
  <si>
    <r>
      <rPr>
        <sz val="11"/>
        <color indexed="8"/>
        <rFont val="宋体"/>
        <family val="3"/>
        <charset val="134"/>
      </rPr>
      <t>伯恩裸胸鳝</t>
    </r>
  </si>
  <si>
    <r>
      <rPr>
        <sz val="11"/>
        <color indexed="8"/>
        <rFont val="宋体"/>
        <family val="3"/>
        <charset val="134"/>
      </rPr>
      <t>云纹裸胸鳝</t>
    </r>
  </si>
  <si>
    <r>
      <rPr>
        <sz val="11"/>
        <color indexed="8"/>
        <rFont val="宋体"/>
        <family val="3"/>
        <charset val="134"/>
      </rPr>
      <t>徽身裸胸鳝</t>
    </r>
  </si>
  <si>
    <r>
      <rPr>
        <sz val="11"/>
        <color indexed="8"/>
        <rFont val="宋体"/>
        <family val="3"/>
        <charset val="134"/>
      </rPr>
      <t>豆点裸胸鳝</t>
    </r>
  </si>
  <si>
    <r>
      <rPr>
        <sz val="11"/>
        <color indexed="8"/>
        <rFont val="宋体"/>
        <family val="3"/>
        <charset val="134"/>
      </rPr>
      <t>细斑裸胸鳝</t>
    </r>
  </si>
  <si>
    <r>
      <rPr>
        <sz val="11"/>
        <color indexed="8"/>
        <rFont val="宋体"/>
        <family val="3"/>
        <charset val="134"/>
      </rPr>
      <t>黄边裸胸鳝</t>
    </r>
  </si>
  <si>
    <r>
      <rPr>
        <sz val="11"/>
        <color indexed="8"/>
        <rFont val="宋体"/>
        <family val="3"/>
        <charset val="134"/>
      </rPr>
      <t>爪哇裸胸鳝</t>
    </r>
  </si>
  <si>
    <r>
      <rPr>
        <sz val="11"/>
        <color indexed="8"/>
        <rFont val="宋体"/>
        <family val="3"/>
        <charset val="134"/>
      </rPr>
      <t>蠕纹裸胸鳝</t>
    </r>
  </si>
  <si>
    <r>
      <rPr>
        <sz val="11"/>
        <color indexed="8"/>
        <rFont val="宋体"/>
        <family val="3"/>
        <charset val="134"/>
      </rPr>
      <t>白斑裸胸鳝</t>
    </r>
  </si>
  <si>
    <r>
      <rPr>
        <sz val="11"/>
        <color indexed="8"/>
        <rFont val="宋体"/>
        <family val="3"/>
        <charset val="134"/>
      </rPr>
      <t>黄身裸胸鳝</t>
    </r>
  </si>
  <si>
    <r>
      <rPr>
        <sz val="11"/>
        <color indexed="8"/>
        <rFont val="宋体"/>
        <family val="3"/>
        <charset val="134"/>
      </rPr>
      <t>斑点裸胸鳝</t>
    </r>
  </si>
  <si>
    <r>
      <rPr>
        <sz val="11"/>
        <color indexed="8"/>
        <rFont val="宋体"/>
        <family val="3"/>
        <charset val="134"/>
      </rPr>
      <t>花斑裸胸鳝</t>
    </r>
  </si>
  <si>
    <r>
      <rPr>
        <sz val="11"/>
        <color indexed="8"/>
        <rFont val="宋体"/>
        <family val="3"/>
        <charset val="134"/>
      </rPr>
      <t>褐点裸胸鳝</t>
    </r>
  </si>
  <si>
    <r>
      <rPr>
        <sz val="11"/>
        <color indexed="8"/>
        <rFont val="宋体"/>
        <family val="3"/>
        <charset val="134"/>
      </rPr>
      <t>花点裸胸鳝</t>
    </r>
  </si>
  <si>
    <r>
      <rPr>
        <sz val="11"/>
        <color indexed="8"/>
        <rFont val="宋体"/>
        <family val="3"/>
        <charset val="134"/>
      </rPr>
      <t>豹纹裸胸鳝</t>
    </r>
  </si>
  <si>
    <r>
      <rPr>
        <sz val="11"/>
        <color indexed="8"/>
        <rFont val="宋体"/>
        <family val="3"/>
        <charset val="134"/>
      </rPr>
      <t>密网裸胸鳝</t>
    </r>
  </si>
  <si>
    <r>
      <rPr>
        <sz val="11"/>
        <color indexed="8"/>
        <rFont val="宋体"/>
        <family val="3"/>
        <charset val="134"/>
      </rPr>
      <t>斑条裸胸鳝</t>
    </r>
  </si>
  <si>
    <r>
      <rPr>
        <sz val="11"/>
        <color indexed="8"/>
        <rFont val="宋体"/>
        <family val="3"/>
        <charset val="134"/>
      </rPr>
      <t>匀斑裸胸鳝</t>
    </r>
  </si>
  <si>
    <r>
      <rPr>
        <sz val="11"/>
        <color indexed="8"/>
        <rFont val="宋体"/>
        <family val="3"/>
        <charset val="134"/>
      </rPr>
      <t>网纹裸胸鳝</t>
    </r>
  </si>
  <si>
    <r>
      <rPr>
        <sz val="11"/>
        <color indexed="8"/>
        <rFont val="宋体"/>
        <family val="3"/>
        <charset val="134"/>
      </rPr>
      <t>异纹裸胸鳝</t>
    </r>
  </si>
  <si>
    <r>
      <rPr>
        <sz val="11"/>
        <color indexed="8"/>
        <rFont val="宋体"/>
        <family val="3"/>
        <charset val="134"/>
      </rPr>
      <t>鞍斑裸胸鳝</t>
    </r>
  </si>
  <si>
    <r>
      <rPr>
        <sz val="11"/>
        <color indexed="8"/>
        <rFont val="宋体"/>
        <family val="3"/>
        <charset val="134"/>
      </rPr>
      <t>密花裸胸鳝</t>
    </r>
  </si>
  <si>
    <r>
      <rPr>
        <sz val="11"/>
        <color indexed="8"/>
        <rFont val="宋体"/>
        <family val="3"/>
        <charset val="134"/>
      </rPr>
      <t>波纹裸胸鳝</t>
    </r>
  </si>
  <si>
    <r>
      <rPr>
        <sz val="11"/>
        <color indexed="8"/>
        <rFont val="宋体"/>
        <family val="3"/>
        <charset val="134"/>
      </rPr>
      <t>带尾裸胸鳝</t>
    </r>
  </si>
  <si>
    <r>
      <rPr>
        <sz val="11"/>
        <color indexed="8"/>
        <rFont val="宋体"/>
        <family val="3"/>
        <charset val="134"/>
      </rPr>
      <t>澎湖裸胸鳝</t>
    </r>
  </si>
  <si>
    <r>
      <rPr>
        <sz val="11"/>
        <color indexed="8"/>
        <rFont val="宋体"/>
        <family val="3"/>
        <charset val="134"/>
      </rPr>
      <t>黑点裸胸鳝</t>
    </r>
  </si>
  <si>
    <r>
      <rPr>
        <sz val="11"/>
        <color indexed="8"/>
        <rFont val="宋体"/>
        <family val="3"/>
        <charset val="134"/>
      </rPr>
      <t>豹纹海鳝</t>
    </r>
  </si>
  <si>
    <r>
      <rPr>
        <sz val="11"/>
        <color indexed="8"/>
        <rFont val="宋体"/>
        <family val="3"/>
        <charset val="134"/>
      </rPr>
      <t>管鼻海鳝</t>
    </r>
  </si>
  <si>
    <r>
      <rPr>
        <sz val="11"/>
        <color indexed="8"/>
        <rFont val="宋体"/>
        <family val="3"/>
        <charset val="134"/>
      </rPr>
      <t>锐齿鳝</t>
    </r>
  </si>
  <si>
    <r>
      <rPr>
        <sz val="11"/>
        <color indexed="8"/>
        <rFont val="宋体"/>
        <family val="3"/>
        <charset val="134"/>
      </rPr>
      <t>斑长海鳝</t>
    </r>
  </si>
  <si>
    <r>
      <rPr>
        <sz val="11"/>
        <color indexed="8"/>
        <rFont val="宋体"/>
        <family val="3"/>
        <charset val="134"/>
      </rPr>
      <t>长海鳝</t>
    </r>
  </si>
  <si>
    <r>
      <rPr>
        <sz val="11"/>
        <color indexed="8"/>
        <rFont val="宋体"/>
        <family val="3"/>
        <charset val="134"/>
      </rPr>
      <t>长体鳝</t>
    </r>
  </si>
  <si>
    <r>
      <rPr>
        <sz val="11"/>
        <color indexed="8"/>
        <rFont val="宋体"/>
        <family val="3"/>
        <charset val="134"/>
      </rPr>
      <t>单色裸海鳝</t>
    </r>
  </si>
  <si>
    <r>
      <rPr>
        <sz val="11"/>
        <color indexed="8"/>
        <rFont val="宋体"/>
        <family val="3"/>
        <charset val="134"/>
      </rPr>
      <t>花斑裸海鳝</t>
    </r>
  </si>
  <si>
    <r>
      <rPr>
        <sz val="11"/>
        <color indexed="8"/>
        <rFont val="宋体"/>
        <family val="3"/>
        <charset val="134"/>
      </rPr>
      <t>小鳍裸海鳝</t>
    </r>
  </si>
  <si>
    <r>
      <rPr>
        <sz val="11"/>
        <color indexed="8"/>
        <rFont val="宋体"/>
        <family val="3"/>
        <charset val="134"/>
      </rPr>
      <t>虎斑裸海鳝</t>
    </r>
  </si>
  <si>
    <r>
      <rPr>
        <sz val="11"/>
        <color indexed="8"/>
        <rFont val="宋体"/>
        <family val="3"/>
        <charset val="134"/>
      </rPr>
      <t>微鳍新鳗</t>
    </r>
  </si>
  <si>
    <r>
      <rPr>
        <sz val="11"/>
        <color indexed="8"/>
        <rFont val="宋体"/>
        <family val="3"/>
        <charset val="134"/>
      </rPr>
      <t>新鳗科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</si>
  <si>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蚓鳗科</t>
    </r>
  </si>
  <si>
    <r>
      <rPr>
        <sz val="11"/>
        <color indexed="8"/>
        <rFont val="宋体"/>
        <family val="3"/>
        <charset val="134"/>
      </rPr>
      <t>蚓鳗科</t>
    </r>
  </si>
  <si>
    <r>
      <rPr>
        <sz val="11"/>
        <color indexed="8"/>
        <rFont val="宋体"/>
        <family val="3"/>
        <charset val="134"/>
      </rPr>
      <t>蚓鳗</t>
    </r>
  </si>
  <si>
    <r>
      <rPr>
        <sz val="11"/>
        <color indexed="8"/>
        <rFont val="宋体"/>
        <family val="3"/>
        <charset val="134"/>
      </rPr>
      <t>线蚓鳗</t>
    </r>
  </si>
  <si>
    <r>
      <rPr>
        <sz val="11"/>
        <color indexed="8"/>
        <rFont val="宋体"/>
        <family val="3"/>
        <charset val="134"/>
      </rPr>
      <t>蚓鳗科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</si>
  <si>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大头蚓鳗</t>
    </r>
  </si>
  <si>
    <r>
      <rPr>
        <sz val="11"/>
        <color indexed="8"/>
        <rFont val="宋体"/>
        <family val="3"/>
        <charset val="134"/>
      </rPr>
      <t>大鳍蚓鳗</t>
    </r>
  </si>
  <si>
    <r>
      <rPr>
        <sz val="11"/>
        <color indexed="8"/>
        <rFont val="宋体"/>
        <family val="3"/>
        <charset val="134"/>
      </rPr>
      <t>线鳗科</t>
    </r>
    <r>
      <rPr>
        <sz val="11"/>
        <color indexed="8"/>
        <rFont val="Times New Roman"/>
        <family val="1"/>
      </rPr>
      <t></t>
    </r>
  </si>
  <si>
    <r>
      <rPr>
        <sz val="11"/>
        <color indexed="8"/>
        <rFont val="宋体"/>
        <family val="3"/>
        <charset val="134"/>
      </rPr>
      <t>线鳗</t>
    </r>
  </si>
  <si>
    <r>
      <rPr>
        <sz val="11"/>
        <color indexed="8"/>
        <rFont val="宋体"/>
        <family val="3"/>
        <charset val="134"/>
      </rPr>
      <t>前肛鳗科</t>
    </r>
  </si>
  <si>
    <r>
      <rPr>
        <sz val="11"/>
        <color indexed="8"/>
        <rFont val="宋体"/>
        <family val="3"/>
        <charset val="134"/>
      </rPr>
      <t>锯犁鳗科</t>
    </r>
  </si>
  <si>
    <r>
      <rPr>
        <sz val="11"/>
        <color indexed="8"/>
        <rFont val="宋体"/>
        <family val="3"/>
        <charset val="134"/>
      </rPr>
      <t>蠕鳗科</t>
    </r>
  </si>
  <si>
    <r>
      <rPr>
        <sz val="11"/>
        <color indexed="8"/>
        <rFont val="宋体"/>
        <family val="3"/>
        <charset val="134"/>
      </rPr>
      <t>蛇鳗科</t>
    </r>
  </si>
  <si>
    <r>
      <rPr>
        <sz val="11"/>
        <color indexed="8"/>
        <rFont val="宋体"/>
        <family val="3"/>
        <charset val="134"/>
      </rPr>
      <t>蛇鳗属</t>
    </r>
  </si>
  <si>
    <r>
      <rPr>
        <sz val="11"/>
        <color indexed="8"/>
        <rFont val="宋体"/>
        <family val="3"/>
        <charset val="134"/>
      </rPr>
      <t>克氏褐蛇鳗</t>
    </r>
  </si>
  <si>
    <r>
      <rPr>
        <sz val="11"/>
        <color indexed="8"/>
        <rFont val="宋体"/>
        <family val="3"/>
        <charset val="134"/>
      </rPr>
      <t>裂须短体鳗</t>
    </r>
  </si>
  <si>
    <r>
      <rPr>
        <sz val="11"/>
        <color indexed="8"/>
        <rFont val="宋体"/>
        <family val="3"/>
        <charset val="134"/>
      </rPr>
      <t>鳄形短体鳗</t>
    </r>
  </si>
  <si>
    <r>
      <rPr>
        <sz val="11"/>
        <color indexed="8"/>
        <rFont val="宋体"/>
        <family val="3"/>
        <charset val="134"/>
      </rPr>
      <t>长鳍盲蛇鳗</t>
    </r>
  </si>
  <si>
    <r>
      <rPr>
        <sz val="11"/>
        <color indexed="8"/>
        <rFont val="宋体"/>
        <family val="3"/>
        <charset val="134"/>
      </rPr>
      <t>丽鳗</t>
    </r>
  </si>
  <si>
    <r>
      <rPr>
        <sz val="11"/>
        <color indexed="8"/>
        <rFont val="宋体"/>
        <family val="3"/>
        <charset val="134"/>
      </rPr>
      <t>斑纹丽鳗</t>
    </r>
  </si>
  <si>
    <r>
      <rPr>
        <sz val="11"/>
        <color indexed="8"/>
        <rFont val="宋体"/>
        <family val="3"/>
        <charset val="134"/>
      </rPr>
      <t>中华须鳗</t>
    </r>
  </si>
  <si>
    <r>
      <rPr>
        <sz val="11"/>
        <color indexed="8"/>
        <rFont val="宋体"/>
        <family val="3"/>
        <charset val="134"/>
      </rPr>
      <t>半环平盖鳗</t>
    </r>
  </si>
  <si>
    <r>
      <rPr>
        <sz val="11"/>
        <color indexed="8"/>
        <rFont val="宋体"/>
        <family val="3"/>
        <charset val="134"/>
      </rPr>
      <t>斑竹花蛇鳗</t>
    </r>
  </si>
  <si>
    <r>
      <rPr>
        <sz val="11"/>
        <color indexed="8"/>
        <rFont val="宋体"/>
        <family val="3"/>
        <charset val="134"/>
      </rPr>
      <t>黑斑花蛇鳗</t>
    </r>
  </si>
  <si>
    <r>
      <rPr>
        <sz val="11"/>
        <color indexed="8"/>
        <rFont val="宋体"/>
        <family val="3"/>
        <charset val="134"/>
      </rPr>
      <t>紫匙鳗</t>
    </r>
  </si>
  <si>
    <r>
      <rPr>
        <sz val="11"/>
        <color indexed="8"/>
        <rFont val="宋体"/>
        <family val="3"/>
        <charset val="134"/>
      </rPr>
      <t>高鳍蛇鳗</t>
    </r>
  </si>
  <si>
    <r>
      <rPr>
        <sz val="11"/>
        <color indexed="8"/>
        <rFont val="宋体"/>
        <family val="3"/>
        <charset val="134"/>
      </rPr>
      <t>尖吻蛇鳗</t>
    </r>
  </si>
  <si>
    <r>
      <rPr>
        <sz val="11"/>
        <color indexed="8"/>
        <rFont val="宋体"/>
        <family val="3"/>
        <charset val="134"/>
      </rPr>
      <t>长尾蛇鳗</t>
    </r>
  </si>
  <si>
    <r>
      <rPr>
        <sz val="11"/>
        <color indexed="8"/>
        <rFont val="宋体"/>
        <family val="3"/>
        <charset val="134"/>
      </rPr>
      <t>短尾蛇鳗</t>
    </r>
  </si>
  <si>
    <r>
      <rPr>
        <sz val="11"/>
        <color indexed="8"/>
        <rFont val="宋体"/>
        <family val="3"/>
        <charset val="134"/>
      </rPr>
      <t>西里伯蛇鳗</t>
    </r>
  </si>
  <si>
    <r>
      <rPr>
        <sz val="11"/>
        <color indexed="8"/>
        <rFont val="宋体"/>
        <family val="3"/>
        <charset val="134"/>
      </rPr>
      <t>颈斑蛇鳗</t>
    </r>
  </si>
  <si>
    <r>
      <rPr>
        <sz val="11"/>
        <color indexed="8"/>
        <rFont val="宋体"/>
        <family val="3"/>
        <charset val="134"/>
      </rPr>
      <t>斑纹小齿蛇鳗</t>
    </r>
  </si>
  <si>
    <r>
      <rPr>
        <sz val="11"/>
        <color indexed="8"/>
        <rFont val="宋体"/>
        <family val="3"/>
        <charset val="134"/>
      </rPr>
      <t>艾氏蛇鳗</t>
    </r>
  </si>
  <si>
    <r>
      <rPr>
        <sz val="11"/>
        <color indexed="8"/>
        <rFont val="宋体"/>
        <family val="3"/>
        <charset val="134"/>
      </rPr>
      <t>横带小齿蛇鳗</t>
    </r>
  </si>
  <si>
    <r>
      <rPr>
        <sz val="11"/>
        <color indexed="8"/>
        <rFont val="宋体"/>
        <family val="3"/>
        <charset val="134"/>
      </rPr>
      <t>黄斑小齿蛇鳗</t>
    </r>
  </si>
  <si>
    <r>
      <rPr>
        <sz val="11"/>
        <color indexed="8"/>
        <rFont val="宋体"/>
        <family val="3"/>
        <charset val="134"/>
      </rPr>
      <t>大鳍蛇鳗</t>
    </r>
  </si>
  <si>
    <r>
      <rPr>
        <sz val="11"/>
        <color indexed="8"/>
        <rFont val="宋体"/>
        <family val="3"/>
        <charset val="134"/>
      </rPr>
      <t>眼斑小齿蛇鳗</t>
    </r>
  </si>
  <si>
    <r>
      <rPr>
        <sz val="11"/>
        <color indexed="8"/>
        <rFont val="宋体"/>
        <family val="3"/>
        <charset val="134"/>
      </rPr>
      <t>窄鳍蛇鳗</t>
    </r>
  </si>
  <si>
    <r>
      <rPr>
        <sz val="11"/>
        <color indexed="8"/>
        <rFont val="宋体"/>
        <family val="3"/>
        <charset val="134"/>
      </rPr>
      <t>美丽蛇鳗</t>
    </r>
  </si>
  <si>
    <r>
      <rPr>
        <sz val="11"/>
        <color indexed="8"/>
        <rFont val="宋体"/>
        <family val="3"/>
        <charset val="134"/>
      </rPr>
      <t>裙鳍蛇鳗</t>
    </r>
  </si>
  <si>
    <r>
      <rPr>
        <sz val="11"/>
        <color indexed="8"/>
        <rFont val="宋体"/>
        <family val="3"/>
        <charset val="134"/>
      </rPr>
      <t>大吻沙蛇鳗</t>
    </r>
  </si>
  <si>
    <r>
      <rPr>
        <sz val="11"/>
        <color indexed="8"/>
        <rFont val="宋体"/>
        <family val="3"/>
        <charset val="134"/>
      </rPr>
      <t>杂食豆齿鳗</t>
    </r>
  </si>
  <si>
    <r>
      <rPr>
        <sz val="11"/>
        <color indexed="8"/>
        <rFont val="宋体"/>
        <family val="3"/>
        <charset val="134"/>
      </rPr>
      <t>食蟹豆齿鳗</t>
    </r>
  </si>
  <si>
    <r>
      <rPr>
        <sz val="11"/>
        <color indexed="8"/>
        <rFont val="宋体"/>
        <family val="3"/>
        <charset val="134"/>
      </rPr>
      <t>红色豆齿鳗</t>
    </r>
  </si>
  <si>
    <r>
      <rPr>
        <sz val="11"/>
        <color indexed="8"/>
        <rFont val="宋体"/>
        <family val="3"/>
        <charset val="134"/>
      </rPr>
      <t>光唇鳗</t>
    </r>
  </si>
  <si>
    <r>
      <rPr>
        <sz val="11"/>
        <color indexed="8"/>
        <rFont val="宋体"/>
        <family val="3"/>
        <charset val="134"/>
      </rPr>
      <t>鳗鲇科</t>
    </r>
  </si>
  <si>
    <r>
      <rPr>
        <sz val="11"/>
        <color indexed="8"/>
        <rFont val="宋体"/>
        <family val="3"/>
        <charset val="134"/>
      </rPr>
      <t>海鲇科</t>
    </r>
  </si>
  <si>
    <r>
      <rPr>
        <sz val="11"/>
        <color indexed="8"/>
        <rFont val="宋体"/>
        <family val="3"/>
        <charset val="134"/>
      </rPr>
      <t>新鳗科</t>
    </r>
  </si>
  <si>
    <r>
      <rPr>
        <sz val="11"/>
        <color indexed="8"/>
        <rFont val="宋体"/>
        <family val="3"/>
        <charset val="134"/>
      </rPr>
      <t>丝鳗科</t>
    </r>
  </si>
  <si>
    <r>
      <rPr>
        <sz val="11"/>
        <color indexed="8"/>
        <rFont val="宋体"/>
        <family val="3"/>
        <charset val="134"/>
      </rPr>
      <t>线口鳗科</t>
    </r>
  </si>
  <si>
    <r>
      <rPr>
        <sz val="11"/>
        <color indexed="8"/>
        <rFont val="宋体"/>
        <family val="3"/>
        <charset val="134"/>
      </rPr>
      <t>月尾鳗科</t>
    </r>
  </si>
  <si>
    <r>
      <rPr>
        <sz val="11"/>
        <color indexed="8"/>
        <rFont val="宋体"/>
        <family val="3"/>
        <charset val="134"/>
      </rPr>
      <t>鸭嘴鳗科</t>
    </r>
  </si>
  <si>
    <r>
      <rPr>
        <sz val="11"/>
        <color indexed="8"/>
        <rFont val="宋体"/>
        <family val="3"/>
        <charset val="134"/>
      </rPr>
      <t>草鳗</t>
    </r>
  </si>
  <si>
    <r>
      <rPr>
        <sz val="11"/>
        <color indexed="8"/>
        <rFont val="宋体"/>
        <family val="3"/>
        <charset val="134"/>
      </rPr>
      <t>海蜥鱼科</t>
    </r>
  </si>
  <si>
    <r>
      <rPr>
        <sz val="11"/>
        <color indexed="8"/>
        <rFont val="宋体"/>
        <family val="3"/>
        <charset val="134"/>
      </rPr>
      <t>背棘鱼科</t>
    </r>
  </si>
  <si>
    <r>
      <rPr>
        <sz val="11"/>
        <color indexed="8"/>
        <rFont val="宋体"/>
        <family val="3"/>
        <charset val="134"/>
      </rPr>
      <t>双孔鱼科</t>
    </r>
  </si>
  <si>
    <r>
      <rPr>
        <sz val="11"/>
        <color indexed="8"/>
        <rFont val="宋体"/>
        <family val="3"/>
        <charset val="134"/>
      </rPr>
      <t>鲤形目</t>
    </r>
  </si>
  <si>
    <r>
      <rPr>
        <sz val="11"/>
        <color indexed="8"/>
        <rFont val="宋体"/>
        <family val="3"/>
        <charset val="134"/>
      </rPr>
      <t>双孔鱼</t>
    </r>
  </si>
  <si>
    <r>
      <rPr>
        <sz val="11"/>
        <color indexed="8"/>
        <rFont val="宋体"/>
        <family val="3"/>
        <charset val="134"/>
      </rPr>
      <t>胭脂鱼科</t>
    </r>
  </si>
  <si>
    <r>
      <rPr>
        <sz val="11"/>
        <color indexed="8"/>
        <rFont val="宋体"/>
        <family val="3"/>
        <charset val="134"/>
      </rPr>
      <t>胭脂鱼</t>
    </r>
  </si>
  <si>
    <r>
      <rPr>
        <sz val="11"/>
        <color indexed="8"/>
        <rFont val="宋体"/>
        <family val="3"/>
        <charset val="134"/>
      </rPr>
      <t>鲤科</t>
    </r>
  </si>
  <si>
    <r>
      <rPr>
        <sz val="11"/>
        <color indexed="8"/>
        <rFont val="宋体"/>
        <family val="3"/>
        <charset val="134"/>
      </rPr>
      <t>中华细鲫</t>
    </r>
  </si>
  <si>
    <r>
      <rPr>
        <sz val="11"/>
        <color indexed="8"/>
        <rFont val="宋体"/>
        <family val="3"/>
        <charset val="134"/>
      </rPr>
      <t>台湾细鲫</t>
    </r>
  </si>
  <si>
    <r>
      <rPr>
        <sz val="11"/>
        <color indexed="8"/>
        <rFont val="宋体"/>
        <family val="3"/>
        <charset val="134"/>
      </rPr>
      <t>林氏细鲫</t>
    </r>
  </si>
  <si>
    <r>
      <rPr>
        <sz val="11"/>
        <color indexed="8"/>
        <rFont val="宋体"/>
        <family val="3"/>
        <charset val="134"/>
      </rPr>
      <t>异鲴</t>
    </r>
  </si>
  <si>
    <r>
      <rPr>
        <sz val="11"/>
        <color indexed="8"/>
        <rFont val="宋体"/>
        <family val="3"/>
        <charset val="134"/>
      </rPr>
      <t>滇西低线鱲</t>
    </r>
  </si>
  <si>
    <r>
      <rPr>
        <sz val="11"/>
        <color indexed="8"/>
        <rFont val="宋体"/>
        <family val="3"/>
        <charset val="134"/>
      </rPr>
      <t>斑尾低线鱲</t>
    </r>
  </si>
  <si>
    <r>
      <rPr>
        <sz val="11"/>
        <color indexed="8"/>
        <rFont val="宋体"/>
        <family val="3"/>
        <charset val="134"/>
      </rPr>
      <t>丽色低线鱲</t>
    </r>
  </si>
  <si>
    <r>
      <rPr>
        <sz val="11"/>
        <color indexed="8"/>
        <rFont val="宋体"/>
        <family val="3"/>
        <charset val="134"/>
      </rPr>
      <t>须鱲</t>
    </r>
  </si>
  <si>
    <r>
      <rPr>
        <sz val="11"/>
        <color indexed="8"/>
        <rFont val="宋体"/>
        <family val="3"/>
        <charset val="134"/>
      </rPr>
      <t>波条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</si>
  <si>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缺须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</si>
  <si>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金线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</si>
  <si>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半线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</si>
  <si>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红蚌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</si>
  <si>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麦氏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鱼丹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</si>
  <si>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稀有鮈鲫</t>
    </r>
  </si>
  <si>
    <r>
      <rPr>
        <sz val="11"/>
        <color indexed="8"/>
        <rFont val="宋体"/>
        <family val="3"/>
        <charset val="134"/>
      </rPr>
      <t>拟细鲫</t>
    </r>
  </si>
  <si>
    <r>
      <rPr>
        <sz val="11"/>
        <color indexed="8"/>
        <rFont val="宋体"/>
        <family val="3"/>
        <charset val="134"/>
      </rPr>
      <t>马口鱼</t>
    </r>
  </si>
  <si>
    <r>
      <rPr>
        <sz val="11"/>
        <color indexed="8"/>
        <rFont val="宋体"/>
        <family val="3"/>
        <charset val="134"/>
      </rPr>
      <t>异鱲</t>
    </r>
  </si>
  <si>
    <r>
      <rPr>
        <sz val="11"/>
        <color indexed="8"/>
        <rFont val="宋体"/>
        <family val="3"/>
        <charset val="134"/>
      </rPr>
      <t>异鱲海南亚种</t>
    </r>
  </si>
  <si>
    <r>
      <rPr>
        <sz val="11"/>
        <color indexed="8"/>
        <rFont val="宋体"/>
        <family val="3"/>
        <charset val="134"/>
      </rPr>
      <t>异鱲指名亚种</t>
    </r>
  </si>
  <si>
    <r>
      <rPr>
        <sz val="11"/>
        <color indexed="8"/>
        <rFont val="宋体"/>
        <family val="3"/>
        <charset val="134"/>
      </rPr>
      <t>长嘴鱲</t>
    </r>
  </si>
  <si>
    <r>
      <rPr>
        <sz val="11"/>
        <color indexed="8"/>
        <rFont val="宋体"/>
        <family val="3"/>
        <charset val="134"/>
      </rPr>
      <t>麦氏波鱼</t>
    </r>
  </si>
  <si>
    <r>
      <rPr>
        <sz val="11"/>
        <color indexed="8"/>
        <rFont val="宋体"/>
        <family val="3"/>
        <charset val="134"/>
      </rPr>
      <t>南方波鱼</t>
    </r>
  </si>
  <si>
    <r>
      <rPr>
        <sz val="11"/>
        <color indexed="8"/>
        <rFont val="宋体"/>
        <family val="3"/>
        <charset val="134"/>
      </rPr>
      <t>唐鱼</t>
    </r>
  </si>
  <si>
    <r>
      <rPr>
        <sz val="11"/>
        <color indexed="8"/>
        <rFont val="宋体"/>
        <family val="3"/>
        <charset val="134"/>
      </rPr>
      <t>瑶山鲤</t>
    </r>
  </si>
  <si>
    <r>
      <rPr>
        <sz val="11"/>
        <color indexed="8"/>
        <rFont val="宋体"/>
        <family val="3"/>
        <charset val="134"/>
      </rPr>
      <t>成都鱲</t>
    </r>
  </si>
  <si>
    <r>
      <rPr>
        <sz val="11"/>
        <color indexed="8"/>
        <rFont val="宋体"/>
        <family val="3"/>
        <charset val="134"/>
      </rPr>
      <t>粗首鱲</t>
    </r>
  </si>
  <si>
    <r>
      <rPr>
        <sz val="11"/>
        <color indexed="8"/>
        <rFont val="宋体"/>
        <family val="3"/>
        <charset val="134"/>
      </rPr>
      <t>宽鳍鱲</t>
    </r>
  </si>
  <si>
    <r>
      <rPr>
        <sz val="11"/>
        <color indexed="8"/>
        <rFont val="宋体"/>
        <family val="3"/>
        <charset val="134"/>
      </rPr>
      <t>台湾鱲</t>
    </r>
  </si>
  <si>
    <r>
      <rPr>
        <sz val="11"/>
        <color indexed="8"/>
        <rFont val="宋体"/>
        <family val="3"/>
        <charset val="134"/>
      </rPr>
      <t>欧鳊</t>
    </r>
  </si>
  <si>
    <r>
      <rPr>
        <sz val="11"/>
        <color indexed="8"/>
        <rFont val="宋体"/>
        <family val="3"/>
        <charset val="134"/>
      </rPr>
      <t>东方欧鳊</t>
    </r>
  </si>
  <si>
    <r>
      <rPr>
        <sz val="11"/>
        <color indexed="8"/>
        <rFont val="宋体"/>
        <family val="3"/>
        <charset val="134"/>
      </rPr>
      <t>草鱼</t>
    </r>
  </si>
  <si>
    <r>
      <rPr>
        <sz val="11"/>
        <color indexed="8"/>
        <rFont val="宋体"/>
        <family val="3"/>
        <charset val="134"/>
      </rPr>
      <t>鳡</t>
    </r>
  </si>
  <si>
    <r>
      <rPr>
        <sz val="11"/>
        <color indexed="8"/>
        <rFont val="宋体"/>
        <family val="3"/>
        <charset val="134"/>
      </rPr>
      <t>黄河雅罗鱼</t>
    </r>
  </si>
  <si>
    <r>
      <rPr>
        <sz val="11"/>
        <color indexed="8"/>
        <rFont val="宋体"/>
        <family val="3"/>
        <charset val="134"/>
      </rPr>
      <t>瓦氏雅罗鱼</t>
    </r>
  </si>
  <si>
    <r>
      <rPr>
        <sz val="11"/>
        <color indexed="8"/>
        <rFont val="宋体"/>
        <family val="3"/>
        <charset val="134"/>
      </rPr>
      <t>图们雅罗鱼</t>
    </r>
  </si>
  <si>
    <r>
      <rPr>
        <sz val="11"/>
        <color indexed="8"/>
        <rFont val="宋体"/>
        <family val="3"/>
        <charset val="134"/>
      </rPr>
      <t>高体雅罗鱼</t>
    </r>
  </si>
  <si>
    <r>
      <rPr>
        <sz val="11"/>
        <color indexed="8"/>
        <rFont val="宋体"/>
        <family val="3"/>
        <charset val="134"/>
      </rPr>
      <t>雅罗鱼</t>
    </r>
  </si>
  <si>
    <r>
      <rPr>
        <sz val="11"/>
        <color indexed="8"/>
        <rFont val="宋体"/>
        <family val="3"/>
        <charset val="134"/>
      </rPr>
      <t>贝加尔湖雅罗鱼</t>
    </r>
  </si>
  <si>
    <r>
      <rPr>
        <sz val="11"/>
        <color indexed="8"/>
        <rFont val="宋体"/>
        <family val="3"/>
        <charset val="134"/>
      </rPr>
      <t>新疆雅罗鱼</t>
    </r>
  </si>
  <si>
    <r>
      <rPr>
        <sz val="11"/>
        <color indexed="8"/>
        <rFont val="宋体"/>
        <family val="3"/>
        <charset val="134"/>
      </rPr>
      <t>东北雅罗鱼</t>
    </r>
  </si>
  <si>
    <r>
      <rPr>
        <sz val="11"/>
        <color indexed="8"/>
        <rFont val="宋体"/>
        <family val="3"/>
        <charset val="134"/>
      </rPr>
      <t>鯮</t>
    </r>
  </si>
  <si>
    <r>
      <rPr>
        <sz val="11"/>
        <color indexed="8"/>
        <rFont val="宋体"/>
        <family val="3"/>
        <charset val="134"/>
      </rPr>
      <t>青鱼</t>
    </r>
  </si>
  <si>
    <r>
      <rPr>
        <sz val="11"/>
        <color indexed="8"/>
        <rFont val="宋体"/>
        <family val="3"/>
        <charset val="134"/>
      </rPr>
      <t>鳤</t>
    </r>
  </si>
  <si>
    <r>
      <rPr>
        <sz val="11"/>
        <color indexed="8"/>
        <rFont val="宋体"/>
        <family val="3"/>
        <charset val="134"/>
      </rPr>
      <t>短尾鱥</t>
    </r>
  </si>
  <si>
    <r>
      <rPr>
        <sz val="11"/>
        <color indexed="8"/>
        <rFont val="宋体"/>
        <family val="3"/>
        <charset val="134"/>
      </rPr>
      <t>花江鱥</t>
    </r>
  </si>
  <si>
    <r>
      <rPr>
        <sz val="11"/>
        <color indexed="8"/>
        <rFont val="宋体"/>
        <family val="3"/>
        <charset val="134"/>
      </rPr>
      <t>吐鲁番鱥</t>
    </r>
  </si>
  <si>
    <r>
      <rPr>
        <sz val="11"/>
        <color indexed="8"/>
        <rFont val="宋体"/>
        <family val="3"/>
        <charset val="134"/>
      </rPr>
      <t>拉氏鱥</t>
    </r>
  </si>
  <si>
    <r>
      <rPr>
        <sz val="11"/>
        <color indexed="8"/>
        <rFont val="宋体"/>
        <family val="3"/>
        <charset val="134"/>
      </rPr>
      <t>湖鱥</t>
    </r>
  </si>
  <si>
    <r>
      <rPr>
        <sz val="11"/>
        <color indexed="8"/>
        <rFont val="宋体"/>
        <family val="3"/>
        <charset val="134"/>
      </rPr>
      <t>真鱥</t>
    </r>
  </si>
  <si>
    <r>
      <rPr>
        <sz val="11"/>
        <color indexed="8"/>
        <rFont val="宋体"/>
        <family val="3"/>
        <charset val="134"/>
      </rPr>
      <t>真鱥指名亚种</t>
    </r>
  </si>
  <si>
    <r>
      <rPr>
        <sz val="11"/>
        <color indexed="8"/>
        <rFont val="宋体"/>
        <family val="3"/>
        <charset val="134"/>
      </rPr>
      <t>阿勒泰鱥</t>
    </r>
  </si>
  <si>
    <r>
      <rPr>
        <sz val="11"/>
        <color indexed="8"/>
        <rFont val="宋体"/>
        <family val="3"/>
        <charset val="134"/>
      </rPr>
      <t>图们鱥</t>
    </r>
  </si>
  <si>
    <r>
      <rPr>
        <sz val="11"/>
        <color indexed="8"/>
        <rFont val="宋体"/>
        <family val="3"/>
        <charset val="134"/>
      </rPr>
      <t>斑鳍鱥</t>
    </r>
  </si>
  <si>
    <r>
      <rPr>
        <sz val="11"/>
        <color indexed="8"/>
        <rFont val="宋体"/>
        <family val="3"/>
        <charset val="134"/>
      </rPr>
      <t>尖头鱥</t>
    </r>
  </si>
  <si>
    <r>
      <rPr>
        <sz val="11"/>
        <color indexed="8"/>
        <rFont val="宋体"/>
        <family val="3"/>
        <charset val="134"/>
      </rPr>
      <t>拟赤梢鱼</t>
    </r>
  </si>
  <si>
    <r>
      <rPr>
        <sz val="11"/>
        <color indexed="8"/>
        <rFont val="宋体"/>
        <family val="3"/>
        <charset val="134"/>
      </rPr>
      <t>拟鲤</t>
    </r>
  </si>
  <si>
    <r>
      <rPr>
        <sz val="11"/>
        <color indexed="8"/>
        <rFont val="宋体"/>
        <family val="3"/>
        <charset val="134"/>
      </rPr>
      <t>湖拟鲤</t>
    </r>
  </si>
  <si>
    <r>
      <rPr>
        <sz val="11"/>
        <color indexed="8"/>
        <rFont val="宋体"/>
        <family val="3"/>
        <charset val="134"/>
      </rPr>
      <t>赤眼鳟</t>
    </r>
  </si>
  <si>
    <r>
      <rPr>
        <sz val="11"/>
        <color indexed="8"/>
        <rFont val="宋体"/>
        <family val="3"/>
        <charset val="134"/>
      </rPr>
      <t>丁鱥</t>
    </r>
  </si>
  <si>
    <r>
      <rPr>
        <sz val="11"/>
        <color indexed="8"/>
        <rFont val="宋体"/>
        <family val="3"/>
        <charset val="134"/>
      </rPr>
      <t>珠星三块鱼</t>
    </r>
  </si>
  <si>
    <r>
      <rPr>
        <sz val="11"/>
        <color indexed="8"/>
        <rFont val="宋体"/>
        <family val="3"/>
        <charset val="134"/>
      </rPr>
      <t>三块鱼</t>
    </r>
  </si>
  <si>
    <r>
      <rPr>
        <sz val="11"/>
        <color indexed="8"/>
        <rFont val="宋体"/>
        <family val="3"/>
        <charset val="134"/>
      </rPr>
      <t>银白鱼</t>
    </r>
  </si>
  <si>
    <r>
      <rPr>
        <sz val="11"/>
        <color indexed="8"/>
        <rFont val="宋体"/>
        <family val="3"/>
        <charset val="134"/>
      </rPr>
      <t>星云白鱼</t>
    </r>
  </si>
  <si>
    <r>
      <rPr>
        <sz val="11"/>
        <color indexed="8"/>
        <rFont val="宋体"/>
        <family val="3"/>
        <charset val="134"/>
      </rPr>
      <t>杞麓白鱼</t>
    </r>
  </si>
  <si>
    <r>
      <rPr>
        <sz val="11"/>
        <color indexed="8"/>
        <rFont val="宋体"/>
        <family val="3"/>
        <charset val="134"/>
      </rPr>
      <t>程海白鱼</t>
    </r>
  </si>
  <si>
    <r>
      <rPr>
        <sz val="11"/>
        <color indexed="8"/>
        <rFont val="宋体"/>
        <family val="3"/>
        <charset val="134"/>
      </rPr>
      <t>鱇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鱼良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白鱼</t>
    </r>
  </si>
  <si>
    <r>
      <rPr>
        <sz val="11"/>
        <color indexed="8"/>
        <rFont val="宋体"/>
        <family val="3"/>
        <charset val="134"/>
      </rPr>
      <t>西昌白鱼</t>
    </r>
  </si>
  <si>
    <r>
      <rPr>
        <sz val="11"/>
        <color indexed="8"/>
        <rFont val="宋体"/>
        <family val="3"/>
        <charset val="134"/>
      </rPr>
      <t>宜良白鱼</t>
    </r>
  </si>
  <si>
    <r>
      <rPr>
        <sz val="11"/>
        <color indexed="8"/>
        <rFont val="宋体"/>
        <family val="3"/>
        <charset val="134"/>
      </rPr>
      <t>长尾白鱼</t>
    </r>
  </si>
  <si>
    <r>
      <rPr>
        <sz val="11"/>
        <color indexed="8"/>
        <rFont val="宋体"/>
        <family val="3"/>
        <charset val="134"/>
      </rPr>
      <t>大鳞白鱼</t>
    </r>
  </si>
  <si>
    <r>
      <rPr>
        <sz val="11"/>
        <color indexed="8"/>
        <rFont val="宋体"/>
        <family val="3"/>
        <charset val="134"/>
      </rPr>
      <t>斑白鱼</t>
    </r>
  </si>
  <si>
    <r>
      <rPr>
        <sz val="11"/>
        <color indexed="8"/>
        <rFont val="宋体"/>
        <family val="3"/>
        <charset val="134"/>
      </rPr>
      <t>多鳞白鱼</t>
    </r>
  </si>
  <si>
    <r>
      <rPr>
        <sz val="11"/>
        <color indexed="8"/>
        <rFont val="宋体"/>
        <family val="3"/>
        <charset val="134"/>
      </rPr>
      <t>邛海白鱼</t>
    </r>
  </si>
  <si>
    <r>
      <rPr>
        <sz val="11"/>
        <color indexed="8"/>
        <rFont val="宋体"/>
        <family val="3"/>
        <charset val="134"/>
      </rPr>
      <t>嵩明白鱼</t>
    </r>
  </si>
  <si>
    <r>
      <rPr>
        <sz val="11"/>
        <color indexed="8"/>
        <rFont val="宋体"/>
        <family val="3"/>
        <charset val="134"/>
      </rPr>
      <t>山白鱼</t>
    </r>
  </si>
  <si>
    <r>
      <rPr>
        <sz val="11"/>
        <color indexed="8"/>
        <rFont val="宋体"/>
        <family val="3"/>
        <charset val="134"/>
      </rPr>
      <t>寻甸白鱼</t>
    </r>
  </si>
  <si>
    <r>
      <rPr>
        <sz val="11"/>
        <color indexed="8"/>
        <rFont val="宋体"/>
        <family val="3"/>
        <charset val="134"/>
      </rPr>
      <t>阳宗白鱼</t>
    </r>
  </si>
  <si>
    <r>
      <rPr>
        <sz val="11"/>
        <color indexed="8"/>
        <rFont val="宋体"/>
        <family val="3"/>
        <charset val="134"/>
      </rPr>
      <t>高体近红鲌</t>
    </r>
  </si>
  <si>
    <r>
      <rPr>
        <sz val="11"/>
        <color indexed="8"/>
        <rFont val="宋体"/>
        <family val="3"/>
        <charset val="134"/>
      </rPr>
      <t>黑尾近红鲌</t>
    </r>
  </si>
  <si>
    <r>
      <rPr>
        <sz val="11"/>
        <color indexed="8"/>
        <rFont val="宋体"/>
        <family val="3"/>
        <charset val="134"/>
      </rPr>
      <t>汪氏近红鲌</t>
    </r>
  </si>
  <si>
    <r>
      <rPr>
        <sz val="11"/>
        <color indexed="8"/>
        <rFont val="宋体"/>
        <family val="3"/>
        <charset val="134"/>
      </rPr>
      <t>大眼近红鲌</t>
    </r>
  </si>
  <si>
    <r>
      <rPr>
        <sz val="11"/>
        <color indexed="8"/>
        <rFont val="宋体"/>
        <family val="3"/>
        <charset val="134"/>
      </rPr>
      <t>红鳍原鲌</t>
    </r>
  </si>
  <si>
    <r>
      <rPr>
        <sz val="11"/>
        <color indexed="8"/>
        <rFont val="宋体"/>
        <family val="3"/>
        <charset val="134"/>
      </rPr>
      <t>扁体原鲌</t>
    </r>
  </si>
  <si>
    <r>
      <rPr>
        <sz val="11"/>
        <color indexed="8"/>
        <rFont val="宋体"/>
        <family val="3"/>
        <charset val="134"/>
      </rPr>
      <t>达氏鲌</t>
    </r>
  </si>
  <si>
    <r>
      <rPr>
        <sz val="11"/>
        <color indexed="8"/>
        <rFont val="宋体"/>
        <family val="3"/>
        <charset val="134"/>
      </rPr>
      <t>达氏鲌指名亚种</t>
    </r>
  </si>
  <si>
    <r>
      <rPr>
        <sz val="11"/>
        <color indexed="8"/>
        <rFont val="宋体"/>
        <family val="3"/>
        <charset val="134"/>
      </rPr>
      <t>兴凯戴氏鲌</t>
    </r>
  </si>
  <si>
    <r>
      <rPr>
        <sz val="11"/>
        <color indexed="8"/>
        <rFont val="宋体"/>
        <family val="3"/>
        <charset val="134"/>
      </rPr>
      <t>翘嘴鲌</t>
    </r>
  </si>
  <si>
    <r>
      <rPr>
        <sz val="11"/>
        <color indexed="8"/>
        <rFont val="宋体"/>
        <family val="3"/>
        <charset val="134"/>
      </rPr>
      <t>蒙古鲌</t>
    </r>
  </si>
  <si>
    <r>
      <rPr>
        <sz val="11"/>
        <color indexed="8"/>
        <rFont val="宋体"/>
        <family val="3"/>
        <charset val="134"/>
      </rPr>
      <t>程海鲌</t>
    </r>
  </si>
  <si>
    <r>
      <rPr>
        <sz val="11"/>
        <color indexed="8"/>
        <rFont val="宋体"/>
        <family val="3"/>
        <charset val="134"/>
      </rPr>
      <t>蒙古鲌指名亚种</t>
    </r>
  </si>
  <si>
    <r>
      <rPr>
        <sz val="11"/>
        <color indexed="8"/>
        <rFont val="宋体"/>
        <family val="3"/>
        <charset val="134"/>
      </rPr>
      <t>邛海鲌</t>
    </r>
  </si>
  <si>
    <r>
      <rPr>
        <sz val="11"/>
        <color indexed="8"/>
        <rFont val="宋体"/>
        <family val="3"/>
        <charset val="134"/>
      </rPr>
      <t>拟尖头鲌</t>
    </r>
  </si>
  <si>
    <r>
      <rPr>
        <sz val="11"/>
        <color indexed="8"/>
        <rFont val="宋体"/>
        <family val="3"/>
        <charset val="134"/>
      </rPr>
      <t>尖头鲌</t>
    </r>
  </si>
  <si>
    <r>
      <rPr>
        <sz val="11"/>
        <color indexed="8"/>
        <rFont val="宋体"/>
        <family val="3"/>
        <charset val="134"/>
      </rPr>
      <t>大鳍鱼</t>
    </r>
  </si>
  <si>
    <r>
      <rPr>
        <sz val="11"/>
        <color indexed="8"/>
        <rFont val="宋体"/>
        <family val="3"/>
        <charset val="134"/>
      </rPr>
      <t>团头鲂</t>
    </r>
  </si>
  <si>
    <r>
      <rPr>
        <sz val="11"/>
        <color indexed="8"/>
        <rFont val="宋体"/>
        <family val="3"/>
        <charset val="134"/>
      </rPr>
      <t>长体鲂</t>
    </r>
  </si>
  <si>
    <r>
      <rPr>
        <sz val="11"/>
        <color indexed="8"/>
        <rFont val="宋体"/>
        <family val="3"/>
        <charset val="134"/>
      </rPr>
      <t>厚颌鲂</t>
    </r>
  </si>
  <si>
    <r>
      <rPr>
        <sz val="11"/>
        <color indexed="8"/>
        <rFont val="宋体"/>
        <family val="3"/>
        <charset val="134"/>
      </rPr>
      <t>鲂</t>
    </r>
  </si>
  <si>
    <r>
      <rPr>
        <sz val="11"/>
        <color indexed="8"/>
        <rFont val="宋体"/>
        <family val="3"/>
        <charset val="134"/>
      </rPr>
      <t>三角鲂</t>
    </r>
  </si>
  <si>
    <r>
      <rPr>
        <sz val="11"/>
        <color indexed="8"/>
        <rFont val="宋体"/>
        <family val="3"/>
        <charset val="134"/>
      </rPr>
      <t>鳊</t>
    </r>
  </si>
  <si>
    <r>
      <rPr>
        <sz val="11"/>
        <color indexed="8"/>
        <rFont val="宋体"/>
        <family val="3"/>
        <charset val="134"/>
      </rPr>
      <t>罗碧鱼</t>
    </r>
  </si>
  <si>
    <r>
      <rPr>
        <sz val="11"/>
        <color indexed="8"/>
        <rFont val="宋体"/>
        <family val="3"/>
        <charset val="134"/>
      </rPr>
      <t>寡鳞飘鱼</t>
    </r>
  </si>
  <si>
    <r>
      <rPr>
        <sz val="11"/>
        <color indexed="8"/>
        <rFont val="宋体"/>
        <family val="3"/>
        <charset val="134"/>
      </rPr>
      <t>银飘鱼</t>
    </r>
  </si>
  <si>
    <r>
      <rPr>
        <sz val="11"/>
        <color indexed="8"/>
        <rFont val="宋体"/>
        <family val="3"/>
        <charset val="134"/>
      </rPr>
      <t>台细鳊</t>
    </r>
  </si>
  <si>
    <r>
      <rPr>
        <sz val="11"/>
        <color indexed="8"/>
        <rFont val="宋体"/>
        <family val="3"/>
        <charset val="134"/>
      </rPr>
      <t>细鳊</t>
    </r>
  </si>
  <si>
    <r>
      <rPr>
        <sz val="11"/>
        <color indexed="8"/>
        <rFont val="宋体"/>
        <family val="3"/>
        <charset val="134"/>
      </rPr>
      <t>须华鳊</t>
    </r>
  </si>
  <si>
    <r>
      <rPr>
        <sz val="11"/>
        <color indexed="8"/>
        <rFont val="宋体"/>
        <family val="3"/>
        <charset val="134"/>
      </rPr>
      <t>四川华鳊</t>
    </r>
  </si>
  <si>
    <r>
      <rPr>
        <sz val="11"/>
        <color indexed="8"/>
        <rFont val="宋体"/>
        <family val="3"/>
        <charset val="134"/>
      </rPr>
      <t>大眼华鳊</t>
    </r>
  </si>
  <si>
    <r>
      <rPr>
        <sz val="11"/>
        <color indexed="8"/>
        <rFont val="宋体"/>
        <family val="3"/>
        <charset val="134"/>
      </rPr>
      <t>海南华鳊</t>
    </r>
  </si>
  <si>
    <r>
      <rPr>
        <sz val="11"/>
        <color indexed="8"/>
        <rFont val="宋体"/>
        <family val="3"/>
        <charset val="134"/>
      </rPr>
      <t>伍氏华鳊</t>
    </r>
  </si>
  <si>
    <r>
      <rPr>
        <sz val="11"/>
        <color indexed="8"/>
        <rFont val="宋体"/>
        <family val="3"/>
        <charset val="134"/>
      </rPr>
      <t>小似鱎</t>
    </r>
  </si>
  <si>
    <r>
      <rPr>
        <sz val="11"/>
        <color indexed="8"/>
        <rFont val="宋体"/>
        <family val="3"/>
        <charset val="134"/>
      </rPr>
      <t>海南似鱎</t>
    </r>
  </si>
  <si>
    <r>
      <rPr>
        <sz val="11"/>
        <color indexed="8"/>
        <rFont val="宋体"/>
        <family val="3"/>
        <charset val="134"/>
      </rPr>
      <t>似鱎</t>
    </r>
  </si>
  <si>
    <r>
      <rPr>
        <sz val="11"/>
        <color indexed="8"/>
        <rFont val="宋体"/>
        <family val="3"/>
        <charset val="134"/>
      </rPr>
      <t>湖北圆吻鲴</t>
    </r>
  </si>
  <si>
    <r>
      <rPr>
        <sz val="11"/>
        <color indexed="8"/>
        <rFont val="宋体"/>
        <family val="3"/>
        <charset val="134"/>
      </rPr>
      <t>圆吻鲴</t>
    </r>
  </si>
  <si>
    <r>
      <rPr>
        <sz val="11"/>
        <color indexed="8"/>
        <rFont val="宋体"/>
        <family val="3"/>
        <charset val="134"/>
      </rPr>
      <t>似鳊</t>
    </r>
  </si>
  <si>
    <r>
      <rPr>
        <sz val="11"/>
        <color indexed="8"/>
        <rFont val="宋体"/>
        <family val="3"/>
        <charset val="134"/>
      </rPr>
      <t>棱似鲴</t>
    </r>
  </si>
  <si>
    <r>
      <rPr>
        <sz val="11"/>
        <color indexed="8"/>
        <rFont val="宋体"/>
        <family val="3"/>
        <charset val="134"/>
      </rPr>
      <t>小似鲴</t>
    </r>
  </si>
  <si>
    <r>
      <rPr>
        <sz val="11"/>
        <color indexed="8"/>
        <rFont val="宋体"/>
        <family val="3"/>
        <charset val="134"/>
      </rPr>
      <t>银鲴</t>
    </r>
  </si>
  <si>
    <r>
      <rPr>
        <sz val="11"/>
        <color indexed="8"/>
        <rFont val="宋体"/>
        <family val="3"/>
        <charset val="134"/>
      </rPr>
      <t>黄尾鲴</t>
    </r>
  </si>
  <si>
    <r>
      <rPr>
        <sz val="11"/>
        <color indexed="8"/>
        <rFont val="宋体"/>
        <family val="3"/>
        <charset val="134"/>
      </rPr>
      <t>方氏鲴</t>
    </r>
  </si>
  <si>
    <r>
      <rPr>
        <sz val="11"/>
        <color indexed="8"/>
        <rFont val="宋体"/>
        <family val="3"/>
        <charset val="134"/>
      </rPr>
      <t>细鳞鲴</t>
    </r>
  </si>
  <si>
    <r>
      <rPr>
        <sz val="11"/>
        <color indexed="8"/>
        <rFont val="宋体"/>
        <family val="3"/>
        <charset val="134"/>
      </rPr>
      <t>云南鲴</t>
    </r>
  </si>
  <si>
    <r>
      <rPr>
        <sz val="11"/>
        <color indexed="8"/>
        <rFont val="宋体"/>
        <family val="3"/>
        <charset val="134"/>
      </rPr>
      <t>短须鱊</t>
    </r>
  </si>
  <si>
    <r>
      <rPr>
        <sz val="11"/>
        <color indexed="8"/>
        <rFont val="宋体"/>
        <family val="3"/>
        <charset val="134"/>
      </rPr>
      <t>兴凯鱊</t>
    </r>
  </si>
  <si>
    <r>
      <rPr>
        <sz val="11"/>
        <color indexed="8"/>
        <rFont val="宋体"/>
        <family val="3"/>
        <charset val="134"/>
      </rPr>
      <t>长身鱊</t>
    </r>
  </si>
  <si>
    <r>
      <rPr>
        <sz val="11"/>
        <color indexed="8"/>
        <rFont val="宋体"/>
        <family val="3"/>
        <charset val="134"/>
      </rPr>
      <t>短尾长身鱊</t>
    </r>
  </si>
  <si>
    <r>
      <rPr>
        <sz val="11"/>
        <color indexed="8"/>
        <rFont val="宋体"/>
        <family val="3"/>
        <charset val="134"/>
      </rPr>
      <t>无须鱊</t>
    </r>
  </si>
  <si>
    <r>
      <rPr>
        <sz val="11"/>
        <color indexed="8"/>
        <rFont val="宋体"/>
        <family val="3"/>
        <charset val="134"/>
      </rPr>
      <t>寡鳞鱊</t>
    </r>
  </si>
  <si>
    <r>
      <rPr>
        <sz val="11"/>
        <color indexed="8"/>
        <rFont val="宋体"/>
        <family val="3"/>
        <charset val="134"/>
      </rPr>
      <t>大鳍鱊</t>
    </r>
  </si>
  <si>
    <r>
      <rPr>
        <sz val="11"/>
        <color indexed="8"/>
        <rFont val="宋体"/>
        <family val="3"/>
        <charset val="134"/>
      </rPr>
      <t>峨眉鱊</t>
    </r>
  </si>
  <si>
    <r>
      <rPr>
        <sz val="11"/>
        <color indexed="8"/>
        <rFont val="宋体"/>
        <family val="3"/>
        <charset val="134"/>
      </rPr>
      <t>多鳞鱊</t>
    </r>
  </si>
  <si>
    <r>
      <rPr>
        <sz val="11"/>
        <color indexed="8"/>
        <rFont val="宋体"/>
        <family val="3"/>
        <charset val="134"/>
      </rPr>
      <t>巨口鱊</t>
    </r>
  </si>
  <si>
    <r>
      <rPr>
        <sz val="11"/>
        <color indexed="8"/>
        <rFont val="宋体"/>
        <family val="3"/>
        <charset val="134"/>
      </rPr>
      <t>须鱊</t>
    </r>
  </si>
  <si>
    <r>
      <rPr>
        <sz val="11"/>
        <color indexed="8"/>
        <rFont val="宋体"/>
        <family val="3"/>
        <charset val="134"/>
      </rPr>
      <t>革条副鱊</t>
    </r>
  </si>
  <si>
    <r>
      <rPr>
        <sz val="11"/>
        <color indexed="8"/>
        <rFont val="宋体"/>
        <family val="3"/>
        <charset val="134"/>
      </rPr>
      <t>彩副鱊</t>
    </r>
  </si>
  <si>
    <r>
      <rPr>
        <sz val="11"/>
        <color indexed="8"/>
        <rFont val="宋体"/>
        <family val="3"/>
        <charset val="134"/>
      </rPr>
      <t>广西副鱊</t>
    </r>
  </si>
  <si>
    <r>
      <rPr>
        <sz val="11"/>
        <color indexed="8"/>
        <rFont val="宋体"/>
        <family val="3"/>
        <charset val="134"/>
      </rPr>
      <t>蒙古石鲋</t>
    </r>
  </si>
  <si>
    <r>
      <rPr>
        <sz val="11"/>
        <color indexed="8"/>
        <rFont val="宋体"/>
        <family val="3"/>
        <charset val="134"/>
      </rPr>
      <t>彩石鰟鮍</t>
    </r>
  </si>
  <si>
    <r>
      <rPr>
        <sz val="11"/>
        <color indexed="8"/>
        <rFont val="宋体"/>
        <family val="3"/>
        <charset val="134"/>
      </rPr>
      <t>高体鰟鮍</t>
    </r>
  </si>
  <si>
    <r>
      <rPr>
        <sz val="11"/>
        <color indexed="8"/>
        <rFont val="宋体"/>
        <family val="3"/>
        <charset val="134"/>
      </rPr>
      <t>黑龙江鰟鮍</t>
    </r>
  </si>
  <si>
    <r>
      <rPr>
        <sz val="11"/>
        <color indexed="8"/>
        <rFont val="宋体"/>
        <family val="3"/>
        <charset val="134"/>
      </rPr>
      <t>刺鳍鰟鮍</t>
    </r>
  </si>
  <si>
    <r>
      <rPr>
        <sz val="11"/>
        <color indexed="8"/>
        <rFont val="宋体"/>
        <family val="3"/>
        <charset val="134"/>
      </rPr>
      <t>方氏鰟鮍</t>
    </r>
  </si>
  <si>
    <r>
      <rPr>
        <sz val="11"/>
        <color indexed="8"/>
        <rFont val="宋体"/>
        <family val="3"/>
        <charset val="134"/>
      </rPr>
      <t>多耙光唇鱼</t>
    </r>
  </si>
  <si>
    <r>
      <rPr>
        <sz val="11"/>
        <color indexed="8"/>
        <rFont val="宋体"/>
        <family val="3"/>
        <charset val="134"/>
      </rPr>
      <t>细身光唇鱼</t>
    </r>
  </si>
  <si>
    <r>
      <rPr>
        <sz val="11"/>
        <color indexed="8"/>
        <rFont val="宋体"/>
        <family val="3"/>
        <charset val="134"/>
      </rPr>
      <t>光唇鱼</t>
    </r>
  </si>
  <si>
    <r>
      <rPr>
        <sz val="11"/>
        <color indexed="8"/>
        <rFont val="宋体"/>
        <family val="3"/>
        <charset val="134"/>
      </rPr>
      <t>半刺厚唇鱼</t>
    </r>
  </si>
  <si>
    <r>
      <rPr>
        <sz val="11"/>
        <color indexed="8"/>
        <rFont val="宋体"/>
        <family val="3"/>
        <charset val="134"/>
      </rPr>
      <t>带半刺厚唇鱼</t>
    </r>
  </si>
  <si>
    <r>
      <rPr>
        <sz val="11"/>
        <color indexed="8"/>
        <rFont val="宋体"/>
        <family val="3"/>
        <charset val="134"/>
      </rPr>
      <t>半刺厚唇鱼指名亚种</t>
    </r>
  </si>
  <si>
    <r>
      <rPr>
        <sz val="11"/>
        <color indexed="8"/>
        <rFont val="宋体"/>
        <family val="3"/>
        <charset val="134"/>
      </rPr>
      <t>大鳞光唇鱼</t>
    </r>
  </si>
  <si>
    <r>
      <rPr>
        <sz val="11"/>
        <color indexed="8"/>
        <rFont val="宋体"/>
        <family val="3"/>
        <charset val="134"/>
      </rPr>
      <t>虹彩光唇鱼</t>
    </r>
  </si>
  <si>
    <r>
      <rPr>
        <sz val="11"/>
        <color indexed="8"/>
        <rFont val="宋体"/>
        <family val="3"/>
        <charset val="134"/>
      </rPr>
      <t>虹彩光唇鱼指名亚种</t>
    </r>
  </si>
  <si>
    <r>
      <rPr>
        <sz val="11"/>
        <color indexed="8"/>
        <rFont val="宋体"/>
        <family val="3"/>
        <charset val="134"/>
      </rPr>
      <t>元江虹彩光唇鱼</t>
    </r>
  </si>
  <si>
    <r>
      <rPr>
        <sz val="11"/>
        <color indexed="8"/>
        <rFont val="宋体"/>
        <family val="3"/>
        <charset val="134"/>
      </rPr>
      <t>珠江虹彩光唇鱼</t>
    </r>
  </si>
  <si>
    <r>
      <rPr>
        <sz val="11"/>
        <color indexed="8"/>
        <rFont val="宋体"/>
        <family val="3"/>
        <charset val="134"/>
      </rPr>
      <t>河口光唇鱼</t>
    </r>
  </si>
  <si>
    <r>
      <rPr>
        <sz val="11"/>
        <color indexed="8"/>
        <rFont val="宋体"/>
        <family val="3"/>
        <charset val="134"/>
      </rPr>
      <t>薄颌光唇鱼</t>
    </r>
  </si>
  <si>
    <r>
      <rPr>
        <sz val="11"/>
        <color indexed="8"/>
        <rFont val="宋体"/>
        <family val="3"/>
        <charset val="134"/>
      </rPr>
      <t>厚唇鱼</t>
    </r>
  </si>
  <si>
    <r>
      <rPr>
        <sz val="11"/>
        <color indexed="8"/>
        <rFont val="宋体"/>
        <family val="3"/>
        <charset val="134"/>
      </rPr>
      <t>长鳍光唇鱼</t>
    </r>
  </si>
  <si>
    <r>
      <rPr>
        <sz val="11"/>
        <color indexed="8"/>
        <rFont val="宋体"/>
        <family val="3"/>
        <charset val="134"/>
      </rPr>
      <t>宽口光唇鱼</t>
    </r>
  </si>
  <si>
    <r>
      <rPr>
        <sz val="11"/>
        <color indexed="8"/>
        <rFont val="宋体"/>
        <family val="3"/>
        <charset val="134"/>
      </rPr>
      <t>台湾光唇鱼</t>
    </r>
  </si>
  <si>
    <r>
      <rPr>
        <sz val="11"/>
        <color indexed="8"/>
        <rFont val="宋体"/>
        <family val="3"/>
        <charset val="134"/>
      </rPr>
      <t>侧条厚唇鱼</t>
    </r>
  </si>
  <si>
    <r>
      <rPr>
        <sz val="11"/>
        <color indexed="8"/>
        <rFont val="宋体"/>
        <family val="3"/>
        <charset val="134"/>
      </rPr>
      <t>窄条光唇鱼</t>
    </r>
  </si>
  <si>
    <r>
      <rPr>
        <sz val="11"/>
        <color indexed="8"/>
        <rFont val="宋体"/>
        <family val="3"/>
        <charset val="134"/>
      </rPr>
      <t>温州厚唇鱼</t>
    </r>
  </si>
  <si>
    <r>
      <rPr>
        <sz val="11"/>
        <color indexed="8"/>
        <rFont val="宋体"/>
        <family val="3"/>
        <charset val="134"/>
      </rPr>
      <t>北江厚唇鱼</t>
    </r>
  </si>
  <si>
    <r>
      <rPr>
        <sz val="11"/>
        <color indexed="8"/>
        <rFont val="宋体"/>
        <family val="3"/>
        <charset val="134"/>
      </rPr>
      <t>温州厚唇鱼指名亚种</t>
    </r>
  </si>
  <si>
    <r>
      <rPr>
        <sz val="11"/>
        <color indexed="8"/>
        <rFont val="宋体"/>
        <family val="3"/>
        <charset val="134"/>
      </rPr>
      <t>云南光唇鱼</t>
    </r>
  </si>
  <si>
    <r>
      <rPr>
        <sz val="11"/>
        <color indexed="8"/>
        <rFont val="宋体"/>
        <family val="3"/>
        <charset val="134"/>
      </rPr>
      <t>袋唇鱼</t>
    </r>
  </si>
  <si>
    <r>
      <rPr>
        <sz val="11"/>
        <color indexed="8"/>
        <rFont val="宋体"/>
        <family val="3"/>
        <charset val="134"/>
      </rPr>
      <t>软鳍四须鲃</t>
    </r>
  </si>
  <si>
    <r>
      <rPr>
        <sz val="11"/>
        <color indexed="8"/>
        <rFont val="宋体"/>
        <family val="3"/>
        <charset val="134"/>
      </rPr>
      <t>颌突四须鲃</t>
    </r>
  </si>
  <si>
    <r>
      <rPr>
        <sz val="11"/>
        <color indexed="8"/>
        <rFont val="宋体"/>
        <family val="3"/>
        <charset val="134"/>
      </rPr>
      <t>洱海四须鲃</t>
    </r>
  </si>
  <si>
    <r>
      <rPr>
        <sz val="11"/>
        <color indexed="8"/>
        <rFont val="宋体"/>
        <family val="3"/>
        <charset val="134"/>
      </rPr>
      <t>大鳞四须鲃</t>
    </r>
  </si>
  <si>
    <r>
      <rPr>
        <sz val="11"/>
        <color indexed="8"/>
        <rFont val="宋体"/>
        <family val="3"/>
        <charset val="134"/>
      </rPr>
      <t>油四须鲃</t>
    </r>
  </si>
  <si>
    <r>
      <rPr>
        <sz val="11"/>
        <color indexed="8"/>
        <rFont val="宋体"/>
        <family val="3"/>
        <charset val="134"/>
      </rPr>
      <t>抚仙四须鲃</t>
    </r>
  </si>
  <si>
    <r>
      <rPr>
        <sz val="11"/>
        <color indexed="8"/>
        <rFont val="宋体"/>
        <family val="3"/>
        <charset val="134"/>
      </rPr>
      <t>墨脱四须鲃</t>
    </r>
  </si>
  <si>
    <r>
      <rPr>
        <sz val="11"/>
        <color indexed="8"/>
        <rFont val="宋体"/>
        <family val="3"/>
        <charset val="134"/>
      </rPr>
      <t>云南四须鲃</t>
    </r>
  </si>
  <si>
    <r>
      <rPr>
        <sz val="11"/>
        <color indexed="8"/>
        <rFont val="宋体"/>
        <family val="3"/>
        <charset val="134"/>
      </rPr>
      <t>云南四须鲃指名亚种</t>
    </r>
  </si>
  <si>
    <r>
      <rPr>
        <sz val="11"/>
        <color indexed="8"/>
        <rFont val="宋体"/>
        <family val="3"/>
        <charset val="134"/>
      </rPr>
      <t>鲂形四须</t>
    </r>
    <r>
      <rPr>
        <sz val="11"/>
        <color indexed="8"/>
        <rFont val="Times New Roman"/>
        <family val="1"/>
      </rPr>
      <t></t>
    </r>
  </si>
  <si>
    <r>
      <rPr>
        <sz val="11"/>
        <color indexed="8"/>
        <rFont val="宋体"/>
        <family val="3"/>
        <charset val="134"/>
      </rPr>
      <t>湖四须鲃</t>
    </r>
  </si>
  <si>
    <r>
      <rPr>
        <sz val="11"/>
        <color indexed="8"/>
        <rFont val="宋体"/>
        <family val="3"/>
        <charset val="134"/>
      </rPr>
      <t>宽头四须鲃</t>
    </r>
  </si>
  <si>
    <r>
      <rPr>
        <sz val="11"/>
        <color indexed="8"/>
        <rFont val="宋体"/>
        <family val="3"/>
        <charset val="134"/>
      </rPr>
      <t>太平四须鲃</t>
    </r>
  </si>
  <si>
    <r>
      <rPr>
        <sz val="11"/>
        <color indexed="8"/>
        <rFont val="宋体"/>
        <family val="3"/>
        <charset val="134"/>
      </rPr>
      <t>后鳍四须鲃</t>
    </r>
  </si>
  <si>
    <r>
      <rPr>
        <sz val="11"/>
        <color indexed="8"/>
        <rFont val="宋体"/>
        <family val="3"/>
        <charset val="134"/>
      </rPr>
      <t>厚颌四须鲃</t>
    </r>
  </si>
  <si>
    <r>
      <rPr>
        <sz val="11"/>
        <color indexed="8"/>
        <rFont val="宋体"/>
        <family val="3"/>
        <charset val="134"/>
      </rPr>
      <t>小四须鲃</t>
    </r>
  </si>
  <si>
    <r>
      <rPr>
        <sz val="11"/>
        <color indexed="8"/>
        <rFont val="宋体"/>
        <family val="3"/>
        <charset val="134"/>
      </rPr>
      <t>疏斑四须鲃</t>
    </r>
  </si>
  <si>
    <r>
      <rPr>
        <sz val="11"/>
        <color indexed="8"/>
        <rFont val="宋体"/>
        <family val="3"/>
        <charset val="134"/>
      </rPr>
      <t>高体四须鲃</t>
    </r>
  </si>
  <si>
    <r>
      <rPr>
        <sz val="11"/>
        <color indexed="8"/>
        <rFont val="宋体"/>
        <family val="3"/>
        <charset val="134"/>
      </rPr>
      <t>多鳞四须鲃</t>
    </r>
  </si>
  <si>
    <r>
      <rPr>
        <sz val="11"/>
        <color indexed="8"/>
        <rFont val="宋体"/>
        <family val="3"/>
        <charset val="134"/>
      </rPr>
      <t>异斑四须鲃</t>
    </r>
  </si>
  <si>
    <r>
      <rPr>
        <sz val="11"/>
        <color indexed="8"/>
        <rFont val="宋体"/>
        <family val="3"/>
        <charset val="134"/>
      </rPr>
      <t>棱四须鲃</t>
    </r>
  </si>
  <si>
    <r>
      <rPr>
        <sz val="11"/>
        <color indexed="8"/>
        <rFont val="宋体"/>
        <family val="3"/>
        <charset val="134"/>
      </rPr>
      <t>斑尾四须鲃</t>
    </r>
  </si>
  <si>
    <r>
      <rPr>
        <sz val="11"/>
        <color indexed="8"/>
        <rFont val="宋体"/>
        <family val="3"/>
        <charset val="134"/>
      </rPr>
      <t>保山四须鲃</t>
    </r>
  </si>
  <si>
    <r>
      <rPr>
        <sz val="11"/>
        <color indexed="8"/>
        <rFont val="宋体"/>
        <family val="3"/>
        <charset val="134"/>
      </rPr>
      <t>条纹二须鲃</t>
    </r>
  </si>
  <si>
    <r>
      <rPr>
        <sz val="11"/>
        <color indexed="8"/>
        <rFont val="宋体"/>
        <family val="3"/>
        <charset val="134"/>
      </rPr>
      <t>红鳍方口鲃</t>
    </r>
  </si>
  <si>
    <r>
      <rPr>
        <sz val="11"/>
        <color indexed="8"/>
        <rFont val="宋体"/>
        <family val="3"/>
        <charset val="134"/>
      </rPr>
      <t>南腊方口鲃</t>
    </r>
  </si>
  <si>
    <r>
      <rPr>
        <sz val="11"/>
        <color indexed="8"/>
        <rFont val="宋体"/>
        <family val="3"/>
        <charset val="134"/>
      </rPr>
      <t>圆唇鱼</t>
    </r>
  </si>
  <si>
    <r>
      <rPr>
        <sz val="11"/>
        <color indexed="8"/>
        <rFont val="宋体"/>
        <family val="3"/>
        <charset val="134"/>
      </rPr>
      <t>南方鲃</t>
    </r>
  </si>
  <si>
    <r>
      <rPr>
        <sz val="11"/>
        <color indexed="8"/>
        <rFont val="宋体"/>
        <family val="3"/>
        <charset val="134"/>
      </rPr>
      <t>似鳡</t>
    </r>
  </si>
  <si>
    <r>
      <rPr>
        <sz val="11"/>
        <color indexed="8"/>
        <rFont val="宋体"/>
        <family val="3"/>
        <charset val="134"/>
      </rPr>
      <t>细纹似鳡</t>
    </r>
  </si>
  <si>
    <r>
      <rPr>
        <sz val="11"/>
        <color indexed="8"/>
        <rFont val="宋体"/>
        <family val="3"/>
        <charset val="134"/>
      </rPr>
      <t>月斑长臀鲃</t>
    </r>
  </si>
  <si>
    <r>
      <rPr>
        <sz val="11"/>
        <color indexed="8"/>
        <rFont val="宋体"/>
        <family val="3"/>
        <charset val="134"/>
      </rPr>
      <t>细尾长臀鲃</t>
    </r>
  </si>
  <si>
    <r>
      <rPr>
        <sz val="11"/>
        <color indexed="8"/>
        <rFont val="宋体"/>
        <family val="3"/>
        <charset val="134"/>
      </rPr>
      <t>长臀鲃</t>
    </r>
  </si>
  <si>
    <r>
      <rPr>
        <sz val="11"/>
        <color indexed="8"/>
        <rFont val="宋体"/>
        <family val="3"/>
        <charset val="134"/>
      </rPr>
      <t>鲈鲤</t>
    </r>
  </si>
  <si>
    <r>
      <rPr>
        <sz val="11"/>
        <color indexed="8"/>
        <rFont val="宋体"/>
        <family val="3"/>
        <charset val="134"/>
      </rPr>
      <t>鲈鲤指名亚种</t>
    </r>
  </si>
  <si>
    <r>
      <rPr>
        <sz val="11"/>
        <color indexed="8"/>
        <rFont val="宋体"/>
        <family val="3"/>
        <charset val="134"/>
      </rPr>
      <t>花鲈鲤</t>
    </r>
  </si>
  <si>
    <r>
      <rPr>
        <sz val="11"/>
        <color indexed="8"/>
        <rFont val="宋体"/>
        <family val="3"/>
        <charset val="134"/>
      </rPr>
      <t>后背鲈鲤</t>
    </r>
  </si>
  <si>
    <r>
      <rPr>
        <sz val="11"/>
        <color indexed="8"/>
        <rFont val="宋体"/>
        <family val="3"/>
        <charset val="134"/>
      </rPr>
      <t>黄尾短吻鱼</t>
    </r>
  </si>
  <si>
    <r>
      <rPr>
        <sz val="11"/>
        <color indexed="8"/>
        <rFont val="宋体"/>
        <family val="3"/>
        <charset val="134"/>
      </rPr>
      <t>短吻鱼</t>
    </r>
  </si>
  <si>
    <r>
      <rPr>
        <sz val="11"/>
        <color indexed="8"/>
        <rFont val="宋体"/>
        <family val="3"/>
        <charset val="134"/>
      </rPr>
      <t>鸭嘴金线鲃</t>
    </r>
  </si>
  <si>
    <r>
      <rPr>
        <sz val="11"/>
        <color indexed="8"/>
        <rFont val="宋体"/>
        <family val="3"/>
        <charset val="134"/>
      </rPr>
      <t>角金线鲃</t>
    </r>
  </si>
  <si>
    <r>
      <rPr>
        <sz val="11"/>
        <color indexed="8"/>
        <rFont val="宋体"/>
        <family val="3"/>
        <charset val="134"/>
      </rPr>
      <t>狭孔金线鲃</t>
    </r>
  </si>
  <si>
    <r>
      <rPr>
        <sz val="11"/>
        <color indexed="8"/>
        <rFont val="宋体"/>
        <family val="3"/>
        <charset val="134"/>
      </rPr>
      <t>无眼金线鲃</t>
    </r>
  </si>
  <si>
    <r>
      <rPr>
        <sz val="11"/>
        <color indexed="8"/>
        <rFont val="宋体"/>
        <family val="3"/>
        <charset val="134"/>
      </rPr>
      <t>短身金线鲃</t>
    </r>
  </si>
  <si>
    <r>
      <rPr>
        <sz val="11"/>
        <color indexed="8"/>
        <rFont val="宋体"/>
        <family val="3"/>
        <charset val="134"/>
      </rPr>
      <t>金线鲃</t>
    </r>
  </si>
  <si>
    <r>
      <rPr>
        <sz val="11"/>
        <color indexed="8"/>
        <rFont val="宋体"/>
        <family val="3"/>
        <charset val="134"/>
      </rPr>
      <t>金线鲃指名亚种</t>
    </r>
  </si>
  <si>
    <r>
      <rPr>
        <sz val="11"/>
        <color indexed="8"/>
        <rFont val="宋体"/>
        <family val="3"/>
        <charset val="134"/>
      </rPr>
      <t>抚仙金线鲃</t>
    </r>
  </si>
  <si>
    <r>
      <rPr>
        <sz val="11"/>
        <color indexed="8"/>
        <rFont val="宋体"/>
        <family val="3"/>
        <charset val="134"/>
      </rPr>
      <t>阳宗金线鲃</t>
    </r>
  </si>
  <si>
    <r>
      <rPr>
        <sz val="11"/>
        <color indexed="8"/>
        <rFont val="宋体"/>
        <family val="3"/>
        <charset val="134"/>
      </rPr>
      <t>透明金线鲃</t>
    </r>
  </si>
  <si>
    <r>
      <rPr>
        <sz val="11"/>
        <color indexed="8"/>
        <rFont val="宋体"/>
        <family val="3"/>
        <charset val="134"/>
      </rPr>
      <t>季氏金线鲃</t>
    </r>
  </si>
  <si>
    <r>
      <rPr>
        <sz val="11"/>
        <color indexed="8"/>
        <rFont val="宋体"/>
        <family val="3"/>
        <charset val="134"/>
      </rPr>
      <t>侧条金线鲃</t>
    </r>
  </si>
  <si>
    <r>
      <rPr>
        <sz val="11"/>
        <color indexed="8"/>
        <rFont val="宋体"/>
        <family val="3"/>
        <charset val="134"/>
      </rPr>
      <t>路南金线鲃</t>
    </r>
  </si>
  <si>
    <r>
      <rPr>
        <sz val="11"/>
        <color indexed="8"/>
        <rFont val="宋体"/>
        <family val="3"/>
        <charset val="134"/>
      </rPr>
      <t>大头金线鲃</t>
    </r>
  </si>
  <si>
    <r>
      <rPr>
        <sz val="11"/>
        <color indexed="8"/>
        <rFont val="宋体"/>
        <family val="3"/>
        <charset val="134"/>
      </rPr>
      <t>大鳞金线鲃</t>
    </r>
  </si>
  <si>
    <r>
      <rPr>
        <sz val="11"/>
        <color indexed="8"/>
        <rFont val="宋体"/>
        <family val="3"/>
        <charset val="134"/>
      </rPr>
      <t>麦田河金线鲃</t>
    </r>
  </si>
  <si>
    <r>
      <rPr>
        <sz val="11"/>
        <color indexed="8"/>
        <rFont val="宋体"/>
        <family val="3"/>
        <charset val="134"/>
      </rPr>
      <t>软鳍金线鲃</t>
    </r>
  </si>
  <si>
    <r>
      <rPr>
        <sz val="11"/>
        <color indexed="8"/>
        <rFont val="宋体"/>
        <family val="3"/>
        <charset val="134"/>
      </rPr>
      <t>小眼金线鲃</t>
    </r>
  </si>
  <si>
    <r>
      <rPr>
        <sz val="11"/>
        <color indexed="8"/>
        <rFont val="宋体"/>
        <family val="3"/>
        <charset val="134"/>
      </rPr>
      <t>贵州金线鲃</t>
    </r>
  </si>
  <si>
    <r>
      <rPr>
        <sz val="11"/>
        <color indexed="8"/>
        <rFont val="宋体"/>
        <family val="3"/>
        <charset val="134"/>
      </rPr>
      <t>尖头金线鲃</t>
    </r>
  </si>
  <si>
    <r>
      <rPr>
        <sz val="11"/>
        <color indexed="8"/>
        <rFont val="宋体"/>
        <family val="3"/>
        <charset val="134"/>
      </rPr>
      <t>紫色金线鲃</t>
    </r>
  </si>
  <si>
    <r>
      <rPr>
        <sz val="11"/>
        <color indexed="8"/>
        <rFont val="宋体"/>
        <family val="3"/>
        <charset val="134"/>
      </rPr>
      <t>粗壮金线鲃</t>
    </r>
  </si>
  <si>
    <r>
      <rPr>
        <sz val="11"/>
        <color indexed="8"/>
        <rFont val="宋体"/>
        <family val="3"/>
        <charset val="134"/>
      </rPr>
      <t>刺鲃</t>
    </r>
  </si>
  <si>
    <r>
      <rPr>
        <sz val="11"/>
        <color indexed="8"/>
        <rFont val="宋体"/>
        <family val="3"/>
        <charset val="134"/>
      </rPr>
      <t>倒刺鲃</t>
    </r>
  </si>
  <si>
    <r>
      <rPr>
        <sz val="11"/>
        <color indexed="8"/>
        <rFont val="宋体"/>
        <family val="3"/>
        <charset val="134"/>
      </rPr>
      <t>倒刺鲃指名亚种</t>
    </r>
  </si>
  <si>
    <r>
      <rPr>
        <sz val="11"/>
        <color indexed="8"/>
        <rFont val="宋体"/>
        <family val="3"/>
        <charset val="134"/>
      </rPr>
      <t>多鳞倒刺鲃</t>
    </r>
  </si>
  <si>
    <r>
      <rPr>
        <sz val="11"/>
        <color indexed="8"/>
        <rFont val="宋体"/>
        <family val="3"/>
        <charset val="134"/>
      </rPr>
      <t>云南倒刺鲃</t>
    </r>
  </si>
  <si>
    <r>
      <rPr>
        <sz val="11"/>
        <color indexed="8"/>
        <rFont val="宋体"/>
        <family val="3"/>
        <charset val="134"/>
      </rPr>
      <t>长身刺鲃</t>
    </r>
  </si>
  <si>
    <r>
      <rPr>
        <sz val="11"/>
        <color indexed="8"/>
        <rFont val="宋体"/>
        <family val="3"/>
        <charset val="134"/>
      </rPr>
      <t>光倒刺鲃</t>
    </r>
  </si>
  <si>
    <r>
      <rPr>
        <sz val="11"/>
        <color indexed="8"/>
        <rFont val="宋体"/>
        <family val="3"/>
        <charset val="134"/>
      </rPr>
      <t>中华倒刺鲃</t>
    </r>
  </si>
  <si>
    <r>
      <rPr>
        <sz val="11"/>
        <color indexed="8"/>
        <rFont val="宋体"/>
        <family val="3"/>
        <charset val="134"/>
      </rPr>
      <t>瓣结鱼</t>
    </r>
  </si>
  <si>
    <r>
      <rPr>
        <sz val="11"/>
        <color indexed="8"/>
        <rFont val="宋体"/>
        <family val="3"/>
        <charset val="134"/>
      </rPr>
      <t>瓣结鱼指名亚种</t>
    </r>
  </si>
  <si>
    <r>
      <rPr>
        <sz val="11"/>
        <color indexed="8"/>
        <rFont val="宋体"/>
        <family val="3"/>
        <charset val="134"/>
      </rPr>
      <t>海南瓣结鱼</t>
    </r>
  </si>
  <si>
    <r>
      <rPr>
        <sz val="11"/>
        <color indexed="8"/>
        <rFont val="宋体"/>
        <family val="3"/>
        <charset val="134"/>
      </rPr>
      <t>大鳞结鱼</t>
    </r>
  </si>
  <si>
    <r>
      <rPr>
        <sz val="11"/>
        <color indexed="8"/>
        <rFont val="宋体"/>
        <family val="3"/>
        <charset val="134"/>
      </rPr>
      <t>半刺结鱼</t>
    </r>
  </si>
  <si>
    <r>
      <rPr>
        <sz val="11"/>
        <color indexed="8"/>
        <rFont val="宋体"/>
        <family val="3"/>
        <charset val="134"/>
      </rPr>
      <t>黄鳍结鱼</t>
    </r>
  </si>
  <si>
    <r>
      <rPr>
        <sz val="11"/>
        <color indexed="8"/>
        <rFont val="宋体"/>
        <family val="3"/>
        <charset val="134"/>
      </rPr>
      <t>桥街结鱼</t>
    </r>
  </si>
  <si>
    <r>
      <rPr>
        <sz val="11"/>
        <color indexed="8"/>
        <rFont val="宋体"/>
        <family val="3"/>
        <charset val="134"/>
      </rPr>
      <t>结鱼</t>
    </r>
  </si>
  <si>
    <r>
      <rPr>
        <sz val="11"/>
        <color indexed="8"/>
        <rFont val="宋体"/>
        <family val="3"/>
        <charset val="134"/>
      </rPr>
      <t>中国结鱼</t>
    </r>
  </si>
  <si>
    <r>
      <rPr>
        <sz val="11"/>
        <color indexed="8"/>
        <rFont val="宋体"/>
        <family val="3"/>
        <charset val="134"/>
      </rPr>
      <t>云南瓣结鱼</t>
    </r>
  </si>
  <si>
    <r>
      <rPr>
        <sz val="11"/>
        <color indexed="8"/>
        <rFont val="宋体"/>
        <family val="3"/>
        <charset val="134"/>
      </rPr>
      <t>叶结鱼</t>
    </r>
  </si>
  <si>
    <r>
      <rPr>
        <sz val="11"/>
        <color indexed="8"/>
        <rFont val="宋体"/>
        <family val="3"/>
        <charset val="134"/>
      </rPr>
      <t>裸腹肓鲃</t>
    </r>
  </si>
  <si>
    <r>
      <rPr>
        <sz val="11"/>
        <color indexed="8"/>
        <rFont val="宋体"/>
        <family val="3"/>
        <charset val="134"/>
      </rPr>
      <t>少鳞白甲鱼</t>
    </r>
  </si>
  <si>
    <r>
      <rPr>
        <sz val="11"/>
        <color indexed="8"/>
        <rFont val="宋体"/>
        <family val="3"/>
        <charset val="134"/>
      </rPr>
      <t>高体铲颌鱼</t>
    </r>
  </si>
  <si>
    <r>
      <rPr>
        <sz val="11"/>
        <color indexed="8"/>
        <rFont val="宋体"/>
        <family val="3"/>
        <charset val="134"/>
      </rPr>
      <t>四川白甲鱼</t>
    </r>
  </si>
  <si>
    <r>
      <rPr>
        <sz val="11"/>
        <color indexed="8"/>
        <rFont val="宋体"/>
        <family val="3"/>
        <charset val="134"/>
      </rPr>
      <t>台湾铲颌鱼</t>
    </r>
  </si>
  <si>
    <r>
      <rPr>
        <sz val="11"/>
        <color indexed="8"/>
        <rFont val="宋体"/>
        <family val="3"/>
        <charset val="134"/>
      </rPr>
      <t>粗须铲颌鱼</t>
    </r>
  </si>
  <si>
    <r>
      <rPr>
        <sz val="11"/>
        <color indexed="8"/>
        <rFont val="宋体"/>
        <family val="3"/>
        <charset val="134"/>
      </rPr>
      <t>短身白甲鱼</t>
    </r>
  </si>
  <si>
    <r>
      <rPr>
        <sz val="11"/>
        <color indexed="8"/>
        <rFont val="宋体"/>
        <family val="3"/>
        <charset val="134"/>
      </rPr>
      <t>大渡白甲鱼</t>
    </r>
  </si>
  <si>
    <r>
      <rPr>
        <sz val="11"/>
        <color indexed="8"/>
        <rFont val="宋体"/>
        <family val="3"/>
        <charset val="134"/>
      </rPr>
      <t>细长白甲鱼</t>
    </r>
  </si>
  <si>
    <r>
      <rPr>
        <sz val="11"/>
        <color indexed="8"/>
        <rFont val="宋体"/>
        <family val="3"/>
        <charset val="134"/>
      </rPr>
      <t>南方白甲鱼</t>
    </r>
  </si>
  <si>
    <r>
      <rPr>
        <sz val="11"/>
        <color indexed="8"/>
        <rFont val="宋体"/>
        <family val="3"/>
        <charset val="134"/>
      </rPr>
      <t>细尾铲颌鱼</t>
    </r>
  </si>
  <si>
    <r>
      <rPr>
        <sz val="11"/>
        <color indexed="8"/>
        <rFont val="宋体"/>
        <family val="3"/>
        <charset val="134"/>
      </rPr>
      <t>小口白甲鱼</t>
    </r>
  </si>
  <si>
    <r>
      <rPr>
        <sz val="11"/>
        <color indexed="8"/>
        <rFont val="宋体"/>
        <family val="3"/>
        <charset val="134"/>
      </rPr>
      <t>长鳍白甲鱼</t>
    </r>
  </si>
  <si>
    <r>
      <rPr>
        <sz val="11"/>
        <color indexed="8"/>
        <rFont val="宋体"/>
        <family val="3"/>
        <charset val="134"/>
      </rPr>
      <t>多鳞铲颌鱼</t>
    </r>
  </si>
  <si>
    <r>
      <rPr>
        <sz val="11"/>
        <color indexed="8"/>
        <rFont val="宋体"/>
        <family val="3"/>
        <charset val="134"/>
      </rPr>
      <t>卵形白甲鱼</t>
    </r>
  </si>
  <si>
    <r>
      <rPr>
        <sz val="11"/>
        <color indexed="8"/>
        <rFont val="宋体"/>
        <family val="3"/>
        <charset val="134"/>
      </rPr>
      <t>卵形白甲鱼指名亚种</t>
    </r>
  </si>
  <si>
    <r>
      <rPr>
        <sz val="11"/>
        <color indexed="8"/>
        <rFont val="宋体"/>
        <family val="3"/>
        <charset val="134"/>
      </rPr>
      <t>珠江卵形白甲鱼</t>
    </r>
  </si>
  <si>
    <r>
      <rPr>
        <sz val="11"/>
        <color indexed="8"/>
        <rFont val="宋体"/>
        <family val="3"/>
        <charset val="134"/>
      </rPr>
      <t>稀有白甲鱼</t>
    </r>
  </si>
  <si>
    <r>
      <rPr>
        <sz val="11"/>
        <color indexed="8"/>
        <rFont val="宋体"/>
        <family val="3"/>
        <charset val="134"/>
      </rPr>
      <t>白甲鱼</t>
    </r>
  </si>
  <si>
    <r>
      <rPr>
        <sz val="11"/>
        <color indexed="8"/>
        <rFont val="宋体"/>
        <family val="3"/>
        <charset val="134"/>
      </rPr>
      <t>条纹鲮</t>
    </r>
  </si>
  <si>
    <r>
      <rPr>
        <sz val="11"/>
        <color indexed="8"/>
        <rFont val="宋体"/>
        <family val="3"/>
        <charset val="134"/>
      </rPr>
      <t>鲮</t>
    </r>
  </si>
  <si>
    <r>
      <rPr>
        <sz val="11"/>
        <color indexed="8"/>
        <rFont val="宋体"/>
        <family val="3"/>
        <charset val="134"/>
      </rPr>
      <t>巴马繐唇鲃</t>
    </r>
  </si>
  <si>
    <r>
      <rPr>
        <sz val="11"/>
        <color indexed="8"/>
        <rFont val="宋体"/>
        <family val="3"/>
        <charset val="134"/>
      </rPr>
      <t>彩花繐唇鲃</t>
    </r>
  </si>
  <si>
    <r>
      <rPr>
        <sz val="11"/>
        <color indexed="8"/>
        <rFont val="宋体"/>
        <family val="3"/>
        <charset val="134"/>
      </rPr>
      <t>网纹繐唇鲃</t>
    </r>
  </si>
  <si>
    <r>
      <rPr>
        <sz val="11"/>
        <color indexed="8"/>
        <rFont val="宋体"/>
        <family val="3"/>
        <charset val="134"/>
      </rPr>
      <t>张氏繐唇鲃</t>
    </r>
  </si>
  <si>
    <r>
      <rPr>
        <sz val="11"/>
        <color indexed="8"/>
        <rFont val="宋体"/>
        <family val="3"/>
        <charset val="134"/>
      </rPr>
      <t>双珠盘鮈</t>
    </r>
  </si>
  <si>
    <r>
      <rPr>
        <sz val="11"/>
        <color indexed="8"/>
        <rFont val="宋体"/>
        <family val="3"/>
        <charset val="134"/>
      </rPr>
      <t>短体盘鮈</t>
    </r>
  </si>
  <si>
    <r>
      <rPr>
        <sz val="11"/>
        <color indexed="8"/>
        <rFont val="宋体"/>
        <family val="3"/>
        <charset val="134"/>
      </rPr>
      <t>长体盘鮈</t>
    </r>
  </si>
  <si>
    <r>
      <rPr>
        <sz val="11"/>
        <color indexed="8"/>
        <rFont val="宋体"/>
        <family val="3"/>
        <charset val="134"/>
      </rPr>
      <t>宽头盘鮈</t>
    </r>
  </si>
  <si>
    <r>
      <rPr>
        <sz val="11"/>
        <color indexed="8"/>
        <rFont val="宋体"/>
        <family val="3"/>
        <charset val="134"/>
      </rPr>
      <t>长鳔盘鮈</t>
    </r>
  </si>
  <si>
    <r>
      <rPr>
        <sz val="11"/>
        <color indexed="8"/>
        <rFont val="宋体"/>
        <family val="3"/>
        <charset val="134"/>
      </rPr>
      <t>长须盘鮈</t>
    </r>
  </si>
  <si>
    <r>
      <rPr>
        <sz val="11"/>
        <color indexed="8"/>
        <rFont val="宋体"/>
        <family val="3"/>
        <charset val="134"/>
      </rPr>
      <t>四须盘鮈</t>
    </r>
  </si>
  <si>
    <r>
      <rPr>
        <sz val="11"/>
        <color indexed="8"/>
        <rFont val="宋体"/>
        <family val="3"/>
        <charset val="134"/>
      </rPr>
      <t>云南盘鮈</t>
    </r>
  </si>
  <si>
    <r>
      <rPr>
        <sz val="11"/>
        <color indexed="8"/>
        <rFont val="宋体"/>
        <family val="3"/>
        <charset val="134"/>
      </rPr>
      <t>伍氏盘鲮</t>
    </r>
  </si>
  <si>
    <r>
      <rPr>
        <sz val="11"/>
        <color indexed="8"/>
        <rFont val="宋体"/>
        <family val="3"/>
        <charset val="134"/>
      </rPr>
      <t>角鱼</t>
    </r>
  </si>
  <si>
    <r>
      <rPr>
        <sz val="11"/>
        <color indexed="8"/>
        <rFont val="宋体"/>
        <family val="3"/>
        <charset val="134"/>
      </rPr>
      <t>高体墨头鱼</t>
    </r>
  </si>
  <si>
    <r>
      <rPr>
        <sz val="11"/>
        <color indexed="8"/>
        <rFont val="宋体"/>
        <family val="3"/>
        <charset val="134"/>
      </rPr>
      <t>沟额墨头鱼</t>
    </r>
  </si>
  <si>
    <r>
      <rPr>
        <sz val="11"/>
        <color indexed="8"/>
        <rFont val="宋体"/>
        <family val="3"/>
        <charset val="134"/>
      </rPr>
      <t>西藏墨头鱼</t>
    </r>
  </si>
  <si>
    <r>
      <rPr>
        <sz val="11"/>
        <color indexed="8"/>
        <rFont val="宋体"/>
        <family val="3"/>
        <charset val="134"/>
      </rPr>
      <t>奇额墨头鱼</t>
    </r>
  </si>
  <si>
    <r>
      <rPr>
        <sz val="11"/>
        <color indexed="8"/>
        <rFont val="宋体"/>
        <family val="3"/>
        <charset val="134"/>
      </rPr>
      <t>东方墨头鱼</t>
    </r>
  </si>
  <si>
    <r>
      <rPr>
        <sz val="11"/>
        <color indexed="8"/>
        <rFont val="宋体"/>
        <family val="3"/>
        <charset val="134"/>
      </rPr>
      <t>墨头鱼</t>
    </r>
  </si>
  <si>
    <r>
      <rPr>
        <sz val="11"/>
        <color indexed="8"/>
        <rFont val="宋体"/>
        <family val="3"/>
        <charset val="134"/>
      </rPr>
      <t>海南墨头鱼</t>
    </r>
  </si>
  <si>
    <r>
      <rPr>
        <sz val="11"/>
        <color indexed="8"/>
        <rFont val="宋体"/>
        <family val="3"/>
        <charset val="134"/>
      </rPr>
      <t>墨头鱼指名亚种</t>
    </r>
  </si>
  <si>
    <r>
      <rPr>
        <sz val="11"/>
        <color indexed="8"/>
        <rFont val="宋体"/>
        <family val="3"/>
        <charset val="134"/>
      </rPr>
      <t>宜良墨头鱼</t>
    </r>
  </si>
  <si>
    <r>
      <rPr>
        <sz val="11"/>
        <color indexed="8"/>
        <rFont val="宋体"/>
        <family val="3"/>
        <charset val="134"/>
      </rPr>
      <t>桥街墨头鱼</t>
    </r>
  </si>
  <si>
    <r>
      <rPr>
        <sz val="11"/>
        <color indexed="8"/>
        <rFont val="宋体"/>
        <family val="3"/>
        <charset val="134"/>
      </rPr>
      <t>条纹墨头鱼</t>
    </r>
  </si>
  <si>
    <r>
      <rPr>
        <sz val="11"/>
        <color indexed="8"/>
        <rFont val="宋体"/>
        <family val="3"/>
        <charset val="134"/>
      </rPr>
      <t>单吻鱼</t>
    </r>
  </si>
  <si>
    <r>
      <rPr>
        <sz val="11"/>
        <color indexed="8"/>
        <rFont val="宋体"/>
        <family val="3"/>
        <charset val="134"/>
      </rPr>
      <t>云南野鲮</t>
    </r>
  </si>
  <si>
    <r>
      <rPr>
        <sz val="11"/>
        <color indexed="8"/>
        <rFont val="宋体"/>
        <family val="3"/>
        <charset val="134"/>
      </rPr>
      <t>长背鲃</t>
    </r>
  </si>
  <si>
    <r>
      <rPr>
        <sz val="11"/>
        <color indexed="8"/>
        <rFont val="宋体"/>
        <family val="3"/>
        <charset val="134"/>
      </rPr>
      <t>舌唇鱼</t>
    </r>
  </si>
  <si>
    <r>
      <rPr>
        <sz val="11"/>
        <color indexed="8"/>
        <rFont val="宋体"/>
        <family val="3"/>
        <charset val="134"/>
      </rPr>
      <t>湄公鱼</t>
    </r>
  </si>
  <si>
    <r>
      <rPr>
        <sz val="11"/>
        <color indexed="8"/>
        <rFont val="宋体"/>
        <family val="3"/>
        <charset val="134"/>
      </rPr>
      <t>宽湄公鱼</t>
    </r>
  </si>
  <si>
    <r>
      <rPr>
        <sz val="11"/>
        <color indexed="8"/>
        <rFont val="宋体"/>
        <family val="3"/>
        <charset val="134"/>
      </rPr>
      <t>纹唇鱼</t>
    </r>
  </si>
  <si>
    <r>
      <rPr>
        <sz val="11"/>
        <color indexed="8"/>
        <rFont val="宋体"/>
        <family val="3"/>
        <charset val="134"/>
      </rPr>
      <t>异华鲮</t>
    </r>
  </si>
  <si>
    <r>
      <rPr>
        <sz val="11"/>
        <color indexed="8"/>
        <rFont val="宋体"/>
        <family val="3"/>
        <charset val="134"/>
      </rPr>
      <t>纹尾盆唇鱼</t>
    </r>
  </si>
  <si>
    <r>
      <rPr>
        <sz val="11"/>
        <color indexed="8"/>
        <rFont val="宋体"/>
        <family val="3"/>
        <charset val="134"/>
      </rPr>
      <t>缺须盆唇鱼</t>
    </r>
  </si>
  <si>
    <r>
      <rPr>
        <sz val="11"/>
        <color indexed="8"/>
        <rFont val="宋体"/>
        <family val="3"/>
        <charset val="134"/>
      </rPr>
      <t>卷口鱼</t>
    </r>
  </si>
  <si>
    <r>
      <rPr>
        <sz val="11"/>
        <color indexed="8"/>
        <rFont val="宋体"/>
        <family val="3"/>
        <charset val="134"/>
      </rPr>
      <t>长须卷口鱼</t>
    </r>
  </si>
  <si>
    <r>
      <rPr>
        <sz val="11"/>
        <color indexed="8"/>
        <rFont val="宋体"/>
        <family val="3"/>
        <charset val="134"/>
      </rPr>
      <t>大眼卷口鱼</t>
    </r>
  </si>
  <si>
    <r>
      <rPr>
        <sz val="11"/>
        <color indexed="8"/>
        <rFont val="宋体"/>
        <family val="3"/>
        <charset val="134"/>
      </rPr>
      <t>泸溪直口鲮</t>
    </r>
  </si>
  <si>
    <r>
      <rPr>
        <sz val="11"/>
        <color indexed="8"/>
        <rFont val="宋体"/>
        <family val="3"/>
        <charset val="134"/>
      </rPr>
      <t>变形直口鲮</t>
    </r>
  </si>
  <si>
    <r>
      <rPr>
        <sz val="11"/>
        <color indexed="8"/>
        <rFont val="宋体"/>
        <family val="3"/>
        <charset val="134"/>
      </rPr>
      <t>直口鲮</t>
    </r>
  </si>
  <si>
    <r>
      <rPr>
        <sz val="11"/>
        <color indexed="8"/>
        <rFont val="宋体"/>
        <family val="3"/>
        <charset val="134"/>
      </rPr>
      <t>唇鲮</t>
    </r>
  </si>
  <si>
    <r>
      <rPr>
        <sz val="11"/>
        <color indexed="8"/>
        <rFont val="宋体"/>
        <family val="3"/>
        <charset val="134"/>
      </rPr>
      <t>暗色唇鲮</t>
    </r>
  </si>
  <si>
    <r>
      <rPr>
        <sz val="11"/>
        <color indexed="8"/>
        <rFont val="宋体"/>
        <family val="3"/>
        <charset val="134"/>
      </rPr>
      <t>泉水鱼</t>
    </r>
  </si>
  <si>
    <r>
      <rPr>
        <sz val="11"/>
        <color indexed="8"/>
        <rFont val="宋体"/>
        <family val="3"/>
        <charset val="134"/>
      </rPr>
      <t>似鲮华鲮</t>
    </r>
  </si>
  <si>
    <r>
      <rPr>
        <sz val="11"/>
        <color indexed="8"/>
        <rFont val="宋体"/>
        <family val="3"/>
        <charset val="134"/>
      </rPr>
      <t>桂华鲮</t>
    </r>
  </si>
  <si>
    <r>
      <rPr>
        <sz val="11"/>
        <color indexed="8"/>
        <rFont val="宋体"/>
        <family val="3"/>
        <charset val="134"/>
      </rPr>
      <t>桂华鲮指名亚种</t>
    </r>
  </si>
  <si>
    <r>
      <rPr>
        <sz val="11"/>
        <color indexed="8"/>
        <rFont val="宋体"/>
        <family val="3"/>
        <charset val="134"/>
      </rPr>
      <t>元江桂华鲮</t>
    </r>
  </si>
  <si>
    <r>
      <rPr>
        <sz val="11"/>
        <color indexed="8"/>
        <rFont val="宋体"/>
        <family val="3"/>
        <charset val="134"/>
      </rPr>
      <t>墨脱华鲮</t>
    </r>
  </si>
  <si>
    <r>
      <rPr>
        <sz val="11"/>
        <color indexed="8"/>
        <rFont val="宋体"/>
        <family val="3"/>
        <charset val="134"/>
      </rPr>
      <t>盆唇华鲮</t>
    </r>
  </si>
  <si>
    <r>
      <rPr>
        <sz val="11"/>
        <color indexed="8"/>
        <rFont val="宋体"/>
        <family val="3"/>
        <charset val="134"/>
      </rPr>
      <t>盆唇华鲮指名亚种</t>
    </r>
  </si>
  <si>
    <r>
      <rPr>
        <sz val="11"/>
        <color indexed="8"/>
        <rFont val="宋体"/>
        <family val="3"/>
        <charset val="134"/>
      </rPr>
      <t>伍氏盆唇华鲮</t>
    </r>
  </si>
  <si>
    <r>
      <rPr>
        <sz val="11"/>
        <color indexed="8"/>
        <rFont val="宋体"/>
        <family val="3"/>
        <charset val="134"/>
      </rPr>
      <t>宽头华鲮</t>
    </r>
  </si>
  <si>
    <r>
      <rPr>
        <sz val="11"/>
        <color indexed="8"/>
        <rFont val="宋体"/>
        <family val="3"/>
        <charset val="134"/>
      </rPr>
      <t>滇华鲮</t>
    </r>
  </si>
  <si>
    <r>
      <rPr>
        <sz val="11"/>
        <color indexed="8"/>
        <rFont val="宋体"/>
        <family val="3"/>
        <charset val="134"/>
      </rPr>
      <t>长须华鲮</t>
    </r>
  </si>
  <si>
    <r>
      <rPr>
        <sz val="11"/>
        <color indexed="8"/>
        <rFont val="宋体"/>
        <family val="3"/>
        <charset val="134"/>
      </rPr>
      <t>华鲮</t>
    </r>
  </si>
  <si>
    <r>
      <rPr>
        <sz val="11"/>
        <color indexed="8"/>
        <rFont val="宋体"/>
        <family val="3"/>
        <charset val="134"/>
      </rPr>
      <t>河口华鲮</t>
    </r>
  </si>
  <si>
    <r>
      <rPr>
        <sz val="11"/>
        <color indexed="8"/>
        <rFont val="宋体"/>
        <family val="3"/>
        <charset val="134"/>
      </rPr>
      <t>湘华鲮</t>
    </r>
  </si>
  <si>
    <r>
      <rPr>
        <sz val="11"/>
        <color indexed="8"/>
        <rFont val="宋体"/>
        <family val="3"/>
        <charset val="134"/>
      </rPr>
      <t>云南华鲮</t>
    </r>
  </si>
  <si>
    <r>
      <rPr>
        <sz val="11"/>
        <color indexed="8"/>
        <rFont val="宋体"/>
        <family val="3"/>
        <charset val="134"/>
      </rPr>
      <t>朱氏华鲮</t>
    </r>
  </si>
  <si>
    <r>
      <rPr>
        <sz val="11"/>
        <color indexed="8"/>
        <rFont val="宋体"/>
        <family val="3"/>
        <charset val="134"/>
      </rPr>
      <t>华缨鱼</t>
    </r>
  </si>
  <si>
    <r>
      <rPr>
        <sz val="11"/>
        <color indexed="8"/>
        <rFont val="宋体"/>
        <family val="3"/>
        <charset val="134"/>
      </rPr>
      <t>三齿华缨鱼</t>
    </r>
  </si>
  <si>
    <r>
      <rPr>
        <sz val="11"/>
        <color indexed="8"/>
        <rFont val="宋体"/>
        <family val="3"/>
        <charset val="134"/>
      </rPr>
      <t>钝吻棒花鱼</t>
    </r>
  </si>
  <si>
    <r>
      <rPr>
        <sz val="11"/>
        <color indexed="8"/>
        <rFont val="宋体"/>
        <family val="3"/>
        <charset val="134"/>
      </rPr>
      <t>棒花鱼</t>
    </r>
  </si>
  <si>
    <r>
      <rPr>
        <sz val="11"/>
        <color indexed="8"/>
        <rFont val="宋体"/>
        <family val="3"/>
        <charset val="134"/>
      </rPr>
      <t>辽宁棒花鱼</t>
    </r>
  </si>
  <si>
    <r>
      <rPr>
        <sz val="11"/>
        <color indexed="8"/>
        <rFont val="宋体"/>
        <family val="3"/>
        <charset val="134"/>
      </rPr>
      <t>刺鮈</t>
    </r>
  </si>
  <si>
    <r>
      <rPr>
        <sz val="11"/>
        <color indexed="8"/>
        <rFont val="宋体"/>
        <family val="3"/>
        <charset val="134"/>
      </rPr>
      <t>似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</si>
  <si>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彭县似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</si>
  <si>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圆口铜鱼</t>
    </r>
  </si>
  <si>
    <r>
      <rPr>
        <sz val="11"/>
        <color indexed="8"/>
        <rFont val="宋体"/>
        <family val="3"/>
        <charset val="134"/>
      </rPr>
      <t>铜鱼</t>
    </r>
  </si>
  <si>
    <r>
      <rPr>
        <sz val="11"/>
        <color indexed="8"/>
        <rFont val="宋体"/>
        <family val="3"/>
        <charset val="134"/>
      </rPr>
      <t>北方铜鱼</t>
    </r>
  </si>
  <si>
    <r>
      <rPr>
        <sz val="11"/>
        <color indexed="8"/>
        <rFont val="宋体"/>
        <family val="3"/>
        <charset val="134"/>
      </rPr>
      <t>嘉陵颌须鮈</t>
    </r>
  </si>
  <si>
    <r>
      <rPr>
        <sz val="11"/>
        <color indexed="8"/>
        <rFont val="宋体"/>
        <family val="3"/>
        <charset val="134"/>
      </rPr>
      <t>短须颌须鮈</t>
    </r>
  </si>
  <si>
    <r>
      <rPr>
        <sz val="11"/>
        <color indexed="8"/>
        <rFont val="宋体"/>
        <family val="3"/>
        <charset val="134"/>
      </rPr>
      <t>东北颌须鮈</t>
    </r>
  </si>
  <si>
    <r>
      <rPr>
        <sz val="11"/>
        <color indexed="8"/>
        <rFont val="宋体"/>
        <family val="3"/>
        <charset val="134"/>
      </rPr>
      <t>隐须颌须鮈</t>
    </r>
  </si>
  <si>
    <r>
      <rPr>
        <sz val="11"/>
        <color indexed="8"/>
        <rFont val="宋体"/>
        <family val="3"/>
        <charset val="134"/>
      </rPr>
      <t>多纹颌须鮈</t>
    </r>
  </si>
  <si>
    <r>
      <rPr>
        <sz val="11"/>
        <color indexed="8"/>
        <rFont val="宋体"/>
        <family val="3"/>
        <charset val="134"/>
      </rPr>
      <t>细纹颌须鮈</t>
    </r>
  </si>
  <si>
    <r>
      <rPr>
        <sz val="11"/>
        <color indexed="8"/>
        <rFont val="宋体"/>
        <family val="3"/>
        <charset val="134"/>
      </rPr>
      <t>济南颌须鮈</t>
    </r>
  </si>
  <si>
    <r>
      <rPr>
        <sz val="11"/>
        <color indexed="8"/>
        <rFont val="宋体"/>
        <family val="3"/>
        <charset val="134"/>
      </rPr>
      <t>似铜鮈</t>
    </r>
  </si>
  <si>
    <r>
      <rPr>
        <sz val="11"/>
        <color indexed="8"/>
        <rFont val="宋体"/>
        <family val="3"/>
        <charset val="134"/>
      </rPr>
      <t>尖鳍鮈</t>
    </r>
  </si>
  <si>
    <r>
      <rPr>
        <sz val="11"/>
        <color indexed="8"/>
        <rFont val="宋体"/>
        <family val="3"/>
        <charset val="134"/>
      </rPr>
      <t>犬首鮈</t>
    </r>
  </si>
  <si>
    <r>
      <rPr>
        <sz val="11"/>
        <color indexed="8"/>
        <rFont val="宋体"/>
        <family val="3"/>
        <charset val="134"/>
      </rPr>
      <t>大头鮈</t>
    </r>
  </si>
  <si>
    <r>
      <rPr>
        <sz val="11"/>
        <color indexed="8"/>
        <rFont val="宋体"/>
        <family val="3"/>
        <charset val="134"/>
      </rPr>
      <t>棒花鮈</t>
    </r>
  </si>
  <si>
    <r>
      <rPr>
        <sz val="11"/>
        <color indexed="8"/>
        <rFont val="宋体"/>
        <family val="3"/>
        <charset val="134"/>
      </rPr>
      <t>黄河鮈</t>
    </r>
  </si>
  <si>
    <r>
      <rPr>
        <sz val="11"/>
        <color indexed="8"/>
        <rFont val="宋体"/>
        <family val="3"/>
        <charset val="134"/>
      </rPr>
      <t>凌源鮈</t>
    </r>
  </si>
  <si>
    <r>
      <rPr>
        <sz val="11"/>
        <color indexed="8"/>
        <rFont val="宋体"/>
        <family val="3"/>
        <charset val="134"/>
      </rPr>
      <t>南方鮈</t>
    </r>
  </si>
  <si>
    <r>
      <rPr>
        <sz val="11"/>
        <color indexed="8"/>
        <rFont val="宋体"/>
        <family val="3"/>
        <charset val="134"/>
      </rPr>
      <t>高体鮈</t>
    </r>
  </si>
  <si>
    <r>
      <rPr>
        <sz val="11"/>
        <color indexed="8"/>
        <rFont val="宋体"/>
        <family val="3"/>
        <charset val="134"/>
      </rPr>
      <t>细体鮈</t>
    </r>
  </si>
  <si>
    <r>
      <rPr>
        <sz val="11"/>
        <color indexed="8"/>
        <rFont val="宋体"/>
        <family val="3"/>
        <charset val="134"/>
      </rPr>
      <t>唇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</si>
  <si>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</si>
  <si>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大刺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</si>
  <si>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花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</si>
  <si>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间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</si>
  <si>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短鳍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</si>
  <si>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钱江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</si>
  <si>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花棘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鱼骨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</si>
  <si>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胡鮈</t>
    </r>
  </si>
  <si>
    <r>
      <rPr>
        <sz val="11"/>
        <color indexed="8"/>
        <rFont val="宋体"/>
        <family val="3"/>
        <charset val="134"/>
      </rPr>
      <t>清徐胡鮈</t>
    </r>
  </si>
  <si>
    <r>
      <rPr>
        <sz val="11"/>
        <color indexed="8"/>
        <rFont val="宋体"/>
        <family val="3"/>
        <charset val="134"/>
      </rPr>
      <t>平口鮈</t>
    </r>
  </si>
  <si>
    <r>
      <rPr>
        <sz val="11"/>
        <color indexed="8"/>
        <rFont val="宋体"/>
        <family val="3"/>
        <charset val="134"/>
      </rPr>
      <t>中鮈</t>
    </r>
  </si>
  <si>
    <r>
      <rPr>
        <sz val="11"/>
        <color indexed="8"/>
        <rFont val="宋体"/>
        <family val="3"/>
        <charset val="134"/>
      </rPr>
      <t>图们江中鮈</t>
    </r>
  </si>
  <si>
    <r>
      <rPr>
        <sz val="11"/>
        <color indexed="8"/>
        <rFont val="宋体"/>
        <family val="3"/>
        <charset val="134"/>
      </rPr>
      <t>短吻小鳔鮈</t>
    </r>
  </si>
  <si>
    <r>
      <rPr>
        <sz val="11"/>
        <color indexed="8"/>
        <rFont val="宋体"/>
        <family val="3"/>
        <charset val="134"/>
      </rPr>
      <t>长体小鳔鮈</t>
    </r>
  </si>
  <si>
    <r>
      <rPr>
        <sz val="11"/>
        <color indexed="8"/>
        <rFont val="宋体"/>
        <family val="3"/>
        <charset val="134"/>
      </rPr>
      <t>福建小鳔鮈</t>
    </r>
  </si>
  <si>
    <r>
      <rPr>
        <sz val="11"/>
        <color indexed="8"/>
        <rFont val="宋体"/>
        <family val="3"/>
        <charset val="134"/>
      </rPr>
      <t>小口小鳔鮈</t>
    </r>
  </si>
  <si>
    <r>
      <rPr>
        <sz val="11"/>
        <color indexed="8"/>
        <rFont val="宋体"/>
        <family val="3"/>
        <charset val="134"/>
      </rPr>
      <t>嘉积小鳔鮈</t>
    </r>
  </si>
  <si>
    <r>
      <rPr>
        <sz val="11"/>
        <color indexed="8"/>
        <rFont val="宋体"/>
        <family val="3"/>
        <charset val="134"/>
      </rPr>
      <t>乐山小鳔鮈</t>
    </r>
  </si>
  <si>
    <r>
      <rPr>
        <sz val="11"/>
        <color indexed="8"/>
        <rFont val="宋体"/>
        <family val="3"/>
        <charset val="134"/>
      </rPr>
      <t>似鲮小鳔鮈</t>
    </r>
  </si>
  <si>
    <r>
      <rPr>
        <sz val="11"/>
        <color indexed="8"/>
        <rFont val="宋体"/>
        <family val="3"/>
        <charset val="134"/>
      </rPr>
      <t>凌河小鳔鮈</t>
    </r>
  </si>
  <si>
    <r>
      <rPr>
        <sz val="11"/>
        <color indexed="8"/>
        <rFont val="宋体"/>
        <family val="3"/>
        <charset val="134"/>
      </rPr>
      <t>建德小鳔鮈</t>
    </r>
  </si>
  <si>
    <r>
      <rPr>
        <sz val="11"/>
        <color indexed="8"/>
        <rFont val="宋体"/>
        <family val="3"/>
        <charset val="134"/>
      </rPr>
      <t>洞庭小鳔鮈</t>
    </r>
  </si>
  <si>
    <r>
      <rPr>
        <sz val="11"/>
        <color indexed="8"/>
        <rFont val="宋体"/>
        <family val="3"/>
        <charset val="134"/>
      </rPr>
      <t>云南小鳔鮈</t>
    </r>
  </si>
  <si>
    <r>
      <rPr>
        <sz val="11"/>
        <color indexed="8"/>
        <rFont val="宋体"/>
        <family val="3"/>
        <charset val="134"/>
      </rPr>
      <t>似刺鳊鮈</t>
    </r>
  </si>
  <si>
    <r>
      <rPr>
        <sz val="11"/>
        <color indexed="8"/>
        <rFont val="宋体"/>
        <family val="3"/>
        <charset val="134"/>
      </rPr>
      <t>花棘似刺鳊鮈</t>
    </r>
  </si>
  <si>
    <r>
      <rPr>
        <sz val="11"/>
        <color indexed="8"/>
        <rFont val="宋体"/>
        <family val="3"/>
        <charset val="134"/>
      </rPr>
      <t>似白鮈</t>
    </r>
  </si>
  <si>
    <r>
      <rPr>
        <sz val="11"/>
        <color indexed="8"/>
        <rFont val="宋体"/>
        <family val="3"/>
        <charset val="134"/>
      </rPr>
      <t>条纹似白鮈</t>
    </r>
  </si>
  <si>
    <r>
      <rPr>
        <sz val="11"/>
        <color indexed="8"/>
        <rFont val="宋体"/>
        <family val="3"/>
        <charset val="134"/>
      </rPr>
      <t>片唇鮈</t>
    </r>
  </si>
  <si>
    <r>
      <rPr>
        <sz val="11"/>
        <color indexed="8"/>
        <rFont val="宋体"/>
        <family val="3"/>
        <charset val="134"/>
      </rPr>
      <t>长须片唇鮈</t>
    </r>
  </si>
  <si>
    <r>
      <rPr>
        <sz val="11"/>
        <color indexed="8"/>
        <rFont val="宋体"/>
        <family val="3"/>
        <charset val="134"/>
      </rPr>
      <t>裸腹片唇鮈</t>
    </r>
  </si>
  <si>
    <r>
      <rPr>
        <sz val="11"/>
        <color indexed="8"/>
        <rFont val="宋体"/>
        <family val="3"/>
        <charset val="134"/>
      </rPr>
      <t>似鮈</t>
    </r>
  </si>
  <si>
    <r>
      <rPr>
        <sz val="11"/>
        <color indexed="8"/>
        <rFont val="宋体"/>
        <family val="3"/>
        <charset val="134"/>
      </rPr>
      <t>桂林似鮈</t>
    </r>
  </si>
  <si>
    <r>
      <rPr>
        <sz val="11"/>
        <color indexed="8"/>
        <rFont val="宋体"/>
        <family val="3"/>
        <charset val="134"/>
      </rPr>
      <t>长麦穗鱼</t>
    </r>
  </si>
  <si>
    <r>
      <rPr>
        <sz val="11"/>
        <color indexed="8"/>
        <rFont val="宋体"/>
        <family val="3"/>
        <charset val="134"/>
      </rPr>
      <t>麦穗鱼</t>
    </r>
  </si>
  <si>
    <r>
      <rPr>
        <sz val="11"/>
        <color indexed="8"/>
        <rFont val="宋体"/>
        <family val="3"/>
        <charset val="134"/>
      </rPr>
      <t>扁吻鮈</t>
    </r>
  </si>
  <si>
    <r>
      <rPr>
        <sz val="11"/>
        <color indexed="8"/>
        <rFont val="宋体"/>
        <family val="3"/>
        <charset val="134"/>
      </rPr>
      <t>圆筒吻鮈</t>
    </r>
  </si>
  <si>
    <r>
      <rPr>
        <sz val="11"/>
        <color indexed="8"/>
        <rFont val="宋体"/>
        <family val="3"/>
        <charset val="134"/>
      </rPr>
      <t>湖南吻鮈</t>
    </r>
  </si>
  <si>
    <r>
      <rPr>
        <sz val="11"/>
        <color indexed="8"/>
        <rFont val="宋体"/>
        <family val="3"/>
        <charset val="134"/>
      </rPr>
      <t>大鼻吻鮈</t>
    </r>
  </si>
  <si>
    <r>
      <rPr>
        <sz val="11"/>
        <color indexed="8"/>
        <rFont val="宋体"/>
        <family val="3"/>
        <charset val="134"/>
      </rPr>
      <t>吻鮈</t>
    </r>
  </si>
  <si>
    <r>
      <rPr>
        <sz val="11"/>
        <color indexed="8"/>
        <rFont val="宋体"/>
        <family val="3"/>
        <charset val="134"/>
      </rPr>
      <t>长鳍吻鮈</t>
    </r>
  </si>
  <si>
    <r>
      <rPr>
        <sz val="11"/>
        <color indexed="8"/>
        <rFont val="宋体"/>
        <family val="3"/>
        <charset val="134"/>
      </rPr>
      <t>突吻鮈</t>
    </r>
  </si>
  <si>
    <r>
      <rPr>
        <sz val="11"/>
        <color indexed="8"/>
        <rFont val="宋体"/>
        <family val="3"/>
        <charset val="134"/>
      </rPr>
      <t>辽河突吻鮈</t>
    </r>
  </si>
  <si>
    <r>
      <rPr>
        <sz val="11"/>
        <color indexed="8"/>
        <rFont val="宋体"/>
        <family val="3"/>
        <charset val="134"/>
      </rPr>
      <t>川西鳈</t>
    </r>
  </si>
  <si>
    <r>
      <rPr>
        <sz val="11"/>
        <color indexed="8"/>
        <rFont val="宋体"/>
        <family val="3"/>
        <charset val="134"/>
      </rPr>
      <t>江西鳈</t>
    </r>
  </si>
  <si>
    <r>
      <rPr>
        <sz val="11"/>
        <color indexed="8"/>
        <rFont val="宋体"/>
        <family val="3"/>
        <charset val="134"/>
      </rPr>
      <t>东北鳈</t>
    </r>
  </si>
  <si>
    <r>
      <rPr>
        <sz val="11"/>
        <color indexed="8"/>
        <rFont val="宋体"/>
        <family val="3"/>
        <charset val="134"/>
      </rPr>
      <t>黑鳍鳈</t>
    </r>
  </si>
  <si>
    <r>
      <rPr>
        <sz val="11"/>
        <color indexed="8"/>
        <rFont val="宋体"/>
        <family val="3"/>
        <charset val="134"/>
      </rPr>
      <t>克氏黑鳍鳈</t>
    </r>
  </si>
  <si>
    <r>
      <rPr>
        <sz val="11"/>
        <color indexed="8"/>
        <rFont val="宋体"/>
        <family val="3"/>
        <charset val="134"/>
      </rPr>
      <t>小鳈</t>
    </r>
  </si>
  <si>
    <r>
      <rPr>
        <sz val="11"/>
        <color indexed="8"/>
        <rFont val="宋体"/>
        <family val="3"/>
        <charset val="134"/>
      </rPr>
      <t>华鳈</t>
    </r>
  </si>
  <si>
    <r>
      <rPr>
        <sz val="11"/>
        <color indexed="8"/>
        <rFont val="宋体"/>
        <family val="3"/>
        <charset val="134"/>
      </rPr>
      <t>福建华鳈</t>
    </r>
  </si>
  <si>
    <r>
      <rPr>
        <sz val="11"/>
        <color indexed="8"/>
        <rFont val="宋体"/>
        <family val="3"/>
        <charset val="134"/>
      </rPr>
      <t>华鳈指名亚种</t>
    </r>
  </si>
  <si>
    <r>
      <rPr>
        <sz val="11"/>
        <color indexed="8"/>
        <rFont val="宋体"/>
        <family val="3"/>
        <charset val="134"/>
      </rPr>
      <t>蛇鮈</t>
    </r>
  </si>
  <si>
    <r>
      <rPr>
        <sz val="11"/>
        <color indexed="8"/>
        <rFont val="宋体"/>
        <family val="3"/>
        <charset val="134"/>
      </rPr>
      <t>长蛇鮈</t>
    </r>
  </si>
  <si>
    <r>
      <rPr>
        <sz val="11"/>
        <color indexed="8"/>
        <rFont val="宋体"/>
        <family val="3"/>
        <charset val="134"/>
      </rPr>
      <t>细尾蛇鮈</t>
    </r>
  </si>
  <si>
    <r>
      <rPr>
        <sz val="11"/>
        <color indexed="8"/>
        <rFont val="宋体"/>
        <family val="3"/>
        <charset val="134"/>
      </rPr>
      <t>光唇蛇鮈</t>
    </r>
  </si>
  <si>
    <r>
      <rPr>
        <sz val="11"/>
        <color indexed="8"/>
        <rFont val="宋体"/>
        <family val="3"/>
        <charset val="134"/>
      </rPr>
      <t>无斑蛇鮈</t>
    </r>
  </si>
  <si>
    <r>
      <rPr>
        <sz val="11"/>
        <color indexed="8"/>
        <rFont val="宋体"/>
        <family val="3"/>
        <charset val="134"/>
      </rPr>
      <t>湘江蛇鮈</t>
    </r>
  </si>
  <si>
    <r>
      <rPr>
        <sz val="11"/>
        <color indexed="8"/>
        <rFont val="宋体"/>
        <family val="3"/>
        <charset val="134"/>
      </rPr>
      <t>银鮈</t>
    </r>
  </si>
  <si>
    <r>
      <rPr>
        <sz val="11"/>
        <color indexed="8"/>
        <rFont val="宋体"/>
        <family val="3"/>
        <charset val="134"/>
      </rPr>
      <t>暗斑银鮈</t>
    </r>
  </si>
  <si>
    <r>
      <rPr>
        <sz val="11"/>
        <color indexed="8"/>
        <rFont val="宋体"/>
        <family val="3"/>
        <charset val="134"/>
      </rPr>
      <t>兴凯银鮈</t>
    </r>
  </si>
  <si>
    <r>
      <rPr>
        <sz val="11"/>
        <color indexed="8"/>
        <rFont val="宋体"/>
        <family val="3"/>
        <charset val="134"/>
      </rPr>
      <t>台湾银鮈</t>
    </r>
  </si>
  <si>
    <r>
      <rPr>
        <sz val="11"/>
        <color indexed="8"/>
        <rFont val="宋体"/>
        <family val="3"/>
        <charset val="134"/>
      </rPr>
      <t>中间银鮈</t>
    </r>
  </si>
  <si>
    <r>
      <rPr>
        <sz val="11"/>
        <color indexed="8"/>
        <rFont val="宋体"/>
        <family val="3"/>
        <charset val="134"/>
      </rPr>
      <t>亮银鮈</t>
    </r>
  </si>
  <si>
    <r>
      <rPr>
        <sz val="11"/>
        <color indexed="8"/>
        <rFont val="宋体"/>
        <family val="3"/>
        <charset val="134"/>
      </rPr>
      <t>小银鮈</t>
    </r>
  </si>
  <si>
    <r>
      <rPr>
        <sz val="11"/>
        <color indexed="8"/>
        <rFont val="宋体"/>
        <family val="3"/>
        <charset val="134"/>
      </rPr>
      <t>华坪点纹银鮈</t>
    </r>
  </si>
  <si>
    <r>
      <rPr>
        <sz val="11"/>
        <color indexed="8"/>
        <rFont val="宋体"/>
        <family val="3"/>
        <charset val="134"/>
      </rPr>
      <t>扁吻鱼</t>
    </r>
  </si>
  <si>
    <r>
      <rPr>
        <sz val="11"/>
        <color indexed="8"/>
        <rFont val="宋体"/>
        <family val="3"/>
        <charset val="134"/>
      </rPr>
      <t>骨唇黄河鱼</t>
    </r>
  </si>
  <si>
    <r>
      <rPr>
        <sz val="11"/>
        <color indexed="8"/>
        <rFont val="宋体"/>
        <family val="3"/>
        <charset val="134"/>
      </rPr>
      <t>斑重唇鱼</t>
    </r>
  </si>
  <si>
    <r>
      <rPr>
        <sz val="11"/>
        <color indexed="8"/>
        <rFont val="宋体"/>
        <family val="3"/>
        <charset val="134"/>
      </rPr>
      <t>祁连裸鲤</t>
    </r>
  </si>
  <si>
    <r>
      <rPr>
        <sz val="11"/>
        <color indexed="8"/>
        <rFont val="宋体"/>
        <family val="3"/>
        <charset val="134"/>
      </rPr>
      <t>兰格湖裸鲤</t>
    </r>
  </si>
  <si>
    <r>
      <rPr>
        <sz val="11"/>
        <color indexed="8"/>
        <rFont val="宋体"/>
        <family val="3"/>
        <charset val="134"/>
      </rPr>
      <t>软刺裸鲤</t>
    </r>
  </si>
  <si>
    <r>
      <rPr>
        <sz val="11"/>
        <color indexed="8"/>
        <rFont val="宋体"/>
        <family val="3"/>
        <charset val="134"/>
      </rPr>
      <t>花斑裸鲤</t>
    </r>
  </si>
  <si>
    <r>
      <rPr>
        <sz val="11"/>
        <color indexed="8"/>
        <rFont val="宋体"/>
        <family val="3"/>
        <charset val="134"/>
      </rPr>
      <t>花斑裸鲤河西亚种</t>
    </r>
  </si>
  <si>
    <r>
      <rPr>
        <sz val="11"/>
        <color indexed="8"/>
        <rFont val="宋体"/>
        <family val="3"/>
        <charset val="134"/>
      </rPr>
      <t>花斑裸鲤指名亚种</t>
    </r>
  </si>
  <si>
    <r>
      <rPr>
        <sz val="11"/>
        <color indexed="8"/>
        <rFont val="宋体"/>
        <family val="3"/>
        <charset val="134"/>
      </rPr>
      <t>花斑裸鲤斜口亚种</t>
    </r>
  </si>
  <si>
    <r>
      <rPr>
        <sz val="11"/>
        <color indexed="8"/>
        <rFont val="宋体"/>
        <family val="3"/>
        <charset val="134"/>
      </rPr>
      <t>硬刺裸鲤</t>
    </r>
  </si>
  <si>
    <r>
      <rPr>
        <sz val="11"/>
        <color indexed="8"/>
        <rFont val="宋体"/>
        <family val="3"/>
        <charset val="134"/>
      </rPr>
      <t>松潘裸鲤</t>
    </r>
  </si>
  <si>
    <r>
      <rPr>
        <sz val="11"/>
        <color indexed="8"/>
        <rFont val="宋体"/>
        <family val="3"/>
        <charset val="134"/>
      </rPr>
      <t>青海湖裸鲤</t>
    </r>
  </si>
  <si>
    <r>
      <rPr>
        <sz val="11"/>
        <color indexed="8"/>
        <rFont val="宋体"/>
        <family val="3"/>
        <charset val="134"/>
      </rPr>
      <t>青海湖裸鲤甘子河亚种</t>
    </r>
  </si>
  <si>
    <r>
      <rPr>
        <sz val="11"/>
        <color indexed="8"/>
        <rFont val="宋体"/>
        <family val="3"/>
        <charset val="134"/>
      </rPr>
      <t>青海湖裸鲤指名亚种</t>
    </r>
  </si>
  <si>
    <r>
      <rPr>
        <sz val="11"/>
        <color indexed="8"/>
        <rFont val="宋体"/>
        <family val="3"/>
        <charset val="134"/>
      </rPr>
      <t>斜口裸鲤</t>
    </r>
  </si>
  <si>
    <r>
      <rPr>
        <sz val="11"/>
        <color indexed="8"/>
        <rFont val="宋体"/>
        <family val="3"/>
        <charset val="134"/>
      </rPr>
      <t>高原裸鲤</t>
    </r>
  </si>
  <si>
    <r>
      <rPr>
        <sz val="11"/>
        <color indexed="8"/>
        <rFont val="宋体"/>
        <family val="3"/>
        <charset val="134"/>
      </rPr>
      <t>新疆裸重唇鱼</t>
    </r>
  </si>
  <si>
    <r>
      <rPr>
        <sz val="11"/>
        <color indexed="8"/>
        <rFont val="宋体"/>
        <family val="3"/>
        <charset val="134"/>
      </rPr>
      <t>全裸裸重唇鱼</t>
    </r>
  </si>
  <si>
    <r>
      <rPr>
        <sz val="11"/>
        <color indexed="8"/>
        <rFont val="宋体"/>
        <family val="3"/>
        <charset val="134"/>
      </rPr>
      <t>厚唇裸重唇鱼</t>
    </r>
  </si>
  <si>
    <r>
      <rPr>
        <sz val="11"/>
        <color indexed="8"/>
        <rFont val="宋体"/>
        <family val="3"/>
        <charset val="134"/>
      </rPr>
      <t>尖裸鲤</t>
    </r>
  </si>
  <si>
    <r>
      <rPr>
        <sz val="11"/>
        <color indexed="8"/>
        <rFont val="宋体"/>
        <family val="3"/>
        <charset val="134"/>
      </rPr>
      <t>扁咽齿鱼</t>
    </r>
  </si>
  <si>
    <r>
      <rPr>
        <sz val="11"/>
        <color indexed="8"/>
        <rFont val="宋体"/>
        <family val="3"/>
        <charset val="134"/>
      </rPr>
      <t>中甸叶须鱼</t>
    </r>
  </si>
  <si>
    <r>
      <rPr>
        <sz val="11"/>
        <color indexed="8"/>
        <rFont val="宋体"/>
        <family val="3"/>
        <charset val="134"/>
      </rPr>
      <t>中甸叶须鱼格咱亚种</t>
    </r>
  </si>
  <si>
    <r>
      <rPr>
        <sz val="11"/>
        <color indexed="8"/>
        <rFont val="宋体"/>
        <family val="3"/>
        <charset val="134"/>
      </rPr>
      <t>锥吻叶须鱼</t>
    </r>
  </si>
  <si>
    <r>
      <rPr>
        <sz val="11"/>
        <color indexed="8"/>
        <rFont val="宋体"/>
        <family val="3"/>
        <charset val="134"/>
      </rPr>
      <t>双须叶须鱼</t>
    </r>
  </si>
  <si>
    <r>
      <rPr>
        <sz val="11"/>
        <color indexed="8"/>
        <rFont val="宋体"/>
        <family val="3"/>
        <charset val="134"/>
      </rPr>
      <t>裸腹叶须鱼</t>
    </r>
  </si>
  <si>
    <r>
      <rPr>
        <sz val="11"/>
        <color indexed="8"/>
        <rFont val="宋体"/>
        <family val="3"/>
        <charset val="134"/>
      </rPr>
      <t>银色弓鱼</t>
    </r>
  </si>
  <si>
    <r>
      <rPr>
        <sz val="11"/>
        <color indexed="8"/>
        <rFont val="宋体"/>
        <family val="3"/>
        <charset val="134"/>
      </rPr>
      <t>塔里木弓鱼</t>
    </r>
  </si>
  <si>
    <r>
      <rPr>
        <sz val="11"/>
        <color indexed="8"/>
        <rFont val="宋体"/>
        <family val="3"/>
        <charset val="134"/>
      </rPr>
      <t>细鳞弓鱼</t>
    </r>
  </si>
  <si>
    <r>
      <rPr>
        <sz val="11"/>
        <color indexed="8"/>
        <rFont val="宋体"/>
        <family val="3"/>
        <charset val="134"/>
      </rPr>
      <t>弧唇弓鱼</t>
    </r>
  </si>
  <si>
    <r>
      <rPr>
        <sz val="11"/>
        <color indexed="8"/>
        <rFont val="宋体"/>
        <family val="3"/>
        <charset val="134"/>
      </rPr>
      <t>重口弓鱼</t>
    </r>
  </si>
  <si>
    <r>
      <rPr>
        <sz val="11"/>
        <color indexed="8"/>
        <rFont val="宋体"/>
        <family val="3"/>
        <charset val="134"/>
      </rPr>
      <t>长丝弓鱼</t>
    </r>
  </si>
  <si>
    <r>
      <rPr>
        <sz val="11"/>
        <color indexed="8"/>
        <rFont val="宋体"/>
        <family val="3"/>
        <charset val="134"/>
      </rPr>
      <t>扁嘴弓鱼</t>
    </r>
  </si>
  <si>
    <r>
      <rPr>
        <sz val="11"/>
        <color indexed="8"/>
        <rFont val="宋体"/>
        <family val="3"/>
        <charset val="134"/>
      </rPr>
      <t>宽口弓鱼</t>
    </r>
  </si>
  <si>
    <r>
      <rPr>
        <sz val="11"/>
        <color indexed="8"/>
        <rFont val="宋体"/>
        <family val="3"/>
        <charset val="134"/>
      </rPr>
      <t>贡山弓鱼</t>
    </r>
  </si>
  <si>
    <r>
      <rPr>
        <sz val="11"/>
        <color indexed="8"/>
        <rFont val="宋体"/>
        <family val="3"/>
        <charset val="134"/>
      </rPr>
      <t>昆明弓鱼</t>
    </r>
  </si>
  <si>
    <r>
      <rPr>
        <sz val="11"/>
        <color indexed="8"/>
        <rFont val="宋体"/>
        <family val="3"/>
        <charset val="134"/>
      </rPr>
      <t>灰色弓鱼</t>
    </r>
  </si>
  <si>
    <r>
      <rPr>
        <sz val="11"/>
        <color indexed="8"/>
        <rFont val="宋体"/>
        <family val="3"/>
        <charset val="134"/>
      </rPr>
      <t>异唇弓鱼</t>
    </r>
  </si>
  <si>
    <r>
      <rPr>
        <sz val="11"/>
        <color indexed="8"/>
        <rFont val="宋体"/>
        <family val="3"/>
        <charset val="134"/>
      </rPr>
      <t>全唇弓鱼</t>
    </r>
  </si>
  <si>
    <r>
      <rPr>
        <sz val="11"/>
        <color indexed="8"/>
        <rFont val="宋体"/>
        <family val="3"/>
        <charset val="134"/>
      </rPr>
      <t>中唇弓鱼</t>
    </r>
  </si>
  <si>
    <r>
      <rPr>
        <sz val="11"/>
        <color indexed="8"/>
        <rFont val="宋体"/>
        <family val="3"/>
        <charset val="134"/>
      </rPr>
      <t>四川弓鱼</t>
    </r>
  </si>
  <si>
    <r>
      <rPr>
        <sz val="11"/>
        <color indexed="8"/>
        <rFont val="宋体"/>
        <family val="3"/>
        <charset val="134"/>
      </rPr>
      <t>西藏弓鱼</t>
    </r>
  </si>
  <si>
    <r>
      <rPr>
        <sz val="11"/>
        <color indexed="8"/>
        <rFont val="宋体"/>
        <family val="3"/>
        <charset val="134"/>
      </rPr>
      <t>厚唇弓鱼</t>
    </r>
  </si>
  <si>
    <r>
      <rPr>
        <sz val="11"/>
        <color indexed="8"/>
        <rFont val="宋体"/>
        <family val="3"/>
        <charset val="134"/>
      </rPr>
      <t>澜沧弓鱼</t>
    </r>
  </si>
  <si>
    <r>
      <rPr>
        <sz val="11"/>
        <color indexed="8"/>
        <rFont val="宋体"/>
        <family val="3"/>
        <charset val="134"/>
      </rPr>
      <t>光唇弓鱼</t>
    </r>
  </si>
  <si>
    <r>
      <rPr>
        <sz val="11"/>
        <color indexed="8"/>
        <rFont val="宋体"/>
        <family val="3"/>
        <charset val="134"/>
      </rPr>
      <t>长须弓鱼</t>
    </r>
  </si>
  <si>
    <r>
      <rPr>
        <sz val="11"/>
        <color indexed="8"/>
        <rFont val="宋体"/>
        <family val="3"/>
        <charset val="134"/>
      </rPr>
      <t>巨须弓鱼</t>
    </r>
  </si>
  <si>
    <r>
      <rPr>
        <sz val="11"/>
        <color indexed="8"/>
        <rFont val="宋体"/>
        <family val="3"/>
        <charset val="134"/>
      </rPr>
      <t>小口弓鱼</t>
    </r>
  </si>
  <si>
    <r>
      <rPr>
        <sz val="11"/>
        <color indexed="8"/>
        <rFont val="宋体"/>
        <family val="3"/>
        <charset val="134"/>
      </rPr>
      <t>宁蒗弓鱼</t>
    </r>
  </si>
  <si>
    <r>
      <rPr>
        <sz val="11"/>
        <color indexed="8"/>
        <rFont val="宋体"/>
        <family val="3"/>
        <charset val="134"/>
      </rPr>
      <t>怒江弓鱼</t>
    </r>
  </si>
  <si>
    <r>
      <rPr>
        <sz val="11"/>
        <color indexed="8"/>
        <rFont val="宋体"/>
        <family val="3"/>
        <charset val="134"/>
      </rPr>
      <t>异齿弓鱼</t>
    </r>
  </si>
  <si>
    <r>
      <rPr>
        <sz val="11"/>
        <color indexed="8"/>
        <rFont val="宋体"/>
        <family val="3"/>
        <charset val="134"/>
      </rPr>
      <t>小弓鱼</t>
    </r>
  </si>
  <si>
    <r>
      <rPr>
        <sz val="11"/>
        <color indexed="8"/>
        <rFont val="宋体"/>
        <family val="3"/>
        <charset val="134"/>
      </rPr>
      <t>齐口弓鱼</t>
    </r>
  </si>
  <si>
    <r>
      <rPr>
        <sz val="11"/>
        <color indexed="8"/>
        <rFont val="宋体"/>
        <family val="3"/>
        <charset val="134"/>
      </rPr>
      <t>伊犁弓鱼</t>
    </r>
  </si>
  <si>
    <r>
      <rPr>
        <sz val="11"/>
        <color indexed="8"/>
        <rFont val="宋体"/>
        <family val="3"/>
        <charset val="134"/>
      </rPr>
      <t>硬刺弓鱼</t>
    </r>
  </si>
  <si>
    <r>
      <rPr>
        <sz val="11"/>
        <color indexed="8"/>
        <rFont val="宋体"/>
        <family val="3"/>
        <charset val="134"/>
      </rPr>
      <t>中华弓鱼</t>
    </r>
  </si>
  <si>
    <r>
      <rPr>
        <sz val="11"/>
        <color indexed="8"/>
        <rFont val="宋体"/>
        <family val="3"/>
        <charset val="134"/>
      </rPr>
      <t>大理弓鱼</t>
    </r>
  </si>
  <si>
    <r>
      <rPr>
        <sz val="11"/>
        <color indexed="8"/>
        <rFont val="宋体"/>
        <family val="3"/>
        <charset val="134"/>
      </rPr>
      <t>拉萨弓鱼</t>
    </r>
  </si>
  <si>
    <r>
      <rPr>
        <sz val="11"/>
        <color indexed="8"/>
        <rFont val="宋体"/>
        <family val="3"/>
        <charset val="134"/>
      </rPr>
      <t>短须弓鱼</t>
    </r>
  </si>
  <si>
    <r>
      <rPr>
        <sz val="11"/>
        <color indexed="8"/>
        <rFont val="宋体"/>
        <family val="3"/>
        <charset val="134"/>
      </rPr>
      <t>云南弓鱼</t>
    </r>
  </si>
  <si>
    <r>
      <rPr>
        <sz val="11"/>
        <color indexed="8"/>
        <rFont val="宋体"/>
        <family val="3"/>
        <charset val="134"/>
      </rPr>
      <t>保山弓鱼</t>
    </r>
  </si>
  <si>
    <r>
      <rPr>
        <sz val="11"/>
        <color indexed="8"/>
        <rFont val="宋体"/>
        <family val="3"/>
        <charset val="134"/>
      </rPr>
      <t>云南弓鱼指名亚种</t>
    </r>
  </si>
  <si>
    <r>
      <rPr>
        <sz val="11"/>
        <color indexed="8"/>
        <rFont val="宋体"/>
        <family val="3"/>
        <charset val="134"/>
      </rPr>
      <t>前腹裸裂尻鱼</t>
    </r>
  </si>
  <si>
    <r>
      <rPr>
        <sz val="11"/>
        <color indexed="8"/>
        <rFont val="宋体"/>
        <family val="3"/>
        <charset val="134"/>
      </rPr>
      <t>宝兴裸裂尻鱼</t>
    </r>
  </si>
  <si>
    <r>
      <rPr>
        <sz val="11"/>
        <color indexed="8"/>
        <rFont val="宋体"/>
        <family val="3"/>
        <charset val="134"/>
      </rPr>
      <t>柴达木裸裂尻鱼</t>
    </r>
  </si>
  <si>
    <r>
      <rPr>
        <sz val="11"/>
        <color indexed="8"/>
        <rFont val="宋体"/>
        <family val="3"/>
        <charset val="134"/>
      </rPr>
      <t>嘉陵裸裂尻鱼</t>
    </r>
  </si>
  <si>
    <r>
      <rPr>
        <sz val="11"/>
        <color indexed="8"/>
        <rFont val="宋体"/>
        <family val="3"/>
        <charset val="134"/>
      </rPr>
      <t>软刺裸裂尻鱼</t>
    </r>
  </si>
  <si>
    <r>
      <rPr>
        <sz val="11"/>
        <color indexed="8"/>
        <rFont val="宋体"/>
        <family val="3"/>
        <charset val="134"/>
      </rPr>
      <t>大渡软刺裸裂尻鱼</t>
    </r>
  </si>
  <si>
    <r>
      <rPr>
        <sz val="11"/>
        <color indexed="8"/>
        <rFont val="宋体"/>
        <family val="3"/>
        <charset val="134"/>
      </rPr>
      <t>软刺裸裂尻鱼指名亚种</t>
    </r>
  </si>
  <si>
    <r>
      <rPr>
        <sz val="11"/>
        <color indexed="8"/>
        <rFont val="宋体"/>
        <family val="3"/>
        <charset val="134"/>
      </rPr>
      <t>小头裸裂尻鱼</t>
    </r>
  </si>
  <si>
    <r>
      <rPr>
        <sz val="11"/>
        <color indexed="8"/>
        <rFont val="宋体"/>
        <family val="3"/>
        <charset val="134"/>
      </rPr>
      <t>黄河裸裂尻鱼</t>
    </r>
  </si>
  <si>
    <r>
      <rPr>
        <sz val="11"/>
        <color indexed="8"/>
        <rFont val="宋体"/>
        <family val="3"/>
        <charset val="134"/>
      </rPr>
      <t>高原裸裂尻鱼</t>
    </r>
  </si>
  <si>
    <r>
      <rPr>
        <sz val="11"/>
        <color indexed="8"/>
        <rFont val="宋体"/>
        <family val="3"/>
        <charset val="134"/>
      </rPr>
      <t>玛旁雍裸裂尻鱼</t>
    </r>
  </si>
  <si>
    <r>
      <rPr>
        <sz val="11"/>
        <color indexed="8"/>
        <rFont val="宋体"/>
        <family val="3"/>
        <charset val="134"/>
      </rPr>
      <t>高原裸裂尻鱼指名亚种</t>
    </r>
  </si>
  <si>
    <r>
      <rPr>
        <sz val="11"/>
        <color indexed="8"/>
        <rFont val="宋体"/>
        <family val="3"/>
        <charset val="134"/>
      </rPr>
      <t>温泉裸裂尻鱼</t>
    </r>
  </si>
  <si>
    <r>
      <rPr>
        <sz val="11"/>
        <color indexed="8"/>
        <rFont val="宋体"/>
        <family val="3"/>
        <charset val="134"/>
      </rPr>
      <t>拉萨裸裂尻鱼</t>
    </r>
  </si>
  <si>
    <r>
      <rPr>
        <sz val="11"/>
        <color indexed="8"/>
        <rFont val="宋体"/>
        <family val="3"/>
        <charset val="134"/>
      </rPr>
      <t>喜马拉雅裸裂尻鱼</t>
    </r>
  </si>
  <si>
    <r>
      <rPr>
        <sz val="11"/>
        <color indexed="8"/>
        <rFont val="宋体"/>
        <family val="3"/>
        <charset val="134"/>
      </rPr>
      <t>昂仁裸裂尻鱼</t>
    </r>
  </si>
  <si>
    <r>
      <rPr>
        <sz val="11"/>
        <color indexed="8"/>
        <rFont val="宋体"/>
        <family val="3"/>
        <charset val="134"/>
      </rPr>
      <t>拉萨裸裂尻鱼指名亚种</t>
    </r>
  </si>
  <si>
    <r>
      <rPr>
        <sz val="11"/>
        <color indexed="8"/>
        <rFont val="宋体"/>
        <family val="3"/>
        <charset val="134"/>
      </rPr>
      <t>隐鳞裂腹鱼</t>
    </r>
  </si>
  <si>
    <r>
      <rPr>
        <sz val="11"/>
        <color indexed="8"/>
        <rFont val="宋体"/>
        <family val="3"/>
        <charset val="134"/>
      </rPr>
      <t>独龙裂腹鱼</t>
    </r>
  </si>
  <si>
    <r>
      <rPr>
        <sz val="11"/>
        <color indexed="8"/>
        <rFont val="宋体"/>
        <family val="3"/>
        <charset val="134"/>
      </rPr>
      <t>长身裂腹鱼</t>
    </r>
  </si>
  <si>
    <r>
      <rPr>
        <sz val="11"/>
        <color indexed="8"/>
        <rFont val="宋体"/>
        <family val="3"/>
        <charset val="134"/>
      </rPr>
      <t>软刺裂腹鱼</t>
    </r>
  </si>
  <si>
    <r>
      <rPr>
        <sz val="11"/>
        <color indexed="8"/>
        <rFont val="宋体"/>
        <family val="3"/>
        <charset val="134"/>
      </rPr>
      <t>南方裂腹鱼</t>
    </r>
  </si>
  <si>
    <r>
      <rPr>
        <sz val="11"/>
        <color indexed="8"/>
        <rFont val="宋体"/>
        <family val="3"/>
        <charset val="134"/>
      </rPr>
      <t>墨脱裂腹鱼</t>
    </r>
  </si>
  <si>
    <r>
      <rPr>
        <sz val="11"/>
        <color indexed="8"/>
        <rFont val="宋体"/>
        <family val="3"/>
        <charset val="134"/>
      </rPr>
      <t>吸口裂腹鱼</t>
    </r>
  </si>
  <si>
    <r>
      <rPr>
        <sz val="11"/>
        <color indexed="8"/>
        <rFont val="宋体"/>
        <family val="3"/>
        <charset val="134"/>
      </rPr>
      <t>少鳞裂腹鱼</t>
    </r>
  </si>
  <si>
    <r>
      <rPr>
        <sz val="11"/>
        <color indexed="8"/>
        <rFont val="宋体"/>
        <family val="3"/>
        <charset val="134"/>
      </rPr>
      <t>横口裂腹鱼</t>
    </r>
  </si>
  <si>
    <r>
      <rPr>
        <sz val="11"/>
        <color indexed="8"/>
        <rFont val="宋体"/>
        <family val="3"/>
        <charset val="134"/>
      </rPr>
      <t>圆颌裂腹鱼</t>
    </r>
  </si>
  <si>
    <r>
      <rPr>
        <sz val="11"/>
        <color indexed="8"/>
        <rFont val="宋体"/>
        <family val="3"/>
        <charset val="134"/>
      </rPr>
      <t>须鲫</t>
    </r>
  </si>
  <si>
    <r>
      <rPr>
        <sz val="11"/>
        <color indexed="8"/>
        <rFont val="宋体"/>
        <family val="3"/>
        <charset val="134"/>
      </rPr>
      <t>鲫</t>
    </r>
  </si>
  <si>
    <r>
      <rPr>
        <sz val="11"/>
        <color indexed="8"/>
        <rFont val="宋体"/>
        <family val="3"/>
        <charset val="134"/>
      </rPr>
      <t>鲫指名亚种</t>
    </r>
  </si>
  <si>
    <r>
      <rPr>
        <sz val="11"/>
        <color indexed="8"/>
        <rFont val="宋体"/>
        <family val="3"/>
        <charset val="134"/>
      </rPr>
      <t>银鲫</t>
    </r>
  </si>
  <si>
    <r>
      <rPr>
        <sz val="11"/>
        <color indexed="8"/>
        <rFont val="宋体"/>
        <family val="3"/>
        <charset val="134"/>
      </rPr>
      <t>黑鲫</t>
    </r>
  </si>
  <si>
    <r>
      <rPr>
        <sz val="11"/>
        <color indexed="8"/>
        <rFont val="宋体"/>
        <family val="3"/>
        <charset val="134"/>
      </rPr>
      <t>尖鳍鲤</t>
    </r>
  </si>
  <si>
    <r>
      <rPr>
        <sz val="11"/>
        <color indexed="8"/>
        <rFont val="宋体"/>
        <family val="3"/>
        <charset val="134"/>
      </rPr>
      <t>鲤</t>
    </r>
  </si>
  <si>
    <r>
      <rPr>
        <sz val="11"/>
        <color indexed="8"/>
        <rFont val="宋体"/>
        <family val="3"/>
        <charset val="134"/>
      </rPr>
      <t>杞麓鲤</t>
    </r>
  </si>
  <si>
    <r>
      <rPr>
        <sz val="11"/>
        <color indexed="8"/>
        <rFont val="宋体"/>
        <family val="3"/>
        <charset val="134"/>
      </rPr>
      <t>华南鲤</t>
    </r>
  </si>
  <si>
    <r>
      <rPr>
        <sz val="11"/>
        <color indexed="8"/>
        <rFont val="宋体"/>
        <family val="3"/>
        <charset val="134"/>
      </rPr>
      <t>厚唇鲤</t>
    </r>
  </si>
  <si>
    <r>
      <rPr>
        <sz val="11"/>
        <color indexed="8"/>
        <rFont val="宋体"/>
        <family val="3"/>
        <charset val="134"/>
      </rPr>
      <t>翘嘴鲤</t>
    </r>
  </si>
  <si>
    <r>
      <rPr>
        <sz val="11"/>
        <color indexed="8"/>
        <rFont val="宋体"/>
        <family val="3"/>
        <charset val="134"/>
      </rPr>
      <t>春鲤</t>
    </r>
  </si>
  <si>
    <r>
      <rPr>
        <sz val="11"/>
        <color indexed="8"/>
        <rFont val="宋体"/>
        <family val="3"/>
        <charset val="134"/>
      </rPr>
      <t>龙州鲤</t>
    </r>
  </si>
  <si>
    <r>
      <rPr>
        <sz val="11"/>
        <color indexed="8"/>
        <rFont val="宋体"/>
        <family val="3"/>
        <charset val="134"/>
      </rPr>
      <t>大眼鲤</t>
    </r>
  </si>
  <si>
    <r>
      <rPr>
        <sz val="11"/>
        <color indexed="8"/>
        <rFont val="宋体"/>
        <family val="3"/>
        <charset val="134"/>
      </rPr>
      <t>小鲤</t>
    </r>
  </si>
  <si>
    <r>
      <rPr>
        <sz val="11"/>
        <color indexed="8"/>
        <rFont val="宋体"/>
        <family val="3"/>
        <charset val="134"/>
      </rPr>
      <t>抚仙小鲤</t>
    </r>
  </si>
  <si>
    <r>
      <rPr>
        <sz val="11"/>
        <color indexed="8"/>
        <rFont val="宋体"/>
        <family val="3"/>
        <charset val="134"/>
      </rPr>
      <t>小鲤指名亚种</t>
    </r>
  </si>
  <si>
    <r>
      <rPr>
        <sz val="11"/>
        <color indexed="8"/>
        <rFont val="宋体"/>
        <family val="3"/>
        <charset val="134"/>
      </rPr>
      <t>三角鲤</t>
    </r>
  </si>
  <si>
    <r>
      <rPr>
        <sz val="11"/>
        <color indexed="8"/>
        <rFont val="宋体"/>
        <family val="3"/>
        <charset val="134"/>
      </rPr>
      <t>大头鲤</t>
    </r>
  </si>
  <si>
    <r>
      <rPr>
        <sz val="11"/>
        <color indexed="8"/>
        <rFont val="宋体"/>
        <family val="3"/>
        <charset val="134"/>
      </rPr>
      <t>洱海大头鲤</t>
    </r>
  </si>
  <si>
    <r>
      <rPr>
        <sz val="11"/>
        <color indexed="8"/>
        <rFont val="宋体"/>
        <family val="3"/>
        <charset val="134"/>
      </rPr>
      <t>大头鲤指名亚种</t>
    </r>
  </si>
  <si>
    <r>
      <rPr>
        <sz val="11"/>
        <color indexed="8"/>
        <rFont val="宋体"/>
        <family val="3"/>
        <charset val="134"/>
      </rPr>
      <t>邛海鲤</t>
    </r>
  </si>
  <si>
    <r>
      <rPr>
        <sz val="11"/>
        <color indexed="8"/>
        <rFont val="宋体"/>
        <family val="3"/>
        <charset val="134"/>
      </rPr>
      <t>异龙中鲤</t>
    </r>
  </si>
  <si>
    <r>
      <rPr>
        <sz val="11"/>
        <color indexed="8"/>
        <rFont val="宋体"/>
        <family val="3"/>
        <charset val="134"/>
      </rPr>
      <t>云南鲤</t>
    </r>
  </si>
  <si>
    <r>
      <rPr>
        <sz val="11"/>
        <color indexed="8"/>
        <rFont val="宋体"/>
        <family val="3"/>
        <charset val="134"/>
      </rPr>
      <t>大理云南鲤</t>
    </r>
  </si>
  <si>
    <r>
      <rPr>
        <sz val="11"/>
        <color indexed="8"/>
        <rFont val="宋体"/>
        <family val="3"/>
        <charset val="134"/>
      </rPr>
      <t>云南鲤指名亚种</t>
    </r>
  </si>
  <si>
    <r>
      <rPr>
        <sz val="11"/>
        <color indexed="8"/>
        <rFont val="宋体"/>
        <family val="3"/>
        <charset val="134"/>
      </rPr>
      <t>乌原鲤</t>
    </r>
  </si>
  <si>
    <r>
      <rPr>
        <sz val="11"/>
        <color indexed="8"/>
        <rFont val="宋体"/>
        <family val="3"/>
        <charset val="134"/>
      </rPr>
      <t>岩原鲤</t>
    </r>
  </si>
  <si>
    <r>
      <rPr>
        <sz val="11"/>
        <color indexed="8"/>
        <rFont val="宋体"/>
        <family val="3"/>
        <charset val="134"/>
      </rPr>
      <t>鲃鲤</t>
    </r>
  </si>
  <si>
    <r>
      <rPr>
        <sz val="11"/>
        <color indexed="8"/>
        <rFont val="宋体"/>
        <family val="3"/>
        <charset val="134"/>
      </rPr>
      <t>爪哇鲃鲤</t>
    </r>
  </si>
  <si>
    <r>
      <rPr>
        <sz val="11"/>
        <color indexed="8"/>
        <rFont val="宋体"/>
        <family val="3"/>
        <charset val="134"/>
      </rPr>
      <t>短身鳅鮀</t>
    </r>
  </si>
  <si>
    <r>
      <rPr>
        <sz val="11"/>
        <color indexed="8"/>
        <rFont val="宋体"/>
        <family val="3"/>
        <charset val="134"/>
      </rPr>
      <t>异鳔鳅鮀</t>
    </r>
  </si>
  <si>
    <r>
      <rPr>
        <sz val="11"/>
        <color indexed="8"/>
        <rFont val="宋体"/>
        <family val="3"/>
        <charset val="134"/>
      </rPr>
      <t>短吻鳅鮀</t>
    </r>
  </si>
  <si>
    <r>
      <rPr>
        <sz val="11"/>
        <color indexed="8"/>
        <rFont val="宋体"/>
        <family val="3"/>
        <charset val="134"/>
      </rPr>
      <t>台湾鳅鮀</t>
    </r>
  </si>
  <si>
    <r>
      <rPr>
        <sz val="11"/>
        <color indexed="8"/>
        <rFont val="宋体"/>
        <family val="3"/>
        <charset val="134"/>
      </rPr>
      <t>宜昌鳅鮀</t>
    </r>
  </si>
  <si>
    <r>
      <rPr>
        <sz val="11"/>
        <color indexed="8"/>
        <rFont val="宋体"/>
        <family val="3"/>
        <charset val="134"/>
      </rPr>
      <t>桂林鳅鮀</t>
    </r>
  </si>
  <si>
    <r>
      <rPr>
        <sz val="11"/>
        <color indexed="8"/>
        <rFont val="宋体"/>
        <family val="3"/>
        <charset val="134"/>
      </rPr>
      <t>平鳍鳅鮀</t>
    </r>
  </si>
  <si>
    <r>
      <rPr>
        <sz val="11"/>
        <color indexed="8"/>
        <rFont val="宋体"/>
        <family val="3"/>
        <charset val="134"/>
      </rPr>
      <t>海南鳅鮀</t>
    </r>
  </si>
  <si>
    <r>
      <rPr>
        <sz val="11"/>
        <color indexed="8"/>
        <rFont val="宋体"/>
        <family val="3"/>
        <charset val="134"/>
      </rPr>
      <t>长须鳅鮀</t>
    </r>
  </si>
  <si>
    <r>
      <rPr>
        <sz val="11"/>
        <color indexed="8"/>
        <rFont val="宋体"/>
        <family val="3"/>
        <charset val="134"/>
      </rPr>
      <t>南方鳅鮀</t>
    </r>
  </si>
  <si>
    <r>
      <rPr>
        <sz val="11"/>
        <color indexed="8"/>
        <rFont val="宋体"/>
        <family val="3"/>
        <charset val="134"/>
      </rPr>
      <t>裸体异鳔鳅鮀</t>
    </r>
  </si>
  <si>
    <r>
      <rPr>
        <sz val="11"/>
        <color indexed="8"/>
        <rFont val="宋体"/>
        <family val="3"/>
        <charset val="134"/>
      </rPr>
      <t>潘氏鳅鮀</t>
    </r>
  </si>
  <si>
    <r>
      <rPr>
        <sz val="11"/>
        <color indexed="8"/>
        <rFont val="宋体"/>
        <family val="3"/>
        <charset val="134"/>
      </rPr>
      <t>少耙鳅鮀</t>
    </r>
  </si>
  <si>
    <r>
      <rPr>
        <sz val="11"/>
        <color indexed="8"/>
        <rFont val="宋体"/>
        <family val="3"/>
        <charset val="134"/>
      </rPr>
      <t>董氏鳅鮀</t>
    </r>
  </si>
  <si>
    <r>
      <rPr>
        <sz val="11"/>
        <color indexed="8"/>
        <rFont val="宋体"/>
        <family val="3"/>
        <charset val="134"/>
      </rPr>
      <t>鳙</t>
    </r>
  </si>
  <si>
    <r>
      <rPr>
        <sz val="11"/>
        <color indexed="8"/>
        <rFont val="宋体"/>
        <family val="3"/>
        <charset val="134"/>
      </rPr>
      <t>大鳞鲢</t>
    </r>
  </si>
  <si>
    <r>
      <rPr>
        <sz val="11"/>
        <color indexed="8"/>
        <rFont val="宋体"/>
        <family val="3"/>
        <charset val="134"/>
      </rPr>
      <t>鲢</t>
    </r>
  </si>
  <si>
    <r>
      <rPr>
        <sz val="11"/>
        <color indexed="8"/>
        <rFont val="宋体"/>
        <family val="3"/>
        <charset val="134"/>
      </rPr>
      <t>裸吻鱼科</t>
    </r>
  </si>
  <si>
    <r>
      <rPr>
        <sz val="11"/>
        <color indexed="8"/>
        <rFont val="宋体"/>
        <family val="3"/>
        <charset val="134"/>
      </rPr>
      <t>平鳍裸吻鱼</t>
    </r>
  </si>
  <si>
    <r>
      <rPr>
        <sz val="11"/>
        <color indexed="8"/>
        <rFont val="宋体"/>
        <family val="3"/>
        <charset val="134"/>
      </rPr>
      <t>鳅科</t>
    </r>
  </si>
  <si>
    <r>
      <rPr>
        <sz val="11"/>
        <color indexed="8"/>
        <rFont val="宋体"/>
        <family val="3"/>
        <charset val="134"/>
      </rPr>
      <t>墨脱阿波鳅</t>
    </r>
  </si>
  <si>
    <r>
      <rPr>
        <sz val="11"/>
        <color indexed="8"/>
        <rFont val="宋体"/>
        <family val="3"/>
        <charset val="134"/>
      </rPr>
      <t>阿勒泰须鳅</t>
    </r>
  </si>
  <si>
    <r>
      <rPr>
        <sz val="11"/>
        <color indexed="8"/>
        <rFont val="宋体"/>
        <family val="3"/>
        <charset val="134"/>
      </rPr>
      <t>北方须鳅</t>
    </r>
  </si>
  <si>
    <r>
      <rPr>
        <sz val="11"/>
        <color indexed="8"/>
        <rFont val="宋体"/>
        <family val="3"/>
        <charset val="134"/>
      </rPr>
      <t>穗唇须鳅</t>
    </r>
  </si>
  <si>
    <r>
      <rPr>
        <sz val="11"/>
        <color indexed="8"/>
        <rFont val="宋体"/>
        <family val="3"/>
        <charset val="134"/>
      </rPr>
      <t>小眼须鳅</t>
    </r>
  </si>
  <si>
    <r>
      <rPr>
        <sz val="11"/>
        <color indexed="8"/>
        <rFont val="宋体"/>
        <family val="3"/>
        <charset val="134"/>
      </rPr>
      <t>郑氏间条鳅</t>
    </r>
  </si>
  <si>
    <r>
      <rPr>
        <sz val="11"/>
        <color indexed="8"/>
        <rFont val="宋体"/>
        <family val="3"/>
        <charset val="134"/>
      </rPr>
      <t>北鳅</t>
    </r>
  </si>
  <si>
    <r>
      <rPr>
        <sz val="11"/>
        <color indexed="8"/>
        <rFont val="宋体"/>
        <family val="3"/>
        <charset val="134"/>
      </rPr>
      <t>美丽小条鳅</t>
    </r>
  </si>
  <si>
    <r>
      <rPr>
        <sz val="11"/>
        <color indexed="8"/>
        <rFont val="宋体"/>
        <family val="3"/>
        <charset val="134"/>
      </rPr>
      <t>大斑条鳅</t>
    </r>
  </si>
  <si>
    <r>
      <rPr>
        <sz val="11"/>
        <color indexed="8"/>
        <rFont val="宋体"/>
        <family val="3"/>
        <charset val="134"/>
      </rPr>
      <t>暗纹条鳅</t>
    </r>
  </si>
  <si>
    <r>
      <rPr>
        <sz val="11"/>
        <color indexed="8"/>
        <rFont val="宋体"/>
        <family val="3"/>
        <charset val="134"/>
      </rPr>
      <t>多纹条鳅</t>
    </r>
  </si>
  <si>
    <r>
      <rPr>
        <sz val="11"/>
        <color indexed="8"/>
        <rFont val="宋体"/>
        <family val="3"/>
        <charset val="134"/>
      </rPr>
      <t>葡萄条鳅</t>
    </r>
  </si>
  <si>
    <r>
      <rPr>
        <sz val="11"/>
        <color indexed="8"/>
        <rFont val="宋体"/>
        <family val="3"/>
        <charset val="134"/>
      </rPr>
      <t>多鳞条鳅</t>
    </r>
  </si>
  <si>
    <r>
      <rPr>
        <sz val="11"/>
        <color indexed="8"/>
        <rFont val="宋体"/>
        <family val="3"/>
        <charset val="134"/>
      </rPr>
      <t>双江条鳅</t>
    </r>
  </si>
  <si>
    <r>
      <rPr>
        <sz val="11"/>
        <color indexed="8"/>
        <rFont val="宋体"/>
        <family val="3"/>
        <charset val="134"/>
      </rPr>
      <t>浅棕条鳅</t>
    </r>
  </si>
  <si>
    <r>
      <rPr>
        <sz val="11"/>
        <color indexed="8"/>
        <rFont val="宋体"/>
        <family val="3"/>
        <charset val="134"/>
      </rPr>
      <t>盈江条鳅</t>
    </r>
  </si>
  <si>
    <r>
      <rPr>
        <sz val="11"/>
        <color indexed="8"/>
        <rFont val="宋体"/>
        <family val="3"/>
        <charset val="134"/>
      </rPr>
      <t>厚唇新条鳅</t>
    </r>
  </si>
  <si>
    <r>
      <rPr>
        <sz val="11"/>
        <color indexed="8"/>
        <rFont val="宋体"/>
        <family val="3"/>
        <charset val="134"/>
      </rPr>
      <t>孟定新条鳅</t>
    </r>
  </si>
  <si>
    <r>
      <rPr>
        <sz val="11"/>
        <color indexed="8"/>
        <rFont val="宋体"/>
        <family val="3"/>
        <charset val="134"/>
      </rPr>
      <t>无眼平头鳅</t>
    </r>
  </si>
  <si>
    <r>
      <rPr>
        <sz val="11"/>
        <color indexed="8"/>
        <rFont val="宋体"/>
        <family val="3"/>
        <charset val="134"/>
      </rPr>
      <t>叉尾平头鳅</t>
    </r>
  </si>
  <si>
    <r>
      <rPr>
        <sz val="11"/>
        <color indexed="8"/>
        <rFont val="宋体"/>
        <family val="3"/>
        <charset val="134"/>
      </rPr>
      <t>平头鳅</t>
    </r>
  </si>
  <si>
    <r>
      <rPr>
        <sz val="11"/>
        <color indexed="8"/>
        <rFont val="宋体"/>
        <family val="3"/>
        <charset val="134"/>
      </rPr>
      <t>尖头副鳅</t>
    </r>
  </si>
  <si>
    <r>
      <rPr>
        <sz val="11"/>
        <color indexed="8"/>
        <rFont val="宋体"/>
        <family val="3"/>
        <charset val="134"/>
      </rPr>
      <t>拟鳗副鳅</t>
    </r>
  </si>
  <si>
    <r>
      <rPr>
        <sz val="11"/>
        <color indexed="8"/>
        <rFont val="宋体"/>
        <family val="3"/>
        <charset val="134"/>
      </rPr>
      <t>洱海副鳅</t>
    </r>
  </si>
  <si>
    <r>
      <rPr>
        <sz val="11"/>
        <color indexed="8"/>
        <rFont val="宋体"/>
        <family val="3"/>
        <charset val="134"/>
      </rPr>
      <t>寡鳞副鳅</t>
    </r>
  </si>
  <si>
    <r>
      <rPr>
        <sz val="11"/>
        <color indexed="8"/>
        <rFont val="宋体"/>
        <family val="3"/>
        <charset val="134"/>
      </rPr>
      <t>短体副鳅</t>
    </r>
  </si>
  <si>
    <r>
      <rPr>
        <sz val="11"/>
        <color indexed="8"/>
        <rFont val="宋体"/>
        <family val="3"/>
        <charset val="134"/>
      </rPr>
      <t>红尾副鳅</t>
    </r>
  </si>
  <si>
    <r>
      <rPr>
        <sz val="11"/>
        <color indexed="8"/>
        <rFont val="宋体"/>
        <family val="3"/>
        <charset val="134"/>
      </rPr>
      <t>乌江副鳅</t>
    </r>
  </si>
  <si>
    <r>
      <rPr>
        <sz val="11"/>
        <color indexed="8"/>
        <rFont val="宋体"/>
        <family val="3"/>
        <charset val="134"/>
      </rPr>
      <t>颊鳞异条鳅</t>
    </r>
  </si>
  <si>
    <r>
      <rPr>
        <sz val="11"/>
        <color indexed="8"/>
        <rFont val="宋体"/>
        <family val="3"/>
        <charset val="134"/>
      </rPr>
      <t>鼓颊南鳅</t>
    </r>
  </si>
  <si>
    <r>
      <rPr>
        <sz val="11"/>
        <color indexed="8"/>
        <rFont val="宋体"/>
        <family val="3"/>
        <charset val="134"/>
      </rPr>
      <t>美斑南鳅</t>
    </r>
  </si>
  <si>
    <r>
      <rPr>
        <sz val="11"/>
        <color indexed="8"/>
        <rFont val="宋体"/>
        <family val="3"/>
        <charset val="134"/>
      </rPr>
      <t>锥吻南鳅</t>
    </r>
  </si>
  <si>
    <r>
      <rPr>
        <sz val="11"/>
        <color indexed="8"/>
        <rFont val="宋体"/>
        <family val="3"/>
        <charset val="134"/>
      </rPr>
      <t>戴氏南鳅</t>
    </r>
  </si>
  <si>
    <r>
      <rPr>
        <sz val="11"/>
        <color indexed="8"/>
        <rFont val="宋体"/>
        <family val="3"/>
        <charset val="134"/>
      </rPr>
      <t>横纹南鳅</t>
    </r>
  </si>
  <si>
    <r>
      <rPr>
        <sz val="11"/>
        <color indexed="8"/>
        <rFont val="宋体"/>
        <family val="3"/>
        <charset val="134"/>
      </rPr>
      <t>个旧盲南鳅</t>
    </r>
  </si>
  <si>
    <r>
      <rPr>
        <sz val="11"/>
        <color indexed="8"/>
        <rFont val="宋体"/>
        <family val="3"/>
        <charset val="134"/>
      </rPr>
      <t>无斑南鳅</t>
    </r>
  </si>
  <si>
    <r>
      <rPr>
        <sz val="11"/>
        <color indexed="8"/>
        <rFont val="宋体"/>
        <family val="3"/>
        <charset val="134"/>
      </rPr>
      <t>侧带南鳅</t>
    </r>
  </si>
  <si>
    <r>
      <rPr>
        <sz val="11"/>
        <color indexed="8"/>
        <rFont val="宋体"/>
        <family val="3"/>
        <charset val="134"/>
      </rPr>
      <t>宽纹南鳅</t>
    </r>
  </si>
  <si>
    <r>
      <rPr>
        <sz val="11"/>
        <color indexed="8"/>
        <rFont val="宋体"/>
        <family val="3"/>
        <charset val="134"/>
      </rPr>
      <t>长南鳅</t>
    </r>
  </si>
  <si>
    <r>
      <rPr>
        <sz val="11"/>
        <color indexed="8"/>
        <rFont val="宋体"/>
        <family val="3"/>
        <charset val="134"/>
      </rPr>
      <t>南方南鳅</t>
    </r>
  </si>
  <si>
    <r>
      <rPr>
        <sz val="11"/>
        <color indexed="8"/>
        <rFont val="宋体"/>
        <family val="3"/>
        <charset val="134"/>
      </rPr>
      <t>南定南鳅</t>
    </r>
  </si>
  <si>
    <r>
      <rPr>
        <sz val="11"/>
        <color indexed="8"/>
        <rFont val="宋体"/>
        <family val="3"/>
        <charset val="134"/>
      </rPr>
      <t>稀有南鳅</t>
    </r>
  </si>
  <si>
    <r>
      <rPr>
        <sz val="11"/>
        <color indexed="8"/>
        <rFont val="宋体"/>
        <family val="3"/>
        <charset val="134"/>
      </rPr>
      <t>泰国南鳅</t>
    </r>
  </si>
  <si>
    <r>
      <rPr>
        <sz val="11"/>
        <color indexed="8"/>
        <rFont val="宋体"/>
        <family val="3"/>
        <charset val="134"/>
      </rPr>
      <t>密纹南鳅</t>
    </r>
  </si>
  <si>
    <r>
      <rPr>
        <sz val="11"/>
        <color indexed="8"/>
        <rFont val="宋体"/>
        <family val="3"/>
        <charset val="134"/>
      </rPr>
      <t>湘西盲南鳅</t>
    </r>
  </si>
  <si>
    <r>
      <rPr>
        <sz val="11"/>
        <color indexed="8"/>
        <rFont val="宋体"/>
        <family val="3"/>
        <charset val="134"/>
      </rPr>
      <t>滇池球鳔鳅</t>
    </r>
  </si>
  <si>
    <r>
      <rPr>
        <sz val="11"/>
        <color indexed="8"/>
        <rFont val="宋体"/>
        <family val="3"/>
        <charset val="134"/>
      </rPr>
      <t>阿里高原鳅</t>
    </r>
  </si>
  <si>
    <r>
      <rPr>
        <sz val="11"/>
        <color indexed="8"/>
        <rFont val="宋体"/>
        <family val="3"/>
        <charset val="134"/>
      </rPr>
      <t>隆头高原鳅</t>
    </r>
  </si>
  <si>
    <r>
      <rPr>
        <sz val="11"/>
        <color indexed="8"/>
        <rFont val="宋体"/>
        <family val="3"/>
        <charset val="134"/>
      </rPr>
      <t>安氏高原鳅</t>
    </r>
  </si>
  <si>
    <r>
      <rPr>
        <sz val="11"/>
        <color indexed="8"/>
        <rFont val="宋体"/>
        <family val="3"/>
        <charset val="134"/>
      </rPr>
      <t>前鳍高原鳅</t>
    </r>
  </si>
  <si>
    <r>
      <rPr>
        <sz val="11"/>
        <color indexed="8"/>
        <rFont val="宋体"/>
        <family val="3"/>
        <charset val="134"/>
      </rPr>
      <t>勃氏高原鳅</t>
    </r>
  </si>
  <si>
    <r>
      <rPr>
        <sz val="11"/>
        <color indexed="8"/>
        <rFont val="宋体"/>
        <family val="3"/>
        <charset val="134"/>
      </rPr>
      <t>隆额高原鳅</t>
    </r>
  </si>
  <si>
    <r>
      <rPr>
        <sz val="11"/>
        <color indexed="8"/>
        <rFont val="宋体"/>
        <family val="3"/>
        <charset val="134"/>
      </rPr>
      <t>短须高原鳅</t>
    </r>
  </si>
  <si>
    <r>
      <rPr>
        <sz val="11"/>
        <color indexed="8"/>
        <rFont val="宋体"/>
        <family val="3"/>
        <charset val="134"/>
      </rPr>
      <t>茶卡高原鳅</t>
    </r>
  </si>
  <si>
    <r>
      <rPr>
        <sz val="11"/>
        <color indexed="8"/>
        <rFont val="宋体"/>
        <family val="3"/>
        <charset val="134"/>
      </rPr>
      <t>软口高原鳅</t>
    </r>
  </si>
  <si>
    <r>
      <rPr>
        <sz val="11"/>
        <color indexed="8"/>
        <rFont val="宋体"/>
        <family val="3"/>
        <charset val="134"/>
      </rPr>
      <t>粗唇高原鳅</t>
    </r>
  </si>
  <si>
    <r>
      <rPr>
        <sz val="11"/>
        <color indexed="8"/>
        <rFont val="宋体"/>
        <family val="3"/>
        <charset val="134"/>
      </rPr>
      <t>尖头高原鳅</t>
    </r>
  </si>
  <si>
    <r>
      <rPr>
        <sz val="11"/>
        <color indexed="8"/>
        <rFont val="宋体"/>
        <family val="3"/>
        <charset val="134"/>
      </rPr>
      <t>达里湖高原鳅</t>
    </r>
  </si>
  <si>
    <r>
      <rPr>
        <sz val="11"/>
        <color indexed="8"/>
        <rFont val="宋体"/>
        <family val="3"/>
        <charset val="134"/>
      </rPr>
      <t>大桥高原鳅</t>
    </r>
  </si>
  <si>
    <r>
      <rPr>
        <sz val="11"/>
        <color indexed="8"/>
        <rFont val="宋体"/>
        <family val="3"/>
        <charset val="134"/>
      </rPr>
      <t>黑背高原鳅</t>
    </r>
  </si>
  <si>
    <r>
      <rPr>
        <sz val="11"/>
        <color indexed="8"/>
        <rFont val="宋体"/>
        <family val="3"/>
        <charset val="134"/>
      </rPr>
      <t>暗色高原鳅</t>
    </r>
  </si>
  <si>
    <r>
      <rPr>
        <sz val="11"/>
        <color indexed="8"/>
        <rFont val="宋体"/>
        <family val="3"/>
        <charset val="134"/>
      </rPr>
      <t>抚仙高原鳅</t>
    </r>
  </si>
  <si>
    <r>
      <rPr>
        <sz val="11"/>
        <color indexed="8"/>
        <rFont val="宋体"/>
        <family val="3"/>
        <charset val="134"/>
      </rPr>
      <t>昆明高原鳅</t>
    </r>
  </si>
  <si>
    <r>
      <rPr>
        <sz val="11"/>
        <color indexed="8"/>
        <rFont val="宋体"/>
        <family val="3"/>
        <charset val="134"/>
      </rPr>
      <t>郃阳高原鳅</t>
    </r>
  </si>
  <si>
    <r>
      <rPr>
        <sz val="11"/>
        <color indexed="8"/>
        <rFont val="宋体"/>
        <family val="3"/>
        <charset val="134"/>
      </rPr>
      <t>忽吉图高原鳅</t>
    </r>
  </si>
  <si>
    <r>
      <rPr>
        <sz val="11"/>
        <color indexed="8"/>
        <rFont val="宋体"/>
        <family val="3"/>
        <charset val="134"/>
      </rPr>
      <t>湖高原鳅</t>
    </r>
  </si>
  <si>
    <r>
      <rPr>
        <sz val="11"/>
        <color indexed="8"/>
        <rFont val="宋体"/>
        <family val="3"/>
        <charset val="134"/>
      </rPr>
      <t>梭形高原鳅</t>
    </r>
  </si>
  <si>
    <r>
      <rPr>
        <sz val="11"/>
        <color indexed="8"/>
        <rFont val="宋体"/>
        <family val="3"/>
        <charset val="134"/>
      </rPr>
      <t>蛇形高原鳅</t>
    </r>
  </si>
  <si>
    <r>
      <rPr>
        <sz val="11"/>
        <color indexed="8"/>
        <rFont val="宋体"/>
        <family val="3"/>
        <charset val="134"/>
      </rPr>
      <t>大斑高原鳅</t>
    </r>
  </si>
  <si>
    <r>
      <rPr>
        <sz val="11"/>
        <color indexed="8"/>
        <rFont val="宋体"/>
        <family val="3"/>
        <charset val="134"/>
      </rPr>
      <t>大眼高原鳅</t>
    </r>
  </si>
  <si>
    <r>
      <rPr>
        <sz val="11"/>
        <color indexed="8"/>
        <rFont val="宋体"/>
        <family val="3"/>
        <charset val="134"/>
      </rPr>
      <t>麻尔柯高原鳅</t>
    </r>
  </si>
  <si>
    <r>
      <rPr>
        <sz val="11"/>
        <color indexed="8"/>
        <rFont val="宋体"/>
        <family val="3"/>
        <charset val="134"/>
      </rPr>
      <t>小鳔高原鳅</t>
    </r>
  </si>
  <si>
    <r>
      <rPr>
        <sz val="11"/>
        <color indexed="8"/>
        <rFont val="宋体"/>
        <family val="3"/>
        <charset val="134"/>
      </rPr>
      <t>小眼高原鳅</t>
    </r>
  </si>
  <si>
    <r>
      <rPr>
        <sz val="11"/>
        <color indexed="8"/>
        <rFont val="宋体"/>
        <family val="3"/>
        <charset val="134"/>
      </rPr>
      <t>小体高原鳅</t>
    </r>
  </si>
  <si>
    <r>
      <rPr>
        <sz val="11"/>
        <color indexed="8"/>
        <rFont val="宋体"/>
        <family val="3"/>
        <charset val="134"/>
      </rPr>
      <t>岷县高原鳅</t>
    </r>
  </si>
  <si>
    <r>
      <rPr>
        <sz val="11"/>
        <color indexed="8"/>
        <rFont val="宋体"/>
        <family val="3"/>
        <charset val="134"/>
      </rPr>
      <t>墨曲高原鳅</t>
    </r>
  </si>
  <si>
    <r>
      <rPr>
        <sz val="11"/>
        <color indexed="8"/>
        <rFont val="宋体"/>
        <family val="3"/>
        <charset val="134"/>
      </rPr>
      <t>南盘江高原鳅</t>
    </r>
  </si>
  <si>
    <r>
      <rPr>
        <sz val="11"/>
        <color indexed="8"/>
        <rFont val="宋体"/>
        <family val="3"/>
        <charset val="134"/>
      </rPr>
      <t>宁蒗高原鳅</t>
    </r>
  </si>
  <si>
    <r>
      <rPr>
        <sz val="11"/>
        <color indexed="8"/>
        <rFont val="宋体"/>
        <family val="3"/>
        <charset val="134"/>
      </rPr>
      <t>黑体高原鳅</t>
    </r>
  </si>
  <si>
    <r>
      <rPr>
        <sz val="11"/>
        <color indexed="8"/>
        <rFont val="宋体"/>
        <family val="3"/>
        <charset val="134"/>
      </rPr>
      <t>东方高原鳅</t>
    </r>
  </si>
  <si>
    <r>
      <rPr>
        <sz val="11"/>
        <color indexed="8"/>
        <rFont val="宋体"/>
        <family val="3"/>
        <charset val="134"/>
      </rPr>
      <t>黄河高原鳅</t>
    </r>
  </si>
  <si>
    <r>
      <rPr>
        <sz val="11"/>
        <color indexed="8"/>
        <rFont val="宋体"/>
        <family val="3"/>
        <charset val="134"/>
      </rPr>
      <t>多斑高原鳅</t>
    </r>
  </si>
  <si>
    <r>
      <rPr>
        <sz val="11"/>
        <color indexed="8"/>
        <rFont val="宋体"/>
        <family val="3"/>
        <charset val="134"/>
      </rPr>
      <t>拟硬刺高原鳅</t>
    </r>
  </si>
  <si>
    <r>
      <rPr>
        <sz val="11"/>
        <color indexed="8"/>
        <rFont val="宋体"/>
        <family val="3"/>
        <charset val="134"/>
      </rPr>
      <t>甘肃高原鳅</t>
    </r>
  </si>
  <si>
    <r>
      <rPr>
        <sz val="11"/>
        <color indexed="8"/>
        <rFont val="宋体"/>
        <family val="3"/>
        <charset val="134"/>
      </rPr>
      <t>圆腹高原鳅</t>
    </r>
  </si>
  <si>
    <r>
      <rPr>
        <sz val="11"/>
        <color indexed="8"/>
        <rFont val="宋体"/>
        <family val="3"/>
        <charset val="134"/>
      </rPr>
      <t>硬刺高原鳅</t>
    </r>
  </si>
  <si>
    <r>
      <rPr>
        <sz val="11"/>
        <color indexed="8"/>
        <rFont val="宋体"/>
        <family val="3"/>
        <charset val="134"/>
      </rPr>
      <t>赛丽高原鳅</t>
    </r>
  </si>
  <si>
    <r>
      <rPr>
        <sz val="11"/>
        <color indexed="8"/>
        <rFont val="宋体"/>
        <family val="3"/>
        <charset val="134"/>
      </rPr>
      <t>石林盲高原鳅</t>
    </r>
  </si>
  <si>
    <r>
      <rPr>
        <sz val="11"/>
        <color indexed="8"/>
        <rFont val="宋体"/>
        <family val="3"/>
        <charset val="134"/>
      </rPr>
      <t>拟鲶高原鳅</t>
    </r>
  </si>
  <si>
    <r>
      <rPr>
        <sz val="11"/>
        <color indexed="8"/>
        <rFont val="宋体"/>
        <family val="3"/>
        <charset val="134"/>
      </rPr>
      <t>细尾高原鳅</t>
    </r>
  </si>
  <si>
    <r>
      <rPr>
        <sz val="11"/>
        <color indexed="8"/>
        <rFont val="宋体"/>
        <family val="3"/>
        <charset val="134"/>
      </rPr>
      <t>刺突高原鳅</t>
    </r>
  </si>
  <si>
    <r>
      <rPr>
        <sz val="11"/>
        <color indexed="8"/>
        <rFont val="宋体"/>
        <family val="3"/>
        <charset val="134"/>
      </rPr>
      <t>斯氏高原鳅</t>
    </r>
  </si>
  <si>
    <r>
      <rPr>
        <sz val="11"/>
        <color indexed="8"/>
        <rFont val="宋体"/>
        <family val="3"/>
        <charset val="134"/>
      </rPr>
      <t>黑斑高原鳅</t>
    </r>
  </si>
  <si>
    <r>
      <rPr>
        <sz val="11"/>
        <color indexed="8"/>
        <rFont val="宋体"/>
        <family val="3"/>
        <charset val="134"/>
      </rPr>
      <t>窄尾高原鳅</t>
    </r>
  </si>
  <si>
    <r>
      <rPr>
        <sz val="11"/>
        <color indexed="8"/>
        <rFont val="宋体"/>
        <family val="3"/>
        <charset val="134"/>
      </rPr>
      <t>长身高原鳅</t>
    </r>
  </si>
  <si>
    <r>
      <rPr>
        <sz val="11"/>
        <color indexed="8"/>
        <rFont val="宋体"/>
        <family val="3"/>
        <charset val="134"/>
      </rPr>
      <t>西藏高原鳅</t>
    </r>
  </si>
  <si>
    <r>
      <rPr>
        <sz val="11"/>
        <color indexed="8"/>
        <rFont val="宋体"/>
        <family val="3"/>
        <charset val="134"/>
      </rPr>
      <t>吐鲁番高原鳅</t>
    </r>
  </si>
  <si>
    <r>
      <rPr>
        <sz val="11"/>
        <color indexed="8"/>
        <rFont val="宋体"/>
        <family val="3"/>
        <charset val="134"/>
      </rPr>
      <t>秀丽高原鳅</t>
    </r>
  </si>
  <si>
    <r>
      <rPr>
        <sz val="11"/>
        <color indexed="8"/>
        <rFont val="宋体"/>
        <family val="3"/>
        <charset val="134"/>
      </rPr>
      <t>武威高原鳅</t>
    </r>
  </si>
  <si>
    <r>
      <rPr>
        <sz val="11"/>
        <color indexed="8"/>
        <rFont val="宋体"/>
        <family val="3"/>
        <charset val="134"/>
      </rPr>
      <t>西昌高原鳅</t>
    </r>
  </si>
  <si>
    <r>
      <rPr>
        <sz val="11"/>
        <color indexed="8"/>
        <rFont val="宋体"/>
        <family val="3"/>
        <charset val="134"/>
      </rPr>
      <t>叶尔羌高原鳅</t>
    </r>
  </si>
  <si>
    <r>
      <rPr>
        <sz val="11"/>
        <color indexed="8"/>
        <rFont val="宋体"/>
        <family val="3"/>
        <charset val="134"/>
      </rPr>
      <t>云南高原鳅</t>
    </r>
  </si>
  <si>
    <r>
      <rPr>
        <sz val="11"/>
        <color indexed="8"/>
        <rFont val="宋体"/>
        <family val="3"/>
        <charset val="134"/>
      </rPr>
      <t>巨头高原鳅</t>
    </r>
  </si>
  <si>
    <r>
      <rPr>
        <sz val="11"/>
        <color indexed="8"/>
        <rFont val="宋体"/>
        <family val="3"/>
        <charset val="134"/>
      </rPr>
      <t>高体云南鳅</t>
    </r>
  </si>
  <si>
    <r>
      <rPr>
        <sz val="11"/>
        <color indexed="8"/>
        <rFont val="宋体"/>
        <family val="3"/>
        <charset val="134"/>
      </rPr>
      <t>长臀云南鳅</t>
    </r>
  </si>
  <si>
    <r>
      <rPr>
        <sz val="11"/>
        <color indexed="8"/>
        <rFont val="宋体"/>
        <family val="3"/>
        <charset val="134"/>
      </rPr>
      <t>草海云南鳅</t>
    </r>
  </si>
  <si>
    <r>
      <rPr>
        <sz val="11"/>
        <color indexed="8"/>
        <rFont val="宋体"/>
        <family val="3"/>
        <charset val="134"/>
      </rPr>
      <t>异色云南鳅</t>
    </r>
  </si>
  <si>
    <r>
      <rPr>
        <sz val="11"/>
        <color indexed="8"/>
        <rFont val="宋体"/>
        <family val="3"/>
        <charset val="134"/>
      </rPr>
      <t>纺锤云南鳅</t>
    </r>
  </si>
  <si>
    <r>
      <rPr>
        <sz val="11"/>
        <color indexed="8"/>
        <rFont val="宋体"/>
        <family val="3"/>
        <charset val="134"/>
      </rPr>
      <t>长鳔云南鳅</t>
    </r>
  </si>
  <si>
    <r>
      <rPr>
        <sz val="11"/>
        <color indexed="8"/>
        <rFont val="宋体"/>
        <family val="3"/>
        <charset val="134"/>
      </rPr>
      <t>臌腹云南鳅</t>
    </r>
  </si>
  <si>
    <r>
      <rPr>
        <sz val="11"/>
        <color indexed="8"/>
        <rFont val="宋体"/>
        <family val="3"/>
        <charset val="134"/>
      </rPr>
      <t>黑体云南鳅</t>
    </r>
  </si>
  <si>
    <r>
      <rPr>
        <sz val="11"/>
        <color indexed="8"/>
        <rFont val="宋体"/>
        <family val="3"/>
        <charset val="134"/>
      </rPr>
      <t>黑斑云南鳅</t>
    </r>
  </si>
  <si>
    <r>
      <rPr>
        <sz val="11"/>
        <color indexed="8"/>
        <rFont val="宋体"/>
        <family val="3"/>
        <charset val="134"/>
      </rPr>
      <t>宽头云南鳅</t>
    </r>
  </si>
  <si>
    <r>
      <rPr>
        <sz val="11"/>
        <color indexed="8"/>
        <rFont val="宋体"/>
        <family val="3"/>
        <charset val="134"/>
      </rPr>
      <t>沼泽云南鳅</t>
    </r>
  </si>
  <si>
    <r>
      <rPr>
        <sz val="11"/>
        <color indexed="8"/>
        <rFont val="宋体"/>
        <family val="3"/>
        <charset val="134"/>
      </rPr>
      <t>小云南鳅</t>
    </r>
  </si>
  <si>
    <r>
      <rPr>
        <sz val="11"/>
        <color indexed="8"/>
        <rFont val="宋体"/>
        <family val="3"/>
        <charset val="134"/>
      </rPr>
      <t>侧纹云南鳅</t>
    </r>
  </si>
  <si>
    <r>
      <rPr>
        <sz val="11"/>
        <color indexed="8"/>
        <rFont val="宋体"/>
        <family val="3"/>
        <charset val="134"/>
      </rPr>
      <t>四川云南鳅</t>
    </r>
  </si>
  <si>
    <r>
      <rPr>
        <sz val="11"/>
        <color indexed="8"/>
        <rFont val="宋体"/>
        <family val="3"/>
        <charset val="134"/>
      </rPr>
      <t>阳宗海云南鳅</t>
    </r>
  </si>
  <si>
    <r>
      <rPr>
        <sz val="11"/>
        <color indexed="8"/>
        <rFont val="宋体"/>
        <family val="3"/>
        <charset val="134"/>
      </rPr>
      <t>斑鳍沙鳅</t>
    </r>
  </si>
  <si>
    <r>
      <rPr>
        <sz val="11"/>
        <color indexed="8"/>
        <rFont val="宋体"/>
        <family val="3"/>
        <charset val="134"/>
      </rPr>
      <t>缅甸沙鳅</t>
    </r>
  </si>
  <si>
    <r>
      <rPr>
        <sz val="11"/>
        <color indexed="8"/>
        <rFont val="宋体"/>
        <family val="3"/>
        <charset val="134"/>
      </rPr>
      <t>伊洛瓦底沙鳅</t>
    </r>
  </si>
  <si>
    <r>
      <rPr>
        <sz val="11"/>
        <color indexed="8"/>
        <rFont val="宋体"/>
        <family val="3"/>
        <charset val="134"/>
      </rPr>
      <t>南方沙鳅</t>
    </r>
  </si>
  <si>
    <r>
      <rPr>
        <sz val="11"/>
        <color indexed="8"/>
        <rFont val="宋体"/>
        <family val="3"/>
        <charset val="134"/>
      </rPr>
      <t>黑线沙鳅</t>
    </r>
  </si>
  <si>
    <r>
      <rPr>
        <sz val="11"/>
        <color indexed="8"/>
        <rFont val="宋体"/>
        <family val="3"/>
        <charset val="134"/>
      </rPr>
      <t>美丽沙鳅</t>
    </r>
  </si>
  <si>
    <r>
      <rPr>
        <sz val="11"/>
        <color indexed="8"/>
        <rFont val="宋体"/>
        <family val="3"/>
        <charset val="134"/>
      </rPr>
      <t>宽体沙鳅</t>
    </r>
  </si>
  <si>
    <r>
      <rPr>
        <sz val="11"/>
        <color indexed="8"/>
        <rFont val="宋体"/>
        <family val="3"/>
        <charset val="134"/>
      </rPr>
      <t>壮体沙鳅</t>
    </r>
  </si>
  <si>
    <r>
      <rPr>
        <sz val="11"/>
        <color indexed="8"/>
        <rFont val="宋体"/>
        <family val="3"/>
        <charset val="134"/>
      </rPr>
      <t>突吻沙鳅</t>
    </r>
  </si>
  <si>
    <r>
      <rPr>
        <sz val="11"/>
        <color indexed="8"/>
        <rFont val="宋体"/>
        <family val="3"/>
        <charset val="134"/>
      </rPr>
      <t>中华沙鳅</t>
    </r>
  </si>
  <si>
    <r>
      <rPr>
        <sz val="11"/>
        <color indexed="8"/>
        <rFont val="宋体"/>
        <family val="3"/>
        <charset val="134"/>
      </rPr>
      <t>云南沙鳅</t>
    </r>
  </si>
  <si>
    <r>
      <rPr>
        <sz val="11"/>
        <color indexed="8"/>
        <rFont val="宋体"/>
        <family val="3"/>
        <charset val="134"/>
      </rPr>
      <t>短薄鳅</t>
    </r>
  </si>
  <si>
    <r>
      <rPr>
        <sz val="11"/>
        <color indexed="8"/>
        <rFont val="宋体"/>
        <family val="3"/>
        <charset val="134"/>
      </rPr>
      <t>长薄鳅</t>
    </r>
  </si>
  <si>
    <r>
      <rPr>
        <sz val="11"/>
        <color indexed="8"/>
        <rFont val="宋体"/>
        <family val="3"/>
        <charset val="134"/>
      </rPr>
      <t>黄线薄鳅</t>
    </r>
  </si>
  <si>
    <r>
      <rPr>
        <sz val="11"/>
        <color indexed="8"/>
        <rFont val="宋体"/>
        <family val="3"/>
        <charset val="134"/>
      </rPr>
      <t>桂林薄鳅</t>
    </r>
  </si>
  <si>
    <r>
      <rPr>
        <sz val="11"/>
        <color indexed="8"/>
        <rFont val="宋体"/>
        <family val="3"/>
        <charset val="134"/>
      </rPr>
      <t>衡阳薄鳅</t>
    </r>
  </si>
  <si>
    <r>
      <rPr>
        <sz val="11"/>
        <color indexed="8"/>
        <rFont val="宋体"/>
        <family val="3"/>
        <charset val="134"/>
      </rPr>
      <t>小眼薄鳅</t>
    </r>
  </si>
  <si>
    <r>
      <rPr>
        <sz val="11"/>
        <color indexed="8"/>
        <rFont val="宋体"/>
        <family val="3"/>
        <charset val="134"/>
      </rPr>
      <t>东方薄鳅</t>
    </r>
  </si>
  <si>
    <r>
      <rPr>
        <sz val="11"/>
        <color indexed="8"/>
        <rFont val="宋体"/>
        <family val="3"/>
        <charset val="134"/>
      </rPr>
      <t>薄鳅</t>
    </r>
  </si>
  <si>
    <r>
      <rPr>
        <sz val="11"/>
        <color indexed="8"/>
        <rFont val="宋体"/>
        <family val="3"/>
        <charset val="134"/>
      </rPr>
      <t>后鳍薄鳅</t>
    </r>
  </si>
  <si>
    <r>
      <rPr>
        <sz val="11"/>
        <color indexed="8"/>
        <rFont val="宋体"/>
        <family val="3"/>
        <charset val="134"/>
      </rPr>
      <t>红唇薄鳅</t>
    </r>
  </si>
  <si>
    <r>
      <rPr>
        <sz val="11"/>
        <color indexed="8"/>
        <rFont val="宋体"/>
        <family val="3"/>
        <charset val="134"/>
      </rPr>
      <t>紫薄鳅</t>
    </r>
  </si>
  <si>
    <r>
      <rPr>
        <sz val="11"/>
        <color indexed="8"/>
        <rFont val="宋体"/>
        <family val="3"/>
        <charset val="134"/>
      </rPr>
      <t>张氏薄鳅</t>
    </r>
  </si>
  <si>
    <r>
      <rPr>
        <sz val="11"/>
        <color indexed="8"/>
        <rFont val="宋体"/>
        <family val="3"/>
        <charset val="134"/>
      </rPr>
      <t>扁尾薄鳅</t>
    </r>
  </si>
  <si>
    <r>
      <rPr>
        <sz val="11"/>
        <color indexed="8"/>
        <rFont val="宋体"/>
        <family val="3"/>
        <charset val="134"/>
      </rPr>
      <t>闽江扁尾薄鳅</t>
    </r>
  </si>
  <si>
    <r>
      <rPr>
        <sz val="11"/>
        <color indexed="8"/>
        <rFont val="宋体"/>
        <family val="3"/>
        <charset val="134"/>
      </rPr>
      <t>汉水扁尾薄鳅</t>
    </r>
  </si>
  <si>
    <r>
      <rPr>
        <sz val="11"/>
        <color indexed="8"/>
        <rFont val="宋体"/>
        <family val="3"/>
        <charset val="134"/>
      </rPr>
      <t>天台扁尾薄鳅</t>
    </r>
  </si>
  <si>
    <r>
      <rPr>
        <sz val="11"/>
        <color indexed="8"/>
        <rFont val="宋体"/>
        <family val="3"/>
        <charset val="134"/>
      </rPr>
      <t>斑纹薄鳅</t>
    </r>
  </si>
  <si>
    <r>
      <rPr>
        <sz val="11"/>
        <color indexed="8"/>
        <rFont val="宋体"/>
        <family val="3"/>
        <charset val="134"/>
      </rPr>
      <t>武昌副沙鳅</t>
    </r>
  </si>
  <si>
    <r>
      <rPr>
        <sz val="11"/>
        <color indexed="8"/>
        <rFont val="宋体"/>
        <family val="3"/>
        <charset val="134"/>
      </rPr>
      <t>双斑副沙鳅</t>
    </r>
  </si>
  <si>
    <r>
      <rPr>
        <sz val="11"/>
        <color indexed="8"/>
        <rFont val="宋体"/>
        <family val="3"/>
        <charset val="134"/>
      </rPr>
      <t>花斑副沙鳅</t>
    </r>
  </si>
  <si>
    <r>
      <rPr>
        <sz val="11"/>
        <color indexed="8"/>
        <rFont val="宋体"/>
        <family val="3"/>
        <charset val="134"/>
      </rPr>
      <t>漓江副沙鳅</t>
    </r>
  </si>
  <si>
    <r>
      <rPr>
        <sz val="11"/>
        <color indexed="8"/>
        <rFont val="宋体"/>
        <family val="3"/>
        <charset val="134"/>
      </rPr>
      <t>点面副沙鳅</t>
    </r>
  </si>
  <si>
    <r>
      <rPr>
        <sz val="11"/>
        <color indexed="8"/>
        <rFont val="宋体"/>
        <family val="3"/>
        <charset val="134"/>
      </rPr>
      <t>小副沙鳅</t>
    </r>
  </si>
  <si>
    <r>
      <rPr>
        <sz val="11"/>
        <color indexed="8"/>
        <rFont val="宋体"/>
        <family val="3"/>
        <charset val="134"/>
      </rPr>
      <t>马头鳅</t>
    </r>
  </si>
  <si>
    <r>
      <rPr>
        <sz val="11"/>
        <color indexed="8"/>
        <rFont val="宋体"/>
        <family val="3"/>
        <charset val="134"/>
      </rPr>
      <t>拟长鳅</t>
    </r>
  </si>
  <si>
    <r>
      <rPr>
        <sz val="11"/>
        <color indexed="8"/>
        <rFont val="宋体"/>
        <family val="3"/>
        <charset val="134"/>
      </rPr>
      <t>沙花鳅</t>
    </r>
  </si>
  <si>
    <r>
      <rPr>
        <sz val="11"/>
        <color indexed="8"/>
        <rFont val="宋体"/>
        <family val="3"/>
        <charset val="134"/>
      </rPr>
      <t>北方花鳅</t>
    </r>
  </si>
  <si>
    <r>
      <rPr>
        <sz val="11"/>
        <color indexed="8"/>
        <rFont val="宋体"/>
        <family val="3"/>
        <charset val="134"/>
      </rPr>
      <t>斑条花鳅</t>
    </r>
  </si>
  <si>
    <r>
      <rPr>
        <sz val="11"/>
        <color indexed="8"/>
        <rFont val="宋体"/>
        <family val="3"/>
        <charset val="134"/>
      </rPr>
      <t>黑龙江花鳅</t>
    </r>
  </si>
  <si>
    <r>
      <rPr>
        <sz val="11"/>
        <color indexed="8"/>
        <rFont val="宋体"/>
        <family val="3"/>
        <charset val="134"/>
      </rPr>
      <t>大斑花鳅</t>
    </r>
  </si>
  <si>
    <r>
      <rPr>
        <sz val="11"/>
        <color indexed="8"/>
        <rFont val="宋体"/>
        <family val="3"/>
        <charset val="134"/>
      </rPr>
      <t>中华花鳅</t>
    </r>
  </si>
  <si>
    <r>
      <rPr>
        <sz val="11"/>
        <color indexed="8"/>
        <rFont val="宋体"/>
        <family val="3"/>
        <charset val="134"/>
      </rPr>
      <t>鳞头鳅</t>
    </r>
  </si>
  <si>
    <r>
      <rPr>
        <sz val="11"/>
        <color indexed="8"/>
        <rFont val="宋体"/>
        <family val="3"/>
        <charset val="134"/>
      </rPr>
      <t>泥鳅</t>
    </r>
  </si>
  <si>
    <r>
      <rPr>
        <sz val="11"/>
        <color indexed="8"/>
        <rFont val="宋体"/>
        <family val="3"/>
        <charset val="134"/>
      </rPr>
      <t>北方泥鳅</t>
    </r>
  </si>
  <si>
    <r>
      <rPr>
        <sz val="11"/>
        <color indexed="8"/>
        <rFont val="宋体"/>
        <family val="3"/>
        <charset val="134"/>
      </rPr>
      <t>黑龙江泥鳅</t>
    </r>
  </si>
  <si>
    <r>
      <rPr>
        <sz val="11"/>
        <color indexed="8"/>
        <rFont val="宋体"/>
        <family val="3"/>
        <charset val="134"/>
      </rPr>
      <t>少鳞泥鳅</t>
    </r>
  </si>
  <si>
    <r>
      <rPr>
        <sz val="11"/>
        <color indexed="8"/>
        <rFont val="宋体"/>
        <family val="3"/>
        <charset val="134"/>
      </rPr>
      <t>细头鳅</t>
    </r>
  </si>
  <si>
    <r>
      <rPr>
        <sz val="11"/>
        <color indexed="8"/>
        <rFont val="宋体"/>
        <family val="3"/>
        <charset val="134"/>
      </rPr>
      <t>大鳞副泥鳅</t>
    </r>
  </si>
  <si>
    <r>
      <rPr>
        <sz val="11"/>
        <color indexed="8"/>
        <rFont val="宋体"/>
        <family val="3"/>
        <charset val="134"/>
      </rPr>
      <t>平鳍鳅科</t>
    </r>
  </si>
  <si>
    <r>
      <rPr>
        <sz val="11"/>
        <color indexed="8"/>
        <rFont val="宋体"/>
        <family val="3"/>
        <charset val="134"/>
      </rPr>
      <t>圆体爬岩鳅</t>
    </r>
  </si>
  <si>
    <r>
      <rPr>
        <sz val="11"/>
        <color indexed="8"/>
        <rFont val="宋体"/>
        <family val="3"/>
        <charset val="134"/>
      </rPr>
      <t>黄果树爬岩鳅</t>
    </r>
  </si>
  <si>
    <r>
      <rPr>
        <sz val="11"/>
        <color indexed="8"/>
        <rFont val="宋体"/>
        <family val="3"/>
        <charset val="134"/>
      </rPr>
      <t>贵州爬岩鳅</t>
    </r>
  </si>
  <si>
    <r>
      <rPr>
        <sz val="11"/>
        <color indexed="8"/>
        <rFont val="宋体"/>
        <family val="3"/>
        <charset val="134"/>
      </rPr>
      <t>细尾贵州爬岩鳅</t>
    </r>
  </si>
  <si>
    <r>
      <rPr>
        <sz val="11"/>
        <color indexed="8"/>
        <rFont val="宋体"/>
        <family val="3"/>
        <charset val="134"/>
      </rPr>
      <t>贵州爬岩鳅指名亚种</t>
    </r>
  </si>
  <si>
    <r>
      <rPr>
        <sz val="11"/>
        <color indexed="8"/>
        <rFont val="宋体"/>
        <family val="3"/>
        <charset val="134"/>
      </rPr>
      <t>爬岩鳅</t>
    </r>
  </si>
  <si>
    <r>
      <rPr>
        <sz val="11"/>
        <color indexed="8"/>
        <rFont val="宋体"/>
        <family val="3"/>
        <charset val="134"/>
      </rPr>
      <t>侧沟爬岩鳅</t>
    </r>
  </si>
  <si>
    <r>
      <rPr>
        <sz val="11"/>
        <color indexed="8"/>
        <rFont val="宋体"/>
        <family val="3"/>
        <charset val="134"/>
      </rPr>
      <t>条斑爬岩鳅</t>
    </r>
  </si>
  <si>
    <r>
      <rPr>
        <sz val="11"/>
        <color indexed="8"/>
        <rFont val="宋体"/>
        <family val="3"/>
        <charset val="134"/>
      </rPr>
      <t>多鳞爬岩鳅</t>
    </r>
  </si>
  <si>
    <r>
      <rPr>
        <sz val="11"/>
        <color indexed="8"/>
        <rFont val="宋体"/>
        <family val="3"/>
        <charset val="134"/>
      </rPr>
      <t>四川爬岩鳅</t>
    </r>
  </si>
  <si>
    <r>
      <rPr>
        <sz val="11"/>
        <color indexed="8"/>
        <rFont val="宋体"/>
        <family val="3"/>
        <charset val="134"/>
      </rPr>
      <t>缨口鳅</t>
    </r>
  </si>
  <si>
    <r>
      <rPr>
        <sz val="11"/>
        <color indexed="8"/>
        <rFont val="宋体"/>
        <family val="3"/>
        <charset val="134"/>
      </rPr>
      <t>花尾缨口鳅</t>
    </r>
  </si>
  <si>
    <r>
      <rPr>
        <sz val="11"/>
        <color indexed="8"/>
        <rFont val="宋体"/>
        <family val="3"/>
        <charset val="134"/>
      </rPr>
      <t>台湾缨口鳅</t>
    </r>
  </si>
  <si>
    <r>
      <rPr>
        <sz val="11"/>
        <color indexed="8"/>
        <rFont val="宋体"/>
        <family val="3"/>
        <charset val="134"/>
      </rPr>
      <t>少鳞缨口鳅</t>
    </r>
  </si>
  <si>
    <r>
      <rPr>
        <sz val="11"/>
        <color indexed="8"/>
        <rFont val="宋体"/>
        <family val="3"/>
        <charset val="134"/>
      </rPr>
      <t>斑纹缨口鳅</t>
    </r>
  </si>
  <si>
    <r>
      <rPr>
        <sz val="11"/>
        <color indexed="8"/>
        <rFont val="宋体"/>
        <family val="3"/>
        <charset val="134"/>
      </rPr>
      <t>广东缨口鳅</t>
    </r>
  </si>
  <si>
    <r>
      <rPr>
        <sz val="11"/>
        <color indexed="8"/>
        <rFont val="宋体"/>
        <family val="3"/>
        <charset val="134"/>
      </rPr>
      <t>拟平鳅</t>
    </r>
  </si>
  <si>
    <r>
      <rPr>
        <sz val="11"/>
        <color indexed="8"/>
        <rFont val="宋体"/>
        <family val="3"/>
        <charset val="134"/>
      </rPr>
      <t>拟平鳅指名亚种</t>
    </r>
  </si>
  <si>
    <r>
      <rPr>
        <sz val="11"/>
        <color indexed="8"/>
        <rFont val="宋体"/>
        <family val="3"/>
        <charset val="134"/>
      </rPr>
      <t>琼中拟平鳅</t>
    </r>
  </si>
  <si>
    <r>
      <rPr>
        <sz val="11"/>
        <color indexed="8"/>
        <rFont val="宋体"/>
        <family val="3"/>
        <charset val="134"/>
      </rPr>
      <t>钝吻拟平鳅</t>
    </r>
  </si>
  <si>
    <r>
      <rPr>
        <sz val="11"/>
        <color indexed="8"/>
        <rFont val="宋体"/>
        <family val="3"/>
        <charset val="134"/>
      </rPr>
      <t>似原吸鳅</t>
    </r>
  </si>
  <si>
    <r>
      <rPr>
        <sz val="11"/>
        <color indexed="8"/>
        <rFont val="宋体"/>
        <family val="3"/>
        <charset val="134"/>
      </rPr>
      <t>保亭近腹吸鳅</t>
    </r>
  </si>
  <si>
    <r>
      <rPr>
        <sz val="11"/>
        <color indexed="8"/>
        <rFont val="宋体"/>
        <family val="3"/>
        <charset val="134"/>
      </rPr>
      <t>厚唇原吸鳅</t>
    </r>
  </si>
  <si>
    <r>
      <rPr>
        <sz val="11"/>
        <color indexed="8"/>
        <rFont val="宋体"/>
        <family val="3"/>
        <charset val="134"/>
      </rPr>
      <t>中华原吸鳅</t>
    </r>
  </si>
  <si>
    <r>
      <rPr>
        <sz val="11"/>
        <color indexed="8"/>
        <rFont val="宋体"/>
        <family val="3"/>
        <charset val="134"/>
      </rPr>
      <t>长汀拟腹吸鳅</t>
    </r>
  </si>
  <si>
    <r>
      <rPr>
        <sz val="11"/>
        <color indexed="8"/>
        <rFont val="宋体"/>
        <family val="3"/>
        <charset val="134"/>
      </rPr>
      <t>长汀拟腹吸鳅指名亚种</t>
    </r>
  </si>
  <si>
    <r>
      <rPr>
        <sz val="11"/>
        <color indexed="8"/>
        <rFont val="宋体"/>
        <family val="3"/>
        <charset val="134"/>
      </rPr>
      <t>东陂拟腹吸鳅</t>
    </r>
  </si>
  <si>
    <r>
      <rPr>
        <sz val="11"/>
        <color indexed="8"/>
        <rFont val="宋体"/>
        <family val="3"/>
        <charset val="134"/>
      </rPr>
      <t>圆斑拟腹吸鳅</t>
    </r>
  </si>
  <si>
    <r>
      <rPr>
        <sz val="11"/>
        <color indexed="8"/>
        <rFont val="宋体"/>
        <family val="3"/>
        <charset val="134"/>
      </rPr>
      <t>珠江拟腹吸鳅</t>
    </r>
  </si>
  <si>
    <r>
      <rPr>
        <sz val="11"/>
        <color indexed="8"/>
        <rFont val="宋体"/>
        <family val="3"/>
        <charset val="134"/>
      </rPr>
      <t>拟腹吸鳅</t>
    </r>
  </si>
  <si>
    <r>
      <rPr>
        <sz val="11"/>
        <color indexed="8"/>
        <rFont val="宋体"/>
        <family val="3"/>
        <charset val="134"/>
      </rPr>
      <t>拟腹吸鳅指名亚种</t>
    </r>
  </si>
  <si>
    <r>
      <rPr>
        <sz val="11"/>
        <color indexed="8"/>
        <rFont val="宋体"/>
        <family val="3"/>
        <charset val="134"/>
      </rPr>
      <t>九龙江拟腹吸鳅</t>
    </r>
  </si>
  <si>
    <r>
      <rPr>
        <sz val="11"/>
        <color indexed="8"/>
        <rFont val="宋体"/>
        <family val="3"/>
        <charset val="134"/>
      </rPr>
      <t>宽头拟腹吸鳅</t>
    </r>
  </si>
  <si>
    <r>
      <rPr>
        <sz val="11"/>
        <color indexed="8"/>
        <rFont val="宋体"/>
        <family val="3"/>
        <charset val="134"/>
      </rPr>
      <t>练江拟腹吸鳅</t>
    </r>
  </si>
  <si>
    <r>
      <rPr>
        <sz val="11"/>
        <color indexed="8"/>
        <rFont val="宋体"/>
        <family val="3"/>
        <charset val="134"/>
      </rPr>
      <t>麦氏拟腹吸鳅</t>
    </r>
  </si>
  <si>
    <r>
      <rPr>
        <sz val="11"/>
        <color indexed="8"/>
        <rFont val="宋体"/>
        <family val="3"/>
        <charset val="134"/>
      </rPr>
      <t>密斑拟腹吸鳅</t>
    </r>
  </si>
  <si>
    <r>
      <rPr>
        <sz val="11"/>
        <color indexed="8"/>
        <rFont val="宋体"/>
        <family val="3"/>
        <charset val="134"/>
      </rPr>
      <t>纵纹原缨口鳅</t>
    </r>
  </si>
  <si>
    <r>
      <rPr>
        <sz val="11"/>
        <color indexed="8"/>
        <rFont val="宋体"/>
        <family val="3"/>
        <charset val="134"/>
      </rPr>
      <t>裸腹原缨口鳅</t>
    </r>
  </si>
  <si>
    <r>
      <rPr>
        <sz val="11"/>
        <color indexed="8"/>
        <rFont val="宋体"/>
        <family val="3"/>
        <charset val="134"/>
      </rPr>
      <t>海南原缨口鳅</t>
    </r>
  </si>
  <si>
    <r>
      <rPr>
        <sz val="11"/>
        <color indexed="8"/>
        <rFont val="宋体"/>
        <family val="3"/>
        <charset val="134"/>
      </rPr>
      <t>线纹原缨口鳅</t>
    </r>
  </si>
  <si>
    <r>
      <rPr>
        <sz val="11"/>
        <color indexed="8"/>
        <rFont val="宋体"/>
        <family val="3"/>
        <charset val="134"/>
      </rPr>
      <t>平舟原缨口鳅</t>
    </r>
  </si>
  <si>
    <r>
      <rPr>
        <sz val="11"/>
        <color indexed="8"/>
        <rFont val="宋体"/>
        <family val="3"/>
        <charset val="134"/>
      </rPr>
      <t>原缨口鳅</t>
    </r>
  </si>
  <si>
    <r>
      <rPr>
        <sz val="11"/>
        <color indexed="8"/>
        <rFont val="宋体"/>
        <family val="3"/>
        <charset val="134"/>
      </rPr>
      <t>浙南原缨口鳅</t>
    </r>
  </si>
  <si>
    <r>
      <rPr>
        <sz val="11"/>
        <color indexed="8"/>
        <rFont val="宋体"/>
        <family val="3"/>
        <charset val="134"/>
      </rPr>
      <t>原缨口鳅指名亚种</t>
    </r>
  </si>
  <si>
    <r>
      <rPr>
        <sz val="11"/>
        <color indexed="8"/>
        <rFont val="宋体"/>
        <family val="3"/>
        <charset val="134"/>
      </rPr>
      <t>横斑原缨口鳅</t>
    </r>
  </si>
  <si>
    <r>
      <rPr>
        <sz val="11"/>
        <color indexed="8"/>
        <rFont val="宋体"/>
        <family val="3"/>
        <charset val="134"/>
      </rPr>
      <t>信宜原缨口鳅</t>
    </r>
  </si>
  <si>
    <r>
      <rPr>
        <sz val="11"/>
        <color indexed="8"/>
        <rFont val="宋体"/>
        <family val="3"/>
        <charset val="134"/>
      </rPr>
      <t>爬鳅</t>
    </r>
  </si>
  <si>
    <r>
      <rPr>
        <sz val="11"/>
        <color indexed="8"/>
        <rFont val="宋体"/>
        <family val="3"/>
        <charset val="134"/>
      </rPr>
      <t>长体爬鳅</t>
    </r>
  </si>
  <si>
    <r>
      <rPr>
        <sz val="11"/>
        <color indexed="8"/>
        <rFont val="宋体"/>
        <family val="3"/>
        <charset val="134"/>
      </rPr>
      <t>张氏爬鳅</t>
    </r>
  </si>
  <si>
    <r>
      <rPr>
        <sz val="11"/>
        <color indexed="8"/>
        <rFont val="宋体"/>
        <family val="3"/>
        <charset val="134"/>
      </rPr>
      <t>短身间吸鳅</t>
    </r>
  </si>
  <si>
    <r>
      <rPr>
        <sz val="11"/>
        <color indexed="8"/>
        <rFont val="宋体"/>
        <family val="3"/>
        <charset val="134"/>
      </rPr>
      <t>长体间吸鳅</t>
    </r>
  </si>
  <si>
    <r>
      <rPr>
        <sz val="11"/>
        <color indexed="8"/>
        <rFont val="宋体"/>
        <family val="3"/>
        <charset val="134"/>
      </rPr>
      <t>台湾间吸鳅</t>
    </r>
  </si>
  <si>
    <r>
      <rPr>
        <sz val="11"/>
        <color indexed="8"/>
        <rFont val="宋体"/>
        <family val="3"/>
        <charset val="134"/>
      </rPr>
      <t>大鳍间吸鳅</t>
    </r>
  </si>
  <si>
    <r>
      <rPr>
        <sz val="11"/>
        <color indexed="8"/>
        <rFont val="宋体"/>
        <family val="3"/>
        <charset val="134"/>
      </rPr>
      <t>大眼间吸鳅</t>
    </r>
  </si>
  <si>
    <r>
      <rPr>
        <sz val="11"/>
        <color indexed="8"/>
        <rFont val="宋体"/>
        <family val="3"/>
        <charset val="134"/>
      </rPr>
      <t>怒江间吸鳅</t>
    </r>
  </si>
  <si>
    <r>
      <rPr>
        <sz val="11"/>
        <color indexed="8"/>
        <rFont val="宋体"/>
        <family val="3"/>
        <charset val="134"/>
      </rPr>
      <t>彭氏间吸鳅</t>
    </r>
  </si>
  <si>
    <r>
      <rPr>
        <sz val="11"/>
        <color indexed="8"/>
        <rFont val="宋体"/>
        <family val="3"/>
        <charset val="134"/>
      </rPr>
      <t>矮身间吸鳅</t>
    </r>
  </si>
  <si>
    <r>
      <rPr>
        <sz val="11"/>
        <color indexed="8"/>
        <rFont val="宋体"/>
        <family val="3"/>
        <charset val="134"/>
      </rPr>
      <t>中华间吸鳅</t>
    </r>
  </si>
  <si>
    <r>
      <rPr>
        <sz val="11"/>
        <color indexed="8"/>
        <rFont val="宋体"/>
        <family val="3"/>
        <charset val="134"/>
      </rPr>
      <t>台东间吸鳅</t>
    </r>
  </si>
  <si>
    <r>
      <rPr>
        <sz val="11"/>
        <color indexed="8"/>
        <rFont val="宋体"/>
        <family val="3"/>
        <charset val="134"/>
      </rPr>
      <t>窑滩间吸鳅</t>
    </r>
  </si>
  <si>
    <r>
      <rPr>
        <sz val="11"/>
        <color indexed="8"/>
        <rFont val="宋体"/>
        <family val="3"/>
        <charset val="134"/>
      </rPr>
      <t>云南平鳅</t>
    </r>
  </si>
  <si>
    <r>
      <rPr>
        <sz val="11"/>
        <color indexed="8"/>
        <rFont val="宋体"/>
        <family val="3"/>
        <charset val="134"/>
      </rPr>
      <t>长鳍犁头鳅</t>
    </r>
  </si>
  <si>
    <r>
      <rPr>
        <sz val="11"/>
        <color indexed="8"/>
        <rFont val="宋体"/>
        <family val="3"/>
        <charset val="134"/>
      </rPr>
      <t>犁头鳅</t>
    </r>
  </si>
  <si>
    <r>
      <rPr>
        <sz val="11"/>
        <color indexed="8"/>
        <rFont val="宋体"/>
        <family val="3"/>
        <charset val="134"/>
      </rPr>
      <t>峨眉后平鳅</t>
    </r>
  </si>
  <si>
    <r>
      <rPr>
        <sz val="11"/>
        <color indexed="8"/>
        <rFont val="宋体"/>
        <family val="3"/>
        <charset val="134"/>
      </rPr>
      <t>南盘江华吸鳅</t>
    </r>
  </si>
  <si>
    <r>
      <rPr>
        <sz val="11"/>
        <color indexed="8"/>
        <rFont val="宋体"/>
        <family val="3"/>
        <charset val="134"/>
      </rPr>
      <t>埔里华吸鳅</t>
    </r>
  </si>
  <si>
    <r>
      <rPr>
        <sz val="11"/>
        <color indexed="8"/>
        <rFont val="宋体"/>
        <family val="3"/>
        <charset val="134"/>
      </rPr>
      <t>西昌华吸鳅</t>
    </r>
  </si>
  <si>
    <r>
      <rPr>
        <sz val="11"/>
        <color indexed="8"/>
        <rFont val="宋体"/>
        <family val="3"/>
        <charset val="134"/>
      </rPr>
      <t>四川华吸鳅</t>
    </r>
  </si>
  <si>
    <r>
      <rPr>
        <sz val="11"/>
        <color indexed="8"/>
        <rFont val="宋体"/>
        <family val="3"/>
        <charset val="134"/>
      </rPr>
      <t>下司华吸鳅</t>
    </r>
  </si>
  <si>
    <r>
      <rPr>
        <sz val="11"/>
        <color indexed="8"/>
        <rFont val="宋体"/>
        <family val="3"/>
        <charset val="134"/>
      </rPr>
      <t>四川华吸鳅指名亚种</t>
    </r>
  </si>
  <si>
    <r>
      <rPr>
        <sz val="11"/>
        <color indexed="8"/>
        <rFont val="宋体"/>
        <family val="3"/>
        <charset val="134"/>
      </rPr>
      <t>越南华吸鳅</t>
    </r>
  </si>
  <si>
    <r>
      <rPr>
        <sz val="11"/>
        <color indexed="8"/>
        <rFont val="宋体"/>
        <family val="3"/>
        <charset val="134"/>
      </rPr>
      <t>刺臀华吸鳅</t>
    </r>
  </si>
  <si>
    <r>
      <rPr>
        <sz val="11"/>
        <color indexed="8"/>
        <rFont val="宋体"/>
        <family val="3"/>
        <charset val="134"/>
      </rPr>
      <t>广西华平鳅</t>
    </r>
  </si>
  <si>
    <r>
      <rPr>
        <sz val="11"/>
        <color indexed="8"/>
        <rFont val="宋体"/>
        <family val="3"/>
        <charset val="134"/>
      </rPr>
      <t>澜沧江华平鳅</t>
    </r>
  </si>
  <si>
    <r>
      <rPr>
        <sz val="11"/>
        <color indexed="8"/>
        <rFont val="宋体"/>
        <family val="3"/>
        <charset val="134"/>
      </rPr>
      <t>长须华平鳅</t>
    </r>
  </si>
  <si>
    <r>
      <rPr>
        <sz val="11"/>
        <color indexed="8"/>
        <rFont val="宋体"/>
        <family val="3"/>
        <charset val="134"/>
      </rPr>
      <t>鲶科</t>
    </r>
  </si>
  <si>
    <r>
      <rPr>
        <sz val="11"/>
        <color indexed="8"/>
        <rFont val="宋体"/>
        <family val="3"/>
        <charset val="134"/>
      </rPr>
      <t>鲇形目</t>
    </r>
  </si>
  <si>
    <r>
      <rPr>
        <sz val="11"/>
        <color indexed="8"/>
        <rFont val="宋体"/>
        <family val="3"/>
        <charset val="134"/>
      </rPr>
      <t>西江鲇</t>
    </r>
  </si>
  <si>
    <r>
      <rPr>
        <sz val="11"/>
        <color indexed="8"/>
        <rFont val="宋体"/>
        <family val="3"/>
        <charset val="134"/>
      </rPr>
      <t>鲇科</t>
    </r>
  </si>
  <si>
    <r>
      <rPr>
        <sz val="11"/>
        <color indexed="8"/>
        <rFont val="宋体"/>
        <family val="3"/>
        <charset val="134"/>
      </rPr>
      <t>怀头鲇</t>
    </r>
  </si>
  <si>
    <r>
      <rPr>
        <sz val="11"/>
        <color indexed="8"/>
        <rFont val="宋体"/>
        <family val="3"/>
        <charset val="134"/>
      </rPr>
      <t>越南鲇</t>
    </r>
  </si>
  <si>
    <r>
      <rPr>
        <sz val="11"/>
        <color indexed="8"/>
        <rFont val="宋体"/>
        <family val="3"/>
        <charset val="134"/>
      </rPr>
      <t>小背鳍鲇</t>
    </r>
  </si>
  <si>
    <r>
      <rPr>
        <sz val="11"/>
        <color indexed="8"/>
        <rFont val="宋体"/>
        <family val="3"/>
        <charset val="134"/>
      </rPr>
      <t>鲇</t>
    </r>
  </si>
  <si>
    <r>
      <rPr>
        <sz val="11"/>
        <color indexed="8"/>
        <rFont val="宋体"/>
        <family val="3"/>
        <charset val="134"/>
      </rPr>
      <t>昆明鲇</t>
    </r>
  </si>
  <si>
    <r>
      <rPr>
        <sz val="11"/>
        <color indexed="8"/>
        <rFont val="宋体"/>
        <family val="3"/>
        <charset val="134"/>
      </rPr>
      <t>抚仙鲇</t>
    </r>
  </si>
  <si>
    <r>
      <rPr>
        <sz val="11"/>
        <color indexed="8"/>
        <rFont val="宋体"/>
        <family val="3"/>
        <charset val="134"/>
      </rPr>
      <t>大口鲇</t>
    </r>
  </si>
  <si>
    <r>
      <rPr>
        <sz val="11"/>
        <color indexed="8"/>
        <rFont val="宋体"/>
        <family val="3"/>
        <charset val="134"/>
      </rPr>
      <t>兰州鲇</t>
    </r>
  </si>
  <si>
    <r>
      <rPr>
        <sz val="11"/>
        <color indexed="8"/>
        <rFont val="宋体"/>
        <family val="3"/>
        <charset val="134"/>
      </rPr>
      <t>湄南缺鳍鲇</t>
    </r>
  </si>
  <si>
    <r>
      <rPr>
        <sz val="11"/>
        <color indexed="8"/>
        <rFont val="宋体"/>
        <family val="3"/>
        <charset val="134"/>
      </rPr>
      <t>滨河缺鳍鲇</t>
    </r>
  </si>
  <si>
    <r>
      <rPr>
        <sz val="11"/>
        <color indexed="8"/>
        <rFont val="宋体"/>
        <family val="3"/>
        <charset val="134"/>
      </rPr>
      <t>叉尾鲇</t>
    </r>
  </si>
  <si>
    <r>
      <rPr>
        <sz val="11"/>
        <color indexed="8"/>
        <rFont val="宋体"/>
        <family val="3"/>
        <charset val="134"/>
      </rPr>
      <t>半鲇</t>
    </r>
  </si>
  <si>
    <r>
      <rPr>
        <sz val="11"/>
        <color indexed="8"/>
        <rFont val="宋体"/>
        <family val="3"/>
        <charset val="134"/>
      </rPr>
      <t>胡子鲶科</t>
    </r>
  </si>
  <si>
    <r>
      <rPr>
        <sz val="11"/>
        <color indexed="8"/>
        <rFont val="宋体"/>
        <family val="3"/>
        <charset val="134"/>
      </rPr>
      <t>胡鲇</t>
    </r>
  </si>
  <si>
    <r>
      <rPr>
        <sz val="11"/>
        <color indexed="8"/>
        <rFont val="宋体"/>
        <family val="3"/>
        <charset val="134"/>
      </rPr>
      <t>胡子鲇科</t>
    </r>
  </si>
  <si>
    <r>
      <rPr>
        <sz val="11"/>
        <color indexed="8"/>
        <rFont val="宋体"/>
        <family val="3"/>
        <charset val="134"/>
      </rPr>
      <t>刀鲇科</t>
    </r>
  </si>
  <si>
    <r>
      <rPr>
        <sz val="11"/>
        <color indexed="8"/>
        <rFont val="宋体"/>
        <family val="3"/>
        <charset val="134"/>
      </rPr>
      <t>中华刀鲇</t>
    </r>
  </si>
  <si>
    <r>
      <rPr>
        <sz val="11"/>
        <color indexed="8"/>
        <rFont val="宋体"/>
        <family val="3"/>
        <charset val="134"/>
      </rPr>
      <t>长臀刀鲇</t>
    </r>
  </si>
  <si>
    <r>
      <rPr>
        <sz val="11"/>
        <color indexed="8"/>
        <rFont val="宋体"/>
        <family val="3"/>
        <charset val="134"/>
      </rPr>
      <t>鳗鲇</t>
    </r>
  </si>
  <si>
    <r>
      <rPr>
        <sz val="11"/>
        <color indexed="8"/>
        <rFont val="宋体"/>
        <family val="3"/>
        <charset val="134"/>
      </rPr>
      <t>短须鳗鲇</t>
    </r>
  </si>
  <si>
    <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</si>
  <si>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半棱华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</si>
  <si>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长丝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</si>
  <si>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短须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</si>
  <si>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细尾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</si>
  <si>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粗尾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鱼芒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</si>
  <si>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长臀鮠科</t>
    </r>
  </si>
  <si>
    <r>
      <rPr>
        <sz val="11"/>
        <color indexed="8"/>
        <rFont val="宋体"/>
        <family val="3"/>
        <charset val="134"/>
      </rPr>
      <t>长臀鮠</t>
    </r>
  </si>
  <si>
    <r>
      <rPr>
        <sz val="11"/>
        <color indexed="8"/>
        <rFont val="宋体"/>
        <family val="3"/>
        <charset val="134"/>
      </rPr>
      <t>长臀鮠指名亚种</t>
    </r>
  </si>
  <si>
    <r>
      <rPr>
        <sz val="11"/>
        <color indexed="8"/>
        <rFont val="宋体"/>
        <family val="3"/>
        <charset val="134"/>
      </rPr>
      <t>海南长臀鮠</t>
    </r>
  </si>
  <si>
    <r>
      <rPr>
        <sz val="11"/>
        <color indexed="8"/>
        <rFont val="宋体"/>
        <family val="3"/>
        <charset val="134"/>
      </rPr>
      <t>粒鲇科</t>
    </r>
  </si>
  <si>
    <r>
      <rPr>
        <sz val="11"/>
        <color indexed="8"/>
        <rFont val="宋体"/>
        <family val="3"/>
        <charset val="134"/>
      </rPr>
      <t>短须粒鲇</t>
    </r>
  </si>
  <si>
    <r>
      <rPr>
        <sz val="11"/>
        <color indexed="8"/>
        <rFont val="宋体"/>
        <family val="3"/>
        <charset val="134"/>
      </rPr>
      <t>中华粒鲇</t>
    </r>
  </si>
  <si>
    <r>
      <rPr>
        <sz val="11"/>
        <color indexed="8"/>
        <rFont val="宋体"/>
        <family val="3"/>
        <charset val="134"/>
      </rPr>
      <t>鲿科</t>
    </r>
  </si>
  <si>
    <r>
      <rPr>
        <sz val="11"/>
        <color indexed="8"/>
        <rFont val="宋体"/>
        <family val="3"/>
        <charset val="134"/>
      </rPr>
      <t>黄颡鱼</t>
    </r>
  </si>
  <si>
    <r>
      <rPr>
        <sz val="11"/>
        <color indexed="8"/>
        <rFont val="宋体"/>
        <family val="3"/>
        <charset val="134"/>
      </rPr>
      <t>中间黄颡鱼</t>
    </r>
  </si>
  <si>
    <r>
      <rPr>
        <sz val="11"/>
        <color indexed="8"/>
        <rFont val="宋体"/>
        <family val="3"/>
        <charset val="134"/>
      </rPr>
      <t>长须黄颡鱼</t>
    </r>
  </si>
  <si>
    <r>
      <rPr>
        <sz val="11"/>
        <color indexed="8"/>
        <rFont val="宋体"/>
        <family val="3"/>
        <charset val="134"/>
      </rPr>
      <t>瓦氏黄颡鱼</t>
    </r>
  </si>
  <si>
    <r>
      <rPr>
        <sz val="11"/>
        <color indexed="8"/>
        <rFont val="宋体"/>
        <family val="3"/>
        <charset val="134"/>
      </rPr>
      <t>光泽黄颡鱼</t>
    </r>
  </si>
  <si>
    <r>
      <rPr>
        <sz val="11"/>
        <color indexed="8"/>
        <rFont val="宋体"/>
        <family val="3"/>
        <charset val="134"/>
      </rPr>
      <t>长吻鮠</t>
    </r>
  </si>
  <si>
    <r>
      <rPr>
        <sz val="11"/>
        <color indexed="8"/>
        <rFont val="宋体"/>
        <family val="3"/>
        <charset val="134"/>
      </rPr>
      <t>粗唇鮠</t>
    </r>
  </si>
  <si>
    <r>
      <rPr>
        <sz val="11"/>
        <color indexed="8"/>
        <rFont val="宋体"/>
        <family val="3"/>
        <charset val="134"/>
      </rPr>
      <t>叉尾鮠</t>
    </r>
  </si>
  <si>
    <r>
      <rPr>
        <sz val="11"/>
        <color indexed="8"/>
        <rFont val="宋体"/>
        <family val="3"/>
        <charset val="134"/>
      </rPr>
      <t>条纹鮠</t>
    </r>
  </si>
  <si>
    <r>
      <rPr>
        <sz val="11"/>
        <color indexed="8"/>
        <rFont val="宋体"/>
        <family val="3"/>
        <charset val="134"/>
      </rPr>
      <t>纵带鮠</t>
    </r>
  </si>
  <si>
    <r>
      <rPr>
        <sz val="11"/>
        <color indexed="8"/>
        <rFont val="宋体"/>
        <family val="3"/>
        <charset val="134"/>
      </rPr>
      <t>长须鮠</t>
    </r>
  </si>
  <si>
    <r>
      <rPr>
        <sz val="11"/>
        <color indexed="8"/>
        <rFont val="宋体"/>
        <family val="3"/>
        <charset val="134"/>
      </rPr>
      <t>盎堂拟鲿</t>
    </r>
  </si>
  <si>
    <r>
      <rPr>
        <sz val="11"/>
        <color indexed="8"/>
        <rFont val="宋体"/>
        <family val="3"/>
        <charset val="134"/>
      </rPr>
      <t>中臀拟鲿</t>
    </r>
  </si>
  <si>
    <r>
      <rPr>
        <sz val="11"/>
        <color indexed="8"/>
        <rFont val="宋体"/>
        <family val="3"/>
        <charset val="134"/>
      </rPr>
      <t>台湾拟鲿</t>
    </r>
  </si>
  <si>
    <r>
      <rPr>
        <sz val="11"/>
        <color indexed="8"/>
        <rFont val="宋体"/>
        <family val="3"/>
        <charset val="134"/>
      </rPr>
      <t>条纹拟鲿</t>
    </r>
  </si>
  <si>
    <r>
      <rPr>
        <sz val="11"/>
        <color indexed="8"/>
        <rFont val="宋体"/>
        <family val="3"/>
        <charset val="134"/>
      </rPr>
      <t>长臀拟鲿</t>
    </r>
  </si>
  <si>
    <r>
      <rPr>
        <sz val="11"/>
        <color indexed="8"/>
        <rFont val="宋体"/>
        <family val="3"/>
        <charset val="134"/>
      </rPr>
      <t>圆尾拟鲿</t>
    </r>
  </si>
  <si>
    <r>
      <rPr>
        <sz val="11"/>
        <color indexed="8"/>
        <rFont val="宋体"/>
        <family val="3"/>
        <charset val="134"/>
      </rPr>
      <t>三线拟鲿</t>
    </r>
  </si>
  <si>
    <r>
      <rPr>
        <sz val="11"/>
        <color indexed="8"/>
        <rFont val="宋体"/>
        <family val="3"/>
        <charset val="134"/>
      </rPr>
      <t>乌苏拟鲿</t>
    </r>
  </si>
  <si>
    <r>
      <rPr>
        <sz val="11"/>
        <color indexed="8"/>
        <rFont val="宋体"/>
        <family val="3"/>
        <charset val="134"/>
      </rPr>
      <t>切尾拟鲿</t>
    </r>
  </si>
  <si>
    <r>
      <rPr>
        <sz val="11"/>
        <color indexed="8"/>
        <rFont val="宋体"/>
        <family val="3"/>
        <charset val="134"/>
      </rPr>
      <t>短臀拟鲿</t>
    </r>
  </si>
  <si>
    <r>
      <rPr>
        <sz val="11"/>
        <color indexed="8"/>
        <rFont val="宋体"/>
        <family val="3"/>
        <charset val="134"/>
      </rPr>
      <t>凹尾拟鲿</t>
    </r>
  </si>
  <si>
    <r>
      <rPr>
        <sz val="11"/>
        <color indexed="8"/>
        <rFont val="宋体"/>
        <family val="3"/>
        <charset val="134"/>
      </rPr>
      <t>细体拟鲿</t>
    </r>
  </si>
  <si>
    <r>
      <rPr>
        <sz val="11"/>
        <color indexed="8"/>
        <rFont val="宋体"/>
        <family val="3"/>
        <charset val="134"/>
      </rPr>
      <t>长脂拟鲿</t>
    </r>
  </si>
  <si>
    <r>
      <rPr>
        <sz val="11"/>
        <color indexed="8"/>
        <rFont val="宋体"/>
        <family val="3"/>
        <charset val="134"/>
      </rPr>
      <t>短尾拟鲿</t>
    </r>
  </si>
  <si>
    <r>
      <rPr>
        <sz val="11"/>
        <color indexed="8"/>
        <rFont val="宋体"/>
        <family val="3"/>
        <charset val="134"/>
      </rPr>
      <t>峨眉拟鲿</t>
    </r>
  </si>
  <si>
    <r>
      <rPr>
        <sz val="11"/>
        <color indexed="8"/>
        <rFont val="宋体"/>
        <family val="3"/>
        <charset val="134"/>
      </rPr>
      <t>丝尾鱯</t>
    </r>
  </si>
  <si>
    <r>
      <rPr>
        <sz val="11"/>
        <color indexed="8"/>
        <rFont val="宋体"/>
        <family val="3"/>
        <charset val="134"/>
      </rPr>
      <t>大鳍鱯</t>
    </r>
  </si>
  <si>
    <r>
      <rPr>
        <sz val="11"/>
        <color indexed="8"/>
        <rFont val="宋体"/>
        <family val="3"/>
        <charset val="134"/>
      </rPr>
      <t>斑鱯</t>
    </r>
  </si>
  <si>
    <r>
      <rPr>
        <sz val="11"/>
        <color indexed="8"/>
        <rFont val="宋体"/>
        <family val="3"/>
        <charset val="134"/>
      </rPr>
      <t>越鱯</t>
    </r>
  </si>
  <si>
    <r>
      <rPr>
        <sz val="11"/>
        <color indexed="8"/>
        <rFont val="宋体"/>
        <family val="3"/>
        <charset val="134"/>
      </rPr>
      <t>白缘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</si>
  <si>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钝头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</si>
  <si>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金氏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</si>
  <si>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黑尾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</si>
  <si>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司氏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</si>
  <si>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拟缘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</si>
  <si>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台湾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</si>
  <si>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南投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</si>
  <si>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鳗尾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</si>
  <si>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修仁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鱼央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</si>
  <si>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鮡科</t>
    </r>
  </si>
  <si>
    <r>
      <t>[</t>
    </r>
    <r>
      <rPr>
        <sz val="11"/>
        <color indexed="8"/>
        <rFont val="宋体"/>
        <family val="3"/>
        <charset val="134"/>
      </rPr>
      <t>鱼丕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</si>
  <si>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巨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鱼丕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</si>
  <si>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福建纹胸鮡</t>
    </r>
  </si>
  <si>
    <r>
      <rPr>
        <sz val="11"/>
        <color indexed="8"/>
        <rFont val="宋体"/>
        <family val="3"/>
        <charset val="134"/>
      </rPr>
      <t>福建纹胸鮡指名亚种</t>
    </r>
  </si>
  <si>
    <r>
      <rPr>
        <sz val="11"/>
        <color indexed="8"/>
        <rFont val="宋体"/>
        <family val="3"/>
        <charset val="134"/>
      </rPr>
      <t>海南纹胸鮡</t>
    </r>
  </si>
  <si>
    <r>
      <rPr>
        <sz val="11"/>
        <color indexed="8"/>
        <rFont val="宋体"/>
        <family val="3"/>
        <charset val="134"/>
      </rPr>
      <t>红河纹胸鮡</t>
    </r>
  </si>
  <si>
    <r>
      <rPr>
        <sz val="11"/>
        <color indexed="8"/>
        <rFont val="宋体"/>
        <family val="3"/>
        <charset val="134"/>
      </rPr>
      <t>墨脱纹胸鮡</t>
    </r>
  </si>
  <si>
    <r>
      <rPr>
        <sz val="11"/>
        <color indexed="8"/>
        <rFont val="宋体"/>
        <family val="3"/>
        <charset val="134"/>
      </rPr>
      <t>中华纹胸鮡</t>
    </r>
  </si>
  <si>
    <r>
      <rPr>
        <sz val="11"/>
        <color indexed="8"/>
        <rFont val="宋体"/>
        <family val="3"/>
        <charset val="134"/>
      </rPr>
      <t>三线纹胸鮡</t>
    </r>
  </si>
  <si>
    <r>
      <rPr>
        <sz val="11"/>
        <color indexed="8"/>
        <rFont val="宋体"/>
        <family val="3"/>
        <charset val="134"/>
      </rPr>
      <t>德钦纹胸鮡</t>
    </r>
  </si>
  <si>
    <r>
      <rPr>
        <sz val="11"/>
        <color indexed="8"/>
        <rFont val="宋体"/>
        <family val="3"/>
        <charset val="134"/>
      </rPr>
      <t>扎那纹胸鮡</t>
    </r>
  </si>
  <si>
    <r>
      <rPr>
        <sz val="11"/>
        <color indexed="8"/>
        <rFont val="宋体"/>
        <family val="3"/>
        <charset val="134"/>
      </rPr>
      <t>老挝纹胸鮡</t>
    </r>
  </si>
  <si>
    <r>
      <rPr>
        <sz val="11"/>
        <color indexed="8"/>
        <rFont val="宋体"/>
        <family val="3"/>
        <charset val="134"/>
      </rPr>
      <t>白线纹胸鮡</t>
    </r>
  </si>
  <si>
    <r>
      <rPr>
        <sz val="11"/>
        <color indexed="8"/>
        <rFont val="宋体"/>
        <family val="3"/>
        <charset val="134"/>
      </rPr>
      <t>穴形纹胸鮡</t>
    </r>
  </si>
  <si>
    <r>
      <rPr>
        <sz val="11"/>
        <color indexed="8"/>
        <rFont val="宋体"/>
        <family val="3"/>
        <charset val="134"/>
      </rPr>
      <t>细斑纹胸鮡</t>
    </r>
  </si>
  <si>
    <r>
      <rPr>
        <sz val="11"/>
        <color indexed="8"/>
        <rFont val="宋体"/>
        <family val="3"/>
        <charset val="134"/>
      </rPr>
      <t>龙江纹胸鮡</t>
    </r>
  </si>
  <si>
    <r>
      <rPr>
        <sz val="11"/>
        <color indexed="8"/>
        <rFont val="宋体"/>
        <family val="3"/>
        <charset val="134"/>
      </rPr>
      <t>大斑纹胸鮡</t>
    </r>
  </si>
  <si>
    <r>
      <rPr>
        <sz val="11"/>
        <color indexed="8"/>
        <rFont val="宋体"/>
        <family val="3"/>
        <charset val="134"/>
      </rPr>
      <t>丽纹胸鮡</t>
    </r>
  </si>
  <si>
    <r>
      <rPr>
        <sz val="11"/>
        <color indexed="8"/>
        <rFont val="宋体"/>
        <family val="3"/>
        <charset val="134"/>
      </rPr>
      <t>四斑纹胸鮡</t>
    </r>
  </si>
  <si>
    <r>
      <rPr>
        <sz val="11"/>
        <color indexed="8"/>
        <rFont val="宋体"/>
        <family val="3"/>
        <charset val="134"/>
      </rPr>
      <t>长尾纹胸鮡</t>
    </r>
  </si>
  <si>
    <r>
      <rPr>
        <sz val="11"/>
        <color indexed="8"/>
        <rFont val="宋体"/>
        <family val="3"/>
        <charset val="134"/>
      </rPr>
      <t>亮背纹胸鮡</t>
    </r>
  </si>
  <si>
    <r>
      <rPr>
        <sz val="11"/>
        <color indexed="8"/>
        <rFont val="宋体"/>
        <family val="3"/>
        <charset val="134"/>
      </rPr>
      <t>间棘纹胸鮡</t>
    </r>
  </si>
  <si>
    <r>
      <rPr>
        <sz val="11"/>
        <color indexed="8"/>
        <rFont val="宋体"/>
        <family val="3"/>
        <charset val="134"/>
      </rPr>
      <t>黄斑褶鮡</t>
    </r>
  </si>
  <si>
    <r>
      <rPr>
        <sz val="11"/>
        <color indexed="8"/>
        <rFont val="宋体"/>
        <family val="3"/>
        <charset val="134"/>
      </rPr>
      <t>无斑褶鮡</t>
    </r>
  </si>
  <si>
    <r>
      <rPr>
        <sz val="11"/>
        <color indexed="8"/>
        <rFont val="宋体"/>
        <family val="3"/>
        <charset val="134"/>
      </rPr>
      <t>平吻褶鮡</t>
    </r>
  </si>
  <si>
    <r>
      <rPr>
        <sz val="11"/>
        <color indexed="8"/>
        <rFont val="宋体"/>
        <family val="3"/>
        <charset val="134"/>
      </rPr>
      <t>间褶鮡</t>
    </r>
  </si>
  <si>
    <r>
      <rPr>
        <sz val="11"/>
        <color indexed="8"/>
        <rFont val="宋体"/>
        <family val="3"/>
        <charset val="134"/>
      </rPr>
      <t>似黄斑褶鮡</t>
    </r>
  </si>
  <si>
    <r>
      <rPr>
        <sz val="11"/>
        <color indexed="8"/>
        <rFont val="宋体"/>
        <family val="3"/>
        <charset val="134"/>
      </rPr>
      <t>平唇鮡</t>
    </r>
  </si>
  <si>
    <r>
      <rPr>
        <sz val="11"/>
        <color indexed="8"/>
        <rFont val="宋体"/>
        <family val="3"/>
        <charset val="134"/>
      </rPr>
      <t>黑斑原鮡</t>
    </r>
  </si>
  <si>
    <r>
      <rPr>
        <sz val="11"/>
        <color indexed="8"/>
        <rFont val="宋体"/>
        <family val="3"/>
        <charset val="134"/>
      </rPr>
      <t>网纹原鮡</t>
    </r>
  </si>
  <si>
    <r>
      <rPr>
        <sz val="11"/>
        <color indexed="8"/>
        <rFont val="宋体"/>
        <family val="3"/>
        <charset val="134"/>
      </rPr>
      <t>青石爬鮡</t>
    </r>
  </si>
  <si>
    <r>
      <rPr>
        <sz val="11"/>
        <color indexed="8"/>
        <rFont val="宋体"/>
        <family val="3"/>
        <charset val="134"/>
      </rPr>
      <t>黄石爬鮡</t>
    </r>
  </si>
  <si>
    <r>
      <rPr>
        <sz val="11"/>
        <color indexed="8"/>
        <rFont val="宋体"/>
        <family val="3"/>
        <charset val="134"/>
      </rPr>
      <t>中华鮡</t>
    </r>
  </si>
  <si>
    <r>
      <rPr>
        <sz val="11"/>
        <color indexed="8"/>
        <rFont val="宋体"/>
        <family val="3"/>
        <charset val="134"/>
      </rPr>
      <t>大孔鮡</t>
    </r>
  </si>
  <si>
    <r>
      <rPr>
        <sz val="11"/>
        <color indexed="8"/>
        <rFont val="宋体"/>
        <family val="3"/>
        <charset val="134"/>
      </rPr>
      <t>长尾鮡</t>
    </r>
  </si>
  <si>
    <r>
      <rPr>
        <sz val="11"/>
        <color indexed="8"/>
        <rFont val="宋体"/>
        <family val="3"/>
        <charset val="134"/>
      </rPr>
      <t>细尾鮡</t>
    </r>
  </si>
  <si>
    <r>
      <rPr>
        <sz val="11"/>
        <color indexed="8"/>
        <rFont val="宋体"/>
        <family val="3"/>
        <charset val="134"/>
      </rPr>
      <t>短鳍鮡</t>
    </r>
  </si>
  <si>
    <r>
      <rPr>
        <sz val="11"/>
        <color indexed="8"/>
        <rFont val="宋体"/>
        <family val="3"/>
        <charset val="134"/>
      </rPr>
      <t>兰坪鮡</t>
    </r>
  </si>
  <si>
    <r>
      <rPr>
        <sz val="11"/>
        <color indexed="8"/>
        <rFont val="宋体"/>
        <family val="3"/>
        <charset val="134"/>
      </rPr>
      <t>扁头鮡</t>
    </r>
  </si>
  <si>
    <r>
      <rPr>
        <sz val="11"/>
        <color indexed="8"/>
        <rFont val="宋体"/>
        <family val="3"/>
        <charset val="134"/>
      </rPr>
      <t>前臀鮡</t>
    </r>
  </si>
  <si>
    <r>
      <rPr>
        <sz val="11"/>
        <color indexed="8"/>
        <rFont val="宋体"/>
        <family val="3"/>
        <charset val="134"/>
      </rPr>
      <t>贡山鮡</t>
    </r>
  </si>
  <si>
    <r>
      <rPr>
        <sz val="11"/>
        <color indexed="8"/>
        <rFont val="宋体"/>
        <family val="3"/>
        <charset val="134"/>
      </rPr>
      <t>壮体鮡</t>
    </r>
  </si>
  <si>
    <r>
      <rPr>
        <sz val="11"/>
        <color indexed="8"/>
        <rFont val="宋体"/>
        <family val="3"/>
        <charset val="134"/>
      </rPr>
      <t>四川鮡</t>
    </r>
  </si>
  <si>
    <r>
      <rPr>
        <sz val="11"/>
        <color indexed="8"/>
        <rFont val="宋体"/>
        <family val="3"/>
        <charset val="134"/>
      </rPr>
      <t>凿齿鮡</t>
    </r>
  </si>
  <si>
    <r>
      <rPr>
        <sz val="11"/>
        <color indexed="8"/>
        <rFont val="宋体"/>
        <family val="3"/>
        <charset val="134"/>
      </rPr>
      <t>黑鮡</t>
    </r>
  </si>
  <si>
    <r>
      <rPr>
        <sz val="11"/>
        <color indexed="8"/>
        <rFont val="宋体"/>
        <family val="3"/>
        <charset val="134"/>
      </rPr>
      <t>大鳍异齿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</si>
  <si>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细尾异齿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</si>
  <si>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</si>
  <si>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指名亚种</t>
    </r>
  </si>
  <si>
    <r>
      <rPr>
        <sz val="11"/>
        <color indexed="8"/>
        <rFont val="宋体"/>
        <family val="3"/>
        <charset val="134"/>
      </rPr>
      <t>短体拟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</si>
  <si>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鱼晏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</si>
  <si>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海鲶科</t>
    </r>
  </si>
  <si>
    <r>
      <rPr>
        <sz val="11"/>
        <color indexed="8"/>
        <rFont val="宋体"/>
        <family val="3"/>
        <charset val="134"/>
      </rPr>
      <t>中华海鲇</t>
    </r>
  </si>
  <si>
    <r>
      <rPr>
        <sz val="11"/>
        <color indexed="8"/>
        <rFont val="宋体"/>
        <family val="3"/>
        <charset val="134"/>
      </rPr>
      <t>硬头海鲇</t>
    </r>
  </si>
  <si>
    <r>
      <rPr>
        <sz val="11"/>
        <color indexed="8"/>
        <rFont val="宋体"/>
        <family val="3"/>
        <charset val="134"/>
      </rPr>
      <t>海鲇</t>
    </r>
  </si>
  <si>
    <r>
      <rPr>
        <sz val="11"/>
        <color indexed="8"/>
        <rFont val="宋体"/>
        <family val="3"/>
        <charset val="134"/>
      </rPr>
      <t>喉盘鱼科</t>
    </r>
  </si>
  <si>
    <r>
      <rPr>
        <sz val="11"/>
        <color indexed="8"/>
        <rFont val="宋体"/>
        <family val="3"/>
        <charset val="134"/>
      </rPr>
      <t>喉盘鱼目</t>
    </r>
  </si>
  <si>
    <r>
      <rPr>
        <sz val="11"/>
        <color indexed="8"/>
        <rFont val="宋体"/>
        <family val="3"/>
        <charset val="134"/>
      </rPr>
      <t>宽头喉盘鱼</t>
    </r>
  </si>
  <si>
    <r>
      <rPr>
        <sz val="11"/>
        <color indexed="8"/>
        <rFont val="宋体"/>
        <family val="3"/>
        <charset val="134"/>
      </rPr>
      <t>喉盘鱼</t>
    </r>
  </si>
  <si>
    <r>
      <rPr>
        <sz val="11"/>
        <color indexed="8"/>
        <rFont val="宋体"/>
        <family val="3"/>
        <charset val="134"/>
      </rPr>
      <t>盘孔喉盘鱼</t>
    </r>
  </si>
  <si>
    <r>
      <rPr>
        <sz val="11"/>
        <color indexed="8"/>
        <rFont val="宋体"/>
        <family val="3"/>
        <charset val="134"/>
      </rPr>
      <t>黄喉盘鱼</t>
    </r>
  </si>
  <si>
    <r>
      <rPr>
        <sz val="11"/>
        <color indexed="8"/>
        <rFont val="宋体"/>
        <family val="3"/>
        <charset val="134"/>
      </rPr>
      <t>鳉鱼科</t>
    </r>
  </si>
  <si>
    <r>
      <rPr>
        <sz val="11"/>
        <color indexed="8"/>
        <rFont val="宋体"/>
        <family val="3"/>
        <charset val="134"/>
      </rPr>
      <t>鳉形目</t>
    </r>
  </si>
  <si>
    <r>
      <rPr>
        <sz val="11"/>
        <color indexed="8"/>
        <rFont val="宋体"/>
        <family val="3"/>
        <charset val="134"/>
      </rPr>
      <t>青鳉科</t>
    </r>
  </si>
  <si>
    <r>
      <rPr>
        <sz val="11"/>
        <color indexed="8"/>
        <rFont val="宋体"/>
        <family val="3"/>
        <charset val="134"/>
      </rPr>
      <t>青鳉</t>
    </r>
  </si>
  <si>
    <r>
      <rPr>
        <sz val="11"/>
        <color indexed="8"/>
        <rFont val="宋体"/>
        <family val="3"/>
        <charset val="134"/>
      </rPr>
      <t>中华青鳉</t>
    </r>
  </si>
  <si>
    <r>
      <rPr>
        <sz val="11"/>
        <color indexed="8"/>
        <rFont val="宋体"/>
        <family val="3"/>
        <charset val="134"/>
      </rPr>
      <t>小青鳉</t>
    </r>
  </si>
  <si>
    <r>
      <rPr>
        <sz val="11"/>
        <color indexed="8"/>
        <rFont val="宋体"/>
        <family val="3"/>
        <charset val="134"/>
      </rPr>
      <t>食蚊鱼</t>
    </r>
  </si>
  <si>
    <r>
      <rPr>
        <sz val="11"/>
        <color indexed="8"/>
        <rFont val="宋体"/>
        <family val="3"/>
        <charset val="134"/>
      </rPr>
      <t>胎鳉科</t>
    </r>
  </si>
  <si>
    <r>
      <rPr>
        <sz val="11"/>
        <color indexed="8"/>
        <rFont val="宋体"/>
        <family val="3"/>
        <charset val="134"/>
      </rPr>
      <t>银汉鱼科</t>
    </r>
  </si>
  <si>
    <r>
      <rPr>
        <sz val="11"/>
        <color indexed="8"/>
        <rFont val="宋体"/>
        <family val="3"/>
        <charset val="134"/>
      </rPr>
      <t>银汉鱼目</t>
    </r>
  </si>
  <si>
    <r>
      <rPr>
        <sz val="11"/>
        <color indexed="8"/>
        <rFont val="宋体"/>
        <family val="3"/>
        <charset val="134"/>
      </rPr>
      <t>巴恩银汉鱼</t>
    </r>
  </si>
  <si>
    <r>
      <rPr>
        <sz val="11"/>
        <color indexed="8"/>
        <rFont val="宋体"/>
        <family val="3"/>
        <charset val="134"/>
      </rPr>
      <t>白氏银汉鱼</t>
    </r>
  </si>
  <si>
    <r>
      <rPr>
        <sz val="11"/>
        <color indexed="8"/>
        <rFont val="宋体"/>
        <family val="3"/>
        <charset val="134"/>
      </rPr>
      <t>大眼银汉鱼</t>
    </r>
  </si>
  <si>
    <r>
      <rPr>
        <sz val="11"/>
        <color indexed="8"/>
        <rFont val="宋体"/>
        <family val="3"/>
        <charset val="134"/>
      </rPr>
      <t>吴氏银汉鱼</t>
    </r>
  </si>
  <si>
    <r>
      <rPr>
        <sz val="11"/>
        <color indexed="8"/>
        <rFont val="宋体"/>
        <family val="3"/>
        <charset val="134"/>
      </rPr>
      <t>南洋银汉鱼</t>
    </r>
  </si>
  <si>
    <r>
      <rPr>
        <sz val="11"/>
        <color indexed="8"/>
        <rFont val="宋体"/>
        <family val="3"/>
        <charset val="134"/>
      </rPr>
      <t>麦银汉鱼</t>
    </r>
  </si>
  <si>
    <r>
      <rPr>
        <sz val="11"/>
        <color indexed="8"/>
        <rFont val="宋体"/>
        <family val="3"/>
        <charset val="134"/>
      </rPr>
      <t>下银汉鱼</t>
    </r>
  </si>
  <si>
    <r>
      <rPr>
        <sz val="11"/>
        <color indexed="8"/>
        <rFont val="宋体"/>
        <family val="3"/>
        <charset val="134"/>
      </rPr>
      <t>浪花银汉鱼</t>
    </r>
  </si>
  <si>
    <r>
      <rPr>
        <sz val="11"/>
        <color indexed="8"/>
        <rFont val="宋体"/>
        <family val="3"/>
        <charset val="134"/>
      </rPr>
      <t>刀浪花银汉鱼</t>
    </r>
  </si>
  <si>
    <r>
      <rPr>
        <sz val="11"/>
        <color indexed="8"/>
        <rFont val="宋体"/>
        <family val="3"/>
        <charset val="134"/>
      </rPr>
      <t>竹刀鱼科</t>
    </r>
  </si>
  <si>
    <r>
      <rPr>
        <sz val="11"/>
        <color indexed="8"/>
        <rFont val="宋体"/>
        <family val="3"/>
        <charset val="134"/>
      </rPr>
      <t>颌针鱼目</t>
    </r>
  </si>
  <si>
    <r>
      <rPr>
        <sz val="11"/>
        <color indexed="8"/>
        <rFont val="宋体"/>
        <family val="3"/>
        <charset val="134"/>
      </rPr>
      <t>秋刀鱼</t>
    </r>
  </si>
  <si>
    <r>
      <rPr>
        <sz val="11"/>
        <color indexed="8"/>
        <rFont val="宋体"/>
        <family val="3"/>
        <charset val="134"/>
      </rPr>
      <t>颌针鱼科</t>
    </r>
  </si>
  <si>
    <r>
      <rPr>
        <sz val="11"/>
        <color indexed="8"/>
        <rFont val="宋体"/>
        <family val="3"/>
        <charset val="134"/>
      </rPr>
      <t>尖嘴圆尾颌针鱼</t>
    </r>
  </si>
  <si>
    <r>
      <rPr>
        <sz val="11"/>
        <color indexed="8"/>
        <rFont val="宋体"/>
        <family val="3"/>
        <charset val="134"/>
      </rPr>
      <t>圆身圆尾颌针鱼</t>
    </r>
  </si>
  <si>
    <r>
      <rPr>
        <sz val="11"/>
        <color indexed="8"/>
        <rFont val="宋体"/>
        <family val="3"/>
        <charset val="134"/>
      </rPr>
      <t>圆鳍圆尾颌针鱼</t>
    </r>
  </si>
  <si>
    <r>
      <rPr>
        <sz val="11"/>
        <color indexed="8"/>
        <rFont val="宋体"/>
        <family val="3"/>
        <charset val="134"/>
      </rPr>
      <t>横带扁颌针鱼</t>
    </r>
  </si>
  <si>
    <r>
      <rPr>
        <sz val="11"/>
        <color indexed="8"/>
        <rFont val="宋体"/>
        <family val="3"/>
        <charset val="134"/>
      </rPr>
      <t>宽尾颌针鱼</t>
    </r>
  </si>
  <si>
    <r>
      <rPr>
        <sz val="11"/>
        <color indexed="8"/>
        <rFont val="宋体"/>
        <family val="3"/>
        <charset val="134"/>
      </rPr>
      <t>鳄形圆颌针鱼</t>
    </r>
  </si>
  <si>
    <r>
      <rPr>
        <sz val="11"/>
        <color indexed="8"/>
        <rFont val="宋体"/>
        <family val="3"/>
        <charset val="134"/>
      </rPr>
      <t>大圆颌针鱼</t>
    </r>
  </si>
  <si>
    <r>
      <rPr>
        <sz val="11"/>
        <color indexed="8"/>
        <rFont val="宋体"/>
        <family val="3"/>
        <charset val="134"/>
      </rPr>
      <t>黑背圆颌针鱼</t>
    </r>
  </si>
  <si>
    <r>
      <rPr>
        <sz val="11"/>
        <color indexed="8"/>
        <rFont val="宋体"/>
        <family val="3"/>
        <charset val="134"/>
      </rPr>
      <t>鱵科</t>
    </r>
  </si>
  <si>
    <r>
      <rPr>
        <sz val="11"/>
        <color indexed="8"/>
        <rFont val="宋体"/>
        <family val="3"/>
        <charset val="134"/>
      </rPr>
      <t>长臂鱵</t>
    </r>
  </si>
  <si>
    <r>
      <rPr>
        <sz val="11"/>
        <color indexed="8"/>
        <rFont val="宋体"/>
        <family val="3"/>
        <charset val="134"/>
      </rPr>
      <t>短鳍无斑鱵</t>
    </r>
  </si>
  <si>
    <r>
      <rPr>
        <sz val="11"/>
        <color indexed="8"/>
        <rFont val="宋体"/>
        <family val="3"/>
        <charset val="134"/>
      </rPr>
      <t>斑鱵</t>
    </r>
  </si>
  <si>
    <r>
      <rPr>
        <sz val="11"/>
        <color indexed="8"/>
        <rFont val="宋体"/>
        <family val="3"/>
        <charset val="134"/>
      </rPr>
      <t>长臂无斑鱵</t>
    </r>
  </si>
  <si>
    <r>
      <rPr>
        <sz val="11"/>
        <color indexed="8"/>
        <rFont val="宋体"/>
        <family val="3"/>
        <charset val="134"/>
      </rPr>
      <t>南海下鱵</t>
    </r>
  </si>
  <si>
    <r>
      <rPr>
        <sz val="11"/>
        <color indexed="8"/>
        <rFont val="宋体"/>
        <family val="3"/>
        <charset val="134"/>
      </rPr>
      <t>龙氏下鱵</t>
    </r>
  </si>
  <si>
    <r>
      <rPr>
        <sz val="11"/>
        <color indexed="8"/>
        <rFont val="宋体"/>
        <family val="3"/>
        <charset val="134"/>
      </rPr>
      <t>杜氏下鱵</t>
    </r>
  </si>
  <si>
    <r>
      <rPr>
        <sz val="11"/>
        <color indexed="8"/>
        <rFont val="宋体"/>
        <family val="3"/>
        <charset val="134"/>
      </rPr>
      <t>间下鱵</t>
    </r>
  </si>
  <si>
    <r>
      <rPr>
        <sz val="11"/>
        <color indexed="8"/>
        <rFont val="宋体"/>
        <family val="3"/>
        <charset val="134"/>
      </rPr>
      <t>缘下鱵</t>
    </r>
  </si>
  <si>
    <r>
      <rPr>
        <sz val="11"/>
        <color indexed="8"/>
        <rFont val="宋体"/>
        <family val="3"/>
        <charset val="134"/>
      </rPr>
      <t>少耙下鱵</t>
    </r>
  </si>
  <si>
    <r>
      <rPr>
        <sz val="11"/>
        <color indexed="8"/>
        <rFont val="宋体"/>
        <family val="3"/>
        <charset val="134"/>
      </rPr>
      <t>瓜氏下鱵</t>
    </r>
  </si>
  <si>
    <r>
      <rPr>
        <sz val="11"/>
        <color indexed="8"/>
        <rFont val="宋体"/>
        <family val="3"/>
        <charset val="134"/>
      </rPr>
      <t>沙氏下鱵</t>
    </r>
  </si>
  <si>
    <r>
      <rPr>
        <sz val="11"/>
        <color indexed="8"/>
        <rFont val="宋体"/>
        <family val="3"/>
        <charset val="134"/>
      </rPr>
      <t>台湾下鱵</t>
    </r>
  </si>
  <si>
    <r>
      <rPr>
        <sz val="11"/>
        <color indexed="8"/>
        <rFont val="宋体"/>
        <family val="3"/>
        <charset val="134"/>
      </rPr>
      <t>乔氏吻鱵</t>
    </r>
  </si>
  <si>
    <r>
      <rPr>
        <sz val="11"/>
        <color indexed="8"/>
        <rFont val="宋体"/>
        <family val="3"/>
        <charset val="134"/>
      </rPr>
      <t>异鳞鱵</t>
    </r>
  </si>
  <si>
    <r>
      <rPr>
        <sz val="11"/>
        <color indexed="8"/>
        <rFont val="宋体"/>
        <family val="3"/>
        <charset val="134"/>
      </rPr>
      <t>鱵属</t>
    </r>
  </si>
  <si>
    <r>
      <rPr>
        <sz val="11"/>
        <color indexed="8"/>
        <rFont val="宋体"/>
        <family val="3"/>
        <charset val="134"/>
      </rPr>
      <t>针飞鱼科</t>
    </r>
  </si>
  <si>
    <r>
      <rPr>
        <sz val="11"/>
        <color indexed="8"/>
        <rFont val="宋体"/>
        <family val="3"/>
        <charset val="134"/>
      </rPr>
      <t>黑鳍针飞鱼</t>
    </r>
  </si>
  <si>
    <r>
      <rPr>
        <sz val="11"/>
        <color indexed="8"/>
        <rFont val="宋体"/>
        <family val="3"/>
        <charset val="134"/>
      </rPr>
      <t>小鳍针飞鱼</t>
    </r>
  </si>
  <si>
    <r>
      <rPr>
        <sz val="11"/>
        <color indexed="8"/>
        <rFont val="宋体"/>
        <family val="3"/>
        <charset val="134"/>
      </rPr>
      <t>飞鱼科</t>
    </r>
  </si>
  <si>
    <r>
      <rPr>
        <sz val="11"/>
        <color indexed="8"/>
        <rFont val="宋体"/>
        <family val="3"/>
        <charset val="134"/>
      </rPr>
      <t>飞鱼科</t>
    </r>
  </si>
  <si>
    <r>
      <rPr>
        <sz val="11"/>
        <color indexed="8"/>
        <rFont val="宋体"/>
        <family val="3"/>
        <charset val="134"/>
      </rPr>
      <t>燕鳐</t>
    </r>
  </si>
  <si>
    <r>
      <rPr>
        <sz val="11"/>
        <color indexed="8"/>
        <rFont val="宋体"/>
        <family val="3"/>
        <charset val="134"/>
      </rPr>
      <t>细头燕鳐</t>
    </r>
  </si>
  <si>
    <r>
      <rPr>
        <sz val="11"/>
        <color indexed="8"/>
        <rFont val="宋体"/>
        <family val="3"/>
        <charset val="134"/>
      </rPr>
      <t>弓头燕鳐</t>
    </r>
  </si>
  <si>
    <r>
      <rPr>
        <sz val="11"/>
        <color indexed="8"/>
        <rFont val="宋体"/>
        <family val="3"/>
        <charset val="134"/>
      </rPr>
      <t>半斑燕鳐</t>
    </r>
  </si>
  <si>
    <r>
      <rPr>
        <sz val="11"/>
        <color indexed="8"/>
        <rFont val="宋体"/>
        <family val="3"/>
        <charset val="134"/>
      </rPr>
      <t>背斑燕鳐</t>
    </r>
  </si>
  <si>
    <r>
      <rPr>
        <sz val="11"/>
        <color indexed="8"/>
        <rFont val="宋体"/>
        <family val="3"/>
        <charset val="134"/>
      </rPr>
      <t>短鳍燕鳐</t>
    </r>
  </si>
  <si>
    <r>
      <rPr>
        <sz val="11"/>
        <color indexed="8"/>
        <rFont val="宋体"/>
        <family val="3"/>
        <charset val="134"/>
      </rPr>
      <t>小燕鳐</t>
    </r>
  </si>
  <si>
    <r>
      <rPr>
        <sz val="11"/>
        <color indexed="8"/>
        <rFont val="宋体"/>
        <family val="3"/>
        <charset val="134"/>
      </rPr>
      <t>横斑燕鳐</t>
    </r>
  </si>
  <si>
    <r>
      <rPr>
        <sz val="11"/>
        <color indexed="8"/>
        <rFont val="宋体"/>
        <family val="3"/>
        <charset val="134"/>
      </rPr>
      <t>黄斑燕鳐</t>
    </r>
  </si>
  <si>
    <r>
      <rPr>
        <sz val="11"/>
        <color indexed="8"/>
        <rFont val="宋体"/>
        <family val="3"/>
        <charset val="134"/>
      </rPr>
      <t>垂须燕鳐</t>
    </r>
  </si>
  <si>
    <r>
      <rPr>
        <sz val="11"/>
        <color indexed="8"/>
        <rFont val="宋体"/>
        <family val="3"/>
        <charset val="134"/>
      </rPr>
      <t>少鳞燕鳐</t>
    </r>
  </si>
  <si>
    <r>
      <rPr>
        <sz val="11"/>
        <color indexed="8"/>
        <rFont val="宋体"/>
        <family val="3"/>
        <charset val="134"/>
      </rPr>
      <t>后鳍燕鳐</t>
    </r>
  </si>
  <si>
    <r>
      <rPr>
        <sz val="11"/>
        <color indexed="8"/>
        <rFont val="宋体"/>
        <family val="3"/>
        <charset val="134"/>
      </rPr>
      <t>尖头燕鳐</t>
    </r>
  </si>
  <si>
    <r>
      <rPr>
        <sz val="11"/>
        <color indexed="8"/>
        <rFont val="宋体"/>
        <family val="3"/>
        <charset val="134"/>
      </rPr>
      <t>花鳍燕鳐</t>
    </r>
  </si>
  <si>
    <r>
      <rPr>
        <sz val="11"/>
        <color indexed="8"/>
        <rFont val="宋体"/>
        <family val="3"/>
        <charset val="134"/>
      </rPr>
      <t>单峰燕鳐</t>
    </r>
  </si>
  <si>
    <r>
      <rPr>
        <sz val="11"/>
        <color indexed="8"/>
        <rFont val="宋体"/>
        <family val="3"/>
        <charset val="134"/>
      </rPr>
      <t>尖鳍燕鳐</t>
    </r>
  </si>
  <si>
    <r>
      <rPr>
        <sz val="11"/>
        <color indexed="8"/>
        <rFont val="宋体"/>
        <family val="3"/>
        <charset val="134"/>
      </rPr>
      <t>紫鳍燕鳐</t>
    </r>
  </si>
  <si>
    <r>
      <rPr>
        <sz val="11"/>
        <color indexed="8"/>
        <rFont val="宋体"/>
        <family val="3"/>
        <charset val="134"/>
      </rPr>
      <t>斑鳍燕鳐</t>
    </r>
  </si>
  <si>
    <r>
      <rPr>
        <sz val="11"/>
        <color indexed="8"/>
        <rFont val="宋体"/>
        <family val="3"/>
        <charset val="134"/>
      </rPr>
      <t>三峰燕鳐</t>
    </r>
  </si>
  <si>
    <r>
      <rPr>
        <sz val="11"/>
        <color indexed="8"/>
        <rFont val="宋体"/>
        <family val="3"/>
        <charset val="134"/>
      </rPr>
      <t>斑条燕鳐</t>
    </r>
  </si>
  <si>
    <r>
      <rPr>
        <sz val="11"/>
        <color indexed="8"/>
        <rFont val="宋体"/>
        <family val="3"/>
        <charset val="134"/>
      </rPr>
      <t>单色燕鳐</t>
    </r>
  </si>
  <si>
    <r>
      <rPr>
        <sz val="11"/>
        <color indexed="8"/>
        <rFont val="宋体"/>
        <family val="3"/>
        <charset val="134"/>
      </rPr>
      <t>细牙燕鳐</t>
    </r>
  </si>
  <si>
    <r>
      <rPr>
        <sz val="11"/>
        <color indexed="8"/>
        <rFont val="宋体"/>
        <family val="3"/>
        <charset val="134"/>
      </rPr>
      <t>单须飞鱼</t>
    </r>
  </si>
  <si>
    <r>
      <rPr>
        <sz val="11"/>
        <color indexed="8"/>
        <rFont val="宋体"/>
        <family val="3"/>
        <charset val="134"/>
      </rPr>
      <t>翱翔飞鱼</t>
    </r>
  </si>
  <si>
    <r>
      <rPr>
        <sz val="11"/>
        <color indexed="8"/>
        <rFont val="宋体"/>
        <family val="3"/>
        <charset val="134"/>
      </rPr>
      <t>飞鱼</t>
    </r>
  </si>
  <si>
    <r>
      <rPr>
        <sz val="11"/>
        <color indexed="8"/>
        <rFont val="宋体"/>
        <family val="3"/>
        <charset val="134"/>
      </rPr>
      <t>尖颏飞鱼</t>
    </r>
  </si>
  <si>
    <r>
      <rPr>
        <sz val="11"/>
        <color indexed="8"/>
        <rFont val="宋体"/>
        <family val="3"/>
        <charset val="134"/>
      </rPr>
      <t>短鳍拟飞鱼</t>
    </r>
  </si>
  <si>
    <r>
      <rPr>
        <sz val="11"/>
        <color indexed="8"/>
        <rFont val="宋体"/>
        <family val="3"/>
        <charset val="134"/>
      </rPr>
      <t>长颌拟飞鱼</t>
    </r>
  </si>
  <si>
    <r>
      <rPr>
        <sz val="11"/>
        <color indexed="8"/>
        <rFont val="宋体"/>
        <family val="3"/>
        <charset val="134"/>
      </rPr>
      <t>真燕鳐</t>
    </r>
  </si>
  <si>
    <r>
      <rPr>
        <sz val="11"/>
        <color indexed="8"/>
        <rFont val="宋体"/>
        <family val="3"/>
        <charset val="134"/>
      </rPr>
      <t>白斑真燕鳐</t>
    </r>
  </si>
  <si>
    <r>
      <rPr>
        <sz val="11"/>
        <color indexed="8"/>
        <rFont val="宋体"/>
        <family val="3"/>
        <charset val="134"/>
      </rPr>
      <t>黑鳍真燕鳐</t>
    </r>
  </si>
  <si>
    <r>
      <rPr>
        <sz val="11"/>
        <color indexed="8"/>
        <rFont val="宋体"/>
        <family val="3"/>
        <charset val="134"/>
      </rPr>
      <t>鳕科</t>
    </r>
  </si>
  <si>
    <r>
      <rPr>
        <sz val="11"/>
        <color indexed="8"/>
        <rFont val="宋体"/>
        <family val="3"/>
        <charset val="134"/>
      </rPr>
      <t>鳕形目</t>
    </r>
  </si>
  <si>
    <r>
      <rPr>
        <sz val="11"/>
        <color indexed="8"/>
        <rFont val="宋体"/>
        <family val="3"/>
        <charset val="134"/>
      </rPr>
      <t>大头鳕</t>
    </r>
  </si>
  <si>
    <r>
      <rPr>
        <sz val="11"/>
        <color indexed="8"/>
        <rFont val="宋体"/>
        <family val="3"/>
        <charset val="134"/>
      </rPr>
      <t>细身宽突鳕</t>
    </r>
  </si>
  <si>
    <r>
      <rPr>
        <sz val="11"/>
        <color indexed="8"/>
        <rFont val="宋体"/>
        <family val="3"/>
        <charset val="134"/>
      </rPr>
      <t>黄线狭鳕</t>
    </r>
  </si>
  <si>
    <r>
      <rPr>
        <sz val="11"/>
        <color indexed="8"/>
        <rFont val="宋体"/>
        <family val="3"/>
        <charset val="134"/>
      </rPr>
      <t>太平洋三须岩鳕</t>
    </r>
  </si>
  <si>
    <r>
      <rPr>
        <sz val="11"/>
        <color indexed="8"/>
        <rFont val="宋体"/>
        <family val="3"/>
        <charset val="134"/>
      </rPr>
      <t>张氏五须岩鳕</t>
    </r>
  </si>
  <si>
    <r>
      <rPr>
        <sz val="11"/>
        <color indexed="8"/>
        <rFont val="宋体"/>
        <family val="3"/>
        <charset val="134"/>
      </rPr>
      <t>江鳕</t>
    </r>
  </si>
  <si>
    <r>
      <rPr>
        <sz val="11"/>
        <color indexed="8"/>
        <rFont val="宋体"/>
        <family val="3"/>
        <charset val="134"/>
      </rPr>
      <t>深海鳕科</t>
    </r>
  </si>
  <si>
    <r>
      <rPr>
        <sz val="11"/>
        <color indexed="8"/>
        <rFont val="宋体"/>
        <family val="3"/>
        <charset val="134"/>
      </rPr>
      <t>日本小褐鳕</t>
    </r>
  </si>
  <si>
    <r>
      <rPr>
        <sz val="11"/>
        <color indexed="8"/>
        <rFont val="宋体"/>
        <family val="3"/>
        <charset val="134"/>
      </rPr>
      <t>马氏小褐鳕</t>
    </r>
  </si>
  <si>
    <r>
      <rPr>
        <sz val="11"/>
        <color indexed="8"/>
        <rFont val="宋体"/>
        <family val="3"/>
        <charset val="134"/>
      </rPr>
      <t>灰小褐鳕</t>
    </r>
  </si>
  <si>
    <r>
      <rPr>
        <sz val="11"/>
        <color indexed="8"/>
        <rFont val="宋体"/>
        <family val="3"/>
        <charset val="134"/>
      </rPr>
      <t>焦氏短稚鳕</t>
    </r>
  </si>
  <si>
    <r>
      <rPr>
        <sz val="11"/>
        <color indexed="8"/>
        <rFont val="宋体"/>
        <family val="3"/>
        <charset val="134"/>
      </rPr>
      <t>无须短稚鳕</t>
    </r>
  </si>
  <si>
    <r>
      <rPr>
        <sz val="11"/>
        <color indexed="8"/>
        <rFont val="宋体"/>
        <family val="3"/>
        <charset val="134"/>
      </rPr>
      <t>褐矶鳕</t>
    </r>
  </si>
  <si>
    <r>
      <rPr>
        <sz val="11"/>
        <color indexed="8"/>
        <rFont val="宋体"/>
        <family val="3"/>
        <charset val="134"/>
      </rPr>
      <t>梭鳕科</t>
    </r>
  </si>
  <si>
    <r>
      <rPr>
        <sz val="11"/>
        <color indexed="8"/>
        <rFont val="宋体"/>
        <family val="3"/>
        <charset val="134"/>
      </rPr>
      <t>北太平洋梭鳕</t>
    </r>
  </si>
  <si>
    <r>
      <rPr>
        <sz val="11"/>
        <color indexed="8"/>
        <rFont val="宋体"/>
        <family val="3"/>
        <charset val="134"/>
      </rPr>
      <t>犀鳕科</t>
    </r>
  </si>
  <si>
    <r>
      <rPr>
        <sz val="11"/>
        <color indexed="8"/>
        <rFont val="宋体"/>
        <family val="3"/>
        <charset val="134"/>
      </rPr>
      <t>麦氏犀鳕</t>
    </r>
  </si>
  <si>
    <r>
      <rPr>
        <sz val="11"/>
        <color indexed="8"/>
        <rFont val="宋体"/>
        <family val="3"/>
        <charset val="134"/>
      </rPr>
      <t>大西洋犀鳕</t>
    </r>
  </si>
  <si>
    <r>
      <rPr>
        <sz val="11"/>
        <color indexed="8"/>
        <rFont val="宋体"/>
        <family val="3"/>
        <charset val="134"/>
      </rPr>
      <t>少鳞犀鳕</t>
    </r>
  </si>
  <si>
    <r>
      <rPr>
        <sz val="11"/>
        <color indexed="8"/>
        <rFont val="宋体"/>
        <family val="3"/>
        <charset val="134"/>
      </rPr>
      <t>银腰犀鳕</t>
    </r>
  </si>
  <si>
    <r>
      <rPr>
        <sz val="11"/>
        <color indexed="8"/>
        <rFont val="宋体"/>
        <family val="3"/>
        <charset val="134"/>
      </rPr>
      <t>阿拉伯犀鳕</t>
    </r>
  </si>
  <si>
    <r>
      <rPr>
        <sz val="11"/>
        <color indexed="8"/>
        <rFont val="宋体"/>
        <family val="3"/>
        <charset val="134"/>
      </rPr>
      <t>深水游犀鳕</t>
    </r>
  </si>
  <si>
    <r>
      <rPr>
        <sz val="11"/>
        <color indexed="8"/>
        <rFont val="宋体"/>
        <family val="3"/>
        <charset val="134"/>
      </rPr>
      <t>长尾鳕科</t>
    </r>
  </si>
  <si>
    <r>
      <rPr>
        <sz val="11"/>
        <color indexed="8"/>
        <rFont val="宋体"/>
        <family val="3"/>
        <charset val="134"/>
      </rPr>
      <t>柯氏鼠鳕</t>
    </r>
  </si>
  <si>
    <r>
      <rPr>
        <sz val="11"/>
        <color indexed="8"/>
        <rFont val="宋体"/>
        <family val="3"/>
        <charset val="134"/>
      </rPr>
      <t>黑口鼠鳕</t>
    </r>
  </si>
  <si>
    <r>
      <rPr>
        <sz val="11"/>
        <color indexed="8"/>
        <rFont val="宋体"/>
        <family val="3"/>
        <charset val="134"/>
      </rPr>
      <t>多丝鼠鳕</t>
    </r>
  </si>
  <si>
    <r>
      <rPr>
        <sz val="11"/>
        <color indexed="8"/>
        <rFont val="宋体"/>
        <family val="3"/>
        <charset val="134"/>
      </rPr>
      <t>宽头深海鼠鳕</t>
    </r>
  </si>
  <si>
    <r>
      <rPr>
        <sz val="11"/>
        <color indexed="8"/>
        <rFont val="宋体"/>
        <family val="3"/>
        <charset val="134"/>
      </rPr>
      <t>加氏深海鼠鳕</t>
    </r>
  </si>
  <si>
    <r>
      <rPr>
        <sz val="11"/>
        <color indexed="8"/>
        <rFont val="宋体"/>
        <family val="3"/>
        <charset val="134"/>
      </rPr>
      <t>绵头深海鼠鳕</t>
    </r>
  </si>
  <si>
    <r>
      <rPr>
        <sz val="11"/>
        <color indexed="8"/>
        <rFont val="宋体"/>
        <family val="3"/>
        <charset val="134"/>
      </rPr>
      <t>长头膜头鳕</t>
    </r>
  </si>
  <si>
    <r>
      <rPr>
        <sz val="11"/>
        <color indexed="8"/>
        <rFont val="宋体"/>
        <family val="3"/>
        <charset val="134"/>
      </rPr>
      <t>长须膜头鳕</t>
    </r>
  </si>
  <si>
    <r>
      <rPr>
        <sz val="11"/>
        <color indexed="8"/>
        <rFont val="宋体"/>
        <family val="3"/>
        <charset val="134"/>
      </rPr>
      <t>纹喉膜头鳕</t>
    </r>
  </si>
  <si>
    <r>
      <rPr>
        <sz val="11"/>
        <color indexed="8"/>
        <rFont val="宋体"/>
        <family val="3"/>
        <charset val="134"/>
      </rPr>
      <t>盯视膜头鳕</t>
    </r>
  </si>
  <si>
    <r>
      <rPr>
        <sz val="11"/>
        <color indexed="8"/>
        <rFont val="宋体"/>
        <family val="3"/>
        <charset val="134"/>
      </rPr>
      <t>刺吻膜头鳕</t>
    </r>
  </si>
  <si>
    <r>
      <rPr>
        <sz val="11"/>
        <color indexed="8"/>
        <rFont val="宋体"/>
        <family val="3"/>
        <charset val="134"/>
      </rPr>
      <t>新膜头鳕</t>
    </r>
  </si>
  <si>
    <r>
      <rPr>
        <sz val="11"/>
        <color indexed="8"/>
        <rFont val="宋体"/>
        <family val="3"/>
        <charset val="134"/>
      </rPr>
      <t>细身膜鳕</t>
    </r>
  </si>
  <si>
    <r>
      <rPr>
        <sz val="11"/>
        <color indexed="8"/>
        <rFont val="宋体"/>
        <family val="3"/>
        <charset val="134"/>
      </rPr>
      <t>膨趾膜鳕</t>
    </r>
  </si>
  <si>
    <r>
      <rPr>
        <sz val="11"/>
        <color indexed="8"/>
        <rFont val="宋体"/>
        <family val="3"/>
        <charset val="134"/>
      </rPr>
      <t>绒皮粗尾鳕</t>
    </r>
  </si>
  <si>
    <r>
      <rPr>
        <sz val="11"/>
        <color indexed="8"/>
        <rFont val="宋体"/>
        <family val="3"/>
        <charset val="134"/>
      </rPr>
      <t>吕宋软头鳕</t>
    </r>
  </si>
  <si>
    <r>
      <rPr>
        <sz val="11"/>
        <color indexed="8"/>
        <rFont val="宋体"/>
        <family val="3"/>
        <charset val="134"/>
      </rPr>
      <t>光刺软头鳕</t>
    </r>
  </si>
  <si>
    <r>
      <rPr>
        <sz val="11"/>
        <color indexed="8"/>
        <rFont val="宋体"/>
        <family val="3"/>
        <charset val="134"/>
      </rPr>
      <t>魔灯凹腹鳕</t>
    </r>
  </si>
  <si>
    <r>
      <rPr>
        <sz val="11"/>
        <color indexed="8"/>
        <rFont val="宋体"/>
        <family val="3"/>
        <charset val="134"/>
      </rPr>
      <t>黑边凹腹鳕</t>
    </r>
  </si>
  <si>
    <r>
      <rPr>
        <sz val="11"/>
        <color indexed="8"/>
        <rFont val="宋体"/>
        <family val="3"/>
        <charset val="134"/>
      </rPr>
      <t>长趾凹腹鳕</t>
    </r>
  </si>
  <si>
    <r>
      <rPr>
        <sz val="11"/>
        <color indexed="8"/>
        <rFont val="宋体"/>
        <family val="3"/>
        <charset val="134"/>
      </rPr>
      <t>扇鳍凹腹鳕</t>
    </r>
  </si>
  <si>
    <r>
      <rPr>
        <sz val="11"/>
        <color indexed="8"/>
        <rFont val="宋体"/>
        <family val="3"/>
        <charset val="134"/>
      </rPr>
      <t>豆腹凹腹鳕</t>
    </r>
  </si>
  <si>
    <r>
      <rPr>
        <sz val="11"/>
        <color indexed="8"/>
        <rFont val="宋体"/>
        <family val="3"/>
        <charset val="134"/>
      </rPr>
      <t>里背鳍凹腹鳕</t>
    </r>
  </si>
  <si>
    <r>
      <rPr>
        <sz val="11"/>
        <color indexed="8"/>
        <rFont val="宋体"/>
        <family val="3"/>
        <charset val="134"/>
      </rPr>
      <t>加曼凹腹鳕</t>
    </r>
  </si>
  <si>
    <r>
      <rPr>
        <sz val="11"/>
        <color indexed="8"/>
        <rFont val="宋体"/>
        <family val="3"/>
        <charset val="134"/>
      </rPr>
      <t>北部凹腹鳕</t>
    </r>
  </si>
  <si>
    <r>
      <rPr>
        <sz val="11"/>
        <color indexed="8"/>
        <rFont val="宋体"/>
        <family val="3"/>
        <charset val="134"/>
      </rPr>
      <t>岐异凹腹鳕</t>
    </r>
  </si>
  <si>
    <r>
      <rPr>
        <sz val="11"/>
        <color indexed="8"/>
        <rFont val="宋体"/>
        <family val="3"/>
        <charset val="134"/>
      </rPr>
      <t>长须凹腹鳕</t>
    </r>
  </si>
  <si>
    <r>
      <rPr>
        <sz val="11"/>
        <color indexed="8"/>
        <rFont val="宋体"/>
        <family val="3"/>
        <charset val="134"/>
      </rPr>
      <t>三崎凹腹鳕</t>
    </r>
  </si>
  <si>
    <r>
      <rPr>
        <sz val="11"/>
        <color indexed="8"/>
        <rFont val="宋体"/>
        <family val="3"/>
        <charset val="134"/>
      </rPr>
      <t>骏河湾纲鳞鳕</t>
    </r>
  </si>
  <si>
    <r>
      <rPr>
        <sz val="11"/>
        <color indexed="8"/>
        <rFont val="宋体"/>
        <family val="3"/>
        <charset val="134"/>
      </rPr>
      <t>原始纲鳞鳕</t>
    </r>
  </si>
  <si>
    <r>
      <rPr>
        <sz val="11"/>
        <color indexed="8"/>
        <rFont val="宋体"/>
        <family val="3"/>
        <charset val="134"/>
      </rPr>
      <t>狮鼻纲鳞鳕</t>
    </r>
  </si>
  <si>
    <r>
      <rPr>
        <sz val="11"/>
        <color indexed="8"/>
        <rFont val="宋体"/>
        <family val="3"/>
        <charset val="134"/>
      </rPr>
      <t>嵴刺腔吻鳕</t>
    </r>
  </si>
  <si>
    <r>
      <rPr>
        <sz val="11"/>
        <color indexed="8"/>
        <rFont val="宋体"/>
        <family val="3"/>
        <charset val="134"/>
      </rPr>
      <t>长鼻腔吻鳕</t>
    </r>
  </si>
  <si>
    <r>
      <rPr>
        <sz val="11"/>
        <color indexed="8"/>
        <rFont val="宋体"/>
        <family val="3"/>
        <charset val="134"/>
      </rPr>
      <t>稀鳞腔吻鳕</t>
    </r>
  </si>
  <si>
    <r>
      <rPr>
        <sz val="11"/>
        <color indexed="8"/>
        <rFont val="宋体"/>
        <family val="3"/>
        <charset val="134"/>
      </rPr>
      <t>平刺腔吻鳕</t>
    </r>
  </si>
  <si>
    <r>
      <rPr>
        <sz val="11"/>
        <color indexed="8"/>
        <rFont val="宋体"/>
        <family val="3"/>
        <charset val="134"/>
      </rPr>
      <t>日本腔吻鳕</t>
    </r>
  </si>
  <si>
    <r>
      <rPr>
        <sz val="11"/>
        <color indexed="8"/>
        <rFont val="宋体"/>
        <family val="3"/>
        <charset val="134"/>
      </rPr>
      <t>史氏腔吻鳕</t>
    </r>
  </si>
  <si>
    <r>
      <rPr>
        <sz val="11"/>
        <color indexed="8"/>
        <rFont val="宋体"/>
        <family val="3"/>
        <charset val="134"/>
      </rPr>
      <t>辐刺腔吻鳕</t>
    </r>
  </si>
  <si>
    <r>
      <rPr>
        <sz val="11"/>
        <color indexed="8"/>
        <rFont val="宋体"/>
        <family val="3"/>
        <charset val="134"/>
      </rPr>
      <t>变异腔吻鳕</t>
    </r>
  </si>
  <si>
    <r>
      <rPr>
        <sz val="11"/>
        <color indexed="8"/>
        <rFont val="宋体"/>
        <family val="3"/>
        <charset val="134"/>
      </rPr>
      <t>肩斑腔吻鳕</t>
    </r>
  </si>
  <si>
    <r>
      <rPr>
        <sz val="11"/>
        <color indexed="8"/>
        <rFont val="宋体"/>
        <family val="3"/>
        <charset val="134"/>
      </rPr>
      <t>帆背腔吻鳕</t>
    </r>
  </si>
  <si>
    <r>
      <rPr>
        <sz val="11"/>
        <color indexed="8"/>
        <rFont val="宋体"/>
        <family val="3"/>
        <charset val="134"/>
      </rPr>
      <t>眼斑腔吻鳕</t>
    </r>
  </si>
  <si>
    <r>
      <rPr>
        <sz val="11"/>
        <color indexed="8"/>
        <rFont val="宋体"/>
        <family val="3"/>
        <charset val="134"/>
      </rPr>
      <t>岸上腔吻鳕</t>
    </r>
  </si>
  <si>
    <r>
      <rPr>
        <sz val="11"/>
        <color indexed="8"/>
        <rFont val="宋体"/>
        <family val="3"/>
        <charset val="134"/>
      </rPr>
      <t>大鳞腔吻鳕</t>
    </r>
  </si>
  <si>
    <r>
      <rPr>
        <sz val="11"/>
        <color indexed="8"/>
        <rFont val="宋体"/>
        <family val="3"/>
        <charset val="134"/>
      </rPr>
      <t>长臂腔吻鳕</t>
    </r>
  </si>
  <si>
    <r>
      <rPr>
        <sz val="11"/>
        <color indexed="8"/>
        <rFont val="宋体"/>
        <family val="3"/>
        <charset val="134"/>
      </rPr>
      <t>东京腔吻鳕</t>
    </r>
  </si>
  <si>
    <r>
      <rPr>
        <sz val="11"/>
        <color indexed="8"/>
        <rFont val="宋体"/>
        <family val="3"/>
        <charset val="134"/>
      </rPr>
      <t>星鳞腔吻鳕</t>
    </r>
  </si>
  <si>
    <r>
      <rPr>
        <sz val="11"/>
        <color indexed="8"/>
        <rFont val="宋体"/>
        <family val="3"/>
        <charset val="134"/>
      </rPr>
      <t>鸭嘴腔吻鳕</t>
    </r>
  </si>
  <si>
    <r>
      <rPr>
        <sz val="11"/>
        <color indexed="8"/>
        <rFont val="宋体"/>
        <family val="3"/>
        <charset val="134"/>
      </rPr>
      <t>尖鼻腔吻鳕</t>
    </r>
  </si>
  <si>
    <r>
      <rPr>
        <sz val="11"/>
        <color indexed="8"/>
        <rFont val="宋体"/>
        <family val="3"/>
        <charset val="134"/>
      </rPr>
      <t>焦丹腔吻鳕</t>
    </r>
  </si>
  <si>
    <r>
      <rPr>
        <sz val="11"/>
        <color indexed="8"/>
        <rFont val="宋体"/>
        <family val="3"/>
        <charset val="134"/>
      </rPr>
      <t>台湾腔吻鳕</t>
    </r>
  </si>
  <si>
    <r>
      <rPr>
        <sz val="11"/>
        <color indexed="8"/>
        <rFont val="宋体"/>
        <family val="3"/>
        <charset val="134"/>
      </rPr>
      <t>汤普森腔吻鳕</t>
    </r>
  </si>
  <si>
    <r>
      <rPr>
        <sz val="11"/>
        <color indexed="8"/>
        <rFont val="宋体"/>
        <family val="3"/>
        <charset val="134"/>
      </rPr>
      <t>多刺腔吻鳕</t>
    </r>
  </si>
  <si>
    <r>
      <rPr>
        <sz val="11"/>
        <color indexed="8"/>
        <rFont val="宋体"/>
        <family val="3"/>
        <charset val="134"/>
      </rPr>
      <t>银色腔吻鳕</t>
    </r>
  </si>
  <si>
    <r>
      <rPr>
        <sz val="11"/>
        <color indexed="8"/>
        <rFont val="宋体"/>
        <family val="3"/>
        <charset val="134"/>
      </rPr>
      <t>蒲原腔吻鳕</t>
    </r>
  </si>
  <si>
    <r>
      <rPr>
        <sz val="11"/>
        <color indexed="8"/>
        <rFont val="宋体"/>
        <family val="3"/>
        <charset val="134"/>
      </rPr>
      <t>长管腔吻鳕</t>
    </r>
  </si>
  <si>
    <r>
      <rPr>
        <sz val="11"/>
        <color indexed="8"/>
        <rFont val="宋体"/>
        <family val="3"/>
        <charset val="134"/>
      </rPr>
      <t>横带腔吻鳕</t>
    </r>
  </si>
  <si>
    <r>
      <rPr>
        <sz val="11"/>
        <color indexed="8"/>
        <rFont val="宋体"/>
        <family val="3"/>
        <charset val="134"/>
      </rPr>
      <t>短吻腔吻鳕</t>
    </r>
  </si>
  <si>
    <r>
      <rPr>
        <sz val="11"/>
        <color indexed="8"/>
        <rFont val="宋体"/>
        <family val="3"/>
        <charset val="134"/>
      </rPr>
      <t>黑边鯕鳅鳕</t>
    </r>
  </si>
  <si>
    <r>
      <rPr>
        <sz val="11"/>
        <color indexed="8"/>
        <rFont val="宋体"/>
        <family val="3"/>
        <charset val="134"/>
      </rPr>
      <t>锥鼻鯕鳅鳕</t>
    </r>
  </si>
  <si>
    <r>
      <rPr>
        <sz val="11"/>
        <color indexed="8"/>
        <rFont val="宋体"/>
        <family val="3"/>
        <charset val="134"/>
      </rPr>
      <t>卵头鲨鳕</t>
    </r>
  </si>
  <si>
    <r>
      <rPr>
        <sz val="11"/>
        <color indexed="8"/>
        <rFont val="宋体"/>
        <family val="3"/>
        <charset val="134"/>
      </rPr>
      <t>蛇鳚科</t>
    </r>
  </si>
  <si>
    <r>
      <rPr>
        <sz val="11"/>
        <color indexed="8"/>
        <rFont val="宋体"/>
        <family val="3"/>
        <charset val="134"/>
      </rPr>
      <t>蛇鳚目</t>
    </r>
  </si>
  <si>
    <r>
      <rPr>
        <sz val="11"/>
        <color indexed="8"/>
        <rFont val="宋体"/>
        <family val="3"/>
        <charset val="134"/>
      </rPr>
      <t>多须须鼬鳚</t>
    </r>
  </si>
  <si>
    <r>
      <rPr>
        <sz val="11"/>
        <color indexed="8"/>
        <rFont val="宋体"/>
        <family val="3"/>
        <charset val="134"/>
      </rPr>
      <t>席鳞蛇鳚</t>
    </r>
  </si>
  <si>
    <r>
      <rPr>
        <sz val="11"/>
        <color indexed="8"/>
        <rFont val="宋体"/>
        <family val="3"/>
        <charset val="134"/>
      </rPr>
      <t>鳗鳞蛇鳚</t>
    </r>
  </si>
  <si>
    <r>
      <rPr>
        <sz val="11"/>
        <color indexed="8"/>
        <rFont val="宋体"/>
        <family val="3"/>
        <charset val="134"/>
      </rPr>
      <t>棘鼬鳚</t>
    </r>
  </si>
  <si>
    <r>
      <rPr>
        <sz val="11"/>
        <color indexed="8"/>
        <rFont val="宋体"/>
        <family val="3"/>
        <charset val="134"/>
      </rPr>
      <t>仙鼬鳚</t>
    </r>
  </si>
  <si>
    <r>
      <rPr>
        <sz val="11"/>
        <color indexed="8"/>
        <rFont val="宋体"/>
        <family val="3"/>
        <charset val="134"/>
      </rPr>
      <t>菲律宾仙鼬鳚</t>
    </r>
  </si>
  <si>
    <r>
      <rPr>
        <sz val="11"/>
        <color indexed="8"/>
        <rFont val="宋体"/>
        <family val="3"/>
        <charset val="134"/>
      </rPr>
      <t>大洋嵴鼬鳚</t>
    </r>
  </si>
  <si>
    <r>
      <rPr>
        <sz val="11"/>
        <color indexed="8"/>
        <rFont val="宋体"/>
        <family val="3"/>
        <charset val="134"/>
      </rPr>
      <t>根舍孔鼬鳚</t>
    </r>
  </si>
  <si>
    <r>
      <rPr>
        <sz val="11"/>
        <color indexed="8"/>
        <rFont val="宋体"/>
        <family val="3"/>
        <charset val="134"/>
      </rPr>
      <t>鞭尾孔鼬鳚</t>
    </r>
  </si>
  <si>
    <r>
      <rPr>
        <sz val="11"/>
        <color indexed="8"/>
        <rFont val="宋体"/>
        <family val="3"/>
        <charset val="134"/>
      </rPr>
      <t>壮体深鼬鳚</t>
    </r>
  </si>
  <si>
    <r>
      <rPr>
        <sz val="11"/>
        <color indexed="8"/>
        <rFont val="宋体"/>
        <family val="3"/>
        <charset val="134"/>
      </rPr>
      <t>细鳞厚鼬鳚</t>
    </r>
  </si>
  <si>
    <r>
      <rPr>
        <sz val="11"/>
        <color indexed="8"/>
        <rFont val="宋体"/>
        <family val="3"/>
        <charset val="134"/>
      </rPr>
      <t>棕黄厚鼬鳚</t>
    </r>
  </si>
  <si>
    <r>
      <rPr>
        <sz val="11"/>
        <color indexed="8"/>
        <rFont val="宋体"/>
        <family val="3"/>
        <charset val="134"/>
      </rPr>
      <t>巴什矛鼬鳚</t>
    </r>
  </si>
  <si>
    <r>
      <rPr>
        <sz val="11"/>
        <color indexed="8"/>
        <rFont val="宋体"/>
        <family val="3"/>
        <charset val="134"/>
      </rPr>
      <t>五指指鼬鳚</t>
    </r>
  </si>
  <si>
    <r>
      <rPr>
        <sz val="11"/>
        <color indexed="8"/>
        <rFont val="宋体"/>
        <family val="3"/>
        <charset val="134"/>
      </rPr>
      <t>丝鳍指鼬鳚</t>
    </r>
  </si>
  <si>
    <r>
      <rPr>
        <sz val="11"/>
        <color indexed="8"/>
        <rFont val="宋体"/>
        <family val="3"/>
        <charset val="134"/>
      </rPr>
      <t>多丝指鼬鳚</t>
    </r>
  </si>
  <si>
    <r>
      <rPr>
        <sz val="11"/>
        <color indexed="8"/>
        <rFont val="宋体"/>
        <family val="3"/>
        <charset val="134"/>
      </rPr>
      <t>日本长趾鼬鳚</t>
    </r>
  </si>
  <si>
    <r>
      <rPr>
        <sz val="11"/>
        <color indexed="8"/>
        <rFont val="宋体"/>
        <family val="3"/>
        <charset val="134"/>
      </rPr>
      <t>黄白单趾鼬鳚</t>
    </r>
  </si>
  <si>
    <r>
      <rPr>
        <sz val="11"/>
        <color indexed="8"/>
        <rFont val="宋体"/>
        <family val="3"/>
        <charset val="134"/>
      </rPr>
      <t>长头单趾鼬鳚</t>
    </r>
  </si>
  <si>
    <r>
      <rPr>
        <sz val="11"/>
        <color indexed="8"/>
        <rFont val="宋体"/>
        <family val="3"/>
        <charset val="134"/>
      </rPr>
      <t>熊吉单趾鼬鳚</t>
    </r>
  </si>
  <si>
    <r>
      <rPr>
        <sz val="11"/>
        <color indexed="8"/>
        <rFont val="宋体"/>
        <family val="3"/>
        <charset val="134"/>
      </rPr>
      <t>横带新鼬鳚</t>
    </r>
  </si>
  <si>
    <r>
      <rPr>
        <sz val="11"/>
        <color indexed="8"/>
        <rFont val="宋体"/>
        <family val="3"/>
        <charset val="134"/>
      </rPr>
      <t>黑斑新鼬鳚</t>
    </r>
  </si>
  <si>
    <r>
      <rPr>
        <sz val="11"/>
        <color indexed="8"/>
        <rFont val="宋体"/>
        <family val="3"/>
        <charset val="134"/>
      </rPr>
      <t>多斑新鼬鳚</t>
    </r>
  </si>
  <si>
    <r>
      <rPr>
        <sz val="11"/>
        <color indexed="8"/>
        <rFont val="宋体"/>
        <family val="3"/>
        <charset val="134"/>
      </rPr>
      <t>黑潮新鼬鳚</t>
    </r>
  </si>
  <si>
    <r>
      <rPr>
        <sz val="11"/>
        <color indexed="8"/>
        <rFont val="宋体"/>
        <family val="3"/>
        <charset val="134"/>
      </rPr>
      <t>大鳍深鼬鳚</t>
    </r>
  </si>
  <si>
    <r>
      <rPr>
        <sz val="11"/>
        <color indexed="8"/>
        <rFont val="宋体"/>
        <family val="3"/>
        <charset val="134"/>
      </rPr>
      <t>胎鼬鳚科</t>
    </r>
  </si>
  <si>
    <r>
      <rPr>
        <sz val="11"/>
        <color indexed="8"/>
        <rFont val="宋体"/>
        <family val="3"/>
        <charset val="134"/>
      </rPr>
      <t>毛突囊鼬鳚</t>
    </r>
  </si>
  <si>
    <r>
      <rPr>
        <sz val="11"/>
        <color indexed="8"/>
        <rFont val="宋体"/>
        <family val="3"/>
        <charset val="134"/>
      </rPr>
      <t>棕褐双棘鼬鳚</t>
    </r>
  </si>
  <si>
    <r>
      <rPr>
        <sz val="11"/>
        <color indexed="8"/>
        <rFont val="宋体"/>
        <family val="3"/>
        <charset val="134"/>
      </rPr>
      <t>扁吻底鼬鳚</t>
    </r>
  </si>
  <si>
    <r>
      <rPr>
        <sz val="11"/>
        <color indexed="8"/>
        <rFont val="宋体"/>
        <family val="3"/>
        <charset val="134"/>
      </rPr>
      <t>壮体独趾鼬鳚</t>
    </r>
  </si>
  <si>
    <r>
      <rPr>
        <sz val="11"/>
        <color indexed="8"/>
        <rFont val="宋体"/>
        <family val="3"/>
        <charset val="134"/>
      </rPr>
      <t>双趾鼬鳚</t>
    </r>
  </si>
  <si>
    <r>
      <rPr>
        <sz val="11"/>
        <color indexed="8"/>
        <rFont val="宋体"/>
        <family val="3"/>
        <charset val="134"/>
      </rPr>
      <t>毛吻双趾鼬鳚</t>
    </r>
  </si>
  <si>
    <r>
      <rPr>
        <sz val="11"/>
        <color indexed="8"/>
        <rFont val="宋体"/>
        <family val="3"/>
        <charset val="134"/>
      </rPr>
      <t>小眼双趾鼬鳚</t>
    </r>
  </si>
  <si>
    <r>
      <rPr>
        <sz val="11"/>
        <color indexed="8"/>
        <rFont val="宋体"/>
        <family val="3"/>
        <charset val="134"/>
      </rPr>
      <t>棕黄小鼬鳚</t>
    </r>
  </si>
  <si>
    <r>
      <rPr>
        <sz val="11"/>
        <color indexed="8"/>
        <rFont val="宋体"/>
        <family val="3"/>
        <charset val="134"/>
      </rPr>
      <t>博林胶鼬鳚</t>
    </r>
  </si>
  <si>
    <r>
      <rPr>
        <sz val="11"/>
        <color indexed="8"/>
        <rFont val="宋体"/>
        <family val="3"/>
        <charset val="134"/>
      </rPr>
      <t>胶鼬鳚科</t>
    </r>
  </si>
  <si>
    <r>
      <rPr>
        <sz val="11"/>
        <color indexed="8"/>
        <rFont val="宋体"/>
        <family val="3"/>
        <charset val="134"/>
      </rPr>
      <t>透明渊鼬鳚</t>
    </r>
  </si>
  <si>
    <r>
      <rPr>
        <sz val="11"/>
        <color indexed="8"/>
        <rFont val="宋体"/>
        <family val="3"/>
        <charset val="134"/>
      </rPr>
      <t>棕斑渊鼬鳚</t>
    </r>
  </si>
  <si>
    <r>
      <rPr>
        <sz val="11"/>
        <color indexed="8"/>
        <rFont val="宋体"/>
        <family val="3"/>
        <charset val="134"/>
      </rPr>
      <t>细鳗潜鱼</t>
    </r>
  </si>
  <si>
    <r>
      <rPr>
        <sz val="11"/>
        <color indexed="8"/>
        <rFont val="宋体"/>
        <family val="3"/>
        <charset val="134"/>
      </rPr>
      <t>潜鱼科</t>
    </r>
  </si>
  <si>
    <r>
      <rPr>
        <sz val="11"/>
        <color indexed="8"/>
        <rFont val="宋体"/>
        <family val="3"/>
        <charset val="134"/>
      </rPr>
      <t>相模湾鳗潜鱼</t>
    </r>
  </si>
  <si>
    <r>
      <rPr>
        <sz val="11"/>
        <color indexed="8"/>
        <rFont val="宋体"/>
        <family val="3"/>
        <charset val="134"/>
      </rPr>
      <t>细扁潜鱼</t>
    </r>
  </si>
  <si>
    <r>
      <rPr>
        <sz val="11"/>
        <color indexed="8"/>
        <rFont val="宋体"/>
        <family val="3"/>
        <charset val="134"/>
      </rPr>
      <t>小鳍潜鱼</t>
    </r>
  </si>
  <si>
    <r>
      <rPr>
        <sz val="11"/>
        <color indexed="8"/>
        <rFont val="宋体"/>
        <family val="3"/>
        <charset val="134"/>
      </rPr>
      <t>霍姆潜鱼</t>
    </r>
  </si>
  <si>
    <r>
      <rPr>
        <sz val="11"/>
        <color indexed="8"/>
        <rFont val="宋体"/>
        <family val="3"/>
        <charset val="134"/>
      </rPr>
      <t>后肛潜鱼</t>
    </r>
  </si>
  <si>
    <r>
      <rPr>
        <sz val="11"/>
        <color indexed="8"/>
        <rFont val="宋体"/>
        <family val="3"/>
        <charset val="134"/>
      </rPr>
      <t>日本蛇齿潜鱼</t>
    </r>
  </si>
  <si>
    <r>
      <rPr>
        <sz val="11"/>
        <color indexed="8"/>
        <rFont val="宋体"/>
        <family val="3"/>
        <charset val="134"/>
      </rPr>
      <t>短臂爪齿潜鱼</t>
    </r>
  </si>
  <si>
    <r>
      <rPr>
        <sz val="11"/>
        <color indexed="8"/>
        <rFont val="宋体"/>
        <family val="3"/>
        <charset val="134"/>
      </rPr>
      <t>珠贝爪齿潜鱼</t>
    </r>
  </si>
  <si>
    <r>
      <rPr>
        <sz val="11"/>
        <color indexed="8"/>
        <rFont val="宋体"/>
        <family val="3"/>
        <charset val="134"/>
      </rPr>
      <t>松球鱼科</t>
    </r>
  </si>
  <si>
    <r>
      <rPr>
        <sz val="11"/>
        <color indexed="8"/>
        <rFont val="宋体"/>
        <family val="3"/>
        <charset val="134"/>
      </rPr>
      <t>金眼鲷目</t>
    </r>
  </si>
  <si>
    <r>
      <rPr>
        <sz val="11"/>
        <color indexed="8"/>
        <rFont val="宋体"/>
        <family val="3"/>
        <charset val="134"/>
      </rPr>
      <t>松球鱼</t>
    </r>
  </si>
  <si>
    <r>
      <rPr>
        <sz val="11"/>
        <color indexed="8"/>
        <rFont val="宋体"/>
        <family val="3"/>
        <charset val="134"/>
      </rPr>
      <t>棘鲷科</t>
    </r>
  </si>
  <si>
    <r>
      <rPr>
        <sz val="11"/>
        <color indexed="8"/>
        <rFont val="宋体"/>
        <family val="3"/>
        <charset val="134"/>
      </rPr>
      <t>日本桥棘鲷</t>
    </r>
  </si>
  <si>
    <r>
      <rPr>
        <sz val="11"/>
        <color indexed="8"/>
        <rFont val="宋体"/>
        <family val="3"/>
        <charset val="134"/>
      </rPr>
      <t>红棘胸鲷</t>
    </r>
  </si>
  <si>
    <r>
      <rPr>
        <sz val="11"/>
        <color indexed="8"/>
        <rFont val="宋体"/>
        <family val="3"/>
        <charset val="134"/>
      </rPr>
      <t>前肛棘臀鲷</t>
    </r>
  </si>
  <si>
    <r>
      <rPr>
        <sz val="11"/>
        <color indexed="8"/>
        <rFont val="宋体"/>
        <family val="3"/>
        <charset val="134"/>
      </rPr>
      <t>奇眼鲷科</t>
    </r>
  </si>
  <si>
    <r>
      <rPr>
        <sz val="11"/>
        <color indexed="8"/>
        <rFont val="宋体"/>
        <family val="3"/>
        <charset val="134"/>
      </rPr>
      <t>奇眼鲷</t>
    </r>
  </si>
  <si>
    <r>
      <rPr>
        <sz val="11"/>
        <color indexed="8"/>
        <rFont val="宋体"/>
        <family val="3"/>
        <charset val="134"/>
      </rPr>
      <t>洞鳍鲷科</t>
    </r>
  </si>
  <si>
    <r>
      <rPr>
        <sz val="11"/>
        <color indexed="8"/>
        <rFont val="宋体"/>
        <family val="3"/>
        <charset val="134"/>
      </rPr>
      <t>银色洞鳍鲷</t>
    </r>
  </si>
  <si>
    <r>
      <rPr>
        <sz val="11"/>
        <color indexed="8"/>
        <rFont val="宋体"/>
        <family val="3"/>
        <charset val="134"/>
      </rPr>
      <t>光腹鲷科</t>
    </r>
  </si>
  <si>
    <r>
      <rPr>
        <sz val="11"/>
        <color indexed="8"/>
        <rFont val="宋体"/>
        <family val="3"/>
        <charset val="134"/>
      </rPr>
      <t>长齿柄鳞鲷</t>
    </r>
  </si>
  <si>
    <r>
      <rPr>
        <sz val="11"/>
        <color indexed="8"/>
        <rFont val="宋体"/>
        <family val="3"/>
        <charset val="134"/>
      </rPr>
      <t>金眼鲷科</t>
    </r>
  </si>
  <si>
    <r>
      <rPr>
        <sz val="11"/>
        <color indexed="8"/>
        <rFont val="宋体"/>
        <family val="3"/>
        <charset val="134"/>
      </rPr>
      <t>红金眼鲷</t>
    </r>
  </si>
  <si>
    <r>
      <rPr>
        <sz val="11"/>
        <color indexed="8"/>
        <rFont val="宋体"/>
        <family val="3"/>
        <charset val="134"/>
      </rPr>
      <t>十指金眼鲷</t>
    </r>
  </si>
  <si>
    <r>
      <rPr>
        <sz val="11"/>
        <color indexed="8"/>
        <rFont val="宋体"/>
        <family val="3"/>
        <charset val="134"/>
      </rPr>
      <t>软金眼鲷</t>
    </r>
  </si>
  <si>
    <r>
      <rPr>
        <sz val="11"/>
        <color indexed="8"/>
        <rFont val="宋体"/>
        <family val="3"/>
        <charset val="134"/>
      </rPr>
      <t>红尾拟棘鲷</t>
    </r>
  </si>
  <si>
    <r>
      <rPr>
        <sz val="11"/>
        <color indexed="8"/>
        <rFont val="宋体"/>
        <family val="3"/>
        <charset val="134"/>
      </rPr>
      <t>鳂科</t>
    </r>
  </si>
  <si>
    <r>
      <rPr>
        <sz val="11"/>
        <color indexed="8"/>
        <rFont val="宋体"/>
        <family val="3"/>
        <charset val="134"/>
      </rPr>
      <t>金鳍锯鳞鱼</t>
    </r>
  </si>
  <si>
    <r>
      <rPr>
        <sz val="11"/>
        <color indexed="8"/>
        <rFont val="宋体"/>
        <family val="3"/>
        <charset val="134"/>
      </rPr>
      <t>红条锯鳞鱼</t>
    </r>
  </si>
  <si>
    <r>
      <rPr>
        <sz val="11"/>
        <color indexed="8"/>
        <rFont val="宋体"/>
        <family val="3"/>
        <charset val="134"/>
      </rPr>
      <t>红锯鳞鱼</t>
    </r>
  </si>
  <si>
    <r>
      <rPr>
        <sz val="11"/>
        <color indexed="8"/>
        <rFont val="宋体"/>
        <family val="3"/>
        <charset val="134"/>
      </rPr>
      <t>黑肩锯鳞鱼</t>
    </r>
  </si>
  <si>
    <r>
      <rPr>
        <sz val="11"/>
        <color indexed="8"/>
        <rFont val="宋体"/>
        <family val="3"/>
        <charset val="134"/>
      </rPr>
      <t>焦黑锯鳞鱼</t>
    </r>
  </si>
  <si>
    <r>
      <rPr>
        <sz val="11"/>
        <color indexed="8"/>
        <rFont val="宋体"/>
        <family val="3"/>
        <charset val="134"/>
      </rPr>
      <t>齿颏锯鳞鱼</t>
    </r>
  </si>
  <si>
    <r>
      <rPr>
        <sz val="11"/>
        <color indexed="8"/>
        <rFont val="宋体"/>
        <family val="3"/>
        <charset val="134"/>
      </rPr>
      <t>紫色锯鳞鱼</t>
    </r>
  </si>
  <si>
    <r>
      <rPr>
        <sz val="11"/>
        <color indexed="8"/>
        <rFont val="宋体"/>
        <family val="3"/>
        <charset val="134"/>
      </rPr>
      <t>小牙锯鳞鱼</t>
    </r>
  </si>
  <si>
    <r>
      <rPr>
        <sz val="11"/>
        <color indexed="8"/>
        <rFont val="宋体"/>
        <family val="3"/>
        <charset val="134"/>
      </rPr>
      <t>白边锯鳞鱼</t>
    </r>
  </si>
  <si>
    <r>
      <rPr>
        <sz val="11"/>
        <color indexed="8"/>
        <rFont val="宋体"/>
        <family val="3"/>
        <charset val="134"/>
      </rPr>
      <t>塞舌尔锯鳞鱼</t>
    </r>
  </si>
  <si>
    <r>
      <rPr>
        <sz val="11"/>
        <color indexed="8"/>
        <rFont val="宋体"/>
        <family val="3"/>
        <charset val="134"/>
      </rPr>
      <t>伯恩特锯鳞鱼</t>
    </r>
  </si>
  <si>
    <r>
      <rPr>
        <sz val="11"/>
        <color indexed="8"/>
        <rFont val="宋体"/>
        <family val="3"/>
        <charset val="134"/>
      </rPr>
      <t>日本骨鳂</t>
    </r>
  </si>
  <si>
    <r>
      <rPr>
        <sz val="11"/>
        <color indexed="8"/>
        <rFont val="宋体"/>
        <family val="3"/>
        <charset val="134"/>
      </rPr>
      <t>卡伊岛骨鳂</t>
    </r>
  </si>
  <si>
    <r>
      <rPr>
        <sz val="11"/>
        <color indexed="8"/>
        <rFont val="宋体"/>
        <family val="3"/>
        <charset val="134"/>
      </rPr>
      <t>沈氏骨鳂</t>
    </r>
  </si>
  <si>
    <r>
      <rPr>
        <sz val="11"/>
        <color indexed="8"/>
        <rFont val="宋体"/>
        <family val="3"/>
        <charset val="134"/>
      </rPr>
      <t>锉形锯眶鳂</t>
    </r>
  </si>
  <si>
    <r>
      <rPr>
        <sz val="11"/>
        <color indexed="8"/>
        <rFont val="宋体"/>
        <family val="3"/>
        <charset val="134"/>
      </rPr>
      <t>条纹长颏鳂</t>
    </r>
  </si>
  <si>
    <r>
      <rPr>
        <sz val="11"/>
        <color indexed="8"/>
        <rFont val="宋体"/>
        <family val="3"/>
        <charset val="134"/>
      </rPr>
      <t>白边长颏鳂</t>
    </r>
  </si>
  <si>
    <r>
      <rPr>
        <sz val="11"/>
        <color indexed="8"/>
        <rFont val="宋体"/>
        <family val="3"/>
        <charset val="134"/>
      </rPr>
      <t>棘鳂</t>
    </r>
  </si>
  <si>
    <r>
      <rPr>
        <sz val="11"/>
        <color indexed="8"/>
        <rFont val="宋体"/>
        <family val="3"/>
        <charset val="134"/>
      </rPr>
      <t>黄纹鳂</t>
    </r>
  </si>
  <si>
    <r>
      <rPr>
        <sz val="11"/>
        <color indexed="8"/>
        <rFont val="宋体"/>
        <family val="3"/>
        <charset val="134"/>
      </rPr>
      <t>多刺鳂</t>
    </r>
  </si>
  <si>
    <r>
      <rPr>
        <sz val="11"/>
        <color indexed="8"/>
        <rFont val="宋体"/>
        <family val="3"/>
        <charset val="134"/>
      </rPr>
      <t>角鳂</t>
    </r>
  </si>
  <si>
    <r>
      <rPr>
        <sz val="11"/>
        <color indexed="8"/>
        <rFont val="宋体"/>
        <family val="3"/>
        <charset val="134"/>
      </rPr>
      <t>紫鳂</t>
    </r>
  </si>
  <si>
    <r>
      <rPr>
        <sz val="11"/>
        <color indexed="8"/>
        <rFont val="宋体"/>
        <family val="3"/>
        <charset val="134"/>
      </rPr>
      <t>斑尾鳂</t>
    </r>
  </si>
  <si>
    <r>
      <rPr>
        <sz val="11"/>
        <color indexed="8"/>
        <rFont val="宋体"/>
        <family val="3"/>
        <charset val="134"/>
      </rPr>
      <t>乳斑鳂</t>
    </r>
  </si>
  <si>
    <r>
      <rPr>
        <sz val="11"/>
        <color indexed="8"/>
        <rFont val="宋体"/>
        <family val="3"/>
        <charset val="134"/>
      </rPr>
      <t>小口鳂</t>
    </r>
  </si>
  <si>
    <r>
      <rPr>
        <sz val="11"/>
        <color indexed="8"/>
        <rFont val="宋体"/>
        <family val="3"/>
        <charset val="134"/>
      </rPr>
      <t>赤鳂</t>
    </r>
  </si>
  <si>
    <r>
      <rPr>
        <sz val="11"/>
        <color indexed="8"/>
        <rFont val="宋体"/>
        <family val="3"/>
        <charset val="134"/>
      </rPr>
      <t>银带鳂</t>
    </r>
  </si>
  <si>
    <r>
      <rPr>
        <sz val="11"/>
        <color indexed="8"/>
        <rFont val="宋体"/>
        <family val="3"/>
        <charset val="134"/>
      </rPr>
      <t>白纹鳂</t>
    </r>
  </si>
  <si>
    <r>
      <rPr>
        <sz val="11"/>
        <color indexed="8"/>
        <rFont val="宋体"/>
        <family val="3"/>
        <charset val="134"/>
      </rPr>
      <t>红鳂</t>
    </r>
  </si>
  <si>
    <r>
      <rPr>
        <sz val="11"/>
        <color indexed="8"/>
        <rFont val="宋体"/>
        <family val="3"/>
        <charset val="134"/>
      </rPr>
      <t>孔头鲷科</t>
    </r>
  </si>
  <si>
    <r>
      <rPr>
        <sz val="11"/>
        <color indexed="8"/>
        <rFont val="宋体"/>
        <family val="3"/>
        <charset val="134"/>
      </rPr>
      <t>扁鼻孔头鲷</t>
    </r>
  </si>
  <si>
    <r>
      <rPr>
        <sz val="11"/>
        <color indexed="8"/>
        <rFont val="宋体"/>
        <family val="3"/>
        <charset val="134"/>
      </rPr>
      <t>后鳍灯孔鲷</t>
    </r>
  </si>
  <si>
    <r>
      <rPr>
        <sz val="11"/>
        <color indexed="8"/>
        <rFont val="宋体"/>
        <family val="3"/>
        <charset val="134"/>
      </rPr>
      <t>多耙灯孔鲷</t>
    </r>
  </si>
  <si>
    <r>
      <rPr>
        <sz val="11"/>
        <color indexed="8"/>
        <rFont val="宋体"/>
        <family val="3"/>
        <charset val="134"/>
      </rPr>
      <t>壮体灯孔鲷</t>
    </r>
  </si>
  <si>
    <r>
      <rPr>
        <sz val="11"/>
        <color indexed="8"/>
        <rFont val="宋体"/>
        <family val="3"/>
        <charset val="134"/>
      </rPr>
      <t>小眼犀孔鲷</t>
    </r>
  </si>
  <si>
    <r>
      <rPr>
        <sz val="11"/>
        <color indexed="8"/>
        <rFont val="宋体"/>
        <family val="3"/>
        <charset val="134"/>
      </rPr>
      <t>大眼犀孔鲷</t>
    </r>
  </si>
  <si>
    <r>
      <rPr>
        <sz val="11"/>
        <color indexed="8"/>
        <rFont val="宋体"/>
        <family val="3"/>
        <charset val="134"/>
      </rPr>
      <t>厚头犀孔鲷</t>
    </r>
  </si>
  <si>
    <r>
      <rPr>
        <sz val="11"/>
        <color indexed="8"/>
        <rFont val="宋体"/>
        <family val="3"/>
        <charset val="134"/>
      </rPr>
      <t>马来犀孔鲷</t>
    </r>
  </si>
  <si>
    <r>
      <rPr>
        <sz val="11"/>
        <color indexed="8"/>
        <rFont val="宋体"/>
        <family val="3"/>
        <charset val="134"/>
      </rPr>
      <t>大鳞鳞孔鲷</t>
    </r>
  </si>
  <si>
    <r>
      <rPr>
        <sz val="11"/>
        <color indexed="8"/>
        <rFont val="宋体"/>
        <family val="3"/>
        <charset val="134"/>
      </rPr>
      <t>须鳂科</t>
    </r>
  </si>
  <si>
    <r>
      <rPr>
        <sz val="11"/>
        <color indexed="8"/>
        <rFont val="宋体"/>
        <family val="3"/>
        <charset val="134"/>
      </rPr>
      <t>短须须鳂</t>
    </r>
  </si>
  <si>
    <r>
      <rPr>
        <sz val="11"/>
        <color indexed="8"/>
        <rFont val="宋体"/>
        <family val="3"/>
        <charset val="134"/>
      </rPr>
      <t>长棘须鳂</t>
    </r>
  </si>
  <si>
    <r>
      <rPr>
        <sz val="11"/>
        <color indexed="8"/>
        <rFont val="宋体"/>
        <family val="3"/>
        <charset val="134"/>
      </rPr>
      <t>日本须鳂</t>
    </r>
  </si>
  <si>
    <r>
      <rPr>
        <sz val="11"/>
        <color indexed="8"/>
        <rFont val="宋体"/>
        <family val="3"/>
        <charset val="134"/>
      </rPr>
      <t>的鲷科</t>
    </r>
  </si>
  <si>
    <r>
      <rPr>
        <sz val="11"/>
        <color indexed="8"/>
        <rFont val="宋体"/>
        <family val="3"/>
        <charset val="134"/>
      </rPr>
      <t>海鲂目</t>
    </r>
  </si>
  <si>
    <r>
      <rPr>
        <sz val="11"/>
        <color indexed="8"/>
        <rFont val="宋体"/>
        <family val="3"/>
        <charset val="134"/>
      </rPr>
      <t>菱的鲷</t>
    </r>
  </si>
  <si>
    <r>
      <rPr>
        <sz val="11"/>
        <color indexed="8"/>
        <rFont val="宋体"/>
        <family val="3"/>
        <charset val="134"/>
      </rPr>
      <t>海鲂科</t>
    </r>
  </si>
  <si>
    <r>
      <rPr>
        <sz val="11"/>
        <color indexed="8"/>
        <rFont val="宋体"/>
        <family val="3"/>
        <charset val="134"/>
      </rPr>
      <t>青菱海鲂</t>
    </r>
  </si>
  <si>
    <r>
      <rPr>
        <sz val="11"/>
        <color indexed="8"/>
        <rFont val="宋体"/>
        <family val="3"/>
        <charset val="134"/>
      </rPr>
      <t>似海鲂</t>
    </r>
  </si>
  <si>
    <r>
      <rPr>
        <sz val="11"/>
        <color indexed="8"/>
        <rFont val="宋体"/>
        <family val="3"/>
        <charset val="134"/>
      </rPr>
      <t>副海鲂</t>
    </r>
  </si>
  <si>
    <r>
      <rPr>
        <sz val="11"/>
        <color indexed="8"/>
        <rFont val="宋体"/>
        <family val="3"/>
        <charset val="134"/>
      </rPr>
      <t>隆背拟海鲂</t>
    </r>
  </si>
  <si>
    <r>
      <rPr>
        <sz val="11"/>
        <color indexed="8"/>
        <rFont val="宋体"/>
        <family val="3"/>
        <charset val="134"/>
      </rPr>
      <t>笼拟海鲂</t>
    </r>
  </si>
  <si>
    <r>
      <rPr>
        <sz val="11"/>
        <color indexed="8"/>
        <rFont val="宋体"/>
        <family val="3"/>
        <charset val="134"/>
      </rPr>
      <t>小海鲂</t>
    </r>
  </si>
  <si>
    <r>
      <rPr>
        <sz val="11"/>
        <color indexed="8"/>
        <rFont val="宋体"/>
        <family val="3"/>
        <charset val="134"/>
      </rPr>
      <t>巨眼海鲂</t>
    </r>
  </si>
  <si>
    <r>
      <rPr>
        <sz val="11"/>
        <color indexed="8"/>
        <rFont val="宋体"/>
        <family val="3"/>
        <charset val="134"/>
      </rPr>
      <t>雨印亚海鲂</t>
    </r>
  </si>
  <si>
    <r>
      <rPr>
        <sz val="11"/>
        <color indexed="8"/>
        <rFont val="宋体"/>
        <family val="3"/>
        <charset val="134"/>
      </rPr>
      <t>日本海鲂</t>
    </r>
  </si>
  <si>
    <r>
      <rPr>
        <sz val="11"/>
        <color indexed="8"/>
        <rFont val="宋体"/>
        <family val="3"/>
        <charset val="134"/>
      </rPr>
      <t>菱鲷科</t>
    </r>
  </si>
  <si>
    <r>
      <rPr>
        <sz val="11"/>
        <color indexed="8"/>
        <rFont val="宋体"/>
        <family val="3"/>
        <charset val="134"/>
      </rPr>
      <t>高菱鲷</t>
    </r>
  </si>
  <si>
    <r>
      <rPr>
        <sz val="11"/>
        <color indexed="8"/>
        <rFont val="宋体"/>
        <family val="3"/>
        <charset val="134"/>
      </rPr>
      <t>红菱鲷</t>
    </r>
  </si>
  <si>
    <r>
      <rPr>
        <sz val="11"/>
        <color indexed="8"/>
        <rFont val="宋体"/>
        <family val="3"/>
        <charset val="134"/>
      </rPr>
      <t>绯菱鲷</t>
    </r>
  </si>
  <si>
    <r>
      <rPr>
        <sz val="11"/>
        <color indexed="8"/>
        <rFont val="宋体"/>
        <family val="3"/>
        <charset val="134"/>
      </rPr>
      <t>旗月鱼科</t>
    </r>
  </si>
  <si>
    <r>
      <rPr>
        <sz val="11"/>
        <color indexed="8"/>
        <rFont val="宋体"/>
        <family val="3"/>
        <charset val="134"/>
      </rPr>
      <t>月鱼目</t>
    </r>
  </si>
  <si>
    <r>
      <rPr>
        <sz val="11"/>
        <color indexed="8"/>
        <rFont val="宋体"/>
        <family val="3"/>
        <charset val="134"/>
      </rPr>
      <t>粗鳍鱼科</t>
    </r>
  </si>
  <si>
    <r>
      <rPr>
        <sz val="11"/>
        <color indexed="8"/>
        <rFont val="宋体"/>
        <family val="3"/>
        <charset val="134"/>
      </rPr>
      <t>皇带鱼科</t>
    </r>
  </si>
  <si>
    <r>
      <rPr>
        <sz val="11"/>
        <color indexed="8"/>
        <rFont val="宋体"/>
        <family val="3"/>
        <charset val="134"/>
      </rPr>
      <t>刺鱼科</t>
    </r>
  </si>
  <si>
    <r>
      <rPr>
        <sz val="11"/>
        <color indexed="8"/>
        <rFont val="宋体"/>
        <family val="3"/>
        <charset val="134"/>
      </rPr>
      <t>刺鱼目</t>
    </r>
  </si>
  <si>
    <r>
      <rPr>
        <sz val="11"/>
        <color indexed="8"/>
        <rFont val="宋体"/>
        <family val="3"/>
        <charset val="134"/>
      </rPr>
      <t>三刺鱼</t>
    </r>
  </si>
  <si>
    <r>
      <rPr>
        <sz val="11"/>
        <color indexed="8"/>
        <rFont val="宋体"/>
        <family val="3"/>
        <charset val="134"/>
      </rPr>
      <t>中华多刺鱼</t>
    </r>
  </si>
  <si>
    <r>
      <rPr>
        <sz val="11"/>
        <color indexed="8"/>
        <rFont val="宋体"/>
        <family val="3"/>
        <charset val="134"/>
      </rPr>
      <t>烟管鱼科</t>
    </r>
  </si>
  <si>
    <r>
      <rPr>
        <sz val="11"/>
        <color indexed="8"/>
        <rFont val="宋体"/>
        <family val="3"/>
        <charset val="134"/>
      </rPr>
      <t>棘烟管鱼</t>
    </r>
  </si>
  <si>
    <r>
      <rPr>
        <sz val="11"/>
        <color indexed="8"/>
        <rFont val="宋体"/>
        <family val="3"/>
        <charset val="134"/>
      </rPr>
      <t>鳞烟管鱼</t>
    </r>
  </si>
  <si>
    <r>
      <rPr>
        <sz val="11"/>
        <color indexed="8"/>
        <rFont val="宋体"/>
        <family val="3"/>
        <charset val="134"/>
      </rPr>
      <t>毛烟管鱼</t>
    </r>
  </si>
  <si>
    <r>
      <rPr>
        <sz val="11"/>
        <color indexed="8"/>
        <rFont val="宋体"/>
        <family val="3"/>
        <charset val="134"/>
      </rPr>
      <t>管口鱼科</t>
    </r>
  </si>
  <si>
    <r>
      <rPr>
        <sz val="11"/>
        <color indexed="8"/>
        <rFont val="宋体"/>
        <family val="3"/>
        <charset val="134"/>
      </rPr>
      <t>中华管口鱼</t>
    </r>
  </si>
  <si>
    <r>
      <rPr>
        <sz val="11"/>
        <color indexed="8"/>
        <rFont val="宋体"/>
        <family val="3"/>
        <charset val="134"/>
      </rPr>
      <t>长吻鱼科</t>
    </r>
  </si>
  <si>
    <r>
      <rPr>
        <sz val="11"/>
        <color indexed="8"/>
        <rFont val="宋体"/>
        <family val="3"/>
        <charset val="134"/>
      </rPr>
      <t>细棘长吻鱼</t>
    </r>
  </si>
  <si>
    <r>
      <rPr>
        <sz val="11"/>
        <color indexed="8"/>
        <rFont val="宋体"/>
        <family val="3"/>
        <charset val="134"/>
      </rPr>
      <t>日本长吻鱼</t>
    </r>
  </si>
  <si>
    <r>
      <rPr>
        <sz val="11"/>
        <color indexed="8"/>
        <rFont val="宋体"/>
        <family val="3"/>
        <charset val="134"/>
      </rPr>
      <t>鹬长吻鱼</t>
    </r>
  </si>
  <si>
    <r>
      <rPr>
        <sz val="11"/>
        <color indexed="8"/>
        <rFont val="宋体"/>
        <family val="3"/>
        <charset val="134"/>
      </rPr>
      <t>玻甲鱼科</t>
    </r>
  </si>
  <si>
    <r>
      <rPr>
        <sz val="11"/>
        <color indexed="8"/>
        <rFont val="宋体"/>
        <family val="3"/>
        <charset val="134"/>
      </rPr>
      <t>剃刀鱼科</t>
    </r>
  </si>
  <si>
    <r>
      <rPr>
        <sz val="11"/>
        <color indexed="8"/>
        <rFont val="宋体"/>
        <family val="3"/>
        <charset val="134"/>
      </rPr>
      <t>蓝鳍剃刀鱼</t>
    </r>
  </si>
  <si>
    <r>
      <rPr>
        <sz val="11"/>
        <color indexed="8"/>
        <rFont val="宋体"/>
        <family val="3"/>
        <charset val="134"/>
      </rPr>
      <t>锯齿剃刀鱼</t>
    </r>
  </si>
  <si>
    <r>
      <rPr>
        <sz val="11"/>
        <color indexed="8"/>
        <rFont val="宋体"/>
        <family val="3"/>
        <charset val="134"/>
      </rPr>
      <t>剃刀鱼</t>
    </r>
  </si>
  <si>
    <r>
      <rPr>
        <sz val="11"/>
        <color indexed="8"/>
        <rFont val="宋体"/>
        <family val="3"/>
        <charset val="134"/>
      </rPr>
      <t>海龙科</t>
    </r>
  </si>
  <si>
    <r>
      <rPr>
        <sz val="11"/>
        <color indexed="8"/>
        <rFont val="宋体"/>
        <family val="3"/>
        <charset val="134"/>
      </rPr>
      <t>雕纹海龙</t>
    </r>
  </si>
  <si>
    <r>
      <rPr>
        <sz val="11"/>
        <color indexed="8"/>
        <rFont val="宋体"/>
        <family val="3"/>
        <charset val="134"/>
      </rPr>
      <t>刺冠海龙</t>
    </r>
  </si>
  <si>
    <r>
      <rPr>
        <sz val="11"/>
        <color indexed="8"/>
        <rFont val="宋体"/>
        <family val="3"/>
        <charset val="134"/>
      </rPr>
      <t>冠海龙</t>
    </r>
  </si>
  <si>
    <r>
      <rPr>
        <sz val="11"/>
        <color indexed="8"/>
        <rFont val="宋体"/>
        <family val="3"/>
        <charset val="134"/>
      </rPr>
      <t>斑氏环宇海龙</t>
    </r>
  </si>
  <si>
    <r>
      <rPr>
        <sz val="11"/>
        <color indexed="8"/>
        <rFont val="宋体"/>
        <family val="3"/>
        <charset val="134"/>
      </rPr>
      <t>黑环海龙</t>
    </r>
  </si>
  <si>
    <r>
      <rPr>
        <sz val="11"/>
        <color indexed="8"/>
        <rFont val="宋体"/>
        <family val="3"/>
        <charset val="134"/>
      </rPr>
      <t>黑胶海龙</t>
    </r>
  </si>
  <si>
    <r>
      <rPr>
        <sz val="11"/>
        <color indexed="8"/>
        <rFont val="宋体"/>
        <family val="3"/>
        <charset val="134"/>
      </rPr>
      <t>日本海龙</t>
    </r>
  </si>
  <si>
    <r>
      <rPr>
        <sz val="11"/>
        <color indexed="8"/>
        <rFont val="宋体"/>
        <family val="3"/>
        <charset val="134"/>
      </rPr>
      <t>矛吻海龙</t>
    </r>
  </si>
  <si>
    <r>
      <rPr>
        <sz val="11"/>
        <color indexed="8"/>
        <rFont val="宋体"/>
        <family val="3"/>
        <charset val="134"/>
      </rPr>
      <t>海蠋鱼</t>
    </r>
  </si>
  <si>
    <r>
      <rPr>
        <sz val="11"/>
        <color indexed="8"/>
        <rFont val="宋体"/>
        <family val="3"/>
        <charset val="134"/>
      </rPr>
      <t>巨吻海蠋鱼</t>
    </r>
  </si>
  <si>
    <r>
      <rPr>
        <sz val="11"/>
        <color indexed="8"/>
        <rFont val="宋体"/>
        <family val="3"/>
        <charset val="134"/>
      </rPr>
      <t>马他海蠋鱼</t>
    </r>
  </si>
  <si>
    <r>
      <rPr>
        <sz val="11"/>
        <color indexed="8"/>
        <rFont val="宋体"/>
        <family val="3"/>
        <charset val="134"/>
      </rPr>
      <t>冠海马</t>
    </r>
  </si>
  <si>
    <r>
      <rPr>
        <sz val="11"/>
        <color indexed="8"/>
        <rFont val="宋体"/>
        <family val="3"/>
        <charset val="134"/>
      </rPr>
      <t>刺海马</t>
    </r>
  </si>
  <si>
    <r>
      <rPr>
        <sz val="11"/>
        <color indexed="8"/>
        <rFont val="宋体"/>
        <family val="3"/>
        <charset val="134"/>
      </rPr>
      <t>日本海马</t>
    </r>
  </si>
  <si>
    <r>
      <rPr>
        <sz val="11"/>
        <color indexed="8"/>
        <rFont val="宋体"/>
        <family val="3"/>
        <charset val="134"/>
      </rPr>
      <t>管海马</t>
    </r>
  </si>
  <si>
    <r>
      <rPr>
        <sz val="11"/>
        <color indexed="8"/>
        <rFont val="宋体"/>
        <family val="3"/>
        <charset val="134"/>
      </rPr>
      <t>斑海马</t>
    </r>
  </si>
  <si>
    <r>
      <rPr>
        <sz val="11"/>
        <color indexed="8"/>
        <rFont val="宋体"/>
        <family val="3"/>
        <charset val="134"/>
      </rPr>
      <t>海马</t>
    </r>
  </si>
  <si>
    <r>
      <rPr>
        <sz val="11"/>
        <color indexed="8"/>
        <rFont val="宋体"/>
        <family val="3"/>
        <charset val="134"/>
      </rPr>
      <t>勃氏鱼海龙</t>
    </r>
  </si>
  <si>
    <r>
      <rPr>
        <sz val="11"/>
        <color indexed="8"/>
        <rFont val="宋体"/>
        <family val="3"/>
        <charset val="134"/>
      </rPr>
      <t>宝珈腹囊海龙</t>
    </r>
  </si>
  <si>
    <r>
      <rPr>
        <sz val="11"/>
        <color indexed="8"/>
        <rFont val="宋体"/>
        <family val="3"/>
        <charset val="134"/>
      </rPr>
      <t>短尾海龙</t>
    </r>
  </si>
  <si>
    <r>
      <rPr>
        <sz val="11"/>
        <color indexed="8"/>
        <rFont val="宋体"/>
        <family val="3"/>
        <charset val="134"/>
      </rPr>
      <t>无棘海龙</t>
    </r>
  </si>
  <si>
    <r>
      <rPr>
        <sz val="11"/>
        <color indexed="8"/>
        <rFont val="宋体"/>
        <family val="3"/>
        <charset val="134"/>
      </rPr>
      <t>印尼海龙</t>
    </r>
  </si>
  <si>
    <r>
      <rPr>
        <sz val="11"/>
        <color indexed="8"/>
        <rFont val="宋体"/>
        <family val="3"/>
        <charset val="134"/>
      </rPr>
      <t>横带海龙</t>
    </r>
  </si>
  <si>
    <r>
      <rPr>
        <sz val="11"/>
        <color indexed="8"/>
        <rFont val="宋体"/>
        <family val="3"/>
        <charset val="134"/>
      </rPr>
      <t>刀海龙</t>
    </r>
  </si>
  <si>
    <r>
      <rPr>
        <sz val="11"/>
        <color indexed="8"/>
        <rFont val="宋体"/>
        <family val="3"/>
        <charset val="134"/>
      </rPr>
      <t>拟海龙</t>
    </r>
  </si>
  <si>
    <r>
      <rPr>
        <sz val="11"/>
        <color indexed="8"/>
        <rFont val="宋体"/>
        <family val="3"/>
        <charset val="134"/>
      </rPr>
      <t>尖海龙</t>
    </r>
  </si>
  <si>
    <r>
      <rPr>
        <sz val="11"/>
        <color indexed="8"/>
        <rFont val="宋体"/>
        <family val="3"/>
        <charset val="134"/>
      </rPr>
      <t>珠海龙</t>
    </r>
  </si>
  <si>
    <r>
      <rPr>
        <sz val="11"/>
        <color indexed="8"/>
        <rFont val="宋体"/>
        <family val="3"/>
        <charset val="134"/>
      </rPr>
      <t>蓝海龙</t>
    </r>
  </si>
  <si>
    <r>
      <rPr>
        <sz val="11"/>
        <color indexed="8"/>
        <rFont val="宋体"/>
        <family val="3"/>
        <charset val="134"/>
      </rPr>
      <t>低海龙</t>
    </r>
  </si>
  <si>
    <r>
      <rPr>
        <sz val="11"/>
        <color indexed="8"/>
        <rFont val="宋体"/>
        <family val="3"/>
        <charset val="134"/>
      </rPr>
      <t>飘海龙</t>
    </r>
  </si>
  <si>
    <r>
      <rPr>
        <sz val="11"/>
        <color indexed="8"/>
        <rFont val="宋体"/>
        <family val="3"/>
        <charset val="134"/>
      </rPr>
      <t>薛氏海龙</t>
    </r>
  </si>
  <si>
    <r>
      <rPr>
        <sz val="11"/>
        <color indexed="8"/>
        <rFont val="宋体"/>
        <family val="3"/>
        <charset val="134"/>
      </rPr>
      <t>繐海龙</t>
    </r>
  </si>
  <si>
    <r>
      <rPr>
        <sz val="11"/>
        <color indexed="8"/>
        <rFont val="宋体"/>
        <family val="3"/>
        <charset val="134"/>
      </rPr>
      <t>粗吻海龙</t>
    </r>
  </si>
  <si>
    <r>
      <rPr>
        <sz val="11"/>
        <color indexed="8"/>
        <rFont val="宋体"/>
        <family val="3"/>
        <charset val="134"/>
      </rPr>
      <t>须海龙</t>
    </r>
  </si>
  <si>
    <r>
      <rPr>
        <sz val="11"/>
        <color indexed="8"/>
        <rFont val="宋体"/>
        <family val="3"/>
        <charset val="134"/>
      </rPr>
      <t>吻海龙</t>
    </r>
  </si>
  <si>
    <r>
      <rPr>
        <sz val="11"/>
        <color indexed="8"/>
        <rFont val="宋体"/>
        <family val="3"/>
        <charset val="134"/>
      </rPr>
      <t>魣科</t>
    </r>
  </si>
  <si>
    <r>
      <rPr>
        <sz val="11"/>
        <color indexed="8"/>
        <rFont val="宋体"/>
        <family val="3"/>
        <charset val="134"/>
      </rPr>
      <t>鲻形目</t>
    </r>
  </si>
  <si>
    <r>
      <rPr>
        <sz val="11"/>
        <color indexed="8"/>
        <rFont val="宋体"/>
        <family val="3"/>
        <charset val="134"/>
      </rPr>
      <t>尖鳍魣</t>
    </r>
  </si>
  <si>
    <r>
      <rPr>
        <sz val="11"/>
        <color indexed="8"/>
        <rFont val="宋体"/>
        <family val="3"/>
        <charset val="134"/>
      </rPr>
      <t>大魣</t>
    </r>
  </si>
  <si>
    <r>
      <rPr>
        <sz val="11"/>
        <color indexed="8"/>
        <rFont val="宋体"/>
        <family val="3"/>
        <charset val="134"/>
      </rPr>
      <t>黄尾魣</t>
    </r>
  </si>
  <si>
    <r>
      <rPr>
        <sz val="11"/>
        <color indexed="8"/>
        <rFont val="宋体"/>
        <family val="3"/>
        <charset val="134"/>
      </rPr>
      <t>大眼魣</t>
    </r>
  </si>
  <si>
    <r>
      <rPr>
        <sz val="11"/>
        <color indexed="8"/>
        <rFont val="宋体"/>
        <family val="3"/>
        <charset val="134"/>
      </rPr>
      <t>黄带魣</t>
    </r>
  </si>
  <si>
    <r>
      <rPr>
        <sz val="11"/>
        <color indexed="8"/>
        <rFont val="宋体"/>
        <family val="3"/>
        <charset val="134"/>
      </rPr>
      <t>日本魣</t>
    </r>
  </si>
  <si>
    <r>
      <rPr>
        <sz val="11"/>
        <color indexed="8"/>
        <rFont val="宋体"/>
        <family val="3"/>
        <charset val="134"/>
      </rPr>
      <t>斑条魣</t>
    </r>
  </si>
  <si>
    <r>
      <rPr>
        <sz val="11"/>
        <color indexed="8"/>
        <rFont val="宋体"/>
        <family val="3"/>
        <charset val="134"/>
      </rPr>
      <t>黑鳍魣</t>
    </r>
  </si>
  <si>
    <r>
      <rPr>
        <sz val="11"/>
        <color indexed="8"/>
        <rFont val="宋体"/>
        <family val="3"/>
        <charset val="134"/>
      </rPr>
      <t>钝魣</t>
    </r>
  </si>
  <si>
    <r>
      <rPr>
        <sz val="11"/>
        <color indexed="8"/>
        <rFont val="宋体"/>
        <family val="3"/>
        <charset val="134"/>
      </rPr>
      <t>油魣</t>
    </r>
  </si>
  <si>
    <r>
      <rPr>
        <sz val="11"/>
        <color indexed="8"/>
        <rFont val="宋体"/>
        <family val="3"/>
        <charset val="134"/>
      </rPr>
      <t>布氏魣</t>
    </r>
  </si>
  <si>
    <r>
      <rPr>
        <sz val="11"/>
        <color indexed="8"/>
        <rFont val="宋体"/>
        <family val="3"/>
        <charset val="134"/>
      </rPr>
      <t>鲻科</t>
    </r>
  </si>
  <si>
    <r>
      <rPr>
        <sz val="11"/>
        <color indexed="8"/>
        <rFont val="宋体"/>
        <family val="3"/>
        <charset val="134"/>
      </rPr>
      <t>粒唇鲻</t>
    </r>
  </si>
  <si>
    <r>
      <rPr>
        <sz val="11"/>
        <color indexed="8"/>
        <rFont val="宋体"/>
        <family val="3"/>
        <charset val="134"/>
      </rPr>
      <t>黄鲻</t>
    </r>
  </si>
  <si>
    <r>
      <rPr>
        <sz val="11"/>
        <color indexed="8"/>
        <rFont val="宋体"/>
        <family val="3"/>
        <charset val="134"/>
      </rPr>
      <t>棱鮻</t>
    </r>
  </si>
  <si>
    <r>
      <rPr>
        <sz val="11"/>
        <color indexed="8"/>
        <rFont val="宋体"/>
        <family val="3"/>
        <charset val="134"/>
      </rPr>
      <t>粗鳞鮻</t>
    </r>
  </si>
  <si>
    <r>
      <rPr>
        <sz val="11"/>
        <color indexed="8"/>
        <rFont val="宋体"/>
        <family val="3"/>
        <charset val="134"/>
      </rPr>
      <t>鮻</t>
    </r>
  </si>
  <si>
    <r>
      <rPr>
        <sz val="11"/>
        <color indexed="8"/>
        <rFont val="宋体"/>
        <family val="3"/>
        <charset val="134"/>
      </rPr>
      <t>大鳞鮻</t>
    </r>
  </si>
  <si>
    <r>
      <rPr>
        <sz val="11"/>
        <color indexed="8"/>
        <rFont val="宋体"/>
        <family val="3"/>
        <charset val="134"/>
      </rPr>
      <t>灰鳍鮻</t>
    </r>
  </si>
  <si>
    <r>
      <rPr>
        <sz val="11"/>
        <color indexed="8"/>
        <rFont val="宋体"/>
        <family val="3"/>
        <charset val="134"/>
      </rPr>
      <t>尖头鮻</t>
    </r>
  </si>
  <si>
    <r>
      <rPr>
        <sz val="11"/>
        <color indexed="8"/>
        <rFont val="宋体"/>
        <family val="3"/>
        <charset val="134"/>
      </rPr>
      <t>鲻</t>
    </r>
  </si>
  <si>
    <r>
      <rPr>
        <sz val="11"/>
        <color indexed="8"/>
        <rFont val="宋体"/>
        <family val="3"/>
        <charset val="134"/>
      </rPr>
      <t>前鳞骨鲻</t>
    </r>
  </si>
  <si>
    <r>
      <rPr>
        <sz val="11"/>
        <color indexed="8"/>
        <rFont val="宋体"/>
        <family val="3"/>
        <charset val="134"/>
      </rPr>
      <t>硬头骨鲻</t>
    </r>
  </si>
  <si>
    <r>
      <rPr>
        <sz val="11"/>
        <color indexed="8"/>
        <rFont val="宋体"/>
        <family val="3"/>
        <charset val="134"/>
      </rPr>
      <t>褶唇鲻</t>
    </r>
  </si>
  <si>
    <r>
      <rPr>
        <sz val="11"/>
        <color indexed="8"/>
        <rFont val="宋体"/>
        <family val="3"/>
        <charset val="134"/>
      </rPr>
      <t>平吻凡鲻</t>
    </r>
  </si>
  <si>
    <r>
      <rPr>
        <sz val="11"/>
        <color indexed="8"/>
        <rFont val="宋体"/>
        <family val="3"/>
        <charset val="134"/>
      </rPr>
      <t>圆吻凡鲻</t>
    </r>
  </si>
  <si>
    <r>
      <rPr>
        <sz val="11"/>
        <color indexed="8"/>
        <rFont val="宋体"/>
        <family val="3"/>
        <charset val="134"/>
      </rPr>
      <t>鲻属</t>
    </r>
  </si>
  <si>
    <r>
      <rPr>
        <sz val="11"/>
        <color indexed="8"/>
        <rFont val="宋体"/>
        <family val="3"/>
        <charset val="134"/>
      </rPr>
      <t>鮻属</t>
    </r>
  </si>
  <si>
    <r>
      <rPr>
        <sz val="11"/>
        <color indexed="8"/>
        <rFont val="宋体"/>
        <family val="3"/>
        <charset val="134"/>
      </rPr>
      <t>马鲅科</t>
    </r>
  </si>
  <si>
    <r>
      <rPr>
        <sz val="11"/>
        <color indexed="8"/>
        <rFont val="宋体"/>
        <family val="3"/>
        <charset val="134"/>
      </rPr>
      <t>鲈形目</t>
    </r>
  </si>
  <si>
    <r>
      <rPr>
        <sz val="11"/>
        <color indexed="8"/>
        <rFont val="宋体"/>
        <family val="3"/>
        <charset val="134"/>
      </rPr>
      <t>四指马鲅</t>
    </r>
  </si>
  <si>
    <r>
      <rPr>
        <sz val="11"/>
        <color indexed="8"/>
        <rFont val="宋体"/>
        <family val="3"/>
        <charset val="134"/>
      </rPr>
      <t>五指马鲅</t>
    </r>
  </si>
  <si>
    <r>
      <rPr>
        <sz val="11"/>
        <color indexed="8"/>
        <rFont val="宋体"/>
        <family val="3"/>
        <charset val="134"/>
      </rPr>
      <t>六指马鲅</t>
    </r>
  </si>
  <si>
    <r>
      <rPr>
        <sz val="11"/>
        <color indexed="8"/>
        <rFont val="宋体"/>
        <family val="3"/>
        <charset val="134"/>
      </rPr>
      <t>双边鱼科</t>
    </r>
  </si>
  <si>
    <r>
      <rPr>
        <sz val="11"/>
        <color indexed="8"/>
        <rFont val="宋体"/>
        <family val="3"/>
        <charset val="134"/>
      </rPr>
      <t>眶棘双边鱼</t>
    </r>
  </si>
  <si>
    <r>
      <rPr>
        <sz val="11"/>
        <color indexed="8"/>
        <rFont val="宋体"/>
        <family val="3"/>
        <charset val="134"/>
      </rPr>
      <t>古氏双边鱼</t>
    </r>
  </si>
  <si>
    <r>
      <rPr>
        <sz val="11"/>
        <color indexed="8"/>
        <rFont val="宋体"/>
        <family val="3"/>
        <charset val="134"/>
      </rPr>
      <t>少棘双边鱼</t>
    </r>
  </si>
  <si>
    <r>
      <rPr>
        <sz val="11"/>
        <color indexed="8"/>
        <rFont val="宋体"/>
        <family val="3"/>
        <charset val="134"/>
      </rPr>
      <t>尾纹双边鱼</t>
    </r>
  </si>
  <si>
    <r>
      <rPr>
        <sz val="11"/>
        <color indexed="8"/>
        <rFont val="宋体"/>
        <family val="3"/>
        <charset val="134"/>
      </rPr>
      <t>尖吻鲈科</t>
    </r>
  </si>
  <si>
    <r>
      <rPr>
        <sz val="11"/>
        <color indexed="8"/>
        <rFont val="宋体"/>
        <family val="3"/>
        <charset val="134"/>
      </rPr>
      <t>尖吻鲈</t>
    </r>
  </si>
  <si>
    <r>
      <rPr>
        <sz val="11"/>
        <color indexed="8"/>
        <rFont val="宋体"/>
        <family val="3"/>
        <charset val="134"/>
      </rPr>
      <t>沙鲈</t>
    </r>
  </si>
  <si>
    <r>
      <rPr>
        <sz val="11"/>
        <color indexed="8"/>
        <rFont val="宋体"/>
        <family val="3"/>
        <charset val="134"/>
      </rPr>
      <t>鮨科</t>
    </r>
  </si>
  <si>
    <r>
      <rPr>
        <sz val="11"/>
        <color indexed="8"/>
        <rFont val="宋体"/>
        <family val="3"/>
        <charset val="134"/>
      </rPr>
      <t>美软鱼</t>
    </r>
  </si>
  <si>
    <r>
      <rPr>
        <sz val="11"/>
        <color indexed="8"/>
        <rFont val="宋体"/>
        <family val="3"/>
        <charset val="134"/>
      </rPr>
      <t>灰软鱼</t>
    </r>
  </si>
  <si>
    <r>
      <rPr>
        <sz val="11"/>
        <color indexed="8"/>
        <rFont val="宋体"/>
        <family val="3"/>
        <charset val="134"/>
      </rPr>
      <t>软鱼</t>
    </r>
  </si>
  <si>
    <r>
      <rPr>
        <sz val="11"/>
        <color indexed="8"/>
        <rFont val="宋体"/>
        <family val="3"/>
        <charset val="134"/>
      </rPr>
      <t>卡斑诺针鮨</t>
    </r>
  </si>
  <si>
    <r>
      <rPr>
        <sz val="11"/>
        <color indexed="8"/>
        <rFont val="宋体"/>
        <family val="3"/>
        <charset val="134"/>
      </rPr>
      <t>线纹鱼</t>
    </r>
  </si>
  <si>
    <r>
      <rPr>
        <sz val="11"/>
        <color indexed="8"/>
        <rFont val="宋体"/>
        <family val="3"/>
        <charset val="134"/>
      </rPr>
      <t>眼斑须鮨</t>
    </r>
  </si>
  <si>
    <r>
      <rPr>
        <sz val="11"/>
        <color indexed="8"/>
        <rFont val="宋体"/>
        <family val="3"/>
        <charset val="134"/>
      </rPr>
      <t>东海鲈</t>
    </r>
  </si>
  <si>
    <r>
      <rPr>
        <sz val="11"/>
        <color indexed="8"/>
        <rFont val="宋体"/>
        <family val="3"/>
        <charset val="134"/>
      </rPr>
      <t>花鲈</t>
    </r>
  </si>
  <si>
    <r>
      <rPr>
        <sz val="11"/>
        <color indexed="8"/>
        <rFont val="宋体"/>
        <family val="3"/>
        <charset val="134"/>
      </rPr>
      <t>紫鲈</t>
    </r>
  </si>
  <si>
    <r>
      <rPr>
        <sz val="11"/>
        <color indexed="8"/>
        <rFont val="宋体"/>
        <family val="3"/>
        <charset val="134"/>
      </rPr>
      <t>双带黄鲈</t>
    </r>
  </si>
  <si>
    <r>
      <rPr>
        <sz val="11"/>
        <color indexed="8"/>
        <rFont val="宋体"/>
        <family val="3"/>
        <charset val="134"/>
      </rPr>
      <t>赤</t>
    </r>
    <r>
      <rPr>
        <sz val="11"/>
        <color indexed="8"/>
        <rFont val="Times New Roman"/>
        <family val="1"/>
      </rPr>
      <t>[kui]</t>
    </r>
  </si>
  <si>
    <r>
      <rPr>
        <sz val="11"/>
        <color indexed="8"/>
        <rFont val="宋体"/>
        <family val="3"/>
        <charset val="134"/>
      </rPr>
      <t>尖牙鲈</t>
    </r>
  </si>
  <si>
    <r>
      <rPr>
        <sz val="11"/>
        <color indexed="8"/>
        <rFont val="宋体"/>
        <family val="3"/>
        <charset val="134"/>
      </rPr>
      <t>腹棘尖牙鲈</t>
    </r>
  </si>
  <si>
    <r>
      <rPr>
        <sz val="11"/>
        <color indexed="8"/>
        <rFont val="宋体"/>
        <family val="3"/>
        <charset val="134"/>
      </rPr>
      <t>锯棘尖牙鲈</t>
    </r>
  </si>
  <si>
    <r>
      <rPr>
        <sz val="11"/>
        <color indexed="8"/>
        <rFont val="宋体"/>
        <family val="3"/>
        <charset val="134"/>
      </rPr>
      <t>朝鲜少鳞鳜</t>
    </r>
  </si>
  <si>
    <r>
      <rPr>
        <sz val="11"/>
        <color indexed="8"/>
        <rFont val="宋体"/>
        <family val="3"/>
        <charset val="134"/>
      </rPr>
      <t>日本少鳞鳜</t>
    </r>
  </si>
  <si>
    <r>
      <rPr>
        <sz val="11"/>
        <color indexed="8"/>
        <rFont val="宋体"/>
        <family val="3"/>
        <charset val="134"/>
      </rPr>
      <t>漓江少鳞鳜</t>
    </r>
  </si>
  <si>
    <r>
      <rPr>
        <sz val="11"/>
        <color indexed="8"/>
        <rFont val="宋体"/>
        <family val="3"/>
        <charset val="134"/>
      </rPr>
      <t>中国少鳞鳜</t>
    </r>
  </si>
  <si>
    <r>
      <rPr>
        <sz val="11"/>
        <color indexed="8"/>
        <rFont val="宋体"/>
        <family val="3"/>
        <charset val="134"/>
      </rPr>
      <t>长身鳜</t>
    </r>
  </si>
  <si>
    <r>
      <rPr>
        <sz val="11"/>
        <color indexed="8"/>
        <rFont val="宋体"/>
        <family val="3"/>
        <charset val="134"/>
      </rPr>
      <t>鳜</t>
    </r>
  </si>
  <si>
    <r>
      <rPr>
        <sz val="11"/>
        <color indexed="8"/>
        <rFont val="宋体"/>
        <family val="3"/>
        <charset val="134"/>
      </rPr>
      <t>麻鳜</t>
    </r>
  </si>
  <si>
    <r>
      <rPr>
        <sz val="11"/>
        <color indexed="8"/>
        <rFont val="宋体"/>
        <family val="3"/>
        <charset val="134"/>
      </rPr>
      <t>大眼鳜</t>
    </r>
  </si>
  <si>
    <r>
      <rPr>
        <sz val="11"/>
        <color indexed="8"/>
        <rFont val="宋体"/>
        <family val="3"/>
        <charset val="134"/>
      </rPr>
      <t>柳州鳜</t>
    </r>
  </si>
  <si>
    <r>
      <rPr>
        <sz val="11"/>
        <color indexed="8"/>
        <rFont val="宋体"/>
        <family val="3"/>
        <charset val="134"/>
      </rPr>
      <t>暗鳜</t>
    </r>
  </si>
  <si>
    <r>
      <rPr>
        <sz val="11"/>
        <color indexed="8"/>
        <rFont val="宋体"/>
        <family val="3"/>
        <charset val="134"/>
      </rPr>
      <t>高体鳜</t>
    </r>
  </si>
  <si>
    <r>
      <rPr>
        <sz val="11"/>
        <color indexed="8"/>
        <rFont val="宋体"/>
        <family val="3"/>
        <charset val="134"/>
      </rPr>
      <t>斑鳜</t>
    </r>
  </si>
  <si>
    <r>
      <rPr>
        <sz val="11"/>
        <color indexed="8"/>
        <rFont val="宋体"/>
        <family val="3"/>
        <charset val="134"/>
      </rPr>
      <t>波纹鳜</t>
    </r>
  </si>
  <si>
    <r>
      <rPr>
        <sz val="11"/>
        <color indexed="8"/>
        <rFont val="宋体"/>
        <family val="3"/>
        <charset val="134"/>
      </rPr>
      <t>烟鲈</t>
    </r>
  </si>
  <si>
    <r>
      <rPr>
        <sz val="11"/>
        <color indexed="8"/>
        <rFont val="宋体"/>
        <family val="3"/>
        <charset val="134"/>
      </rPr>
      <t>白线光腭鲈</t>
    </r>
  </si>
  <si>
    <r>
      <rPr>
        <sz val="11"/>
        <color indexed="8"/>
        <rFont val="宋体"/>
        <family val="3"/>
        <charset val="134"/>
      </rPr>
      <t>臂突九棘鲈</t>
    </r>
  </si>
  <si>
    <r>
      <rPr>
        <sz val="11"/>
        <color indexed="8"/>
        <rFont val="宋体"/>
        <family val="3"/>
        <charset val="134"/>
      </rPr>
      <t>斑点九棘鲈</t>
    </r>
  </si>
  <si>
    <r>
      <rPr>
        <sz val="11"/>
        <color indexed="8"/>
        <rFont val="宋体"/>
        <family val="3"/>
        <charset val="134"/>
      </rPr>
      <t>台湾九棘鲈</t>
    </r>
  </si>
  <si>
    <r>
      <rPr>
        <sz val="11"/>
        <color indexed="8"/>
        <rFont val="宋体"/>
        <family val="3"/>
        <charset val="134"/>
      </rPr>
      <t>伊氏九棘鲈</t>
    </r>
  </si>
  <si>
    <r>
      <rPr>
        <sz val="11"/>
        <color indexed="8"/>
        <rFont val="宋体"/>
        <family val="3"/>
        <charset val="134"/>
      </rPr>
      <t>豹纹九棘鲈</t>
    </r>
  </si>
  <si>
    <r>
      <rPr>
        <sz val="11"/>
        <color indexed="8"/>
        <rFont val="宋体"/>
        <family val="3"/>
        <charset val="134"/>
      </rPr>
      <t>青星九棘鲈</t>
    </r>
  </si>
  <si>
    <r>
      <rPr>
        <sz val="11"/>
        <color indexed="8"/>
        <rFont val="宋体"/>
        <family val="3"/>
        <charset val="134"/>
      </rPr>
      <t>六斑九棘鲈</t>
    </r>
  </si>
  <si>
    <r>
      <rPr>
        <sz val="11"/>
        <color indexed="8"/>
        <rFont val="宋体"/>
        <family val="3"/>
        <charset val="134"/>
      </rPr>
      <t>红九棘鲈</t>
    </r>
  </si>
  <si>
    <r>
      <rPr>
        <sz val="11"/>
        <color indexed="8"/>
        <rFont val="宋体"/>
        <family val="3"/>
        <charset val="134"/>
      </rPr>
      <t>黑缘九棘鲈</t>
    </r>
  </si>
  <si>
    <r>
      <rPr>
        <sz val="11"/>
        <color indexed="8"/>
        <rFont val="宋体"/>
        <family val="3"/>
        <charset val="134"/>
      </rPr>
      <t>尾纹九棘鲈</t>
    </r>
  </si>
  <si>
    <r>
      <rPr>
        <sz val="11"/>
        <color indexed="8"/>
        <rFont val="宋体"/>
        <family val="3"/>
        <charset val="134"/>
      </rPr>
      <t>驼背鲈</t>
    </r>
  </si>
  <si>
    <r>
      <rPr>
        <sz val="11"/>
        <color indexed="8"/>
        <rFont val="宋体"/>
        <family val="3"/>
        <charset val="134"/>
      </rPr>
      <t>赤点石斑鱼</t>
    </r>
  </si>
  <si>
    <r>
      <rPr>
        <sz val="11"/>
        <color indexed="8"/>
        <rFont val="宋体"/>
        <family val="3"/>
        <charset val="134"/>
      </rPr>
      <t>镶点石斑鱼</t>
    </r>
  </si>
  <si>
    <r>
      <rPr>
        <sz val="11"/>
        <color indexed="8"/>
        <rFont val="宋体"/>
        <family val="3"/>
        <charset val="134"/>
      </rPr>
      <t>宝石石斑鱼</t>
    </r>
  </si>
  <si>
    <r>
      <rPr>
        <sz val="11"/>
        <color indexed="8"/>
        <rFont val="宋体"/>
        <family val="3"/>
        <charset val="134"/>
      </rPr>
      <t>青石斑鱼</t>
    </r>
  </si>
  <si>
    <r>
      <rPr>
        <sz val="11"/>
        <color indexed="8"/>
        <rFont val="宋体"/>
        <family val="3"/>
        <charset val="134"/>
      </rPr>
      <t>橙点石斑鱼</t>
    </r>
  </si>
  <si>
    <r>
      <rPr>
        <sz val="11"/>
        <color indexed="8"/>
        <rFont val="宋体"/>
        <family val="3"/>
        <charset val="134"/>
      </rPr>
      <t>点列石斑鱼</t>
    </r>
  </si>
  <si>
    <r>
      <rPr>
        <sz val="11"/>
        <color indexed="8"/>
        <rFont val="宋体"/>
        <family val="3"/>
        <charset val="134"/>
      </rPr>
      <t>褐石斑鱼</t>
    </r>
  </si>
  <si>
    <r>
      <rPr>
        <sz val="11"/>
        <color indexed="8"/>
        <rFont val="宋体"/>
        <family val="3"/>
        <charset val="134"/>
      </rPr>
      <t>萤点石斑鱼</t>
    </r>
  </si>
  <si>
    <r>
      <rPr>
        <sz val="11"/>
        <color indexed="8"/>
        <rFont val="宋体"/>
        <family val="3"/>
        <charset val="134"/>
      </rPr>
      <t>网纹石斑鱼</t>
    </r>
  </si>
  <si>
    <r>
      <rPr>
        <sz val="11"/>
        <color indexed="8"/>
        <rFont val="宋体"/>
        <family val="3"/>
        <charset val="134"/>
      </rPr>
      <t>点带石斑鱼</t>
    </r>
  </si>
  <si>
    <r>
      <rPr>
        <sz val="11"/>
        <color indexed="8"/>
        <rFont val="宋体"/>
        <family val="3"/>
        <charset val="134"/>
      </rPr>
      <t>弧纹石斑鱼</t>
    </r>
  </si>
  <si>
    <r>
      <rPr>
        <sz val="11"/>
        <color indexed="8"/>
        <rFont val="宋体"/>
        <family val="3"/>
        <charset val="134"/>
      </rPr>
      <t>棕斑石斑鱼</t>
    </r>
  </si>
  <si>
    <r>
      <rPr>
        <sz val="11"/>
        <color indexed="8"/>
        <rFont val="宋体"/>
        <family val="3"/>
        <charset val="134"/>
      </rPr>
      <t>高体石斑鱼</t>
    </r>
  </si>
  <si>
    <r>
      <rPr>
        <sz val="11"/>
        <color indexed="8"/>
        <rFont val="宋体"/>
        <family val="3"/>
        <charset val="134"/>
      </rPr>
      <t>小点石斑鱼</t>
    </r>
  </si>
  <si>
    <r>
      <rPr>
        <sz val="11"/>
        <color indexed="8"/>
        <rFont val="宋体"/>
        <family val="3"/>
        <charset val="134"/>
      </rPr>
      <t>斑带石斑鱼</t>
    </r>
  </si>
  <si>
    <r>
      <rPr>
        <sz val="11"/>
        <color indexed="8"/>
        <rFont val="宋体"/>
        <family val="3"/>
        <charset val="134"/>
      </rPr>
      <t>黑边石斑鱼</t>
    </r>
  </si>
  <si>
    <r>
      <rPr>
        <sz val="11"/>
        <color indexed="8"/>
        <rFont val="宋体"/>
        <family val="3"/>
        <charset val="134"/>
      </rPr>
      <t>褐点石斑鱼</t>
    </r>
  </si>
  <si>
    <r>
      <rPr>
        <sz val="11"/>
        <color indexed="8"/>
        <rFont val="宋体"/>
        <family val="3"/>
        <charset val="134"/>
      </rPr>
      <t>灰石斑鱼</t>
    </r>
  </si>
  <si>
    <r>
      <rPr>
        <sz val="11"/>
        <color indexed="8"/>
        <rFont val="宋体"/>
        <family val="3"/>
        <charset val="134"/>
      </rPr>
      <t>六角石斑鱼</t>
    </r>
  </si>
  <si>
    <r>
      <rPr>
        <sz val="11"/>
        <color indexed="8"/>
        <rFont val="宋体"/>
        <family val="3"/>
        <charset val="134"/>
      </rPr>
      <t>宽带石斑鱼</t>
    </r>
  </si>
  <si>
    <r>
      <rPr>
        <sz val="11"/>
        <color indexed="8"/>
        <rFont val="宋体"/>
        <family val="3"/>
        <charset val="134"/>
      </rPr>
      <t>花点石斑鱼</t>
    </r>
  </si>
  <si>
    <r>
      <rPr>
        <sz val="11"/>
        <color indexed="8"/>
        <rFont val="宋体"/>
        <family val="3"/>
        <charset val="134"/>
      </rPr>
      <t>指印石斑鱼</t>
    </r>
  </si>
  <si>
    <r>
      <rPr>
        <sz val="11"/>
        <color indexed="8"/>
        <rFont val="宋体"/>
        <family val="3"/>
        <charset val="134"/>
      </rPr>
      <t>黑点石斑鱼</t>
    </r>
  </si>
  <si>
    <r>
      <rPr>
        <sz val="11"/>
        <color indexed="8"/>
        <rFont val="宋体"/>
        <family val="3"/>
        <charset val="134"/>
      </rPr>
      <t>蜂巢石斑鱼</t>
    </r>
  </si>
  <si>
    <r>
      <rPr>
        <sz val="11"/>
        <color indexed="8"/>
        <rFont val="宋体"/>
        <family val="3"/>
        <charset val="134"/>
      </rPr>
      <t>小牙石斑鱼</t>
    </r>
  </si>
  <si>
    <r>
      <rPr>
        <sz val="11"/>
        <color indexed="8"/>
        <rFont val="宋体"/>
        <family val="3"/>
        <charset val="134"/>
      </rPr>
      <t>弓斑石斑鱼</t>
    </r>
  </si>
  <si>
    <r>
      <rPr>
        <sz val="11"/>
        <color indexed="8"/>
        <rFont val="宋体"/>
        <family val="3"/>
        <charset val="134"/>
      </rPr>
      <t>琉璃石斑鱼</t>
    </r>
  </si>
  <si>
    <r>
      <rPr>
        <sz val="11"/>
        <color indexed="8"/>
        <rFont val="宋体"/>
        <family val="3"/>
        <charset val="134"/>
      </rPr>
      <t>玳瑁石斑鱼</t>
    </r>
  </si>
  <si>
    <r>
      <rPr>
        <sz val="11"/>
        <color indexed="8"/>
        <rFont val="宋体"/>
        <family val="3"/>
        <charset val="134"/>
      </rPr>
      <t>云纹石斑鱼</t>
    </r>
  </si>
  <si>
    <r>
      <rPr>
        <sz val="11"/>
        <color indexed="8"/>
        <rFont val="宋体"/>
        <family val="3"/>
        <charset val="134"/>
      </rPr>
      <t>截尾石斑鱼</t>
    </r>
  </si>
  <si>
    <r>
      <rPr>
        <sz val="11"/>
        <color indexed="8"/>
        <rFont val="宋体"/>
        <family val="3"/>
        <charset val="134"/>
      </rPr>
      <t>霜点石斑鱼</t>
    </r>
  </si>
  <si>
    <r>
      <rPr>
        <sz val="11"/>
        <color indexed="8"/>
        <rFont val="宋体"/>
        <family val="3"/>
        <charset val="134"/>
      </rPr>
      <t>六带石斑鱼</t>
    </r>
  </si>
  <si>
    <r>
      <rPr>
        <sz val="11"/>
        <color indexed="8"/>
        <rFont val="宋体"/>
        <family val="3"/>
        <charset val="134"/>
      </rPr>
      <t>斑吻石斑鱼</t>
    </r>
  </si>
  <si>
    <r>
      <rPr>
        <sz val="11"/>
        <color indexed="8"/>
        <rFont val="宋体"/>
        <family val="3"/>
        <charset val="134"/>
      </rPr>
      <t>点线石斑鱼</t>
    </r>
  </si>
  <si>
    <r>
      <rPr>
        <sz val="11"/>
        <color indexed="8"/>
        <rFont val="宋体"/>
        <family val="3"/>
        <charset val="134"/>
      </rPr>
      <t>巨石斑鱼</t>
    </r>
  </si>
  <si>
    <r>
      <rPr>
        <sz val="11"/>
        <color indexed="8"/>
        <rFont val="宋体"/>
        <family val="3"/>
        <charset val="134"/>
      </rPr>
      <t>鲑点石斑鱼</t>
    </r>
  </si>
  <si>
    <r>
      <rPr>
        <sz val="11"/>
        <color indexed="8"/>
        <rFont val="宋体"/>
        <family val="3"/>
        <charset val="134"/>
      </rPr>
      <t>黑斑石斑鱼</t>
    </r>
  </si>
  <si>
    <r>
      <rPr>
        <sz val="11"/>
        <color indexed="8"/>
        <rFont val="宋体"/>
        <family val="3"/>
        <charset val="134"/>
      </rPr>
      <t>波纹石斑鱼</t>
    </r>
  </si>
  <si>
    <r>
      <rPr>
        <sz val="11"/>
        <color indexed="8"/>
        <rFont val="宋体"/>
        <family val="3"/>
        <charset val="134"/>
      </rPr>
      <t>纤齿鲈</t>
    </r>
  </si>
  <si>
    <r>
      <rPr>
        <sz val="11"/>
        <color indexed="8"/>
        <rFont val="宋体"/>
        <family val="3"/>
        <charset val="134"/>
      </rPr>
      <t>纵纹凸额鲈</t>
    </r>
  </si>
  <si>
    <r>
      <rPr>
        <sz val="11"/>
        <color indexed="8"/>
        <rFont val="宋体"/>
        <family val="3"/>
        <charset val="134"/>
      </rPr>
      <t>横带凸额鲈</t>
    </r>
  </si>
  <si>
    <r>
      <rPr>
        <sz val="11"/>
        <color indexed="8"/>
        <rFont val="宋体"/>
        <family val="3"/>
        <charset val="134"/>
      </rPr>
      <t>平滑鳃棘鲈</t>
    </r>
  </si>
  <si>
    <r>
      <rPr>
        <sz val="11"/>
        <color indexed="8"/>
        <rFont val="宋体"/>
        <family val="3"/>
        <charset val="134"/>
      </rPr>
      <t>鳃棘鲈</t>
    </r>
  </si>
  <si>
    <r>
      <rPr>
        <sz val="11"/>
        <color indexed="8"/>
        <rFont val="宋体"/>
        <family val="3"/>
        <charset val="134"/>
      </rPr>
      <t>线点鳃棘鲈</t>
    </r>
  </si>
  <si>
    <r>
      <rPr>
        <sz val="11"/>
        <color indexed="8"/>
        <rFont val="宋体"/>
        <family val="3"/>
        <charset val="134"/>
      </rPr>
      <t>截尾鳃棘鲈</t>
    </r>
  </si>
  <si>
    <r>
      <rPr>
        <sz val="11"/>
        <color indexed="8"/>
        <rFont val="宋体"/>
        <family val="3"/>
        <charset val="134"/>
      </rPr>
      <t>宽额鲈</t>
    </r>
  </si>
  <si>
    <r>
      <rPr>
        <sz val="11"/>
        <color indexed="8"/>
        <rFont val="宋体"/>
        <family val="3"/>
        <charset val="134"/>
      </rPr>
      <t>褒氏贫鲈</t>
    </r>
  </si>
  <si>
    <r>
      <rPr>
        <sz val="11"/>
        <color indexed="8"/>
        <rFont val="宋体"/>
        <family val="3"/>
        <charset val="134"/>
      </rPr>
      <t>细鳞三棱鲈</t>
    </r>
  </si>
  <si>
    <r>
      <rPr>
        <sz val="11"/>
        <color indexed="8"/>
        <rFont val="宋体"/>
        <family val="3"/>
        <charset val="134"/>
      </rPr>
      <t>白边侧牙鲈</t>
    </r>
  </si>
  <si>
    <r>
      <rPr>
        <sz val="11"/>
        <color indexed="8"/>
        <rFont val="宋体"/>
        <family val="3"/>
        <charset val="134"/>
      </rPr>
      <t>侧牙鲈</t>
    </r>
  </si>
  <si>
    <r>
      <rPr>
        <sz val="11"/>
        <color indexed="8"/>
        <rFont val="宋体"/>
        <family val="3"/>
        <charset val="134"/>
      </rPr>
      <t>荒贺粗尾鲈</t>
    </r>
  </si>
  <si>
    <r>
      <rPr>
        <sz val="11"/>
        <color indexed="8"/>
        <rFont val="宋体"/>
        <family val="3"/>
        <charset val="134"/>
      </rPr>
      <t>日本粗尾鲈</t>
    </r>
  </si>
  <si>
    <r>
      <rPr>
        <sz val="11"/>
        <color indexed="8"/>
        <rFont val="宋体"/>
        <family val="3"/>
        <charset val="134"/>
      </rPr>
      <t>宽带粗尾鲈</t>
    </r>
  </si>
  <si>
    <r>
      <rPr>
        <sz val="11"/>
        <color indexed="8"/>
        <rFont val="宋体"/>
        <family val="3"/>
        <charset val="134"/>
      </rPr>
      <t>条纹粗尾鲈</t>
    </r>
  </si>
  <si>
    <r>
      <rPr>
        <sz val="11"/>
        <color indexed="8"/>
        <rFont val="宋体"/>
        <family val="3"/>
        <charset val="134"/>
      </rPr>
      <t>燕赤鮨</t>
    </r>
  </si>
  <si>
    <r>
      <rPr>
        <sz val="11"/>
        <color indexed="8"/>
        <rFont val="宋体"/>
        <family val="3"/>
        <charset val="134"/>
      </rPr>
      <t>珠赤鮨</t>
    </r>
  </si>
  <si>
    <r>
      <rPr>
        <sz val="11"/>
        <color indexed="8"/>
        <rFont val="宋体"/>
        <family val="3"/>
        <charset val="134"/>
      </rPr>
      <t>侧斑赤鮨</t>
    </r>
  </si>
  <si>
    <r>
      <rPr>
        <sz val="11"/>
        <color indexed="8"/>
        <rFont val="宋体"/>
        <family val="3"/>
        <charset val="134"/>
      </rPr>
      <t>带拟花鮨</t>
    </r>
  </si>
  <si>
    <r>
      <rPr>
        <sz val="11"/>
        <color indexed="8"/>
        <rFont val="宋体"/>
        <family val="3"/>
        <charset val="134"/>
      </rPr>
      <t>吕宋花鮨</t>
    </r>
  </si>
  <si>
    <r>
      <rPr>
        <sz val="11"/>
        <color indexed="8"/>
        <rFont val="宋体"/>
        <family val="3"/>
        <charset val="134"/>
      </rPr>
      <t>厚唇花鮨</t>
    </r>
  </si>
  <si>
    <r>
      <rPr>
        <sz val="11"/>
        <color indexed="8"/>
        <rFont val="宋体"/>
        <family val="3"/>
        <charset val="134"/>
      </rPr>
      <t>侧带花鮨</t>
    </r>
  </si>
  <si>
    <r>
      <rPr>
        <sz val="11"/>
        <color indexed="8"/>
        <rFont val="宋体"/>
        <family val="3"/>
        <charset val="134"/>
      </rPr>
      <t>长棘花鮨</t>
    </r>
  </si>
  <si>
    <r>
      <rPr>
        <sz val="11"/>
        <color indexed="8"/>
        <rFont val="宋体"/>
        <family val="3"/>
        <charset val="134"/>
      </rPr>
      <t>截形花鮨</t>
    </r>
  </si>
  <si>
    <r>
      <rPr>
        <sz val="11"/>
        <color indexed="8"/>
        <rFont val="宋体"/>
        <family val="3"/>
        <charset val="134"/>
      </rPr>
      <t>花美鮨</t>
    </r>
  </si>
  <si>
    <r>
      <rPr>
        <sz val="11"/>
        <color indexed="8"/>
        <rFont val="宋体"/>
        <family val="3"/>
        <charset val="134"/>
      </rPr>
      <t>菱齿鮨</t>
    </r>
  </si>
  <si>
    <r>
      <rPr>
        <sz val="11"/>
        <color indexed="8"/>
        <rFont val="宋体"/>
        <family val="3"/>
        <charset val="134"/>
      </rPr>
      <t>无斑巨花鮨</t>
    </r>
  </si>
  <si>
    <r>
      <rPr>
        <sz val="11"/>
        <color indexed="8"/>
        <rFont val="宋体"/>
        <family val="3"/>
        <charset val="134"/>
      </rPr>
      <t>波旁金花鮨</t>
    </r>
  </si>
  <si>
    <r>
      <rPr>
        <sz val="11"/>
        <color indexed="8"/>
        <rFont val="宋体"/>
        <family val="3"/>
        <charset val="134"/>
      </rPr>
      <t>黄点金花鮨</t>
    </r>
  </si>
  <si>
    <r>
      <rPr>
        <sz val="11"/>
        <color indexed="8"/>
        <rFont val="宋体"/>
        <family val="3"/>
        <charset val="134"/>
      </rPr>
      <t>异唇鮨</t>
    </r>
  </si>
  <si>
    <r>
      <rPr>
        <sz val="11"/>
        <color indexed="8"/>
        <rFont val="宋体"/>
        <family val="3"/>
        <charset val="134"/>
      </rPr>
      <t>红鳍齿花鮨</t>
    </r>
  </si>
  <si>
    <r>
      <rPr>
        <sz val="11"/>
        <color indexed="8"/>
        <rFont val="宋体"/>
        <family val="3"/>
        <charset val="134"/>
      </rPr>
      <t>单斑齿花鮨</t>
    </r>
  </si>
  <si>
    <r>
      <rPr>
        <sz val="11"/>
        <color indexed="8"/>
        <rFont val="宋体"/>
        <family val="3"/>
        <charset val="134"/>
      </rPr>
      <t>距棘花鮨</t>
    </r>
  </si>
  <si>
    <r>
      <rPr>
        <sz val="11"/>
        <color indexed="8"/>
        <rFont val="宋体"/>
        <family val="3"/>
        <charset val="134"/>
      </rPr>
      <t>菊棘花鮨</t>
    </r>
  </si>
  <si>
    <r>
      <rPr>
        <sz val="11"/>
        <color indexed="8"/>
        <rFont val="宋体"/>
        <family val="3"/>
        <charset val="134"/>
      </rPr>
      <t>日本棘花鮨</t>
    </r>
  </si>
  <si>
    <r>
      <rPr>
        <sz val="11"/>
        <color indexed="8"/>
        <rFont val="宋体"/>
        <family val="3"/>
        <charset val="134"/>
      </rPr>
      <t>凯氏棘花鮨</t>
    </r>
  </si>
  <si>
    <r>
      <rPr>
        <sz val="11"/>
        <color indexed="8"/>
        <rFont val="宋体"/>
        <family val="3"/>
        <charset val="134"/>
      </rPr>
      <t>长突棘花鮨</t>
    </r>
  </si>
  <si>
    <r>
      <rPr>
        <sz val="11"/>
        <color indexed="8"/>
        <rFont val="宋体"/>
        <family val="3"/>
        <charset val="134"/>
      </rPr>
      <t>矮棘花鮨</t>
    </r>
  </si>
  <si>
    <r>
      <rPr>
        <sz val="11"/>
        <color indexed="8"/>
        <rFont val="宋体"/>
        <family val="3"/>
        <charset val="134"/>
      </rPr>
      <t>卫氏棘花鮨</t>
    </r>
  </si>
  <si>
    <r>
      <rPr>
        <sz val="11"/>
        <color indexed="8"/>
        <rFont val="宋体"/>
        <family val="3"/>
        <charset val="134"/>
      </rPr>
      <t>槐氏棘花鮨</t>
    </r>
  </si>
  <si>
    <r>
      <rPr>
        <sz val="11"/>
        <color indexed="8"/>
        <rFont val="宋体"/>
        <family val="3"/>
        <charset val="134"/>
      </rPr>
      <t>山川棘花鮨</t>
    </r>
  </si>
  <si>
    <r>
      <rPr>
        <sz val="11"/>
        <color indexed="8"/>
        <rFont val="宋体"/>
        <family val="3"/>
        <charset val="134"/>
      </rPr>
      <t>丽拟花鮨</t>
    </r>
  </si>
  <si>
    <r>
      <rPr>
        <sz val="11"/>
        <color indexed="8"/>
        <rFont val="宋体"/>
        <family val="3"/>
        <charset val="134"/>
      </rPr>
      <t>长拟花鮨</t>
    </r>
  </si>
  <si>
    <r>
      <rPr>
        <sz val="11"/>
        <color indexed="8"/>
        <rFont val="宋体"/>
        <family val="3"/>
        <charset val="134"/>
      </rPr>
      <t>红带花鮨</t>
    </r>
  </si>
  <si>
    <r>
      <rPr>
        <sz val="11"/>
        <color indexed="8"/>
        <rFont val="宋体"/>
        <family val="3"/>
        <charset val="134"/>
      </rPr>
      <t>珠斑鮨</t>
    </r>
  </si>
  <si>
    <r>
      <rPr>
        <sz val="11"/>
        <color indexed="8"/>
        <rFont val="宋体"/>
        <family val="3"/>
        <charset val="134"/>
      </rPr>
      <t>臀斑月花鮨</t>
    </r>
  </si>
  <si>
    <r>
      <rPr>
        <sz val="11"/>
        <color indexed="8"/>
        <rFont val="宋体"/>
        <family val="3"/>
        <charset val="134"/>
      </rPr>
      <t>宽身须花鮨</t>
    </r>
  </si>
  <si>
    <r>
      <rPr>
        <sz val="11"/>
        <color indexed="8"/>
        <rFont val="宋体"/>
        <family val="3"/>
        <charset val="134"/>
      </rPr>
      <t>姬鮨</t>
    </r>
  </si>
  <si>
    <r>
      <rPr>
        <sz val="11"/>
        <color indexed="8"/>
        <rFont val="宋体"/>
        <family val="3"/>
        <charset val="134"/>
      </rPr>
      <t>拟雀鲷科</t>
    </r>
  </si>
  <si>
    <r>
      <rPr>
        <sz val="11"/>
        <color indexed="8"/>
        <rFont val="宋体"/>
        <family val="3"/>
        <charset val="134"/>
      </rPr>
      <t>环眼丹波鱼</t>
    </r>
  </si>
  <si>
    <r>
      <rPr>
        <sz val="11"/>
        <color indexed="8"/>
        <rFont val="宋体"/>
        <family val="3"/>
        <charset val="134"/>
      </rPr>
      <t>黑线丹波鱼</t>
    </r>
  </si>
  <si>
    <r>
      <rPr>
        <sz val="11"/>
        <color indexed="8"/>
        <rFont val="宋体"/>
        <family val="3"/>
        <charset val="134"/>
      </rPr>
      <t>蓝带拟雀鲷</t>
    </r>
  </si>
  <si>
    <r>
      <rPr>
        <sz val="11"/>
        <color indexed="8"/>
        <rFont val="宋体"/>
        <family val="3"/>
        <charset val="134"/>
      </rPr>
      <t>棕拟雀鲷</t>
    </r>
  </si>
  <si>
    <r>
      <rPr>
        <sz val="11"/>
        <color indexed="8"/>
        <rFont val="宋体"/>
        <family val="3"/>
        <charset val="134"/>
      </rPr>
      <t>紫拟雀鲷</t>
    </r>
  </si>
  <si>
    <r>
      <rPr>
        <sz val="11"/>
        <color indexed="8"/>
        <rFont val="宋体"/>
        <family val="3"/>
        <charset val="134"/>
      </rPr>
      <t>狭身拟雀鲷</t>
    </r>
  </si>
  <si>
    <r>
      <rPr>
        <sz val="11"/>
        <color indexed="8"/>
        <rFont val="宋体"/>
        <family val="3"/>
        <charset val="134"/>
      </rPr>
      <t>黄腕拟雀鲷</t>
    </r>
  </si>
  <si>
    <r>
      <rPr>
        <sz val="11"/>
        <color indexed="8"/>
        <rFont val="宋体"/>
        <family val="3"/>
        <charset val="134"/>
      </rPr>
      <t>大眼鲷科</t>
    </r>
  </si>
  <si>
    <r>
      <rPr>
        <sz val="11"/>
        <color indexed="8"/>
        <rFont val="宋体"/>
        <family val="3"/>
        <charset val="134"/>
      </rPr>
      <t>布氏大眼鲷</t>
    </r>
  </si>
  <si>
    <r>
      <rPr>
        <sz val="11"/>
        <color indexed="8"/>
        <rFont val="宋体"/>
        <family val="3"/>
        <charset val="134"/>
      </rPr>
      <t>黑鳍大眼鲷</t>
    </r>
  </si>
  <si>
    <r>
      <rPr>
        <sz val="11"/>
        <color indexed="8"/>
        <rFont val="宋体"/>
        <family val="3"/>
        <charset val="134"/>
      </rPr>
      <t>斑鳍大眼鲷</t>
    </r>
  </si>
  <si>
    <r>
      <rPr>
        <sz val="11"/>
        <color indexed="8"/>
        <rFont val="宋体"/>
        <family val="3"/>
        <charset val="134"/>
      </rPr>
      <t>金目大眼鲷</t>
    </r>
  </si>
  <si>
    <r>
      <rPr>
        <sz val="11"/>
        <color indexed="8"/>
        <rFont val="宋体"/>
        <family val="3"/>
        <charset val="134"/>
      </rPr>
      <t>短尾大眼鲷</t>
    </r>
  </si>
  <si>
    <r>
      <rPr>
        <sz val="11"/>
        <color indexed="8"/>
        <rFont val="宋体"/>
        <family val="3"/>
        <charset val="134"/>
      </rPr>
      <t>长尾大眼鲷</t>
    </r>
  </si>
  <si>
    <r>
      <rPr>
        <sz val="11"/>
        <color indexed="8"/>
        <rFont val="宋体"/>
        <family val="3"/>
        <charset val="134"/>
      </rPr>
      <t>多带拟大眼鲷</t>
    </r>
  </si>
  <si>
    <r>
      <rPr>
        <sz val="11"/>
        <color indexed="8"/>
        <rFont val="宋体"/>
        <family val="3"/>
        <charset val="134"/>
      </rPr>
      <t>拟大眼鲷</t>
    </r>
  </si>
  <si>
    <r>
      <rPr>
        <sz val="11"/>
        <color indexed="8"/>
        <rFont val="宋体"/>
        <family val="3"/>
        <charset val="134"/>
      </rPr>
      <t>发光鲷科</t>
    </r>
  </si>
  <si>
    <r>
      <rPr>
        <sz val="11"/>
        <color indexed="8"/>
        <rFont val="宋体"/>
        <family val="3"/>
        <charset val="134"/>
      </rPr>
      <t>圆鳞发光鲷</t>
    </r>
  </si>
  <si>
    <r>
      <rPr>
        <sz val="11"/>
        <color indexed="8"/>
        <rFont val="宋体"/>
        <family val="3"/>
        <charset val="134"/>
      </rPr>
      <t>发光鲷</t>
    </r>
  </si>
  <si>
    <r>
      <rPr>
        <sz val="11"/>
        <color indexed="8"/>
        <rFont val="宋体"/>
        <family val="3"/>
        <charset val="134"/>
      </rPr>
      <t>弓线天竺鲷</t>
    </r>
  </si>
  <si>
    <r>
      <rPr>
        <sz val="11"/>
        <color indexed="8"/>
        <rFont val="宋体"/>
        <family val="3"/>
        <charset val="134"/>
      </rPr>
      <t>天竺鲷科</t>
    </r>
  </si>
  <si>
    <r>
      <rPr>
        <sz val="11"/>
        <color indexed="8"/>
        <rFont val="宋体"/>
        <family val="3"/>
        <charset val="134"/>
      </rPr>
      <t>细带天竺鲷</t>
    </r>
  </si>
  <si>
    <r>
      <rPr>
        <sz val="11"/>
        <color indexed="8"/>
        <rFont val="宋体"/>
        <family val="3"/>
        <charset val="134"/>
      </rPr>
      <t>正天竺鲷</t>
    </r>
  </si>
  <si>
    <r>
      <rPr>
        <sz val="11"/>
        <color indexed="8"/>
        <rFont val="宋体"/>
        <family val="3"/>
        <charset val="134"/>
      </rPr>
      <t>环天竺鲷</t>
    </r>
  </si>
  <si>
    <r>
      <rPr>
        <sz val="11"/>
        <color indexed="8"/>
        <rFont val="宋体"/>
        <family val="3"/>
        <charset val="134"/>
      </rPr>
      <t>颊纹天竺鲷</t>
    </r>
  </si>
  <si>
    <r>
      <rPr>
        <sz val="11"/>
        <color indexed="8"/>
        <rFont val="宋体"/>
        <family val="3"/>
        <charset val="134"/>
      </rPr>
      <t>陈氏天竺鲷</t>
    </r>
  </si>
  <si>
    <r>
      <rPr>
        <sz val="11"/>
        <color indexed="8"/>
        <rFont val="宋体"/>
        <family val="3"/>
        <charset val="134"/>
      </rPr>
      <t>多线天竺鲷</t>
    </r>
  </si>
  <si>
    <r>
      <rPr>
        <sz val="11"/>
        <color indexed="8"/>
        <rFont val="宋体"/>
        <family val="3"/>
        <charset val="134"/>
      </rPr>
      <t>红天竺鲷</t>
    </r>
  </si>
  <si>
    <r>
      <rPr>
        <sz val="11"/>
        <color indexed="8"/>
        <rFont val="宋体"/>
        <family val="3"/>
        <charset val="134"/>
      </rPr>
      <t>裂带天竺鲷</t>
    </r>
  </si>
  <si>
    <r>
      <rPr>
        <sz val="11"/>
        <color indexed="8"/>
        <rFont val="宋体"/>
        <family val="3"/>
        <charset val="134"/>
      </rPr>
      <t>库氏天竺鲷</t>
    </r>
  </si>
  <si>
    <r>
      <rPr>
        <sz val="11"/>
        <color indexed="8"/>
        <rFont val="宋体"/>
        <family val="3"/>
        <charset val="134"/>
      </rPr>
      <t>短鳍天竺鲷</t>
    </r>
  </si>
  <si>
    <r>
      <rPr>
        <sz val="11"/>
        <color indexed="8"/>
        <rFont val="宋体"/>
        <family val="3"/>
        <charset val="134"/>
      </rPr>
      <t>蓝身天竺鲷</t>
    </r>
  </si>
  <si>
    <r>
      <rPr>
        <sz val="11"/>
        <color indexed="8"/>
        <rFont val="宋体"/>
        <family val="3"/>
        <charset val="134"/>
      </rPr>
      <t>斗氏天竺鲷</t>
    </r>
  </si>
  <si>
    <r>
      <rPr>
        <sz val="11"/>
        <color indexed="8"/>
        <rFont val="宋体"/>
        <family val="3"/>
        <charset val="134"/>
      </rPr>
      <t>长棘天竺鲷</t>
    </r>
  </si>
  <si>
    <r>
      <rPr>
        <sz val="11"/>
        <color indexed="8"/>
        <rFont val="宋体"/>
        <family val="3"/>
        <charset val="134"/>
      </rPr>
      <t>黑边天竺鲷</t>
    </r>
  </si>
  <si>
    <r>
      <rPr>
        <sz val="11"/>
        <color indexed="8"/>
        <rFont val="宋体"/>
        <family val="3"/>
        <charset val="134"/>
      </rPr>
      <t>小条天竺鲷</t>
    </r>
  </si>
  <si>
    <r>
      <rPr>
        <sz val="11"/>
        <color indexed="8"/>
        <rFont val="宋体"/>
        <family val="3"/>
        <charset val="134"/>
      </rPr>
      <t>粉红天竺鲷</t>
    </r>
  </si>
  <si>
    <r>
      <rPr>
        <sz val="11"/>
        <color indexed="8"/>
        <rFont val="宋体"/>
        <family val="3"/>
        <charset val="134"/>
      </rPr>
      <t>单线天竺鲷</t>
    </r>
  </si>
  <si>
    <r>
      <rPr>
        <sz val="11"/>
        <color indexed="8"/>
        <rFont val="宋体"/>
        <family val="3"/>
        <charset val="134"/>
      </rPr>
      <t>带天竺鲷</t>
    </r>
  </si>
  <si>
    <r>
      <rPr>
        <sz val="11"/>
        <color indexed="8"/>
        <rFont val="宋体"/>
        <family val="3"/>
        <charset val="134"/>
      </rPr>
      <t>斑柄天竺鲷</t>
    </r>
  </si>
  <si>
    <r>
      <rPr>
        <sz val="11"/>
        <color indexed="8"/>
        <rFont val="宋体"/>
        <family val="3"/>
        <charset val="134"/>
      </rPr>
      <t>套缰天竺鲷</t>
    </r>
  </si>
  <si>
    <r>
      <rPr>
        <sz val="11"/>
        <color indexed="8"/>
        <rFont val="宋体"/>
        <family val="3"/>
        <charset val="134"/>
      </rPr>
      <t>棕天竺鲷</t>
    </r>
  </si>
  <si>
    <r>
      <rPr>
        <sz val="11"/>
        <color indexed="8"/>
        <rFont val="宋体"/>
        <family val="3"/>
        <charset val="134"/>
      </rPr>
      <t>云线天竺鲷</t>
    </r>
  </si>
  <si>
    <r>
      <rPr>
        <sz val="11"/>
        <color indexed="8"/>
        <rFont val="宋体"/>
        <family val="3"/>
        <charset val="134"/>
      </rPr>
      <t>美鳍天竺鲷</t>
    </r>
  </si>
  <si>
    <r>
      <rPr>
        <sz val="11"/>
        <color indexed="8"/>
        <rFont val="宋体"/>
        <family val="3"/>
        <charset val="134"/>
      </rPr>
      <t>中线天竺鲷</t>
    </r>
  </si>
  <si>
    <r>
      <rPr>
        <sz val="11"/>
        <color indexed="8"/>
        <rFont val="宋体"/>
        <family val="3"/>
        <charset val="134"/>
      </rPr>
      <t>侧带天竺鲷</t>
    </r>
  </si>
  <si>
    <r>
      <rPr>
        <sz val="11"/>
        <color indexed="8"/>
        <rFont val="宋体"/>
        <family val="3"/>
        <charset val="134"/>
      </rPr>
      <t>细条天竺鲷</t>
    </r>
  </si>
  <si>
    <r>
      <rPr>
        <sz val="11"/>
        <color indexed="8"/>
        <rFont val="宋体"/>
        <family val="3"/>
        <charset val="134"/>
      </rPr>
      <t>褐天竺鲷</t>
    </r>
  </si>
  <si>
    <r>
      <rPr>
        <sz val="11"/>
        <color indexed="8"/>
        <rFont val="宋体"/>
        <family val="3"/>
        <charset val="134"/>
      </rPr>
      <t>马六甲天竺鲷</t>
    </r>
  </si>
  <si>
    <r>
      <rPr>
        <sz val="11"/>
        <color indexed="8"/>
        <rFont val="宋体"/>
        <family val="3"/>
        <charset val="134"/>
      </rPr>
      <t>黑带天竺鲷</t>
    </r>
  </si>
  <si>
    <r>
      <rPr>
        <sz val="11"/>
        <color indexed="8"/>
        <rFont val="宋体"/>
        <family val="3"/>
        <charset val="134"/>
      </rPr>
      <t>褐尾天竺鲷</t>
    </r>
  </si>
  <si>
    <r>
      <rPr>
        <sz val="11"/>
        <color indexed="8"/>
        <rFont val="宋体"/>
        <family val="3"/>
        <charset val="134"/>
      </rPr>
      <t>驼背天竺鲷</t>
    </r>
  </si>
  <si>
    <r>
      <rPr>
        <sz val="11"/>
        <color indexed="8"/>
        <rFont val="宋体"/>
        <family val="3"/>
        <charset val="134"/>
      </rPr>
      <t>九线天竺鲷</t>
    </r>
  </si>
  <si>
    <r>
      <rPr>
        <sz val="11"/>
        <color indexed="8"/>
        <rFont val="宋体"/>
        <family val="3"/>
        <charset val="134"/>
      </rPr>
      <t>斑带天竺鲷</t>
    </r>
  </si>
  <si>
    <r>
      <rPr>
        <sz val="11"/>
        <color indexed="8"/>
        <rFont val="宋体"/>
        <family val="3"/>
        <charset val="134"/>
      </rPr>
      <t>拟双线天竺鲷</t>
    </r>
  </si>
  <si>
    <r>
      <rPr>
        <sz val="11"/>
        <color indexed="8"/>
        <rFont val="宋体"/>
        <family val="3"/>
        <charset val="134"/>
      </rPr>
      <t>四线天竺鲷</t>
    </r>
  </si>
  <si>
    <r>
      <rPr>
        <sz val="11"/>
        <color indexed="8"/>
        <rFont val="宋体"/>
        <family val="3"/>
        <charset val="134"/>
      </rPr>
      <t>粗体天竺鲷</t>
    </r>
  </si>
  <si>
    <r>
      <rPr>
        <sz val="11"/>
        <color indexed="8"/>
        <rFont val="宋体"/>
        <family val="3"/>
        <charset val="134"/>
      </rPr>
      <t>半线天竺鲷</t>
    </r>
  </si>
  <si>
    <r>
      <rPr>
        <sz val="11"/>
        <color indexed="8"/>
        <rFont val="宋体"/>
        <family val="3"/>
        <charset val="134"/>
      </rPr>
      <t>双斜天竺鲷</t>
    </r>
  </si>
  <si>
    <r>
      <rPr>
        <sz val="11"/>
        <color indexed="8"/>
        <rFont val="宋体"/>
        <family val="3"/>
        <charset val="134"/>
      </rPr>
      <t>宽条天竺鲷</t>
    </r>
  </si>
  <si>
    <r>
      <rPr>
        <sz val="11"/>
        <color indexed="8"/>
        <rFont val="宋体"/>
        <family val="3"/>
        <charset val="134"/>
      </rPr>
      <t>双带天竺鲷</t>
    </r>
  </si>
  <si>
    <r>
      <rPr>
        <sz val="11"/>
        <color indexed="8"/>
        <rFont val="宋体"/>
        <family val="3"/>
        <charset val="134"/>
      </rPr>
      <t>褐带天竺鲷</t>
    </r>
  </si>
  <si>
    <r>
      <rPr>
        <sz val="11"/>
        <color indexed="8"/>
        <rFont val="宋体"/>
        <family val="3"/>
        <charset val="134"/>
      </rPr>
      <t>绿身天竺鲷</t>
    </r>
  </si>
  <si>
    <r>
      <rPr>
        <sz val="11"/>
        <color indexed="8"/>
        <rFont val="宋体"/>
        <family val="3"/>
        <charset val="134"/>
      </rPr>
      <t>三斑天竺鲷</t>
    </r>
  </si>
  <si>
    <r>
      <rPr>
        <sz val="11"/>
        <color indexed="8"/>
        <rFont val="宋体"/>
        <family val="3"/>
        <charset val="134"/>
      </rPr>
      <t>白边天竺鱼</t>
    </r>
  </si>
  <si>
    <r>
      <rPr>
        <sz val="11"/>
        <color indexed="8"/>
        <rFont val="宋体"/>
        <family val="3"/>
        <charset val="134"/>
      </rPr>
      <t>黑鳃天竺鱼</t>
    </r>
  </si>
  <si>
    <r>
      <rPr>
        <sz val="11"/>
        <color indexed="8"/>
        <rFont val="宋体"/>
        <family val="3"/>
        <charset val="134"/>
      </rPr>
      <t>短条天竺鱼</t>
    </r>
  </si>
  <si>
    <r>
      <rPr>
        <sz val="11"/>
        <color indexed="8"/>
        <rFont val="宋体"/>
        <family val="3"/>
        <charset val="134"/>
      </rPr>
      <t>斑鳍天竺鱼</t>
    </r>
  </si>
  <si>
    <r>
      <rPr>
        <sz val="11"/>
        <color indexed="8"/>
        <rFont val="宋体"/>
        <family val="3"/>
        <charset val="134"/>
      </rPr>
      <t>黑天竺鱼</t>
    </r>
  </si>
  <si>
    <r>
      <rPr>
        <sz val="11"/>
        <color indexed="8"/>
        <rFont val="宋体"/>
        <family val="3"/>
        <charset val="134"/>
      </rPr>
      <t>眼斑天竺鱼</t>
    </r>
  </si>
  <si>
    <r>
      <rPr>
        <sz val="11"/>
        <color indexed="8"/>
        <rFont val="宋体"/>
        <family val="3"/>
        <charset val="134"/>
      </rPr>
      <t>鸠斑天竺鱼</t>
    </r>
  </si>
  <si>
    <r>
      <rPr>
        <sz val="11"/>
        <color indexed="8"/>
        <rFont val="宋体"/>
        <family val="3"/>
        <charset val="134"/>
      </rPr>
      <t>夏威夷天竺鱼</t>
    </r>
  </si>
  <si>
    <r>
      <rPr>
        <sz val="11"/>
        <color indexed="8"/>
        <rFont val="宋体"/>
        <family val="3"/>
        <charset val="134"/>
      </rPr>
      <t>双斑长鳍天竺鲷</t>
    </r>
  </si>
  <si>
    <r>
      <rPr>
        <sz val="11"/>
        <color indexed="8"/>
        <rFont val="宋体"/>
        <family val="3"/>
        <charset val="134"/>
      </rPr>
      <t>横纹长鳍天竺鲷</t>
    </r>
  </si>
  <si>
    <r>
      <rPr>
        <sz val="11"/>
        <color indexed="8"/>
        <rFont val="宋体"/>
        <family val="3"/>
        <charset val="134"/>
      </rPr>
      <t>褐斑长鳍天竺鲷</t>
    </r>
  </si>
  <si>
    <r>
      <rPr>
        <sz val="11"/>
        <color indexed="8"/>
        <rFont val="宋体"/>
        <family val="3"/>
        <charset val="134"/>
      </rPr>
      <t>龚氏长鳍天竺鲷</t>
    </r>
  </si>
  <si>
    <r>
      <rPr>
        <sz val="11"/>
        <color indexed="8"/>
        <rFont val="宋体"/>
        <family val="3"/>
        <charset val="134"/>
      </rPr>
      <t>条长鳍天竺鲷</t>
    </r>
  </si>
  <si>
    <r>
      <rPr>
        <sz val="11"/>
        <color indexed="8"/>
        <rFont val="宋体"/>
        <family val="3"/>
        <charset val="134"/>
      </rPr>
      <t>长鳍天竺鲷</t>
    </r>
  </si>
  <si>
    <r>
      <rPr>
        <sz val="11"/>
        <color indexed="8"/>
        <rFont val="宋体"/>
        <family val="3"/>
        <charset val="134"/>
      </rPr>
      <t>巨牙天竺鲷</t>
    </r>
  </si>
  <si>
    <r>
      <rPr>
        <sz val="11"/>
        <color indexed="8"/>
        <rFont val="宋体"/>
        <family val="3"/>
        <charset val="134"/>
      </rPr>
      <t>平颊巨牙天竺鲷</t>
    </r>
  </si>
  <si>
    <r>
      <rPr>
        <sz val="11"/>
        <color indexed="8"/>
        <rFont val="宋体"/>
        <family val="3"/>
        <charset val="134"/>
      </rPr>
      <t>白点富天竺鲷</t>
    </r>
  </si>
  <si>
    <r>
      <rPr>
        <sz val="11"/>
        <color indexed="8"/>
        <rFont val="宋体"/>
        <family val="3"/>
        <charset val="134"/>
      </rPr>
      <t>颊斑弗氏天竺鲷</t>
    </r>
  </si>
  <si>
    <r>
      <rPr>
        <sz val="11"/>
        <color indexed="8"/>
        <rFont val="宋体"/>
        <family val="3"/>
        <charset val="134"/>
      </rPr>
      <t>菲律宾裸天竺鲷</t>
    </r>
  </si>
  <si>
    <r>
      <rPr>
        <sz val="11"/>
        <color indexed="8"/>
        <rFont val="宋体"/>
        <family val="3"/>
        <charset val="134"/>
      </rPr>
      <t>尾斑裸天竺鲷</t>
    </r>
  </si>
  <si>
    <r>
      <rPr>
        <sz val="11"/>
        <color indexed="8"/>
        <rFont val="宋体"/>
        <family val="3"/>
        <charset val="134"/>
      </rPr>
      <t>尖棘鲷</t>
    </r>
  </si>
  <si>
    <r>
      <rPr>
        <sz val="11"/>
        <color indexed="8"/>
        <rFont val="宋体"/>
        <family val="3"/>
        <charset val="134"/>
      </rPr>
      <t>乳突天竺鲷</t>
    </r>
  </si>
  <si>
    <r>
      <rPr>
        <sz val="11"/>
        <color indexed="8"/>
        <rFont val="宋体"/>
        <family val="3"/>
        <charset val="134"/>
      </rPr>
      <t>五带副天竺鲷</t>
    </r>
  </si>
  <si>
    <r>
      <rPr>
        <sz val="11"/>
        <color indexed="8"/>
        <rFont val="宋体"/>
        <family val="3"/>
        <charset val="134"/>
      </rPr>
      <t>钝尾拟天竺鲷</t>
    </r>
  </si>
  <si>
    <r>
      <rPr>
        <sz val="11"/>
        <color indexed="8"/>
        <rFont val="宋体"/>
        <family val="3"/>
        <charset val="134"/>
      </rPr>
      <t>准天竺鲷</t>
    </r>
  </si>
  <si>
    <r>
      <rPr>
        <sz val="11"/>
        <color indexed="8"/>
        <rFont val="宋体"/>
        <family val="3"/>
        <charset val="134"/>
      </rPr>
      <t>短箭天竺鲷</t>
    </r>
  </si>
  <si>
    <r>
      <rPr>
        <sz val="11"/>
        <color indexed="8"/>
        <rFont val="宋体"/>
        <family val="3"/>
        <charset val="134"/>
      </rPr>
      <t>箭天竺鲷</t>
    </r>
  </si>
  <si>
    <r>
      <rPr>
        <sz val="11"/>
        <color indexed="8"/>
        <rFont val="宋体"/>
        <family val="3"/>
        <charset val="134"/>
      </rPr>
      <t>马氏管天竺鲷</t>
    </r>
  </si>
  <si>
    <r>
      <rPr>
        <sz val="11"/>
        <color indexed="8"/>
        <rFont val="宋体"/>
        <family val="3"/>
        <charset val="134"/>
      </rPr>
      <t>丝鳍高身天竺鲷</t>
    </r>
  </si>
  <si>
    <r>
      <rPr>
        <sz val="11"/>
        <color indexed="8"/>
        <rFont val="宋体"/>
        <family val="3"/>
        <charset val="134"/>
      </rPr>
      <t>鱚科</t>
    </r>
  </si>
  <si>
    <r>
      <rPr>
        <sz val="11"/>
        <color indexed="8"/>
        <rFont val="宋体"/>
        <family val="3"/>
        <charset val="134"/>
      </rPr>
      <t>亚洲鱚</t>
    </r>
  </si>
  <si>
    <r>
      <rPr>
        <sz val="11"/>
        <color indexed="8"/>
        <rFont val="宋体"/>
        <family val="3"/>
        <charset val="134"/>
      </rPr>
      <t>湾沙鱚</t>
    </r>
  </si>
  <si>
    <r>
      <rPr>
        <sz val="11"/>
        <color indexed="8"/>
        <rFont val="宋体"/>
        <family val="3"/>
        <charset val="134"/>
      </rPr>
      <t>少鳞鱚</t>
    </r>
  </si>
  <si>
    <r>
      <rPr>
        <sz val="11"/>
        <color indexed="8"/>
        <rFont val="宋体"/>
        <family val="3"/>
        <charset val="134"/>
      </rPr>
      <t>斑鱚</t>
    </r>
  </si>
  <si>
    <r>
      <rPr>
        <sz val="11"/>
        <color indexed="8"/>
        <rFont val="宋体"/>
        <family val="3"/>
        <charset val="134"/>
      </rPr>
      <t>多鳞鱚</t>
    </r>
  </si>
  <si>
    <r>
      <rPr>
        <sz val="11"/>
        <color indexed="8"/>
        <rFont val="宋体"/>
        <family val="3"/>
        <charset val="134"/>
      </rPr>
      <t>方头鱼科</t>
    </r>
  </si>
  <si>
    <r>
      <rPr>
        <sz val="11"/>
        <color indexed="8"/>
        <rFont val="宋体"/>
        <family val="3"/>
        <charset val="134"/>
      </rPr>
      <t>白马方头鱼</t>
    </r>
  </si>
  <si>
    <r>
      <rPr>
        <sz val="11"/>
        <color indexed="8"/>
        <rFont val="宋体"/>
        <family val="3"/>
        <charset val="134"/>
      </rPr>
      <t>银方头鱼</t>
    </r>
  </si>
  <si>
    <r>
      <rPr>
        <sz val="11"/>
        <color indexed="8"/>
        <rFont val="宋体"/>
        <family val="3"/>
        <charset val="134"/>
      </rPr>
      <t>斑鳍方头鱼</t>
    </r>
  </si>
  <si>
    <r>
      <rPr>
        <sz val="11"/>
        <color indexed="8"/>
        <rFont val="宋体"/>
        <family val="3"/>
        <charset val="134"/>
      </rPr>
      <t>日本方头鱼</t>
    </r>
  </si>
  <si>
    <r>
      <rPr>
        <sz val="11"/>
        <color indexed="8"/>
        <rFont val="宋体"/>
        <family val="3"/>
        <charset val="134"/>
      </rPr>
      <t>短吻弱棘鱼</t>
    </r>
  </si>
  <si>
    <r>
      <rPr>
        <sz val="11"/>
        <color indexed="8"/>
        <rFont val="宋体"/>
        <family val="3"/>
        <charset val="134"/>
      </rPr>
      <t>尾带弱棘鱼</t>
    </r>
  </si>
  <si>
    <r>
      <rPr>
        <sz val="11"/>
        <color indexed="8"/>
        <rFont val="宋体"/>
        <family val="3"/>
        <charset val="134"/>
      </rPr>
      <t>侧条弱棘鱼</t>
    </r>
  </si>
  <si>
    <r>
      <rPr>
        <sz val="11"/>
        <color indexed="8"/>
        <rFont val="宋体"/>
        <family val="3"/>
        <charset val="134"/>
      </rPr>
      <t>鲹科</t>
    </r>
  </si>
  <si>
    <r>
      <rPr>
        <sz val="11"/>
        <color indexed="8"/>
        <rFont val="宋体"/>
        <family val="3"/>
        <charset val="134"/>
      </rPr>
      <t>似鲹属</t>
    </r>
  </si>
  <si>
    <r>
      <rPr>
        <sz val="11"/>
        <color indexed="8"/>
        <rFont val="宋体"/>
        <family val="3"/>
        <charset val="134"/>
      </rPr>
      <t>短吻丝鲹</t>
    </r>
  </si>
  <si>
    <r>
      <rPr>
        <sz val="11"/>
        <color indexed="8"/>
        <rFont val="宋体"/>
        <family val="3"/>
        <charset val="134"/>
      </rPr>
      <t>长吻丝鲹</t>
    </r>
  </si>
  <si>
    <r>
      <rPr>
        <sz val="11"/>
        <color indexed="8"/>
        <rFont val="宋体"/>
        <family val="3"/>
        <charset val="134"/>
      </rPr>
      <t>沟鲹</t>
    </r>
  </si>
  <si>
    <r>
      <rPr>
        <sz val="11"/>
        <color indexed="8"/>
        <rFont val="宋体"/>
        <family val="3"/>
        <charset val="134"/>
      </rPr>
      <t>副叶鲹属</t>
    </r>
  </si>
  <si>
    <r>
      <rPr>
        <sz val="11"/>
        <color indexed="8"/>
        <rFont val="宋体"/>
        <family val="3"/>
        <charset val="134"/>
      </rPr>
      <t>甲裸胸鲹</t>
    </r>
  </si>
  <si>
    <r>
      <rPr>
        <sz val="11"/>
        <color indexed="8"/>
        <rFont val="宋体"/>
        <family val="3"/>
        <charset val="134"/>
      </rPr>
      <t>大口鲹</t>
    </r>
  </si>
  <si>
    <r>
      <rPr>
        <sz val="11"/>
        <color indexed="8"/>
        <rFont val="宋体"/>
        <family val="3"/>
        <charset val="134"/>
      </rPr>
      <t>长吻裸胸鲹</t>
    </r>
  </si>
  <si>
    <r>
      <rPr>
        <sz val="11"/>
        <color indexed="8"/>
        <rFont val="宋体"/>
        <family val="3"/>
        <charset val="134"/>
      </rPr>
      <t>青羽裸胸鲹</t>
    </r>
  </si>
  <si>
    <r>
      <rPr>
        <sz val="11"/>
        <color indexed="8"/>
        <rFont val="宋体"/>
        <family val="3"/>
        <charset val="134"/>
      </rPr>
      <t>美长吻鲹</t>
    </r>
  </si>
  <si>
    <r>
      <rPr>
        <sz val="11"/>
        <color indexed="8"/>
        <rFont val="宋体"/>
        <family val="3"/>
        <charset val="134"/>
      </rPr>
      <t>双线裸胸鲹</t>
    </r>
  </si>
  <si>
    <r>
      <rPr>
        <sz val="11"/>
        <color indexed="8"/>
        <rFont val="宋体"/>
        <family val="3"/>
        <charset val="134"/>
      </rPr>
      <t>及达叶鲹</t>
    </r>
  </si>
  <si>
    <r>
      <rPr>
        <sz val="11"/>
        <color indexed="8"/>
        <rFont val="宋体"/>
        <family val="3"/>
        <charset val="134"/>
      </rPr>
      <t>高体若鲹</t>
    </r>
  </si>
  <si>
    <r>
      <rPr>
        <sz val="11"/>
        <color indexed="8"/>
        <rFont val="宋体"/>
        <family val="3"/>
        <charset val="134"/>
      </rPr>
      <t>平线若鲹</t>
    </r>
  </si>
  <si>
    <r>
      <rPr>
        <sz val="11"/>
        <color indexed="8"/>
        <rFont val="宋体"/>
        <family val="3"/>
        <charset val="134"/>
      </rPr>
      <t>海德兰鲹</t>
    </r>
  </si>
  <si>
    <r>
      <rPr>
        <sz val="11"/>
        <color indexed="8"/>
        <rFont val="宋体"/>
        <family val="3"/>
        <charset val="134"/>
      </rPr>
      <t>白舌尾甲鲹</t>
    </r>
  </si>
  <si>
    <r>
      <rPr>
        <sz val="11"/>
        <color indexed="8"/>
        <rFont val="宋体"/>
        <family val="3"/>
        <charset val="134"/>
      </rPr>
      <t>马鲹</t>
    </r>
  </si>
  <si>
    <r>
      <rPr>
        <sz val="11"/>
        <color indexed="8"/>
        <rFont val="宋体"/>
        <family val="3"/>
        <charset val="134"/>
      </rPr>
      <t>珍鲹</t>
    </r>
  </si>
  <si>
    <r>
      <rPr>
        <sz val="11"/>
        <color indexed="8"/>
        <rFont val="宋体"/>
        <family val="3"/>
        <charset val="134"/>
      </rPr>
      <t>黑体鲹</t>
    </r>
  </si>
  <si>
    <r>
      <rPr>
        <sz val="11"/>
        <color indexed="8"/>
        <rFont val="宋体"/>
        <family val="3"/>
        <charset val="134"/>
      </rPr>
      <t>丽叶鲹</t>
    </r>
  </si>
  <si>
    <r>
      <rPr>
        <sz val="11"/>
        <color indexed="8"/>
        <rFont val="宋体"/>
        <family val="3"/>
        <charset val="134"/>
      </rPr>
      <t>阔步鲹</t>
    </r>
  </si>
  <si>
    <r>
      <rPr>
        <sz val="11"/>
        <color indexed="8"/>
        <rFont val="宋体"/>
        <family val="3"/>
        <charset val="134"/>
      </rPr>
      <t>大尾叶鲹</t>
    </r>
  </si>
  <si>
    <r>
      <rPr>
        <sz val="11"/>
        <color indexed="8"/>
        <rFont val="宋体"/>
        <family val="3"/>
        <charset val="134"/>
      </rPr>
      <t>马拉巴裸胸鲹</t>
    </r>
  </si>
  <si>
    <r>
      <rPr>
        <sz val="11"/>
        <color indexed="8"/>
        <rFont val="宋体"/>
        <family val="3"/>
        <charset val="134"/>
      </rPr>
      <t>黑鳍叶鲹</t>
    </r>
  </si>
  <si>
    <r>
      <rPr>
        <sz val="11"/>
        <color indexed="8"/>
        <rFont val="宋体"/>
        <family val="3"/>
        <charset val="134"/>
      </rPr>
      <t>游鳍叶鲹</t>
    </r>
  </si>
  <si>
    <r>
      <rPr>
        <sz val="11"/>
        <color indexed="8"/>
        <rFont val="宋体"/>
        <family val="3"/>
        <charset val="134"/>
      </rPr>
      <t>黑尻鲹</t>
    </r>
  </si>
  <si>
    <r>
      <rPr>
        <sz val="11"/>
        <color indexed="8"/>
        <rFont val="宋体"/>
        <family val="3"/>
        <charset val="134"/>
      </rPr>
      <t>椭圆裸胸鲹</t>
    </r>
  </si>
  <si>
    <r>
      <rPr>
        <sz val="11"/>
        <color indexed="8"/>
        <rFont val="宋体"/>
        <family val="3"/>
        <charset val="134"/>
      </rPr>
      <t>直线鲹</t>
    </r>
  </si>
  <si>
    <r>
      <rPr>
        <sz val="11"/>
        <color indexed="8"/>
        <rFont val="宋体"/>
        <family val="3"/>
        <charset val="134"/>
      </rPr>
      <t>黑边鲹</t>
    </r>
  </si>
  <si>
    <r>
      <rPr>
        <sz val="11"/>
        <color indexed="8"/>
        <rFont val="宋体"/>
        <family val="3"/>
        <charset val="134"/>
      </rPr>
      <t>巴布亚鲹</t>
    </r>
  </si>
  <si>
    <r>
      <rPr>
        <sz val="11"/>
        <color indexed="8"/>
        <rFont val="宋体"/>
        <family val="3"/>
        <charset val="134"/>
      </rPr>
      <t>钝鳍叶鲹</t>
    </r>
  </si>
  <si>
    <r>
      <rPr>
        <sz val="11"/>
        <color indexed="8"/>
        <rFont val="宋体"/>
        <family val="3"/>
        <charset val="134"/>
      </rPr>
      <t>斜条若鲹</t>
    </r>
  </si>
  <si>
    <r>
      <rPr>
        <sz val="11"/>
        <color indexed="8"/>
        <rFont val="宋体"/>
        <family val="3"/>
        <charset val="134"/>
      </rPr>
      <t>扁长吻鲹</t>
    </r>
  </si>
  <si>
    <r>
      <rPr>
        <sz val="11"/>
        <color indexed="8"/>
        <rFont val="宋体"/>
        <family val="3"/>
        <charset val="134"/>
      </rPr>
      <t>铅灰裸胸鲹</t>
    </r>
  </si>
  <si>
    <r>
      <rPr>
        <sz val="11"/>
        <color indexed="8"/>
        <rFont val="宋体"/>
        <family val="3"/>
        <charset val="134"/>
      </rPr>
      <t>斑鳍若鲹</t>
    </r>
  </si>
  <si>
    <r>
      <rPr>
        <sz val="11"/>
        <color indexed="8"/>
        <rFont val="宋体"/>
        <family val="3"/>
        <charset val="134"/>
      </rPr>
      <t>散鲹</t>
    </r>
  </si>
  <si>
    <r>
      <rPr>
        <sz val="11"/>
        <color indexed="8"/>
        <rFont val="宋体"/>
        <family val="3"/>
        <charset val="134"/>
      </rPr>
      <t>六带鲹</t>
    </r>
  </si>
  <si>
    <r>
      <rPr>
        <sz val="11"/>
        <color indexed="8"/>
        <rFont val="宋体"/>
        <family val="3"/>
        <charset val="134"/>
      </rPr>
      <t>星点鲹</t>
    </r>
  </si>
  <si>
    <r>
      <rPr>
        <sz val="11"/>
        <color indexed="8"/>
        <rFont val="宋体"/>
        <family val="3"/>
        <charset val="134"/>
      </rPr>
      <t>镰鳍裸胸鲹</t>
    </r>
  </si>
  <si>
    <r>
      <rPr>
        <sz val="11"/>
        <color indexed="8"/>
        <rFont val="宋体"/>
        <family val="3"/>
        <charset val="134"/>
      </rPr>
      <t>泰利若鲹</t>
    </r>
  </si>
  <si>
    <r>
      <rPr>
        <sz val="11"/>
        <color indexed="8"/>
        <rFont val="宋体"/>
        <family val="3"/>
        <charset val="134"/>
      </rPr>
      <t>圆鲹</t>
    </r>
  </si>
  <si>
    <r>
      <rPr>
        <sz val="11"/>
        <color indexed="8"/>
        <rFont val="宋体"/>
        <family val="3"/>
        <charset val="134"/>
      </rPr>
      <t>条纹圆鲹</t>
    </r>
  </si>
  <si>
    <r>
      <rPr>
        <sz val="11"/>
        <color indexed="8"/>
        <rFont val="宋体"/>
        <family val="3"/>
        <charset val="134"/>
      </rPr>
      <t>无斑圆鲹</t>
    </r>
  </si>
  <si>
    <r>
      <rPr>
        <sz val="11"/>
        <color indexed="8"/>
        <rFont val="宋体"/>
        <family val="3"/>
        <charset val="134"/>
      </rPr>
      <t>颌圆鲹</t>
    </r>
  </si>
  <si>
    <r>
      <rPr>
        <sz val="11"/>
        <color indexed="8"/>
        <rFont val="宋体"/>
        <family val="3"/>
        <charset val="134"/>
      </rPr>
      <t>长体圆鲹</t>
    </r>
  </si>
  <si>
    <r>
      <rPr>
        <sz val="11"/>
        <color indexed="8"/>
        <rFont val="宋体"/>
        <family val="3"/>
        <charset val="134"/>
      </rPr>
      <t>蓝圆鲹</t>
    </r>
  </si>
  <si>
    <r>
      <rPr>
        <sz val="11"/>
        <color indexed="8"/>
        <rFont val="宋体"/>
        <family val="3"/>
        <charset val="134"/>
      </rPr>
      <t>赭带圆鲹</t>
    </r>
  </si>
  <si>
    <r>
      <rPr>
        <sz val="11"/>
        <color indexed="8"/>
        <rFont val="宋体"/>
        <family val="3"/>
        <charset val="134"/>
      </rPr>
      <t>红鳍圆鲹</t>
    </r>
  </si>
  <si>
    <r>
      <rPr>
        <sz val="11"/>
        <color indexed="8"/>
        <rFont val="宋体"/>
        <family val="3"/>
        <charset val="134"/>
      </rPr>
      <t>泰勃圆鲹</t>
    </r>
  </si>
  <si>
    <r>
      <rPr>
        <sz val="11"/>
        <color indexed="8"/>
        <rFont val="宋体"/>
        <family val="3"/>
        <charset val="134"/>
      </rPr>
      <t>黄鹂无齿鲹</t>
    </r>
  </si>
  <si>
    <r>
      <rPr>
        <sz val="11"/>
        <color indexed="8"/>
        <rFont val="宋体"/>
        <family val="3"/>
        <charset val="134"/>
      </rPr>
      <t>大甲鲹</t>
    </r>
  </si>
  <si>
    <r>
      <rPr>
        <sz val="11"/>
        <color indexed="8"/>
        <rFont val="宋体"/>
        <family val="3"/>
        <charset val="134"/>
      </rPr>
      <t>牛眼凹肩鲹</t>
    </r>
  </si>
  <si>
    <r>
      <rPr>
        <sz val="11"/>
        <color indexed="8"/>
        <rFont val="宋体"/>
        <family val="3"/>
        <charset val="134"/>
      </rPr>
      <t>脂眼凹肩鲹</t>
    </r>
  </si>
  <si>
    <r>
      <rPr>
        <sz val="11"/>
        <color indexed="8"/>
        <rFont val="宋体"/>
        <family val="3"/>
        <charset val="134"/>
      </rPr>
      <t>金带细鲹</t>
    </r>
  </si>
  <si>
    <r>
      <rPr>
        <sz val="11"/>
        <color indexed="8"/>
        <rFont val="宋体"/>
        <family val="3"/>
        <charset val="134"/>
      </rPr>
      <t>竹荚鱼</t>
    </r>
  </si>
  <si>
    <r>
      <rPr>
        <sz val="11"/>
        <color indexed="8"/>
        <rFont val="宋体"/>
        <family val="3"/>
        <charset val="134"/>
      </rPr>
      <t>羽鳃鲹</t>
    </r>
  </si>
  <si>
    <r>
      <rPr>
        <sz val="11"/>
        <color indexed="8"/>
        <rFont val="宋体"/>
        <family val="3"/>
        <charset val="134"/>
      </rPr>
      <t>小斑鲳鲹</t>
    </r>
  </si>
  <si>
    <r>
      <rPr>
        <sz val="11"/>
        <color indexed="8"/>
        <rFont val="宋体"/>
        <family val="3"/>
        <charset val="134"/>
      </rPr>
      <t>卵形鲳鲹</t>
    </r>
  </si>
  <si>
    <r>
      <rPr>
        <sz val="11"/>
        <color indexed="8"/>
        <rFont val="宋体"/>
        <family val="3"/>
        <charset val="134"/>
      </rPr>
      <t>大斑鲳鲹</t>
    </r>
  </si>
  <si>
    <r>
      <rPr>
        <sz val="11"/>
        <color indexed="8"/>
        <rFont val="宋体"/>
        <family val="3"/>
        <charset val="134"/>
      </rPr>
      <t>纺锤鰤</t>
    </r>
  </si>
  <si>
    <r>
      <rPr>
        <sz val="11"/>
        <color indexed="8"/>
        <rFont val="宋体"/>
        <family val="3"/>
        <charset val="134"/>
      </rPr>
      <t>舟鰤</t>
    </r>
  </si>
  <si>
    <r>
      <rPr>
        <sz val="11"/>
        <color indexed="8"/>
        <rFont val="宋体"/>
        <family val="3"/>
        <charset val="134"/>
      </rPr>
      <t>黄条鰤</t>
    </r>
  </si>
  <si>
    <r>
      <rPr>
        <sz val="11"/>
        <color indexed="8"/>
        <rFont val="宋体"/>
        <family val="3"/>
        <charset val="134"/>
      </rPr>
      <t>高体鰤</t>
    </r>
  </si>
  <si>
    <r>
      <rPr>
        <sz val="11"/>
        <color indexed="8"/>
        <rFont val="宋体"/>
        <family val="3"/>
        <charset val="134"/>
      </rPr>
      <t>五条鰤</t>
    </r>
  </si>
  <si>
    <r>
      <rPr>
        <sz val="11"/>
        <color indexed="8"/>
        <rFont val="宋体"/>
        <family val="3"/>
        <charset val="134"/>
      </rPr>
      <t>黑纹条鰤</t>
    </r>
  </si>
  <si>
    <r>
      <rPr>
        <sz val="11"/>
        <color indexed="8"/>
        <rFont val="宋体"/>
        <family val="3"/>
        <charset val="134"/>
      </rPr>
      <t>台湾鰆鲹</t>
    </r>
  </si>
  <si>
    <r>
      <rPr>
        <sz val="11"/>
        <color indexed="8"/>
        <rFont val="宋体"/>
        <family val="3"/>
        <charset val="134"/>
      </rPr>
      <t>海南鰆鲹</t>
    </r>
  </si>
  <si>
    <r>
      <rPr>
        <sz val="11"/>
        <color indexed="8"/>
        <rFont val="宋体"/>
        <family val="3"/>
        <charset val="134"/>
      </rPr>
      <t>长颌鰆鲹</t>
    </r>
  </si>
  <si>
    <r>
      <rPr>
        <sz val="11"/>
        <color indexed="8"/>
        <rFont val="宋体"/>
        <family val="3"/>
        <charset val="134"/>
      </rPr>
      <t>针鳞鰆鲹</t>
    </r>
  </si>
  <si>
    <r>
      <rPr>
        <sz val="11"/>
        <color indexed="8"/>
        <rFont val="宋体"/>
        <family val="3"/>
        <charset val="134"/>
      </rPr>
      <t>东方鰆鲹</t>
    </r>
  </si>
  <si>
    <r>
      <rPr>
        <sz val="11"/>
        <color indexed="8"/>
        <rFont val="宋体"/>
        <family val="3"/>
        <charset val="134"/>
      </rPr>
      <t>细长鰆鲹</t>
    </r>
  </si>
  <si>
    <r>
      <rPr>
        <sz val="11"/>
        <color indexed="8"/>
        <rFont val="宋体"/>
        <family val="3"/>
        <charset val="134"/>
      </rPr>
      <t>泰拉鰆鲹</t>
    </r>
  </si>
  <si>
    <r>
      <rPr>
        <sz val="11"/>
        <color indexed="8"/>
        <rFont val="宋体"/>
        <family val="3"/>
        <charset val="134"/>
      </rPr>
      <t>红海鰆鲹</t>
    </r>
  </si>
  <si>
    <r>
      <rPr>
        <sz val="11"/>
        <color indexed="8"/>
        <rFont val="宋体"/>
        <family val="3"/>
        <charset val="134"/>
      </rPr>
      <t>鲯鳅科</t>
    </r>
  </si>
  <si>
    <r>
      <rPr>
        <sz val="11"/>
        <color indexed="8"/>
        <rFont val="宋体"/>
        <family val="3"/>
        <charset val="134"/>
      </rPr>
      <t>等棘鲯鳅</t>
    </r>
  </si>
  <si>
    <r>
      <rPr>
        <sz val="11"/>
        <color indexed="8"/>
        <rFont val="宋体"/>
        <family val="3"/>
        <charset val="134"/>
      </rPr>
      <t>鲯鳅</t>
    </r>
  </si>
  <si>
    <r>
      <rPr>
        <sz val="11"/>
        <color indexed="8"/>
        <rFont val="宋体"/>
        <family val="3"/>
        <charset val="134"/>
      </rPr>
      <t>石首鱼科</t>
    </r>
  </si>
  <si>
    <r>
      <rPr>
        <sz val="11"/>
        <color indexed="8"/>
        <rFont val="宋体"/>
        <family val="3"/>
        <charset val="134"/>
      </rPr>
      <t>团头叫姑鱼</t>
    </r>
  </si>
  <si>
    <r>
      <rPr>
        <sz val="11"/>
        <color indexed="8"/>
        <rFont val="宋体"/>
        <family val="3"/>
        <charset val="134"/>
      </rPr>
      <t>突吻叫姑鱼</t>
    </r>
  </si>
  <si>
    <r>
      <rPr>
        <sz val="11"/>
        <color indexed="8"/>
        <rFont val="宋体"/>
        <family val="3"/>
        <charset val="134"/>
      </rPr>
      <t>条纹叫姑鱼</t>
    </r>
  </si>
  <si>
    <r>
      <rPr>
        <sz val="11"/>
        <color indexed="8"/>
        <rFont val="宋体"/>
        <family val="3"/>
        <charset val="134"/>
      </rPr>
      <t>叫姑鱼</t>
    </r>
  </si>
  <si>
    <r>
      <rPr>
        <sz val="11"/>
        <color indexed="8"/>
        <rFont val="宋体"/>
        <family val="3"/>
        <charset val="134"/>
      </rPr>
      <t>大鼻孔叫姑鱼</t>
    </r>
  </si>
  <si>
    <r>
      <rPr>
        <sz val="11"/>
        <color indexed="8"/>
        <rFont val="宋体"/>
        <family val="3"/>
        <charset val="134"/>
      </rPr>
      <t>黄氏叫姑鱼</t>
    </r>
  </si>
  <si>
    <r>
      <rPr>
        <sz val="11"/>
        <color indexed="8"/>
        <rFont val="宋体"/>
        <family val="3"/>
        <charset val="134"/>
      </rPr>
      <t>丁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鱼或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</si>
  <si>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褐毛鲿</t>
    </r>
  </si>
  <si>
    <r>
      <rPr>
        <sz val="11"/>
        <color indexed="8"/>
        <rFont val="宋体"/>
        <family val="3"/>
        <charset val="134"/>
      </rPr>
      <t>黄唇鱼</t>
    </r>
  </si>
  <si>
    <r>
      <rPr>
        <sz val="11"/>
        <color indexed="8"/>
        <rFont val="宋体"/>
        <family val="3"/>
        <charset val="134"/>
      </rPr>
      <t>斜纹大棘鱼</t>
    </r>
  </si>
  <si>
    <r>
      <rPr>
        <sz val="11"/>
        <color indexed="8"/>
        <rFont val="宋体"/>
        <family val="3"/>
        <charset val="134"/>
      </rPr>
      <t>小牙潘纳石首鱼</t>
    </r>
  </si>
  <si>
    <r>
      <rPr>
        <sz val="11"/>
        <color indexed="8"/>
        <rFont val="宋体"/>
        <family val="3"/>
        <charset val="134"/>
      </rPr>
      <t>勒氏枝鳔石首鱼</t>
    </r>
  </si>
  <si>
    <r>
      <rPr>
        <sz val="11"/>
        <color indexed="8"/>
        <rFont val="宋体"/>
        <family val="3"/>
        <charset val="134"/>
      </rPr>
      <t>尖头黄鳍牙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鱼或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</si>
  <si>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红牙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鱼或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</si>
  <si>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白姑鱼</t>
    </r>
  </si>
  <si>
    <r>
      <rPr>
        <sz val="11"/>
        <color indexed="8"/>
        <rFont val="宋体"/>
        <family val="3"/>
        <charset val="134"/>
      </rPr>
      <t>日本白姑鱼</t>
    </r>
  </si>
  <si>
    <r>
      <rPr>
        <sz val="11"/>
        <color indexed="8"/>
        <rFont val="宋体"/>
        <family val="3"/>
        <charset val="134"/>
      </rPr>
      <t>大头白姑鱼</t>
    </r>
  </si>
  <si>
    <r>
      <rPr>
        <sz val="11"/>
        <color indexed="8"/>
        <rFont val="宋体"/>
        <family val="3"/>
        <charset val="134"/>
      </rPr>
      <t>大眼白姑鱼</t>
    </r>
  </si>
  <si>
    <r>
      <rPr>
        <sz val="11"/>
        <color indexed="8"/>
        <rFont val="宋体"/>
        <family val="3"/>
        <charset val="134"/>
      </rPr>
      <t>鮸状白姑鱼</t>
    </r>
  </si>
  <si>
    <r>
      <rPr>
        <sz val="11"/>
        <color indexed="8"/>
        <rFont val="宋体"/>
        <family val="3"/>
        <charset val="134"/>
      </rPr>
      <t>斑鳍白姑鱼</t>
    </r>
  </si>
  <si>
    <r>
      <rPr>
        <sz val="11"/>
        <color indexed="8"/>
        <rFont val="宋体"/>
        <family val="3"/>
        <charset val="134"/>
      </rPr>
      <t>黄姑鱼</t>
    </r>
  </si>
  <si>
    <r>
      <rPr>
        <sz val="11"/>
        <color indexed="8"/>
        <rFont val="宋体"/>
        <family val="3"/>
        <charset val="134"/>
      </rPr>
      <t>元鼎黄姑鱼</t>
    </r>
  </si>
  <si>
    <r>
      <rPr>
        <sz val="11"/>
        <color indexed="8"/>
        <rFont val="宋体"/>
        <family val="3"/>
        <charset val="134"/>
      </rPr>
      <t>半花黄姑鱼</t>
    </r>
  </si>
  <si>
    <r>
      <rPr>
        <sz val="11"/>
        <color indexed="8"/>
        <rFont val="宋体"/>
        <family val="3"/>
        <charset val="134"/>
      </rPr>
      <t>黑缘黄姑鱼</t>
    </r>
  </si>
  <si>
    <r>
      <rPr>
        <sz val="11"/>
        <color indexed="8"/>
        <rFont val="宋体"/>
        <family val="3"/>
        <charset val="134"/>
      </rPr>
      <t>黑鳍副黄姑鱼</t>
    </r>
  </si>
  <si>
    <r>
      <rPr>
        <sz val="11"/>
        <color indexed="8"/>
        <rFont val="宋体"/>
        <family val="3"/>
        <charset val="134"/>
      </rPr>
      <t>双棘原黄姑鱼</t>
    </r>
  </si>
  <si>
    <r>
      <rPr>
        <sz val="11"/>
        <color indexed="8"/>
        <rFont val="宋体"/>
        <family val="3"/>
        <charset val="134"/>
      </rPr>
      <t>黑姑鱼</t>
    </r>
  </si>
  <si>
    <r>
      <rPr>
        <sz val="11"/>
        <color indexed="8"/>
        <rFont val="宋体"/>
        <family val="3"/>
        <charset val="134"/>
      </rPr>
      <t>棘头梅童鱼</t>
    </r>
  </si>
  <si>
    <r>
      <rPr>
        <sz val="11"/>
        <color indexed="8"/>
        <rFont val="宋体"/>
        <family val="3"/>
        <charset val="134"/>
      </rPr>
      <t>黑鳃梅童鱼</t>
    </r>
  </si>
  <si>
    <r>
      <rPr>
        <sz val="11"/>
        <color indexed="8"/>
        <rFont val="宋体"/>
        <family val="3"/>
        <charset val="134"/>
      </rPr>
      <t>鮸</t>
    </r>
  </si>
  <si>
    <r>
      <rPr>
        <sz val="11"/>
        <color indexed="8"/>
        <rFont val="宋体"/>
        <family val="3"/>
        <charset val="134"/>
      </rPr>
      <t>大黄鱼</t>
    </r>
  </si>
  <si>
    <r>
      <rPr>
        <sz val="11"/>
        <color indexed="8"/>
        <rFont val="宋体"/>
        <family val="3"/>
        <charset val="134"/>
      </rPr>
      <t>小黄鱼</t>
    </r>
  </si>
  <si>
    <r>
      <rPr>
        <sz val="11"/>
        <color indexed="8"/>
        <rFont val="宋体"/>
        <family val="3"/>
        <charset val="134"/>
      </rPr>
      <t>鲾科</t>
    </r>
  </si>
  <si>
    <r>
      <rPr>
        <sz val="11"/>
        <color indexed="8"/>
        <rFont val="宋体"/>
        <family val="3"/>
        <charset val="134"/>
      </rPr>
      <t>小牙鲾</t>
    </r>
  </si>
  <si>
    <r>
      <rPr>
        <sz val="11"/>
        <color indexed="8"/>
        <rFont val="宋体"/>
        <family val="3"/>
        <charset val="134"/>
      </rPr>
      <t>细纹鲾</t>
    </r>
  </si>
  <si>
    <r>
      <rPr>
        <sz val="11"/>
        <color indexed="8"/>
        <rFont val="宋体"/>
        <family val="3"/>
        <charset val="134"/>
      </rPr>
      <t>黄斑鲾</t>
    </r>
  </si>
  <si>
    <r>
      <rPr>
        <sz val="11"/>
        <color indexed="8"/>
        <rFont val="宋体"/>
        <family val="3"/>
        <charset val="134"/>
      </rPr>
      <t>短吻鲾</t>
    </r>
  </si>
  <si>
    <r>
      <rPr>
        <sz val="11"/>
        <color indexed="8"/>
        <rFont val="宋体"/>
        <family val="3"/>
        <charset val="134"/>
      </rPr>
      <t>黑斑鲾</t>
    </r>
  </si>
  <si>
    <r>
      <rPr>
        <sz val="11"/>
        <color indexed="8"/>
        <rFont val="宋体"/>
        <family val="3"/>
        <charset val="134"/>
      </rPr>
      <t>杜氏鲾</t>
    </r>
  </si>
  <si>
    <r>
      <rPr>
        <sz val="11"/>
        <color indexed="8"/>
        <rFont val="宋体"/>
        <family val="3"/>
        <charset val="134"/>
      </rPr>
      <t>长鲾</t>
    </r>
  </si>
  <si>
    <r>
      <rPr>
        <sz val="11"/>
        <color indexed="8"/>
        <rFont val="宋体"/>
        <family val="3"/>
        <charset val="134"/>
      </rPr>
      <t>短棘鲾</t>
    </r>
  </si>
  <si>
    <r>
      <rPr>
        <sz val="11"/>
        <color indexed="8"/>
        <rFont val="宋体"/>
        <family val="3"/>
        <charset val="134"/>
      </rPr>
      <t>长棘鲾</t>
    </r>
  </si>
  <si>
    <r>
      <rPr>
        <sz val="11"/>
        <color indexed="8"/>
        <rFont val="宋体"/>
        <family val="3"/>
        <charset val="134"/>
      </rPr>
      <t>曳丝鲾</t>
    </r>
  </si>
  <si>
    <r>
      <rPr>
        <sz val="11"/>
        <color indexed="8"/>
        <rFont val="宋体"/>
        <family val="3"/>
        <charset val="134"/>
      </rPr>
      <t>粗纹鲾</t>
    </r>
  </si>
  <si>
    <r>
      <rPr>
        <sz val="11"/>
        <color indexed="8"/>
        <rFont val="宋体"/>
        <family val="3"/>
        <charset val="134"/>
      </rPr>
      <t>颈带鲾</t>
    </r>
  </si>
  <si>
    <r>
      <rPr>
        <sz val="11"/>
        <color indexed="8"/>
        <rFont val="宋体"/>
        <family val="3"/>
        <charset val="134"/>
      </rPr>
      <t>条鲾</t>
    </r>
  </si>
  <si>
    <r>
      <rPr>
        <sz val="11"/>
        <color indexed="8"/>
        <rFont val="宋体"/>
        <family val="3"/>
        <charset val="134"/>
      </rPr>
      <t>黑边鲾</t>
    </r>
  </si>
  <si>
    <r>
      <rPr>
        <sz val="11"/>
        <color indexed="8"/>
        <rFont val="宋体"/>
        <family val="3"/>
        <charset val="134"/>
      </rPr>
      <t>静鲾</t>
    </r>
  </si>
  <si>
    <r>
      <rPr>
        <sz val="11"/>
        <color indexed="8"/>
        <rFont val="宋体"/>
        <family val="3"/>
        <charset val="134"/>
      </rPr>
      <t>鹿斑鲾</t>
    </r>
  </si>
  <si>
    <r>
      <rPr>
        <sz val="11"/>
        <color indexed="8"/>
        <rFont val="宋体"/>
        <family val="3"/>
        <charset val="134"/>
      </rPr>
      <t>拟鲉鲈科</t>
    </r>
  </si>
  <si>
    <r>
      <rPr>
        <sz val="11"/>
        <color indexed="8"/>
        <rFont val="宋体"/>
        <family val="3"/>
        <charset val="134"/>
      </rPr>
      <t>乌鲂科</t>
    </r>
  </si>
  <si>
    <r>
      <rPr>
        <sz val="11"/>
        <color indexed="8"/>
        <rFont val="宋体"/>
        <family val="3"/>
        <charset val="134"/>
      </rPr>
      <t>乌鲂科</t>
    </r>
  </si>
  <si>
    <r>
      <rPr>
        <sz val="11"/>
        <color indexed="8"/>
        <rFont val="宋体"/>
        <family val="3"/>
        <charset val="134"/>
      </rPr>
      <t>日本乌鲂</t>
    </r>
  </si>
  <si>
    <r>
      <rPr>
        <sz val="11"/>
        <color indexed="8"/>
        <rFont val="宋体"/>
        <family val="3"/>
        <charset val="134"/>
      </rPr>
      <t>银鲈科</t>
    </r>
  </si>
  <si>
    <r>
      <rPr>
        <sz val="11"/>
        <color indexed="8"/>
        <rFont val="宋体"/>
        <family val="3"/>
        <charset val="134"/>
      </rPr>
      <t>日本十棘银鲈</t>
    </r>
  </si>
  <si>
    <r>
      <rPr>
        <sz val="11"/>
        <color indexed="8"/>
        <rFont val="宋体"/>
        <family val="3"/>
        <charset val="134"/>
      </rPr>
      <t>短体银鲈</t>
    </r>
  </si>
  <si>
    <r>
      <rPr>
        <sz val="11"/>
        <color indexed="8"/>
        <rFont val="宋体"/>
        <family val="3"/>
        <charset val="134"/>
      </rPr>
      <t>长鳍银鲈</t>
    </r>
  </si>
  <si>
    <r>
      <rPr>
        <sz val="11"/>
        <color indexed="8"/>
        <rFont val="宋体"/>
        <family val="3"/>
        <charset val="134"/>
      </rPr>
      <t>素银鲈</t>
    </r>
  </si>
  <si>
    <r>
      <rPr>
        <sz val="11"/>
        <color indexed="8"/>
        <rFont val="宋体"/>
        <family val="3"/>
        <charset val="134"/>
      </rPr>
      <t>长棘银鲈</t>
    </r>
  </si>
  <si>
    <r>
      <rPr>
        <sz val="11"/>
        <color indexed="8"/>
        <rFont val="宋体"/>
        <family val="3"/>
        <charset val="134"/>
      </rPr>
      <t>短棘银鲈</t>
    </r>
  </si>
  <si>
    <r>
      <rPr>
        <sz val="11"/>
        <color indexed="8"/>
        <rFont val="宋体"/>
        <family val="3"/>
        <charset val="134"/>
      </rPr>
      <t>长体银鲈</t>
    </r>
  </si>
  <si>
    <r>
      <rPr>
        <sz val="11"/>
        <color indexed="8"/>
        <rFont val="宋体"/>
        <family val="3"/>
        <charset val="134"/>
      </rPr>
      <t>长圆银鲈</t>
    </r>
  </si>
  <si>
    <r>
      <rPr>
        <sz val="11"/>
        <color indexed="8"/>
        <rFont val="宋体"/>
        <family val="3"/>
        <charset val="134"/>
      </rPr>
      <t>红尾银鲈</t>
    </r>
  </si>
  <si>
    <r>
      <rPr>
        <sz val="11"/>
        <color indexed="8"/>
        <rFont val="宋体"/>
        <family val="3"/>
        <charset val="134"/>
      </rPr>
      <t>强棘银鲈</t>
    </r>
  </si>
  <si>
    <r>
      <rPr>
        <sz val="11"/>
        <color indexed="8"/>
        <rFont val="宋体"/>
        <family val="3"/>
        <charset val="134"/>
      </rPr>
      <t>五棘银鲈</t>
    </r>
  </si>
  <si>
    <r>
      <rPr>
        <sz val="11"/>
        <color indexed="8"/>
        <rFont val="宋体"/>
        <family val="3"/>
        <charset val="134"/>
      </rPr>
      <t>笛鲷科</t>
    </r>
  </si>
  <si>
    <r>
      <rPr>
        <sz val="11"/>
        <color indexed="8"/>
        <rFont val="宋体"/>
        <family val="3"/>
        <charset val="134"/>
      </rPr>
      <t>叉尾鲷</t>
    </r>
  </si>
  <si>
    <r>
      <rPr>
        <sz val="11"/>
        <color indexed="8"/>
        <rFont val="宋体"/>
        <family val="3"/>
        <charset val="134"/>
      </rPr>
      <t>莠色叉尾鲷</t>
    </r>
  </si>
  <si>
    <r>
      <rPr>
        <sz val="11"/>
        <color indexed="8"/>
        <rFont val="宋体"/>
        <family val="3"/>
        <charset val="134"/>
      </rPr>
      <t>绿短鳍鱼</t>
    </r>
  </si>
  <si>
    <r>
      <rPr>
        <sz val="11"/>
        <color indexed="8"/>
        <rFont val="宋体"/>
        <family val="3"/>
        <charset val="134"/>
      </rPr>
      <t>金带梅鲷</t>
    </r>
  </si>
  <si>
    <r>
      <rPr>
        <sz val="11"/>
        <color indexed="8"/>
        <rFont val="宋体"/>
        <family val="3"/>
        <charset val="134"/>
      </rPr>
      <t>褐梅鲷</t>
    </r>
  </si>
  <si>
    <r>
      <rPr>
        <sz val="11"/>
        <color indexed="8"/>
        <rFont val="宋体"/>
        <family val="3"/>
        <charset val="134"/>
      </rPr>
      <t>二带梅鲷</t>
    </r>
  </si>
  <si>
    <r>
      <rPr>
        <sz val="11"/>
        <color indexed="8"/>
        <rFont val="宋体"/>
        <family val="3"/>
        <charset val="134"/>
      </rPr>
      <t>黄梅鲷</t>
    </r>
  </si>
  <si>
    <r>
      <rPr>
        <sz val="11"/>
        <color indexed="8"/>
        <rFont val="宋体"/>
        <family val="3"/>
        <charset val="134"/>
      </rPr>
      <t>新月梅鲷</t>
    </r>
  </si>
  <si>
    <r>
      <rPr>
        <sz val="11"/>
        <color indexed="8"/>
        <rFont val="宋体"/>
        <family val="3"/>
        <charset val="134"/>
      </rPr>
      <t>长背梅鲷</t>
    </r>
  </si>
  <si>
    <r>
      <rPr>
        <sz val="11"/>
        <color indexed="8"/>
        <rFont val="宋体"/>
        <family val="3"/>
        <charset val="134"/>
      </rPr>
      <t>黄背梅鲷</t>
    </r>
  </si>
  <si>
    <r>
      <rPr>
        <sz val="11"/>
        <color indexed="8"/>
        <rFont val="宋体"/>
        <family val="3"/>
        <charset val="134"/>
      </rPr>
      <t>红钻鱼</t>
    </r>
  </si>
  <si>
    <r>
      <rPr>
        <sz val="11"/>
        <color indexed="8"/>
        <rFont val="宋体"/>
        <family val="3"/>
        <charset val="134"/>
      </rPr>
      <t>闪灼红钻鱼</t>
    </r>
  </si>
  <si>
    <r>
      <rPr>
        <sz val="11"/>
        <color indexed="8"/>
        <rFont val="宋体"/>
        <family val="3"/>
        <charset val="134"/>
      </rPr>
      <t>大口红钻鱼</t>
    </r>
  </si>
  <si>
    <r>
      <rPr>
        <sz val="11"/>
        <color indexed="8"/>
        <rFont val="宋体"/>
        <family val="3"/>
        <charset val="134"/>
      </rPr>
      <t>丝鳍笛鲷</t>
    </r>
  </si>
  <si>
    <r>
      <rPr>
        <sz val="11"/>
        <color indexed="8"/>
        <rFont val="宋体"/>
        <family val="3"/>
        <charset val="134"/>
      </rPr>
      <t>高额笛鲷</t>
    </r>
  </si>
  <si>
    <r>
      <rPr>
        <sz val="11"/>
        <color indexed="8"/>
        <rFont val="宋体"/>
        <family val="3"/>
        <charset val="134"/>
      </rPr>
      <t>紫红笛鲷</t>
    </r>
  </si>
  <si>
    <r>
      <rPr>
        <sz val="11"/>
        <color indexed="8"/>
        <rFont val="宋体"/>
        <family val="3"/>
        <charset val="134"/>
      </rPr>
      <t>白斑笛鲷</t>
    </r>
  </si>
  <si>
    <r>
      <rPr>
        <sz val="11"/>
        <color indexed="8"/>
        <rFont val="宋体"/>
        <family val="3"/>
        <charset val="134"/>
      </rPr>
      <t>蓝带笛鲷</t>
    </r>
  </si>
  <si>
    <r>
      <rPr>
        <sz val="11"/>
        <color indexed="8"/>
        <rFont val="宋体"/>
        <family val="3"/>
        <charset val="134"/>
      </rPr>
      <t>胸斑笛鲷</t>
    </r>
  </si>
  <si>
    <r>
      <rPr>
        <sz val="11"/>
        <color indexed="8"/>
        <rFont val="宋体"/>
        <family val="3"/>
        <charset val="134"/>
      </rPr>
      <t>菊条笛鲷</t>
    </r>
  </si>
  <si>
    <r>
      <rPr>
        <sz val="11"/>
        <color indexed="8"/>
        <rFont val="宋体"/>
        <family val="3"/>
        <charset val="134"/>
      </rPr>
      <t>交叉笛鲷</t>
    </r>
  </si>
  <si>
    <r>
      <rPr>
        <sz val="11"/>
        <color indexed="8"/>
        <rFont val="宋体"/>
        <family val="3"/>
        <charset val="134"/>
      </rPr>
      <t>十二棘笛鲷</t>
    </r>
  </si>
  <si>
    <r>
      <rPr>
        <sz val="11"/>
        <color indexed="8"/>
        <rFont val="宋体"/>
        <family val="3"/>
        <charset val="134"/>
      </rPr>
      <t>金焰笛鲷</t>
    </r>
  </si>
  <si>
    <r>
      <rPr>
        <sz val="11"/>
        <color indexed="8"/>
        <rFont val="宋体"/>
        <family val="3"/>
        <charset val="134"/>
      </rPr>
      <t>焦黄笛鲷</t>
    </r>
  </si>
  <si>
    <r>
      <rPr>
        <sz val="11"/>
        <color indexed="8"/>
        <rFont val="宋体"/>
        <family val="3"/>
        <charset val="134"/>
      </rPr>
      <t>驼背笛鲷</t>
    </r>
  </si>
  <si>
    <r>
      <rPr>
        <sz val="11"/>
        <color indexed="8"/>
        <rFont val="宋体"/>
        <family val="3"/>
        <charset val="134"/>
      </rPr>
      <t>约氏笛鲷</t>
    </r>
  </si>
  <si>
    <r>
      <rPr>
        <sz val="11"/>
        <color indexed="8"/>
        <rFont val="宋体"/>
        <family val="3"/>
        <charset val="134"/>
      </rPr>
      <t>四带笛鲷</t>
    </r>
  </si>
  <si>
    <r>
      <rPr>
        <sz val="11"/>
        <color indexed="8"/>
        <rFont val="宋体"/>
        <family val="3"/>
        <charset val="134"/>
      </rPr>
      <t>线纹笛鲷</t>
    </r>
  </si>
  <si>
    <r>
      <rPr>
        <sz val="11"/>
        <color indexed="8"/>
        <rFont val="宋体"/>
        <family val="3"/>
        <charset val="134"/>
      </rPr>
      <t>黄笛鲷</t>
    </r>
  </si>
  <si>
    <r>
      <rPr>
        <sz val="11"/>
        <color indexed="8"/>
        <rFont val="宋体"/>
        <family val="3"/>
        <charset val="134"/>
      </rPr>
      <t>单斑笛鲷</t>
    </r>
  </si>
  <si>
    <r>
      <rPr>
        <sz val="11"/>
        <color indexed="8"/>
        <rFont val="宋体"/>
        <family val="3"/>
        <charset val="134"/>
      </rPr>
      <t>五线笛鲷</t>
    </r>
  </si>
  <si>
    <r>
      <rPr>
        <sz val="11"/>
        <color indexed="8"/>
        <rFont val="宋体"/>
        <family val="3"/>
        <charset val="134"/>
      </rPr>
      <t>篮点笛鲷</t>
    </r>
  </si>
  <si>
    <r>
      <rPr>
        <sz val="11"/>
        <color indexed="8"/>
        <rFont val="宋体"/>
        <family val="3"/>
        <charset val="134"/>
      </rPr>
      <t>勒氏笛鲷</t>
    </r>
  </si>
  <si>
    <r>
      <rPr>
        <sz val="11"/>
        <color indexed="8"/>
        <rFont val="宋体"/>
        <family val="3"/>
        <charset val="134"/>
      </rPr>
      <t>红笛鲷</t>
    </r>
  </si>
  <si>
    <r>
      <rPr>
        <sz val="11"/>
        <color indexed="8"/>
        <rFont val="宋体"/>
        <family val="3"/>
        <charset val="134"/>
      </rPr>
      <t>千年笛鲷</t>
    </r>
  </si>
  <si>
    <r>
      <rPr>
        <sz val="11"/>
        <color indexed="8"/>
        <rFont val="宋体"/>
        <family val="3"/>
        <charset val="134"/>
      </rPr>
      <t>五带笛鲷</t>
    </r>
  </si>
  <si>
    <r>
      <rPr>
        <sz val="11"/>
        <color indexed="8"/>
        <rFont val="宋体"/>
        <family val="3"/>
        <charset val="134"/>
      </rPr>
      <t>白星笛鲷</t>
    </r>
  </si>
  <si>
    <r>
      <rPr>
        <sz val="11"/>
        <color indexed="8"/>
        <rFont val="宋体"/>
        <family val="3"/>
        <charset val="134"/>
      </rPr>
      <t>金带笛鲷</t>
    </r>
  </si>
  <si>
    <r>
      <rPr>
        <sz val="11"/>
        <color indexed="8"/>
        <rFont val="宋体"/>
        <family val="3"/>
        <charset val="134"/>
      </rPr>
      <t>画眉笛鲷</t>
    </r>
  </si>
  <si>
    <r>
      <rPr>
        <sz val="11"/>
        <color indexed="8"/>
        <rFont val="宋体"/>
        <family val="3"/>
        <charset val="134"/>
      </rPr>
      <t>黑羽鳃笛鲷</t>
    </r>
  </si>
  <si>
    <r>
      <rPr>
        <sz val="11"/>
        <color indexed="8"/>
        <rFont val="宋体"/>
        <family val="3"/>
        <charset val="134"/>
      </rPr>
      <t>蓝若梅鲷</t>
    </r>
  </si>
  <si>
    <r>
      <rPr>
        <sz val="11"/>
        <color indexed="8"/>
        <rFont val="宋体"/>
        <family val="3"/>
        <charset val="134"/>
      </rPr>
      <t>草下若梅鲷</t>
    </r>
  </si>
  <si>
    <r>
      <rPr>
        <sz val="11"/>
        <color indexed="8"/>
        <rFont val="宋体"/>
        <family val="3"/>
        <charset val="134"/>
      </rPr>
      <t>若梅鲷</t>
    </r>
  </si>
  <si>
    <r>
      <rPr>
        <sz val="11"/>
        <color indexed="8"/>
        <rFont val="宋体"/>
        <family val="3"/>
        <charset val="134"/>
      </rPr>
      <t>斜鳞鲷</t>
    </r>
  </si>
  <si>
    <r>
      <rPr>
        <sz val="11"/>
        <color indexed="8"/>
        <rFont val="宋体"/>
        <family val="3"/>
        <charset val="134"/>
      </rPr>
      <t>黄尾紫鱼</t>
    </r>
  </si>
  <si>
    <r>
      <rPr>
        <sz val="11"/>
        <color indexed="8"/>
        <rFont val="宋体"/>
        <family val="3"/>
        <charset val="134"/>
      </rPr>
      <t>丝鳍紫鱼</t>
    </r>
  </si>
  <si>
    <r>
      <rPr>
        <sz val="11"/>
        <color indexed="8"/>
        <rFont val="宋体"/>
        <family val="3"/>
        <charset val="134"/>
      </rPr>
      <t>黄鳍紫鱼</t>
    </r>
  </si>
  <si>
    <r>
      <rPr>
        <sz val="11"/>
        <color indexed="8"/>
        <rFont val="宋体"/>
        <family val="3"/>
        <charset val="134"/>
      </rPr>
      <t>细鳞紫鱼</t>
    </r>
  </si>
  <si>
    <r>
      <rPr>
        <sz val="11"/>
        <color indexed="8"/>
        <rFont val="宋体"/>
        <family val="3"/>
        <charset val="134"/>
      </rPr>
      <t>纹面紫鱼</t>
    </r>
  </si>
  <si>
    <r>
      <rPr>
        <sz val="11"/>
        <color indexed="8"/>
        <rFont val="宋体"/>
        <family val="3"/>
        <charset val="134"/>
      </rPr>
      <t>舌齿紫鱼</t>
    </r>
  </si>
  <si>
    <r>
      <rPr>
        <sz val="11"/>
        <color indexed="8"/>
        <rFont val="宋体"/>
        <family val="3"/>
        <charset val="134"/>
      </rPr>
      <t>紫鱼</t>
    </r>
  </si>
  <si>
    <r>
      <rPr>
        <sz val="11"/>
        <color indexed="8"/>
        <rFont val="宋体"/>
        <family val="3"/>
        <charset val="134"/>
      </rPr>
      <t>长鳍笛鲷</t>
    </r>
  </si>
  <si>
    <r>
      <rPr>
        <sz val="11"/>
        <color indexed="8"/>
        <rFont val="宋体"/>
        <family val="3"/>
        <charset val="134"/>
      </rPr>
      <t>黄唇笛鲷</t>
    </r>
  </si>
  <si>
    <r>
      <rPr>
        <sz val="11"/>
        <color indexed="8"/>
        <rFont val="宋体"/>
        <family val="3"/>
        <charset val="134"/>
      </rPr>
      <t>花笛鲷</t>
    </r>
  </si>
  <si>
    <r>
      <rPr>
        <sz val="11"/>
        <color indexed="8"/>
        <rFont val="宋体"/>
        <family val="3"/>
        <charset val="134"/>
      </rPr>
      <t>横带花笛鲷</t>
    </r>
  </si>
  <si>
    <r>
      <rPr>
        <sz val="11"/>
        <color indexed="8"/>
        <rFont val="宋体"/>
        <family val="3"/>
        <charset val="134"/>
      </rPr>
      <t>裸颊鲷科</t>
    </r>
  </si>
  <si>
    <r>
      <rPr>
        <sz val="11"/>
        <color indexed="8"/>
        <rFont val="宋体"/>
        <family val="3"/>
        <charset val="134"/>
      </rPr>
      <t>红鳍裸颊鲷</t>
    </r>
  </si>
  <si>
    <r>
      <rPr>
        <sz val="11"/>
        <color indexed="8"/>
        <rFont val="宋体"/>
        <family val="3"/>
        <charset val="134"/>
      </rPr>
      <t>单斑裸颊鲷</t>
    </r>
  </si>
  <si>
    <r>
      <rPr>
        <sz val="11"/>
        <color indexed="8"/>
        <rFont val="宋体"/>
        <family val="3"/>
        <charset val="134"/>
      </rPr>
      <t>丽鳍裸颊鲷</t>
    </r>
  </si>
  <si>
    <r>
      <rPr>
        <sz val="11"/>
        <color indexed="8"/>
        <rFont val="宋体"/>
        <family val="3"/>
        <charset val="134"/>
      </rPr>
      <t>纵带裸颊鲷</t>
    </r>
  </si>
  <si>
    <r>
      <rPr>
        <sz val="11"/>
        <color indexed="8"/>
        <rFont val="宋体"/>
        <family val="3"/>
        <charset val="134"/>
      </rPr>
      <t>白点裸颊鲷</t>
    </r>
  </si>
  <si>
    <r>
      <rPr>
        <sz val="11"/>
        <color indexed="8"/>
        <rFont val="宋体"/>
        <family val="3"/>
        <charset val="134"/>
      </rPr>
      <t>长吻裸颊鲷</t>
    </r>
  </si>
  <si>
    <r>
      <rPr>
        <sz val="11"/>
        <color indexed="8"/>
        <rFont val="宋体"/>
        <family val="3"/>
        <charset val="134"/>
      </rPr>
      <t>星斑裸颊鲷</t>
    </r>
  </si>
  <si>
    <r>
      <rPr>
        <sz val="11"/>
        <color indexed="8"/>
        <rFont val="宋体"/>
        <family val="3"/>
        <charset val="134"/>
      </rPr>
      <t>丝棘裸颊鲷</t>
    </r>
  </si>
  <si>
    <r>
      <rPr>
        <sz val="11"/>
        <color indexed="8"/>
        <rFont val="宋体"/>
        <family val="3"/>
        <charset val="134"/>
      </rPr>
      <t>短吻裸颊鲷</t>
    </r>
  </si>
  <si>
    <r>
      <rPr>
        <sz val="11"/>
        <color indexed="8"/>
        <rFont val="宋体"/>
        <family val="3"/>
        <charset val="134"/>
      </rPr>
      <t>黑斑裸颊鲷</t>
    </r>
  </si>
  <si>
    <r>
      <rPr>
        <sz val="11"/>
        <color indexed="8"/>
        <rFont val="宋体"/>
        <family val="3"/>
        <charset val="134"/>
      </rPr>
      <t>红鳃裸颊鲷</t>
    </r>
  </si>
  <si>
    <r>
      <rPr>
        <sz val="11"/>
        <color indexed="8"/>
        <rFont val="宋体"/>
        <family val="3"/>
        <charset val="134"/>
      </rPr>
      <t>长身裸颊鲷</t>
    </r>
  </si>
  <si>
    <r>
      <rPr>
        <sz val="11"/>
        <color indexed="8"/>
        <rFont val="宋体"/>
        <family val="3"/>
        <charset val="134"/>
      </rPr>
      <t>杂色裸颊鲷</t>
    </r>
  </si>
  <si>
    <r>
      <rPr>
        <sz val="11"/>
        <color indexed="8"/>
        <rFont val="宋体"/>
        <family val="3"/>
        <charset val="134"/>
      </rPr>
      <t>黄唇裸颊鲷</t>
    </r>
  </si>
  <si>
    <r>
      <rPr>
        <sz val="11"/>
        <color indexed="8"/>
        <rFont val="宋体"/>
        <family val="3"/>
        <charset val="134"/>
      </rPr>
      <t>莫桑比克裸颊鲷</t>
    </r>
  </si>
  <si>
    <r>
      <rPr>
        <sz val="11"/>
        <color indexed="8"/>
        <rFont val="宋体"/>
        <family val="3"/>
        <charset val="134"/>
      </rPr>
      <t>鲷科</t>
    </r>
  </si>
  <si>
    <r>
      <rPr>
        <sz val="11"/>
        <color indexed="8"/>
        <rFont val="宋体"/>
        <family val="3"/>
        <charset val="134"/>
      </rPr>
      <t>四长棘鲷</t>
    </r>
  </si>
  <si>
    <r>
      <rPr>
        <sz val="11"/>
        <color indexed="8"/>
        <rFont val="宋体"/>
        <family val="3"/>
        <charset val="134"/>
      </rPr>
      <t>犁齿鲷</t>
    </r>
  </si>
  <si>
    <r>
      <rPr>
        <sz val="11"/>
        <color indexed="8"/>
        <rFont val="宋体"/>
        <family val="3"/>
        <charset val="134"/>
      </rPr>
      <t>单列齿鲷</t>
    </r>
  </si>
  <si>
    <r>
      <rPr>
        <sz val="11"/>
        <color indexed="8"/>
        <rFont val="宋体"/>
        <family val="3"/>
        <charset val="134"/>
      </rPr>
      <t>真鲷</t>
    </r>
  </si>
  <si>
    <r>
      <rPr>
        <sz val="11"/>
        <color indexed="8"/>
        <rFont val="宋体"/>
        <family val="3"/>
        <charset val="134"/>
      </rPr>
      <t>二长棘鲷</t>
    </r>
  </si>
  <si>
    <r>
      <rPr>
        <sz val="11"/>
        <color indexed="8"/>
        <rFont val="宋体"/>
        <family val="3"/>
        <charset val="134"/>
      </rPr>
      <t>平鲷</t>
    </r>
  </si>
  <si>
    <r>
      <rPr>
        <sz val="11"/>
        <color indexed="8"/>
        <rFont val="宋体"/>
        <family val="3"/>
        <charset val="134"/>
      </rPr>
      <t>灰鳍鲷</t>
    </r>
  </si>
  <si>
    <r>
      <rPr>
        <sz val="11"/>
        <color indexed="8"/>
        <rFont val="宋体"/>
        <family val="3"/>
        <charset val="134"/>
      </rPr>
      <t>黄鳍鲷</t>
    </r>
  </si>
  <si>
    <r>
      <rPr>
        <sz val="11"/>
        <color indexed="8"/>
        <rFont val="宋体"/>
        <family val="3"/>
        <charset val="134"/>
      </rPr>
      <t>黑鲷</t>
    </r>
  </si>
  <si>
    <r>
      <rPr>
        <sz val="11"/>
        <color indexed="8"/>
        <rFont val="宋体"/>
        <family val="3"/>
        <charset val="134"/>
      </rPr>
      <t>黄鲷</t>
    </r>
  </si>
  <si>
    <r>
      <rPr>
        <sz val="11"/>
        <color indexed="8"/>
        <rFont val="宋体"/>
        <family val="3"/>
        <charset val="134"/>
      </rPr>
      <t>金线鱼科</t>
    </r>
  </si>
  <si>
    <r>
      <rPr>
        <sz val="11"/>
        <color indexed="8"/>
        <rFont val="宋体"/>
        <family val="3"/>
        <charset val="134"/>
      </rPr>
      <t>赤黄金线鱼</t>
    </r>
  </si>
  <si>
    <r>
      <rPr>
        <sz val="11"/>
        <color indexed="8"/>
        <rFont val="宋体"/>
        <family val="3"/>
        <charset val="134"/>
      </rPr>
      <t>深水金线鱼</t>
    </r>
  </si>
  <si>
    <r>
      <rPr>
        <sz val="11"/>
        <color indexed="8"/>
        <rFont val="宋体"/>
        <family val="3"/>
        <charset val="134"/>
      </rPr>
      <t>六带金线鱼</t>
    </r>
  </si>
  <si>
    <r>
      <rPr>
        <sz val="11"/>
        <color indexed="8"/>
        <rFont val="宋体"/>
        <family val="3"/>
        <charset val="134"/>
      </rPr>
      <t>六齿金线鱼</t>
    </r>
  </si>
  <si>
    <r>
      <rPr>
        <sz val="11"/>
        <color indexed="8"/>
        <rFont val="宋体"/>
        <family val="3"/>
        <charset val="134"/>
      </rPr>
      <t>日本金线鱼</t>
    </r>
  </si>
  <si>
    <r>
      <rPr>
        <sz val="11"/>
        <color indexed="8"/>
        <rFont val="宋体"/>
        <family val="3"/>
        <charset val="134"/>
      </rPr>
      <t>双带金线鱼</t>
    </r>
  </si>
  <si>
    <r>
      <rPr>
        <sz val="11"/>
        <color indexed="8"/>
        <rFont val="宋体"/>
        <family val="3"/>
        <charset val="134"/>
      </rPr>
      <t>丝背金线鱼</t>
    </r>
  </si>
  <si>
    <r>
      <rPr>
        <sz val="11"/>
        <color indexed="8"/>
        <rFont val="宋体"/>
        <family val="3"/>
        <charset val="134"/>
      </rPr>
      <t>横斑金线鱼</t>
    </r>
  </si>
  <si>
    <r>
      <rPr>
        <sz val="11"/>
        <color indexed="8"/>
        <rFont val="宋体"/>
        <family val="3"/>
        <charset val="134"/>
      </rPr>
      <t>裴氏金线鱼</t>
    </r>
  </si>
  <si>
    <r>
      <rPr>
        <sz val="11"/>
        <color indexed="8"/>
        <rFont val="宋体"/>
        <family val="3"/>
        <charset val="134"/>
      </rPr>
      <t>黄缘金线鱼</t>
    </r>
  </si>
  <si>
    <r>
      <rPr>
        <sz val="11"/>
        <color indexed="8"/>
        <rFont val="宋体"/>
        <family val="3"/>
        <charset val="134"/>
      </rPr>
      <t>波鳍金线鱼</t>
    </r>
  </si>
  <si>
    <r>
      <rPr>
        <sz val="11"/>
        <color indexed="8"/>
        <rFont val="宋体"/>
        <family val="3"/>
        <charset val="134"/>
      </rPr>
      <t>金线鱼</t>
    </r>
  </si>
  <si>
    <r>
      <rPr>
        <sz val="11"/>
        <color indexed="8"/>
        <rFont val="宋体"/>
        <family val="3"/>
        <charset val="134"/>
      </rPr>
      <t>姬金线鱼</t>
    </r>
  </si>
  <si>
    <r>
      <rPr>
        <sz val="11"/>
        <color indexed="8"/>
        <rFont val="宋体"/>
        <family val="3"/>
        <charset val="134"/>
      </rPr>
      <t>锥齿鲷科</t>
    </r>
  </si>
  <si>
    <r>
      <rPr>
        <sz val="11"/>
        <color indexed="8"/>
        <rFont val="宋体"/>
        <family val="3"/>
        <charset val="134"/>
      </rPr>
      <t>金带齿颌鲷</t>
    </r>
  </si>
  <si>
    <r>
      <rPr>
        <sz val="11"/>
        <color indexed="8"/>
        <rFont val="宋体"/>
        <family val="3"/>
        <charset val="134"/>
      </rPr>
      <t>灰裸顶鲷</t>
    </r>
  </si>
  <si>
    <r>
      <rPr>
        <sz val="11"/>
        <color indexed="8"/>
        <rFont val="宋体"/>
        <family val="3"/>
        <charset val="134"/>
      </rPr>
      <t>长尾锥齿鲷</t>
    </r>
  </si>
  <si>
    <r>
      <rPr>
        <sz val="11"/>
        <color indexed="8"/>
        <rFont val="宋体"/>
        <family val="3"/>
        <charset val="134"/>
      </rPr>
      <t>长崎锥齿鲷</t>
    </r>
  </si>
  <si>
    <r>
      <rPr>
        <sz val="11"/>
        <color indexed="8"/>
        <rFont val="宋体"/>
        <family val="3"/>
        <charset val="134"/>
      </rPr>
      <t>线尾锥齿鲷</t>
    </r>
  </si>
  <si>
    <r>
      <rPr>
        <sz val="11"/>
        <color indexed="8"/>
        <rFont val="宋体"/>
        <family val="3"/>
        <charset val="134"/>
      </rPr>
      <t>眶棘鲈科</t>
    </r>
  </si>
  <si>
    <r>
      <rPr>
        <sz val="11"/>
        <color indexed="8"/>
        <rFont val="宋体"/>
        <family val="3"/>
        <charset val="134"/>
      </rPr>
      <t>红拟眶棘鲈</t>
    </r>
  </si>
  <si>
    <r>
      <rPr>
        <sz val="11"/>
        <color indexed="8"/>
        <rFont val="宋体"/>
        <family val="3"/>
        <charset val="134"/>
      </rPr>
      <t>横带拟眶棘鲈</t>
    </r>
  </si>
  <si>
    <r>
      <rPr>
        <sz val="11"/>
        <color indexed="8"/>
        <rFont val="宋体"/>
        <family val="3"/>
        <charset val="134"/>
      </rPr>
      <t>相似眶棘鲈</t>
    </r>
  </si>
  <si>
    <r>
      <rPr>
        <sz val="11"/>
        <color indexed="8"/>
        <rFont val="宋体"/>
        <family val="3"/>
        <charset val="134"/>
      </rPr>
      <t>双线眶棘鲈</t>
    </r>
  </si>
  <si>
    <r>
      <rPr>
        <sz val="11"/>
        <color indexed="8"/>
        <rFont val="宋体"/>
        <family val="3"/>
        <charset val="134"/>
      </rPr>
      <t>双斑眶棘鲈</t>
    </r>
  </si>
  <si>
    <r>
      <rPr>
        <sz val="11"/>
        <color indexed="8"/>
        <rFont val="宋体"/>
        <family val="3"/>
        <charset val="134"/>
      </rPr>
      <t>栅纹眶棘鲈</t>
    </r>
  </si>
  <si>
    <r>
      <rPr>
        <sz val="11"/>
        <color indexed="8"/>
        <rFont val="宋体"/>
        <family val="3"/>
        <charset val="134"/>
      </rPr>
      <t>齿颌眶棘鲈</t>
    </r>
  </si>
  <si>
    <r>
      <rPr>
        <sz val="11"/>
        <color indexed="8"/>
        <rFont val="宋体"/>
        <family val="3"/>
        <charset val="134"/>
      </rPr>
      <t>弱眶棘鲈</t>
    </r>
  </si>
  <si>
    <r>
      <rPr>
        <sz val="11"/>
        <color indexed="8"/>
        <rFont val="宋体"/>
        <family val="3"/>
        <charset val="134"/>
      </rPr>
      <t>横带眶棘鲈</t>
    </r>
  </si>
  <si>
    <r>
      <rPr>
        <sz val="11"/>
        <color indexed="8"/>
        <rFont val="宋体"/>
        <family val="3"/>
        <charset val="134"/>
      </rPr>
      <t>线眶棘鲈</t>
    </r>
  </si>
  <si>
    <r>
      <rPr>
        <sz val="11"/>
        <color indexed="8"/>
        <rFont val="宋体"/>
        <family val="3"/>
        <charset val="134"/>
      </rPr>
      <t>珠斑眶棘鲈</t>
    </r>
  </si>
  <si>
    <r>
      <rPr>
        <sz val="11"/>
        <color indexed="8"/>
        <rFont val="宋体"/>
        <family val="3"/>
        <charset val="134"/>
      </rPr>
      <t>黑带眶棘鲈</t>
    </r>
  </si>
  <si>
    <r>
      <rPr>
        <sz val="11"/>
        <color indexed="8"/>
        <rFont val="宋体"/>
        <family val="3"/>
        <charset val="134"/>
      </rPr>
      <t>条纹眶棘鲈</t>
    </r>
  </si>
  <si>
    <r>
      <rPr>
        <sz val="11"/>
        <color indexed="8"/>
        <rFont val="宋体"/>
        <family val="3"/>
        <charset val="134"/>
      </rPr>
      <t>伏氏眶棘鲈</t>
    </r>
  </si>
  <si>
    <r>
      <rPr>
        <sz val="11"/>
        <color indexed="8"/>
        <rFont val="宋体"/>
        <family val="3"/>
        <charset val="134"/>
      </rPr>
      <t>榄斑眶棘鲈</t>
    </r>
  </si>
  <si>
    <r>
      <rPr>
        <sz val="11"/>
        <color indexed="8"/>
        <rFont val="宋体"/>
        <family val="3"/>
        <charset val="134"/>
      </rPr>
      <t>石鲈科</t>
    </r>
  </si>
  <si>
    <r>
      <rPr>
        <sz val="11"/>
        <color indexed="8"/>
        <rFont val="宋体"/>
        <family val="3"/>
        <charset val="134"/>
      </rPr>
      <t>纵带髭鲷</t>
    </r>
  </si>
  <si>
    <r>
      <rPr>
        <sz val="11"/>
        <color indexed="8"/>
        <rFont val="宋体"/>
        <family val="3"/>
        <charset val="134"/>
      </rPr>
      <t>横带髭鲷</t>
    </r>
  </si>
  <si>
    <r>
      <rPr>
        <sz val="11"/>
        <color indexed="8"/>
        <rFont val="宋体"/>
        <family val="3"/>
        <charset val="134"/>
      </rPr>
      <t>斜带髭鲷</t>
    </r>
  </si>
  <si>
    <r>
      <rPr>
        <sz val="11"/>
        <color indexed="8"/>
        <rFont val="宋体"/>
        <family val="3"/>
        <charset val="134"/>
      </rPr>
      <t>三线矶鲈</t>
    </r>
  </si>
  <si>
    <r>
      <rPr>
        <sz val="11"/>
        <color indexed="8"/>
        <rFont val="宋体"/>
        <family val="3"/>
        <charset val="134"/>
      </rPr>
      <t>西利伯胡椒鲷</t>
    </r>
  </si>
  <si>
    <r>
      <rPr>
        <sz val="11"/>
        <color indexed="8"/>
        <rFont val="宋体"/>
        <family val="3"/>
        <charset val="134"/>
      </rPr>
      <t>斑胡椒鲷</t>
    </r>
  </si>
  <si>
    <r>
      <rPr>
        <sz val="11"/>
        <color indexed="8"/>
        <rFont val="宋体"/>
        <family val="3"/>
        <charset val="134"/>
      </rPr>
      <t>花尾胡椒鲷</t>
    </r>
  </si>
  <si>
    <r>
      <rPr>
        <sz val="11"/>
        <color indexed="8"/>
        <rFont val="宋体"/>
        <family val="3"/>
        <charset val="134"/>
      </rPr>
      <t>四带胡椒鲷</t>
    </r>
  </si>
  <si>
    <r>
      <rPr>
        <sz val="11"/>
        <color indexed="8"/>
        <rFont val="宋体"/>
        <family val="3"/>
        <charset val="134"/>
      </rPr>
      <t>黄斑胡椒鲷</t>
    </r>
  </si>
  <si>
    <r>
      <rPr>
        <sz val="11"/>
        <color indexed="8"/>
        <rFont val="宋体"/>
        <family val="3"/>
        <charset val="134"/>
      </rPr>
      <t>黄带胡椒鲷</t>
    </r>
  </si>
  <si>
    <r>
      <rPr>
        <sz val="11"/>
        <color indexed="8"/>
        <rFont val="宋体"/>
        <family val="3"/>
        <charset val="134"/>
      </rPr>
      <t>斜纹胡椒鲷</t>
    </r>
  </si>
  <si>
    <r>
      <rPr>
        <sz val="11"/>
        <color indexed="8"/>
        <rFont val="宋体"/>
        <family val="3"/>
        <charset val="134"/>
      </rPr>
      <t>条纹胡椒鲷</t>
    </r>
  </si>
  <si>
    <r>
      <rPr>
        <sz val="11"/>
        <color indexed="8"/>
        <rFont val="宋体"/>
        <family val="3"/>
        <charset val="134"/>
      </rPr>
      <t>黑胡椒鲷</t>
    </r>
  </si>
  <si>
    <r>
      <rPr>
        <sz val="11"/>
        <color indexed="8"/>
        <rFont val="宋体"/>
        <family val="3"/>
        <charset val="134"/>
      </rPr>
      <t>东方胡椒鲷</t>
    </r>
  </si>
  <si>
    <r>
      <rPr>
        <sz val="11"/>
        <color indexed="8"/>
        <rFont val="宋体"/>
        <family val="3"/>
        <charset val="134"/>
      </rPr>
      <t>胡椒鲷</t>
    </r>
  </si>
  <si>
    <r>
      <rPr>
        <sz val="11"/>
        <color indexed="8"/>
        <rFont val="宋体"/>
        <family val="3"/>
        <charset val="134"/>
      </rPr>
      <t>密点胡椒鲷</t>
    </r>
  </si>
  <si>
    <r>
      <rPr>
        <sz val="11"/>
        <color indexed="8"/>
        <rFont val="宋体"/>
        <family val="3"/>
        <charset val="134"/>
      </rPr>
      <t>网纹胡椒鲷</t>
    </r>
  </si>
  <si>
    <r>
      <rPr>
        <sz val="11"/>
        <color indexed="8"/>
        <rFont val="宋体"/>
        <family val="3"/>
        <charset val="134"/>
      </rPr>
      <t>灰胡椒鲷</t>
    </r>
  </si>
  <si>
    <r>
      <rPr>
        <sz val="11"/>
        <color indexed="8"/>
        <rFont val="宋体"/>
        <family val="3"/>
        <charset val="134"/>
      </rPr>
      <t>中华胡椒鲷</t>
    </r>
  </si>
  <si>
    <r>
      <rPr>
        <sz val="11"/>
        <color indexed="8"/>
        <rFont val="宋体"/>
        <family val="3"/>
        <charset val="134"/>
      </rPr>
      <t>银石鲈</t>
    </r>
  </si>
  <si>
    <r>
      <rPr>
        <sz val="11"/>
        <color indexed="8"/>
        <rFont val="宋体"/>
        <family val="3"/>
        <charset val="134"/>
      </rPr>
      <t>赤笔石鲈</t>
    </r>
  </si>
  <si>
    <r>
      <rPr>
        <sz val="11"/>
        <color indexed="8"/>
        <rFont val="宋体"/>
        <family val="3"/>
        <charset val="134"/>
      </rPr>
      <t>鳃斑石鲈</t>
    </r>
  </si>
  <si>
    <r>
      <rPr>
        <sz val="11"/>
        <color indexed="8"/>
        <rFont val="宋体"/>
        <family val="3"/>
        <charset val="134"/>
      </rPr>
      <t>断斑石鲈</t>
    </r>
  </si>
  <si>
    <r>
      <rPr>
        <sz val="11"/>
        <color indexed="8"/>
        <rFont val="宋体"/>
        <family val="3"/>
        <charset val="134"/>
      </rPr>
      <t>大斑石鲈</t>
    </r>
  </si>
  <si>
    <r>
      <rPr>
        <sz val="11"/>
        <color indexed="8"/>
        <rFont val="宋体"/>
        <family val="3"/>
        <charset val="134"/>
      </rPr>
      <t>单斑石鲈</t>
    </r>
  </si>
  <si>
    <r>
      <rPr>
        <sz val="11"/>
        <color indexed="8"/>
        <rFont val="宋体"/>
        <family val="3"/>
        <charset val="134"/>
      </rPr>
      <t>谐鱼科</t>
    </r>
  </si>
  <si>
    <r>
      <rPr>
        <sz val="11"/>
        <color indexed="8"/>
        <rFont val="宋体"/>
        <family val="3"/>
        <charset val="134"/>
      </rPr>
      <t>鯻科</t>
    </r>
  </si>
  <si>
    <r>
      <rPr>
        <sz val="11"/>
        <color indexed="8"/>
        <rFont val="宋体"/>
        <family val="3"/>
        <charset val="134"/>
      </rPr>
      <t>清澜叉牙鯻</t>
    </r>
  </si>
  <si>
    <r>
      <rPr>
        <sz val="11"/>
        <color indexed="8"/>
        <rFont val="宋体"/>
        <family val="3"/>
        <charset val="134"/>
      </rPr>
      <t>叉牙鯻</t>
    </r>
  </si>
  <si>
    <r>
      <rPr>
        <sz val="11"/>
        <color indexed="8"/>
        <rFont val="宋体"/>
        <family val="3"/>
        <charset val="134"/>
      </rPr>
      <t>列牙鯻</t>
    </r>
  </si>
  <si>
    <r>
      <rPr>
        <sz val="11"/>
        <color indexed="8"/>
        <rFont val="宋体"/>
        <family val="3"/>
        <charset val="134"/>
      </rPr>
      <t>细鳞鯻</t>
    </r>
  </si>
  <si>
    <r>
      <rPr>
        <sz val="11"/>
        <color indexed="8"/>
        <rFont val="宋体"/>
        <family val="3"/>
        <charset val="134"/>
      </rPr>
      <t>尖吻鯻</t>
    </r>
  </si>
  <si>
    <r>
      <rPr>
        <sz val="11"/>
        <color indexed="8"/>
        <rFont val="宋体"/>
        <family val="3"/>
        <charset val="134"/>
      </rPr>
      <t>鯻</t>
    </r>
  </si>
  <si>
    <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</si>
  <si>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南方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</si>
  <si>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</si>
  <si>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短鳍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鱼舵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</si>
  <si>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魢科</t>
    </r>
  </si>
  <si>
    <r>
      <rPr>
        <sz val="11"/>
        <color indexed="8"/>
        <rFont val="宋体"/>
        <family val="3"/>
        <charset val="134"/>
      </rPr>
      <t>黑魢</t>
    </r>
  </si>
  <si>
    <r>
      <rPr>
        <sz val="11"/>
        <color indexed="8"/>
        <rFont val="宋体"/>
        <family val="3"/>
        <charset val="134"/>
      </rPr>
      <t>黄带魢</t>
    </r>
  </si>
  <si>
    <r>
      <rPr>
        <sz val="11"/>
        <color indexed="8"/>
        <rFont val="宋体"/>
        <family val="3"/>
        <charset val="134"/>
      </rPr>
      <t>魢</t>
    </r>
  </si>
  <si>
    <r>
      <rPr>
        <sz val="11"/>
        <color indexed="8"/>
        <rFont val="宋体"/>
        <family val="3"/>
        <charset val="134"/>
      </rPr>
      <t>羊鱼科</t>
    </r>
  </si>
  <si>
    <r>
      <rPr>
        <sz val="11"/>
        <color indexed="8"/>
        <rFont val="宋体"/>
        <family val="3"/>
        <charset val="134"/>
      </rPr>
      <t>金带拟羊鱼</t>
    </r>
  </si>
  <si>
    <r>
      <rPr>
        <sz val="11"/>
        <color indexed="8"/>
        <rFont val="宋体"/>
        <family val="3"/>
        <charset val="134"/>
      </rPr>
      <t>黄线拟羊鱼</t>
    </r>
  </si>
  <si>
    <r>
      <rPr>
        <sz val="11"/>
        <color indexed="8"/>
        <rFont val="宋体"/>
        <family val="3"/>
        <charset val="134"/>
      </rPr>
      <t>红背拟羊鱼</t>
    </r>
  </si>
  <si>
    <r>
      <rPr>
        <sz val="11"/>
        <color indexed="8"/>
        <rFont val="宋体"/>
        <family val="3"/>
        <charset val="134"/>
      </rPr>
      <t>斑带拟羊鱼</t>
    </r>
  </si>
  <si>
    <r>
      <rPr>
        <sz val="11"/>
        <color indexed="8"/>
        <rFont val="宋体"/>
        <family val="3"/>
        <charset val="134"/>
      </rPr>
      <t>无斑拟羊鱼</t>
    </r>
  </si>
  <si>
    <r>
      <rPr>
        <sz val="11"/>
        <color indexed="8"/>
        <rFont val="宋体"/>
        <family val="3"/>
        <charset val="134"/>
      </rPr>
      <t>拟单带副绯鲤</t>
    </r>
  </si>
  <si>
    <r>
      <rPr>
        <sz val="11"/>
        <color indexed="8"/>
        <rFont val="宋体"/>
        <family val="3"/>
        <charset val="134"/>
      </rPr>
      <t>条斑副绯鲤</t>
    </r>
  </si>
  <si>
    <r>
      <rPr>
        <sz val="11"/>
        <color indexed="8"/>
        <rFont val="宋体"/>
        <family val="3"/>
        <charset val="134"/>
      </rPr>
      <t>二带副绯鲤</t>
    </r>
  </si>
  <si>
    <r>
      <rPr>
        <sz val="11"/>
        <color indexed="8"/>
        <rFont val="宋体"/>
        <family val="3"/>
        <charset val="134"/>
      </rPr>
      <t>头带副绯鲤</t>
    </r>
  </si>
  <si>
    <r>
      <rPr>
        <sz val="11"/>
        <color indexed="8"/>
        <rFont val="宋体"/>
        <family val="3"/>
        <charset val="134"/>
      </rPr>
      <t>黄带副绯鲤</t>
    </r>
  </si>
  <si>
    <r>
      <rPr>
        <sz val="11"/>
        <color indexed="8"/>
        <rFont val="宋体"/>
        <family val="3"/>
        <charset val="134"/>
      </rPr>
      <t>纵条副绯鲤</t>
    </r>
  </si>
  <si>
    <r>
      <rPr>
        <sz val="11"/>
        <color indexed="8"/>
        <rFont val="宋体"/>
        <family val="3"/>
        <charset val="134"/>
      </rPr>
      <t>圆口副绯鲤</t>
    </r>
  </si>
  <si>
    <r>
      <rPr>
        <sz val="11"/>
        <color indexed="8"/>
        <rFont val="宋体"/>
        <family val="3"/>
        <charset val="134"/>
      </rPr>
      <t>印度副绯鲤</t>
    </r>
  </si>
  <si>
    <r>
      <rPr>
        <sz val="11"/>
        <color indexed="8"/>
        <rFont val="宋体"/>
        <family val="3"/>
        <charset val="134"/>
      </rPr>
      <t>黄副绯鲤</t>
    </r>
  </si>
  <si>
    <r>
      <rPr>
        <sz val="11"/>
        <color indexed="8"/>
        <rFont val="宋体"/>
        <family val="3"/>
        <charset val="134"/>
      </rPr>
      <t>大眼副绯鲤</t>
    </r>
  </si>
  <si>
    <r>
      <rPr>
        <sz val="11"/>
        <color indexed="8"/>
        <rFont val="宋体"/>
        <family val="3"/>
        <charset val="134"/>
      </rPr>
      <t>多带副绯鲤</t>
    </r>
  </si>
  <si>
    <r>
      <rPr>
        <sz val="11"/>
        <color indexed="8"/>
        <rFont val="宋体"/>
        <family val="3"/>
        <charset val="134"/>
      </rPr>
      <t>侧斑副绯鲤</t>
    </r>
  </si>
  <si>
    <r>
      <rPr>
        <sz val="11"/>
        <color indexed="8"/>
        <rFont val="宋体"/>
        <family val="3"/>
        <charset val="134"/>
      </rPr>
      <t>黑斑副绯鲤</t>
    </r>
  </si>
  <si>
    <r>
      <rPr>
        <sz val="11"/>
        <color indexed="8"/>
        <rFont val="宋体"/>
        <family val="3"/>
        <charset val="134"/>
      </rPr>
      <t>三带副绯鲤</t>
    </r>
  </si>
  <si>
    <r>
      <rPr>
        <sz val="11"/>
        <color indexed="8"/>
        <rFont val="宋体"/>
        <family val="3"/>
        <charset val="134"/>
      </rPr>
      <t>条尾绯鲤</t>
    </r>
  </si>
  <si>
    <r>
      <rPr>
        <sz val="11"/>
        <color indexed="8"/>
        <rFont val="宋体"/>
        <family val="3"/>
        <charset val="134"/>
      </rPr>
      <t>吕宋绯鲤</t>
    </r>
  </si>
  <si>
    <r>
      <rPr>
        <sz val="11"/>
        <color indexed="8"/>
        <rFont val="宋体"/>
        <family val="3"/>
        <charset val="134"/>
      </rPr>
      <t>摩鹿绯鲤</t>
    </r>
  </si>
  <si>
    <r>
      <rPr>
        <sz val="11"/>
        <color indexed="8"/>
        <rFont val="宋体"/>
        <family val="3"/>
        <charset val="134"/>
      </rPr>
      <t>四带绯鲤</t>
    </r>
  </si>
  <si>
    <r>
      <rPr>
        <sz val="11"/>
        <color indexed="8"/>
        <rFont val="宋体"/>
        <family val="3"/>
        <charset val="134"/>
      </rPr>
      <t>纵带绯鲤</t>
    </r>
  </si>
  <si>
    <r>
      <rPr>
        <sz val="11"/>
        <color indexed="8"/>
        <rFont val="宋体"/>
        <family val="3"/>
        <charset val="134"/>
      </rPr>
      <t>黄带绯鲤</t>
    </r>
  </si>
  <si>
    <r>
      <rPr>
        <sz val="11"/>
        <color indexed="8"/>
        <rFont val="宋体"/>
        <family val="3"/>
        <charset val="134"/>
      </rPr>
      <t>黑斑绯鲤</t>
    </r>
  </si>
  <si>
    <r>
      <rPr>
        <sz val="11"/>
        <color indexed="8"/>
        <rFont val="宋体"/>
        <family val="3"/>
        <charset val="134"/>
      </rPr>
      <t>斑尾绯鲤</t>
    </r>
  </si>
  <si>
    <r>
      <rPr>
        <sz val="11"/>
        <color indexed="8"/>
        <rFont val="宋体"/>
        <family val="3"/>
        <charset val="134"/>
      </rPr>
      <t>绯鲤属</t>
    </r>
  </si>
  <si>
    <r>
      <rPr>
        <sz val="11"/>
        <color indexed="8"/>
        <rFont val="宋体"/>
        <family val="3"/>
        <charset val="134"/>
      </rPr>
      <t>单鳍鱼科</t>
    </r>
  </si>
  <si>
    <r>
      <rPr>
        <sz val="11"/>
        <color indexed="8"/>
        <rFont val="宋体"/>
        <family val="3"/>
        <charset val="134"/>
      </rPr>
      <t>拟单鳍鱼</t>
    </r>
  </si>
  <si>
    <r>
      <rPr>
        <sz val="11"/>
        <color indexed="8"/>
        <rFont val="宋体"/>
        <family val="3"/>
        <charset val="134"/>
      </rPr>
      <t>日本单鳍鱼</t>
    </r>
  </si>
  <si>
    <r>
      <rPr>
        <sz val="11"/>
        <color indexed="8"/>
        <rFont val="宋体"/>
        <family val="3"/>
        <charset val="134"/>
      </rPr>
      <t>白边单鳍鱼</t>
    </r>
  </si>
  <si>
    <r>
      <rPr>
        <sz val="11"/>
        <color indexed="8"/>
        <rFont val="宋体"/>
        <family val="3"/>
        <charset val="134"/>
      </rPr>
      <t>黑边单鳍鱼</t>
    </r>
  </si>
  <si>
    <r>
      <rPr>
        <sz val="11"/>
        <color indexed="8"/>
        <rFont val="宋体"/>
        <family val="3"/>
        <charset val="134"/>
      </rPr>
      <t>黑缘单鳍鱼</t>
    </r>
  </si>
  <si>
    <r>
      <rPr>
        <sz val="11"/>
        <color indexed="8"/>
        <rFont val="宋体"/>
        <family val="3"/>
        <charset val="134"/>
      </rPr>
      <t>黄鳍单鳍鱼</t>
    </r>
  </si>
  <si>
    <r>
      <rPr>
        <sz val="11"/>
        <color indexed="8"/>
        <rFont val="宋体"/>
        <family val="3"/>
        <charset val="134"/>
      </rPr>
      <t>白鲳科</t>
    </r>
  </si>
  <si>
    <r>
      <rPr>
        <sz val="11"/>
        <color indexed="8"/>
        <rFont val="宋体"/>
        <family val="3"/>
        <charset val="134"/>
      </rPr>
      <t>白鲳</t>
    </r>
  </si>
  <si>
    <r>
      <rPr>
        <sz val="11"/>
        <color indexed="8"/>
        <rFont val="宋体"/>
        <family val="3"/>
        <charset val="134"/>
      </rPr>
      <t>印尼燕鱼</t>
    </r>
  </si>
  <si>
    <r>
      <rPr>
        <sz val="11"/>
        <color indexed="8"/>
        <rFont val="宋体"/>
        <family val="3"/>
        <charset val="134"/>
      </rPr>
      <t>圆燕鱼</t>
    </r>
  </si>
  <si>
    <r>
      <rPr>
        <sz val="11"/>
        <color indexed="8"/>
        <rFont val="宋体"/>
        <family val="3"/>
        <charset val="134"/>
      </rPr>
      <t>圆翅燕鱼</t>
    </r>
  </si>
  <si>
    <r>
      <rPr>
        <sz val="11"/>
        <color indexed="8"/>
        <rFont val="宋体"/>
        <family val="3"/>
        <charset val="134"/>
      </rPr>
      <t>燕鱼</t>
    </r>
  </si>
  <si>
    <r>
      <rPr>
        <sz val="11"/>
        <color indexed="8"/>
        <rFont val="宋体"/>
        <family val="3"/>
        <charset val="134"/>
      </rPr>
      <t>金钱鱼科</t>
    </r>
  </si>
  <si>
    <r>
      <rPr>
        <sz val="11"/>
        <color indexed="8"/>
        <rFont val="宋体"/>
        <family val="3"/>
        <charset val="134"/>
      </rPr>
      <t>金钱鱼</t>
    </r>
  </si>
  <si>
    <r>
      <rPr>
        <sz val="11"/>
        <color indexed="8"/>
        <rFont val="宋体"/>
        <family val="3"/>
        <charset val="134"/>
      </rPr>
      <t>蝎鱼科</t>
    </r>
  </si>
  <si>
    <r>
      <rPr>
        <sz val="11"/>
        <color indexed="8"/>
        <rFont val="宋体"/>
        <family val="3"/>
        <charset val="134"/>
      </rPr>
      <t>细刺鱼</t>
    </r>
  </si>
  <si>
    <r>
      <rPr>
        <sz val="11"/>
        <color indexed="8"/>
        <rFont val="宋体"/>
        <family val="3"/>
        <charset val="134"/>
      </rPr>
      <t>蝴蝶鱼科</t>
    </r>
  </si>
  <si>
    <r>
      <rPr>
        <sz val="11"/>
        <color indexed="8"/>
        <rFont val="宋体"/>
        <family val="3"/>
        <charset val="134"/>
      </rPr>
      <t>项斑蝴蝶鱼</t>
    </r>
  </si>
  <si>
    <r>
      <rPr>
        <sz val="11"/>
        <color indexed="8"/>
        <rFont val="宋体"/>
        <family val="3"/>
        <charset val="134"/>
      </rPr>
      <t>银色蝴蝶鱼</t>
    </r>
  </si>
  <si>
    <r>
      <rPr>
        <sz val="11"/>
        <color indexed="8"/>
        <rFont val="宋体"/>
        <family val="3"/>
        <charset val="134"/>
      </rPr>
      <t>丝蝴蝶鱼</t>
    </r>
  </si>
  <si>
    <r>
      <rPr>
        <sz val="11"/>
        <color indexed="8"/>
        <rFont val="宋体"/>
        <family val="3"/>
        <charset val="134"/>
      </rPr>
      <t>条纹蝴蝶鱼</t>
    </r>
  </si>
  <si>
    <r>
      <rPr>
        <sz val="11"/>
        <color indexed="8"/>
        <rFont val="宋体"/>
        <family val="3"/>
        <charset val="134"/>
      </rPr>
      <t>曲纹蝴蝶鱼</t>
    </r>
  </si>
  <si>
    <r>
      <rPr>
        <sz val="11"/>
        <color indexed="8"/>
        <rFont val="宋体"/>
        <family val="3"/>
        <charset val="134"/>
      </rPr>
      <t>双绦蝴蝶鱼</t>
    </r>
  </si>
  <si>
    <r>
      <rPr>
        <sz val="11"/>
        <color indexed="8"/>
        <rFont val="宋体"/>
        <family val="3"/>
        <charset val="134"/>
      </rPr>
      <t>桔尾蝴蝶鱼</t>
    </r>
  </si>
  <si>
    <r>
      <rPr>
        <sz val="11"/>
        <color indexed="8"/>
        <rFont val="宋体"/>
        <family val="3"/>
        <charset val="134"/>
      </rPr>
      <t>密点蝴蝶鱼</t>
    </r>
  </si>
  <si>
    <r>
      <rPr>
        <sz val="11"/>
        <color indexed="8"/>
        <rFont val="宋体"/>
        <family val="3"/>
        <charset val="134"/>
      </rPr>
      <t>叉纹蝴蝶鱼</t>
    </r>
  </si>
  <si>
    <r>
      <rPr>
        <sz val="11"/>
        <color indexed="8"/>
        <rFont val="宋体"/>
        <family val="3"/>
        <charset val="134"/>
      </rPr>
      <t>鞭蝴蝶鱼</t>
    </r>
  </si>
  <si>
    <r>
      <rPr>
        <sz val="11"/>
        <color indexed="8"/>
        <rFont val="宋体"/>
        <family val="3"/>
        <charset val="134"/>
      </rPr>
      <t>纹带蝴蝶鱼</t>
    </r>
  </si>
  <si>
    <r>
      <rPr>
        <sz val="11"/>
        <color indexed="8"/>
        <rFont val="宋体"/>
        <family val="3"/>
        <charset val="134"/>
      </rPr>
      <t>贡氏蝴蝶鱼</t>
    </r>
  </si>
  <si>
    <r>
      <rPr>
        <sz val="11"/>
        <color indexed="8"/>
        <rFont val="宋体"/>
        <family val="3"/>
        <charset val="134"/>
      </rPr>
      <t>珠蝴蝶鱼</t>
    </r>
  </si>
  <si>
    <r>
      <rPr>
        <sz val="11"/>
        <color indexed="8"/>
        <rFont val="宋体"/>
        <family val="3"/>
        <charset val="134"/>
      </rPr>
      <t>细纹蝴蝶鱼</t>
    </r>
  </si>
  <si>
    <r>
      <rPr>
        <sz val="11"/>
        <color indexed="8"/>
        <rFont val="宋体"/>
        <family val="3"/>
        <charset val="134"/>
      </rPr>
      <t>新月蝴蝶鱼</t>
    </r>
  </si>
  <si>
    <r>
      <rPr>
        <sz val="11"/>
        <color indexed="8"/>
        <rFont val="宋体"/>
        <family val="3"/>
        <charset val="134"/>
      </rPr>
      <t>黑背蝴蝶鱼</t>
    </r>
  </si>
  <si>
    <r>
      <rPr>
        <sz val="11"/>
        <color indexed="8"/>
        <rFont val="宋体"/>
        <family val="3"/>
        <charset val="134"/>
      </rPr>
      <t>梅尔蝴蝶鱼</t>
    </r>
  </si>
  <si>
    <r>
      <rPr>
        <sz val="11"/>
        <color indexed="8"/>
        <rFont val="宋体"/>
        <family val="3"/>
        <charset val="134"/>
      </rPr>
      <t>朴蝴蝶鱼</t>
    </r>
  </si>
  <si>
    <r>
      <rPr>
        <sz val="11"/>
        <color indexed="8"/>
        <rFont val="宋体"/>
        <family val="3"/>
        <charset val="134"/>
      </rPr>
      <t>八带蝴蝶鱼</t>
    </r>
  </si>
  <si>
    <r>
      <rPr>
        <sz val="11"/>
        <color indexed="8"/>
        <rFont val="宋体"/>
        <family val="3"/>
        <charset val="134"/>
      </rPr>
      <t>橙带蝴蝶鱼</t>
    </r>
  </si>
  <si>
    <r>
      <rPr>
        <sz val="11"/>
        <color indexed="8"/>
        <rFont val="宋体"/>
        <family val="3"/>
        <charset val="134"/>
      </rPr>
      <t>篮斑蝴蝶鱼</t>
    </r>
  </si>
  <si>
    <r>
      <rPr>
        <sz val="11"/>
        <color indexed="8"/>
        <rFont val="宋体"/>
        <family val="3"/>
        <charset val="134"/>
      </rPr>
      <t>斑带蝴蝶鱼</t>
    </r>
  </si>
  <si>
    <r>
      <rPr>
        <sz val="11"/>
        <color indexed="8"/>
        <rFont val="宋体"/>
        <family val="3"/>
        <charset val="134"/>
      </rPr>
      <t>四点蝴蝶鱼</t>
    </r>
  </si>
  <si>
    <r>
      <rPr>
        <sz val="11"/>
        <color indexed="8"/>
        <rFont val="宋体"/>
        <family val="3"/>
        <charset val="134"/>
      </rPr>
      <t>格纹蝴蝶鱼</t>
    </r>
  </si>
  <si>
    <r>
      <rPr>
        <sz val="11"/>
        <color indexed="8"/>
        <rFont val="宋体"/>
        <family val="3"/>
        <charset val="134"/>
      </rPr>
      <t>紫蝴蝶鱼</t>
    </r>
  </si>
  <si>
    <r>
      <rPr>
        <sz val="11"/>
        <color indexed="8"/>
        <rFont val="宋体"/>
        <family val="3"/>
        <charset val="134"/>
      </rPr>
      <t>弯月蝴蝶鱼</t>
    </r>
  </si>
  <si>
    <r>
      <rPr>
        <sz val="11"/>
        <color indexed="8"/>
        <rFont val="宋体"/>
        <family val="3"/>
        <charset val="134"/>
      </rPr>
      <t>细点蝴蝶鱼</t>
    </r>
  </si>
  <si>
    <r>
      <rPr>
        <sz val="11"/>
        <color indexed="8"/>
        <rFont val="宋体"/>
        <family val="3"/>
        <charset val="134"/>
      </rPr>
      <t>镜蝴蝶鱼</t>
    </r>
  </si>
  <si>
    <r>
      <rPr>
        <sz val="11"/>
        <color indexed="8"/>
        <rFont val="宋体"/>
        <family val="3"/>
        <charset val="134"/>
      </rPr>
      <t>羽纹蝴蝶鱼</t>
    </r>
  </si>
  <si>
    <r>
      <rPr>
        <sz val="11"/>
        <color indexed="8"/>
        <rFont val="宋体"/>
        <family val="3"/>
        <charset val="134"/>
      </rPr>
      <t>三角蝴蝶鱼</t>
    </r>
  </si>
  <si>
    <r>
      <rPr>
        <sz val="11"/>
        <color indexed="8"/>
        <rFont val="宋体"/>
        <family val="3"/>
        <charset val="134"/>
      </rPr>
      <t>三带蝴蝶鱼</t>
    </r>
  </si>
  <si>
    <r>
      <rPr>
        <sz val="11"/>
        <color indexed="8"/>
        <rFont val="宋体"/>
        <family val="3"/>
        <charset val="134"/>
      </rPr>
      <t>单斑蝴蝶鱼</t>
    </r>
  </si>
  <si>
    <r>
      <rPr>
        <sz val="11"/>
        <color indexed="8"/>
        <rFont val="宋体"/>
        <family val="3"/>
        <charset val="134"/>
      </rPr>
      <t>斜纹蝴蝶鱼</t>
    </r>
  </si>
  <si>
    <r>
      <rPr>
        <sz val="11"/>
        <color indexed="8"/>
        <rFont val="宋体"/>
        <family val="3"/>
        <charset val="134"/>
      </rPr>
      <t>美蝴蝶鱼</t>
    </r>
  </si>
  <si>
    <r>
      <rPr>
        <sz val="11"/>
        <color indexed="8"/>
        <rFont val="宋体"/>
        <family val="3"/>
        <charset val="134"/>
      </rPr>
      <t>红尾蝴蝶鱼</t>
    </r>
  </si>
  <si>
    <r>
      <rPr>
        <sz val="11"/>
        <color indexed="8"/>
        <rFont val="宋体"/>
        <family val="3"/>
        <charset val="134"/>
      </rPr>
      <t>钻嘴鱼</t>
    </r>
  </si>
  <si>
    <r>
      <rPr>
        <sz val="11"/>
        <color indexed="8"/>
        <rFont val="宋体"/>
        <family val="3"/>
        <charset val="134"/>
      </rPr>
      <t>高鳍少女鱼</t>
    </r>
  </si>
  <si>
    <r>
      <rPr>
        <sz val="11"/>
        <color indexed="8"/>
        <rFont val="宋体"/>
        <family val="3"/>
        <charset val="134"/>
      </rPr>
      <t>少女鱼</t>
    </r>
  </si>
  <si>
    <r>
      <rPr>
        <sz val="11"/>
        <color indexed="8"/>
        <rFont val="宋体"/>
        <family val="3"/>
        <charset val="134"/>
      </rPr>
      <t>深黄镊口鱼</t>
    </r>
  </si>
  <si>
    <r>
      <rPr>
        <sz val="11"/>
        <color indexed="8"/>
        <rFont val="宋体"/>
        <family val="3"/>
        <charset val="134"/>
      </rPr>
      <t>镊口鱼</t>
    </r>
  </si>
  <si>
    <r>
      <rPr>
        <sz val="11"/>
        <color indexed="8"/>
        <rFont val="宋体"/>
        <family val="3"/>
        <charset val="134"/>
      </rPr>
      <t>多鳞霞蝶鱼</t>
    </r>
  </si>
  <si>
    <r>
      <rPr>
        <sz val="11"/>
        <color indexed="8"/>
        <rFont val="宋体"/>
        <family val="3"/>
        <charset val="134"/>
      </rPr>
      <t>霞蝶鱼</t>
    </r>
  </si>
  <si>
    <r>
      <rPr>
        <sz val="11"/>
        <color indexed="8"/>
        <rFont val="宋体"/>
        <family val="3"/>
        <charset val="134"/>
      </rPr>
      <t>马夫鱼</t>
    </r>
  </si>
  <si>
    <r>
      <rPr>
        <sz val="11"/>
        <color indexed="8"/>
        <rFont val="宋体"/>
        <family val="3"/>
        <charset val="134"/>
      </rPr>
      <t>黄口马夫鱼</t>
    </r>
  </si>
  <si>
    <r>
      <rPr>
        <sz val="11"/>
        <color indexed="8"/>
        <rFont val="宋体"/>
        <family val="3"/>
        <charset val="134"/>
      </rPr>
      <t>单角马夫鱼</t>
    </r>
  </si>
  <si>
    <r>
      <rPr>
        <sz val="11"/>
        <color indexed="8"/>
        <rFont val="宋体"/>
        <family val="3"/>
        <charset val="134"/>
      </rPr>
      <t>三带马夫鱼</t>
    </r>
  </si>
  <si>
    <r>
      <rPr>
        <sz val="11"/>
        <color indexed="8"/>
        <rFont val="宋体"/>
        <family val="3"/>
        <charset val="134"/>
      </rPr>
      <t>四带马夫鱼</t>
    </r>
  </si>
  <si>
    <r>
      <rPr>
        <sz val="11"/>
        <color indexed="8"/>
        <rFont val="宋体"/>
        <family val="3"/>
        <charset val="134"/>
      </rPr>
      <t>白带马夫鱼</t>
    </r>
  </si>
  <si>
    <r>
      <rPr>
        <sz val="11"/>
        <color indexed="8"/>
        <rFont val="宋体"/>
        <family val="3"/>
        <charset val="134"/>
      </rPr>
      <t>副蝴蝶鱼</t>
    </r>
  </si>
  <si>
    <r>
      <rPr>
        <sz val="11"/>
        <color indexed="8"/>
        <rFont val="宋体"/>
        <family val="3"/>
        <charset val="134"/>
      </rPr>
      <t>三点阿波鱼</t>
    </r>
  </si>
  <si>
    <r>
      <rPr>
        <sz val="11"/>
        <color indexed="8"/>
        <rFont val="宋体"/>
        <family val="3"/>
        <charset val="134"/>
      </rPr>
      <t>二色刺尻鱼</t>
    </r>
  </si>
  <si>
    <r>
      <rPr>
        <sz val="11"/>
        <color indexed="8"/>
        <rFont val="宋体"/>
        <family val="3"/>
        <charset val="134"/>
      </rPr>
      <t>双棘刺尻鱼</t>
    </r>
  </si>
  <si>
    <r>
      <rPr>
        <sz val="11"/>
        <color indexed="8"/>
        <rFont val="宋体"/>
        <family val="3"/>
        <charset val="134"/>
      </rPr>
      <t>绣红刺尻鱼</t>
    </r>
  </si>
  <si>
    <r>
      <rPr>
        <sz val="11"/>
        <color indexed="8"/>
        <rFont val="宋体"/>
        <family val="3"/>
        <charset val="134"/>
      </rPr>
      <t>黄尾刺尻鱼</t>
    </r>
  </si>
  <si>
    <r>
      <rPr>
        <sz val="11"/>
        <color indexed="8"/>
        <rFont val="宋体"/>
        <family val="3"/>
        <charset val="134"/>
      </rPr>
      <t>黄刺尻鱼</t>
    </r>
  </si>
  <si>
    <r>
      <rPr>
        <sz val="11"/>
        <color indexed="8"/>
        <rFont val="宋体"/>
        <family val="3"/>
        <charset val="134"/>
      </rPr>
      <t>白斑刺尻鱼</t>
    </r>
  </si>
  <si>
    <r>
      <rPr>
        <sz val="11"/>
        <color indexed="8"/>
        <rFont val="宋体"/>
        <family val="3"/>
        <charset val="134"/>
      </rPr>
      <t>棕刺尻鱼</t>
    </r>
  </si>
  <si>
    <r>
      <rPr>
        <sz val="11"/>
        <color indexed="8"/>
        <rFont val="宋体"/>
        <family val="3"/>
        <charset val="134"/>
      </rPr>
      <t>眼带荷包鱼</t>
    </r>
  </si>
  <si>
    <r>
      <rPr>
        <sz val="11"/>
        <color indexed="8"/>
        <rFont val="宋体"/>
        <family val="3"/>
        <charset val="134"/>
      </rPr>
      <t>荷包鱼</t>
    </r>
  </si>
  <si>
    <r>
      <rPr>
        <sz val="11"/>
        <color indexed="8"/>
        <rFont val="宋体"/>
        <family val="3"/>
        <charset val="134"/>
      </rPr>
      <t>六带剑盖鱼</t>
    </r>
  </si>
  <si>
    <r>
      <rPr>
        <sz val="11"/>
        <color indexed="8"/>
        <rFont val="宋体"/>
        <family val="3"/>
        <charset val="134"/>
      </rPr>
      <t>中沙月蝶鱼</t>
    </r>
  </si>
  <si>
    <r>
      <rPr>
        <sz val="11"/>
        <color indexed="8"/>
        <rFont val="宋体"/>
        <family val="3"/>
        <charset val="134"/>
      </rPr>
      <t>月蝶鱼</t>
    </r>
  </si>
  <si>
    <r>
      <rPr>
        <sz val="11"/>
        <color indexed="8"/>
        <rFont val="宋体"/>
        <family val="3"/>
        <charset val="134"/>
      </rPr>
      <t>三斑刺蝶鱼</t>
    </r>
  </si>
  <si>
    <r>
      <rPr>
        <sz val="11"/>
        <color indexed="8"/>
        <rFont val="宋体"/>
        <family val="3"/>
        <charset val="134"/>
      </rPr>
      <t>肩环刺盖鱼</t>
    </r>
  </si>
  <si>
    <r>
      <rPr>
        <sz val="11"/>
        <color indexed="8"/>
        <rFont val="宋体"/>
        <family val="3"/>
        <charset val="134"/>
      </rPr>
      <t>主刺盖鱼</t>
    </r>
  </si>
  <si>
    <r>
      <rPr>
        <sz val="11"/>
        <color indexed="8"/>
        <rFont val="宋体"/>
        <family val="3"/>
        <charset val="134"/>
      </rPr>
      <t>半环刺盖鱼</t>
    </r>
  </si>
  <si>
    <r>
      <rPr>
        <sz val="11"/>
        <color indexed="8"/>
        <rFont val="宋体"/>
        <family val="3"/>
        <charset val="134"/>
      </rPr>
      <t>甲尻鱼</t>
    </r>
  </si>
  <si>
    <r>
      <rPr>
        <sz val="11"/>
        <color indexed="8"/>
        <rFont val="宋体"/>
        <family val="3"/>
        <charset val="134"/>
      </rPr>
      <t>赤刀鱼科</t>
    </r>
  </si>
  <si>
    <r>
      <rPr>
        <sz val="11"/>
        <color indexed="8"/>
        <rFont val="宋体"/>
        <family val="3"/>
        <charset val="134"/>
      </rPr>
      <t>印度棘赤刀鱼</t>
    </r>
  </si>
  <si>
    <r>
      <rPr>
        <sz val="11"/>
        <color indexed="8"/>
        <rFont val="宋体"/>
        <family val="3"/>
        <charset val="134"/>
      </rPr>
      <t>克氏棘赤刀鱼</t>
    </r>
  </si>
  <si>
    <r>
      <rPr>
        <sz val="11"/>
        <color indexed="8"/>
        <rFont val="宋体"/>
        <family val="3"/>
        <charset val="134"/>
      </rPr>
      <t>背点棘赤刀鱼</t>
    </r>
  </si>
  <si>
    <r>
      <rPr>
        <sz val="11"/>
        <color indexed="8"/>
        <rFont val="宋体"/>
        <family val="3"/>
        <charset val="134"/>
      </rPr>
      <t>赤刀鱼</t>
    </r>
  </si>
  <si>
    <r>
      <rPr>
        <sz val="11"/>
        <color indexed="8"/>
        <rFont val="宋体"/>
        <family val="3"/>
        <charset val="134"/>
      </rPr>
      <t>隆头鱼科</t>
    </r>
  </si>
  <si>
    <r>
      <rPr>
        <sz val="11"/>
        <color indexed="8"/>
        <rFont val="宋体"/>
        <family val="3"/>
        <charset val="134"/>
      </rPr>
      <t>腋斑普提鱼</t>
    </r>
  </si>
  <si>
    <r>
      <rPr>
        <sz val="11"/>
        <color indexed="8"/>
        <rFont val="宋体"/>
        <family val="3"/>
        <charset val="134"/>
      </rPr>
      <t>普提鱼</t>
    </r>
  </si>
  <si>
    <r>
      <rPr>
        <sz val="11"/>
        <color indexed="8"/>
        <rFont val="宋体"/>
        <family val="3"/>
        <charset val="134"/>
      </rPr>
      <t>鳍斑普提鱼</t>
    </r>
  </si>
  <si>
    <r>
      <rPr>
        <sz val="11"/>
        <color indexed="8"/>
        <rFont val="宋体"/>
        <family val="3"/>
        <charset val="134"/>
      </rPr>
      <t>斜斑普提鱼</t>
    </r>
  </si>
  <si>
    <r>
      <rPr>
        <sz val="11"/>
        <color indexed="8"/>
        <rFont val="宋体"/>
        <family val="3"/>
        <charset val="134"/>
      </rPr>
      <t>伊津普提鱼</t>
    </r>
  </si>
  <si>
    <r>
      <rPr>
        <sz val="11"/>
        <color indexed="8"/>
        <rFont val="宋体"/>
        <family val="3"/>
        <charset val="134"/>
      </rPr>
      <t>黄斑普提鱼</t>
    </r>
  </si>
  <si>
    <r>
      <rPr>
        <sz val="11"/>
        <color indexed="8"/>
        <rFont val="宋体"/>
        <family val="3"/>
        <charset val="134"/>
      </rPr>
      <t>益田普提鱼</t>
    </r>
  </si>
  <si>
    <r>
      <rPr>
        <sz val="11"/>
        <color indexed="8"/>
        <rFont val="宋体"/>
        <family val="3"/>
        <charset val="134"/>
      </rPr>
      <t>中胸普提鱼</t>
    </r>
  </si>
  <si>
    <r>
      <rPr>
        <sz val="11"/>
        <color indexed="8"/>
        <rFont val="宋体"/>
        <family val="3"/>
        <charset val="134"/>
      </rPr>
      <t>尖头普提鱼</t>
    </r>
  </si>
  <si>
    <r>
      <rPr>
        <sz val="11"/>
        <color indexed="8"/>
        <rFont val="宋体"/>
        <family val="3"/>
        <charset val="134"/>
      </rPr>
      <t>红普提鱼</t>
    </r>
  </si>
  <si>
    <r>
      <rPr>
        <sz val="11"/>
        <color indexed="8"/>
        <rFont val="宋体"/>
        <family val="3"/>
        <charset val="134"/>
      </rPr>
      <t>丝鳍普提鱼</t>
    </r>
  </si>
  <si>
    <r>
      <rPr>
        <sz val="11"/>
        <color indexed="8"/>
        <rFont val="宋体"/>
        <family val="3"/>
        <charset val="134"/>
      </rPr>
      <t>鞍斑猪齿鱼</t>
    </r>
  </si>
  <si>
    <r>
      <rPr>
        <sz val="11"/>
        <color indexed="8"/>
        <rFont val="宋体"/>
        <family val="3"/>
        <charset val="134"/>
      </rPr>
      <t>篮猪齿鱼</t>
    </r>
  </si>
  <si>
    <r>
      <rPr>
        <sz val="11"/>
        <color indexed="8"/>
        <rFont val="宋体"/>
        <family val="3"/>
        <charset val="134"/>
      </rPr>
      <t>横带猪齿鱼</t>
    </r>
  </si>
  <si>
    <r>
      <rPr>
        <sz val="11"/>
        <color indexed="8"/>
        <rFont val="宋体"/>
        <family val="3"/>
        <charset val="134"/>
      </rPr>
      <t>乔氏猪齿鱼</t>
    </r>
  </si>
  <si>
    <r>
      <rPr>
        <sz val="11"/>
        <color indexed="8"/>
        <rFont val="宋体"/>
        <family val="3"/>
        <charset val="134"/>
      </rPr>
      <t>大斑猪齿鱼</t>
    </r>
  </si>
  <si>
    <r>
      <rPr>
        <sz val="11"/>
        <color indexed="8"/>
        <rFont val="宋体"/>
        <family val="3"/>
        <charset val="134"/>
      </rPr>
      <t>鳞斑猪齿鱼</t>
    </r>
  </si>
  <si>
    <r>
      <rPr>
        <sz val="11"/>
        <color indexed="8"/>
        <rFont val="宋体"/>
        <family val="3"/>
        <charset val="134"/>
      </rPr>
      <t>纵带猪齿鱼</t>
    </r>
  </si>
  <si>
    <r>
      <rPr>
        <sz val="11"/>
        <color indexed="8"/>
        <rFont val="宋体"/>
        <family val="3"/>
        <charset val="134"/>
      </rPr>
      <t>粗猪齿鱼</t>
    </r>
  </si>
  <si>
    <r>
      <rPr>
        <sz val="11"/>
        <color indexed="8"/>
        <rFont val="宋体"/>
        <family val="3"/>
        <charset val="134"/>
      </rPr>
      <t>黑斑猪齿鱼</t>
    </r>
  </si>
  <si>
    <r>
      <rPr>
        <sz val="11"/>
        <color indexed="8"/>
        <rFont val="宋体"/>
        <family val="3"/>
        <charset val="134"/>
      </rPr>
      <t>拟猪齿鱼</t>
    </r>
  </si>
  <si>
    <r>
      <rPr>
        <sz val="11"/>
        <color indexed="8"/>
        <rFont val="宋体"/>
        <family val="3"/>
        <charset val="134"/>
      </rPr>
      <t>四斑剑唇鱼</t>
    </r>
  </si>
  <si>
    <r>
      <rPr>
        <sz val="11"/>
        <color indexed="8"/>
        <rFont val="宋体"/>
        <family val="3"/>
        <charset val="134"/>
      </rPr>
      <t>剑唇鱼</t>
    </r>
  </si>
  <si>
    <r>
      <rPr>
        <sz val="11"/>
        <color indexed="8"/>
        <rFont val="宋体"/>
        <family val="3"/>
        <charset val="134"/>
      </rPr>
      <t>青斑阿南鱼</t>
    </r>
  </si>
  <si>
    <r>
      <rPr>
        <sz val="11"/>
        <color indexed="8"/>
        <rFont val="宋体"/>
        <family val="3"/>
        <charset val="134"/>
      </rPr>
      <t>线阿南鱼</t>
    </r>
  </si>
  <si>
    <r>
      <rPr>
        <sz val="11"/>
        <color indexed="8"/>
        <rFont val="宋体"/>
        <family val="3"/>
        <charset val="134"/>
      </rPr>
      <t>蠕纹阿南鱼</t>
    </r>
  </si>
  <si>
    <r>
      <rPr>
        <sz val="11"/>
        <color indexed="8"/>
        <rFont val="宋体"/>
        <family val="3"/>
        <charset val="134"/>
      </rPr>
      <t>尾斑阿南鱼</t>
    </r>
  </si>
  <si>
    <r>
      <rPr>
        <sz val="11"/>
        <color indexed="8"/>
        <rFont val="宋体"/>
        <family val="3"/>
        <charset val="134"/>
      </rPr>
      <t>黄尾阿南鱼</t>
    </r>
  </si>
  <si>
    <r>
      <rPr>
        <sz val="11"/>
        <color indexed="8"/>
        <rFont val="宋体"/>
        <family val="3"/>
        <charset val="134"/>
      </rPr>
      <t>新几内亚阿南鱼</t>
    </r>
  </si>
  <si>
    <r>
      <rPr>
        <sz val="11"/>
        <color indexed="8"/>
        <rFont val="宋体"/>
        <family val="3"/>
        <charset val="134"/>
      </rPr>
      <t>星阿南鱼</t>
    </r>
  </si>
  <si>
    <r>
      <rPr>
        <sz val="11"/>
        <color indexed="8"/>
        <rFont val="宋体"/>
        <family val="3"/>
        <charset val="134"/>
      </rPr>
      <t>管唇鱼</t>
    </r>
  </si>
  <si>
    <r>
      <rPr>
        <sz val="11"/>
        <color indexed="8"/>
        <rFont val="宋体"/>
        <family val="3"/>
        <charset val="134"/>
      </rPr>
      <t>长棘锯盖鱼</t>
    </r>
  </si>
  <si>
    <r>
      <rPr>
        <sz val="11"/>
        <color indexed="8"/>
        <rFont val="宋体"/>
        <family val="3"/>
        <charset val="134"/>
      </rPr>
      <t>杂色尖嘴鱼</t>
    </r>
  </si>
  <si>
    <r>
      <rPr>
        <sz val="11"/>
        <color indexed="8"/>
        <rFont val="宋体"/>
        <family val="3"/>
        <charset val="134"/>
      </rPr>
      <t>全珠海猪鱼</t>
    </r>
  </si>
  <si>
    <r>
      <rPr>
        <sz val="11"/>
        <color indexed="8"/>
        <rFont val="宋体"/>
        <family val="3"/>
        <charset val="134"/>
      </rPr>
      <t>双斑海猪鱼</t>
    </r>
  </si>
  <si>
    <r>
      <rPr>
        <sz val="11"/>
        <color indexed="8"/>
        <rFont val="宋体"/>
        <family val="3"/>
        <charset val="134"/>
      </rPr>
      <t>黄身海猪鱼</t>
    </r>
  </si>
  <si>
    <r>
      <rPr>
        <sz val="11"/>
        <color indexed="8"/>
        <rFont val="宋体"/>
        <family val="3"/>
        <charset val="134"/>
      </rPr>
      <t>蓝侧海猪鱼</t>
    </r>
  </si>
  <si>
    <r>
      <rPr>
        <sz val="11"/>
        <color indexed="8"/>
        <rFont val="宋体"/>
        <family val="3"/>
        <charset val="134"/>
      </rPr>
      <t>纵带海猪鱼</t>
    </r>
  </si>
  <si>
    <r>
      <rPr>
        <sz val="11"/>
        <color indexed="8"/>
        <rFont val="宋体"/>
        <family val="3"/>
        <charset val="134"/>
      </rPr>
      <t>方斑海猪鱼</t>
    </r>
  </si>
  <si>
    <r>
      <rPr>
        <sz val="11"/>
        <color indexed="8"/>
        <rFont val="宋体"/>
        <family val="3"/>
        <charset val="134"/>
      </rPr>
      <t>赫氏海猪鱼</t>
    </r>
  </si>
  <si>
    <r>
      <rPr>
        <sz val="11"/>
        <color indexed="8"/>
        <rFont val="宋体"/>
        <family val="3"/>
        <charset val="134"/>
      </rPr>
      <t>柄斑海猪鱼</t>
    </r>
  </si>
  <si>
    <r>
      <rPr>
        <sz val="11"/>
        <color indexed="8"/>
        <rFont val="宋体"/>
        <family val="3"/>
        <charset val="134"/>
      </rPr>
      <t>斑点海猪鱼</t>
    </r>
  </si>
  <si>
    <r>
      <rPr>
        <sz val="11"/>
        <color indexed="8"/>
        <rFont val="宋体"/>
        <family val="3"/>
        <charset val="134"/>
      </rPr>
      <t>缘边海猪鱼</t>
    </r>
  </si>
  <si>
    <r>
      <rPr>
        <sz val="11"/>
        <color indexed="8"/>
        <rFont val="宋体"/>
        <family val="3"/>
        <charset val="134"/>
      </rPr>
      <t>胸斑海猪鱼</t>
    </r>
  </si>
  <si>
    <r>
      <rPr>
        <sz val="11"/>
        <color indexed="8"/>
        <rFont val="宋体"/>
        <family val="3"/>
        <charset val="134"/>
      </rPr>
      <t>黄斑海猪鱼</t>
    </r>
  </si>
  <si>
    <r>
      <rPr>
        <sz val="11"/>
        <color indexed="8"/>
        <rFont val="宋体"/>
        <family val="3"/>
        <charset val="134"/>
      </rPr>
      <t>臀点海猪鱼</t>
    </r>
  </si>
  <si>
    <r>
      <rPr>
        <sz val="11"/>
        <color indexed="8"/>
        <rFont val="宋体"/>
        <family val="3"/>
        <charset val="134"/>
      </rPr>
      <t>云纹海猪鱼</t>
    </r>
  </si>
  <si>
    <r>
      <rPr>
        <sz val="11"/>
        <color indexed="8"/>
        <rFont val="宋体"/>
        <family val="3"/>
        <charset val="134"/>
      </rPr>
      <t>云斑海猪鱼</t>
    </r>
  </si>
  <si>
    <r>
      <rPr>
        <sz val="11"/>
        <color indexed="8"/>
        <rFont val="宋体"/>
        <family val="3"/>
        <charset val="134"/>
      </rPr>
      <t>六带海猪鱼</t>
    </r>
  </si>
  <si>
    <r>
      <rPr>
        <sz val="11"/>
        <color indexed="8"/>
        <rFont val="宋体"/>
        <family val="3"/>
        <charset val="134"/>
      </rPr>
      <t>黄带海猪鱼</t>
    </r>
  </si>
  <si>
    <r>
      <rPr>
        <sz val="11"/>
        <color indexed="8"/>
        <rFont val="宋体"/>
        <family val="3"/>
        <charset val="134"/>
      </rPr>
      <t>花鳍海猪鱼</t>
    </r>
  </si>
  <si>
    <r>
      <rPr>
        <sz val="11"/>
        <color indexed="8"/>
        <rFont val="宋体"/>
        <family val="3"/>
        <charset val="134"/>
      </rPr>
      <t>黑额海猪鱼</t>
    </r>
  </si>
  <si>
    <r>
      <rPr>
        <sz val="11"/>
        <color indexed="8"/>
        <rFont val="宋体"/>
        <family val="3"/>
        <charset val="134"/>
      </rPr>
      <t>体珠海猪鱼</t>
    </r>
  </si>
  <si>
    <r>
      <rPr>
        <sz val="11"/>
        <color indexed="8"/>
        <rFont val="宋体"/>
        <family val="3"/>
        <charset val="134"/>
      </rPr>
      <t>侧带海猪鱼</t>
    </r>
  </si>
  <si>
    <r>
      <rPr>
        <sz val="11"/>
        <color indexed="8"/>
        <rFont val="宋体"/>
        <family val="3"/>
        <charset val="134"/>
      </rPr>
      <t>细棘海猪鱼</t>
    </r>
  </si>
  <si>
    <r>
      <rPr>
        <sz val="11"/>
        <color indexed="8"/>
        <rFont val="宋体"/>
        <family val="3"/>
        <charset val="134"/>
      </rPr>
      <t>三斑海猪鱼</t>
    </r>
  </si>
  <si>
    <r>
      <rPr>
        <sz val="11"/>
        <color indexed="8"/>
        <rFont val="宋体"/>
        <family val="3"/>
        <charset val="134"/>
      </rPr>
      <t>海猪鱼</t>
    </r>
  </si>
  <si>
    <r>
      <rPr>
        <sz val="11"/>
        <color indexed="8"/>
        <rFont val="宋体"/>
        <family val="3"/>
        <charset val="134"/>
      </rPr>
      <t>横带粗唇鱼</t>
    </r>
  </si>
  <si>
    <r>
      <rPr>
        <sz val="11"/>
        <color indexed="8"/>
        <rFont val="宋体"/>
        <family val="3"/>
        <charset val="134"/>
      </rPr>
      <t>黑鳍粗唇鱼</t>
    </r>
  </si>
  <si>
    <r>
      <rPr>
        <sz val="11"/>
        <color indexed="8"/>
        <rFont val="宋体"/>
        <family val="3"/>
        <charset val="134"/>
      </rPr>
      <t>突唇鱼</t>
    </r>
  </si>
  <si>
    <r>
      <rPr>
        <sz val="11"/>
        <color indexed="8"/>
        <rFont val="宋体"/>
        <family val="3"/>
        <charset val="134"/>
      </rPr>
      <t>单线突唇鱼</t>
    </r>
  </si>
  <si>
    <r>
      <rPr>
        <sz val="11"/>
        <color indexed="8"/>
        <rFont val="宋体"/>
        <family val="3"/>
        <charset val="134"/>
      </rPr>
      <t>双色裂唇鱼</t>
    </r>
  </si>
  <si>
    <r>
      <rPr>
        <sz val="11"/>
        <color indexed="8"/>
        <rFont val="宋体"/>
        <family val="3"/>
        <charset val="134"/>
      </rPr>
      <t>裂唇鱼</t>
    </r>
  </si>
  <si>
    <r>
      <rPr>
        <sz val="11"/>
        <color indexed="8"/>
        <rFont val="宋体"/>
        <family val="3"/>
        <charset val="134"/>
      </rPr>
      <t>胸斑褶唇鱼</t>
    </r>
  </si>
  <si>
    <r>
      <rPr>
        <sz val="11"/>
        <color indexed="8"/>
        <rFont val="宋体"/>
        <family val="3"/>
        <charset val="134"/>
      </rPr>
      <t>珠斑大咽齿鱼</t>
    </r>
  </si>
  <si>
    <r>
      <rPr>
        <sz val="11"/>
        <color indexed="8"/>
        <rFont val="宋体"/>
        <family val="3"/>
        <charset val="134"/>
      </rPr>
      <t>黑大咽齿鱼</t>
    </r>
  </si>
  <si>
    <r>
      <rPr>
        <sz val="11"/>
        <color indexed="8"/>
        <rFont val="宋体"/>
        <family val="3"/>
        <charset val="134"/>
      </rPr>
      <t>细拟隆头鱼</t>
    </r>
  </si>
  <si>
    <r>
      <rPr>
        <sz val="11"/>
        <color indexed="8"/>
        <rFont val="宋体"/>
        <family val="3"/>
        <charset val="134"/>
      </rPr>
      <t>粗拟隆头鱼</t>
    </r>
  </si>
  <si>
    <r>
      <rPr>
        <sz val="11"/>
        <color indexed="8"/>
        <rFont val="宋体"/>
        <family val="3"/>
        <charset val="134"/>
      </rPr>
      <t>黑星紫胸鱼</t>
    </r>
  </si>
  <si>
    <r>
      <rPr>
        <sz val="11"/>
        <color indexed="8"/>
        <rFont val="宋体"/>
        <family val="3"/>
        <charset val="134"/>
      </rPr>
      <t>班达紫胸鱼</t>
    </r>
  </si>
  <si>
    <r>
      <rPr>
        <sz val="11"/>
        <color indexed="8"/>
        <rFont val="宋体"/>
        <family val="3"/>
        <charset val="134"/>
      </rPr>
      <t>断纹紫胸鱼</t>
    </r>
  </si>
  <si>
    <r>
      <rPr>
        <sz val="11"/>
        <color indexed="8"/>
        <rFont val="宋体"/>
        <family val="3"/>
        <charset val="134"/>
      </rPr>
      <t>美体紫胸鱼</t>
    </r>
  </si>
  <si>
    <r>
      <rPr>
        <sz val="11"/>
        <color indexed="8"/>
        <rFont val="宋体"/>
        <family val="3"/>
        <charset val="134"/>
      </rPr>
      <t>线纹紫胸鱼</t>
    </r>
  </si>
  <si>
    <r>
      <rPr>
        <sz val="11"/>
        <color indexed="8"/>
        <rFont val="宋体"/>
        <family val="3"/>
        <charset val="134"/>
      </rPr>
      <t>侧星紫胸鱼</t>
    </r>
  </si>
  <si>
    <r>
      <rPr>
        <sz val="11"/>
        <color indexed="8"/>
        <rFont val="宋体"/>
        <family val="3"/>
        <charset val="134"/>
      </rPr>
      <t>双线紫胸鱼</t>
    </r>
  </si>
  <si>
    <r>
      <rPr>
        <sz val="11"/>
        <color indexed="8"/>
        <rFont val="宋体"/>
        <family val="3"/>
        <charset val="134"/>
      </rPr>
      <t>腹纹紫胸鱼</t>
    </r>
  </si>
  <si>
    <r>
      <rPr>
        <sz val="11"/>
        <color indexed="8"/>
        <rFont val="宋体"/>
        <family val="3"/>
        <charset val="134"/>
      </rPr>
      <t>三线紫胸鱼</t>
    </r>
  </si>
  <si>
    <r>
      <rPr>
        <sz val="11"/>
        <color indexed="8"/>
        <rFont val="宋体"/>
        <family val="3"/>
        <charset val="134"/>
      </rPr>
      <t>钝头锦鱼</t>
    </r>
  </si>
  <si>
    <r>
      <rPr>
        <sz val="11"/>
        <color indexed="8"/>
        <rFont val="宋体"/>
        <family val="3"/>
        <charset val="134"/>
      </rPr>
      <t>斑带锦鱼</t>
    </r>
  </si>
  <si>
    <r>
      <rPr>
        <sz val="11"/>
        <color indexed="8"/>
        <rFont val="宋体"/>
        <family val="3"/>
        <charset val="134"/>
      </rPr>
      <t>栅纹锦鱼</t>
    </r>
  </si>
  <si>
    <r>
      <rPr>
        <sz val="11"/>
        <color indexed="8"/>
        <rFont val="宋体"/>
        <family val="3"/>
        <charset val="134"/>
      </rPr>
      <t>鞍斑锦鱼</t>
    </r>
  </si>
  <si>
    <r>
      <rPr>
        <sz val="11"/>
        <color indexed="8"/>
        <rFont val="宋体"/>
        <family val="3"/>
        <charset val="134"/>
      </rPr>
      <t>大斑锦鱼</t>
    </r>
  </si>
  <si>
    <r>
      <rPr>
        <sz val="11"/>
        <color indexed="8"/>
        <rFont val="宋体"/>
        <family val="3"/>
        <charset val="134"/>
      </rPr>
      <t>新月锦鱼</t>
    </r>
  </si>
  <si>
    <r>
      <rPr>
        <sz val="11"/>
        <color indexed="8"/>
        <rFont val="宋体"/>
        <family val="3"/>
        <charset val="134"/>
      </rPr>
      <t>胸斑锦鱼</t>
    </r>
  </si>
  <si>
    <r>
      <rPr>
        <sz val="11"/>
        <color indexed="8"/>
        <rFont val="宋体"/>
        <family val="3"/>
        <charset val="134"/>
      </rPr>
      <t>紫额锦鱼</t>
    </r>
  </si>
  <si>
    <r>
      <rPr>
        <sz val="11"/>
        <color indexed="8"/>
        <rFont val="宋体"/>
        <family val="3"/>
        <charset val="134"/>
      </rPr>
      <t>纵纹锦鱼</t>
    </r>
  </si>
  <si>
    <r>
      <rPr>
        <sz val="11"/>
        <color indexed="8"/>
        <rFont val="宋体"/>
        <family val="3"/>
        <charset val="134"/>
      </rPr>
      <t>暗斑锦鱼</t>
    </r>
  </si>
  <si>
    <r>
      <rPr>
        <sz val="11"/>
        <color indexed="8"/>
        <rFont val="宋体"/>
        <family val="3"/>
        <charset val="134"/>
      </rPr>
      <t>鳃斑盔鱼</t>
    </r>
  </si>
  <si>
    <r>
      <rPr>
        <sz val="11"/>
        <color indexed="8"/>
        <rFont val="宋体"/>
        <family val="3"/>
        <charset val="134"/>
      </rPr>
      <t>背斑盔鱼</t>
    </r>
  </si>
  <si>
    <r>
      <rPr>
        <sz val="11"/>
        <color indexed="8"/>
        <rFont val="宋体"/>
        <family val="3"/>
        <charset val="134"/>
      </rPr>
      <t>露珠盔鱼</t>
    </r>
  </si>
  <si>
    <r>
      <rPr>
        <sz val="11"/>
        <color indexed="8"/>
        <rFont val="宋体"/>
        <family val="3"/>
        <charset val="134"/>
      </rPr>
      <t>纵带盔鱼</t>
    </r>
  </si>
  <si>
    <r>
      <rPr>
        <sz val="11"/>
        <color indexed="8"/>
        <rFont val="宋体"/>
        <family val="3"/>
        <charset val="134"/>
      </rPr>
      <t>细鳞盔鱼</t>
    </r>
  </si>
  <si>
    <r>
      <rPr>
        <sz val="11"/>
        <color indexed="8"/>
        <rFont val="宋体"/>
        <family val="3"/>
        <charset val="134"/>
      </rPr>
      <t>圆细鳞盔鱼</t>
    </r>
  </si>
  <si>
    <r>
      <rPr>
        <sz val="11"/>
        <color indexed="8"/>
        <rFont val="宋体"/>
        <family val="3"/>
        <charset val="134"/>
      </rPr>
      <t>带尾拟盔鱼</t>
    </r>
  </si>
  <si>
    <r>
      <rPr>
        <sz val="11"/>
        <color indexed="8"/>
        <rFont val="宋体"/>
        <family val="3"/>
        <charset val="134"/>
      </rPr>
      <t>棕红拟盔鱼</t>
    </r>
  </si>
  <si>
    <r>
      <rPr>
        <sz val="11"/>
        <color indexed="8"/>
        <rFont val="宋体"/>
        <family val="3"/>
        <charset val="134"/>
      </rPr>
      <t>双斑唇鱼</t>
    </r>
  </si>
  <si>
    <r>
      <rPr>
        <sz val="11"/>
        <color indexed="8"/>
        <rFont val="宋体"/>
        <family val="3"/>
        <charset val="134"/>
      </rPr>
      <t>长吻唇鱼</t>
    </r>
  </si>
  <si>
    <r>
      <rPr>
        <sz val="11"/>
        <color indexed="8"/>
        <rFont val="宋体"/>
        <family val="3"/>
        <charset val="134"/>
      </rPr>
      <t>绿尾唇鱼</t>
    </r>
  </si>
  <si>
    <r>
      <rPr>
        <sz val="11"/>
        <color indexed="8"/>
        <rFont val="宋体"/>
        <family val="3"/>
        <charset val="134"/>
      </rPr>
      <t>多线唇鱼</t>
    </r>
  </si>
  <si>
    <r>
      <rPr>
        <sz val="11"/>
        <color indexed="8"/>
        <rFont val="宋体"/>
        <family val="3"/>
        <charset val="134"/>
      </rPr>
      <t>横带唇鱼</t>
    </r>
  </si>
  <si>
    <r>
      <rPr>
        <sz val="11"/>
        <color indexed="8"/>
        <rFont val="宋体"/>
        <family val="3"/>
        <charset val="134"/>
      </rPr>
      <t>侧斑唇鱼</t>
    </r>
  </si>
  <si>
    <r>
      <rPr>
        <sz val="11"/>
        <color indexed="8"/>
        <rFont val="宋体"/>
        <family val="3"/>
        <charset val="134"/>
      </rPr>
      <t>尖头唇鱼</t>
    </r>
  </si>
  <si>
    <r>
      <rPr>
        <sz val="11"/>
        <color indexed="8"/>
        <rFont val="宋体"/>
        <family val="3"/>
        <charset val="134"/>
      </rPr>
      <t>红唇鱼</t>
    </r>
  </si>
  <si>
    <r>
      <rPr>
        <sz val="11"/>
        <color indexed="8"/>
        <rFont val="宋体"/>
        <family val="3"/>
        <charset val="134"/>
      </rPr>
      <t>三叶唇鱼</t>
    </r>
  </si>
  <si>
    <r>
      <rPr>
        <sz val="11"/>
        <color indexed="8"/>
        <rFont val="宋体"/>
        <family val="3"/>
        <charset val="134"/>
      </rPr>
      <t>波纹唇鱼</t>
    </r>
  </si>
  <si>
    <r>
      <rPr>
        <sz val="11"/>
        <color indexed="8"/>
        <rFont val="宋体"/>
        <family val="3"/>
        <charset val="134"/>
      </rPr>
      <t>蓝波丝隆头鱼</t>
    </r>
  </si>
  <si>
    <r>
      <rPr>
        <sz val="11"/>
        <color indexed="8"/>
        <rFont val="宋体"/>
        <family val="3"/>
        <charset val="134"/>
      </rPr>
      <t>艳丽丝隆头鱼</t>
    </r>
  </si>
  <si>
    <r>
      <rPr>
        <sz val="11"/>
        <color indexed="8"/>
        <rFont val="宋体"/>
        <family val="3"/>
        <charset val="134"/>
      </rPr>
      <t>黑缘丝隆头鱼</t>
    </r>
  </si>
  <si>
    <r>
      <rPr>
        <sz val="11"/>
        <color indexed="8"/>
        <rFont val="宋体"/>
        <family val="3"/>
        <charset val="134"/>
      </rPr>
      <t>红缘丝隆头鱼</t>
    </r>
  </si>
  <si>
    <r>
      <rPr>
        <sz val="11"/>
        <color indexed="8"/>
        <rFont val="宋体"/>
        <family val="3"/>
        <charset val="134"/>
      </rPr>
      <t>绿丝隆头鱼</t>
    </r>
  </si>
  <si>
    <r>
      <rPr>
        <sz val="11"/>
        <color indexed="8"/>
        <rFont val="宋体"/>
        <family val="3"/>
        <charset val="134"/>
      </rPr>
      <t>丹氏丝隆头鱼</t>
    </r>
  </si>
  <si>
    <r>
      <rPr>
        <sz val="11"/>
        <color indexed="8"/>
        <rFont val="宋体"/>
        <family val="3"/>
        <charset val="134"/>
      </rPr>
      <t>钝头鱼</t>
    </r>
  </si>
  <si>
    <r>
      <rPr>
        <sz val="11"/>
        <color indexed="8"/>
        <rFont val="宋体"/>
        <family val="3"/>
        <charset val="134"/>
      </rPr>
      <t>伸口鱼</t>
    </r>
  </si>
  <si>
    <r>
      <rPr>
        <sz val="11"/>
        <color indexed="8"/>
        <rFont val="宋体"/>
        <family val="3"/>
        <charset val="134"/>
      </rPr>
      <t>暗带离鳍鱼</t>
    </r>
  </si>
  <si>
    <r>
      <rPr>
        <sz val="11"/>
        <color indexed="8"/>
        <rFont val="宋体"/>
        <family val="3"/>
        <charset val="134"/>
      </rPr>
      <t>红斑离鳍鱼</t>
    </r>
  </si>
  <si>
    <r>
      <rPr>
        <sz val="11"/>
        <color indexed="8"/>
        <rFont val="宋体"/>
        <family val="3"/>
        <charset val="134"/>
      </rPr>
      <t>鳃斑离鳍鱼</t>
    </r>
  </si>
  <si>
    <r>
      <rPr>
        <sz val="11"/>
        <color indexed="8"/>
        <rFont val="宋体"/>
        <family val="3"/>
        <charset val="134"/>
      </rPr>
      <t>黑斑离鳍鱼</t>
    </r>
  </si>
  <si>
    <r>
      <rPr>
        <sz val="11"/>
        <color indexed="8"/>
        <rFont val="宋体"/>
        <family val="3"/>
        <charset val="134"/>
      </rPr>
      <t>五斑离鳍鱼</t>
    </r>
  </si>
  <si>
    <r>
      <rPr>
        <sz val="11"/>
        <color indexed="8"/>
        <rFont val="宋体"/>
        <family val="3"/>
        <charset val="134"/>
      </rPr>
      <t>侧斑离鳍鱼</t>
    </r>
  </si>
  <si>
    <r>
      <rPr>
        <sz val="11"/>
        <color indexed="8"/>
        <rFont val="宋体"/>
        <family val="3"/>
        <charset val="134"/>
      </rPr>
      <t>洛神颈鳍鱼</t>
    </r>
  </si>
  <si>
    <r>
      <rPr>
        <sz val="11"/>
        <color indexed="8"/>
        <rFont val="宋体"/>
        <family val="3"/>
        <charset val="134"/>
      </rPr>
      <t>孔雀颈鳍鱼</t>
    </r>
  </si>
  <si>
    <r>
      <rPr>
        <sz val="11"/>
        <color indexed="8"/>
        <rFont val="宋体"/>
        <family val="3"/>
        <charset val="134"/>
      </rPr>
      <t>尖尾新丝隆头鱼</t>
    </r>
  </si>
  <si>
    <r>
      <rPr>
        <sz val="11"/>
        <color indexed="8"/>
        <rFont val="宋体"/>
        <family val="3"/>
        <charset val="134"/>
      </rPr>
      <t>大鳞连鳍鱼</t>
    </r>
  </si>
  <si>
    <r>
      <rPr>
        <sz val="11"/>
        <color indexed="8"/>
        <rFont val="宋体"/>
        <family val="3"/>
        <charset val="134"/>
      </rPr>
      <t>花尾连鳍鱼</t>
    </r>
  </si>
  <si>
    <r>
      <rPr>
        <sz val="11"/>
        <color indexed="8"/>
        <rFont val="宋体"/>
        <family val="3"/>
        <charset val="134"/>
      </rPr>
      <t>卡式副唇鱼</t>
    </r>
  </si>
  <si>
    <r>
      <rPr>
        <sz val="11"/>
        <color indexed="8"/>
        <rFont val="宋体"/>
        <family val="3"/>
        <charset val="134"/>
      </rPr>
      <t>姬拟唇鱼</t>
    </r>
  </si>
  <si>
    <r>
      <rPr>
        <sz val="11"/>
        <color indexed="8"/>
        <rFont val="宋体"/>
        <family val="3"/>
        <charset val="134"/>
      </rPr>
      <t>拟唇鱼</t>
    </r>
  </si>
  <si>
    <r>
      <rPr>
        <sz val="11"/>
        <color indexed="8"/>
        <rFont val="宋体"/>
        <family val="3"/>
        <charset val="134"/>
      </rPr>
      <t>条纹拟唇鱼</t>
    </r>
  </si>
  <si>
    <r>
      <rPr>
        <sz val="11"/>
        <color indexed="8"/>
        <rFont val="宋体"/>
        <family val="3"/>
        <charset val="134"/>
      </rPr>
      <t>黑鳍隆头鱼</t>
    </r>
  </si>
  <si>
    <r>
      <rPr>
        <sz val="11"/>
        <color indexed="8"/>
        <rFont val="宋体"/>
        <family val="3"/>
        <charset val="134"/>
      </rPr>
      <t>红虹彩鱼</t>
    </r>
  </si>
  <si>
    <r>
      <rPr>
        <sz val="11"/>
        <color indexed="8"/>
        <rFont val="宋体"/>
        <family val="3"/>
        <charset val="134"/>
      </rPr>
      <t>丽虹彩鱼</t>
    </r>
  </si>
  <si>
    <r>
      <rPr>
        <sz val="11"/>
        <color indexed="8"/>
        <rFont val="宋体"/>
        <family val="3"/>
        <charset val="134"/>
      </rPr>
      <t>黑斑虹彩鱼</t>
    </r>
  </si>
  <si>
    <r>
      <rPr>
        <sz val="11"/>
        <color indexed="8"/>
        <rFont val="宋体"/>
        <family val="3"/>
        <charset val="134"/>
      </rPr>
      <t>巴夫虹彩鱼</t>
    </r>
  </si>
  <si>
    <r>
      <rPr>
        <sz val="11"/>
        <color indexed="8"/>
        <rFont val="宋体"/>
        <family val="3"/>
        <charset val="134"/>
      </rPr>
      <t>鹦嘴鱼科</t>
    </r>
  </si>
  <si>
    <r>
      <rPr>
        <sz val="11"/>
        <color indexed="8"/>
        <rFont val="宋体"/>
        <family val="3"/>
        <charset val="134"/>
      </rPr>
      <t>二色大鹦嘴鱼</t>
    </r>
  </si>
  <si>
    <r>
      <rPr>
        <sz val="11"/>
        <color indexed="8"/>
        <rFont val="宋体"/>
        <family val="3"/>
        <charset val="134"/>
      </rPr>
      <t>驼背大鹦嘴鱼</t>
    </r>
  </si>
  <si>
    <r>
      <rPr>
        <sz val="11"/>
        <color indexed="8"/>
        <rFont val="宋体"/>
        <family val="3"/>
        <charset val="134"/>
      </rPr>
      <t>卡罗绚鹦嘴鱼</t>
    </r>
  </si>
  <si>
    <r>
      <rPr>
        <sz val="11"/>
        <color indexed="8"/>
        <rFont val="宋体"/>
        <family val="3"/>
        <charset val="134"/>
      </rPr>
      <t>圆尾绚鹦嘴鱼</t>
    </r>
  </si>
  <si>
    <r>
      <rPr>
        <sz val="11"/>
        <color indexed="8"/>
        <rFont val="宋体"/>
        <family val="3"/>
        <charset val="134"/>
      </rPr>
      <t>凹尾绚鹦嘴鱼</t>
    </r>
  </si>
  <si>
    <r>
      <rPr>
        <sz val="11"/>
        <color indexed="8"/>
        <rFont val="宋体"/>
        <family val="3"/>
        <charset val="134"/>
      </rPr>
      <t>纤鹦嘴鱼</t>
    </r>
  </si>
  <si>
    <r>
      <rPr>
        <sz val="11"/>
        <color indexed="8"/>
        <rFont val="宋体"/>
        <family val="3"/>
        <charset val="134"/>
      </rPr>
      <t>钝头鹦嘴鱼</t>
    </r>
  </si>
  <si>
    <r>
      <rPr>
        <sz val="11"/>
        <color indexed="8"/>
        <rFont val="宋体"/>
        <family val="3"/>
        <charset val="134"/>
      </rPr>
      <t>条腹鹦嘴鱼</t>
    </r>
  </si>
  <si>
    <r>
      <rPr>
        <sz val="11"/>
        <color indexed="8"/>
        <rFont val="宋体"/>
        <family val="3"/>
        <charset val="134"/>
      </rPr>
      <t>红鹦嘴鱼</t>
    </r>
  </si>
  <si>
    <r>
      <rPr>
        <sz val="11"/>
        <color indexed="8"/>
        <rFont val="宋体"/>
        <family val="3"/>
        <charset val="134"/>
      </rPr>
      <t>包氏鹦嘴鱼</t>
    </r>
  </si>
  <si>
    <r>
      <rPr>
        <sz val="11"/>
        <color indexed="8"/>
        <rFont val="宋体"/>
        <family val="3"/>
        <charset val="134"/>
      </rPr>
      <t>绿牙鹦嘴鱼</t>
    </r>
  </si>
  <si>
    <r>
      <rPr>
        <sz val="11"/>
        <color indexed="8"/>
        <rFont val="宋体"/>
        <family val="3"/>
        <charset val="134"/>
      </rPr>
      <t>弧带鹦嘴鱼</t>
    </r>
  </si>
  <si>
    <r>
      <rPr>
        <sz val="11"/>
        <color indexed="8"/>
        <rFont val="宋体"/>
        <family val="3"/>
        <charset val="134"/>
      </rPr>
      <t>带纹鹦嘴鱼</t>
    </r>
  </si>
  <si>
    <r>
      <rPr>
        <sz val="11"/>
        <color indexed="8"/>
        <rFont val="宋体"/>
        <family val="3"/>
        <charset val="134"/>
      </rPr>
      <t>横纹鹦嘴鱼</t>
    </r>
  </si>
  <si>
    <r>
      <rPr>
        <sz val="11"/>
        <color indexed="8"/>
        <rFont val="宋体"/>
        <family val="3"/>
        <charset val="134"/>
      </rPr>
      <t>绿唇鹦嘴鱼</t>
    </r>
  </si>
  <si>
    <r>
      <rPr>
        <sz val="11"/>
        <color indexed="8"/>
        <rFont val="宋体"/>
        <family val="3"/>
        <charset val="134"/>
      </rPr>
      <t>网条鹦嘴鱼</t>
    </r>
  </si>
  <si>
    <r>
      <rPr>
        <sz val="11"/>
        <color indexed="8"/>
        <rFont val="宋体"/>
        <family val="3"/>
        <charset val="134"/>
      </rPr>
      <t>青点鹦嘴鱼</t>
    </r>
  </si>
  <si>
    <r>
      <rPr>
        <sz val="11"/>
        <color indexed="8"/>
        <rFont val="宋体"/>
        <family val="3"/>
        <charset val="134"/>
      </rPr>
      <t>小吻鹦嘴鱼</t>
    </r>
  </si>
  <si>
    <r>
      <rPr>
        <sz val="11"/>
        <color indexed="8"/>
        <rFont val="宋体"/>
        <family val="3"/>
        <charset val="134"/>
      </rPr>
      <t>黑斑鹦嘴鱼</t>
    </r>
  </si>
  <si>
    <r>
      <rPr>
        <sz val="11"/>
        <color indexed="8"/>
        <rFont val="宋体"/>
        <family val="3"/>
        <charset val="134"/>
      </rPr>
      <t>蓝颊鹦嘴鱼</t>
    </r>
  </si>
  <si>
    <r>
      <rPr>
        <sz val="11"/>
        <color indexed="8"/>
        <rFont val="宋体"/>
        <family val="3"/>
        <charset val="134"/>
      </rPr>
      <t>侧带鹦嘴鱼</t>
    </r>
  </si>
  <si>
    <r>
      <rPr>
        <sz val="11"/>
        <color indexed="8"/>
        <rFont val="宋体"/>
        <family val="3"/>
        <charset val="134"/>
      </rPr>
      <t>长头鹦嘴鱼</t>
    </r>
  </si>
  <si>
    <r>
      <rPr>
        <sz val="11"/>
        <color indexed="8"/>
        <rFont val="宋体"/>
        <family val="3"/>
        <charset val="134"/>
      </rPr>
      <t>新月鹦嘴鱼</t>
    </r>
  </si>
  <si>
    <r>
      <rPr>
        <sz val="11"/>
        <color indexed="8"/>
        <rFont val="宋体"/>
        <family val="3"/>
        <charset val="134"/>
      </rPr>
      <t>黑鹦嘴鱼</t>
    </r>
  </si>
  <si>
    <r>
      <rPr>
        <sz val="11"/>
        <color indexed="8"/>
        <rFont val="宋体"/>
        <family val="3"/>
        <charset val="134"/>
      </rPr>
      <t>疣鹦嘴鱼</t>
    </r>
  </si>
  <si>
    <r>
      <rPr>
        <sz val="11"/>
        <color indexed="8"/>
        <rFont val="宋体"/>
        <family val="3"/>
        <charset val="134"/>
      </rPr>
      <t>黄鞍鹦嘴鱼</t>
    </r>
  </si>
  <si>
    <r>
      <rPr>
        <sz val="11"/>
        <color indexed="8"/>
        <rFont val="宋体"/>
        <family val="3"/>
        <charset val="134"/>
      </rPr>
      <t>突额鹦嘴鱼</t>
    </r>
  </si>
  <si>
    <r>
      <rPr>
        <sz val="11"/>
        <color indexed="8"/>
        <rFont val="宋体"/>
        <family val="3"/>
        <charset val="134"/>
      </rPr>
      <t>缘颌鹦嘴鱼</t>
    </r>
  </si>
  <si>
    <r>
      <rPr>
        <sz val="11"/>
        <color indexed="8"/>
        <rFont val="宋体"/>
        <family val="3"/>
        <charset val="134"/>
      </rPr>
      <t>鹦鹉鹦嘴鱼</t>
    </r>
  </si>
  <si>
    <r>
      <rPr>
        <sz val="11"/>
        <color indexed="8"/>
        <rFont val="宋体"/>
        <family val="3"/>
        <charset val="134"/>
      </rPr>
      <t>红尾鹦嘴鱼</t>
    </r>
  </si>
  <si>
    <r>
      <rPr>
        <sz val="11"/>
        <color indexed="8"/>
        <rFont val="宋体"/>
        <family val="3"/>
        <charset val="134"/>
      </rPr>
      <t>杂纹鹦嘴鱼</t>
    </r>
  </si>
  <si>
    <r>
      <rPr>
        <sz val="11"/>
        <color indexed="8"/>
        <rFont val="宋体"/>
        <family val="3"/>
        <charset val="134"/>
      </rPr>
      <t>横带鹦嘴鱼</t>
    </r>
  </si>
  <si>
    <r>
      <rPr>
        <sz val="11"/>
        <color indexed="8"/>
        <rFont val="宋体"/>
        <family val="3"/>
        <charset val="134"/>
      </rPr>
      <t>史氏鹦嘴鱼</t>
    </r>
  </si>
  <si>
    <r>
      <rPr>
        <sz val="11"/>
        <color indexed="8"/>
        <rFont val="宋体"/>
        <family val="3"/>
        <charset val="134"/>
      </rPr>
      <t>灰鹦嘴鱼</t>
    </r>
  </si>
  <si>
    <r>
      <rPr>
        <sz val="11"/>
        <color indexed="8"/>
        <rFont val="宋体"/>
        <family val="3"/>
        <charset val="134"/>
      </rPr>
      <t>带尾鹦嘴鱼</t>
    </r>
  </si>
  <si>
    <r>
      <rPr>
        <sz val="11"/>
        <color indexed="8"/>
        <rFont val="宋体"/>
        <family val="3"/>
        <charset val="134"/>
      </rPr>
      <t>五带鹦嘴鱼</t>
    </r>
  </si>
  <si>
    <r>
      <rPr>
        <sz val="11"/>
        <color indexed="8"/>
        <rFont val="宋体"/>
        <family val="3"/>
        <charset val="134"/>
      </rPr>
      <t>雀鲷科</t>
    </r>
  </si>
  <si>
    <r>
      <rPr>
        <sz val="11"/>
        <color indexed="8"/>
        <rFont val="宋体"/>
        <family val="3"/>
        <charset val="134"/>
      </rPr>
      <t>攀鲈豆娘鱼</t>
    </r>
  </si>
  <si>
    <r>
      <rPr>
        <sz val="11"/>
        <color indexed="8"/>
        <rFont val="宋体"/>
        <family val="3"/>
        <charset val="134"/>
      </rPr>
      <t>金豆娘鱼</t>
    </r>
  </si>
  <si>
    <r>
      <rPr>
        <sz val="11"/>
        <color indexed="8"/>
        <rFont val="宋体"/>
        <family val="3"/>
        <charset val="134"/>
      </rPr>
      <t>班刻豆娘鱼</t>
    </r>
  </si>
  <si>
    <r>
      <rPr>
        <sz val="11"/>
        <color indexed="8"/>
        <rFont val="宋体"/>
        <family val="3"/>
        <charset val="134"/>
      </rPr>
      <t>班氏豆娘鱼</t>
    </r>
  </si>
  <si>
    <r>
      <rPr>
        <sz val="11"/>
        <color indexed="8"/>
        <rFont val="宋体"/>
        <family val="3"/>
        <charset val="134"/>
      </rPr>
      <t>孟加拉豆娘鱼</t>
    </r>
  </si>
  <si>
    <r>
      <rPr>
        <sz val="11"/>
        <color indexed="8"/>
        <rFont val="宋体"/>
        <family val="3"/>
        <charset val="134"/>
      </rPr>
      <t>双斑豆娘鱼</t>
    </r>
  </si>
  <si>
    <r>
      <rPr>
        <sz val="11"/>
        <color indexed="8"/>
        <rFont val="宋体"/>
        <family val="3"/>
        <charset val="134"/>
      </rPr>
      <t>蓝豆娘鱼</t>
    </r>
  </si>
  <si>
    <r>
      <rPr>
        <sz val="11"/>
        <color indexed="8"/>
        <rFont val="宋体"/>
        <family val="3"/>
        <charset val="134"/>
      </rPr>
      <t>库拉索豆娘鱼</t>
    </r>
  </si>
  <si>
    <r>
      <rPr>
        <sz val="11"/>
        <color indexed="8"/>
        <rFont val="宋体"/>
        <family val="3"/>
        <charset val="134"/>
      </rPr>
      <t>吻带豆娘鱼</t>
    </r>
  </si>
  <si>
    <r>
      <rPr>
        <sz val="11"/>
        <color indexed="8"/>
        <rFont val="宋体"/>
        <family val="3"/>
        <charset val="134"/>
      </rPr>
      <t>弧带豆娘鱼</t>
    </r>
  </si>
  <si>
    <r>
      <rPr>
        <sz val="11"/>
        <color indexed="8"/>
        <rFont val="宋体"/>
        <family val="3"/>
        <charset val="134"/>
      </rPr>
      <t>素豆娘鱼</t>
    </r>
  </si>
  <si>
    <r>
      <rPr>
        <sz val="11"/>
        <color indexed="8"/>
        <rFont val="宋体"/>
        <family val="3"/>
        <charset val="134"/>
      </rPr>
      <t>荧点豆娘鱼</t>
    </r>
  </si>
  <si>
    <r>
      <rPr>
        <sz val="11"/>
        <color indexed="8"/>
        <rFont val="宋体"/>
        <family val="3"/>
        <charset val="134"/>
      </rPr>
      <t>白腹豆娘鱼</t>
    </r>
  </si>
  <si>
    <r>
      <rPr>
        <sz val="11"/>
        <color indexed="8"/>
        <rFont val="宋体"/>
        <family val="3"/>
        <charset val="134"/>
      </rPr>
      <t>劳氏豆娘鱼</t>
    </r>
  </si>
  <si>
    <r>
      <rPr>
        <sz val="11"/>
        <color indexed="8"/>
        <rFont val="宋体"/>
        <family val="3"/>
        <charset val="134"/>
      </rPr>
      <t>黑豆娘鱼</t>
    </r>
  </si>
  <si>
    <r>
      <rPr>
        <sz val="11"/>
        <color indexed="8"/>
        <rFont val="宋体"/>
        <family val="3"/>
        <charset val="134"/>
      </rPr>
      <t>黄尾豆娘鱼</t>
    </r>
  </si>
  <si>
    <r>
      <rPr>
        <sz val="11"/>
        <color indexed="8"/>
        <rFont val="宋体"/>
        <family val="3"/>
        <charset val="134"/>
      </rPr>
      <t>黑边豆娘鱼</t>
    </r>
  </si>
  <si>
    <r>
      <rPr>
        <sz val="11"/>
        <color indexed="8"/>
        <rFont val="宋体"/>
        <family val="3"/>
        <charset val="134"/>
      </rPr>
      <t>七纹豆娘鱼</t>
    </r>
  </si>
  <si>
    <r>
      <rPr>
        <sz val="11"/>
        <color indexed="8"/>
        <rFont val="宋体"/>
        <family val="3"/>
        <charset val="134"/>
      </rPr>
      <t>六带豆娘鱼</t>
    </r>
  </si>
  <si>
    <r>
      <rPr>
        <sz val="11"/>
        <color indexed="8"/>
        <rFont val="宋体"/>
        <family val="3"/>
        <charset val="134"/>
      </rPr>
      <t>豆娘鱼</t>
    </r>
  </si>
  <si>
    <r>
      <rPr>
        <sz val="11"/>
        <color indexed="8"/>
        <rFont val="宋体"/>
        <family val="3"/>
        <charset val="134"/>
      </rPr>
      <t>胸带豆娘鱼</t>
    </r>
  </si>
  <si>
    <r>
      <rPr>
        <sz val="11"/>
        <color indexed="8"/>
        <rFont val="宋体"/>
        <family val="3"/>
        <charset val="134"/>
      </rPr>
      <t>单斑豆娘鱼</t>
    </r>
  </si>
  <si>
    <r>
      <rPr>
        <sz val="11"/>
        <color indexed="8"/>
        <rFont val="宋体"/>
        <family val="3"/>
        <charset val="134"/>
      </rPr>
      <t>五带豆娘鱼</t>
    </r>
  </si>
  <si>
    <r>
      <rPr>
        <sz val="11"/>
        <color indexed="8"/>
        <rFont val="宋体"/>
        <family val="3"/>
        <charset val="134"/>
      </rPr>
      <t>黄带豆娘鱼</t>
    </r>
  </si>
  <si>
    <r>
      <rPr>
        <sz val="11"/>
        <color indexed="8"/>
        <rFont val="宋体"/>
        <family val="3"/>
        <charset val="134"/>
      </rPr>
      <t>黄斑豆娘鱼</t>
    </r>
  </si>
  <si>
    <r>
      <rPr>
        <sz val="11"/>
        <color indexed="8"/>
        <rFont val="宋体"/>
        <family val="3"/>
        <charset val="134"/>
      </rPr>
      <t>黄身宽齿雀鲷</t>
    </r>
  </si>
  <si>
    <r>
      <rPr>
        <sz val="11"/>
        <color indexed="8"/>
        <rFont val="宋体"/>
        <family val="3"/>
        <charset val="134"/>
      </rPr>
      <t>黑吻宽齿雀鲷</t>
    </r>
  </si>
  <si>
    <r>
      <rPr>
        <sz val="11"/>
        <color indexed="8"/>
        <rFont val="宋体"/>
        <family val="3"/>
        <charset val="134"/>
      </rPr>
      <t>背纹双锯鱼</t>
    </r>
  </si>
  <si>
    <r>
      <rPr>
        <sz val="11"/>
        <color indexed="8"/>
        <rFont val="宋体"/>
        <family val="3"/>
        <charset val="134"/>
      </rPr>
      <t>二带双锯鱼</t>
    </r>
  </si>
  <si>
    <r>
      <rPr>
        <sz val="11"/>
        <color indexed="8"/>
        <rFont val="宋体"/>
        <family val="3"/>
        <charset val="134"/>
      </rPr>
      <t>克氏双锯鱼</t>
    </r>
  </si>
  <si>
    <r>
      <rPr>
        <sz val="11"/>
        <color indexed="8"/>
        <rFont val="宋体"/>
        <family val="3"/>
        <charset val="134"/>
      </rPr>
      <t>白条双锯鱼</t>
    </r>
  </si>
  <si>
    <r>
      <rPr>
        <sz val="11"/>
        <color indexed="8"/>
        <rFont val="宋体"/>
        <family val="3"/>
        <charset val="134"/>
      </rPr>
      <t>三带双锯鱼</t>
    </r>
  </si>
  <si>
    <r>
      <rPr>
        <sz val="11"/>
        <color indexed="8"/>
        <rFont val="宋体"/>
        <family val="3"/>
        <charset val="134"/>
      </rPr>
      <t>颈环双锯鱼</t>
    </r>
  </si>
  <si>
    <r>
      <rPr>
        <sz val="11"/>
        <color indexed="8"/>
        <rFont val="宋体"/>
        <family val="3"/>
        <charset val="134"/>
      </rPr>
      <t>黑双锯鱼</t>
    </r>
  </si>
  <si>
    <r>
      <rPr>
        <sz val="11"/>
        <color indexed="8"/>
        <rFont val="宋体"/>
        <family val="3"/>
        <charset val="134"/>
      </rPr>
      <t>锯唇鱼</t>
    </r>
  </si>
  <si>
    <r>
      <rPr>
        <sz val="11"/>
        <color indexed="8"/>
        <rFont val="宋体"/>
        <family val="3"/>
        <charset val="134"/>
      </rPr>
      <t>艾仑光鳃鱼</t>
    </r>
  </si>
  <si>
    <r>
      <rPr>
        <sz val="11"/>
        <color indexed="8"/>
        <rFont val="宋体"/>
        <family val="3"/>
        <charset val="134"/>
      </rPr>
      <t>长臀光鳃鱼</t>
    </r>
  </si>
  <si>
    <r>
      <rPr>
        <sz val="11"/>
        <color indexed="8"/>
        <rFont val="宋体"/>
        <family val="3"/>
        <charset val="134"/>
      </rPr>
      <t>月腋光鳃鱼</t>
    </r>
  </si>
  <si>
    <r>
      <rPr>
        <sz val="11"/>
        <color indexed="8"/>
        <rFont val="宋体"/>
        <family val="3"/>
        <charset val="134"/>
      </rPr>
      <t>黑鳍光鳃鱼</t>
    </r>
  </si>
  <si>
    <r>
      <rPr>
        <sz val="11"/>
        <color indexed="8"/>
        <rFont val="宋体"/>
        <family val="3"/>
        <charset val="134"/>
      </rPr>
      <t>蓝光鳃鱼</t>
    </r>
  </si>
  <si>
    <r>
      <rPr>
        <sz val="11"/>
        <color indexed="8"/>
        <rFont val="宋体"/>
        <family val="3"/>
        <charset val="134"/>
      </rPr>
      <t>长棘光鳃鱼</t>
    </r>
  </si>
  <si>
    <r>
      <rPr>
        <sz val="11"/>
        <color indexed="8"/>
        <rFont val="宋体"/>
        <family val="3"/>
        <charset val="134"/>
      </rPr>
      <t>双色光鳃鱼</t>
    </r>
  </si>
  <si>
    <r>
      <rPr>
        <sz val="11"/>
        <color indexed="8"/>
        <rFont val="宋体"/>
        <family val="3"/>
        <charset val="134"/>
      </rPr>
      <t>伊乐光鳃鱼</t>
    </r>
  </si>
  <si>
    <r>
      <rPr>
        <sz val="11"/>
        <color indexed="8"/>
        <rFont val="宋体"/>
        <family val="3"/>
        <charset val="134"/>
      </rPr>
      <t>烟色光鳃鱼</t>
    </r>
  </si>
  <si>
    <r>
      <rPr>
        <sz val="11"/>
        <color indexed="8"/>
        <rFont val="宋体"/>
        <family val="3"/>
        <charset val="134"/>
      </rPr>
      <t>琉球光鳃鱼</t>
    </r>
  </si>
  <si>
    <r>
      <rPr>
        <sz val="11"/>
        <color indexed="8"/>
        <rFont val="宋体"/>
        <family val="3"/>
        <charset val="134"/>
      </rPr>
      <t>细鳞光鳃鱼</t>
    </r>
  </si>
  <si>
    <r>
      <rPr>
        <sz val="11"/>
        <color indexed="8"/>
        <rFont val="宋体"/>
        <family val="3"/>
        <charset val="134"/>
      </rPr>
      <t>二色光鳃鱼</t>
    </r>
  </si>
  <si>
    <r>
      <rPr>
        <sz val="11"/>
        <color indexed="8"/>
        <rFont val="宋体"/>
        <family val="3"/>
        <charset val="134"/>
      </rPr>
      <t>斑鳍光鳃鱼</t>
    </r>
  </si>
  <si>
    <r>
      <rPr>
        <sz val="11"/>
        <color indexed="8"/>
        <rFont val="宋体"/>
        <family val="3"/>
        <charset val="134"/>
      </rPr>
      <t>卵形光鳃鱼</t>
    </r>
  </si>
  <si>
    <r>
      <rPr>
        <sz val="11"/>
        <color indexed="8"/>
        <rFont val="宋体"/>
        <family val="3"/>
        <charset val="134"/>
      </rPr>
      <t>黑带光鳃鱼</t>
    </r>
  </si>
  <si>
    <r>
      <rPr>
        <sz val="11"/>
        <color indexed="8"/>
        <rFont val="宋体"/>
        <family val="3"/>
        <charset val="134"/>
      </rPr>
      <t>条尾光鳃鱼</t>
    </r>
  </si>
  <si>
    <r>
      <rPr>
        <sz val="11"/>
        <color indexed="8"/>
        <rFont val="宋体"/>
        <family val="3"/>
        <charset val="134"/>
      </rPr>
      <t>凡氏光鳃鱼</t>
    </r>
  </si>
  <si>
    <r>
      <rPr>
        <sz val="11"/>
        <color indexed="8"/>
        <rFont val="宋体"/>
        <family val="3"/>
        <charset val="134"/>
      </rPr>
      <t>蓝绿光鳃鱼</t>
    </r>
  </si>
  <si>
    <r>
      <rPr>
        <sz val="11"/>
        <color indexed="8"/>
        <rFont val="宋体"/>
        <family val="3"/>
        <charset val="134"/>
      </rPr>
      <t>魏氏光鳃鱼</t>
    </r>
  </si>
  <si>
    <r>
      <rPr>
        <sz val="11"/>
        <color indexed="8"/>
        <rFont val="宋体"/>
        <family val="3"/>
        <charset val="134"/>
      </rPr>
      <t>黄光鳃鱼</t>
    </r>
  </si>
  <si>
    <r>
      <rPr>
        <sz val="11"/>
        <color indexed="8"/>
        <rFont val="宋体"/>
        <family val="3"/>
        <charset val="134"/>
      </rPr>
      <t>黄尾光鳃鱼</t>
    </r>
  </si>
  <si>
    <r>
      <rPr>
        <sz val="11"/>
        <color indexed="8"/>
        <rFont val="宋体"/>
        <family val="3"/>
        <charset val="134"/>
      </rPr>
      <t>二点刻齿雀鲷</t>
    </r>
  </si>
  <si>
    <r>
      <rPr>
        <sz val="11"/>
        <color indexed="8"/>
        <rFont val="宋体"/>
        <family val="3"/>
        <charset val="134"/>
      </rPr>
      <t>蓝刻齿雀鲷</t>
    </r>
  </si>
  <si>
    <r>
      <rPr>
        <sz val="11"/>
        <color indexed="8"/>
        <rFont val="宋体"/>
        <family val="3"/>
        <charset val="134"/>
      </rPr>
      <t>灰刻齿雀鲷</t>
    </r>
  </si>
  <si>
    <r>
      <rPr>
        <sz val="11"/>
        <color indexed="8"/>
        <rFont val="宋体"/>
        <family val="3"/>
        <charset val="134"/>
      </rPr>
      <t>台带刻齿雀鲷</t>
    </r>
  </si>
  <si>
    <r>
      <rPr>
        <sz val="11"/>
        <color indexed="8"/>
        <rFont val="宋体"/>
        <family val="3"/>
        <charset val="134"/>
      </rPr>
      <t>勒氏刻齿雀鲷</t>
    </r>
  </si>
  <si>
    <r>
      <rPr>
        <sz val="11"/>
        <color indexed="8"/>
        <rFont val="宋体"/>
        <family val="3"/>
        <charset val="134"/>
      </rPr>
      <t>史氏刻齿雀鲷</t>
    </r>
  </si>
  <si>
    <r>
      <rPr>
        <sz val="11"/>
        <color indexed="8"/>
        <rFont val="宋体"/>
        <family val="3"/>
        <charset val="134"/>
      </rPr>
      <t>宅泥鱼</t>
    </r>
  </si>
  <si>
    <r>
      <rPr>
        <sz val="11"/>
        <color indexed="8"/>
        <rFont val="宋体"/>
        <family val="3"/>
        <charset val="134"/>
      </rPr>
      <t>灰边宅泥鱼</t>
    </r>
  </si>
  <si>
    <r>
      <rPr>
        <sz val="11"/>
        <color indexed="8"/>
        <rFont val="宋体"/>
        <family val="3"/>
        <charset val="134"/>
      </rPr>
      <t>黑尾宅泥鱼</t>
    </r>
  </si>
  <si>
    <r>
      <rPr>
        <sz val="11"/>
        <color indexed="8"/>
        <rFont val="宋体"/>
        <family val="3"/>
        <charset val="134"/>
      </rPr>
      <t>网纹宅泥鱼</t>
    </r>
  </si>
  <si>
    <r>
      <rPr>
        <sz val="11"/>
        <color indexed="8"/>
        <rFont val="宋体"/>
        <family val="3"/>
        <charset val="134"/>
      </rPr>
      <t>三斑宅泥鱼</t>
    </r>
  </si>
  <si>
    <r>
      <rPr>
        <sz val="11"/>
        <color indexed="8"/>
        <rFont val="宋体"/>
        <family val="3"/>
        <charset val="134"/>
      </rPr>
      <t>乔氏台雅鱼</t>
    </r>
  </si>
  <si>
    <r>
      <rPr>
        <sz val="11"/>
        <color indexed="8"/>
        <rFont val="宋体"/>
        <family val="3"/>
        <charset val="134"/>
      </rPr>
      <t>密鳃鱼</t>
    </r>
  </si>
  <si>
    <r>
      <rPr>
        <sz val="11"/>
        <color indexed="8"/>
        <rFont val="宋体"/>
        <family val="3"/>
        <charset val="134"/>
      </rPr>
      <t>黑副雀鲷</t>
    </r>
  </si>
  <si>
    <r>
      <rPr>
        <sz val="11"/>
        <color indexed="8"/>
        <rFont val="宋体"/>
        <family val="3"/>
        <charset val="134"/>
      </rPr>
      <t>黑褐副雀鲷</t>
    </r>
  </si>
  <si>
    <r>
      <rPr>
        <sz val="11"/>
        <color indexed="8"/>
        <rFont val="宋体"/>
        <family val="3"/>
        <charset val="134"/>
      </rPr>
      <t>奇新雀鲷</t>
    </r>
  </si>
  <si>
    <r>
      <rPr>
        <sz val="11"/>
        <color indexed="8"/>
        <rFont val="宋体"/>
        <family val="3"/>
        <charset val="134"/>
      </rPr>
      <t>戴氏棘雀鲷</t>
    </r>
  </si>
  <si>
    <r>
      <rPr>
        <sz val="11"/>
        <color indexed="8"/>
        <rFont val="宋体"/>
        <family val="3"/>
        <charset val="134"/>
      </rPr>
      <t>歪鳍棘雀鲷</t>
    </r>
  </si>
  <si>
    <r>
      <rPr>
        <sz val="11"/>
        <color indexed="8"/>
        <rFont val="宋体"/>
        <family val="3"/>
        <charset val="134"/>
      </rPr>
      <t>带尾棘雀鲷</t>
    </r>
  </si>
  <si>
    <r>
      <rPr>
        <sz val="11"/>
        <color indexed="8"/>
        <rFont val="宋体"/>
        <family val="3"/>
        <charset val="134"/>
      </rPr>
      <t>珠点棘雀鲷</t>
    </r>
  </si>
  <si>
    <r>
      <rPr>
        <sz val="11"/>
        <color indexed="8"/>
        <rFont val="宋体"/>
        <family val="3"/>
        <charset val="134"/>
      </rPr>
      <t>白棘雀鲷</t>
    </r>
  </si>
  <si>
    <r>
      <rPr>
        <sz val="11"/>
        <color indexed="8"/>
        <rFont val="宋体"/>
        <family val="3"/>
        <charset val="134"/>
      </rPr>
      <t>白带雀鲷</t>
    </r>
  </si>
  <si>
    <r>
      <rPr>
        <sz val="11"/>
        <color indexed="8"/>
        <rFont val="宋体"/>
        <family val="3"/>
        <charset val="134"/>
      </rPr>
      <t>安邦雀鲷</t>
    </r>
  </si>
  <si>
    <r>
      <rPr>
        <sz val="11"/>
        <color indexed="8"/>
        <rFont val="宋体"/>
        <family val="3"/>
        <charset val="134"/>
      </rPr>
      <t>班卡雀鲷</t>
    </r>
  </si>
  <si>
    <r>
      <rPr>
        <sz val="11"/>
        <color indexed="8"/>
        <rFont val="宋体"/>
        <family val="3"/>
        <charset val="134"/>
      </rPr>
      <t>白尾雀鲷</t>
    </r>
  </si>
  <si>
    <r>
      <rPr>
        <sz val="11"/>
        <color indexed="8"/>
        <rFont val="宋体"/>
        <family val="3"/>
        <charset val="134"/>
      </rPr>
      <t>霓虹雀鲷</t>
    </r>
  </si>
  <si>
    <r>
      <rPr>
        <sz val="11"/>
        <color indexed="8"/>
        <rFont val="宋体"/>
        <family val="3"/>
        <charset val="134"/>
      </rPr>
      <t>斑鳍雀鲷</t>
    </r>
  </si>
  <si>
    <r>
      <rPr>
        <sz val="11"/>
        <color indexed="8"/>
        <rFont val="宋体"/>
        <family val="3"/>
        <charset val="134"/>
      </rPr>
      <t>黑边雀鲷</t>
    </r>
  </si>
  <si>
    <r>
      <rPr>
        <sz val="11"/>
        <color indexed="8"/>
        <rFont val="宋体"/>
        <family val="3"/>
        <charset val="134"/>
      </rPr>
      <t>颊鳞雀鲷</t>
    </r>
  </si>
  <si>
    <r>
      <rPr>
        <sz val="11"/>
        <color indexed="8"/>
        <rFont val="宋体"/>
        <family val="3"/>
        <charset val="134"/>
      </rPr>
      <t>长吻雀鲷</t>
    </r>
  </si>
  <si>
    <r>
      <rPr>
        <sz val="11"/>
        <color indexed="8"/>
        <rFont val="宋体"/>
        <family val="3"/>
        <charset val="134"/>
      </rPr>
      <t>黑鳍雀鲷</t>
    </r>
  </si>
  <si>
    <r>
      <rPr>
        <sz val="11"/>
        <color indexed="8"/>
        <rFont val="宋体"/>
        <family val="3"/>
        <charset val="134"/>
      </rPr>
      <t>黄雀鲷</t>
    </r>
  </si>
  <si>
    <r>
      <rPr>
        <sz val="11"/>
        <color indexed="8"/>
        <rFont val="宋体"/>
        <family val="3"/>
        <charset val="134"/>
      </rPr>
      <t>长崎雀鲷</t>
    </r>
  </si>
  <si>
    <r>
      <rPr>
        <sz val="11"/>
        <color indexed="8"/>
        <rFont val="宋体"/>
        <family val="3"/>
        <charset val="134"/>
      </rPr>
      <t>黑雀鲷</t>
    </r>
  </si>
  <si>
    <r>
      <rPr>
        <sz val="11"/>
        <color indexed="8"/>
        <rFont val="宋体"/>
        <family val="3"/>
        <charset val="134"/>
      </rPr>
      <t>黑鳍缘雀鲷</t>
    </r>
  </si>
  <si>
    <r>
      <rPr>
        <sz val="11"/>
        <color indexed="8"/>
        <rFont val="宋体"/>
        <family val="3"/>
        <charset val="134"/>
      </rPr>
      <t>暗色雀鲷</t>
    </r>
  </si>
  <si>
    <r>
      <rPr>
        <sz val="11"/>
        <color indexed="8"/>
        <rFont val="宋体"/>
        <family val="3"/>
        <charset val="134"/>
      </rPr>
      <t>黑背雀鲷</t>
    </r>
  </si>
  <si>
    <r>
      <rPr>
        <sz val="11"/>
        <color indexed="8"/>
        <rFont val="宋体"/>
        <family val="3"/>
        <charset val="134"/>
      </rPr>
      <t>孔雀雀鲷</t>
    </r>
  </si>
  <si>
    <r>
      <rPr>
        <sz val="11"/>
        <color indexed="8"/>
        <rFont val="宋体"/>
        <family val="3"/>
        <charset val="134"/>
      </rPr>
      <t>黑斑雀鲷</t>
    </r>
  </si>
  <si>
    <r>
      <rPr>
        <sz val="11"/>
        <color indexed="8"/>
        <rFont val="宋体"/>
        <family val="3"/>
        <charset val="134"/>
      </rPr>
      <t>黄鳍雀鲷</t>
    </r>
  </si>
  <si>
    <r>
      <rPr>
        <sz val="11"/>
        <color indexed="8"/>
        <rFont val="宋体"/>
        <family val="3"/>
        <charset val="134"/>
      </rPr>
      <t>纹面雀鲷</t>
    </r>
  </si>
  <si>
    <r>
      <rPr>
        <sz val="11"/>
        <color indexed="8"/>
        <rFont val="宋体"/>
        <family val="3"/>
        <charset val="134"/>
      </rPr>
      <t>斑点雀鲷</t>
    </r>
  </si>
  <si>
    <r>
      <rPr>
        <sz val="11"/>
        <color indexed="8"/>
        <rFont val="宋体"/>
        <family val="3"/>
        <charset val="134"/>
      </rPr>
      <t>条尾雀鲷</t>
    </r>
  </si>
  <si>
    <r>
      <rPr>
        <sz val="11"/>
        <color indexed="8"/>
        <rFont val="宋体"/>
        <family val="3"/>
        <charset val="134"/>
      </rPr>
      <t>三斑雀鲷</t>
    </r>
  </si>
  <si>
    <r>
      <rPr>
        <sz val="11"/>
        <color indexed="8"/>
        <rFont val="宋体"/>
        <family val="3"/>
        <charset val="134"/>
      </rPr>
      <t>王子雀鲷</t>
    </r>
  </si>
  <si>
    <r>
      <rPr>
        <sz val="11"/>
        <color indexed="8"/>
        <rFont val="宋体"/>
        <family val="3"/>
        <charset val="134"/>
      </rPr>
      <t>紫雀鲷</t>
    </r>
  </si>
  <si>
    <r>
      <rPr>
        <sz val="11"/>
        <color indexed="8"/>
        <rFont val="宋体"/>
        <family val="3"/>
        <charset val="134"/>
      </rPr>
      <t>理氏波纹光鳃鱼</t>
    </r>
  </si>
  <si>
    <r>
      <rPr>
        <sz val="11"/>
        <color indexed="8"/>
        <rFont val="宋体"/>
        <family val="3"/>
        <charset val="134"/>
      </rPr>
      <t>约氏海湾雀鲷</t>
    </r>
  </si>
  <si>
    <r>
      <rPr>
        <sz val="11"/>
        <color indexed="8"/>
        <rFont val="宋体"/>
        <family val="3"/>
        <charset val="134"/>
      </rPr>
      <t>羽真雀鲷</t>
    </r>
  </si>
  <si>
    <r>
      <rPr>
        <sz val="11"/>
        <color indexed="8"/>
        <rFont val="宋体"/>
        <family val="3"/>
        <charset val="134"/>
      </rPr>
      <t>澳洲真雀鲷</t>
    </r>
  </si>
  <si>
    <r>
      <rPr>
        <sz val="11"/>
        <color indexed="8"/>
        <rFont val="宋体"/>
        <family val="3"/>
        <charset val="134"/>
      </rPr>
      <t>太平洋真雀鲷</t>
    </r>
  </si>
  <si>
    <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</si>
  <si>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rPr>
        <sz val="11"/>
        <color indexed="8"/>
        <rFont val="宋体"/>
        <family val="3"/>
        <charset val="134"/>
      </rPr>
      <t>双斑钝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</si>
  <si>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斑金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</si>
  <si>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</si>
  <si>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真丝金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</si>
  <si>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尖头金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</si>
  <si>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</si>
  <si>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长鳍鲤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</si>
  <si>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长吻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</si>
  <si>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副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</si>
  <si>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福氏副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鱼翁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</si>
  <si>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尾斑鲬状鱼</t>
    </r>
  </si>
  <si>
    <r>
      <rPr>
        <sz val="11"/>
        <color indexed="8"/>
        <rFont val="宋体"/>
        <family val="3"/>
        <charset val="134"/>
      </rPr>
      <t>鲬状鱼科</t>
    </r>
  </si>
  <si>
    <r>
      <rPr>
        <sz val="11"/>
        <color indexed="8"/>
        <rFont val="宋体"/>
        <family val="3"/>
        <charset val="134"/>
      </rPr>
      <t>曲线鲬状鱼</t>
    </r>
  </si>
  <si>
    <r>
      <rPr>
        <sz val="11"/>
        <color indexed="8"/>
        <rFont val="宋体"/>
        <family val="3"/>
        <charset val="134"/>
      </rPr>
      <t>黄斑低线鱼</t>
    </r>
  </si>
  <si>
    <r>
      <rPr>
        <sz val="11"/>
        <color indexed="8"/>
        <rFont val="宋体"/>
        <family val="3"/>
        <charset val="134"/>
      </rPr>
      <t>拟鲈科</t>
    </r>
  </si>
  <si>
    <r>
      <rPr>
        <sz val="11"/>
        <color indexed="8"/>
        <rFont val="宋体"/>
        <family val="3"/>
        <charset val="134"/>
      </rPr>
      <t>白斑拟鲈</t>
    </r>
  </si>
  <si>
    <r>
      <rPr>
        <sz val="11"/>
        <color indexed="8"/>
        <rFont val="宋体"/>
        <family val="3"/>
        <charset val="134"/>
      </rPr>
      <t>赤拟鲈</t>
    </r>
  </si>
  <si>
    <r>
      <rPr>
        <sz val="11"/>
        <color indexed="8"/>
        <rFont val="宋体"/>
        <family val="3"/>
        <charset val="134"/>
      </rPr>
      <t>肩班拟鲈</t>
    </r>
  </si>
  <si>
    <r>
      <rPr>
        <sz val="11"/>
        <color indexed="8"/>
        <rFont val="宋体"/>
        <family val="3"/>
        <charset val="134"/>
      </rPr>
      <t>圆拟鲈</t>
    </r>
  </si>
  <si>
    <r>
      <rPr>
        <sz val="11"/>
        <color indexed="8"/>
        <rFont val="宋体"/>
        <family val="3"/>
        <charset val="134"/>
      </rPr>
      <t>斑尾拟鲈</t>
    </r>
  </si>
  <si>
    <r>
      <rPr>
        <sz val="11"/>
        <color indexed="8"/>
        <rFont val="宋体"/>
        <family val="3"/>
        <charset val="134"/>
      </rPr>
      <t>蒲原拟鲈</t>
    </r>
  </si>
  <si>
    <r>
      <rPr>
        <sz val="11"/>
        <color indexed="8"/>
        <rFont val="宋体"/>
        <family val="3"/>
        <charset val="134"/>
      </rPr>
      <t>条纹拟鲈</t>
    </r>
  </si>
  <si>
    <r>
      <rPr>
        <sz val="11"/>
        <color indexed="8"/>
        <rFont val="宋体"/>
        <family val="3"/>
        <charset val="134"/>
      </rPr>
      <t>多横斑拟鲈</t>
    </r>
  </si>
  <si>
    <r>
      <rPr>
        <sz val="11"/>
        <color indexed="8"/>
        <rFont val="宋体"/>
        <family val="3"/>
        <charset val="134"/>
      </rPr>
      <t>多带拟鲈</t>
    </r>
  </si>
  <si>
    <r>
      <rPr>
        <sz val="11"/>
        <color indexed="8"/>
        <rFont val="宋体"/>
        <family val="3"/>
        <charset val="134"/>
      </rPr>
      <t>鞍带拟鲈</t>
    </r>
  </si>
  <si>
    <r>
      <rPr>
        <sz val="11"/>
        <color indexed="8"/>
        <rFont val="宋体"/>
        <family val="3"/>
        <charset val="134"/>
      </rPr>
      <t>眼斑拟鲈</t>
    </r>
  </si>
  <si>
    <r>
      <rPr>
        <sz val="11"/>
        <color indexed="8"/>
        <rFont val="宋体"/>
        <family val="3"/>
        <charset val="134"/>
      </rPr>
      <t>多眼斑拟鲈</t>
    </r>
  </si>
  <si>
    <r>
      <rPr>
        <sz val="11"/>
        <color indexed="8"/>
        <rFont val="宋体"/>
        <family val="3"/>
        <charset val="134"/>
      </rPr>
      <t>美拟鲈</t>
    </r>
  </si>
  <si>
    <r>
      <rPr>
        <sz val="11"/>
        <color indexed="8"/>
        <rFont val="宋体"/>
        <family val="3"/>
        <charset val="134"/>
      </rPr>
      <t>斑点拟鲈</t>
    </r>
  </si>
  <si>
    <r>
      <rPr>
        <sz val="11"/>
        <color indexed="8"/>
        <rFont val="宋体"/>
        <family val="3"/>
        <charset val="134"/>
      </rPr>
      <t>四棘拟鲈</t>
    </r>
  </si>
  <si>
    <r>
      <rPr>
        <sz val="11"/>
        <color indexed="8"/>
        <rFont val="宋体"/>
        <family val="3"/>
        <charset val="134"/>
      </rPr>
      <t>六带拟鲈</t>
    </r>
  </si>
  <si>
    <r>
      <rPr>
        <sz val="11"/>
        <color indexed="8"/>
        <rFont val="宋体"/>
        <family val="3"/>
        <charset val="134"/>
      </rPr>
      <t>背斑拟鲈</t>
    </r>
  </si>
  <si>
    <r>
      <rPr>
        <sz val="11"/>
        <color indexed="8"/>
        <rFont val="宋体"/>
        <family val="3"/>
        <charset val="134"/>
      </rPr>
      <t>索马里拟鲈</t>
    </r>
  </si>
  <si>
    <r>
      <rPr>
        <sz val="11"/>
        <color indexed="8"/>
        <rFont val="宋体"/>
        <family val="3"/>
        <charset val="134"/>
      </rPr>
      <t>斑棘拟鲈</t>
    </r>
  </si>
  <si>
    <r>
      <rPr>
        <sz val="11"/>
        <color indexed="8"/>
        <rFont val="宋体"/>
        <family val="3"/>
        <charset val="134"/>
      </rPr>
      <t>斑纹拟鲈</t>
    </r>
  </si>
  <si>
    <r>
      <rPr>
        <sz val="11"/>
        <color indexed="8"/>
        <rFont val="宋体"/>
        <family val="3"/>
        <charset val="134"/>
      </rPr>
      <t>黄纹拟鲈</t>
    </r>
  </si>
  <si>
    <r>
      <rPr>
        <sz val="11"/>
        <color indexed="8"/>
        <rFont val="宋体"/>
        <family val="3"/>
        <charset val="134"/>
      </rPr>
      <t>双犁鱼科</t>
    </r>
  </si>
  <si>
    <r>
      <rPr>
        <sz val="11"/>
        <color indexed="8"/>
        <rFont val="宋体"/>
        <family val="3"/>
        <charset val="134"/>
      </rPr>
      <t>大鳞棘吻鱼</t>
    </r>
  </si>
  <si>
    <r>
      <rPr>
        <sz val="11"/>
        <color indexed="8"/>
        <rFont val="宋体"/>
        <family val="3"/>
        <charset val="134"/>
      </rPr>
      <t>毛背鱼科</t>
    </r>
  </si>
  <si>
    <r>
      <rPr>
        <sz val="11"/>
        <color indexed="8"/>
        <rFont val="宋体"/>
        <family val="3"/>
        <charset val="134"/>
      </rPr>
      <t>线鳍毛背鱼</t>
    </r>
  </si>
  <si>
    <r>
      <rPr>
        <sz val="11"/>
        <color indexed="8"/>
        <rFont val="宋体"/>
        <family val="3"/>
        <charset val="134"/>
      </rPr>
      <t>毛背鱼</t>
    </r>
  </si>
  <si>
    <r>
      <rPr>
        <sz val="11"/>
        <color indexed="8"/>
        <rFont val="宋体"/>
        <family val="3"/>
        <charset val="134"/>
      </rPr>
      <t>鰧科</t>
    </r>
  </si>
  <si>
    <r>
      <rPr>
        <sz val="11"/>
        <color indexed="8"/>
        <rFont val="宋体"/>
        <family val="3"/>
        <charset val="134"/>
      </rPr>
      <t>青鰧</t>
    </r>
  </si>
  <si>
    <r>
      <rPr>
        <sz val="11"/>
        <color indexed="8"/>
        <rFont val="宋体"/>
        <family val="3"/>
        <charset val="134"/>
      </rPr>
      <t>披肩鰧</t>
    </r>
  </si>
  <si>
    <r>
      <rPr>
        <sz val="11"/>
        <color indexed="8"/>
        <rFont val="宋体"/>
        <family val="3"/>
        <charset val="134"/>
      </rPr>
      <t>双斑鰧</t>
    </r>
  </si>
  <si>
    <r>
      <rPr>
        <sz val="11"/>
        <color indexed="8"/>
        <rFont val="宋体"/>
        <family val="3"/>
        <charset val="134"/>
      </rPr>
      <t>日本鰧</t>
    </r>
  </si>
  <si>
    <r>
      <rPr>
        <sz val="11"/>
        <color indexed="8"/>
        <rFont val="宋体"/>
        <family val="3"/>
        <charset val="134"/>
      </rPr>
      <t>少鳞鰧</t>
    </r>
  </si>
  <si>
    <r>
      <rPr>
        <sz val="11"/>
        <color indexed="8"/>
        <rFont val="宋体"/>
        <family val="3"/>
        <charset val="134"/>
      </rPr>
      <t>项鳞鰧</t>
    </r>
  </si>
  <si>
    <r>
      <rPr>
        <sz val="11"/>
        <color indexed="8"/>
        <rFont val="宋体"/>
        <family val="3"/>
        <charset val="134"/>
      </rPr>
      <t>鳄齿鱼科</t>
    </r>
  </si>
  <si>
    <r>
      <rPr>
        <sz val="11"/>
        <color indexed="8"/>
        <rFont val="宋体"/>
        <family val="3"/>
        <charset val="134"/>
      </rPr>
      <t>弓背鳄齿鱼</t>
    </r>
  </si>
  <si>
    <r>
      <rPr>
        <sz val="11"/>
        <color indexed="8"/>
        <rFont val="宋体"/>
        <family val="3"/>
        <charset val="134"/>
      </rPr>
      <t>鳄齿鱼</t>
    </r>
  </si>
  <si>
    <r>
      <rPr>
        <sz val="11"/>
        <color indexed="8"/>
        <rFont val="宋体"/>
        <family val="3"/>
        <charset val="134"/>
      </rPr>
      <t>短鳄齿鱼</t>
    </r>
  </si>
  <si>
    <r>
      <rPr>
        <sz val="11"/>
        <color indexed="8"/>
        <rFont val="宋体"/>
        <family val="3"/>
        <charset val="134"/>
      </rPr>
      <t>三鳍鳚科</t>
    </r>
  </si>
  <si>
    <r>
      <rPr>
        <sz val="11"/>
        <color indexed="8"/>
        <rFont val="宋体"/>
        <family val="3"/>
        <charset val="134"/>
      </rPr>
      <t>半黑九棘鳚</t>
    </r>
  </si>
  <si>
    <r>
      <rPr>
        <sz val="11"/>
        <color indexed="8"/>
        <rFont val="宋体"/>
        <family val="3"/>
        <charset val="134"/>
      </rPr>
      <t>小九棘鳚</t>
    </r>
  </si>
  <si>
    <r>
      <rPr>
        <sz val="11"/>
        <color indexed="8"/>
        <rFont val="宋体"/>
        <family val="3"/>
        <charset val="134"/>
      </rPr>
      <t>线头弯线鳚</t>
    </r>
  </si>
  <si>
    <r>
      <rPr>
        <sz val="11"/>
        <color indexed="8"/>
        <rFont val="宋体"/>
        <family val="3"/>
        <charset val="134"/>
      </rPr>
      <t>条纹弯线鳚</t>
    </r>
  </si>
  <si>
    <r>
      <rPr>
        <sz val="11"/>
        <color indexed="8"/>
        <rFont val="宋体"/>
        <family val="3"/>
        <charset val="134"/>
      </rPr>
      <t>三鳍鳚</t>
    </r>
  </si>
  <si>
    <r>
      <rPr>
        <sz val="11"/>
        <color indexed="8"/>
        <rFont val="宋体"/>
        <family val="3"/>
        <charset val="134"/>
      </rPr>
      <t>黑尾三鳍鳚</t>
    </r>
  </si>
  <si>
    <r>
      <rPr>
        <sz val="11"/>
        <color indexed="8"/>
        <rFont val="宋体"/>
        <family val="3"/>
        <charset val="134"/>
      </rPr>
      <t>鳚科</t>
    </r>
  </si>
  <si>
    <r>
      <rPr>
        <sz val="11"/>
        <color indexed="8"/>
        <rFont val="宋体"/>
        <family val="3"/>
        <charset val="134"/>
      </rPr>
      <t>跳弹鳚</t>
    </r>
  </si>
  <si>
    <r>
      <rPr>
        <sz val="11"/>
        <color indexed="8"/>
        <rFont val="宋体"/>
        <family val="3"/>
        <charset val="134"/>
      </rPr>
      <t>太平洋吸盘鳚</t>
    </r>
  </si>
  <si>
    <r>
      <rPr>
        <sz val="11"/>
        <color indexed="8"/>
        <rFont val="宋体"/>
        <family val="3"/>
        <charset val="134"/>
      </rPr>
      <t>雷氏吸盘鳚</t>
    </r>
  </si>
  <si>
    <r>
      <rPr>
        <sz val="11"/>
        <color indexed="8"/>
        <rFont val="宋体"/>
        <family val="3"/>
        <charset val="134"/>
      </rPr>
      <t>四齿吸盘鳚</t>
    </r>
  </si>
  <si>
    <r>
      <rPr>
        <sz val="11"/>
        <color indexed="8"/>
        <rFont val="宋体"/>
        <family val="3"/>
        <charset val="134"/>
      </rPr>
      <t>长鳍盾齿鳚</t>
    </r>
  </si>
  <si>
    <r>
      <rPr>
        <sz val="11"/>
        <color indexed="8"/>
        <rFont val="宋体"/>
        <family val="3"/>
        <charset val="134"/>
      </rPr>
      <t>纵带盾齿鳚</t>
    </r>
  </si>
  <si>
    <r>
      <rPr>
        <sz val="11"/>
        <color indexed="8"/>
        <rFont val="宋体"/>
        <family val="3"/>
        <charset val="134"/>
      </rPr>
      <t>乌鳚</t>
    </r>
  </si>
  <si>
    <r>
      <rPr>
        <sz val="11"/>
        <color indexed="8"/>
        <rFont val="宋体"/>
        <family val="3"/>
        <charset val="134"/>
      </rPr>
      <t>矶鳚</t>
    </r>
  </si>
  <si>
    <r>
      <rPr>
        <sz val="11"/>
        <color indexed="8"/>
        <rFont val="宋体"/>
        <family val="3"/>
        <charset val="134"/>
      </rPr>
      <t>黑斑繐肩鳚</t>
    </r>
  </si>
  <si>
    <r>
      <rPr>
        <sz val="11"/>
        <color indexed="8"/>
        <rFont val="宋体"/>
        <family val="3"/>
        <charset val="134"/>
      </rPr>
      <t>微斑繐肩鳚</t>
    </r>
  </si>
  <si>
    <r>
      <rPr>
        <sz val="11"/>
        <color indexed="8"/>
        <rFont val="宋体"/>
        <family val="3"/>
        <charset val="134"/>
      </rPr>
      <t>摹仿繐肩鳚</t>
    </r>
  </si>
  <si>
    <r>
      <rPr>
        <sz val="11"/>
        <color indexed="8"/>
        <rFont val="宋体"/>
        <family val="3"/>
        <charset val="134"/>
      </rPr>
      <t>袋繐肩鳚</t>
    </r>
  </si>
  <si>
    <r>
      <rPr>
        <sz val="11"/>
        <color indexed="8"/>
        <rFont val="宋体"/>
        <family val="3"/>
        <charset val="134"/>
      </rPr>
      <t>多斑繐肩鳚</t>
    </r>
  </si>
  <si>
    <r>
      <rPr>
        <sz val="11"/>
        <color indexed="8"/>
        <rFont val="宋体"/>
        <family val="3"/>
        <charset val="134"/>
      </rPr>
      <t>斑繐肩鳚</t>
    </r>
  </si>
  <si>
    <r>
      <rPr>
        <sz val="11"/>
        <color indexed="8"/>
        <rFont val="宋体"/>
        <family val="3"/>
        <charset val="134"/>
      </rPr>
      <t>繐肩鳚</t>
    </r>
  </si>
  <si>
    <r>
      <rPr>
        <sz val="11"/>
        <color indexed="8"/>
        <rFont val="宋体"/>
        <family val="3"/>
        <charset val="134"/>
      </rPr>
      <t>短头美鳚</t>
    </r>
  </si>
  <si>
    <r>
      <rPr>
        <sz val="11"/>
        <color indexed="8"/>
        <rFont val="宋体"/>
        <family val="3"/>
        <charset val="134"/>
      </rPr>
      <t>纵带美鳚</t>
    </r>
  </si>
  <si>
    <r>
      <rPr>
        <sz val="11"/>
        <color indexed="8"/>
        <rFont val="宋体"/>
        <family val="3"/>
        <charset val="134"/>
      </rPr>
      <t>双色异齿鳚</t>
    </r>
  </si>
  <si>
    <r>
      <rPr>
        <sz val="11"/>
        <color indexed="8"/>
        <rFont val="宋体"/>
        <family val="3"/>
        <charset val="134"/>
      </rPr>
      <t>额异齿鳚</t>
    </r>
  </si>
  <si>
    <r>
      <rPr>
        <sz val="11"/>
        <color indexed="8"/>
        <rFont val="宋体"/>
        <family val="3"/>
        <charset val="134"/>
      </rPr>
      <t>条纹异齿鳚</t>
    </r>
  </si>
  <si>
    <r>
      <rPr>
        <sz val="11"/>
        <color indexed="8"/>
        <rFont val="宋体"/>
        <family val="3"/>
        <charset val="134"/>
      </rPr>
      <t>红尾异齿鳚</t>
    </r>
  </si>
  <si>
    <r>
      <rPr>
        <sz val="11"/>
        <color indexed="8"/>
        <rFont val="宋体"/>
        <family val="3"/>
        <charset val="134"/>
      </rPr>
      <t>江岛异齿鳚</t>
    </r>
  </si>
  <si>
    <r>
      <rPr>
        <sz val="11"/>
        <color indexed="8"/>
        <rFont val="宋体"/>
        <family val="3"/>
        <charset val="134"/>
      </rPr>
      <t>星带颈须鳚</t>
    </r>
  </si>
  <si>
    <r>
      <rPr>
        <sz val="11"/>
        <color indexed="8"/>
        <rFont val="宋体"/>
        <family val="3"/>
        <charset val="134"/>
      </rPr>
      <t>网纹颈须鳚</t>
    </r>
  </si>
  <si>
    <r>
      <rPr>
        <sz val="11"/>
        <color indexed="8"/>
        <rFont val="宋体"/>
        <family val="3"/>
        <charset val="134"/>
      </rPr>
      <t>横带颈须鳚</t>
    </r>
  </si>
  <si>
    <r>
      <rPr>
        <sz val="11"/>
        <color indexed="8"/>
        <rFont val="宋体"/>
        <family val="3"/>
        <charset val="134"/>
      </rPr>
      <t>短多须鳚</t>
    </r>
  </si>
  <si>
    <r>
      <rPr>
        <sz val="11"/>
        <color indexed="8"/>
        <rFont val="宋体"/>
        <family val="3"/>
        <charset val="134"/>
      </rPr>
      <t>对斑蛙鳚</t>
    </r>
  </si>
  <si>
    <r>
      <rPr>
        <sz val="11"/>
        <color indexed="8"/>
        <rFont val="宋体"/>
        <family val="3"/>
        <charset val="134"/>
      </rPr>
      <t>红点蛙鳚</t>
    </r>
  </si>
  <si>
    <r>
      <rPr>
        <sz val="11"/>
        <color indexed="8"/>
        <rFont val="宋体"/>
        <family val="3"/>
        <charset val="134"/>
      </rPr>
      <t>杜氏蛙鳚</t>
    </r>
  </si>
  <si>
    <r>
      <rPr>
        <sz val="11"/>
        <color indexed="8"/>
        <rFont val="宋体"/>
        <family val="3"/>
        <charset val="134"/>
      </rPr>
      <t>条纹蛙鳚</t>
    </r>
  </si>
  <si>
    <r>
      <rPr>
        <sz val="11"/>
        <color indexed="8"/>
        <rFont val="宋体"/>
        <family val="3"/>
        <charset val="134"/>
      </rPr>
      <t>断纹蛙鳚</t>
    </r>
  </si>
  <si>
    <r>
      <rPr>
        <sz val="11"/>
        <color indexed="8"/>
        <rFont val="宋体"/>
        <family val="3"/>
        <charset val="134"/>
      </rPr>
      <t>纹身蛙鳚</t>
    </r>
  </si>
  <si>
    <r>
      <rPr>
        <sz val="11"/>
        <color indexed="8"/>
        <rFont val="宋体"/>
        <family val="3"/>
        <charset val="134"/>
      </rPr>
      <t>黑带稀棘鳚</t>
    </r>
  </si>
  <si>
    <r>
      <rPr>
        <sz val="11"/>
        <color indexed="8"/>
        <rFont val="宋体"/>
        <family val="3"/>
        <charset val="134"/>
      </rPr>
      <t>拟鳚</t>
    </r>
  </si>
  <si>
    <r>
      <rPr>
        <sz val="11"/>
        <color indexed="8"/>
        <rFont val="宋体"/>
        <family val="3"/>
        <charset val="134"/>
      </rPr>
      <t>美肩鳃鳚</t>
    </r>
  </si>
  <si>
    <r>
      <rPr>
        <sz val="11"/>
        <color indexed="8"/>
        <rFont val="宋体"/>
        <family val="3"/>
        <charset val="134"/>
      </rPr>
      <t>斑头肩鳃鳚</t>
    </r>
  </si>
  <si>
    <r>
      <rPr>
        <sz val="11"/>
        <color indexed="8"/>
        <rFont val="宋体"/>
        <family val="3"/>
        <charset val="134"/>
      </rPr>
      <t>花肩鳃鳚</t>
    </r>
  </si>
  <si>
    <r>
      <rPr>
        <sz val="11"/>
        <color indexed="8"/>
        <rFont val="宋体"/>
        <family val="3"/>
        <charset val="134"/>
      </rPr>
      <t>日本肩鳃鳚</t>
    </r>
  </si>
  <si>
    <r>
      <rPr>
        <sz val="11"/>
        <color indexed="8"/>
        <rFont val="宋体"/>
        <family val="3"/>
        <charset val="134"/>
      </rPr>
      <t>黑肩鳃鳚</t>
    </r>
  </si>
  <si>
    <r>
      <rPr>
        <sz val="11"/>
        <color indexed="8"/>
        <rFont val="宋体"/>
        <family val="3"/>
        <charset val="134"/>
      </rPr>
      <t>冠肩鳃鳚</t>
    </r>
  </si>
  <si>
    <r>
      <rPr>
        <sz val="11"/>
        <color indexed="8"/>
        <rFont val="宋体"/>
        <family val="3"/>
        <charset val="134"/>
      </rPr>
      <t>劳旦氏短带鳚</t>
    </r>
  </si>
  <si>
    <r>
      <rPr>
        <sz val="11"/>
        <color indexed="8"/>
        <rFont val="宋体"/>
        <family val="3"/>
        <charset val="134"/>
      </rPr>
      <t>鼻喙短带鳚</t>
    </r>
  </si>
  <si>
    <r>
      <rPr>
        <sz val="11"/>
        <color indexed="8"/>
        <rFont val="宋体"/>
        <family val="3"/>
        <charset val="134"/>
      </rPr>
      <t>叉尾短带鳚</t>
    </r>
  </si>
  <si>
    <r>
      <rPr>
        <sz val="11"/>
        <color indexed="8"/>
        <rFont val="宋体"/>
        <family val="3"/>
        <charset val="134"/>
      </rPr>
      <t>黑带短带鳚</t>
    </r>
  </si>
  <si>
    <r>
      <rPr>
        <sz val="11"/>
        <color indexed="8"/>
        <rFont val="宋体"/>
        <family val="3"/>
        <charset val="134"/>
      </rPr>
      <t>矮冠鳚</t>
    </r>
  </si>
  <si>
    <r>
      <rPr>
        <sz val="11"/>
        <color indexed="8"/>
        <rFont val="宋体"/>
        <family val="3"/>
        <charset val="134"/>
      </rPr>
      <t>杜氏凤鳚</t>
    </r>
  </si>
  <si>
    <r>
      <rPr>
        <sz val="11"/>
        <color indexed="8"/>
        <rFont val="宋体"/>
        <family val="3"/>
        <charset val="134"/>
      </rPr>
      <t>暗纹凤鳚</t>
    </r>
  </si>
  <si>
    <r>
      <rPr>
        <sz val="11"/>
        <color indexed="8"/>
        <rFont val="宋体"/>
        <family val="3"/>
        <charset val="134"/>
      </rPr>
      <t>细纹凤鳚</t>
    </r>
  </si>
  <si>
    <r>
      <rPr>
        <sz val="11"/>
        <color indexed="8"/>
        <rFont val="宋体"/>
        <family val="3"/>
        <charset val="134"/>
      </rPr>
      <t>雨斑凤鳚</t>
    </r>
  </si>
  <si>
    <r>
      <rPr>
        <sz val="11"/>
        <color indexed="8"/>
        <rFont val="宋体"/>
        <family val="3"/>
        <charset val="134"/>
      </rPr>
      <t>线纹凤鳚</t>
    </r>
  </si>
  <si>
    <r>
      <rPr>
        <sz val="11"/>
        <color indexed="8"/>
        <rFont val="宋体"/>
        <family val="3"/>
        <charset val="134"/>
      </rPr>
      <t>线斑凤鳚</t>
    </r>
  </si>
  <si>
    <r>
      <rPr>
        <sz val="11"/>
        <color indexed="8"/>
        <rFont val="宋体"/>
        <family val="3"/>
        <charset val="134"/>
      </rPr>
      <t>眼斑凤鳚</t>
    </r>
  </si>
  <si>
    <r>
      <rPr>
        <sz val="11"/>
        <color indexed="8"/>
        <rFont val="宋体"/>
        <family val="3"/>
        <charset val="134"/>
      </rPr>
      <t>带鳚</t>
    </r>
  </si>
  <si>
    <r>
      <rPr>
        <sz val="11"/>
        <color indexed="8"/>
        <rFont val="宋体"/>
        <family val="3"/>
        <charset val="134"/>
      </rPr>
      <t>锦鳚科</t>
    </r>
  </si>
  <si>
    <r>
      <rPr>
        <sz val="11"/>
        <color indexed="8"/>
        <rFont val="宋体"/>
        <family val="3"/>
        <charset val="134"/>
      </rPr>
      <t>繸鳚</t>
    </r>
  </si>
  <si>
    <r>
      <rPr>
        <sz val="11"/>
        <color indexed="8"/>
        <rFont val="宋体"/>
        <family val="3"/>
        <charset val="134"/>
      </rPr>
      <t>网鳚</t>
    </r>
  </si>
  <si>
    <r>
      <rPr>
        <sz val="11"/>
        <color indexed="8"/>
        <rFont val="宋体"/>
        <family val="3"/>
        <charset val="134"/>
      </rPr>
      <t>方氏云鳚</t>
    </r>
  </si>
  <si>
    <r>
      <rPr>
        <sz val="11"/>
        <color indexed="8"/>
        <rFont val="宋体"/>
        <family val="3"/>
        <charset val="134"/>
      </rPr>
      <t>云鳚</t>
    </r>
  </si>
  <si>
    <r>
      <rPr>
        <sz val="11"/>
        <color indexed="8"/>
        <rFont val="宋体"/>
        <family val="3"/>
        <charset val="134"/>
      </rPr>
      <t>长绵鳚</t>
    </r>
  </si>
  <si>
    <r>
      <rPr>
        <sz val="11"/>
        <color indexed="8"/>
        <rFont val="宋体"/>
        <family val="3"/>
        <charset val="134"/>
      </rPr>
      <t>绵鳚科</t>
    </r>
  </si>
  <si>
    <r>
      <rPr>
        <sz val="11"/>
        <color indexed="8"/>
        <rFont val="宋体"/>
        <family val="3"/>
        <charset val="134"/>
      </rPr>
      <t>玉筋鱼科</t>
    </r>
  </si>
  <si>
    <r>
      <rPr>
        <sz val="11"/>
        <color indexed="8"/>
        <rFont val="宋体"/>
        <family val="3"/>
        <charset val="134"/>
      </rPr>
      <t>玉筋鱼</t>
    </r>
  </si>
  <si>
    <r>
      <rPr>
        <sz val="11"/>
        <color indexed="8"/>
        <rFont val="宋体"/>
        <family val="3"/>
        <charset val="134"/>
      </rPr>
      <t>绿布氏筋鱼</t>
    </r>
  </si>
  <si>
    <r>
      <rPr>
        <sz val="11"/>
        <color indexed="8"/>
        <rFont val="宋体"/>
        <family val="3"/>
        <charset val="134"/>
      </rPr>
      <t>台湾筋鱼</t>
    </r>
  </si>
  <si>
    <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</si>
  <si>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科</t>
    </r>
  </si>
  <si>
    <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  <r>
      <rPr>
        <sz val="11"/>
        <color indexed="8"/>
        <rFont val="宋体"/>
        <family val="3"/>
        <charset val="134"/>
      </rPr>
      <t>属</t>
    </r>
  </si>
  <si>
    <r>
      <rPr>
        <sz val="11"/>
        <color indexed="8"/>
        <rFont val="宋体"/>
        <family val="3"/>
        <charset val="134"/>
      </rPr>
      <t>大鳍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</si>
  <si>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绯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</si>
  <si>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弯棘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</si>
  <si>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斑鳍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</si>
  <si>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台湾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</si>
  <si>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海南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</si>
  <si>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海氏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</si>
  <si>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长崎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</si>
  <si>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基岛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</si>
  <si>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朝鲜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</si>
  <si>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月斑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</si>
  <si>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中沙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</si>
  <si>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南方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</si>
  <si>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斑臀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</si>
  <si>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香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</si>
  <si>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饰鳍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</si>
  <si>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扁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</si>
  <si>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箭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</si>
  <si>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沙氏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</si>
  <si>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瓦氏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</si>
  <si>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丝鳍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</si>
  <si>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丝鳍美尾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</si>
  <si>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单丝美尾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</si>
  <si>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</si>
  <si>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黄尾美尾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</si>
  <si>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黑缘美尾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</si>
  <si>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反棘美尾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</si>
  <si>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曳丝美尾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</si>
  <si>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指脚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</si>
  <si>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双线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</si>
  <si>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单鳍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</si>
  <si>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红连鳍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</si>
  <si>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饭岛连鳍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</si>
  <si>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侧斑连鳍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</si>
  <si>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眼斑连鳍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</si>
  <si>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花斑连鳍</t>
    </r>
    <r>
      <rPr>
        <sz val="11"/>
        <color indexed="8"/>
        <rFont val="Times New Roman"/>
        <family val="1"/>
      </rPr>
      <t>[</t>
    </r>
    <r>
      <rPr>
        <sz val="11"/>
        <color indexed="8"/>
        <rFont val="宋体"/>
        <family val="3"/>
        <charset val="134"/>
      </rPr>
      <t>鱼衔</t>
    </r>
    <r>
      <rPr>
        <sz val="11"/>
        <color indexed="8"/>
        <rFont val="Times New Roman"/>
        <family val="1"/>
      </rPr>
      <t>]</t>
    </r>
  </si>
  <si>
    <r>
      <rPr>
        <sz val="11"/>
        <color indexed="8"/>
        <rFont val="宋体"/>
        <family val="3"/>
        <charset val="134"/>
      </rPr>
      <t>蓝子鱼科</t>
    </r>
  </si>
  <si>
    <r>
      <rPr>
        <sz val="11"/>
        <color indexed="8"/>
        <rFont val="宋体"/>
        <family val="3"/>
        <charset val="134"/>
      </rPr>
      <t>银蓝子鱼</t>
    </r>
  </si>
  <si>
    <r>
      <rPr>
        <sz val="11"/>
        <color indexed="8"/>
        <rFont val="宋体"/>
        <family val="3"/>
        <charset val="134"/>
      </rPr>
      <t>沟蓝子鱼</t>
    </r>
  </si>
  <si>
    <r>
      <rPr>
        <sz val="11"/>
        <color indexed="8"/>
        <rFont val="宋体"/>
        <family val="3"/>
        <charset val="134"/>
      </rPr>
      <t>金点蓝子鱼</t>
    </r>
  </si>
  <si>
    <r>
      <rPr>
        <sz val="11"/>
        <color indexed="8"/>
        <rFont val="宋体"/>
        <family val="3"/>
        <charset val="134"/>
      </rPr>
      <t>凹吻蓝子鱼</t>
    </r>
  </si>
  <si>
    <r>
      <rPr>
        <sz val="11"/>
        <color indexed="8"/>
        <rFont val="宋体"/>
        <family val="3"/>
        <charset val="134"/>
      </rPr>
      <t>褐蓝子鱼</t>
    </r>
  </si>
  <si>
    <r>
      <rPr>
        <sz val="11"/>
        <color indexed="8"/>
        <rFont val="宋体"/>
        <family val="3"/>
        <charset val="134"/>
      </rPr>
      <t>点斑蓝子鱼</t>
    </r>
  </si>
  <si>
    <r>
      <rPr>
        <sz val="11"/>
        <color indexed="8"/>
        <rFont val="宋体"/>
        <family val="3"/>
        <charset val="134"/>
      </rPr>
      <t>爪哇蓝子鱼</t>
    </r>
  </si>
  <si>
    <r>
      <rPr>
        <sz val="11"/>
        <color indexed="8"/>
        <rFont val="宋体"/>
        <family val="3"/>
        <charset val="134"/>
      </rPr>
      <t>黄斑蓝子鱼</t>
    </r>
  </si>
  <si>
    <r>
      <rPr>
        <sz val="11"/>
        <color indexed="8"/>
        <rFont val="宋体"/>
        <family val="3"/>
        <charset val="134"/>
      </rPr>
      <t>眼带蓝子鱼</t>
    </r>
  </si>
  <si>
    <r>
      <rPr>
        <sz val="11"/>
        <color indexed="8"/>
        <rFont val="宋体"/>
        <family val="3"/>
        <charset val="134"/>
      </rPr>
      <t>钝吻蓝子鱼</t>
    </r>
  </si>
  <si>
    <r>
      <rPr>
        <sz val="11"/>
        <color indexed="8"/>
        <rFont val="宋体"/>
        <family val="3"/>
        <charset val="134"/>
      </rPr>
      <t>刺蓝子鱼</t>
    </r>
  </si>
  <si>
    <r>
      <rPr>
        <sz val="11"/>
        <color indexed="8"/>
        <rFont val="宋体"/>
        <family val="3"/>
        <charset val="134"/>
      </rPr>
      <t>带蓝子鱼</t>
    </r>
  </si>
  <si>
    <r>
      <rPr>
        <sz val="11"/>
        <color indexed="8"/>
        <rFont val="宋体"/>
        <family val="3"/>
        <charset val="134"/>
      </rPr>
      <t>狐蓝子鱼</t>
    </r>
  </si>
  <si>
    <r>
      <rPr>
        <sz val="11"/>
        <color indexed="8"/>
        <rFont val="宋体"/>
        <family val="3"/>
        <charset val="134"/>
      </rPr>
      <t>圆斑刺尾鱼</t>
    </r>
  </si>
  <si>
    <r>
      <rPr>
        <sz val="11"/>
        <color indexed="8"/>
        <rFont val="宋体"/>
        <family val="3"/>
        <charset val="134"/>
      </rPr>
      <t>刺尾鱼科</t>
    </r>
  </si>
  <si>
    <r>
      <rPr>
        <sz val="11"/>
        <color indexed="8"/>
        <rFont val="宋体"/>
        <family val="3"/>
        <charset val="134"/>
      </rPr>
      <t>蓝线刺尾鱼</t>
    </r>
  </si>
  <si>
    <r>
      <rPr>
        <sz val="11"/>
        <color indexed="8"/>
        <rFont val="宋体"/>
        <family val="3"/>
        <charset val="134"/>
      </rPr>
      <t>额带刺尾鱼</t>
    </r>
  </si>
  <si>
    <r>
      <rPr>
        <sz val="11"/>
        <color indexed="8"/>
        <rFont val="宋体"/>
        <family val="3"/>
        <charset val="134"/>
      </rPr>
      <t>黑斑刺尾鱼</t>
    </r>
  </si>
  <si>
    <r>
      <rPr>
        <sz val="11"/>
        <color indexed="8"/>
        <rFont val="宋体"/>
        <family val="3"/>
        <charset val="134"/>
      </rPr>
      <t>灰额刺尾鱼</t>
    </r>
  </si>
  <si>
    <r>
      <rPr>
        <sz val="11"/>
        <color indexed="8"/>
        <rFont val="宋体"/>
        <family val="3"/>
        <charset val="134"/>
      </rPr>
      <t>白斑刺尾鱼</t>
    </r>
  </si>
  <si>
    <r>
      <rPr>
        <sz val="11"/>
        <color indexed="8"/>
        <rFont val="宋体"/>
        <family val="3"/>
        <charset val="134"/>
      </rPr>
      <t>彩带刺尾鱼</t>
    </r>
  </si>
  <si>
    <r>
      <rPr>
        <sz val="11"/>
        <color indexed="8"/>
        <rFont val="宋体"/>
        <family val="3"/>
        <charset val="134"/>
      </rPr>
      <t>斑头刺尾鱼</t>
    </r>
  </si>
  <si>
    <r>
      <rPr>
        <sz val="11"/>
        <color indexed="8"/>
        <rFont val="宋体"/>
        <family val="3"/>
        <charset val="134"/>
      </rPr>
      <t>暗色刺尾鱼</t>
    </r>
  </si>
  <si>
    <r>
      <rPr>
        <sz val="11"/>
        <color indexed="8"/>
        <rFont val="宋体"/>
        <family val="3"/>
        <charset val="134"/>
      </rPr>
      <t>双斑刺尾鱼</t>
    </r>
  </si>
  <si>
    <r>
      <rPr>
        <sz val="11"/>
        <color indexed="8"/>
        <rFont val="宋体"/>
        <family val="3"/>
        <charset val="134"/>
      </rPr>
      <t>橙斑刺尾鱼</t>
    </r>
  </si>
  <si>
    <r>
      <rPr>
        <sz val="11"/>
        <color indexed="8"/>
        <rFont val="宋体"/>
        <family val="3"/>
        <charset val="134"/>
      </rPr>
      <t>黑鳃刺尾鱼</t>
    </r>
  </si>
  <si>
    <r>
      <rPr>
        <sz val="11"/>
        <color indexed="8"/>
        <rFont val="宋体"/>
        <family val="3"/>
        <charset val="134"/>
      </rPr>
      <t>黄尾刺尾鱼</t>
    </r>
  </si>
  <si>
    <r>
      <rPr>
        <sz val="11"/>
        <color indexed="8"/>
        <rFont val="宋体"/>
        <family val="3"/>
        <charset val="134"/>
      </rPr>
      <t>横带刺尾鱼</t>
    </r>
  </si>
  <si>
    <r>
      <rPr>
        <sz val="11"/>
        <color indexed="8"/>
        <rFont val="宋体"/>
        <family val="3"/>
        <charset val="134"/>
      </rPr>
      <t>黄翼刺尾鱼</t>
    </r>
  </si>
  <si>
    <r>
      <rPr>
        <sz val="11"/>
        <color indexed="8"/>
        <rFont val="宋体"/>
        <family val="3"/>
        <charset val="134"/>
      </rPr>
      <t>单板盾尾鱼</t>
    </r>
  </si>
  <si>
    <r>
      <rPr>
        <sz val="11"/>
        <color indexed="8"/>
        <rFont val="宋体"/>
        <family val="3"/>
        <charset val="134"/>
      </rPr>
      <t>小齿双板盾尾鱼</t>
    </r>
  </si>
  <si>
    <r>
      <rPr>
        <sz val="11"/>
        <color indexed="8"/>
        <rFont val="宋体"/>
        <family val="3"/>
        <charset val="134"/>
      </rPr>
      <t>颊纹双板盾尾鱼</t>
    </r>
  </si>
  <si>
    <r>
      <rPr>
        <sz val="11"/>
        <color indexed="8"/>
        <rFont val="宋体"/>
        <family val="3"/>
        <charset val="134"/>
      </rPr>
      <t>背斑双板盾尾鱼</t>
    </r>
  </si>
  <si>
    <r>
      <rPr>
        <sz val="11"/>
        <color indexed="8"/>
        <rFont val="宋体"/>
        <family val="3"/>
        <charset val="134"/>
      </rPr>
      <t>双斑栉齿刺尾鱼</t>
    </r>
  </si>
  <si>
    <r>
      <rPr>
        <sz val="11"/>
        <color indexed="8"/>
        <rFont val="宋体"/>
        <family val="3"/>
        <charset val="134"/>
      </rPr>
      <t>栉齿刺尾鱼</t>
    </r>
  </si>
  <si>
    <r>
      <rPr>
        <sz val="11"/>
        <color indexed="8"/>
        <rFont val="宋体"/>
        <family val="3"/>
        <charset val="134"/>
      </rPr>
      <t>突角鼻鱼</t>
    </r>
  </si>
  <si>
    <r>
      <rPr>
        <sz val="11"/>
        <color indexed="8"/>
        <rFont val="宋体"/>
        <family val="3"/>
        <charset val="134"/>
      </rPr>
      <t>短吻鼻鱼</t>
    </r>
  </si>
  <si>
    <r>
      <rPr>
        <sz val="11"/>
        <color indexed="8"/>
        <rFont val="宋体"/>
        <family val="3"/>
        <charset val="134"/>
      </rPr>
      <t>剑角鼻鱼</t>
    </r>
  </si>
  <si>
    <r>
      <rPr>
        <sz val="11"/>
        <color indexed="8"/>
        <rFont val="宋体"/>
        <family val="3"/>
        <charset val="134"/>
      </rPr>
      <t>六线鼻鱼</t>
    </r>
  </si>
  <si>
    <r>
      <rPr>
        <sz val="11"/>
        <color indexed="8"/>
        <rFont val="宋体"/>
        <family val="3"/>
        <charset val="134"/>
      </rPr>
      <t>光头鼻鱼</t>
    </r>
  </si>
  <si>
    <r>
      <rPr>
        <sz val="11"/>
        <color indexed="8"/>
        <rFont val="宋体"/>
        <family val="3"/>
        <charset val="134"/>
      </rPr>
      <t>老氏鼻鱼</t>
    </r>
  </si>
  <si>
    <r>
      <rPr>
        <sz val="11"/>
        <color indexed="8"/>
        <rFont val="宋体"/>
        <family val="3"/>
        <charset val="134"/>
      </rPr>
      <t>似鲔鼻鱼</t>
    </r>
  </si>
  <si>
    <r>
      <rPr>
        <sz val="11"/>
        <color indexed="8"/>
        <rFont val="宋体"/>
        <family val="3"/>
        <charset val="134"/>
      </rPr>
      <t>长吻鼻鱼</t>
    </r>
  </si>
  <si>
    <r>
      <rPr>
        <sz val="11"/>
        <color indexed="8"/>
        <rFont val="宋体"/>
        <family val="3"/>
        <charset val="134"/>
      </rPr>
      <t>丝尾鼻鱼</t>
    </r>
  </si>
  <si>
    <r>
      <rPr>
        <sz val="11"/>
        <color indexed="8"/>
        <rFont val="宋体"/>
        <family val="3"/>
        <charset val="134"/>
      </rPr>
      <t>副刺尾鱼</t>
    </r>
  </si>
  <si>
    <r>
      <rPr>
        <sz val="11"/>
        <color indexed="8"/>
        <rFont val="宋体"/>
        <family val="3"/>
        <charset val="134"/>
      </rPr>
      <t>多板盾尾鱼</t>
    </r>
  </si>
  <si>
    <r>
      <rPr>
        <sz val="11"/>
        <color indexed="8"/>
        <rFont val="宋体"/>
        <family val="3"/>
        <charset val="134"/>
      </rPr>
      <t>黄高鳍刺尾鱼</t>
    </r>
  </si>
  <si>
    <r>
      <rPr>
        <sz val="11"/>
        <color indexed="8"/>
        <rFont val="宋体"/>
        <family val="3"/>
        <charset val="134"/>
      </rPr>
      <t>小高鳍刺尾鱼</t>
    </r>
  </si>
  <si>
    <r>
      <rPr>
        <sz val="11"/>
        <color indexed="8"/>
        <rFont val="宋体"/>
        <family val="3"/>
        <charset val="134"/>
      </rPr>
      <t>高鳍刺尾鱼</t>
    </r>
  </si>
  <si>
    <r>
      <rPr>
        <sz val="11"/>
        <color indexed="8"/>
        <rFont val="宋体"/>
        <family val="3"/>
        <charset val="134"/>
      </rPr>
      <t>带鱼科</t>
    </r>
  </si>
  <si>
    <r>
      <rPr>
        <sz val="11"/>
        <color indexed="8"/>
        <rFont val="宋体"/>
        <family val="3"/>
        <charset val="134"/>
      </rPr>
      <t>叉尾带鱼</t>
    </r>
  </si>
  <si>
    <r>
      <rPr>
        <sz val="11"/>
        <color indexed="8"/>
        <rFont val="宋体"/>
        <family val="3"/>
        <charset val="134"/>
      </rPr>
      <t>小带鱼</t>
    </r>
  </si>
  <si>
    <r>
      <rPr>
        <sz val="11"/>
        <color indexed="8"/>
        <rFont val="宋体"/>
        <family val="3"/>
        <charset val="134"/>
      </rPr>
      <t>沙带鱼</t>
    </r>
  </si>
  <si>
    <r>
      <rPr>
        <sz val="11"/>
        <color indexed="8"/>
        <rFont val="宋体"/>
        <family val="3"/>
        <charset val="134"/>
      </rPr>
      <t>窄颅带鱼</t>
    </r>
  </si>
  <si>
    <r>
      <rPr>
        <sz val="11"/>
        <color indexed="8"/>
        <rFont val="宋体"/>
        <family val="3"/>
        <charset val="134"/>
      </rPr>
      <t>短带鱼</t>
    </r>
  </si>
  <si>
    <r>
      <rPr>
        <sz val="11"/>
        <color indexed="8"/>
        <rFont val="宋体"/>
        <family val="3"/>
        <charset val="134"/>
      </rPr>
      <t>带鱼</t>
    </r>
  </si>
  <si>
    <r>
      <rPr>
        <sz val="11"/>
        <color indexed="8"/>
        <rFont val="宋体"/>
        <family val="3"/>
        <charset val="134"/>
      </rPr>
      <t>南海带鱼</t>
    </r>
  </si>
  <si>
    <r>
      <rPr>
        <sz val="11"/>
        <color indexed="8"/>
        <rFont val="宋体"/>
        <family val="3"/>
        <charset val="134"/>
      </rPr>
      <t>蛇鲭科</t>
    </r>
  </si>
  <si>
    <r>
      <rPr>
        <sz val="11"/>
        <color indexed="8"/>
        <rFont val="宋体"/>
        <family val="3"/>
        <charset val="134"/>
      </rPr>
      <t>蛇鲭</t>
    </r>
  </si>
  <si>
    <r>
      <rPr>
        <sz val="11"/>
        <color indexed="8"/>
        <rFont val="宋体"/>
        <family val="3"/>
        <charset val="134"/>
      </rPr>
      <t>异鳞蛇鲭</t>
    </r>
  </si>
  <si>
    <r>
      <rPr>
        <sz val="11"/>
        <color indexed="8"/>
        <rFont val="宋体"/>
        <family val="3"/>
        <charset val="134"/>
      </rPr>
      <t>游棘蛇鲭</t>
    </r>
  </si>
  <si>
    <r>
      <rPr>
        <sz val="11"/>
        <color indexed="8"/>
        <rFont val="宋体"/>
        <family val="3"/>
        <charset val="134"/>
      </rPr>
      <t>东洋蛇鲭</t>
    </r>
  </si>
  <si>
    <r>
      <rPr>
        <sz val="11"/>
        <color indexed="8"/>
        <rFont val="宋体"/>
        <family val="3"/>
        <charset val="134"/>
      </rPr>
      <t>直线蛇鲭</t>
    </r>
  </si>
  <si>
    <r>
      <rPr>
        <sz val="11"/>
        <color indexed="8"/>
        <rFont val="宋体"/>
        <family val="3"/>
        <charset val="134"/>
      </rPr>
      <t>纺锤蛇鲭</t>
    </r>
  </si>
  <si>
    <r>
      <rPr>
        <sz val="11"/>
        <color indexed="8"/>
        <rFont val="宋体"/>
        <family val="3"/>
        <charset val="134"/>
      </rPr>
      <t>短蛇鲭</t>
    </r>
  </si>
  <si>
    <r>
      <rPr>
        <sz val="11"/>
        <color indexed="8"/>
        <rFont val="宋体"/>
        <family val="3"/>
        <charset val="134"/>
      </rPr>
      <t>棘鳞蛇鲭</t>
    </r>
  </si>
  <si>
    <r>
      <rPr>
        <sz val="11"/>
        <color indexed="8"/>
        <rFont val="宋体"/>
        <family val="3"/>
        <charset val="134"/>
      </rPr>
      <t>黑鳍蛇鲭</t>
    </r>
  </si>
  <si>
    <r>
      <rPr>
        <sz val="11"/>
        <color indexed="8"/>
        <rFont val="宋体"/>
        <family val="3"/>
        <charset val="134"/>
      </rPr>
      <t>短鲭带鱼</t>
    </r>
  </si>
  <si>
    <r>
      <rPr>
        <sz val="11"/>
        <color indexed="8"/>
        <rFont val="宋体"/>
        <family val="3"/>
        <charset val="134"/>
      </rPr>
      <t>鲭科</t>
    </r>
  </si>
  <si>
    <r>
      <rPr>
        <sz val="11"/>
        <color indexed="8"/>
        <rFont val="宋体"/>
        <family val="3"/>
        <charset val="134"/>
      </rPr>
      <t>刺鲅</t>
    </r>
  </si>
  <si>
    <r>
      <rPr>
        <sz val="11"/>
        <color indexed="8"/>
        <rFont val="宋体"/>
        <family val="3"/>
        <charset val="134"/>
      </rPr>
      <t>双线鲅</t>
    </r>
  </si>
  <si>
    <r>
      <rPr>
        <sz val="11"/>
        <color indexed="8"/>
        <rFont val="宋体"/>
        <family val="3"/>
        <charset val="134"/>
      </rPr>
      <t>富氏羽鳃鲐</t>
    </r>
  </si>
  <si>
    <r>
      <rPr>
        <sz val="11"/>
        <color indexed="8"/>
        <rFont val="宋体"/>
        <family val="3"/>
        <charset val="134"/>
      </rPr>
      <t>羽鳃鲐</t>
    </r>
  </si>
  <si>
    <r>
      <rPr>
        <sz val="11"/>
        <color indexed="8"/>
        <rFont val="宋体"/>
        <family val="3"/>
        <charset val="134"/>
      </rPr>
      <t>澳洲鲭</t>
    </r>
  </si>
  <si>
    <r>
      <rPr>
        <sz val="11"/>
        <color indexed="8"/>
        <rFont val="宋体"/>
        <family val="3"/>
        <charset val="134"/>
      </rPr>
      <t>鲐</t>
    </r>
  </si>
  <si>
    <r>
      <rPr>
        <sz val="11"/>
        <color indexed="8"/>
        <rFont val="宋体"/>
        <family val="3"/>
        <charset val="134"/>
      </rPr>
      <t>康氏马鲛</t>
    </r>
  </si>
  <si>
    <r>
      <rPr>
        <sz val="11"/>
        <color indexed="8"/>
        <rFont val="宋体"/>
        <family val="3"/>
        <charset val="134"/>
      </rPr>
      <t>斑点马鲛</t>
    </r>
  </si>
  <si>
    <r>
      <rPr>
        <sz val="11"/>
        <color indexed="8"/>
        <rFont val="宋体"/>
        <family val="3"/>
        <charset val="134"/>
      </rPr>
      <t>朝鲜马鲛</t>
    </r>
  </si>
  <si>
    <r>
      <rPr>
        <sz val="11"/>
        <color indexed="8"/>
        <rFont val="宋体"/>
        <family val="3"/>
        <charset val="134"/>
      </rPr>
      <t>蓝点马鲛</t>
    </r>
  </si>
  <si>
    <r>
      <rPr>
        <sz val="11"/>
        <color indexed="8"/>
        <rFont val="宋体"/>
        <family val="3"/>
        <charset val="134"/>
      </rPr>
      <t>中华马鲛</t>
    </r>
  </si>
  <si>
    <r>
      <rPr>
        <sz val="11"/>
        <color indexed="8"/>
        <rFont val="宋体"/>
        <family val="3"/>
        <charset val="134"/>
      </rPr>
      <t>金枪鱼科</t>
    </r>
  </si>
  <si>
    <r>
      <rPr>
        <sz val="11"/>
        <color indexed="8"/>
        <rFont val="宋体"/>
        <family val="3"/>
        <charset val="134"/>
      </rPr>
      <t>东方狐鲣</t>
    </r>
  </si>
  <si>
    <r>
      <rPr>
        <sz val="11"/>
        <color indexed="8"/>
        <rFont val="宋体"/>
        <family val="3"/>
        <charset val="134"/>
      </rPr>
      <t>长鳍金枪鱼</t>
    </r>
  </si>
  <si>
    <r>
      <rPr>
        <sz val="11"/>
        <color indexed="8"/>
        <rFont val="宋体"/>
        <family val="3"/>
        <charset val="134"/>
      </rPr>
      <t>黄鳍金枪鱼</t>
    </r>
  </si>
  <si>
    <r>
      <rPr>
        <sz val="11"/>
        <color indexed="8"/>
        <rFont val="宋体"/>
        <family val="3"/>
        <charset val="134"/>
      </rPr>
      <t>大眼金枪鱼</t>
    </r>
  </si>
  <si>
    <r>
      <rPr>
        <sz val="11"/>
        <color indexed="8"/>
        <rFont val="宋体"/>
        <family val="3"/>
        <charset val="134"/>
      </rPr>
      <t>金枪鱼</t>
    </r>
  </si>
  <si>
    <r>
      <rPr>
        <sz val="11"/>
        <color indexed="8"/>
        <rFont val="宋体"/>
        <family val="3"/>
        <charset val="134"/>
      </rPr>
      <t>青甘金枪鱼</t>
    </r>
  </si>
  <si>
    <r>
      <rPr>
        <sz val="11"/>
        <color indexed="8"/>
        <rFont val="宋体"/>
        <family val="3"/>
        <charset val="134"/>
      </rPr>
      <t>金枪鱼属</t>
    </r>
  </si>
  <si>
    <r>
      <rPr>
        <sz val="11"/>
        <color indexed="8"/>
        <rFont val="宋体"/>
        <family val="3"/>
        <charset val="134"/>
      </rPr>
      <t>圆舵鲣</t>
    </r>
  </si>
  <si>
    <r>
      <rPr>
        <sz val="11"/>
        <color indexed="8"/>
        <rFont val="宋体"/>
        <family val="3"/>
        <charset val="134"/>
      </rPr>
      <t>扁舵鲣</t>
    </r>
  </si>
  <si>
    <r>
      <rPr>
        <sz val="11"/>
        <color indexed="8"/>
        <rFont val="宋体"/>
        <family val="3"/>
        <charset val="134"/>
      </rPr>
      <t>白卜鲔</t>
    </r>
  </si>
  <si>
    <r>
      <rPr>
        <sz val="11"/>
        <color indexed="8"/>
        <rFont val="宋体"/>
        <family val="3"/>
        <charset val="134"/>
      </rPr>
      <t>裸狐鲣</t>
    </r>
  </si>
  <si>
    <r>
      <rPr>
        <sz val="11"/>
        <color indexed="8"/>
        <rFont val="宋体"/>
        <family val="3"/>
        <charset val="134"/>
      </rPr>
      <t>鲣</t>
    </r>
  </si>
  <si>
    <r>
      <rPr>
        <sz val="11"/>
        <color indexed="8"/>
        <rFont val="宋体"/>
        <family val="3"/>
        <charset val="134"/>
      </rPr>
      <t>双鳍鲳科</t>
    </r>
  </si>
  <si>
    <r>
      <rPr>
        <sz val="11"/>
        <color indexed="8"/>
        <rFont val="宋体"/>
        <family val="3"/>
        <charset val="134"/>
      </rPr>
      <t>拟鳞首方头鲳</t>
    </r>
  </si>
  <si>
    <r>
      <rPr>
        <sz val="11"/>
        <color indexed="8"/>
        <rFont val="宋体"/>
        <family val="3"/>
        <charset val="134"/>
      </rPr>
      <t>鳞首方头鲳</t>
    </r>
  </si>
  <si>
    <r>
      <rPr>
        <sz val="11"/>
        <color indexed="8"/>
        <rFont val="宋体"/>
        <family val="3"/>
        <charset val="134"/>
      </rPr>
      <t>双鳍鲳</t>
    </r>
  </si>
  <si>
    <r>
      <rPr>
        <sz val="11"/>
        <color indexed="8"/>
        <rFont val="宋体"/>
        <family val="3"/>
        <charset val="134"/>
      </rPr>
      <t>水母玉鲳</t>
    </r>
  </si>
  <si>
    <r>
      <rPr>
        <sz val="11"/>
        <color indexed="8"/>
        <rFont val="宋体"/>
        <family val="3"/>
        <charset val="134"/>
      </rPr>
      <t>玻璃玉鲳</t>
    </r>
  </si>
  <si>
    <r>
      <rPr>
        <sz val="11"/>
        <color indexed="8"/>
        <rFont val="宋体"/>
        <family val="3"/>
        <charset val="134"/>
      </rPr>
      <t>玉鲳</t>
    </r>
  </si>
  <si>
    <r>
      <rPr>
        <sz val="11"/>
        <color indexed="8"/>
        <rFont val="宋体"/>
        <family val="3"/>
        <charset val="134"/>
      </rPr>
      <t>印度双鳍鲳</t>
    </r>
  </si>
  <si>
    <r>
      <rPr>
        <sz val="11"/>
        <color indexed="8"/>
        <rFont val="宋体"/>
        <family val="3"/>
        <charset val="134"/>
      </rPr>
      <t>鲳科</t>
    </r>
  </si>
  <si>
    <r>
      <rPr>
        <sz val="11"/>
        <color indexed="8"/>
        <rFont val="宋体"/>
        <family val="3"/>
        <charset val="134"/>
      </rPr>
      <t>银鲳</t>
    </r>
  </si>
  <si>
    <r>
      <rPr>
        <sz val="11"/>
        <color indexed="8"/>
        <rFont val="宋体"/>
        <family val="3"/>
        <charset val="134"/>
      </rPr>
      <t>中国鲳</t>
    </r>
  </si>
  <si>
    <r>
      <rPr>
        <sz val="11"/>
        <color indexed="8"/>
        <rFont val="宋体"/>
        <family val="3"/>
        <charset val="134"/>
      </rPr>
      <t>燕尾鲳</t>
    </r>
  </si>
  <si>
    <r>
      <rPr>
        <sz val="11"/>
        <color indexed="8"/>
        <rFont val="宋体"/>
        <family val="3"/>
        <charset val="134"/>
      </rPr>
      <t>塘鳢科</t>
    </r>
  </si>
  <si>
    <r>
      <rPr>
        <sz val="11"/>
        <color indexed="8"/>
        <rFont val="宋体"/>
        <family val="3"/>
        <charset val="134"/>
      </rPr>
      <t>锯塘鳢</t>
    </r>
  </si>
  <si>
    <r>
      <rPr>
        <sz val="11"/>
        <color indexed="8"/>
        <rFont val="宋体"/>
        <family val="3"/>
        <charset val="134"/>
      </rPr>
      <t>长鲳科</t>
    </r>
  </si>
  <si>
    <r>
      <rPr>
        <sz val="11"/>
        <color indexed="8"/>
        <rFont val="宋体"/>
        <family val="3"/>
        <charset val="134"/>
      </rPr>
      <t>刺鲳</t>
    </r>
  </si>
  <si>
    <r>
      <rPr>
        <sz val="11"/>
        <color indexed="8"/>
        <rFont val="宋体"/>
        <family val="3"/>
        <charset val="134"/>
      </rPr>
      <t>鰕虎鱼科</t>
    </r>
  </si>
  <si>
    <r>
      <rPr>
        <sz val="11"/>
        <color indexed="8"/>
        <rFont val="宋体"/>
        <family val="3"/>
        <charset val="134"/>
      </rPr>
      <t>红点叶鰕虎鱼</t>
    </r>
  </si>
  <si>
    <r>
      <rPr>
        <sz val="11"/>
        <color indexed="8"/>
        <rFont val="宋体"/>
        <family val="3"/>
        <charset val="134"/>
      </rPr>
      <t>多线叶鰕虎鱼</t>
    </r>
  </si>
  <si>
    <r>
      <rPr>
        <sz val="11"/>
        <color indexed="8"/>
        <rFont val="宋体"/>
        <family val="3"/>
        <charset val="134"/>
      </rPr>
      <t>眼带叶鰕虎鱼</t>
    </r>
  </si>
  <si>
    <r>
      <rPr>
        <sz val="11"/>
        <color indexed="8"/>
        <rFont val="宋体"/>
        <family val="3"/>
        <charset val="134"/>
      </rPr>
      <t>黄体叶鰕虎鱼</t>
    </r>
  </si>
  <si>
    <r>
      <rPr>
        <sz val="11"/>
        <color indexed="8"/>
        <rFont val="宋体"/>
        <family val="3"/>
        <charset val="134"/>
      </rPr>
      <t>五线叶鰕虎鱼</t>
    </r>
  </si>
  <si>
    <r>
      <rPr>
        <sz val="11"/>
        <color indexed="8"/>
        <rFont val="宋体"/>
        <family val="3"/>
        <charset val="134"/>
      </rPr>
      <t>纵纹叶鰕虎鱼</t>
    </r>
  </si>
  <si>
    <r>
      <rPr>
        <sz val="11"/>
        <color indexed="8"/>
        <rFont val="宋体"/>
        <family val="3"/>
        <charset val="134"/>
      </rPr>
      <t>棘头副叶鰕虎鱼</t>
    </r>
  </si>
  <si>
    <r>
      <rPr>
        <sz val="11"/>
        <color indexed="8"/>
        <rFont val="宋体"/>
        <family val="3"/>
        <charset val="134"/>
      </rPr>
      <t>黑副叶鰕虎鱼</t>
    </r>
  </si>
  <si>
    <r>
      <rPr>
        <sz val="11"/>
        <color indexed="8"/>
        <rFont val="宋体"/>
        <family val="3"/>
        <charset val="134"/>
      </rPr>
      <t>典范副叶鰕虎鱼</t>
    </r>
  </si>
  <si>
    <r>
      <rPr>
        <sz val="11"/>
        <color indexed="8"/>
        <rFont val="宋体"/>
        <family val="3"/>
        <charset val="134"/>
      </rPr>
      <t>黄副叶鰕虎鱼</t>
    </r>
  </si>
  <si>
    <r>
      <rPr>
        <sz val="11"/>
        <color indexed="8"/>
        <rFont val="宋体"/>
        <family val="3"/>
        <charset val="134"/>
      </rPr>
      <t>钟馗鰕虎鱼</t>
    </r>
  </si>
  <si>
    <r>
      <rPr>
        <sz val="11"/>
        <color indexed="8"/>
        <rFont val="宋体"/>
        <family val="3"/>
        <charset val="134"/>
      </rPr>
      <t>暗缟鰕虎鱼</t>
    </r>
  </si>
  <si>
    <r>
      <rPr>
        <sz val="11"/>
        <color indexed="8"/>
        <rFont val="宋体"/>
        <family val="3"/>
        <charset val="134"/>
      </rPr>
      <t>纹缟鰕虎鱼</t>
    </r>
  </si>
  <si>
    <r>
      <rPr>
        <sz val="11"/>
        <color indexed="8"/>
        <rFont val="宋体"/>
        <family val="3"/>
        <charset val="134"/>
      </rPr>
      <t>对马阿匍鰕虎鱼</t>
    </r>
  </si>
  <si>
    <r>
      <rPr>
        <sz val="11"/>
        <color indexed="8"/>
        <rFont val="宋体"/>
        <family val="3"/>
        <charset val="134"/>
      </rPr>
      <t>长体刺鰕虎鱼</t>
    </r>
  </si>
  <si>
    <r>
      <rPr>
        <sz val="11"/>
        <color indexed="8"/>
        <rFont val="宋体"/>
        <family val="3"/>
        <charset val="134"/>
      </rPr>
      <t>黄鳍刺鰕虎鱼</t>
    </r>
  </si>
  <si>
    <r>
      <rPr>
        <sz val="11"/>
        <color indexed="8"/>
        <rFont val="宋体"/>
        <family val="3"/>
        <charset val="134"/>
      </rPr>
      <t>雅氏刺鰕虎鱼</t>
    </r>
  </si>
  <si>
    <r>
      <rPr>
        <sz val="11"/>
        <color indexed="8"/>
        <rFont val="宋体"/>
        <family val="3"/>
        <charset val="134"/>
      </rPr>
      <t>乳色刺鰕虎鱼</t>
    </r>
  </si>
  <si>
    <r>
      <rPr>
        <sz val="11"/>
        <color indexed="8"/>
        <rFont val="宋体"/>
        <family val="3"/>
        <charset val="134"/>
      </rPr>
      <t>棕刺鰕虎鱼</t>
    </r>
  </si>
  <si>
    <r>
      <rPr>
        <sz val="11"/>
        <color indexed="8"/>
        <rFont val="宋体"/>
        <family val="3"/>
        <charset val="134"/>
      </rPr>
      <t>高伦细棘鰕虎鱼</t>
    </r>
  </si>
  <si>
    <r>
      <rPr>
        <sz val="11"/>
        <color indexed="8"/>
        <rFont val="宋体"/>
        <family val="3"/>
        <charset val="134"/>
      </rPr>
      <t>绿斑细棘鰕虎鱼</t>
    </r>
  </si>
  <si>
    <r>
      <rPr>
        <sz val="11"/>
        <color indexed="8"/>
        <rFont val="宋体"/>
        <family val="3"/>
        <charset val="134"/>
      </rPr>
      <t>青细棘鰕虎鱼</t>
    </r>
  </si>
  <si>
    <r>
      <rPr>
        <sz val="11"/>
        <color indexed="8"/>
        <rFont val="宋体"/>
        <family val="3"/>
        <charset val="134"/>
      </rPr>
      <t>霍氏细棘鰕虎鱼</t>
    </r>
  </si>
  <si>
    <r>
      <rPr>
        <sz val="11"/>
        <color indexed="8"/>
        <rFont val="宋体"/>
        <family val="3"/>
        <charset val="134"/>
      </rPr>
      <t>梅氏细棘鰕虎鱼</t>
    </r>
  </si>
  <si>
    <r>
      <rPr>
        <sz val="11"/>
        <color indexed="8"/>
        <rFont val="宋体"/>
        <family val="3"/>
        <charset val="134"/>
      </rPr>
      <t>小眼细棘鰕虎鱼</t>
    </r>
  </si>
  <si>
    <r>
      <rPr>
        <sz val="11"/>
        <color indexed="8"/>
        <rFont val="宋体"/>
        <family val="3"/>
        <charset val="134"/>
      </rPr>
      <t>普氏细棘鰕虎鱼</t>
    </r>
  </si>
  <si>
    <r>
      <rPr>
        <sz val="11"/>
        <color indexed="8"/>
        <rFont val="宋体"/>
        <family val="3"/>
        <charset val="134"/>
      </rPr>
      <t>三角细棘鰕虎鱼</t>
    </r>
  </si>
  <si>
    <r>
      <rPr>
        <sz val="11"/>
        <color indexed="8"/>
        <rFont val="宋体"/>
        <family val="3"/>
        <charset val="134"/>
      </rPr>
      <t>济南细棘鰕虎鱼</t>
    </r>
  </si>
  <si>
    <r>
      <rPr>
        <sz val="11"/>
        <color indexed="8"/>
        <rFont val="宋体"/>
        <family val="3"/>
        <charset val="134"/>
      </rPr>
      <t>头纹细棘鰕虎鱼</t>
    </r>
  </si>
  <si>
    <r>
      <rPr>
        <sz val="11"/>
        <color indexed="8"/>
        <rFont val="宋体"/>
        <family val="3"/>
        <charset val="134"/>
      </rPr>
      <t>青斑细棘鰕虎鱼</t>
    </r>
  </si>
  <si>
    <r>
      <rPr>
        <sz val="11"/>
        <color indexed="8"/>
        <rFont val="宋体"/>
        <family val="3"/>
        <charset val="134"/>
      </rPr>
      <t>六丝钝尾鰕虎鱼</t>
    </r>
  </si>
  <si>
    <r>
      <rPr>
        <sz val="11"/>
        <color indexed="8"/>
        <rFont val="宋体"/>
        <family val="3"/>
        <charset val="134"/>
      </rPr>
      <t>白条钝鰕虎鱼</t>
    </r>
  </si>
  <si>
    <r>
      <rPr>
        <sz val="11"/>
        <color indexed="8"/>
        <rFont val="宋体"/>
        <family val="3"/>
        <charset val="134"/>
      </rPr>
      <t>百瑙钝鰕虎鱼</t>
    </r>
  </si>
  <si>
    <r>
      <rPr>
        <sz val="11"/>
        <color indexed="8"/>
        <rFont val="宋体"/>
        <family val="3"/>
        <charset val="134"/>
      </rPr>
      <t>黑首阿胡鰕虎鱼</t>
    </r>
  </si>
  <si>
    <r>
      <rPr>
        <sz val="11"/>
        <color indexed="8"/>
        <rFont val="宋体"/>
        <family val="3"/>
        <charset val="134"/>
      </rPr>
      <t>睛斑阿胡鰕虎鱼</t>
    </r>
  </si>
  <si>
    <r>
      <rPr>
        <sz val="11"/>
        <color indexed="8"/>
        <rFont val="宋体"/>
        <family val="3"/>
        <charset val="134"/>
      </rPr>
      <t>阔头深鰕虎鱼</t>
    </r>
  </si>
  <si>
    <r>
      <rPr>
        <sz val="11"/>
        <color indexed="8"/>
        <rFont val="宋体"/>
        <family val="3"/>
        <charset val="134"/>
      </rPr>
      <t>深鰕虎鱼</t>
    </r>
  </si>
  <si>
    <r>
      <rPr>
        <sz val="11"/>
        <color indexed="8"/>
        <rFont val="宋体"/>
        <family val="3"/>
        <charset val="134"/>
      </rPr>
      <t>圆鳞美鰕虎鱼</t>
    </r>
  </si>
  <si>
    <r>
      <rPr>
        <sz val="11"/>
        <color indexed="8"/>
        <rFont val="宋体"/>
        <family val="3"/>
        <charset val="134"/>
      </rPr>
      <t>美鰕虎鱼</t>
    </r>
  </si>
  <si>
    <r>
      <rPr>
        <sz val="11"/>
        <color indexed="8"/>
        <rFont val="宋体"/>
        <family val="3"/>
        <charset val="134"/>
      </rPr>
      <t>史氏美鰕虎鱼</t>
    </r>
  </si>
  <si>
    <r>
      <rPr>
        <sz val="11"/>
        <color indexed="8"/>
        <rFont val="宋体"/>
        <family val="3"/>
        <charset val="134"/>
      </rPr>
      <t>七棘裸头鰕虎鱼</t>
    </r>
  </si>
  <si>
    <r>
      <rPr>
        <sz val="11"/>
        <color indexed="8"/>
        <rFont val="宋体"/>
        <family val="3"/>
        <charset val="134"/>
      </rPr>
      <t>网纹裸头鰕虎鱼</t>
    </r>
  </si>
  <si>
    <r>
      <rPr>
        <sz val="11"/>
        <color indexed="8"/>
        <rFont val="宋体"/>
        <family val="3"/>
        <charset val="134"/>
      </rPr>
      <t>塔氏裸头鰕虎鱼</t>
    </r>
  </si>
  <si>
    <r>
      <rPr>
        <sz val="11"/>
        <color indexed="8"/>
        <rFont val="宋体"/>
        <family val="3"/>
        <charset val="134"/>
      </rPr>
      <t>横带裸头鰕虎鱼</t>
    </r>
  </si>
  <si>
    <r>
      <rPr>
        <sz val="11"/>
        <color indexed="8"/>
        <rFont val="宋体"/>
        <family val="3"/>
        <charset val="134"/>
      </rPr>
      <t>条尾裸头鰕虎鱼</t>
    </r>
  </si>
  <si>
    <r>
      <rPr>
        <sz val="11"/>
        <color indexed="8"/>
        <rFont val="宋体"/>
        <family val="3"/>
        <charset val="134"/>
      </rPr>
      <t>矛尾鰕虎鱼</t>
    </r>
  </si>
  <si>
    <r>
      <rPr>
        <sz val="11"/>
        <color indexed="8"/>
        <rFont val="宋体"/>
        <family val="3"/>
        <charset val="134"/>
      </rPr>
      <t>六丝矛尾鰕虎鱼</t>
    </r>
  </si>
  <si>
    <r>
      <rPr>
        <sz val="11"/>
        <color indexed="8"/>
        <rFont val="宋体"/>
        <family val="3"/>
        <charset val="134"/>
      </rPr>
      <t>大口鰕虎鱼</t>
    </r>
  </si>
  <si>
    <r>
      <rPr>
        <sz val="11"/>
        <color indexed="8"/>
        <rFont val="宋体"/>
        <family val="3"/>
        <charset val="134"/>
      </rPr>
      <t>浅色项冠鰕虎鱼</t>
    </r>
  </si>
  <si>
    <r>
      <rPr>
        <sz val="11"/>
        <color indexed="8"/>
        <rFont val="宋体"/>
        <family val="3"/>
        <charset val="134"/>
      </rPr>
      <t>蓝带丝鰕虎鱼</t>
    </r>
  </si>
  <si>
    <r>
      <rPr>
        <sz val="11"/>
        <color indexed="8"/>
        <rFont val="宋体"/>
        <family val="3"/>
        <charset val="134"/>
      </rPr>
      <t>长丝鰕虎鱼</t>
    </r>
  </si>
  <si>
    <r>
      <rPr>
        <sz val="11"/>
        <color indexed="8"/>
        <rFont val="宋体"/>
        <family val="3"/>
        <charset val="134"/>
      </rPr>
      <t>裸头丝鰕虎鱼</t>
    </r>
  </si>
  <si>
    <r>
      <rPr>
        <sz val="11"/>
        <color indexed="8"/>
        <rFont val="宋体"/>
        <family val="3"/>
        <charset val="134"/>
      </rPr>
      <t>巴布亚丝鰕虎鱼</t>
    </r>
  </si>
  <si>
    <r>
      <rPr>
        <sz val="11"/>
        <color indexed="8"/>
        <rFont val="宋体"/>
        <family val="3"/>
        <charset val="134"/>
      </rPr>
      <t>孔雀丝鰕虎鱼</t>
    </r>
  </si>
  <si>
    <r>
      <rPr>
        <sz val="11"/>
        <color indexed="8"/>
        <rFont val="宋体"/>
        <family val="3"/>
        <charset val="134"/>
      </rPr>
      <t>红丝鰕虎鱼</t>
    </r>
  </si>
  <si>
    <r>
      <rPr>
        <sz val="11"/>
        <color indexed="8"/>
        <rFont val="宋体"/>
        <family val="3"/>
        <charset val="134"/>
      </rPr>
      <t>杨氏丝鰕虎鱼</t>
    </r>
  </si>
  <si>
    <r>
      <rPr>
        <sz val="11"/>
        <color indexed="8"/>
        <rFont val="宋体"/>
        <family val="3"/>
        <charset val="134"/>
      </rPr>
      <t>谷津丝鰕虎鱼</t>
    </r>
  </si>
  <si>
    <r>
      <rPr>
        <sz val="11"/>
        <color indexed="8"/>
        <rFont val="宋体"/>
        <family val="3"/>
        <charset val="134"/>
      </rPr>
      <t>带鰕虎鱼</t>
    </r>
  </si>
  <si>
    <r>
      <rPr>
        <sz val="11"/>
        <color indexed="8"/>
        <rFont val="宋体"/>
        <family val="3"/>
        <charset val="134"/>
      </rPr>
      <t>彭当鹦鰕虎鱼</t>
    </r>
  </si>
  <si>
    <r>
      <rPr>
        <sz val="11"/>
        <color indexed="8"/>
        <rFont val="宋体"/>
        <family val="3"/>
        <charset val="134"/>
      </rPr>
      <t>裸项蜂巢鰕虎鱼</t>
    </r>
  </si>
  <si>
    <r>
      <rPr>
        <sz val="11"/>
        <color indexed="8"/>
        <rFont val="宋体"/>
        <family val="3"/>
        <charset val="134"/>
      </rPr>
      <t>金黄舌鰕虎鱼</t>
    </r>
  </si>
  <si>
    <r>
      <rPr>
        <sz val="11"/>
        <color indexed="8"/>
        <rFont val="宋体"/>
        <family val="3"/>
        <charset val="134"/>
      </rPr>
      <t>双斑舌鰕虎鱼</t>
    </r>
  </si>
  <si>
    <r>
      <rPr>
        <sz val="11"/>
        <color indexed="8"/>
        <rFont val="宋体"/>
        <family val="3"/>
        <charset val="134"/>
      </rPr>
      <t>舌鰕虎鱼</t>
    </r>
  </si>
  <si>
    <r>
      <rPr>
        <sz val="11"/>
        <color indexed="8"/>
        <rFont val="宋体"/>
        <family val="3"/>
        <charset val="134"/>
      </rPr>
      <t>斑纹舌鰕虎鱼</t>
    </r>
  </si>
  <si>
    <r>
      <rPr>
        <sz val="11"/>
        <color indexed="8"/>
        <rFont val="宋体"/>
        <family val="3"/>
        <charset val="134"/>
      </rPr>
      <t>美尾颌鳞鰕虎鱼</t>
    </r>
  </si>
  <si>
    <r>
      <rPr>
        <sz val="11"/>
        <color indexed="8"/>
        <rFont val="宋体"/>
        <family val="3"/>
        <charset val="134"/>
      </rPr>
      <t>胸斑颌鳞鰕虎鱼</t>
    </r>
  </si>
  <si>
    <r>
      <rPr>
        <sz val="11"/>
        <color indexed="8"/>
        <rFont val="宋体"/>
        <family val="3"/>
        <charset val="134"/>
      </rPr>
      <t>大口髯鰕虎鱼</t>
    </r>
  </si>
  <si>
    <r>
      <rPr>
        <sz val="11"/>
        <color indexed="8"/>
        <rFont val="宋体"/>
        <family val="3"/>
        <charset val="134"/>
      </rPr>
      <t>大泷粗棘鰕虎鱼</t>
    </r>
  </si>
  <si>
    <r>
      <rPr>
        <sz val="11"/>
        <color indexed="8"/>
        <rFont val="宋体"/>
        <family val="3"/>
        <charset val="134"/>
      </rPr>
      <t>双须舌鰕虎鱼</t>
    </r>
  </si>
  <si>
    <r>
      <rPr>
        <sz val="11"/>
        <color indexed="8"/>
        <rFont val="宋体"/>
        <family val="3"/>
        <charset val="134"/>
      </rPr>
      <t>凯氏细棘鰕虎鱼</t>
    </r>
  </si>
  <si>
    <r>
      <rPr>
        <sz val="11"/>
        <color indexed="8"/>
        <rFont val="宋体"/>
        <family val="3"/>
        <charset val="134"/>
      </rPr>
      <t>和歌细棘鰕虎鱼</t>
    </r>
  </si>
  <si>
    <r>
      <rPr>
        <sz val="11"/>
        <color indexed="8"/>
        <rFont val="宋体"/>
        <family val="3"/>
        <charset val="134"/>
      </rPr>
      <t>妆饰细棘鰕虎鱼</t>
    </r>
  </si>
  <si>
    <r>
      <rPr>
        <sz val="11"/>
        <color indexed="8"/>
        <rFont val="宋体"/>
        <family val="3"/>
        <charset val="134"/>
      </rPr>
      <t>睛尾蝌蚪鰕虎鱼</t>
    </r>
  </si>
  <si>
    <r>
      <rPr>
        <sz val="11"/>
        <color indexed="8"/>
        <rFont val="宋体"/>
        <family val="3"/>
        <charset val="134"/>
      </rPr>
      <t>竿鰕虎鱼</t>
    </r>
  </si>
  <si>
    <r>
      <rPr>
        <sz val="11"/>
        <color indexed="8"/>
        <rFont val="宋体"/>
        <family val="3"/>
        <charset val="134"/>
      </rPr>
      <t>阿部鲻鰕虎鱼</t>
    </r>
  </si>
  <si>
    <r>
      <rPr>
        <sz val="11"/>
        <color indexed="8"/>
        <rFont val="宋体"/>
        <family val="3"/>
        <charset val="134"/>
      </rPr>
      <t>粘皮鲻鰕虎鱼</t>
    </r>
  </si>
  <si>
    <r>
      <rPr>
        <sz val="11"/>
        <color indexed="8"/>
        <rFont val="宋体"/>
        <family val="3"/>
        <charset val="134"/>
      </rPr>
      <t>斜纹鲻鰕虎鱼</t>
    </r>
  </si>
  <si>
    <r>
      <rPr>
        <sz val="11"/>
        <color indexed="8"/>
        <rFont val="宋体"/>
        <family val="3"/>
        <charset val="134"/>
      </rPr>
      <t>多鳞鲻鰕虎鱼</t>
    </r>
  </si>
  <si>
    <r>
      <rPr>
        <sz val="11"/>
        <color indexed="8"/>
        <rFont val="宋体"/>
        <family val="3"/>
        <charset val="134"/>
      </rPr>
      <t>泰加拉鲻鰕虎鱼</t>
    </r>
  </si>
  <si>
    <r>
      <rPr>
        <sz val="11"/>
        <color indexed="8"/>
        <rFont val="宋体"/>
        <family val="3"/>
        <charset val="134"/>
      </rPr>
      <t>尖鳍寡鳞鰕虎鱼</t>
    </r>
  </si>
  <si>
    <r>
      <rPr>
        <sz val="11"/>
        <color indexed="8"/>
        <rFont val="宋体"/>
        <family val="3"/>
        <charset val="134"/>
      </rPr>
      <t>横带寡鳞鰕虎鱼</t>
    </r>
  </si>
  <si>
    <r>
      <rPr>
        <sz val="11"/>
        <color indexed="8"/>
        <rFont val="宋体"/>
        <family val="3"/>
        <charset val="134"/>
      </rPr>
      <t>刺盖鰕虎鱼</t>
    </r>
  </si>
  <si>
    <r>
      <rPr>
        <sz val="11"/>
        <color indexed="8"/>
        <rFont val="宋体"/>
        <family val="3"/>
        <charset val="134"/>
      </rPr>
      <t>台湾沟鰕虎鱼</t>
    </r>
  </si>
  <si>
    <r>
      <rPr>
        <sz val="11"/>
        <color indexed="8"/>
        <rFont val="宋体"/>
        <family val="3"/>
        <charset val="134"/>
      </rPr>
      <t>大鳞沟鰕虎鱼</t>
    </r>
  </si>
  <si>
    <r>
      <rPr>
        <sz val="11"/>
        <color indexed="8"/>
        <rFont val="宋体"/>
        <family val="3"/>
        <charset val="134"/>
      </rPr>
      <t>小鳞沟鰕虎鱼</t>
    </r>
  </si>
  <si>
    <r>
      <rPr>
        <sz val="11"/>
        <color indexed="8"/>
        <rFont val="宋体"/>
        <family val="3"/>
        <charset val="134"/>
      </rPr>
      <t>眼瓣沟鰕虎鱼</t>
    </r>
  </si>
  <si>
    <r>
      <rPr>
        <sz val="11"/>
        <color indexed="8"/>
        <rFont val="宋体"/>
        <family val="3"/>
        <charset val="134"/>
      </rPr>
      <t>巴布亚沟鰕虎鱼</t>
    </r>
  </si>
  <si>
    <r>
      <rPr>
        <sz val="11"/>
        <color indexed="8"/>
        <rFont val="宋体"/>
        <family val="3"/>
        <charset val="134"/>
      </rPr>
      <t>触角沟鰕虎鱼</t>
    </r>
  </si>
  <si>
    <r>
      <rPr>
        <sz val="11"/>
        <color indexed="8"/>
        <rFont val="宋体"/>
        <family val="3"/>
        <charset val="134"/>
      </rPr>
      <t>拟矛尾鰕虎鱼</t>
    </r>
  </si>
  <si>
    <r>
      <rPr>
        <sz val="11"/>
        <color indexed="8"/>
        <rFont val="宋体"/>
        <family val="3"/>
        <charset val="134"/>
      </rPr>
      <t>中华多椎鰕虎鱼</t>
    </r>
  </si>
  <si>
    <r>
      <rPr>
        <sz val="11"/>
        <color indexed="8"/>
        <rFont val="宋体"/>
        <family val="3"/>
        <charset val="134"/>
      </rPr>
      <t>条纹锯鳞鰕虎鱼</t>
    </r>
  </si>
  <si>
    <r>
      <rPr>
        <sz val="11"/>
        <color indexed="8"/>
        <rFont val="宋体"/>
        <family val="3"/>
        <charset val="134"/>
      </rPr>
      <t>爪哇拟鰕虎鱼</t>
    </r>
  </si>
  <si>
    <r>
      <rPr>
        <sz val="11"/>
        <color indexed="8"/>
        <rFont val="宋体"/>
        <family val="3"/>
        <charset val="134"/>
      </rPr>
      <t>蛇首高鳍鰕虎鱼</t>
    </r>
  </si>
  <si>
    <r>
      <rPr>
        <sz val="11"/>
        <color indexed="8"/>
        <rFont val="宋体"/>
        <family val="3"/>
        <charset val="134"/>
      </rPr>
      <t>横带高鳍鰕虎鱼</t>
    </r>
  </si>
  <si>
    <r>
      <rPr>
        <sz val="11"/>
        <color indexed="8"/>
        <rFont val="宋体"/>
        <family val="3"/>
        <charset val="134"/>
      </rPr>
      <t>马来羽鰕虎鱼</t>
    </r>
  </si>
  <si>
    <r>
      <rPr>
        <sz val="11"/>
        <color indexed="8"/>
        <rFont val="宋体"/>
        <family val="3"/>
        <charset val="134"/>
      </rPr>
      <t>犬牙雷鰕虎鱼</t>
    </r>
  </si>
  <si>
    <r>
      <rPr>
        <sz val="11"/>
        <color indexed="8"/>
        <rFont val="宋体"/>
        <family val="3"/>
        <charset val="134"/>
      </rPr>
      <t>夏宫吻鰕虎鱼</t>
    </r>
  </si>
  <si>
    <r>
      <rPr>
        <sz val="11"/>
        <color indexed="8"/>
        <rFont val="宋体"/>
        <family val="3"/>
        <charset val="134"/>
      </rPr>
      <t>短吻吻鰕虎鱼</t>
    </r>
  </si>
  <si>
    <r>
      <rPr>
        <sz val="11"/>
        <color indexed="8"/>
        <rFont val="宋体"/>
        <family val="3"/>
        <charset val="134"/>
      </rPr>
      <t>褐吻鰕虎鱼</t>
    </r>
  </si>
  <si>
    <r>
      <rPr>
        <sz val="11"/>
        <color indexed="8"/>
        <rFont val="宋体"/>
        <family val="3"/>
        <charset val="134"/>
      </rPr>
      <t>项鳞吻鰕虎鱼</t>
    </r>
  </si>
  <si>
    <r>
      <rPr>
        <sz val="11"/>
        <color indexed="8"/>
        <rFont val="宋体"/>
        <family val="3"/>
        <charset val="134"/>
      </rPr>
      <t>成都吻鰕虎鱼</t>
    </r>
  </si>
  <si>
    <r>
      <rPr>
        <sz val="11"/>
        <color indexed="8"/>
        <rFont val="宋体"/>
        <family val="3"/>
        <charset val="134"/>
      </rPr>
      <t>喀氏吻鰕虎鱼</t>
    </r>
  </si>
  <si>
    <r>
      <rPr>
        <sz val="11"/>
        <color indexed="8"/>
        <rFont val="宋体"/>
        <family val="3"/>
        <charset val="134"/>
      </rPr>
      <t>波氏吻鰕虎鱼</t>
    </r>
  </si>
  <si>
    <r>
      <rPr>
        <sz val="11"/>
        <color indexed="8"/>
        <rFont val="宋体"/>
        <family val="3"/>
        <charset val="134"/>
      </rPr>
      <t>戴氏吻鰕虎鱼</t>
    </r>
  </si>
  <si>
    <r>
      <rPr>
        <sz val="11"/>
        <color indexed="8"/>
        <rFont val="宋体"/>
        <family val="3"/>
        <charset val="134"/>
      </rPr>
      <t>溪吻鰕虎鱼</t>
    </r>
  </si>
  <si>
    <r>
      <rPr>
        <sz val="11"/>
        <color indexed="8"/>
        <rFont val="宋体"/>
        <family val="3"/>
        <charset val="134"/>
      </rPr>
      <t>丝鳍吻鰕虎鱼</t>
    </r>
  </si>
  <si>
    <r>
      <rPr>
        <sz val="11"/>
        <color indexed="8"/>
        <rFont val="宋体"/>
        <family val="3"/>
        <charset val="134"/>
      </rPr>
      <t>福岛吻鰕虎鱼</t>
    </r>
  </si>
  <si>
    <r>
      <rPr>
        <sz val="11"/>
        <color indexed="8"/>
        <rFont val="宋体"/>
        <family val="3"/>
        <charset val="134"/>
      </rPr>
      <t>子陵吻鰕虎鱼</t>
    </r>
  </si>
  <si>
    <r>
      <rPr>
        <sz val="11"/>
        <color indexed="8"/>
        <rFont val="宋体"/>
        <family val="3"/>
        <charset val="134"/>
      </rPr>
      <t>雀斑吻鰕虎鱼</t>
    </r>
  </si>
  <si>
    <r>
      <rPr>
        <sz val="11"/>
        <color indexed="8"/>
        <rFont val="宋体"/>
        <family val="3"/>
        <charset val="134"/>
      </rPr>
      <t>密点吻鰕虎鱼</t>
    </r>
  </si>
  <si>
    <r>
      <rPr>
        <sz val="11"/>
        <color indexed="8"/>
        <rFont val="宋体"/>
        <family val="3"/>
        <charset val="134"/>
      </rPr>
      <t>多线吻鰕虎鱼</t>
    </r>
  </si>
  <si>
    <r>
      <rPr>
        <sz val="11"/>
        <color indexed="8"/>
        <rFont val="宋体"/>
        <family val="3"/>
        <charset val="134"/>
      </rPr>
      <t>小吻鰕虎鱼</t>
    </r>
  </si>
  <si>
    <r>
      <rPr>
        <sz val="11"/>
        <color indexed="8"/>
        <rFont val="宋体"/>
        <family val="3"/>
        <charset val="134"/>
      </rPr>
      <t>斑纹吻鰕虎鱼</t>
    </r>
  </si>
  <si>
    <r>
      <rPr>
        <sz val="11"/>
        <color indexed="8"/>
        <rFont val="宋体"/>
        <family val="3"/>
        <charset val="134"/>
      </rPr>
      <t>斑头吻鰕虎鱼</t>
    </r>
  </si>
  <si>
    <r>
      <rPr>
        <sz val="11"/>
        <color indexed="8"/>
        <rFont val="宋体"/>
        <family val="3"/>
        <charset val="134"/>
      </rPr>
      <t>神农吻鰕虎鱼</t>
    </r>
  </si>
  <si>
    <r>
      <rPr>
        <sz val="11"/>
        <color indexed="8"/>
        <rFont val="宋体"/>
        <family val="3"/>
        <charset val="134"/>
      </rPr>
      <t>苏氏吻鰕虎鱼</t>
    </r>
  </si>
  <si>
    <r>
      <rPr>
        <sz val="11"/>
        <color indexed="8"/>
        <rFont val="宋体"/>
        <family val="3"/>
        <charset val="134"/>
      </rPr>
      <t>四川吻鰕虎鱼</t>
    </r>
  </si>
  <si>
    <r>
      <rPr>
        <sz val="11"/>
        <color indexed="8"/>
        <rFont val="宋体"/>
        <family val="3"/>
        <charset val="134"/>
      </rPr>
      <t>瑶山吻鰕虎鱼</t>
    </r>
  </si>
  <si>
    <r>
      <rPr>
        <sz val="11"/>
        <color indexed="8"/>
        <rFont val="宋体"/>
        <family val="3"/>
        <charset val="134"/>
      </rPr>
      <t>条纹狭鰕虎鱼</t>
    </r>
  </si>
  <si>
    <r>
      <rPr>
        <sz val="11"/>
        <color indexed="8"/>
        <rFont val="宋体"/>
        <family val="3"/>
        <charset val="134"/>
      </rPr>
      <t>眼带狭鰕虎鱼</t>
    </r>
  </si>
  <si>
    <r>
      <rPr>
        <sz val="11"/>
        <color indexed="8"/>
        <rFont val="宋体"/>
        <family val="3"/>
        <charset val="134"/>
      </rPr>
      <t>霍氏点鰕虎鱼</t>
    </r>
  </si>
  <si>
    <r>
      <rPr>
        <sz val="11"/>
        <color indexed="8"/>
        <rFont val="宋体"/>
        <family val="3"/>
        <charset val="134"/>
      </rPr>
      <t>多鳞枝牙鰕虎鱼</t>
    </r>
  </si>
  <si>
    <r>
      <rPr>
        <sz val="11"/>
        <color indexed="8"/>
        <rFont val="宋体"/>
        <family val="3"/>
        <charset val="134"/>
      </rPr>
      <t>矛尾复鰕虎鱼</t>
    </r>
  </si>
  <si>
    <r>
      <rPr>
        <sz val="11"/>
        <color indexed="8"/>
        <rFont val="宋体"/>
        <family val="3"/>
        <charset val="134"/>
      </rPr>
      <t>斑尾复鰕虎鱼</t>
    </r>
  </si>
  <si>
    <r>
      <rPr>
        <sz val="11"/>
        <color indexed="8"/>
        <rFont val="宋体"/>
        <family val="3"/>
        <charset val="134"/>
      </rPr>
      <t>云斑裸颊鰕虎鱼</t>
    </r>
  </si>
  <si>
    <r>
      <rPr>
        <sz val="11"/>
        <color indexed="8"/>
        <rFont val="宋体"/>
        <family val="3"/>
        <charset val="134"/>
      </rPr>
      <t>中华钝牙鰕虎鱼</t>
    </r>
  </si>
  <si>
    <r>
      <rPr>
        <sz val="11"/>
        <color indexed="8"/>
        <rFont val="宋体"/>
        <family val="3"/>
        <charset val="134"/>
      </rPr>
      <t>少齿叉牙鰕虎鱼</t>
    </r>
  </si>
  <si>
    <r>
      <rPr>
        <sz val="11"/>
        <color indexed="8"/>
        <rFont val="宋体"/>
        <family val="3"/>
        <charset val="134"/>
      </rPr>
      <t>马都拉叉牙鰕虎</t>
    </r>
  </si>
  <si>
    <r>
      <rPr>
        <sz val="11"/>
        <color indexed="8"/>
        <rFont val="宋体"/>
        <family val="3"/>
        <charset val="134"/>
      </rPr>
      <t>细点叉牙鰕虎鱼</t>
    </r>
  </si>
  <si>
    <r>
      <rPr>
        <sz val="11"/>
        <color indexed="8"/>
        <rFont val="宋体"/>
        <family val="3"/>
        <charset val="134"/>
      </rPr>
      <t>大鳞副平牙鰕虎鱼</t>
    </r>
  </si>
  <si>
    <r>
      <rPr>
        <sz val="11"/>
        <color indexed="8"/>
        <rFont val="宋体"/>
        <family val="3"/>
        <charset val="134"/>
      </rPr>
      <t>蜥形副平牙鰕虎鱼</t>
    </r>
  </si>
  <si>
    <r>
      <rPr>
        <sz val="11"/>
        <color indexed="8"/>
        <rFont val="宋体"/>
        <family val="3"/>
        <charset val="134"/>
      </rPr>
      <t>矛状拟平牙鰕虎鱼</t>
    </r>
  </si>
  <si>
    <r>
      <rPr>
        <sz val="11"/>
        <color indexed="8"/>
        <rFont val="宋体"/>
        <family val="3"/>
        <charset val="134"/>
      </rPr>
      <t>大鳞鳍鰕虎鱼</t>
    </r>
  </si>
  <si>
    <r>
      <rPr>
        <sz val="11"/>
        <color indexed="8"/>
        <rFont val="宋体"/>
        <family val="3"/>
        <charset val="134"/>
      </rPr>
      <t>日本瓢鳍鰕虎鱼</t>
    </r>
  </si>
  <si>
    <r>
      <rPr>
        <sz val="11"/>
        <color indexed="8"/>
        <rFont val="宋体"/>
        <family val="3"/>
        <charset val="134"/>
      </rPr>
      <t>栉孔鰕虎鱼属</t>
    </r>
  </si>
  <si>
    <r>
      <rPr>
        <sz val="11"/>
        <color indexed="8"/>
        <rFont val="宋体"/>
        <family val="3"/>
        <charset val="134"/>
      </rPr>
      <t>弹涂鱼科</t>
    </r>
  </si>
  <si>
    <r>
      <rPr>
        <sz val="11"/>
        <color indexed="8"/>
        <rFont val="宋体"/>
        <family val="3"/>
        <charset val="134"/>
      </rPr>
      <t>大弹涂鱼</t>
    </r>
  </si>
  <si>
    <r>
      <rPr>
        <sz val="11"/>
        <color indexed="8"/>
        <rFont val="宋体"/>
        <family val="3"/>
        <charset val="134"/>
      </rPr>
      <t>银线弹涂鱼</t>
    </r>
  </si>
  <si>
    <r>
      <rPr>
        <sz val="11"/>
        <color indexed="8"/>
        <rFont val="宋体"/>
        <family val="3"/>
        <charset val="134"/>
      </rPr>
      <t>弹涂鱼</t>
    </r>
  </si>
  <si>
    <r>
      <rPr>
        <sz val="11"/>
        <color indexed="8"/>
        <rFont val="宋体"/>
        <family val="3"/>
        <charset val="134"/>
      </rPr>
      <t>大青弹涂鱼</t>
    </r>
  </si>
  <si>
    <r>
      <rPr>
        <sz val="11"/>
        <color indexed="8"/>
        <rFont val="宋体"/>
        <family val="3"/>
        <charset val="134"/>
      </rPr>
      <t>青弹涂鱼</t>
    </r>
  </si>
  <si>
    <r>
      <rPr>
        <sz val="11"/>
        <color indexed="8"/>
        <rFont val="宋体"/>
        <family val="3"/>
        <charset val="134"/>
      </rPr>
      <t>鳗鰕虎鱼科</t>
    </r>
  </si>
  <si>
    <r>
      <rPr>
        <sz val="11"/>
        <color indexed="8"/>
        <rFont val="宋体"/>
        <family val="3"/>
        <charset val="134"/>
      </rPr>
      <t>短体盲鰕虎鱼</t>
    </r>
  </si>
  <si>
    <r>
      <rPr>
        <sz val="11"/>
        <color indexed="8"/>
        <rFont val="宋体"/>
        <family val="3"/>
        <charset val="134"/>
      </rPr>
      <t>红狼牙鰕虎鱼</t>
    </r>
  </si>
  <si>
    <r>
      <rPr>
        <sz val="11"/>
        <color indexed="8"/>
        <rFont val="宋体"/>
        <family val="3"/>
        <charset val="134"/>
      </rPr>
      <t>鳗鰕虎鱼</t>
    </r>
  </si>
  <si>
    <r>
      <rPr>
        <sz val="11"/>
        <color indexed="8"/>
        <rFont val="宋体"/>
        <family val="3"/>
        <charset val="134"/>
      </rPr>
      <t>须鳗鰕虎鱼</t>
    </r>
  </si>
  <si>
    <r>
      <rPr>
        <sz val="11"/>
        <color indexed="8"/>
        <rFont val="宋体"/>
        <family val="3"/>
        <charset val="134"/>
      </rPr>
      <t>钝孔鰕虎鱼</t>
    </r>
  </si>
  <si>
    <r>
      <rPr>
        <sz val="11"/>
        <color indexed="8"/>
        <rFont val="宋体"/>
        <family val="3"/>
        <charset val="134"/>
      </rPr>
      <t>中华栉孔鰕虎鱼</t>
    </r>
  </si>
  <si>
    <r>
      <rPr>
        <sz val="11"/>
        <color indexed="8"/>
        <rFont val="宋体"/>
        <family val="3"/>
        <charset val="134"/>
      </rPr>
      <t>小头栉孔鰕虎鱼</t>
    </r>
  </si>
  <si>
    <r>
      <rPr>
        <sz val="11"/>
        <color indexed="8"/>
        <rFont val="宋体"/>
        <family val="3"/>
        <charset val="134"/>
      </rPr>
      <t>大鳞孔鰕虎鱼</t>
    </r>
  </si>
  <si>
    <r>
      <rPr>
        <sz val="11"/>
        <color indexed="8"/>
        <rFont val="宋体"/>
        <family val="3"/>
        <charset val="134"/>
      </rPr>
      <t>孔鰕虎鱼</t>
    </r>
  </si>
  <si>
    <r>
      <rPr>
        <sz val="11"/>
        <color indexed="8"/>
        <rFont val="宋体"/>
        <family val="3"/>
        <charset val="134"/>
      </rPr>
      <t>鲉科</t>
    </r>
  </si>
  <si>
    <r>
      <rPr>
        <sz val="11"/>
        <color indexed="8"/>
        <rFont val="宋体"/>
        <family val="3"/>
        <charset val="134"/>
      </rPr>
      <t>鲉形目</t>
    </r>
  </si>
  <si>
    <r>
      <rPr>
        <sz val="11"/>
        <color indexed="8"/>
        <rFont val="宋体"/>
        <family val="3"/>
        <charset val="134"/>
      </rPr>
      <t>无鳔鲉</t>
    </r>
  </si>
  <si>
    <r>
      <rPr>
        <sz val="11"/>
        <color indexed="8"/>
        <rFont val="宋体"/>
        <family val="3"/>
        <charset val="134"/>
      </rPr>
      <t>铠平鲉</t>
    </r>
  </si>
  <si>
    <r>
      <rPr>
        <sz val="11"/>
        <color indexed="8"/>
        <rFont val="宋体"/>
        <family val="3"/>
        <charset val="134"/>
      </rPr>
      <t>无备平鲉</t>
    </r>
  </si>
  <si>
    <r>
      <rPr>
        <sz val="11"/>
        <color indexed="8"/>
        <rFont val="宋体"/>
        <family val="3"/>
        <charset val="134"/>
      </rPr>
      <t>柳平鲉</t>
    </r>
  </si>
  <si>
    <r>
      <rPr>
        <sz val="11"/>
        <color indexed="8"/>
        <rFont val="宋体"/>
        <family val="3"/>
        <charset val="134"/>
      </rPr>
      <t>焦氏平鲉</t>
    </r>
  </si>
  <si>
    <r>
      <rPr>
        <sz val="11"/>
        <color indexed="8"/>
        <rFont val="宋体"/>
        <family val="3"/>
        <charset val="134"/>
      </rPr>
      <t>黑平鲉</t>
    </r>
  </si>
  <si>
    <r>
      <rPr>
        <sz val="11"/>
        <color indexed="8"/>
        <rFont val="宋体"/>
        <family val="3"/>
        <charset val="134"/>
      </rPr>
      <t>雪斑平鲉</t>
    </r>
  </si>
  <si>
    <r>
      <rPr>
        <sz val="11"/>
        <color indexed="8"/>
        <rFont val="宋体"/>
        <family val="3"/>
        <charset val="134"/>
      </rPr>
      <t>厚头平鲉</t>
    </r>
  </si>
  <si>
    <r>
      <rPr>
        <sz val="11"/>
        <color indexed="8"/>
        <rFont val="宋体"/>
        <family val="3"/>
        <charset val="134"/>
      </rPr>
      <t>许氏平鲉</t>
    </r>
  </si>
  <si>
    <r>
      <rPr>
        <sz val="11"/>
        <color indexed="8"/>
        <rFont val="宋体"/>
        <family val="3"/>
        <charset val="134"/>
      </rPr>
      <t>汤氏平鲉</t>
    </r>
  </si>
  <si>
    <r>
      <rPr>
        <sz val="11"/>
        <color indexed="8"/>
        <rFont val="宋体"/>
        <family val="3"/>
        <charset val="134"/>
      </rPr>
      <t>条平鲉</t>
    </r>
  </si>
  <si>
    <r>
      <rPr>
        <sz val="11"/>
        <color indexed="8"/>
        <rFont val="宋体"/>
        <family val="3"/>
        <charset val="134"/>
      </rPr>
      <t>白斑菖鲉</t>
    </r>
  </si>
  <si>
    <r>
      <rPr>
        <sz val="11"/>
        <color indexed="8"/>
        <rFont val="宋体"/>
        <family val="3"/>
        <charset val="134"/>
      </rPr>
      <t>褐菖鲉</t>
    </r>
  </si>
  <si>
    <r>
      <rPr>
        <sz val="11"/>
        <color indexed="8"/>
        <rFont val="宋体"/>
        <family val="3"/>
        <charset val="134"/>
      </rPr>
      <t>棘鲉</t>
    </r>
  </si>
  <si>
    <r>
      <rPr>
        <sz val="11"/>
        <color indexed="8"/>
        <rFont val="宋体"/>
        <family val="3"/>
        <charset val="134"/>
      </rPr>
      <t>眶棘鲉</t>
    </r>
  </si>
  <si>
    <r>
      <rPr>
        <sz val="11"/>
        <color indexed="8"/>
        <rFont val="宋体"/>
        <family val="3"/>
        <charset val="134"/>
      </rPr>
      <t>斑点斑记鲉</t>
    </r>
  </si>
  <si>
    <r>
      <rPr>
        <sz val="11"/>
        <color indexed="8"/>
        <rFont val="宋体"/>
        <family val="3"/>
        <charset val="134"/>
      </rPr>
      <t>斑翅圆鳞鲉</t>
    </r>
  </si>
  <si>
    <r>
      <rPr>
        <sz val="11"/>
        <color indexed="8"/>
        <rFont val="宋体"/>
        <family val="3"/>
        <charset val="134"/>
      </rPr>
      <t>莫桑比克圆鳞鲉</t>
    </r>
  </si>
  <si>
    <r>
      <rPr>
        <sz val="11"/>
        <color indexed="8"/>
        <rFont val="宋体"/>
        <family val="3"/>
        <charset val="134"/>
      </rPr>
      <t>圆鳞鲉</t>
    </r>
  </si>
  <si>
    <r>
      <rPr>
        <sz val="11"/>
        <color indexed="8"/>
        <rFont val="宋体"/>
        <family val="3"/>
        <charset val="134"/>
      </rPr>
      <t>前鳍鲉</t>
    </r>
  </si>
  <si>
    <r>
      <rPr>
        <sz val="11"/>
        <color indexed="8"/>
        <rFont val="宋体"/>
        <family val="3"/>
        <charset val="134"/>
      </rPr>
      <t>冠棘鲉</t>
    </r>
  </si>
  <si>
    <r>
      <rPr>
        <sz val="11"/>
        <color indexed="8"/>
        <rFont val="宋体"/>
        <family val="3"/>
        <charset val="134"/>
      </rPr>
      <t>裸胸鲉</t>
    </r>
  </si>
  <si>
    <r>
      <rPr>
        <sz val="11"/>
        <color indexed="8"/>
        <rFont val="宋体"/>
        <family val="3"/>
        <charset val="134"/>
      </rPr>
      <t>斑鳍鲉</t>
    </r>
  </si>
  <si>
    <r>
      <rPr>
        <sz val="11"/>
        <color indexed="8"/>
        <rFont val="宋体"/>
        <family val="3"/>
        <charset val="134"/>
      </rPr>
      <t>络鳃鲉</t>
    </r>
  </si>
  <si>
    <r>
      <rPr>
        <sz val="11"/>
        <color indexed="8"/>
        <rFont val="宋体"/>
        <family val="3"/>
        <charset val="134"/>
      </rPr>
      <t>关岛小鲉</t>
    </r>
  </si>
  <si>
    <r>
      <rPr>
        <sz val="11"/>
        <color indexed="8"/>
        <rFont val="宋体"/>
        <family val="3"/>
        <charset val="134"/>
      </rPr>
      <t>克氏小鲉</t>
    </r>
  </si>
  <si>
    <r>
      <rPr>
        <sz val="11"/>
        <color indexed="8"/>
        <rFont val="宋体"/>
        <family val="3"/>
        <charset val="134"/>
      </rPr>
      <t>浅海小鲉</t>
    </r>
  </si>
  <si>
    <r>
      <rPr>
        <sz val="11"/>
        <color indexed="8"/>
        <rFont val="宋体"/>
        <family val="3"/>
        <charset val="134"/>
      </rPr>
      <t>小小鲉</t>
    </r>
  </si>
  <si>
    <r>
      <rPr>
        <sz val="11"/>
        <color indexed="8"/>
        <rFont val="宋体"/>
        <family val="3"/>
        <charset val="134"/>
      </rPr>
      <t>短翅小鲉</t>
    </r>
  </si>
  <si>
    <r>
      <rPr>
        <sz val="11"/>
        <color indexed="8"/>
        <rFont val="宋体"/>
        <family val="3"/>
        <charset val="134"/>
      </rPr>
      <t>长棘小鲉</t>
    </r>
  </si>
  <si>
    <r>
      <rPr>
        <sz val="11"/>
        <color indexed="8"/>
        <rFont val="宋体"/>
        <family val="3"/>
        <charset val="134"/>
      </rPr>
      <t>花翅小鲉</t>
    </r>
  </si>
  <si>
    <r>
      <rPr>
        <sz val="11"/>
        <color indexed="8"/>
        <rFont val="宋体"/>
        <family val="3"/>
        <charset val="134"/>
      </rPr>
      <t>须拟鲉</t>
    </r>
  </si>
  <si>
    <r>
      <rPr>
        <sz val="11"/>
        <color indexed="8"/>
        <rFont val="宋体"/>
        <family val="3"/>
        <charset val="134"/>
      </rPr>
      <t>毒拟鲉</t>
    </r>
  </si>
  <si>
    <r>
      <rPr>
        <sz val="11"/>
        <color indexed="8"/>
        <rFont val="宋体"/>
        <family val="3"/>
        <charset val="134"/>
      </rPr>
      <t>驼背拟鲉</t>
    </r>
  </si>
  <si>
    <r>
      <rPr>
        <sz val="11"/>
        <color indexed="8"/>
        <rFont val="宋体"/>
        <family val="3"/>
        <charset val="134"/>
      </rPr>
      <t>两色鳞头鲉</t>
    </r>
  </si>
  <si>
    <r>
      <rPr>
        <sz val="11"/>
        <color indexed="8"/>
        <rFont val="宋体"/>
        <family val="3"/>
        <charset val="134"/>
      </rPr>
      <t>百瑙鳞头鲉</t>
    </r>
  </si>
  <si>
    <r>
      <rPr>
        <sz val="11"/>
        <color indexed="8"/>
        <rFont val="宋体"/>
        <family val="3"/>
        <charset val="134"/>
      </rPr>
      <t>大鳞鳞头鲉</t>
    </r>
  </si>
  <si>
    <r>
      <rPr>
        <sz val="11"/>
        <color indexed="8"/>
        <rFont val="宋体"/>
        <family val="3"/>
        <charset val="134"/>
      </rPr>
      <t>花腋鳞头鲉</t>
    </r>
  </si>
  <si>
    <r>
      <rPr>
        <sz val="11"/>
        <color indexed="8"/>
        <rFont val="宋体"/>
        <family val="3"/>
        <charset val="134"/>
      </rPr>
      <t>瓦氏鳞头鲉</t>
    </r>
  </si>
  <si>
    <r>
      <rPr>
        <sz val="11"/>
        <color indexed="8"/>
        <rFont val="宋体"/>
        <family val="3"/>
        <charset val="134"/>
      </rPr>
      <t>三棘高身鲉</t>
    </r>
  </si>
  <si>
    <r>
      <rPr>
        <sz val="11"/>
        <color indexed="8"/>
        <rFont val="宋体"/>
        <family val="3"/>
        <charset val="134"/>
      </rPr>
      <t>平头鲉</t>
    </r>
  </si>
  <si>
    <r>
      <rPr>
        <sz val="11"/>
        <color indexed="8"/>
        <rFont val="宋体"/>
        <family val="3"/>
        <charset val="134"/>
      </rPr>
      <t>锯蓑鲉</t>
    </r>
  </si>
  <si>
    <r>
      <rPr>
        <sz val="11"/>
        <color indexed="8"/>
        <rFont val="宋体"/>
        <family val="3"/>
        <charset val="134"/>
      </rPr>
      <t>美丽短鳍蓑鲉</t>
    </r>
  </si>
  <si>
    <r>
      <rPr>
        <sz val="11"/>
        <color indexed="8"/>
        <rFont val="宋体"/>
        <family val="3"/>
        <charset val="134"/>
      </rPr>
      <t>双斑短鳍蓑鲉</t>
    </r>
  </si>
  <si>
    <r>
      <rPr>
        <sz val="11"/>
        <color indexed="8"/>
        <rFont val="宋体"/>
        <family val="3"/>
        <charset val="134"/>
      </rPr>
      <t>花斑短鳍蓑鲉</t>
    </r>
  </si>
  <si>
    <r>
      <rPr>
        <sz val="11"/>
        <color indexed="8"/>
        <rFont val="宋体"/>
        <family val="3"/>
        <charset val="134"/>
      </rPr>
      <t>盔蓑鲉</t>
    </r>
  </si>
  <si>
    <r>
      <rPr>
        <sz val="11"/>
        <color indexed="8"/>
        <rFont val="宋体"/>
        <family val="3"/>
        <charset val="134"/>
      </rPr>
      <t>拟蓑鲉</t>
    </r>
  </si>
  <si>
    <r>
      <rPr>
        <sz val="11"/>
        <color indexed="8"/>
        <rFont val="宋体"/>
        <family val="3"/>
        <charset val="134"/>
      </rPr>
      <t>冠带鲉</t>
    </r>
  </si>
  <si>
    <r>
      <rPr>
        <sz val="11"/>
        <color indexed="8"/>
        <rFont val="宋体"/>
        <family val="3"/>
        <charset val="134"/>
      </rPr>
      <t>安汶狭蓑鲉</t>
    </r>
  </si>
  <si>
    <r>
      <rPr>
        <sz val="11"/>
        <color indexed="8"/>
        <rFont val="宋体"/>
        <family val="3"/>
        <charset val="134"/>
      </rPr>
      <t>触须蓑鲉</t>
    </r>
  </si>
  <si>
    <r>
      <rPr>
        <sz val="11"/>
        <color indexed="8"/>
        <rFont val="宋体"/>
        <family val="3"/>
        <charset val="134"/>
      </rPr>
      <t>环纹蓑鲉</t>
    </r>
  </si>
  <si>
    <r>
      <rPr>
        <sz val="11"/>
        <color indexed="8"/>
        <rFont val="宋体"/>
        <family val="3"/>
        <charset val="134"/>
      </rPr>
      <t>辐蓑鲉</t>
    </r>
  </si>
  <si>
    <r>
      <rPr>
        <sz val="11"/>
        <color indexed="8"/>
        <rFont val="宋体"/>
        <family val="3"/>
        <charset val="134"/>
      </rPr>
      <t>勒氏蓑鲉</t>
    </r>
  </si>
  <si>
    <r>
      <rPr>
        <sz val="11"/>
        <color indexed="8"/>
        <rFont val="宋体"/>
        <family val="3"/>
        <charset val="134"/>
      </rPr>
      <t>翱翔蓑鲉</t>
    </r>
  </si>
  <si>
    <r>
      <rPr>
        <sz val="11"/>
        <color indexed="8"/>
        <rFont val="宋体"/>
        <family val="3"/>
        <charset val="134"/>
      </rPr>
      <t>斐济囊头鲉</t>
    </r>
  </si>
  <si>
    <r>
      <rPr>
        <sz val="11"/>
        <color indexed="8"/>
        <rFont val="宋体"/>
        <family val="3"/>
        <charset val="134"/>
      </rPr>
      <t>贡氏囊头鲉</t>
    </r>
  </si>
  <si>
    <r>
      <rPr>
        <sz val="11"/>
        <color indexed="8"/>
        <rFont val="宋体"/>
        <family val="3"/>
        <charset val="134"/>
      </rPr>
      <t>长臂囊头鲉</t>
    </r>
  </si>
  <si>
    <r>
      <rPr>
        <sz val="11"/>
        <color indexed="8"/>
        <rFont val="宋体"/>
        <family val="3"/>
        <charset val="134"/>
      </rPr>
      <t>须蓑鲉</t>
    </r>
  </si>
  <si>
    <r>
      <rPr>
        <sz val="11"/>
        <color indexed="8"/>
        <rFont val="宋体"/>
        <family val="3"/>
        <charset val="134"/>
      </rPr>
      <t>新平鲉</t>
    </r>
  </si>
  <si>
    <r>
      <rPr>
        <sz val="11"/>
        <color indexed="8"/>
        <rFont val="宋体"/>
        <family val="3"/>
        <charset val="134"/>
      </rPr>
      <t>毒鲉科</t>
    </r>
  </si>
  <si>
    <r>
      <rPr>
        <sz val="11"/>
        <color indexed="8"/>
        <rFont val="宋体"/>
        <family val="3"/>
        <charset val="134"/>
      </rPr>
      <t>三丝鲉</t>
    </r>
  </si>
  <si>
    <r>
      <rPr>
        <sz val="11"/>
        <color indexed="8"/>
        <rFont val="宋体"/>
        <family val="3"/>
        <charset val="134"/>
      </rPr>
      <t>狮头鲉</t>
    </r>
  </si>
  <si>
    <r>
      <rPr>
        <sz val="11"/>
        <color indexed="8"/>
        <rFont val="宋体"/>
        <family val="3"/>
        <charset val="134"/>
      </rPr>
      <t>居氏鬼鲉</t>
    </r>
  </si>
  <si>
    <r>
      <rPr>
        <sz val="11"/>
        <color indexed="8"/>
        <rFont val="宋体"/>
        <family val="3"/>
        <charset val="134"/>
      </rPr>
      <t>双指鬼鲉</t>
    </r>
  </si>
  <si>
    <r>
      <rPr>
        <sz val="11"/>
        <color indexed="8"/>
        <rFont val="宋体"/>
        <family val="3"/>
        <charset val="134"/>
      </rPr>
      <t>鬼鲉</t>
    </r>
  </si>
  <si>
    <r>
      <rPr>
        <sz val="11"/>
        <color indexed="8"/>
        <rFont val="宋体"/>
        <family val="3"/>
        <charset val="134"/>
      </rPr>
      <t>无备虎鲉</t>
    </r>
  </si>
  <si>
    <r>
      <rPr>
        <sz val="11"/>
        <color indexed="8"/>
        <rFont val="宋体"/>
        <family val="3"/>
        <charset val="134"/>
      </rPr>
      <t>虎鲉</t>
    </r>
  </si>
  <si>
    <r>
      <rPr>
        <sz val="11"/>
        <color indexed="8"/>
        <rFont val="宋体"/>
        <family val="3"/>
        <charset val="134"/>
      </rPr>
      <t>丝棘虎鲉</t>
    </r>
  </si>
  <si>
    <r>
      <rPr>
        <sz val="11"/>
        <color indexed="8"/>
        <rFont val="宋体"/>
        <family val="3"/>
        <charset val="134"/>
      </rPr>
      <t>粗虎鲉</t>
    </r>
  </si>
  <si>
    <r>
      <rPr>
        <sz val="11"/>
        <color indexed="8"/>
        <rFont val="宋体"/>
        <family val="3"/>
        <charset val="134"/>
      </rPr>
      <t>鰧头鲉</t>
    </r>
  </si>
  <si>
    <r>
      <rPr>
        <sz val="11"/>
        <color indexed="8"/>
        <rFont val="宋体"/>
        <family val="3"/>
        <charset val="134"/>
      </rPr>
      <t>粗毒鲉</t>
    </r>
  </si>
  <si>
    <r>
      <rPr>
        <sz val="11"/>
        <color indexed="8"/>
        <rFont val="宋体"/>
        <family val="3"/>
        <charset val="134"/>
      </rPr>
      <t>毒鲉</t>
    </r>
  </si>
  <si>
    <r>
      <rPr>
        <sz val="11"/>
        <color indexed="8"/>
        <rFont val="宋体"/>
        <family val="3"/>
        <charset val="134"/>
      </rPr>
      <t>鲂鮄科</t>
    </r>
  </si>
  <si>
    <r>
      <rPr>
        <sz val="11"/>
        <color indexed="8"/>
        <rFont val="宋体"/>
        <family val="3"/>
        <charset val="134"/>
      </rPr>
      <t>绿鳍鱼</t>
    </r>
  </si>
  <si>
    <r>
      <rPr>
        <sz val="11"/>
        <color indexed="8"/>
        <rFont val="宋体"/>
        <family val="3"/>
        <charset val="134"/>
      </rPr>
      <t>小银绿鳍鱼</t>
    </r>
  </si>
  <si>
    <r>
      <rPr>
        <sz val="11"/>
        <color indexed="8"/>
        <rFont val="宋体"/>
        <family val="3"/>
        <charset val="134"/>
      </rPr>
      <t>红娘鱼属</t>
    </r>
  </si>
  <si>
    <r>
      <rPr>
        <sz val="11"/>
        <color indexed="8"/>
        <rFont val="宋体"/>
        <family val="3"/>
        <charset val="134"/>
      </rPr>
      <t>深海红娘鱼</t>
    </r>
  </si>
  <si>
    <r>
      <rPr>
        <sz val="11"/>
        <color indexed="8"/>
        <rFont val="宋体"/>
        <family val="3"/>
        <charset val="134"/>
      </rPr>
      <t>翼红娘鱼</t>
    </r>
  </si>
  <si>
    <r>
      <rPr>
        <sz val="11"/>
        <color indexed="8"/>
        <rFont val="宋体"/>
        <family val="3"/>
        <charset val="134"/>
      </rPr>
      <t>贡氏红娘鱼</t>
    </r>
  </si>
  <si>
    <r>
      <rPr>
        <sz val="11"/>
        <color indexed="8"/>
        <rFont val="宋体"/>
        <family val="3"/>
        <charset val="134"/>
      </rPr>
      <t>姬红娘鱼</t>
    </r>
  </si>
  <si>
    <r>
      <rPr>
        <sz val="11"/>
        <color indexed="8"/>
        <rFont val="宋体"/>
        <family val="3"/>
        <charset val="134"/>
      </rPr>
      <t>日本红娘鱼</t>
    </r>
  </si>
  <si>
    <r>
      <rPr>
        <sz val="11"/>
        <color indexed="8"/>
        <rFont val="宋体"/>
        <family val="3"/>
        <charset val="134"/>
      </rPr>
      <t>岸上红娘鱼</t>
    </r>
  </si>
  <si>
    <r>
      <rPr>
        <sz val="11"/>
        <color indexed="8"/>
        <rFont val="宋体"/>
        <family val="3"/>
        <charset val="134"/>
      </rPr>
      <t>鳞胸红娘鱼</t>
    </r>
  </si>
  <si>
    <r>
      <rPr>
        <sz val="11"/>
        <color indexed="8"/>
        <rFont val="宋体"/>
        <family val="3"/>
        <charset val="134"/>
      </rPr>
      <t>长头红娘鱼</t>
    </r>
  </si>
  <si>
    <r>
      <rPr>
        <sz val="11"/>
        <color indexed="8"/>
        <rFont val="宋体"/>
        <family val="3"/>
        <charset val="134"/>
      </rPr>
      <t>长指红娘鱼</t>
    </r>
  </si>
  <si>
    <r>
      <rPr>
        <sz val="11"/>
        <color indexed="8"/>
        <rFont val="宋体"/>
        <family val="3"/>
        <charset val="134"/>
      </rPr>
      <t>南海红娘鱼</t>
    </r>
  </si>
  <si>
    <r>
      <rPr>
        <sz val="11"/>
        <color indexed="8"/>
        <rFont val="宋体"/>
        <family val="3"/>
        <charset val="134"/>
      </rPr>
      <t>短鳍红娘鱼</t>
    </r>
  </si>
  <si>
    <r>
      <rPr>
        <sz val="11"/>
        <color indexed="8"/>
        <rFont val="宋体"/>
        <family val="3"/>
        <charset val="134"/>
      </rPr>
      <t>大眼红娘鱼</t>
    </r>
  </si>
  <si>
    <r>
      <rPr>
        <sz val="11"/>
        <color indexed="8"/>
        <rFont val="宋体"/>
        <family val="3"/>
        <charset val="134"/>
      </rPr>
      <t>斑鳍红娘鱼</t>
    </r>
  </si>
  <si>
    <r>
      <rPr>
        <sz val="11"/>
        <color indexed="8"/>
        <rFont val="宋体"/>
        <family val="3"/>
        <charset val="134"/>
      </rPr>
      <t>圆吻红娘鱼</t>
    </r>
  </si>
  <si>
    <r>
      <rPr>
        <sz val="11"/>
        <color indexed="8"/>
        <rFont val="宋体"/>
        <family val="3"/>
        <charset val="134"/>
      </rPr>
      <t>大棘角鲂鮄</t>
    </r>
  </si>
  <si>
    <r>
      <rPr>
        <sz val="11"/>
        <color indexed="8"/>
        <rFont val="宋体"/>
        <family val="3"/>
        <charset val="134"/>
      </rPr>
      <t>琉球角鲂鮄</t>
    </r>
  </si>
  <si>
    <r>
      <rPr>
        <sz val="11"/>
        <color indexed="8"/>
        <rFont val="宋体"/>
        <family val="3"/>
        <charset val="134"/>
      </rPr>
      <t>黄鲂鮄科</t>
    </r>
  </si>
  <si>
    <r>
      <rPr>
        <sz val="11"/>
        <color indexed="8"/>
        <rFont val="宋体"/>
        <family val="3"/>
        <charset val="134"/>
      </rPr>
      <t>轮头鲂鮄</t>
    </r>
  </si>
  <si>
    <r>
      <rPr>
        <sz val="11"/>
        <color indexed="8"/>
        <rFont val="宋体"/>
        <family val="3"/>
        <charset val="134"/>
      </rPr>
      <t>多点副角鲂鮄</t>
    </r>
  </si>
  <si>
    <r>
      <rPr>
        <sz val="11"/>
        <color indexed="8"/>
        <rFont val="宋体"/>
        <family val="3"/>
        <charset val="134"/>
      </rPr>
      <t>黑带黄鲂鮄</t>
    </r>
  </si>
  <si>
    <r>
      <rPr>
        <sz val="11"/>
        <color indexed="8"/>
        <rFont val="宋体"/>
        <family val="3"/>
        <charset val="134"/>
      </rPr>
      <t>东方黄鲂鮄</t>
    </r>
  </si>
  <si>
    <r>
      <rPr>
        <sz val="11"/>
        <color indexed="8"/>
        <rFont val="宋体"/>
        <family val="3"/>
        <charset val="134"/>
      </rPr>
      <t>须红鲂鮄</t>
    </r>
  </si>
  <si>
    <r>
      <rPr>
        <sz val="11"/>
        <color indexed="8"/>
        <rFont val="宋体"/>
        <family val="3"/>
        <charset val="134"/>
      </rPr>
      <t>佛氏红鲂鮄</t>
    </r>
  </si>
  <si>
    <r>
      <rPr>
        <sz val="11"/>
        <color indexed="8"/>
        <rFont val="宋体"/>
        <family val="3"/>
        <charset val="134"/>
      </rPr>
      <t>皮氏红鲂鮄</t>
    </r>
  </si>
  <si>
    <r>
      <rPr>
        <sz val="11"/>
        <color indexed="8"/>
        <rFont val="宋体"/>
        <family val="3"/>
        <charset val="134"/>
      </rPr>
      <t>瑞氏红鲂鮄</t>
    </r>
  </si>
  <si>
    <r>
      <rPr>
        <sz val="11"/>
        <color indexed="8"/>
        <rFont val="宋体"/>
        <family val="3"/>
        <charset val="134"/>
      </rPr>
      <t>魏氏红鲂鮄</t>
    </r>
  </si>
  <si>
    <r>
      <rPr>
        <sz val="11"/>
        <color indexed="8"/>
        <rFont val="宋体"/>
        <family val="3"/>
        <charset val="134"/>
      </rPr>
      <t>前鳍鲉科</t>
    </r>
  </si>
  <si>
    <r>
      <rPr>
        <sz val="11"/>
        <color indexed="8"/>
        <rFont val="宋体"/>
        <family val="3"/>
        <charset val="134"/>
      </rPr>
      <t>单棘鲉</t>
    </r>
  </si>
  <si>
    <r>
      <rPr>
        <sz val="11"/>
        <color indexed="8"/>
        <rFont val="宋体"/>
        <family val="3"/>
        <charset val="134"/>
      </rPr>
      <t>长棘钝顶鲉</t>
    </r>
  </si>
  <si>
    <r>
      <rPr>
        <sz val="11"/>
        <color indexed="8"/>
        <rFont val="宋体"/>
        <family val="3"/>
        <charset val="134"/>
      </rPr>
      <t>钝顶鲉</t>
    </r>
  </si>
  <si>
    <r>
      <rPr>
        <sz val="11"/>
        <color indexed="8"/>
        <rFont val="宋体"/>
        <family val="3"/>
        <charset val="134"/>
      </rPr>
      <t>疣鲉</t>
    </r>
  </si>
  <si>
    <r>
      <rPr>
        <sz val="11"/>
        <color indexed="8"/>
        <rFont val="宋体"/>
        <family val="3"/>
        <charset val="134"/>
      </rPr>
      <t>刺皮鲉</t>
    </r>
  </si>
  <si>
    <r>
      <rPr>
        <sz val="11"/>
        <color indexed="8"/>
        <rFont val="宋体"/>
        <family val="3"/>
        <charset val="134"/>
      </rPr>
      <t>褐鳞鲉</t>
    </r>
  </si>
  <si>
    <r>
      <rPr>
        <sz val="11"/>
        <color indexed="8"/>
        <rFont val="宋体"/>
        <family val="3"/>
        <charset val="134"/>
      </rPr>
      <t>斑尾鳞鲉</t>
    </r>
  </si>
  <si>
    <r>
      <rPr>
        <sz val="11"/>
        <color indexed="8"/>
        <rFont val="宋体"/>
        <family val="3"/>
        <charset val="134"/>
      </rPr>
      <t>拟翔鲉</t>
    </r>
  </si>
  <si>
    <r>
      <rPr>
        <sz val="11"/>
        <color indexed="8"/>
        <rFont val="宋体"/>
        <family val="3"/>
        <charset val="134"/>
      </rPr>
      <t>虻鲉</t>
    </r>
  </si>
  <si>
    <r>
      <rPr>
        <sz val="11"/>
        <color indexed="8"/>
        <rFont val="宋体"/>
        <family val="3"/>
        <charset val="134"/>
      </rPr>
      <t>印度赤鲉</t>
    </r>
  </si>
  <si>
    <r>
      <rPr>
        <sz val="11"/>
        <color indexed="8"/>
        <rFont val="宋体"/>
        <family val="3"/>
        <charset val="134"/>
      </rPr>
      <t>长赤鲉</t>
    </r>
  </si>
  <si>
    <r>
      <rPr>
        <sz val="11"/>
        <color indexed="8"/>
        <rFont val="宋体"/>
        <family val="3"/>
        <charset val="134"/>
      </rPr>
      <t>红鳍赤鲉</t>
    </r>
  </si>
  <si>
    <r>
      <rPr>
        <sz val="11"/>
        <color indexed="8"/>
        <rFont val="宋体"/>
        <family val="3"/>
        <charset val="134"/>
      </rPr>
      <t>新鳞鲉</t>
    </r>
  </si>
  <si>
    <r>
      <rPr>
        <sz val="11"/>
        <color indexed="8"/>
        <rFont val="宋体"/>
        <family val="3"/>
        <charset val="134"/>
      </rPr>
      <t>斑虻鲉</t>
    </r>
  </si>
  <si>
    <r>
      <rPr>
        <sz val="11"/>
        <color indexed="8"/>
        <rFont val="宋体"/>
        <family val="3"/>
        <charset val="134"/>
      </rPr>
      <t>裸绒鲉</t>
    </r>
  </si>
  <si>
    <r>
      <rPr>
        <sz val="11"/>
        <color indexed="8"/>
        <rFont val="宋体"/>
        <family val="3"/>
        <charset val="134"/>
      </rPr>
      <t>发鲉</t>
    </r>
  </si>
  <si>
    <r>
      <rPr>
        <sz val="11"/>
        <color indexed="8"/>
        <rFont val="宋体"/>
        <family val="3"/>
        <charset val="134"/>
      </rPr>
      <t>裸皮鲉</t>
    </r>
  </si>
  <si>
    <r>
      <rPr>
        <sz val="11"/>
        <color indexed="8"/>
        <rFont val="宋体"/>
        <family val="3"/>
        <charset val="134"/>
      </rPr>
      <t>中华蜂鲉</t>
    </r>
  </si>
  <si>
    <r>
      <rPr>
        <sz val="11"/>
        <color indexed="8"/>
        <rFont val="宋体"/>
        <family val="3"/>
        <charset val="134"/>
      </rPr>
      <t>粗蜂鲉</t>
    </r>
  </si>
  <si>
    <r>
      <rPr>
        <sz val="11"/>
        <color indexed="8"/>
        <rFont val="宋体"/>
        <family val="3"/>
        <charset val="134"/>
      </rPr>
      <t>六线鱼科</t>
    </r>
  </si>
  <si>
    <r>
      <rPr>
        <sz val="11"/>
        <color indexed="8"/>
        <rFont val="宋体"/>
        <family val="3"/>
        <charset val="134"/>
      </rPr>
      <t>斑头鱼</t>
    </r>
  </si>
  <si>
    <r>
      <rPr>
        <sz val="11"/>
        <color indexed="8"/>
        <rFont val="宋体"/>
        <family val="3"/>
        <charset val="134"/>
      </rPr>
      <t>长线六线鱼</t>
    </r>
  </si>
  <si>
    <r>
      <rPr>
        <sz val="11"/>
        <color indexed="8"/>
        <rFont val="宋体"/>
        <family val="3"/>
        <charset val="134"/>
      </rPr>
      <t>叉线六线鱼</t>
    </r>
  </si>
  <si>
    <r>
      <rPr>
        <sz val="11"/>
        <color indexed="8"/>
        <rFont val="宋体"/>
        <family val="3"/>
        <charset val="134"/>
      </rPr>
      <t>大泷六线鱼</t>
    </r>
  </si>
  <si>
    <r>
      <rPr>
        <sz val="11"/>
        <color indexed="8"/>
        <rFont val="宋体"/>
        <family val="3"/>
        <charset val="134"/>
      </rPr>
      <t>鲬科</t>
    </r>
  </si>
  <si>
    <r>
      <rPr>
        <sz val="11"/>
        <color indexed="8"/>
        <rFont val="宋体"/>
        <family val="3"/>
        <charset val="134"/>
      </rPr>
      <t>鳄鲬</t>
    </r>
  </si>
  <si>
    <r>
      <rPr>
        <sz val="11"/>
        <color indexed="8"/>
        <rFont val="宋体"/>
        <family val="3"/>
        <charset val="134"/>
      </rPr>
      <t>孔鲬</t>
    </r>
  </si>
  <si>
    <r>
      <rPr>
        <sz val="11"/>
        <color indexed="8"/>
        <rFont val="宋体"/>
        <family val="3"/>
        <charset val="134"/>
      </rPr>
      <t>丝鳍鲬</t>
    </r>
  </si>
  <si>
    <r>
      <rPr>
        <sz val="11"/>
        <color indexed="8"/>
        <rFont val="宋体"/>
        <family val="3"/>
        <charset val="134"/>
      </rPr>
      <t>棘线鲬</t>
    </r>
  </si>
  <si>
    <r>
      <rPr>
        <sz val="11"/>
        <color indexed="8"/>
        <rFont val="宋体"/>
        <family val="3"/>
        <charset val="134"/>
      </rPr>
      <t>斑瞳鲬</t>
    </r>
  </si>
  <si>
    <r>
      <rPr>
        <sz val="11"/>
        <color indexed="8"/>
        <rFont val="宋体"/>
        <family val="3"/>
        <charset val="134"/>
      </rPr>
      <t>日本瞳鲬</t>
    </r>
  </si>
  <si>
    <r>
      <rPr>
        <sz val="11"/>
        <color indexed="8"/>
        <rFont val="宋体"/>
        <family val="3"/>
        <charset val="134"/>
      </rPr>
      <t>凹鳍鲬</t>
    </r>
  </si>
  <si>
    <r>
      <rPr>
        <sz val="11"/>
        <color indexed="8"/>
        <rFont val="宋体"/>
        <family val="3"/>
        <charset val="134"/>
      </rPr>
      <t>大鳞鳞鲬</t>
    </r>
  </si>
  <si>
    <r>
      <rPr>
        <sz val="11"/>
        <color indexed="8"/>
        <rFont val="宋体"/>
        <family val="3"/>
        <charset val="134"/>
      </rPr>
      <t>锯齿鳞鲬</t>
    </r>
  </si>
  <si>
    <r>
      <rPr>
        <sz val="11"/>
        <color indexed="8"/>
        <rFont val="宋体"/>
        <family val="3"/>
        <charset val="134"/>
      </rPr>
      <t>粒突鳞鲬</t>
    </r>
  </si>
  <si>
    <r>
      <rPr>
        <sz val="11"/>
        <color indexed="8"/>
        <rFont val="宋体"/>
        <family val="3"/>
        <charset val="134"/>
      </rPr>
      <t>鲬</t>
    </r>
  </si>
  <si>
    <r>
      <rPr>
        <sz val="11"/>
        <color indexed="8"/>
        <rFont val="宋体"/>
        <family val="3"/>
        <charset val="134"/>
      </rPr>
      <t>犬牙鲬</t>
    </r>
  </si>
  <si>
    <r>
      <rPr>
        <sz val="11"/>
        <color indexed="8"/>
        <rFont val="宋体"/>
        <family val="3"/>
        <charset val="134"/>
      </rPr>
      <t>倒棘鲬</t>
    </r>
  </si>
  <si>
    <r>
      <rPr>
        <sz val="11"/>
        <color indexed="8"/>
        <rFont val="宋体"/>
        <family val="3"/>
        <charset val="134"/>
      </rPr>
      <t>派氏倒棘鲬</t>
    </r>
  </si>
  <si>
    <r>
      <rPr>
        <sz val="11"/>
        <color indexed="8"/>
        <rFont val="宋体"/>
        <family val="3"/>
        <charset val="134"/>
      </rPr>
      <t>大棘大眼鲬</t>
    </r>
  </si>
  <si>
    <r>
      <rPr>
        <sz val="11"/>
        <color indexed="8"/>
        <rFont val="宋体"/>
        <family val="3"/>
        <charset val="134"/>
      </rPr>
      <t>大眼鲬</t>
    </r>
  </si>
  <si>
    <r>
      <rPr>
        <sz val="11"/>
        <color indexed="8"/>
        <rFont val="宋体"/>
        <family val="3"/>
        <charset val="134"/>
      </rPr>
      <t>鳞棘大眼鲬</t>
    </r>
  </si>
  <si>
    <r>
      <rPr>
        <sz val="11"/>
        <color indexed="8"/>
        <rFont val="宋体"/>
        <family val="3"/>
        <charset val="134"/>
      </rPr>
      <t>沙地繸鲬</t>
    </r>
  </si>
  <si>
    <r>
      <rPr>
        <sz val="11"/>
        <color indexed="8"/>
        <rFont val="宋体"/>
        <family val="3"/>
        <charset val="134"/>
      </rPr>
      <t>繸鲬</t>
    </r>
  </si>
  <si>
    <r>
      <rPr>
        <sz val="11"/>
        <color indexed="8"/>
        <rFont val="宋体"/>
        <family val="3"/>
        <charset val="134"/>
      </rPr>
      <t>窄眼繸鲬</t>
    </r>
  </si>
  <si>
    <r>
      <rPr>
        <sz val="11"/>
        <color indexed="8"/>
        <rFont val="宋体"/>
        <family val="3"/>
        <charset val="134"/>
      </rPr>
      <t>乳瓣繸鲬</t>
    </r>
  </si>
  <si>
    <r>
      <rPr>
        <sz val="11"/>
        <color indexed="8"/>
        <rFont val="宋体"/>
        <family val="3"/>
        <charset val="134"/>
      </rPr>
      <t>棘鲬</t>
    </r>
  </si>
  <si>
    <r>
      <rPr>
        <sz val="11"/>
        <color indexed="8"/>
        <rFont val="宋体"/>
        <family val="3"/>
        <charset val="134"/>
      </rPr>
      <t>棘鲬科</t>
    </r>
  </si>
  <si>
    <r>
      <rPr>
        <sz val="11"/>
        <color indexed="8"/>
        <rFont val="宋体"/>
        <family val="3"/>
        <charset val="134"/>
      </rPr>
      <t>杜父鱼科</t>
    </r>
  </si>
  <si>
    <r>
      <rPr>
        <sz val="11"/>
        <color indexed="8"/>
        <rFont val="宋体"/>
        <family val="3"/>
        <charset val="134"/>
      </rPr>
      <t>小杜父鱼</t>
    </r>
  </si>
  <si>
    <r>
      <rPr>
        <sz val="11"/>
        <color indexed="8"/>
        <rFont val="宋体"/>
        <family val="3"/>
        <charset val="134"/>
      </rPr>
      <t>克氏杜父鱼</t>
    </r>
  </si>
  <si>
    <r>
      <rPr>
        <sz val="11"/>
        <color indexed="8"/>
        <rFont val="宋体"/>
        <family val="3"/>
        <charset val="134"/>
      </rPr>
      <t>图们杜父鱼</t>
    </r>
  </si>
  <si>
    <r>
      <rPr>
        <sz val="11"/>
        <color indexed="8"/>
        <rFont val="宋体"/>
        <family val="3"/>
        <charset val="134"/>
      </rPr>
      <t>杂色杜父鱼</t>
    </r>
  </si>
  <si>
    <r>
      <rPr>
        <sz val="11"/>
        <color indexed="8"/>
        <rFont val="宋体"/>
        <family val="3"/>
        <charset val="134"/>
      </rPr>
      <t>拇指杜父鱼</t>
    </r>
  </si>
  <si>
    <r>
      <rPr>
        <sz val="11"/>
        <color indexed="8"/>
        <rFont val="宋体"/>
        <family val="3"/>
        <charset val="134"/>
      </rPr>
      <t>阿尔泰杜父鱼</t>
    </r>
  </si>
  <si>
    <r>
      <rPr>
        <sz val="11"/>
        <color indexed="8"/>
        <rFont val="宋体"/>
        <family val="3"/>
        <charset val="134"/>
      </rPr>
      <t>角杜父鱼</t>
    </r>
  </si>
  <si>
    <r>
      <rPr>
        <sz val="11"/>
        <color indexed="8"/>
        <rFont val="宋体"/>
        <family val="3"/>
        <charset val="134"/>
      </rPr>
      <t>拟杜父鱼</t>
    </r>
  </si>
  <si>
    <r>
      <rPr>
        <sz val="11"/>
        <color indexed="8"/>
        <rFont val="宋体"/>
        <family val="3"/>
        <charset val="134"/>
      </rPr>
      <t>叉杜父鱼</t>
    </r>
  </si>
  <si>
    <r>
      <rPr>
        <sz val="11"/>
        <color indexed="8"/>
        <rFont val="宋体"/>
        <family val="3"/>
        <charset val="134"/>
      </rPr>
      <t>裸杜父鱼</t>
    </r>
  </si>
  <si>
    <r>
      <rPr>
        <sz val="11"/>
        <color indexed="8"/>
        <rFont val="宋体"/>
        <family val="3"/>
        <charset val="134"/>
      </rPr>
      <t>绒杜父鱼</t>
    </r>
  </si>
  <si>
    <r>
      <rPr>
        <sz val="11"/>
        <color indexed="8"/>
        <rFont val="宋体"/>
        <family val="3"/>
        <charset val="134"/>
      </rPr>
      <t>黑龙江中杜父鱼</t>
    </r>
  </si>
  <si>
    <r>
      <rPr>
        <sz val="11"/>
        <color indexed="8"/>
        <rFont val="宋体"/>
        <family val="3"/>
        <charset val="134"/>
      </rPr>
      <t>床杜父鱼</t>
    </r>
  </si>
  <si>
    <r>
      <rPr>
        <sz val="11"/>
        <color indexed="8"/>
        <rFont val="宋体"/>
        <family val="3"/>
        <charset val="134"/>
      </rPr>
      <t>中华床杜父鱼</t>
    </r>
  </si>
  <si>
    <r>
      <rPr>
        <sz val="11"/>
        <color indexed="8"/>
        <rFont val="宋体"/>
        <family val="3"/>
        <charset val="134"/>
      </rPr>
      <t>鳚杜父鱼</t>
    </r>
  </si>
  <si>
    <r>
      <rPr>
        <sz val="11"/>
        <color indexed="8"/>
        <rFont val="宋体"/>
        <family val="3"/>
        <charset val="134"/>
      </rPr>
      <t>松江鲈</t>
    </r>
  </si>
  <si>
    <r>
      <rPr>
        <sz val="11"/>
        <color indexed="8"/>
        <rFont val="宋体"/>
        <family val="3"/>
        <charset val="134"/>
      </rPr>
      <t>尖头杜父鱼</t>
    </r>
  </si>
  <si>
    <r>
      <rPr>
        <sz val="11"/>
        <color indexed="8"/>
        <rFont val="宋体"/>
        <family val="3"/>
        <charset val="134"/>
      </rPr>
      <t>狮子鱼科</t>
    </r>
  </si>
  <si>
    <r>
      <rPr>
        <sz val="11"/>
        <color indexed="8"/>
        <rFont val="宋体"/>
        <family val="3"/>
        <charset val="134"/>
      </rPr>
      <t>网纹狮子鱼</t>
    </r>
  </si>
  <si>
    <r>
      <rPr>
        <sz val="11"/>
        <color indexed="8"/>
        <rFont val="宋体"/>
        <family val="3"/>
        <charset val="134"/>
      </rPr>
      <t>赵氏狮子鱼</t>
    </r>
  </si>
  <si>
    <r>
      <rPr>
        <sz val="11"/>
        <color indexed="8"/>
        <rFont val="宋体"/>
        <family val="3"/>
        <charset val="134"/>
      </rPr>
      <t>河北狮子鱼</t>
    </r>
  </si>
  <si>
    <r>
      <rPr>
        <sz val="11"/>
        <color indexed="8"/>
        <rFont val="宋体"/>
        <family val="3"/>
        <charset val="134"/>
      </rPr>
      <t>细纹狮子鱼</t>
    </r>
  </si>
  <si>
    <r>
      <rPr>
        <sz val="11"/>
        <color indexed="8"/>
        <rFont val="宋体"/>
        <family val="3"/>
        <charset val="134"/>
      </rPr>
      <t>棘鲆科</t>
    </r>
  </si>
  <si>
    <r>
      <rPr>
        <sz val="11"/>
        <color indexed="8"/>
        <rFont val="宋体"/>
        <family val="3"/>
        <charset val="134"/>
      </rPr>
      <t>鲽形目</t>
    </r>
  </si>
  <si>
    <r>
      <rPr>
        <sz val="11"/>
        <color indexed="8"/>
        <rFont val="宋体"/>
        <family val="3"/>
        <charset val="134"/>
      </rPr>
      <t>大鳞拟棘鲆</t>
    </r>
  </si>
  <si>
    <r>
      <rPr>
        <sz val="11"/>
        <color indexed="8"/>
        <rFont val="宋体"/>
        <family val="3"/>
        <charset val="134"/>
      </rPr>
      <t>短鲽</t>
    </r>
  </si>
  <si>
    <r>
      <rPr>
        <sz val="11"/>
        <color indexed="8"/>
        <rFont val="宋体"/>
        <family val="3"/>
        <charset val="134"/>
      </rPr>
      <t>鳞眼鲽</t>
    </r>
  </si>
  <si>
    <r>
      <rPr>
        <sz val="11"/>
        <color indexed="8"/>
        <rFont val="宋体"/>
        <family val="3"/>
        <charset val="134"/>
      </rPr>
      <t>牙鲆科</t>
    </r>
  </si>
  <si>
    <r>
      <rPr>
        <sz val="11"/>
        <color indexed="8"/>
        <rFont val="宋体"/>
        <family val="3"/>
        <charset val="134"/>
      </rPr>
      <t>褐牙鲆</t>
    </r>
  </si>
  <si>
    <r>
      <rPr>
        <sz val="11"/>
        <color indexed="8"/>
        <rFont val="宋体"/>
        <family val="3"/>
        <charset val="134"/>
      </rPr>
      <t>大牙斑鲆</t>
    </r>
  </si>
  <si>
    <r>
      <rPr>
        <sz val="11"/>
        <color indexed="8"/>
        <rFont val="宋体"/>
        <family val="3"/>
        <charset val="134"/>
      </rPr>
      <t>桂皮斑鲆</t>
    </r>
  </si>
  <si>
    <r>
      <rPr>
        <sz val="11"/>
        <color indexed="8"/>
        <rFont val="宋体"/>
        <family val="3"/>
        <charset val="134"/>
      </rPr>
      <t>栉鳞斑鲆</t>
    </r>
  </si>
  <si>
    <r>
      <rPr>
        <sz val="11"/>
        <color indexed="8"/>
        <rFont val="宋体"/>
        <family val="3"/>
        <charset val="134"/>
      </rPr>
      <t>双瞳斑鲆</t>
    </r>
  </si>
  <si>
    <r>
      <rPr>
        <sz val="11"/>
        <color indexed="8"/>
        <rFont val="宋体"/>
        <family val="3"/>
        <charset val="134"/>
      </rPr>
      <t>高体斑鲆</t>
    </r>
  </si>
  <si>
    <r>
      <rPr>
        <sz val="11"/>
        <color indexed="8"/>
        <rFont val="宋体"/>
        <family val="3"/>
        <charset val="134"/>
      </rPr>
      <t>爪哇斑鲆</t>
    </r>
  </si>
  <si>
    <r>
      <rPr>
        <sz val="11"/>
        <color indexed="8"/>
        <rFont val="宋体"/>
        <family val="3"/>
        <charset val="134"/>
      </rPr>
      <t>圆鳞斑鲆</t>
    </r>
  </si>
  <si>
    <r>
      <rPr>
        <sz val="11"/>
        <color indexed="8"/>
        <rFont val="宋体"/>
        <family val="3"/>
        <charset val="134"/>
      </rPr>
      <t>马来斑鲆</t>
    </r>
  </si>
  <si>
    <r>
      <rPr>
        <sz val="11"/>
        <color indexed="8"/>
        <rFont val="宋体"/>
        <family val="3"/>
        <charset val="134"/>
      </rPr>
      <t>南海斑鲆</t>
    </r>
  </si>
  <si>
    <r>
      <rPr>
        <sz val="11"/>
        <color indexed="8"/>
        <rFont val="宋体"/>
        <family val="3"/>
        <charset val="134"/>
      </rPr>
      <t>少牙斑鲆</t>
    </r>
  </si>
  <si>
    <r>
      <rPr>
        <sz val="11"/>
        <color indexed="8"/>
        <rFont val="宋体"/>
        <family val="3"/>
        <charset val="134"/>
      </rPr>
      <t>五眼斑鲆</t>
    </r>
  </si>
  <si>
    <r>
      <rPr>
        <sz val="11"/>
        <color indexed="8"/>
        <rFont val="宋体"/>
        <family val="3"/>
        <charset val="134"/>
      </rPr>
      <t>五点斑鲆</t>
    </r>
  </si>
  <si>
    <r>
      <rPr>
        <sz val="11"/>
        <color indexed="8"/>
        <rFont val="宋体"/>
        <family val="3"/>
        <charset val="134"/>
      </rPr>
      <t>三眼斑鲆</t>
    </r>
  </si>
  <si>
    <r>
      <rPr>
        <sz val="11"/>
        <color indexed="8"/>
        <rFont val="宋体"/>
        <family val="3"/>
        <charset val="134"/>
      </rPr>
      <t>高体大鳞鲆</t>
    </r>
  </si>
  <si>
    <r>
      <rPr>
        <sz val="11"/>
        <color indexed="8"/>
        <rFont val="宋体"/>
        <family val="3"/>
        <charset val="134"/>
      </rPr>
      <t>华鲆</t>
    </r>
  </si>
  <si>
    <r>
      <rPr>
        <sz val="11"/>
        <color indexed="8"/>
        <rFont val="宋体"/>
        <family val="3"/>
        <charset val="134"/>
      </rPr>
      <t>鲆科</t>
    </r>
  </si>
  <si>
    <r>
      <rPr>
        <sz val="11"/>
        <color indexed="8"/>
        <rFont val="宋体"/>
        <family val="3"/>
        <charset val="134"/>
      </rPr>
      <t>无斑羊舌鲆</t>
    </r>
  </si>
  <si>
    <r>
      <rPr>
        <sz val="11"/>
        <color indexed="8"/>
        <rFont val="宋体"/>
        <family val="3"/>
        <charset val="134"/>
      </rPr>
      <t>角羊舌鲆</t>
    </r>
  </si>
  <si>
    <r>
      <rPr>
        <sz val="11"/>
        <color indexed="8"/>
        <rFont val="宋体"/>
        <family val="3"/>
        <charset val="134"/>
      </rPr>
      <t>多斑羊舌鲆</t>
    </r>
  </si>
  <si>
    <r>
      <rPr>
        <sz val="11"/>
        <color indexed="8"/>
        <rFont val="宋体"/>
        <family val="3"/>
        <charset val="134"/>
      </rPr>
      <t>大羊舌鲆</t>
    </r>
  </si>
  <si>
    <r>
      <rPr>
        <sz val="11"/>
        <color indexed="8"/>
        <rFont val="宋体"/>
        <family val="3"/>
        <charset val="134"/>
      </rPr>
      <t>长鳍羊舌鲆</t>
    </r>
  </si>
  <si>
    <r>
      <rPr>
        <sz val="11"/>
        <color indexed="8"/>
        <rFont val="宋体"/>
        <family val="3"/>
        <charset val="134"/>
      </rPr>
      <t>纤羊舌鲆</t>
    </r>
  </si>
  <si>
    <r>
      <rPr>
        <sz val="11"/>
        <color indexed="8"/>
        <rFont val="宋体"/>
        <family val="3"/>
        <charset val="134"/>
      </rPr>
      <t>羊舌鲆</t>
    </r>
  </si>
  <si>
    <r>
      <rPr>
        <sz val="11"/>
        <color indexed="8"/>
        <rFont val="宋体"/>
        <family val="3"/>
        <charset val="134"/>
      </rPr>
      <t>中间角鲆</t>
    </r>
  </si>
  <si>
    <r>
      <rPr>
        <sz val="11"/>
        <color indexed="8"/>
        <rFont val="宋体"/>
        <family val="3"/>
        <charset val="134"/>
      </rPr>
      <t>圆鳞鲆</t>
    </r>
  </si>
  <si>
    <r>
      <rPr>
        <sz val="11"/>
        <color indexed="8"/>
        <rFont val="宋体"/>
        <family val="3"/>
        <charset val="134"/>
      </rPr>
      <t>凹吻鲆</t>
    </r>
  </si>
  <si>
    <r>
      <rPr>
        <sz val="11"/>
        <color indexed="8"/>
        <rFont val="宋体"/>
        <family val="3"/>
        <charset val="134"/>
      </rPr>
      <t>繁星鲆</t>
    </r>
  </si>
  <si>
    <r>
      <rPr>
        <sz val="11"/>
        <color indexed="8"/>
        <rFont val="宋体"/>
        <family val="3"/>
        <charset val="134"/>
      </rPr>
      <t>豹鲆</t>
    </r>
  </si>
  <si>
    <r>
      <rPr>
        <sz val="11"/>
        <color indexed="8"/>
        <rFont val="宋体"/>
        <family val="3"/>
        <charset val="134"/>
      </rPr>
      <t>大口鲆</t>
    </r>
  </si>
  <si>
    <r>
      <rPr>
        <sz val="11"/>
        <color indexed="8"/>
        <rFont val="宋体"/>
        <family val="3"/>
        <charset val="134"/>
      </rPr>
      <t>长颌鲆</t>
    </r>
  </si>
  <si>
    <r>
      <rPr>
        <sz val="11"/>
        <color indexed="8"/>
        <rFont val="宋体"/>
        <family val="3"/>
        <charset val="134"/>
      </rPr>
      <t>缨鲆</t>
    </r>
  </si>
  <si>
    <r>
      <rPr>
        <sz val="11"/>
        <color indexed="8"/>
        <rFont val="宋体"/>
        <family val="3"/>
        <charset val="134"/>
      </rPr>
      <t>青缨鲆</t>
    </r>
  </si>
  <si>
    <r>
      <rPr>
        <sz val="11"/>
        <color indexed="8"/>
        <rFont val="宋体"/>
        <family val="3"/>
        <charset val="134"/>
      </rPr>
      <t>多牙缨鲆</t>
    </r>
  </si>
  <si>
    <r>
      <rPr>
        <sz val="11"/>
        <color indexed="8"/>
        <rFont val="宋体"/>
        <family val="3"/>
        <charset val="134"/>
      </rPr>
      <t>长臂缨鲆</t>
    </r>
  </si>
  <si>
    <r>
      <rPr>
        <sz val="11"/>
        <color indexed="8"/>
        <rFont val="宋体"/>
        <family val="3"/>
        <charset val="134"/>
      </rPr>
      <t>宽额缨鲆</t>
    </r>
  </si>
  <si>
    <r>
      <rPr>
        <sz val="11"/>
        <color indexed="8"/>
        <rFont val="宋体"/>
        <family val="3"/>
        <charset val="134"/>
      </rPr>
      <t>长鳍短额鲆</t>
    </r>
  </si>
  <si>
    <r>
      <rPr>
        <sz val="11"/>
        <color indexed="8"/>
        <rFont val="宋体"/>
        <family val="3"/>
        <charset val="134"/>
      </rPr>
      <t>大鳞短额鲆</t>
    </r>
  </si>
  <si>
    <r>
      <rPr>
        <sz val="11"/>
        <color indexed="8"/>
        <rFont val="宋体"/>
        <family val="3"/>
        <charset val="134"/>
      </rPr>
      <t>宽额短额鲆</t>
    </r>
  </si>
  <si>
    <r>
      <rPr>
        <sz val="11"/>
        <color indexed="8"/>
        <rFont val="宋体"/>
        <family val="3"/>
        <charset val="134"/>
      </rPr>
      <t>长脚短额鲆</t>
    </r>
  </si>
  <si>
    <r>
      <rPr>
        <sz val="11"/>
        <color indexed="8"/>
        <rFont val="宋体"/>
        <family val="3"/>
        <charset val="134"/>
      </rPr>
      <t>大鳍短额鲆</t>
    </r>
  </si>
  <si>
    <r>
      <rPr>
        <sz val="11"/>
        <color indexed="8"/>
        <rFont val="宋体"/>
        <family val="3"/>
        <charset val="134"/>
      </rPr>
      <t>黑斑短额鲆</t>
    </r>
  </si>
  <si>
    <r>
      <rPr>
        <sz val="11"/>
        <color indexed="8"/>
        <rFont val="宋体"/>
        <family val="3"/>
        <charset val="134"/>
      </rPr>
      <t>多鳞短额鲆</t>
    </r>
  </si>
  <si>
    <r>
      <rPr>
        <sz val="11"/>
        <color indexed="8"/>
        <rFont val="宋体"/>
        <family val="3"/>
        <charset val="134"/>
      </rPr>
      <t>鲆科</t>
    </r>
  </si>
  <si>
    <r>
      <rPr>
        <sz val="11"/>
        <color indexed="8"/>
        <rFont val="宋体"/>
        <family val="3"/>
        <charset val="134"/>
      </rPr>
      <t>短额鲆</t>
    </r>
  </si>
  <si>
    <r>
      <rPr>
        <sz val="11"/>
        <color indexed="8"/>
        <rFont val="宋体"/>
        <family val="3"/>
        <charset val="134"/>
      </rPr>
      <t>克氏双线鲆</t>
    </r>
  </si>
  <si>
    <r>
      <rPr>
        <sz val="11"/>
        <color indexed="8"/>
        <rFont val="宋体"/>
        <family val="3"/>
        <charset val="134"/>
      </rPr>
      <t>三斑双线鲆</t>
    </r>
  </si>
  <si>
    <r>
      <rPr>
        <sz val="11"/>
        <color indexed="8"/>
        <rFont val="宋体"/>
        <family val="3"/>
        <charset val="134"/>
      </rPr>
      <t>大嘴鳄口鲆</t>
    </r>
  </si>
  <si>
    <r>
      <rPr>
        <sz val="11"/>
        <color indexed="8"/>
        <rFont val="宋体"/>
        <family val="3"/>
        <charset val="134"/>
      </rPr>
      <t>矛状左鲆</t>
    </r>
  </si>
  <si>
    <r>
      <rPr>
        <sz val="11"/>
        <color indexed="8"/>
        <rFont val="宋体"/>
        <family val="3"/>
        <charset val="134"/>
      </rPr>
      <t>小头左鲆</t>
    </r>
  </si>
  <si>
    <r>
      <rPr>
        <sz val="11"/>
        <color indexed="8"/>
        <rFont val="宋体"/>
        <family val="3"/>
        <charset val="134"/>
      </rPr>
      <t>小眼新左鲆</t>
    </r>
  </si>
  <si>
    <r>
      <rPr>
        <sz val="11"/>
        <color indexed="8"/>
        <rFont val="宋体"/>
        <family val="3"/>
        <charset val="134"/>
      </rPr>
      <t>短腹拟鲆</t>
    </r>
  </si>
  <si>
    <r>
      <rPr>
        <sz val="11"/>
        <color indexed="8"/>
        <rFont val="宋体"/>
        <family val="3"/>
        <charset val="134"/>
      </rPr>
      <t>丝指鳒鲆</t>
    </r>
  </si>
  <si>
    <r>
      <rPr>
        <sz val="11"/>
        <color indexed="8"/>
        <rFont val="宋体"/>
        <family val="3"/>
        <charset val="134"/>
      </rPr>
      <t>大鳒鲆</t>
    </r>
  </si>
  <si>
    <r>
      <rPr>
        <sz val="11"/>
        <color indexed="8"/>
        <rFont val="宋体"/>
        <family val="3"/>
        <charset val="134"/>
      </rPr>
      <t>海南鳒鲆</t>
    </r>
  </si>
  <si>
    <r>
      <rPr>
        <sz val="11"/>
        <color indexed="8"/>
        <rFont val="宋体"/>
        <family val="3"/>
        <charset val="134"/>
      </rPr>
      <t>大斑鳒鲆</t>
    </r>
  </si>
  <si>
    <r>
      <rPr>
        <sz val="11"/>
        <color indexed="8"/>
        <rFont val="宋体"/>
        <family val="3"/>
        <charset val="134"/>
      </rPr>
      <t>土佐鳒鲆</t>
    </r>
  </si>
  <si>
    <r>
      <rPr>
        <sz val="11"/>
        <color indexed="8"/>
        <rFont val="宋体"/>
        <family val="3"/>
        <charset val="134"/>
      </rPr>
      <t>鳒鲆</t>
    </r>
  </si>
  <si>
    <r>
      <rPr>
        <sz val="11"/>
        <color indexed="8"/>
        <rFont val="宋体"/>
        <family val="3"/>
        <charset val="134"/>
      </rPr>
      <t>鲽科</t>
    </r>
  </si>
  <si>
    <r>
      <rPr>
        <sz val="11"/>
        <color indexed="8"/>
        <rFont val="宋体"/>
        <family val="3"/>
        <charset val="134"/>
      </rPr>
      <t>高眼鲽</t>
    </r>
  </si>
  <si>
    <r>
      <rPr>
        <sz val="11"/>
        <color indexed="8"/>
        <rFont val="宋体"/>
        <family val="3"/>
        <charset val="134"/>
      </rPr>
      <t>粒鲽</t>
    </r>
  </si>
  <si>
    <r>
      <rPr>
        <sz val="11"/>
        <color indexed="8"/>
        <rFont val="宋体"/>
        <family val="3"/>
        <charset val="134"/>
      </rPr>
      <t>虫鲽</t>
    </r>
  </si>
  <si>
    <r>
      <rPr>
        <sz val="11"/>
        <color indexed="8"/>
        <rFont val="宋体"/>
        <family val="3"/>
        <charset val="134"/>
      </rPr>
      <t>大牙拟庸鲽</t>
    </r>
  </si>
  <si>
    <r>
      <rPr>
        <sz val="11"/>
        <color indexed="8"/>
        <rFont val="宋体"/>
        <family val="3"/>
        <charset val="134"/>
      </rPr>
      <t>石鲽</t>
    </r>
  </si>
  <si>
    <r>
      <rPr>
        <sz val="11"/>
        <color indexed="8"/>
        <rFont val="宋体"/>
        <family val="3"/>
        <charset val="134"/>
      </rPr>
      <t>黑光鲽</t>
    </r>
  </si>
  <si>
    <r>
      <rPr>
        <sz val="11"/>
        <color indexed="8"/>
        <rFont val="宋体"/>
        <family val="3"/>
        <charset val="134"/>
      </rPr>
      <t>亚洲油鲽</t>
    </r>
  </si>
  <si>
    <r>
      <rPr>
        <sz val="11"/>
        <color indexed="8"/>
        <rFont val="宋体"/>
        <family val="3"/>
        <charset val="134"/>
      </rPr>
      <t>星突江鲽</t>
    </r>
  </si>
  <si>
    <r>
      <rPr>
        <sz val="11"/>
        <color indexed="8"/>
        <rFont val="宋体"/>
        <family val="3"/>
        <charset val="134"/>
      </rPr>
      <t>角木叶鲽</t>
    </r>
  </si>
  <si>
    <r>
      <rPr>
        <sz val="11"/>
        <color indexed="8"/>
        <rFont val="宋体"/>
        <family val="3"/>
        <charset val="134"/>
      </rPr>
      <t>尖吻黄盖鲽</t>
    </r>
  </si>
  <si>
    <r>
      <rPr>
        <sz val="11"/>
        <color indexed="8"/>
        <rFont val="宋体"/>
        <family val="3"/>
        <charset val="134"/>
      </rPr>
      <t>钝吻黄盖鲽</t>
    </r>
  </si>
  <si>
    <r>
      <rPr>
        <sz val="11"/>
        <color indexed="8"/>
        <rFont val="宋体"/>
        <family val="3"/>
        <charset val="134"/>
      </rPr>
      <t>长鲽</t>
    </r>
  </si>
  <si>
    <r>
      <rPr>
        <sz val="11"/>
        <color indexed="8"/>
        <rFont val="宋体"/>
        <family val="3"/>
        <charset val="134"/>
      </rPr>
      <t>条斑星鲽</t>
    </r>
  </si>
  <si>
    <r>
      <rPr>
        <sz val="11"/>
        <color indexed="8"/>
        <rFont val="宋体"/>
        <family val="3"/>
        <charset val="134"/>
      </rPr>
      <t>圆斑星鲽</t>
    </r>
  </si>
  <si>
    <r>
      <rPr>
        <sz val="11"/>
        <color indexed="8"/>
        <rFont val="宋体"/>
        <family val="3"/>
        <charset val="134"/>
      </rPr>
      <t>黑斑瓦鲽</t>
    </r>
  </si>
  <si>
    <r>
      <rPr>
        <sz val="11"/>
        <color indexed="8"/>
        <rFont val="宋体"/>
        <family val="3"/>
        <charset val="134"/>
      </rPr>
      <t>大鳞瓦鲽</t>
    </r>
  </si>
  <si>
    <r>
      <rPr>
        <sz val="11"/>
        <color indexed="8"/>
        <rFont val="宋体"/>
        <family val="3"/>
        <charset val="134"/>
      </rPr>
      <t>纳塔尔瓦鲽</t>
    </r>
  </si>
  <si>
    <r>
      <rPr>
        <sz val="11"/>
        <color indexed="8"/>
        <rFont val="宋体"/>
        <family val="3"/>
        <charset val="134"/>
      </rPr>
      <t>双斑瓦鲽</t>
    </r>
  </si>
  <si>
    <r>
      <rPr>
        <sz val="11"/>
        <color indexed="8"/>
        <rFont val="宋体"/>
        <family val="3"/>
        <charset val="134"/>
      </rPr>
      <t>普来隆瓦鲽</t>
    </r>
  </si>
  <si>
    <r>
      <rPr>
        <sz val="11"/>
        <color indexed="8"/>
        <rFont val="宋体"/>
        <family val="3"/>
        <charset val="134"/>
      </rPr>
      <t>冠鲽科</t>
    </r>
  </si>
  <si>
    <r>
      <rPr>
        <sz val="11"/>
        <color indexed="8"/>
        <rFont val="宋体"/>
        <family val="3"/>
        <charset val="134"/>
      </rPr>
      <t>鳎科</t>
    </r>
  </si>
  <si>
    <r>
      <rPr>
        <sz val="11"/>
        <color indexed="8"/>
        <rFont val="宋体"/>
        <family val="3"/>
        <charset val="134"/>
      </rPr>
      <t>网纹栉鳞鳎</t>
    </r>
  </si>
  <si>
    <r>
      <rPr>
        <sz val="11"/>
        <color indexed="8"/>
        <rFont val="宋体"/>
        <family val="3"/>
        <charset val="134"/>
      </rPr>
      <t>褐斑栉鳞鳎</t>
    </r>
  </si>
  <si>
    <r>
      <rPr>
        <sz val="11"/>
        <color indexed="8"/>
        <rFont val="宋体"/>
        <family val="3"/>
        <charset val="134"/>
      </rPr>
      <t>黑点圆鳞鳎</t>
    </r>
  </si>
  <si>
    <r>
      <rPr>
        <sz val="11"/>
        <color indexed="8"/>
        <rFont val="宋体"/>
        <family val="3"/>
        <charset val="134"/>
      </rPr>
      <t>毛鳍单臂鳎</t>
    </r>
  </si>
  <si>
    <r>
      <rPr>
        <sz val="11"/>
        <color indexed="8"/>
        <rFont val="宋体"/>
        <family val="3"/>
        <charset val="134"/>
      </rPr>
      <t>眼斑豹鳎</t>
    </r>
  </si>
  <si>
    <r>
      <rPr>
        <sz val="11"/>
        <color indexed="8"/>
        <rFont val="宋体"/>
        <family val="3"/>
        <charset val="134"/>
      </rPr>
      <t>卵鳎</t>
    </r>
  </si>
  <si>
    <r>
      <rPr>
        <sz val="11"/>
        <color indexed="8"/>
        <rFont val="宋体"/>
        <family val="3"/>
        <charset val="134"/>
      </rPr>
      <t>异吻长鼻鳎</t>
    </r>
  </si>
  <si>
    <r>
      <rPr>
        <sz val="11"/>
        <color indexed="8"/>
        <rFont val="宋体"/>
        <family val="3"/>
        <charset val="134"/>
      </rPr>
      <t>日本钩嘴鳎</t>
    </r>
  </si>
  <si>
    <r>
      <rPr>
        <sz val="11"/>
        <color indexed="8"/>
        <rFont val="宋体"/>
        <family val="3"/>
        <charset val="134"/>
      </rPr>
      <t>人字钩嘴鳎</t>
    </r>
  </si>
  <si>
    <r>
      <rPr>
        <sz val="11"/>
        <color indexed="8"/>
        <rFont val="宋体"/>
        <family val="3"/>
        <charset val="134"/>
      </rPr>
      <t>角鳎</t>
    </r>
  </si>
  <si>
    <r>
      <rPr>
        <sz val="11"/>
        <color indexed="8"/>
        <rFont val="宋体"/>
        <family val="3"/>
        <charset val="134"/>
      </rPr>
      <t>环纹箬鳎</t>
    </r>
  </si>
  <si>
    <r>
      <rPr>
        <sz val="11"/>
        <color indexed="8"/>
        <rFont val="宋体"/>
        <family val="3"/>
        <charset val="134"/>
      </rPr>
      <t>东方箬鳎</t>
    </r>
  </si>
  <si>
    <r>
      <rPr>
        <sz val="11"/>
        <color indexed="8"/>
        <rFont val="宋体"/>
        <family val="3"/>
        <charset val="134"/>
      </rPr>
      <t>异鳞箬鳎</t>
    </r>
  </si>
  <si>
    <r>
      <rPr>
        <sz val="11"/>
        <color indexed="8"/>
        <rFont val="宋体"/>
        <family val="3"/>
        <charset val="134"/>
      </rPr>
      <t>纵带箬鳎</t>
    </r>
  </si>
  <si>
    <r>
      <rPr>
        <sz val="11"/>
        <color indexed="8"/>
        <rFont val="宋体"/>
        <family val="3"/>
        <charset val="134"/>
      </rPr>
      <t>缨鳞条鳎</t>
    </r>
  </si>
  <si>
    <r>
      <rPr>
        <sz val="11"/>
        <color indexed="8"/>
        <rFont val="宋体"/>
        <family val="3"/>
        <charset val="134"/>
      </rPr>
      <t>日本条鳎</t>
    </r>
  </si>
  <si>
    <r>
      <rPr>
        <sz val="11"/>
        <color indexed="8"/>
        <rFont val="宋体"/>
        <family val="3"/>
        <charset val="134"/>
      </rPr>
      <t>峨眉条鳎</t>
    </r>
  </si>
  <si>
    <r>
      <rPr>
        <sz val="11"/>
        <color indexed="8"/>
        <rFont val="宋体"/>
        <family val="3"/>
        <charset val="134"/>
      </rPr>
      <t>带纹条鳎</t>
    </r>
  </si>
  <si>
    <r>
      <rPr>
        <sz val="11"/>
        <color indexed="8"/>
        <rFont val="宋体"/>
        <family val="3"/>
        <charset val="134"/>
      </rPr>
      <t>鳎属</t>
    </r>
  </si>
  <si>
    <r>
      <rPr>
        <sz val="11"/>
        <color indexed="8"/>
        <rFont val="宋体"/>
        <family val="3"/>
        <charset val="134"/>
      </rPr>
      <t>舌鳎科</t>
    </r>
  </si>
  <si>
    <r>
      <rPr>
        <sz val="11"/>
        <color indexed="8"/>
        <rFont val="宋体"/>
        <family val="3"/>
        <charset val="134"/>
      </rPr>
      <t>短吻三线舌鳎</t>
    </r>
  </si>
  <si>
    <r>
      <rPr>
        <sz val="11"/>
        <color indexed="8"/>
        <rFont val="宋体"/>
        <family val="3"/>
        <charset val="134"/>
      </rPr>
      <t>印度舌鳎</t>
    </r>
  </si>
  <si>
    <r>
      <rPr>
        <sz val="11"/>
        <color indexed="8"/>
        <rFont val="宋体"/>
        <family val="3"/>
        <charset val="134"/>
      </rPr>
      <t>双线舌鳎</t>
    </r>
  </si>
  <si>
    <r>
      <rPr>
        <sz val="11"/>
        <color indexed="8"/>
        <rFont val="宋体"/>
        <family val="3"/>
        <charset val="134"/>
      </rPr>
      <t>窄体舌鳎</t>
    </r>
  </si>
  <si>
    <r>
      <rPr>
        <sz val="11"/>
        <color indexed="8"/>
        <rFont val="宋体"/>
        <family val="3"/>
        <charset val="134"/>
      </rPr>
      <t>断线舌鳎</t>
    </r>
  </si>
  <si>
    <r>
      <rPr>
        <sz val="11"/>
        <color indexed="8"/>
        <rFont val="宋体"/>
        <family val="3"/>
        <charset val="134"/>
      </rPr>
      <t>东亚单孔舌鳎</t>
    </r>
  </si>
  <si>
    <r>
      <rPr>
        <sz val="11"/>
        <color indexed="8"/>
        <rFont val="宋体"/>
        <family val="3"/>
        <charset val="134"/>
      </rPr>
      <t>短吻红舌鳎</t>
    </r>
  </si>
  <si>
    <r>
      <rPr>
        <sz val="11"/>
        <color indexed="8"/>
        <rFont val="宋体"/>
        <family val="3"/>
        <charset val="134"/>
      </rPr>
      <t>考普斯舌鳎</t>
    </r>
  </si>
  <si>
    <r>
      <rPr>
        <sz val="11"/>
        <color indexed="8"/>
        <rFont val="宋体"/>
        <family val="3"/>
        <charset val="134"/>
      </rPr>
      <t>南洋舌鳎</t>
    </r>
  </si>
  <si>
    <r>
      <rPr>
        <sz val="11"/>
        <color indexed="8"/>
        <rFont val="宋体"/>
        <family val="3"/>
        <charset val="134"/>
      </rPr>
      <t>长吻红舌鳎</t>
    </r>
  </si>
  <si>
    <r>
      <rPr>
        <sz val="11"/>
        <color indexed="8"/>
        <rFont val="宋体"/>
        <family val="3"/>
        <charset val="134"/>
      </rPr>
      <t>线纹舌鳎</t>
    </r>
  </si>
  <si>
    <r>
      <rPr>
        <sz val="11"/>
        <color indexed="8"/>
        <rFont val="宋体"/>
        <family val="3"/>
        <charset val="134"/>
      </rPr>
      <t>大鳞舌鳎</t>
    </r>
  </si>
  <si>
    <r>
      <rPr>
        <sz val="11"/>
        <color indexed="8"/>
        <rFont val="宋体"/>
        <family val="3"/>
        <charset val="134"/>
      </rPr>
      <t>黑尾舌鳎</t>
    </r>
  </si>
  <si>
    <r>
      <rPr>
        <sz val="11"/>
        <color indexed="8"/>
        <rFont val="宋体"/>
        <family val="3"/>
        <charset val="134"/>
      </rPr>
      <t>小鳞舌鳎</t>
    </r>
  </si>
  <si>
    <r>
      <rPr>
        <sz val="11"/>
        <color indexed="8"/>
        <rFont val="宋体"/>
        <family val="3"/>
        <charset val="134"/>
      </rPr>
      <t>高眼舌鳎</t>
    </r>
  </si>
  <si>
    <r>
      <rPr>
        <sz val="11"/>
        <color indexed="8"/>
        <rFont val="宋体"/>
        <family val="3"/>
        <charset val="134"/>
      </rPr>
      <t>黑鳍舌鳎</t>
    </r>
  </si>
  <si>
    <r>
      <rPr>
        <sz val="11"/>
        <color indexed="8"/>
        <rFont val="宋体"/>
        <family val="3"/>
        <charset val="134"/>
      </rPr>
      <t>少鳞舌鳎</t>
    </r>
  </si>
  <si>
    <r>
      <rPr>
        <sz val="11"/>
        <color indexed="8"/>
        <rFont val="宋体"/>
        <family val="3"/>
        <charset val="134"/>
      </rPr>
      <t>斑头舌鳎</t>
    </r>
  </si>
  <si>
    <r>
      <rPr>
        <sz val="11"/>
        <color indexed="8"/>
        <rFont val="宋体"/>
        <family val="3"/>
        <charset val="134"/>
      </rPr>
      <t>紫斑舌鳎</t>
    </r>
  </si>
  <si>
    <r>
      <rPr>
        <sz val="11"/>
        <color indexed="8"/>
        <rFont val="宋体"/>
        <family val="3"/>
        <charset val="134"/>
      </rPr>
      <t>宽体舌鳎</t>
    </r>
  </si>
  <si>
    <r>
      <rPr>
        <sz val="11"/>
        <color indexed="8"/>
        <rFont val="宋体"/>
        <family val="3"/>
        <charset val="134"/>
      </rPr>
      <t>黑鳃舌鳎</t>
    </r>
  </si>
  <si>
    <r>
      <rPr>
        <sz val="11"/>
        <color indexed="8"/>
        <rFont val="宋体"/>
        <family val="3"/>
        <charset val="134"/>
      </rPr>
      <t>半滑舌鳎</t>
    </r>
  </si>
  <si>
    <r>
      <rPr>
        <sz val="11"/>
        <color indexed="8"/>
        <rFont val="宋体"/>
        <family val="3"/>
        <charset val="134"/>
      </rPr>
      <t>西宝舌鳎</t>
    </r>
  </si>
  <si>
    <r>
      <rPr>
        <sz val="11"/>
        <color indexed="8"/>
        <rFont val="宋体"/>
        <family val="3"/>
        <charset val="134"/>
      </rPr>
      <t>中华舌鳎</t>
    </r>
  </si>
  <si>
    <r>
      <rPr>
        <sz val="11"/>
        <color indexed="8"/>
        <rFont val="宋体"/>
        <family val="3"/>
        <charset val="134"/>
      </rPr>
      <t>褐斑三线舌鳎</t>
    </r>
  </si>
  <si>
    <r>
      <rPr>
        <sz val="11"/>
        <color indexed="8"/>
        <rFont val="宋体"/>
        <family val="3"/>
        <charset val="134"/>
      </rPr>
      <t>长钩须鳎</t>
    </r>
  </si>
  <si>
    <r>
      <rPr>
        <sz val="11"/>
        <color indexed="8"/>
        <rFont val="宋体"/>
        <family val="3"/>
        <charset val="134"/>
      </rPr>
      <t>短钩须鳎</t>
    </r>
  </si>
  <si>
    <r>
      <rPr>
        <sz val="11"/>
        <color indexed="8"/>
        <rFont val="宋体"/>
        <family val="3"/>
        <charset val="134"/>
      </rPr>
      <t>栉鳞须鳎</t>
    </r>
  </si>
  <si>
    <r>
      <rPr>
        <sz val="11"/>
        <color indexed="8"/>
        <rFont val="宋体"/>
        <family val="3"/>
        <charset val="134"/>
      </rPr>
      <t>日本须鳎</t>
    </r>
  </si>
  <si>
    <r>
      <rPr>
        <sz val="11"/>
        <color indexed="8"/>
        <rFont val="宋体"/>
        <family val="3"/>
        <charset val="134"/>
      </rPr>
      <t>九带无线鳎</t>
    </r>
  </si>
  <si>
    <r>
      <rPr>
        <sz val="11"/>
        <color indexed="8"/>
        <rFont val="宋体"/>
        <family val="3"/>
        <charset val="134"/>
      </rPr>
      <t>东方无线鳎</t>
    </r>
  </si>
  <si>
    <r>
      <rPr>
        <sz val="11"/>
        <color indexed="8"/>
        <rFont val="宋体"/>
        <family val="3"/>
        <charset val="134"/>
      </rPr>
      <t>细纹无线鳎</t>
    </r>
  </si>
  <si>
    <r>
      <rPr>
        <sz val="11"/>
        <color indexed="8"/>
        <rFont val="宋体"/>
        <family val="3"/>
        <charset val="134"/>
      </rPr>
      <t>西方细纹无线鳎</t>
    </r>
  </si>
  <si>
    <r>
      <rPr>
        <sz val="11"/>
        <color indexed="8"/>
        <rFont val="宋体"/>
        <family val="3"/>
        <charset val="134"/>
      </rPr>
      <t>舌鳎属</t>
    </r>
  </si>
  <si>
    <r>
      <rPr>
        <sz val="11"/>
        <color indexed="8"/>
        <rFont val="宋体"/>
        <family val="3"/>
        <charset val="134"/>
      </rPr>
      <t>拟三刺鲀科</t>
    </r>
  </si>
  <si>
    <r>
      <rPr>
        <sz val="11"/>
        <color indexed="8"/>
        <rFont val="宋体"/>
        <family val="3"/>
        <charset val="134"/>
      </rPr>
      <t>鲀形目</t>
    </r>
  </si>
  <si>
    <r>
      <rPr>
        <sz val="11"/>
        <color indexed="8"/>
        <rFont val="宋体"/>
        <family val="3"/>
        <charset val="134"/>
      </rPr>
      <t>三刺鲀科</t>
    </r>
  </si>
  <si>
    <r>
      <rPr>
        <sz val="11"/>
        <color indexed="8"/>
        <rFont val="宋体"/>
        <family val="3"/>
        <charset val="134"/>
      </rPr>
      <t>短吻三刺鲀</t>
    </r>
  </si>
  <si>
    <r>
      <rPr>
        <sz val="11"/>
        <color indexed="8"/>
        <rFont val="宋体"/>
        <family val="3"/>
        <charset val="134"/>
      </rPr>
      <t>鳞鲀科</t>
    </r>
  </si>
  <si>
    <r>
      <rPr>
        <sz val="11"/>
        <color indexed="8"/>
        <rFont val="宋体"/>
        <family val="3"/>
        <charset val="134"/>
      </rPr>
      <t>宽尾鳞鲀</t>
    </r>
  </si>
  <si>
    <r>
      <rPr>
        <sz val="11"/>
        <color indexed="8"/>
        <rFont val="宋体"/>
        <family val="3"/>
        <charset val="134"/>
      </rPr>
      <t>叉枝美单角鲀</t>
    </r>
  </si>
  <si>
    <r>
      <rPr>
        <sz val="11"/>
        <color indexed="8"/>
        <rFont val="宋体"/>
        <family val="3"/>
        <charset val="134"/>
      </rPr>
      <t>波纹钩鳞鲀</t>
    </r>
  </si>
  <si>
    <r>
      <rPr>
        <sz val="11"/>
        <color indexed="8"/>
        <rFont val="宋体"/>
        <family val="3"/>
        <charset val="134"/>
      </rPr>
      <t>妪鳞鲀</t>
    </r>
  </si>
  <si>
    <r>
      <rPr>
        <sz val="11"/>
        <color indexed="8"/>
        <rFont val="宋体"/>
        <family val="3"/>
        <charset val="134"/>
      </rPr>
      <t>圆斑拟鳞鲀</t>
    </r>
  </si>
  <si>
    <r>
      <rPr>
        <sz val="11"/>
        <color indexed="8"/>
        <rFont val="宋体"/>
        <family val="3"/>
        <charset val="134"/>
      </rPr>
      <t>绿拟鳞鲀</t>
    </r>
  </si>
  <si>
    <r>
      <rPr>
        <sz val="11"/>
        <color indexed="8"/>
        <rFont val="宋体"/>
        <family val="3"/>
        <charset val="134"/>
      </rPr>
      <t>卵圆疣鳞鲀</t>
    </r>
  </si>
  <si>
    <r>
      <rPr>
        <sz val="11"/>
        <color indexed="8"/>
        <rFont val="宋体"/>
        <family val="3"/>
        <charset val="134"/>
      </rPr>
      <t>角鳞鲀</t>
    </r>
  </si>
  <si>
    <r>
      <rPr>
        <sz val="11"/>
        <color indexed="8"/>
        <rFont val="宋体"/>
        <family val="3"/>
        <charset val="134"/>
      </rPr>
      <t>黑边角鳞鲀</t>
    </r>
  </si>
  <si>
    <r>
      <rPr>
        <sz val="11"/>
        <color indexed="8"/>
        <rFont val="宋体"/>
        <family val="3"/>
        <charset val="134"/>
      </rPr>
      <t>红牙鳞鲀</t>
    </r>
  </si>
  <si>
    <r>
      <rPr>
        <sz val="11"/>
        <color indexed="8"/>
        <rFont val="宋体"/>
        <family val="3"/>
        <charset val="134"/>
      </rPr>
      <t>黄边副鳞鲀</t>
    </r>
  </si>
  <si>
    <r>
      <rPr>
        <sz val="11"/>
        <color indexed="8"/>
        <rFont val="宋体"/>
        <family val="3"/>
        <charset val="134"/>
      </rPr>
      <t>褐副鳞鲀</t>
    </r>
  </si>
  <si>
    <r>
      <rPr>
        <sz val="11"/>
        <color indexed="8"/>
        <rFont val="宋体"/>
        <family val="3"/>
        <charset val="134"/>
      </rPr>
      <t>叉斑锉鳞鲀</t>
    </r>
  </si>
  <si>
    <r>
      <rPr>
        <sz val="11"/>
        <color indexed="8"/>
        <rFont val="宋体"/>
        <family val="3"/>
        <charset val="134"/>
      </rPr>
      <t>斜带锉鳞鲀</t>
    </r>
  </si>
  <si>
    <r>
      <rPr>
        <sz val="11"/>
        <color indexed="8"/>
        <rFont val="宋体"/>
        <family val="3"/>
        <charset val="134"/>
      </rPr>
      <t>毒锉鳞鲀</t>
    </r>
  </si>
  <si>
    <r>
      <rPr>
        <sz val="11"/>
        <color indexed="8"/>
        <rFont val="宋体"/>
        <family val="3"/>
        <charset val="134"/>
      </rPr>
      <t>囊多棘鳞鲀</t>
    </r>
  </si>
  <si>
    <r>
      <rPr>
        <sz val="11"/>
        <color indexed="8"/>
        <rFont val="宋体"/>
        <family val="3"/>
        <charset val="134"/>
      </rPr>
      <t>黄鳍多棘鳞鲀</t>
    </r>
  </si>
  <si>
    <r>
      <rPr>
        <sz val="11"/>
        <color indexed="8"/>
        <rFont val="宋体"/>
        <family val="3"/>
        <charset val="134"/>
      </rPr>
      <t>缰纹多棘鳞鲀</t>
    </r>
  </si>
  <si>
    <r>
      <rPr>
        <sz val="11"/>
        <color indexed="8"/>
        <rFont val="宋体"/>
        <family val="3"/>
        <charset val="134"/>
      </rPr>
      <t>黄纹鳞鲀</t>
    </r>
  </si>
  <si>
    <r>
      <rPr>
        <sz val="11"/>
        <color indexed="8"/>
        <rFont val="宋体"/>
        <family val="3"/>
        <charset val="134"/>
      </rPr>
      <t>凹纹鳞鲀</t>
    </r>
  </si>
  <si>
    <r>
      <rPr>
        <sz val="11"/>
        <color indexed="8"/>
        <rFont val="宋体"/>
        <family val="3"/>
        <charset val="134"/>
      </rPr>
      <t>革鲀科</t>
    </r>
  </si>
  <si>
    <r>
      <rPr>
        <sz val="11"/>
        <color indexed="8"/>
        <rFont val="宋体"/>
        <family val="3"/>
        <charset val="134"/>
      </rPr>
      <t>单角革鲀</t>
    </r>
  </si>
  <si>
    <r>
      <rPr>
        <sz val="11"/>
        <color indexed="8"/>
        <rFont val="宋体"/>
        <family val="3"/>
        <charset val="134"/>
      </rPr>
      <t>拟态革鲀</t>
    </r>
  </si>
  <si>
    <r>
      <rPr>
        <sz val="11"/>
        <color indexed="8"/>
        <rFont val="宋体"/>
        <family val="3"/>
        <charset val="134"/>
      </rPr>
      <t>羢纹线鳞鲀</t>
    </r>
  </si>
  <si>
    <r>
      <rPr>
        <sz val="11"/>
        <color indexed="8"/>
        <rFont val="宋体"/>
        <family val="3"/>
        <charset val="134"/>
      </rPr>
      <t>棘尾前孔鲀</t>
    </r>
  </si>
  <si>
    <r>
      <rPr>
        <sz val="11"/>
        <color indexed="8"/>
        <rFont val="宋体"/>
        <family val="3"/>
        <charset val="134"/>
      </rPr>
      <t>额斑前孔鲀</t>
    </r>
  </si>
  <si>
    <r>
      <rPr>
        <sz val="11"/>
        <color indexed="8"/>
        <rFont val="宋体"/>
        <family val="3"/>
        <charset val="134"/>
      </rPr>
      <t>细斑前孔鲀</t>
    </r>
  </si>
  <si>
    <r>
      <rPr>
        <sz val="11"/>
        <color indexed="8"/>
        <rFont val="宋体"/>
        <family val="3"/>
        <charset val="134"/>
      </rPr>
      <t>棘皮鲀</t>
    </r>
  </si>
  <si>
    <r>
      <rPr>
        <sz val="11"/>
        <color indexed="8"/>
        <rFont val="宋体"/>
        <family val="3"/>
        <charset val="134"/>
      </rPr>
      <t>克氏前刺单角鲀</t>
    </r>
  </si>
  <si>
    <r>
      <rPr>
        <sz val="11"/>
        <color indexed="8"/>
        <rFont val="宋体"/>
        <family val="3"/>
        <charset val="134"/>
      </rPr>
      <t>中华单角鲀</t>
    </r>
  </si>
  <si>
    <r>
      <rPr>
        <sz val="11"/>
        <color indexed="8"/>
        <rFont val="宋体"/>
        <family val="3"/>
        <charset val="134"/>
      </rPr>
      <t>绿鳍马面鲀</t>
    </r>
  </si>
  <si>
    <r>
      <rPr>
        <sz val="11"/>
        <color indexed="8"/>
        <rFont val="宋体"/>
        <family val="3"/>
        <charset val="134"/>
      </rPr>
      <t>密斑马面鲀</t>
    </r>
  </si>
  <si>
    <r>
      <rPr>
        <sz val="11"/>
        <color indexed="8"/>
        <rFont val="宋体"/>
        <family val="3"/>
        <charset val="134"/>
      </rPr>
      <t>黄鳍马面鲀</t>
    </r>
  </si>
  <si>
    <r>
      <rPr>
        <sz val="11"/>
        <color indexed="8"/>
        <rFont val="宋体"/>
        <family val="3"/>
        <charset val="134"/>
      </rPr>
      <t>尖吻鲀</t>
    </r>
  </si>
  <si>
    <r>
      <rPr>
        <sz val="11"/>
        <color indexed="8"/>
        <rFont val="宋体"/>
        <family val="3"/>
        <charset val="134"/>
      </rPr>
      <t>日本副单角鲀</t>
    </r>
  </si>
  <si>
    <r>
      <rPr>
        <sz val="11"/>
        <color indexed="8"/>
        <rFont val="宋体"/>
        <family val="3"/>
        <charset val="134"/>
      </rPr>
      <t>长方副单角鲀</t>
    </r>
  </si>
  <si>
    <r>
      <rPr>
        <sz val="11"/>
        <color indexed="8"/>
        <rFont val="宋体"/>
        <family val="3"/>
        <charset val="134"/>
      </rPr>
      <t>粗尾前角鲀</t>
    </r>
  </si>
  <si>
    <r>
      <rPr>
        <sz val="11"/>
        <color indexed="8"/>
        <rFont val="宋体"/>
        <family val="3"/>
        <charset val="134"/>
      </rPr>
      <t>前角鲀</t>
    </r>
  </si>
  <si>
    <r>
      <rPr>
        <sz val="11"/>
        <color indexed="8"/>
        <rFont val="宋体"/>
        <family val="3"/>
        <charset val="134"/>
      </rPr>
      <t>黑前角鲀</t>
    </r>
  </si>
  <si>
    <r>
      <rPr>
        <sz val="11"/>
        <color indexed="8"/>
        <rFont val="宋体"/>
        <family val="3"/>
        <charset val="134"/>
      </rPr>
      <t>暗纹前角鲀</t>
    </r>
  </si>
  <si>
    <r>
      <rPr>
        <sz val="11"/>
        <color indexed="8"/>
        <rFont val="宋体"/>
        <family val="3"/>
        <charset val="134"/>
      </rPr>
      <t>丝鳍前角鲀</t>
    </r>
  </si>
  <si>
    <r>
      <rPr>
        <sz val="11"/>
        <color indexed="8"/>
        <rFont val="宋体"/>
        <family val="3"/>
        <charset val="134"/>
      </rPr>
      <t>前棘鲀</t>
    </r>
  </si>
  <si>
    <r>
      <rPr>
        <sz val="11"/>
        <color indexed="8"/>
        <rFont val="宋体"/>
        <family val="3"/>
        <charset val="134"/>
      </rPr>
      <t>粗皮鲀</t>
    </r>
  </si>
  <si>
    <r>
      <rPr>
        <sz val="11"/>
        <color indexed="8"/>
        <rFont val="宋体"/>
        <family val="3"/>
        <charset val="134"/>
      </rPr>
      <t>丝背细鳞鲀</t>
    </r>
  </si>
  <si>
    <r>
      <rPr>
        <sz val="11"/>
        <color indexed="8"/>
        <rFont val="宋体"/>
        <family val="3"/>
        <charset val="134"/>
      </rPr>
      <t>日本细鳞鲀</t>
    </r>
  </si>
  <si>
    <r>
      <rPr>
        <sz val="11"/>
        <color indexed="8"/>
        <rFont val="宋体"/>
        <family val="3"/>
        <charset val="134"/>
      </rPr>
      <t>箱鲀科</t>
    </r>
  </si>
  <si>
    <r>
      <rPr>
        <sz val="11"/>
        <color indexed="8"/>
        <rFont val="宋体"/>
        <family val="3"/>
        <charset val="134"/>
      </rPr>
      <t>角箱鲀</t>
    </r>
  </si>
  <si>
    <r>
      <rPr>
        <sz val="11"/>
        <color indexed="8"/>
        <rFont val="宋体"/>
        <family val="3"/>
        <charset val="134"/>
      </rPr>
      <t>棘背角箱鲀</t>
    </r>
  </si>
  <si>
    <r>
      <rPr>
        <sz val="11"/>
        <color indexed="8"/>
        <rFont val="宋体"/>
        <family val="3"/>
        <charset val="134"/>
      </rPr>
      <t>富纳角箱鲀</t>
    </r>
  </si>
  <si>
    <r>
      <rPr>
        <sz val="11"/>
        <color indexed="8"/>
        <rFont val="宋体"/>
        <family val="3"/>
        <charset val="134"/>
      </rPr>
      <t>粒突箱鲀</t>
    </r>
  </si>
  <si>
    <r>
      <rPr>
        <sz val="11"/>
        <color indexed="8"/>
        <rFont val="宋体"/>
        <family val="3"/>
        <charset val="134"/>
      </rPr>
      <t>米点箱鲀</t>
    </r>
  </si>
  <si>
    <r>
      <rPr>
        <sz val="11"/>
        <color indexed="8"/>
        <rFont val="宋体"/>
        <family val="3"/>
        <charset val="134"/>
      </rPr>
      <t>蓝带箱鲀</t>
    </r>
  </si>
  <si>
    <r>
      <rPr>
        <sz val="11"/>
        <color indexed="8"/>
        <rFont val="宋体"/>
        <family val="3"/>
        <charset val="134"/>
      </rPr>
      <t>尖鼻箱鲀</t>
    </r>
  </si>
  <si>
    <r>
      <rPr>
        <sz val="11"/>
        <color indexed="8"/>
        <rFont val="宋体"/>
        <family val="3"/>
        <charset val="134"/>
      </rPr>
      <t>突吻尖鼻箱鲀</t>
    </r>
  </si>
  <si>
    <r>
      <rPr>
        <sz val="11"/>
        <color indexed="8"/>
        <rFont val="宋体"/>
        <family val="3"/>
        <charset val="134"/>
      </rPr>
      <t>双峰三棱箱鲀</t>
    </r>
  </si>
  <si>
    <r>
      <rPr>
        <sz val="11"/>
        <color indexed="8"/>
        <rFont val="宋体"/>
        <family val="3"/>
        <charset val="134"/>
      </rPr>
      <t>驼背三棱箱鲀</t>
    </r>
  </si>
  <si>
    <r>
      <rPr>
        <sz val="11"/>
        <color indexed="8"/>
        <rFont val="宋体"/>
        <family val="3"/>
        <charset val="134"/>
      </rPr>
      <t>鲀科</t>
    </r>
  </si>
  <si>
    <r>
      <rPr>
        <sz val="11"/>
        <color indexed="8"/>
        <rFont val="宋体"/>
        <family val="3"/>
        <charset val="134"/>
      </rPr>
      <t>白点宽吻鲀</t>
    </r>
  </si>
  <si>
    <r>
      <rPr>
        <sz val="11"/>
        <color indexed="8"/>
        <rFont val="宋体"/>
        <family val="3"/>
        <charset val="134"/>
      </rPr>
      <t>头纹宽吻鲀</t>
    </r>
  </si>
  <si>
    <r>
      <rPr>
        <sz val="11"/>
        <color indexed="8"/>
        <rFont val="宋体"/>
        <family val="3"/>
        <charset val="134"/>
      </rPr>
      <t>棕斑宽吻鲀</t>
    </r>
  </si>
  <si>
    <r>
      <rPr>
        <sz val="11"/>
        <color indexed="8"/>
        <rFont val="宋体"/>
        <family val="3"/>
        <charset val="134"/>
      </rPr>
      <t>长棘宽吻鲀</t>
    </r>
  </si>
  <si>
    <r>
      <rPr>
        <sz val="11"/>
        <color indexed="8"/>
        <rFont val="宋体"/>
        <family val="3"/>
        <charset val="134"/>
      </rPr>
      <t>纹腹叉鼻鲀</t>
    </r>
  </si>
  <si>
    <r>
      <rPr>
        <sz val="11"/>
        <color indexed="8"/>
        <rFont val="宋体"/>
        <family val="3"/>
        <charset val="134"/>
      </rPr>
      <t>线纹叉鼻鲀</t>
    </r>
  </si>
  <si>
    <r>
      <rPr>
        <sz val="11"/>
        <color indexed="8"/>
        <rFont val="宋体"/>
        <family val="3"/>
        <charset val="134"/>
      </rPr>
      <t>条纹叉鼻鲀</t>
    </r>
  </si>
  <si>
    <r>
      <rPr>
        <sz val="11"/>
        <color indexed="8"/>
        <rFont val="宋体"/>
        <family val="3"/>
        <charset val="134"/>
      </rPr>
      <t>白点叉鼻鲀</t>
    </r>
  </si>
  <si>
    <r>
      <rPr>
        <sz val="11"/>
        <color indexed="8"/>
        <rFont val="宋体"/>
        <family val="3"/>
        <charset val="134"/>
      </rPr>
      <t>黑斑叉鼻鲀</t>
    </r>
  </si>
  <si>
    <r>
      <rPr>
        <sz val="11"/>
        <color indexed="8"/>
        <rFont val="宋体"/>
        <family val="3"/>
        <charset val="134"/>
      </rPr>
      <t>网纹叉鼻鲀</t>
    </r>
  </si>
  <si>
    <r>
      <rPr>
        <sz val="11"/>
        <color indexed="8"/>
        <rFont val="宋体"/>
        <family val="3"/>
        <charset val="134"/>
      </rPr>
      <t>星斑叉鼻鲀</t>
    </r>
  </si>
  <si>
    <r>
      <rPr>
        <sz val="11"/>
        <color indexed="8"/>
        <rFont val="宋体"/>
        <family val="3"/>
        <charset val="134"/>
      </rPr>
      <t>瓣鼻鲀</t>
    </r>
  </si>
  <si>
    <r>
      <rPr>
        <sz val="11"/>
        <color indexed="8"/>
        <rFont val="宋体"/>
        <family val="3"/>
        <charset val="134"/>
      </rPr>
      <t>安汶扁背鲀</t>
    </r>
  </si>
  <si>
    <r>
      <rPr>
        <sz val="11"/>
        <color indexed="8"/>
        <rFont val="宋体"/>
        <family val="3"/>
        <charset val="134"/>
      </rPr>
      <t>虫纹扁背鲀</t>
    </r>
  </si>
  <si>
    <r>
      <rPr>
        <sz val="11"/>
        <color indexed="8"/>
        <rFont val="宋体"/>
        <family val="3"/>
        <charset val="134"/>
      </rPr>
      <t>圆斑扁背鲀</t>
    </r>
  </si>
  <si>
    <r>
      <rPr>
        <sz val="11"/>
        <color indexed="8"/>
        <rFont val="宋体"/>
        <family val="3"/>
        <charset val="134"/>
      </rPr>
      <t>水纹扁背鲀</t>
    </r>
  </si>
  <si>
    <r>
      <rPr>
        <sz val="11"/>
        <color indexed="8"/>
        <rFont val="宋体"/>
        <family val="3"/>
        <charset val="134"/>
      </rPr>
      <t>横带扁背鲀</t>
    </r>
  </si>
  <si>
    <r>
      <rPr>
        <sz val="11"/>
        <color indexed="8"/>
        <rFont val="宋体"/>
        <family val="3"/>
        <charset val="134"/>
      </rPr>
      <t>凹鼻鲀</t>
    </r>
  </si>
  <si>
    <r>
      <rPr>
        <sz val="11"/>
        <color indexed="8"/>
        <rFont val="宋体"/>
        <family val="3"/>
        <charset val="134"/>
      </rPr>
      <t>格代腹刺鲀</t>
    </r>
  </si>
  <si>
    <r>
      <rPr>
        <sz val="11"/>
        <color indexed="8"/>
        <rFont val="宋体"/>
        <family val="3"/>
        <charset val="134"/>
      </rPr>
      <t>月腹刺鲀</t>
    </r>
  </si>
  <si>
    <r>
      <rPr>
        <sz val="11"/>
        <color indexed="8"/>
        <rFont val="宋体"/>
        <family val="3"/>
        <charset val="134"/>
      </rPr>
      <t>棕斑腹刺鲀</t>
    </r>
  </si>
  <si>
    <r>
      <rPr>
        <sz val="11"/>
        <color indexed="8"/>
        <rFont val="宋体"/>
        <family val="3"/>
        <charset val="134"/>
      </rPr>
      <t>黑鳃兔头鲀</t>
    </r>
  </si>
  <si>
    <r>
      <rPr>
        <sz val="11"/>
        <color indexed="8"/>
        <rFont val="宋体"/>
        <family val="3"/>
        <charset val="134"/>
      </rPr>
      <t>花鳍兔头鲀</t>
    </r>
  </si>
  <si>
    <r>
      <rPr>
        <sz val="11"/>
        <color indexed="8"/>
        <rFont val="宋体"/>
        <family val="3"/>
        <charset val="134"/>
      </rPr>
      <t>有毒兔头鲀</t>
    </r>
  </si>
  <si>
    <r>
      <rPr>
        <sz val="11"/>
        <color indexed="8"/>
        <rFont val="宋体"/>
        <family val="3"/>
        <charset val="134"/>
      </rPr>
      <t>怀氏兔头鲀</t>
    </r>
  </si>
  <si>
    <r>
      <rPr>
        <sz val="11"/>
        <color indexed="8"/>
        <rFont val="宋体"/>
        <family val="3"/>
        <charset val="134"/>
      </rPr>
      <t>密沟鲀</t>
    </r>
  </si>
  <si>
    <r>
      <rPr>
        <sz val="11"/>
        <color indexed="8"/>
        <rFont val="宋体"/>
        <family val="3"/>
        <charset val="134"/>
      </rPr>
      <t>斑腰单孔鲀</t>
    </r>
  </si>
  <si>
    <r>
      <rPr>
        <sz val="11"/>
        <color indexed="8"/>
        <rFont val="宋体"/>
        <family val="3"/>
        <charset val="134"/>
      </rPr>
      <t>网纹单孔鲀</t>
    </r>
  </si>
  <si>
    <r>
      <rPr>
        <sz val="11"/>
        <color indexed="8"/>
        <rFont val="宋体"/>
        <family val="3"/>
        <charset val="134"/>
      </rPr>
      <t>圆斑扁尾鲀</t>
    </r>
  </si>
  <si>
    <r>
      <rPr>
        <sz val="11"/>
        <color indexed="8"/>
        <rFont val="宋体"/>
        <family val="3"/>
        <charset val="134"/>
      </rPr>
      <t>杂斑扁尾鲀</t>
    </r>
  </si>
  <si>
    <r>
      <rPr>
        <sz val="11"/>
        <color indexed="8"/>
        <rFont val="宋体"/>
        <family val="3"/>
        <charset val="134"/>
      </rPr>
      <t>皱纹圆鲀</t>
    </r>
  </si>
  <si>
    <r>
      <rPr>
        <sz val="11"/>
        <color indexed="8"/>
        <rFont val="宋体"/>
        <family val="3"/>
        <charset val="134"/>
      </rPr>
      <t>铅点东方鲀</t>
    </r>
  </si>
  <si>
    <r>
      <rPr>
        <sz val="11"/>
        <color indexed="8"/>
        <rFont val="宋体"/>
        <family val="3"/>
        <charset val="134"/>
      </rPr>
      <t>墨绿东方鲀</t>
    </r>
  </si>
  <si>
    <r>
      <rPr>
        <sz val="11"/>
        <color indexed="8"/>
        <rFont val="宋体"/>
        <family val="3"/>
        <charset val="134"/>
      </rPr>
      <t>双斑东方鲀</t>
    </r>
  </si>
  <si>
    <r>
      <rPr>
        <sz val="11"/>
        <color indexed="8"/>
        <rFont val="宋体"/>
        <family val="3"/>
        <charset val="134"/>
      </rPr>
      <t>晕环东方鲀</t>
    </r>
  </si>
  <si>
    <r>
      <rPr>
        <sz val="11"/>
        <color indexed="8"/>
        <rFont val="宋体"/>
        <family val="3"/>
        <charset val="134"/>
      </rPr>
      <t>菊黄东方鲀</t>
    </r>
  </si>
  <si>
    <r>
      <rPr>
        <sz val="11"/>
        <color indexed="8"/>
        <rFont val="宋体"/>
        <family val="3"/>
        <charset val="134"/>
      </rPr>
      <t>星点东方鲀</t>
    </r>
  </si>
  <si>
    <r>
      <rPr>
        <sz val="11"/>
        <color indexed="8"/>
        <rFont val="宋体"/>
        <family val="3"/>
        <charset val="134"/>
      </rPr>
      <t>鲀形目</t>
    </r>
  </si>
  <si>
    <r>
      <rPr>
        <sz val="11"/>
        <color indexed="8"/>
        <rFont val="宋体"/>
        <family val="3"/>
        <charset val="134"/>
      </rPr>
      <t>横纹东方鲀</t>
    </r>
  </si>
  <si>
    <r>
      <rPr>
        <sz val="11"/>
        <color indexed="8"/>
        <rFont val="宋体"/>
        <family val="3"/>
        <charset val="134"/>
      </rPr>
      <t>鲀形目</t>
    </r>
  </si>
  <si>
    <r>
      <rPr>
        <sz val="11"/>
        <color indexed="8"/>
        <rFont val="宋体"/>
        <family val="3"/>
        <charset val="134"/>
      </rPr>
      <t>暗纹东方鲀</t>
    </r>
  </si>
  <si>
    <r>
      <rPr>
        <sz val="11"/>
        <color indexed="8"/>
        <rFont val="宋体"/>
        <family val="3"/>
        <charset val="134"/>
      </rPr>
      <t>弓斑东方鲀</t>
    </r>
  </si>
  <si>
    <r>
      <rPr>
        <sz val="11"/>
        <color indexed="8"/>
        <rFont val="宋体"/>
        <family val="3"/>
        <charset val="134"/>
      </rPr>
      <t>豹纹东方鲀</t>
    </r>
  </si>
  <si>
    <r>
      <rPr>
        <sz val="11"/>
        <color indexed="8"/>
        <rFont val="宋体"/>
        <family val="3"/>
        <charset val="134"/>
      </rPr>
      <t>紫色东方鲀</t>
    </r>
  </si>
  <si>
    <r>
      <rPr>
        <sz val="11"/>
        <color indexed="8"/>
        <rFont val="宋体"/>
        <family val="3"/>
        <charset val="134"/>
      </rPr>
      <t>假睛东方鲀</t>
    </r>
  </si>
  <si>
    <r>
      <rPr>
        <sz val="11"/>
        <color indexed="8"/>
        <rFont val="宋体"/>
        <family val="3"/>
        <charset val="134"/>
      </rPr>
      <t>网纹东方鲀</t>
    </r>
  </si>
  <si>
    <r>
      <rPr>
        <sz val="11"/>
        <color indexed="8"/>
        <rFont val="宋体"/>
        <family val="3"/>
        <charset val="134"/>
      </rPr>
      <t>红鳍东方鲀</t>
    </r>
  </si>
  <si>
    <r>
      <rPr>
        <sz val="11"/>
        <color indexed="8"/>
        <rFont val="宋体"/>
        <family val="3"/>
        <charset val="134"/>
      </rPr>
      <t>密点东方鲀</t>
    </r>
  </si>
  <si>
    <r>
      <rPr>
        <sz val="11"/>
        <color indexed="8"/>
        <rFont val="宋体"/>
        <family val="3"/>
        <charset val="134"/>
      </rPr>
      <t>虫纹东方鲀</t>
    </r>
  </si>
  <si>
    <r>
      <rPr>
        <sz val="11"/>
        <color indexed="8"/>
        <rFont val="宋体"/>
        <family val="3"/>
        <charset val="134"/>
      </rPr>
      <t>黄鳍东方鲀</t>
    </r>
  </si>
  <si>
    <r>
      <rPr>
        <sz val="11"/>
        <color indexed="8"/>
        <rFont val="宋体"/>
        <family val="3"/>
        <charset val="134"/>
      </rPr>
      <t>东方鲀</t>
    </r>
  </si>
  <si>
    <r>
      <rPr>
        <sz val="11"/>
        <color indexed="8"/>
        <rFont val="宋体"/>
        <family val="3"/>
        <charset val="134"/>
      </rPr>
      <t>刺鲀科</t>
    </r>
  </si>
  <si>
    <r>
      <rPr>
        <sz val="11"/>
        <color indexed="8"/>
        <rFont val="宋体"/>
        <family val="3"/>
        <charset val="134"/>
      </rPr>
      <t>瘤短刺鲀</t>
    </r>
  </si>
  <si>
    <r>
      <rPr>
        <sz val="11"/>
        <color indexed="8"/>
        <rFont val="宋体"/>
        <family val="3"/>
        <charset val="134"/>
      </rPr>
      <t>刺额短刺鲀</t>
    </r>
  </si>
  <si>
    <r>
      <rPr>
        <sz val="11"/>
        <color indexed="8"/>
        <rFont val="宋体"/>
        <family val="3"/>
        <charset val="134"/>
      </rPr>
      <t>眶短刺鲀</t>
    </r>
  </si>
  <si>
    <r>
      <rPr>
        <sz val="11"/>
        <color indexed="8"/>
        <rFont val="宋体"/>
        <family val="3"/>
        <charset val="134"/>
      </rPr>
      <t>布氏刺鲀</t>
    </r>
  </si>
  <si>
    <r>
      <rPr>
        <sz val="11"/>
        <color indexed="8"/>
        <rFont val="宋体"/>
        <family val="3"/>
        <charset val="134"/>
      </rPr>
      <t>六斑刺鲀</t>
    </r>
  </si>
  <si>
    <r>
      <rPr>
        <sz val="11"/>
        <color indexed="8"/>
        <rFont val="宋体"/>
        <family val="3"/>
        <charset val="134"/>
      </rPr>
      <t>密斑刺鲀</t>
    </r>
  </si>
  <si>
    <r>
      <rPr>
        <sz val="11"/>
        <color indexed="8"/>
        <rFont val="宋体"/>
        <family val="3"/>
        <charset val="134"/>
      </rPr>
      <t>九斑刺鲀</t>
    </r>
  </si>
  <si>
    <r>
      <rPr>
        <sz val="11"/>
        <color indexed="8"/>
        <rFont val="宋体"/>
        <family val="3"/>
        <charset val="134"/>
      </rPr>
      <t>鮟鱇科</t>
    </r>
  </si>
  <si>
    <r>
      <rPr>
        <sz val="11"/>
        <color indexed="8"/>
        <rFont val="宋体"/>
        <family val="3"/>
        <charset val="134"/>
      </rPr>
      <t>鮟鱇目</t>
    </r>
  </si>
  <si>
    <r>
      <rPr>
        <sz val="11"/>
        <color indexed="8"/>
        <rFont val="宋体"/>
        <family val="3"/>
        <charset val="134"/>
      </rPr>
      <t>黑鮟鱇</t>
    </r>
  </si>
  <si>
    <r>
      <rPr>
        <sz val="11"/>
        <color indexed="8"/>
        <rFont val="宋体"/>
        <family val="3"/>
        <charset val="134"/>
      </rPr>
      <t>黄鮟鱇</t>
    </r>
  </si>
  <si>
    <r>
      <rPr>
        <sz val="11"/>
        <color indexed="8"/>
        <rFont val="宋体"/>
        <family val="3"/>
        <charset val="134"/>
      </rPr>
      <t>角鮟鱇科</t>
    </r>
  </si>
  <si>
    <r>
      <rPr>
        <sz val="11"/>
        <color indexed="8"/>
        <rFont val="宋体"/>
        <family val="3"/>
        <charset val="134"/>
      </rPr>
      <t>角鮟鱇科</t>
    </r>
  </si>
  <si>
    <r>
      <rPr>
        <sz val="11"/>
        <color indexed="8"/>
        <rFont val="宋体"/>
        <family val="3"/>
        <charset val="134"/>
      </rPr>
      <t>疏刺鮟鱇科</t>
    </r>
  </si>
  <si>
    <r>
      <rPr>
        <sz val="11"/>
        <color indexed="8"/>
        <rFont val="宋体"/>
        <family val="3"/>
        <charset val="134"/>
      </rPr>
      <t>蝙蝠鱼科</t>
    </r>
  </si>
  <si>
    <r>
      <rPr>
        <sz val="11"/>
        <color indexed="8"/>
        <rFont val="宋体"/>
        <family val="3"/>
        <charset val="134"/>
      </rPr>
      <t>牙棘茄鱼</t>
    </r>
  </si>
  <si>
    <r>
      <rPr>
        <sz val="11"/>
        <color indexed="8"/>
        <rFont val="宋体"/>
        <family val="3"/>
        <charset val="134"/>
      </rPr>
      <t>费氏棘茄鱼</t>
    </r>
  </si>
  <si>
    <r>
      <rPr>
        <sz val="11"/>
        <color indexed="8"/>
        <rFont val="宋体"/>
        <family val="3"/>
        <charset val="134"/>
      </rPr>
      <t>烟纹棘茄鱼</t>
    </r>
  </si>
  <si>
    <r>
      <rPr>
        <sz val="11"/>
        <color indexed="8"/>
        <rFont val="宋体"/>
        <family val="3"/>
        <charset val="134"/>
      </rPr>
      <t>突额棘茄鱼</t>
    </r>
  </si>
  <si>
    <r>
      <rPr>
        <sz val="11"/>
        <color indexed="8"/>
        <rFont val="宋体"/>
        <family val="3"/>
        <charset val="134"/>
      </rPr>
      <t>中华棘茄鱼</t>
    </r>
  </si>
  <si>
    <r>
      <rPr>
        <sz val="11"/>
        <color indexed="8"/>
        <rFont val="宋体"/>
        <family val="3"/>
        <charset val="134"/>
      </rPr>
      <t>棘茄鱼</t>
    </r>
  </si>
  <si>
    <r>
      <rPr>
        <sz val="11"/>
        <color indexed="8"/>
        <rFont val="宋体"/>
        <family val="3"/>
        <charset val="134"/>
      </rPr>
      <t>蝙蝠鱼</t>
    </r>
  </si>
  <si>
    <r>
      <rPr>
        <sz val="11"/>
        <color indexed="8"/>
        <rFont val="宋体"/>
        <family val="3"/>
        <charset val="134"/>
      </rPr>
      <t>未定种</t>
    </r>
  </si>
  <si>
    <t>中文输入</t>
  </si>
  <si>
    <t>拉丁输入</t>
  </si>
  <si>
    <t>代码输入</t>
  </si>
  <si>
    <t>重复提示</t>
  </si>
  <si>
    <r>
      <rPr>
        <sz val="11"/>
        <rFont val="宋体"/>
        <family val="3"/>
        <charset val="134"/>
      </rPr>
      <t>调查站位</t>
    </r>
  </si>
  <si>
    <r>
      <rPr>
        <sz val="11"/>
        <rFont val="宋体"/>
        <family val="3"/>
        <charset val="134"/>
      </rPr>
      <t>定性样品编号</t>
    </r>
  </si>
  <si>
    <r>
      <rPr>
        <sz val="11"/>
        <color theme="1"/>
        <rFont val="宋体"/>
        <family val="3"/>
        <charset val="134"/>
      </rPr>
      <t>鱼卵种类数</t>
    </r>
  </si>
  <si>
    <r>
      <rPr>
        <sz val="11"/>
        <rFont val="宋体"/>
        <family val="3"/>
        <charset val="134"/>
      </rPr>
      <t>死卵</t>
    </r>
  </si>
  <si>
    <r>
      <rPr>
        <sz val="11"/>
        <rFont val="宋体"/>
        <family val="3"/>
        <charset val="134"/>
      </rPr>
      <t>前期仔鱼</t>
    </r>
  </si>
  <si>
    <r>
      <rPr>
        <sz val="11"/>
        <rFont val="宋体"/>
        <family val="3"/>
        <charset val="134"/>
      </rPr>
      <t>水深</t>
    </r>
    <r>
      <rPr>
        <sz val="11"/>
        <rFont val="Times New Roman"/>
        <family val="1"/>
      </rPr>
      <t xml:space="preserve">          (m)</t>
    </r>
  </si>
  <si>
    <r>
      <rPr>
        <sz val="11"/>
        <rFont val="宋体"/>
        <family val="3"/>
        <charset val="134"/>
      </rPr>
      <t>绳长</t>
    </r>
    <r>
      <rPr>
        <sz val="11"/>
        <rFont val="Times New Roman"/>
        <family val="1"/>
      </rPr>
      <t xml:space="preserve">         (m)</t>
    </r>
  </si>
  <si>
    <r>
      <rPr>
        <sz val="11"/>
        <rFont val="宋体"/>
        <family val="3"/>
        <charset val="134"/>
      </rPr>
      <t>定性网具</t>
    </r>
  </si>
  <si>
    <r>
      <rPr>
        <sz val="11"/>
        <rFont val="宋体"/>
        <family val="3"/>
        <charset val="134"/>
      </rPr>
      <t>海区</t>
    </r>
  </si>
  <si>
    <r>
      <rPr>
        <sz val="11"/>
        <rFont val="宋体"/>
        <family val="3"/>
        <charset val="134"/>
      </rPr>
      <t>调查船</t>
    </r>
  </si>
  <si>
    <r>
      <rPr>
        <sz val="11"/>
        <rFont val="宋体"/>
        <family val="3"/>
        <charset val="134"/>
      </rPr>
      <t>调查时间</t>
    </r>
    <r>
      <rPr>
        <sz val="11"/>
        <rFont val="Times New Roman"/>
        <family val="1"/>
      </rPr>
      <t xml:space="preserve">  </t>
    </r>
    <r>
      <rPr>
        <sz val="11"/>
        <rFont val="宋体"/>
        <family val="3"/>
        <charset val="134"/>
      </rPr>
      <t>（采样日期）</t>
    </r>
  </si>
  <si>
    <r>
      <rPr>
        <sz val="11"/>
        <rFont val="宋体"/>
        <family val="3"/>
        <charset val="134"/>
      </rPr>
      <t>定性测定时间</t>
    </r>
  </si>
  <si>
    <r>
      <rPr>
        <sz val="11"/>
        <rFont val="宋体"/>
        <family val="3"/>
        <charset val="134"/>
      </rPr>
      <t>定性拖网时间</t>
    </r>
    <r>
      <rPr>
        <sz val="11"/>
        <rFont val="Times New Roman"/>
        <family val="1"/>
      </rPr>
      <t>(min)</t>
    </r>
  </si>
  <si>
    <r>
      <rPr>
        <sz val="11"/>
        <rFont val="宋体"/>
        <family val="3"/>
        <charset val="134"/>
      </rPr>
      <t>定性拖网距离</t>
    </r>
    <r>
      <rPr>
        <sz val="11"/>
        <rFont val="Times New Roman"/>
        <family val="1"/>
      </rPr>
      <t xml:space="preserve">    (m)</t>
    </r>
  </si>
  <si>
    <r>
      <rPr>
        <sz val="11"/>
        <color theme="1"/>
        <rFont val="宋体"/>
        <family val="3"/>
        <charset val="134"/>
      </rPr>
      <t>仔稚鱼种类数</t>
    </r>
  </si>
  <si>
    <r>
      <rPr>
        <sz val="11"/>
        <color theme="1"/>
        <rFont val="宋体"/>
        <family val="3"/>
        <charset val="134"/>
      </rPr>
      <t>分析日期</t>
    </r>
    <r>
      <rPr>
        <sz val="11"/>
        <color theme="1"/>
        <rFont val="Times New Roman"/>
        <family val="1"/>
      </rPr>
      <t xml:space="preserve">     </t>
    </r>
    <r>
      <rPr>
        <sz val="11"/>
        <color rgb="FFFF0000"/>
        <rFont val="宋体"/>
        <family val="3"/>
        <charset val="134"/>
      </rPr>
      <t>（按实际填写）</t>
    </r>
  </si>
  <si>
    <r>
      <rPr>
        <sz val="11"/>
        <rFont val="宋体"/>
        <family val="3"/>
        <charset val="134"/>
      </rPr>
      <t>鱼卵</t>
    </r>
  </si>
  <si>
    <r>
      <rPr>
        <sz val="11"/>
        <rFont val="宋体"/>
        <family val="3"/>
        <charset val="134"/>
      </rPr>
      <t>仔鱼</t>
    </r>
  </si>
  <si>
    <r>
      <rPr>
        <sz val="11"/>
        <rFont val="宋体"/>
        <family val="3"/>
        <charset val="134"/>
      </rPr>
      <t>稚鱼</t>
    </r>
  </si>
  <si>
    <r>
      <rPr>
        <sz val="11"/>
        <rFont val="宋体"/>
        <family val="3"/>
        <charset val="134"/>
      </rPr>
      <t>仔稚鱼总计</t>
    </r>
  </si>
  <si>
    <r>
      <rPr>
        <sz val="11"/>
        <rFont val="宋体"/>
        <family val="3"/>
        <charset val="134"/>
      </rPr>
      <t>鱼卵总计</t>
    </r>
  </si>
  <si>
    <t>模板编号</t>
  </si>
  <si>
    <t>任务编号</t>
  </si>
  <si>
    <t>检测项目</t>
  </si>
  <si>
    <t>签名</t>
  </si>
  <si>
    <r>
      <rPr>
        <sz val="11"/>
        <rFont val="宋体"/>
        <family val="3"/>
        <charset val="134"/>
      </rPr>
      <t>船速</t>
    </r>
  </si>
  <si>
    <t>HJ-PR-119033</t>
  </si>
  <si>
    <t>检测记录单380</t>
  </si>
  <si>
    <t>鱼类浮游生物调查定性</t>
  </si>
  <si>
    <t>2019-08-06</t>
  </si>
  <si>
    <t>2019-11-19</t>
  </si>
  <si>
    <t>A2N44ZQ068</t>
  </si>
  <si>
    <t>珠江口</t>
  </si>
  <si>
    <t>中国海监303</t>
  </si>
  <si>
    <t>B0625</t>
  </si>
  <si>
    <t>大型浮游生物网</t>
  </si>
  <si>
    <t>2019/8/6 8:20:00</t>
  </si>
  <si>
    <t>A2N44ZQ069</t>
  </si>
  <si>
    <t>B0723</t>
  </si>
  <si>
    <t>2019/8/6 10:49:00</t>
  </si>
  <si>
    <t>A2N44ZQ091</t>
  </si>
  <si>
    <t>B1308</t>
  </si>
  <si>
    <t>2019/8/6 14:06:00</t>
  </si>
  <si>
    <t>A2N44ZQ070</t>
  </si>
  <si>
    <t>B1314</t>
  </si>
  <si>
    <t>2019/8/6 15:46:00</t>
  </si>
  <si>
    <t>A2N44ZQ071</t>
  </si>
  <si>
    <t>B1304</t>
  </si>
  <si>
    <t>2019/8/6 17:20:00</t>
  </si>
  <si>
    <t>2019-08-07</t>
  </si>
  <si>
    <t>A2N44ZQ072</t>
  </si>
  <si>
    <t>B0643</t>
  </si>
  <si>
    <t>2019/8/7 7:46:00</t>
  </si>
  <si>
    <t>A2N44ZQ073</t>
  </si>
  <si>
    <t>B0376</t>
  </si>
  <si>
    <t>2019/8/7 9:30:00</t>
  </si>
  <si>
    <t>A2N44ZQ076</t>
  </si>
  <si>
    <t>B0367</t>
  </si>
  <si>
    <t>2019/8/7 11:01:00</t>
  </si>
  <si>
    <t>A2N44ZQ074</t>
  </si>
  <si>
    <t>B0449</t>
  </si>
  <si>
    <t>2019/8/7 14:09:00</t>
  </si>
  <si>
    <t>A2N44ZQ085</t>
  </si>
  <si>
    <t>B0616</t>
  </si>
  <si>
    <t>2019/8/7 15:38:00</t>
  </si>
  <si>
    <t>2019-08-08</t>
  </si>
  <si>
    <t>A2N44ZQ082</t>
  </si>
  <si>
    <t>B1203</t>
  </si>
  <si>
    <t>2019/8/8 7:47:00</t>
  </si>
  <si>
    <t>2019-08-09</t>
  </si>
  <si>
    <t>A2N44ZQ081</t>
  </si>
  <si>
    <t>B0302</t>
  </si>
  <si>
    <t>2019/8/9 7:57:00</t>
  </si>
  <si>
    <t>A2N44ZQ083</t>
  </si>
  <si>
    <t>B0225</t>
  </si>
  <si>
    <t>2019/8/9 14:14:00</t>
  </si>
  <si>
    <t>2019-08-10</t>
  </si>
  <si>
    <t>A2N44ZQ084</t>
  </si>
  <si>
    <t>B0792</t>
  </si>
  <si>
    <t>2019/8/10 8:20:00</t>
  </si>
  <si>
    <t>A2N44ZQ080</t>
  </si>
  <si>
    <t>B1302</t>
  </si>
  <si>
    <t>2019/8/10 9:49:00</t>
  </si>
  <si>
    <t>A2N44ZQ077</t>
  </si>
  <si>
    <t>B0721</t>
  </si>
  <si>
    <t>2019/8/10 14:11:00</t>
  </si>
  <si>
    <t>2019-08-11</t>
  </si>
  <si>
    <t>A2N44ZQ075</t>
  </si>
  <si>
    <t>B0227</t>
  </si>
  <si>
    <t>2019/8/11 7:33:00</t>
  </si>
  <si>
    <t>A2N44ZQ087</t>
  </si>
  <si>
    <t>B0910</t>
  </si>
  <si>
    <t>2019/8/11 9:50:00</t>
  </si>
  <si>
    <t>A2N44ZQ088</t>
  </si>
  <si>
    <t>B0224</t>
  </si>
  <si>
    <t>2019/8/11 11:44:00</t>
  </si>
  <si>
    <t>A2N44ZQ089</t>
  </si>
  <si>
    <t>B0933</t>
  </si>
  <si>
    <t>2019/8/11 12:59:00</t>
  </si>
  <si>
    <t>A2N44ZQ090</t>
  </si>
  <si>
    <t>B0270</t>
  </si>
  <si>
    <t>2019/8/11 15:27:00</t>
  </si>
  <si>
    <t>2019-08-12</t>
  </si>
  <si>
    <t>A2N44ZQ078</t>
  </si>
  <si>
    <t>B0395</t>
  </si>
  <si>
    <t>2019/8/12 7:47:00</t>
  </si>
  <si>
    <t>A2N44ZQ079</t>
  </si>
  <si>
    <t>B0730</t>
  </si>
  <si>
    <t>2019/8/12 10:40:00</t>
  </si>
  <si>
    <t>A2N44ZQ086</t>
  </si>
  <si>
    <t>B0794</t>
  </si>
  <si>
    <t>2019/8/12 12:24:00</t>
  </si>
  <si>
    <t>Zeiss Stemi 2000-C</t>
  </si>
  <si>
    <t>nq</t>
  </si>
  <si>
    <t>幼鱼</t>
  </si>
  <si>
    <t>尼罗罗非鲫</t>
  </si>
  <si>
    <t>Tilapia nilotca</t>
  </si>
  <si>
    <t>丽鱼科</t>
  </si>
  <si>
    <t>nllfjy</t>
  </si>
  <si>
    <t>仔鱼</t>
  </si>
  <si>
    <t>lk</t>
  </si>
  <si>
    <t>743103-2010-02442</t>
  </si>
  <si>
    <t>稚鱼</t>
  </si>
  <si>
    <t>xsd</t>
  </si>
  <si>
    <t>鱲属</t>
  </si>
  <si>
    <t>Zacco sp.</t>
  </si>
  <si>
    <t>lkls</t>
  </si>
  <si>
    <t>鱼卵</t>
  </si>
  <si>
    <t>jtm</t>
  </si>
  <si>
    <t>duolinxi</t>
  </si>
  <si>
    <t>xsd</t>
  </si>
  <si>
    <t>xgy</t>
  </si>
  <si>
    <t>dk</t>
  </si>
  <si>
    <t>ss</t>
  </si>
  <si>
    <t>jtm</t>
  </si>
  <si>
    <t>前期仔鱼</t>
  </si>
  <si>
    <t>zhenshu</t>
  </si>
  <si>
    <t>kjs</t>
  </si>
  <si>
    <t>lk</t>
  </si>
  <si>
    <t>肩鳃鳚属</t>
  </si>
  <si>
    <t>Omobranchus sp.</t>
  </si>
  <si>
    <t>jsws</t>
  </si>
  <si>
    <t>mjs</t>
  </si>
  <si>
    <t>jsws</t>
  </si>
  <si>
    <t>ksx</t>
  </si>
  <si>
    <t>zhxgy</t>
  </si>
  <si>
    <t>dyk</t>
  </si>
  <si>
    <t>sts</t>
  </si>
  <si>
    <t>ksx</t>
  </si>
  <si>
    <t>ss</t>
  </si>
  <si>
    <t>mjs</t>
  </si>
  <si>
    <t>xsd</t>
  </si>
  <si>
    <t>kjs</t>
  </si>
  <si>
    <t>mlm</t>
  </si>
  <si>
    <t>lts</t>
  </si>
  <si>
    <t>sk</t>
  </si>
  <si>
    <t>lake</t>
  </si>
  <si>
    <t>zhxgy</t>
  </si>
  <si>
    <t>shishouyuke</t>
  </si>
  <si>
    <t>dk</t>
  </si>
  <si>
    <t>sts</t>
  </si>
  <si>
    <t>zhenshu</t>
  </si>
  <si>
    <t>jsws</t>
  </si>
  <si>
    <t>lkls</t>
  </si>
  <si>
    <t>xsd</t>
  </si>
  <si>
    <t>ss</t>
  </si>
  <si>
    <t>lake</t>
  </si>
  <si>
    <t>ksx</t>
  </si>
  <si>
    <t>dk</t>
  </si>
  <si>
    <t>何薇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</si>
</sst>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2" formatCode="_(&quot;¥&quot;* #,##0_);_(&quot;¥&quot;* \(#,##0\);_(&quot;¥&quot;* &quot;-&quot;_);_(@_)"/>
    <numFmt numFmtId="41" formatCode="_(* #,##0_);_(* \(#,##0\);_(* &quot;-&quot;_);_(@_)"/>
    <numFmt numFmtId="44" formatCode="_(&quot;¥&quot;* #,##0.00_);_(&quot;¥&quot;* \(#,##0.00\);_(&quot;¥&quot;* &quot;-&quot;??_);_(@_)"/>
    <numFmt numFmtId="43" formatCode="_(* #,##0.00_);_(* \(#,##0.00\);_(* &quot;-&quot;??_);_(@_)"/>
    <numFmt numFmtId="176" formatCode="yyyy\-mm\-dd"/>
    <numFmt numFmtId="177" formatCode="0.0_ ;[Red]\-0.0\ "/>
    <numFmt numFmtId="178" formatCode="0_);\(0\)"/>
    <numFmt numFmtId="179" formatCode="0.0"/>
  </numFmts>
  <fonts count="23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sz val="10"/>
      <name val="Arial"/>
      <family val="2"/>
    </font>
    <font>
      <sz val="11"/>
      <name val="Times New Roman"/>
      <family val="1"/>
    </font>
    <font>
      <sz val="11"/>
      <name val="宋体"/>
      <family val="3"/>
      <charset val="134"/>
    </font>
    <font>
      <b/>
      <sz val="14"/>
      <color theme="0"/>
      <name val="Times New Roman"/>
      <family val="1"/>
    </font>
    <font>
      <b/>
      <sz val="14"/>
      <color theme="0"/>
      <name val="宋体"/>
      <family val="3"/>
      <charset val="134"/>
    </font>
    <font>
      <b/>
      <sz val="14"/>
      <color theme="0"/>
      <name val="宋体"/>
      <family val="3"/>
      <charset val="134"/>
      <scheme val="major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11"/>
      <color theme="0"/>
      <name val="Times New Roman"/>
      <family val="1"/>
    </font>
    <font>
      <sz val="48"/>
      <color theme="0"/>
      <name val="华文行楷"/>
      <family val="3"/>
      <charset val="134"/>
    </font>
    <font>
      <sz val="11"/>
      <color theme="0"/>
      <name val="华文行楷"/>
      <family val="3"/>
      <charset val="134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rgb="FFFF0000"/>
      <name val="Times New Roman"/>
      <family val="1"/>
    </font>
    <font>
      <sz val="11"/>
      <color indexed="8"/>
      <name val="Times New Roman"/>
      <family val="1"/>
    </font>
    <font>
      <sz val="9"/>
      <name val="宋体"/>
      <family val="2"/>
      <charset val="134"/>
      <scheme val="minor"/>
    </font>
    <font>
      <sz val="11"/>
      <color rgb="FF000000"/>
      <name val="Times New Roman"/>
      <family val="1"/>
    </font>
  </fonts>
  <fills count="12">
    <fill>
      <patternFill/>
    </fill>
    <fill>
      <patternFill patternType="gray125"/>
    </fill>
    <fill>
      <patternFill patternType="solid">
        <fgColor rgb="FF689CDA"/>
        <bgColor indexed="64"/>
      </patternFill>
    </fill>
    <fill>
      <patternFill patternType="solid">
        <fgColor theme="3" tint="0.39998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6" tint="0.59978"/>
        <bgColor indexed="64"/>
      </patternFill>
    </fill>
    <fill>
      <patternFill patternType="solid">
        <fgColor theme="3" tint="0.79986"/>
        <bgColor indexed="64"/>
      </patternFill>
    </fill>
    <fill>
      <patternFill patternType="solid">
        <fgColor theme="9" tint="0.79986"/>
        <bgColor indexed="64"/>
      </patternFill>
    </fill>
    <fill>
      <patternFill patternType="solid">
        <fgColor theme="0" tint="-0.04972"/>
        <bgColor indexed="64"/>
      </patternFill>
    </fill>
    <fill>
      <patternFill patternType="solid">
        <fgColor theme="8" tint="0.79986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 style="thin">
        <color auto="1"/>
      </right>
      <top/>
      <bottom style="thin">
        <color auto="1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>
      <alignment/>
      <protection/>
    </xf>
    <xf numFmtId="0" fontId="10" fillId="0" borderId="0">
      <alignment/>
      <protection/>
    </xf>
  </cellStyleXfs>
  <cellXfs count="73">
    <xf numFmtId="0" fontId="0" fillId="0" borderId="0" xfId="0"/>
    <xf numFmtId="49" fontId="14" fillId="2" borderId="1" xfId="20" applyNumberFormat="1" applyFont="1" applyFill="1" applyBorder="1" applyAlignment="1" applyProtection="1">
      <alignment horizontal="center" vertical="center"/>
      <protection locked="0"/>
    </xf>
    <xf numFmtId="49" fontId="14" fillId="2" borderId="2" xfId="20" applyNumberFormat="1" applyFont="1" applyFill="1" applyBorder="1" applyAlignment="1" applyProtection="1">
      <alignment horizontal="center" vertical="center"/>
      <protection locked="0"/>
    </xf>
    <xf numFmtId="49" fontId="7" fillId="2" borderId="3" xfId="0" applyNumberFormat="1" applyFont="1" applyFill="1" applyBorder="1" applyAlignment="1" applyProtection="1">
      <alignment horizontal="center" vertical="center"/>
      <protection/>
    </xf>
    <xf numFmtId="49" fontId="8" fillId="2" borderId="3" xfId="0" applyNumberFormat="1" applyFont="1" applyFill="1" applyBorder="1" applyAlignment="1" applyProtection="1">
      <alignment horizontal="center" vertical="center"/>
      <protection/>
    </xf>
    <xf numFmtId="49" fontId="15" fillId="3" borderId="0" xfId="0" applyNumberFormat="1" applyFont="1" applyFill="1" applyBorder="1" applyAlignment="1" applyProtection="1">
      <alignment horizontal="center"/>
      <protection/>
    </xf>
    <xf numFmtId="49" fontId="9" fillId="2" borderId="3" xfId="0" applyNumberFormat="1" applyFont="1" applyFill="1" applyBorder="1" applyAlignment="1" applyProtection="1">
      <alignment horizontal="center" vertical="center"/>
      <protection/>
    </xf>
    <xf numFmtId="49" fontId="2" fillId="4" borderId="0" xfId="0" applyNumberFormat="1" applyFont="1" applyFill="1" applyBorder="1" applyProtection="1">
      <protection/>
    </xf>
    <xf numFmtId="49" fontId="2" fillId="4" borderId="0" xfId="0" applyNumberFormat="1" applyFont="1" applyFill="1" applyBorder="1" applyAlignment="1" applyProtection="1">
      <alignment vertical="center"/>
      <protection/>
    </xf>
    <xf numFmtId="49" fontId="2" fillId="5" borderId="3" xfId="0" applyNumberFormat="1" applyFont="1" applyFill="1" applyBorder="1" applyAlignment="1" applyProtection="1">
      <alignment horizontal="center" vertical="center"/>
      <protection locked="0"/>
    </xf>
    <xf numFmtId="49" fontId="2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5" borderId="3" xfId="0" applyNumberFormat="1" applyFont="1" applyFill="1" applyBorder="1" applyAlignment="1" applyProtection="1">
      <alignment horizontal="center"/>
      <protection locked="0"/>
    </xf>
    <xf numFmtId="49" fontId="3" fillId="4" borderId="3" xfId="0" applyNumberFormat="1" applyFont="1" applyFill="1" applyBorder="1" applyAlignment="1" applyProtection="1">
      <alignment horizontal="center" vertical="center"/>
      <protection/>
    </xf>
    <xf numFmtId="49" fontId="2" fillId="6" borderId="3" xfId="0" applyNumberFormat="1" applyFont="1" applyFill="1" applyBorder="1" applyAlignment="1" applyProtection="1">
      <alignment horizontal="center" vertical="center"/>
      <protection locked="0"/>
    </xf>
    <xf numFmtId="49" fontId="2" fillId="7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/>
    </xf>
    <xf numFmtId="0" fontId="14" fillId="3" borderId="0" xfId="0" applyNumberFormat="1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Protection="1">
      <protection/>
    </xf>
    <xf numFmtId="0" fontId="2" fillId="3" borderId="0" xfId="0" applyNumberFormat="1" applyFont="1" applyFill="1" applyBorder="1" applyAlignment="1" applyProtection="1">
      <alignment horizontal="center" vertical="center"/>
      <protection locked="0"/>
    </xf>
    <xf numFmtId="49" fontId="15" fillId="3" borderId="0" xfId="0" applyNumberFormat="1" applyFont="1" applyFill="1" applyBorder="1" applyProtection="1">
      <protection/>
    </xf>
    <xf numFmtId="177" fontId="2" fillId="3" borderId="0" xfId="0" applyNumberFormat="1" applyFont="1" applyFill="1" applyBorder="1" applyAlignment="1" applyProtection="1">
      <alignment horizontal="center" vertical="center"/>
      <protection locked="0"/>
    </xf>
    <xf numFmtId="49" fontId="16" fillId="3" borderId="0" xfId="0" applyNumberFormat="1" applyFont="1" applyFill="1" applyBorder="1" applyProtection="1">
      <protection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49" fontId="17" fillId="4" borderId="4" xfId="0" applyNumberFormat="1" applyFont="1" applyFill="1" applyBorder="1" applyAlignment="1" applyProtection="1">
      <alignment/>
      <protection/>
    </xf>
    <xf numFmtId="49" fontId="2" fillId="4" borderId="4" xfId="0" applyNumberFormat="1" applyFont="1" applyFill="1" applyBorder="1" applyProtection="1">
      <protection/>
    </xf>
    <xf numFmtId="49" fontId="2" fillId="5" borderId="0" xfId="0" applyNumberFormat="1" applyFont="1" applyFill="1" applyBorder="1" applyProtection="1">
      <protection/>
    </xf>
    <xf numFmtId="49" fontId="19" fillId="4" borderId="0" xfId="0" applyNumberFormat="1" applyFont="1" applyFill="1" applyBorder="1" applyAlignment="1" applyProtection="1">
      <alignment vertical="center"/>
      <protection/>
    </xf>
    <xf numFmtId="49" fontId="2" fillId="6" borderId="0" xfId="0" applyNumberFormat="1" applyFont="1" applyFill="1" applyBorder="1" applyProtection="1">
      <protection/>
    </xf>
    <xf numFmtId="49" fontId="2" fillId="8" borderId="0" xfId="0" applyNumberFormat="1" applyFont="1" applyFill="1" applyBorder="1" applyProtection="1">
      <protection/>
    </xf>
    <xf numFmtId="49" fontId="2" fillId="4" borderId="0" xfId="0" applyNumberFormat="1" applyFont="1" applyFill="1" applyBorder="1" applyAlignment="1" applyProtection="1">
      <alignment horizontal="center"/>
      <protection/>
    </xf>
    <xf numFmtId="176" fontId="2" fillId="7" borderId="3" xfId="0" applyNumberFormat="1" applyFont="1" applyFill="1" applyBorder="1" applyAlignment="1" applyProtection="1">
      <alignment horizontal="center" vertical="center" wrapText="1"/>
      <protection locked="0"/>
    </xf>
    <xf numFmtId="176" fontId="2" fillId="7" borderId="3" xfId="0" applyNumberFormat="1" applyFont="1" applyFill="1" applyBorder="1" applyAlignment="1" applyProtection="1">
      <alignment horizontal="center"/>
      <protection locked="0"/>
    </xf>
    <xf numFmtId="49" fontId="5" fillId="4" borderId="5" xfId="0" applyNumberFormat="1" applyFont="1" applyFill="1" applyBorder="1" applyAlignment="1" applyProtection="1">
      <alignment horizontal="center" vertical="center"/>
      <protection locked="0"/>
    </xf>
    <xf numFmtId="0" fontId="20" fillId="5" borderId="3" xfId="0" applyFont="1" applyFill="1" applyBorder="1" applyAlignment="1">
      <alignment horizontal="center" vertical="center"/>
    </xf>
    <xf numFmtId="0" fontId="20" fillId="5" borderId="3" xfId="21" applyFont="1" applyFill="1" applyBorder="1" applyAlignment="1">
      <alignment horizontal="center" vertical="center" wrapText="1"/>
      <protection/>
    </xf>
    <xf numFmtId="0" fontId="20" fillId="5" borderId="3" xfId="21" applyFont="1" applyFill="1" applyBorder="1" applyAlignment="1">
      <alignment horizontal="center" vertical="center"/>
      <protection/>
    </xf>
    <xf numFmtId="0" fontId="2" fillId="7" borderId="3" xfId="0" applyNumberFormat="1" applyFont="1" applyFill="1" applyBorder="1" applyAlignment="1" applyProtection="1">
      <alignment horizontal="center" vertical="center"/>
      <protection locked="0"/>
    </xf>
    <xf numFmtId="0" fontId="2" fillId="5" borderId="3" xfId="0" applyNumberFormat="1" applyFont="1" applyFill="1" applyBorder="1" applyAlignment="1" applyProtection="1">
      <alignment horizontal="center"/>
      <protection locked="0"/>
    </xf>
    <xf numFmtId="0" fontId="3" fillId="5" borderId="3" xfId="0" applyNumberFormat="1" applyFont="1" applyFill="1" applyBorder="1" applyAlignment="1" applyProtection="1">
      <alignment horizontal="center" vertical="center"/>
      <protection locked="0"/>
    </xf>
    <xf numFmtId="49" fontId="5" fillId="9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20" fillId="5" borderId="3" xfId="21" applyFont="1" applyFill="1" applyBorder="1" applyAlignment="1" applyProtection="1">
      <alignment horizontal="center" vertical="center" wrapText="1"/>
      <protection locked="0"/>
    </xf>
    <xf numFmtId="178" fontId="2" fillId="5" borderId="3" xfId="0" applyNumberFormat="1" applyFont="1" applyFill="1" applyBorder="1" applyAlignment="1" applyProtection="1">
      <alignment horizontal="center" vertical="center"/>
      <protection locked="0"/>
    </xf>
    <xf numFmtId="178" fontId="2" fillId="5" borderId="3" xfId="0" applyNumberFormat="1" applyFont="1" applyFill="1" applyBorder="1" applyAlignment="1" applyProtection="1">
      <alignment horizontal="center"/>
      <protection locked="0"/>
    </xf>
    <xf numFmtId="0" fontId="6" fillId="5" borderId="3" xfId="0" applyFont="1" applyFill="1" applyBorder="1" applyAlignment="1" applyProtection="1">
      <alignment horizontal="center" vertical="center"/>
      <protection locked="0"/>
    </xf>
    <xf numFmtId="49" fontId="5" fillId="5" borderId="3" xfId="0" applyNumberFormat="1" applyFont="1" applyFill="1" applyBorder="1" applyAlignment="1" applyProtection="1">
      <alignment horizontal="center"/>
      <protection locked="0"/>
    </xf>
    <xf numFmtId="0" fontId="2" fillId="8" borderId="3" xfId="0" applyNumberFormat="1" applyFont="1" applyFill="1" applyBorder="1" applyAlignment="1" applyProtection="1">
      <alignment horizontal="center" vertical="center"/>
      <protection locked="0"/>
    </xf>
    <xf numFmtId="49" fontId="2" fillId="8" borderId="3" xfId="0" applyNumberFormat="1" applyFont="1" applyFill="1" applyBorder="1" applyAlignment="1" applyProtection="1">
      <alignment horizontal="center"/>
      <protection locked="0"/>
    </xf>
    <xf numFmtId="49" fontId="5" fillId="9" borderId="7" xfId="0" applyNumberFormat="1" applyFont="1" applyFill="1" applyBorder="1" applyAlignment="1" applyProtection="1">
      <alignment horizontal="center" vertical="center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49" fontId="5" fillId="8" borderId="7" xfId="0" applyNumberFormat="1" applyFont="1" applyFill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176" fontId="2" fillId="7" borderId="7" xfId="0" applyNumberFormat="1" applyFont="1" applyFill="1" applyBorder="1" applyAlignment="1" applyProtection="1">
      <alignment horizontal="center" vertical="center" wrapText="1"/>
      <protection/>
    </xf>
    <xf numFmtId="49" fontId="13" fillId="2" borderId="0" xfId="20" applyNumberFormat="1" applyFont="1" applyFill="1" applyBorder="1" applyAlignment="1" applyProtection="1">
      <alignment vertical="center"/>
      <protection locked="0"/>
    </xf>
    <xf numFmtId="49" fontId="14" fillId="2" borderId="0" xfId="20" applyNumberFormat="1" applyFont="1" applyFill="1" applyBorder="1" applyAlignment="1" applyProtection="1">
      <alignment vertical="center"/>
      <protection locked="0"/>
    </xf>
    <xf numFmtId="49" fontId="6" fillId="4" borderId="6" xfId="0" applyNumberFormat="1" applyFont="1" applyFill="1" applyBorder="1" applyAlignment="1" applyProtection="1">
      <alignment horizontal="center" vertical="center"/>
      <protection/>
    </xf>
    <xf numFmtId="178" fontId="6" fillId="4" borderId="6" xfId="0" applyNumberFormat="1" applyFont="1" applyFill="1" applyBorder="1" applyAlignment="1" applyProtection="1">
      <alignment horizontal="center" vertical="center"/>
      <protection/>
    </xf>
    <xf numFmtId="49" fontId="6" fillId="8" borderId="6" xfId="0" applyNumberFormat="1" applyFont="1" applyFill="1" applyBorder="1" applyAlignment="1" applyProtection="1">
      <alignment horizontal="center" vertical="center"/>
      <protection/>
    </xf>
    <xf numFmtId="49" fontId="6" fillId="7" borderId="6" xfId="0" applyNumberFormat="1" applyFont="1" applyFill="1" applyBorder="1" applyAlignment="1" applyProtection="1">
      <alignment horizontal="center" vertical="center"/>
      <protection/>
    </xf>
    <xf numFmtId="0" fontId="5" fillId="4" borderId="6" xfId="0" applyNumberFormat="1" applyFont="1" applyFill="1" applyBorder="1" applyAlignment="1" applyProtection="1">
      <alignment horizontal="center" vertical="center"/>
      <protection/>
    </xf>
    <xf numFmtId="0" fontId="5" fillId="4" borderId="6" xfId="0" applyNumberFormat="1" applyFont="1" applyFill="1" applyBorder="1" applyAlignment="1" applyProtection="1">
      <alignment horizontal="center" vertical="center" wrapText="1"/>
      <protection/>
    </xf>
    <xf numFmtId="49" fontId="13" fillId="2" borderId="0" xfId="20" applyNumberFormat="1" applyFont="1" applyFill="1" applyBorder="1" applyAlignment="1" applyProtection="1">
      <alignment vertical="center"/>
      <protection/>
    </xf>
    <xf numFmtId="49" fontId="14" fillId="2" borderId="0" xfId="20" applyNumberFormat="1" applyFont="1" applyFill="1" applyBorder="1" applyAlignment="1" applyProtection="1">
      <alignment vertical="center"/>
      <protection/>
    </xf>
    <xf numFmtId="49" fontId="2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3" xfId="0" applyNumberFormat="1" applyFont="1" applyFill="1" applyBorder="1" applyAlignment="1" applyProtection="1">
      <alignment horizontal="center" vertical="center" wrapText="1"/>
      <protection locked="0"/>
    </xf>
    <xf numFmtId="179" fontId="2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wrapText="1"/>
    </xf>
    <xf numFmtId="49" fontId="2" fillId="11" borderId="3" xfId="0" applyNumberFormat="1" applyFont="1" applyFill="1" applyBorder="1" applyAlignment="1" applyProtection="1">
      <alignment horizontal="center" vertical="center"/>
      <protection locked="0"/>
    </xf>
    <xf numFmtId="0" fontId="11" fillId="5" borderId="3" xfId="21" applyFont="1" applyFill="1" applyBorder="1" applyAlignment="1">
      <alignment horizontal="center" vertical="center" wrapText="1"/>
      <protection/>
    </xf>
    <xf numFmtId="49" fontId="2" fillId="0" borderId="3" xfId="0" applyNumberFormat="1" applyFont="1" applyFill="1" applyBorder="1" applyAlignment="1" applyProtection="1">
      <alignment horizontal="center" vertical="center"/>
      <protection locked="0"/>
    </xf>
    <xf numFmtId="0" fontId="22" fillId="7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3" xfId="0" applyNumberFormat="1" applyFont="1" applyFill="1" applyBorder="1" applyAlignment="1" applyProtection="1">
      <alignment horizontal="center" vertical="center"/>
      <protection locked="0"/>
    </xf>
  </cellXfs>
  <cellStyles count="8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常规 2" xfId="20"/>
    <cellStyle name="常规_名录" xfId="21"/>
  </cellStyles>
  <dxfs count="23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3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8" Type="http://schemas.openxmlformats.org/officeDocument/2006/relationships/sharedStrings" Target="sharedStrings.xml" /><Relationship Id="rId4" Type="http://schemas.openxmlformats.org/officeDocument/2006/relationships/worksheet" Target="worksheets/sheet2.xml" /><Relationship Id="rId6" Type="http://schemas.openxmlformats.org/officeDocument/2006/relationships/worksheet" Target="worksheets/sheet4.xml" /><Relationship Id="rId3" Type="http://schemas.openxmlformats.org/officeDocument/2006/relationships/worksheet" Target="worksheets/sheet1.xml" /><Relationship Id="rId7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L12"/>
  <sheetViews>
    <sheetView showGridLines="0" tabSelected="1" workbookViewId="0" topLeftCell="A1">
      <selection pane="topLeft" activeCell="B5" sqref="B5"/>
    </sheetView>
  </sheetViews>
  <sheetFormatPr defaultColWidth="9" defaultRowHeight="20.1" customHeight="1"/>
  <cols>
    <col min="1" max="1" width="12.25" style="7" customWidth="1"/>
    <col min="2" max="2" width="30.875" style="7" customWidth="1"/>
    <col min="3" max="4" width="7.625" style="7" customWidth="1"/>
    <col min="5" max="9" width="7.625" style="30" customWidth="1"/>
    <col min="10" max="12" width="7.625" style="7" customWidth="1"/>
    <col min="13" max="16384" width="9" style="7"/>
  </cols>
  <sheetData>
    <row r="1" spans="1:12" ht="28.15" customHeight="1">
      <c r="A1" s="6" t="s">
        <v>5</v>
      </c>
      <c r="B1" s="6"/>
      <c r="C1" s="16"/>
      <c r="D1" s="17"/>
      <c r="E1" s="17"/>
      <c r="F1" s="17"/>
      <c r="G1" s="17"/>
      <c r="H1" s="17"/>
      <c r="I1" s="17"/>
      <c r="J1" s="17"/>
      <c r="K1" s="17"/>
      <c r="L1" s="17"/>
    </row>
    <row r="2" spans="1:12" s="8" customFormat="1" ht="28.5" customHeight="1">
      <c r="A2" s="12" t="s">
        <v>14337</v>
      </c>
      <c r="B2" s="64" t="s">
        <v>14343</v>
      </c>
      <c r="C2" s="18"/>
      <c r="D2" s="17"/>
      <c r="E2" s="5" t="s">
        <v>10332</v>
      </c>
      <c r="F2" s="5"/>
      <c r="G2" s="5"/>
      <c r="H2" s="19"/>
      <c r="I2" s="5" t="s">
        <v>10333</v>
      </c>
      <c r="J2" s="5"/>
      <c r="K2" s="5"/>
      <c r="L2" s="17"/>
    </row>
    <row r="3" spans="1:12" s="8" customFormat="1" ht="28.5" customHeight="1">
      <c r="A3" s="12" t="s">
        <v>14338</v>
      </c>
      <c r="B3" s="64" t="s">
        <v>14342</v>
      </c>
      <c r="C3" s="18"/>
      <c r="D3" s="17"/>
      <c r="E3" s="5"/>
      <c r="F3" s="5"/>
      <c r="G3" s="5"/>
      <c r="H3" s="19"/>
      <c r="I3" s="5"/>
      <c r="J3" s="5"/>
      <c r="K3" s="5"/>
      <c r="L3" s="17"/>
    </row>
    <row r="4" spans="1:12" s="8" customFormat="1" ht="28.5" customHeight="1">
      <c r="A4" s="12" t="s">
        <v>14339</v>
      </c>
      <c r="B4" s="64" t="s">
        <v>14344</v>
      </c>
      <c r="C4" s="18"/>
      <c r="D4" s="17"/>
      <c r="E4" s="5"/>
      <c r="F4" s="5"/>
      <c r="G4" s="5"/>
      <c r="H4" s="19"/>
      <c r="I4" s="5"/>
      <c r="J4" s="5"/>
      <c r="K4" s="5"/>
      <c r="L4" s="17"/>
    </row>
    <row r="5" spans="1:12" ht="28.5" customHeight="1">
      <c r="A5" s="12" t="s">
        <v>3</v>
      </c>
      <c r="B5" s="9" t="s">
        <v>14437</v>
      </c>
      <c r="C5" s="18"/>
      <c r="D5" s="17"/>
      <c r="E5" s="5" t="s">
        <v>10334</v>
      </c>
      <c r="F5" s="5"/>
      <c r="G5" s="5"/>
      <c r="H5" s="19"/>
      <c r="I5" s="5" t="s">
        <v>10335</v>
      </c>
      <c r="J5" s="5"/>
      <c r="K5" s="5"/>
      <c r="L5" s="17"/>
    </row>
    <row r="6" spans="1:12" ht="28.5" customHeight="1">
      <c r="A6" s="12" t="s">
        <v>2</v>
      </c>
      <c r="B6" s="9" t="s">
        <v>14428</v>
      </c>
      <c r="C6" s="20"/>
      <c r="D6" s="17"/>
      <c r="E6" s="5"/>
      <c r="F6" s="5"/>
      <c r="G6" s="5"/>
      <c r="H6" s="21"/>
      <c r="I6" s="5"/>
      <c r="J6" s="5"/>
      <c r="K6" s="5"/>
      <c r="L6" s="17"/>
    </row>
    <row r="7" spans="1:12" ht="28.5" customHeight="1">
      <c r="A7" s="4" t="s">
        <v>14340</v>
      </c>
      <c r="B7" s="3"/>
      <c r="C7" s="20"/>
      <c r="D7" s="17"/>
      <c r="E7" s="5"/>
      <c r="F7" s="5"/>
      <c r="G7" s="5"/>
      <c r="H7" s="19"/>
      <c r="I7" s="5"/>
      <c r="J7" s="5"/>
      <c r="K7" s="5"/>
      <c r="L7" s="17"/>
    </row>
    <row r="8" spans="1:12" ht="28.5" customHeight="1">
      <c r="A8" s="12" t="s">
        <v>10330</v>
      </c>
      <c r="B8" s="13" t="s">
        <v>14485</v>
      </c>
      <c r="C8" s="22"/>
      <c r="D8" s="17"/>
      <c r="E8" s="17"/>
      <c r="F8" s="17"/>
      <c r="G8" s="17"/>
      <c r="H8" s="17"/>
      <c r="I8" s="17"/>
      <c r="J8" s="17"/>
      <c r="K8" s="17"/>
      <c r="L8" s="17"/>
    </row>
    <row r="9" spans="1:12" ht="20.1" customHeight="1" thickBot="1">
      <c r="A9" s="12" t="s">
        <v>10331</v>
      </c>
      <c r="B9" s="13" t="s">
        <v>14485</v>
      </c>
      <c r="C9" s="23"/>
      <c r="D9" s="23"/>
      <c r="E9" s="24" t="s">
        <v>10336</v>
      </c>
      <c r="F9" s="25"/>
      <c r="G9" s="23"/>
      <c r="H9" s="23"/>
      <c r="I9" s="23"/>
      <c r="J9" s="23"/>
      <c r="K9" s="23"/>
      <c r="L9" s="23"/>
    </row>
    <row r="10" spans="1:12" ht="27" customHeight="1">
      <c r="A10" s="12" t="s">
        <v>1</v>
      </c>
      <c r="B10" s="13"/>
      <c r="C10" s="23"/>
      <c r="D10" s="23"/>
      <c r="E10" s="26"/>
      <c r="F10" s="27" t="s">
        <v>10337</v>
      </c>
      <c r="G10" s="23"/>
      <c r="H10" s="23"/>
      <c r="I10" s="23"/>
      <c r="J10" s="23"/>
      <c r="K10" s="23"/>
      <c r="L10" s="23"/>
    </row>
    <row r="11" spans="3:9" ht="20.1" customHeight="1">
      <c r="C11" s="23"/>
      <c r="D11" s="23"/>
      <c r="E11" s="28"/>
      <c r="F11" s="27" t="s">
        <v>10338</v>
      </c>
      <c r="G11" s="7"/>
      <c r="H11" s="7"/>
      <c r="I11" s="7"/>
    </row>
    <row r="12" spans="3:9" ht="20.1" customHeight="1">
      <c r="C12" s="23"/>
      <c r="D12" s="23"/>
      <c r="E12" s="29"/>
      <c r="F12" s="27" t="s">
        <v>10339</v>
      </c>
      <c r="G12" s="7"/>
      <c r="H12" s="7"/>
      <c r="I12" s="7"/>
    </row>
  </sheetData>
  <sheetProtection formatCells="0" formatColumns="0" formatRows="0" sort="0" autoFilter="0" pivotTables="0"/>
  <mergeCells count="6">
    <mergeCell ref="A1:B1"/>
    <mergeCell ref="E2:G4"/>
    <mergeCell ref="I2:K4"/>
    <mergeCell ref="E5:G7"/>
    <mergeCell ref="I5:K7"/>
    <mergeCell ref="A7:B7"/>
  </mergeCells>
  <pageMargins left="0.7" right="0.7" top="0.75" bottom="0.75" header="0.3" footer="0.3"/>
  <pageSetup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998"/>
  <sheetViews>
    <sheetView zoomScale="85" zoomScaleNormal="85" workbookViewId="0" topLeftCell="A1">
      <pane ySplit="2" topLeftCell="A3" activePane="bottomLeft" state="frozen"/>
      <selection pane="topLeft" activeCell="A1" sqref="A1"/>
      <selection pane="bottomLeft" activeCell="A27" sqref="A27:XFD27"/>
    </sheetView>
  </sheetViews>
  <sheetFormatPr defaultColWidth="9" defaultRowHeight="20.1" customHeight="1"/>
  <cols>
    <col min="1" max="2" width="12.5" style="11" customWidth="1"/>
    <col min="3" max="3" width="10.625" style="11" customWidth="1"/>
    <col min="4" max="4" width="10.125" style="44" customWidth="1"/>
    <col min="5" max="5" width="10.75" style="11" customWidth="1"/>
    <col min="6" max="6" width="12.625" style="11" customWidth="1"/>
    <col min="7" max="7" width="13" style="48" customWidth="1"/>
    <col min="8" max="8" width="17.5" style="14" customWidth="1"/>
    <col min="9" max="9" width="20.375" style="14" customWidth="1"/>
    <col min="10" max="10" width="20.125" style="14" customWidth="1"/>
    <col min="11" max="11" width="16.25" style="14" customWidth="1"/>
    <col min="12" max="12" width="12.75" style="14" customWidth="1"/>
    <col min="13" max="13" width="12.75" style="14" hidden="1" customWidth="1"/>
    <col min="14" max="14" width="12.75" style="14" customWidth="1"/>
    <col min="15" max="15" width="14.25" style="11" customWidth="1"/>
    <col min="16" max="16" width="26.125" style="11" customWidth="1"/>
    <col min="17" max="16384" width="9" style="7"/>
  </cols>
  <sheetData>
    <row r="1" spans="1:16" ht="18.75" customHeight="1">
      <c r="A1" s="62"/>
      <c r="B1" s="62"/>
      <c r="C1" s="62"/>
      <c r="D1" s="62"/>
      <c r="E1" s="62"/>
      <c r="F1" s="62"/>
      <c r="G1" s="62"/>
      <c r="H1" s="63"/>
      <c r="I1" s="63"/>
      <c r="J1" s="63"/>
      <c r="K1" s="63"/>
      <c r="L1" s="63"/>
      <c r="M1" s="63"/>
      <c r="N1" s="63"/>
      <c r="O1" s="63"/>
      <c r="P1" s="63"/>
    </row>
    <row r="2" spans="1:16" ht="33" customHeight="1">
      <c r="A2" s="56" t="s">
        <v>14312</v>
      </c>
      <c r="B2" s="56" t="s">
        <v>14313</v>
      </c>
      <c r="C2" s="56" t="s">
        <v>14314</v>
      </c>
      <c r="D2" s="57" t="s">
        <v>10328</v>
      </c>
      <c r="E2" s="56" t="s">
        <v>10329</v>
      </c>
      <c r="F2" s="56" t="s">
        <v>6</v>
      </c>
      <c r="G2" s="58" t="s">
        <v>10340</v>
      </c>
      <c r="H2" s="59" t="s">
        <v>10325</v>
      </c>
      <c r="I2" s="59" t="s">
        <v>10326</v>
      </c>
      <c r="J2" s="59" t="s">
        <v>9</v>
      </c>
      <c r="K2" s="59" t="s">
        <v>7</v>
      </c>
      <c r="L2" s="59" t="s">
        <v>8</v>
      </c>
      <c r="M2" s="59"/>
      <c r="N2" s="59" t="s">
        <v>14315</v>
      </c>
      <c r="O2" s="60" t="s">
        <v>10327</v>
      </c>
      <c r="P2" s="61" t="s">
        <v>0</v>
      </c>
    </row>
    <row r="3" spans="1:16" ht="20.1" customHeight="1">
      <c r="A3" s="9" t="s">
        <v>14429</v>
      </c>
      <c r="B3" s="42"/>
      <c r="C3" s="9"/>
      <c r="D3" s="43">
        <v>1</v>
      </c>
      <c r="E3" s="9" t="s">
        <v>14430</v>
      </c>
      <c r="F3" s="70" t="s">
        <v>14347</v>
      </c>
      <c r="G3" s="47" t="str">
        <f>IF(F3="","",INDEX(站位样品信息!$B$3:INDEX(站位样品信息!$B:$B,COUNTA(站位样品信息!$B:$B)+1),MATCH($F3,站位样品信息!$A$3:INDEX(站位样品信息!$A:$A,COUNTA(站位样品信息!$A:$A)+1),),))</f>
        <v>B0625</v>
      </c>
      <c r="H3" s="71" t="str">
        <f>IF(A3&amp;B3&amp;C3="","",INDEX(生物种群!$A$2:INDEX(生物种群!$A:$A,COUNTA(生物种群!$A:$A)),MATCH($I3,生物种群!$B$2:INDEX(生物种群!$B:$B,COUNTA(生物种群!$B:$B)),),))</f>
        <v>泥鳅</v>
      </c>
      <c r="I3" s="71" t="str">
        <f>IF(A3&amp;B3&amp;C3="","",IF($C3&lt;&gt;0,INDEX(生物种群!$B$2:INDEX(生物种群!$B:$B,COUNTA(生物种群!$B:$B)),MATCH($C3,生物种群!$G$2:INDEX(生物种群!$G:$G,COUNTA(生物种群!$G:$G)),),),IF($A3&lt;&gt;0,INDEX(生物种群!$B$2:INDEX(生物种群!$B:$B,COUNTA(生物种群!$B:$B)),MATCH($A3,生物种群!$C$2:INDEX(生物种群!$C:$C,COUNTA(生物种群!$C:$C)),),),INDEX(生物种群!$B$2:INDEX(生物种群!$B:$B,COUNTA(生物种群!$B:$B)),MATCH($B3,生物种群!$D$2:INDEX(生物种群!$D:$D,COUNTA(生物种群!$D:$D)),),))))</f>
        <v>Misgurnus anguillicaudatus</v>
      </c>
      <c r="J3" s="37" t="str">
        <f>IF(A3&amp;B3&amp;C3="","",INDEX(生物种群!$J$2:INDEX(生物种群!$J:$J,COUNTA(生物种群!$J:$J)),MATCH($I3,生物种群!$B$2:INDEX(生物种群!$B:$B,COUNTA(生物种群!$B:$B)),),))</f>
        <v>(Cantor)</v>
      </c>
      <c r="K3" s="71" t="str">
        <f>IF(A3&amp;B3&amp;C3="","",INDEX(生物种群!$E$2:INDEX(生物种群!$E:$E,COUNTA(生物种群!$E:$E)),MATCH($I3,生物种群!$B$2:INDEX(生物种群!$B:$B,COUNTA(生物种群!$B:$B)),),))</f>
        <v>鳅科</v>
      </c>
      <c r="L3" s="37" t="str">
        <f>IF(A3&amp;B3&amp;C3="","",INDEX(生物种群!$F$3:INDEX(生物种群!$F:$F,COUNTA(生物种群!$F:$F)),MATCH($I3,生物种群!$B$3:INDEX(生物种群!$B:$B,COUNTA(生物种群!$B:$B)),),))</f>
        <v>鲤形目</v>
      </c>
      <c r="M3" s="37" t="str">
        <f>IF(F3&gt;0,F3&amp;I3&amp;E3,"")</f>
        <v>A2N44ZQ068Misgurnus anguillicaudatus幼鱼</v>
      </c>
      <c r="N3" s="37" t="str">
        <f t="shared" si="0" ref="N3:N66">IF(COUNTIF($M:$M,M3)=1,"",IF(A3&amp;B3&amp;C3="","","重复"))</f>
        <v/>
      </c>
      <c r="O3" s="9"/>
      <c r="P3" s="9"/>
    </row>
    <row r="4" spans="1:16" ht="20.1" customHeight="1">
      <c r="A4" s="9" t="s">
        <v>14434</v>
      </c>
      <c r="B4" s="42"/>
      <c r="C4" s="9"/>
      <c r="D4" s="43">
        <v>1</v>
      </c>
      <c r="E4" s="9" t="s">
        <v>14438</v>
      </c>
      <c r="F4" s="68" t="s">
        <v>14347</v>
      </c>
      <c r="G4" s="47" t="str">
        <f>IF(F4="","",INDEX(站位样品信息!$B$3:INDEX(站位样品信息!$B:$B,COUNTA(站位样品信息!$B:$B)+1),MATCH($F4,站位样品信息!$A$3:INDEX(站位样品信息!$A:$A,COUNTA(站位样品信息!$A:$A)+1),),))</f>
        <v>B0625</v>
      </c>
      <c r="H4" s="72" t="str">
        <f>IF(A4&amp;B4&amp;C4="","",INDEX(生物种群!$A$2:INDEX(生物种群!$A:$A,COUNTA(生物种群!$A:$A)),MATCH($I4,生物种群!$B$2:INDEX(生物种群!$B:$B,COUNTA(生物种群!$B:$B)),),))</f>
        <v>尼罗罗非鲫</v>
      </c>
      <c r="I4" s="72" t="str">
        <f>IF(A4&amp;B4&amp;C4="","",IF($C4&lt;&gt;0,INDEX(生物种群!$B$2:INDEX(生物种群!$B:$B,COUNTA(生物种群!$B:$B)),MATCH($C4,生物种群!$G$2:INDEX(生物种群!$G:$G,COUNTA(生物种群!$G:$G)),),),IF($A4&lt;&gt;0,INDEX(生物种群!$B$2:INDEX(生物种群!$B:$B,COUNTA(生物种群!$B:$B)),MATCH($A4,生物种群!$C$2:INDEX(生物种群!$C:$C,COUNTA(生物种群!$C:$C)),),),INDEX(生物种群!$B$2:INDEX(生物种群!$B:$B,COUNTA(生物种群!$B:$B)),MATCH($B4,生物种群!$D$2:INDEX(生物种群!$D:$D,COUNTA(生物种群!$D:$D)),),))))</f>
        <v>Tilapia nilotca</v>
      </c>
      <c r="J4" s="37" t="str">
        <f>IF(A4&amp;B4&amp;C4="","",INDEX(生物种群!$J$2:INDEX(生物种群!$J:$J,COUNTA(生物种群!$J:$J)),MATCH($I4,生物种群!$B$2:INDEX(生物种群!$B:$B,COUNTA(生物种群!$B:$B)),),))</f>
        <v/>
      </c>
      <c r="K4" s="72" t="str">
        <f>IF(A4&amp;B4&amp;C4="","",INDEX(生物种群!$E$2:INDEX(生物种群!$E:$E,COUNTA(生物种群!$E:$E)),MATCH($I4,生物种群!$B$2:INDEX(生物种群!$B:$B,COUNTA(生物种群!$B:$B)),),))</f>
        <v>丽鱼科</v>
      </c>
      <c r="L4" s="37" t="str">
        <f>IF(A4&amp;B4&amp;C4="","",INDEX(生物种群!$F$3:INDEX(生物种群!$F:$F,COUNTA(生物种群!$F:$F)),MATCH($I4,生物种群!$B$3:INDEX(生物种群!$B:$B,COUNTA(生物种群!$B:$B)),),))</f>
        <v>鲈形目</v>
      </c>
      <c r="M4" s="37" t="str">
        <f t="shared" si="1" ref="M4:M66">IF(F4&gt;0,F4&amp;I4&amp;E4,"")</f>
        <v>A2N44ZQ068Tilapia nilotca稚鱼</v>
      </c>
      <c r="N4" s="37" t="str">
        <f t="shared" si="0"/>
        <v/>
      </c>
      <c r="O4" s="9"/>
      <c r="P4" s="10"/>
    </row>
    <row r="5" spans="1:16" ht="20.1" customHeight="1">
      <c r="A5" s="36" t="s">
        <v>14436</v>
      </c>
      <c r="B5" s="36"/>
      <c r="C5" s="9"/>
      <c r="D5" s="43">
        <v>336</v>
      </c>
      <c r="E5" s="9" t="s">
        <v>14435</v>
      </c>
      <c r="F5" s="68" t="s">
        <v>14347</v>
      </c>
      <c r="G5" s="47" t="str">
        <f>IF(F5="","",INDEX(站位样品信息!$B$3:INDEX(站位样品信息!$B:$B,COUNTA(站位样品信息!$B:$B)+1),MATCH($F5,站位样品信息!$A$3:INDEX(站位样品信息!$A:$A,COUNTA(站位样品信息!$A:$A)+1),),))</f>
        <v>B0625</v>
      </c>
      <c r="H5" s="71" t="str">
        <f>IF(A5&amp;B5&amp;C5="","",INDEX(生物种群!$A$2:INDEX(生物种群!$A:$A,COUNTA(生物种群!$A:$A)),MATCH($I5,生物种群!$B$2:INDEX(生物种群!$B:$B,COUNTA(生物种群!$B:$B)),),))</f>
        <v>鲤科</v>
      </c>
      <c r="I5" s="71" t="str">
        <f>IF(A5&amp;B5&amp;C5="","",IF($C5&lt;&gt;0,INDEX(生物种群!$B$2:INDEX(生物种群!$B:$B,COUNTA(生物种群!$B:$B)),MATCH($C5,生物种群!$G$2:INDEX(生物种群!$G:$G,COUNTA(生物种群!$G:$G)),),),IF($A5&lt;&gt;0,INDEX(生物种群!$B$2:INDEX(生物种群!$B:$B,COUNTA(生物种群!$B:$B)),MATCH($A5,生物种群!$C$2:INDEX(生物种群!$C:$C,COUNTA(生物种群!$C:$C)),),),INDEX(生物种群!$B$2:INDEX(生物种群!$B:$B,COUNTA(生物种群!$B:$B)),MATCH($B5,生物种群!$D$2:INDEX(生物种群!$D:$D,COUNTA(生物种群!$D:$D)),),))))</f>
        <v>Cyprinidae sp.</v>
      </c>
      <c r="J5" s="37" t="str">
        <f>IF(A5&amp;B5&amp;C5="","",INDEX(生物种群!$J$2:INDEX(生物种群!$J:$J,COUNTA(生物种群!$J:$J)),MATCH($I5,生物种群!$B$2:INDEX(生物种群!$B:$B,COUNTA(生物种群!$B:$B)),),))</f>
        <v/>
      </c>
      <c r="K5" s="71" t="str">
        <f>IF(A5&amp;B5&amp;C5="","",INDEX(生物种群!$E$2:INDEX(生物种群!$E:$E,COUNTA(生物种群!$E:$E)),MATCH($I5,生物种群!$B$2:INDEX(生物种群!$B:$B,COUNTA(生物种群!$B:$B)),),))</f>
        <v>鲤科</v>
      </c>
      <c r="L5" s="37" t="str">
        <f>IF(A5&amp;B5&amp;C5="","",INDEX(生物种群!$F$3:INDEX(生物种群!$F:$F,COUNTA(生物种群!$F:$F)),MATCH($I5,生物种群!$B$3:INDEX(生物种群!$B:$B,COUNTA(生物种群!$B:$B)),),))</f>
        <v>鲤形目</v>
      </c>
      <c r="M5" s="37" t="str">
        <f t="shared" si="1"/>
        <v>A2N44ZQ068Cyprinidae sp.仔鱼</v>
      </c>
      <c r="N5" s="37" t="str">
        <f t="shared" si="0"/>
        <v/>
      </c>
      <c r="O5" s="9"/>
      <c r="P5" s="10"/>
    </row>
    <row r="6" spans="1:16" ht="20.1" customHeight="1">
      <c r="A6" s="9" t="s">
        <v>14439</v>
      </c>
      <c r="B6" s="42"/>
      <c r="C6" s="9"/>
      <c r="D6" s="43">
        <v>1392</v>
      </c>
      <c r="E6" s="9" t="s">
        <v>14435</v>
      </c>
      <c r="F6" s="68" t="s">
        <v>14347</v>
      </c>
      <c r="G6" s="47" t="str">
        <f>IF(F6="","",INDEX(站位样品信息!$B$3:INDEX(站位样品信息!$B:$B,COUNTA(站位样品信息!$B:$B)+1),MATCH($F6,站位样品信息!$A$3:INDEX(站位样品信息!$A:$A,COUNTA(站位样品信息!$A:$A)+1),),))</f>
        <v>B0625</v>
      </c>
      <c r="H6" s="71" t="str">
        <f>IF(A6&amp;B6&amp;C6="","",INDEX(生物种群!$A$2:INDEX(生物种群!$A:$A,COUNTA(生物种群!$A:$A)),MATCH($I6,生物种群!$B$2:INDEX(生物种群!$B:$B,COUNTA(生物种群!$B:$B)),),))</f>
        <v>小沙丁鱼属</v>
      </c>
      <c r="I6" s="71" t="str">
        <f>IF(A6&amp;B6&amp;C6="","",IF($C6&lt;&gt;0,INDEX(生物种群!$B$2:INDEX(生物种群!$B:$B,COUNTA(生物种群!$B:$B)),MATCH($C6,生物种群!$G$2:INDEX(生物种群!$G:$G,COUNTA(生物种群!$G:$G)),),),IF($A6&lt;&gt;0,INDEX(生物种群!$B$2:INDEX(生物种群!$B:$B,COUNTA(生物种群!$B:$B)),MATCH($A6,生物种群!$C$2:INDEX(生物种群!$C:$C,COUNTA(生物种群!$C:$C)),),),INDEX(生物种群!$B$2:INDEX(生物种群!$B:$B,COUNTA(生物种群!$B:$B)),MATCH($B6,生物种群!$D$2:INDEX(生物种群!$D:$D,COUNTA(生物种群!$D:$D)),),))))</f>
        <v>Sardinella sp.</v>
      </c>
      <c r="J6" s="37" t="str">
        <f>IF(A6&amp;B6&amp;C6="","",INDEX(生物种群!$J$2:INDEX(生物种群!$J:$J,COUNTA(生物种群!$J:$J)),MATCH($I6,生物种群!$B$2:INDEX(生物种群!$B:$B,COUNTA(生物种群!$B:$B)),),))</f>
        <v>et Valenciennes</v>
      </c>
      <c r="K6" s="71" t="str">
        <f>IF(A6&amp;B6&amp;C6="","",INDEX(生物种群!$E$2:INDEX(生物种群!$E:$E,COUNTA(生物种群!$E:$E)),MATCH($I6,生物种群!$B$2:INDEX(生物种群!$B:$B,COUNTA(生物种群!$B:$B)),),))</f>
        <v>鲱科</v>
      </c>
      <c r="L6" s="37" t="str">
        <f>IF(A6&amp;B6&amp;C6="","",INDEX(生物种群!$F$3:INDEX(生物种群!$F:$F,COUNTA(生物种群!$F:$F)),MATCH($I6,生物种群!$B$3:INDEX(生物种群!$B:$B,COUNTA(生物种群!$B:$B)),),))</f>
        <v>鲱形目</v>
      </c>
      <c r="M6" s="37" t="str">
        <f t="shared" si="1"/>
        <v>A2N44ZQ068Sardinella sp.仔鱼</v>
      </c>
      <c r="N6" s="37" t="str">
        <f t="shared" si="0"/>
        <v/>
      </c>
      <c r="O6" s="9"/>
      <c r="P6" s="10"/>
    </row>
    <row r="7" spans="1:16" ht="20.1" customHeight="1">
      <c r="A7" s="36" t="s">
        <v>14442</v>
      </c>
      <c r="B7" s="42"/>
      <c r="C7" s="9"/>
      <c r="D7" s="43">
        <v>5</v>
      </c>
      <c r="E7" s="9" t="s">
        <v>14435</v>
      </c>
      <c r="F7" s="68" t="s">
        <v>14347</v>
      </c>
      <c r="G7" s="47" t="str">
        <f>IF(F7="","",INDEX(站位样品信息!$B$3:INDEX(站位样品信息!$B:$B,COUNTA(站位样品信息!$B:$B)+1),MATCH($F7,站位样品信息!$A$3:INDEX(站位样品信息!$A:$A,COUNTA(站位样品信息!$A:$A)+1),),))</f>
        <v>B0625</v>
      </c>
      <c r="H7" s="72" t="str">
        <f>IF(A7&amp;B7&amp;C7="","",INDEX(生物种群!$A$2:INDEX(生物种群!$A:$A,COUNTA(生物种群!$A:$A)),MATCH($I7,生物种群!$B$2:INDEX(生物种群!$B:$B,COUNTA(生物种群!$B:$B)),),))</f>
        <v>鱲属</v>
      </c>
      <c r="I7" s="72" t="str">
        <f>IF(A7&amp;B7&amp;C7="","",IF($C7&lt;&gt;0,INDEX(生物种群!$B$2:INDEX(生物种群!$B:$B,COUNTA(生物种群!$B:$B)),MATCH($C7,生物种群!$G$2:INDEX(生物种群!$G:$G,COUNTA(生物种群!$G:$G)),),),IF($A7&lt;&gt;0,INDEX(生物种群!$B$2:INDEX(生物种群!$B:$B,COUNTA(生物种群!$B:$B)),MATCH($A7,生物种群!$C$2:INDEX(生物种群!$C:$C,COUNTA(生物种群!$C:$C)),),),INDEX(生物种群!$B$2:INDEX(生物种群!$B:$B,COUNTA(生物种群!$B:$B)),MATCH($B7,生物种群!$D$2:INDEX(生物种群!$D:$D,COUNTA(生物种群!$D:$D)),),))))</f>
        <v>Zacco sp.</v>
      </c>
      <c r="J7" s="37">
        <f>IF(A7&amp;B7&amp;C7="","",INDEX(生物种群!$J$2:INDEX(生物种群!$J:$J,COUNTA(生物种群!$J:$J)),MATCH($I7,生物种群!$B$2:INDEX(生物种群!$B:$B,COUNTA(生物种群!$B:$B)),),))</f>
        <v>0</v>
      </c>
      <c r="K7" s="72" t="str">
        <f>IF(A7&amp;B7&amp;C7="","",INDEX(生物种群!$E$2:INDEX(生物种群!$E:$E,COUNTA(生物种群!$E:$E)),MATCH($I7,生物种群!$B$2:INDEX(生物种群!$B:$B,COUNTA(生物种群!$B:$B)),),))</f>
        <v>鲤科</v>
      </c>
      <c r="L7" s="37" t="str">
        <f>IF(A7&amp;B7&amp;C7="","",INDEX(生物种群!$F$3:INDEX(生物种群!$F:$F,COUNTA(生物种群!$F:$F)),MATCH($I7,生物种群!$B$3:INDEX(生物种群!$B:$B,COUNTA(生物种群!$B:$B)),),))</f>
        <v>鲤形目</v>
      </c>
      <c r="M7" s="37" t="str">
        <f t="shared" si="1"/>
        <v>A2N44ZQ068Zacco sp.仔鱼</v>
      </c>
      <c r="N7" s="37" t="str">
        <f t="shared" si="0"/>
        <v/>
      </c>
      <c r="O7" s="9"/>
      <c r="P7" s="10"/>
    </row>
    <row r="8" spans="1:16" ht="20.1" customHeight="1">
      <c r="A8" s="36" t="s">
        <v>1677</v>
      </c>
      <c r="B8" s="42"/>
      <c r="C8" s="35">
        <v>358000</v>
      </c>
      <c r="D8" s="43">
        <v>1</v>
      </c>
      <c r="E8" s="9" t="s">
        <v>14435</v>
      </c>
      <c r="F8" s="68" t="s">
        <v>14347</v>
      </c>
      <c r="G8" s="47" t="str">
        <f>IF(F8="","",INDEX(站位样品信息!$B$3:INDEX(站位样品信息!$B:$B,COUNTA(站位样品信息!$B:$B)+1),MATCH($F8,站位样品信息!$A$3:INDEX(站位样品信息!$A:$A,COUNTA(站位样品信息!$A:$A)+1),),))</f>
        <v>B0625</v>
      </c>
      <c r="H8" s="71" t="str">
        <f>IF(A8&amp;B8&amp;C8="","",INDEX(生物种群!$A$2:INDEX(生物种群!$A:$A,COUNTA(生物种群!$A:$A)),MATCH($I8,生物种群!$B$2:INDEX(生物种群!$B:$B,COUNTA(生物种群!$B:$B)),),))</f>
        <v>塘鳢科</v>
      </c>
      <c r="I8" s="71" t="str">
        <f>IF(A8&amp;B8&amp;C8="","",IF($C8&lt;&gt;0,INDEX(生物种群!$B$2:INDEX(生物种群!$B:$B,COUNTA(生物种群!$B:$B)),MATCH($C8,生物种群!$G$2:INDEX(生物种群!$G:$G,COUNTA(生物种群!$G:$G)),),),IF($A8&lt;&gt;0,INDEX(生物种群!$B$2:INDEX(生物种群!$B:$B,COUNTA(生物种群!$B:$B)),MATCH($A8,生物种群!$C$2:INDEX(生物种群!$C:$C,COUNTA(生物种群!$C:$C)),),),INDEX(生物种群!$B$2:INDEX(生物种群!$B:$B,COUNTA(生物种群!$B:$B)),MATCH($B8,生物种群!$D$2:INDEX(生物种群!$D:$D,COUNTA(生物种群!$D:$D)),),))))</f>
        <v>Eleotridae sp.</v>
      </c>
      <c r="J8" s="37" t="str">
        <f>IF(A8&amp;B8&amp;C8="","",INDEX(生物种群!$J$2:INDEX(生物种群!$J:$J,COUNTA(生物种群!$J:$J)),MATCH($I8,生物种群!$B$2:INDEX(生物种群!$B:$B,COUNTA(生物种群!$B:$B)),),))</f>
        <v/>
      </c>
      <c r="K8" s="71" t="str">
        <f>IF(A8&amp;B8&amp;C8="","",INDEX(生物种群!$E$2:INDEX(生物种群!$E:$E,COUNTA(生物种群!$E:$E)),MATCH($I8,生物种群!$B$2:INDEX(生物种群!$B:$B,COUNTA(生物种群!$B:$B)),),))</f>
        <v>塘鳢科</v>
      </c>
      <c r="L8" s="37" t="str">
        <f>IF(A8&amp;B8&amp;C8="","",INDEX(生物种群!$F$3:INDEX(生物种群!$F:$F,COUNTA(生物种群!$F:$F)),MATCH($I8,生物种群!$B$3:INDEX(生物种群!$B:$B,COUNTA(生物种群!$B:$B)),),))</f>
        <v>鲈形目</v>
      </c>
      <c r="M8" s="37" t="str">
        <f t="shared" si="1"/>
        <v>A2N44ZQ068Eleotridae sp.仔鱼</v>
      </c>
      <c r="N8" s="37" t="str">
        <f t="shared" si="0"/>
        <v/>
      </c>
      <c r="O8" s="9"/>
      <c r="P8" s="10"/>
    </row>
    <row r="9" spans="1:16" ht="20.1" customHeight="1">
      <c r="A9" s="9" t="s">
        <v>14444</v>
      </c>
      <c r="B9" s="42"/>
      <c r="C9" s="9"/>
      <c r="D9" s="43">
        <v>600</v>
      </c>
      <c r="E9" s="9" t="s">
        <v>14443</v>
      </c>
      <c r="F9" s="68" t="s">
        <v>14347</v>
      </c>
      <c r="G9" s="47" t="str">
        <f>IF(F9="","",INDEX(站位样品信息!$B$3:INDEX(站位样品信息!$B:$B,COUNTA(站位样品信息!$B:$B)+1),MATCH($F9,站位样品信息!$A$3:INDEX(站位样品信息!$A:$A,COUNTA(站位样品信息!$A:$A)+1),),))</f>
        <v>B0625</v>
      </c>
      <c r="H9" s="71" t="str">
        <f>IF(A9&amp;B9&amp;C9="","",INDEX(生物种群!$A$2:INDEX(生物种群!$A:$A,COUNTA(生物种群!$A:$A)),MATCH($I9,生物种群!$B$2:INDEX(生物种群!$B:$B,COUNTA(生物种群!$B:$B)),),))</f>
        <v>棘头梅童鱼</v>
      </c>
      <c r="I9" s="71" t="str">
        <f>IF(A9&amp;B9&amp;C9="","",IF($C9&lt;&gt;0,INDEX(生物种群!$B$2:INDEX(生物种群!$B:$B,COUNTA(生物种群!$B:$B)),MATCH($C9,生物种群!$G$2:INDEX(生物种群!$G:$G,COUNTA(生物种群!$G:$G)),),),IF($A9&lt;&gt;0,INDEX(生物种群!$B$2:INDEX(生物种群!$B:$B,COUNTA(生物种群!$B:$B)),MATCH($A9,生物种群!$C$2:INDEX(生物种群!$C:$C,COUNTA(生物种群!$C:$C)),),),INDEX(生物种群!$B$2:INDEX(生物种群!$B:$B,COUNTA(生物种群!$B:$B)),MATCH($B9,生物种群!$D$2:INDEX(生物种群!$D:$D,COUNTA(生物种群!$D:$D)),),))))</f>
        <v>Collichthys lucidus</v>
      </c>
      <c r="J9" s="37" t="str">
        <f>IF(A9&amp;B9&amp;C9="","",INDEX(生物种群!$J$2:INDEX(生物种群!$J:$J,COUNTA(生物种群!$J:$J)),MATCH($I9,生物种群!$B$2:INDEX(生物种群!$B:$B,COUNTA(生物种群!$B:$B)),),))</f>
        <v>(Richardson)</v>
      </c>
      <c r="K9" s="71" t="str">
        <f>IF(A9&amp;B9&amp;C9="","",INDEX(生物种群!$E$2:INDEX(生物种群!$E:$E,COUNTA(生物种群!$E:$E)),MATCH($I9,生物种群!$B$2:INDEX(生物种群!$B:$B,COUNTA(生物种群!$B:$B)),),))</f>
        <v>石首鱼科</v>
      </c>
      <c r="L9" s="37" t="str">
        <f>IF(A9&amp;B9&amp;C9="","",INDEX(生物种群!$F$3:INDEX(生物种群!$F:$F,COUNTA(生物种群!$F:$F)),MATCH($I9,生物种群!$B$3:INDEX(生物种群!$B:$B,COUNTA(生物种群!$B:$B)),),))</f>
        <v>鲈形目</v>
      </c>
      <c r="M9" s="37" t="str">
        <f t="shared" si="1"/>
        <v>A2N44ZQ068Collichthys lucidus鱼卵</v>
      </c>
      <c r="N9" s="37" t="str">
        <f t="shared" si="0"/>
        <v/>
      </c>
      <c r="O9" s="9"/>
      <c r="P9" s="10"/>
    </row>
    <row r="10" spans="1:16" ht="20.1" customHeight="1">
      <c r="A10" s="9" t="s">
        <v>14439</v>
      </c>
      <c r="B10" s="42"/>
      <c r="C10" s="9"/>
      <c r="D10" s="43">
        <v>10320</v>
      </c>
      <c r="E10" s="9" t="s">
        <v>14435</v>
      </c>
      <c r="F10" s="9" t="s">
        <v>14353</v>
      </c>
      <c r="G10" s="47" t="str">
        <f>IF(F10="","",INDEX(站位样品信息!$B$3:INDEX(站位样品信息!$B:$B,COUNTA(站位样品信息!$B:$B)+1),MATCH($F10,站位样品信息!$A$3:INDEX(站位样品信息!$A:$A,COUNTA(站位样品信息!$A:$A)+1),),))</f>
        <v>B0723</v>
      </c>
      <c r="H10" s="71" t="str">
        <f>IF(A10&amp;B10&amp;C10="","",INDEX(生物种群!$A$2:INDEX(生物种群!$A:$A,COUNTA(生物种群!$A:$A)),MATCH($I10,生物种群!$B$2:INDEX(生物种群!$B:$B,COUNTA(生物种群!$B:$B)),),))</f>
        <v>小沙丁鱼属</v>
      </c>
      <c r="I10" s="71" t="str">
        <f>IF(A10&amp;B10&amp;C10="","",IF($C10&lt;&gt;0,INDEX(生物种群!$B$2:INDEX(生物种群!$B:$B,COUNTA(生物种群!$B:$B)),MATCH($C10,生物种群!$G$2:INDEX(生物种群!$G:$G,COUNTA(生物种群!$G:$G)),),),IF($A10&lt;&gt;0,INDEX(生物种群!$B$2:INDEX(生物种群!$B:$B,COUNTA(生物种群!$B:$B)),MATCH($A10,生物种群!$C$2:INDEX(生物种群!$C:$C,COUNTA(生物种群!$C:$C)),),),INDEX(生物种群!$B$2:INDEX(生物种群!$B:$B,COUNTA(生物种群!$B:$B)),MATCH($B10,生物种群!$D$2:INDEX(生物种群!$D:$D,COUNTA(生物种群!$D:$D)),),))))</f>
        <v>Sardinella sp.</v>
      </c>
      <c r="J10" s="37" t="str">
        <f>IF(A10&amp;B10&amp;C10="","",INDEX(生物种群!$J$2:INDEX(生物种群!$J:$J,COUNTA(生物种群!$J:$J)),MATCH($I10,生物种群!$B$2:INDEX(生物种群!$B:$B,COUNTA(生物种群!$B:$B)),),))</f>
        <v>et Valenciennes</v>
      </c>
      <c r="K10" s="71" t="str">
        <f>IF(A10&amp;B10&amp;C10="","",INDEX(生物种群!$E$2:INDEX(生物种群!$E:$E,COUNTA(生物种群!$E:$E)),MATCH($I10,生物种群!$B$2:INDEX(生物种群!$B:$B,COUNTA(生物种群!$B:$B)),),))</f>
        <v>鲱科</v>
      </c>
      <c r="L10" s="37" t="str">
        <f>IF(A10&amp;B10&amp;C10="","",INDEX(生物种群!$F$3:INDEX(生物种群!$F:$F,COUNTA(生物种群!$F:$F)),MATCH($I10,生物种群!$B$3:INDEX(生物种群!$B:$B,COUNTA(生物种群!$B:$B)),),))</f>
        <v>鲱形目</v>
      </c>
      <c r="M10" s="37" t="str">
        <f t="shared" si="1"/>
        <v>A2N44ZQ069Sardinella sp.仔鱼</v>
      </c>
      <c r="N10" s="37" t="str">
        <f t="shared" si="0"/>
        <v/>
      </c>
      <c r="O10" s="9"/>
      <c r="P10" s="10"/>
    </row>
    <row r="11" spans="1:16" ht="20.1" customHeight="1">
      <c r="A11" s="9" t="s">
        <v>14436</v>
      </c>
      <c r="B11" s="42"/>
      <c r="C11" s="9"/>
      <c r="D11" s="43">
        <v>160</v>
      </c>
      <c r="E11" s="9" t="s">
        <v>14435</v>
      </c>
      <c r="F11" s="9" t="s">
        <v>14353</v>
      </c>
      <c r="G11" s="47" t="str">
        <f>IF(F11="","",INDEX(站位样品信息!$B$3:INDEX(站位样品信息!$B:$B,COUNTA(站位样品信息!$B:$B)+1),MATCH($F11,站位样品信息!$A$3:INDEX(站位样品信息!$A:$A,COUNTA(站位样品信息!$A:$A)+1),),))</f>
        <v>B0723</v>
      </c>
      <c r="H11" s="71" t="str">
        <f>IF(A11&amp;B11&amp;C11="","",INDEX(生物种群!$A$2:INDEX(生物种群!$A:$A,COUNTA(生物种群!$A:$A)),MATCH($I11,生物种群!$B$2:INDEX(生物种群!$B:$B,COUNTA(生物种群!$B:$B)),),))</f>
        <v>鲤科</v>
      </c>
      <c r="I11" s="71" t="str">
        <f>IF(A11&amp;B11&amp;C11="","",IF($C11&lt;&gt;0,INDEX(生物种群!$B$2:INDEX(生物种群!$B:$B,COUNTA(生物种群!$B:$B)),MATCH($C11,生物种群!$G$2:INDEX(生物种群!$G:$G,COUNTA(生物种群!$G:$G)),),),IF($A11&lt;&gt;0,INDEX(生物种群!$B$2:INDEX(生物种群!$B:$B,COUNTA(生物种群!$B:$B)),MATCH($A11,生物种群!$C$2:INDEX(生物种群!$C:$C,COUNTA(生物种群!$C:$C)),),),INDEX(生物种群!$B$2:INDEX(生物种群!$B:$B,COUNTA(生物种群!$B:$B)),MATCH($B11,生物种群!$D$2:INDEX(生物种群!$D:$D,COUNTA(生物种群!$D:$D)),),))))</f>
        <v>Cyprinidae sp.</v>
      </c>
      <c r="J11" s="37" t="str">
        <f>IF(A11&amp;B11&amp;C11="","",INDEX(生物种群!$J$2:INDEX(生物种群!$J:$J,COUNTA(生物种群!$J:$J)),MATCH($I11,生物种群!$B$2:INDEX(生物种群!$B:$B,COUNTA(生物种群!$B:$B)),),))</f>
        <v/>
      </c>
      <c r="K11" s="71" t="str">
        <f>IF(A11&amp;B11&amp;C11="","",INDEX(生物种群!$E$2:INDEX(生物种群!$E:$E,COUNTA(生物种群!$E:$E)),MATCH($I11,生物种群!$B$2:INDEX(生物种群!$B:$B,COUNTA(生物种群!$B:$B)),),))</f>
        <v>鲤科</v>
      </c>
      <c r="L11" s="37" t="str">
        <f>IF(A11&amp;B11&amp;C11="","",INDEX(生物种群!$F$3:INDEX(生物种群!$F:$F,COUNTA(生物种群!$F:$F)),MATCH($I11,生物种群!$B$3:INDEX(生物种群!$B:$B,COUNTA(生物种群!$B:$B)),),))</f>
        <v>鲤形目</v>
      </c>
      <c r="M11" s="37" t="str">
        <f t="shared" si="1"/>
        <v>A2N44ZQ069Cyprinidae sp.仔鱼</v>
      </c>
      <c r="N11" s="37" t="str">
        <f t="shared" si="0"/>
        <v/>
      </c>
      <c r="O11" s="9"/>
      <c r="P11" s="10"/>
    </row>
    <row r="12" spans="1:16" ht="20.1" customHeight="1">
      <c r="A12" s="9" t="s">
        <v>14444</v>
      </c>
      <c r="B12" s="42"/>
      <c r="C12" s="9"/>
      <c r="D12" s="43">
        <v>48</v>
      </c>
      <c r="E12" s="9" t="s">
        <v>14443</v>
      </c>
      <c r="F12" s="9" t="s">
        <v>14353</v>
      </c>
      <c r="G12" s="47" t="str">
        <f>IF(F12="","",INDEX(站位样品信息!$B$3:INDEX(站位样品信息!$B:$B,COUNTA(站位样品信息!$B:$B)+1),MATCH($F12,站位样品信息!$A$3:INDEX(站位样品信息!$A:$A,COUNTA(站位样品信息!$A:$A)+1),),))</f>
        <v>B0723</v>
      </c>
      <c r="H12" s="71" t="str">
        <f>IF(A12&amp;B12&amp;C12="","",INDEX(生物种群!$A$2:INDEX(生物种群!$A:$A,COUNTA(生物种群!$A:$A)),MATCH($I12,生物种群!$B$2:INDEX(生物种群!$B:$B,COUNTA(生物种群!$B:$B)),),))</f>
        <v>棘头梅童鱼</v>
      </c>
      <c r="I12" s="71" t="str">
        <f>IF(A12&amp;B12&amp;C12="","",IF($C12&lt;&gt;0,INDEX(生物种群!$B$2:INDEX(生物种群!$B:$B,COUNTA(生物种群!$B:$B)),MATCH($C12,生物种群!$G$2:INDEX(生物种群!$G:$G,COUNTA(生物种群!$G:$G)),),),IF($A12&lt;&gt;0,INDEX(生物种群!$B$2:INDEX(生物种群!$B:$B,COUNTA(生物种群!$B:$B)),MATCH($A12,生物种群!$C$2:INDEX(生物种群!$C:$C,COUNTA(生物种群!$C:$C)),),),INDEX(生物种群!$B$2:INDEX(生物种群!$B:$B,COUNTA(生物种群!$B:$B)),MATCH($B12,生物种群!$D$2:INDEX(生物种群!$D:$D,COUNTA(生物种群!$D:$D)),),))))</f>
        <v>Collichthys lucidus</v>
      </c>
      <c r="J12" s="37" t="str">
        <f>IF(A12&amp;B12&amp;C12="","",INDEX(生物种群!$J$2:INDEX(生物种群!$J:$J,COUNTA(生物种群!$J:$J)),MATCH($I12,生物种群!$B$2:INDEX(生物种群!$B:$B,COUNTA(生物种群!$B:$B)),),))</f>
        <v>(Richardson)</v>
      </c>
      <c r="K12" s="71" t="str">
        <f>IF(A12&amp;B12&amp;C12="","",INDEX(生物种群!$E$2:INDEX(生物种群!$E:$E,COUNTA(生物种群!$E:$E)),MATCH($I12,生物种群!$B$2:INDEX(生物种群!$B:$B,COUNTA(生物种群!$B:$B)),),))</f>
        <v>石首鱼科</v>
      </c>
      <c r="L12" s="37" t="str">
        <f>IF(A12&amp;B12&amp;C12="","",INDEX(生物种群!$F$3:INDEX(生物种群!$F:$F,COUNTA(生物种群!$F:$F)),MATCH($I12,生物种群!$B$3:INDEX(生物种群!$B:$B,COUNTA(生物种群!$B:$B)),),))</f>
        <v>鲈形目</v>
      </c>
      <c r="M12" s="37" t="str">
        <f t="shared" si="1"/>
        <v>A2N44ZQ069Collichthys lucidus鱼卵</v>
      </c>
      <c r="N12" s="37" t="str">
        <f t="shared" si="0"/>
        <v/>
      </c>
      <c r="O12" s="9"/>
      <c r="P12" s="10"/>
    </row>
    <row r="13" spans="1:16" ht="20.1" customHeight="1">
      <c r="A13" s="9" t="s">
        <v>14439</v>
      </c>
      <c r="B13" s="42"/>
      <c r="C13" s="9"/>
      <c r="D13" s="43">
        <v>510</v>
      </c>
      <c r="E13" s="9" t="s">
        <v>14435</v>
      </c>
      <c r="F13" s="9" t="s">
        <v>14356</v>
      </c>
      <c r="G13" s="47" t="str">
        <f>IF(F13="","",INDEX(站位样品信息!$B$3:INDEX(站位样品信息!$B:$B,COUNTA(站位样品信息!$B:$B)+1),MATCH($F13,站位样品信息!$A$3:INDEX(站位样品信息!$A:$A,COUNTA(站位样品信息!$A:$A)+1),),))</f>
        <v>B1308</v>
      </c>
      <c r="H13" s="71" t="str">
        <f>IF(A13&amp;B13&amp;C13="","",INDEX(生物种群!$A$2:INDEX(生物种群!$A:$A,COUNTA(生物种群!$A:$A)),MATCH($I13,生物种群!$B$2:INDEX(生物种群!$B:$B,COUNTA(生物种群!$B:$B)),),))</f>
        <v>小沙丁鱼属</v>
      </c>
      <c r="I13" s="71" t="str">
        <f>IF(A13&amp;B13&amp;C13="","",IF($C13&lt;&gt;0,INDEX(生物种群!$B$2:INDEX(生物种群!$B:$B,COUNTA(生物种群!$B:$B)),MATCH($C13,生物种群!$G$2:INDEX(生物种群!$G:$G,COUNTA(生物种群!$G:$G)),),),IF($A13&lt;&gt;0,INDEX(生物种群!$B$2:INDEX(生物种群!$B:$B,COUNTA(生物种群!$B:$B)),MATCH($A13,生物种群!$C$2:INDEX(生物种群!$C:$C,COUNTA(生物种群!$C:$C)),),),INDEX(生物种群!$B$2:INDEX(生物种群!$B:$B,COUNTA(生物种群!$B:$B)),MATCH($B13,生物种群!$D$2:INDEX(生物种群!$D:$D,COUNTA(生物种群!$D:$D)),),))))</f>
        <v>Sardinella sp.</v>
      </c>
      <c r="J13" s="37" t="str">
        <f>IF(A13&amp;B13&amp;C13="","",INDEX(生物种群!$J$2:INDEX(生物种群!$J:$J,COUNTA(生物种群!$J:$J)),MATCH($I13,生物种群!$B$2:INDEX(生物种群!$B:$B,COUNTA(生物种群!$B:$B)),),))</f>
        <v>et Valenciennes</v>
      </c>
      <c r="K13" s="71" t="str">
        <f>IF(A13&amp;B13&amp;C13="","",INDEX(生物种群!$E$2:INDEX(生物种群!$E:$E,COUNTA(生物种群!$E:$E)),MATCH($I13,生物种群!$B$2:INDEX(生物种群!$B:$B,COUNTA(生物种群!$B:$B)),),))</f>
        <v>鲱科</v>
      </c>
      <c r="L13" s="37" t="str">
        <f>IF(A13&amp;B13&amp;C13="","",INDEX(生物种群!$F$3:INDEX(生物种群!$F:$F,COUNTA(生物种群!$F:$F)),MATCH($I13,生物种群!$B$3:INDEX(生物种群!$B:$B,COUNTA(生物种群!$B:$B)),),))</f>
        <v>鲱形目</v>
      </c>
      <c r="M13" s="37" t="str">
        <f t="shared" si="1"/>
        <v>A2N44ZQ091Sardinella sp.仔鱼</v>
      </c>
      <c r="N13" s="37" t="str">
        <f t="shared" si="0"/>
        <v/>
      </c>
      <c r="O13" s="9"/>
      <c r="P13" s="10"/>
    </row>
    <row r="14" spans="1:16" ht="20.1" customHeight="1">
      <c r="A14" s="9" t="s">
        <v>14444</v>
      </c>
      <c r="B14" s="42"/>
      <c r="C14" s="9"/>
      <c r="D14" s="43">
        <v>10</v>
      </c>
      <c r="E14" s="9" t="s">
        <v>14443</v>
      </c>
      <c r="F14" s="9" t="s">
        <v>14356</v>
      </c>
      <c r="G14" s="47" t="str">
        <f>IF(F14="","",INDEX(站位样品信息!$B$3:INDEX(站位样品信息!$B:$B,COUNTA(站位样品信息!$B:$B)+1),MATCH($F14,站位样品信息!$A$3:INDEX(站位样品信息!$A:$A,COUNTA(站位样品信息!$A:$A)+1),),))</f>
        <v>B1308</v>
      </c>
      <c r="H14" s="71" t="str">
        <f>IF(A14&amp;B14&amp;C14="","",INDEX(生物种群!$A$2:INDEX(生物种群!$A:$A,COUNTA(生物种群!$A:$A)),MATCH($I14,生物种群!$B$2:INDEX(生物种群!$B:$B,COUNTA(生物种群!$B:$B)),),))</f>
        <v>棘头梅童鱼</v>
      </c>
      <c r="I14" s="71" t="str">
        <f>IF(A14&amp;B14&amp;C14="","",IF($C14&lt;&gt;0,INDEX(生物种群!$B$2:INDEX(生物种群!$B:$B,COUNTA(生物种群!$B:$B)),MATCH($C14,生物种群!$G$2:INDEX(生物种群!$G:$G,COUNTA(生物种群!$G:$G)),),),IF($A14&lt;&gt;0,INDEX(生物种群!$B$2:INDEX(生物种群!$B:$B,COUNTA(生物种群!$B:$B)),MATCH($A14,生物种群!$C$2:INDEX(生物种群!$C:$C,COUNTA(生物种群!$C:$C)),),),INDEX(生物种群!$B$2:INDEX(生物种群!$B:$B,COUNTA(生物种群!$B:$B)),MATCH($B14,生物种群!$D$2:INDEX(生物种群!$D:$D,COUNTA(生物种群!$D:$D)),),))))</f>
        <v>Collichthys lucidus</v>
      </c>
      <c r="J14" s="37" t="str">
        <f>IF(A14&amp;B14&amp;C14="","",INDEX(生物种群!$J$2:INDEX(生物种群!$J:$J,COUNTA(生物种群!$J:$J)),MATCH($I14,生物种群!$B$2:INDEX(生物种群!$B:$B,COUNTA(生物种群!$B:$B)),),))</f>
        <v>(Richardson)</v>
      </c>
      <c r="K14" s="71" t="str">
        <f>IF(A14&amp;B14&amp;C14="","",INDEX(生物种群!$E$2:INDEX(生物种群!$E:$E,COUNTA(生物种群!$E:$E)),MATCH($I14,生物种群!$B$2:INDEX(生物种群!$B:$B,COUNTA(生物种群!$B:$B)),),))</f>
        <v>石首鱼科</v>
      </c>
      <c r="L14" s="37" t="str">
        <f>IF(A14&amp;B14&amp;C14="","",INDEX(生物种群!$F$3:INDEX(生物种群!$F:$F,COUNTA(生物种群!$F:$F)),MATCH($I14,生物种群!$B$3:INDEX(生物种群!$B:$B,COUNTA(生物种群!$B:$B)),),))</f>
        <v>鲈形目</v>
      </c>
      <c r="M14" s="37" t="str">
        <f t="shared" si="1"/>
        <v>A2N44ZQ091Collichthys lucidus鱼卵</v>
      </c>
      <c r="N14" s="37" t="str">
        <f t="shared" si="0"/>
        <v/>
      </c>
      <c r="O14" s="9"/>
      <c r="P14" s="10"/>
    </row>
    <row r="15" spans="1:16" ht="20.1" customHeight="1">
      <c r="A15" s="36" t="s">
        <v>709</v>
      </c>
      <c r="B15" s="42"/>
      <c r="C15" s="35">
        <v>350401</v>
      </c>
      <c r="D15" s="43">
        <v>3</v>
      </c>
      <c r="E15" s="9" t="s">
        <v>14435</v>
      </c>
      <c r="F15" s="9" t="s">
        <v>14359</v>
      </c>
      <c r="G15" s="47" t="str">
        <f>IF(F15="","",INDEX(站位样品信息!$B$3:INDEX(站位样品信息!$B:$B,COUNTA(站位样品信息!$B:$B)+1),MATCH($F15,站位样品信息!$A$3:INDEX(站位样品信息!$A:$A,COUNTA(站位样品信息!$A:$A)+1),),))</f>
        <v>B1314</v>
      </c>
      <c r="H15" s="71" t="str">
        <f>IF(A15&amp;B15&amp;C15="","",INDEX(生物种群!$A$2:INDEX(生物种群!$A:$A,COUNTA(生物种群!$A:$A)),MATCH($I15,生物种群!$B$2:INDEX(生物种群!$B:$B,COUNTA(生物种群!$B:$B)),),))</f>
        <v>眶棘双边鱼</v>
      </c>
      <c r="I15" s="71" t="str">
        <f>IF(A15&amp;B15&amp;C15="","",IF($C15&lt;&gt;0,INDEX(生物种群!$B$2:INDEX(生物种群!$B:$B,COUNTA(生物种群!$B:$B)),MATCH($C15,生物种群!$G$2:INDEX(生物种群!$G:$G,COUNTA(生物种群!$G:$G)),),),IF($A15&lt;&gt;0,INDEX(生物种群!$B$2:INDEX(生物种群!$B:$B,COUNTA(生物种群!$B:$B)),MATCH($A15,生物种群!$C$2:INDEX(生物种群!$C:$C,COUNTA(生物种群!$C:$C)),),),INDEX(生物种群!$B$2:INDEX(生物种群!$B:$B,COUNTA(生物种群!$B:$B)),MATCH($B15,生物种群!$D$2:INDEX(生物种群!$D:$D,COUNTA(生物种群!$D:$D)),),))))</f>
        <v>Ambassis gymnocephalus</v>
      </c>
      <c r="J15" s="37" t="str">
        <f>IF(A15&amp;B15&amp;C15="","",INDEX(生物种群!$J$2:INDEX(生物种群!$J:$J,COUNTA(生物种群!$J:$J)),MATCH($I15,生物种群!$B$2:INDEX(生物种群!$B:$B,COUNTA(生物种群!$B:$B)),),))</f>
        <v>Lacepede</v>
      </c>
      <c r="K15" s="71" t="str">
        <f>IF(A15&amp;B15&amp;C15="","",INDEX(生物种群!$E$2:INDEX(生物种群!$E:$E,COUNTA(生物种群!$E:$E)),MATCH($I15,生物种群!$B$2:INDEX(生物种群!$B:$B,COUNTA(生物种群!$B:$B)),),))</f>
        <v>双边鱼科</v>
      </c>
      <c r="L15" s="37" t="str">
        <f>IF(A15&amp;B15&amp;C15="","",INDEX(生物种群!$F$3:INDEX(生物种群!$F:$F,COUNTA(生物种群!$F:$F)),MATCH($I15,生物种群!$B$3:INDEX(生物种群!$B:$B,COUNTA(生物种群!$B:$B)),),))</f>
        <v>鲈形目</v>
      </c>
      <c r="M15" s="37" t="str">
        <f t="shared" si="1"/>
        <v>A2N44ZQ070Ambassis gymnocephalus仔鱼</v>
      </c>
      <c r="N15" s="37" t="str">
        <f t="shared" si="0"/>
        <v/>
      </c>
      <c r="O15" s="9"/>
      <c r="P15" s="10"/>
    </row>
    <row r="16" spans="1:16" ht="20.1" customHeight="1">
      <c r="A16" s="9" t="s">
        <v>14445</v>
      </c>
      <c r="B16" s="42"/>
      <c r="C16" s="9"/>
      <c r="D16" s="43">
        <v>2</v>
      </c>
      <c r="E16" s="9" t="s">
        <v>14435</v>
      </c>
      <c r="F16" s="9" t="s">
        <v>14359</v>
      </c>
      <c r="G16" s="47" t="str">
        <f>IF(F16="","",INDEX(站位样品信息!$B$3:INDEX(站位样品信息!$B:$B,COUNTA(站位样品信息!$B:$B)+1),MATCH($F16,站位样品信息!$A$3:INDEX(站位样品信息!$A:$A,COUNTA(站位样品信息!$A:$A)+1),),))</f>
        <v>B1314</v>
      </c>
      <c r="H16" s="71" t="str">
        <f>IF(A16&amp;B16&amp;C16="","",INDEX(生物种群!$A$2:INDEX(生物种群!$A:$A,COUNTA(生物种群!$A:$A)),MATCH($I16,生物种群!$B$2:INDEX(生物种群!$B:$B,COUNTA(生物种群!$B:$B)),),))</f>
        <v>多鳞鱚</v>
      </c>
      <c r="I16" s="71" t="str">
        <f>IF(A16&amp;B16&amp;C16="","",IF($C16&lt;&gt;0,INDEX(生物种群!$B$2:INDEX(生物种群!$B:$B,COUNTA(生物种群!$B:$B)),MATCH($C16,生物种群!$G$2:INDEX(生物种群!$G:$G,COUNTA(生物种群!$G:$G)),),),IF($A16&lt;&gt;0,INDEX(生物种群!$B$2:INDEX(生物种群!$B:$B,COUNTA(生物种群!$B:$B)),MATCH($A16,生物种群!$C$2:INDEX(生物种群!$C:$C,COUNTA(生物种群!$C:$C)),),),INDEX(生物种群!$B$2:INDEX(生物种群!$B:$B,COUNTA(生物种群!$B:$B)),MATCH($B16,生物种群!$D$2:INDEX(生物种群!$D:$D,COUNTA(生物种群!$D:$D)),),))))</f>
        <v>Sillago sihama</v>
      </c>
      <c r="J16" s="37" t="str">
        <f>IF(A16&amp;B16&amp;C16="","",INDEX(生物种群!$J$2:INDEX(生物种群!$J:$J,COUNTA(生物种群!$J:$J)),MATCH($I16,生物种群!$B$2:INDEX(生物种群!$B:$B,COUNTA(生物种群!$B:$B)),),))</f>
        <v>(Forskal)</v>
      </c>
      <c r="K16" s="71" t="str">
        <f>IF(A16&amp;B16&amp;C16="","",INDEX(生物种群!$E$2:INDEX(生物种群!$E:$E,COUNTA(生物种群!$E:$E)),MATCH($I16,生物种群!$B$2:INDEX(生物种群!$B:$B,COUNTA(生物种群!$B:$B)),),))</f>
        <v>鱚科</v>
      </c>
      <c r="L16" s="37" t="str">
        <f>IF(A16&amp;B16&amp;C16="","",INDEX(生物种群!$F$3:INDEX(生物种群!$F:$F,COUNTA(生物种群!$F:$F)),MATCH($I16,生物种群!$B$3:INDEX(生物种群!$B:$B,COUNTA(生物种群!$B:$B)),),))</f>
        <v>鲈形目</v>
      </c>
      <c r="M16" s="37" t="str">
        <f t="shared" si="1"/>
        <v>A2N44ZQ070Sillago sihama仔鱼</v>
      </c>
      <c r="N16" s="37" t="str">
        <f t="shared" si="0"/>
        <v/>
      </c>
      <c r="O16" s="9"/>
      <c r="P16" s="10"/>
    </row>
    <row r="17" spans="1:16" ht="20.1" customHeight="1">
      <c r="A17" s="9" t="s">
        <v>14446</v>
      </c>
      <c r="B17" s="42"/>
      <c r="C17" s="9"/>
      <c r="D17" s="43">
        <v>342</v>
      </c>
      <c r="E17" s="9" t="s">
        <v>14435</v>
      </c>
      <c r="F17" s="9" t="s">
        <v>14359</v>
      </c>
      <c r="G17" s="47" t="str">
        <f>IF(F17="","",INDEX(站位样品信息!$B$3:INDEX(站位样品信息!$B:$B,COUNTA(站位样品信息!$B:$B)+1),MATCH($F17,站位样品信息!$A$3:INDEX(站位样品信息!$A:$A,COUNTA(站位样品信息!$A:$A)+1),),))</f>
        <v>B1314</v>
      </c>
      <c r="H17" s="71" t="str">
        <f>IF(A17&amp;B17&amp;C17="","",INDEX(生物种群!$A$2:INDEX(生物种群!$A:$A,COUNTA(生物种群!$A:$A)),MATCH($I17,生物种群!$B$2:INDEX(生物种群!$B:$B,COUNTA(生物种群!$B:$B)),),))</f>
        <v>小沙丁鱼属</v>
      </c>
      <c r="I17" s="71" t="str">
        <f>IF(A17&amp;B17&amp;C17="","",IF($C17&lt;&gt;0,INDEX(生物种群!$B$2:INDEX(生物种群!$B:$B,COUNTA(生物种群!$B:$B)),MATCH($C17,生物种群!$G$2:INDEX(生物种群!$G:$G,COUNTA(生物种群!$G:$G)),),),IF($A17&lt;&gt;0,INDEX(生物种群!$B$2:INDEX(生物种群!$B:$B,COUNTA(生物种群!$B:$B)),MATCH($A17,生物种群!$C$2:INDEX(生物种群!$C:$C,COUNTA(生物种群!$C:$C)),),),INDEX(生物种群!$B$2:INDEX(生物种群!$B:$B,COUNTA(生物种群!$B:$B)),MATCH($B17,生物种群!$D$2:INDEX(生物种群!$D:$D,COUNTA(生物种群!$D:$D)),),))))</f>
        <v>Sardinella sp.</v>
      </c>
      <c r="J17" s="37" t="str">
        <f>IF(A17&amp;B17&amp;C17="","",INDEX(生物种群!$J$2:INDEX(生物种群!$J:$J,COUNTA(生物种群!$J:$J)),MATCH($I17,生物种群!$B$2:INDEX(生物种群!$B:$B,COUNTA(生物种群!$B:$B)),),))</f>
        <v>et Valenciennes</v>
      </c>
      <c r="K17" s="71" t="str">
        <f>IF(A17&amp;B17&amp;C17="","",INDEX(生物种群!$E$2:INDEX(生物种群!$E:$E,COUNTA(生物种群!$E:$E)),MATCH($I17,生物种群!$B$2:INDEX(生物种群!$B:$B,COUNTA(生物种群!$B:$B)),),))</f>
        <v>鲱科</v>
      </c>
      <c r="L17" s="37" t="str">
        <f>IF(A17&amp;B17&amp;C17="","",INDEX(生物种群!$F$3:INDEX(生物种群!$F:$F,COUNTA(生物种群!$F:$F)),MATCH($I17,生物种群!$B$3:INDEX(生物种群!$B:$B,COUNTA(生物种群!$B:$B)),),))</f>
        <v>鲱形目</v>
      </c>
      <c r="M17" s="37" t="str">
        <f t="shared" si="1"/>
        <v>A2N44ZQ070Sardinella sp.仔鱼</v>
      </c>
      <c r="N17" s="37" t="str">
        <f t="shared" si="0"/>
        <v/>
      </c>
      <c r="O17" s="9"/>
      <c r="P17" s="10"/>
    </row>
    <row r="18" spans="1:16" ht="20.1" customHeight="1">
      <c r="A18" s="9" t="s">
        <v>14447</v>
      </c>
      <c r="B18" s="42"/>
      <c r="C18" s="9"/>
      <c r="D18" s="43">
        <v>6</v>
      </c>
      <c r="E18" s="9" t="s">
        <v>14435</v>
      </c>
      <c r="F18" s="9" t="s">
        <v>14359</v>
      </c>
      <c r="G18" s="47" t="str">
        <f>IF(F18="","",INDEX(站位样品信息!$B$3:INDEX(站位样品信息!$B:$B,COUNTA(站位样品信息!$B:$B)+1),MATCH($F18,站位样品信息!$A$3:INDEX(站位样品信息!$A:$A,COUNTA(站位样品信息!$A:$A)+1),),))</f>
        <v>B1314</v>
      </c>
      <c r="H18" s="71" t="str">
        <f>IF(A18&amp;B18&amp;C18="","",INDEX(生物种群!$A$2:INDEX(生物种群!$A:$A,COUNTA(生物种群!$A:$A)),MATCH($I18,生物种群!$B$2:INDEX(生物种群!$B:$B,COUNTA(生物种群!$B:$B)),),))</f>
        <v>小公鱼属</v>
      </c>
      <c r="I18" s="71" t="str">
        <f>IF(A18&amp;B18&amp;C18="","",IF($C18&lt;&gt;0,INDEX(生物种群!$B$2:INDEX(生物种群!$B:$B,COUNTA(生物种群!$B:$B)),MATCH($C18,生物种群!$G$2:INDEX(生物种群!$G:$G,COUNTA(生物种群!$G:$G)),),),IF($A18&lt;&gt;0,INDEX(生物种群!$B$2:INDEX(生物种群!$B:$B,COUNTA(生物种群!$B:$B)),MATCH($A18,生物种群!$C$2:INDEX(生物种群!$C:$C,COUNTA(生物种群!$C:$C)),),),INDEX(生物种群!$B$2:INDEX(生物种群!$B:$B,COUNTA(生物种群!$B:$B)),MATCH($B18,生物种群!$D$2:INDEX(生物种群!$D:$D,COUNTA(生物种群!$D:$D)),),))))</f>
        <v>Stolephorus sp.</v>
      </c>
      <c r="J18" s="37" t="str">
        <f>IF(A18&amp;B18&amp;C18="","",INDEX(生物种群!$J$2:INDEX(生物种群!$J:$J,COUNTA(生物种群!$J:$J)),MATCH($I18,生物种群!$B$2:INDEX(生物种群!$B:$B,COUNTA(生物种群!$B:$B)),),))</f>
        <v/>
      </c>
      <c r="K18" s="71" t="str">
        <f>IF(A18&amp;B18&amp;C18="","",INDEX(生物种群!$E$2:INDEX(生物种群!$E:$E,COUNTA(生物种群!$E:$E)),MATCH($I18,生物种群!$B$2:INDEX(生物种群!$B:$B,COUNTA(生物种群!$B:$B)),),))</f>
        <v>鳀科</v>
      </c>
      <c r="L18" s="37" t="str">
        <f>IF(A18&amp;B18&amp;C18="","",INDEX(生物种群!$F$3:INDEX(生物种群!$F:$F,COUNTA(生物种群!$F:$F)),MATCH($I18,生物种群!$B$3:INDEX(生物种群!$B:$B,COUNTA(生物种群!$B:$B)),),))</f>
        <v>鲱形目</v>
      </c>
      <c r="M18" s="37" t="str">
        <f t="shared" si="1"/>
        <v>A2N44ZQ070Stolephorus sp.仔鱼</v>
      </c>
      <c r="N18" s="37" t="str">
        <f t="shared" si="0"/>
        <v/>
      </c>
      <c r="O18" s="9"/>
      <c r="P18" s="10"/>
    </row>
    <row r="19" spans="1:16" ht="20.1" customHeight="1">
      <c r="A19" s="36" t="s">
        <v>14442</v>
      </c>
      <c r="B19" s="42"/>
      <c r="C19" s="9"/>
      <c r="D19" s="43">
        <v>2</v>
      </c>
      <c r="E19" s="9" t="s">
        <v>14435</v>
      </c>
      <c r="F19" s="9" t="s">
        <v>14359</v>
      </c>
      <c r="G19" s="47" t="str">
        <f>IF(F19="","",INDEX(站位样品信息!$B$3:INDEX(站位样品信息!$B:$B,COUNTA(站位样品信息!$B:$B)+1),MATCH($F19,站位样品信息!$A$3:INDEX(站位样品信息!$A:$A,COUNTA(站位样品信息!$A:$A)+1),),))</f>
        <v>B1314</v>
      </c>
      <c r="H19" s="72" t="str">
        <f>IF(A19&amp;B19&amp;C19="","",INDEX(生物种群!$A$2:INDEX(生物种群!$A:$A,COUNTA(生物种群!$A:$A)),MATCH($I19,生物种群!$B$2:INDEX(生物种群!$B:$B,COUNTA(生物种群!$B:$B)),),))</f>
        <v>鱲属</v>
      </c>
      <c r="I19" s="72" t="str">
        <f>IF(A19&amp;B19&amp;C19="","",IF($C19&lt;&gt;0,INDEX(生物种群!$B$2:INDEX(生物种群!$B:$B,COUNTA(生物种群!$B:$B)),MATCH($C19,生物种群!$G$2:INDEX(生物种群!$G:$G,COUNTA(生物种群!$G:$G)),),),IF($A19&lt;&gt;0,INDEX(生物种群!$B$2:INDEX(生物种群!$B:$B,COUNTA(生物种群!$B:$B)),MATCH($A19,生物种群!$C$2:INDEX(生物种群!$C:$C,COUNTA(生物种群!$C:$C)),),),INDEX(生物种群!$B$2:INDEX(生物种群!$B:$B,COUNTA(生物种群!$B:$B)),MATCH($B19,生物种群!$D$2:INDEX(生物种群!$D:$D,COUNTA(生物种群!$D:$D)),),))))</f>
        <v>Zacco sp.</v>
      </c>
      <c r="J19" s="37">
        <f>IF(A19&amp;B19&amp;C19="","",INDEX(生物种群!$J$2:INDEX(生物种群!$J:$J,COUNTA(生物种群!$J:$J)),MATCH($I19,生物种群!$B$2:INDEX(生物种群!$B:$B,COUNTA(生物种群!$B:$B)),),))</f>
        <v>0</v>
      </c>
      <c r="K19" s="72" t="str">
        <f>IF(A19&amp;B19&amp;C19="","",INDEX(生物种群!$E$2:INDEX(生物种群!$E:$E,COUNTA(生物种群!$E:$E)),MATCH($I19,生物种群!$B$2:INDEX(生物种群!$B:$B,COUNTA(生物种群!$B:$B)),),))</f>
        <v>鲤科</v>
      </c>
      <c r="L19" s="37" t="str">
        <f>IF(A19&amp;B19&amp;C19="","",INDEX(生物种群!$F$3:INDEX(生物种群!$F:$F,COUNTA(生物种群!$F:$F)),MATCH($I19,生物种群!$B$3:INDEX(生物种群!$B:$B,COUNTA(生物种群!$B:$B)),),))</f>
        <v>鲤形目</v>
      </c>
      <c r="M19" s="37" t="str">
        <f t="shared" si="1"/>
        <v>A2N44ZQ070Zacco sp.仔鱼</v>
      </c>
      <c r="N19" s="37" t="str">
        <f t="shared" si="0"/>
        <v/>
      </c>
      <c r="O19" s="9"/>
      <c r="P19" s="10"/>
    </row>
    <row r="20" spans="1:16" ht="20.1" customHeight="1">
      <c r="A20" s="9" t="s">
        <v>14448</v>
      </c>
      <c r="B20" s="42"/>
      <c r="C20" s="9"/>
      <c r="D20" s="43">
        <v>1</v>
      </c>
      <c r="E20" s="9" t="s">
        <v>14435</v>
      </c>
      <c r="F20" s="9" t="s">
        <v>14359</v>
      </c>
      <c r="G20" s="47" t="str">
        <f>IF(F20="","",INDEX(站位样品信息!$B$3:INDEX(站位样品信息!$B:$B,COUNTA(站位样品信息!$B:$B)+1),MATCH($F20,站位样品信息!$A$3:INDEX(站位样品信息!$A:$A,COUNTA(站位样品信息!$A:$A)+1),),))</f>
        <v>B1314</v>
      </c>
      <c r="H20" s="71" t="str">
        <f>IF(A20&amp;B20&amp;C20="","",INDEX(生物种群!$A$2:INDEX(生物种群!$A:$A,COUNTA(生物种群!$A:$A)),MATCH($I20,生物种群!$B$2:INDEX(生物种群!$B:$B,COUNTA(生物种群!$B:$B)),),))</f>
        <v>鲷科</v>
      </c>
      <c r="I20" s="71" t="str">
        <f>IF(A20&amp;B20&amp;C20="","",IF($C20&lt;&gt;0,INDEX(生物种群!$B$2:INDEX(生物种群!$B:$B,COUNTA(生物种群!$B:$B)),MATCH($C20,生物种群!$G$2:INDEX(生物种群!$G:$G,COUNTA(生物种群!$G:$G)),),),IF($A20&lt;&gt;0,INDEX(生物种群!$B$2:INDEX(生物种群!$B:$B,COUNTA(生物种群!$B:$B)),MATCH($A20,生物种群!$C$2:INDEX(生物种群!$C:$C,COUNTA(生物种群!$C:$C)),),),INDEX(生物种群!$B$2:INDEX(生物种群!$B:$B,COUNTA(生物种群!$B:$B)),MATCH($B20,生物种群!$D$2:INDEX(生物种群!$D:$D,COUNTA(生物种群!$D:$D)),),))))</f>
        <v>Sparidae sp.</v>
      </c>
      <c r="J20" s="37" t="str">
        <f>IF(A20&amp;B20&amp;C20="","",INDEX(生物种群!$J$2:INDEX(生物种群!$J:$J,COUNTA(生物种群!$J:$J)),MATCH($I20,生物种群!$B$2:INDEX(生物种群!$B:$B,COUNTA(生物种群!$B:$B)),),))</f>
        <v/>
      </c>
      <c r="K20" s="71" t="str">
        <f>IF(A20&amp;B20&amp;C20="","",INDEX(生物种群!$E$2:INDEX(生物种群!$E:$E,COUNTA(生物种群!$E:$E)),MATCH($I20,生物种群!$B$2:INDEX(生物种群!$B:$B,COUNTA(生物种群!$B:$B)),),))</f>
        <v>鲷科</v>
      </c>
      <c r="L20" s="37" t="str">
        <f>IF(A20&amp;B20&amp;C20="","",INDEX(生物种群!$F$3:INDEX(生物种群!$F:$F,COUNTA(生物种群!$F:$F)),MATCH($I20,生物种群!$B$3:INDEX(生物种群!$B:$B,COUNTA(生物种群!$B:$B)),),))</f>
        <v>鲈形目</v>
      </c>
      <c r="M20" s="37" t="str">
        <f t="shared" si="1"/>
        <v>A2N44ZQ070Sparidae sp.仔鱼</v>
      </c>
      <c r="N20" s="37" t="str">
        <f t="shared" si="0"/>
        <v/>
      </c>
      <c r="O20" s="9"/>
      <c r="P20" s="10"/>
    </row>
    <row r="21" spans="1:16" ht="20.1" customHeight="1">
      <c r="A21" s="9" t="s">
        <v>14449</v>
      </c>
      <c r="B21" s="42"/>
      <c r="C21" s="9"/>
      <c r="D21" s="43">
        <v>1</v>
      </c>
      <c r="E21" s="9" t="s">
        <v>14435</v>
      </c>
      <c r="F21" s="9" t="s">
        <v>14359</v>
      </c>
      <c r="G21" s="47" t="str">
        <f>IF(F21="","",INDEX(站位样品信息!$B$3:INDEX(站位样品信息!$B:$B,COUNTA(站位样品信息!$B:$B)+1),MATCH($F21,站位样品信息!$A$3:INDEX(站位样品信息!$A:$A,COUNTA(站位样品信息!$A:$A)+1),),))</f>
        <v>B1314</v>
      </c>
      <c r="H21" s="71" t="str">
        <f>IF(A21&amp;B21&amp;C21="","",INDEX(生物种群!$A$2:INDEX(生物种群!$A:$A,COUNTA(生物种群!$A:$A)),MATCH($I21,生物种群!$B$2:INDEX(生物种群!$B:$B,COUNTA(生物种群!$B:$B)),),))</f>
        <v>鮻属</v>
      </c>
      <c r="I21" s="71" t="str">
        <f>IF(A21&amp;B21&amp;C21="","",IF($C21&lt;&gt;0,INDEX(生物种群!$B$2:INDEX(生物种群!$B:$B,COUNTA(生物种群!$B:$B)),MATCH($C21,生物种群!$G$2:INDEX(生物种群!$G:$G,COUNTA(生物种群!$G:$G)),),),IF($A21&lt;&gt;0,INDEX(生物种群!$B$2:INDEX(生物种群!$B:$B,COUNTA(生物种群!$B:$B)),MATCH($A21,生物种群!$C$2:INDEX(生物种群!$C:$C,COUNTA(生物种群!$C:$C)),),),INDEX(生物种群!$B$2:INDEX(生物种群!$B:$B,COUNTA(生物种群!$B:$B)),MATCH($B21,生物种群!$D$2:INDEX(生物种群!$D:$D,COUNTA(生物种群!$D:$D)),),))))</f>
        <v>Liza sp.</v>
      </c>
      <c r="J21" s="37" t="str">
        <f>IF(A21&amp;B21&amp;C21="","",INDEX(生物种群!$J$2:INDEX(生物种群!$J:$J,COUNTA(生物种群!$J:$J)),MATCH($I21,生物种群!$B$2:INDEX(生物种群!$B:$B,COUNTA(生物种群!$B:$B)),),))</f>
        <v/>
      </c>
      <c r="K21" s="71" t="str">
        <f>IF(A21&amp;B21&amp;C21="","",INDEX(生物种群!$E$2:INDEX(生物种群!$E:$E,COUNTA(生物种群!$E:$E)),MATCH($I21,生物种群!$B$2:INDEX(生物种群!$B:$B,COUNTA(生物种群!$B:$B)),),))</f>
        <v>鲻科</v>
      </c>
      <c r="L21" s="37" t="str">
        <f>IF(A21&amp;B21&amp;C21="","",INDEX(生物种群!$F$3:INDEX(生物种群!$F:$F,COUNTA(生物种群!$F:$F)),MATCH($I21,生物种群!$B$3:INDEX(生物种群!$B:$B,COUNTA(生物种群!$B:$B)),),))</f>
        <v>鲻形目</v>
      </c>
      <c r="M21" s="37" t="str">
        <f t="shared" si="1"/>
        <v>A2N44ZQ070Liza sp.仔鱼</v>
      </c>
      <c r="N21" s="37" t="str">
        <f t="shared" si="0"/>
        <v/>
      </c>
      <c r="O21" s="9"/>
      <c r="P21" s="10"/>
    </row>
    <row r="22" spans="1:16" ht="20.1" customHeight="1">
      <c r="A22" s="36" t="s">
        <v>1677</v>
      </c>
      <c r="B22" s="42"/>
      <c r="C22" s="35">
        <v>358000</v>
      </c>
      <c r="D22" s="43">
        <v>4</v>
      </c>
      <c r="E22" s="9" t="s">
        <v>14435</v>
      </c>
      <c r="F22" s="9" t="s">
        <v>14359</v>
      </c>
      <c r="G22" s="47" t="str">
        <f>IF(F22="","",INDEX(站位样品信息!$B$3:INDEX(站位样品信息!$B:$B,COUNTA(站位样品信息!$B:$B)+1),MATCH($F22,站位样品信息!$A$3:INDEX(站位样品信息!$A:$A,COUNTA(站位样品信息!$A:$A)+1),),))</f>
        <v>B1314</v>
      </c>
      <c r="H22" s="71" t="str">
        <f>IF(A22&amp;B22&amp;C22="","",INDEX(生物种群!$A$2:INDEX(生物种群!$A:$A,COUNTA(生物种群!$A:$A)),MATCH($I22,生物种群!$B$2:INDEX(生物种群!$B:$B,COUNTA(生物种群!$B:$B)),),))</f>
        <v>塘鳢科</v>
      </c>
      <c r="I22" s="71" t="str">
        <f>IF(A22&amp;B22&amp;C22="","",IF($C22&lt;&gt;0,INDEX(生物种群!$B$2:INDEX(生物种群!$B:$B,COUNTA(生物种群!$B:$B)),MATCH($C22,生物种群!$G$2:INDEX(生物种群!$G:$G,COUNTA(生物种群!$G:$G)),),),IF($A22&lt;&gt;0,INDEX(生物种群!$B$2:INDEX(生物种群!$B:$B,COUNTA(生物种群!$B:$B)),MATCH($A22,生物种群!$C$2:INDEX(生物种群!$C:$C,COUNTA(生物种群!$C:$C)),),),INDEX(生物种群!$B$2:INDEX(生物种群!$B:$B,COUNTA(生物种群!$B:$B)),MATCH($B22,生物种群!$D$2:INDEX(生物种群!$D:$D,COUNTA(生物种群!$D:$D)),),))))</f>
        <v>Eleotridae sp.</v>
      </c>
      <c r="J22" s="37" t="str">
        <f>IF(A22&amp;B22&amp;C22="","",INDEX(生物种群!$J$2:INDEX(生物种群!$J:$J,COUNTA(生物种群!$J:$J)),MATCH($I22,生物种群!$B$2:INDEX(生物种群!$B:$B,COUNTA(生物种群!$B:$B)),),))</f>
        <v/>
      </c>
      <c r="K22" s="71" t="str">
        <f>IF(A22&amp;B22&amp;C22="","",INDEX(生物种群!$E$2:INDEX(生物种群!$E:$E,COUNTA(生物种群!$E:$E)),MATCH($I22,生物种群!$B$2:INDEX(生物种群!$B:$B,COUNTA(生物种群!$B:$B)),),))</f>
        <v>塘鳢科</v>
      </c>
      <c r="L22" s="37" t="str">
        <f>IF(A22&amp;B22&amp;C22="","",INDEX(生物种群!$F$3:INDEX(生物种群!$F:$F,COUNTA(生物种群!$F:$F)),MATCH($I22,生物种群!$B$3:INDEX(生物种群!$B:$B,COUNTA(生物种群!$B:$B)),),))</f>
        <v>鲈形目</v>
      </c>
      <c r="M22" s="37" t="str">
        <f t="shared" si="1"/>
        <v>A2N44ZQ070Eleotridae sp.仔鱼</v>
      </c>
      <c r="N22" s="37" t="str">
        <f t="shared" si="0"/>
        <v/>
      </c>
      <c r="O22" s="9"/>
      <c r="P22" s="10"/>
    </row>
    <row r="23" spans="1:16" ht="20.1" customHeight="1">
      <c r="A23" s="9" t="s">
        <v>14450</v>
      </c>
      <c r="B23" s="42"/>
      <c r="C23" s="9"/>
      <c r="D23" s="43">
        <v>6</v>
      </c>
      <c r="E23" s="9" t="s">
        <v>14443</v>
      </c>
      <c r="F23" s="9" t="s">
        <v>14359</v>
      </c>
      <c r="G23" s="47" t="str">
        <f>IF(F23="","",INDEX(站位样品信息!$B$3:INDEX(站位样品信息!$B:$B,COUNTA(站位样品信息!$B:$B)+1),MATCH($F23,站位样品信息!$A$3:INDEX(站位样品信息!$A:$A,COUNTA(站位样品信息!$A:$A)+1),),))</f>
        <v>B1314</v>
      </c>
      <c r="H23" s="71" t="str">
        <f>IF(A23&amp;B23&amp;C23="","",INDEX(生物种群!$A$2:INDEX(生物种群!$A:$A,COUNTA(生物种群!$A:$A)),MATCH($I23,生物种群!$B$2:INDEX(生物种群!$B:$B,COUNTA(生物种群!$B:$B)),),))</f>
        <v>棘头梅童鱼</v>
      </c>
      <c r="I23" s="71" t="str">
        <f>IF(A23&amp;B23&amp;C23="","",IF($C23&lt;&gt;0,INDEX(生物种群!$B$2:INDEX(生物种群!$B:$B,COUNTA(生物种群!$B:$B)),MATCH($C23,生物种群!$G$2:INDEX(生物种群!$G:$G,COUNTA(生物种群!$G:$G)),),),IF($A23&lt;&gt;0,INDEX(生物种群!$B$2:INDEX(生物种群!$B:$B,COUNTA(生物种群!$B:$B)),MATCH($A23,生物种群!$C$2:INDEX(生物种群!$C:$C,COUNTA(生物种群!$C:$C)),),),INDEX(生物种群!$B$2:INDEX(生物种群!$B:$B,COUNTA(生物种群!$B:$B)),MATCH($B23,生物种群!$D$2:INDEX(生物种群!$D:$D,COUNTA(生物种群!$D:$D)),),))))</f>
        <v>Collichthys lucidus</v>
      </c>
      <c r="J23" s="37" t="str">
        <f>IF(A23&amp;B23&amp;C23="","",INDEX(生物种群!$J$2:INDEX(生物种群!$J:$J,COUNTA(生物种群!$J:$J)),MATCH($I23,生物种群!$B$2:INDEX(生物种群!$B:$B,COUNTA(生物种群!$B:$B)),),))</f>
        <v>(Richardson)</v>
      </c>
      <c r="K23" s="71" t="str">
        <f>IF(A23&amp;B23&amp;C23="","",INDEX(生物种群!$E$2:INDEX(生物种群!$E:$E,COUNTA(生物种群!$E:$E)),MATCH($I23,生物种群!$B$2:INDEX(生物种群!$B:$B,COUNTA(生物种群!$B:$B)),),))</f>
        <v>石首鱼科</v>
      </c>
      <c r="L23" s="37" t="str">
        <f>IF(A23&amp;B23&amp;C23="","",INDEX(生物种群!$F$3:INDEX(生物种群!$F:$F,COUNTA(生物种群!$F:$F)),MATCH($I23,生物种群!$B$3:INDEX(生物种群!$B:$B,COUNTA(生物种群!$B:$B)),),))</f>
        <v>鲈形目</v>
      </c>
      <c r="M23" s="37" t="str">
        <f t="shared" si="1"/>
        <v>A2N44ZQ070Collichthys lucidus鱼卵</v>
      </c>
      <c r="N23" s="37" t="str">
        <f t="shared" si="0"/>
        <v/>
      </c>
      <c r="O23" s="9"/>
      <c r="P23" s="10"/>
    </row>
    <row r="24" spans="1:16" ht="20.1" customHeight="1">
      <c r="A24" s="9" t="s">
        <v>14446</v>
      </c>
      <c r="B24" s="42"/>
      <c r="C24" s="9"/>
      <c r="D24" s="43">
        <v>8</v>
      </c>
      <c r="E24" s="9" t="s">
        <v>14451</v>
      </c>
      <c r="F24" s="9" t="s">
        <v>14362</v>
      </c>
      <c r="G24" s="47" t="str">
        <f>IF(F24="","",INDEX(站位样品信息!$B$3:INDEX(站位样品信息!$B:$B,COUNTA(站位样品信息!$B:$B)+1),MATCH($F24,站位样品信息!$A$3:INDEX(站位样品信息!$A:$A,COUNTA(站位样品信息!$A:$A)+1),),))</f>
        <v>B1304</v>
      </c>
      <c r="H24" s="71" t="str">
        <f>IF(A24&amp;B24&amp;C24="","",INDEX(生物种群!$A$2:INDEX(生物种群!$A:$A,COUNTA(生物种群!$A:$A)),MATCH($I24,生物种群!$B$2:INDEX(生物种群!$B:$B,COUNTA(生物种群!$B:$B)),),))</f>
        <v>小沙丁鱼属</v>
      </c>
      <c r="I24" s="71" t="str">
        <f>IF(A24&amp;B24&amp;C24="","",IF($C24&lt;&gt;0,INDEX(生物种群!$B$2:INDEX(生物种群!$B:$B,COUNTA(生物种群!$B:$B)),MATCH($C24,生物种群!$G$2:INDEX(生物种群!$G:$G,COUNTA(生物种群!$G:$G)),),),IF($A24&lt;&gt;0,INDEX(生物种群!$B$2:INDEX(生物种群!$B:$B,COUNTA(生物种群!$B:$B)),MATCH($A24,生物种群!$C$2:INDEX(生物种群!$C:$C,COUNTA(生物种群!$C:$C)),),),INDEX(生物种群!$B$2:INDEX(生物种群!$B:$B,COUNTA(生物种群!$B:$B)),MATCH($B24,生物种群!$D$2:INDEX(生物种群!$D:$D,COUNTA(生物种群!$D:$D)),),))))</f>
        <v>Sardinella sp.</v>
      </c>
      <c r="J24" s="37" t="str">
        <f>IF(A24&amp;B24&amp;C24="","",INDEX(生物种群!$J$2:INDEX(生物种群!$J:$J,COUNTA(生物种群!$J:$J)),MATCH($I24,生物种群!$B$2:INDEX(生物种群!$B:$B,COUNTA(生物种群!$B:$B)),),))</f>
        <v>et Valenciennes</v>
      </c>
      <c r="K24" s="71" t="str">
        <f>IF(A24&amp;B24&amp;C24="","",INDEX(生物种群!$E$2:INDEX(生物种群!$E:$E,COUNTA(生物种群!$E:$E)),MATCH($I24,生物种群!$B$2:INDEX(生物种群!$B:$B,COUNTA(生物种群!$B:$B)),),))</f>
        <v>鲱科</v>
      </c>
      <c r="L24" s="37" t="str">
        <f>IF(A24&amp;B24&amp;C24="","",INDEX(生物种群!$F$3:INDEX(生物种群!$F:$F,COUNTA(生物种群!$F:$F)),MATCH($I24,生物种群!$B$3:INDEX(生物种群!$B:$B,COUNTA(生物种群!$B:$B)),),))</f>
        <v>鲱形目</v>
      </c>
      <c r="M24" s="37" t="str">
        <f t="shared" si="1"/>
        <v>A2N44ZQ071Sardinella sp.前期仔鱼</v>
      </c>
      <c r="N24" s="37" t="str">
        <f t="shared" si="0"/>
        <v/>
      </c>
      <c r="O24" s="9"/>
      <c r="P24" s="10"/>
    </row>
    <row r="25" spans="1:16" ht="20.1" customHeight="1">
      <c r="A25" s="9" t="s">
        <v>14446</v>
      </c>
      <c r="B25" s="42"/>
      <c r="C25" s="9"/>
      <c r="D25" s="43">
        <v>224</v>
      </c>
      <c r="E25" s="9" t="s">
        <v>14435</v>
      </c>
      <c r="F25" s="9" t="s">
        <v>14362</v>
      </c>
      <c r="G25" s="47" t="str">
        <f>IF(F25="","",INDEX(站位样品信息!$B$3:INDEX(站位样品信息!$B:$B,COUNTA(站位样品信息!$B:$B)+1),MATCH($F25,站位样品信息!$A$3:INDEX(站位样品信息!$A:$A,COUNTA(站位样品信息!$A:$A)+1),),))</f>
        <v>B1304</v>
      </c>
      <c r="H25" s="71" t="str">
        <f>IF(A25&amp;B25&amp;C25="","",INDEX(生物种群!$A$2:INDEX(生物种群!$A:$A,COUNTA(生物种群!$A:$A)),MATCH($I25,生物种群!$B$2:INDEX(生物种群!$B:$B,COUNTA(生物种群!$B:$B)),),))</f>
        <v>小沙丁鱼属</v>
      </c>
      <c r="I25" s="71" t="str">
        <f>IF(A25&amp;B25&amp;C25="","",IF($C25&lt;&gt;0,INDEX(生物种群!$B$2:INDEX(生物种群!$B:$B,COUNTA(生物种群!$B:$B)),MATCH($C25,生物种群!$G$2:INDEX(生物种群!$G:$G,COUNTA(生物种群!$G:$G)),),),IF($A25&lt;&gt;0,INDEX(生物种群!$B$2:INDEX(生物种群!$B:$B,COUNTA(生物种群!$B:$B)),MATCH($A25,生物种群!$C$2:INDEX(生物种群!$C:$C,COUNTA(生物种群!$C:$C)),),),INDEX(生物种群!$B$2:INDEX(生物种群!$B:$B,COUNTA(生物种群!$B:$B)),MATCH($B25,生物种群!$D$2:INDEX(生物种群!$D:$D,COUNTA(生物种群!$D:$D)),),))))</f>
        <v>Sardinella sp.</v>
      </c>
      <c r="J25" s="37" t="str">
        <f>IF(A25&amp;B25&amp;C25="","",INDEX(生物种群!$J$2:INDEX(生物种群!$J:$J,COUNTA(生物种群!$J:$J)),MATCH($I25,生物种群!$B$2:INDEX(生物种群!$B:$B,COUNTA(生物种群!$B:$B)),),))</f>
        <v>et Valenciennes</v>
      </c>
      <c r="K25" s="71" t="str">
        <f>IF(A25&amp;B25&amp;C25="","",INDEX(生物种群!$E$2:INDEX(生物种群!$E:$E,COUNTA(生物种群!$E:$E)),MATCH($I25,生物种群!$B$2:INDEX(生物种群!$B:$B,COUNTA(生物种群!$B:$B)),),))</f>
        <v>鲱科</v>
      </c>
      <c r="L25" s="37" t="str">
        <f>IF(A25&amp;B25&amp;C25="","",INDEX(生物种群!$F$3:INDEX(生物种群!$F:$F,COUNTA(生物种群!$F:$F)),MATCH($I25,生物种群!$B$3:INDEX(生物种群!$B:$B,COUNTA(生物种群!$B:$B)),),))</f>
        <v>鲱形目</v>
      </c>
      <c r="M25" s="37" t="str">
        <f t="shared" si="1"/>
        <v>A2N44ZQ071Sardinella sp.仔鱼</v>
      </c>
      <c r="N25" s="37" t="str">
        <f t="shared" si="0"/>
        <v/>
      </c>
      <c r="O25" s="9"/>
      <c r="P25" s="10"/>
    </row>
    <row r="26" spans="1:16" ht="18.75" customHeight="1">
      <c r="A26" s="9" t="s">
        <v>14452</v>
      </c>
      <c r="B26" s="42"/>
      <c r="C26" s="9"/>
      <c r="D26" s="43">
        <v>1</v>
      </c>
      <c r="E26" s="9" t="s">
        <v>14435</v>
      </c>
      <c r="F26" s="9" t="s">
        <v>14362</v>
      </c>
      <c r="G26" s="47" t="str">
        <f>IF(F26="","",INDEX(站位样品信息!$B$3:INDEX(站位样品信息!$B:$B,COUNTA(站位样品信息!$B:$B)+1),MATCH($F26,站位样品信息!$A$3:INDEX(站位样品信息!$A:$A,COUNTA(站位样品信息!$A:$A)+1),),))</f>
        <v>B1304</v>
      </c>
      <c r="H26" s="71" t="str">
        <f>IF(A26&amp;B26&amp;C26="","",INDEX(生物种群!$A$2:INDEX(生物种群!$A:$A,COUNTA(生物种群!$A:$A)),MATCH($I26,生物种群!$B$2:INDEX(生物种群!$B:$B,COUNTA(生物种群!$B:$B)),),))</f>
        <v>鱵属</v>
      </c>
      <c r="I26" s="71" t="str">
        <f>IF(A26&amp;B26&amp;C26="","",IF($C26&lt;&gt;0,INDEX(生物种群!$B$2:INDEX(生物种群!$B:$B,COUNTA(生物种群!$B:$B)),MATCH($C26,生物种群!$G$2:INDEX(生物种群!$G:$G,COUNTA(生物种群!$G:$G)),),),IF($A26&lt;&gt;0,INDEX(生物种群!$B$2:INDEX(生物种群!$B:$B,COUNTA(生物种群!$B:$B)),MATCH($A26,生物种群!$C$2:INDEX(生物种群!$C:$C,COUNTA(生物种群!$C:$C)),),),INDEX(生物种群!$B$2:INDEX(生物种群!$B:$B,COUNTA(生物种群!$B:$B)),MATCH($B26,生物种群!$D$2:INDEX(生物种群!$D:$D,COUNTA(生物种群!$D:$D)),),))))</f>
        <v>Hemirhamphus sp.</v>
      </c>
      <c r="J26" s="37" t="str">
        <f>IF(A26&amp;B26&amp;C26="","",INDEX(生物种群!$J$2:INDEX(生物种群!$J:$J,COUNTA(生物种群!$J:$J)),MATCH($I26,生物种群!$B$2:INDEX(生物种群!$B:$B,COUNTA(生物种群!$B:$B)),),))</f>
        <v/>
      </c>
      <c r="K26" s="71" t="str">
        <f>IF(A26&amp;B26&amp;C26="","",INDEX(生物种群!$E$2:INDEX(生物种群!$E:$E,COUNTA(生物种群!$E:$E)),MATCH($I26,生物种群!$B$2:INDEX(生物种群!$B:$B,COUNTA(生物种群!$B:$B)),),))</f>
        <v>鱵科</v>
      </c>
      <c r="L26" s="37" t="str">
        <f>IF(A26&amp;B26&amp;C26="","",INDEX(生物种群!$F$3:INDEX(生物种群!$F:$F,COUNTA(生物种群!$F:$F)),MATCH($I26,生物种群!$B$3:INDEX(生物种群!$B:$B,COUNTA(生物种群!$B:$B)),),))</f>
        <v>颌针鱼目</v>
      </c>
      <c r="M26" s="37" t="str">
        <f t="shared" si="1"/>
        <v>A2N44ZQ071Hemirhamphus sp.仔鱼</v>
      </c>
      <c r="N26" s="37" t="str">
        <f t="shared" si="0"/>
        <v/>
      </c>
      <c r="O26" s="9"/>
      <c r="P26" s="10"/>
    </row>
    <row r="27" spans="1:16" ht="20.1" customHeight="1">
      <c r="A27" s="9" t="s">
        <v>14453</v>
      </c>
      <c r="B27" s="42"/>
      <c r="C27" s="9"/>
      <c r="D27" s="43">
        <v>11</v>
      </c>
      <c r="E27" s="9" t="s">
        <v>14435</v>
      </c>
      <c r="F27" s="9" t="s">
        <v>14362</v>
      </c>
      <c r="G27" s="47" t="str">
        <f>IF(F27="","",INDEX(站位样品信息!$B$3:INDEX(站位样品信息!$B:$B,COUNTA(站位样品信息!$B:$B)+1),MATCH($F27,站位样品信息!$A$3:INDEX(站位样品信息!$A:$A,COUNTA(站位样品信息!$A:$A)+1),),))</f>
        <v>B1304</v>
      </c>
      <c r="H27" s="71" t="str">
        <f>IF(A27&amp;B27&amp;C27="","",INDEX(生物种群!$A$2:INDEX(生物种群!$A:$A,COUNTA(生物种群!$A:$A)),MATCH($I27,生物种群!$B$2:INDEX(生物种群!$B:$B,COUNTA(生物种群!$B:$B)),),))</f>
        <v>眶棘双边鱼</v>
      </c>
      <c r="I27" s="71" t="str">
        <f>IF(A27&amp;B27&amp;C27="","",IF($C27&lt;&gt;0,INDEX(生物种群!$B$2:INDEX(生物种群!$B:$B,COUNTA(生物种群!$B:$B)),MATCH($C27,生物种群!$G$2:INDEX(生物种群!$G:$G,COUNTA(生物种群!$G:$G)),),),IF($A27&lt;&gt;0,INDEX(生物种群!$B$2:INDEX(生物种群!$B:$B,COUNTA(生物种群!$B:$B)),MATCH($A27,生物种群!$C$2:INDEX(生物种群!$C:$C,COUNTA(生物种群!$C:$C)),),),INDEX(生物种群!$B$2:INDEX(生物种群!$B:$B,COUNTA(生物种群!$B:$B)),MATCH($B27,生物种群!$D$2:INDEX(生物种群!$D:$D,COUNTA(生物种群!$D:$D)),),))))</f>
        <v>Ambassis gymnocephalus</v>
      </c>
      <c r="J27" s="37" t="str">
        <f>IF(A27&amp;B27&amp;C27="","",INDEX(生物种群!$J$2:INDEX(生物种群!$J:$J,COUNTA(生物种群!$J:$J)),MATCH($I27,生物种群!$B$2:INDEX(生物种群!$B:$B,COUNTA(生物种群!$B:$B)),),))</f>
        <v>Lacepede</v>
      </c>
      <c r="K27" s="71" t="str">
        <f>IF(A27&amp;B27&amp;C27="","",INDEX(生物种群!$E$2:INDEX(生物种群!$E:$E,COUNTA(生物种群!$E:$E)),MATCH($I27,生物种群!$B$2:INDEX(生物种群!$B:$B,COUNTA(生物种群!$B:$B)),),))</f>
        <v>双边鱼科</v>
      </c>
      <c r="L27" s="37" t="str">
        <f>IF(A27&amp;B27&amp;C27="","",INDEX(生物种群!$F$3:INDEX(生物种群!$F:$F,COUNTA(生物种群!$F:$F)),MATCH($I27,生物种群!$B$3:INDEX(生物种群!$B:$B,COUNTA(生物种群!$B:$B)),),))</f>
        <v>鲈形目</v>
      </c>
      <c r="M27" s="37" t="str">
        <f t="shared" si="1"/>
        <v>A2N44ZQ071Ambassis gymnocephalus仔鱼</v>
      </c>
      <c r="N27" s="37" t="str">
        <f t="shared" si="0"/>
        <v/>
      </c>
      <c r="O27" s="9"/>
      <c r="P27" s="10"/>
    </row>
    <row r="28" spans="1:16" ht="20.1" customHeight="1">
      <c r="A28" s="9" t="s">
        <v>14454</v>
      </c>
      <c r="B28" s="42"/>
      <c r="C28" s="9"/>
      <c r="D28" s="43">
        <v>1</v>
      </c>
      <c r="E28" s="9" t="s">
        <v>14435</v>
      </c>
      <c r="F28" s="9" t="s">
        <v>14362</v>
      </c>
      <c r="G28" s="47" t="str">
        <f>IF(F28="","",INDEX(站位样品信息!$B$3:INDEX(站位样品信息!$B:$B,COUNTA(站位样品信息!$B:$B)+1),MATCH($F28,站位样品信息!$A$3:INDEX(站位样品信息!$A:$A,COUNTA(站位样品信息!$A:$A)+1),),))</f>
        <v>B1304</v>
      </c>
      <c r="H28" s="71" t="str">
        <f>IF(A28&amp;B28&amp;C28="","",INDEX(生物种群!$A$2:INDEX(生物种群!$A:$A,COUNTA(生物种群!$A:$A)),MATCH($I28,生物种群!$B$2:INDEX(生物种群!$B:$B,COUNTA(生物种群!$B:$B)),),))</f>
        <v>鲤科</v>
      </c>
      <c r="I28" s="71" t="str">
        <f>IF(A28&amp;B28&amp;C28="","",IF($C28&lt;&gt;0,INDEX(生物种群!$B$2:INDEX(生物种群!$B:$B,COUNTA(生物种群!$B:$B)),MATCH($C28,生物种群!$G$2:INDEX(生物种群!$G:$G,COUNTA(生物种群!$G:$G)),),),IF($A28&lt;&gt;0,INDEX(生物种群!$B$2:INDEX(生物种群!$B:$B,COUNTA(生物种群!$B:$B)),MATCH($A28,生物种群!$C$2:INDEX(生物种群!$C:$C,COUNTA(生物种群!$C:$C)),),),INDEX(生物种群!$B$2:INDEX(生物种群!$B:$B,COUNTA(生物种群!$B:$B)),MATCH($B28,生物种群!$D$2:INDEX(生物种群!$D:$D,COUNTA(生物种群!$D:$D)),),))))</f>
        <v>Cyprinidae sp.</v>
      </c>
      <c r="J28" s="37" t="str">
        <f>IF(A28&amp;B28&amp;C28="","",INDEX(生物种群!$J$2:INDEX(生物种群!$J:$J,COUNTA(生物种群!$J:$J)),MATCH($I28,生物种群!$B$2:INDEX(生物种群!$B:$B,COUNTA(生物种群!$B:$B)),),))</f>
        <v/>
      </c>
      <c r="K28" s="71" t="str">
        <f>IF(A28&amp;B28&amp;C28="","",INDEX(生物种群!$E$2:INDEX(生物种群!$E:$E,COUNTA(生物种群!$E:$E)),MATCH($I28,生物种群!$B$2:INDEX(生物种群!$B:$B,COUNTA(生物种群!$B:$B)),),))</f>
        <v>鲤科</v>
      </c>
      <c r="L28" s="37" t="str">
        <f>IF(A28&amp;B28&amp;C28="","",INDEX(生物种群!$F$3:INDEX(生物种群!$F:$F,COUNTA(生物种群!$F:$F)),MATCH($I28,生物种群!$B$3:INDEX(生物种群!$B:$B,COUNTA(生物种群!$B:$B)),),))</f>
        <v>鲤形目</v>
      </c>
      <c r="M28" s="37" t="str">
        <f t="shared" si="1"/>
        <v>A2N44ZQ071Cyprinidae sp.仔鱼</v>
      </c>
      <c r="N28" s="37" t="str">
        <f t="shared" si="0"/>
        <v/>
      </c>
      <c r="O28" s="9"/>
      <c r="P28" s="10"/>
    </row>
    <row r="29" spans="1:16" ht="20.1" customHeight="1">
      <c r="A29" s="36" t="s">
        <v>14457</v>
      </c>
      <c r="B29" s="42"/>
      <c r="C29" s="9"/>
      <c r="D29" s="43">
        <v>2</v>
      </c>
      <c r="E29" s="9" t="s">
        <v>14435</v>
      </c>
      <c r="F29" s="9" t="s">
        <v>14362</v>
      </c>
      <c r="G29" s="47" t="str">
        <f>IF(F29="","",INDEX(站位样品信息!$B$3:INDEX(站位样品信息!$B:$B,COUNTA(站位样品信息!$B:$B)+1),MATCH($F29,站位样品信息!$A$3:INDEX(站位样品信息!$A:$A,COUNTA(站位样品信息!$A:$A)+1),),))</f>
        <v>B1304</v>
      </c>
      <c r="H29" s="72" t="str">
        <f>IF(A29&amp;B29&amp;C29="","",INDEX(生物种群!$A$2:INDEX(生物种群!$A:$A,COUNTA(生物种群!$A:$A)),MATCH($I29,生物种群!$B$2:INDEX(生物种群!$B:$B,COUNTA(生物种群!$B:$B)),),))</f>
        <v>肩鳃鳚属</v>
      </c>
      <c r="I29" s="72" t="str">
        <f>IF(A29&amp;B29&amp;C29="","",IF($C29&lt;&gt;0,INDEX(生物种群!$B$2:INDEX(生物种群!$B:$B,COUNTA(生物种群!$B:$B)),MATCH($C29,生物种群!$G$2:INDEX(生物种群!$G:$G,COUNTA(生物种群!$G:$G)),),),IF($A29&lt;&gt;0,INDEX(生物种群!$B$2:INDEX(生物种群!$B:$B,COUNTA(生物种群!$B:$B)),MATCH($A29,生物种群!$C$2:INDEX(生物种群!$C:$C,COUNTA(生物种群!$C:$C)),),),INDEX(生物种群!$B$2:INDEX(生物种群!$B:$B,COUNTA(生物种群!$B:$B)),MATCH($B29,生物种群!$D$2:INDEX(生物种群!$D:$D,COUNTA(生物种群!$D:$D)),),))))</f>
        <v>Omobranchus sp.</v>
      </c>
      <c r="J29" s="37" t="str">
        <f>IF(A29&amp;B29&amp;C29="","",INDEX(生物种群!$J$2:INDEX(生物种群!$J:$J,COUNTA(生物种群!$J:$J)),MATCH($I29,生物种群!$B$2:INDEX(生物种群!$B:$B,COUNTA(生物种群!$B:$B)),),))</f>
        <v>(Steindachner)</v>
      </c>
      <c r="K29" s="72" t="str">
        <f>IF(A29&amp;B29&amp;C29="","",INDEX(生物种群!$E$2:INDEX(生物种群!$E:$E,COUNTA(生物种群!$E:$E)),MATCH($I29,生物种群!$B$2:INDEX(生物种群!$B:$B,COUNTA(生物种群!$B:$B)),),))</f>
        <v>鳚科</v>
      </c>
      <c r="L29" s="37" t="str">
        <f>IF(A29&amp;B29&amp;C29="","",INDEX(生物种群!$F$3:INDEX(生物种群!$F:$F,COUNTA(生物种群!$F:$F)),MATCH($I29,生物种群!$B$3:INDEX(生物种群!$B:$B,COUNTA(生物种群!$B:$B)),),))</f>
        <v>鲈形目</v>
      </c>
      <c r="M29" s="37" t="str">
        <f t="shared" si="1"/>
        <v>A2N44ZQ071Omobranchus sp.仔鱼</v>
      </c>
      <c r="N29" s="37" t="str">
        <f t="shared" si="0"/>
        <v/>
      </c>
      <c r="O29" s="9"/>
      <c r="P29" s="10"/>
    </row>
    <row r="30" spans="1:16" ht="20.1" customHeight="1">
      <c r="A30" s="9" t="s">
        <v>14458</v>
      </c>
      <c r="B30" s="42"/>
      <c r="C30" s="9"/>
      <c r="D30" s="43">
        <v>1</v>
      </c>
      <c r="E30" s="9" t="s">
        <v>14435</v>
      </c>
      <c r="F30" s="9" t="s">
        <v>14362</v>
      </c>
      <c r="G30" s="47" t="str">
        <f>IF(F30="","",INDEX(站位样品信息!$B$3:INDEX(站位样品信息!$B:$B,COUNTA(站位样品信息!$B:$B)+1),MATCH($F30,站位样品信息!$A$3:INDEX(站位样品信息!$A:$A,COUNTA(站位样品信息!$A:$A)+1),),))</f>
        <v>B1304</v>
      </c>
      <c r="H30" s="71" t="str">
        <f>IF(A30&amp;B30&amp;C30="","",INDEX(生物种群!$A$2:INDEX(生物种群!$A:$A,COUNTA(生物种群!$A:$A)),MATCH($I30,生物种群!$B$2:INDEX(生物种群!$B:$B,COUNTA(生物种群!$B:$B)),),))</f>
        <v>美肩鳃鳚</v>
      </c>
      <c r="I30" s="71" t="str">
        <f>IF(A30&amp;B30&amp;C30="","",IF($C30&lt;&gt;0,INDEX(生物种群!$B$2:INDEX(生物种群!$B:$B,COUNTA(生物种群!$B:$B)),MATCH($C30,生物种群!$G$2:INDEX(生物种群!$G:$G,COUNTA(生物种群!$G:$G)),),),IF($A30&lt;&gt;0,INDEX(生物种群!$B$2:INDEX(生物种群!$B:$B,COUNTA(生物种群!$B:$B)),MATCH($A30,生物种群!$C$2:INDEX(生物种群!$C:$C,COUNTA(生物种群!$C:$C)),),),INDEX(生物种群!$B$2:INDEX(生物种群!$B:$B,COUNTA(生物种群!$B:$B)),MATCH($B30,生物种群!$D$2:INDEX(生物种群!$D:$D,COUNTA(生物种群!$D:$D)),),))))</f>
        <v>Omobranchus elegans</v>
      </c>
      <c r="J30" s="37" t="str">
        <f>IF(A30&amp;B30&amp;C30="","",INDEX(生物种群!$J$2:INDEX(生物种群!$J:$J,COUNTA(生物种群!$J:$J)),MATCH($I30,生物种群!$B$2:INDEX(生物种群!$B:$B,COUNTA(生物种群!$B:$B)),),))</f>
        <v>(Steindachner)</v>
      </c>
      <c r="K30" s="71" t="str">
        <f>IF(A30&amp;B30&amp;C30="","",INDEX(生物种群!$E$2:INDEX(生物种群!$E:$E,COUNTA(生物种群!$E:$E)),MATCH($I30,生物种群!$B$2:INDEX(生物种群!$B:$B,COUNTA(生物种群!$B:$B)),),))</f>
        <v>鳚科</v>
      </c>
      <c r="L30" s="37" t="str">
        <f>IF(A30&amp;B30&amp;C30="","",INDEX(生物种群!$F$3:INDEX(生物种群!$F:$F,COUNTA(生物种群!$F:$F)),MATCH($I30,生物种群!$B$3:INDEX(生物种群!$B:$B,COUNTA(生物种群!$B:$B)),),))</f>
        <v>鲈形目</v>
      </c>
      <c r="M30" s="37" t="str">
        <f t="shared" si="1"/>
        <v>A2N44ZQ071Omobranchus elegans仔鱼</v>
      </c>
      <c r="N30" s="37" t="str">
        <f t="shared" si="0"/>
        <v/>
      </c>
      <c r="O30" s="9"/>
      <c r="P30" s="10"/>
    </row>
    <row r="31" spans="1:16" ht="20.1" customHeight="1">
      <c r="A31" s="9" t="s">
        <v>14447</v>
      </c>
      <c r="B31" s="42"/>
      <c r="C31" s="9"/>
      <c r="D31" s="43">
        <v>2</v>
      </c>
      <c r="E31" s="9" t="s">
        <v>14438</v>
      </c>
      <c r="F31" s="9" t="s">
        <v>14366</v>
      </c>
      <c r="G31" s="47" t="str">
        <f>IF(F31="","",INDEX(站位样品信息!$B$3:INDEX(站位样品信息!$B:$B,COUNTA(站位样品信息!$B:$B)+1),MATCH($F31,站位样品信息!$A$3:INDEX(站位样品信息!$A:$A,COUNTA(站位样品信息!$A:$A)+1),),))</f>
        <v>B0643</v>
      </c>
      <c r="H31" s="71" t="str">
        <f>IF(A31&amp;B31&amp;C31="","",INDEX(生物种群!$A$2:INDEX(生物种群!$A:$A,COUNTA(生物种群!$A:$A)),MATCH($I31,生物种群!$B$2:INDEX(生物种群!$B:$B,COUNTA(生物种群!$B:$B)),),))</f>
        <v>小公鱼属</v>
      </c>
      <c r="I31" s="71" t="str">
        <f>IF(A31&amp;B31&amp;C31="","",IF($C31&lt;&gt;0,INDEX(生物种群!$B$2:INDEX(生物种群!$B:$B,COUNTA(生物种群!$B:$B)),MATCH($C31,生物种群!$G$2:INDEX(生物种群!$G:$G,COUNTA(生物种群!$G:$G)),),),IF($A31&lt;&gt;0,INDEX(生物种群!$B$2:INDEX(生物种群!$B:$B,COUNTA(生物种群!$B:$B)),MATCH($A31,生物种群!$C$2:INDEX(生物种群!$C:$C,COUNTA(生物种群!$C:$C)),),),INDEX(生物种群!$B$2:INDEX(生物种群!$B:$B,COUNTA(生物种群!$B:$B)),MATCH($B31,生物种群!$D$2:INDEX(生物种群!$D:$D,COUNTA(生物种群!$D:$D)),),))))</f>
        <v>Stolephorus sp.</v>
      </c>
      <c r="J31" s="37" t="str">
        <f>IF(A31&amp;B31&amp;C31="","",INDEX(生物种群!$J$2:INDEX(生物种群!$J:$J,COUNTA(生物种群!$J:$J)),MATCH($I31,生物种群!$B$2:INDEX(生物种群!$B:$B,COUNTA(生物种群!$B:$B)),),))</f>
        <v/>
      </c>
      <c r="K31" s="71" t="str">
        <f>IF(A31&amp;B31&amp;C31="","",INDEX(生物种群!$E$2:INDEX(生物种群!$E:$E,COUNTA(生物种群!$E:$E)),MATCH($I31,生物种群!$B$2:INDEX(生物种群!$B:$B,COUNTA(生物种群!$B:$B)),),))</f>
        <v>鳀科</v>
      </c>
      <c r="L31" s="37" t="str">
        <f>IF(A31&amp;B31&amp;C31="","",INDEX(生物种群!$F$3:INDEX(生物种群!$F:$F,COUNTA(生物种群!$F:$F)),MATCH($I31,生物种群!$B$3:INDEX(生物种群!$B:$B,COUNTA(生物种群!$B:$B)),),))</f>
        <v>鲱形目</v>
      </c>
      <c r="M31" s="37" t="str">
        <f t="shared" si="1"/>
        <v>A2N44ZQ072Stolephorus sp.稚鱼</v>
      </c>
      <c r="N31" s="37" t="str">
        <f t="shared" si="0"/>
        <v/>
      </c>
      <c r="O31" s="9"/>
      <c r="P31" s="10"/>
    </row>
    <row r="32" spans="1:16" ht="20.1" customHeight="1">
      <c r="A32" s="9" t="s">
        <v>14446</v>
      </c>
      <c r="B32" s="42"/>
      <c r="C32" s="9"/>
      <c r="D32" s="43">
        <v>1</v>
      </c>
      <c r="E32" s="9" t="s">
        <v>14438</v>
      </c>
      <c r="F32" s="9" t="s">
        <v>14366</v>
      </c>
      <c r="G32" s="47" t="str">
        <f>IF(F32="","",INDEX(站位样品信息!$B$3:INDEX(站位样品信息!$B:$B,COUNTA(站位样品信息!$B:$B)+1),MATCH($F32,站位样品信息!$A$3:INDEX(站位样品信息!$A:$A,COUNTA(站位样品信息!$A:$A)+1),),))</f>
        <v>B0643</v>
      </c>
      <c r="H32" s="71" t="str">
        <f>IF(A32&amp;B32&amp;C32="","",INDEX(生物种群!$A$2:INDEX(生物种群!$A:$A,COUNTA(生物种群!$A:$A)),MATCH($I32,生物种群!$B$2:INDEX(生物种群!$B:$B,COUNTA(生物种群!$B:$B)),),))</f>
        <v>小沙丁鱼属</v>
      </c>
      <c r="I32" s="71" t="str">
        <f>IF(A32&amp;B32&amp;C32="","",IF($C32&lt;&gt;0,INDEX(生物种群!$B$2:INDEX(生物种群!$B:$B,COUNTA(生物种群!$B:$B)),MATCH($C32,生物种群!$G$2:INDEX(生物种群!$G:$G,COUNTA(生物种群!$G:$G)),),),IF($A32&lt;&gt;0,INDEX(生物种群!$B$2:INDEX(生物种群!$B:$B,COUNTA(生物种群!$B:$B)),MATCH($A32,生物种群!$C$2:INDEX(生物种群!$C:$C,COUNTA(生物种群!$C:$C)),),),INDEX(生物种群!$B$2:INDEX(生物种群!$B:$B,COUNTA(生物种群!$B:$B)),MATCH($B32,生物种群!$D$2:INDEX(生物种群!$D:$D,COUNTA(生物种群!$D:$D)),),))))</f>
        <v>Sardinella sp.</v>
      </c>
      <c r="J32" s="37" t="str">
        <f>IF(A32&amp;B32&amp;C32="","",INDEX(生物种群!$J$2:INDEX(生物种群!$J:$J,COUNTA(生物种群!$J:$J)),MATCH($I32,生物种群!$B$2:INDEX(生物种群!$B:$B,COUNTA(生物种群!$B:$B)),),))</f>
        <v>et Valenciennes</v>
      </c>
      <c r="K32" s="71" t="str">
        <f>IF(A32&amp;B32&amp;C32="","",INDEX(生物种群!$E$2:INDEX(生物种群!$E:$E,COUNTA(生物种群!$E:$E)),MATCH($I32,生物种群!$B$2:INDEX(生物种群!$B:$B,COUNTA(生物种群!$B:$B)),),))</f>
        <v>鲱科</v>
      </c>
      <c r="L32" s="37" t="str">
        <f>IF(A32&amp;B32&amp;C32="","",INDEX(生物种群!$F$3:INDEX(生物种群!$F:$F,COUNTA(生物种群!$F:$F)),MATCH($I32,生物种群!$B$3:INDEX(生物种群!$B:$B,COUNTA(生物种群!$B:$B)),),))</f>
        <v>鲱形目</v>
      </c>
      <c r="M32" s="37" t="str">
        <f t="shared" si="1"/>
        <v>A2N44ZQ072Sardinella sp.稚鱼</v>
      </c>
      <c r="N32" s="37" t="str">
        <f t="shared" si="0"/>
        <v/>
      </c>
      <c r="O32" s="9"/>
      <c r="P32" s="10"/>
    </row>
    <row r="33" spans="1:16" ht="20.1" customHeight="1">
      <c r="A33" s="9" t="s">
        <v>14447</v>
      </c>
      <c r="B33" s="42"/>
      <c r="C33" s="9"/>
      <c r="D33" s="43">
        <v>3</v>
      </c>
      <c r="E33" s="9" t="s">
        <v>14435</v>
      </c>
      <c r="F33" s="9" t="s">
        <v>14366</v>
      </c>
      <c r="G33" s="47" t="str">
        <f>IF(F33="","",INDEX(站位样品信息!$B$3:INDEX(站位样品信息!$B:$B,COUNTA(站位样品信息!$B:$B)+1),MATCH($F33,站位样品信息!$A$3:INDEX(站位样品信息!$A:$A,COUNTA(站位样品信息!$A:$A)+1),),))</f>
        <v>B0643</v>
      </c>
      <c r="H33" s="71" t="str">
        <f>IF(A33&amp;B33&amp;C33="","",INDEX(生物种群!$A$2:INDEX(生物种群!$A:$A,COUNTA(生物种群!$A:$A)),MATCH($I33,生物种群!$B$2:INDEX(生物种群!$B:$B,COUNTA(生物种群!$B:$B)),),))</f>
        <v>小公鱼属</v>
      </c>
      <c r="I33" s="71" t="str">
        <f>IF(A33&amp;B33&amp;C33="","",IF($C33&lt;&gt;0,INDEX(生物种群!$B$2:INDEX(生物种群!$B:$B,COUNTA(生物种群!$B:$B)),MATCH($C33,生物种群!$G$2:INDEX(生物种群!$G:$G,COUNTA(生物种群!$G:$G)),),),IF($A33&lt;&gt;0,INDEX(生物种群!$B$2:INDEX(生物种群!$B:$B,COUNTA(生物种群!$B:$B)),MATCH($A33,生物种群!$C$2:INDEX(生物种群!$C:$C,COUNTA(生物种群!$C:$C)),),),INDEX(生物种群!$B$2:INDEX(生物种群!$B:$B,COUNTA(生物种群!$B:$B)),MATCH($B33,生物种群!$D$2:INDEX(生物种群!$D:$D,COUNTA(生物种群!$D:$D)),),))))</f>
        <v>Stolephorus sp.</v>
      </c>
      <c r="J33" s="37" t="str">
        <f>IF(A33&amp;B33&amp;C33="","",INDEX(生物种群!$J$2:INDEX(生物种群!$J:$J,COUNTA(生物种群!$J:$J)),MATCH($I33,生物种群!$B$2:INDEX(生物种群!$B:$B,COUNTA(生物种群!$B:$B)),),))</f>
        <v/>
      </c>
      <c r="K33" s="71" t="str">
        <f>IF(A33&amp;B33&amp;C33="","",INDEX(生物种群!$E$2:INDEX(生物种群!$E:$E,COUNTA(生物种群!$E:$E)),MATCH($I33,生物种群!$B$2:INDEX(生物种群!$B:$B,COUNTA(生物种群!$B:$B)),),))</f>
        <v>鳀科</v>
      </c>
      <c r="L33" s="37" t="str">
        <f>IF(A33&amp;B33&amp;C33="","",INDEX(生物种群!$F$3:INDEX(生物种群!$F:$F,COUNTA(生物种群!$F:$F)),MATCH($I33,生物种群!$B$3:INDEX(生物种群!$B:$B,COUNTA(生物种群!$B:$B)),),))</f>
        <v>鲱形目</v>
      </c>
      <c r="M33" s="37" t="str">
        <f t="shared" si="1"/>
        <v>A2N44ZQ072Stolephorus sp.仔鱼</v>
      </c>
      <c r="N33" s="37" t="str">
        <f t="shared" si="0"/>
        <v/>
      </c>
      <c r="O33" s="9"/>
      <c r="P33" s="10"/>
    </row>
    <row r="34" spans="1:16" ht="20.1" customHeight="1">
      <c r="A34" s="9" t="s">
        <v>14446</v>
      </c>
      <c r="B34" s="42"/>
      <c r="C34" s="9"/>
      <c r="D34" s="43">
        <v>84</v>
      </c>
      <c r="E34" s="9" t="s">
        <v>14435</v>
      </c>
      <c r="F34" s="9" t="s">
        <v>14366</v>
      </c>
      <c r="G34" s="47" t="str">
        <f>IF(F34="","",INDEX(站位样品信息!$B$3:INDEX(站位样品信息!$B:$B,COUNTA(站位样品信息!$B:$B)+1),MATCH($F34,站位样品信息!$A$3:INDEX(站位样品信息!$A:$A,COUNTA(站位样品信息!$A:$A)+1),),))</f>
        <v>B0643</v>
      </c>
      <c r="H34" s="71" t="str">
        <f>IF(A34&amp;B34&amp;C34="","",INDEX(生物种群!$A$2:INDEX(生物种群!$A:$A,COUNTA(生物种群!$A:$A)),MATCH($I34,生物种群!$B$2:INDEX(生物种群!$B:$B,COUNTA(生物种群!$B:$B)),),))</f>
        <v>小沙丁鱼属</v>
      </c>
      <c r="I34" s="71" t="str">
        <f>IF(A34&amp;B34&amp;C34="","",IF($C34&lt;&gt;0,INDEX(生物种群!$B$2:INDEX(生物种群!$B:$B,COUNTA(生物种群!$B:$B)),MATCH($C34,生物种群!$G$2:INDEX(生物种群!$G:$G,COUNTA(生物种群!$G:$G)),),),IF($A34&lt;&gt;0,INDEX(生物种群!$B$2:INDEX(生物种群!$B:$B,COUNTA(生物种群!$B:$B)),MATCH($A34,生物种群!$C$2:INDEX(生物种群!$C:$C,COUNTA(生物种群!$C:$C)),),),INDEX(生物种群!$B$2:INDEX(生物种群!$B:$B,COUNTA(生物种群!$B:$B)),MATCH($B34,生物种群!$D$2:INDEX(生物种群!$D:$D,COUNTA(生物种群!$D:$D)),),))))</f>
        <v>Sardinella sp.</v>
      </c>
      <c r="J34" s="37" t="str">
        <f>IF(A34&amp;B34&amp;C34="","",INDEX(生物种群!$J$2:INDEX(生物种群!$J:$J,COUNTA(生物种群!$J:$J)),MATCH($I34,生物种群!$B$2:INDEX(生物种群!$B:$B,COUNTA(生物种群!$B:$B)),),))</f>
        <v>et Valenciennes</v>
      </c>
      <c r="K34" s="71" t="str">
        <f>IF(A34&amp;B34&amp;C34="","",INDEX(生物种群!$E$2:INDEX(生物种群!$E:$E,COUNTA(生物种群!$E:$E)),MATCH($I34,生物种群!$B$2:INDEX(生物种群!$B:$B,COUNTA(生物种群!$B:$B)),),))</f>
        <v>鲱科</v>
      </c>
      <c r="L34" s="37" t="str">
        <f>IF(A34&amp;B34&amp;C34="","",INDEX(生物种群!$F$3:INDEX(生物种群!$F:$F,COUNTA(生物种群!$F:$F)),MATCH($I34,生物种群!$B$3:INDEX(生物种群!$B:$B,COUNTA(生物种群!$B:$B)),),))</f>
        <v>鲱形目</v>
      </c>
      <c r="M34" s="37" t="str">
        <f t="shared" si="1"/>
        <v>A2N44ZQ072Sardinella sp.仔鱼</v>
      </c>
      <c r="N34" s="37" t="str">
        <f t="shared" si="0"/>
        <v/>
      </c>
      <c r="O34" s="9"/>
      <c r="P34" s="10"/>
    </row>
    <row r="35" spans="1:16" ht="20.1" customHeight="1">
      <c r="A35" s="9" t="s">
        <v>14453</v>
      </c>
      <c r="B35" s="42"/>
      <c r="C35" s="9"/>
      <c r="D35" s="43">
        <v>3</v>
      </c>
      <c r="E35" s="9" t="s">
        <v>14435</v>
      </c>
      <c r="F35" s="9" t="s">
        <v>14366</v>
      </c>
      <c r="G35" s="47" t="str">
        <f>IF(F35="","",INDEX(站位样品信息!$B$3:INDEX(站位样品信息!$B:$B,COUNTA(站位样品信息!$B:$B)+1),MATCH($F35,站位样品信息!$A$3:INDEX(站位样品信息!$A:$A,COUNTA(站位样品信息!$A:$A)+1),),))</f>
        <v>B0643</v>
      </c>
      <c r="H35" s="71" t="str">
        <f>IF(A35&amp;B35&amp;C35="","",INDEX(生物种群!$A$2:INDEX(生物种群!$A:$A,COUNTA(生物种群!$A:$A)),MATCH($I35,生物种群!$B$2:INDEX(生物种群!$B:$B,COUNTA(生物种群!$B:$B)),),))</f>
        <v>眶棘双边鱼</v>
      </c>
      <c r="I35" s="71" t="str">
        <f>IF(A35&amp;B35&amp;C35="","",IF($C35&lt;&gt;0,INDEX(生物种群!$B$2:INDEX(生物种群!$B:$B,COUNTA(生物种群!$B:$B)),MATCH($C35,生物种群!$G$2:INDEX(生物种群!$G:$G,COUNTA(生物种群!$G:$G)),),),IF($A35&lt;&gt;0,INDEX(生物种群!$B$2:INDEX(生物种群!$B:$B,COUNTA(生物种群!$B:$B)),MATCH($A35,生物种群!$C$2:INDEX(生物种群!$C:$C,COUNTA(生物种群!$C:$C)),),),INDEX(生物种群!$B$2:INDEX(生物种群!$B:$B,COUNTA(生物种群!$B:$B)),MATCH($B35,生物种群!$D$2:INDEX(生物种群!$D:$D,COUNTA(生物种群!$D:$D)),),))))</f>
        <v>Ambassis gymnocephalus</v>
      </c>
      <c r="J35" s="37" t="str">
        <f>IF(A35&amp;B35&amp;C35="","",INDEX(生物种群!$J$2:INDEX(生物种群!$J:$J,COUNTA(生物种群!$J:$J)),MATCH($I35,生物种群!$B$2:INDEX(生物种群!$B:$B,COUNTA(生物种群!$B:$B)),),))</f>
        <v>Lacepede</v>
      </c>
      <c r="K35" s="71" t="str">
        <f>IF(A35&amp;B35&amp;C35="","",INDEX(生物种群!$E$2:INDEX(生物种群!$E:$E,COUNTA(生物种群!$E:$E)),MATCH($I35,生物种群!$B$2:INDEX(生物种群!$B:$B,COUNTA(生物种群!$B:$B)),),))</f>
        <v>双边鱼科</v>
      </c>
      <c r="L35" s="37" t="str">
        <f>IF(A35&amp;B35&amp;C35="","",INDEX(生物种群!$F$3:INDEX(生物种群!$F:$F,COUNTA(生物种群!$F:$F)),MATCH($I35,生物种群!$B$3:INDEX(生物种群!$B:$B,COUNTA(生物种群!$B:$B)),),))</f>
        <v>鲈形目</v>
      </c>
      <c r="M35" s="37" t="str">
        <f t="shared" si="1"/>
        <v>A2N44ZQ072Ambassis gymnocephalus仔鱼</v>
      </c>
      <c r="N35" s="37" t="str">
        <f t="shared" si="0"/>
        <v/>
      </c>
      <c r="O35" s="9"/>
      <c r="P35" s="10"/>
    </row>
    <row r="36" spans="1:16" ht="20.1" customHeight="1">
      <c r="A36" s="9" t="s">
        <v>14459</v>
      </c>
      <c r="B36" s="42"/>
      <c r="C36" s="9"/>
      <c r="D36" s="43">
        <v>4</v>
      </c>
      <c r="E36" s="9" t="s">
        <v>14435</v>
      </c>
      <c r="F36" s="9" t="s">
        <v>14366</v>
      </c>
      <c r="G36" s="47" t="str">
        <f>IF(F36="","",INDEX(站位样品信息!$B$3:INDEX(站位样品信息!$B:$B,COUNTA(站位样品信息!$B:$B)+1),MATCH($F36,站位样品信息!$A$3:INDEX(站位样品信息!$A:$A,COUNTA(站位样品信息!$A:$A)+1),),))</f>
        <v>B0643</v>
      </c>
      <c r="H36" s="72" t="str">
        <f>IF(A36&amp;B36&amp;C36="","",INDEX(生物种群!$A$2:INDEX(生物种群!$A:$A,COUNTA(生物种群!$A:$A)),MATCH($I36,生物种群!$B$2:INDEX(生物种群!$B:$B,COUNTA(生物种群!$B:$B)),),))</f>
        <v>肩鳃鳚属</v>
      </c>
      <c r="I36" s="72" t="str">
        <f>IF(A36&amp;B36&amp;C36="","",IF($C36&lt;&gt;0,INDEX(生物种群!$B$2:INDEX(生物种群!$B:$B,COUNTA(生物种群!$B:$B)),MATCH($C36,生物种群!$G$2:INDEX(生物种群!$G:$G,COUNTA(生物种群!$G:$G)),),),IF($A36&lt;&gt;0,INDEX(生物种群!$B$2:INDEX(生物种群!$B:$B,COUNTA(生物种群!$B:$B)),MATCH($A36,生物种群!$C$2:INDEX(生物种群!$C:$C,COUNTA(生物种群!$C:$C)),),),INDEX(生物种群!$B$2:INDEX(生物种群!$B:$B,COUNTA(生物种群!$B:$B)),MATCH($B36,生物种群!$D$2:INDEX(生物种群!$D:$D,COUNTA(生物种群!$D:$D)),),))))</f>
        <v>Omobranchus sp.</v>
      </c>
      <c r="J36" s="37" t="str">
        <f>IF(A36&amp;B36&amp;C36="","",INDEX(生物种群!$J$2:INDEX(生物种群!$J:$J,COUNTA(生物种群!$J:$J)),MATCH($I36,生物种群!$B$2:INDEX(生物种群!$B:$B,COUNTA(生物种群!$B:$B)),),))</f>
        <v>(Steindachner)</v>
      </c>
      <c r="K36" s="72" t="str">
        <f>IF(A36&amp;B36&amp;C36="","",INDEX(生物种群!$E$2:INDEX(生物种群!$E:$E,COUNTA(生物种群!$E:$E)),MATCH($I36,生物种群!$B$2:INDEX(生物种群!$B:$B,COUNTA(生物种群!$B:$B)),),))</f>
        <v>鳚科</v>
      </c>
      <c r="L36" s="37" t="str">
        <f>IF(A36&amp;B36&amp;C36="","",INDEX(生物种群!$F$3:INDEX(生物种群!$F:$F,COUNTA(生物种群!$F:$F)),MATCH($I36,生物种群!$B$3:INDEX(生物种群!$B:$B,COUNTA(生物种群!$B:$B)),),))</f>
        <v>鲈形目</v>
      </c>
      <c r="M36" s="37" t="str">
        <f t="shared" si="1"/>
        <v>A2N44ZQ072Omobranchus sp.仔鱼</v>
      </c>
      <c r="N36" s="37" t="str">
        <f t="shared" si="0"/>
        <v/>
      </c>
      <c r="O36" s="9"/>
      <c r="P36" s="10"/>
    </row>
    <row r="37" spans="1:16" ht="20.1" customHeight="1">
      <c r="A37" s="9" t="s">
        <v>14450</v>
      </c>
      <c r="B37" s="42"/>
      <c r="C37" s="9"/>
      <c r="D37" s="43">
        <v>5</v>
      </c>
      <c r="E37" s="9" t="s">
        <v>14443</v>
      </c>
      <c r="F37" s="9" t="s">
        <v>14366</v>
      </c>
      <c r="G37" s="47" t="str">
        <f>IF(F37="","",INDEX(站位样品信息!$B$3:INDEX(站位样品信息!$B:$B,COUNTA(站位样品信息!$B:$B)+1),MATCH($F37,站位样品信息!$A$3:INDEX(站位样品信息!$A:$A,COUNTA(站位样品信息!$A:$A)+1),),))</f>
        <v>B0643</v>
      </c>
      <c r="H37" s="71" t="str">
        <f>IF(A37&amp;B37&amp;C37="","",INDEX(生物种群!$A$2:INDEX(生物种群!$A:$A,COUNTA(生物种群!$A:$A)),MATCH($I37,生物种群!$B$2:INDEX(生物种群!$B:$B,COUNTA(生物种群!$B:$B)),),))</f>
        <v>棘头梅童鱼</v>
      </c>
      <c r="I37" s="71" t="str">
        <f>IF(A37&amp;B37&amp;C37="","",IF($C37&lt;&gt;0,INDEX(生物种群!$B$2:INDEX(生物种群!$B:$B,COUNTA(生物种群!$B:$B)),MATCH($C37,生物种群!$G$2:INDEX(生物种群!$G:$G,COUNTA(生物种群!$G:$G)),),),IF($A37&lt;&gt;0,INDEX(生物种群!$B$2:INDEX(生物种群!$B:$B,COUNTA(生物种群!$B:$B)),MATCH($A37,生物种群!$C$2:INDEX(生物种群!$C:$C,COUNTA(生物种群!$C:$C)),),),INDEX(生物种群!$B$2:INDEX(生物种群!$B:$B,COUNTA(生物种群!$B:$B)),MATCH($B37,生物种群!$D$2:INDEX(生物种群!$D:$D,COUNTA(生物种群!$D:$D)),),))))</f>
        <v>Collichthys lucidus</v>
      </c>
      <c r="J37" s="37" t="str">
        <f>IF(A37&amp;B37&amp;C37="","",INDEX(生物种群!$J$2:INDEX(生物种群!$J:$J,COUNTA(生物种群!$J:$J)),MATCH($I37,生物种群!$B$2:INDEX(生物种群!$B:$B,COUNTA(生物种群!$B:$B)),),))</f>
        <v>(Richardson)</v>
      </c>
      <c r="K37" s="71" t="str">
        <f>IF(A37&amp;B37&amp;C37="","",INDEX(生物种群!$E$2:INDEX(生物种群!$E:$E,COUNTA(生物种群!$E:$E)),MATCH($I37,生物种群!$B$2:INDEX(生物种群!$B:$B,COUNTA(生物种群!$B:$B)),),))</f>
        <v>石首鱼科</v>
      </c>
      <c r="L37" s="37" t="str">
        <f>IF(A37&amp;B37&amp;C37="","",INDEX(生物种群!$F$3:INDEX(生物种群!$F:$F,COUNTA(生物种群!$F:$F)),MATCH($I37,生物种群!$B$3:INDEX(生物种群!$B:$B,COUNTA(生物种群!$B:$B)),),))</f>
        <v>鲈形目</v>
      </c>
      <c r="M37" s="37" t="str">
        <f t="shared" si="1"/>
        <v>A2N44ZQ072Collichthys lucidus鱼卵</v>
      </c>
      <c r="N37" s="37" t="str">
        <f t="shared" si="0"/>
        <v/>
      </c>
      <c r="O37" s="9"/>
      <c r="P37" s="10"/>
    </row>
    <row r="38" spans="1:16" ht="20.1" customHeight="1">
      <c r="A38" s="9" t="s">
        <v>14450</v>
      </c>
      <c r="B38" s="42"/>
      <c r="C38" s="9"/>
      <c r="D38" s="43">
        <v>1</v>
      </c>
      <c r="E38" s="9" t="s">
        <v>14430</v>
      </c>
      <c r="F38" s="9" t="s">
        <v>14369</v>
      </c>
      <c r="G38" s="47" t="str">
        <f>IF(F38="","",INDEX(站位样品信息!$B$3:INDEX(站位样品信息!$B:$B,COUNTA(站位样品信息!$B:$B)+1),MATCH($F38,站位样品信息!$A$3:INDEX(站位样品信息!$A:$A,COUNTA(站位样品信息!$A:$A)+1),),))</f>
        <v>B0376</v>
      </c>
      <c r="H38" s="71" t="str">
        <f>IF(A38&amp;B38&amp;C38="","",INDEX(生物种群!$A$2:INDEX(生物种群!$A:$A,COUNTA(生物种群!$A:$A)),MATCH($I38,生物种群!$B$2:INDEX(生物种群!$B:$B,COUNTA(生物种群!$B:$B)),),))</f>
        <v>棘头梅童鱼</v>
      </c>
      <c r="I38" s="71" t="str">
        <f>IF(A38&amp;B38&amp;C38="","",IF($C38&lt;&gt;0,INDEX(生物种群!$B$2:INDEX(生物种群!$B:$B,COUNTA(生物种群!$B:$B)),MATCH($C38,生物种群!$G$2:INDEX(生物种群!$G:$G,COUNTA(生物种群!$G:$G)),),),IF($A38&lt;&gt;0,INDEX(生物种群!$B$2:INDEX(生物种群!$B:$B,COUNTA(生物种群!$B:$B)),MATCH($A38,生物种群!$C$2:INDEX(生物种群!$C:$C,COUNTA(生物种群!$C:$C)),),),INDEX(生物种群!$B$2:INDEX(生物种群!$B:$B,COUNTA(生物种群!$B:$B)),MATCH($B38,生物种群!$D$2:INDEX(生物种群!$D:$D,COUNTA(生物种群!$D:$D)),),))))</f>
        <v>Collichthys lucidus</v>
      </c>
      <c r="J38" s="37" t="str">
        <f>IF(A38&amp;B38&amp;C38="","",INDEX(生物种群!$J$2:INDEX(生物种群!$J:$J,COUNTA(生物种群!$J:$J)),MATCH($I38,生物种群!$B$2:INDEX(生物种群!$B:$B,COUNTA(生物种群!$B:$B)),),))</f>
        <v>(Richardson)</v>
      </c>
      <c r="K38" s="71" t="str">
        <f>IF(A38&amp;B38&amp;C38="","",INDEX(生物种群!$E$2:INDEX(生物种群!$E:$E,COUNTA(生物种群!$E:$E)),MATCH($I38,生物种群!$B$2:INDEX(生物种群!$B:$B,COUNTA(生物种群!$B:$B)),),))</f>
        <v>石首鱼科</v>
      </c>
      <c r="L38" s="37" t="str">
        <f>IF(A38&amp;B38&amp;C38="","",INDEX(生物种群!$F$3:INDEX(生物种群!$F:$F,COUNTA(生物种群!$F:$F)),MATCH($I38,生物种群!$B$3:INDEX(生物种群!$B:$B,COUNTA(生物种群!$B:$B)),),))</f>
        <v>鲈形目</v>
      </c>
      <c r="M38" s="37" t="str">
        <f t="shared" si="1"/>
        <v>A2N44ZQ073Collichthys lucidus幼鱼</v>
      </c>
      <c r="N38" s="37" t="str">
        <f t="shared" si="0"/>
        <v/>
      </c>
      <c r="O38" s="9"/>
      <c r="P38" s="10"/>
    </row>
    <row r="39" spans="1:16" ht="20.1" customHeight="1">
      <c r="A39" s="9" t="s">
        <v>14447</v>
      </c>
      <c r="B39" s="42"/>
      <c r="C39" s="9"/>
      <c r="D39" s="43">
        <v>1</v>
      </c>
      <c r="E39" s="9" t="s">
        <v>14438</v>
      </c>
      <c r="F39" s="9" t="s">
        <v>14369</v>
      </c>
      <c r="G39" s="47" t="str">
        <f>IF(F39="","",INDEX(站位样品信息!$B$3:INDEX(站位样品信息!$B:$B,COUNTA(站位样品信息!$B:$B)+1),MATCH($F39,站位样品信息!$A$3:INDEX(站位样品信息!$A:$A,COUNTA(站位样品信息!$A:$A)+1),),))</f>
        <v>B0376</v>
      </c>
      <c r="H39" s="71" t="str">
        <f>IF(A39&amp;B39&amp;C39="","",INDEX(生物种群!$A$2:INDEX(生物种群!$A:$A,COUNTA(生物种群!$A:$A)),MATCH($I39,生物种群!$B$2:INDEX(生物种群!$B:$B,COUNTA(生物种群!$B:$B)),),))</f>
        <v>小公鱼属</v>
      </c>
      <c r="I39" s="71" t="str">
        <f>IF(A39&amp;B39&amp;C39="","",IF($C39&lt;&gt;0,INDEX(生物种群!$B$2:INDEX(生物种群!$B:$B,COUNTA(生物种群!$B:$B)),MATCH($C39,生物种群!$G$2:INDEX(生物种群!$G:$G,COUNTA(生物种群!$G:$G)),),),IF($A39&lt;&gt;0,INDEX(生物种群!$B$2:INDEX(生物种群!$B:$B,COUNTA(生物种群!$B:$B)),MATCH($A39,生物种群!$C$2:INDEX(生物种群!$C:$C,COUNTA(生物种群!$C:$C)),),),INDEX(生物种群!$B$2:INDEX(生物种群!$B:$B,COUNTA(生物种群!$B:$B)),MATCH($B39,生物种群!$D$2:INDEX(生物种群!$D:$D,COUNTA(生物种群!$D:$D)),),))))</f>
        <v>Stolephorus sp.</v>
      </c>
      <c r="J39" s="37" t="str">
        <f>IF(A39&amp;B39&amp;C39="","",INDEX(生物种群!$J$2:INDEX(生物种群!$J:$J,COUNTA(生物种群!$J:$J)),MATCH($I39,生物种群!$B$2:INDEX(生物种群!$B:$B,COUNTA(生物种群!$B:$B)),),))</f>
        <v/>
      </c>
      <c r="K39" s="71" t="str">
        <f>IF(A39&amp;B39&amp;C39="","",INDEX(生物种群!$E$2:INDEX(生物种群!$E:$E,COUNTA(生物种群!$E:$E)),MATCH($I39,生物种群!$B$2:INDEX(生物种群!$B:$B,COUNTA(生物种群!$B:$B)),),))</f>
        <v>鳀科</v>
      </c>
      <c r="L39" s="37" t="str">
        <f>IF(A39&amp;B39&amp;C39="","",INDEX(生物种群!$F$3:INDEX(生物种群!$F:$F,COUNTA(生物种群!$F:$F)),MATCH($I39,生物种群!$B$3:INDEX(生物种群!$B:$B,COUNTA(生物种群!$B:$B)),),))</f>
        <v>鲱形目</v>
      </c>
      <c r="M39" s="37" t="str">
        <f t="shared" si="1"/>
        <v>A2N44ZQ073Stolephorus sp.稚鱼</v>
      </c>
      <c r="N39" s="37" t="str">
        <f t="shared" si="0"/>
        <v/>
      </c>
      <c r="O39" s="9"/>
      <c r="P39" s="10"/>
    </row>
    <row r="40" spans="1:16" ht="20.1" customHeight="1">
      <c r="A40" s="9" t="s">
        <v>14449</v>
      </c>
      <c r="B40" s="42"/>
      <c r="C40" s="9"/>
      <c r="D40" s="43">
        <v>1</v>
      </c>
      <c r="E40" s="9" t="s">
        <v>14435</v>
      </c>
      <c r="F40" s="9" t="s">
        <v>14369</v>
      </c>
      <c r="G40" s="47" t="str">
        <f>IF(F40="","",INDEX(站位样品信息!$B$3:INDEX(站位样品信息!$B:$B,COUNTA(站位样品信息!$B:$B)+1),MATCH($F40,站位样品信息!$A$3:INDEX(站位样品信息!$A:$A,COUNTA(站位样品信息!$A:$A)+1),),))</f>
        <v>B0376</v>
      </c>
      <c r="H40" s="71" t="str">
        <f>IF(A40&amp;B40&amp;C40="","",INDEX(生物种群!$A$2:INDEX(生物种群!$A:$A,COUNTA(生物种群!$A:$A)),MATCH($I40,生物种群!$B$2:INDEX(生物种群!$B:$B,COUNTA(生物种群!$B:$B)),),))</f>
        <v>鮻属</v>
      </c>
      <c r="I40" s="71" t="str">
        <f>IF(A40&amp;B40&amp;C40="","",IF($C40&lt;&gt;0,INDEX(生物种群!$B$2:INDEX(生物种群!$B:$B,COUNTA(生物种群!$B:$B)),MATCH($C40,生物种群!$G$2:INDEX(生物种群!$G:$G,COUNTA(生物种群!$G:$G)),),),IF($A40&lt;&gt;0,INDEX(生物种群!$B$2:INDEX(生物种群!$B:$B,COUNTA(生物种群!$B:$B)),MATCH($A40,生物种群!$C$2:INDEX(生物种群!$C:$C,COUNTA(生物种群!$C:$C)),),),INDEX(生物种群!$B$2:INDEX(生物种群!$B:$B,COUNTA(生物种群!$B:$B)),MATCH($B40,生物种群!$D$2:INDEX(生物种群!$D:$D,COUNTA(生物种群!$D:$D)),),))))</f>
        <v>Liza sp.</v>
      </c>
      <c r="J40" s="37" t="str">
        <f>IF(A40&amp;B40&amp;C40="","",INDEX(生物种群!$J$2:INDEX(生物种群!$J:$J,COUNTA(生物种群!$J:$J)),MATCH($I40,生物种群!$B$2:INDEX(生物种群!$B:$B,COUNTA(生物种群!$B:$B)),),))</f>
        <v/>
      </c>
      <c r="K40" s="71" t="str">
        <f>IF(A40&amp;B40&amp;C40="","",INDEX(生物种群!$E$2:INDEX(生物种群!$E:$E,COUNTA(生物种群!$E:$E)),MATCH($I40,生物种群!$B$2:INDEX(生物种群!$B:$B,COUNTA(生物种群!$B:$B)),),))</f>
        <v>鲻科</v>
      </c>
      <c r="L40" s="37" t="str">
        <f>IF(A40&amp;B40&amp;C40="","",INDEX(生物种群!$F$3:INDEX(生物种群!$F:$F,COUNTA(生物种群!$F:$F)),MATCH($I40,生物种群!$B$3:INDEX(生物种群!$B:$B,COUNTA(生物种群!$B:$B)),),))</f>
        <v>鲻形目</v>
      </c>
      <c r="M40" s="37" t="str">
        <f t="shared" si="1"/>
        <v>A2N44ZQ073Liza sp.仔鱼</v>
      </c>
      <c r="N40" s="37" t="str">
        <f t="shared" si="0"/>
        <v/>
      </c>
      <c r="O40" s="9"/>
      <c r="P40" s="10"/>
    </row>
    <row r="41" spans="1:16" ht="20.1" customHeight="1">
      <c r="A41" s="9" t="s">
        <v>14452</v>
      </c>
      <c r="B41" s="42"/>
      <c r="C41" s="9"/>
      <c r="D41" s="43">
        <v>4</v>
      </c>
      <c r="E41" s="9" t="s">
        <v>14435</v>
      </c>
      <c r="F41" s="9" t="s">
        <v>14369</v>
      </c>
      <c r="G41" s="47" t="str">
        <f>IF(F41="","",INDEX(站位样品信息!$B$3:INDEX(站位样品信息!$B:$B,COUNTA(站位样品信息!$B:$B)+1),MATCH($F41,站位样品信息!$A$3:INDEX(站位样品信息!$A:$A,COUNTA(站位样品信息!$A:$A)+1),),))</f>
        <v>B0376</v>
      </c>
      <c r="H41" s="71" t="str">
        <f>IF(A41&amp;B41&amp;C41="","",INDEX(生物种群!$A$2:INDEX(生物种群!$A:$A,COUNTA(生物种群!$A:$A)),MATCH($I41,生物种群!$B$2:INDEX(生物种群!$B:$B,COUNTA(生物种群!$B:$B)),),))</f>
        <v>鱵属</v>
      </c>
      <c r="I41" s="71" t="str">
        <f>IF(A41&amp;B41&amp;C41="","",IF($C41&lt;&gt;0,INDEX(生物种群!$B$2:INDEX(生物种群!$B:$B,COUNTA(生物种群!$B:$B)),MATCH($C41,生物种群!$G$2:INDEX(生物种群!$G:$G,COUNTA(生物种群!$G:$G)),),),IF($A41&lt;&gt;0,INDEX(生物种群!$B$2:INDEX(生物种群!$B:$B,COUNTA(生物种群!$B:$B)),MATCH($A41,生物种群!$C$2:INDEX(生物种群!$C:$C,COUNTA(生物种群!$C:$C)),),),INDEX(生物种群!$B$2:INDEX(生物种群!$B:$B,COUNTA(生物种群!$B:$B)),MATCH($B41,生物种群!$D$2:INDEX(生物种群!$D:$D,COUNTA(生物种群!$D:$D)),),))))</f>
        <v>Hemirhamphus sp.</v>
      </c>
      <c r="J41" s="37" t="str">
        <f>IF(A41&amp;B41&amp;C41="","",INDEX(生物种群!$J$2:INDEX(生物种群!$J:$J,COUNTA(生物种群!$J:$J)),MATCH($I41,生物种群!$B$2:INDEX(生物种群!$B:$B,COUNTA(生物种群!$B:$B)),),))</f>
        <v/>
      </c>
      <c r="K41" s="71" t="str">
        <f>IF(A41&amp;B41&amp;C41="","",INDEX(生物种群!$E$2:INDEX(生物种群!$E:$E,COUNTA(生物种群!$E:$E)),MATCH($I41,生物种群!$B$2:INDEX(生物种群!$B:$B,COUNTA(生物种群!$B:$B)),),))</f>
        <v>鱵科</v>
      </c>
      <c r="L41" s="37" t="str">
        <f>IF(A41&amp;B41&amp;C41="","",INDEX(生物种群!$F$3:INDEX(生物种群!$F:$F,COUNTA(生物种群!$F:$F)),MATCH($I41,生物种群!$B$3:INDEX(生物种群!$B:$B,COUNTA(生物种群!$B:$B)),),))</f>
        <v>颌针鱼目</v>
      </c>
      <c r="M41" s="37" t="str">
        <f t="shared" si="1"/>
        <v>A2N44ZQ073Hemirhamphus sp.仔鱼</v>
      </c>
      <c r="N41" s="37" t="str">
        <f t="shared" si="0"/>
        <v/>
      </c>
      <c r="O41" s="9"/>
      <c r="P41" s="10"/>
    </row>
    <row r="42" spans="1:16" ht="20.1" customHeight="1">
      <c r="A42" s="9" t="s">
        <v>14458</v>
      </c>
      <c r="B42" s="42"/>
      <c r="C42" s="9"/>
      <c r="D42" s="43">
        <v>1</v>
      </c>
      <c r="E42" s="9" t="s">
        <v>14435</v>
      </c>
      <c r="F42" s="9" t="s">
        <v>14369</v>
      </c>
      <c r="G42" s="47" t="str">
        <f>IF(F42="","",INDEX(站位样品信息!$B$3:INDEX(站位样品信息!$B:$B,COUNTA(站位样品信息!$B:$B)+1),MATCH($F42,站位样品信息!$A$3:INDEX(站位样品信息!$A:$A,COUNTA(站位样品信息!$A:$A)+1),),))</f>
        <v>B0376</v>
      </c>
      <c r="H42" s="71" t="str">
        <f>IF(A42&amp;B42&amp;C42="","",INDEX(生物种群!$A$2:INDEX(生物种群!$A:$A,COUNTA(生物种群!$A:$A)),MATCH($I42,生物种群!$B$2:INDEX(生物种群!$B:$B,COUNTA(生物种群!$B:$B)),),))</f>
        <v>美肩鳃鳚</v>
      </c>
      <c r="I42" s="71" t="str">
        <f>IF(A42&amp;B42&amp;C42="","",IF($C42&lt;&gt;0,INDEX(生物种群!$B$2:INDEX(生物种群!$B:$B,COUNTA(生物种群!$B:$B)),MATCH($C42,生物种群!$G$2:INDEX(生物种群!$G:$G,COUNTA(生物种群!$G:$G)),),),IF($A42&lt;&gt;0,INDEX(生物种群!$B$2:INDEX(生物种群!$B:$B,COUNTA(生物种群!$B:$B)),MATCH($A42,生物种群!$C$2:INDEX(生物种群!$C:$C,COUNTA(生物种群!$C:$C)),),),INDEX(生物种群!$B$2:INDEX(生物种群!$B:$B,COUNTA(生物种群!$B:$B)),MATCH($B42,生物种群!$D$2:INDEX(生物种群!$D:$D,COUNTA(生物种群!$D:$D)),),))))</f>
        <v>Omobranchus elegans</v>
      </c>
      <c r="J42" s="37" t="str">
        <f>IF(A42&amp;B42&amp;C42="","",INDEX(生物种群!$J$2:INDEX(生物种群!$J:$J,COUNTA(生物种群!$J:$J)),MATCH($I42,生物种群!$B$2:INDEX(生物种群!$B:$B,COUNTA(生物种群!$B:$B)),),))</f>
        <v>(Steindachner)</v>
      </c>
      <c r="K42" s="71" t="str">
        <f>IF(A42&amp;B42&amp;C42="","",INDEX(生物种群!$E$2:INDEX(生物种群!$E:$E,COUNTA(生物种群!$E:$E)),MATCH($I42,生物种群!$B$2:INDEX(生物种群!$B:$B,COUNTA(生物种群!$B:$B)),),))</f>
        <v>鳚科</v>
      </c>
      <c r="L42" s="37" t="str">
        <f>IF(A42&amp;B42&amp;C42="","",INDEX(生物种群!$F$3:INDEX(生物种群!$F:$F,COUNTA(生物种群!$F:$F)),MATCH($I42,生物种群!$B$3:INDEX(生物种群!$B:$B,COUNTA(生物种群!$B:$B)),),))</f>
        <v>鲈形目</v>
      </c>
      <c r="M42" s="37" t="str">
        <f t="shared" si="1"/>
        <v>A2N44ZQ073Omobranchus elegans仔鱼</v>
      </c>
      <c r="N42" s="37" t="str">
        <f t="shared" si="0"/>
        <v/>
      </c>
      <c r="O42" s="9"/>
      <c r="P42" s="10"/>
    </row>
    <row r="43" spans="1:16" ht="20.1" customHeight="1">
      <c r="A43" s="9" t="s">
        <v>14459</v>
      </c>
      <c r="B43" s="42"/>
      <c r="C43" s="9"/>
      <c r="D43" s="43">
        <v>2</v>
      </c>
      <c r="E43" s="9" t="s">
        <v>14435</v>
      </c>
      <c r="F43" s="9" t="s">
        <v>14369</v>
      </c>
      <c r="G43" s="47" t="str">
        <f>IF(F43="","",INDEX(站位样品信息!$B$3:INDEX(站位样品信息!$B:$B,COUNTA(站位样品信息!$B:$B)+1),MATCH($F43,站位样品信息!$A$3:INDEX(站位样品信息!$A:$A,COUNTA(站位样品信息!$A:$A)+1),),))</f>
        <v>B0376</v>
      </c>
      <c r="H43" s="72" t="str">
        <f>IF(A43&amp;B43&amp;C43="","",INDEX(生物种群!$A$2:INDEX(生物种群!$A:$A,COUNTA(生物种群!$A:$A)),MATCH($I43,生物种群!$B$2:INDEX(生物种群!$B:$B,COUNTA(生物种群!$B:$B)),),))</f>
        <v>肩鳃鳚属</v>
      </c>
      <c r="I43" s="72" t="str">
        <f>IF(A43&amp;B43&amp;C43="","",IF($C43&lt;&gt;0,INDEX(生物种群!$B$2:INDEX(生物种群!$B:$B,COUNTA(生物种群!$B:$B)),MATCH($C43,生物种群!$G$2:INDEX(生物种群!$G:$G,COUNTA(生物种群!$G:$G)),),),IF($A43&lt;&gt;0,INDEX(生物种群!$B$2:INDEX(生物种群!$B:$B,COUNTA(生物种群!$B:$B)),MATCH($A43,生物种群!$C$2:INDEX(生物种群!$C:$C,COUNTA(生物种群!$C:$C)),),),INDEX(生物种群!$B$2:INDEX(生物种群!$B:$B,COUNTA(生物种群!$B:$B)),MATCH($B43,生物种群!$D$2:INDEX(生物种群!$D:$D,COUNTA(生物种群!$D:$D)),),))))</f>
        <v>Omobranchus sp.</v>
      </c>
      <c r="J43" s="37" t="str">
        <f>IF(A43&amp;B43&amp;C43="","",INDEX(生物种群!$J$2:INDEX(生物种群!$J:$J,COUNTA(生物种群!$J:$J)),MATCH($I43,生物种群!$B$2:INDEX(生物种群!$B:$B,COUNTA(生物种群!$B:$B)),),))</f>
        <v>(Steindachner)</v>
      </c>
      <c r="K43" s="72" t="str">
        <f>IF(A43&amp;B43&amp;C43="","",INDEX(生物种群!$E$2:INDEX(生物种群!$E:$E,COUNTA(生物种群!$E:$E)),MATCH($I43,生物种群!$B$2:INDEX(生物种群!$B:$B,COUNTA(生物种群!$B:$B)),),))</f>
        <v>鳚科</v>
      </c>
      <c r="L43" s="37" t="str">
        <f>IF(A43&amp;B43&amp;C43="","",INDEX(生物种群!$F$3:INDEX(生物种群!$F:$F,COUNTA(生物种群!$F:$F)),MATCH($I43,生物种群!$B$3:INDEX(生物种群!$B:$B,COUNTA(生物种群!$B:$B)),),))</f>
        <v>鲈形目</v>
      </c>
      <c r="M43" s="37" t="str">
        <f t="shared" si="1"/>
        <v>A2N44ZQ073Omobranchus sp.仔鱼</v>
      </c>
      <c r="N43" s="37" t="str">
        <f t="shared" si="0"/>
        <v/>
      </c>
      <c r="O43" s="9"/>
      <c r="P43" s="10"/>
    </row>
    <row r="44" spans="1:16" ht="20.1" customHeight="1">
      <c r="A44" s="9" t="s">
        <v>14453</v>
      </c>
      <c r="B44" s="42"/>
      <c r="C44" s="9"/>
      <c r="D44" s="43">
        <v>1</v>
      </c>
      <c r="E44" s="9" t="s">
        <v>14435</v>
      </c>
      <c r="F44" s="9" t="s">
        <v>14369</v>
      </c>
      <c r="G44" s="47" t="str">
        <f>IF(F44="","",INDEX(站位样品信息!$B$3:INDEX(站位样品信息!$B:$B,COUNTA(站位样品信息!$B:$B)+1),MATCH($F44,站位样品信息!$A$3:INDEX(站位样品信息!$A:$A,COUNTA(站位样品信息!$A:$A)+1),),))</f>
        <v>B0376</v>
      </c>
      <c r="H44" s="71" t="str">
        <f>IF(A44&amp;B44&amp;C44="","",INDEX(生物种群!$A$2:INDEX(生物种群!$A:$A,COUNTA(生物种群!$A:$A)),MATCH($I44,生物种群!$B$2:INDEX(生物种群!$B:$B,COUNTA(生物种群!$B:$B)),),))</f>
        <v>眶棘双边鱼</v>
      </c>
      <c r="I44" s="71" t="str">
        <f>IF(A44&amp;B44&amp;C44="","",IF($C44&lt;&gt;0,INDEX(生物种群!$B$2:INDEX(生物种群!$B:$B,COUNTA(生物种群!$B:$B)),MATCH($C44,生物种群!$G$2:INDEX(生物种群!$G:$G,COUNTA(生物种群!$G:$G)),),),IF($A44&lt;&gt;0,INDEX(生物种群!$B$2:INDEX(生物种群!$B:$B,COUNTA(生物种群!$B:$B)),MATCH($A44,生物种群!$C$2:INDEX(生物种群!$C:$C,COUNTA(生物种群!$C:$C)),),),INDEX(生物种群!$B$2:INDEX(生物种群!$B:$B,COUNTA(生物种群!$B:$B)),MATCH($B44,生物种群!$D$2:INDEX(生物种群!$D:$D,COUNTA(生物种群!$D:$D)),),))))</f>
        <v>Ambassis gymnocephalus</v>
      </c>
      <c r="J44" s="37" t="str">
        <f>IF(A44&amp;B44&amp;C44="","",INDEX(生物种群!$J$2:INDEX(生物种群!$J:$J,COUNTA(生物种群!$J:$J)),MATCH($I44,生物种群!$B$2:INDEX(生物种群!$B:$B,COUNTA(生物种群!$B:$B)),),))</f>
        <v>Lacepede</v>
      </c>
      <c r="K44" s="71" t="str">
        <f>IF(A44&amp;B44&amp;C44="","",INDEX(生物种群!$E$2:INDEX(生物种群!$E:$E,COUNTA(生物种群!$E:$E)),MATCH($I44,生物种群!$B$2:INDEX(生物种群!$B:$B,COUNTA(生物种群!$B:$B)),),))</f>
        <v>双边鱼科</v>
      </c>
      <c r="L44" s="37" t="str">
        <f>IF(A44&amp;B44&amp;C44="","",INDEX(生物种群!$F$3:INDEX(生物种群!$F:$F,COUNTA(生物种群!$F:$F)),MATCH($I44,生物种群!$B$3:INDEX(生物种群!$B:$B,COUNTA(生物种群!$B:$B)),),))</f>
        <v>鲈形目</v>
      </c>
      <c r="M44" s="37" t="str">
        <f t="shared" si="1"/>
        <v>A2N44ZQ073Ambassis gymnocephalus仔鱼</v>
      </c>
      <c r="N44" s="37" t="str">
        <f t="shared" si="0"/>
        <v/>
      </c>
      <c r="O44" s="9"/>
      <c r="P44" s="10"/>
    </row>
    <row r="45" spans="1:16" ht="20.1" customHeight="1">
      <c r="A45" s="9" t="s">
        <v>14446</v>
      </c>
      <c r="B45" s="42"/>
      <c r="C45" s="9"/>
      <c r="D45" s="43">
        <v>13</v>
      </c>
      <c r="E45" s="9" t="s">
        <v>14435</v>
      </c>
      <c r="F45" s="9" t="s">
        <v>14369</v>
      </c>
      <c r="G45" s="47" t="str">
        <f>IF(F45="","",INDEX(站位样品信息!$B$3:INDEX(站位样品信息!$B:$B,COUNTA(站位样品信息!$B:$B)+1),MATCH($F45,站位样品信息!$A$3:INDEX(站位样品信息!$A:$A,COUNTA(站位样品信息!$A:$A)+1),),))</f>
        <v>B0376</v>
      </c>
      <c r="H45" s="71" t="str">
        <f>IF(A45&amp;B45&amp;C45="","",INDEX(生物种群!$A$2:INDEX(生物种群!$A:$A,COUNTA(生物种群!$A:$A)),MATCH($I45,生物种群!$B$2:INDEX(生物种群!$B:$B,COUNTA(生物种群!$B:$B)),),))</f>
        <v>小沙丁鱼属</v>
      </c>
      <c r="I45" s="71" t="str">
        <f>IF(A45&amp;B45&amp;C45="","",IF($C45&lt;&gt;0,INDEX(生物种群!$B$2:INDEX(生物种群!$B:$B,COUNTA(生物种群!$B:$B)),MATCH($C45,生物种群!$G$2:INDEX(生物种群!$G:$G,COUNTA(生物种群!$G:$G)),),),IF($A45&lt;&gt;0,INDEX(生物种群!$B$2:INDEX(生物种群!$B:$B,COUNTA(生物种群!$B:$B)),MATCH($A45,生物种群!$C$2:INDEX(生物种群!$C:$C,COUNTA(生物种群!$C:$C)),),),INDEX(生物种群!$B$2:INDEX(生物种群!$B:$B,COUNTA(生物种群!$B:$B)),MATCH($B45,生物种群!$D$2:INDEX(生物种群!$D:$D,COUNTA(生物种群!$D:$D)),),))))</f>
        <v>Sardinella sp.</v>
      </c>
      <c r="J45" s="37" t="str">
        <f>IF(A45&amp;B45&amp;C45="","",INDEX(生物种群!$J$2:INDEX(生物种群!$J:$J,COUNTA(生物种群!$J:$J)),MATCH($I45,生物种群!$B$2:INDEX(生物种群!$B:$B,COUNTA(生物种群!$B:$B)),),))</f>
        <v>et Valenciennes</v>
      </c>
      <c r="K45" s="71" t="str">
        <f>IF(A45&amp;B45&amp;C45="","",INDEX(生物种群!$E$2:INDEX(生物种群!$E:$E,COUNTA(生物种群!$E:$E)),MATCH($I45,生物种群!$B$2:INDEX(生物种群!$B:$B,COUNTA(生物种群!$B:$B)),),))</f>
        <v>鲱科</v>
      </c>
      <c r="L45" s="37" t="str">
        <f>IF(A45&amp;B45&amp;C45="","",INDEX(生物种群!$F$3:INDEX(生物种群!$F:$F,COUNTA(生物种群!$F:$F)),MATCH($I45,生物种群!$B$3:INDEX(生物种群!$B:$B,COUNTA(生物种群!$B:$B)),),))</f>
        <v>鲱形目</v>
      </c>
      <c r="M45" s="37" t="str">
        <f t="shared" si="1"/>
        <v>A2N44ZQ073Sardinella sp.仔鱼</v>
      </c>
      <c r="N45" s="37" t="str">
        <f t="shared" si="0"/>
        <v/>
      </c>
      <c r="O45" s="9"/>
      <c r="P45" s="10"/>
    </row>
    <row r="46" spans="1:16" ht="20.1" customHeight="1">
      <c r="A46" s="9" t="s">
        <v>14450</v>
      </c>
      <c r="B46" s="42"/>
      <c r="C46" s="9"/>
      <c r="D46" s="43">
        <v>3</v>
      </c>
      <c r="E46" s="9" t="s">
        <v>14443</v>
      </c>
      <c r="F46" s="9" t="s">
        <v>14369</v>
      </c>
      <c r="G46" s="47" t="str">
        <f>IF(F46="","",INDEX(站位样品信息!$B$3:INDEX(站位样品信息!$B:$B,COUNTA(站位样品信息!$B:$B)+1),MATCH($F46,站位样品信息!$A$3:INDEX(站位样品信息!$A:$A,COUNTA(站位样品信息!$A:$A)+1),),))</f>
        <v>B0376</v>
      </c>
      <c r="H46" s="71" t="str">
        <f>IF(A46&amp;B46&amp;C46="","",INDEX(生物种群!$A$2:INDEX(生物种群!$A:$A,COUNTA(生物种群!$A:$A)),MATCH($I46,生物种群!$B$2:INDEX(生物种群!$B:$B,COUNTA(生物种群!$B:$B)),),))</f>
        <v>棘头梅童鱼</v>
      </c>
      <c r="I46" s="71" t="str">
        <f>IF(A46&amp;B46&amp;C46="","",IF($C46&lt;&gt;0,INDEX(生物种群!$B$2:INDEX(生物种群!$B:$B,COUNTA(生物种群!$B:$B)),MATCH($C46,生物种群!$G$2:INDEX(生物种群!$G:$G,COUNTA(生物种群!$G:$G)),),),IF($A46&lt;&gt;0,INDEX(生物种群!$B$2:INDEX(生物种群!$B:$B,COUNTA(生物种群!$B:$B)),MATCH($A46,生物种群!$C$2:INDEX(生物种群!$C:$C,COUNTA(生物种群!$C:$C)),),),INDEX(生物种群!$B$2:INDEX(生物种群!$B:$B,COUNTA(生物种群!$B:$B)),MATCH($B46,生物种群!$D$2:INDEX(生物种群!$D:$D,COUNTA(生物种群!$D:$D)),),))))</f>
        <v>Collichthys lucidus</v>
      </c>
      <c r="J46" s="37" t="str">
        <f>IF(A46&amp;B46&amp;C46="","",INDEX(生物种群!$J$2:INDEX(生物种群!$J:$J,COUNTA(生物种群!$J:$J)),MATCH($I46,生物种群!$B$2:INDEX(生物种群!$B:$B,COUNTA(生物种群!$B:$B)),),))</f>
        <v>(Richardson)</v>
      </c>
      <c r="K46" s="71" t="str">
        <f>IF(A46&amp;B46&amp;C46="","",INDEX(生物种群!$E$2:INDEX(生物种群!$E:$E,COUNTA(生物种群!$E:$E)),MATCH($I46,生物种群!$B$2:INDEX(生物种群!$B:$B,COUNTA(生物种群!$B:$B)),),))</f>
        <v>石首鱼科</v>
      </c>
      <c r="L46" s="37" t="str">
        <f>IF(A46&amp;B46&amp;C46="","",INDEX(生物种群!$F$3:INDEX(生物种群!$F:$F,COUNTA(生物种群!$F:$F)),MATCH($I46,生物种群!$B$3:INDEX(生物种群!$B:$B,COUNTA(生物种群!$B:$B)),),))</f>
        <v>鲈形目</v>
      </c>
      <c r="M46" s="37" t="str">
        <f t="shared" si="1"/>
        <v>A2N44ZQ073Collichthys lucidus鱼卵</v>
      </c>
      <c r="N46" s="37" t="str">
        <f t="shared" si="0"/>
        <v/>
      </c>
      <c r="O46" s="9"/>
      <c r="P46" s="10"/>
    </row>
    <row r="47" spans="1:16" ht="20.1" customHeight="1">
      <c r="A47" s="9" t="s">
        <v>14460</v>
      </c>
      <c r="B47" s="42"/>
      <c r="C47" s="9"/>
      <c r="D47" s="43">
        <v>5</v>
      </c>
      <c r="E47" s="9" t="s">
        <v>14430</v>
      </c>
      <c r="F47" s="9" t="s">
        <v>14372</v>
      </c>
      <c r="G47" s="47" t="str">
        <f>IF(F47="","",INDEX(站位样品信息!$B$3:INDEX(站位样品信息!$B:$B,COUNTA(站位样品信息!$B:$B)+1),MATCH($F47,站位样品信息!$A$3:INDEX(站位样品信息!$A:$A,COUNTA(站位样品信息!$A:$A)+1),),))</f>
        <v>B0367</v>
      </c>
      <c r="H47" s="71" t="str">
        <f>IF(A47&amp;B47&amp;C47="","",INDEX(生物种群!$A$2:INDEX(生物种群!$A:$A,COUNTA(生物种群!$A:$A)),MATCH($I47,生物种群!$B$2:INDEX(生物种群!$B:$B,COUNTA(生物种群!$B:$B)),),))</f>
        <v>康氏小公鱼</v>
      </c>
      <c r="I47" s="71" t="str">
        <f>IF(A47&amp;B47&amp;C47="","",IF($C47&lt;&gt;0,INDEX(生物种群!$B$2:INDEX(生物种群!$B:$B,COUNTA(生物种群!$B:$B)),MATCH($C47,生物种群!$G$2:INDEX(生物种群!$G:$G,COUNTA(生物种群!$G:$G)),),),IF($A47&lt;&gt;0,INDEX(生物种群!$B$2:INDEX(生物种群!$B:$B,COUNTA(生物种群!$B:$B)),MATCH($A47,生物种群!$C$2:INDEX(生物种群!$C:$C,COUNTA(生物种群!$C:$C)),),),INDEX(生物种群!$B$2:INDEX(生物种群!$B:$B,COUNTA(生物种群!$B:$B)),MATCH($B47,生物种群!$D$2:INDEX(生物种群!$D:$D,COUNTA(生物种群!$D:$D)),),))))</f>
        <v>Stolephorus commersonii</v>
      </c>
      <c r="J47" s="37" t="str">
        <f>IF(A47&amp;B47&amp;C47="","",INDEX(生物种群!$J$2:INDEX(生物种群!$J:$J,COUNTA(生物种群!$J:$J)),MATCH($I47,生物种群!$B$2:INDEX(生物种群!$B:$B,COUNTA(生物种群!$B:$B)),),))</f>
        <v>(Lacepede)</v>
      </c>
      <c r="K47" s="71" t="str">
        <f>IF(A47&amp;B47&amp;C47="","",INDEX(生物种群!$E$2:INDEX(生物种群!$E:$E,COUNTA(生物种群!$E:$E)),MATCH($I47,生物种群!$B$2:INDEX(生物种群!$B:$B,COUNTA(生物种群!$B:$B)),),))</f>
        <v>鳀科</v>
      </c>
      <c r="L47" s="37" t="str">
        <f>IF(A47&amp;B47&amp;C47="","",INDEX(生物种群!$F$3:INDEX(生物种群!$F:$F,COUNTA(生物种群!$F:$F)),MATCH($I47,生物种群!$B$3:INDEX(生物种群!$B:$B,COUNTA(生物种群!$B:$B)),),))</f>
        <v>鲱形目</v>
      </c>
      <c r="M47" s="37" t="str">
        <f t="shared" si="1"/>
        <v>A2N44ZQ076Stolephorus commersonii幼鱼</v>
      </c>
      <c r="N47" s="37" t="str">
        <f t="shared" si="0"/>
        <v/>
      </c>
      <c r="O47" s="9"/>
      <c r="P47" s="10"/>
    </row>
    <row r="48" spans="1:16" ht="20.1" customHeight="1">
      <c r="A48" s="9" t="s">
        <v>14446</v>
      </c>
      <c r="B48" s="42"/>
      <c r="C48" s="9"/>
      <c r="D48" s="43">
        <v>6</v>
      </c>
      <c r="E48" s="9" t="s">
        <v>14435</v>
      </c>
      <c r="F48" s="9" t="s">
        <v>14372</v>
      </c>
      <c r="G48" s="47" t="str">
        <f>IF(F48="","",INDEX(站位样品信息!$B$3:INDEX(站位样品信息!$B:$B,COUNTA(站位样品信息!$B:$B)+1),MATCH($F48,站位样品信息!$A$3:INDEX(站位样品信息!$A:$A,COUNTA(站位样品信息!$A:$A)+1),),))</f>
        <v>B0367</v>
      </c>
      <c r="H48" s="71" t="str">
        <f>IF(A48&amp;B48&amp;C48="","",INDEX(生物种群!$A$2:INDEX(生物种群!$A:$A,COUNTA(生物种群!$A:$A)),MATCH($I48,生物种群!$B$2:INDEX(生物种群!$B:$B,COUNTA(生物种群!$B:$B)),),))</f>
        <v>小沙丁鱼属</v>
      </c>
      <c r="I48" s="71" t="str">
        <f>IF(A48&amp;B48&amp;C48="","",IF($C48&lt;&gt;0,INDEX(生物种群!$B$2:INDEX(生物种群!$B:$B,COUNTA(生物种群!$B:$B)),MATCH($C48,生物种群!$G$2:INDEX(生物种群!$G:$G,COUNTA(生物种群!$G:$G)),),),IF($A48&lt;&gt;0,INDEX(生物种群!$B$2:INDEX(生物种群!$B:$B,COUNTA(生物种群!$B:$B)),MATCH($A48,生物种群!$C$2:INDEX(生物种群!$C:$C,COUNTA(生物种群!$C:$C)),),),INDEX(生物种群!$B$2:INDEX(生物种群!$B:$B,COUNTA(生物种群!$B:$B)),MATCH($B48,生物种群!$D$2:INDEX(生物种群!$D:$D,COUNTA(生物种群!$D:$D)),),))))</f>
        <v>Sardinella sp.</v>
      </c>
      <c r="J48" s="37" t="str">
        <f>IF(A48&amp;B48&amp;C48="","",INDEX(生物种群!$J$2:INDEX(生物种群!$J:$J,COUNTA(生物种群!$J:$J)),MATCH($I48,生物种群!$B$2:INDEX(生物种群!$B:$B,COUNTA(生物种群!$B:$B)),),))</f>
        <v>et Valenciennes</v>
      </c>
      <c r="K48" s="71" t="str">
        <f>IF(A48&amp;B48&amp;C48="","",INDEX(生物种群!$E$2:INDEX(生物种群!$E:$E,COUNTA(生物种群!$E:$E)),MATCH($I48,生物种群!$B$2:INDEX(生物种群!$B:$B,COUNTA(生物种群!$B:$B)),),))</f>
        <v>鲱科</v>
      </c>
      <c r="L48" s="37" t="str">
        <f>IF(A48&amp;B48&amp;C48="","",INDEX(生物种群!$F$3:INDEX(生物种群!$F:$F,COUNTA(生物种群!$F:$F)),MATCH($I48,生物种群!$B$3:INDEX(生物种群!$B:$B,COUNTA(生物种群!$B:$B)),),))</f>
        <v>鲱形目</v>
      </c>
      <c r="M48" s="37" t="str">
        <f t="shared" si="1"/>
        <v>A2N44ZQ076Sardinella sp.仔鱼</v>
      </c>
      <c r="N48" s="37" t="str">
        <f t="shared" si="0"/>
        <v/>
      </c>
      <c r="O48" s="9"/>
      <c r="P48" s="10"/>
    </row>
    <row r="49" spans="1:16" ht="20.1" customHeight="1">
      <c r="A49" s="9" t="s">
        <v>14452</v>
      </c>
      <c r="B49" s="42"/>
      <c r="C49" s="9"/>
      <c r="D49" s="43">
        <v>1</v>
      </c>
      <c r="E49" s="9" t="s">
        <v>14435</v>
      </c>
      <c r="F49" s="9" t="s">
        <v>14372</v>
      </c>
      <c r="G49" s="47" t="str">
        <f>IF(F49="","",INDEX(站位样品信息!$B$3:INDEX(站位样品信息!$B:$B,COUNTA(站位样品信息!$B:$B)+1),MATCH($F49,站位样品信息!$A$3:INDEX(站位样品信息!$A:$A,COUNTA(站位样品信息!$A:$A)+1),),))</f>
        <v>B0367</v>
      </c>
      <c r="H49" s="71" t="str">
        <f>IF(A49&amp;B49&amp;C49="","",INDEX(生物种群!$A$2:INDEX(生物种群!$A:$A,COUNTA(生物种群!$A:$A)),MATCH($I49,生物种群!$B$2:INDEX(生物种群!$B:$B,COUNTA(生物种群!$B:$B)),),))</f>
        <v>鱵属</v>
      </c>
      <c r="I49" s="71" t="str">
        <f>IF(A49&amp;B49&amp;C49="","",IF($C49&lt;&gt;0,INDEX(生物种群!$B$2:INDEX(生物种群!$B:$B,COUNTA(生物种群!$B:$B)),MATCH($C49,生物种群!$G$2:INDEX(生物种群!$G:$G,COUNTA(生物种群!$G:$G)),),),IF($A49&lt;&gt;0,INDEX(生物种群!$B$2:INDEX(生物种群!$B:$B,COUNTA(生物种群!$B:$B)),MATCH($A49,生物种群!$C$2:INDEX(生物种群!$C:$C,COUNTA(生物种群!$C:$C)),),),INDEX(生物种群!$B$2:INDEX(生物种群!$B:$B,COUNTA(生物种群!$B:$B)),MATCH($B49,生物种群!$D$2:INDEX(生物种群!$D:$D,COUNTA(生物种群!$D:$D)),),))))</f>
        <v>Hemirhamphus sp.</v>
      </c>
      <c r="J49" s="37" t="str">
        <f>IF(A49&amp;B49&amp;C49="","",INDEX(生物种群!$J$2:INDEX(生物种群!$J:$J,COUNTA(生物种群!$J:$J)),MATCH($I49,生物种群!$B$2:INDEX(生物种群!$B:$B,COUNTA(生物种群!$B:$B)),),))</f>
        <v/>
      </c>
      <c r="K49" s="71" t="str">
        <f>IF(A49&amp;B49&amp;C49="","",INDEX(生物种群!$E$2:INDEX(生物种群!$E:$E,COUNTA(生物种群!$E:$E)),MATCH($I49,生物种群!$B$2:INDEX(生物种群!$B:$B,COUNTA(生物种群!$B:$B)),),))</f>
        <v>鱵科</v>
      </c>
      <c r="L49" s="37" t="str">
        <f>IF(A49&amp;B49&amp;C49="","",INDEX(生物种群!$F$3:INDEX(生物种群!$F:$F,COUNTA(生物种群!$F:$F)),MATCH($I49,生物种群!$B$3:INDEX(生物种群!$B:$B,COUNTA(生物种群!$B:$B)),),))</f>
        <v>颌针鱼目</v>
      </c>
      <c r="M49" s="37" t="str">
        <f t="shared" si="1"/>
        <v>A2N44ZQ076Hemirhamphus sp.仔鱼</v>
      </c>
      <c r="N49" s="37" t="str">
        <f t="shared" si="0"/>
        <v/>
      </c>
      <c r="O49" s="9"/>
      <c r="P49" s="10"/>
    </row>
    <row r="50" spans="1:16" ht="20.1" customHeight="1">
      <c r="A50" s="9" t="s">
        <v>14458</v>
      </c>
      <c r="B50" s="42"/>
      <c r="C50" s="9"/>
      <c r="D50" s="43">
        <v>17</v>
      </c>
      <c r="E50" s="9" t="s">
        <v>14435</v>
      </c>
      <c r="F50" s="9" t="s">
        <v>14372</v>
      </c>
      <c r="G50" s="47" t="str">
        <f>IF(F50="","",INDEX(站位样品信息!$B$3:INDEX(站位样品信息!$B:$B,COUNTA(站位样品信息!$B:$B)+1),MATCH($F50,站位样品信息!$A$3:INDEX(站位样品信息!$A:$A,COUNTA(站位样品信息!$A:$A)+1),),))</f>
        <v>B0367</v>
      </c>
      <c r="H50" s="71" t="str">
        <f>IF(A50&amp;B50&amp;C50="","",INDEX(生物种群!$A$2:INDEX(生物种群!$A:$A,COUNTA(生物种群!$A:$A)),MATCH($I50,生物种群!$B$2:INDEX(生物种群!$B:$B,COUNTA(生物种群!$B:$B)),),))</f>
        <v>美肩鳃鳚</v>
      </c>
      <c r="I50" s="71" t="str">
        <f>IF(A50&amp;B50&amp;C50="","",IF($C50&lt;&gt;0,INDEX(生物种群!$B$2:INDEX(生物种群!$B:$B,COUNTA(生物种群!$B:$B)),MATCH($C50,生物种群!$G$2:INDEX(生物种群!$G:$G,COUNTA(生物种群!$G:$G)),),),IF($A50&lt;&gt;0,INDEX(生物种群!$B$2:INDEX(生物种群!$B:$B,COUNTA(生物种群!$B:$B)),MATCH($A50,生物种群!$C$2:INDEX(生物种群!$C:$C,COUNTA(生物种群!$C:$C)),),),INDEX(生物种群!$B$2:INDEX(生物种群!$B:$B,COUNTA(生物种群!$B:$B)),MATCH($B50,生物种群!$D$2:INDEX(生物种群!$D:$D,COUNTA(生物种群!$D:$D)),),))))</f>
        <v>Omobranchus elegans</v>
      </c>
      <c r="J50" s="37" t="str">
        <f>IF(A50&amp;B50&amp;C50="","",INDEX(生物种群!$J$2:INDEX(生物种群!$J:$J,COUNTA(生物种群!$J:$J)),MATCH($I50,生物种群!$B$2:INDEX(生物种群!$B:$B,COUNTA(生物种群!$B:$B)),),))</f>
        <v>(Steindachner)</v>
      </c>
      <c r="K50" s="71" t="str">
        <f>IF(A50&amp;B50&amp;C50="","",INDEX(生物种群!$E$2:INDEX(生物种群!$E:$E,COUNTA(生物种群!$E:$E)),MATCH($I50,生物种群!$B$2:INDEX(生物种群!$B:$B,COUNTA(生物种群!$B:$B)),),))</f>
        <v>鳚科</v>
      </c>
      <c r="L50" s="37" t="str">
        <f>IF(A50&amp;B50&amp;C50="","",INDEX(生物种群!$F$3:INDEX(生物种群!$F:$F,COUNTA(生物种群!$F:$F)),MATCH($I50,生物种群!$B$3:INDEX(生物种群!$B:$B,COUNTA(生物种群!$B:$B)),),))</f>
        <v>鲈形目</v>
      </c>
      <c r="M50" s="37" t="str">
        <f t="shared" si="1"/>
        <v>A2N44ZQ076Omobranchus elegans仔鱼</v>
      </c>
      <c r="N50" s="37" t="str">
        <f t="shared" si="0"/>
        <v/>
      </c>
      <c r="O50" s="9"/>
      <c r="P50" s="10"/>
    </row>
    <row r="51" spans="1:16" ht="20.1" customHeight="1">
      <c r="A51" s="9" t="s">
        <v>14453</v>
      </c>
      <c r="B51" s="42"/>
      <c r="C51" s="9"/>
      <c r="D51" s="43">
        <v>6</v>
      </c>
      <c r="E51" s="9" t="s">
        <v>14435</v>
      </c>
      <c r="F51" s="9" t="s">
        <v>14372</v>
      </c>
      <c r="G51" s="47" t="str">
        <f>IF(F51="","",INDEX(站位样品信息!$B$3:INDEX(站位样品信息!$B:$B,COUNTA(站位样品信息!$B:$B)+1),MATCH($F51,站位样品信息!$A$3:INDEX(站位样品信息!$A:$A,COUNTA(站位样品信息!$A:$A)+1),),))</f>
        <v>B0367</v>
      </c>
      <c r="H51" s="71" t="str">
        <f>IF(A51&amp;B51&amp;C51="","",INDEX(生物种群!$A$2:INDEX(生物种群!$A:$A,COUNTA(生物种群!$A:$A)),MATCH($I51,生物种群!$B$2:INDEX(生物种群!$B:$B,COUNTA(生物种群!$B:$B)),),))</f>
        <v>眶棘双边鱼</v>
      </c>
      <c r="I51" s="71" t="str">
        <f>IF(A51&amp;B51&amp;C51="","",IF($C51&lt;&gt;0,INDEX(生物种群!$B$2:INDEX(生物种群!$B:$B,COUNTA(生物种群!$B:$B)),MATCH($C51,生物种群!$G$2:INDEX(生物种群!$G:$G,COUNTA(生物种群!$G:$G)),),),IF($A51&lt;&gt;0,INDEX(生物种群!$B$2:INDEX(生物种群!$B:$B,COUNTA(生物种群!$B:$B)),MATCH($A51,生物种群!$C$2:INDEX(生物种群!$C:$C,COUNTA(生物种群!$C:$C)),),),INDEX(生物种群!$B$2:INDEX(生物种群!$B:$B,COUNTA(生物种群!$B:$B)),MATCH($B51,生物种群!$D$2:INDEX(生物种群!$D:$D,COUNTA(生物种群!$D:$D)),),))))</f>
        <v>Ambassis gymnocephalus</v>
      </c>
      <c r="J51" s="37" t="str">
        <f>IF(A51&amp;B51&amp;C51="","",INDEX(生物种群!$J$2:INDEX(生物种群!$J:$J,COUNTA(生物种群!$J:$J)),MATCH($I51,生物种群!$B$2:INDEX(生物种群!$B:$B,COUNTA(生物种群!$B:$B)),),))</f>
        <v>Lacepede</v>
      </c>
      <c r="K51" s="71" t="str">
        <f>IF(A51&amp;B51&amp;C51="","",INDEX(生物种群!$E$2:INDEX(生物种群!$E:$E,COUNTA(生物种群!$E:$E)),MATCH($I51,生物种群!$B$2:INDEX(生物种群!$B:$B,COUNTA(生物种群!$B:$B)),),))</f>
        <v>双边鱼科</v>
      </c>
      <c r="L51" s="37" t="str">
        <f>IF(A51&amp;B51&amp;C51="","",INDEX(生物种群!$F$3:INDEX(生物种群!$F:$F,COUNTA(生物种群!$F:$F)),MATCH($I51,生物种群!$B$3:INDEX(生物种群!$B:$B,COUNTA(生物种群!$B:$B)),),))</f>
        <v>鲈形目</v>
      </c>
      <c r="M51" s="37" t="str">
        <f t="shared" si="1"/>
        <v>A2N44ZQ076Ambassis gymnocephalus仔鱼</v>
      </c>
      <c r="N51" s="37" t="str">
        <f t="shared" si="0"/>
        <v/>
      </c>
      <c r="O51" s="9"/>
      <c r="P51" s="10"/>
    </row>
    <row r="52" spans="1:16" ht="20.1" customHeight="1">
      <c r="A52" s="9" t="s">
        <v>14460</v>
      </c>
      <c r="B52" s="42"/>
      <c r="C52" s="9"/>
      <c r="D52" s="43">
        <v>106</v>
      </c>
      <c r="E52" s="9" t="s">
        <v>14443</v>
      </c>
      <c r="F52" s="9" t="s">
        <v>14372</v>
      </c>
      <c r="G52" s="47" t="str">
        <f>IF(F52="","",INDEX(站位样品信息!$B$3:INDEX(站位样品信息!$B:$B,COUNTA(站位样品信息!$B:$B)+1),MATCH($F52,站位样品信息!$A$3:INDEX(站位样品信息!$A:$A,COUNTA(站位样品信息!$A:$A)+1),),))</f>
        <v>B0367</v>
      </c>
      <c r="H52" s="71" t="str">
        <f>IF(A52&amp;B52&amp;C52="","",INDEX(生物种群!$A$2:INDEX(生物种群!$A:$A,COUNTA(生物种群!$A:$A)),MATCH($I52,生物种群!$B$2:INDEX(生物种群!$B:$B,COUNTA(生物种群!$B:$B)),),))</f>
        <v>康氏小公鱼</v>
      </c>
      <c r="I52" s="71" t="str">
        <f>IF(A52&amp;B52&amp;C52="","",IF($C52&lt;&gt;0,INDEX(生物种群!$B$2:INDEX(生物种群!$B:$B,COUNTA(生物种群!$B:$B)),MATCH($C52,生物种群!$G$2:INDEX(生物种群!$G:$G,COUNTA(生物种群!$G:$G)),),),IF($A52&lt;&gt;0,INDEX(生物种群!$B$2:INDEX(生物种群!$B:$B,COUNTA(生物种群!$B:$B)),MATCH($A52,生物种群!$C$2:INDEX(生物种群!$C:$C,COUNTA(生物种群!$C:$C)),),),INDEX(生物种群!$B$2:INDEX(生物种群!$B:$B,COUNTA(生物种群!$B:$B)),MATCH($B52,生物种群!$D$2:INDEX(生物种群!$D:$D,COUNTA(生物种群!$D:$D)),),))))</f>
        <v>Stolephorus commersonii</v>
      </c>
      <c r="J52" s="37" t="str">
        <f>IF(A52&amp;B52&amp;C52="","",INDEX(生物种群!$J$2:INDEX(生物种群!$J:$J,COUNTA(生物种群!$J:$J)),MATCH($I52,生物种群!$B$2:INDEX(生物种群!$B:$B,COUNTA(生物种群!$B:$B)),),))</f>
        <v>(Lacepede)</v>
      </c>
      <c r="K52" s="71" t="str">
        <f>IF(A52&amp;B52&amp;C52="","",INDEX(生物种群!$E$2:INDEX(生物种群!$E:$E,COUNTA(生物种群!$E:$E)),MATCH($I52,生物种群!$B$2:INDEX(生物种群!$B:$B,COUNTA(生物种群!$B:$B)),),))</f>
        <v>鳀科</v>
      </c>
      <c r="L52" s="37" t="str">
        <f>IF(A52&amp;B52&amp;C52="","",INDEX(生物种群!$F$3:INDEX(生物种群!$F:$F,COUNTA(生物种群!$F:$F)),MATCH($I52,生物种群!$B$3:INDEX(生物种群!$B:$B,COUNTA(生物种群!$B:$B)),),))</f>
        <v>鲱形目</v>
      </c>
      <c r="M52" s="37" t="str">
        <f t="shared" si="1"/>
        <v>A2N44ZQ076Stolephorus commersonii鱼卵</v>
      </c>
      <c r="N52" s="37" t="str">
        <f t="shared" si="0"/>
        <v/>
      </c>
      <c r="O52" s="9"/>
      <c r="P52" s="10"/>
    </row>
    <row r="53" spans="1:16" ht="20.1" customHeight="1">
      <c r="A53" s="9" t="s">
        <v>14461</v>
      </c>
      <c r="B53" s="42"/>
      <c r="C53" s="9"/>
      <c r="D53" s="43">
        <v>33</v>
      </c>
      <c r="E53" s="9" t="s">
        <v>14443</v>
      </c>
      <c r="F53" s="9" t="s">
        <v>14372</v>
      </c>
      <c r="G53" s="47" t="str">
        <f>IF(F53="","",INDEX(站位样品信息!$B$3:INDEX(站位样品信息!$B:$B,COUNTA(站位样品信息!$B:$B)+1),MATCH($F53,站位样品信息!$A$3:INDEX(站位样品信息!$A:$A,COUNTA(站位样品信息!$A:$A)+1),),))</f>
        <v>B0367</v>
      </c>
      <c r="H53" s="71" t="str">
        <f>IF(A53&amp;B53&amp;C53="","",INDEX(生物种群!$A$2:INDEX(生物种群!$A:$A,COUNTA(生物种群!$A:$A)),MATCH($I53,生物种群!$B$2:INDEX(生物种群!$B:$B,COUNTA(生物种群!$B:$B)),),))</f>
        <v>中华小公鱼</v>
      </c>
      <c r="I53" s="71" t="str">
        <f>IF(A53&amp;B53&amp;C53="","",IF($C53&lt;&gt;0,INDEX(生物种群!$B$2:INDEX(生物种群!$B:$B,COUNTA(生物种群!$B:$B)),MATCH($C53,生物种群!$G$2:INDEX(生物种群!$G:$G,COUNTA(生物种群!$G:$G)),),),IF($A53&lt;&gt;0,INDEX(生物种群!$B$2:INDEX(生物种群!$B:$B,COUNTA(生物种群!$B:$B)),MATCH($A53,生物种群!$C$2:INDEX(生物种群!$C:$C,COUNTA(生物种群!$C:$C)),),),INDEX(生物种群!$B$2:INDEX(生物种群!$B:$B,COUNTA(生物种群!$B:$B)),MATCH($B53,生物种群!$D$2:INDEX(生物种群!$D:$D,COUNTA(生物种群!$D:$D)),),))))</f>
        <v>Stolephorus chinensis</v>
      </c>
      <c r="J53" s="37" t="str">
        <f>IF(A53&amp;B53&amp;C53="","",INDEX(生物种群!$J$2:INDEX(生物种群!$J:$J,COUNTA(生物种群!$J:$J)),MATCH($I53,生物种群!$B$2:INDEX(生物种群!$B:$B,COUNTA(生物种群!$B:$B)),),))</f>
        <v>(Gunther)</v>
      </c>
      <c r="K53" s="71" t="str">
        <f>IF(A53&amp;B53&amp;C53="","",INDEX(生物种群!$E$2:INDEX(生物种群!$E:$E,COUNTA(生物种群!$E:$E)),MATCH($I53,生物种群!$B$2:INDEX(生物种群!$B:$B,COUNTA(生物种群!$B:$B)),),))</f>
        <v>鳀科</v>
      </c>
      <c r="L53" s="37" t="str">
        <f>IF(A53&amp;B53&amp;C53="","",INDEX(生物种群!$F$3:INDEX(生物种群!$F:$F,COUNTA(生物种群!$F:$F)),MATCH($I53,生物种群!$B$3:INDEX(生物种群!$B:$B,COUNTA(生物种群!$B:$B)),),))</f>
        <v>鲱形目</v>
      </c>
      <c r="M53" s="37" t="str">
        <f t="shared" si="1"/>
        <v>A2N44ZQ076Stolephorus chinensis鱼卵</v>
      </c>
      <c r="N53" s="37" t="str">
        <f t="shared" si="0"/>
        <v/>
      </c>
      <c r="O53" s="9"/>
      <c r="P53" s="10"/>
    </row>
    <row r="54" spans="1:16" ht="20.1" customHeight="1">
      <c r="A54" s="9" t="s">
        <v>14462</v>
      </c>
      <c r="B54" s="42"/>
      <c r="C54" s="35">
        <v>360300</v>
      </c>
      <c r="D54" s="43">
        <v>4</v>
      </c>
      <c r="E54" s="9" t="s">
        <v>14443</v>
      </c>
      <c r="F54" s="9" t="s">
        <v>14372</v>
      </c>
      <c r="G54" s="47" t="str">
        <f>IF(F54="","",INDEX(站位样品信息!$B$3:INDEX(站位样品信息!$B:$B,COUNTA(站位样品信息!$B:$B)+1),MATCH($F54,站位样品信息!$A$3:INDEX(站位样品信息!$A:$A,COUNTA(站位样品信息!$A:$A)+1),),))</f>
        <v>B0367</v>
      </c>
      <c r="H54" s="71" t="str">
        <f>IF(A54&amp;B54&amp;C54="","",INDEX(生物种群!$A$2:INDEX(生物种群!$A:$A,COUNTA(生物种群!$A:$A)),MATCH($I54,生物种群!$B$2:INDEX(生物种群!$B:$B,COUNTA(生物种群!$B:$B)),),))</f>
        <v>毒鲉科</v>
      </c>
      <c r="I54" s="71" t="str">
        <f>IF(A54&amp;B54&amp;C54="","",IF($C54&lt;&gt;0,INDEX(生物种群!$B$2:INDEX(生物种群!$B:$B,COUNTA(生物种群!$B:$B)),MATCH($C54,生物种群!$G$2:INDEX(生物种群!$G:$G,COUNTA(生物种群!$G:$G)),),),IF($A54&lt;&gt;0,INDEX(生物种群!$B$2:INDEX(生物种群!$B:$B,COUNTA(生物种群!$B:$B)),MATCH($A54,生物种群!$C$2:INDEX(生物种群!$C:$C,COUNTA(生物种群!$C:$C)),),),INDEX(生物种群!$B$2:INDEX(生物种群!$B:$B,COUNTA(生物种群!$B:$B)),MATCH($B54,生物种群!$D$2:INDEX(生物种群!$D:$D,COUNTA(生物种群!$D:$D)),),))))</f>
        <v>Synanceiidae sp.</v>
      </c>
      <c r="J54" s="37" t="str">
        <f>IF(A54&amp;B54&amp;C54="","",INDEX(生物种群!$J$2:INDEX(生物种群!$J:$J,COUNTA(生物种群!$J:$J)),MATCH($I54,生物种群!$B$2:INDEX(生物种群!$B:$B,COUNTA(生物种群!$B:$B)),),))</f>
        <v/>
      </c>
      <c r="K54" s="71" t="str">
        <f>IF(A54&amp;B54&amp;C54="","",INDEX(生物种群!$E$2:INDEX(生物种群!$E:$E,COUNTA(生物种群!$E:$E)),MATCH($I54,生物种群!$B$2:INDEX(生物种群!$B:$B,COUNTA(生物种群!$B:$B)),),))</f>
        <v>毒鲉科</v>
      </c>
      <c r="L54" s="37" t="str">
        <f>IF(A54&amp;B54&amp;C54="","",INDEX(生物种群!$F$3:INDEX(生物种群!$F:$F,COUNTA(生物种群!$F:$F)),MATCH($I54,生物种群!$B$3:INDEX(生物种群!$B:$B,COUNTA(生物种群!$B:$B)),),))</f>
        <v>鲉形目</v>
      </c>
      <c r="M54" s="37" t="str">
        <f t="shared" si="1"/>
        <v>A2N44ZQ076Synanceiidae sp.鱼卵</v>
      </c>
      <c r="N54" s="37" t="str">
        <f t="shared" si="0"/>
        <v/>
      </c>
      <c r="O54" s="9"/>
      <c r="P54" s="10"/>
    </row>
    <row r="55" spans="1:16" ht="20.1" customHeight="1">
      <c r="A55" s="9" t="s">
        <v>14463</v>
      </c>
      <c r="B55" s="42"/>
      <c r="C55" s="9"/>
      <c r="D55" s="43">
        <v>2</v>
      </c>
      <c r="E55" s="9" t="s">
        <v>14443</v>
      </c>
      <c r="F55" s="9" t="s">
        <v>14372</v>
      </c>
      <c r="G55" s="47" t="str">
        <f>IF(F55="","",INDEX(站位样品信息!$B$3:INDEX(站位样品信息!$B:$B,COUNTA(站位样品信息!$B:$B)+1),MATCH($F55,站位样品信息!$A$3:INDEX(站位样品信息!$A:$A,COUNTA(站位样品信息!$A:$A)+1),),))</f>
        <v>B0367</v>
      </c>
      <c r="H55" s="71" t="str">
        <f>IF(A55&amp;B55&amp;C55="","",INDEX(生物种群!$A$2:INDEX(生物种群!$A:$A,COUNTA(生物种群!$A:$A)),MATCH($I55,生物种群!$B$2:INDEX(生物种群!$B:$B,COUNTA(生物种群!$B:$B)),),))</f>
        <v>舌鳎属</v>
      </c>
      <c r="I55" s="71" t="str">
        <f>IF(A55&amp;B55&amp;C55="","",IF($C55&lt;&gt;0,INDEX(生物种群!$B$2:INDEX(生物种群!$B:$B,COUNTA(生物种群!$B:$B)),MATCH($C55,生物种群!$G$2:INDEX(生物种群!$G:$G,COUNTA(生物种群!$G:$G)),),),IF($A55&lt;&gt;0,INDEX(生物种群!$B$2:INDEX(生物种群!$B:$B,COUNTA(生物种群!$B:$B)),MATCH($A55,生物种群!$C$2:INDEX(生物种群!$C:$C,COUNTA(生物种群!$C:$C)),),),INDEX(生物种群!$B$2:INDEX(生物种群!$B:$B,COUNTA(生物种群!$B:$B)),MATCH($B55,生物种群!$D$2:INDEX(生物种群!$D:$D,COUNTA(生物种群!$D:$D)),),))))</f>
        <v>Cynoglossus sp.</v>
      </c>
      <c r="J55" s="37" t="str">
        <f>IF(A55&amp;B55&amp;C55="","",INDEX(生物种群!$J$2:INDEX(生物种群!$J:$J,COUNTA(生物种群!$J:$J)),MATCH($I55,生物种群!$B$2:INDEX(生物种群!$B:$B,COUNTA(生物种群!$B:$B)),),))</f>
        <v/>
      </c>
      <c r="K55" s="71" t="str">
        <f>IF(A55&amp;B55&amp;C55="","",INDEX(生物种群!$E$2:INDEX(生物种群!$E:$E,COUNTA(生物种群!$E:$E)),MATCH($I55,生物种群!$B$2:INDEX(生物种群!$B:$B,COUNTA(生物种群!$B:$B)),),))</f>
        <v>舌鳎科</v>
      </c>
      <c r="L55" s="37" t="str">
        <f>IF(A55&amp;B55&amp;C55="","",INDEX(生物种群!$F$3:INDEX(生物种群!$F:$F,COUNTA(生物种群!$F:$F)),MATCH($I55,生物种群!$B$3:INDEX(生物种群!$B:$B,COUNTA(生物种群!$B:$B)),),))</f>
        <v>鲽形目</v>
      </c>
      <c r="M55" s="37" t="str">
        <f t="shared" si="1"/>
        <v>A2N44ZQ076Cynoglossus sp.鱼卵</v>
      </c>
      <c r="N55" s="37" t="str">
        <f t="shared" si="0"/>
        <v/>
      </c>
      <c r="O55" s="9"/>
      <c r="P55" s="10"/>
    </row>
    <row r="56" spans="1:16" ht="20.1" customHeight="1">
      <c r="A56" s="9" t="s">
        <v>14453</v>
      </c>
      <c r="B56" s="42"/>
      <c r="C56" s="9"/>
      <c r="D56" s="43">
        <v>10</v>
      </c>
      <c r="E56" s="9" t="s">
        <v>14443</v>
      </c>
      <c r="F56" s="9" t="s">
        <v>14372</v>
      </c>
      <c r="G56" s="47" t="str">
        <f>IF(F56="","",INDEX(站位样品信息!$B$3:INDEX(站位样品信息!$B:$B,COUNTA(站位样品信息!$B:$B)+1),MATCH($F56,站位样品信息!$A$3:INDEX(站位样品信息!$A:$A,COUNTA(站位样品信息!$A:$A)+1),),))</f>
        <v>B0367</v>
      </c>
      <c r="H56" s="71" t="str">
        <f>IF(A56&amp;B56&amp;C56="","",INDEX(生物种群!$A$2:INDEX(生物种群!$A:$A,COUNTA(生物种群!$A:$A)),MATCH($I56,生物种群!$B$2:INDEX(生物种群!$B:$B,COUNTA(生物种群!$B:$B)),),))</f>
        <v>眶棘双边鱼</v>
      </c>
      <c r="I56" s="71" t="str">
        <f>IF(A56&amp;B56&amp;C56="","",IF($C56&lt;&gt;0,INDEX(生物种群!$B$2:INDEX(生物种群!$B:$B,COUNTA(生物种群!$B:$B)),MATCH($C56,生物种群!$G$2:INDEX(生物种群!$G:$G,COUNTA(生物种群!$G:$G)),),),IF($A56&lt;&gt;0,INDEX(生物种群!$B$2:INDEX(生物种群!$B:$B,COUNTA(生物种群!$B:$B)),MATCH($A56,生物种群!$C$2:INDEX(生物种群!$C:$C,COUNTA(生物种群!$C:$C)),),),INDEX(生物种群!$B$2:INDEX(生物种群!$B:$B,COUNTA(生物种群!$B:$B)),MATCH($B56,生物种群!$D$2:INDEX(生物种群!$D:$D,COUNTA(生物种群!$D:$D)),),))))</f>
        <v>Ambassis gymnocephalus</v>
      </c>
      <c r="J56" s="37" t="str">
        <f>IF(A56&amp;B56&amp;C56="","",INDEX(生物种群!$J$2:INDEX(生物种群!$J:$J,COUNTA(生物种群!$J:$J)),MATCH($I56,生物种群!$B$2:INDEX(生物种群!$B:$B,COUNTA(生物种群!$B:$B)),),))</f>
        <v>Lacepede</v>
      </c>
      <c r="K56" s="71" t="str">
        <f>IF(A56&amp;B56&amp;C56="","",INDEX(生物种群!$E$2:INDEX(生物种群!$E:$E,COUNTA(生物种群!$E:$E)),MATCH($I56,生物种群!$B$2:INDEX(生物种群!$B:$B,COUNTA(生物种群!$B:$B)),),))</f>
        <v>双边鱼科</v>
      </c>
      <c r="L56" s="37" t="str">
        <f>IF(A56&amp;B56&amp;C56="","",INDEX(生物种群!$F$3:INDEX(生物种群!$F:$F,COUNTA(生物种群!$F:$F)),MATCH($I56,生物种群!$B$3:INDEX(生物种群!$B:$B,COUNTA(生物种群!$B:$B)),),))</f>
        <v>鲈形目</v>
      </c>
      <c r="M56" s="37" t="str">
        <f t="shared" si="1"/>
        <v>A2N44ZQ076Ambassis gymnocephalus鱼卵</v>
      </c>
      <c r="N56" s="37" t="str">
        <f t="shared" si="0"/>
        <v/>
      </c>
      <c r="O56" s="9"/>
      <c r="P56" s="10"/>
    </row>
    <row r="57" spans="1:16" ht="20.1" customHeight="1">
      <c r="A57" s="9" t="s">
        <v>5765</v>
      </c>
      <c r="B57" s="42"/>
      <c r="C57" s="9"/>
      <c r="D57" s="43">
        <v>2</v>
      </c>
      <c r="E57" s="9" t="s">
        <v>14435</v>
      </c>
      <c r="F57" s="9" t="s">
        <v>14375</v>
      </c>
      <c r="G57" s="47" t="str">
        <f>IF(F57="","",INDEX(站位样品信息!$B$3:INDEX(站位样品信息!$B:$B,COUNTA(站位样品信息!$B:$B)+1),MATCH($F57,站位样品信息!$A$3:INDEX(站位样品信息!$A:$A,COUNTA(站位样品信息!$A:$A)+1),),))</f>
        <v>B0449</v>
      </c>
      <c r="H57" s="71" t="str">
        <f>IF(A57&amp;B57&amp;C57="","",INDEX(生物种群!$A$2:INDEX(生物种群!$A:$A,COUNTA(生物种群!$A:$A)),MATCH($I57,生物种群!$B$2:INDEX(生物种群!$B:$B,COUNTA(生物种群!$B:$B)),),))</f>
        <v>眶棘双边鱼</v>
      </c>
      <c r="I57" s="71" t="str">
        <f>IF(A57&amp;B57&amp;C57="","",IF($C57&lt;&gt;0,INDEX(生物种群!$B$2:INDEX(生物种群!$B:$B,COUNTA(生物种群!$B:$B)),MATCH($C57,生物种群!$G$2:INDEX(生物种群!$G:$G,COUNTA(生物种群!$G:$G)),),),IF($A57&lt;&gt;0,INDEX(生物种群!$B$2:INDEX(生物种群!$B:$B,COUNTA(生物种群!$B:$B)),MATCH($A57,生物种群!$C$2:INDEX(生物种群!$C:$C,COUNTA(生物种群!$C:$C)),),),INDEX(生物种群!$B$2:INDEX(生物种群!$B:$B,COUNTA(生物种群!$B:$B)),MATCH($B57,生物种群!$D$2:INDEX(生物种群!$D:$D,COUNTA(生物种群!$D:$D)),),))))</f>
        <v>Ambassis gymnocephalus</v>
      </c>
      <c r="J57" s="37" t="str">
        <f>IF(A57&amp;B57&amp;C57="","",INDEX(生物种群!$J$2:INDEX(生物种群!$J:$J,COUNTA(生物种群!$J:$J)),MATCH($I57,生物种群!$B$2:INDEX(生物种群!$B:$B,COUNTA(生物种群!$B:$B)),),))</f>
        <v>Lacepede</v>
      </c>
      <c r="K57" s="71" t="str">
        <f>IF(A57&amp;B57&amp;C57="","",INDEX(生物种群!$E$2:INDEX(生物种群!$E:$E,COUNTA(生物种群!$E:$E)),MATCH($I57,生物种群!$B$2:INDEX(生物种群!$B:$B,COUNTA(生物种群!$B:$B)),),))</f>
        <v>双边鱼科</v>
      </c>
      <c r="L57" s="37" t="str">
        <f>IF(A57&amp;B57&amp;C57="","",INDEX(生物种群!$F$3:INDEX(生物种群!$F:$F,COUNTA(生物种群!$F:$F)),MATCH($I57,生物种群!$B$3:INDEX(生物种群!$B:$B,COUNTA(生物种群!$B:$B)),),))</f>
        <v>鲈形目</v>
      </c>
      <c r="M57" s="37" t="str">
        <f t="shared" si="1"/>
        <v>A2N44ZQ074Ambassis gymnocephalus仔鱼</v>
      </c>
      <c r="N57" s="37" t="str">
        <f t="shared" si="0"/>
        <v/>
      </c>
      <c r="O57" s="9"/>
      <c r="P57" s="10"/>
    </row>
    <row r="58" spans="1:16" ht="20.1" customHeight="1">
      <c r="A58" s="9" t="s">
        <v>5765</v>
      </c>
      <c r="B58" s="42"/>
      <c r="C58" s="9"/>
      <c r="D58" s="43">
        <v>5</v>
      </c>
      <c r="E58" s="9" t="s">
        <v>14443</v>
      </c>
      <c r="F58" s="9" t="s">
        <v>14375</v>
      </c>
      <c r="G58" s="47" t="str">
        <f>IF(F58="","",INDEX(站位样品信息!$B$3:INDEX(站位样品信息!$B:$B,COUNTA(站位样品信息!$B:$B)+1),MATCH($F58,站位样品信息!$A$3:INDEX(站位样品信息!$A:$A,COUNTA(站位样品信息!$A:$A)+1),),))</f>
        <v>B0449</v>
      </c>
      <c r="H58" s="71" t="str">
        <f>IF(A58&amp;B58&amp;C58="","",INDEX(生物种群!$A$2:INDEX(生物种群!$A:$A,COUNTA(生物种群!$A:$A)),MATCH($I58,生物种群!$B$2:INDEX(生物种群!$B:$B,COUNTA(生物种群!$B:$B)),),))</f>
        <v>眶棘双边鱼</v>
      </c>
      <c r="I58" s="71" t="str">
        <f>IF(A58&amp;B58&amp;C58="","",IF($C58&lt;&gt;0,INDEX(生物种群!$B$2:INDEX(生物种群!$B:$B,COUNTA(生物种群!$B:$B)),MATCH($C58,生物种群!$G$2:INDEX(生物种群!$G:$G,COUNTA(生物种群!$G:$G)),),),IF($A58&lt;&gt;0,INDEX(生物种群!$B$2:INDEX(生物种群!$B:$B,COUNTA(生物种群!$B:$B)),MATCH($A58,生物种群!$C$2:INDEX(生物种群!$C:$C,COUNTA(生物种群!$C:$C)),),),INDEX(生物种群!$B$2:INDEX(生物种群!$B:$B,COUNTA(生物种群!$B:$B)),MATCH($B58,生物种群!$D$2:INDEX(生物种群!$D:$D,COUNTA(生物种群!$D:$D)),),))))</f>
        <v>Ambassis gymnocephalus</v>
      </c>
      <c r="J58" s="37" t="str">
        <f>IF(A58&amp;B58&amp;C58="","",INDEX(生物种群!$J$2:INDEX(生物种群!$J:$J,COUNTA(生物种群!$J:$J)),MATCH($I58,生物种群!$B$2:INDEX(生物种群!$B:$B,COUNTA(生物种群!$B:$B)),),))</f>
        <v>Lacepede</v>
      </c>
      <c r="K58" s="71" t="str">
        <f>IF(A58&amp;B58&amp;C58="","",INDEX(生物种群!$E$2:INDEX(生物种群!$E:$E,COUNTA(生物种群!$E:$E)),MATCH($I58,生物种群!$B$2:INDEX(生物种群!$B:$B,COUNTA(生物种群!$B:$B)),),))</f>
        <v>双边鱼科</v>
      </c>
      <c r="L58" s="37" t="str">
        <f>IF(A58&amp;B58&amp;C58="","",INDEX(生物种群!$F$3:INDEX(生物种群!$F:$F,COUNTA(生物种群!$F:$F)),MATCH($I58,生物种群!$B$3:INDEX(生物种群!$B:$B,COUNTA(生物种群!$B:$B)),),))</f>
        <v>鲈形目</v>
      </c>
      <c r="M58" s="37" t="str">
        <f t="shared" si="1"/>
        <v>A2N44ZQ074Ambassis gymnocephalus鱼卵</v>
      </c>
      <c r="N58" s="37" t="str">
        <f t="shared" si="0"/>
        <v/>
      </c>
      <c r="O58" s="9"/>
      <c r="P58" s="10"/>
    </row>
    <row r="59" spans="1:16" ht="20.1" customHeight="1">
      <c r="A59" s="9" t="s">
        <v>14464</v>
      </c>
      <c r="B59" s="42"/>
      <c r="C59" s="9"/>
      <c r="D59" s="43">
        <v>3</v>
      </c>
      <c r="E59" s="9" t="s">
        <v>14438</v>
      </c>
      <c r="F59" s="9" t="s">
        <v>14378</v>
      </c>
      <c r="G59" s="47" t="str">
        <f>IF(F59="","",INDEX(站位样品信息!$B$3:INDEX(站位样品信息!$B:$B,COUNTA(站位样品信息!$B:$B)+1),MATCH($F59,站位样品信息!$A$3:INDEX(站位样品信息!$A:$A,COUNTA(站位样品信息!$A:$A)+1),),))</f>
        <v>B0616</v>
      </c>
      <c r="H59" s="71" t="str">
        <f>IF(A59&amp;B59&amp;C59="","",INDEX(生物种群!$A$2:INDEX(生物种群!$A:$A,COUNTA(生物种群!$A:$A)),MATCH($I59,生物种群!$B$2:INDEX(生物种群!$B:$B,COUNTA(生物种群!$B:$B)),),))</f>
        <v>康氏小公鱼</v>
      </c>
      <c r="I59" s="71" t="str">
        <f>IF(A59&amp;B59&amp;C59="","",IF($C59&lt;&gt;0,INDEX(生物种群!$B$2:INDEX(生物种群!$B:$B,COUNTA(生物种群!$B:$B)),MATCH($C59,生物种群!$G$2:INDEX(生物种群!$G:$G,COUNTA(生物种群!$G:$G)),),),IF($A59&lt;&gt;0,INDEX(生物种群!$B$2:INDEX(生物种群!$B:$B,COUNTA(生物种群!$B:$B)),MATCH($A59,生物种群!$C$2:INDEX(生物种群!$C:$C,COUNTA(生物种群!$C:$C)),),),INDEX(生物种群!$B$2:INDEX(生物种群!$B:$B,COUNTA(生物种群!$B:$B)),MATCH($B59,生物种群!$D$2:INDEX(生物种群!$D:$D,COUNTA(生物种群!$D:$D)),),))))</f>
        <v>Stolephorus commersonii</v>
      </c>
      <c r="J59" s="37" t="str">
        <f>IF(A59&amp;B59&amp;C59="","",INDEX(生物种群!$J$2:INDEX(生物种群!$J:$J,COUNTA(生物种群!$J:$J)),MATCH($I59,生物种群!$B$2:INDEX(生物种群!$B:$B,COUNTA(生物种群!$B:$B)),),))</f>
        <v>(Lacepede)</v>
      </c>
      <c r="K59" s="71" t="str">
        <f>IF(A59&amp;B59&amp;C59="","",INDEX(生物种群!$E$2:INDEX(生物种群!$E:$E,COUNTA(生物种群!$E:$E)),MATCH($I59,生物种群!$B$2:INDEX(生物种群!$B:$B,COUNTA(生物种群!$B:$B)),),))</f>
        <v>鳀科</v>
      </c>
      <c r="L59" s="37" t="str">
        <f>IF(A59&amp;B59&amp;C59="","",INDEX(生物种群!$F$3:INDEX(生物种群!$F:$F,COUNTA(生物种群!$F:$F)),MATCH($I59,生物种群!$B$3:INDEX(生物种群!$B:$B,COUNTA(生物种群!$B:$B)),),))</f>
        <v>鲱形目</v>
      </c>
      <c r="M59" s="37" t="str">
        <f t="shared" si="1"/>
        <v>A2N44ZQ085Stolephorus commersonii稚鱼</v>
      </c>
      <c r="N59" s="37" t="str">
        <f t="shared" si="0"/>
        <v/>
      </c>
      <c r="O59" s="9"/>
      <c r="P59" s="10"/>
    </row>
    <row r="60" spans="1:16" ht="20.1" customHeight="1">
      <c r="A60" s="9" t="s">
        <v>14465</v>
      </c>
      <c r="B60" s="42"/>
      <c r="C60" s="9"/>
      <c r="D60" s="43">
        <v>1</v>
      </c>
      <c r="E60" s="9" t="s">
        <v>14435</v>
      </c>
      <c r="F60" s="9" t="s">
        <v>14378</v>
      </c>
      <c r="G60" s="47" t="str">
        <f>IF(F60="","",INDEX(站位样品信息!$B$3:INDEX(站位样品信息!$B:$B,COUNTA(站位样品信息!$B:$B)+1),MATCH($F60,站位样品信息!$A$3:INDEX(站位样品信息!$A:$A,COUNTA(站位样品信息!$A:$A)+1),),))</f>
        <v>B0616</v>
      </c>
      <c r="H60" s="71" t="str">
        <f>IF(A60&amp;B60&amp;C60="","",INDEX(生物种群!$A$2:INDEX(生物种群!$A:$A,COUNTA(生物种群!$A:$A)),MATCH($I60,生物种群!$B$2:INDEX(生物种群!$B:$B,COUNTA(生物种群!$B:$B)),),))</f>
        <v>鮻属</v>
      </c>
      <c r="I60" s="71" t="str">
        <f>IF(A60&amp;B60&amp;C60="","",IF($C60&lt;&gt;0,INDEX(生物种群!$B$2:INDEX(生物种群!$B:$B,COUNTA(生物种群!$B:$B)),MATCH($C60,生物种群!$G$2:INDEX(生物种群!$G:$G,COUNTA(生物种群!$G:$G)),),),IF($A60&lt;&gt;0,INDEX(生物种群!$B$2:INDEX(生物种群!$B:$B,COUNTA(生物种群!$B:$B)),MATCH($A60,生物种群!$C$2:INDEX(生物种群!$C:$C,COUNTA(生物种群!$C:$C)),),),INDEX(生物种群!$B$2:INDEX(生物种群!$B:$B,COUNTA(生物种群!$B:$B)),MATCH($B60,生物种群!$D$2:INDEX(生物种群!$D:$D,COUNTA(生物种群!$D:$D)),),))))</f>
        <v>Liza sp.</v>
      </c>
      <c r="J60" s="37" t="str">
        <f>IF(A60&amp;B60&amp;C60="","",INDEX(生物种群!$J$2:INDEX(生物种群!$J:$J,COUNTA(生物种群!$J:$J)),MATCH($I60,生物种群!$B$2:INDEX(生物种群!$B:$B,COUNTA(生物种群!$B:$B)),),))</f>
        <v/>
      </c>
      <c r="K60" s="71" t="str">
        <f>IF(A60&amp;B60&amp;C60="","",INDEX(生物种群!$E$2:INDEX(生物种群!$E:$E,COUNTA(生物种群!$E:$E)),MATCH($I60,生物种群!$B$2:INDEX(生物种群!$B:$B,COUNTA(生物种群!$B:$B)),),))</f>
        <v>鲻科</v>
      </c>
      <c r="L60" s="37" t="str">
        <f>IF(A60&amp;B60&amp;C60="","",INDEX(生物种群!$F$3:INDEX(生物种群!$F:$F,COUNTA(生物种群!$F:$F)),MATCH($I60,生物种群!$B$3:INDEX(生物种群!$B:$B,COUNTA(生物种群!$B:$B)),),))</f>
        <v>鲻形目</v>
      </c>
      <c r="M60" s="37" t="str">
        <f t="shared" si="1"/>
        <v>A2N44ZQ085Liza sp.仔鱼</v>
      </c>
      <c r="N60" s="37" t="str">
        <f t="shared" si="0"/>
        <v/>
      </c>
      <c r="O60" s="9"/>
      <c r="P60" s="10"/>
    </row>
    <row r="61" spans="1:16" ht="20.1" customHeight="1">
      <c r="A61" s="9" t="s">
        <v>14466</v>
      </c>
      <c r="B61" s="42"/>
      <c r="C61" s="9"/>
      <c r="D61" s="43">
        <v>2</v>
      </c>
      <c r="E61" s="9" t="s">
        <v>14435</v>
      </c>
      <c r="F61" s="9" t="s">
        <v>14378</v>
      </c>
      <c r="G61" s="47" t="str">
        <f>IF(F61="","",INDEX(站位样品信息!$B$3:INDEX(站位样品信息!$B:$B,COUNTA(站位样品信息!$B:$B)+1),MATCH($F61,站位样品信息!$A$3:INDEX(站位样品信息!$A:$A,COUNTA(站位样品信息!$A:$A)+1),),))</f>
        <v>B0616</v>
      </c>
      <c r="H61" s="71" t="str">
        <f>IF(A61&amp;B61&amp;C61="","",INDEX(生物种群!$A$2:INDEX(生物种群!$A:$A,COUNTA(生物种群!$A:$A)),MATCH($I61,生物种群!$B$2:INDEX(生物种群!$B:$B,COUNTA(生物种群!$B:$B)),),))</f>
        <v>美肩鳃鳚</v>
      </c>
      <c r="I61" s="71" t="str">
        <f>IF(A61&amp;B61&amp;C61="","",IF($C61&lt;&gt;0,INDEX(生物种群!$B$2:INDEX(生物种群!$B:$B,COUNTA(生物种群!$B:$B)),MATCH($C61,生物种群!$G$2:INDEX(生物种群!$G:$G,COUNTA(生物种群!$G:$G)),),),IF($A61&lt;&gt;0,INDEX(生物种群!$B$2:INDEX(生物种群!$B:$B,COUNTA(生物种群!$B:$B)),MATCH($A61,生物种群!$C$2:INDEX(生物种群!$C:$C,COUNTA(生物种群!$C:$C)),),),INDEX(生物种群!$B$2:INDEX(生物种群!$B:$B,COUNTA(生物种群!$B:$B)),MATCH($B61,生物种群!$D$2:INDEX(生物种群!$D:$D,COUNTA(生物种群!$D:$D)),),))))</f>
        <v>Omobranchus elegans</v>
      </c>
      <c r="J61" s="37" t="str">
        <f>IF(A61&amp;B61&amp;C61="","",INDEX(生物种群!$J$2:INDEX(生物种群!$J:$J,COUNTA(生物种群!$J:$J)),MATCH($I61,生物种群!$B$2:INDEX(生物种群!$B:$B,COUNTA(生物种群!$B:$B)),),))</f>
        <v>(Steindachner)</v>
      </c>
      <c r="K61" s="71" t="str">
        <f>IF(A61&amp;B61&amp;C61="","",INDEX(生物种群!$E$2:INDEX(生物种群!$E:$E,COUNTA(生物种群!$E:$E)),MATCH($I61,生物种群!$B$2:INDEX(生物种群!$B:$B,COUNTA(生物种群!$B:$B)),),))</f>
        <v>鳚科</v>
      </c>
      <c r="L61" s="37" t="str">
        <f>IF(A61&amp;B61&amp;C61="","",INDEX(生物种群!$F$3:INDEX(生物种群!$F:$F,COUNTA(生物种群!$F:$F)),MATCH($I61,生物种群!$B$3:INDEX(生物种群!$B:$B,COUNTA(生物种群!$B:$B)),),))</f>
        <v>鲈形目</v>
      </c>
      <c r="M61" s="37" t="str">
        <f t="shared" si="1"/>
        <v>A2N44ZQ085Omobranchus elegans仔鱼</v>
      </c>
      <c r="N61" s="37" t="str">
        <f t="shared" si="0"/>
        <v/>
      </c>
      <c r="O61" s="9"/>
      <c r="P61" s="10"/>
    </row>
    <row r="62" spans="1:16" ht="20.1" customHeight="1">
      <c r="A62" s="9" t="s">
        <v>14467</v>
      </c>
      <c r="B62" s="42"/>
      <c r="C62" s="9"/>
      <c r="D62" s="43">
        <v>22</v>
      </c>
      <c r="E62" s="9" t="s">
        <v>14443</v>
      </c>
      <c r="F62" s="9" t="s">
        <v>14378</v>
      </c>
      <c r="G62" s="47" t="str">
        <f>IF(F62="","",INDEX(站位样品信息!$B$3:INDEX(站位样品信息!$B:$B,COUNTA(站位样品信息!$B:$B)+1),MATCH($F62,站位样品信息!$A$3:INDEX(站位样品信息!$A:$A,COUNTA(站位样品信息!$A:$A)+1),),))</f>
        <v>B0616</v>
      </c>
      <c r="H62" s="71" t="str">
        <f>IF(A62&amp;B62&amp;C62="","",INDEX(生物种群!$A$2:INDEX(生物种群!$A:$A,COUNTA(生物种群!$A:$A)),MATCH($I62,生物种群!$B$2:INDEX(生物种群!$B:$B,COUNTA(生物种群!$B:$B)),),))</f>
        <v>小沙丁鱼属</v>
      </c>
      <c r="I62" s="71" t="str">
        <f>IF(A62&amp;B62&amp;C62="","",IF($C62&lt;&gt;0,INDEX(生物种群!$B$2:INDEX(生物种群!$B:$B,COUNTA(生物种群!$B:$B)),MATCH($C62,生物种群!$G$2:INDEX(生物种群!$G:$G,COUNTA(生物种群!$G:$G)),),),IF($A62&lt;&gt;0,INDEX(生物种群!$B$2:INDEX(生物种群!$B:$B,COUNTA(生物种群!$B:$B)),MATCH($A62,生物种群!$C$2:INDEX(生物种群!$C:$C,COUNTA(生物种群!$C:$C)),),),INDEX(生物种群!$B$2:INDEX(生物种群!$B:$B,COUNTA(生物种群!$B:$B)),MATCH($B62,生物种群!$D$2:INDEX(生物种群!$D:$D,COUNTA(生物种群!$D:$D)),),))))</f>
        <v>Sardinella sp.</v>
      </c>
      <c r="J62" s="37" t="str">
        <f>IF(A62&amp;B62&amp;C62="","",INDEX(生物种群!$J$2:INDEX(生物种群!$J:$J,COUNTA(生物种群!$J:$J)),MATCH($I62,生物种群!$B$2:INDEX(生物种群!$B:$B,COUNTA(生物种群!$B:$B)),),))</f>
        <v>et Valenciennes</v>
      </c>
      <c r="K62" s="71" t="str">
        <f>IF(A62&amp;B62&amp;C62="","",INDEX(生物种群!$E$2:INDEX(生物种群!$E:$E,COUNTA(生物种群!$E:$E)),MATCH($I62,生物种群!$B$2:INDEX(生物种群!$B:$B,COUNTA(生物种群!$B:$B)),),))</f>
        <v>鲱科</v>
      </c>
      <c r="L62" s="37" t="str">
        <f>IF(A62&amp;B62&amp;C62="","",INDEX(生物种群!$F$3:INDEX(生物种群!$F:$F,COUNTA(生物种群!$F:$F)),MATCH($I62,生物种群!$B$3:INDEX(生物种群!$B:$B,COUNTA(生物种群!$B:$B)),),))</f>
        <v>鲱形目</v>
      </c>
      <c r="M62" s="37" t="str">
        <f t="shared" si="1"/>
        <v>A2N44ZQ085Sardinella sp.鱼卵</v>
      </c>
      <c r="N62" s="37" t="str">
        <f t="shared" si="0"/>
        <v/>
      </c>
      <c r="O62" s="9"/>
      <c r="P62" s="10"/>
    </row>
    <row r="63" spans="1:16" ht="20.1" customHeight="1">
      <c r="A63" s="9" t="s">
        <v>14465</v>
      </c>
      <c r="B63" s="42"/>
      <c r="C63" s="9"/>
      <c r="D63" s="43">
        <v>1</v>
      </c>
      <c r="E63" s="9" t="s">
        <v>14443</v>
      </c>
      <c r="F63" s="9" t="s">
        <v>14378</v>
      </c>
      <c r="G63" s="47" t="str">
        <f>IF(F63="","",INDEX(站位样品信息!$B$3:INDEX(站位样品信息!$B:$B,COUNTA(站位样品信息!$B:$B)+1),MATCH($F63,站位样品信息!$A$3:INDEX(站位样品信息!$A:$A,COUNTA(站位样品信息!$A:$A)+1),),))</f>
        <v>B0616</v>
      </c>
      <c r="H63" s="71" t="str">
        <f>IF(A63&amp;B63&amp;C63="","",INDEX(生物种群!$A$2:INDEX(生物种群!$A:$A,COUNTA(生物种群!$A:$A)),MATCH($I63,生物种群!$B$2:INDEX(生物种群!$B:$B,COUNTA(生物种群!$B:$B)),),))</f>
        <v>鮻属</v>
      </c>
      <c r="I63" s="71" t="str">
        <f>IF(A63&amp;B63&amp;C63="","",IF($C63&lt;&gt;0,INDEX(生物种群!$B$2:INDEX(生物种群!$B:$B,COUNTA(生物种群!$B:$B)),MATCH($C63,生物种群!$G$2:INDEX(生物种群!$G:$G,COUNTA(生物种群!$G:$G)),),),IF($A63&lt;&gt;0,INDEX(生物种群!$B$2:INDEX(生物种群!$B:$B,COUNTA(生物种群!$B:$B)),MATCH($A63,生物种群!$C$2:INDEX(生物种群!$C:$C,COUNTA(生物种群!$C:$C)),),),INDEX(生物种群!$B$2:INDEX(生物种群!$B:$B,COUNTA(生物种群!$B:$B)),MATCH($B63,生物种群!$D$2:INDEX(生物种群!$D:$D,COUNTA(生物种群!$D:$D)),),))))</f>
        <v>Liza sp.</v>
      </c>
      <c r="J63" s="37" t="str">
        <f>IF(A63&amp;B63&amp;C63="","",INDEX(生物种群!$J$2:INDEX(生物种群!$J:$J,COUNTA(生物种群!$J:$J)),MATCH($I63,生物种群!$B$2:INDEX(生物种群!$B:$B,COUNTA(生物种群!$B:$B)),),))</f>
        <v/>
      </c>
      <c r="K63" s="71" t="str">
        <f>IF(A63&amp;B63&amp;C63="","",INDEX(生物种群!$E$2:INDEX(生物种群!$E:$E,COUNTA(生物种群!$E:$E)),MATCH($I63,生物种群!$B$2:INDEX(生物种群!$B:$B,COUNTA(生物种群!$B:$B)),),))</f>
        <v>鲻科</v>
      </c>
      <c r="L63" s="37" t="str">
        <f>IF(A63&amp;B63&amp;C63="","",INDEX(生物种群!$F$3:INDEX(生物种群!$F:$F,COUNTA(生物种群!$F:$F)),MATCH($I63,生物种群!$B$3:INDEX(生物种群!$B:$B,COUNTA(生物种群!$B:$B)),),))</f>
        <v>鲻形目</v>
      </c>
      <c r="M63" s="37" t="str">
        <f t="shared" si="1"/>
        <v>A2N44ZQ085Liza sp.鱼卵</v>
      </c>
      <c r="N63" s="37" t="str">
        <f t="shared" si="0"/>
        <v/>
      </c>
      <c r="O63" s="9"/>
      <c r="P63" s="10"/>
    </row>
    <row r="64" spans="1:16" ht="20.1" customHeight="1">
      <c r="A64" s="9" t="s">
        <v>14468</v>
      </c>
      <c r="B64" s="42"/>
      <c r="C64" s="9"/>
      <c r="D64" s="43">
        <v>32</v>
      </c>
      <c r="E64" s="9" t="s">
        <v>14443</v>
      </c>
      <c r="F64" s="9" t="s">
        <v>14378</v>
      </c>
      <c r="G64" s="47" t="str">
        <f>IF(F64="","",INDEX(站位样品信息!$B$3:INDEX(站位样品信息!$B:$B,COUNTA(站位样品信息!$B:$B)+1),MATCH($F64,站位样品信息!$A$3:INDEX(站位样品信息!$A:$A,COUNTA(站位样品信息!$A:$A)+1),),))</f>
        <v>B0616</v>
      </c>
      <c r="H64" s="71" t="str">
        <f>IF(A64&amp;B64&amp;C64="","",INDEX(生物种群!$A$2:INDEX(生物种群!$A:$A,COUNTA(生物种群!$A:$A)),MATCH($I64,生物种群!$B$2:INDEX(生物种群!$B:$B,COUNTA(生物种群!$B:$B)),),))</f>
        <v>眶棘双边鱼</v>
      </c>
      <c r="I64" s="71" t="str">
        <f>IF(A64&amp;B64&amp;C64="","",IF($C64&lt;&gt;0,INDEX(生物种群!$B$2:INDEX(生物种群!$B:$B,COUNTA(生物种群!$B:$B)),MATCH($C64,生物种群!$G$2:INDEX(生物种群!$G:$G,COUNTA(生物种群!$G:$G)),),),IF($A64&lt;&gt;0,INDEX(生物种群!$B$2:INDEX(生物种群!$B:$B,COUNTA(生物种群!$B:$B)),MATCH($A64,生物种群!$C$2:INDEX(生物种群!$C:$C,COUNTA(生物种群!$C:$C)),),),INDEX(生物种群!$B$2:INDEX(生物种群!$B:$B,COUNTA(生物种群!$B:$B)),MATCH($B64,生物种群!$D$2:INDEX(生物种群!$D:$D,COUNTA(生物种群!$D:$D)),),))))</f>
        <v>Ambassis gymnocephalus</v>
      </c>
      <c r="J64" s="37" t="str">
        <f>IF(A64&amp;B64&amp;C64="","",INDEX(生物种群!$J$2:INDEX(生物种群!$J:$J,COUNTA(生物种群!$J:$J)),MATCH($I64,生物种群!$B$2:INDEX(生物种群!$B:$B,COUNTA(生物种群!$B:$B)),),))</f>
        <v>Lacepede</v>
      </c>
      <c r="K64" s="71" t="str">
        <f>IF(A64&amp;B64&amp;C64="","",INDEX(生物种群!$E$2:INDEX(生物种群!$E:$E,COUNTA(生物种群!$E:$E)),MATCH($I64,生物种群!$B$2:INDEX(生物种群!$B:$B,COUNTA(生物种群!$B:$B)),),))</f>
        <v>双边鱼科</v>
      </c>
      <c r="L64" s="37" t="str">
        <f>IF(A64&amp;B64&amp;C64="","",INDEX(生物种群!$F$3:INDEX(生物种群!$F:$F,COUNTA(生物种群!$F:$F)),MATCH($I64,生物种群!$B$3:INDEX(生物种群!$B:$B,COUNTA(生物种群!$B:$B)),),))</f>
        <v>鲈形目</v>
      </c>
      <c r="M64" s="37" t="str">
        <f t="shared" si="1"/>
        <v>A2N44ZQ085Ambassis gymnocephalus鱼卵</v>
      </c>
      <c r="N64" s="37" t="str">
        <f t="shared" si="0"/>
        <v/>
      </c>
      <c r="O64" s="9"/>
      <c r="P64" s="10"/>
    </row>
    <row r="65" spans="1:16" ht="20.1" customHeight="1">
      <c r="A65" s="9" t="s">
        <v>14467</v>
      </c>
      <c r="B65" s="42"/>
      <c r="C65" s="9"/>
      <c r="D65" s="43">
        <v>20160</v>
      </c>
      <c r="E65" s="9" t="s">
        <v>14443</v>
      </c>
      <c r="F65" s="9" t="s">
        <v>14382</v>
      </c>
      <c r="G65" s="47" t="str">
        <f>IF(F65="","",INDEX(站位样品信息!$B$3:INDEX(站位样品信息!$B:$B,COUNTA(站位样品信息!$B:$B)+1),MATCH($F65,站位样品信息!$A$3:INDEX(站位样品信息!$A:$A,COUNTA(站位样品信息!$A:$A)+1),),))</f>
        <v>B1203</v>
      </c>
      <c r="H65" s="71" t="str">
        <f>IF(A65&amp;B65&amp;C65="","",INDEX(生物种群!$A$2:INDEX(生物种群!$A:$A,COUNTA(生物种群!$A:$A)),MATCH($I65,生物种群!$B$2:INDEX(生物种群!$B:$B,COUNTA(生物种群!$B:$B)),),))</f>
        <v>小沙丁鱼属</v>
      </c>
      <c r="I65" s="71" t="str">
        <f>IF(A65&amp;B65&amp;C65="","",IF($C65&lt;&gt;0,INDEX(生物种群!$B$2:INDEX(生物种群!$B:$B,COUNTA(生物种群!$B:$B)),MATCH($C65,生物种群!$G$2:INDEX(生物种群!$G:$G,COUNTA(生物种群!$G:$G)),),),IF($A65&lt;&gt;0,INDEX(生物种群!$B$2:INDEX(生物种群!$B:$B,COUNTA(生物种群!$B:$B)),MATCH($A65,生物种群!$C$2:INDEX(生物种群!$C:$C,COUNTA(生物种群!$C:$C)),),),INDEX(生物种群!$B$2:INDEX(生物种群!$B:$B,COUNTA(生物种群!$B:$B)),MATCH($B65,生物种群!$D$2:INDEX(生物种群!$D:$D,COUNTA(生物种群!$D:$D)),),))))</f>
        <v>Sardinella sp.</v>
      </c>
      <c r="J65" s="37" t="str">
        <f>IF(A65&amp;B65&amp;C65="","",INDEX(生物种群!$J$2:INDEX(生物种群!$J:$J,COUNTA(生物种群!$J:$J)),MATCH($I65,生物种群!$B$2:INDEX(生物种群!$B:$B,COUNTA(生物种群!$B:$B)),),))</f>
        <v>et Valenciennes</v>
      </c>
      <c r="K65" s="71" t="str">
        <f>IF(A65&amp;B65&amp;C65="","",INDEX(生物种群!$E$2:INDEX(生物种群!$E:$E,COUNTA(生物种群!$E:$E)),MATCH($I65,生物种群!$B$2:INDEX(生物种群!$B:$B,COUNTA(生物种群!$B:$B)),),))</f>
        <v>鲱科</v>
      </c>
      <c r="L65" s="37" t="str">
        <f>IF(A65&amp;B65&amp;C65="","",INDEX(生物种群!$F$3:INDEX(生物种群!$F:$F,COUNTA(生物种群!$F:$F)),MATCH($I65,生物种群!$B$3:INDEX(生物种群!$B:$B,COUNTA(生物种群!$B:$B)),),))</f>
        <v>鲱形目</v>
      </c>
      <c r="M65" s="37" t="str">
        <f t="shared" si="1"/>
        <v>A2N44ZQ082Sardinella sp.鱼卵</v>
      </c>
      <c r="N65" s="37" t="str">
        <f t="shared" si="0"/>
        <v/>
      </c>
      <c r="O65" s="9"/>
      <c r="P65" s="10"/>
    </row>
    <row r="66" spans="1:16" ht="20.1" customHeight="1">
      <c r="A66" s="9" t="s">
        <v>14469</v>
      </c>
      <c r="B66" s="42"/>
      <c r="C66" s="9"/>
      <c r="D66" s="43">
        <v>1</v>
      </c>
      <c r="E66" s="9" t="s">
        <v>14443</v>
      </c>
      <c r="F66" s="9" t="s">
        <v>14382</v>
      </c>
      <c r="G66" s="47" t="str">
        <f>IF(F66="","",INDEX(站位样品信息!$B$3:INDEX(站位样品信息!$B:$B,COUNTA(站位样品信息!$B:$B)+1),MATCH($F66,站位样品信息!$A$3:INDEX(站位样品信息!$A:$A,COUNTA(站位样品信息!$A:$A)+1),),))</f>
        <v>B1203</v>
      </c>
      <c r="H66" s="71" t="str">
        <f>IF(A66&amp;B66&amp;C66="","",INDEX(生物种群!$A$2:INDEX(生物种群!$A:$A,COUNTA(生物种群!$A:$A)),MATCH($I66,生物种群!$B$2:INDEX(生物种群!$B:$B,COUNTA(生物种群!$B:$B)),),))</f>
        <v>鳗鲡目</v>
      </c>
      <c r="I66" s="71" t="str">
        <f>IF(A66&amp;B66&amp;C66="","",IF($C66&lt;&gt;0,INDEX(生物种群!$B$2:INDEX(生物种群!$B:$B,COUNTA(生物种群!$B:$B)),MATCH($C66,生物种群!$G$2:INDEX(生物种群!$G:$G,COUNTA(生物种群!$G:$G)),),),IF($A66&lt;&gt;0,INDEX(生物种群!$B$2:INDEX(生物种群!$B:$B,COUNTA(生物种群!$B:$B)),MATCH($A66,生物种群!$C$2:INDEX(生物种群!$C:$C,COUNTA(生物种群!$C:$C)),),),INDEX(生物种群!$B$2:INDEX(生物种群!$B:$B,COUNTA(生物种群!$B:$B)),MATCH($B66,生物种群!$D$2:INDEX(生物种群!$D:$D,COUNTA(生物种群!$D:$D)),),))))</f>
        <v>Anguilliformes sp.</v>
      </c>
      <c r="J66" s="37" t="e">
        <f>IF(A66&amp;B66&amp;C66="","",INDEX(生物种群!$J$2:INDEX(生物种群!$J:$J,COUNTA(生物种群!$J:$J)),MATCH($I66,生物种群!$B$2:INDEX(生物种群!$B:$B,COUNTA(生物种群!$B:$B)),),))</f>
        <v>#REF!</v>
      </c>
      <c r="K66" s="71" t="str">
        <f>IF(A66&amp;B66&amp;C66="","",INDEX(生物种群!$E$2:INDEX(生物种群!$E:$E,COUNTA(生物种群!$E:$E)),MATCH($I66,生物种群!$B$2:INDEX(生物种群!$B:$B,COUNTA(生物种群!$B:$B)),),))</f>
        <v>鳗鲡目</v>
      </c>
      <c r="L66" s="37" t="e">
        <f>IF(A66&amp;B66&amp;C66="","",INDEX(生物种群!$F$3:INDEX(生物种群!$F:$F,COUNTA(生物种群!$F:$F)),MATCH($I66,生物种群!$B$3:INDEX(生物种群!$B:$B,COUNTA(生物种群!$B:$B)),),))</f>
        <v>#REF!</v>
      </c>
      <c r="M66" s="37" t="str">
        <f t="shared" si="1"/>
        <v>A2N44ZQ082Anguilliformes sp.鱼卵</v>
      </c>
      <c r="N66" s="37" t="str">
        <f t="shared" si="0"/>
        <v/>
      </c>
      <c r="O66" s="9"/>
      <c r="P66" s="10"/>
    </row>
    <row r="67" spans="1:16" ht="20.1" customHeight="1">
      <c r="A67" s="9" t="s">
        <v>747</v>
      </c>
      <c r="B67" s="42"/>
      <c r="C67" s="35">
        <v>360300</v>
      </c>
      <c r="D67" s="43">
        <v>20</v>
      </c>
      <c r="E67" s="9" t="s">
        <v>14443</v>
      </c>
      <c r="F67" s="9" t="s">
        <v>14382</v>
      </c>
      <c r="G67" s="47" t="str">
        <f>IF(F67="","",INDEX(站位样品信息!$B$3:INDEX(站位样品信息!$B:$B,COUNTA(站位样品信息!$B:$B)+1),MATCH($F67,站位样品信息!$A$3:INDEX(站位样品信息!$A:$A,COUNTA(站位样品信息!$A:$A)+1),),))</f>
        <v>B1203</v>
      </c>
      <c r="H67" s="71" t="str">
        <f>IF(A67&amp;B67&amp;C67="","",INDEX(生物种群!$A$2:INDEX(生物种群!$A:$A,COUNTA(生物种群!$A:$A)),MATCH($I67,生物种群!$B$2:INDEX(生物种群!$B:$B,COUNTA(生物种群!$B:$B)),),))</f>
        <v>毒鲉科</v>
      </c>
      <c r="I67" s="71" t="str">
        <f>IF(A67&amp;B67&amp;C67="","",IF($C67&lt;&gt;0,INDEX(生物种群!$B$2:INDEX(生物种群!$B:$B,COUNTA(生物种群!$B:$B)),MATCH($C67,生物种群!$G$2:INDEX(生物种群!$G:$G,COUNTA(生物种群!$G:$G)),),),IF($A67&lt;&gt;0,INDEX(生物种群!$B$2:INDEX(生物种群!$B:$B,COUNTA(生物种群!$B:$B)),MATCH($A67,生物种群!$C$2:INDEX(生物种群!$C:$C,COUNTA(生物种群!$C:$C)),),),INDEX(生物种群!$B$2:INDEX(生物种群!$B:$B,COUNTA(生物种群!$B:$B)),MATCH($B67,生物种群!$D$2:INDEX(生物种群!$D:$D,COUNTA(生物种群!$D:$D)),),))))</f>
        <v>Synanceiidae sp.</v>
      </c>
      <c r="J67" s="37" t="str">
        <f>IF(A67&amp;B67&amp;C67="","",INDEX(生物种群!$J$2:INDEX(生物种群!$J:$J,COUNTA(生物种群!$J:$J)),MATCH($I67,生物种群!$B$2:INDEX(生物种群!$B:$B,COUNTA(生物种群!$B:$B)),),))</f>
        <v/>
      </c>
      <c r="K67" s="71" t="str">
        <f>IF(A67&amp;B67&amp;C67="","",INDEX(生物种群!$E$2:INDEX(生物种群!$E:$E,COUNTA(生物种群!$E:$E)),MATCH($I67,生物种群!$B$2:INDEX(生物种群!$B:$B,COUNTA(生物种群!$B:$B)),),))</f>
        <v>毒鲉科</v>
      </c>
      <c r="L67" s="37" t="str">
        <f>IF(A67&amp;B67&amp;C67="","",INDEX(生物种群!$F$3:INDEX(生物种群!$F:$F,COUNTA(生物种群!$F:$F)),MATCH($I67,生物种群!$B$3:INDEX(生物种群!$B:$B,COUNTA(生物种群!$B:$B)),),))</f>
        <v>鲉形目</v>
      </c>
      <c r="M67" s="37" t="str">
        <f t="shared" si="2" ref="M67:M130">IF(F67&gt;0,F67&amp;I67&amp;E67,"")</f>
        <v>A2N44ZQ082Synanceiidae sp.鱼卵</v>
      </c>
      <c r="N67" s="37" t="str">
        <f t="shared" si="3" ref="N67:N130">IF(COUNTIF($M:$M,M67)=1,"",IF(A67&amp;B67&amp;C67="","","重复"))</f>
        <v/>
      </c>
      <c r="O67" s="9"/>
      <c r="P67" s="10"/>
    </row>
    <row r="68" spans="1:16" ht="20.1" customHeight="1">
      <c r="A68" s="9" t="s">
        <v>14468</v>
      </c>
      <c r="B68" s="42"/>
      <c r="C68" s="9"/>
      <c r="D68" s="43">
        <v>3600</v>
      </c>
      <c r="E68" s="9" t="s">
        <v>14443</v>
      </c>
      <c r="F68" s="9" t="s">
        <v>14382</v>
      </c>
      <c r="G68" s="47" t="str">
        <f>IF(F68="","",INDEX(站位样品信息!$B$3:INDEX(站位样品信息!$B:$B,COUNTA(站位样品信息!$B:$B)+1),MATCH($F68,站位样品信息!$A$3:INDEX(站位样品信息!$A:$A,COUNTA(站位样品信息!$A:$A)+1),),))</f>
        <v>B1203</v>
      </c>
      <c r="H68" s="71" t="str">
        <f>IF(A68&amp;B68&amp;C68="","",INDEX(生物种群!$A$2:INDEX(生物种群!$A:$A,COUNTA(生物种群!$A:$A)),MATCH($I68,生物种群!$B$2:INDEX(生物种群!$B:$B,COUNTA(生物种群!$B:$B)),),))</f>
        <v>眶棘双边鱼</v>
      </c>
      <c r="I68" s="71" t="str">
        <f>IF(A68&amp;B68&amp;C68="","",IF($C68&lt;&gt;0,INDEX(生物种群!$B$2:INDEX(生物种群!$B:$B,COUNTA(生物种群!$B:$B)),MATCH($C68,生物种群!$G$2:INDEX(生物种群!$G:$G,COUNTA(生物种群!$G:$G)),),),IF($A68&lt;&gt;0,INDEX(生物种群!$B$2:INDEX(生物种群!$B:$B,COUNTA(生物种群!$B:$B)),MATCH($A68,生物种群!$C$2:INDEX(生物种群!$C:$C,COUNTA(生物种群!$C:$C)),),),INDEX(生物种群!$B$2:INDEX(生物种群!$B:$B,COUNTA(生物种群!$B:$B)),MATCH($B68,生物种群!$D$2:INDEX(生物种群!$D:$D,COUNTA(生物种群!$D:$D)),),))))</f>
        <v>Ambassis gymnocephalus</v>
      </c>
      <c r="J68" s="37" t="str">
        <f>IF(A68&amp;B68&amp;C68="","",INDEX(生物种群!$J$2:INDEX(生物种群!$J:$J,COUNTA(生物种群!$J:$J)),MATCH($I68,生物种群!$B$2:INDEX(生物种群!$B:$B,COUNTA(生物种群!$B:$B)),),))</f>
        <v>Lacepede</v>
      </c>
      <c r="K68" s="71" t="str">
        <f>IF(A68&amp;B68&amp;C68="","",INDEX(生物种群!$E$2:INDEX(生物种群!$E:$E,COUNTA(生物种群!$E:$E)),MATCH($I68,生物种群!$B$2:INDEX(生物种群!$B:$B,COUNTA(生物种群!$B:$B)),),))</f>
        <v>双边鱼科</v>
      </c>
      <c r="L68" s="37" t="str">
        <f>IF(A68&amp;B68&amp;C68="","",INDEX(生物种群!$F$3:INDEX(生物种群!$F:$F,COUNTA(生物种群!$F:$F)),MATCH($I68,生物种群!$B$3:INDEX(生物种群!$B:$B,COUNTA(生物种群!$B:$B)),),))</f>
        <v>鲈形目</v>
      </c>
      <c r="M68" s="37" t="str">
        <f t="shared" si="2"/>
        <v>A2N44ZQ082Ambassis gymnocephalus鱼卵</v>
      </c>
      <c r="N68" s="37" t="str">
        <f t="shared" si="3"/>
        <v/>
      </c>
      <c r="O68" s="9"/>
      <c r="P68" s="10"/>
    </row>
    <row r="69" spans="1:16" ht="20.1" customHeight="1">
      <c r="A69" s="9" t="s">
        <v>14467</v>
      </c>
      <c r="B69" s="42"/>
      <c r="C69" s="9"/>
      <c r="D69" s="43">
        <v>1</v>
      </c>
      <c r="E69" s="9" t="s">
        <v>14451</v>
      </c>
      <c r="F69" s="9" t="s">
        <v>14386</v>
      </c>
      <c r="G69" s="47" t="str">
        <f>IF(F69="","",INDEX(站位样品信息!$B$3:INDEX(站位样品信息!$B:$B,COUNTA(站位样品信息!$B:$B)+1),MATCH($F69,站位样品信息!$A$3:INDEX(站位样品信息!$A:$A,COUNTA(站位样品信息!$A:$A)+1),),))</f>
        <v>B0302</v>
      </c>
      <c r="H69" s="71" t="str">
        <f>IF(A69&amp;B69&amp;C69="","",INDEX(生物种群!$A$2:INDEX(生物种群!$A:$A,COUNTA(生物种群!$A:$A)),MATCH($I69,生物种群!$B$2:INDEX(生物种群!$B:$B,COUNTA(生物种群!$B:$B)),),))</f>
        <v>小沙丁鱼属</v>
      </c>
      <c r="I69" s="71" t="str">
        <f>IF(A69&amp;B69&amp;C69="","",IF($C69&lt;&gt;0,INDEX(生物种群!$B$2:INDEX(生物种群!$B:$B,COUNTA(生物种群!$B:$B)),MATCH($C69,生物种群!$G$2:INDEX(生物种群!$G:$G,COUNTA(生物种群!$G:$G)),),),IF($A69&lt;&gt;0,INDEX(生物种群!$B$2:INDEX(生物种群!$B:$B,COUNTA(生物种群!$B:$B)),MATCH($A69,生物种群!$C$2:INDEX(生物种群!$C:$C,COUNTA(生物种群!$C:$C)),),),INDEX(生物种群!$B$2:INDEX(生物种群!$B:$B,COUNTA(生物种群!$B:$B)),MATCH($B69,生物种群!$D$2:INDEX(生物种群!$D:$D,COUNTA(生物种群!$D:$D)),),))))</f>
        <v>Sardinella sp.</v>
      </c>
      <c r="J69" s="37" t="str">
        <f>IF(A69&amp;B69&amp;C69="","",INDEX(生物种群!$J$2:INDEX(生物种群!$J:$J,COUNTA(生物种群!$J:$J)),MATCH($I69,生物种群!$B$2:INDEX(生物种群!$B:$B,COUNTA(生物种群!$B:$B)),),))</f>
        <v>et Valenciennes</v>
      </c>
      <c r="K69" s="71" t="str">
        <f>IF(A69&amp;B69&amp;C69="","",INDEX(生物种群!$E$2:INDEX(生物种群!$E:$E,COUNTA(生物种群!$E:$E)),MATCH($I69,生物种群!$B$2:INDEX(生物种群!$B:$B,COUNTA(生物种群!$B:$B)),),))</f>
        <v>鲱科</v>
      </c>
      <c r="L69" s="37" t="str">
        <f>IF(A69&amp;B69&amp;C69="","",INDEX(生物种群!$F$3:INDEX(生物种群!$F:$F,COUNTA(生物种群!$F:$F)),MATCH($I69,生物种群!$B$3:INDEX(生物种群!$B:$B,COUNTA(生物种群!$B:$B)),),))</f>
        <v>鲱形目</v>
      </c>
      <c r="M69" s="37" t="str">
        <f t="shared" si="2"/>
        <v>A2N44ZQ081Sardinella sp.前期仔鱼</v>
      </c>
      <c r="N69" s="37" t="str">
        <f t="shared" si="3"/>
        <v/>
      </c>
      <c r="O69" s="9"/>
      <c r="P69" s="10"/>
    </row>
    <row r="70" spans="1:16" ht="20.1" customHeight="1">
      <c r="A70" s="9" t="s">
        <v>14464</v>
      </c>
      <c r="B70" s="42"/>
      <c r="C70" s="9"/>
      <c r="D70" s="43">
        <v>1</v>
      </c>
      <c r="E70" s="9" t="s">
        <v>14451</v>
      </c>
      <c r="F70" s="9" t="s">
        <v>14386</v>
      </c>
      <c r="G70" s="47" t="str">
        <f>IF(F70="","",INDEX(站位样品信息!$B$3:INDEX(站位样品信息!$B:$B,COUNTA(站位样品信息!$B:$B)+1),MATCH($F70,站位样品信息!$A$3:INDEX(站位样品信息!$A:$A,COUNTA(站位样品信息!$A:$A)+1),),))</f>
        <v>B0302</v>
      </c>
      <c r="H70" s="71" t="str">
        <f>IF(A70&amp;B70&amp;C70="","",INDEX(生物种群!$A$2:INDEX(生物种群!$A:$A,COUNTA(生物种群!$A:$A)),MATCH($I70,生物种群!$B$2:INDEX(生物种群!$B:$B,COUNTA(生物种群!$B:$B)),),))</f>
        <v>康氏小公鱼</v>
      </c>
      <c r="I70" s="71" t="str">
        <f>IF(A70&amp;B70&amp;C70="","",IF($C70&lt;&gt;0,INDEX(生物种群!$B$2:INDEX(生物种群!$B:$B,COUNTA(生物种群!$B:$B)),MATCH($C70,生物种群!$G$2:INDEX(生物种群!$G:$G,COUNTA(生物种群!$G:$G)),),),IF($A70&lt;&gt;0,INDEX(生物种群!$B$2:INDEX(生物种群!$B:$B,COUNTA(生物种群!$B:$B)),MATCH($A70,生物种群!$C$2:INDEX(生物种群!$C:$C,COUNTA(生物种群!$C:$C)),),),INDEX(生物种群!$B$2:INDEX(生物种群!$B:$B,COUNTA(生物种群!$B:$B)),MATCH($B70,生物种群!$D$2:INDEX(生物种群!$D:$D,COUNTA(生物种群!$D:$D)),),))))</f>
        <v>Stolephorus commersonii</v>
      </c>
      <c r="J70" s="37" t="str">
        <f>IF(A70&amp;B70&amp;C70="","",INDEX(生物种群!$J$2:INDEX(生物种群!$J:$J,COUNTA(生物种群!$J:$J)),MATCH($I70,生物种群!$B$2:INDEX(生物种群!$B:$B,COUNTA(生物种群!$B:$B)),),))</f>
        <v>(Lacepede)</v>
      </c>
      <c r="K70" s="71" t="str">
        <f>IF(A70&amp;B70&amp;C70="","",INDEX(生物种群!$E$2:INDEX(生物种群!$E:$E,COUNTA(生物种群!$E:$E)),MATCH($I70,生物种群!$B$2:INDEX(生物种群!$B:$B,COUNTA(生物种群!$B:$B)),),))</f>
        <v>鳀科</v>
      </c>
      <c r="L70" s="37" t="str">
        <f>IF(A70&amp;B70&amp;C70="","",INDEX(生物种群!$F$3:INDEX(生物种群!$F:$F,COUNTA(生物种群!$F:$F)),MATCH($I70,生物种群!$B$3:INDEX(生物种群!$B:$B,COUNTA(生物种群!$B:$B)),),))</f>
        <v>鲱形目</v>
      </c>
      <c r="M70" s="37" t="str">
        <f t="shared" si="2"/>
        <v>A2N44ZQ081Stolephorus commersonii前期仔鱼</v>
      </c>
      <c r="N70" s="37" t="str">
        <f t="shared" si="3"/>
        <v/>
      </c>
      <c r="O70" s="9"/>
      <c r="P70" s="10"/>
    </row>
    <row r="71" spans="1:16" ht="20.1" customHeight="1">
      <c r="A71" s="9" t="s">
        <v>14464</v>
      </c>
      <c r="B71" s="42"/>
      <c r="C71" s="9"/>
      <c r="D71" s="43">
        <v>2</v>
      </c>
      <c r="E71" s="9" t="s">
        <v>14443</v>
      </c>
      <c r="F71" s="9" t="s">
        <v>14386</v>
      </c>
      <c r="G71" s="47" t="str">
        <f>IF(F71="","",INDEX(站位样品信息!$B$3:INDEX(站位样品信息!$B:$B,COUNTA(站位样品信息!$B:$B)+1),MATCH($F71,站位样品信息!$A$3:INDEX(站位样品信息!$A:$A,COUNTA(站位样品信息!$A:$A)+1),),))</f>
        <v>B0302</v>
      </c>
      <c r="H71" s="71" t="str">
        <f>IF(A71&amp;B71&amp;C71="","",INDEX(生物种群!$A$2:INDEX(生物种群!$A:$A,COUNTA(生物种群!$A:$A)),MATCH($I71,生物种群!$B$2:INDEX(生物种群!$B:$B,COUNTA(生物种群!$B:$B)),),))</f>
        <v>康氏小公鱼</v>
      </c>
      <c r="I71" s="71" t="str">
        <f>IF(A71&amp;B71&amp;C71="","",IF($C71&lt;&gt;0,INDEX(生物种群!$B$2:INDEX(生物种群!$B:$B,COUNTA(生物种群!$B:$B)),MATCH($C71,生物种群!$G$2:INDEX(生物种群!$G:$G,COUNTA(生物种群!$G:$G)),),),IF($A71&lt;&gt;0,INDEX(生物种群!$B$2:INDEX(生物种群!$B:$B,COUNTA(生物种群!$B:$B)),MATCH($A71,生物种群!$C$2:INDEX(生物种群!$C:$C,COUNTA(生物种群!$C:$C)),),),INDEX(生物种群!$B$2:INDEX(生物种群!$B:$B,COUNTA(生物种群!$B:$B)),MATCH($B71,生物种群!$D$2:INDEX(生物种群!$D:$D,COUNTA(生物种群!$D:$D)),),))))</f>
        <v>Stolephorus commersonii</v>
      </c>
      <c r="J71" s="37" t="str">
        <f>IF(A71&amp;B71&amp;C71="","",INDEX(生物种群!$J$2:INDEX(生物种群!$J:$J,COUNTA(生物种群!$J:$J)),MATCH($I71,生物种群!$B$2:INDEX(生物种群!$B:$B,COUNTA(生物种群!$B:$B)),),))</f>
        <v>(Lacepede)</v>
      </c>
      <c r="K71" s="71" t="str">
        <f>IF(A71&amp;B71&amp;C71="","",INDEX(生物种群!$E$2:INDEX(生物种群!$E:$E,COUNTA(生物种群!$E:$E)),MATCH($I71,生物种群!$B$2:INDEX(生物种群!$B:$B,COUNTA(生物种群!$B:$B)),),))</f>
        <v>鳀科</v>
      </c>
      <c r="L71" s="37" t="str">
        <f>IF(A71&amp;B71&amp;C71="","",INDEX(生物种群!$F$3:INDEX(生物种群!$F:$F,COUNTA(生物种群!$F:$F)),MATCH($I71,生物种群!$B$3:INDEX(生物种群!$B:$B,COUNTA(生物种群!$B:$B)),),))</f>
        <v>鲱形目</v>
      </c>
      <c r="M71" s="37" t="str">
        <f t="shared" si="2"/>
        <v>A2N44ZQ081Stolephorus commersonii鱼卵</v>
      </c>
      <c r="N71" s="37" t="str">
        <f t="shared" si="3"/>
        <v/>
      </c>
      <c r="O71" s="9"/>
      <c r="P71" s="10"/>
    </row>
    <row r="72" spans="1:16" ht="20.1" customHeight="1">
      <c r="A72" s="9" t="s">
        <v>14470</v>
      </c>
      <c r="B72" s="42"/>
      <c r="C72" s="9"/>
      <c r="D72" s="43">
        <v>3</v>
      </c>
      <c r="E72" s="9" t="s">
        <v>14443</v>
      </c>
      <c r="F72" s="9" t="s">
        <v>14386</v>
      </c>
      <c r="G72" s="47" t="str">
        <f>IF(F72="","",INDEX(站位样品信息!$B$3:INDEX(站位样品信息!$B:$B,COUNTA(站位样品信息!$B:$B)+1),MATCH($F72,站位样品信息!$A$3:INDEX(站位样品信息!$A:$A,COUNTA(站位样品信息!$A:$A)+1),),))</f>
        <v>B0302</v>
      </c>
      <c r="H72" s="71" t="str">
        <f>IF(A72&amp;B72&amp;C72="","",INDEX(生物种群!$A$2:INDEX(生物种群!$A:$A,COUNTA(生物种群!$A:$A)),MATCH($I72,生物种群!$B$2:INDEX(生物种群!$B:$B,COUNTA(生物种群!$B:$B)),),))</f>
        <v>棱鳀属</v>
      </c>
      <c r="I72" s="71" t="str">
        <f>IF(A72&amp;B72&amp;C72="","",IF($C72&lt;&gt;0,INDEX(生物种群!$B$2:INDEX(生物种群!$B:$B,COUNTA(生物种群!$B:$B)),MATCH($C72,生物种群!$G$2:INDEX(生物种群!$G:$G,COUNTA(生物种群!$G:$G)),),),IF($A72&lt;&gt;0,INDEX(生物种群!$B$2:INDEX(生物种群!$B:$B,COUNTA(生物种群!$B:$B)),MATCH($A72,生物种群!$C$2:INDEX(生物种群!$C:$C,COUNTA(生物种群!$C:$C)),),),INDEX(生物种群!$B$2:INDEX(生物种群!$B:$B,COUNTA(生物种群!$B:$B)),MATCH($B72,生物种群!$D$2:INDEX(生物种群!$D:$D,COUNTA(生物种群!$D:$D)),),))))</f>
        <v>Thryssa sp.</v>
      </c>
      <c r="J72" s="37" t="str">
        <f>IF(A72&amp;B72&amp;C72="","",INDEX(生物种群!$J$2:INDEX(生物种群!$J:$J,COUNTA(生物种群!$J:$J)),MATCH($I72,生物种群!$B$2:INDEX(生物种群!$B:$B,COUNTA(生物种群!$B:$B)),),))</f>
        <v/>
      </c>
      <c r="K72" s="71" t="str">
        <f>IF(A72&amp;B72&amp;C72="","",INDEX(生物种群!$E$2:INDEX(生物种群!$E:$E,COUNTA(生物种群!$E:$E)),MATCH($I72,生物种群!$B$2:INDEX(生物种群!$B:$B,COUNTA(生物种群!$B:$B)),),))</f>
        <v>鳀科</v>
      </c>
      <c r="L72" s="37" t="str">
        <f>IF(A72&amp;B72&amp;C72="","",INDEX(生物种群!$F$3:INDEX(生物种群!$F:$F,COUNTA(生物种群!$F:$F)),MATCH($I72,生物种群!$B$3:INDEX(生物种群!$B:$B,COUNTA(生物种群!$B:$B)),),))</f>
        <v>鲱形目</v>
      </c>
      <c r="M72" s="37" t="str">
        <f t="shared" si="2"/>
        <v>A2N44ZQ081Thryssa sp.鱼卵</v>
      </c>
      <c r="N72" s="37" t="str">
        <f t="shared" si="3"/>
        <v/>
      </c>
      <c r="O72" s="9"/>
      <c r="P72" s="10"/>
    </row>
    <row r="73" spans="1:16" ht="20.1" customHeight="1">
      <c r="A73" s="9" t="s">
        <v>14465</v>
      </c>
      <c r="B73" s="42"/>
      <c r="C73" s="9"/>
      <c r="D73" s="43">
        <v>1</v>
      </c>
      <c r="E73" s="9" t="s">
        <v>14443</v>
      </c>
      <c r="F73" s="9" t="s">
        <v>14386</v>
      </c>
      <c r="G73" s="47" t="str">
        <f>IF(F73="","",INDEX(站位样品信息!$B$3:INDEX(站位样品信息!$B:$B,COUNTA(站位样品信息!$B:$B)+1),MATCH($F73,站位样品信息!$A$3:INDEX(站位样品信息!$A:$A,COUNTA(站位样品信息!$A:$A)+1),),))</f>
        <v>B0302</v>
      </c>
      <c r="H73" s="71" t="str">
        <f>IF(A73&amp;B73&amp;C73="","",INDEX(生物种群!$A$2:INDEX(生物种群!$A:$A,COUNTA(生物种群!$A:$A)),MATCH($I73,生物种群!$B$2:INDEX(生物种群!$B:$B,COUNTA(生物种群!$B:$B)),),))</f>
        <v>鮻属</v>
      </c>
      <c r="I73" s="71" t="str">
        <f>IF(A73&amp;B73&amp;C73="","",IF($C73&lt;&gt;0,INDEX(生物种群!$B$2:INDEX(生物种群!$B:$B,COUNTA(生物种群!$B:$B)),MATCH($C73,生物种群!$G$2:INDEX(生物种群!$G:$G,COUNTA(生物种群!$G:$G)),),),IF($A73&lt;&gt;0,INDEX(生物种群!$B$2:INDEX(生物种群!$B:$B,COUNTA(生物种群!$B:$B)),MATCH($A73,生物种群!$C$2:INDEX(生物种群!$C:$C,COUNTA(生物种群!$C:$C)),),),INDEX(生物种群!$B$2:INDEX(生物种群!$B:$B,COUNTA(生物种群!$B:$B)),MATCH($B73,生物种群!$D$2:INDEX(生物种群!$D:$D,COUNTA(生物种群!$D:$D)),),))))</f>
        <v>Liza sp.</v>
      </c>
      <c r="J73" s="37" t="str">
        <f>IF(A73&amp;B73&amp;C73="","",INDEX(生物种群!$J$2:INDEX(生物种群!$J:$J,COUNTA(生物种群!$J:$J)),MATCH($I73,生物种群!$B$2:INDEX(生物种群!$B:$B,COUNTA(生物种群!$B:$B)),),))</f>
        <v/>
      </c>
      <c r="K73" s="71" t="str">
        <f>IF(A73&amp;B73&amp;C73="","",INDEX(生物种群!$E$2:INDEX(生物种群!$E:$E,COUNTA(生物种群!$E:$E)),MATCH($I73,生物种群!$B$2:INDEX(生物种群!$B:$B,COUNTA(生物种群!$B:$B)),),))</f>
        <v>鲻科</v>
      </c>
      <c r="L73" s="37" t="str">
        <f>IF(A73&amp;B73&amp;C73="","",INDEX(生物种群!$F$3:INDEX(生物种群!$F:$F,COUNTA(生物种群!$F:$F)),MATCH($I73,生物种群!$B$3:INDEX(生物种群!$B:$B,COUNTA(生物种群!$B:$B)),),))</f>
        <v>鲻形目</v>
      </c>
      <c r="M73" s="37" t="str">
        <f t="shared" si="2"/>
        <v>A2N44ZQ081Liza sp.鱼卵</v>
      </c>
      <c r="N73" s="37" t="str">
        <f t="shared" si="3"/>
        <v/>
      </c>
      <c r="O73" s="9"/>
      <c r="P73" s="10"/>
    </row>
    <row r="74" spans="1:16" ht="20.1" customHeight="1">
      <c r="A74" s="9" t="s">
        <v>14471</v>
      </c>
      <c r="B74" s="42"/>
      <c r="C74" s="9"/>
      <c r="D74" s="43">
        <v>5</v>
      </c>
      <c r="E74" s="9" t="s">
        <v>14443</v>
      </c>
      <c r="F74" s="9" t="s">
        <v>14386</v>
      </c>
      <c r="G74" s="47" t="str">
        <f>IF(F74="","",INDEX(站位样品信息!$B$3:INDEX(站位样品信息!$B:$B,COUNTA(站位样品信息!$B:$B)+1),MATCH($F74,站位样品信息!$A$3:INDEX(站位样品信息!$A:$A,COUNTA(站位样品信息!$A:$A)+1),),))</f>
        <v>B0302</v>
      </c>
      <c r="H74" s="71" t="str">
        <f>IF(A74&amp;B74&amp;C74="","",INDEX(生物种群!$A$2:INDEX(生物种群!$A:$A,COUNTA(生物种群!$A:$A)),MATCH($I74,生物种群!$B$2:INDEX(生物种群!$B:$B,COUNTA(生物种群!$B:$B)),),))</f>
        <v>鲹科</v>
      </c>
      <c r="I74" s="71" t="str">
        <f>IF(A74&amp;B74&amp;C74="","",IF($C74&lt;&gt;0,INDEX(生物种群!$B$2:INDEX(生物种群!$B:$B,COUNTA(生物种群!$B:$B)),MATCH($C74,生物种群!$G$2:INDEX(生物种群!$G:$G,COUNTA(生物种群!$G:$G)),),),IF($A74&lt;&gt;0,INDEX(生物种群!$B$2:INDEX(生物种群!$B:$B,COUNTA(生物种群!$B:$B)),MATCH($A74,生物种群!$C$2:INDEX(生物种群!$C:$C,COUNTA(生物种群!$C:$C)),),),INDEX(生物种群!$B$2:INDEX(生物种群!$B:$B,COUNTA(生物种群!$B:$B)),MATCH($B74,生物种群!$D$2:INDEX(生物种群!$D:$D,COUNTA(生物种群!$D:$D)),),))))</f>
        <v>Carangidae sp.</v>
      </c>
      <c r="J74" s="37" t="str">
        <f>IF(A74&amp;B74&amp;C74="","",INDEX(生物种群!$J$2:INDEX(生物种群!$J:$J,COUNTA(生物种群!$J:$J)),MATCH($I74,生物种群!$B$2:INDEX(生物种群!$B:$B,COUNTA(生物种群!$B:$B)),),))</f>
        <v/>
      </c>
      <c r="K74" s="71" t="str">
        <f>IF(A74&amp;B74&amp;C74="","",INDEX(生物种群!$E$2:INDEX(生物种群!$E:$E,COUNTA(生物种群!$E:$E)),MATCH($I74,生物种群!$B$2:INDEX(生物种群!$B:$B,COUNTA(生物种群!$B:$B)),),))</f>
        <v>鲹科</v>
      </c>
      <c r="L74" s="37" t="str">
        <f>IF(A74&amp;B74&amp;C74="","",INDEX(生物种群!$F$3:INDEX(生物种群!$F:$F,COUNTA(生物种群!$F:$F)),MATCH($I74,生物种群!$B$3:INDEX(生物种群!$B:$B,COUNTA(生物种群!$B:$B)),),))</f>
        <v>鲈形目</v>
      </c>
      <c r="M74" s="37" t="str">
        <f t="shared" si="2"/>
        <v>A2N44ZQ081Carangidae sp.鱼卵</v>
      </c>
      <c r="N74" s="37" t="str">
        <f t="shared" si="3"/>
        <v/>
      </c>
      <c r="O74" s="9"/>
      <c r="P74" s="10"/>
    </row>
    <row r="75" spans="1:16" ht="20.1" customHeight="1">
      <c r="A75" s="9" t="s">
        <v>14468</v>
      </c>
      <c r="B75" s="42"/>
      <c r="C75" s="9"/>
      <c r="D75" s="43">
        <v>3</v>
      </c>
      <c r="E75" s="9" t="s">
        <v>14443</v>
      </c>
      <c r="F75" s="9" t="s">
        <v>14386</v>
      </c>
      <c r="G75" s="47" t="str">
        <f>IF(F75="","",INDEX(站位样品信息!$B$3:INDEX(站位样品信息!$B:$B,COUNTA(站位样品信息!$B:$B)+1),MATCH($F75,站位样品信息!$A$3:INDEX(站位样品信息!$A:$A,COUNTA(站位样品信息!$A:$A)+1),),))</f>
        <v>B0302</v>
      </c>
      <c r="H75" s="71" t="str">
        <f>IF(A75&amp;B75&amp;C75="","",INDEX(生物种群!$A$2:INDEX(生物种群!$A:$A,COUNTA(生物种群!$A:$A)),MATCH($I75,生物种群!$B$2:INDEX(生物种群!$B:$B,COUNTA(生物种群!$B:$B)),),))</f>
        <v>眶棘双边鱼</v>
      </c>
      <c r="I75" s="71" t="str">
        <f>IF(A75&amp;B75&amp;C75="","",IF($C75&lt;&gt;0,INDEX(生物种群!$B$2:INDEX(生物种群!$B:$B,COUNTA(生物种群!$B:$B)),MATCH($C75,生物种群!$G$2:INDEX(生物种群!$G:$G,COUNTA(生物种群!$G:$G)),),),IF($A75&lt;&gt;0,INDEX(生物种群!$B$2:INDEX(生物种群!$B:$B,COUNTA(生物种群!$B:$B)),MATCH($A75,生物种群!$C$2:INDEX(生物种群!$C:$C,COUNTA(生物种群!$C:$C)),),),INDEX(生物种群!$B$2:INDEX(生物种群!$B:$B,COUNTA(生物种群!$B:$B)),MATCH($B75,生物种群!$D$2:INDEX(生物种群!$D:$D,COUNTA(生物种群!$D:$D)),),))))</f>
        <v>Ambassis gymnocephalus</v>
      </c>
      <c r="J75" s="37" t="str">
        <f>IF(A75&amp;B75&amp;C75="","",INDEX(生物种群!$J$2:INDEX(生物种群!$J:$J,COUNTA(生物种群!$J:$J)),MATCH($I75,生物种群!$B$2:INDEX(生物种群!$B:$B,COUNTA(生物种群!$B:$B)),),))</f>
        <v>Lacepede</v>
      </c>
      <c r="K75" s="71" t="str">
        <f>IF(A75&amp;B75&amp;C75="","",INDEX(生物种群!$E$2:INDEX(生物种群!$E:$E,COUNTA(生物种群!$E:$E)),MATCH($I75,生物种群!$B$2:INDEX(生物种群!$B:$B,COUNTA(生物种群!$B:$B)),),))</f>
        <v>双边鱼科</v>
      </c>
      <c r="L75" s="37" t="str">
        <f>IF(A75&amp;B75&amp;C75="","",INDEX(生物种群!$F$3:INDEX(生物种群!$F:$F,COUNTA(生物种群!$F:$F)),MATCH($I75,生物种群!$B$3:INDEX(生物种群!$B:$B,COUNTA(生物种群!$B:$B)),),))</f>
        <v>鲈形目</v>
      </c>
      <c r="M75" s="37" t="str">
        <f t="shared" si="2"/>
        <v>A2N44ZQ081Ambassis gymnocephalus鱼卵</v>
      </c>
      <c r="N75" s="37" t="str">
        <f t="shared" si="3"/>
        <v/>
      </c>
      <c r="O75" s="9"/>
      <c r="P75" s="10"/>
    </row>
    <row r="76" spans="1:16" ht="20.1" customHeight="1">
      <c r="A76" s="9" t="s">
        <v>14472</v>
      </c>
      <c r="B76" s="42"/>
      <c r="C76" s="9"/>
      <c r="D76" s="43">
        <v>1</v>
      </c>
      <c r="E76" s="9" t="s">
        <v>14443</v>
      </c>
      <c r="F76" s="9" t="s">
        <v>14389</v>
      </c>
      <c r="G76" s="47" t="str">
        <f>IF(F76="","",INDEX(站位样品信息!$B$3:INDEX(站位样品信息!$B:$B,COUNTA(站位样品信息!$B:$B)+1),MATCH($F76,站位样品信息!$A$3:INDEX(站位样品信息!$A:$A,COUNTA(站位样品信息!$A:$A)+1),),))</f>
        <v>B0225</v>
      </c>
      <c r="H76" s="71" t="str">
        <f>IF(A76&amp;B76&amp;C76="","",INDEX(生物种群!$A$2:INDEX(生物种群!$A:$A,COUNTA(生物种群!$A:$A)),MATCH($I76,生物种群!$B$2:INDEX(生物种群!$B:$B,COUNTA(生物种群!$B:$B)),),))</f>
        <v>鯻科</v>
      </c>
      <c r="I76" s="71" t="str">
        <f>IF(A76&amp;B76&amp;C76="","",IF($C76&lt;&gt;0,INDEX(生物种群!$B$2:INDEX(生物种群!$B:$B,COUNTA(生物种群!$B:$B)),MATCH($C76,生物种群!$G$2:INDEX(生物种群!$G:$G,COUNTA(生物种群!$G:$G)),),),IF($A76&lt;&gt;0,INDEX(生物种群!$B$2:INDEX(生物种群!$B:$B,COUNTA(生物种群!$B:$B)),MATCH($A76,生物种群!$C$2:INDEX(生物种群!$C:$C,COUNTA(生物种群!$C:$C)),),),INDEX(生物种群!$B$2:INDEX(生物种群!$B:$B,COUNTA(生物种群!$B:$B)),MATCH($B76,生物种群!$D$2:INDEX(生物种群!$D:$D,COUNTA(生物种群!$D:$D)),),))))</f>
        <v>Theraponidae sp.</v>
      </c>
      <c r="J76" s="37" t="str">
        <f>IF(A76&amp;B76&amp;C76="","",INDEX(生物种群!$J$2:INDEX(生物种群!$J:$J,COUNTA(生物种群!$J:$J)),MATCH($I76,生物种群!$B$2:INDEX(生物种群!$B:$B,COUNTA(生物种群!$B:$B)),),))</f>
        <v/>
      </c>
      <c r="K76" s="71" t="str">
        <f>IF(A76&amp;B76&amp;C76="","",INDEX(生物种群!$E$2:INDEX(生物种群!$E:$E,COUNTA(生物种群!$E:$E)),MATCH($I76,生物种群!$B$2:INDEX(生物种群!$B:$B,COUNTA(生物种群!$B:$B)),),))</f>
        <v>鯻科</v>
      </c>
      <c r="L76" s="37" t="str">
        <f>IF(A76&amp;B76&amp;C76="","",INDEX(生物种群!$F$3:INDEX(生物种群!$F:$F,COUNTA(生物种群!$F:$F)),MATCH($I76,生物种群!$B$3:INDEX(生物种群!$B:$B,COUNTA(生物种群!$B:$B)),),))</f>
        <v>鲈形目</v>
      </c>
      <c r="M76" s="37" t="str">
        <f t="shared" si="2"/>
        <v>A2N44ZQ083Theraponidae sp.鱼卵</v>
      </c>
      <c r="N76" s="37" t="str">
        <f t="shared" si="3"/>
        <v/>
      </c>
      <c r="O76" s="9"/>
      <c r="P76" s="10"/>
    </row>
    <row r="77" spans="1:16" ht="20.1" customHeight="1">
      <c r="A77" s="9" t="s">
        <v>14473</v>
      </c>
      <c r="B77" s="42"/>
      <c r="C77" s="9"/>
      <c r="D77" s="43">
        <v>1</v>
      </c>
      <c r="E77" s="9" t="s">
        <v>14430</v>
      </c>
      <c r="F77" s="9" t="s">
        <v>14393</v>
      </c>
      <c r="G77" s="47" t="str">
        <f>IF(F77="","",INDEX(站位样品信息!$B$3:INDEX(站位样品信息!$B:$B,COUNTA(站位样品信息!$B:$B)+1),MATCH($F77,站位样品信息!$A$3:INDEX(站位样品信息!$A:$A,COUNTA(站位样品信息!$A:$A)+1),),))</f>
        <v>B0792</v>
      </c>
      <c r="H77" s="71" t="str">
        <f>IF(A77&amp;B77&amp;C77="","",INDEX(生物种群!$A$2:INDEX(生物种群!$A:$A,COUNTA(生物种群!$A:$A)),MATCH($I77,生物种群!$B$2:INDEX(生物种群!$B:$B,COUNTA(生物种群!$B:$B)),),))</f>
        <v>中华小公鱼</v>
      </c>
      <c r="I77" s="71" t="str">
        <f>IF(A77&amp;B77&amp;C77="","",IF($C77&lt;&gt;0,INDEX(生物种群!$B$2:INDEX(生物种群!$B:$B,COUNTA(生物种群!$B:$B)),MATCH($C77,生物种群!$G$2:INDEX(生物种群!$G:$G,COUNTA(生物种群!$G:$G)),),),IF($A77&lt;&gt;0,INDEX(生物种群!$B$2:INDEX(生物种群!$B:$B,COUNTA(生物种群!$B:$B)),MATCH($A77,生物种群!$C$2:INDEX(生物种群!$C:$C,COUNTA(生物种群!$C:$C)),),),INDEX(生物种群!$B$2:INDEX(生物种群!$B:$B,COUNTA(生物种群!$B:$B)),MATCH($B77,生物种群!$D$2:INDEX(生物种群!$D:$D,COUNTA(生物种群!$D:$D)),),))))</f>
        <v>Stolephorus chinensis</v>
      </c>
      <c r="J77" s="37" t="str">
        <f>IF(A77&amp;B77&amp;C77="","",INDEX(生物种群!$J$2:INDEX(生物种群!$J:$J,COUNTA(生物种群!$J:$J)),MATCH($I77,生物种群!$B$2:INDEX(生物种群!$B:$B,COUNTA(生物种群!$B:$B)),),))</f>
        <v>(Gunther)</v>
      </c>
      <c r="K77" s="71" t="str">
        <f>IF(A77&amp;B77&amp;C77="","",INDEX(生物种群!$E$2:INDEX(生物种群!$E:$E,COUNTA(生物种群!$E:$E)),MATCH($I77,生物种群!$B$2:INDEX(生物种群!$B:$B,COUNTA(生物种群!$B:$B)),),))</f>
        <v>鳀科</v>
      </c>
      <c r="L77" s="37" t="str">
        <f>IF(A77&amp;B77&amp;C77="","",INDEX(生物种群!$F$3:INDEX(生物种群!$F:$F,COUNTA(生物种群!$F:$F)),MATCH($I77,生物种群!$B$3:INDEX(生物种群!$B:$B,COUNTA(生物种群!$B:$B)),),))</f>
        <v>鲱形目</v>
      </c>
      <c r="M77" s="37" t="str">
        <f t="shared" si="2"/>
        <v>A2N44ZQ084Stolephorus chinensis幼鱼</v>
      </c>
      <c r="N77" s="37" t="str">
        <f t="shared" si="3"/>
        <v/>
      </c>
      <c r="O77" s="9"/>
      <c r="P77" s="10"/>
    </row>
    <row r="78" spans="1:16" ht="20.1" customHeight="1">
      <c r="A78" s="9" t="s">
        <v>14464</v>
      </c>
      <c r="B78" s="42"/>
      <c r="C78" s="9"/>
      <c r="D78" s="43">
        <v>6</v>
      </c>
      <c r="E78" s="9" t="s">
        <v>14435</v>
      </c>
      <c r="F78" s="9" t="s">
        <v>14393</v>
      </c>
      <c r="G78" s="47" t="str">
        <f>IF(F78="","",INDEX(站位样品信息!$B$3:INDEX(站位样品信息!$B:$B,COUNTA(站位样品信息!$B:$B)+1),MATCH($F78,站位样品信息!$A$3:INDEX(站位样品信息!$A:$A,COUNTA(站位样品信息!$A:$A)+1),),))</f>
        <v>B0792</v>
      </c>
      <c r="H78" s="71" t="str">
        <f>IF(A78&amp;B78&amp;C78="","",INDEX(生物种群!$A$2:INDEX(生物种群!$A:$A,COUNTA(生物种群!$A:$A)),MATCH($I78,生物种群!$B$2:INDEX(生物种群!$B:$B,COUNTA(生物种群!$B:$B)),),))</f>
        <v>康氏小公鱼</v>
      </c>
      <c r="I78" s="71" t="str">
        <f>IF(A78&amp;B78&amp;C78="","",IF($C78&lt;&gt;0,INDEX(生物种群!$B$2:INDEX(生物种群!$B:$B,COUNTA(生物种群!$B:$B)),MATCH($C78,生物种群!$G$2:INDEX(生物种群!$G:$G,COUNTA(生物种群!$G:$G)),),),IF($A78&lt;&gt;0,INDEX(生物种群!$B$2:INDEX(生物种群!$B:$B,COUNTA(生物种群!$B:$B)),MATCH($A78,生物种群!$C$2:INDEX(生物种群!$C:$C,COUNTA(生物种群!$C:$C)),),),INDEX(生物种群!$B$2:INDEX(生物种群!$B:$B,COUNTA(生物种群!$B:$B)),MATCH($B78,生物种群!$D$2:INDEX(生物种群!$D:$D,COUNTA(生物种群!$D:$D)),),))))</f>
        <v>Stolephorus commersonii</v>
      </c>
      <c r="J78" s="37" t="str">
        <f>IF(A78&amp;B78&amp;C78="","",INDEX(生物种群!$J$2:INDEX(生物种群!$J:$J,COUNTA(生物种群!$J:$J)),MATCH($I78,生物种群!$B$2:INDEX(生物种群!$B:$B,COUNTA(生物种群!$B:$B)),),))</f>
        <v>(Lacepede)</v>
      </c>
      <c r="K78" s="71" t="str">
        <f>IF(A78&amp;B78&amp;C78="","",INDEX(生物种群!$E$2:INDEX(生物种群!$E:$E,COUNTA(生物种群!$E:$E)),MATCH($I78,生物种群!$B$2:INDEX(生物种群!$B:$B,COUNTA(生物种群!$B:$B)),),))</f>
        <v>鳀科</v>
      </c>
      <c r="L78" s="37" t="str">
        <f>IF(A78&amp;B78&amp;C78="","",INDEX(生物种群!$F$3:INDEX(生物种群!$F:$F,COUNTA(生物种群!$F:$F)),MATCH($I78,生物种群!$B$3:INDEX(生物种群!$B:$B,COUNTA(生物种群!$B:$B)),),))</f>
        <v>鲱形目</v>
      </c>
      <c r="M78" s="37" t="str">
        <f t="shared" si="2"/>
        <v>A2N44ZQ084Stolephorus commersonii仔鱼</v>
      </c>
      <c r="N78" s="37" t="str">
        <f t="shared" si="3"/>
        <v/>
      </c>
      <c r="O78" s="9"/>
      <c r="P78" s="10"/>
    </row>
    <row r="79" spans="1:16" ht="20.1" customHeight="1">
      <c r="A79" s="9" t="s">
        <v>14467</v>
      </c>
      <c r="B79" s="9"/>
      <c r="C79" s="9"/>
      <c r="D79" s="43">
        <v>7</v>
      </c>
      <c r="E79" s="9" t="s">
        <v>14435</v>
      </c>
      <c r="F79" s="9" t="s">
        <v>14393</v>
      </c>
      <c r="G79" s="47" t="str">
        <f>IF(F79="","",INDEX(站位样品信息!$B$3:INDEX(站位样品信息!$B:$B,COUNTA(站位样品信息!$B:$B)+1),MATCH($F79,站位样品信息!$A$3:INDEX(站位样品信息!$A:$A,COUNTA(站位样品信息!$A:$A)+1),),))</f>
        <v>B0792</v>
      </c>
      <c r="H79" s="71" t="str">
        <f>IF(A79&amp;B79&amp;C79="","",INDEX(生物种群!$A$2:INDEX(生物种群!$A:$A,COUNTA(生物种群!$A:$A)),MATCH($I79,生物种群!$B$2:INDEX(生物种群!$B:$B,COUNTA(生物种群!$B:$B)),),))</f>
        <v>小沙丁鱼属</v>
      </c>
      <c r="I79" s="71" t="str">
        <f>IF(A79&amp;B79&amp;C79="","",IF($C79&lt;&gt;0,INDEX(生物种群!$B$2:INDEX(生物种群!$B:$B,COUNTA(生物种群!$B:$B)),MATCH($C79,生物种群!$G$2:INDEX(生物种群!$G:$G,COUNTA(生物种群!$G:$G)),),),IF($A79&lt;&gt;0,INDEX(生物种群!$B$2:INDEX(生物种群!$B:$B,COUNTA(生物种群!$B:$B)),MATCH($A79,生物种群!$C$2:INDEX(生物种群!$C:$C,COUNTA(生物种群!$C:$C)),),),INDEX(生物种群!$B$2:INDEX(生物种群!$B:$B,COUNTA(生物种群!$B:$B)),MATCH($B79,生物种群!$D$2:INDEX(生物种群!$D:$D,COUNTA(生物种群!$D:$D)),),))))</f>
        <v>Sardinella sp.</v>
      </c>
      <c r="J79" s="37" t="str">
        <f>IF(A79&amp;B79&amp;C79="","",INDEX(生物种群!$J$2:INDEX(生物种群!$J:$J,COUNTA(生物种群!$J:$J)),MATCH($I79,生物种群!$B$2:INDEX(生物种群!$B:$B,COUNTA(生物种群!$B:$B)),),))</f>
        <v>et Valenciennes</v>
      </c>
      <c r="K79" s="71" t="str">
        <f>IF(A79&amp;B79&amp;C79="","",INDEX(生物种群!$E$2:INDEX(生物种群!$E:$E,COUNTA(生物种群!$E:$E)),MATCH($I79,生物种群!$B$2:INDEX(生物种群!$B:$B,COUNTA(生物种群!$B:$B)),),))</f>
        <v>鲱科</v>
      </c>
      <c r="L79" s="37" t="str">
        <f>IF(A79&amp;B79&amp;C79="","",INDEX(生物种群!$F$3:INDEX(生物种群!$F:$F,COUNTA(生物种群!$F:$F)),MATCH($I79,生物种群!$B$3:INDEX(生物种群!$B:$B,COUNTA(生物种群!$B:$B)),),))</f>
        <v>鲱形目</v>
      </c>
      <c r="M79" s="37" t="str">
        <f t="shared" si="2"/>
        <v>A2N44ZQ084Sardinella sp.仔鱼</v>
      </c>
      <c r="N79" s="37" t="str">
        <f t="shared" si="3"/>
        <v/>
      </c>
      <c r="O79" s="9"/>
      <c r="P79" s="10"/>
    </row>
    <row r="80" spans="1:16" ht="20.1" customHeight="1">
      <c r="A80" s="9" t="s">
        <v>14468</v>
      </c>
      <c r="B80" s="9"/>
      <c r="C80" s="9"/>
      <c r="D80" s="43">
        <v>3</v>
      </c>
      <c r="E80" s="9" t="s">
        <v>14435</v>
      </c>
      <c r="F80" s="9" t="s">
        <v>14393</v>
      </c>
      <c r="G80" s="47" t="str">
        <f>IF(F80="","",INDEX(站位样品信息!$B$3:INDEX(站位样品信息!$B:$B,COUNTA(站位样品信息!$B:$B)+1),MATCH($F80,站位样品信息!$A$3:INDEX(站位样品信息!$A:$A,COUNTA(站位样品信息!$A:$A)+1),),))</f>
        <v>B0792</v>
      </c>
      <c r="H80" s="71" t="str">
        <f>IF(A80&amp;B80&amp;C80="","",INDEX(生物种群!$A$2:INDEX(生物种群!$A:$A,COUNTA(生物种群!$A:$A)),MATCH($I80,生物种群!$B$2:INDEX(生物种群!$B:$B,COUNTA(生物种群!$B:$B)),),))</f>
        <v>眶棘双边鱼</v>
      </c>
      <c r="I80" s="71" t="str">
        <f>IF(A80&amp;B80&amp;C80="","",IF($C80&lt;&gt;0,INDEX(生物种群!$B$2:INDEX(生物种群!$B:$B,COUNTA(生物种群!$B:$B)),MATCH($C80,生物种群!$G$2:INDEX(生物种群!$G:$G,COUNTA(生物种群!$G:$G)),),),IF($A80&lt;&gt;0,INDEX(生物种群!$B$2:INDEX(生物种群!$B:$B,COUNTA(生物种群!$B:$B)),MATCH($A80,生物种群!$C$2:INDEX(生物种群!$C:$C,COUNTA(生物种群!$C:$C)),),),INDEX(生物种群!$B$2:INDEX(生物种群!$B:$B,COUNTA(生物种群!$B:$B)),MATCH($B80,生物种群!$D$2:INDEX(生物种群!$D:$D,COUNTA(生物种群!$D:$D)),),))))</f>
        <v>Ambassis gymnocephalus</v>
      </c>
      <c r="J80" s="37" t="str">
        <f>IF(A80&amp;B80&amp;C80="","",INDEX(生物种群!$J$2:INDEX(生物种群!$J:$J,COUNTA(生物种群!$J:$J)),MATCH($I80,生物种群!$B$2:INDEX(生物种群!$B:$B,COUNTA(生物种群!$B:$B)),),))</f>
        <v>Lacepede</v>
      </c>
      <c r="K80" s="71" t="str">
        <f>IF(A80&amp;B80&amp;C80="","",INDEX(生物种群!$E$2:INDEX(生物种群!$E:$E,COUNTA(生物种群!$E:$E)),MATCH($I80,生物种群!$B$2:INDEX(生物种群!$B:$B,COUNTA(生物种群!$B:$B)),),))</f>
        <v>双边鱼科</v>
      </c>
      <c r="L80" s="37" t="str">
        <f>IF(A80&amp;B80&amp;C80="","",INDEX(生物种群!$F$3:INDEX(生物种群!$F:$F,COUNTA(生物种群!$F:$F)),MATCH($I80,生物种群!$B$3:INDEX(生物种群!$B:$B,COUNTA(生物种群!$B:$B)),),))</f>
        <v>鲈形目</v>
      </c>
      <c r="M80" s="37" t="str">
        <f t="shared" si="2"/>
        <v>A2N44ZQ084Ambassis gymnocephalus仔鱼</v>
      </c>
      <c r="N80" s="37" t="str">
        <f t="shared" si="3"/>
        <v/>
      </c>
      <c r="O80" s="9"/>
      <c r="P80" s="10"/>
    </row>
    <row r="81" spans="1:16" ht="20.1" customHeight="1">
      <c r="A81" s="9" t="s">
        <v>14474</v>
      </c>
      <c r="B81" s="9"/>
      <c r="C81" s="9"/>
      <c r="D81" s="43">
        <v>1</v>
      </c>
      <c r="E81" s="9" t="s">
        <v>14435</v>
      </c>
      <c r="F81" s="9" t="s">
        <v>14393</v>
      </c>
      <c r="G81" s="47" t="str">
        <f>IF(F81="","",INDEX(站位样品信息!$B$3:INDEX(站位样品信息!$B:$B,COUNTA(站位样品信息!$B:$B)+1),MATCH($F81,站位样品信息!$A$3:INDEX(站位样品信息!$A:$A,COUNTA(站位样品信息!$A:$A)+1),),))</f>
        <v>B0792</v>
      </c>
      <c r="H81" s="71" t="str">
        <f>IF(A81&amp;B81&amp;C81="","",INDEX(生物种群!$A$2:INDEX(生物种群!$A:$A,COUNTA(生物种群!$A:$A)),MATCH($I81,生物种群!$B$2:INDEX(生物种群!$B:$B,COUNTA(生物种群!$B:$B)),),))</f>
        <v>石首鱼科</v>
      </c>
      <c r="I81" s="71" t="str">
        <f>IF(A81&amp;B81&amp;C81="","",IF($C81&lt;&gt;0,INDEX(生物种群!$B$2:INDEX(生物种群!$B:$B,COUNTA(生物种群!$B:$B)),MATCH($C81,生物种群!$G$2:INDEX(生物种群!$G:$G,COUNTA(生物种群!$G:$G)),),),IF($A81&lt;&gt;0,INDEX(生物种群!$B$2:INDEX(生物种群!$B:$B,COUNTA(生物种群!$B:$B)),MATCH($A81,生物种群!$C$2:INDEX(生物种群!$C:$C,COUNTA(生物种群!$C:$C)),),),INDEX(生物种群!$B$2:INDEX(生物种群!$B:$B,COUNTA(生物种群!$B:$B)),MATCH($B81,生物种群!$D$2:INDEX(生物种群!$D:$D,COUNTA(生物种群!$D:$D)),),))))</f>
        <v>Sciaenidae sp.</v>
      </c>
      <c r="J81" s="37" t="str">
        <f>IF(A81&amp;B81&amp;C81="","",INDEX(生物种群!$J$2:INDEX(生物种群!$J:$J,COUNTA(生物种群!$J:$J)),MATCH($I81,生物种群!$B$2:INDEX(生物种群!$B:$B,COUNTA(生物种群!$B:$B)),),))</f>
        <v/>
      </c>
      <c r="K81" s="71" t="str">
        <f>IF(A81&amp;B81&amp;C81="","",INDEX(生物种群!$E$2:INDEX(生物种群!$E:$E,COUNTA(生物种群!$E:$E)),MATCH($I81,生物种群!$B$2:INDEX(生物种群!$B:$B,COUNTA(生物种群!$B:$B)),),))</f>
        <v>石首鱼科</v>
      </c>
      <c r="L81" s="37" t="str">
        <f>IF(A81&amp;B81&amp;C81="","",INDEX(生物种群!$F$3:INDEX(生物种群!$F:$F,COUNTA(生物种群!$F:$F)),MATCH($I81,生物种群!$B$3:INDEX(生物种群!$B:$B,COUNTA(生物种群!$B:$B)),),))</f>
        <v>鲈形目</v>
      </c>
      <c r="M81" s="37" t="str">
        <f t="shared" si="2"/>
        <v>A2N44ZQ084Sciaenidae sp.仔鱼</v>
      </c>
      <c r="N81" s="37" t="str">
        <f t="shared" si="3"/>
        <v/>
      </c>
      <c r="O81" s="9"/>
      <c r="P81" s="10"/>
    </row>
    <row r="82" spans="1:16" ht="20.1" customHeight="1">
      <c r="A82" s="9" t="s">
        <v>14475</v>
      </c>
      <c r="B82" s="9"/>
      <c r="C82" s="9"/>
      <c r="D82" s="43">
        <v>1</v>
      </c>
      <c r="E82" s="9" t="s">
        <v>14435</v>
      </c>
      <c r="F82" s="9" t="s">
        <v>14393</v>
      </c>
      <c r="G82" s="47" t="str">
        <f>IF(F82="","",INDEX(站位样品信息!$B$3:INDEX(站位样品信息!$B:$B,COUNTA(站位样品信息!$B:$B)+1),MATCH($F82,站位样品信息!$A$3:INDEX(站位样品信息!$A:$A,COUNTA(站位样品信息!$A:$A)+1),),))</f>
        <v>B0792</v>
      </c>
      <c r="H82" s="71" t="str">
        <f>IF(A82&amp;B82&amp;C82="","",INDEX(生物种群!$A$2:INDEX(生物种群!$A:$A,COUNTA(生物种群!$A:$A)),MATCH($I82,生物种群!$B$2:INDEX(生物种群!$B:$B,COUNTA(生物种群!$B:$B)),),))</f>
        <v>鲷科</v>
      </c>
      <c r="I82" s="71" t="str">
        <f>IF(A82&amp;B82&amp;C82="","",IF($C82&lt;&gt;0,INDEX(生物种群!$B$2:INDEX(生物种群!$B:$B,COUNTA(生物种群!$B:$B)),MATCH($C82,生物种群!$G$2:INDEX(生物种群!$G:$G,COUNTA(生物种群!$G:$G)),),),IF($A82&lt;&gt;0,INDEX(生物种群!$B$2:INDEX(生物种群!$B:$B,COUNTA(生物种群!$B:$B)),MATCH($A82,生物种群!$C$2:INDEX(生物种群!$C:$C,COUNTA(生物种群!$C:$C)),),),INDEX(生物种群!$B$2:INDEX(生物种群!$B:$B,COUNTA(生物种群!$B:$B)),MATCH($B82,生物种群!$D$2:INDEX(生物种群!$D:$D,COUNTA(生物种群!$D:$D)),),))))</f>
        <v>Sparidae sp.</v>
      </c>
      <c r="J82" s="37" t="str">
        <f>IF(A82&amp;B82&amp;C82="","",INDEX(生物种群!$J$2:INDEX(生物种群!$J:$J,COUNTA(生物种群!$J:$J)),MATCH($I82,生物种群!$B$2:INDEX(生物种群!$B:$B,COUNTA(生物种群!$B:$B)),),))</f>
        <v/>
      </c>
      <c r="K82" s="71" t="str">
        <f>IF(A82&amp;B82&amp;C82="","",INDEX(生物种群!$E$2:INDEX(生物种群!$E:$E,COUNTA(生物种群!$E:$E)),MATCH($I82,生物种群!$B$2:INDEX(生物种群!$B:$B,COUNTA(生物种群!$B:$B)),),))</f>
        <v>鲷科</v>
      </c>
      <c r="L82" s="37" t="str">
        <f>IF(A82&amp;B82&amp;C82="","",INDEX(生物种群!$F$3:INDEX(生物种群!$F:$F,COUNTA(生物种群!$F:$F)),MATCH($I82,生物种群!$B$3:INDEX(生物种群!$B:$B,COUNTA(生物种群!$B:$B)),),))</f>
        <v>鲈形目</v>
      </c>
      <c r="M82" s="37" t="str">
        <f t="shared" si="2"/>
        <v>A2N44ZQ084Sparidae sp.仔鱼</v>
      </c>
      <c r="N82" s="37" t="str">
        <f t="shared" si="3"/>
        <v/>
      </c>
      <c r="O82" s="9"/>
      <c r="P82" s="10"/>
    </row>
    <row r="83" spans="1:16" ht="20.1" customHeight="1">
      <c r="A83" s="9" t="s">
        <v>14464</v>
      </c>
      <c r="B83" s="9"/>
      <c r="C83" s="9"/>
      <c r="D83" s="43">
        <v>13</v>
      </c>
      <c r="E83" s="9" t="s">
        <v>14443</v>
      </c>
      <c r="F83" s="9" t="s">
        <v>14393</v>
      </c>
      <c r="G83" s="47" t="str">
        <f>IF(F83="","",INDEX(站位样品信息!$B$3:INDEX(站位样品信息!$B:$B,COUNTA(站位样品信息!$B:$B)+1),MATCH($F83,站位样品信息!$A$3:INDEX(站位样品信息!$A:$A,COUNTA(站位样品信息!$A:$A)+1),),))</f>
        <v>B0792</v>
      </c>
      <c r="H83" s="71" t="str">
        <f>IF(A83&amp;B83&amp;C83="","",INDEX(生物种群!$A$2:INDEX(生物种群!$A:$A,COUNTA(生物种群!$A:$A)),MATCH($I83,生物种群!$B$2:INDEX(生物种群!$B:$B,COUNTA(生物种群!$B:$B)),),))</f>
        <v>康氏小公鱼</v>
      </c>
      <c r="I83" s="71" t="str">
        <f>IF(A83&amp;B83&amp;C83="","",IF($C83&lt;&gt;0,INDEX(生物种群!$B$2:INDEX(生物种群!$B:$B,COUNTA(生物种群!$B:$B)),MATCH($C83,生物种群!$G$2:INDEX(生物种群!$G:$G,COUNTA(生物种群!$G:$G)),),),IF($A83&lt;&gt;0,INDEX(生物种群!$B$2:INDEX(生物种群!$B:$B,COUNTA(生物种群!$B:$B)),MATCH($A83,生物种群!$C$2:INDEX(生物种群!$C:$C,COUNTA(生物种群!$C:$C)),),),INDEX(生物种群!$B$2:INDEX(生物种群!$B:$B,COUNTA(生物种群!$B:$B)),MATCH($B83,生物种群!$D$2:INDEX(生物种群!$D:$D,COUNTA(生物种群!$D:$D)),),))))</f>
        <v>Stolephorus commersonii</v>
      </c>
      <c r="J83" s="37" t="str">
        <f>IF(A83&amp;B83&amp;C83="","",INDEX(生物种群!$J$2:INDEX(生物种群!$J:$J,COUNTA(生物种群!$J:$J)),MATCH($I83,生物种群!$B$2:INDEX(生物种群!$B:$B,COUNTA(生物种群!$B:$B)),),))</f>
        <v>(Lacepede)</v>
      </c>
      <c r="K83" s="71" t="str">
        <f>IF(A83&amp;B83&amp;C83="","",INDEX(生物种群!$E$2:INDEX(生物种群!$E:$E,COUNTA(生物种群!$E:$E)),MATCH($I83,生物种群!$B$2:INDEX(生物种群!$B:$B,COUNTA(生物种群!$B:$B)),),))</f>
        <v>鳀科</v>
      </c>
      <c r="L83" s="37" t="str">
        <f>IF(A83&amp;B83&amp;C83="","",INDEX(生物种群!$F$3:INDEX(生物种群!$F:$F,COUNTA(生物种群!$F:$F)),MATCH($I83,生物种群!$B$3:INDEX(生物种群!$B:$B,COUNTA(生物种群!$B:$B)),),))</f>
        <v>鲱形目</v>
      </c>
      <c r="M83" s="37" t="str">
        <f t="shared" si="2"/>
        <v>A2N44ZQ084Stolephorus commersonii鱼卵</v>
      </c>
      <c r="N83" s="37" t="str">
        <f t="shared" si="3"/>
        <v/>
      </c>
      <c r="O83" s="9"/>
      <c r="P83" s="10"/>
    </row>
    <row r="84" spans="1:16" ht="20.1" customHeight="1">
      <c r="A84" s="9" t="s">
        <v>14476</v>
      </c>
      <c r="B84" s="9"/>
      <c r="C84" s="9"/>
      <c r="D84" s="43">
        <v>36</v>
      </c>
      <c r="E84" s="9" t="s">
        <v>14443</v>
      </c>
      <c r="F84" s="9" t="s">
        <v>14393</v>
      </c>
      <c r="G84" s="47" t="str">
        <f>IF(F84="","",INDEX(站位样品信息!$B$3:INDEX(站位样品信息!$B:$B,COUNTA(站位样品信息!$B:$B)+1),MATCH($F84,站位样品信息!$A$3:INDEX(站位样品信息!$A:$A,COUNTA(站位样品信息!$A:$A)+1),),))</f>
        <v>B0792</v>
      </c>
      <c r="H84" s="71" t="str">
        <f>IF(A84&amp;B84&amp;C84="","",INDEX(生物种群!$A$2:INDEX(生物种群!$A:$A,COUNTA(生物种群!$A:$A)),MATCH($I84,生物种群!$B$2:INDEX(生物种群!$B:$B,COUNTA(生物种群!$B:$B)),),))</f>
        <v>舌鳎属</v>
      </c>
      <c r="I84" s="71" t="str">
        <f>IF(A84&amp;B84&amp;C84="","",IF($C84&lt;&gt;0,INDEX(生物种群!$B$2:INDEX(生物种群!$B:$B,COUNTA(生物种群!$B:$B)),MATCH($C84,生物种群!$G$2:INDEX(生物种群!$G:$G,COUNTA(生物种群!$G:$G)),),),IF($A84&lt;&gt;0,INDEX(生物种群!$B$2:INDEX(生物种群!$B:$B,COUNTA(生物种群!$B:$B)),MATCH($A84,生物种群!$C$2:INDEX(生物种群!$C:$C,COUNTA(生物种群!$C:$C)),),),INDEX(生物种群!$B$2:INDEX(生物种群!$B:$B,COUNTA(生物种群!$B:$B)),MATCH($B84,生物种群!$D$2:INDEX(生物种群!$D:$D,COUNTA(生物种群!$D:$D)),),))))</f>
        <v>Cynoglossus sp.</v>
      </c>
      <c r="J84" s="37" t="str">
        <f>IF(A84&amp;B84&amp;C84="","",INDEX(生物种群!$J$2:INDEX(生物种群!$J:$J,COUNTA(生物种群!$J:$J)),MATCH($I84,生物种群!$B$2:INDEX(生物种群!$B:$B,COUNTA(生物种群!$B:$B)),),))</f>
        <v/>
      </c>
      <c r="K84" s="71" t="str">
        <f>IF(A84&amp;B84&amp;C84="","",INDEX(生物种群!$E$2:INDEX(生物种群!$E:$E,COUNTA(生物种群!$E:$E)),MATCH($I84,生物种群!$B$2:INDEX(生物种群!$B:$B,COUNTA(生物种群!$B:$B)),),))</f>
        <v>舌鳎科</v>
      </c>
      <c r="L84" s="37" t="str">
        <f>IF(A84&amp;B84&amp;C84="","",INDEX(生物种群!$F$3:INDEX(生物种群!$F:$F,COUNTA(生物种群!$F:$F)),MATCH($I84,生物种群!$B$3:INDEX(生物种群!$B:$B,COUNTA(生物种群!$B:$B)),),))</f>
        <v>鲽形目</v>
      </c>
      <c r="M84" s="37" t="str">
        <f t="shared" si="2"/>
        <v>A2N44ZQ084Cynoglossus sp.鱼卵</v>
      </c>
      <c r="N84" s="37" t="str">
        <f t="shared" si="3"/>
        <v/>
      </c>
      <c r="O84" s="9"/>
      <c r="P84" s="10"/>
    </row>
    <row r="85" spans="1:16" ht="20.1" customHeight="1">
      <c r="A85" s="9" t="s">
        <v>14465</v>
      </c>
      <c r="B85" s="9"/>
      <c r="C85" s="9"/>
      <c r="D85" s="43">
        <v>2</v>
      </c>
      <c r="E85" s="9" t="s">
        <v>14443</v>
      </c>
      <c r="F85" s="9" t="s">
        <v>14393</v>
      </c>
      <c r="G85" s="47" t="str">
        <f>IF(F85="","",INDEX(站位样品信息!$B$3:INDEX(站位样品信息!$B:$B,COUNTA(站位样品信息!$B:$B)+1),MATCH($F85,站位样品信息!$A$3:INDEX(站位样品信息!$A:$A,COUNTA(站位样品信息!$A:$A)+1),),))</f>
        <v>B0792</v>
      </c>
      <c r="H85" s="71" t="str">
        <f>IF(A85&amp;B85&amp;C85="","",INDEX(生物种群!$A$2:INDEX(生物种群!$A:$A,COUNTA(生物种群!$A:$A)),MATCH($I85,生物种群!$B$2:INDEX(生物种群!$B:$B,COUNTA(生物种群!$B:$B)),),))</f>
        <v>鮻属</v>
      </c>
      <c r="I85" s="71" t="str">
        <f>IF(A85&amp;B85&amp;C85="","",IF($C85&lt;&gt;0,INDEX(生物种群!$B$2:INDEX(生物种群!$B:$B,COUNTA(生物种群!$B:$B)),MATCH($C85,生物种群!$G$2:INDEX(生物种群!$G:$G,COUNTA(生物种群!$G:$G)),),),IF($A85&lt;&gt;0,INDEX(生物种群!$B$2:INDEX(生物种群!$B:$B,COUNTA(生物种群!$B:$B)),MATCH($A85,生物种群!$C$2:INDEX(生物种群!$C:$C,COUNTA(生物种群!$C:$C)),),),INDEX(生物种群!$B$2:INDEX(生物种群!$B:$B,COUNTA(生物种群!$B:$B)),MATCH($B85,生物种群!$D$2:INDEX(生物种群!$D:$D,COUNTA(生物种群!$D:$D)),),))))</f>
        <v>Liza sp.</v>
      </c>
      <c r="J85" s="37" t="str">
        <f>IF(A85&amp;B85&amp;C85="","",INDEX(生物种群!$J$2:INDEX(生物种群!$J:$J,COUNTA(生物种群!$J:$J)),MATCH($I85,生物种群!$B$2:INDEX(生物种群!$B:$B,COUNTA(生物种群!$B:$B)),),))</f>
        <v/>
      </c>
      <c r="K85" s="71" t="str">
        <f>IF(A85&amp;B85&amp;C85="","",INDEX(生物种群!$E$2:INDEX(生物种群!$E:$E,COUNTA(生物种群!$E:$E)),MATCH($I85,生物种群!$B$2:INDEX(生物种群!$B:$B,COUNTA(生物种群!$B:$B)),),))</f>
        <v>鲻科</v>
      </c>
      <c r="L85" s="37" t="str">
        <f>IF(A85&amp;B85&amp;C85="","",INDEX(生物种群!$F$3:INDEX(生物种群!$F:$F,COUNTA(生物种群!$F:$F)),MATCH($I85,生物种群!$B$3:INDEX(生物种群!$B:$B,COUNTA(生物种群!$B:$B)),),))</f>
        <v>鲻形目</v>
      </c>
      <c r="M85" s="37" t="str">
        <f t="shared" si="2"/>
        <v>A2N44ZQ084Liza sp.鱼卵</v>
      </c>
      <c r="N85" s="37" t="str">
        <f t="shared" si="3"/>
        <v/>
      </c>
      <c r="O85" s="9"/>
      <c r="P85" s="10"/>
    </row>
    <row r="86" spans="1:16" ht="20.1" customHeight="1">
      <c r="A86" s="9" t="s">
        <v>14477</v>
      </c>
      <c r="B86" s="9"/>
      <c r="C86" s="9"/>
      <c r="D86" s="43">
        <v>4</v>
      </c>
      <c r="E86" s="9" t="s">
        <v>14435</v>
      </c>
      <c r="F86" s="9" t="s">
        <v>14396</v>
      </c>
      <c r="G86" s="47" t="str">
        <f>IF(F86="","",INDEX(站位样品信息!$B$3:INDEX(站位样品信息!$B:$B,COUNTA(站位样品信息!$B:$B)+1),MATCH($F86,站位样品信息!$A$3:INDEX(站位样品信息!$A:$A,COUNTA(站位样品信息!$A:$A)+1),),))</f>
        <v>B1302</v>
      </c>
      <c r="H86" s="71" t="str">
        <f>IF(A86&amp;B86&amp;C86="","",INDEX(生物种群!$A$2:INDEX(生物种群!$A:$A,COUNTA(生物种群!$A:$A)),MATCH($I86,生物种群!$B$2:INDEX(生物种群!$B:$B,COUNTA(生物种群!$B:$B)),),))</f>
        <v>鱵属</v>
      </c>
      <c r="I86" s="71" t="str">
        <f>IF(A86&amp;B86&amp;C86="","",IF($C86&lt;&gt;0,INDEX(生物种群!$B$2:INDEX(生物种群!$B:$B,COUNTA(生物种群!$B:$B)),MATCH($C86,生物种群!$G$2:INDEX(生物种群!$G:$G,COUNTA(生物种群!$G:$G)),),),IF($A86&lt;&gt;0,INDEX(生物种群!$B$2:INDEX(生物种群!$B:$B,COUNTA(生物种群!$B:$B)),MATCH($A86,生物种群!$C$2:INDEX(生物种群!$C:$C,COUNTA(生物种群!$C:$C)),),),INDEX(生物种群!$B$2:INDEX(生物种群!$B:$B,COUNTA(生物种群!$B:$B)),MATCH($B86,生物种群!$D$2:INDEX(生物种群!$D:$D,COUNTA(生物种群!$D:$D)),),))))</f>
        <v>Hemirhamphus sp.</v>
      </c>
      <c r="J86" s="37" t="str">
        <f>IF(A86&amp;B86&amp;C86="","",INDEX(生物种群!$J$2:INDEX(生物种群!$J:$J,COUNTA(生物种群!$J:$J)),MATCH($I86,生物种群!$B$2:INDEX(生物种群!$B:$B,COUNTA(生物种群!$B:$B)),),))</f>
        <v/>
      </c>
      <c r="K86" s="71" t="str">
        <f>IF(A86&amp;B86&amp;C86="","",INDEX(生物种群!$E$2:INDEX(生物种群!$E:$E,COUNTA(生物种群!$E:$E)),MATCH($I86,生物种群!$B$2:INDEX(生物种群!$B:$B,COUNTA(生物种群!$B:$B)),),))</f>
        <v>鱵科</v>
      </c>
      <c r="L86" s="37" t="str">
        <f>IF(A86&amp;B86&amp;C86="","",INDEX(生物种群!$F$3:INDEX(生物种群!$F:$F,COUNTA(生物种群!$F:$F)),MATCH($I86,生物种群!$B$3:INDEX(生物种群!$B:$B,COUNTA(生物种群!$B:$B)),),))</f>
        <v>颌针鱼目</v>
      </c>
      <c r="M86" s="37" t="str">
        <f t="shared" si="2"/>
        <v>A2N44ZQ080Hemirhamphus sp.仔鱼</v>
      </c>
      <c r="N86" s="37" t="str">
        <f t="shared" si="3"/>
        <v/>
      </c>
      <c r="O86" s="9"/>
      <c r="P86" s="10"/>
    </row>
    <row r="87" spans="1:16" ht="20.1" customHeight="1">
      <c r="A87" s="9" t="s">
        <v>14465</v>
      </c>
      <c r="B87" s="9"/>
      <c r="C87" s="9"/>
      <c r="D87" s="43">
        <v>1</v>
      </c>
      <c r="E87" s="9" t="s">
        <v>14435</v>
      </c>
      <c r="F87" s="9" t="s">
        <v>14396</v>
      </c>
      <c r="G87" s="47" t="str">
        <f>IF(F87="","",INDEX(站位样品信息!$B$3:INDEX(站位样品信息!$B:$B,COUNTA(站位样品信息!$B:$B)+1),MATCH($F87,站位样品信息!$A$3:INDEX(站位样品信息!$A:$A,COUNTA(站位样品信息!$A:$A)+1),),))</f>
        <v>B1302</v>
      </c>
      <c r="H87" s="71" t="str">
        <f>IF(A87&amp;B87&amp;C87="","",INDEX(生物种群!$A$2:INDEX(生物种群!$A:$A,COUNTA(生物种群!$A:$A)),MATCH($I87,生物种群!$B$2:INDEX(生物种群!$B:$B,COUNTA(生物种群!$B:$B)),),))</f>
        <v>鮻属</v>
      </c>
      <c r="I87" s="71" t="str">
        <f>IF(A87&amp;B87&amp;C87="","",IF($C87&lt;&gt;0,INDEX(生物种群!$B$2:INDEX(生物种群!$B:$B,COUNTA(生物种群!$B:$B)),MATCH($C87,生物种群!$G$2:INDEX(生物种群!$G:$G,COUNTA(生物种群!$G:$G)),),),IF($A87&lt;&gt;0,INDEX(生物种群!$B$2:INDEX(生物种群!$B:$B,COUNTA(生物种群!$B:$B)),MATCH($A87,生物种群!$C$2:INDEX(生物种群!$C:$C,COUNTA(生物种群!$C:$C)),),),INDEX(生物种群!$B$2:INDEX(生物种群!$B:$B,COUNTA(生物种群!$B:$B)),MATCH($B87,生物种群!$D$2:INDEX(生物种群!$D:$D,COUNTA(生物种群!$D:$D)),),))))</f>
        <v>Liza sp.</v>
      </c>
      <c r="J87" s="37" t="str">
        <f>IF(A87&amp;B87&amp;C87="","",INDEX(生物种群!$J$2:INDEX(生物种群!$J:$J,COUNTA(生物种群!$J:$J)),MATCH($I87,生物种群!$B$2:INDEX(生物种群!$B:$B,COUNTA(生物种群!$B:$B)),),))</f>
        <v/>
      </c>
      <c r="K87" s="71" t="str">
        <f>IF(A87&amp;B87&amp;C87="","",INDEX(生物种群!$E$2:INDEX(生物种群!$E:$E,COUNTA(生物种群!$E:$E)),MATCH($I87,生物种群!$B$2:INDEX(生物种群!$B:$B,COUNTA(生物种群!$B:$B)),),))</f>
        <v>鲻科</v>
      </c>
      <c r="L87" s="37" t="str">
        <f>IF(A87&amp;B87&amp;C87="","",INDEX(生物种群!$F$3:INDEX(生物种群!$F:$F,COUNTA(生物种群!$F:$F)),MATCH($I87,生物种群!$B$3:INDEX(生物种群!$B:$B,COUNTA(生物种群!$B:$B)),),))</f>
        <v>鲻形目</v>
      </c>
      <c r="M87" s="37" t="str">
        <f t="shared" si="2"/>
        <v>A2N44ZQ080Liza sp.仔鱼</v>
      </c>
      <c r="N87" s="37" t="str">
        <f t="shared" si="3"/>
        <v/>
      </c>
      <c r="O87" s="9"/>
      <c r="P87" s="10"/>
    </row>
    <row r="88" spans="1:16" ht="20.1" customHeight="1">
      <c r="A88" s="9" t="s">
        <v>14466</v>
      </c>
      <c r="B88" s="9"/>
      <c r="C88" s="9"/>
      <c r="D88" s="43">
        <v>1</v>
      </c>
      <c r="E88" s="9" t="s">
        <v>14435</v>
      </c>
      <c r="F88" s="9" t="s">
        <v>14396</v>
      </c>
      <c r="G88" s="47" t="str">
        <f>IF(F88="","",INDEX(站位样品信息!$B$3:INDEX(站位样品信息!$B:$B,COUNTA(站位样品信息!$B:$B)+1),MATCH($F88,站位样品信息!$A$3:INDEX(站位样品信息!$A:$A,COUNTA(站位样品信息!$A:$A)+1),),))</f>
        <v>B1302</v>
      </c>
      <c r="H88" s="71" t="str">
        <f>IF(A88&amp;B88&amp;C88="","",INDEX(生物种群!$A$2:INDEX(生物种群!$A:$A,COUNTA(生物种群!$A:$A)),MATCH($I88,生物种群!$B$2:INDEX(生物种群!$B:$B,COUNTA(生物种群!$B:$B)),),))</f>
        <v>美肩鳃鳚</v>
      </c>
      <c r="I88" s="71" t="str">
        <f>IF(A88&amp;B88&amp;C88="","",IF($C88&lt;&gt;0,INDEX(生物种群!$B$2:INDEX(生物种群!$B:$B,COUNTA(生物种群!$B:$B)),MATCH($C88,生物种群!$G$2:INDEX(生物种群!$G:$G,COUNTA(生物种群!$G:$G)),),),IF($A88&lt;&gt;0,INDEX(生物种群!$B$2:INDEX(生物种群!$B:$B,COUNTA(生物种群!$B:$B)),MATCH($A88,生物种群!$C$2:INDEX(生物种群!$C:$C,COUNTA(生物种群!$C:$C)),),),INDEX(生物种群!$B$2:INDEX(生物种群!$B:$B,COUNTA(生物种群!$B:$B)),MATCH($B88,生物种群!$D$2:INDEX(生物种群!$D:$D,COUNTA(生物种群!$D:$D)),),))))</f>
        <v>Omobranchus elegans</v>
      </c>
      <c r="J88" s="37" t="str">
        <f>IF(A88&amp;B88&amp;C88="","",INDEX(生物种群!$J$2:INDEX(生物种群!$J:$J,COUNTA(生物种群!$J:$J)),MATCH($I88,生物种群!$B$2:INDEX(生物种群!$B:$B,COUNTA(生物种群!$B:$B)),),))</f>
        <v>(Steindachner)</v>
      </c>
      <c r="K88" s="71" t="str">
        <f>IF(A88&amp;B88&amp;C88="","",INDEX(生物种群!$E$2:INDEX(生物种群!$E:$E,COUNTA(生物种群!$E:$E)),MATCH($I88,生物种群!$B$2:INDEX(生物种群!$B:$B,COUNTA(生物种群!$B:$B)),),))</f>
        <v>鳚科</v>
      </c>
      <c r="L88" s="37" t="str">
        <f>IF(A88&amp;B88&amp;C88="","",INDEX(生物种群!$F$3:INDEX(生物种群!$F:$F,COUNTA(生物种群!$F:$F)),MATCH($I88,生物种群!$B$3:INDEX(生物种群!$B:$B,COUNTA(生物种群!$B:$B)),),))</f>
        <v>鲈形目</v>
      </c>
      <c r="M88" s="37" t="str">
        <f t="shared" si="2"/>
        <v>A2N44ZQ080Omobranchus elegans仔鱼</v>
      </c>
      <c r="N88" s="37" t="str">
        <f t="shared" si="3"/>
        <v/>
      </c>
      <c r="O88" s="9"/>
      <c r="P88" s="10"/>
    </row>
    <row r="89" spans="1:16" ht="20.1" customHeight="1">
      <c r="A89" s="9" t="s">
        <v>14464</v>
      </c>
      <c r="B89" s="9"/>
      <c r="C89" s="9"/>
      <c r="D89" s="43">
        <v>7</v>
      </c>
      <c r="E89" s="9" t="s">
        <v>14435</v>
      </c>
      <c r="F89" s="9" t="s">
        <v>14396</v>
      </c>
      <c r="G89" s="47" t="str">
        <f>IF(F89="","",INDEX(站位样品信息!$B$3:INDEX(站位样品信息!$B:$B,COUNTA(站位样品信息!$B:$B)+1),MATCH($F89,站位样品信息!$A$3:INDEX(站位样品信息!$A:$A,COUNTA(站位样品信息!$A:$A)+1),),))</f>
        <v>B1302</v>
      </c>
      <c r="H89" s="71" t="str">
        <f>IF(A89&amp;B89&amp;C89="","",INDEX(生物种群!$A$2:INDEX(生物种群!$A:$A,COUNTA(生物种群!$A:$A)),MATCH($I89,生物种群!$B$2:INDEX(生物种群!$B:$B,COUNTA(生物种群!$B:$B)),),))</f>
        <v>康氏小公鱼</v>
      </c>
      <c r="I89" s="71" t="str">
        <f>IF(A89&amp;B89&amp;C89="","",IF($C89&lt;&gt;0,INDEX(生物种群!$B$2:INDEX(生物种群!$B:$B,COUNTA(生物种群!$B:$B)),MATCH($C89,生物种群!$G$2:INDEX(生物种群!$G:$G,COUNTA(生物种群!$G:$G)),),),IF($A89&lt;&gt;0,INDEX(生物种群!$B$2:INDEX(生物种群!$B:$B,COUNTA(生物种群!$B:$B)),MATCH($A89,生物种群!$C$2:INDEX(生物种群!$C:$C,COUNTA(生物种群!$C:$C)),),),INDEX(生物种群!$B$2:INDEX(生物种群!$B:$B,COUNTA(生物种群!$B:$B)),MATCH($B89,生物种群!$D$2:INDEX(生物种群!$D:$D,COUNTA(生物种群!$D:$D)),),))))</f>
        <v>Stolephorus commersonii</v>
      </c>
      <c r="J89" s="37" t="str">
        <f>IF(A89&amp;B89&amp;C89="","",INDEX(生物种群!$J$2:INDEX(生物种群!$J:$J,COUNTA(生物种群!$J:$J)),MATCH($I89,生物种群!$B$2:INDEX(生物种群!$B:$B,COUNTA(生物种群!$B:$B)),),))</f>
        <v>(Lacepede)</v>
      </c>
      <c r="K89" s="71" t="str">
        <f>IF(A89&amp;B89&amp;C89="","",INDEX(生物种群!$E$2:INDEX(生物种群!$E:$E,COUNTA(生物种群!$E:$E)),MATCH($I89,生物种群!$B$2:INDEX(生物种群!$B:$B,COUNTA(生物种群!$B:$B)),),))</f>
        <v>鳀科</v>
      </c>
      <c r="L89" s="37" t="str">
        <f>IF(A89&amp;B89&amp;C89="","",INDEX(生物种群!$F$3:INDEX(生物种群!$F:$F,COUNTA(生物种群!$F:$F)),MATCH($I89,生物种群!$B$3:INDEX(生物种群!$B:$B,COUNTA(生物种群!$B:$B)),),))</f>
        <v>鲱形目</v>
      </c>
      <c r="M89" s="37" t="str">
        <f t="shared" si="2"/>
        <v>A2N44ZQ080Stolephorus commersonii仔鱼</v>
      </c>
      <c r="N89" s="37" t="str">
        <f t="shared" si="3"/>
        <v/>
      </c>
      <c r="O89" s="9"/>
      <c r="P89" s="10"/>
    </row>
    <row r="90" spans="1:16" ht="20.1" customHeight="1">
      <c r="A90" s="9" t="s">
        <v>14467</v>
      </c>
      <c r="B90" s="9"/>
      <c r="C90" s="9"/>
      <c r="D90" s="43">
        <v>43</v>
      </c>
      <c r="E90" s="9" t="s">
        <v>14435</v>
      </c>
      <c r="F90" s="9" t="s">
        <v>14396</v>
      </c>
      <c r="G90" s="47" t="str">
        <f>IF(F90="","",INDEX(站位样品信息!$B$3:INDEX(站位样品信息!$B:$B,COUNTA(站位样品信息!$B:$B)+1),MATCH($F90,站位样品信息!$A$3:INDEX(站位样品信息!$A:$A,COUNTA(站位样品信息!$A:$A)+1),),))</f>
        <v>B1302</v>
      </c>
      <c r="H90" s="71" t="str">
        <f>IF(A90&amp;B90&amp;C90="","",INDEX(生物种群!$A$2:INDEX(生物种群!$A:$A,COUNTA(生物种群!$A:$A)),MATCH($I90,生物种群!$B$2:INDEX(生物种群!$B:$B,COUNTA(生物种群!$B:$B)),),))</f>
        <v>小沙丁鱼属</v>
      </c>
      <c r="I90" s="71" t="str">
        <f>IF(A90&amp;B90&amp;C90="","",IF($C90&lt;&gt;0,INDEX(生物种群!$B$2:INDEX(生物种群!$B:$B,COUNTA(生物种群!$B:$B)),MATCH($C90,生物种群!$G$2:INDEX(生物种群!$G:$G,COUNTA(生物种群!$G:$G)),),),IF($A90&lt;&gt;0,INDEX(生物种群!$B$2:INDEX(生物种群!$B:$B,COUNTA(生物种群!$B:$B)),MATCH($A90,生物种群!$C$2:INDEX(生物种群!$C:$C,COUNTA(生物种群!$C:$C)),),),INDEX(生物种群!$B$2:INDEX(生物种群!$B:$B,COUNTA(生物种群!$B:$B)),MATCH($B90,生物种群!$D$2:INDEX(生物种群!$D:$D,COUNTA(生物种群!$D:$D)),),))))</f>
        <v>Sardinella sp.</v>
      </c>
      <c r="J90" s="37" t="str">
        <f>IF(A90&amp;B90&amp;C90="","",INDEX(生物种群!$J$2:INDEX(生物种群!$J:$J,COUNTA(生物种群!$J:$J)),MATCH($I90,生物种群!$B$2:INDEX(生物种群!$B:$B,COUNTA(生物种群!$B:$B)),),))</f>
        <v>et Valenciennes</v>
      </c>
      <c r="K90" s="71" t="str">
        <f>IF(A90&amp;B90&amp;C90="","",INDEX(生物种群!$E$2:INDEX(生物种群!$E:$E,COUNTA(生物种群!$E:$E)),MATCH($I90,生物种群!$B$2:INDEX(生物种群!$B:$B,COUNTA(生物种群!$B:$B)),),))</f>
        <v>鲱科</v>
      </c>
      <c r="L90" s="37" t="str">
        <f>IF(A90&amp;B90&amp;C90="","",INDEX(生物种群!$F$3:INDEX(生物种群!$F:$F,COUNTA(生物种群!$F:$F)),MATCH($I90,生物种群!$B$3:INDEX(生物种群!$B:$B,COUNTA(生物种群!$B:$B)),),))</f>
        <v>鲱形目</v>
      </c>
      <c r="M90" s="37" t="str">
        <f t="shared" si="2"/>
        <v>A2N44ZQ080Sardinella sp.仔鱼</v>
      </c>
      <c r="N90" s="37" t="str">
        <f t="shared" si="3"/>
        <v/>
      </c>
      <c r="O90" s="9"/>
      <c r="P90" s="10"/>
    </row>
    <row r="91" spans="1:16" ht="20.1" customHeight="1">
      <c r="A91" s="9" t="s">
        <v>14465</v>
      </c>
      <c r="B91" s="9"/>
      <c r="C91" s="9"/>
      <c r="D91" s="43">
        <v>4</v>
      </c>
      <c r="E91" s="9" t="s">
        <v>14435</v>
      </c>
      <c r="F91" s="9" t="s">
        <v>14399</v>
      </c>
      <c r="G91" s="47" t="str">
        <f>IF(F91="","",INDEX(站位样品信息!$B$3:INDEX(站位样品信息!$B:$B,COUNTA(站位样品信息!$B:$B)+1),MATCH($F91,站位样品信息!$A$3:INDEX(站位样品信息!$A:$A,COUNTA(站位样品信息!$A:$A)+1),),))</f>
        <v>B0721</v>
      </c>
      <c r="H91" s="71" t="str">
        <f>IF(A91&amp;B91&amp;C91="","",INDEX(生物种群!$A$2:INDEX(生物种群!$A:$A,COUNTA(生物种群!$A:$A)),MATCH($I91,生物种群!$B$2:INDEX(生物种群!$B:$B,COUNTA(生物种群!$B:$B)),),))</f>
        <v>鮻属</v>
      </c>
      <c r="I91" s="71" t="str">
        <f>IF(A91&amp;B91&amp;C91="","",IF($C91&lt;&gt;0,INDEX(生物种群!$B$2:INDEX(生物种群!$B:$B,COUNTA(生物种群!$B:$B)),MATCH($C91,生物种群!$G$2:INDEX(生物种群!$G:$G,COUNTA(生物种群!$G:$G)),),),IF($A91&lt;&gt;0,INDEX(生物种群!$B$2:INDEX(生物种群!$B:$B,COUNTA(生物种群!$B:$B)),MATCH($A91,生物种群!$C$2:INDEX(生物种群!$C:$C,COUNTA(生物种群!$C:$C)),),),INDEX(生物种群!$B$2:INDEX(生物种群!$B:$B,COUNTA(生物种群!$B:$B)),MATCH($B91,生物种群!$D$2:INDEX(生物种群!$D:$D,COUNTA(生物种群!$D:$D)),),))))</f>
        <v>Liza sp.</v>
      </c>
      <c r="J91" s="37" t="str">
        <f>IF(A91&amp;B91&amp;C91="","",INDEX(生物种群!$J$2:INDEX(生物种群!$J:$J,COUNTA(生物种群!$J:$J)),MATCH($I91,生物种群!$B$2:INDEX(生物种群!$B:$B,COUNTA(生物种群!$B:$B)),),))</f>
        <v/>
      </c>
      <c r="K91" s="71" t="str">
        <f>IF(A91&amp;B91&amp;C91="","",INDEX(生物种群!$E$2:INDEX(生物种群!$E:$E,COUNTA(生物种群!$E:$E)),MATCH($I91,生物种群!$B$2:INDEX(生物种群!$B:$B,COUNTA(生物种群!$B:$B)),),))</f>
        <v>鲻科</v>
      </c>
      <c r="L91" s="37" t="str">
        <f>IF(A91&amp;B91&amp;C91="","",INDEX(生物种群!$F$3:INDEX(生物种群!$F:$F,COUNTA(生物种群!$F:$F)),MATCH($I91,生物种群!$B$3:INDEX(生物种群!$B:$B,COUNTA(生物种群!$B:$B)),),))</f>
        <v>鲻形目</v>
      </c>
      <c r="M91" s="37" t="str">
        <f t="shared" si="2"/>
        <v>A2N44ZQ077Liza sp.仔鱼</v>
      </c>
      <c r="N91" s="37" t="str">
        <f t="shared" si="3"/>
        <v/>
      </c>
      <c r="O91" s="9"/>
      <c r="P91" s="10"/>
    </row>
    <row r="92" spans="1:16" ht="20.1" customHeight="1">
      <c r="A92" s="9" t="s">
        <v>14478</v>
      </c>
      <c r="B92" s="9"/>
      <c r="C92" s="9"/>
      <c r="D92" s="43">
        <v>7</v>
      </c>
      <c r="E92" s="9" t="s">
        <v>14435</v>
      </c>
      <c r="F92" s="9" t="s">
        <v>14399</v>
      </c>
      <c r="G92" s="47" t="str">
        <f>IF(F92="","",INDEX(站位样品信息!$B$3:INDEX(站位样品信息!$B:$B,COUNTA(站位样品信息!$B:$B)+1),MATCH($F92,站位样品信息!$A$3:INDEX(站位样品信息!$A:$A,COUNTA(站位样品信息!$A:$A)+1),),))</f>
        <v>B0721</v>
      </c>
      <c r="H92" s="72" t="str">
        <f>IF(A92&amp;B92&amp;C92="","",INDEX(生物种群!$A$2:INDEX(生物种群!$A:$A,COUNTA(生物种群!$A:$A)),MATCH($I92,生物种群!$B$2:INDEX(生物种群!$B:$B,COUNTA(生物种群!$B:$B)),),))</f>
        <v>肩鳃鳚属</v>
      </c>
      <c r="I92" s="72" t="str">
        <f>IF(A92&amp;B92&amp;C92="","",IF($C92&lt;&gt;0,INDEX(生物种群!$B$2:INDEX(生物种群!$B:$B,COUNTA(生物种群!$B:$B)),MATCH($C92,生物种群!$G$2:INDEX(生物种群!$G:$G,COUNTA(生物种群!$G:$G)),),),IF($A92&lt;&gt;0,INDEX(生物种群!$B$2:INDEX(生物种群!$B:$B,COUNTA(生物种群!$B:$B)),MATCH($A92,生物种群!$C$2:INDEX(生物种群!$C:$C,COUNTA(生物种群!$C:$C)),),),INDEX(生物种群!$B$2:INDEX(生物种群!$B:$B,COUNTA(生物种群!$B:$B)),MATCH($B92,生物种群!$D$2:INDEX(生物种群!$D:$D,COUNTA(生物种群!$D:$D)),),))))</f>
        <v>Omobranchus sp.</v>
      </c>
      <c r="J92" s="37" t="str">
        <f>IF(A92&amp;B92&amp;C92="","",INDEX(生物种群!$J$2:INDEX(生物种群!$J:$J,COUNTA(生物种群!$J:$J)),MATCH($I92,生物种群!$B$2:INDEX(生物种群!$B:$B,COUNTA(生物种群!$B:$B)),),))</f>
        <v>(Steindachner)</v>
      </c>
      <c r="K92" s="72" t="str">
        <f>IF(A92&amp;B92&amp;C92="","",INDEX(生物种群!$E$2:INDEX(生物种群!$E:$E,COUNTA(生物种群!$E:$E)),MATCH($I92,生物种群!$B$2:INDEX(生物种群!$B:$B,COUNTA(生物种群!$B:$B)),),))</f>
        <v>鳚科</v>
      </c>
      <c r="L92" s="37" t="str">
        <f>IF(A92&amp;B92&amp;C92="","",INDEX(生物种群!$F$3:INDEX(生物种群!$F:$F,COUNTA(生物种群!$F:$F)),MATCH($I92,生物种群!$B$3:INDEX(生物种群!$B:$B,COUNTA(生物种群!$B:$B)),),))</f>
        <v>鲈形目</v>
      </c>
      <c r="M92" s="37" t="str">
        <f t="shared" si="2"/>
        <v>A2N44ZQ077Omobranchus sp.仔鱼</v>
      </c>
      <c r="N92" s="37" t="str">
        <f t="shared" si="3"/>
        <v/>
      </c>
      <c r="O92" s="9"/>
      <c r="P92" s="10"/>
    </row>
    <row r="93" spans="1:16" ht="20.1" customHeight="1">
      <c r="A93" s="9" t="s">
        <v>14464</v>
      </c>
      <c r="B93" s="9"/>
      <c r="C93" s="9"/>
      <c r="D93" s="43">
        <v>4</v>
      </c>
      <c r="E93" s="9" t="s">
        <v>14435</v>
      </c>
      <c r="F93" s="9" t="s">
        <v>14399</v>
      </c>
      <c r="G93" s="47" t="str">
        <f>IF(F93="","",INDEX(站位样品信息!$B$3:INDEX(站位样品信息!$B:$B,COUNTA(站位样品信息!$B:$B)+1),MATCH($F93,站位样品信息!$A$3:INDEX(站位样品信息!$A:$A,COUNTA(站位样品信息!$A:$A)+1),),))</f>
        <v>B0721</v>
      </c>
      <c r="H93" s="71" t="str">
        <f>IF(A93&amp;B93&amp;C93="","",INDEX(生物种群!$A$2:INDEX(生物种群!$A:$A,COUNTA(生物种群!$A:$A)),MATCH($I93,生物种群!$B$2:INDEX(生物种群!$B:$B,COUNTA(生物种群!$B:$B)),),))</f>
        <v>康氏小公鱼</v>
      </c>
      <c r="I93" s="71" t="str">
        <f>IF(A93&amp;B93&amp;C93="","",IF($C93&lt;&gt;0,INDEX(生物种群!$B$2:INDEX(生物种群!$B:$B,COUNTA(生物种群!$B:$B)),MATCH($C93,生物种群!$G$2:INDEX(生物种群!$G:$G,COUNTA(生物种群!$G:$G)),),),IF($A93&lt;&gt;0,INDEX(生物种群!$B$2:INDEX(生物种群!$B:$B,COUNTA(生物种群!$B:$B)),MATCH($A93,生物种群!$C$2:INDEX(生物种群!$C:$C,COUNTA(生物种群!$C:$C)),),),INDEX(生物种群!$B$2:INDEX(生物种群!$B:$B,COUNTA(生物种群!$B:$B)),MATCH($B93,生物种群!$D$2:INDEX(生物种群!$D:$D,COUNTA(生物种群!$D:$D)),),))))</f>
        <v>Stolephorus commersonii</v>
      </c>
      <c r="J93" s="37" t="str">
        <f>IF(A93&amp;B93&amp;C93="","",INDEX(生物种群!$J$2:INDEX(生物种群!$J:$J,COUNTA(生物种群!$J:$J)),MATCH($I93,生物种群!$B$2:INDEX(生物种群!$B:$B,COUNTA(生物种群!$B:$B)),),))</f>
        <v>(Lacepede)</v>
      </c>
      <c r="K93" s="71" t="str">
        <f>IF(A93&amp;B93&amp;C93="","",INDEX(生物种群!$E$2:INDEX(生物种群!$E:$E,COUNTA(生物种群!$E:$E)),MATCH($I93,生物种群!$B$2:INDEX(生物种群!$B:$B,COUNTA(生物种群!$B:$B)),),))</f>
        <v>鳀科</v>
      </c>
      <c r="L93" s="37" t="str">
        <f>IF(A93&amp;B93&amp;C93="","",INDEX(生物种群!$F$3:INDEX(生物种群!$F:$F,COUNTA(生物种群!$F:$F)),MATCH($I93,生物种群!$B$3:INDEX(生物种群!$B:$B,COUNTA(生物种群!$B:$B)),),))</f>
        <v>鲱形目</v>
      </c>
      <c r="M93" s="37" t="str">
        <f t="shared" si="2"/>
        <v>A2N44ZQ077Stolephorus commersonii仔鱼</v>
      </c>
      <c r="N93" s="37" t="str">
        <f t="shared" si="3"/>
        <v/>
      </c>
      <c r="O93" s="9"/>
      <c r="P93" s="10"/>
    </row>
    <row r="94" spans="1:16" ht="20.1" customHeight="1">
      <c r="A94" s="9" t="s">
        <v>14467</v>
      </c>
      <c r="B94" s="9"/>
      <c r="C94" s="9"/>
      <c r="D94" s="43">
        <v>57</v>
      </c>
      <c r="E94" s="9" t="s">
        <v>14435</v>
      </c>
      <c r="F94" s="9" t="s">
        <v>14399</v>
      </c>
      <c r="G94" s="47" t="str">
        <f>IF(F94="","",INDEX(站位样品信息!$B$3:INDEX(站位样品信息!$B:$B,COUNTA(站位样品信息!$B:$B)+1),MATCH($F94,站位样品信息!$A$3:INDEX(站位样品信息!$A:$A,COUNTA(站位样品信息!$A:$A)+1),),))</f>
        <v>B0721</v>
      </c>
      <c r="H94" s="71" t="str">
        <f>IF(A94&amp;B94&amp;C94="","",INDEX(生物种群!$A$2:INDEX(生物种群!$A:$A,COUNTA(生物种群!$A:$A)),MATCH($I94,生物种群!$B$2:INDEX(生物种群!$B:$B,COUNTA(生物种群!$B:$B)),),))</f>
        <v>小沙丁鱼属</v>
      </c>
      <c r="I94" s="71" t="str">
        <f>IF(A94&amp;B94&amp;C94="","",IF($C94&lt;&gt;0,INDEX(生物种群!$B$2:INDEX(生物种群!$B:$B,COUNTA(生物种群!$B:$B)),MATCH($C94,生物种群!$G$2:INDEX(生物种群!$G:$G,COUNTA(生物种群!$G:$G)),),),IF($A94&lt;&gt;0,INDEX(生物种群!$B$2:INDEX(生物种群!$B:$B,COUNTA(生物种群!$B:$B)),MATCH($A94,生物种群!$C$2:INDEX(生物种群!$C:$C,COUNTA(生物种群!$C:$C)),),),INDEX(生物种群!$B$2:INDEX(生物种群!$B:$B,COUNTA(生物种群!$B:$B)),MATCH($B94,生物种群!$D$2:INDEX(生物种群!$D:$D,COUNTA(生物种群!$D:$D)),),))))</f>
        <v>Sardinella sp.</v>
      </c>
      <c r="J94" s="37" t="str">
        <f>IF(A94&amp;B94&amp;C94="","",INDEX(生物种群!$J$2:INDEX(生物种群!$J:$J,COUNTA(生物种群!$J:$J)),MATCH($I94,生物种群!$B$2:INDEX(生物种群!$B:$B,COUNTA(生物种群!$B:$B)),),))</f>
        <v>et Valenciennes</v>
      </c>
      <c r="K94" s="71" t="str">
        <f>IF(A94&amp;B94&amp;C94="","",INDEX(生物种群!$E$2:INDEX(生物种群!$E:$E,COUNTA(生物种群!$E:$E)),MATCH($I94,生物种群!$B$2:INDEX(生物种群!$B:$B,COUNTA(生物种群!$B:$B)),),))</f>
        <v>鲱科</v>
      </c>
      <c r="L94" s="37" t="str">
        <f>IF(A94&amp;B94&amp;C94="","",INDEX(生物种群!$F$3:INDEX(生物种群!$F:$F,COUNTA(生物种群!$F:$F)),MATCH($I94,生物种群!$B$3:INDEX(生物种群!$B:$B,COUNTA(生物种群!$B:$B)),),))</f>
        <v>鲱形目</v>
      </c>
      <c r="M94" s="37" t="str">
        <f t="shared" si="2"/>
        <v>A2N44ZQ077Sardinella sp.仔鱼</v>
      </c>
      <c r="N94" s="37" t="str">
        <f t="shared" si="3"/>
        <v/>
      </c>
      <c r="O94" s="9"/>
      <c r="P94" s="10"/>
    </row>
    <row r="95" spans="1:16" ht="20.1" customHeight="1">
      <c r="A95" s="9" t="s">
        <v>14464</v>
      </c>
      <c r="B95" s="9"/>
      <c r="C95" s="9"/>
      <c r="D95" s="43">
        <v>2</v>
      </c>
      <c r="E95" s="9" t="s">
        <v>14443</v>
      </c>
      <c r="F95" s="9" t="s">
        <v>14399</v>
      </c>
      <c r="G95" s="47" t="str">
        <f>IF(F95="","",INDEX(站位样品信息!$B$3:INDEX(站位样品信息!$B:$B,COUNTA(站位样品信息!$B:$B)+1),MATCH($F95,站位样品信息!$A$3:INDEX(站位样品信息!$A:$A,COUNTA(站位样品信息!$A:$A)+1),),))</f>
        <v>B0721</v>
      </c>
      <c r="H95" s="71" t="str">
        <f>IF(A95&amp;B95&amp;C95="","",INDEX(生物种群!$A$2:INDEX(生物种群!$A:$A,COUNTA(生物种群!$A:$A)),MATCH($I95,生物种群!$B$2:INDEX(生物种群!$B:$B,COUNTA(生物种群!$B:$B)),),))</f>
        <v>康氏小公鱼</v>
      </c>
      <c r="I95" s="71" t="str">
        <f>IF(A95&amp;B95&amp;C95="","",IF($C95&lt;&gt;0,INDEX(生物种群!$B$2:INDEX(生物种群!$B:$B,COUNTA(生物种群!$B:$B)),MATCH($C95,生物种群!$G$2:INDEX(生物种群!$G:$G,COUNTA(生物种群!$G:$G)),),),IF($A95&lt;&gt;0,INDEX(生物种群!$B$2:INDEX(生物种群!$B:$B,COUNTA(生物种群!$B:$B)),MATCH($A95,生物种群!$C$2:INDEX(生物种群!$C:$C,COUNTA(生物种群!$C:$C)),),),INDEX(生物种群!$B$2:INDEX(生物种群!$B:$B,COUNTA(生物种群!$B:$B)),MATCH($B95,生物种群!$D$2:INDEX(生物种群!$D:$D,COUNTA(生物种群!$D:$D)),),))))</f>
        <v>Stolephorus commersonii</v>
      </c>
      <c r="J95" s="37" t="str">
        <f>IF(A95&amp;B95&amp;C95="","",INDEX(生物种群!$J$2:INDEX(生物种群!$J:$J,COUNTA(生物种群!$J:$J)),MATCH($I95,生物种群!$B$2:INDEX(生物种群!$B:$B,COUNTA(生物种群!$B:$B)),),))</f>
        <v>(Lacepede)</v>
      </c>
      <c r="K95" s="71" t="str">
        <f>IF(A95&amp;B95&amp;C95="","",INDEX(生物种群!$E$2:INDEX(生物种群!$E:$E,COUNTA(生物种群!$E:$E)),MATCH($I95,生物种群!$B$2:INDEX(生物种群!$B:$B,COUNTA(生物种群!$B:$B)),),))</f>
        <v>鳀科</v>
      </c>
      <c r="L95" s="37" t="str">
        <f>IF(A95&amp;B95&amp;C95="","",INDEX(生物种群!$F$3:INDEX(生物种群!$F:$F,COUNTA(生物种群!$F:$F)),MATCH($I95,生物种群!$B$3:INDEX(生物种群!$B:$B,COUNTA(生物种群!$B:$B)),),))</f>
        <v>鲱形目</v>
      </c>
      <c r="M95" s="37" t="str">
        <f t="shared" si="2"/>
        <v>A2N44ZQ077Stolephorus commersonii鱼卵</v>
      </c>
      <c r="N95" s="37" t="str">
        <f t="shared" si="3"/>
        <v/>
      </c>
      <c r="O95" s="9"/>
      <c r="P95" s="10"/>
    </row>
    <row r="96" spans="1:16" ht="20.1" customHeight="1">
      <c r="A96" s="9" t="s">
        <v>14477</v>
      </c>
      <c r="B96" s="9"/>
      <c r="C96" s="9"/>
      <c r="D96" s="43">
        <v>1</v>
      </c>
      <c r="E96" s="9" t="s">
        <v>14435</v>
      </c>
      <c r="F96" s="9" t="s">
        <v>14403</v>
      </c>
      <c r="G96" s="47" t="str">
        <f>IF(F96="","",INDEX(站位样品信息!$B$3:INDEX(站位样品信息!$B:$B,COUNTA(站位样品信息!$B:$B)+1),MATCH($F96,站位样品信息!$A$3:INDEX(站位样品信息!$A:$A,COUNTA(站位样品信息!$A:$A)+1),),))</f>
        <v>B0227</v>
      </c>
      <c r="H96" s="71" t="str">
        <f>IF(A96&amp;B96&amp;C96="","",INDEX(生物种群!$A$2:INDEX(生物种群!$A:$A,COUNTA(生物种群!$A:$A)),MATCH($I96,生物种群!$B$2:INDEX(生物种群!$B:$B,COUNTA(生物种群!$B:$B)),),))</f>
        <v>鱵属</v>
      </c>
      <c r="I96" s="71" t="str">
        <f>IF(A96&amp;B96&amp;C96="","",IF($C96&lt;&gt;0,INDEX(生物种群!$B$2:INDEX(生物种群!$B:$B,COUNTA(生物种群!$B:$B)),MATCH($C96,生物种群!$G$2:INDEX(生物种群!$G:$G,COUNTA(生物种群!$G:$G)),),),IF($A96&lt;&gt;0,INDEX(生物种群!$B$2:INDEX(生物种群!$B:$B,COUNTA(生物种群!$B:$B)),MATCH($A96,生物种群!$C$2:INDEX(生物种群!$C:$C,COUNTA(生物种群!$C:$C)),),),INDEX(生物种群!$B$2:INDEX(生物种群!$B:$B,COUNTA(生物种群!$B:$B)),MATCH($B96,生物种群!$D$2:INDEX(生物种群!$D:$D,COUNTA(生物种群!$D:$D)),),))))</f>
        <v>Hemirhamphus sp.</v>
      </c>
      <c r="J96" s="37" t="str">
        <f>IF(A96&amp;B96&amp;C96="","",INDEX(生物种群!$J$2:INDEX(生物种群!$J:$J,COUNTA(生物种群!$J:$J)),MATCH($I96,生物种群!$B$2:INDEX(生物种群!$B:$B,COUNTA(生物种群!$B:$B)),),))</f>
        <v/>
      </c>
      <c r="K96" s="71" t="str">
        <f>IF(A96&amp;B96&amp;C96="","",INDEX(生物种群!$E$2:INDEX(生物种群!$E:$E,COUNTA(生物种群!$E:$E)),MATCH($I96,生物种群!$B$2:INDEX(生物种群!$B:$B,COUNTA(生物种群!$B:$B)),),))</f>
        <v>鱵科</v>
      </c>
      <c r="L96" s="37" t="str">
        <f>IF(A96&amp;B96&amp;C96="","",INDEX(生物种群!$F$3:INDEX(生物种群!$F:$F,COUNTA(生物种群!$F:$F)),MATCH($I96,生物种群!$B$3:INDEX(生物种群!$B:$B,COUNTA(生物种群!$B:$B)),),))</f>
        <v>颌针鱼目</v>
      </c>
      <c r="M96" s="37" t="str">
        <f t="shared" si="2"/>
        <v>A2N44ZQ075Hemirhamphus sp.仔鱼</v>
      </c>
      <c r="N96" s="37" t="str">
        <f t="shared" si="3"/>
        <v/>
      </c>
      <c r="O96" s="9"/>
      <c r="P96" s="10"/>
    </row>
    <row r="97" spans="1:16" ht="20.1" customHeight="1">
      <c r="A97" s="9" t="s">
        <v>14478</v>
      </c>
      <c r="B97" s="9"/>
      <c r="C97" s="9"/>
      <c r="D97" s="43">
        <v>4</v>
      </c>
      <c r="E97" s="9" t="s">
        <v>14435</v>
      </c>
      <c r="F97" s="9" t="s">
        <v>14403</v>
      </c>
      <c r="G97" s="47" t="str">
        <f>IF(F97="","",INDEX(站位样品信息!$B$3:INDEX(站位样品信息!$B:$B,COUNTA(站位样品信息!$B:$B)+1),MATCH($F97,站位样品信息!$A$3:INDEX(站位样品信息!$A:$A,COUNTA(站位样品信息!$A:$A)+1),),))</f>
        <v>B0227</v>
      </c>
      <c r="H97" s="72" t="str">
        <f>IF(A97&amp;B97&amp;C97="","",INDEX(生物种群!$A$2:INDEX(生物种群!$A:$A,COUNTA(生物种群!$A:$A)),MATCH($I97,生物种群!$B$2:INDEX(生物种群!$B:$B,COUNTA(生物种群!$B:$B)),),))</f>
        <v>肩鳃鳚属</v>
      </c>
      <c r="I97" s="72" t="str">
        <f>IF(A97&amp;B97&amp;C97="","",IF($C97&lt;&gt;0,INDEX(生物种群!$B$2:INDEX(生物种群!$B:$B,COUNTA(生物种群!$B:$B)),MATCH($C97,生物种群!$G$2:INDEX(生物种群!$G:$G,COUNTA(生物种群!$G:$G)),),),IF($A97&lt;&gt;0,INDEX(生物种群!$B$2:INDEX(生物种群!$B:$B,COUNTA(生物种群!$B:$B)),MATCH($A97,生物种群!$C$2:INDEX(生物种群!$C:$C,COUNTA(生物种群!$C:$C)),),),INDEX(生物种群!$B$2:INDEX(生物种群!$B:$B,COUNTA(生物种群!$B:$B)),MATCH($B97,生物种群!$D$2:INDEX(生物种群!$D:$D,COUNTA(生物种群!$D:$D)),),))))</f>
        <v>Omobranchus sp.</v>
      </c>
      <c r="J97" s="37" t="str">
        <f>IF(A97&amp;B97&amp;C97="","",INDEX(生物种群!$J$2:INDEX(生物种群!$J:$J,COUNTA(生物种群!$J:$J)),MATCH($I97,生物种群!$B$2:INDEX(生物种群!$B:$B,COUNTA(生物种群!$B:$B)),),))</f>
        <v>(Steindachner)</v>
      </c>
      <c r="K97" s="72" t="str">
        <f>IF(A97&amp;B97&amp;C97="","",INDEX(生物种群!$E$2:INDEX(生物种群!$E:$E,COUNTA(生物种群!$E:$E)),MATCH($I97,生物种群!$B$2:INDEX(生物种群!$B:$B,COUNTA(生物种群!$B:$B)),),))</f>
        <v>鳚科</v>
      </c>
      <c r="L97" s="37" t="str">
        <f>IF(A97&amp;B97&amp;C97="","",INDEX(生物种群!$F$3:INDEX(生物种群!$F:$F,COUNTA(生物种群!$F:$F)),MATCH($I97,生物种群!$B$3:INDEX(生物种群!$B:$B,COUNTA(生物种群!$B:$B)),),))</f>
        <v>鲈形目</v>
      </c>
      <c r="M97" s="37" t="str">
        <f t="shared" si="2"/>
        <v>A2N44ZQ075Omobranchus sp.仔鱼</v>
      </c>
      <c r="N97" s="37" t="str">
        <f t="shared" si="3"/>
        <v/>
      </c>
      <c r="O97" s="9"/>
      <c r="P97" s="10"/>
    </row>
    <row r="98" spans="1:16" ht="20.1" customHeight="1">
      <c r="A98" s="9" t="s">
        <v>14467</v>
      </c>
      <c r="B98" s="9"/>
      <c r="C98" s="9"/>
      <c r="D98" s="43">
        <v>81</v>
      </c>
      <c r="E98" s="9" t="s">
        <v>14435</v>
      </c>
      <c r="F98" s="9" t="s">
        <v>14403</v>
      </c>
      <c r="G98" s="47" t="str">
        <f>IF(F98="","",INDEX(站位样品信息!$B$3:INDEX(站位样品信息!$B:$B,COUNTA(站位样品信息!$B:$B)+1),MATCH($F98,站位样品信息!$A$3:INDEX(站位样品信息!$A:$A,COUNTA(站位样品信息!$A:$A)+1),),))</f>
        <v>B0227</v>
      </c>
      <c r="H98" s="71" t="str">
        <f>IF(A98&amp;B98&amp;C98="","",INDEX(生物种群!$A$2:INDEX(生物种群!$A:$A,COUNTA(生物种群!$A:$A)),MATCH($I98,生物种群!$B$2:INDEX(生物种群!$B:$B,COUNTA(生物种群!$B:$B)),),))</f>
        <v>小沙丁鱼属</v>
      </c>
      <c r="I98" s="71" t="str">
        <f>IF(A98&amp;B98&amp;C98="","",IF($C98&lt;&gt;0,INDEX(生物种群!$B$2:INDEX(生物种群!$B:$B,COUNTA(生物种群!$B:$B)),MATCH($C98,生物种群!$G$2:INDEX(生物种群!$G:$G,COUNTA(生物种群!$G:$G)),),),IF($A98&lt;&gt;0,INDEX(生物种群!$B$2:INDEX(生物种群!$B:$B,COUNTA(生物种群!$B:$B)),MATCH($A98,生物种群!$C$2:INDEX(生物种群!$C:$C,COUNTA(生物种群!$C:$C)),),),INDEX(生物种群!$B$2:INDEX(生物种群!$B:$B,COUNTA(生物种群!$B:$B)),MATCH($B98,生物种群!$D$2:INDEX(生物种群!$D:$D,COUNTA(生物种群!$D:$D)),),))))</f>
        <v>Sardinella sp.</v>
      </c>
      <c r="J98" s="37" t="str">
        <f>IF(A98&amp;B98&amp;C98="","",INDEX(生物种群!$J$2:INDEX(生物种群!$J:$J,COUNTA(生物种群!$J:$J)),MATCH($I98,生物种群!$B$2:INDEX(生物种群!$B:$B,COUNTA(生物种群!$B:$B)),),))</f>
        <v>et Valenciennes</v>
      </c>
      <c r="K98" s="71" t="str">
        <f>IF(A98&amp;B98&amp;C98="","",INDEX(生物种群!$E$2:INDEX(生物种群!$E:$E,COUNTA(生物种群!$E:$E)),MATCH($I98,生物种群!$B$2:INDEX(生物种群!$B:$B,COUNTA(生物种群!$B:$B)),),))</f>
        <v>鲱科</v>
      </c>
      <c r="L98" s="37" t="str">
        <f>IF(A98&amp;B98&amp;C98="","",INDEX(生物种群!$F$3:INDEX(生物种群!$F:$F,COUNTA(生物种群!$F:$F)),MATCH($I98,生物种群!$B$3:INDEX(生物种群!$B:$B,COUNTA(生物种群!$B:$B)),),))</f>
        <v>鲱形目</v>
      </c>
      <c r="M98" s="37" t="str">
        <f t="shared" si="2"/>
        <v>A2N44ZQ075Sardinella sp.仔鱼</v>
      </c>
      <c r="N98" s="37" t="str">
        <f t="shared" si="3"/>
        <v/>
      </c>
      <c r="O98" s="9"/>
      <c r="P98" s="10"/>
    </row>
    <row r="99" spans="1:16" ht="20.1" customHeight="1">
      <c r="A99" s="9" t="s">
        <v>14464</v>
      </c>
      <c r="B99" s="9"/>
      <c r="C99" s="9"/>
      <c r="D99" s="43">
        <v>1</v>
      </c>
      <c r="E99" s="9" t="s">
        <v>14435</v>
      </c>
      <c r="F99" s="9" t="s">
        <v>14403</v>
      </c>
      <c r="G99" s="47" t="str">
        <f>IF(F99="","",INDEX(站位样品信息!$B$3:INDEX(站位样品信息!$B:$B,COUNTA(站位样品信息!$B:$B)+1),MATCH($F99,站位样品信息!$A$3:INDEX(站位样品信息!$A:$A,COUNTA(站位样品信息!$A:$A)+1),),))</f>
        <v>B0227</v>
      </c>
      <c r="H99" s="71" t="str">
        <f>IF(A99&amp;B99&amp;C99="","",INDEX(生物种群!$A$2:INDEX(生物种群!$A:$A,COUNTA(生物种群!$A:$A)),MATCH($I99,生物种群!$B$2:INDEX(生物种群!$B:$B,COUNTA(生物种群!$B:$B)),),))</f>
        <v>康氏小公鱼</v>
      </c>
      <c r="I99" s="71" t="str">
        <f>IF(A99&amp;B99&amp;C99="","",IF($C99&lt;&gt;0,INDEX(生物种群!$B$2:INDEX(生物种群!$B:$B,COUNTA(生物种群!$B:$B)),MATCH($C99,生物种群!$G$2:INDEX(生物种群!$G:$G,COUNTA(生物种群!$G:$G)),),),IF($A99&lt;&gt;0,INDEX(生物种群!$B$2:INDEX(生物种群!$B:$B,COUNTA(生物种群!$B:$B)),MATCH($A99,生物种群!$C$2:INDEX(生物种群!$C:$C,COUNTA(生物种群!$C:$C)),),),INDEX(生物种群!$B$2:INDEX(生物种群!$B:$B,COUNTA(生物种群!$B:$B)),MATCH($B99,生物种群!$D$2:INDEX(生物种群!$D:$D,COUNTA(生物种群!$D:$D)),),))))</f>
        <v>Stolephorus commersonii</v>
      </c>
      <c r="J99" s="37" t="str">
        <f>IF(A99&amp;B99&amp;C99="","",INDEX(生物种群!$J$2:INDEX(生物种群!$J:$J,COUNTA(生物种群!$J:$J)),MATCH($I99,生物种群!$B$2:INDEX(生物种群!$B:$B,COUNTA(生物种群!$B:$B)),),))</f>
        <v>(Lacepede)</v>
      </c>
      <c r="K99" s="71" t="str">
        <f>IF(A99&amp;B99&amp;C99="","",INDEX(生物种群!$E$2:INDEX(生物种群!$E:$E,COUNTA(生物种群!$E:$E)),MATCH($I99,生物种群!$B$2:INDEX(生物种群!$B:$B,COUNTA(生物种群!$B:$B)),),))</f>
        <v>鳀科</v>
      </c>
      <c r="L99" s="37" t="str">
        <f>IF(A99&amp;B99&amp;C99="","",INDEX(生物种群!$F$3:INDEX(生物种群!$F:$F,COUNTA(生物种群!$F:$F)),MATCH($I99,生物种群!$B$3:INDEX(生物种群!$B:$B,COUNTA(生物种群!$B:$B)),),))</f>
        <v>鲱形目</v>
      </c>
      <c r="M99" s="37" t="str">
        <f t="shared" si="2"/>
        <v>A2N44ZQ075Stolephorus commersonii仔鱼</v>
      </c>
      <c r="N99" s="37" t="str">
        <f t="shared" si="3"/>
        <v/>
      </c>
      <c r="O99" s="9"/>
      <c r="P99" s="10"/>
    </row>
    <row r="100" spans="1:16" ht="20.1" customHeight="1">
      <c r="A100" s="9" t="s">
        <v>14468</v>
      </c>
      <c r="B100" s="9"/>
      <c r="C100" s="9"/>
      <c r="D100" s="43">
        <v>1</v>
      </c>
      <c r="E100" s="9" t="s">
        <v>14435</v>
      </c>
      <c r="F100" s="9" t="s">
        <v>14403</v>
      </c>
      <c r="G100" s="47" t="str">
        <f>IF(F100="","",INDEX(站位样品信息!$B$3:INDEX(站位样品信息!$B:$B,COUNTA(站位样品信息!$B:$B)+1),MATCH($F100,站位样品信息!$A$3:INDEX(站位样品信息!$A:$A,COUNTA(站位样品信息!$A:$A)+1),),))</f>
        <v>B0227</v>
      </c>
      <c r="H100" s="71" t="str">
        <f>IF(A100&amp;B100&amp;C100="","",INDEX(生物种群!$A$2:INDEX(生物种群!$A:$A,COUNTA(生物种群!$A:$A)),MATCH($I100,生物种群!$B$2:INDEX(生物种群!$B:$B,COUNTA(生物种群!$B:$B)),),))</f>
        <v>眶棘双边鱼</v>
      </c>
      <c r="I100" s="71" t="str">
        <f>IF(A100&amp;B100&amp;C100="","",IF($C100&lt;&gt;0,INDEX(生物种群!$B$2:INDEX(生物种群!$B:$B,COUNTA(生物种群!$B:$B)),MATCH($C100,生物种群!$G$2:INDEX(生物种群!$G:$G,COUNTA(生物种群!$G:$G)),),),IF($A100&lt;&gt;0,INDEX(生物种群!$B$2:INDEX(生物种群!$B:$B,COUNTA(生物种群!$B:$B)),MATCH($A100,生物种群!$C$2:INDEX(生物种群!$C:$C,COUNTA(生物种群!$C:$C)),),),INDEX(生物种群!$B$2:INDEX(生物种群!$B:$B,COUNTA(生物种群!$B:$B)),MATCH($B100,生物种群!$D$2:INDEX(生物种群!$D:$D,COUNTA(生物种群!$D:$D)),),))))</f>
        <v>Ambassis gymnocephalus</v>
      </c>
      <c r="J100" s="37" t="str">
        <f>IF(A100&amp;B100&amp;C100="","",INDEX(生物种群!$J$2:INDEX(生物种群!$J:$J,COUNTA(生物种群!$J:$J)),MATCH($I100,生物种群!$B$2:INDEX(生物种群!$B:$B,COUNTA(生物种群!$B:$B)),),))</f>
        <v>Lacepede</v>
      </c>
      <c r="K100" s="71" t="str">
        <f>IF(A100&amp;B100&amp;C100="","",INDEX(生物种群!$E$2:INDEX(生物种群!$E:$E,COUNTA(生物种群!$E:$E)),MATCH($I100,生物种群!$B$2:INDEX(生物种群!$B:$B,COUNTA(生物种群!$B:$B)),),))</f>
        <v>双边鱼科</v>
      </c>
      <c r="L100" s="37" t="str">
        <f>IF(A100&amp;B100&amp;C100="","",INDEX(生物种群!$F$3:INDEX(生物种群!$F:$F,COUNTA(生物种群!$F:$F)),MATCH($I100,生物种群!$B$3:INDEX(生物种群!$B:$B,COUNTA(生物种群!$B:$B)),),))</f>
        <v>鲈形目</v>
      </c>
      <c r="M100" s="37" t="str">
        <f t="shared" si="2"/>
        <v>A2N44ZQ075Ambassis gymnocephalus仔鱼</v>
      </c>
      <c r="N100" s="37" t="str">
        <f t="shared" si="3"/>
        <v/>
      </c>
      <c r="O100" s="9"/>
      <c r="P100" s="10"/>
    </row>
    <row r="101" spans="1:16" ht="20.1" customHeight="1">
      <c r="A101" s="9" t="s">
        <v>747</v>
      </c>
      <c r="B101" s="42"/>
      <c r="C101" s="35">
        <v>360300</v>
      </c>
      <c r="D101" s="43">
        <v>2</v>
      </c>
      <c r="E101" s="9" t="s">
        <v>14443</v>
      </c>
      <c r="F101" s="9" t="s">
        <v>14403</v>
      </c>
      <c r="G101" s="47" t="str">
        <f>IF(F101="","",INDEX(站位样品信息!$B$3:INDEX(站位样品信息!$B:$B,COUNTA(站位样品信息!$B:$B)+1),MATCH($F101,站位样品信息!$A$3:INDEX(站位样品信息!$A:$A,COUNTA(站位样品信息!$A:$A)+1),),))</f>
        <v>B0227</v>
      </c>
      <c r="H101" s="71" t="str">
        <f>IF(A101&amp;B101&amp;C101="","",INDEX(生物种群!$A$2:INDEX(生物种群!$A:$A,COUNTA(生物种群!$A:$A)),MATCH($I101,生物种群!$B$2:INDEX(生物种群!$B:$B,COUNTA(生物种群!$B:$B)),),))</f>
        <v>毒鲉科</v>
      </c>
      <c r="I101" s="71" t="str">
        <f>IF(A101&amp;B101&amp;C101="","",IF($C101&lt;&gt;0,INDEX(生物种群!$B$2:INDEX(生物种群!$B:$B,COUNTA(生物种群!$B:$B)),MATCH($C101,生物种群!$G$2:INDEX(生物种群!$G:$G,COUNTA(生物种群!$G:$G)),),),IF($A101&lt;&gt;0,INDEX(生物种群!$B$2:INDEX(生物种群!$B:$B,COUNTA(生物种群!$B:$B)),MATCH($A101,生物种群!$C$2:INDEX(生物种群!$C:$C,COUNTA(生物种群!$C:$C)),),),INDEX(生物种群!$B$2:INDEX(生物种群!$B:$B,COUNTA(生物种群!$B:$B)),MATCH($B101,生物种群!$D$2:INDEX(生物种群!$D:$D,COUNTA(生物种群!$D:$D)),),))))</f>
        <v>Synanceiidae sp.</v>
      </c>
      <c r="J101" s="37" t="str">
        <f>IF(A101&amp;B101&amp;C101="","",INDEX(生物种群!$J$2:INDEX(生物种群!$J:$J,COUNTA(生物种群!$J:$J)),MATCH($I101,生物种群!$B$2:INDEX(生物种群!$B:$B,COUNTA(生物种群!$B:$B)),),))</f>
        <v/>
      </c>
      <c r="K101" s="71" t="str">
        <f>IF(A101&amp;B101&amp;C101="","",INDEX(生物种群!$E$2:INDEX(生物种群!$E:$E,COUNTA(生物种群!$E:$E)),MATCH($I101,生物种群!$B$2:INDEX(生物种群!$B:$B,COUNTA(生物种群!$B:$B)),),))</f>
        <v>毒鲉科</v>
      </c>
      <c r="L101" s="37" t="str">
        <f>IF(A101&amp;B101&amp;C101="","",INDEX(生物种群!$F$3:INDEX(生物种群!$F:$F,COUNTA(生物种群!$F:$F)),MATCH($I101,生物种群!$B$3:INDEX(生物种群!$B:$B,COUNTA(生物种群!$B:$B)),),))</f>
        <v>鲉形目</v>
      </c>
      <c r="M101" s="37" t="str">
        <f t="shared" si="2"/>
        <v>A2N44ZQ075Synanceiidae sp.鱼卵</v>
      </c>
      <c r="N101" s="37" t="str">
        <f t="shared" si="3"/>
        <v/>
      </c>
      <c r="O101" s="9"/>
      <c r="P101" s="10"/>
    </row>
    <row r="102" spans="1:16" ht="20.1" customHeight="1">
      <c r="A102" s="9" t="s">
        <v>14477</v>
      </c>
      <c r="B102" s="9"/>
      <c r="C102" s="9"/>
      <c r="D102" s="43">
        <v>3</v>
      </c>
      <c r="E102" s="9" t="s">
        <v>14435</v>
      </c>
      <c r="F102" s="9" t="s">
        <v>14406</v>
      </c>
      <c r="G102" s="47" t="str">
        <f>IF(F102="","",INDEX(站位样品信息!$B$3:INDEX(站位样品信息!$B:$B,COUNTA(站位样品信息!$B:$B)+1),MATCH($F102,站位样品信息!$A$3:INDEX(站位样品信息!$A:$A,COUNTA(站位样品信息!$A:$A)+1),),))</f>
        <v>B0910</v>
      </c>
      <c r="H102" s="71" t="str">
        <f>IF(A102&amp;B102&amp;C102="","",INDEX(生物种群!$A$2:INDEX(生物种群!$A:$A,COUNTA(生物种群!$A:$A)),MATCH($I102,生物种群!$B$2:INDEX(生物种群!$B:$B,COUNTA(生物种群!$B:$B)),),))</f>
        <v>鱵属</v>
      </c>
      <c r="I102" s="71" t="str">
        <f>IF(A102&amp;B102&amp;C102="","",IF($C102&lt;&gt;0,INDEX(生物种群!$B$2:INDEX(生物种群!$B:$B,COUNTA(生物种群!$B:$B)),MATCH($C102,生物种群!$G$2:INDEX(生物种群!$G:$G,COUNTA(生物种群!$G:$G)),),),IF($A102&lt;&gt;0,INDEX(生物种群!$B$2:INDEX(生物种群!$B:$B,COUNTA(生物种群!$B:$B)),MATCH($A102,生物种群!$C$2:INDEX(生物种群!$C:$C,COUNTA(生物种群!$C:$C)),),),INDEX(生物种群!$B$2:INDEX(生物种群!$B:$B,COUNTA(生物种群!$B:$B)),MATCH($B102,生物种群!$D$2:INDEX(生物种群!$D:$D,COUNTA(生物种群!$D:$D)),),))))</f>
        <v>Hemirhamphus sp.</v>
      </c>
      <c r="J102" s="37" t="str">
        <f>IF(A102&amp;B102&amp;C102="","",INDEX(生物种群!$J$2:INDEX(生物种群!$J:$J,COUNTA(生物种群!$J:$J)),MATCH($I102,生物种群!$B$2:INDEX(生物种群!$B:$B,COUNTA(生物种群!$B:$B)),),))</f>
        <v/>
      </c>
      <c r="K102" s="71" t="str">
        <f>IF(A102&amp;B102&amp;C102="","",INDEX(生物种群!$E$2:INDEX(生物种群!$E:$E,COUNTA(生物种群!$E:$E)),MATCH($I102,生物种群!$B$2:INDEX(生物种群!$B:$B,COUNTA(生物种群!$B:$B)),),))</f>
        <v>鱵科</v>
      </c>
      <c r="L102" s="37" t="str">
        <f>IF(A102&amp;B102&amp;C102="","",INDEX(生物种群!$F$3:INDEX(生物种群!$F:$F,COUNTA(生物种群!$F:$F)),MATCH($I102,生物种群!$B$3:INDEX(生物种群!$B:$B,COUNTA(生物种群!$B:$B)),),))</f>
        <v>颌针鱼目</v>
      </c>
      <c r="M102" s="37" t="str">
        <f t="shared" si="2"/>
        <v>A2N44ZQ087Hemirhamphus sp.仔鱼</v>
      </c>
      <c r="N102" s="37" t="str">
        <f t="shared" si="3"/>
        <v/>
      </c>
      <c r="O102" s="9"/>
      <c r="P102" s="10"/>
    </row>
    <row r="103" spans="1:16" ht="20.1" customHeight="1">
      <c r="A103" s="9" t="s">
        <v>14468</v>
      </c>
      <c r="B103" s="9"/>
      <c r="C103" s="9"/>
      <c r="D103" s="43">
        <v>2</v>
      </c>
      <c r="E103" s="9" t="s">
        <v>14435</v>
      </c>
      <c r="F103" s="9" t="s">
        <v>14406</v>
      </c>
      <c r="G103" s="47" t="str">
        <f>IF(F103="","",INDEX(站位样品信息!$B$3:INDEX(站位样品信息!$B:$B,COUNTA(站位样品信息!$B:$B)+1),MATCH($F103,站位样品信息!$A$3:INDEX(站位样品信息!$A:$A,COUNTA(站位样品信息!$A:$A)+1),),))</f>
        <v>B0910</v>
      </c>
      <c r="H103" s="71" t="str">
        <f>IF(A103&amp;B103&amp;C103="","",INDEX(生物种群!$A$2:INDEX(生物种群!$A:$A,COUNTA(生物种群!$A:$A)),MATCH($I103,生物种群!$B$2:INDEX(生物种群!$B:$B,COUNTA(生物种群!$B:$B)),),))</f>
        <v>眶棘双边鱼</v>
      </c>
      <c r="I103" s="71" t="str">
        <f>IF(A103&amp;B103&amp;C103="","",IF($C103&lt;&gt;0,INDEX(生物种群!$B$2:INDEX(生物种群!$B:$B,COUNTA(生物种群!$B:$B)),MATCH($C103,生物种群!$G$2:INDEX(生物种群!$G:$G,COUNTA(生物种群!$G:$G)),),),IF($A103&lt;&gt;0,INDEX(生物种群!$B$2:INDEX(生物种群!$B:$B,COUNTA(生物种群!$B:$B)),MATCH($A103,生物种群!$C$2:INDEX(生物种群!$C:$C,COUNTA(生物种群!$C:$C)),),),INDEX(生物种群!$B$2:INDEX(生物种群!$B:$B,COUNTA(生物种群!$B:$B)),MATCH($B103,生物种群!$D$2:INDEX(生物种群!$D:$D,COUNTA(生物种群!$D:$D)),),))))</f>
        <v>Ambassis gymnocephalus</v>
      </c>
      <c r="J103" s="37" t="str">
        <f>IF(A103&amp;B103&amp;C103="","",INDEX(生物种群!$J$2:INDEX(生物种群!$J:$J,COUNTA(生物种群!$J:$J)),MATCH($I103,生物种群!$B$2:INDEX(生物种群!$B:$B,COUNTA(生物种群!$B:$B)),),))</f>
        <v>Lacepede</v>
      </c>
      <c r="K103" s="71" t="str">
        <f>IF(A103&amp;B103&amp;C103="","",INDEX(生物种群!$E$2:INDEX(生物种群!$E:$E,COUNTA(生物种群!$E:$E)),MATCH($I103,生物种群!$B$2:INDEX(生物种群!$B:$B,COUNTA(生物种群!$B:$B)),),))</f>
        <v>双边鱼科</v>
      </c>
      <c r="L103" s="37" t="str">
        <f>IF(A103&amp;B103&amp;C103="","",INDEX(生物种群!$F$3:INDEX(生物种群!$F:$F,COUNTA(生物种群!$F:$F)),MATCH($I103,生物种群!$B$3:INDEX(生物种群!$B:$B,COUNTA(生物种群!$B:$B)),),))</f>
        <v>鲈形目</v>
      </c>
      <c r="M103" s="37" t="str">
        <f t="shared" si="2"/>
        <v>A2N44ZQ087Ambassis gymnocephalus仔鱼</v>
      </c>
      <c r="N103" s="37" t="str">
        <f t="shared" si="3"/>
        <v/>
      </c>
      <c r="O103" s="9"/>
      <c r="P103" s="10"/>
    </row>
    <row r="104" spans="1:16" ht="20.1" customHeight="1">
      <c r="A104" s="9" t="s">
        <v>14466</v>
      </c>
      <c r="B104" s="9"/>
      <c r="C104" s="9"/>
      <c r="D104" s="43">
        <v>3</v>
      </c>
      <c r="E104" s="9" t="s">
        <v>14435</v>
      </c>
      <c r="F104" s="9" t="s">
        <v>14406</v>
      </c>
      <c r="G104" s="47" t="str">
        <f>IF(F104="","",INDEX(站位样品信息!$B$3:INDEX(站位样品信息!$B:$B,COUNTA(站位样品信息!$B:$B)+1),MATCH($F104,站位样品信息!$A$3:INDEX(站位样品信息!$A:$A,COUNTA(站位样品信息!$A:$A)+1),),))</f>
        <v>B0910</v>
      </c>
      <c r="H104" s="71" t="str">
        <f>IF(A104&amp;B104&amp;C104="","",INDEX(生物种群!$A$2:INDEX(生物种群!$A:$A,COUNTA(生物种群!$A:$A)),MATCH($I104,生物种群!$B$2:INDEX(生物种群!$B:$B,COUNTA(生物种群!$B:$B)),),))</f>
        <v>美肩鳃鳚</v>
      </c>
      <c r="I104" s="71" t="str">
        <f>IF(A104&amp;B104&amp;C104="","",IF($C104&lt;&gt;0,INDEX(生物种群!$B$2:INDEX(生物种群!$B:$B,COUNTA(生物种群!$B:$B)),MATCH($C104,生物种群!$G$2:INDEX(生物种群!$G:$G,COUNTA(生物种群!$G:$G)),),),IF($A104&lt;&gt;0,INDEX(生物种群!$B$2:INDEX(生物种群!$B:$B,COUNTA(生物种群!$B:$B)),MATCH($A104,生物种群!$C$2:INDEX(生物种群!$C:$C,COUNTA(生物种群!$C:$C)),),),INDEX(生物种群!$B$2:INDEX(生物种群!$B:$B,COUNTA(生物种群!$B:$B)),MATCH($B104,生物种群!$D$2:INDEX(生物种群!$D:$D,COUNTA(生物种群!$D:$D)),),))))</f>
        <v>Omobranchus elegans</v>
      </c>
      <c r="J104" s="37" t="str">
        <f>IF(A104&amp;B104&amp;C104="","",INDEX(生物种群!$J$2:INDEX(生物种群!$J:$J,COUNTA(生物种群!$J:$J)),MATCH($I104,生物种群!$B$2:INDEX(生物种群!$B:$B,COUNTA(生物种群!$B:$B)),),))</f>
        <v>(Steindachner)</v>
      </c>
      <c r="K104" s="71" t="str">
        <f>IF(A104&amp;B104&amp;C104="","",INDEX(生物种群!$E$2:INDEX(生物种群!$E:$E,COUNTA(生物种群!$E:$E)),MATCH($I104,生物种群!$B$2:INDEX(生物种群!$B:$B,COUNTA(生物种群!$B:$B)),),))</f>
        <v>鳚科</v>
      </c>
      <c r="L104" s="37" t="str">
        <f>IF(A104&amp;B104&amp;C104="","",INDEX(生物种群!$F$3:INDEX(生物种群!$F:$F,COUNTA(生物种群!$F:$F)),MATCH($I104,生物种群!$B$3:INDEX(生物种群!$B:$B,COUNTA(生物种群!$B:$B)),),))</f>
        <v>鲈形目</v>
      </c>
      <c r="M104" s="37" t="str">
        <f t="shared" si="2"/>
        <v>A2N44ZQ087Omobranchus elegans仔鱼</v>
      </c>
      <c r="N104" s="37" t="str">
        <f t="shared" si="3"/>
        <v/>
      </c>
      <c r="O104" s="9"/>
      <c r="P104" s="10"/>
    </row>
    <row r="105" spans="1:16" ht="20.1" customHeight="1">
      <c r="A105" s="9" t="s">
        <v>14465</v>
      </c>
      <c r="B105" s="9"/>
      <c r="C105" s="9"/>
      <c r="D105" s="43">
        <v>9</v>
      </c>
      <c r="E105" s="9" t="s">
        <v>14435</v>
      </c>
      <c r="F105" s="9" t="s">
        <v>14406</v>
      </c>
      <c r="G105" s="47" t="str">
        <f>IF(F105="","",INDEX(站位样品信息!$B$3:INDEX(站位样品信息!$B:$B,COUNTA(站位样品信息!$B:$B)+1),MATCH($F105,站位样品信息!$A$3:INDEX(站位样品信息!$A:$A,COUNTA(站位样品信息!$A:$A)+1),),))</f>
        <v>B0910</v>
      </c>
      <c r="H105" s="71" t="str">
        <f>IF(A105&amp;B105&amp;C105="","",INDEX(生物种群!$A$2:INDEX(生物种群!$A:$A,COUNTA(生物种群!$A:$A)),MATCH($I105,生物种群!$B$2:INDEX(生物种群!$B:$B,COUNTA(生物种群!$B:$B)),),))</f>
        <v>鮻属</v>
      </c>
      <c r="I105" s="71" t="str">
        <f>IF(A105&amp;B105&amp;C105="","",IF($C105&lt;&gt;0,INDEX(生物种群!$B$2:INDEX(生物种群!$B:$B,COUNTA(生物种群!$B:$B)),MATCH($C105,生物种群!$G$2:INDEX(生物种群!$G:$G,COUNTA(生物种群!$G:$G)),),),IF($A105&lt;&gt;0,INDEX(生物种群!$B$2:INDEX(生物种群!$B:$B,COUNTA(生物种群!$B:$B)),MATCH($A105,生物种群!$C$2:INDEX(生物种群!$C:$C,COUNTA(生物种群!$C:$C)),),),INDEX(生物种群!$B$2:INDEX(生物种群!$B:$B,COUNTA(生物种群!$B:$B)),MATCH($B105,生物种群!$D$2:INDEX(生物种群!$D:$D,COUNTA(生物种群!$D:$D)),),))))</f>
        <v>Liza sp.</v>
      </c>
      <c r="J105" s="37" t="str">
        <f>IF(A105&amp;B105&amp;C105="","",INDEX(生物种群!$J$2:INDEX(生物种群!$J:$J,COUNTA(生物种群!$J:$J)),MATCH($I105,生物种群!$B$2:INDEX(生物种群!$B:$B,COUNTA(生物种群!$B:$B)),),))</f>
        <v/>
      </c>
      <c r="K105" s="71" t="str">
        <f>IF(A105&amp;B105&amp;C105="","",INDEX(生物种群!$E$2:INDEX(生物种群!$E:$E,COUNTA(生物种群!$E:$E)),MATCH($I105,生物种群!$B$2:INDEX(生物种群!$B:$B,COUNTA(生物种群!$B:$B)),),))</f>
        <v>鲻科</v>
      </c>
      <c r="L105" s="37" t="str">
        <f>IF(A105&amp;B105&amp;C105="","",INDEX(生物种群!$F$3:INDEX(生物种群!$F:$F,COUNTA(生物种群!$F:$F)),MATCH($I105,生物种群!$B$3:INDEX(生物种群!$B:$B,COUNTA(生物种群!$B:$B)),),))</f>
        <v>鲻形目</v>
      </c>
      <c r="M105" s="37" t="str">
        <f t="shared" si="2"/>
        <v>A2N44ZQ087Liza sp.仔鱼</v>
      </c>
      <c r="N105" s="37" t="str">
        <f t="shared" si="3"/>
        <v/>
      </c>
      <c r="O105" s="9"/>
      <c r="P105" s="10"/>
    </row>
    <row r="106" spans="1:16" ht="20.1" customHeight="1">
      <c r="A106" s="9" t="s">
        <v>14467</v>
      </c>
      <c r="B106" s="9"/>
      <c r="C106" s="9"/>
      <c r="D106" s="43">
        <v>155</v>
      </c>
      <c r="E106" s="9" t="s">
        <v>14435</v>
      </c>
      <c r="F106" s="9" t="s">
        <v>14406</v>
      </c>
      <c r="G106" s="47" t="str">
        <f>IF(F106="","",INDEX(站位样品信息!$B$3:INDEX(站位样品信息!$B:$B,COUNTA(站位样品信息!$B:$B)+1),MATCH($F106,站位样品信息!$A$3:INDEX(站位样品信息!$A:$A,COUNTA(站位样品信息!$A:$A)+1),),))</f>
        <v>B0910</v>
      </c>
      <c r="H106" s="71" t="str">
        <f>IF(A106&amp;B106&amp;C106="","",INDEX(生物种群!$A$2:INDEX(生物种群!$A:$A,COUNTA(生物种群!$A:$A)),MATCH($I106,生物种群!$B$2:INDEX(生物种群!$B:$B,COUNTA(生物种群!$B:$B)),),))</f>
        <v>小沙丁鱼属</v>
      </c>
      <c r="I106" s="71" t="str">
        <f>IF(A106&amp;B106&amp;C106="","",IF($C106&lt;&gt;0,INDEX(生物种群!$B$2:INDEX(生物种群!$B:$B,COUNTA(生物种群!$B:$B)),MATCH($C106,生物种群!$G$2:INDEX(生物种群!$G:$G,COUNTA(生物种群!$G:$G)),),),IF($A106&lt;&gt;0,INDEX(生物种群!$B$2:INDEX(生物种群!$B:$B,COUNTA(生物种群!$B:$B)),MATCH($A106,生物种群!$C$2:INDEX(生物种群!$C:$C,COUNTA(生物种群!$C:$C)),),),INDEX(生物种群!$B$2:INDEX(生物种群!$B:$B,COUNTA(生物种群!$B:$B)),MATCH($B106,生物种群!$D$2:INDEX(生物种群!$D:$D,COUNTA(生物种群!$D:$D)),),))))</f>
        <v>Sardinella sp.</v>
      </c>
      <c r="J106" s="37" t="str">
        <f>IF(A106&amp;B106&amp;C106="","",INDEX(生物种群!$J$2:INDEX(生物种群!$J:$J,COUNTA(生物种群!$J:$J)),MATCH($I106,生物种群!$B$2:INDEX(生物种群!$B:$B,COUNTA(生物种群!$B:$B)),),))</f>
        <v>et Valenciennes</v>
      </c>
      <c r="K106" s="71" t="str">
        <f>IF(A106&amp;B106&amp;C106="","",INDEX(生物种群!$E$2:INDEX(生物种群!$E:$E,COUNTA(生物种群!$E:$E)),MATCH($I106,生物种群!$B$2:INDEX(生物种群!$B:$B,COUNTA(生物种群!$B:$B)),),))</f>
        <v>鲱科</v>
      </c>
      <c r="L106" s="37" t="str">
        <f>IF(A106&amp;B106&amp;C106="","",INDEX(生物种群!$F$3:INDEX(生物种群!$F:$F,COUNTA(生物种群!$F:$F)),MATCH($I106,生物种群!$B$3:INDEX(生物种群!$B:$B,COUNTA(生物种群!$B:$B)),),))</f>
        <v>鲱形目</v>
      </c>
      <c r="M106" s="37" t="str">
        <f t="shared" si="2"/>
        <v>A2N44ZQ087Sardinella sp.仔鱼</v>
      </c>
      <c r="N106" s="37" t="str">
        <f t="shared" si="3"/>
        <v/>
      </c>
      <c r="O106" s="9"/>
      <c r="P106" s="10"/>
    </row>
    <row r="107" spans="1:16" ht="20.1" customHeight="1">
      <c r="A107" s="9" t="s">
        <v>14479</v>
      </c>
      <c r="B107" s="9"/>
      <c r="C107" s="9"/>
      <c r="D107" s="43">
        <v>14</v>
      </c>
      <c r="E107" s="9" t="s">
        <v>14435</v>
      </c>
      <c r="F107" s="9" t="s">
        <v>14409</v>
      </c>
      <c r="G107" s="47" t="str">
        <f>IF(F107="","",INDEX(站位样品信息!$B$3:INDEX(站位样品信息!$B:$B,COUNTA(站位样品信息!$B:$B)+1),MATCH($F107,站位样品信息!$A$3:INDEX(站位样品信息!$A:$A,COUNTA(站位样品信息!$A:$A)+1),),))</f>
        <v>B0224</v>
      </c>
      <c r="H107" s="72" t="str">
        <f>IF(A107&amp;B107&amp;C107="","",INDEX(生物种群!$A$2:INDEX(生物种群!$A:$A,COUNTA(生物种群!$A:$A)),MATCH($I107,生物种群!$B$2:INDEX(生物种群!$B:$B,COUNTA(生物种群!$B:$B)),),))</f>
        <v>鱲属</v>
      </c>
      <c r="I107" s="72" t="str">
        <f>IF(A107&amp;B107&amp;C107="","",IF($C107&lt;&gt;0,INDEX(生物种群!$B$2:INDEX(生物种群!$B:$B,COUNTA(生物种群!$B:$B)),MATCH($C107,生物种群!$G$2:INDEX(生物种群!$G:$G,COUNTA(生物种群!$G:$G)),),),IF($A107&lt;&gt;0,INDEX(生物种群!$B$2:INDEX(生物种群!$B:$B,COUNTA(生物种群!$B:$B)),MATCH($A107,生物种群!$C$2:INDEX(生物种群!$C:$C,COUNTA(生物种群!$C:$C)),),),INDEX(生物种群!$B$2:INDEX(生物种群!$B:$B,COUNTA(生物种群!$B:$B)),MATCH($B107,生物种群!$D$2:INDEX(生物种群!$D:$D,COUNTA(生物种群!$D:$D)),),))))</f>
        <v>Zacco sp.</v>
      </c>
      <c r="J107" s="37">
        <f>IF(A107&amp;B107&amp;C107="","",INDEX(生物种群!$J$2:INDEX(生物种群!$J:$J,COUNTA(生物种群!$J:$J)),MATCH($I107,生物种群!$B$2:INDEX(生物种群!$B:$B,COUNTA(生物种群!$B:$B)),),))</f>
        <v>0</v>
      </c>
      <c r="K107" s="72" t="str">
        <f>IF(A107&amp;B107&amp;C107="","",INDEX(生物种群!$E$2:INDEX(生物种群!$E:$E,COUNTA(生物种群!$E:$E)),MATCH($I107,生物种群!$B$2:INDEX(生物种群!$B:$B,COUNTA(生物种群!$B:$B)),),))</f>
        <v>鲤科</v>
      </c>
      <c r="L107" s="37" t="str">
        <f>IF(A107&amp;B107&amp;C107="","",INDEX(生物种群!$F$3:INDEX(生物种群!$F:$F,COUNTA(生物种群!$F:$F)),MATCH($I107,生物种群!$B$3:INDEX(生物种群!$B:$B,COUNTA(生物种群!$B:$B)),),))</f>
        <v>鲤形目</v>
      </c>
      <c r="M107" s="37" t="str">
        <f t="shared" si="2"/>
        <v>A2N44ZQ088Zacco sp.仔鱼</v>
      </c>
      <c r="N107" s="37" t="str">
        <f t="shared" si="3"/>
        <v/>
      </c>
      <c r="O107" s="9"/>
      <c r="P107" s="10"/>
    </row>
    <row r="108" spans="1:16" ht="20.1" customHeight="1">
      <c r="A108" s="9" t="s">
        <v>14477</v>
      </c>
      <c r="B108" s="9"/>
      <c r="C108" s="9"/>
      <c r="D108" s="43">
        <v>1</v>
      </c>
      <c r="E108" s="9" t="s">
        <v>14435</v>
      </c>
      <c r="F108" s="9" t="s">
        <v>14409</v>
      </c>
      <c r="G108" s="47" t="str">
        <f>IF(F108="","",INDEX(站位样品信息!$B$3:INDEX(站位样品信息!$B:$B,COUNTA(站位样品信息!$B:$B)+1),MATCH($F108,站位样品信息!$A$3:INDEX(站位样品信息!$A:$A,COUNTA(站位样品信息!$A:$A)+1),),))</f>
        <v>B0224</v>
      </c>
      <c r="H108" s="71" t="str">
        <f>IF(A108&amp;B108&amp;C108="","",INDEX(生物种群!$A$2:INDEX(生物种群!$A:$A,COUNTA(生物种群!$A:$A)),MATCH($I108,生物种群!$B$2:INDEX(生物种群!$B:$B,COUNTA(生物种群!$B:$B)),),))</f>
        <v>鱵属</v>
      </c>
      <c r="I108" s="71" t="str">
        <f>IF(A108&amp;B108&amp;C108="","",IF($C108&lt;&gt;0,INDEX(生物种群!$B$2:INDEX(生物种群!$B:$B,COUNTA(生物种群!$B:$B)),MATCH($C108,生物种群!$G$2:INDEX(生物种群!$G:$G,COUNTA(生物种群!$G:$G)),),),IF($A108&lt;&gt;0,INDEX(生物种群!$B$2:INDEX(生物种群!$B:$B,COUNTA(生物种群!$B:$B)),MATCH($A108,生物种群!$C$2:INDEX(生物种群!$C:$C,COUNTA(生物种群!$C:$C)),),),INDEX(生物种群!$B$2:INDEX(生物种群!$B:$B,COUNTA(生物种群!$B:$B)),MATCH($B108,生物种群!$D$2:INDEX(生物种群!$D:$D,COUNTA(生物种群!$D:$D)),),))))</f>
        <v>Hemirhamphus sp.</v>
      </c>
      <c r="J108" s="37" t="str">
        <f>IF(A108&amp;B108&amp;C108="","",INDEX(生物种群!$J$2:INDEX(生物种群!$J:$J,COUNTA(生物种群!$J:$J)),MATCH($I108,生物种群!$B$2:INDEX(生物种群!$B:$B,COUNTA(生物种群!$B:$B)),),))</f>
        <v/>
      </c>
      <c r="K108" s="71" t="str">
        <f>IF(A108&amp;B108&amp;C108="","",INDEX(生物种群!$E$2:INDEX(生物种群!$E:$E,COUNTA(生物种群!$E:$E)),MATCH($I108,生物种群!$B$2:INDEX(生物种群!$B:$B,COUNTA(生物种群!$B:$B)),),))</f>
        <v>鱵科</v>
      </c>
      <c r="L108" s="37" t="str">
        <f>IF(A108&amp;B108&amp;C108="","",INDEX(生物种群!$F$3:INDEX(生物种群!$F:$F,COUNTA(生物种群!$F:$F)),MATCH($I108,生物种群!$B$3:INDEX(生物种群!$B:$B,COUNTA(生物种群!$B:$B)),),))</f>
        <v>颌针鱼目</v>
      </c>
      <c r="M108" s="37" t="str">
        <f t="shared" si="2"/>
        <v>A2N44ZQ088Hemirhamphus sp.仔鱼</v>
      </c>
      <c r="N108" s="37" t="str">
        <f t="shared" si="3"/>
        <v/>
      </c>
      <c r="O108" s="9"/>
      <c r="P108" s="10"/>
    </row>
    <row r="109" spans="1:16" ht="20.1" customHeight="1">
      <c r="A109" s="9" t="s">
        <v>14467</v>
      </c>
      <c r="B109" s="9"/>
      <c r="C109" s="9"/>
      <c r="D109" s="43">
        <v>133</v>
      </c>
      <c r="E109" s="9" t="s">
        <v>14435</v>
      </c>
      <c r="F109" s="9" t="s">
        <v>14409</v>
      </c>
      <c r="G109" s="47" t="str">
        <f>IF(F109="","",INDEX(站位样品信息!$B$3:INDEX(站位样品信息!$B:$B,COUNTA(站位样品信息!$B:$B)+1),MATCH($F109,站位样品信息!$A$3:INDEX(站位样品信息!$A:$A,COUNTA(站位样品信息!$A:$A)+1),),))</f>
        <v>B0224</v>
      </c>
      <c r="H109" s="71" t="str">
        <f>IF(A109&amp;B109&amp;C109="","",INDEX(生物种群!$A$2:INDEX(生物种群!$A:$A,COUNTA(生物种群!$A:$A)),MATCH($I109,生物种群!$B$2:INDEX(生物种群!$B:$B,COUNTA(生物种群!$B:$B)),),))</f>
        <v>小沙丁鱼属</v>
      </c>
      <c r="I109" s="71" t="str">
        <f>IF(A109&amp;B109&amp;C109="","",IF($C109&lt;&gt;0,INDEX(生物种群!$B$2:INDEX(生物种群!$B:$B,COUNTA(生物种群!$B:$B)),MATCH($C109,生物种群!$G$2:INDEX(生物种群!$G:$G,COUNTA(生物种群!$G:$G)),),),IF($A109&lt;&gt;0,INDEX(生物种群!$B$2:INDEX(生物种群!$B:$B,COUNTA(生物种群!$B:$B)),MATCH($A109,生物种群!$C$2:INDEX(生物种群!$C:$C,COUNTA(生物种群!$C:$C)),),),INDEX(生物种群!$B$2:INDEX(生物种群!$B:$B,COUNTA(生物种群!$B:$B)),MATCH($B109,生物种群!$D$2:INDEX(生物种群!$D:$D,COUNTA(生物种群!$D:$D)),),))))</f>
        <v>Sardinella sp.</v>
      </c>
      <c r="J109" s="37" t="str">
        <f>IF(A109&amp;B109&amp;C109="","",INDEX(生物种群!$J$2:INDEX(生物种群!$J:$J,COUNTA(生物种群!$J:$J)),MATCH($I109,生物种群!$B$2:INDEX(生物种群!$B:$B,COUNTA(生物种群!$B:$B)),),))</f>
        <v>et Valenciennes</v>
      </c>
      <c r="K109" s="71" t="str">
        <f>IF(A109&amp;B109&amp;C109="","",INDEX(生物种群!$E$2:INDEX(生物种群!$E:$E,COUNTA(生物种群!$E:$E)),MATCH($I109,生物种群!$B$2:INDEX(生物种群!$B:$B,COUNTA(生物种群!$B:$B)),),))</f>
        <v>鲱科</v>
      </c>
      <c r="L109" s="37" t="str">
        <f>IF(A109&amp;B109&amp;C109="","",INDEX(生物种群!$F$3:INDEX(生物种群!$F:$F,COUNTA(生物种群!$F:$F)),MATCH($I109,生物种群!$B$3:INDEX(生物种群!$B:$B,COUNTA(生物种群!$B:$B)),),))</f>
        <v>鲱形目</v>
      </c>
      <c r="M109" s="37" t="str">
        <f t="shared" si="2"/>
        <v>A2N44ZQ088Sardinella sp.仔鱼</v>
      </c>
      <c r="N109" s="37" t="str">
        <f t="shared" si="3"/>
        <v/>
      </c>
      <c r="O109" s="9"/>
      <c r="P109" s="10"/>
    </row>
    <row r="110" spans="1:16" ht="20.1" customHeight="1">
      <c r="A110" s="9" t="s">
        <v>14479</v>
      </c>
      <c r="B110" s="9"/>
      <c r="C110" s="9"/>
      <c r="D110" s="43">
        <v>54</v>
      </c>
      <c r="E110" s="9" t="s">
        <v>14435</v>
      </c>
      <c r="F110" s="9" t="s">
        <v>14412</v>
      </c>
      <c r="G110" s="47" t="str">
        <f>IF(F110="","",INDEX(站位样品信息!$B$3:INDEX(站位样品信息!$B:$B,COUNTA(站位样品信息!$B:$B)+1),MATCH($F110,站位样品信息!$A$3:INDEX(站位样品信息!$A:$A,COUNTA(站位样品信息!$A:$A)+1),),))</f>
        <v>B0933</v>
      </c>
      <c r="H110" s="72" t="str">
        <f>IF(A110&amp;B110&amp;C110="","",INDEX(生物种群!$A$2:INDEX(生物种群!$A:$A,COUNTA(生物种群!$A:$A)),MATCH($I110,生物种群!$B$2:INDEX(生物种群!$B:$B,COUNTA(生物种群!$B:$B)),),))</f>
        <v>鱲属</v>
      </c>
      <c r="I110" s="72" t="str">
        <f>IF(A110&amp;B110&amp;C110="","",IF($C110&lt;&gt;0,INDEX(生物种群!$B$2:INDEX(生物种群!$B:$B,COUNTA(生物种群!$B:$B)),MATCH($C110,生物种群!$G$2:INDEX(生物种群!$G:$G,COUNTA(生物种群!$G:$G)),),),IF($A110&lt;&gt;0,INDEX(生物种群!$B$2:INDEX(生物种群!$B:$B,COUNTA(生物种群!$B:$B)),MATCH($A110,生物种群!$C$2:INDEX(生物种群!$C:$C,COUNTA(生物种群!$C:$C)),),),INDEX(生物种群!$B$2:INDEX(生物种群!$B:$B,COUNTA(生物种群!$B:$B)),MATCH($B110,生物种群!$D$2:INDEX(生物种群!$D:$D,COUNTA(生物种群!$D:$D)),),))))</f>
        <v>Zacco sp.</v>
      </c>
      <c r="J110" s="37">
        <f>IF(A110&amp;B110&amp;C110="","",INDEX(生物种群!$J$2:INDEX(生物种群!$J:$J,COUNTA(生物种群!$J:$J)),MATCH($I110,生物种群!$B$2:INDEX(生物种群!$B:$B,COUNTA(生物种群!$B:$B)),),))</f>
        <v>0</v>
      </c>
      <c r="K110" s="72" t="str">
        <f>IF(A110&amp;B110&amp;C110="","",INDEX(生物种群!$E$2:INDEX(生物种群!$E:$E,COUNTA(生物种群!$E:$E)),MATCH($I110,生物种群!$B$2:INDEX(生物种群!$B:$B,COUNTA(生物种群!$B:$B)),),))</f>
        <v>鲤科</v>
      </c>
      <c r="L110" s="37" t="str">
        <f>IF(A110&amp;B110&amp;C110="","",INDEX(生物种群!$F$3:INDEX(生物种群!$F:$F,COUNTA(生物种群!$F:$F)),MATCH($I110,生物种群!$B$3:INDEX(生物种群!$B:$B,COUNTA(生物种群!$B:$B)),),))</f>
        <v>鲤形目</v>
      </c>
      <c r="M110" s="37" t="str">
        <f t="shared" si="2"/>
        <v>A2N44ZQ089Zacco sp.仔鱼</v>
      </c>
      <c r="N110" s="37" t="str">
        <f t="shared" si="3"/>
        <v/>
      </c>
      <c r="O110" s="9"/>
      <c r="P110" s="10"/>
    </row>
    <row r="111" spans="1:16" ht="20.1" customHeight="1">
      <c r="A111" s="9" t="s">
        <v>14477</v>
      </c>
      <c r="B111" s="9"/>
      <c r="C111" s="9"/>
      <c r="D111" s="43">
        <v>4</v>
      </c>
      <c r="E111" s="9" t="s">
        <v>14435</v>
      </c>
      <c r="F111" s="9" t="s">
        <v>14412</v>
      </c>
      <c r="G111" s="47" t="str">
        <f>IF(F111="","",INDEX(站位样品信息!$B$3:INDEX(站位样品信息!$B:$B,COUNTA(站位样品信息!$B:$B)+1),MATCH($F111,站位样品信息!$A$3:INDEX(站位样品信息!$A:$A,COUNTA(站位样品信息!$A:$A)+1),),))</f>
        <v>B0933</v>
      </c>
      <c r="H111" s="71" t="str">
        <f>IF(A111&amp;B111&amp;C111="","",INDEX(生物种群!$A$2:INDEX(生物种群!$A:$A,COUNTA(生物种群!$A:$A)),MATCH($I111,生物种群!$B$2:INDEX(生物种群!$B:$B,COUNTA(生物种群!$B:$B)),),))</f>
        <v>鱵属</v>
      </c>
      <c r="I111" s="71" t="str">
        <f>IF(A111&amp;B111&amp;C111="","",IF($C111&lt;&gt;0,INDEX(生物种群!$B$2:INDEX(生物种群!$B:$B,COUNTA(生物种群!$B:$B)),MATCH($C111,生物种群!$G$2:INDEX(生物种群!$G:$G,COUNTA(生物种群!$G:$G)),),),IF($A111&lt;&gt;0,INDEX(生物种群!$B$2:INDEX(生物种群!$B:$B,COUNTA(生物种群!$B:$B)),MATCH($A111,生物种群!$C$2:INDEX(生物种群!$C:$C,COUNTA(生物种群!$C:$C)),),),INDEX(生物种群!$B$2:INDEX(生物种群!$B:$B,COUNTA(生物种群!$B:$B)),MATCH($B111,生物种群!$D$2:INDEX(生物种群!$D:$D,COUNTA(生物种群!$D:$D)),),))))</f>
        <v>Hemirhamphus sp.</v>
      </c>
      <c r="J111" s="37" t="str">
        <f>IF(A111&amp;B111&amp;C111="","",INDEX(生物种群!$J$2:INDEX(生物种群!$J:$J,COUNTA(生物种群!$J:$J)),MATCH($I111,生物种群!$B$2:INDEX(生物种群!$B:$B,COUNTA(生物种群!$B:$B)),),))</f>
        <v/>
      </c>
      <c r="K111" s="71" t="str">
        <f>IF(A111&amp;B111&amp;C111="","",INDEX(生物种群!$E$2:INDEX(生物种群!$E:$E,COUNTA(生物种群!$E:$E)),MATCH($I111,生物种群!$B$2:INDEX(生物种群!$B:$B,COUNTA(生物种群!$B:$B)),),))</f>
        <v>鱵科</v>
      </c>
      <c r="L111" s="37" t="str">
        <f>IF(A111&amp;B111&amp;C111="","",INDEX(生物种群!$F$3:INDEX(生物种群!$F:$F,COUNTA(生物种群!$F:$F)),MATCH($I111,生物种群!$B$3:INDEX(生物种群!$B:$B,COUNTA(生物种群!$B:$B)),),))</f>
        <v>颌针鱼目</v>
      </c>
      <c r="M111" s="37" t="str">
        <f t="shared" si="2"/>
        <v>A2N44ZQ089Hemirhamphus sp.仔鱼</v>
      </c>
      <c r="N111" s="37" t="str">
        <f t="shared" si="3"/>
        <v/>
      </c>
      <c r="O111" s="9"/>
      <c r="P111" s="10"/>
    </row>
    <row r="112" spans="1:16" ht="20.1" customHeight="1">
      <c r="A112" s="9" t="s">
        <v>14467</v>
      </c>
      <c r="B112" s="9"/>
      <c r="C112" s="9"/>
      <c r="D112" s="43">
        <v>318</v>
      </c>
      <c r="E112" s="9" t="s">
        <v>14435</v>
      </c>
      <c r="F112" s="9" t="s">
        <v>14412</v>
      </c>
      <c r="G112" s="47" t="str">
        <f>IF(F112="","",INDEX(站位样品信息!$B$3:INDEX(站位样品信息!$B:$B,COUNTA(站位样品信息!$B:$B)+1),MATCH($F112,站位样品信息!$A$3:INDEX(站位样品信息!$A:$A,COUNTA(站位样品信息!$A:$A)+1),),))</f>
        <v>B0933</v>
      </c>
      <c r="H112" s="71" t="str">
        <f>IF(A112&amp;B112&amp;C112="","",INDEX(生物种群!$A$2:INDEX(生物种群!$A:$A,COUNTA(生物种群!$A:$A)),MATCH($I112,生物种群!$B$2:INDEX(生物种群!$B:$B,COUNTA(生物种群!$B:$B)),),))</f>
        <v>小沙丁鱼属</v>
      </c>
      <c r="I112" s="71" t="str">
        <f>IF(A112&amp;B112&amp;C112="","",IF($C112&lt;&gt;0,INDEX(生物种群!$B$2:INDEX(生物种群!$B:$B,COUNTA(生物种群!$B:$B)),MATCH($C112,生物种群!$G$2:INDEX(生物种群!$G:$G,COUNTA(生物种群!$G:$G)),),),IF($A112&lt;&gt;0,INDEX(生物种群!$B$2:INDEX(生物种群!$B:$B,COUNTA(生物种群!$B:$B)),MATCH($A112,生物种群!$C$2:INDEX(生物种群!$C:$C,COUNTA(生物种群!$C:$C)),),),INDEX(生物种群!$B$2:INDEX(生物种群!$B:$B,COUNTA(生物种群!$B:$B)),MATCH($B112,生物种群!$D$2:INDEX(生物种群!$D:$D,COUNTA(生物种群!$D:$D)),),))))</f>
        <v>Sardinella sp.</v>
      </c>
      <c r="J112" s="37" t="str">
        <f>IF(A112&amp;B112&amp;C112="","",INDEX(生物种群!$J$2:INDEX(生物种群!$J:$J,COUNTA(生物种群!$J:$J)),MATCH($I112,生物种群!$B$2:INDEX(生物种群!$B:$B,COUNTA(生物种群!$B:$B)),),))</f>
        <v>et Valenciennes</v>
      </c>
      <c r="K112" s="71" t="str">
        <f>IF(A112&amp;B112&amp;C112="","",INDEX(生物种群!$E$2:INDEX(生物种群!$E:$E,COUNTA(生物种群!$E:$E)),MATCH($I112,生物种群!$B$2:INDEX(生物种群!$B:$B,COUNTA(生物种群!$B:$B)),),))</f>
        <v>鲱科</v>
      </c>
      <c r="L112" s="37" t="str">
        <f>IF(A112&amp;B112&amp;C112="","",INDEX(生物种群!$F$3:INDEX(生物种群!$F:$F,COUNTA(生物种群!$F:$F)),MATCH($I112,生物种群!$B$3:INDEX(生物种群!$B:$B,COUNTA(生物种群!$B:$B)),),))</f>
        <v>鲱形目</v>
      </c>
      <c r="M112" s="37" t="str">
        <f t="shared" si="2"/>
        <v>A2N44ZQ089Sardinella sp.仔鱼</v>
      </c>
      <c r="N112" s="37" t="str">
        <f t="shared" si="3"/>
        <v/>
      </c>
      <c r="O112" s="9"/>
      <c r="P112" s="10"/>
    </row>
    <row r="113" spans="1:16" ht="20.1" customHeight="1">
      <c r="A113" s="9" t="s">
        <v>14479</v>
      </c>
      <c r="B113" s="9"/>
      <c r="C113" s="9"/>
      <c r="D113" s="43">
        <v>135</v>
      </c>
      <c r="E113" s="9" t="s">
        <v>14435</v>
      </c>
      <c r="F113" s="9" t="s">
        <v>14415</v>
      </c>
      <c r="G113" s="47" t="str">
        <f>IF(F113="","",INDEX(站位样品信息!$B$3:INDEX(站位样品信息!$B:$B,COUNTA(站位样品信息!$B:$B)+1),MATCH($F113,站位样品信息!$A$3:INDEX(站位样品信息!$A:$A,COUNTA(站位样品信息!$A:$A)+1),),))</f>
        <v>B0270</v>
      </c>
      <c r="H113" s="72" t="str">
        <f>IF(A113&amp;B113&amp;C113="","",INDEX(生物种群!$A$2:INDEX(生物种群!$A:$A,COUNTA(生物种群!$A:$A)),MATCH($I113,生物种群!$B$2:INDEX(生物种群!$B:$B,COUNTA(生物种群!$B:$B)),),))</f>
        <v>鱲属</v>
      </c>
      <c r="I113" s="72" t="str">
        <f>IF(A113&amp;B113&amp;C113="","",IF($C113&lt;&gt;0,INDEX(生物种群!$B$2:INDEX(生物种群!$B:$B,COUNTA(生物种群!$B:$B)),MATCH($C113,生物种群!$G$2:INDEX(生物种群!$G:$G,COUNTA(生物种群!$G:$G)),),),IF($A113&lt;&gt;0,INDEX(生物种群!$B$2:INDEX(生物种群!$B:$B,COUNTA(生物种群!$B:$B)),MATCH($A113,生物种群!$C$2:INDEX(生物种群!$C:$C,COUNTA(生物种群!$C:$C)),),),INDEX(生物种群!$B$2:INDEX(生物种群!$B:$B,COUNTA(生物种群!$B:$B)),MATCH($B113,生物种群!$D$2:INDEX(生物种群!$D:$D,COUNTA(生物种群!$D:$D)),),))))</f>
        <v>Zacco sp.</v>
      </c>
      <c r="J113" s="37">
        <f>IF(A113&amp;B113&amp;C113="","",INDEX(生物种群!$J$2:INDEX(生物种群!$J:$J,COUNTA(生物种群!$J:$J)),MATCH($I113,生物种群!$B$2:INDEX(生物种群!$B:$B,COUNTA(生物种群!$B:$B)),),))</f>
        <v>0</v>
      </c>
      <c r="K113" s="72" t="str">
        <f>IF(A113&amp;B113&amp;C113="","",INDEX(生物种群!$E$2:INDEX(生物种群!$E:$E,COUNTA(生物种群!$E:$E)),MATCH($I113,生物种群!$B$2:INDEX(生物种群!$B:$B,COUNTA(生物种群!$B:$B)),),))</f>
        <v>鲤科</v>
      </c>
      <c r="L113" s="37" t="str">
        <f>IF(A113&amp;B113&amp;C113="","",INDEX(生物种群!$F$3:INDEX(生物种群!$F:$F,COUNTA(生物种群!$F:$F)),MATCH($I113,生物种群!$B$3:INDEX(生物种群!$B:$B,COUNTA(生物种群!$B:$B)),),))</f>
        <v>鲤形目</v>
      </c>
      <c r="M113" s="37" t="str">
        <f t="shared" si="2"/>
        <v>A2N44ZQ090Zacco sp.仔鱼</v>
      </c>
      <c r="N113" s="37" t="str">
        <f t="shared" si="3"/>
        <v/>
      </c>
      <c r="O113" s="9"/>
      <c r="P113" s="10"/>
    </row>
    <row r="114" spans="1:16" ht="20.1" customHeight="1">
      <c r="A114" s="9" t="s">
        <v>14477</v>
      </c>
      <c r="B114" s="9"/>
      <c r="C114" s="9"/>
      <c r="D114" s="43">
        <v>5</v>
      </c>
      <c r="E114" s="9" t="s">
        <v>14435</v>
      </c>
      <c r="F114" s="9" t="s">
        <v>14415</v>
      </c>
      <c r="G114" s="47" t="str">
        <f>IF(F114="","",INDEX(站位样品信息!$B$3:INDEX(站位样品信息!$B:$B,COUNTA(站位样品信息!$B:$B)+1),MATCH($F114,站位样品信息!$A$3:INDEX(站位样品信息!$A:$A,COUNTA(站位样品信息!$A:$A)+1),),))</f>
        <v>B0270</v>
      </c>
      <c r="H114" s="71" t="str">
        <f>IF(A114&amp;B114&amp;C114="","",INDEX(生物种群!$A$2:INDEX(生物种群!$A:$A,COUNTA(生物种群!$A:$A)),MATCH($I114,生物种群!$B$2:INDEX(生物种群!$B:$B,COUNTA(生物种群!$B:$B)),),))</f>
        <v>鱵属</v>
      </c>
      <c r="I114" s="71" t="str">
        <f>IF(A114&amp;B114&amp;C114="","",IF($C114&lt;&gt;0,INDEX(生物种群!$B$2:INDEX(生物种群!$B:$B,COUNTA(生物种群!$B:$B)),MATCH($C114,生物种群!$G$2:INDEX(生物种群!$G:$G,COUNTA(生物种群!$G:$G)),),),IF($A114&lt;&gt;0,INDEX(生物种群!$B$2:INDEX(生物种群!$B:$B,COUNTA(生物种群!$B:$B)),MATCH($A114,生物种群!$C$2:INDEX(生物种群!$C:$C,COUNTA(生物种群!$C:$C)),),),INDEX(生物种群!$B$2:INDEX(生物种群!$B:$B,COUNTA(生物种群!$B:$B)),MATCH($B114,生物种群!$D$2:INDEX(生物种群!$D:$D,COUNTA(生物种群!$D:$D)),),))))</f>
        <v>Hemirhamphus sp.</v>
      </c>
      <c r="J114" s="37" t="str">
        <f>IF(A114&amp;B114&amp;C114="","",INDEX(生物种群!$J$2:INDEX(生物种群!$J:$J,COUNTA(生物种群!$J:$J)),MATCH($I114,生物种群!$B$2:INDEX(生物种群!$B:$B,COUNTA(生物种群!$B:$B)),),))</f>
        <v/>
      </c>
      <c r="K114" s="71" t="str">
        <f>IF(A114&amp;B114&amp;C114="","",INDEX(生物种群!$E$2:INDEX(生物种群!$E:$E,COUNTA(生物种群!$E:$E)),MATCH($I114,生物种群!$B$2:INDEX(生物种群!$B:$B,COUNTA(生物种群!$B:$B)),),))</f>
        <v>鱵科</v>
      </c>
      <c r="L114" s="37" t="str">
        <f>IF(A114&amp;B114&amp;C114="","",INDEX(生物种群!$F$3:INDEX(生物种群!$F:$F,COUNTA(生物种群!$F:$F)),MATCH($I114,生物种群!$B$3:INDEX(生物种群!$B:$B,COUNTA(生物种群!$B:$B)),),))</f>
        <v>颌针鱼目</v>
      </c>
      <c r="M114" s="37" t="str">
        <f t="shared" si="2"/>
        <v>A2N44ZQ090Hemirhamphus sp.仔鱼</v>
      </c>
      <c r="N114" s="37" t="str">
        <f t="shared" si="3"/>
        <v/>
      </c>
      <c r="O114" s="9"/>
      <c r="P114" s="10"/>
    </row>
    <row r="115" spans="1:16" ht="20.1" customHeight="1">
      <c r="A115" s="9" t="s">
        <v>14467</v>
      </c>
      <c r="B115" s="9"/>
      <c r="C115" s="9"/>
      <c r="D115" s="43">
        <v>4770</v>
      </c>
      <c r="E115" s="9" t="s">
        <v>14435</v>
      </c>
      <c r="F115" s="9" t="s">
        <v>14415</v>
      </c>
      <c r="G115" s="47" t="str">
        <f>IF(F115="","",INDEX(站位样品信息!$B$3:INDEX(站位样品信息!$B:$B,COUNTA(站位样品信息!$B:$B)+1),MATCH($F115,站位样品信息!$A$3:INDEX(站位样品信息!$A:$A,COUNTA(站位样品信息!$A:$A)+1),),))</f>
        <v>B0270</v>
      </c>
      <c r="H115" s="71" t="str">
        <f>IF(A115&amp;B115&amp;C115="","",INDEX(生物种群!$A$2:INDEX(生物种群!$A:$A,COUNTA(生物种群!$A:$A)),MATCH($I115,生物种群!$B$2:INDEX(生物种群!$B:$B,COUNTA(生物种群!$B:$B)),),))</f>
        <v>小沙丁鱼属</v>
      </c>
      <c r="I115" s="71" t="str">
        <f>IF(A115&amp;B115&amp;C115="","",IF($C115&lt;&gt;0,INDEX(生物种群!$B$2:INDEX(生物种群!$B:$B,COUNTA(生物种群!$B:$B)),MATCH($C115,生物种群!$G$2:INDEX(生物种群!$G:$G,COUNTA(生物种群!$G:$G)),),),IF($A115&lt;&gt;0,INDEX(生物种群!$B$2:INDEX(生物种群!$B:$B,COUNTA(生物种群!$B:$B)),MATCH($A115,生物种群!$C$2:INDEX(生物种群!$C:$C,COUNTA(生物种群!$C:$C)),),),INDEX(生物种群!$B$2:INDEX(生物种群!$B:$B,COUNTA(生物种群!$B:$B)),MATCH($B115,生物种群!$D$2:INDEX(生物种群!$D:$D,COUNTA(生物种群!$D:$D)),),))))</f>
        <v>Sardinella sp.</v>
      </c>
      <c r="J115" s="37" t="str">
        <f>IF(A115&amp;B115&amp;C115="","",INDEX(生物种群!$J$2:INDEX(生物种群!$J:$J,COUNTA(生物种群!$J:$J)),MATCH($I115,生物种群!$B$2:INDEX(生物种群!$B:$B,COUNTA(生物种群!$B:$B)),),))</f>
        <v>et Valenciennes</v>
      </c>
      <c r="K115" s="71" t="str">
        <f>IF(A115&amp;B115&amp;C115="","",INDEX(生物种群!$E$2:INDEX(生物种群!$E:$E,COUNTA(生物种群!$E:$E)),MATCH($I115,生物种群!$B$2:INDEX(生物种群!$B:$B,COUNTA(生物种群!$B:$B)),),))</f>
        <v>鲱科</v>
      </c>
      <c r="L115" s="37" t="str">
        <f>IF(A115&amp;B115&amp;C115="","",INDEX(生物种群!$F$3:INDEX(生物种群!$F:$F,COUNTA(生物种群!$F:$F)),MATCH($I115,生物种群!$B$3:INDEX(生物种群!$B:$B,COUNTA(生物种群!$B:$B)),),))</f>
        <v>鲱形目</v>
      </c>
      <c r="M115" s="37" t="str">
        <f t="shared" si="2"/>
        <v>A2N44ZQ090Sardinella sp.仔鱼</v>
      </c>
      <c r="N115" s="37" t="str">
        <f t="shared" si="3"/>
        <v/>
      </c>
      <c r="O115" s="9"/>
      <c r="P115" s="10"/>
    </row>
    <row r="116" spans="1:16" ht="20.1" customHeight="1">
      <c r="A116" s="9" t="s">
        <v>14478</v>
      </c>
      <c r="B116" s="9"/>
      <c r="C116" s="9"/>
      <c r="D116" s="43">
        <v>2</v>
      </c>
      <c r="E116" s="9" t="s">
        <v>14435</v>
      </c>
      <c r="F116" s="9" t="s">
        <v>14415</v>
      </c>
      <c r="G116" s="47" t="str">
        <f>IF(F116="","",INDEX(站位样品信息!$B$3:INDEX(站位样品信息!$B:$B,COUNTA(站位样品信息!$B:$B)+1),MATCH($F116,站位样品信息!$A$3:INDEX(站位样品信息!$A:$A,COUNTA(站位样品信息!$A:$A)+1),),))</f>
        <v>B0270</v>
      </c>
      <c r="H116" s="72" t="str">
        <f>IF(A116&amp;B116&amp;C116="","",INDEX(生物种群!$A$2:INDEX(生物种群!$A:$A,COUNTA(生物种群!$A:$A)),MATCH($I116,生物种群!$B$2:INDEX(生物种群!$B:$B,COUNTA(生物种群!$B:$B)),),))</f>
        <v>肩鳃鳚属</v>
      </c>
      <c r="I116" s="72" t="str">
        <f>IF(A116&amp;B116&amp;C116="","",IF($C116&lt;&gt;0,INDEX(生物种群!$B$2:INDEX(生物种群!$B:$B,COUNTA(生物种群!$B:$B)),MATCH($C116,生物种群!$G$2:INDEX(生物种群!$G:$G,COUNTA(生物种群!$G:$G)),),),IF($A116&lt;&gt;0,INDEX(生物种群!$B$2:INDEX(生物种群!$B:$B,COUNTA(生物种群!$B:$B)),MATCH($A116,生物种群!$C$2:INDEX(生物种群!$C:$C,COUNTA(生物种群!$C:$C)),),),INDEX(生物种群!$B$2:INDEX(生物种群!$B:$B,COUNTA(生物种群!$B:$B)),MATCH($B116,生物种群!$D$2:INDEX(生物种群!$D:$D,COUNTA(生物种群!$D:$D)),),))))</f>
        <v>Omobranchus sp.</v>
      </c>
      <c r="J116" s="37" t="str">
        <f>IF(A116&amp;B116&amp;C116="","",INDEX(生物种群!$J$2:INDEX(生物种群!$J:$J,COUNTA(生物种群!$J:$J)),MATCH($I116,生物种群!$B$2:INDEX(生物种群!$B:$B,COUNTA(生物种群!$B:$B)),),))</f>
        <v>(Steindachner)</v>
      </c>
      <c r="K116" s="72" t="str">
        <f>IF(A116&amp;B116&amp;C116="","",INDEX(生物种群!$E$2:INDEX(生物种群!$E:$E,COUNTA(生物种群!$E:$E)),MATCH($I116,生物种群!$B$2:INDEX(生物种群!$B:$B,COUNTA(生物种群!$B:$B)),),))</f>
        <v>鳚科</v>
      </c>
      <c r="L116" s="37" t="str">
        <f>IF(A116&amp;B116&amp;C116="","",INDEX(生物种群!$F$3:INDEX(生物种群!$F:$F,COUNTA(生物种群!$F:$F)),MATCH($I116,生物种群!$B$3:INDEX(生物种群!$B:$B,COUNTA(生物种群!$B:$B)),),))</f>
        <v>鲈形目</v>
      </c>
      <c r="M116" s="37" t="str">
        <f t="shared" si="2"/>
        <v>A2N44ZQ090Omobranchus sp.仔鱼</v>
      </c>
      <c r="N116" s="37" t="str">
        <f t="shared" si="3"/>
        <v/>
      </c>
      <c r="O116" s="9"/>
      <c r="P116" s="10"/>
    </row>
    <row r="117" spans="1:16" ht="20.1" customHeight="1">
      <c r="A117" s="9" t="s">
        <v>14472</v>
      </c>
      <c r="B117" s="9"/>
      <c r="C117" s="9"/>
      <c r="D117" s="43">
        <v>1</v>
      </c>
      <c r="E117" s="9" t="s">
        <v>14438</v>
      </c>
      <c r="F117" s="9" t="s">
        <v>14419</v>
      </c>
      <c r="G117" s="47" t="str">
        <f>IF(F117="","",INDEX(站位样品信息!$B$3:INDEX(站位样品信息!$B:$B,COUNTA(站位样品信息!$B:$B)+1),MATCH($F117,站位样品信息!$A$3:INDEX(站位样品信息!$A:$A,COUNTA(站位样品信息!$A:$A)+1),),))</f>
        <v>B0395</v>
      </c>
      <c r="H117" s="71" t="str">
        <f>IF(A117&amp;B117&amp;C117="","",INDEX(生物种群!$A$2:INDEX(生物种群!$A:$A,COUNTA(生物种群!$A:$A)),MATCH($I117,生物种群!$B$2:INDEX(生物种群!$B:$B,COUNTA(生物种群!$B:$B)),),))</f>
        <v>鯻科</v>
      </c>
      <c r="I117" s="71" t="str">
        <f>IF(A117&amp;B117&amp;C117="","",IF($C117&lt;&gt;0,INDEX(生物种群!$B$2:INDEX(生物种群!$B:$B,COUNTA(生物种群!$B:$B)),MATCH($C117,生物种群!$G$2:INDEX(生物种群!$G:$G,COUNTA(生物种群!$G:$G)),),),IF($A117&lt;&gt;0,INDEX(生物种群!$B$2:INDEX(生物种群!$B:$B,COUNTA(生物种群!$B:$B)),MATCH($A117,生物种群!$C$2:INDEX(生物种群!$C:$C,COUNTA(生物种群!$C:$C)),),),INDEX(生物种群!$B$2:INDEX(生物种群!$B:$B,COUNTA(生物种群!$B:$B)),MATCH($B117,生物种群!$D$2:INDEX(生物种群!$D:$D,COUNTA(生物种群!$D:$D)),),))))</f>
        <v>Theraponidae sp.</v>
      </c>
      <c r="J117" s="37" t="str">
        <f>IF(A117&amp;B117&amp;C117="","",INDEX(生物种群!$J$2:INDEX(生物种群!$J:$J,COUNTA(生物种群!$J:$J)),MATCH($I117,生物种群!$B$2:INDEX(生物种群!$B:$B,COUNTA(生物种群!$B:$B)),),))</f>
        <v/>
      </c>
      <c r="K117" s="71" t="str">
        <f>IF(A117&amp;B117&amp;C117="","",INDEX(生物种群!$E$2:INDEX(生物种群!$E:$E,COUNTA(生物种群!$E:$E)),MATCH($I117,生物种群!$B$2:INDEX(生物种群!$B:$B,COUNTA(生物种群!$B:$B)),),))</f>
        <v>鯻科</v>
      </c>
      <c r="L117" s="37" t="str">
        <f>IF(A117&amp;B117&amp;C117="","",INDEX(生物种群!$F$3:INDEX(生物种群!$F:$F,COUNTA(生物种群!$F:$F)),MATCH($I117,生物种群!$B$3:INDEX(生物种群!$B:$B,COUNTA(生物种群!$B:$B)),),))</f>
        <v>鲈形目</v>
      </c>
      <c r="M117" s="37" t="str">
        <f t="shared" si="2"/>
        <v>A2N44ZQ078Theraponidae sp.稚鱼</v>
      </c>
      <c r="N117" s="37" t="str">
        <f t="shared" si="3"/>
        <v/>
      </c>
      <c r="O117" s="9"/>
      <c r="P117" s="10"/>
    </row>
    <row r="118" spans="1:16" ht="20.1" customHeight="1">
      <c r="A118" s="9" t="s">
        <v>14467</v>
      </c>
      <c r="B118" s="9"/>
      <c r="C118" s="9"/>
      <c r="D118" s="43">
        <v>27</v>
      </c>
      <c r="E118" s="9" t="s">
        <v>14435</v>
      </c>
      <c r="F118" s="9" t="s">
        <v>14419</v>
      </c>
      <c r="G118" s="47" t="str">
        <f>IF(F118="","",INDEX(站位样品信息!$B$3:INDEX(站位样品信息!$B:$B,COUNTA(站位样品信息!$B:$B)+1),MATCH($F118,站位样品信息!$A$3:INDEX(站位样品信息!$A:$A,COUNTA(站位样品信息!$A:$A)+1),),))</f>
        <v>B0395</v>
      </c>
      <c r="H118" s="71" t="str">
        <f>IF(A118&amp;B118&amp;C118="","",INDEX(生物种群!$A$2:INDEX(生物种群!$A:$A,COUNTA(生物种群!$A:$A)),MATCH($I118,生物种群!$B$2:INDEX(生物种群!$B:$B,COUNTA(生物种群!$B:$B)),),))</f>
        <v>小沙丁鱼属</v>
      </c>
      <c r="I118" s="71" t="str">
        <f>IF(A118&amp;B118&amp;C118="","",IF($C118&lt;&gt;0,INDEX(生物种群!$B$2:INDEX(生物种群!$B:$B,COUNTA(生物种群!$B:$B)),MATCH($C118,生物种群!$G$2:INDEX(生物种群!$G:$G,COUNTA(生物种群!$G:$G)),),),IF($A118&lt;&gt;0,INDEX(生物种群!$B$2:INDEX(生物种群!$B:$B,COUNTA(生物种群!$B:$B)),MATCH($A118,生物种群!$C$2:INDEX(生物种群!$C:$C,COUNTA(生物种群!$C:$C)),),),INDEX(生物种群!$B$2:INDEX(生物种群!$B:$B,COUNTA(生物种群!$B:$B)),MATCH($B118,生物种群!$D$2:INDEX(生物种群!$D:$D,COUNTA(生物种群!$D:$D)),),))))</f>
        <v>Sardinella sp.</v>
      </c>
      <c r="J118" s="37" t="str">
        <f>IF(A118&amp;B118&amp;C118="","",INDEX(生物种群!$J$2:INDEX(生物种群!$J:$J,COUNTA(生物种群!$J:$J)),MATCH($I118,生物种群!$B$2:INDEX(生物种群!$B:$B,COUNTA(生物种群!$B:$B)),),))</f>
        <v>et Valenciennes</v>
      </c>
      <c r="K118" s="71" t="str">
        <f>IF(A118&amp;B118&amp;C118="","",INDEX(生物种群!$E$2:INDEX(生物种群!$E:$E,COUNTA(生物种群!$E:$E)),MATCH($I118,生物种群!$B$2:INDEX(生物种群!$B:$B,COUNTA(生物种群!$B:$B)),),))</f>
        <v>鲱科</v>
      </c>
      <c r="L118" s="37" t="str">
        <f>IF(A118&amp;B118&amp;C118="","",INDEX(生物种群!$F$3:INDEX(生物种群!$F:$F,COUNTA(生物种群!$F:$F)),MATCH($I118,生物种群!$B$3:INDEX(生物种群!$B:$B,COUNTA(生物种群!$B:$B)),),))</f>
        <v>鲱形目</v>
      </c>
      <c r="M118" s="37" t="str">
        <f t="shared" si="2"/>
        <v>A2N44ZQ078Sardinella sp.仔鱼</v>
      </c>
      <c r="N118" s="37" t="str">
        <f t="shared" si="3"/>
        <v/>
      </c>
      <c r="O118" s="9"/>
      <c r="P118" s="10"/>
    </row>
    <row r="119" spans="1:16" ht="20.1" customHeight="1">
      <c r="A119" s="9" t="s">
        <v>14468</v>
      </c>
      <c r="B119" s="9"/>
      <c r="C119" s="9"/>
      <c r="D119" s="43">
        <v>5</v>
      </c>
      <c r="E119" s="9" t="s">
        <v>14435</v>
      </c>
      <c r="F119" s="9" t="s">
        <v>14419</v>
      </c>
      <c r="G119" s="47" t="str">
        <f>IF(F119="","",INDEX(站位样品信息!$B$3:INDEX(站位样品信息!$B:$B,COUNTA(站位样品信息!$B:$B)+1),MATCH($F119,站位样品信息!$A$3:INDEX(站位样品信息!$A:$A,COUNTA(站位样品信息!$A:$A)+1),),))</f>
        <v>B0395</v>
      </c>
      <c r="H119" s="71" t="str">
        <f>IF(A119&amp;B119&amp;C119="","",INDEX(生物种群!$A$2:INDEX(生物种群!$A:$A,COUNTA(生物种群!$A:$A)),MATCH($I119,生物种群!$B$2:INDEX(生物种群!$B:$B,COUNTA(生物种群!$B:$B)),),))</f>
        <v>眶棘双边鱼</v>
      </c>
      <c r="I119" s="71" t="str">
        <f>IF(A119&amp;B119&amp;C119="","",IF($C119&lt;&gt;0,INDEX(生物种群!$B$2:INDEX(生物种群!$B:$B,COUNTA(生物种群!$B:$B)),MATCH($C119,生物种群!$G$2:INDEX(生物种群!$G:$G,COUNTA(生物种群!$G:$G)),),),IF($A119&lt;&gt;0,INDEX(生物种群!$B$2:INDEX(生物种群!$B:$B,COUNTA(生物种群!$B:$B)),MATCH($A119,生物种群!$C$2:INDEX(生物种群!$C:$C,COUNTA(生物种群!$C:$C)),),),INDEX(生物种群!$B$2:INDEX(生物种群!$B:$B,COUNTA(生物种群!$B:$B)),MATCH($B119,生物种群!$D$2:INDEX(生物种群!$D:$D,COUNTA(生物种群!$D:$D)),),))))</f>
        <v>Ambassis gymnocephalus</v>
      </c>
      <c r="J119" s="37" t="str">
        <f>IF(A119&amp;B119&amp;C119="","",INDEX(生物种群!$J$2:INDEX(生物种群!$J:$J,COUNTA(生物种群!$J:$J)),MATCH($I119,生物种群!$B$2:INDEX(生物种群!$B:$B,COUNTA(生物种群!$B:$B)),),))</f>
        <v>Lacepede</v>
      </c>
      <c r="K119" s="71" t="str">
        <f>IF(A119&amp;B119&amp;C119="","",INDEX(生物种群!$E$2:INDEX(生物种群!$E:$E,COUNTA(生物种群!$E:$E)),MATCH($I119,生物种群!$B$2:INDEX(生物种群!$B:$B,COUNTA(生物种群!$B:$B)),),))</f>
        <v>双边鱼科</v>
      </c>
      <c r="L119" s="37" t="str">
        <f>IF(A119&amp;B119&amp;C119="","",INDEX(生物种群!$F$3:INDEX(生物种群!$F:$F,COUNTA(生物种群!$F:$F)),MATCH($I119,生物种群!$B$3:INDEX(生物种群!$B:$B,COUNTA(生物种群!$B:$B)),),))</f>
        <v>鲈形目</v>
      </c>
      <c r="M119" s="37" t="str">
        <f t="shared" si="2"/>
        <v>A2N44ZQ078Ambassis gymnocephalus仔鱼</v>
      </c>
      <c r="N119" s="37" t="str">
        <f t="shared" si="3"/>
        <v/>
      </c>
      <c r="O119" s="9"/>
      <c r="P119" s="10"/>
    </row>
    <row r="120" spans="1:16" ht="20.1" customHeight="1">
      <c r="A120" s="9" t="s">
        <v>14466</v>
      </c>
      <c r="B120" s="9"/>
      <c r="C120" s="9"/>
      <c r="D120" s="43">
        <v>2</v>
      </c>
      <c r="E120" s="9" t="s">
        <v>14435</v>
      </c>
      <c r="F120" s="9" t="s">
        <v>14419</v>
      </c>
      <c r="G120" s="47" t="str">
        <f>IF(F120="","",INDEX(站位样品信息!$B$3:INDEX(站位样品信息!$B:$B,COUNTA(站位样品信息!$B:$B)+1),MATCH($F120,站位样品信息!$A$3:INDEX(站位样品信息!$A:$A,COUNTA(站位样品信息!$A:$A)+1),),))</f>
        <v>B0395</v>
      </c>
      <c r="H120" s="71" t="str">
        <f>IF(A120&amp;B120&amp;C120="","",INDEX(生物种群!$A$2:INDEX(生物种群!$A:$A,COUNTA(生物种群!$A:$A)),MATCH($I120,生物种群!$B$2:INDEX(生物种群!$B:$B,COUNTA(生物种群!$B:$B)),),))</f>
        <v>美肩鳃鳚</v>
      </c>
      <c r="I120" s="71" t="str">
        <f>IF(A120&amp;B120&amp;C120="","",IF($C120&lt;&gt;0,INDEX(生物种群!$B$2:INDEX(生物种群!$B:$B,COUNTA(生物种群!$B:$B)),MATCH($C120,生物种群!$G$2:INDEX(生物种群!$G:$G,COUNTA(生物种群!$G:$G)),),),IF($A120&lt;&gt;0,INDEX(生物种群!$B$2:INDEX(生物种群!$B:$B,COUNTA(生物种群!$B:$B)),MATCH($A120,生物种群!$C$2:INDEX(生物种群!$C:$C,COUNTA(生物种群!$C:$C)),),),INDEX(生物种群!$B$2:INDEX(生物种群!$B:$B,COUNTA(生物种群!$B:$B)),MATCH($B120,生物种群!$D$2:INDEX(生物种群!$D:$D,COUNTA(生物种群!$D:$D)),),))))</f>
        <v>Omobranchus elegans</v>
      </c>
      <c r="J120" s="37" t="str">
        <f>IF(A120&amp;B120&amp;C120="","",INDEX(生物种群!$J$2:INDEX(生物种群!$J:$J,COUNTA(生物种群!$J:$J)),MATCH($I120,生物种群!$B$2:INDEX(生物种群!$B:$B,COUNTA(生物种群!$B:$B)),),))</f>
        <v>(Steindachner)</v>
      </c>
      <c r="K120" s="71" t="str">
        <f>IF(A120&amp;B120&amp;C120="","",INDEX(生物种群!$E$2:INDEX(生物种群!$E:$E,COUNTA(生物种群!$E:$E)),MATCH($I120,生物种群!$B$2:INDEX(生物种群!$B:$B,COUNTA(生物种群!$B:$B)),),))</f>
        <v>鳚科</v>
      </c>
      <c r="L120" s="37" t="str">
        <f>IF(A120&amp;B120&amp;C120="","",INDEX(生物种群!$F$3:INDEX(生物种群!$F:$F,COUNTA(生物种群!$F:$F)),MATCH($I120,生物种群!$B$3:INDEX(生物种群!$B:$B,COUNTA(生物种群!$B:$B)),),))</f>
        <v>鲈形目</v>
      </c>
      <c r="M120" s="37" t="str">
        <f t="shared" si="2"/>
        <v>A2N44ZQ078Omobranchus elegans仔鱼</v>
      </c>
      <c r="N120" s="37" t="str">
        <f t="shared" si="3"/>
        <v/>
      </c>
      <c r="O120" s="9"/>
      <c r="P120" s="10"/>
    </row>
    <row r="121" spans="1:16" ht="20.1" customHeight="1">
      <c r="A121" s="9" t="s">
        <v>14477</v>
      </c>
      <c r="B121" s="9"/>
      <c r="C121" s="9"/>
      <c r="D121" s="43">
        <v>3</v>
      </c>
      <c r="E121" s="9" t="s">
        <v>14435</v>
      </c>
      <c r="F121" s="9" t="s">
        <v>14419</v>
      </c>
      <c r="G121" s="47" t="str">
        <f>IF(F121="","",INDEX(站位样品信息!$B$3:INDEX(站位样品信息!$B:$B,COUNTA(站位样品信息!$B:$B)+1),MATCH($F121,站位样品信息!$A$3:INDEX(站位样品信息!$A:$A,COUNTA(站位样品信息!$A:$A)+1),),))</f>
        <v>B0395</v>
      </c>
      <c r="H121" s="71" t="str">
        <f>IF(A121&amp;B121&amp;C121="","",INDEX(生物种群!$A$2:INDEX(生物种群!$A:$A,COUNTA(生物种群!$A:$A)),MATCH($I121,生物种群!$B$2:INDEX(生物种群!$B:$B,COUNTA(生物种群!$B:$B)),),))</f>
        <v>鱵属</v>
      </c>
      <c r="I121" s="71" t="str">
        <f>IF(A121&amp;B121&amp;C121="","",IF($C121&lt;&gt;0,INDEX(生物种群!$B$2:INDEX(生物种群!$B:$B,COUNTA(生物种群!$B:$B)),MATCH($C121,生物种群!$G$2:INDEX(生物种群!$G:$G,COUNTA(生物种群!$G:$G)),),),IF($A121&lt;&gt;0,INDEX(生物种群!$B$2:INDEX(生物种群!$B:$B,COUNTA(生物种群!$B:$B)),MATCH($A121,生物种群!$C$2:INDEX(生物种群!$C:$C,COUNTA(生物种群!$C:$C)),),),INDEX(生物种群!$B$2:INDEX(生物种群!$B:$B,COUNTA(生物种群!$B:$B)),MATCH($B121,生物种群!$D$2:INDEX(生物种群!$D:$D,COUNTA(生物种群!$D:$D)),),))))</f>
        <v>Hemirhamphus sp.</v>
      </c>
      <c r="J121" s="37" t="str">
        <f>IF(A121&amp;B121&amp;C121="","",INDEX(生物种群!$J$2:INDEX(生物种群!$J:$J,COUNTA(生物种群!$J:$J)),MATCH($I121,生物种群!$B$2:INDEX(生物种群!$B:$B,COUNTA(生物种群!$B:$B)),),))</f>
        <v/>
      </c>
      <c r="K121" s="71" t="str">
        <f>IF(A121&amp;B121&amp;C121="","",INDEX(生物种群!$E$2:INDEX(生物种群!$E:$E,COUNTA(生物种群!$E:$E)),MATCH($I121,生物种群!$B$2:INDEX(生物种群!$B:$B,COUNTA(生物种群!$B:$B)),),))</f>
        <v>鱵科</v>
      </c>
      <c r="L121" s="37" t="str">
        <f>IF(A121&amp;B121&amp;C121="","",INDEX(生物种群!$F$3:INDEX(生物种群!$F:$F,COUNTA(生物种群!$F:$F)),MATCH($I121,生物种群!$B$3:INDEX(生物种群!$B:$B,COUNTA(生物种群!$B:$B)),),))</f>
        <v>颌针鱼目</v>
      </c>
      <c r="M121" s="37" t="str">
        <f t="shared" si="2"/>
        <v>A2N44ZQ078Hemirhamphus sp.仔鱼</v>
      </c>
      <c r="N121" s="37" t="str">
        <f t="shared" si="3"/>
        <v/>
      </c>
      <c r="O121" s="9"/>
      <c r="P121" s="10"/>
    </row>
    <row r="122" spans="1:16" ht="20.1" customHeight="1">
      <c r="A122" s="9" t="s">
        <v>14464</v>
      </c>
      <c r="B122" s="9"/>
      <c r="C122" s="9"/>
      <c r="D122" s="43">
        <v>67</v>
      </c>
      <c r="E122" s="9" t="s">
        <v>14443</v>
      </c>
      <c r="F122" s="9" t="s">
        <v>14419</v>
      </c>
      <c r="G122" s="47" t="str">
        <f>IF(F122="","",INDEX(站位样品信息!$B$3:INDEX(站位样品信息!$B:$B,COUNTA(站位样品信息!$B:$B)+1),MATCH($F122,站位样品信息!$A$3:INDEX(站位样品信息!$A:$A,COUNTA(站位样品信息!$A:$A)+1),),))</f>
        <v>B0395</v>
      </c>
      <c r="H122" s="71" t="str">
        <f>IF(A122&amp;B122&amp;C122="","",INDEX(生物种群!$A$2:INDEX(生物种群!$A:$A,COUNTA(生物种群!$A:$A)),MATCH($I122,生物种群!$B$2:INDEX(生物种群!$B:$B,COUNTA(生物种群!$B:$B)),),))</f>
        <v>康氏小公鱼</v>
      </c>
      <c r="I122" s="71" t="str">
        <f>IF(A122&amp;B122&amp;C122="","",IF($C122&lt;&gt;0,INDEX(生物种群!$B$2:INDEX(生物种群!$B:$B,COUNTA(生物种群!$B:$B)),MATCH($C122,生物种群!$G$2:INDEX(生物种群!$G:$G,COUNTA(生物种群!$G:$G)),),),IF($A122&lt;&gt;0,INDEX(生物种群!$B$2:INDEX(生物种群!$B:$B,COUNTA(生物种群!$B:$B)),MATCH($A122,生物种群!$C$2:INDEX(生物种群!$C:$C,COUNTA(生物种群!$C:$C)),),),INDEX(生物种群!$B$2:INDEX(生物种群!$B:$B,COUNTA(生物种群!$B:$B)),MATCH($B122,生物种群!$D$2:INDEX(生物种群!$D:$D,COUNTA(生物种群!$D:$D)),),))))</f>
        <v>Stolephorus commersonii</v>
      </c>
      <c r="J122" s="37" t="str">
        <f>IF(A122&amp;B122&amp;C122="","",INDEX(生物种群!$J$2:INDEX(生物种群!$J:$J,COUNTA(生物种群!$J:$J)),MATCH($I122,生物种群!$B$2:INDEX(生物种群!$B:$B,COUNTA(生物种群!$B:$B)),),))</f>
        <v>(Lacepede)</v>
      </c>
      <c r="K122" s="71" t="str">
        <f>IF(A122&amp;B122&amp;C122="","",INDEX(生物种群!$E$2:INDEX(生物种群!$E:$E,COUNTA(生物种群!$E:$E)),MATCH($I122,生物种群!$B$2:INDEX(生物种群!$B:$B,COUNTA(生物种群!$B:$B)),),))</f>
        <v>鳀科</v>
      </c>
      <c r="L122" s="37" t="str">
        <f>IF(A122&amp;B122&amp;C122="","",INDEX(生物种群!$F$3:INDEX(生物种群!$F:$F,COUNTA(生物种群!$F:$F)),MATCH($I122,生物种群!$B$3:INDEX(生物种群!$B:$B,COUNTA(生物种群!$B:$B)),),))</f>
        <v>鲱形目</v>
      </c>
      <c r="M122" s="37" t="str">
        <f t="shared" si="2"/>
        <v>A2N44ZQ078Stolephorus commersonii鱼卵</v>
      </c>
      <c r="N122" s="37" t="str">
        <f t="shared" si="3"/>
        <v/>
      </c>
      <c r="O122" s="9"/>
      <c r="P122" s="10"/>
    </row>
    <row r="123" spans="1:16" ht="20.1" customHeight="1">
      <c r="A123" s="9" t="s">
        <v>14475</v>
      </c>
      <c r="B123" s="9"/>
      <c r="C123" s="9"/>
      <c r="D123" s="43">
        <v>1</v>
      </c>
      <c r="E123" s="9" t="s">
        <v>14443</v>
      </c>
      <c r="F123" s="9" t="s">
        <v>14419</v>
      </c>
      <c r="G123" s="47" t="str">
        <f>IF(F123="","",INDEX(站位样品信息!$B$3:INDEX(站位样品信息!$B:$B,COUNTA(站位样品信息!$B:$B)+1),MATCH($F123,站位样品信息!$A$3:INDEX(站位样品信息!$A:$A,COUNTA(站位样品信息!$A:$A)+1),),))</f>
        <v>B0395</v>
      </c>
      <c r="H123" s="71" t="str">
        <f>IF(A123&amp;B123&amp;C123="","",INDEX(生物种群!$A$2:INDEX(生物种群!$A:$A,COUNTA(生物种群!$A:$A)),MATCH($I123,生物种群!$B$2:INDEX(生物种群!$B:$B,COUNTA(生物种群!$B:$B)),),))</f>
        <v>鲷科</v>
      </c>
      <c r="I123" s="71" t="str">
        <f>IF(A123&amp;B123&amp;C123="","",IF($C123&lt;&gt;0,INDEX(生物种群!$B$2:INDEX(生物种群!$B:$B,COUNTA(生物种群!$B:$B)),MATCH($C123,生物种群!$G$2:INDEX(生物种群!$G:$G,COUNTA(生物种群!$G:$G)),),),IF($A123&lt;&gt;0,INDEX(生物种群!$B$2:INDEX(生物种群!$B:$B,COUNTA(生物种群!$B:$B)),MATCH($A123,生物种群!$C$2:INDEX(生物种群!$C:$C,COUNTA(生物种群!$C:$C)),),),INDEX(生物种群!$B$2:INDEX(生物种群!$B:$B,COUNTA(生物种群!$B:$B)),MATCH($B123,生物种群!$D$2:INDEX(生物种群!$D:$D,COUNTA(生物种群!$D:$D)),),))))</f>
        <v>Sparidae sp.</v>
      </c>
      <c r="J123" s="37" t="str">
        <f>IF(A123&amp;B123&amp;C123="","",INDEX(生物种群!$J$2:INDEX(生物种群!$J:$J,COUNTA(生物种群!$J:$J)),MATCH($I123,生物种群!$B$2:INDEX(生物种群!$B:$B,COUNTA(生物种群!$B:$B)),),))</f>
        <v/>
      </c>
      <c r="K123" s="71" t="str">
        <f>IF(A123&amp;B123&amp;C123="","",INDEX(生物种群!$E$2:INDEX(生物种群!$E:$E,COUNTA(生物种群!$E:$E)),MATCH($I123,生物种群!$B$2:INDEX(生物种群!$B:$B,COUNTA(生物种群!$B:$B)),),))</f>
        <v>鲷科</v>
      </c>
      <c r="L123" s="37" t="str">
        <f>IF(A123&amp;B123&amp;C123="","",INDEX(生物种群!$F$3:INDEX(生物种群!$F:$F,COUNTA(生物种群!$F:$F)),MATCH($I123,生物种群!$B$3:INDEX(生物种群!$B:$B,COUNTA(生物种群!$B:$B)),),))</f>
        <v>鲈形目</v>
      </c>
      <c r="M123" s="37" t="str">
        <f t="shared" si="2"/>
        <v>A2N44ZQ078Sparidae sp.鱼卵</v>
      </c>
      <c r="N123" s="37" t="str">
        <f t="shared" si="3"/>
        <v/>
      </c>
      <c r="O123" s="9"/>
      <c r="P123" s="10"/>
    </row>
    <row r="124" spans="1:16" ht="20.1" customHeight="1">
      <c r="A124" s="9" t="s">
        <v>14465</v>
      </c>
      <c r="B124" s="9"/>
      <c r="C124" s="9"/>
      <c r="D124" s="43">
        <v>1</v>
      </c>
      <c r="E124" s="9" t="s">
        <v>14438</v>
      </c>
      <c r="F124" s="9" t="s">
        <v>14422</v>
      </c>
      <c r="G124" s="47" t="str">
        <f>IF(F124="","",INDEX(站位样品信息!$B$3:INDEX(站位样品信息!$B:$B,COUNTA(站位样品信息!$B:$B)+1),MATCH($F124,站位样品信息!$A$3:INDEX(站位样品信息!$A:$A,COUNTA(站位样品信息!$A:$A)+1),),))</f>
        <v>B0730</v>
      </c>
      <c r="H124" s="71" t="str">
        <f>IF(A124&amp;B124&amp;C124="","",INDEX(生物种群!$A$2:INDEX(生物种群!$A:$A,COUNTA(生物种群!$A:$A)),MATCH($I124,生物种群!$B$2:INDEX(生物种群!$B:$B,COUNTA(生物种群!$B:$B)),),))</f>
        <v>鮻属</v>
      </c>
      <c r="I124" s="71" t="str">
        <f>IF(A124&amp;B124&amp;C124="","",IF($C124&lt;&gt;0,INDEX(生物种群!$B$2:INDEX(生物种群!$B:$B,COUNTA(生物种群!$B:$B)),MATCH($C124,生物种群!$G$2:INDEX(生物种群!$G:$G,COUNTA(生物种群!$G:$G)),),),IF($A124&lt;&gt;0,INDEX(生物种群!$B$2:INDEX(生物种群!$B:$B,COUNTA(生物种群!$B:$B)),MATCH($A124,生物种群!$C$2:INDEX(生物种群!$C:$C,COUNTA(生物种群!$C:$C)),),),INDEX(生物种群!$B$2:INDEX(生物种群!$B:$B,COUNTA(生物种群!$B:$B)),MATCH($B124,生物种群!$D$2:INDEX(生物种群!$D:$D,COUNTA(生物种群!$D:$D)),),))))</f>
        <v>Liza sp.</v>
      </c>
      <c r="J124" s="37" t="str">
        <f>IF(A124&amp;B124&amp;C124="","",INDEX(生物种群!$J$2:INDEX(生物种群!$J:$J,COUNTA(生物种群!$J:$J)),MATCH($I124,生物种群!$B$2:INDEX(生物种群!$B:$B,COUNTA(生物种群!$B:$B)),),))</f>
        <v/>
      </c>
      <c r="K124" s="71" t="str">
        <f>IF(A124&amp;B124&amp;C124="","",INDEX(生物种群!$E$2:INDEX(生物种群!$E:$E,COUNTA(生物种群!$E:$E)),MATCH($I124,生物种群!$B$2:INDEX(生物种群!$B:$B,COUNTA(生物种群!$B:$B)),),))</f>
        <v>鲻科</v>
      </c>
      <c r="L124" s="37" t="str">
        <f>IF(A124&amp;B124&amp;C124="","",INDEX(生物种群!$F$3:INDEX(生物种群!$F:$F,COUNTA(生物种群!$F:$F)),MATCH($I124,生物种群!$B$3:INDEX(生物种群!$B:$B,COUNTA(生物种群!$B:$B)),),))</f>
        <v>鲻形目</v>
      </c>
      <c r="M124" s="37" t="str">
        <f t="shared" si="2"/>
        <v>A2N44ZQ079Liza sp.稚鱼</v>
      </c>
      <c r="N124" s="37" t="str">
        <f t="shared" si="3"/>
        <v/>
      </c>
      <c r="O124" s="9"/>
      <c r="P124" s="10"/>
    </row>
    <row r="125" spans="1:16" ht="20.1" customHeight="1">
      <c r="A125" s="9" t="s">
        <v>14465</v>
      </c>
      <c r="B125" s="9"/>
      <c r="C125" s="9"/>
      <c r="D125" s="43">
        <v>2</v>
      </c>
      <c r="E125" s="9" t="s">
        <v>14435</v>
      </c>
      <c r="F125" s="9" t="s">
        <v>14422</v>
      </c>
      <c r="G125" s="47" t="str">
        <f>IF(F125="","",INDEX(站位样品信息!$B$3:INDEX(站位样品信息!$B:$B,COUNTA(站位样品信息!$B:$B)+1),MATCH($F125,站位样品信息!$A$3:INDEX(站位样品信息!$A:$A,COUNTA(站位样品信息!$A:$A)+1),),))</f>
        <v>B0730</v>
      </c>
      <c r="H125" s="71" t="str">
        <f>IF(A125&amp;B125&amp;C125="","",INDEX(生物种群!$A$2:INDEX(生物种群!$A:$A,COUNTA(生物种群!$A:$A)),MATCH($I125,生物种群!$B$2:INDEX(生物种群!$B:$B,COUNTA(生物种群!$B:$B)),),))</f>
        <v>鮻属</v>
      </c>
      <c r="I125" s="71" t="str">
        <f>IF(A125&amp;B125&amp;C125="","",IF($C125&lt;&gt;0,INDEX(生物种群!$B$2:INDEX(生物种群!$B:$B,COUNTA(生物种群!$B:$B)),MATCH($C125,生物种群!$G$2:INDEX(生物种群!$G:$G,COUNTA(生物种群!$G:$G)),),),IF($A125&lt;&gt;0,INDEX(生物种群!$B$2:INDEX(生物种群!$B:$B,COUNTA(生物种群!$B:$B)),MATCH($A125,生物种群!$C$2:INDEX(生物种群!$C:$C,COUNTA(生物种群!$C:$C)),),),INDEX(生物种群!$B$2:INDEX(生物种群!$B:$B,COUNTA(生物种群!$B:$B)),MATCH($B125,生物种群!$D$2:INDEX(生物种群!$D:$D,COUNTA(生物种群!$D:$D)),),))))</f>
        <v>Liza sp.</v>
      </c>
      <c r="J125" s="37" t="str">
        <f>IF(A125&amp;B125&amp;C125="","",INDEX(生物种群!$J$2:INDEX(生物种群!$J:$J,COUNTA(生物种群!$J:$J)),MATCH($I125,生物种群!$B$2:INDEX(生物种群!$B:$B,COUNTA(生物种群!$B:$B)),),))</f>
        <v/>
      </c>
      <c r="K125" s="71" t="str">
        <f>IF(A125&amp;B125&amp;C125="","",INDEX(生物种群!$E$2:INDEX(生物种群!$E:$E,COUNTA(生物种群!$E:$E)),MATCH($I125,生物种群!$B$2:INDEX(生物种群!$B:$B,COUNTA(生物种群!$B:$B)),),))</f>
        <v>鲻科</v>
      </c>
      <c r="L125" s="37" t="str">
        <f>IF(A125&amp;B125&amp;C125="","",INDEX(生物种群!$F$3:INDEX(生物种群!$F:$F,COUNTA(生物种群!$F:$F)),MATCH($I125,生物种群!$B$3:INDEX(生物种群!$B:$B,COUNTA(生物种群!$B:$B)),),))</f>
        <v>鲻形目</v>
      </c>
      <c r="M125" s="37" t="str">
        <f t="shared" si="2"/>
        <v>A2N44ZQ079Liza sp.仔鱼</v>
      </c>
      <c r="N125" s="37" t="str">
        <f t="shared" si="3"/>
        <v/>
      </c>
      <c r="O125" s="9"/>
      <c r="P125" s="10"/>
    </row>
    <row r="126" spans="1:16" ht="20.1" customHeight="1">
      <c r="A126" s="9" t="s">
        <v>14468</v>
      </c>
      <c r="B126" s="9"/>
      <c r="C126" s="9"/>
      <c r="D126" s="43">
        <v>2</v>
      </c>
      <c r="E126" s="9" t="s">
        <v>14435</v>
      </c>
      <c r="F126" s="9" t="s">
        <v>14422</v>
      </c>
      <c r="G126" s="47" t="str">
        <f>IF(F126="","",INDEX(站位样品信息!$B$3:INDEX(站位样品信息!$B:$B,COUNTA(站位样品信息!$B:$B)+1),MATCH($F126,站位样品信息!$A$3:INDEX(站位样品信息!$A:$A,COUNTA(站位样品信息!$A:$A)+1),),))</f>
        <v>B0730</v>
      </c>
      <c r="H126" s="71" t="str">
        <f>IF(A126&amp;B126&amp;C126="","",INDEX(生物种群!$A$2:INDEX(生物种群!$A:$A,COUNTA(生物种群!$A:$A)),MATCH($I126,生物种群!$B$2:INDEX(生物种群!$B:$B,COUNTA(生物种群!$B:$B)),),))</f>
        <v>眶棘双边鱼</v>
      </c>
      <c r="I126" s="71" t="str">
        <f>IF(A126&amp;B126&amp;C126="","",IF($C126&lt;&gt;0,INDEX(生物种群!$B$2:INDEX(生物种群!$B:$B,COUNTA(生物种群!$B:$B)),MATCH($C126,生物种群!$G$2:INDEX(生物种群!$G:$G,COUNTA(生物种群!$G:$G)),),),IF($A126&lt;&gt;0,INDEX(生物种群!$B$2:INDEX(生物种群!$B:$B,COUNTA(生物种群!$B:$B)),MATCH($A126,生物种群!$C$2:INDEX(生物种群!$C:$C,COUNTA(生物种群!$C:$C)),),),INDEX(生物种群!$B$2:INDEX(生物种群!$B:$B,COUNTA(生物种群!$B:$B)),MATCH($B126,生物种群!$D$2:INDEX(生物种群!$D:$D,COUNTA(生物种群!$D:$D)),),))))</f>
        <v>Ambassis gymnocephalus</v>
      </c>
      <c r="J126" s="37" t="str">
        <f>IF(A126&amp;B126&amp;C126="","",INDEX(生物种群!$J$2:INDEX(生物种群!$J:$J,COUNTA(生物种群!$J:$J)),MATCH($I126,生物种群!$B$2:INDEX(生物种群!$B:$B,COUNTA(生物种群!$B:$B)),),))</f>
        <v>Lacepede</v>
      </c>
      <c r="K126" s="71" t="str">
        <f>IF(A126&amp;B126&amp;C126="","",INDEX(生物种群!$E$2:INDEX(生物种群!$E:$E,COUNTA(生物种群!$E:$E)),MATCH($I126,生物种群!$B$2:INDEX(生物种群!$B:$B,COUNTA(生物种群!$B:$B)),),))</f>
        <v>双边鱼科</v>
      </c>
      <c r="L126" s="37" t="str">
        <f>IF(A126&amp;B126&amp;C126="","",INDEX(生物种群!$F$3:INDEX(生物种群!$F:$F,COUNTA(生物种群!$F:$F)),MATCH($I126,生物种群!$B$3:INDEX(生物种群!$B:$B,COUNTA(生物种群!$B:$B)),),))</f>
        <v>鲈形目</v>
      </c>
      <c r="M126" s="37" t="str">
        <f t="shared" si="2"/>
        <v>A2N44ZQ079Ambassis gymnocephalus仔鱼</v>
      </c>
      <c r="N126" s="37" t="str">
        <f t="shared" si="3"/>
        <v/>
      </c>
      <c r="O126" s="9"/>
      <c r="P126" s="10"/>
    </row>
    <row r="127" spans="1:16" ht="20.1" customHeight="1">
      <c r="A127" s="9" t="s">
        <v>14467</v>
      </c>
      <c r="B127" s="9"/>
      <c r="C127" s="9"/>
      <c r="D127" s="43">
        <v>4</v>
      </c>
      <c r="E127" s="9" t="s">
        <v>14435</v>
      </c>
      <c r="F127" s="9" t="s">
        <v>14422</v>
      </c>
      <c r="G127" s="47" t="str">
        <f>IF(F127="","",INDEX(站位样品信息!$B$3:INDEX(站位样品信息!$B:$B,COUNTA(站位样品信息!$B:$B)+1),MATCH($F127,站位样品信息!$A$3:INDEX(站位样品信息!$A:$A,COUNTA(站位样品信息!$A:$A)+1),),))</f>
        <v>B0730</v>
      </c>
      <c r="H127" s="71" t="str">
        <f>IF(A127&amp;B127&amp;C127="","",INDEX(生物种群!$A$2:INDEX(生物种群!$A:$A,COUNTA(生物种群!$A:$A)),MATCH($I127,生物种群!$B$2:INDEX(生物种群!$B:$B,COUNTA(生物种群!$B:$B)),),))</f>
        <v>小沙丁鱼属</v>
      </c>
      <c r="I127" s="71" t="str">
        <f>IF(A127&amp;B127&amp;C127="","",IF($C127&lt;&gt;0,INDEX(生物种群!$B$2:INDEX(生物种群!$B:$B,COUNTA(生物种群!$B:$B)),MATCH($C127,生物种群!$G$2:INDEX(生物种群!$G:$G,COUNTA(生物种群!$G:$G)),),),IF($A127&lt;&gt;0,INDEX(生物种群!$B$2:INDEX(生物种群!$B:$B,COUNTA(生物种群!$B:$B)),MATCH($A127,生物种群!$C$2:INDEX(生物种群!$C:$C,COUNTA(生物种群!$C:$C)),),),INDEX(生物种群!$B$2:INDEX(生物种群!$B:$B,COUNTA(生物种群!$B:$B)),MATCH($B127,生物种群!$D$2:INDEX(生物种群!$D:$D,COUNTA(生物种群!$D:$D)),),))))</f>
        <v>Sardinella sp.</v>
      </c>
      <c r="J127" s="37" t="str">
        <f>IF(A127&amp;B127&amp;C127="","",INDEX(生物种群!$J$2:INDEX(生物种群!$J:$J,COUNTA(生物种群!$J:$J)),MATCH($I127,生物种群!$B$2:INDEX(生物种群!$B:$B,COUNTA(生物种群!$B:$B)),),))</f>
        <v>et Valenciennes</v>
      </c>
      <c r="K127" s="71" t="str">
        <f>IF(A127&amp;B127&amp;C127="","",INDEX(生物种群!$E$2:INDEX(生物种群!$E:$E,COUNTA(生物种群!$E:$E)),MATCH($I127,生物种群!$B$2:INDEX(生物种群!$B:$B,COUNTA(生物种群!$B:$B)),),))</f>
        <v>鲱科</v>
      </c>
      <c r="L127" s="37" t="str">
        <f>IF(A127&amp;B127&amp;C127="","",INDEX(生物种群!$F$3:INDEX(生物种群!$F:$F,COUNTA(生物种群!$F:$F)),MATCH($I127,生物种群!$B$3:INDEX(生物种群!$B:$B,COUNTA(生物种群!$B:$B)),),))</f>
        <v>鲱形目</v>
      </c>
      <c r="M127" s="37" t="str">
        <f t="shared" si="2"/>
        <v>A2N44ZQ079Sardinella sp.仔鱼</v>
      </c>
      <c r="N127" s="37" t="str">
        <f t="shared" si="3"/>
        <v/>
      </c>
      <c r="O127" s="9"/>
      <c r="P127" s="10"/>
    </row>
    <row r="128" spans="1:16" ht="20.1" customHeight="1">
      <c r="A128" s="9" t="s">
        <v>14464</v>
      </c>
      <c r="B128" s="9"/>
      <c r="C128" s="9"/>
      <c r="D128" s="43">
        <v>141</v>
      </c>
      <c r="E128" s="9" t="s">
        <v>14443</v>
      </c>
      <c r="F128" s="9" t="s">
        <v>14422</v>
      </c>
      <c r="G128" s="47" t="str">
        <f>IF(F128="","",INDEX(站位样品信息!$B$3:INDEX(站位样品信息!$B:$B,COUNTA(站位样品信息!$B:$B)+1),MATCH($F128,站位样品信息!$A$3:INDEX(站位样品信息!$A:$A,COUNTA(站位样品信息!$A:$A)+1),),))</f>
        <v>B0730</v>
      </c>
      <c r="H128" s="71" t="str">
        <f>IF(A128&amp;B128&amp;C128="","",INDEX(生物种群!$A$2:INDEX(生物种群!$A:$A,COUNTA(生物种群!$A:$A)),MATCH($I128,生物种群!$B$2:INDEX(生物种群!$B:$B,COUNTA(生物种群!$B:$B)),),))</f>
        <v>康氏小公鱼</v>
      </c>
      <c r="I128" s="71" t="str">
        <f>IF(A128&amp;B128&amp;C128="","",IF($C128&lt;&gt;0,INDEX(生物种群!$B$2:INDEX(生物种群!$B:$B,COUNTA(生物种群!$B:$B)),MATCH($C128,生物种群!$G$2:INDEX(生物种群!$G:$G,COUNTA(生物种群!$G:$G)),),),IF($A128&lt;&gt;0,INDEX(生物种群!$B$2:INDEX(生物种群!$B:$B,COUNTA(生物种群!$B:$B)),MATCH($A128,生物种群!$C$2:INDEX(生物种群!$C:$C,COUNTA(生物种群!$C:$C)),),),INDEX(生物种群!$B$2:INDEX(生物种群!$B:$B,COUNTA(生物种群!$B:$B)),MATCH($B128,生物种群!$D$2:INDEX(生物种群!$D:$D,COUNTA(生物种群!$D:$D)),),))))</f>
        <v>Stolephorus commersonii</v>
      </c>
      <c r="J128" s="37" t="str">
        <f>IF(A128&amp;B128&amp;C128="","",INDEX(生物种群!$J$2:INDEX(生物种群!$J:$J,COUNTA(生物种群!$J:$J)),MATCH($I128,生物种群!$B$2:INDEX(生物种群!$B:$B,COUNTA(生物种群!$B:$B)),),))</f>
        <v>(Lacepede)</v>
      </c>
      <c r="K128" s="71" t="str">
        <f>IF(A128&amp;B128&amp;C128="","",INDEX(生物种群!$E$2:INDEX(生物种群!$E:$E,COUNTA(生物种群!$E:$E)),MATCH($I128,生物种群!$B$2:INDEX(生物种群!$B:$B,COUNTA(生物种群!$B:$B)),),))</f>
        <v>鳀科</v>
      </c>
      <c r="L128" s="37" t="str">
        <f>IF(A128&amp;B128&amp;C128="","",INDEX(生物种群!$F$3:INDEX(生物种群!$F:$F,COUNTA(生物种群!$F:$F)),MATCH($I128,生物种群!$B$3:INDEX(生物种群!$B:$B,COUNTA(生物种群!$B:$B)),),))</f>
        <v>鲱形目</v>
      </c>
      <c r="M128" s="37" t="str">
        <f t="shared" si="2"/>
        <v>A2N44ZQ079Stolephorus commersonii鱼卵</v>
      </c>
      <c r="N128" s="37" t="str">
        <f t="shared" si="3"/>
        <v/>
      </c>
      <c r="O128" s="9"/>
      <c r="P128" s="10"/>
    </row>
    <row r="129" spans="1:16" ht="20.1" customHeight="1">
      <c r="A129" s="9" t="s">
        <v>14475</v>
      </c>
      <c r="B129" s="9"/>
      <c r="C129" s="9"/>
      <c r="D129" s="43">
        <v>2</v>
      </c>
      <c r="E129" s="9" t="s">
        <v>14443</v>
      </c>
      <c r="F129" s="9" t="s">
        <v>14422</v>
      </c>
      <c r="G129" s="47" t="str">
        <f>IF(F129="","",INDEX(站位样品信息!$B$3:INDEX(站位样品信息!$B:$B,COUNTA(站位样品信息!$B:$B)+1),MATCH($F129,站位样品信息!$A$3:INDEX(站位样品信息!$A:$A,COUNTA(站位样品信息!$A:$A)+1),),))</f>
        <v>B0730</v>
      </c>
      <c r="H129" s="71" t="str">
        <f>IF(A129&amp;B129&amp;C129="","",INDEX(生物种群!$A$2:INDEX(生物种群!$A:$A,COUNTA(生物种群!$A:$A)),MATCH($I129,生物种群!$B$2:INDEX(生物种群!$B:$B,COUNTA(生物种群!$B:$B)),),))</f>
        <v>鲷科</v>
      </c>
      <c r="I129" s="71" t="str">
        <f>IF(A129&amp;B129&amp;C129="","",IF($C129&lt;&gt;0,INDEX(生物种群!$B$2:INDEX(生物种群!$B:$B,COUNTA(生物种群!$B:$B)),MATCH($C129,生物种群!$G$2:INDEX(生物种群!$G:$G,COUNTA(生物种群!$G:$G)),),),IF($A129&lt;&gt;0,INDEX(生物种群!$B$2:INDEX(生物种群!$B:$B,COUNTA(生物种群!$B:$B)),MATCH($A129,生物种群!$C$2:INDEX(生物种群!$C:$C,COUNTA(生物种群!$C:$C)),),),INDEX(生物种群!$B$2:INDEX(生物种群!$B:$B,COUNTA(生物种群!$B:$B)),MATCH($B129,生物种群!$D$2:INDEX(生物种群!$D:$D,COUNTA(生物种群!$D:$D)),),))))</f>
        <v>Sparidae sp.</v>
      </c>
      <c r="J129" s="37" t="str">
        <f>IF(A129&amp;B129&amp;C129="","",INDEX(生物种群!$J$2:INDEX(生物种群!$J:$J,COUNTA(生物种群!$J:$J)),MATCH($I129,生物种群!$B$2:INDEX(生物种群!$B:$B,COUNTA(生物种群!$B:$B)),),))</f>
        <v/>
      </c>
      <c r="K129" s="71" t="str">
        <f>IF(A129&amp;B129&amp;C129="","",INDEX(生物种群!$E$2:INDEX(生物种群!$E:$E,COUNTA(生物种群!$E:$E)),MATCH($I129,生物种群!$B$2:INDEX(生物种群!$B:$B,COUNTA(生物种群!$B:$B)),),))</f>
        <v>鲷科</v>
      </c>
      <c r="L129" s="37" t="str">
        <f>IF(A129&amp;B129&amp;C129="","",INDEX(生物种群!$F$3:INDEX(生物种群!$F:$F,COUNTA(生物种群!$F:$F)),MATCH($I129,生物种群!$B$3:INDEX(生物种群!$B:$B,COUNTA(生物种群!$B:$B)),),))</f>
        <v>鲈形目</v>
      </c>
      <c r="M129" s="37" t="str">
        <f t="shared" si="2"/>
        <v>A2N44ZQ079Sparidae sp.鱼卵</v>
      </c>
      <c r="N129" s="37" t="str">
        <f t="shared" si="3"/>
        <v/>
      </c>
      <c r="O129" s="9"/>
      <c r="P129" s="10"/>
    </row>
    <row r="130" spans="1:16" ht="20.1" customHeight="1">
      <c r="A130" s="9" t="s">
        <v>14472</v>
      </c>
      <c r="B130" s="9"/>
      <c r="C130" s="9"/>
      <c r="D130" s="43">
        <v>1</v>
      </c>
      <c r="E130" s="9" t="s">
        <v>14443</v>
      </c>
      <c r="F130" s="9" t="s">
        <v>14422</v>
      </c>
      <c r="G130" s="47" t="str">
        <f>IF(F130="","",INDEX(站位样品信息!$B$3:INDEX(站位样品信息!$B:$B,COUNTA(站位样品信息!$B:$B)+1),MATCH($F130,站位样品信息!$A$3:INDEX(站位样品信息!$A:$A,COUNTA(站位样品信息!$A:$A)+1),),))</f>
        <v>B0730</v>
      </c>
      <c r="H130" s="71" t="str">
        <f>IF(A130&amp;B130&amp;C130="","",INDEX(生物种群!$A$2:INDEX(生物种群!$A:$A,COUNTA(生物种群!$A:$A)),MATCH($I130,生物种群!$B$2:INDEX(生物种群!$B:$B,COUNTA(生物种群!$B:$B)),),))</f>
        <v>鯻科</v>
      </c>
      <c r="I130" s="71" t="str">
        <f>IF(A130&amp;B130&amp;C130="","",IF($C130&lt;&gt;0,INDEX(生物种群!$B$2:INDEX(生物种群!$B:$B,COUNTA(生物种群!$B:$B)),MATCH($C130,生物种群!$G$2:INDEX(生物种群!$G:$G,COUNTA(生物种群!$G:$G)),),),IF($A130&lt;&gt;0,INDEX(生物种群!$B$2:INDEX(生物种群!$B:$B,COUNTA(生物种群!$B:$B)),MATCH($A130,生物种群!$C$2:INDEX(生物种群!$C:$C,COUNTA(生物种群!$C:$C)),),),INDEX(生物种群!$B$2:INDEX(生物种群!$B:$B,COUNTA(生物种群!$B:$B)),MATCH($B130,生物种群!$D$2:INDEX(生物种群!$D:$D,COUNTA(生物种群!$D:$D)),),))))</f>
        <v>Theraponidae sp.</v>
      </c>
      <c r="J130" s="37" t="str">
        <f>IF(A130&amp;B130&amp;C130="","",INDEX(生物种群!$J$2:INDEX(生物种群!$J:$J,COUNTA(生物种群!$J:$J)),MATCH($I130,生物种群!$B$2:INDEX(生物种群!$B:$B,COUNTA(生物种群!$B:$B)),),))</f>
        <v/>
      </c>
      <c r="K130" s="71" t="str">
        <f>IF(A130&amp;B130&amp;C130="","",INDEX(生物种群!$E$2:INDEX(生物种群!$E:$E,COUNTA(生物种群!$E:$E)),MATCH($I130,生物种群!$B$2:INDEX(生物种群!$B:$B,COUNTA(生物种群!$B:$B)),),))</f>
        <v>鯻科</v>
      </c>
      <c r="L130" s="37" t="str">
        <f>IF(A130&amp;B130&amp;C130="","",INDEX(生物种群!$F$3:INDEX(生物种群!$F:$F,COUNTA(生物种群!$F:$F)),MATCH($I130,生物种群!$B$3:INDEX(生物种群!$B:$B,COUNTA(生物种群!$B:$B)),),))</f>
        <v>鲈形目</v>
      </c>
      <c r="M130" s="37" t="str">
        <f t="shared" si="2"/>
        <v>A2N44ZQ079Theraponidae sp.鱼卵</v>
      </c>
      <c r="N130" s="37" t="str">
        <f t="shared" si="3"/>
        <v/>
      </c>
      <c r="O130" s="9"/>
      <c r="P130" s="10"/>
    </row>
    <row r="131" spans="1:16" ht="20.1" customHeight="1">
      <c r="A131" s="36" t="s">
        <v>4765</v>
      </c>
      <c r="B131" s="9"/>
      <c r="C131" s="9"/>
      <c r="D131" s="43">
        <v>3</v>
      </c>
      <c r="E131" s="9" t="s">
        <v>14435</v>
      </c>
      <c r="F131" s="9" t="s">
        <v>14425</v>
      </c>
      <c r="G131" s="47" t="str">
        <f>IF(F131="","",INDEX(站位样品信息!$B$3:INDEX(站位样品信息!$B:$B,COUNTA(站位样品信息!$B:$B)+1),MATCH($F131,站位样品信息!$A$3:INDEX(站位样品信息!$A:$A,COUNTA(站位样品信息!$A:$A)+1),),))</f>
        <v>B0794</v>
      </c>
      <c r="H131" s="71" t="str">
        <f>IF(A131&amp;B131&amp;C131="","",INDEX(生物种群!$A$2:INDEX(生物种群!$A:$A,COUNTA(生物种群!$A:$A)),MATCH($I131,生物种群!$B$2:INDEX(生物种群!$B:$B,COUNTA(生物种群!$B:$B)),),))</f>
        <v>白氏银汉鱼</v>
      </c>
      <c r="I131" s="71" t="str">
        <f>IF(A131&amp;B131&amp;C131="","",IF($C131&lt;&gt;0,INDEX(生物种群!$B$2:INDEX(生物种群!$B:$B,COUNTA(生物种群!$B:$B)),MATCH($C131,生物种群!$G$2:INDEX(生物种群!$G:$G,COUNTA(生物种群!$G:$G)),),),IF($A131&lt;&gt;0,INDEX(生物种群!$B$2:INDEX(生物种群!$B:$B,COUNTA(生物种群!$B:$B)),MATCH($A131,生物种群!$C$2:INDEX(生物种群!$C:$C,COUNTA(生物种群!$C:$C)),),),INDEX(生物种群!$B$2:INDEX(生物种群!$B:$B,COUNTA(生物种群!$B:$B)),MATCH($B131,生物种群!$D$2:INDEX(生物种群!$D:$D,COUNTA(生物种群!$D:$D)),),))))</f>
        <v>Allanetta bleekeri</v>
      </c>
      <c r="J131" s="37" t="str">
        <f>IF(A131&amp;B131&amp;C131="","",INDEX(生物种群!$J$2:INDEX(生物种群!$J:$J,COUNTA(生物种群!$J:$J)),MATCH($I131,生物种群!$B$2:INDEX(生物种群!$B:$B,COUNTA(生物种群!$B:$B)),),))</f>
        <v>(Gunther)</v>
      </c>
      <c r="K131" s="71" t="str">
        <f>IF(A131&amp;B131&amp;C131="","",INDEX(生物种群!$E$2:INDEX(生物种群!$E:$E,COUNTA(生物种群!$E:$E)),MATCH($I131,生物种群!$B$2:INDEX(生物种群!$B:$B,COUNTA(生物种群!$B:$B)),),))</f>
        <v>银汉鱼科</v>
      </c>
      <c r="L131" s="37" t="str">
        <f>IF(A131&amp;B131&amp;C131="","",INDEX(生物种群!$F$3:INDEX(生物种群!$F:$F,COUNTA(生物种群!$F:$F)),MATCH($I131,生物种群!$B$3:INDEX(生物种群!$B:$B,COUNTA(生物种群!$B:$B)),),))</f>
        <v>银汉鱼目</v>
      </c>
      <c r="M131" s="37" t="str">
        <f t="shared" si="4" ref="M131:M194">IF(F131&gt;0,F131&amp;I131&amp;E131,"")</f>
        <v>A2N44ZQ086Allanetta bleekeri仔鱼</v>
      </c>
      <c r="N131" s="37" t="str">
        <f t="shared" si="5" ref="N131:N194">IF(COUNTIF($M:$M,M131)=1,"",IF(A131&amp;B131&amp;C131="","","重复"))</f>
        <v/>
      </c>
      <c r="O131" s="9"/>
      <c r="P131" s="10"/>
    </row>
    <row r="132" spans="1:16" ht="20.1" customHeight="1">
      <c r="A132" s="9" t="s">
        <v>14480</v>
      </c>
      <c r="B132" s="9"/>
      <c r="C132" s="9"/>
      <c r="D132" s="43">
        <v>2</v>
      </c>
      <c r="E132" s="9" t="s">
        <v>14435</v>
      </c>
      <c r="F132" s="9" t="s">
        <v>14425</v>
      </c>
      <c r="G132" s="47" t="str">
        <f>IF(F132="","",INDEX(站位样品信息!$B$3:INDEX(站位样品信息!$B:$B,COUNTA(站位样品信息!$B:$B)+1),MATCH($F132,站位样品信息!$A$3:INDEX(站位样品信息!$A:$A,COUNTA(站位样品信息!$A:$A)+1),),))</f>
        <v>B0794</v>
      </c>
      <c r="H132" s="71" t="str">
        <f>IF(A132&amp;B132&amp;C132="","",INDEX(生物种群!$A$2:INDEX(生物种群!$A:$A,COUNTA(生物种群!$A:$A)),MATCH($I132,生物种群!$B$2:INDEX(生物种群!$B:$B,COUNTA(生物种群!$B:$B)),),))</f>
        <v>小沙丁鱼属</v>
      </c>
      <c r="I132" s="71" t="str">
        <f>IF(A132&amp;B132&amp;C132="","",IF($C132&lt;&gt;0,INDEX(生物种群!$B$2:INDEX(生物种群!$B:$B,COUNTA(生物种群!$B:$B)),MATCH($C132,生物种群!$G$2:INDEX(生物种群!$G:$G,COUNTA(生物种群!$G:$G)),),),IF($A132&lt;&gt;0,INDEX(生物种群!$B$2:INDEX(生物种群!$B:$B,COUNTA(生物种群!$B:$B)),MATCH($A132,生物种群!$C$2:INDEX(生物种群!$C:$C,COUNTA(生物种群!$C:$C)),),),INDEX(生物种群!$B$2:INDEX(生物种群!$B:$B,COUNTA(生物种群!$B:$B)),MATCH($B132,生物种群!$D$2:INDEX(生物种群!$D:$D,COUNTA(生物种群!$D:$D)),),))))</f>
        <v>Sardinella sp.</v>
      </c>
      <c r="J132" s="37" t="str">
        <f>IF(A132&amp;B132&amp;C132="","",INDEX(生物种群!$J$2:INDEX(生物种群!$J:$J,COUNTA(生物种群!$J:$J)),MATCH($I132,生物种群!$B$2:INDEX(生物种群!$B:$B,COUNTA(生物种群!$B:$B)),),))</f>
        <v>et Valenciennes</v>
      </c>
      <c r="K132" s="71" t="str">
        <f>IF(A132&amp;B132&amp;C132="","",INDEX(生物种群!$E$2:INDEX(生物种群!$E:$E,COUNTA(生物种群!$E:$E)),MATCH($I132,生物种群!$B$2:INDEX(生物种群!$B:$B,COUNTA(生物种群!$B:$B)),),))</f>
        <v>鲱科</v>
      </c>
      <c r="L132" s="37" t="str">
        <f>IF(A132&amp;B132&amp;C132="","",INDEX(生物种群!$F$3:INDEX(生物种群!$F:$F,COUNTA(生物种群!$F:$F)),MATCH($I132,生物种群!$B$3:INDEX(生物种群!$B:$B,COUNTA(生物种群!$B:$B)),),))</f>
        <v>鲱形目</v>
      </c>
      <c r="M132" s="37" t="str">
        <f t="shared" si="4"/>
        <v>A2N44ZQ086Sardinella sp.仔鱼</v>
      </c>
      <c r="N132" s="37" t="str">
        <f t="shared" si="5"/>
        <v/>
      </c>
      <c r="O132" s="9"/>
      <c r="P132" s="10"/>
    </row>
    <row r="133" spans="1:16" ht="20.1" customHeight="1">
      <c r="A133" s="9" t="s">
        <v>14481</v>
      </c>
      <c r="B133" s="9"/>
      <c r="C133" s="9"/>
      <c r="D133" s="43">
        <v>2</v>
      </c>
      <c r="E133" s="9" t="s">
        <v>14435</v>
      </c>
      <c r="F133" s="9" t="s">
        <v>14425</v>
      </c>
      <c r="G133" s="47" t="str">
        <f>IF(F133="","",INDEX(站位样品信息!$B$3:INDEX(站位样品信息!$B:$B,COUNTA(站位样品信息!$B:$B)+1),MATCH($F133,站位样品信息!$A$3:INDEX(站位样品信息!$A:$A,COUNTA(站位样品信息!$A:$A)+1),),))</f>
        <v>B0794</v>
      </c>
      <c r="H133" s="71" t="str">
        <f>IF(A133&amp;B133&amp;C133="","",INDEX(生物种群!$A$2:INDEX(生物种群!$A:$A,COUNTA(生物种群!$A:$A)),MATCH($I133,生物种群!$B$2:INDEX(生物种群!$B:$B,COUNTA(生物种群!$B:$B)),),))</f>
        <v>鮻属</v>
      </c>
      <c r="I133" s="71" t="str">
        <f>IF(A133&amp;B133&amp;C133="","",IF($C133&lt;&gt;0,INDEX(生物种群!$B$2:INDEX(生物种群!$B:$B,COUNTA(生物种群!$B:$B)),MATCH($C133,生物种群!$G$2:INDEX(生物种群!$G:$G,COUNTA(生物种群!$G:$G)),),),IF($A133&lt;&gt;0,INDEX(生物种群!$B$2:INDEX(生物种群!$B:$B,COUNTA(生物种群!$B:$B)),MATCH($A133,生物种群!$C$2:INDEX(生物种群!$C:$C,COUNTA(生物种群!$C:$C)),),),INDEX(生物种群!$B$2:INDEX(生物种群!$B:$B,COUNTA(生物种群!$B:$B)),MATCH($B133,生物种群!$D$2:INDEX(生物种群!$D:$D,COUNTA(生物种群!$D:$D)),),))))</f>
        <v>Liza sp.</v>
      </c>
      <c r="J133" s="37" t="str">
        <f>IF(A133&amp;B133&amp;C133="","",INDEX(生物种群!$J$2:INDEX(生物种群!$J:$J,COUNTA(生物种群!$J:$J)),MATCH($I133,生物种群!$B$2:INDEX(生物种群!$B:$B,COUNTA(生物种群!$B:$B)),),))</f>
        <v/>
      </c>
      <c r="K133" s="71" t="str">
        <f>IF(A133&amp;B133&amp;C133="","",INDEX(生物种群!$E$2:INDEX(生物种群!$E:$E,COUNTA(生物种群!$E:$E)),MATCH($I133,生物种群!$B$2:INDEX(生物种群!$B:$B,COUNTA(生物种群!$B:$B)),),))</f>
        <v>鲻科</v>
      </c>
      <c r="L133" s="37" t="str">
        <f>IF(A133&amp;B133&amp;C133="","",INDEX(生物种群!$F$3:INDEX(生物种群!$F:$F,COUNTA(生物种群!$F:$F)),MATCH($I133,生物种群!$B$3:INDEX(生物种群!$B:$B,COUNTA(生物种群!$B:$B)),),))</f>
        <v>鲻形目</v>
      </c>
      <c r="M133" s="37" t="str">
        <f t="shared" si="4"/>
        <v>A2N44ZQ086Liza sp.仔鱼</v>
      </c>
      <c r="N133" s="37" t="str">
        <f t="shared" si="5"/>
        <v/>
      </c>
      <c r="O133" s="9"/>
      <c r="P133" s="10"/>
    </row>
    <row r="134" spans="1:16" ht="20.1" customHeight="1">
      <c r="A134" s="9" t="s">
        <v>14482</v>
      </c>
      <c r="B134" s="9"/>
      <c r="C134" s="9"/>
      <c r="D134" s="43">
        <v>2</v>
      </c>
      <c r="E134" s="9" t="s">
        <v>14435</v>
      </c>
      <c r="F134" s="9" t="s">
        <v>14425</v>
      </c>
      <c r="G134" s="47" t="str">
        <f>IF(F134="","",INDEX(站位样品信息!$B$3:INDEX(站位样品信息!$B:$B,COUNTA(站位样品信息!$B:$B)+1),MATCH($F134,站位样品信息!$A$3:INDEX(站位样品信息!$A:$A,COUNTA(站位样品信息!$A:$A)+1),),))</f>
        <v>B0794</v>
      </c>
      <c r="H134" s="71" t="str">
        <f>IF(A134&amp;B134&amp;C134="","",INDEX(生物种群!$A$2:INDEX(生物种群!$A:$A,COUNTA(生物种群!$A:$A)),MATCH($I134,生物种群!$B$2:INDEX(生物种群!$B:$B,COUNTA(生物种群!$B:$B)),),))</f>
        <v>鯻科</v>
      </c>
      <c r="I134" s="71" t="str">
        <f>IF(A134&amp;B134&amp;C134="","",IF($C134&lt;&gt;0,INDEX(生物种群!$B$2:INDEX(生物种群!$B:$B,COUNTA(生物种群!$B:$B)),MATCH($C134,生物种群!$G$2:INDEX(生物种群!$G:$G,COUNTA(生物种群!$G:$G)),),),IF($A134&lt;&gt;0,INDEX(生物种群!$B$2:INDEX(生物种群!$B:$B,COUNTA(生物种群!$B:$B)),MATCH($A134,生物种群!$C$2:INDEX(生物种群!$C:$C,COUNTA(生物种群!$C:$C)),),),INDEX(生物种群!$B$2:INDEX(生物种群!$B:$B,COUNTA(生物种群!$B:$B)),MATCH($B134,生物种群!$D$2:INDEX(生物种群!$D:$D,COUNTA(生物种群!$D:$D)),),))))</f>
        <v>Theraponidae sp.</v>
      </c>
      <c r="J134" s="37" t="str">
        <f>IF(A134&amp;B134&amp;C134="","",INDEX(生物种群!$J$2:INDEX(生物种群!$J:$J,COUNTA(生物种群!$J:$J)),MATCH($I134,生物种群!$B$2:INDEX(生物种群!$B:$B,COUNTA(生物种群!$B:$B)),),))</f>
        <v/>
      </c>
      <c r="K134" s="71" t="str">
        <f>IF(A134&amp;B134&amp;C134="","",INDEX(生物种群!$E$2:INDEX(生物种群!$E:$E,COUNTA(生物种群!$E:$E)),MATCH($I134,生物种群!$B$2:INDEX(生物种群!$B:$B,COUNTA(生物种群!$B:$B)),),))</f>
        <v>鯻科</v>
      </c>
      <c r="L134" s="37" t="str">
        <f>IF(A134&amp;B134&amp;C134="","",INDEX(生物种群!$F$3:INDEX(生物种群!$F:$F,COUNTA(生物种群!$F:$F)),MATCH($I134,生物种群!$B$3:INDEX(生物种群!$B:$B,COUNTA(生物种群!$B:$B)),),))</f>
        <v>鲈形目</v>
      </c>
      <c r="M134" s="37" t="str">
        <f t="shared" si="4"/>
        <v>A2N44ZQ086Theraponidae sp.仔鱼</v>
      </c>
      <c r="N134" s="37" t="str">
        <f t="shared" si="5"/>
        <v/>
      </c>
      <c r="O134" s="9"/>
      <c r="P134" s="10"/>
    </row>
    <row r="135" spans="1:16" ht="20.1" customHeight="1">
      <c r="A135" s="9" t="s">
        <v>14483</v>
      </c>
      <c r="B135" s="9"/>
      <c r="C135" s="9"/>
      <c r="D135" s="43">
        <v>656</v>
      </c>
      <c r="E135" s="9" t="s">
        <v>14443</v>
      </c>
      <c r="F135" s="9" t="s">
        <v>14425</v>
      </c>
      <c r="G135" s="47" t="str">
        <f>IF(F135="","",INDEX(站位样品信息!$B$3:INDEX(站位样品信息!$B:$B,COUNTA(站位样品信息!$B:$B)+1),MATCH($F135,站位样品信息!$A$3:INDEX(站位样品信息!$A:$A,COUNTA(站位样品信息!$A:$A)+1),),))</f>
        <v>B0794</v>
      </c>
      <c r="H135" s="71" t="str">
        <f>IF(A135&amp;B135&amp;C135="","",INDEX(生物种群!$A$2:INDEX(生物种群!$A:$A,COUNTA(生物种群!$A:$A)),MATCH($I135,生物种群!$B$2:INDEX(生物种群!$B:$B,COUNTA(生物种群!$B:$B)),),))</f>
        <v>康氏小公鱼</v>
      </c>
      <c r="I135" s="71" t="str">
        <f>IF(A135&amp;B135&amp;C135="","",IF($C135&lt;&gt;0,INDEX(生物种群!$B$2:INDEX(生物种群!$B:$B,COUNTA(生物种群!$B:$B)),MATCH($C135,生物种群!$G$2:INDEX(生物种群!$G:$G,COUNTA(生物种群!$G:$G)),),),IF($A135&lt;&gt;0,INDEX(生物种群!$B$2:INDEX(生物种群!$B:$B,COUNTA(生物种群!$B:$B)),MATCH($A135,生物种群!$C$2:INDEX(生物种群!$C:$C,COUNTA(生物种群!$C:$C)),),),INDEX(生物种群!$B$2:INDEX(生物种群!$B:$B,COUNTA(生物种群!$B:$B)),MATCH($B135,生物种群!$D$2:INDEX(生物种群!$D:$D,COUNTA(生物种群!$D:$D)),),))))</f>
        <v>Stolephorus commersonii</v>
      </c>
      <c r="J135" s="37" t="str">
        <f>IF(A135&amp;B135&amp;C135="","",INDEX(生物种群!$J$2:INDEX(生物种群!$J:$J,COUNTA(生物种群!$J:$J)),MATCH($I135,生物种群!$B$2:INDEX(生物种群!$B:$B,COUNTA(生物种群!$B:$B)),),))</f>
        <v>(Lacepede)</v>
      </c>
      <c r="K135" s="71" t="str">
        <f>IF(A135&amp;B135&amp;C135="","",INDEX(生物种群!$E$2:INDEX(生物种群!$E:$E,COUNTA(生物种群!$E:$E)),MATCH($I135,生物种群!$B$2:INDEX(生物种群!$B:$B,COUNTA(生物种群!$B:$B)),),))</f>
        <v>鳀科</v>
      </c>
      <c r="L135" s="37" t="str">
        <f>IF(A135&amp;B135&amp;C135="","",INDEX(生物种群!$F$3:INDEX(生物种群!$F:$F,COUNTA(生物种群!$F:$F)),MATCH($I135,生物种群!$B$3:INDEX(生物种群!$B:$B,COUNTA(生物种群!$B:$B)),),))</f>
        <v>鲱形目</v>
      </c>
      <c r="M135" s="37" t="str">
        <f t="shared" si="4"/>
        <v>A2N44ZQ086Stolephorus commersonii鱼卵</v>
      </c>
      <c r="N135" s="37" t="str">
        <f t="shared" si="5"/>
        <v/>
      </c>
      <c r="O135" s="9"/>
      <c r="P135" s="10"/>
    </row>
    <row r="136" spans="1:16" ht="20.1" customHeight="1">
      <c r="A136" s="9" t="s">
        <v>14481</v>
      </c>
      <c r="B136" s="9"/>
      <c r="C136" s="9"/>
      <c r="D136" s="43">
        <v>2</v>
      </c>
      <c r="E136" s="9" t="s">
        <v>14443</v>
      </c>
      <c r="F136" s="9" t="s">
        <v>14425</v>
      </c>
      <c r="G136" s="47" t="str">
        <f>IF(F136="","",INDEX(站位样品信息!$B$3:INDEX(站位样品信息!$B:$B,COUNTA(站位样品信息!$B:$B)+1),MATCH($F136,站位样品信息!$A$3:INDEX(站位样品信息!$A:$A,COUNTA(站位样品信息!$A:$A)+1),),))</f>
        <v>B0794</v>
      </c>
      <c r="H136" s="71" t="str">
        <f>IF(A136&amp;B136&amp;C136="","",INDEX(生物种群!$A$2:INDEX(生物种群!$A:$A,COUNTA(生物种群!$A:$A)),MATCH($I136,生物种群!$B$2:INDEX(生物种群!$B:$B,COUNTA(生物种群!$B:$B)),),))</f>
        <v>鮻属</v>
      </c>
      <c r="I136" s="71" t="str">
        <f>IF(A136&amp;B136&amp;C136="","",IF($C136&lt;&gt;0,INDEX(生物种群!$B$2:INDEX(生物种群!$B:$B,COUNTA(生物种群!$B:$B)),MATCH($C136,生物种群!$G$2:INDEX(生物种群!$G:$G,COUNTA(生物种群!$G:$G)),),),IF($A136&lt;&gt;0,INDEX(生物种群!$B$2:INDEX(生物种群!$B:$B,COUNTA(生物种群!$B:$B)),MATCH($A136,生物种群!$C$2:INDEX(生物种群!$C:$C,COUNTA(生物种群!$C:$C)),),),INDEX(生物种群!$B$2:INDEX(生物种群!$B:$B,COUNTA(生物种群!$B:$B)),MATCH($B136,生物种群!$D$2:INDEX(生物种群!$D:$D,COUNTA(生物种群!$D:$D)),),))))</f>
        <v>Liza sp.</v>
      </c>
      <c r="J136" s="37" t="str">
        <f>IF(A136&amp;B136&amp;C136="","",INDEX(生物种群!$J$2:INDEX(生物种群!$J:$J,COUNTA(生物种群!$J:$J)),MATCH($I136,生物种群!$B$2:INDEX(生物种群!$B:$B,COUNTA(生物种群!$B:$B)),),))</f>
        <v/>
      </c>
      <c r="K136" s="71" t="str">
        <f>IF(A136&amp;B136&amp;C136="","",INDEX(生物种群!$E$2:INDEX(生物种群!$E:$E,COUNTA(生物种群!$E:$E)),MATCH($I136,生物种群!$B$2:INDEX(生物种群!$B:$B,COUNTA(生物种群!$B:$B)),),))</f>
        <v>鲻科</v>
      </c>
      <c r="L136" s="37" t="str">
        <f>IF(A136&amp;B136&amp;C136="","",INDEX(生物种群!$F$3:INDEX(生物种群!$F:$F,COUNTA(生物种群!$F:$F)),MATCH($I136,生物种群!$B$3:INDEX(生物种群!$B:$B,COUNTA(生物种群!$B:$B)),),))</f>
        <v>鲻形目</v>
      </c>
      <c r="M136" s="37" t="str">
        <f t="shared" si="4"/>
        <v>A2N44ZQ086Liza sp.鱼卵</v>
      </c>
      <c r="N136" s="37" t="str">
        <f t="shared" si="5"/>
        <v/>
      </c>
      <c r="O136" s="9"/>
      <c r="P136" s="10"/>
    </row>
    <row r="137" spans="1:16" ht="20.1" customHeight="1">
      <c r="A137" s="9" t="s">
        <v>14482</v>
      </c>
      <c r="B137" s="9"/>
      <c r="C137" s="9"/>
      <c r="D137" s="43">
        <v>23</v>
      </c>
      <c r="E137" s="9" t="s">
        <v>14443</v>
      </c>
      <c r="F137" s="9" t="s">
        <v>14425</v>
      </c>
      <c r="G137" s="47" t="str">
        <f>IF(F137="","",INDEX(站位样品信息!$B$3:INDEX(站位样品信息!$B:$B,COUNTA(站位样品信息!$B:$B)+1),MATCH($F137,站位样品信息!$A$3:INDEX(站位样品信息!$A:$A,COUNTA(站位样品信息!$A:$A)+1),),))</f>
        <v>B0794</v>
      </c>
      <c r="H137" s="71" t="str">
        <f>IF(A137&amp;B137&amp;C137="","",INDEX(生物种群!$A$2:INDEX(生物种群!$A:$A,COUNTA(生物种群!$A:$A)),MATCH($I137,生物种群!$B$2:INDEX(生物种群!$B:$B,COUNTA(生物种群!$B:$B)),),))</f>
        <v>鯻科</v>
      </c>
      <c r="I137" s="71" t="str">
        <f>IF(A137&amp;B137&amp;C137="","",IF($C137&lt;&gt;0,INDEX(生物种群!$B$2:INDEX(生物种群!$B:$B,COUNTA(生物种群!$B:$B)),MATCH($C137,生物种群!$G$2:INDEX(生物种群!$G:$G,COUNTA(生物种群!$G:$G)),),),IF($A137&lt;&gt;0,INDEX(生物种群!$B$2:INDEX(生物种群!$B:$B,COUNTA(生物种群!$B:$B)),MATCH($A137,生物种群!$C$2:INDEX(生物种群!$C:$C,COUNTA(生物种群!$C:$C)),),),INDEX(生物种群!$B$2:INDEX(生物种群!$B:$B,COUNTA(生物种群!$B:$B)),MATCH($B137,生物种群!$D$2:INDEX(生物种群!$D:$D,COUNTA(生物种群!$D:$D)),),))))</f>
        <v>Theraponidae sp.</v>
      </c>
      <c r="J137" s="37" t="str">
        <f>IF(A137&amp;B137&amp;C137="","",INDEX(生物种群!$J$2:INDEX(生物种群!$J:$J,COUNTA(生物种群!$J:$J)),MATCH($I137,生物种群!$B$2:INDEX(生物种群!$B:$B,COUNTA(生物种群!$B:$B)),),))</f>
        <v/>
      </c>
      <c r="K137" s="71" t="str">
        <f>IF(A137&amp;B137&amp;C137="","",INDEX(生物种群!$E$2:INDEX(生物种群!$E:$E,COUNTA(生物种群!$E:$E)),MATCH($I137,生物种群!$B$2:INDEX(生物种群!$B:$B,COUNTA(生物种群!$B:$B)),),))</f>
        <v>鯻科</v>
      </c>
      <c r="L137" s="37" t="str">
        <f>IF(A137&amp;B137&amp;C137="","",INDEX(生物种群!$F$3:INDEX(生物种群!$F:$F,COUNTA(生物种群!$F:$F)),MATCH($I137,生物种群!$B$3:INDEX(生物种群!$B:$B,COUNTA(生物种群!$B:$B)),),))</f>
        <v>鲈形目</v>
      </c>
      <c r="M137" s="37" t="str">
        <f t="shared" si="4"/>
        <v>A2N44ZQ086Theraponidae sp.鱼卵</v>
      </c>
      <c r="N137" s="37" t="str">
        <f t="shared" si="5"/>
        <v/>
      </c>
      <c r="O137" s="9"/>
      <c r="P137" s="10"/>
    </row>
    <row r="138" spans="1:16" ht="20.1" customHeight="1">
      <c r="A138" s="9" t="s">
        <v>14484</v>
      </c>
      <c r="B138" s="9"/>
      <c r="C138" s="9"/>
      <c r="D138" s="43">
        <v>10</v>
      </c>
      <c r="E138" s="9" t="s">
        <v>14443</v>
      </c>
      <c r="F138" s="9" t="s">
        <v>14425</v>
      </c>
      <c r="G138" s="47" t="str">
        <f>IF(F138="","",INDEX(站位样品信息!$B$3:INDEX(站位样品信息!$B:$B,COUNTA(站位样品信息!$B:$B)+1),MATCH($F138,站位样品信息!$A$3:INDEX(站位样品信息!$A:$A,COUNTA(站位样品信息!$A:$A)+1),),))</f>
        <v>B0794</v>
      </c>
      <c r="H138" s="71" t="str">
        <f>IF(A138&amp;B138&amp;C138="","",INDEX(生物种群!$A$2:INDEX(生物种群!$A:$A,COUNTA(生物种群!$A:$A)),MATCH($I138,生物种群!$B$2:INDEX(生物种群!$B:$B,COUNTA(生物种群!$B:$B)),),))</f>
        <v>鲷科</v>
      </c>
      <c r="I138" s="71" t="str">
        <f>IF(A138&amp;B138&amp;C138="","",IF($C138&lt;&gt;0,INDEX(生物种群!$B$2:INDEX(生物种群!$B:$B,COUNTA(生物种群!$B:$B)),MATCH($C138,生物种群!$G$2:INDEX(生物种群!$G:$G,COUNTA(生物种群!$G:$G)),),),IF($A138&lt;&gt;0,INDEX(生物种群!$B$2:INDEX(生物种群!$B:$B,COUNTA(生物种群!$B:$B)),MATCH($A138,生物种群!$C$2:INDEX(生物种群!$C:$C,COUNTA(生物种群!$C:$C)),),),INDEX(生物种群!$B$2:INDEX(生物种群!$B:$B,COUNTA(生物种群!$B:$B)),MATCH($B138,生物种群!$D$2:INDEX(生物种群!$D:$D,COUNTA(生物种群!$D:$D)),),))))</f>
        <v>Sparidae sp.</v>
      </c>
      <c r="J138" s="37" t="str">
        <f>IF(A138&amp;B138&amp;C138="","",INDEX(生物种群!$J$2:INDEX(生物种群!$J:$J,COUNTA(生物种群!$J:$J)),MATCH($I138,生物种群!$B$2:INDEX(生物种群!$B:$B,COUNTA(生物种群!$B:$B)),),))</f>
        <v/>
      </c>
      <c r="K138" s="71" t="str">
        <f>IF(A138&amp;B138&amp;C138="","",INDEX(生物种群!$E$2:INDEX(生物种群!$E:$E,COUNTA(生物种群!$E:$E)),MATCH($I138,生物种群!$B$2:INDEX(生物种群!$B:$B,COUNTA(生物种群!$B:$B)),),))</f>
        <v>鲷科</v>
      </c>
      <c r="L138" s="37" t="str">
        <f>IF(A138&amp;B138&amp;C138="","",INDEX(生物种群!$F$3:INDEX(生物种群!$F:$F,COUNTA(生物种群!$F:$F)),MATCH($I138,生物种群!$B$3:INDEX(生物种群!$B:$B,COUNTA(生物种群!$B:$B)),),))</f>
        <v>鲈形目</v>
      </c>
      <c r="M138" s="37" t="str">
        <f t="shared" si="4"/>
        <v>A2N44ZQ086Sparidae sp.鱼卵</v>
      </c>
      <c r="N138" s="37" t="str">
        <f t="shared" si="5"/>
        <v/>
      </c>
      <c r="O138" s="9"/>
      <c r="P138" s="10"/>
    </row>
    <row r="139" spans="1:16" ht="20.1" customHeight="1">
      <c r="A139" s="9"/>
      <c r="B139" s="9"/>
      <c r="C139" s="9"/>
      <c r="D139" s="43"/>
      <c r="E139" s="9"/>
      <c r="F139" s="9"/>
      <c r="G139" s="47" t="str">
        <f>IF(F139="","",INDEX(站位样品信息!$B$3:INDEX(站位样品信息!$B:$B,COUNTA(站位样品信息!$B:$B)+1),MATCH($F139,站位样品信息!$A$3:INDEX(站位样品信息!$A:$A,COUNTA(站位样品信息!$A:$A)+1),),))</f>
        <v/>
      </c>
      <c r="H139" s="37" t="str">
        <f>IF(A139&amp;B139&amp;C139="","",INDEX(生物种群!$A$2:INDEX(生物种群!$A:$A,COUNTA(生物种群!$A:$A)),MATCH($I139,生物种群!$B$2:INDEX(生物种群!$B:$B,COUNTA(生物种群!$B:$B)),),))</f>
        <v/>
      </c>
      <c r="I139" s="37" t="str">
        <f>IF(A139&amp;B139&amp;C139="","",IF($C139&lt;&gt;0,INDEX(生物种群!$B$2:INDEX(生物种群!$B:$B,COUNTA(生物种群!$B:$B)),MATCH($C139,生物种群!$G$2:INDEX(生物种群!$G:$G,COUNTA(生物种群!$G:$G)),),),IF($A139&lt;&gt;0,INDEX(生物种群!$B$2:INDEX(生物种群!$B:$B,COUNTA(生物种群!$B:$B)),MATCH($A139,生物种群!$C$2:INDEX(生物种群!$C:$C,COUNTA(生物种群!$C:$C)),),),INDEX(生物种群!$B$2:INDEX(生物种群!$B:$B,COUNTA(生物种群!$B:$B)),MATCH($B139,生物种群!$D$2:INDEX(生物种群!$D:$D,COUNTA(生物种群!$D:$D)),),))))</f>
        <v/>
      </c>
      <c r="J139" s="37" t="str">
        <f>IF(A139&amp;B139&amp;C139="","",INDEX(生物种群!$J$2:INDEX(生物种群!$J:$J,COUNTA(生物种群!$J:$J)),MATCH($I139,生物种群!$B$2:INDEX(生物种群!$B:$B,COUNTA(生物种群!$B:$B)),),))</f>
        <v/>
      </c>
      <c r="K139" s="37" t="str">
        <f>IF(A139&amp;B139&amp;C139="","",INDEX(生物种群!$E$2:INDEX(生物种群!$E:$E,COUNTA(生物种群!$E:$E)),MATCH($I139,生物种群!$B$2:INDEX(生物种群!$B:$B,COUNTA(生物种群!$B:$B)),),))</f>
        <v/>
      </c>
      <c r="L139" s="37" t="str">
        <f>IF(A139&amp;B139&amp;C139="","",INDEX(生物种群!$F$3:INDEX(生物种群!$F:$F,COUNTA(生物种群!$F:$F)),MATCH($I139,生物种群!$B$3:INDEX(生物种群!$B:$B,COUNTA(生物种群!$B:$B)),),))</f>
        <v/>
      </c>
      <c r="M139" s="37" t="str">
        <f t="shared" si="4"/>
        <v/>
      </c>
      <c r="N139" s="37" t="str">
        <f t="shared" si="5"/>
        <v/>
      </c>
      <c r="O139" s="9"/>
      <c r="P139" s="10"/>
    </row>
    <row r="140" spans="1:16" ht="20.1" customHeight="1">
      <c r="A140" s="9"/>
      <c r="B140" s="9"/>
      <c r="C140" s="9"/>
      <c r="D140" s="43"/>
      <c r="E140" s="9"/>
      <c r="F140" s="9"/>
      <c r="G140" s="47" t="str">
        <f>IF(F140="","",INDEX(站位样品信息!$B$3:INDEX(站位样品信息!$B:$B,COUNTA(站位样品信息!$B:$B)+1),MATCH($F140,站位样品信息!$A$3:INDEX(站位样品信息!$A:$A,COUNTA(站位样品信息!$A:$A)+1),),))</f>
        <v/>
      </c>
      <c r="H140" s="37" t="str">
        <f>IF(A140&amp;B140&amp;C140="","",INDEX(生物种群!$A$2:INDEX(生物种群!$A:$A,COUNTA(生物种群!$A:$A)),MATCH($I140,生物种群!$B$2:INDEX(生物种群!$B:$B,COUNTA(生物种群!$B:$B)),),))</f>
        <v/>
      </c>
      <c r="I140" s="37" t="str">
        <f>IF(A140&amp;B140&amp;C140="","",IF($C140&lt;&gt;0,INDEX(生物种群!$B$2:INDEX(生物种群!$B:$B,COUNTA(生物种群!$B:$B)),MATCH($C140,生物种群!$G$2:INDEX(生物种群!$G:$G,COUNTA(生物种群!$G:$G)),),),IF($A140&lt;&gt;0,INDEX(生物种群!$B$2:INDEX(生物种群!$B:$B,COUNTA(生物种群!$B:$B)),MATCH($A140,生物种群!$C$2:INDEX(生物种群!$C:$C,COUNTA(生物种群!$C:$C)),),),INDEX(生物种群!$B$2:INDEX(生物种群!$B:$B,COUNTA(生物种群!$B:$B)),MATCH($B140,生物种群!$D$2:INDEX(生物种群!$D:$D,COUNTA(生物种群!$D:$D)),),))))</f>
        <v/>
      </c>
      <c r="J140" s="37" t="str">
        <f>IF(A140&amp;B140&amp;C140="","",INDEX(生物种群!$J$2:INDEX(生物种群!$J:$J,COUNTA(生物种群!$J:$J)),MATCH($I140,生物种群!$B$2:INDEX(生物种群!$B:$B,COUNTA(生物种群!$B:$B)),),))</f>
        <v/>
      </c>
      <c r="K140" s="37" t="str">
        <f>IF(A140&amp;B140&amp;C140="","",INDEX(生物种群!$E$2:INDEX(生物种群!$E:$E,COUNTA(生物种群!$E:$E)),MATCH($I140,生物种群!$B$2:INDEX(生物种群!$B:$B,COUNTA(生物种群!$B:$B)),),))</f>
        <v/>
      </c>
      <c r="L140" s="37" t="str">
        <f>IF(A140&amp;B140&amp;C140="","",INDEX(生物种群!$F$3:INDEX(生物种群!$F:$F,COUNTA(生物种群!$F:$F)),MATCH($I140,生物种群!$B$3:INDEX(生物种群!$B:$B,COUNTA(生物种群!$B:$B)),),))</f>
        <v/>
      </c>
      <c r="M140" s="37" t="str">
        <f t="shared" si="4"/>
        <v/>
      </c>
      <c r="N140" s="37" t="str">
        <f t="shared" si="5"/>
        <v/>
      </c>
      <c r="O140" s="9"/>
      <c r="P140" s="10"/>
    </row>
    <row r="141" spans="1:16" ht="20.1" customHeight="1">
      <c r="A141" s="9"/>
      <c r="B141" s="9"/>
      <c r="C141" s="9"/>
      <c r="D141" s="43"/>
      <c r="E141" s="9"/>
      <c r="F141" s="9"/>
      <c r="G141" s="47" t="str">
        <f>IF(F141="","",INDEX(站位样品信息!$B$3:INDEX(站位样品信息!$B:$B,COUNTA(站位样品信息!$B:$B)+1),MATCH($F141,站位样品信息!$A$3:INDEX(站位样品信息!$A:$A,COUNTA(站位样品信息!$A:$A)+1),),))</f>
        <v/>
      </c>
      <c r="H141" s="37" t="str">
        <f>IF(A141&amp;B141&amp;C141="","",INDEX(生物种群!$A$2:INDEX(生物种群!$A:$A,COUNTA(生物种群!$A:$A)),MATCH($I141,生物种群!$B$2:INDEX(生物种群!$B:$B,COUNTA(生物种群!$B:$B)),),))</f>
        <v/>
      </c>
      <c r="I141" s="37" t="str">
        <f>IF(A141&amp;B141&amp;C141="","",IF($C141&lt;&gt;0,INDEX(生物种群!$B$2:INDEX(生物种群!$B:$B,COUNTA(生物种群!$B:$B)),MATCH($C141,生物种群!$G$2:INDEX(生物种群!$G:$G,COUNTA(生物种群!$G:$G)),),),IF($A141&lt;&gt;0,INDEX(生物种群!$B$2:INDEX(生物种群!$B:$B,COUNTA(生物种群!$B:$B)),MATCH($A141,生物种群!$C$2:INDEX(生物种群!$C:$C,COUNTA(生物种群!$C:$C)),),),INDEX(生物种群!$B$2:INDEX(生物种群!$B:$B,COUNTA(生物种群!$B:$B)),MATCH($B141,生物种群!$D$2:INDEX(生物种群!$D:$D,COUNTA(生物种群!$D:$D)),),))))</f>
        <v/>
      </c>
      <c r="J141" s="37" t="str">
        <f>IF(A141&amp;B141&amp;C141="","",INDEX(生物种群!$J$2:INDEX(生物种群!$J:$J,COUNTA(生物种群!$J:$J)),MATCH($I141,生物种群!$B$2:INDEX(生物种群!$B:$B,COUNTA(生物种群!$B:$B)),),))</f>
        <v/>
      </c>
      <c r="K141" s="37" t="str">
        <f>IF(A141&amp;B141&amp;C141="","",INDEX(生物种群!$E$2:INDEX(生物种群!$E:$E,COUNTA(生物种群!$E:$E)),MATCH($I141,生物种群!$B$2:INDEX(生物种群!$B:$B,COUNTA(生物种群!$B:$B)),),))</f>
        <v/>
      </c>
      <c r="L141" s="37" t="str">
        <f>IF(A141&amp;B141&amp;C141="","",INDEX(生物种群!$F$3:INDEX(生物种群!$F:$F,COUNTA(生物种群!$F:$F)),MATCH($I141,生物种群!$B$3:INDEX(生物种群!$B:$B,COUNTA(生物种群!$B:$B)),),))</f>
        <v/>
      </c>
      <c r="M141" s="37" t="str">
        <f t="shared" si="4"/>
        <v/>
      </c>
      <c r="N141" s="37" t="str">
        <f t="shared" si="5"/>
        <v/>
      </c>
      <c r="O141" s="9"/>
      <c r="P141" s="10"/>
    </row>
    <row r="142" spans="1:16" ht="20.1" customHeight="1">
      <c r="A142" s="9"/>
      <c r="B142" s="9"/>
      <c r="C142" s="9"/>
      <c r="D142" s="43"/>
      <c r="E142" s="9"/>
      <c r="F142" s="9"/>
      <c r="G142" s="47" t="str">
        <f>IF(F142="","",INDEX(站位样品信息!$B$3:INDEX(站位样品信息!$B:$B,COUNTA(站位样品信息!$B:$B)+1),MATCH($F142,站位样品信息!$A$3:INDEX(站位样品信息!$A:$A,COUNTA(站位样品信息!$A:$A)+1),),))</f>
        <v/>
      </c>
      <c r="H142" s="37" t="str">
        <f>IF(A142&amp;B142&amp;C142="","",INDEX(生物种群!$A$2:INDEX(生物种群!$A:$A,COUNTA(生物种群!$A:$A)),MATCH($I142,生物种群!$B$2:INDEX(生物种群!$B:$B,COUNTA(生物种群!$B:$B)),),))</f>
        <v/>
      </c>
      <c r="I142" s="37" t="str">
        <f>IF(A142&amp;B142&amp;C142="","",IF($C142&lt;&gt;0,INDEX(生物种群!$B$2:INDEX(生物种群!$B:$B,COUNTA(生物种群!$B:$B)),MATCH($C142,生物种群!$G$2:INDEX(生物种群!$G:$G,COUNTA(生物种群!$G:$G)),),),IF($A142&lt;&gt;0,INDEX(生物种群!$B$2:INDEX(生物种群!$B:$B,COUNTA(生物种群!$B:$B)),MATCH($A142,生物种群!$C$2:INDEX(生物种群!$C:$C,COUNTA(生物种群!$C:$C)),),),INDEX(生物种群!$B$2:INDEX(生物种群!$B:$B,COUNTA(生物种群!$B:$B)),MATCH($B142,生物种群!$D$2:INDEX(生物种群!$D:$D,COUNTA(生物种群!$D:$D)),),))))</f>
        <v/>
      </c>
      <c r="J142" s="37" t="str">
        <f>IF(A142&amp;B142&amp;C142="","",INDEX(生物种群!$J$2:INDEX(生物种群!$J:$J,COUNTA(生物种群!$J:$J)),MATCH($I142,生物种群!$B$2:INDEX(生物种群!$B:$B,COUNTA(生物种群!$B:$B)),),))</f>
        <v/>
      </c>
      <c r="K142" s="37" t="str">
        <f>IF(A142&amp;B142&amp;C142="","",INDEX(生物种群!$E$2:INDEX(生物种群!$E:$E,COUNTA(生物种群!$E:$E)),MATCH($I142,生物种群!$B$2:INDEX(生物种群!$B:$B,COUNTA(生物种群!$B:$B)),),))</f>
        <v/>
      </c>
      <c r="L142" s="37" t="str">
        <f>IF(A142&amp;B142&amp;C142="","",INDEX(生物种群!$F$3:INDEX(生物种群!$F:$F,COUNTA(生物种群!$F:$F)),MATCH($I142,生物种群!$B$3:INDEX(生物种群!$B:$B,COUNTA(生物种群!$B:$B)),),))</f>
        <v/>
      </c>
      <c r="M142" s="37" t="str">
        <f t="shared" si="4"/>
        <v/>
      </c>
      <c r="N142" s="37" t="str">
        <f t="shared" si="5"/>
        <v/>
      </c>
      <c r="O142" s="9"/>
      <c r="P142" s="10"/>
    </row>
    <row r="143" spans="1:16" ht="20.1" customHeight="1">
      <c r="A143" s="9"/>
      <c r="B143" s="9"/>
      <c r="C143" s="9"/>
      <c r="D143" s="43"/>
      <c r="E143" s="9"/>
      <c r="F143" s="9"/>
      <c r="G143" s="47" t="str">
        <f>IF(F143="","",INDEX(站位样品信息!$B$3:INDEX(站位样品信息!$B:$B,COUNTA(站位样品信息!$B:$B)+1),MATCH($F143,站位样品信息!$A$3:INDEX(站位样品信息!$A:$A,COUNTA(站位样品信息!$A:$A)+1),),))</f>
        <v/>
      </c>
      <c r="H143" s="37" t="str">
        <f>IF(A143&amp;B143&amp;C143="","",INDEX(生物种群!$A$2:INDEX(生物种群!$A:$A,COUNTA(生物种群!$A:$A)),MATCH($I143,生物种群!$B$2:INDEX(生物种群!$B:$B,COUNTA(生物种群!$B:$B)),),))</f>
        <v/>
      </c>
      <c r="I143" s="37" t="str">
        <f>IF(A143&amp;B143&amp;C143="","",IF($C143&lt;&gt;0,INDEX(生物种群!$B$2:INDEX(生物种群!$B:$B,COUNTA(生物种群!$B:$B)),MATCH($C143,生物种群!$G$2:INDEX(生物种群!$G:$G,COUNTA(生物种群!$G:$G)),),),IF($A143&lt;&gt;0,INDEX(生物种群!$B$2:INDEX(生物种群!$B:$B,COUNTA(生物种群!$B:$B)),MATCH($A143,生物种群!$C$2:INDEX(生物种群!$C:$C,COUNTA(生物种群!$C:$C)),),),INDEX(生物种群!$B$2:INDEX(生物种群!$B:$B,COUNTA(生物种群!$B:$B)),MATCH($B143,生物种群!$D$2:INDEX(生物种群!$D:$D,COUNTA(生物种群!$D:$D)),),))))</f>
        <v/>
      </c>
      <c r="J143" s="37" t="str">
        <f>IF(A143&amp;B143&amp;C143="","",INDEX(生物种群!$J$2:INDEX(生物种群!$J:$J,COUNTA(生物种群!$J:$J)),MATCH($I143,生物种群!$B$2:INDEX(生物种群!$B:$B,COUNTA(生物种群!$B:$B)),),))</f>
        <v/>
      </c>
      <c r="K143" s="37" t="str">
        <f>IF(A143&amp;B143&amp;C143="","",INDEX(生物种群!$E$2:INDEX(生物种群!$E:$E,COUNTA(生物种群!$E:$E)),MATCH($I143,生物种群!$B$2:INDEX(生物种群!$B:$B,COUNTA(生物种群!$B:$B)),),))</f>
        <v/>
      </c>
      <c r="L143" s="37" t="str">
        <f>IF(A143&amp;B143&amp;C143="","",INDEX(生物种群!$F$3:INDEX(生物种群!$F:$F,COUNTA(生物种群!$F:$F)),MATCH($I143,生物种群!$B$3:INDEX(生物种群!$B:$B,COUNTA(生物种群!$B:$B)),),))</f>
        <v/>
      </c>
      <c r="M143" s="37" t="str">
        <f t="shared" si="4"/>
        <v/>
      </c>
      <c r="N143" s="37" t="str">
        <f t="shared" si="5"/>
        <v/>
      </c>
      <c r="O143" s="9"/>
      <c r="P143" s="10"/>
    </row>
    <row r="144" spans="1:16" ht="20.1" customHeight="1">
      <c r="A144" s="9"/>
      <c r="B144" s="9"/>
      <c r="C144" s="9"/>
      <c r="D144" s="43"/>
      <c r="E144" s="9"/>
      <c r="F144" s="9"/>
      <c r="G144" s="47" t="str">
        <f>IF(F144="","",INDEX(站位样品信息!$B$3:INDEX(站位样品信息!$B:$B,COUNTA(站位样品信息!$B:$B)+1),MATCH($F144,站位样品信息!$A$3:INDEX(站位样品信息!$A:$A,COUNTA(站位样品信息!$A:$A)+1),),))</f>
        <v/>
      </c>
      <c r="H144" s="37" t="str">
        <f>IF(A144&amp;B144&amp;C144="","",INDEX(生物种群!$A$2:INDEX(生物种群!$A:$A,COUNTA(生物种群!$A:$A)),MATCH($I144,生物种群!$B$2:INDEX(生物种群!$B:$B,COUNTA(生物种群!$B:$B)),),))</f>
        <v/>
      </c>
      <c r="I144" s="37" t="str">
        <f>IF(A144&amp;B144&amp;C144="","",IF($C144&lt;&gt;0,INDEX(生物种群!$B$2:INDEX(生物种群!$B:$B,COUNTA(生物种群!$B:$B)),MATCH($C144,生物种群!$G$2:INDEX(生物种群!$G:$G,COUNTA(生物种群!$G:$G)),),),IF($A144&lt;&gt;0,INDEX(生物种群!$B$2:INDEX(生物种群!$B:$B,COUNTA(生物种群!$B:$B)),MATCH($A144,生物种群!$C$2:INDEX(生物种群!$C:$C,COUNTA(生物种群!$C:$C)),),),INDEX(生物种群!$B$2:INDEX(生物种群!$B:$B,COUNTA(生物种群!$B:$B)),MATCH($B144,生物种群!$D$2:INDEX(生物种群!$D:$D,COUNTA(生物种群!$D:$D)),),))))</f>
        <v/>
      </c>
      <c r="J144" s="37" t="str">
        <f>IF(A144&amp;B144&amp;C144="","",INDEX(生物种群!$J$2:INDEX(生物种群!$J:$J,COUNTA(生物种群!$J:$J)),MATCH($I144,生物种群!$B$2:INDEX(生物种群!$B:$B,COUNTA(生物种群!$B:$B)),),))</f>
        <v/>
      </c>
      <c r="K144" s="37" t="str">
        <f>IF(A144&amp;B144&amp;C144="","",INDEX(生物种群!$E$2:INDEX(生物种群!$E:$E,COUNTA(生物种群!$E:$E)),MATCH($I144,生物种群!$B$2:INDEX(生物种群!$B:$B,COUNTA(生物种群!$B:$B)),),))</f>
        <v/>
      </c>
      <c r="L144" s="37" t="str">
        <f>IF(A144&amp;B144&amp;C144="","",INDEX(生物种群!$F$3:INDEX(生物种群!$F:$F,COUNTA(生物种群!$F:$F)),MATCH($I144,生物种群!$B$3:INDEX(生物种群!$B:$B,COUNTA(生物种群!$B:$B)),),))</f>
        <v/>
      </c>
      <c r="M144" s="37" t="str">
        <f t="shared" si="4"/>
        <v/>
      </c>
      <c r="N144" s="37" t="str">
        <f t="shared" si="5"/>
        <v/>
      </c>
      <c r="O144" s="9"/>
      <c r="P144" s="10"/>
    </row>
    <row r="145" spans="1:16" ht="20.1" customHeight="1">
      <c r="A145" s="9"/>
      <c r="B145" s="9"/>
      <c r="C145" s="9"/>
      <c r="D145" s="43"/>
      <c r="E145" s="9"/>
      <c r="F145" s="9"/>
      <c r="G145" s="47" t="str">
        <f>IF(F145="","",INDEX(站位样品信息!$B$3:INDEX(站位样品信息!$B:$B,COUNTA(站位样品信息!$B:$B)+1),MATCH($F145,站位样品信息!$A$3:INDEX(站位样品信息!$A:$A,COUNTA(站位样品信息!$A:$A)+1),),))</f>
        <v/>
      </c>
      <c r="H145" s="37" t="str">
        <f>IF(A145&amp;B145&amp;C145="","",INDEX(生物种群!$A$2:INDEX(生物种群!$A:$A,COUNTA(生物种群!$A:$A)),MATCH($I145,生物种群!$B$2:INDEX(生物种群!$B:$B,COUNTA(生物种群!$B:$B)),),))</f>
        <v/>
      </c>
      <c r="I145" s="37" t="str">
        <f>IF(A145&amp;B145&amp;C145="","",IF($C145&lt;&gt;0,INDEX(生物种群!$B$2:INDEX(生物种群!$B:$B,COUNTA(生物种群!$B:$B)),MATCH($C145,生物种群!$G$2:INDEX(生物种群!$G:$G,COUNTA(生物种群!$G:$G)),),),IF($A145&lt;&gt;0,INDEX(生物种群!$B$2:INDEX(生物种群!$B:$B,COUNTA(生物种群!$B:$B)),MATCH($A145,生物种群!$C$2:INDEX(生物种群!$C:$C,COUNTA(生物种群!$C:$C)),),),INDEX(生物种群!$B$2:INDEX(生物种群!$B:$B,COUNTA(生物种群!$B:$B)),MATCH($B145,生物种群!$D$2:INDEX(生物种群!$D:$D,COUNTA(生物种群!$D:$D)),),))))</f>
        <v/>
      </c>
      <c r="J145" s="37" t="str">
        <f>IF(A145&amp;B145&amp;C145="","",INDEX(生物种群!$J$2:INDEX(生物种群!$J:$J,COUNTA(生物种群!$J:$J)),MATCH($I145,生物种群!$B$2:INDEX(生物种群!$B:$B,COUNTA(生物种群!$B:$B)),),))</f>
        <v/>
      </c>
      <c r="K145" s="37" t="str">
        <f>IF(A145&amp;B145&amp;C145="","",INDEX(生物种群!$E$2:INDEX(生物种群!$E:$E,COUNTA(生物种群!$E:$E)),MATCH($I145,生物种群!$B$2:INDEX(生物种群!$B:$B,COUNTA(生物种群!$B:$B)),),))</f>
        <v/>
      </c>
      <c r="L145" s="37" t="str">
        <f>IF(A145&amp;B145&amp;C145="","",INDEX(生物种群!$F$3:INDEX(生物种群!$F:$F,COUNTA(生物种群!$F:$F)),MATCH($I145,生物种群!$B$3:INDEX(生物种群!$B:$B,COUNTA(生物种群!$B:$B)),),))</f>
        <v/>
      </c>
      <c r="M145" s="37" t="str">
        <f t="shared" si="4"/>
        <v/>
      </c>
      <c r="N145" s="37" t="str">
        <f t="shared" si="5"/>
        <v/>
      </c>
      <c r="O145" s="9"/>
      <c r="P145" s="10"/>
    </row>
    <row r="146" spans="1:16" ht="20.1" customHeight="1">
      <c r="A146" s="9"/>
      <c r="B146" s="9"/>
      <c r="C146" s="9"/>
      <c r="D146" s="43"/>
      <c r="E146" s="9"/>
      <c r="F146" s="9"/>
      <c r="G146" s="47" t="str">
        <f>IF(F146="","",INDEX(站位样品信息!$B$3:INDEX(站位样品信息!$B:$B,COUNTA(站位样品信息!$B:$B)+1),MATCH($F146,站位样品信息!$A$3:INDEX(站位样品信息!$A:$A,COUNTA(站位样品信息!$A:$A)+1),),))</f>
        <v/>
      </c>
      <c r="H146" s="37" t="str">
        <f>IF(A146&amp;B146&amp;C146="","",INDEX(生物种群!$A$2:INDEX(生物种群!$A:$A,COUNTA(生物种群!$A:$A)),MATCH($I146,生物种群!$B$2:INDEX(生物种群!$B:$B,COUNTA(生物种群!$B:$B)),),))</f>
        <v/>
      </c>
      <c r="I146" s="37" t="str">
        <f>IF(A146&amp;B146&amp;C146="","",IF($C146&lt;&gt;0,INDEX(生物种群!$B$2:INDEX(生物种群!$B:$B,COUNTA(生物种群!$B:$B)),MATCH($C146,生物种群!$G$2:INDEX(生物种群!$G:$G,COUNTA(生物种群!$G:$G)),),),IF($A146&lt;&gt;0,INDEX(生物种群!$B$2:INDEX(生物种群!$B:$B,COUNTA(生物种群!$B:$B)),MATCH($A146,生物种群!$C$2:INDEX(生物种群!$C:$C,COUNTA(生物种群!$C:$C)),),),INDEX(生物种群!$B$2:INDEX(生物种群!$B:$B,COUNTA(生物种群!$B:$B)),MATCH($B146,生物种群!$D$2:INDEX(生物种群!$D:$D,COUNTA(生物种群!$D:$D)),),))))</f>
        <v/>
      </c>
      <c r="J146" s="37" t="str">
        <f>IF(A146&amp;B146&amp;C146="","",INDEX(生物种群!$J$2:INDEX(生物种群!$J:$J,COUNTA(生物种群!$J:$J)),MATCH($I146,生物种群!$B$2:INDEX(生物种群!$B:$B,COUNTA(生物种群!$B:$B)),),))</f>
        <v/>
      </c>
      <c r="K146" s="37" t="str">
        <f>IF(A146&amp;B146&amp;C146="","",INDEX(生物种群!$E$2:INDEX(生物种群!$E:$E,COUNTA(生物种群!$E:$E)),MATCH($I146,生物种群!$B$2:INDEX(生物种群!$B:$B,COUNTA(生物种群!$B:$B)),),))</f>
        <v/>
      </c>
      <c r="L146" s="37" t="str">
        <f>IF(A146&amp;B146&amp;C146="","",INDEX(生物种群!$F$3:INDEX(生物种群!$F:$F,COUNTA(生物种群!$F:$F)),MATCH($I146,生物种群!$B$3:INDEX(生物种群!$B:$B,COUNTA(生物种群!$B:$B)),),))</f>
        <v/>
      </c>
      <c r="M146" s="37" t="str">
        <f t="shared" si="4"/>
        <v/>
      </c>
      <c r="N146" s="37" t="str">
        <f t="shared" si="5"/>
        <v/>
      </c>
      <c r="O146" s="9"/>
      <c r="P146" s="10"/>
    </row>
    <row r="147" spans="1:16" ht="20.1" customHeight="1">
      <c r="A147" s="9"/>
      <c r="B147" s="9"/>
      <c r="C147" s="9"/>
      <c r="D147" s="43"/>
      <c r="E147" s="9"/>
      <c r="F147" s="9"/>
      <c r="G147" s="47" t="str">
        <f>IF(F147="","",INDEX(站位样品信息!$B$3:INDEX(站位样品信息!$B:$B,COUNTA(站位样品信息!$B:$B)+1),MATCH($F147,站位样品信息!$A$3:INDEX(站位样品信息!$A:$A,COUNTA(站位样品信息!$A:$A)+1),),))</f>
        <v/>
      </c>
      <c r="H147" s="37" t="str">
        <f>IF(A147&amp;B147&amp;C147="","",INDEX(生物种群!$A$2:INDEX(生物种群!$A:$A,COUNTA(生物种群!$A:$A)),MATCH($I147,生物种群!$B$2:INDEX(生物种群!$B:$B,COUNTA(生物种群!$B:$B)),),))</f>
        <v/>
      </c>
      <c r="I147" s="37" t="str">
        <f>IF(A147&amp;B147&amp;C147="","",IF($C147&lt;&gt;0,INDEX(生物种群!$B$2:INDEX(生物种群!$B:$B,COUNTA(生物种群!$B:$B)),MATCH($C147,生物种群!$G$2:INDEX(生物种群!$G:$G,COUNTA(生物种群!$G:$G)),),),IF($A147&lt;&gt;0,INDEX(生物种群!$B$2:INDEX(生物种群!$B:$B,COUNTA(生物种群!$B:$B)),MATCH($A147,生物种群!$C$2:INDEX(生物种群!$C:$C,COUNTA(生物种群!$C:$C)),),),INDEX(生物种群!$B$2:INDEX(生物种群!$B:$B,COUNTA(生物种群!$B:$B)),MATCH($B147,生物种群!$D$2:INDEX(生物种群!$D:$D,COUNTA(生物种群!$D:$D)),),))))</f>
        <v/>
      </c>
      <c r="J147" s="37" t="str">
        <f>IF(A147&amp;B147&amp;C147="","",INDEX(生物种群!$J$2:INDEX(生物种群!$J:$J,COUNTA(生物种群!$J:$J)),MATCH($I147,生物种群!$B$2:INDEX(生物种群!$B:$B,COUNTA(生物种群!$B:$B)),),))</f>
        <v/>
      </c>
      <c r="K147" s="37" t="str">
        <f>IF(A147&amp;B147&amp;C147="","",INDEX(生物种群!$E$2:INDEX(生物种群!$E:$E,COUNTA(生物种群!$E:$E)),MATCH($I147,生物种群!$B$2:INDEX(生物种群!$B:$B,COUNTA(生物种群!$B:$B)),),))</f>
        <v/>
      </c>
      <c r="L147" s="37" t="str">
        <f>IF(A147&amp;B147&amp;C147="","",INDEX(生物种群!$F$3:INDEX(生物种群!$F:$F,COUNTA(生物种群!$F:$F)),MATCH($I147,生物种群!$B$3:INDEX(生物种群!$B:$B,COUNTA(生物种群!$B:$B)),),))</f>
        <v/>
      </c>
      <c r="M147" s="37" t="str">
        <f t="shared" si="4"/>
        <v/>
      </c>
      <c r="N147" s="37" t="str">
        <f t="shared" si="5"/>
        <v/>
      </c>
      <c r="O147" s="9"/>
      <c r="P147" s="10"/>
    </row>
    <row r="148" spans="1:16" ht="20.1" customHeight="1">
      <c r="A148" s="9"/>
      <c r="B148" s="9"/>
      <c r="C148" s="9"/>
      <c r="D148" s="43"/>
      <c r="E148" s="9"/>
      <c r="F148" s="9"/>
      <c r="G148" s="47" t="str">
        <f>IF(F148="","",INDEX(站位样品信息!$B$3:INDEX(站位样品信息!$B:$B,COUNTA(站位样品信息!$B:$B)+1),MATCH($F148,站位样品信息!$A$3:INDEX(站位样品信息!$A:$A,COUNTA(站位样品信息!$A:$A)+1),),))</f>
        <v/>
      </c>
      <c r="H148" s="37" t="str">
        <f>IF(A148&amp;B148&amp;C148="","",INDEX(生物种群!$A$2:INDEX(生物种群!$A:$A,COUNTA(生物种群!$A:$A)),MATCH($I148,生物种群!$B$2:INDEX(生物种群!$B:$B,COUNTA(生物种群!$B:$B)),),))</f>
        <v/>
      </c>
      <c r="I148" s="37" t="str">
        <f>IF(A148&amp;B148&amp;C148="","",IF($C148&lt;&gt;0,INDEX(生物种群!$B$2:INDEX(生物种群!$B:$B,COUNTA(生物种群!$B:$B)),MATCH($C148,生物种群!$G$2:INDEX(生物种群!$G:$G,COUNTA(生物种群!$G:$G)),),),IF($A148&lt;&gt;0,INDEX(生物种群!$B$2:INDEX(生物种群!$B:$B,COUNTA(生物种群!$B:$B)),MATCH($A148,生物种群!$C$2:INDEX(生物种群!$C:$C,COUNTA(生物种群!$C:$C)),),),INDEX(生物种群!$B$2:INDEX(生物种群!$B:$B,COUNTA(生物种群!$B:$B)),MATCH($B148,生物种群!$D$2:INDEX(生物种群!$D:$D,COUNTA(生物种群!$D:$D)),),))))</f>
        <v/>
      </c>
      <c r="J148" s="37" t="str">
        <f>IF(A148&amp;B148&amp;C148="","",INDEX(生物种群!$J$2:INDEX(生物种群!$J:$J,COUNTA(生物种群!$J:$J)),MATCH($I148,生物种群!$B$2:INDEX(生物种群!$B:$B,COUNTA(生物种群!$B:$B)),),))</f>
        <v/>
      </c>
      <c r="K148" s="37" t="str">
        <f>IF(A148&amp;B148&amp;C148="","",INDEX(生物种群!$E$2:INDEX(生物种群!$E:$E,COUNTA(生物种群!$E:$E)),MATCH($I148,生物种群!$B$2:INDEX(生物种群!$B:$B,COUNTA(生物种群!$B:$B)),),))</f>
        <v/>
      </c>
      <c r="L148" s="37" t="str">
        <f>IF(A148&amp;B148&amp;C148="","",INDEX(生物种群!$F$3:INDEX(生物种群!$F:$F,COUNTA(生物种群!$F:$F)),MATCH($I148,生物种群!$B$3:INDEX(生物种群!$B:$B,COUNTA(生物种群!$B:$B)),),))</f>
        <v/>
      </c>
      <c r="M148" s="37" t="str">
        <f t="shared" si="4"/>
        <v/>
      </c>
      <c r="N148" s="37" t="str">
        <f t="shared" si="5"/>
        <v/>
      </c>
      <c r="O148" s="9"/>
      <c r="P148" s="10"/>
    </row>
    <row r="149" spans="1:16" ht="20.1" customHeight="1">
      <c r="A149" s="9"/>
      <c r="B149" s="9"/>
      <c r="C149" s="9"/>
      <c r="D149" s="43"/>
      <c r="E149" s="9"/>
      <c r="F149" s="9"/>
      <c r="G149" s="47" t="str">
        <f>IF(F149="","",INDEX(站位样品信息!$B$3:INDEX(站位样品信息!$B:$B,COUNTA(站位样品信息!$B:$B)+1),MATCH($F149,站位样品信息!$A$3:INDEX(站位样品信息!$A:$A,COUNTA(站位样品信息!$A:$A)+1),),))</f>
        <v/>
      </c>
      <c r="H149" s="37" t="str">
        <f>IF(A149&amp;B149&amp;C149="","",INDEX(生物种群!$A$2:INDEX(生物种群!$A:$A,COUNTA(生物种群!$A:$A)),MATCH($I149,生物种群!$B$2:INDEX(生物种群!$B:$B,COUNTA(生物种群!$B:$B)),),))</f>
        <v/>
      </c>
      <c r="I149" s="37" t="str">
        <f>IF(A149&amp;B149&amp;C149="","",IF($C149&lt;&gt;0,INDEX(生物种群!$B$2:INDEX(生物种群!$B:$B,COUNTA(生物种群!$B:$B)),MATCH($C149,生物种群!$G$2:INDEX(生物种群!$G:$G,COUNTA(生物种群!$G:$G)),),),IF($A149&lt;&gt;0,INDEX(生物种群!$B$2:INDEX(生物种群!$B:$B,COUNTA(生物种群!$B:$B)),MATCH($A149,生物种群!$C$2:INDEX(生物种群!$C:$C,COUNTA(生物种群!$C:$C)),),),INDEX(生物种群!$B$2:INDEX(生物种群!$B:$B,COUNTA(生物种群!$B:$B)),MATCH($B149,生物种群!$D$2:INDEX(生物种群!$D:$D,COUNTA(生物种群!$D:$D)),),))))</f>
        <v/>
      </c>
      <c r="J149" s="37" t="str">
        <f>IF(A149&amp;B149&amp;C149="","",INDEX(生物种群!$J$2:INDEX(生物种群!$J:$J,COUNTA(生物种群!$J:$J)),MATCH($I149,生物种群!$B$2:INDEX(生物种群!$B:$B,COUNTA(生物种群!$B:$B)),),))</f>
        <v/>
      </c>
      <c r="K149" s="37" t="str">
        <f>IF(A149&amp;B149&amp;C149="","",INDEX(生物种群!$E$2:INDEX(生物种群!$E:$E,COUNTA(生物种群!$E:$E)),MATCH($I149,生物种群!$B$2:INDEX(生物种群!$B:$B,COUNTA(生物种群!$B:$B)),),))</f>
        <v/>
      </c>
      <c r="L149" s="37" t="str">
        <f>IF(A149&amp;B149&amp;C149="","",INDEX(生物种群!$F$3:INDEX(生物种群!$F:$F,COUNTA(生物种群!$F:$F)),MATCH($I149,生物种群!$B$3:INDEX(生物种群!$B:$B,COUNTA(生物种群!$B:$B)),),))</f>
        <v/>
      </c>
      <c r="M149" s="37" t="str">
        <f t="shared" si="4"/>
        <v/>
      </c>
      <c r="N149" s="37" t="str">
        <f t="shared" si="5"/>
        <v/>
      </c>
      <c r="O149" s="9"/>
      <c r="P149" s="10"/>
    </row>
    <row r="150" spans="1:16" ht="20.1" customHeight="1">
      <c r="A150" s="9"/>
      <c r="B150" s="9"/>
      <c r="C150" s="9"/>
      <c r="D150" s="43"/>
      <c r="E150" s="9"/>
      <c r="F150" s="9"/>
      <c r="G150" s="47" t="str">
        <f>IF(F150="","",INDEX(站位样品信息!$B$3:INDEX(站位样品信息!$B:$B,COUNTA(站位样品信息!$B:$B)+1),MATCH($F150,站位样品信息!$A$3:INDEX(站位样品信息!$A:$A,COUNTA(站位样品信息!$A:$A)+1),),))</f>
        <v/>
      </c>
      <c r="H150" s="37" t="str">
        <f>IF(A150&amp;B150&amp;C150="","",INDEX(生物种群!$A$2:INDEX(生物种群!$A:$A,COUNTA(生物种群!$A:$A)),MATCH($I150,生物种群!$B$2:INDEX(生物种群!$B:$B,COUNTA(生物种群!$B:$B)),),))</f>
        <v/>
      </c>
      <c r="I150" s="37" t="str">
        <f>IF(A150&amp;B150&amp;C150="","",IF($C150&lt;&gt;0,INDEX(生物种群!$B$2:INDEX(生物种群!$B:$B,COUNTA(生物种群!$B:$B)),MATCH($C150,生物种群!$G$2:INDEX(生物种群!$G:$G,COUNTA(生物种群!$G:$G)),),),IF($A150&lt;&gt;0,INDEX(生物种群!$B$2:INDEX(生物种群!$B:$B,COUNTA(生物种群!$B:$B)),MATCH($A150,生物种群!$C$2:INDEX(生物种群!$C:$C,COUNTA(生物种群!$C:$C)),),),INDEX(生物种群!$B$2:INDEX(生物种群!$B:$B,COUNTA(生物种群!$B:$B)),MATCH($B150,生物种群!$D$2:INDEX(生物种群!$D:$D,COUNTA(生物种群!$D:$D)),),))))</f>
        <v/>
      </c>
      <c r="J150" s="37" t="str">
        <f>IF(A150&amp;B150&amp;C150="","",INDEX(生物种群!$J$2:INDEX(生物种群!$J:$J,COUNTA(生物种群!$J:$J)),MATCH($I150,生物种群!$B$2:INDEX(生物种群!$B:$B,COUNTA(生物种群!$B:$B)),),))</f>
        <v/>
      </c>
      <c r="K150" s="37" t="str">
        <f>IF(A150&amp;B150&amp;C150="","",INDEX(生物种群!$E$2:INDEX(生物种群!$E:$E,COUNTA(生物种群!$E:$E)),MATCH($I150,生物种群!$B$2:INDEX(生物种群!$B:$B,COUNTA(生物种群!$B:$B)),),))</f>
        <v/>
      </c>
      <c r="L150" s="37" t="str">
        <f>IF(A150&amp;B150&amp;C150="","",INDEX(生物种群!$F$3:INDEX(生物种群!$F:$F,COUNTA(生物种群!$F:$F)),MATCH($I150,生物种群!$B$3:INDEX(生物种群!$B:$B,COUNTA(生物种群!$B:$B)),),))</f>
        <v/>
      </c>
      <c r="M150" s="37" t="str">
        <f t="shared" si="4"/>
        <v/>
      </c>
      <c r="N150" s="37" t="str">
        <f t="shared" si="5"/>
        <v/>
      </c>
      <c r="O150" s="9"/>
      <c r="P150" s="10"/>
    </row>
    <row r="151" spans="1:16" ht="20.1" customHeight="1">
      <c r="A151" s="9"/>
      <c r="B151" s="9"/>
      <c r="C151" s="9"/>
      <c r="D151" s="43"/>
      <c r="E151" s="9"/>
      <c r="F151" s="9"/>
      <c r="G151" s="47" t="str">
        <f>IF(F151="","",INDEX(站位样品信息!$B$3:INDEX(站位样品信息!$B:$B,COUNTA(站位样品信息!$B:$B)+1),MATCH($F151,站位样品信息!$A$3:INDEX(站位样品信息!$A:$A,COUNTA(站位样品信息!$A:$A)+1),),))</f>
        <v/>
      </c>
      <c r="H151" s="37" t="str">
        <f>IF(A151&amp;B151&amp;C151="","",INDEX(生物种群!$A$2:INDEX(生物种群!$A:$A,COUNTA(生物种群!$A:$A)),MATCH($I151,生物种群!$B$2:INDEX(生物种群!$B:$B,COUNTA(生物种群!$B:$B)),),))</f>
        <v/>
      </c>
      <c r="I151" s="37" t="str">
        <f>IF(A151&amp;B151&amp;C151="","",IF($C151&lt;&gt;0,INDEX(生物种群!$B$2:INDEX(生物种群!$B:$B,COUNTA(生物种群!$B:$B)),MATCH($C151,生物种群!$G$2:INDEX(生物种群!$G:$G,COUNTA(生物种群!$G:$G)),),),IF($A151&lt;&gt;0,INDEX(生物种群!$B$2:INDEX(生物种群!$B:$B,COUNTA(生物种群!$B:$B)),MATCH($A151,生物种群!$C$2:INDEX(生物种群!$C:$C,COUNTA(生物种群!$C:$C)),),),INDEX(生物种群!$B$2:INDEX(生物种群!$B:$B,COUNTA(生物种群!$B:$B)),MATCH($B151,生物种群!$D$2:INDEX(生物种群!$D:$D,COUNTA(生物种群!$D:$D)),),))))</f>
        <v/>
      </c>
      <c r="J151" s="37" t="str">
        <f>IF(A151&amp;B151&amp;C151="","",INDEX(生物种群!$J$2:INDEX(生物种群!$J:$J,COUNTA(生物种群!$J:$J)),MATCH($I151,生物种群!$B$2:INDEX(生物种群!$B:$B,COUNTA(生物种群!$B:$B)),),))</f>
        <v/>
      </c>
      <c r="K151" s="37" t="str">
        <f>IF(A151&amp;B151&amp;C151="","",INDEX(生物种群!$E$2:INDEX(生物种群!$E:$E,COUNTA(生物种群!$E:$E)),MATCH($I151,生物种群!$B$2:INDEX(生物种群!$B:$B,COUNTA(生物种群!$B:$B)),),))</f>
        <v/>
      </c>
      <c r="L151" s="37" t="str">
        <f>IF(A151&amp;B151&amp;C151="","",INDEX(生物种群!$F$3:INDEX(生物种群!$F:$F,COUNTA(生物种群!$F:$F)),MATCH($I151,生物种群!$B$3:INDEX(生物种群!$B:$B,COUNTA(生物种群!$B:$B)),),))</f>
        <v/>
      </c>
      <c r="M151" s="37" t="str">
        <f t="shared" si="4"/>
        <v/>
      </c>
      <c r="N151" s="37" t="str">
        <f t="shared" si="5"/>
        <v/>
      </c>
      <c r="O151" s="9"/>
      <c r="P151" s="10"/>
    </row>
    <row r="152" spans="1:16" ht="20.1" customHeight="1">
      <c r="A152" s="9"/>
      <c r="B152" s="9"/>
      <c r="C152" s="9"/>
      <c r="D152" s="43"/>
      <c r="E152" s="9"/>
      <c r="F152" s="9"/>
      <c r="G152" s="47" t="str">
        <f>IF(F152="","",INDEX(站位样品信息!$B$3:INDEX(站位样品信息!$B:$B,COUNTA(站位样品信息!$B:$B)+1),MATCH($F152,站位样品信息!$A$3:INDEX(站位样品信息!$A:$A,COUNTA(站位样品信息!$A:$A)+1),),))</f>
        <v/>
      </c>
      <c r="H152" s="37" t="str">
        <f>IF(A152&amp;B152&amp;C152="","",INDEX(生物种群!$A$2:INDEX(生物种群!$A:$A,COUNTA(生物种群!$A:$A)),MATCH($I152,生物种群!$B$2:INDEX(生物种群!$B:$B,COUNTA(生物种群!$B:$B)),),))</f>
        <v/>
      </c>
      <c r="I152" s="37" t="str">
        <f>IF(A152&amp;B152&amp;C152="","",IF($C152&lt;&gt;0,INDEX(生物种群!$B$2:INDEX(生物种群!$B:$B,COUNTA(生物种群!$B:$B)),MATCH($C152,生物种群!$G$2:INDEX(生物种群!$G:$G,COUNTA(生物种群!$G:$G)),),),IF($A152&lt;&gt;0,INDEX(生物种群!$B$2:INDEX(生物种群!$B:$B,COUNTA(生物种群!$B:$B)),MATCH($A152,生物种群!$C$2:INDEX(生物种群!$C:$C,COUNTA(生物种群!$C:$C)),),),INDEX(生物种群!$B$2:INDEX(生物种群!$B:$B,COUNTA(生物种群!$B:$B)),MATCH($B152,生物种群!$D$2:INDEX(生物种群!$D:$D,COUNTA(生物种群!$D:$D)),),))))</f>
        <v/>
      </c>
      <c r="J152" s="37" t="str">
        <f>IF(A152&amp;B152&amp;C152="","",INDEX(生物种群!$J$2:INDEX(生物种群!$J:$J,COUNTA(生物种群!$J:$J)),MATCH($I152,生物种群!$B$2:INDEX(生物种群!$B:$B,COUNTA(生物种群!$B:$B)),),))</f>
        <v/>
      </c>
      <c r="K152" s="37" t="str">
        <f>IF(A152&amp;B152&amp;C152="","",INDEX(生物种群!$E$2:INDEX(生物种群!$E:$E,COUNTA(生物种群!$E:$E)),MATCH($I152,生物种群!$B$2:INDEX(生物种群!$B:$B,COUNTA(生物种群!$B:$B)),),))</f>
        <v/>
      </c>
      <c r="L152" s="37" t="str">
        <f>IF(A152&amp;B152&amp;C152="","",INDEX(生物种群!$F$3:INDEX(生物种群!$F:$F,COUNTA(生物种群!$F:$F)),MATCH($I152,生物种群!$B$3:INDEX(生物种群!$B:$B,COUNTA(生物种群!$B:$B)),),))</f>
        <v/>
      </c>
      <c r="M152" s="37" t="str">
        <f t="shared" si="4"/>
        <v/>
      </c>
      <c r="N152" s="37" t="str">
        <f t="shared" si="5"/>
        <v/>
      </c>
      <c r="O152" s="9"/>
      <c r="P152" s="10"/>
    </row>
    <row r="153" spans="1:16" ht="20.1" customHeight="1">
      <c r="A153" s="9"/>
      <c r="B153" s="9"/>
      <c r="C153" s="9"/>
      <c r="D153" s="43"/>
      <c r="E153" s="9"/>
      <c r="F153" s="9"/>
      <c r="G153" s="47" t="str">
        <f>IF(F153="","",INDEX(站位样品信息!$B$3:INDEX(站位样品信息!$B:$B,COUNTA(站位样品信息!$B:$B)+1),MATCH($F153,站位样品信息!$A$3:INDEX(站位样品信息!$A:$A,COUNTA(站位样品信息!$A:$A)+1),),))</f>
        <v/>
      </c>
      <c r="H153" s="37" t="str">
        <f>IF(A153&amp;B153&amp;C153="","",INDEX(生物种群!$A$2:INDEX(生物种群!$A:$A,COUNTA(生物种群!$A:$A)),MATCH($I153,生物种群!$B$2:INDEX(生物种群!$B:$B,COUNTA(生物种群!$B:$B)),),))</f>
        <v/>
      </c>
      <c r="I153" s="37" t="str">
        <f>IF(A153&amp;B153&amp;C153="","",IF($C153&lt;&gt;0,INDEX(生物种群!$B$2:INDEX(生物种群!$B:$B,COUNTA(生物种群!$B:$B)),MATCH($C153,生物种群!$G$2:INDEX(生物种群!$G:$G,COUNTA(生物种群!$G:$G)),),),IF($A153&lt;&gt;0,INDEX(生物种群!$B$2:INDEX(生物种群!$B:$B,COUNTA(生物种群!$B:$B)),MATCH($A153,生物种群!$C$2:INDEX(生物种群!$C:$C,COUNTA(生物种群!$C:$C)),),),INDEX(生物种群!$B$2:INDEX(生物种群!$B:$B,COUNTA(生物种群!$B:$B)),MATCH($B153,生物种群!$D$2:INDEX(生物种群!$D:$D,COUNTA(生物种群!$D:$D)),),))))</f>
        <v/>
      </c>
      <c r="J153" s="37" t="str">
        <f>IF(A153&amp;B153&amp;C153="","",INDEX(生物种群!$J$2:INDEX(生物种群!$J:$J,COUNTA(生物种群!$J:$J)),MATCH($I153,生物种群!$B$2:INDEX(生物种群!$B:$B,COUNTA(生物种群!$B:$B)),),))</f>
        <v/>
      </c>
      <c r="K153" s="37" t="str">
        <f>IF(A153&amp;B153&amp;C153="","",INDEX(生物种群!$E$2:INDEX(生物种群!$E:$E,COUNTA(生物种群!$E:$E)),MATCH($I153,生物种群!$B$2:INDEX(生物种群!$B:$B,COUNTA(生物种群!$B:$B)),),))</f>
        <v/>
      </c>
      <c r="L153" s="37" t="str">
        <f>IF(A153&amp;B153&amp;C153="","",INDEX(生物种群!$F$3:INDEX(生物种群!$F:$F,COUNTA(生物种群!$F:$F)),MATCH($I153,生物种群!$B$3:INDEX(生物种群!$B:$B,COUNTA(生物种群!$B:$B)),),))</f>
        <v/>
      </c>
      <c r="M153" s="37" t="str">
        <f t="shared" si="4"/>
        <v/>
      </c>
      <c r="N153" s="37" t="str">
        <f t="shared" si="5"/>
        <v/>
      </c>
      <c r="O153" s="9"/>
      <c r="P153" s="10"/>
    </row>
    <row r="154" spans="1:16" ht="20.1" customHeight="1">
      <c r="A154" s="9"/>
      <c r="B154" s="9"/>
      <c r="C154" s="9"/>
      <c r="D154" s="43"/>
      <c r="E154" s="9"/>
      <c r="F154" s="9"/>
      <c r="G154" s="47" t="str">
        <f>IF(F154="","",INDEX(站位样品信息!$B$3:INDEX(站位样品信息!$B:$B,COUNTA(站位样品信息!$B:$B)+1),MATCH($F154,站位样品信息!$A$3:INDEX(站位样品信息!$A:$A,COUNTA(站位样品信息!$A:$A)+1),),))</f>
        <v/>
      </c>
      <c r="H154" s="37" t="str">
        <f>IF(A154&amp;B154&amp;C154="","",INDEX(生物种群!$A$2:INDEX(生物种群!$A:$A,COUNTA(生物种群!$A:$A)),MATCH($I154,生物种群!$B$2:INDEX(生物种群!$B:$B,COUNTA(生物种群!$B:$B)),),))</f>
        <v/>
      </c>
      <c r="I154" s="37" t="str">
        <f>IF(A154&amp;B154&amp;C154="","",IF($C154&lt;&gt;0,INDEX(生物种群!$B$2:INDEX(生物种群!$B:$B,COUNTA(生物种群!$B:$B)),MATCH($C154,生物种群!$G$2:INDEX(生物种群!$G:$G,COUNTA(生物种群!$G:$G)),),),IF($A154&lt;&gt;0,INDEX(生物种群!$B$2:INDEX(生物种群!$B:$B,COUNTA(生物种群!$B:$B)),MATCH($A154,生物种群!$C$2:INDEX(生物种群!$C:$C,COUNTA(生物种群!$C:$C)),),),INDEX(生物种群!$B$2:INDEX(生物种群!$B:$B,COUNTA(生物种群!$B:$B)),MATCH($B154,生物种群!$D$2:INDEX(生物种群!$D:$D,COUNTA(生物种群!$D:$D)),),))))</f>
        <v/>
      </c>
      <c r="J154" s="37" t="str">
        <f>IF(A154&amp;B154&amp;C154="","",INDEX(生物种群!$J$2:INDEX(生物种群!$J:$J,COUNTA(生物种群!$J:$J)),MATCH($I154,生物种群!$B$2:INDEX(生物种群!$B:$B,COUNTA(生物种群!$B:$B)),),))</f>
        <v/>
      </c>
      <c r="K154" s="37" t="str">
        <f>IF(A154&amp;B154&amp;C154="","",INDEX(生物种群!$E$2:INDEX(生物种群!$E:$E,COUNTA(生物种群!$E:$E)),MATCH($I154,生物种群!$B$2:INDEX(生物种群!$B:$B,COUNTA(生物种群!$B:$B)),),))</f>
        <v/>
      </c>
      <c r="L154" s="37" t="str">
        <f>IF(A154&amp;B154&amp;C154="","",INDEX(生物种群!$F$3:INDEX(生物种群!$F:$F,COUNTA(生物种群!$F:$F)),MATCH($I154,生物种群!$B$3:INDEX(生物种群!$B:$B,COUNTA(生物种群!$B:$B)),),))</f>
        <v/>
      </c>
      <c r="M154" s="37" t="str">
        <f t="shared" si="4"/>
        <v/>
      </c>
      <c r="N154" s="37" t="str">
        <f t="shared" si="5"/>
        <v/>
      </c>
      <c r="O154" s="9"/>
      <c r="P154" s="10"/>
    </row>
    <row r="155" spans="1:16" ht="20.1" customHeight="1">
      <c r="A155" s="9"/>
      <c r="B155" s="9"/>
      <c r="C155" s="9"/>
      <c r="D155" s="43"/>
      <c r="E155" s="9"/>
      <c r="F155" s="9"/>
      <c r="G155" s="47" t="str">
        <f>IF(F155="","",INDEX(站位样品信息!$B$3:INDEX(站位样品信息!$B:$B,COUNTA(站位样品信息!$B:$B)+1),MATCH($F155,站位样品信息!$A$3:INDEX(站位样品信息!$A:$A,COUNTA(站位样品信息!$A:$A)+1),),))</f>
        <v/>
      </c>
      <c r="H155" s="37" t="str">
        <f>IF(A155&amp;B155&amp;C155="","",INDEX(生物种群!$A$2:INDEX(生物种群!$A:$A,COUNTA(生物种群!$A:$A)),MATCH($I155,生物种群!$B$2:INDEX(生物种群!$B:$B,COUNTA(生物种群!$B:$B)),),))</f>
        <v/>
      </c>
      <c r="I155" s="37" t="str">
        <f>IF(A155&amp;B155&amp;C155="","",IF($C155&lt;&gt;0,INDEX(生物种群!$B$2:INDEX(生物种群!$B:$B,COUNTA(生物种群!$B:$B)),MATCH($C155,生物种群!$G$2:INDEX(生物种群!$G:$G,COUNTA(生物种群!$G:$G)),),),IF($A155&lt;&gt;0,INDEX(生物种群!$B$2:INDEX(生物种群!$B:$B,COUNTA(生物种群!$B:$B)),MATCH($A155,生物种群!$C$2:INDEX(生物种群!$C:$C,COUNTA(生物种群!$C:$C)),),),INDEX(生物种群!$B$2:INDEX(生物种群!$B:$B,COUNTA(生物种群!$B:$B)),MATCH($B155,生物种群!$D$2:INDEX(生物种群!$D:$D,COUNTA(生物种群!$D:$D)),),))))</f>
        <v/>
      </c>
      <c r="J155" s="37" t="str">
        <f>IF(A155&amp;B155&amp;C155="","",INDEX(生物种群!$J$2:INDEX(生物种群!$J:$J,COUNTA(生物种群!$J:$J)),MATCH($I155,生物种群!$B$2:INDEX(生物种群!$B:$B,COUNTA(生物种群!$B:$B)),),))</f>
        <v/>
      </c>
      <c r="K155" s="37" t="str">
        <f>IF(A155&amp;B155&amp;C155="","",INDEX(生物种群!$E$2:INDEX(生物种群!$E:$E,COUNTA(生物种群!$E:$E)),MATCH($I155,生物种群!$B$2:INDEX(生物种群!$B:$B,COUNTA(生物种群!$B:$B)),),))</f>
        <v/>
      </c>
      <c r="L155" s="37" t="str">
        <f>IF(A155&amp;B155&amp;C155="","",INDEX(生物种群!$F$3:INDEX(生物种群!$F:$F,COUNTA(生物种群!$F:$F)),MATCH($I155,生物种群!$B$3:INDEX(生物种群!$B:$B,COUNTA(生物种群!$B:$B)),),))</f>
        <v/>
      </c>
      <c r="M155" s="37" t="str">
        <f t="shared" si="4"/>
        <v/>
      </c>
      <c r="N155" s="37" t="str">
        <f t="shared" si="5"/>
        <v/>
      </c>
      <c r="O155" s="9"/>
      <c r="P155" s="10"/>
    </row>
    <row r="156" spans="1:16" ht="20.1" customHeight="1">
      <c r="A156" s="9"/>
      <c r="B156" s="9"/>
      <c r="C156" s="9"/>
      <c r="D156" s="43"/>
      <c r="E156" s="9"/>
      <c r="F156" s="9"/>
      <c r="G156" s="47" t="str">
        <f>IF(F156="","",INDEX(站位样品信息!$B$3:INDEX(站位样品信息!$B:$B,COUNTA(站位样品信息!$B:$B)+1),MATCH($F156,站位样品信息!$A$3:INDEX(站位样品信息!$A:$A,COUNTA(站位样品信息!$A:$A)+1),),))</f>
        <v/>
      </c>
      <c r="H156" s="37" t="str">
        <f>IF(A156&amp;B156&amp;C156="","",INDEX(生物种群!$A$2:INDEX(生物种群!$A:$A,COUNTA(生物种群!$A:$A)),MATCH($I156,生物种群!$B$2:INDEX(生物种群!$B:$B,COUNTA(生物种群!$B:$B)),),))</f>
        <v/>
      </c>
      <c r="I156" s="37" t="str">
        <f>IF(A156&amp;B156&amp;C156="","",IF($C156&lt;&gt;0,INDEX(生物种群!$B$2:INDEX(生物种群!$B:$B,COUNTA(生物种群!$B:$B)),MATCH($C156,生物种群!$G$2:INDEX(生物种群!$G:$G,COUNTA(生物种群!$G:$G)),),),IF($A156&lt;&gt;0,INDEX(生物种群!$B$2:INDEX(生物种群!$B:$B,COUNTA(生物种群!$B:$B)),MATCH($A156,生物种群!$C$2:INDEX(生物种群!$C:$C,COUNTA(生物种群!$C:$C)),),),INDEX(生物种群!$B$2:INDEX(生物种群!$B:$B,COUNTA(生物种群!$B:$B)),MATCH($B156,生物种群!$D$2:INDEX(生物种群!$D:$D,COUNTA(生物种群!$D:$D)),),))))</f>
        <v/>
      </c>
      <c r="J156" s="37" t="str">
        <f>IF(A156&amp;B156&amp;C156="","",INDEX(生物种群!$J$2:INDEX(生物种群!$J:$J,COUNTA(生物种群!$J:$J)),MATCH($I156,生物种群!$B$2:INDEX(生物种群!$B:$B,COUNTA(生物种群!$B:$B)),),))</f>
        <v/>
      </c>
      <c r="K156" s="37" t="str">
        <f>IF(A156&amp;B156&amp;C156="","",INDEX(生物种群!$E$2:INDEX(生物种群!$E:$E,COUNTA(生物种群!$E:$E)),MATCH($I156,生物种群!$B$2:INDEX(生物种群!$B:$B,COUNTA(生物种群!$B:$B)),),))</f>
        <v/>
      </c>
      <c r="L156" s="37" t="str">
        <f>IF(A156&amp;B156&amp;C156="","",INDEX(生物种群!$F$3:INDEX(生物种群!$F:$F,COUNTA(生物种群!$F:$F)),MATCH($I156,生物种群!$B$3:INDEX(生物种群!$B:$B,COUNTA(生物种群!$B:$B)),),))</f>
        <v/>
      </c>
      <c r="M156" s="37" t="str">
        <f t="shared" si="4"/>
        <v/>
      </c>
      <c r="N156" s="37" t="str">
        <f t="shared" si="5"/>
        <v/>
      </c>
      <c r="O156" s="9"/>
      <c r="P156" s="10"/>
    </row>
    <row r="157" spans="1:16" ht="20.1" customHeight="1">
      <c r="A157" s="9"/>
      <c r="B157" s="9"/>
      <c r="C157" s="9"/>
      <c r="D157" s="43"/>
      <c r="E157" s="9"/>
      <c r="F157" s="9"/>
      <c r="G157" s="47" t="str">
        <f>IF(F157="","",INDEX(站位样品信息!$B$3:INDEX(站位样品信息!$B:$B,COUNTA(站位样品信息!$B:$B)+1),MATCH($F157,站位样品信息!$A$3:INDEX(站位样品信息!$A:$A,COUNTA(站位样品信息!$A:$A)+1),),))</f>
        <v/>
      </c>
      <c r="H157" s="37" t="str">
        <f>IF(A157&amp;B157&amp;C157="","",INDEX(生物种群!$A$2:INDEX(生物种群!$A:$A,COUNTA(生物种群!$A:$A)),MATCH($I157,生物种群!$B$2:INDEX(生物种群!$B:$B,COUNTA(生物种群!$B:$B)),),))</f>
        <v/>
      </c>
      <c r="I157" s="37" t="str">
        <f>IF(A157&amp;B157&amp;C157="","",IF($C157&lt;&gt;0,INDEX(生物种群!$B$2:INDEX(生物种群!$B:$B,COUNTA(生物种群!$B:$B)),MATCH($C157,生物种群!$G$2:INDEX(生物种群!$G:$G,COUNTA(生物种群!$G:$G)),),),IF($A157&lt;&gt;0,INDEX(生物种群!$B$2:INDEX(生物种群!$B:$B,COUNTA(生物种群!$B:$B)),MATCH($A157,生物种群!$C$2:INDEX(生物种群!$C:$C,COUNTA(生物种群!$C:$C)),),),INDEX(生物种群!$B$2:INDEX(生物种群!$B:$B,COUNTA(生物种群!$B:$B)),MATCH($B157,生物种群!$D$2:INDEX(生物种群!$D:$D,COUNTA(生物种群!$D:$D)),),))))</f>
        <v/>
      </c>
      <c r="J157" s="37" t="str">
        <f>IF(A157&amp;B157&amp;C157="","",INDEX(生物种群!$J$2:INDEX(生物种群!$J:$J,COUNTA(生物种群!$J:$J)),MATCH($I157,生物种群!$B$2:INDEX(生物种群!$B:$B,COUNTA(生物种群!$B:$B)),),))</f>
        <v/>
      </c>
      <c r="K157" s="37" t="str">
        <f>IF(A157&amp;B157&amp;C157="","",INDEX(生物种群!$E$2:INDEX(生物种群!$E:$E,COUNTA(生物种群!$E:$E)),MATCH($I157,生物种群!$B$2:INDEX(生物种群!$B:$B,COUNTA(生物种群!$B:$B)),),))</f>
        <v/>
      </c>
      <c r="L157" s="37" t="str">
        <f>IF(A157&amp;B157&amp;C157="","",INDEX(生物种群!$F$3:INDEX(生物种群!$F:$F,COUNTA(生物种群!$F:$F)),MATCH($I157,生物种群!$B$3:INDEX(生物种群!$B:$B,COUNTA(生物种群!$B:$B)),),))</f>
        <v/>
      </c>
      <c r="M157" s="37" t="str">
        <f t="shared" si="4"/>
        <v/>
      </c>
      <c r="N157" s="37" t="str">
        <f t="shared" si="5"/>
        <v/>
      </c>
      <c r="O157" s="9"/>
      <c r="P157" s="10"/>
    </row>
    <row r="158" spans="1:16" ht="20.1" customHeight="1">
      <c r="A158" s="9"/>
      <c r="B158" s="9"/>
      <c r="C158" s="9"/>
      <c r="D158" s="43"/>
      <c r="E158" s="9"/>
      <c r="F158" s="9"/>
      <c r="G158" s="47" t="str">
        <f>IF(F158="","",INDEX(站位样品信息!$B$3:INDEX(站位样品信息!$B:$B,COUNTA(站位样品信息!$B:$B)+1),MATCH($F158,站位样品信息!$A$3:INDEX(站位样品信息!$A:$A,COUNTA(站位样品信息!$A:$A)+1),),))</f>
        <v/>
      </c>
      <c r="H158" s="37" t="str">
        <f>IF(A158&amp;B158&amp;C158="","",INDEX(生物种群!$A$2:INDEX(生物种群!$A:$A,COUNTA(生物种群!$A:$A)),MATCH($I158,生物种群!$B$2:INDEX(生物种群!$B:$B,COUNTA(生物种群!$B:$B)),),))</f>
        <v/>
      </c>
      <c r="I158" s="37" t="str">
        <f>IF(A158&amp;B158&amp;C158="","",IF($C158&lt;&gt;0,INDEX(生物种群!$B$2:INDEX(生物种群!$B:$B,COUNTA(生物种群!$B:$B)),MATCH($C158,生物种群!$G$2:INDEX(生物种群!$G:$G,COUNTA(生物种群!$G:$G)),),),IF($A158&lt;&gt;0,INDEX(生物种群!$B$2:INDEX(生物种群!$B:$B,COUNTA(生物种群!$B:$B)),MATCH($A158,生物种群!$C$2:INDEX(生物种群!$C:$C,COUNTA(生物种群!$C:$C)),),),INDEX(生物种群!$B$2:INDEX(生物种群!$B:$B,COUNTA(生物种群!$B:$B)),MATCH($B158,生物种群!$D$2:INDEX(生物种群!$D:$D,COUNTA(生物种群!$D:$D)),),))))</f>
        <v/>
      </c>
      <c r="J158" s="37" t="str">
        <f>IF(A158&amp;B158&amp;C158="","",INDEX(生物种群!$J$2:INDEX(生物种群!$J:$J,COUNTA(生物种群!$J:$J)),MATCH($I158,生物种群!$B$2:INDEX(生物种群!$B:$B,COUNTA(生物种群!$B:$B)),),))</f>
        <v/>
      </c>
      <c r="K158" s="37" t="str">
        <f>IF(A158&amp;B158&amp;C158="","",INDEX(生物种群!$E$2:INDEX(生物种群!$E:$E,COUNTA(生物种群!$E:$E)),MATCH($I158,生物种群!$B$2:INDEX(生物种群!$B:$B,COUNTA(生物种群!$B:$B)),),))</f>
        <v/>
      </c>
      <c r="L158" s="37" t="str">
        <f>IF(A158&amp;B158&amp;C158="","",INDEX(生物种群!$F$3:INDEX(生物种群!$F:$F,COUNTA(生物种群!$F:$F)),MATCH($I158,生物种群!$B$3:INDEX(生物种群!$B:$B,COUNTA(生物种群!$B:$B)),),))</f>
        <v/>
      </c>
      <c r="M158" s="37" t="str">
        <f t="shared" si="4"/>
        <v/>
      </c>
      <c r="N158" s="37" t="str">
        <f t="shared" si="5"/>
        <v/>
      </c>
      <c r="O158" s="9"/>
      <c r="P158" s="10"/>
    </row>
    <row r="159" spans="1:16" ht="20.1" customHeight="1">
      <c r="A159" s="9"/>
      <c r="B159" s="9"/>
      <c r="C159" s="9"/>
      <c r="D159" s="43"/>
      <c r="E159" s="9"/>
      <c r="F159" s="9"/>
      <c r="G159" s="47" t="str">
        <f>IF(F159="","",INDEX(站位样品信息!$B$3:INDEX(站位样品信息!$B:$B,COUNTA(站位样品信息!$B:$B)+1),MATCH($F159,站位样品信息!$A$3:INDEX(站位样品信息!$A:$A,COUNTA(站位样品信息!$A:$A)+1),),))</f>
        <v/>
      </c>
      <c r="H159" s="37" t="str">
        <f>IF(A159&amp;B159&amp;C159="","",INDEX(生物种群!$A$2:INDEX(生物种群!$A:$A,COUNTA(生物种群!$A:$A)),MATCH($I159,生物种群!$B$2:INDEX(生物种群!$B:$B,COUNTA(生物种群!$B:$B)),),))</f>
        <v/>
      </c>
      <c r="I159" s="37" t="str">
        <f>IF(A159&amp;B159&amp;C159="","",IF($C159&lt;&gt;0,INDEX(生物种群!$B$2:INDEX(生物种群!$B:$B,COUNTA(生物种群!$B:$B)),MATCH($C159,生物种群!$G$2:INDEX(生物种群!$G:$G,COUNTA(生物种群!$G:$G)),),),IF($A159&lt;&gt;0,INDEX(生物种群!$B$2:INDEX(生物种群!$B:$B,COUNTA(生物种群!$B:$B)),MATCH($A159,生物种群!$C$2:INDEX(生物种群!$C:$C,COUNTA(生物种群!$C:$C)),),),INDEX(生物种群!$B$2:INDEX(生物种群!$B:$B,COUNTA(生物种群!$B:$B)),MATCH($B159,生物种群!$D$2:INDEX(生物种群!$D:$D,COUNTA(生物种群!$D:$D)),),))))</f>
        <v/>
      </c>
      <c r="J159" s="37" t="str">
        <f>IF(A159&amp;B159&amp;C159="","",INDEX(生物种群!$J$2:INDEX(生物种群!$J:$J,COUNTA(生物种群!$J:$J)),MATCH($I159,生物种群!$B$2:INDEX(生物种群!$B:$B,COUNTA(生物种群!$B:$B)),),))</f>
        <v/>
      </c>
      <c r="K159" s="37" t="str">
        <f>IF(A159&amp;B159&amp;C159="","",INDEX(生物种群!$E$2:INDEX(生物种群!$E:$E,COUNTA(生物种群!$E:$E)),MATCH($I159,生物种群!$B$2:INDEX(生物种群!$B:$B,COUNTA(生物种群!$B:$B)),),))</f>
        <v/>
      </c>
      <c r="L159" s="37" t="str">
        <f>IF(A159&amp;B159&amp;C159="","",INDEX(生物种群!$F$3:INDEX(生物种群!$F:$F,COUNTA(生物种群!$F:$F)),MATCH($I159,生物种群!$B$3:INDEX(生物种群!$B:$B,COUNTA(生物种群!$B:$B)),),))</f>
        <v/>
      </c>
      <c r="M159" s="37" t="str">
        <f t="shared" si="4"/>
        <v/>
      </c>
      <c r="N159" s="37" t="str">
        <f t="shared" si="5"/>
        <v/>
      </c>
      <c r="O159" s="9"/>
      <c r="P159" s="10"/>
    </row>
    <row r="160" spans="1:16" ht="20.1" customHeight="1">
      <c r="A160" s="9"/>
      <c r="B160" s="9"/>
      <c r="C160" s="9"/>
      <c r="D160" s="43"/>
      <c r="E160" s="9"/>
      <c r="F160" s="9"/>
      <c r="G160" s="47" t="str">
        <f>IF(F160="","",INDEX(站位样品信息!$B$3:INDEX(站位样品信息!$B:$B,COUNTA(站位样品信息!$B:$B)+1),MATCH($F160,站位样品信息!$A$3:INDEX(站位样品信息!$A:$A,COUNTA(站位样品信息!$A:$A)+1),),))</f>
        <v/>
      </c>
      <c r="H160" s="37" t="str">
        <f>IF(A160&amp;B160&amp;C160="","",INDEX(生物种群!$A$2:INDEX(生物种群!$A:$A,COUNTA(生物种群!$A:$A)),MATCH($I160,生物种群!$B$2:INDEX(生物种群!$B:$B,COUNTA(生物种群!$B:$B)),),))</f>
        <v/>
      </c>
      <c r="I160" s="37" t="str">
        <f>IF(A160&amp;B160&amp;C160="","",IF($C160&lt;&gt;0,INDEX(生物种群!$B$2:INDEX(生物种群!$B:$B,COUNTA(生物种群!$B:$B)),MATCH($C160,生物种群!$G$2:INDEX(生物种群!$G:$G,COUNTA(生物种群!$G:$G)),),),IF($A160&lt;&gt;0,INDEX(生物种群!$B$2:INDEX(生物种群!$B:$B,COUNTA(生物种群!$B:$B)),MATCH($A160,生物种群!$C$2:INDEX(生物种群!$C:$C,COUNTA(生物种群!$C:$C)),),),INDEX(生物种群!$B$2:INDEX(生物种群!$B:$B,COUNTA(生物种群!$B:$B)),MATCH($B160,生物种群!$D$2:INDEX(生物种群!$D:$D,COUNTA(生物种群!$D:$D)),),))))</f>
        <v/>
      </c>
      <c r="J160" s="37" t="str">
        <f>IF(A160&amp;B160&amp;C160="","",INDEX(生物种群!$J$2:INDEX(生物种群!$J:$J,COUNTA(生物种群!$J:$J)),MATCH($I160,生物种群!$B$2:INDEX(生物种群!$B:$B,COUNTA(生物种群!$B:$B)),),))</f>
        <v/>
      </c>
      <c r="K160" s="37" t="str">
        <f>IF(A160&amp;B160&amp;C160="","",INDEX(生物种群!$E$2:INDEX(生物种群!$E:$E,COUNTA(生物种群!$E:$E)),MATCH($I160,生物种群!$B$2:INDEX(生物种群!$B:$B,COUNTA(生物种群!$B:$B)),),))</f>
        <v/>
      </c>
      <c r="L160" s="37" t="str">
        <f>IF(A160&amp;B160&amp;C160="","",INDEX(生物种群!$F$3:INDEX(生物种群!$F:$F,COUNTA(生物种群!$F:$F)),MATCH($I160,生物种群!$B$3:INDEX(生物种群!$B:$B,COUNTA(生物种群!$B:$B)),),))</f>
        <v/>
      </c>
      <c r="M160" s="37" t="str">
        <f t="shared" si="4"/>
        <v/>
      </c>
      <c r="N160" s="37" t="str">
        <f t="shared" si="5"/>
        <v/>
      </c>
      <c r="O160" s="9"/>
      <c r="P160" s="10"/>
    </row>
    <row r="161" spans="1:16" ht="20.1" customHeight="1">
      <c r="A161" s="9"/>
      <c r="B161" s="9"/>
      <c r="C161" s="9"/>
      <c r="D161" s="43"/>
      <c r="E161" s="9"/>
      <c r="F161" s="9"/>
      <c r="G161" s="47" t="str">
        <f>IF(F161="","",INDEX(站位样品信息!$B$3:INDEX(站位样品信息!$B:$B,COUNTA(站位样品信息!$B:$B)+1),MATCH($F161,站位样品信息!$A$3:INDEX(站位样品信息!$A:$A,COUNTA(站位样品信息!$A:$A)+1),),))</f>
        <v/>
      </c>
      <c r="H161" s="37" t="str">
        <f>IF(A161&amp;B161&amp;C161="","",INDEX(生物种群!$A$2:INDEX(生物种群!$A:$A,COUNTA(生物种群!$A:$A)),MATCH($I161,生物种群!$B$2:INDEX(生物种群!$B:$B,COUNTA(生物种群!$B:$B)),),))</f>
        <v/>
      </c>
      <c r="I161" s="37" t="str">
        <f>IF(A161&amp;B161&amp;C161="","",IF($C161&lt;&gt;0,INDEX(生物种群!$B$2:INDEX(生物种群!$B:$B,COUNTA(生物种群!$B:$B)),MATCH($C161,生物种群!$G$2:INDEX(生物种群!$G:$G,COUNTA(生物种群!$G:$G)),),),IF($A161&lt;&gt;0,INDEX(生物种群!$B$2:INDEX(生物种群!$B:$B,COUNTA(生物种群!$B:$B)),MATCH($A161,生物种群!$C$2:INDEX(生物种群!$C:$C,COUNTA(生物种群!$C:$C)),),),INDEX(生物种群!$B$2:INDEX(生物种群!$B:$B,COUNTA(生物种群!$B:$B)),MATCH($B161,生物种群!$D$2:INDEX(生物种群!$D:$D,COUNTA(生物种群!$D:$D)),),))))</f>
        <v/>
      </c>
      <c r="J161" s="37" t="str">
        <f>IF(A161&amp;B161&amp;C161="","",INDEX(生物种群!$J$2:INDEX(生物种群!$J:$J,COUNTA(生物种群!$J:$J)),MATCH($I161,生物种群!$B$2:INDEX(生物种群!$B:$B,COUNTA(生物种群!$B:$B)),),))</f>
        <v/>
      </c>
      <c r="K161" s="37" t="str">
        <f>IF(A161&amp;B161&amp;C161="","",INDEX(生物种群!$E$2:INDEX(生物种群!$E:$E,COUNTA(生物种群!$E:$E)),MATCH($I161,生物种群!$B$2:INDEX(生物种群!$B:$B,COUNTA(生物种群!$B:$B)),),))</f>
        <v/>
      </c>
      <c r="L161" s="37" t="str">
        <f>IF(A161&amp;B161&amp;C161="","",INDEX(生物种群!$F$3:INDEX(生物种群!$F:$F,COUNTA(生物种群!$F:$F)),MATCH($I161,生物种群!$B$3:INDEX(生物种群!$B:$B,COUNTA(生物种群!$B:$B)),),))</f>
        <v/>
      </c>
      <c r="M161" s="37" t="str">
        <f t="shared" si="4"/>
        <v/>
      </c>
      <c r="N161" s="37" t="str">
        <f t="shared" si="5"/>
        <v/>
      </c>
      <c r="O161" s="9"/>
      <c r="P161" s="10"/>
    </row>
    <row r="162" spans="1:16" ht="20.1" customHeight="1">
      <c r="A162" s="9"/>
      <c r="B162" s="9"/>
      <c r="C162" s="9"/>
      <c r="D162" s="43"/>
      <c r="E162" s="9"/>
      <c r="F162" s="9"/>
      <c r="G162" s="47" t="str">
        <f>IF(F162="","",INDEX(站位样品信息!$B$3:INDEX(站位样品信息!$B:$B,COUNTA(站位样品信息!$B:$B)+1),MATCH($F162,站位样品信息!$A$3:INDEX(站位样品信息!$A:$A,COUNTA(站位样品信息!$A:$A)+1),),))</f>
        <v/>
      </c>
      <c r="H162" s="37" t="str">
        <f>IF(A162&amp;B162&amp;C162="","",INDEX(生物种群!$A$2:INDEX(生物种群!$A:$A,COUNTA(生物种群!$A:$A)),MATCH($I162,生物种群!$B$2:INDEX(生物种群!$B:$B,COUNTA(生物种群!$B:$B)),),))</f>
        <v/>
      </c>
      <c r="I162" s="37" t="str">
        <f>IF(A162&amp;B162&amp;C162="","",IF($C162&lt;&gt;0,INDEX(生物种群!$B$2:INDEX(生物种群!$B:$B,COUNTA(生物种群!$B:$B)),MATCH($C162,生物种群!$G$2:INDEX(生物种群!$G:$G,COUNTA(生物种群!$G:$G)),),),IF($A162&lt;&gt;0,INDEX(生物种群!$B$2:INDEX(生物种群!$B:$B,COUNTA(生物种群!$B:$B)),MATCH($A162,生物种群!$C$2:INDEX(生物种群!$C:$C,COUNTA(生物种群!$C:$C)),),),INDEX(生物种群!$B$2:INDEX(生物种群!$B:$B,COUNTA(生物种群!$B:$B)),MATCH($B162,生物种群!$D$2:INDEX(生物种群!$D:$D,COUNTA(生物种群!$D:$D)),),))))</f>
        <v/>
      </c>
      <c r="J162" s="37" t="str">
        <f>IF(A162&amp;B162&amp;C162="","",INDEX(生物种群!$J$2:INDEX(生物种群!$J:$J,COUNTA(生物种群!$J:$J)),MATCH($I162,生物种群!$B$2:INDEX(生物种群!$B:$B,COUNTA(生物种群!$B:$B)),),))</f>
        <v/>
      </c>
      <c r="K162" s="37" t="str">
        <f>IF(A162&amp;B162&amp;C162="","",INDEX(生物种群!$E$2:INDEX(生物种群!$E:$E,COUNTA(生物种群!$E:$E)),MATCH($I162,生物种群!$B$2:INDEX(生物种群!$B:$B,COUNTA(生物种群!$B:$B)),),))</f>
        <v/>
      </c>
      <c r="L162" s="37" t="str">
        <f>IF(A162&amp;B162&amp;C162="","",INDEX(生物种群!$F$3:INDEX(生物种群!$F:$F,COUNTA(生物种群!$F:$F)),MATCH($I162,生物种群!$B$3:INDEX(生物种群!$B:$B,COUNTA(生物种群!$B:$B)),),))</f>
        <v/>
      </c>
      <c r="M162" s="37" t="str">
        <f t="shared" si="4"/>
        <v/>
      </c>
      <c r="N162" s="37" t="str">
        <f t="shared" si="5"/>
        <v/>
      </c>
      <c r="O162" s="9"/>
      <c r="P162" s="10"/>
    </row>
    <row r="163" spans="1:16" ht="20.1" customHeight="1">
      <c r="A163" s="9"/>
      <c r="B163" s="9"/>
      <c r="C163" s="9"/>
      <c r="D163" s="43"/>
      <c r="E163" s="9"/>
      <c r="F163" s="9"/>
      <c r="G163" s="47" t="str">
        <f>IF(F163="","",INDEX(站位样品信息!$B$3:INDEX(站位样品信息!$B:$B,COUNTA(站位样品信息!$B:$B)+1),MATCH($F163,站位样品信息!$A$3:INDEX(站位样品信息!$A:$A,COUNTA(站位样品信息!$A:$A)+1),),))</f>
        <v/>
      </c>
      <c r="H163" s="37" t="str">
        <f>IF(A163&amp;B163&amp;C163="","",INDEX(生物种群!$A$2:INDEX(生物种群!$A:$A,COUNTA(生物种群!$A:$A)),MATCH($I163,生物种群!$B$2:INDEX(生物种群!$B:$B,COUNTA(生物种群!$B:$B)),),))</f>
        <v/>
      </c>
      <c r="I163" s="37" t="str">
        <f>IF(A163&amp;B163&amp;C163="","",IF($C163&lt;&gt;0,INDEX(生物种群!$B$2:INDEX(生物种群!$B:$B,COUNTA(生物种群!$B:$B)),MATCH($C163,生物种群!$G$2:INDEX(生物种群!$G:$G,COUNTA(生物种群!$G:$G)),),),IF($A163&lt;&gt;0,INDEX(生物种群!$B$2:INDEX(生物种群!$B:$B,COUNTA(生物种群!$B:$B)),MATCH($A163,生物种群!$C$2:INDEX(生物种群!$C:$C,COUNTA(生物种群!$C:$C)),),),INDEX(生物种群!$B$2:INDEX(生物种群!$B:$B,COUNTA(生物种群!$B:$B)),MATCH($B163,生物种群!$D$2:INDEX(生物种群!$D:$D,COUNTA(生物种群!$D:$D)),),))))</f>
        <v/>
      </c>
      <c r="J163" s="37" t="str">
        <f>IF(A163&amp;B163&amp;C163="","",INDEX(生物种群!$J$2:INDEX(生物种群!$J:$J,COUNTA(生物种群!$J:$J)),MATCH($I163,生物种群!$B$2:INDEX(生物种群!$B:$B,COUNTA(生物种群!$B:$B)),),))</f>
        <v/>
      </c>
      <c r="K163" s="37" t="str">
        <f>IF(A163&amp;B163&amp;C163="","",INDEX(生物种群!$E$2:INDEX(生物种群!$E:$E,COUNTA(生物种群!$E:$E)),MATCH($I163,生物种群!$B$2:INDEX(生物种群!$B:$B,COUNTA(生物种群!$B:$B)),),))</f>
        <v/>
      </c>
      <c r="L163" s="37" t="str">
        <f>IF(A163&amp;B163&amp;C163="","",INDEX(生物种群!$F$3:INDEX(生物种群!$F:$F,COUNTA(生物种群!$F:$F)),MATCH($I163,生物种群!$B$3:INDEX(生物种群!$B:$B,COUNTA(生物种群!$B:$B)),),))</f>
        <v/>
      </c>
      <c r="M163" s="37" t="str">
        <f t="shared" si="4"/>
        <v/>
      </c>
      <c r="N163" s="37" t="str">
        <f t="shared" si="5"/>
        <v/>
      </c>
      <c r="O163" s="9"/>
      <c r="P163" s="10"/>
    </row>
    <row r="164" spans="1:16" ht="20.1" customHeight="1">
      <c r="A164" s="9"/>
      <c r="B164" s="9"/>
      <c r="C164" s="9"/>
      <c r="D164" s="43"/>
      <c r="E164" s="9"/>
      <c r="F164" s="9"/>
      <c r="G164" s="47" t="str">
        <f>IF(F164="","",INDEX(站位样品信息!$B$3:INDEX(站位样品信息!$B:$B,COUNTA(站位样品信息!$B:$B)+1),MATCH($F164,站位样品信息!$A$3:INDEX(站位样品信息!$A:$A,COUNTA(站位样品信息!$A:$A)+1),),))</f>
        <v/>
      </c>
      <c r="H164" s="37" t="str">
        <f>IF(A164&amp;B164&amp;C164="","",INDEX(生物种群!$A$2:INDEX(生物种群!$A:$A,COUNTA(生物种群!$A:$A)),MATCH($I164,生物种群!$B$2:INDEX(生物种群!$B:$B,COUNTA(生物种群!$B:$B)),),))</f>
        <v/>
      </c>
      <c r="I164" s="37" t="str">
        <f>IF(A164&amp;B164&amp;C164="","",IF($C164&lt;&gt;0,INDEX(生物种群!$B$2:INDEX(生物种群!$B:$B,COUNTA(生物种群!$B:$B)),MATCH($C164,生物种群!$G$2:INDEX(生物种群!$G:$G,COUNTA(生物种群!$G:$G)),),),IF($A164&lt;&gt;0,INDEX(生物种群!$B$2:INDEX(生物种群!$B:$B,COUNTA(生物种群!$B:$B)),MATCH($A164,生物种群!$C$2:INDEX(生物种群!$C:$C,COUNTA(生物种群!$C:$C)),),),INDEX(生物种群!$B$2:INDEX(生物种群!$B:$B,COUNTA(生物种群!$B:$B)),MATCH($B164,生物种群!$D$2:INDEX(生物种群!$D:$D,COUNTA(生物种群!$D:$D)),),))))</f>
        <v/>
      </c>
      <c r="J164" s="37" t="str">
        <f>IF(A164&amp;B164&amp;C164="","",INDEX(生物种群!$J$2:INDEX(生物种群!$J:$J,COUNTA(生物种群!$J:$J)),MATCH($I164,生物种群!$B$2:INDEX(生物种群!$B:$B,COUNTA(生物种群!$B:$B)),),))</f>
        <v/>
      </c>
      <c r="K164" s="37" t="str">
        <f>IF(A164&amp;B164&amp;C164="","",INDEX(生物种群!$E$2:INDEX(生物种群!$E:$E,COUNTA(生物种群!$E:$E)),MATCH($I164,生物种群!$B$2:INDEX(生物种群!$B:$B,COUNTA(生物种群!$B:$B)),),))</f>
        <v/>
      </c>
      <c r="L164" s="37" t="str">
        <f>IF(A164&amp;B164&amp;C164="","",INDEX(生物种群!$F$3:INDEX(生物种群!$F:$F,COUNTA(生物种群!$F:$F)),MATCH($I164,生物种群!$B$3:INDEX(生物种群!$B:$B,COUNTA(生物种群!$B:$B)),),))</f>
        <v/>
      </c>
      <c r="M164" s="37" t="str">
        <f t="shared" si="4"/>
        <v/>
      </c>
      <c r="N164" s="37" t="str">
        <f t="shared" si="5"/>
        <v/>
      </c>
      <c r="O164" s="9"/>
      <c r="P164" s="10"/>
    </row>
    <row r="165" spans="1:16" ht="20.1" customHeight="1">
      <c r="A165" s="9"/>
      <c r="B165" s="9"/>
      <c r="C165" s="9"/>
      <c r="D165" s="43"/>
      <c r="E165" s="9"/>
      <c r="F165" s="9"/>
      <c r="G165" s="47" t="str">
        <f>IF(F165="","",INDEX(站位样品信息!$B$3:INDEX(站位样品信息!$B:$B,COUNTA(站位样品信息!$B:$B)+1),MATCH($F165,站位样品信息!$A$3:INDEX(站位样品信息!$A:$A,COUNTA(站位样品信息!$A:$A)+1),),))</f>
        <v/>
      </c>
      <c r="H165" s="37" t="str">
        <f>IF(A165&amp;B165&amp;C165="","",INDEX(生物种群!$A$2:INDEX(生物种群!$A:$A,COUNTA(生物种群!$A:$A)),MATCH($I165,生物种群!$B$2:INDEX(生物种群!$B:$B,COUNTA(生物种群!$B:$B)),),))</f>
        <v/>
      </c>
      <c r="I165" s="37" t="str">
        <f>IF(A165&amp;B165&amp;C165="","",IF($C165&lt;&gt;0,INDEX(生物种群!$B$2:INDEX(生物种群!$B:$B,COUNTA(生物种群!$B:$B)),MATCH($C165,生物种群!$G$2:INDEX(生物种群!$G:$G,COUNTA(生物种群!$G:$G)),),),IF($A165&lt;&gt;0,INDEX(生物种群!$B$2:INDEX(生物种群!$B:$B,COUNTA(生物种群!$B:$B)),MATCH($A165,生物种群!$C$2:INDEX(生物种群!$C:$C,COUNTA(生物种群!$C:$C)),),),INDEX(生物种群!$B$2:INDEX(生物种群!$B:$B,COUNTA(生物种群!$B:$B)),MATCH($B165,生物种群!$D$2:INDEX(生物种群!$D:$D,COUNTA(生物种群!$D:$D)),),))))</f>
        <v/>
      </c>
      <c r="J165" s="37" t="str">
        <f>IF(A165&amp;B165&amp;C165="","",INDEX(生物种群!$J$2:INDEX(生物种群!$J:$J,COUNTA(生物种群!$J:$J)),MATCH($I165,生物种群!$B$2:INDEX(生物种群!$B:$B,COUNTA(生物种群!$B:$B)),),))</f>
        <v/>
      </c>
      <c r="K165" s="37" t="str">
        <f>IF(A165&amp;B165&amp;C165="","",INDEX(生物种群!$E$2:INDEX(生物种群!$E:$E,COUNTA(生物种群!$E:$E)),MATCH($I165,生物种群!$B$2:INDEX(生物种群!$B:$B,COUNTA(生物种群!$B:$B)),),))</f>
        <v/>
      </c>
      <c r="L165" s="37" t="str">
        <f>IF(A165&amp;B165&amp;C165="","",INDEX(生物种群!$F$3:INDEX(生物种群!$F:$F,COUNTA(生物种群!$F:$F)),MATCH($I165,生物种群!$B$3:INDEX(生物种群!$B:$B,COUNTA(生物种群!$B:$B)),),))</f>
        <v/>
      </c>
      <c r="M165" s="37" t="str">
        <f t="shared" si="4"/>
        <v/>
      </c>
      <c r="N165" s="37" t="str">
        <f t="shared" si="5"/>
        <v/>
      </c>
      <c r="O165" s="9"/>
      <c r="P165" s="10"/>
    </row>
    <row r="166" spans="1:16" ht="20.1" customHeight="1">
      <c r="A166" s="9"/>
      <c r="B166" s="9"/>
      <c r="C166" s="9"/>
      <c r="D166" s="43"/>
      <c r="E166" s="9"/>
      <c r="F166" s="9"/>
      <c r="G166" s="47" t="str">
        <f>IF(F166="","",INDEX(站位样品信息!$B$3:INDEX(站位样品信息!$B:$B,COUNTA(站位样品信息!$B:$B)+1),MATCH($F166,站位样品信息!$A$3:INDEX(站位样品信息!$A:$A,COUNTA(站位样品信息!$A:$A)+1),),))</f>
        <v/>
      </c>
      <c r="H166" s="37" t="str">
        <f>IF(A166&amp;B166&amp;C166="","",INDEX(生物种群!$A$2:INDEX(生物种群!$A:$A,COUNTA(生物种群!$A:$A)),MATCH($I166,生物种群!$B$2:INDEX(生物种群!$B:$B,COUNTA(生物种群!$B:$B)),),))</f>
        <v/>
      </c>
      <c r="I166" s="37" t="str">
        <f>IF(A166&amp;B166&amp;C166="","",IF($C166&lt;&gt;0,INDEX(生物种群!$B$2:INDEX(生物种群!$B:$B,COUNTA(生物种群!$B:$B)),MATCH($C166,生物种群!$G$2:INDEX(生物种群!$G:$G,COUNTA(生物种群!$G:$G)),),),IF($A166&lt;&gt;0,INDEX(生物种群!$B$2:INDEX(生物种群!$B:$B,COUNTA(生物种群!$B:$B)),MATCH($A166,生物种群!$C$2:INDEX(生物种群!$C:$C,COUNTA(生物种群!$C:$C)),),),INDEX(生物种群!$B$2:INDEX(生物种群!$B:$B,COUNTA(生物种群!$B:$B)),MATCH($B166,生物种群!$D$2:INDEX(生物种群!$D:$D,COUNTA(生物种群!$D:$D)),),))))</f>
        <v/>
      </c>
      <c r="J166" s="37" t="str">
        <f>IF(A166&amp;B166&amp;C166="","",INDEX(生物种群!$J$2:INDEX(生物种群!$J:$J,COUNTA(生物种群!$J:$J)),MATCH($I166,生物种群!$B$2:INDEX(生物种群!$B:$B,COUNTA(生物种群!$B:$B)),),))</f>
        <v/>
      </c>
      <c r="K166" s="37" t="str">
        <f>IF(A166&amp;B166&amp;C166="","",INDEX(生物种群!$E$2:INDEX(生物种群!$E:$E,COUNTA(生物种群!$E:$E)),MATCH($I166,生物种群!$B$2:INDEX(生物种群!$B:$B,COUNTA(生物种群!$B:$B)),),))</f>
        <v/>
      </c>
      <c r="L166" s="37" t="str">
        <f>IF(A166&amp;B166&amp;C166="","",INDEX(生物种群!$F$3:INDEX(生物种群!$F:$F,COUNTA(生物种群!$F:$F)),MATCH($I166,生物种群!$B$3:INDEX(生物种群!$B:$B,COUNTA(生物种群!$B:$B)),),))</f>
        <v/>
      </c>
      <c r="M166" s="37" t="str">
        <f t="shared" si="4"/>
        <v/>
      </c>
      <c r="N166" s="37" t="str">
        <f t="shared" si="5"/>
        <v/>
      </c>
      <c r="O166" s="9"/>
      <c r="P166" s="10"/>
    </row>
    <row r="167" spans="1:16" ht="20.1" customHeight="1">
      <c r="A167" s="9"/>
      <c r="B167" s="9"/>
      <c r="C167" s="9"/>
      <c r="D167" s="43"/>
      <c r="E167" s="9"/>
      <c r="F167" s="9"/>
      <c r="G167" s="47" t="str">
        <f>IF(F167="","",INDEX(站位样品信息!$B$3:INDEX(站位样品信息!$B:$B,COUNTA(站位样品信息!$B:$B)+1),MATCH($F167,站位样品信息!$A$3:INDEX(站位样品信息!$A:$A,COUNTA(站位样品信息!$A:$A)+1),),))</f>
        <v/>
      </c>
      <c r="H167" s="37" t="str">
        <f>IF(A167&amp;B167&amp;C167="","",INDEX(生物种群!$A$2:INDEX(生物种群!$A:$A,COUNTA(生物种群!$A:$A)),MATCH($I167,生物种群!$B$2:INDEX(生物种群!$B:$B,COUNTA(生物种群!$B:$B)),),))</f>
        <v/>
      </c>
      <c r="I167" s="37" t="str">
        <f>IF(A167&amp;B167&amp;C167="","",IF($C167&lt;&gt;0,INDEX(生物种群!$B$2:INDEX(生物种群!$B:$B,COUNTA(生物种群!$B:$B)),MATCH($C167,生物种群!$G$2:INDEX(生物种群!$G:$G,COUNTA(生物种群!$G:$G)),),),IF($A167&lt;&gt;0,INDEX(生物种群!$B$2:INDEX(生物种群!$B:$B,COUNTA(生物种群!$B:$B)),MATCH($A167,生物种群!$C$2:INDEX(生物种群!$C:$C,COUNTA(生物种群!$C:$C)),),),INDEX(生物种群!$B$2:INDEX(生物种群!$B:$B,COUNTA(生物种群!$B:$B)),MATCH($B167,生物种群!$D$2:INDEX(生物种群!$D:$D,COUNTA(生物种群!$D:$D)),),))))</f>
        <v/>
      </c>
      <c r="J167" s="37" t="str">
        <f>IF(A167&amp;B167&amp;C167="","",INDEX(生物种群!$J$2:INDEX(生物种群!$J:$J,COUNTA(生物种群!$J:$J)),MATCH($I167,生物种群!$B$2:INDEX(生物种群!$B:$B,COUNTA(生物种群!$B:$B)),),))</f>
        <v/>
      </c>
      <c r="K167" s="37" t="str">
        <f>IF(A167&amp;B167&amp;C167="","",INDEX(生物种群!$E$2:INDEX(生物种群!$E:$E,COUNTA(生物种群!$E:$E)),MATCH($I167,生物种群!$B$2:INDEX(生物种群!$B:$B,COUNTA(生物种群!$B:$B)),),))</f>
        <v/>
      </c>
      <c r="L167" s="37" t="str">
        <f>IF(A167&amp;B167&amp;C167="","",INDEX(生物种群!$F$3:INDEX(生物种群!$F:$F,COUNTA(生物种群!$F:$F)),MATCH($I167,生物种群!$B$3:INDEX(生物种群!$B:$B,COUNTA(生物种群!$B:$B)),),))</f>
        <v/>
      </c>
      <c r="M167" s="37" t="str">
        <f t="shared" si="4"/>
        <v/>
      </c>
      <c r="N167" s="37" t="str">
        <f t="shared" si="5"/>
        <v/>
      </c>
      <c r="O167" s="9"/>
      <c r="P167" s="10"/>
    </row>
    <row r="168" spans="1:16" ht="20.1" customHeight="1">
      <c r="A168" s="9"/>
      <c r="B168" s="9"/>
      <c r="C168" s="9"/>
      <c r="D168" s="43"/>
      <c r="E168" s="9"/>
      <c r="F168" s="9"/>
      <c r="G168" s="47" t="str">
        <f>IF(F168="","",INDEX(站位样品信息!$B$3:INDEX(站位样品信息!$B:$B,COUNTA(站位样品信息!$B:$B)+1),MATCH($F168,站位样品信息!$A$3:INDEX(站位样品信息!$A:$A,COUNTA(站位样品信息!$A:$A)+1),),))</f>
        <v/>
      </c>
      <c r="H168" s="37" t="str">
        <f>IF(A168&amp;B168&amp;C168="","",INDEX(生物种群!$A$2:INDEX(生物种群!$A:$A,COUNTA(生物种群!$A:$A)),MATCH($I168,生物种群!$B$2:INDEX(生物种群!$B:$B,COUNTA(生物种群!$B:$B)),),))</f>
        <v/>
      </c>
      <c r="I168" s="37" t="str">
        <f>IF(A168&amp;B168&amp;C168="","",IF($C168&lt;&gt;0,INDEX(生物种群!$B$2:INDEX(生物种群!$B:$B,COUNTA(生物种群!$B:$B)),MATCH($C168,生物种群!$G$2:INDEX(生物种群!$G:$G,COUNTA(生物种群!$G:$G)),),),IF($A168&lt;&gt;0,INDEX(生物种群!$B$2:INDEX(生物种群!$B:$B,COUNTA(生物种群!$B:$B)),MATCH($A168,生物种群!$C$2:INDEX(生物种群!$C:$C,COUNTA(生物种群!$C:$C)),),),INDEX(生物种群!$B$2:INDEX(生物种群!$B:$B,COUNTA(生物种群!$B:$B)),MATCH($B168,生物种群!$D$2:INDEX(生物种群!$D:$D,COUNTA(生物种群!$D:$D)),),))))</f>
        <v/>
      </c>
      <c r="J168" s="37" t="str">
        <f>IF(A168&amp;B168&amp;C168="","",INDEX(生物种群!$J$2:INDEX(生物种群!$J:$J,COUNTA(生物种群!$J:$J)),MATCH($I168,生物种群!$B$2:INDEX(生物种群!$B:$B,COUNTA(生物种群!$B:$B)),),))</f>
        <v/>
      </c>
      <c r="K168" s="37" t="str">
        <f>IF(A168&amp;B168&amp;C168="","",INDEX(生物种群!$E$2:INDEX(生物种群!$E:$E,COUNTA(生物种群!$E:$E)),MATCH($I168,生物种群!$B$2:INDEX(生物种群!$B:$B,COUNTA(生物种群!$B:$B)),),))</f>
        <v/>
      </c>
      <c r="L168" s="37" t="str">
        <f>IF(A168&amp;B168&amp;C168="","",INDEX(生物种群!$F$3:INDEX(生物种群!$F:$F,COUNTA(生物种群!$F:$F)),MATCH($I168,生物种群!$B$3:INDEX(生物种群!$B:$B,COUNTA(生物种群!$B:$B)),),))</f>
        <v/>
      </c>
      <c r="M168" s="37" t="str">
        <f t="shared" si="4"/>
        <v/>
      </c>
      <c r="N168" s="37" t="str">
        <f t="shared" si="5"/>
        <v/>
      </c>
      <c r="O168" s="9"/>
      <c r="P168" s="10"/>
    </row>
    <row r="169" spans="1:16" ht="20.1" customHeight="1">
      <c r="A169" s="9"/>
      <c r="B169" s="9"/>
      <c r="C169" s="9"/>
      <c r="D169" s="43"/>
      <c r="E169" s="9"/>
      <c r="F169" s="9"/>
      <c r="G169" s="47" t="str">
        <f>IF(F169="","",INDEX(站位样品信息!$B$3:INDEX(站位样品信息!$B:$B,COUNTA(站位样品信息!$B:$B)+1),MATCH($F169,站位样品信息!$A$3:INDEX(站位样品信息!$A:$A,COUNTA(站位样品信息!$A:$A)+1),),))</f>
        <v/>
      </c>
      <c r="H169" s="37" t="str">
        <f>IF(A169&amp;B169&amp;C169="","",INDEX(生物种群!$A$2:INDEX(生物种群!$A:$A,COUNTA(生物种群!$A:$A)),MATCH($I169,生物种群!$B$2:INDEX(生物种群!$B:$B,COUNTA(生物种群!$B:$B)),),))</f>
        <v/>
      </c>
      <c r="I169" s="37" t="str">
        <f>IF(A169&amp;B169&amp;C169="","",IF($C169&lt;&gt;0,INDEX(生物种群!$B$2:INDEX(生物种群!$B:$B,COUNTA(生物种群!$B:$B)),MATCH($C169,生物种群!$G$2:INDEX(生物种群!$G:$G,COUNTA(生物种群!$G:$G)),),),IF($A169&lt;&gt;0,INDEX(生物种群!$B$2:INDEX(生物种群!$B:$B,COUNTA(生物种群!$B:$B)),MATCH($A169,生物种群!$C$2:INDEX(生物种群!$C:$C,COUNTA(生物种群!$C:$C)),),),INDEX(生物种群!$B$2:INDEX(生物种群!$B:$B,COUNTA(生物种群!$B:$B)),MATCH($B169,生物种群!$D$2:INDEX(生物种群!$D:$D,COUNTA(生物种群!$D:$D)),),))))</f>
        <v/>
      </c>
      <c r="J169" s="37" t="str">
        <f>IF(A169&amp;B169&amp;C169="","",INDEX(生物种群!$J$2:INDEX(生物种群!$J:$J,COUNTA(生物种群!$J:$J)),MATCH($I169,生物种群!$B$2:INDEX(生物种群!$B:$B,COUNTA(生物种群!$B:$B)),),))</f>
        <v/>
      </c>
      <c r="K169" s="37" t="str">
        <f>IF(A169&amp;B169&amp;C169="","",INDEX(生物种群!$E$2:INDEX(生物种群!$E:$E,COUNTA(生物种群!$E:$E)),MATCH($I169,生物种群!$B$2:INDEX(生物种群!$B:$B,COUNTA(生物种群!$B:$B)),),))</f>
        <v/>
      </c>
      <c r="L169" s="37" t="str">
        <f>IF(A169&amp;B169&amp;C169="","",INDEX(生物种群!$F$3:INDEX(生物种群!$F:$F,COUNTA(生物种群!$F:$F)),MATCH($I169,生物种群!$B$3:INDEX(生物种群!$B:$B,COUNTA(生物种群!$B:$B)),),))</f>
        <v/>
      </c>
      <c r="M169" s="37" t="str">
        <f t="shared" si="4"/>
        <v/>
      </c>
      <c r="N169" s="37" t="str">
        <f t="shared" si="5"/>
        <v/>
      </c>
      <c r="O169" s="9"/>
      <c r="P169" s="10"/>
    </row>
    <row r="170" spans="1:16" ht="20.1" customHeight="1">
      <c r="A170" s="9"/>
      <c r="B170" s="9"/>
      <c r="C170" s="9"/>
      <c r="D170" s="43"/>
      <c r="E170" s="9"/>
      <c r="F170" s="9"/>
      <c r="G170" s="47" t="str">
        <f>IF(F170="","",INDEX(站位样品信息!$B$3:INDEX(站位样品信息!$B:$B,COUNTA(站位样品信息!$B:$B)+1),MATCH($F170,站位样品信息!$A$3:INDEX(站位样品信息!$A:$A,COUNTA(站位样品信息!$A:$A)+1),),))</f>
        <v/>
      </c>
      <c r="H170" s="37" t="str">
        <f>IF(A170&amp;B170&amp;C170="","",INDEX(生物种群!$A$2:INDEX(生物种群!$A:$A,COUNTA(生物种群!$A:$A)),MATCH($I170,生物种群!$B$2:INDEX(生物种群!$B:$B,COUNTA(生物种群!$B:$B)),),))</f>
        <v/>
      </c>
      <c r="I170" s="37" t="str">
        <f>IF(A170&amp;B170&amp;C170="","",IF($C170&lt;&gt;0,INDEX(生物种群!$B$2:INDEX(生物种群!$B:$B,COUNTA(生物种群!$B:$B)),MATCH($C170,生物种群!$G$2:INDEX(生物种群!$G:$G,COUNTA(生物种群!$G:$G)),),),IF($A170&lt;&gt;0,INDEX(生物种群!$B$2:INDEX(生物种群!$B:$B,COUNTA(生物种群!$B:$B)),MATCH($A170,生物种群!$C$2:INDEX(生物种群!$C:$C,COUNTA(生物种群!$C:$C)),),),INDEX(生物种群!$B$2:INDEX(生物种群!$B:$B,COUNTA(生物种群!$B:$B)),MATCH($B170,生物种群!$D$2:INDEX(生物种群!$D:$D,COUNTA(生物种群!$D:$D)),),))))</f>
        <v/>
      </c>
      <c r="J170" s="37" t="str">
        <f>IF(A170&amp;B170&amp;C170="","",INDEX(生物种群!$J$2:INDEX(生物种群!$J:$J,COUNTA(生物种群!$J:$J)),MATCH($I170,生物种群!$B$2:INDEX(生物种群!$B:$B,COUNTA(生物种群!$B:$B)),),))</f>
        <v/>
      </c>
      <c r="K170" s="37" t="str">
        <f>IF(A170&amp;B170&amp;C170="","",INDEX(生物种群!$E$2:INDEX(生物种群!$E:$E,COUNTA(生物种群!$E:$E)),MATCH($I170,生物种群!$B$2:INDEX(生物种群!$B:$B,COUNTA(生物种群!$B:$B)),),))</f>
        <v/>
      </c>
      <c r="L170" s="37" t="str">
        <f>IF(A170&amp;B170&amp;C170="","",INDEX(生物种群!$F$3:INDEX(生物种群!$F:$F,COUNTA(生物种群!$F:$F)),MATCH($I170,生物种群!$B$3:INDEX(生物种群!$B:$B,COUNTA(生物种群!$B:$B)),),))</f>
        <v/>
      </c>
      <c r="M170" s="37" t="str">
        <f t="shared" si="4"/>
        <v/>
      </c>
      <c r="N170" s="37" t="str">
        <f t="shared" si="5"/>
        <v/>
      </c>
      <c r="O170" s="9"/>
      <c r="P170" s="10"/>
    </row>
    <row r="171" spans="1:16" ht="20.1" customHeight="1">
      <c r="A171" s="9"/>
      <c r="B171" s="9"/>
      <c r="C171" s="9"/>
      <c r="D171" s="43"/>
      <c r="E171" s="9"/>
      <c r="F171" s="9"/>
      <c r="G171" s="47" t="str">
        <f>IF(F171="","",INDEX(站位样品信息!$B$3:INDEX(站位样品信息!$B:$B,COUNTA(站位样品信息!$B:$B)+1),MATCH($F171,站位样品信息!$A$3:INDEX(站位样品信息!$A:$A,COUNTA(站位样品信息!$A:$A)+1),),))</f>
        <v/>
      </c>
      <c r="H171" s="37" t="str">
        <f>IF(A171&amp;B171&amp;C171="","",INDEX(生物种群!$A$2:INDEX(生物种群!$A:$A,COUNTA(生物种群!$A:$A)),MATCH($I171,生物种群!$B$2:INDEX(生物种群!$B:$B,COUNTA(生物种群!$B:$B)),),))</f>
        <v/>
      </c>
      <c r="I171" s="37" t="str">
        <f>IF(A171&amp;B171&amp;C171="","",IF($C171&lt;&gt;0,INDEX(生物种群!$B$2:INDEX(生物种群!$B:$B,COUNTA(生物种群!$B:$B)),MATCH($C171,生物种群!$G$2:INDEX(生物种群!$G:$G,COUNTA(生物种群!$G:$G)),),),IF($A171&lt;&gt;0,INDEX(生物种群!$B$2:INDEX(生物种群!$B:$B,COUNTA(生物种群!$B:$B)),MATCH($A171,生物种群!$C$2:INDEX(生物种群!$C:$C,COUNTA(生物种群!$C:$C)),),),INDEX(生物种群!$B$2:INDEX(生物种群!$B:$B,COUNTA(生物种群!$B:$B)),MATCH($B171,生物种群!$D$2:INDEX(生物种群!$D:$D,COUNTA(生物种群!$D:$D)),),))))</f>
        <v/>
      </c>
      <c r="J171" s="37" t="str">
        <f>IF(A171&amp;B171&amp;C171="","",INDEX(生物种群!$J$2:INDEX(生物种群!$J:$J,COUNTA(生物种群!$J:$J)),MATCH($I171,生物种群!$B$2:INDEX(生物种群!$B:$B,COUNTA(生物种群!$B:$B)),),))</f>
        <v/>
      </c>
      <c r="K171" s="37" t="str">
        <f>IF(A171&amp;B171&amp;C171="","",INDEX(生物种群!$E$2:INDEX(生物种群!$E:$E,COUNTA(生物种群!$E:$E)),MATCH($I171,生物种群!$B$2:INDEX(生物种群!$B:$B,COUNTA(生物种群!$B:$B)),),))</f>
        <v/>
      </c>
      <c r="L171" s="37" t="str">
        <f>IF(A171&amp;B171&amp;C171="","",INDEX(生物种群!$F$3:INDEX(生物种群!$F:$F,COUNTA(生物种群!$F:$F)),MATCH($I171,生物种群!$B$3:INDEX(生物种群!$B:$B,COUNTA(生物种群!$B:$B)),),))</f>
        <v/>
      </c>
      <c r="M171" s="37" t="str">
        <f t="shared" si="4"/>
        <v/>
      </c>
      <c r="N171" s="37" t="str">
        <f t="shared" si="5"/>
        <v/>
      </c>
      <c r="O171" s="9"/>
      <c r="P171" s="10"/>
    </row>
    <row r="172" spans="1:16" ht="20.1" customHeight="1">
      <c r="A172" s="9"/>
      <c r="B172" s="9"/>
      <c r="C172" s="9"/>
      <c r="D172" s="43"/>
      <c r="E172" s="9"/>
      <c r="F172" s="9"/>
      <c r="G172" s="47" t="str">
        <f>IF(F172="","",INDEX(站位样品信息!$B$3:INDEX(站位样品信息!$B:$B,COUNTA(站位样品信息!$B:$B)+1),MATCH($F172,站位样品信息!$A$3:INDEX(站位样品信息!$A:$A,COUNTA(站位样品信息!$A:$A)+1),),))</f>
        <v/>
      </c>
      <c r="H172" s="37" t="str">
        <f>IF(A172&amp;B172&amp;C172="","",INDEX(生物种群!$A$2:INDEX(生物种群!$A:$A,COUNTA(生物种群!$A:$A)),MATCH($I172,生物种群!$B$2:INDEX(生物种群!$B:$B,COUNTA(生物种群!$B:$B)),),))</f>
        <v/>
      </c>
      <c r="I172" s="37" t="str">
        <f>IF(A172&amp;B172&amp;C172="","",IF($C172&lt;&gt;0,INDEX(生物种群!$B$2:INDEX(生物种群!$B:$B,COUNTA(生物种群!$B:$B)),MATCH($C172,生物种群!$G$2:INDEX(生物种群!$G:$G,COUNTA(生物种群!$G:$G)),),),IF($A172&lt;&gt;0,INDEX(生物种群!$B$2:INDEX(生物种群!$B:$B,COUNTA(生物种群!$B:$B)),MATCH($A172,生物种群!$C$2:INDEX(生物种群!$C:$C,COUNTA(生物种群!$C:$C)),),),INDEX(生物种群!$B$2:INDEX(生物种群!$B:$B,COUNTA(生物种群!$B:$B)),MATCH($B172,生物种群!$D$2:INDEX(生物种群!$D:$D,COUNTA(生物种群!$D:$D)),),))))</f>
        <v/>
      </c>
      <c r="J172" s="37" t="str">
        <f>IF(A172&amp;B172&amp;C172="","",INDEX(生物种群!$J$2:INDEX(生物种群!$J:$J,COUNTA(生物种群!$J:$J)),MATCH($I172,生物种群!$B$2:INDEX(生物种群!$B:$B,COUNTA(生物种群!$B:$B)),),))</f>
        <v/>
      </c>
      <c r="K172" s="37" t="str">
        <f>IF(A172&amp;B172&amp;C172="","",INDEX(生物种群!$E$2:INDEX(生物种群!$E:$E,COUNTA(生物种群!$E:$E)),MATCH($I172,生物种群!$B$2:INDEX(生物种群!$B:$B,COUNTA(生物种群!$B:$B)),),))</f>
        <v/>
      </c>
      <c r="L172" s="37" t="str">
        <f>IF(A172&amp;B172&amp;C172="","",INDEX(生物种群!$F$3:INDEX(生物种群!$F:$F,COUNTA(生物种群!$F:$F)),MATCH($I172,生物种群!$B$3:INDEX(生物种群!$B:$B,COUNTA(生物种群!$B:$B)),),))</f>
        <v/>
      </c>
      <c r="M172" s="37" t="str">
        <f t="shared" si="4"/>
        <v/>
      </c>
      <c r="N172" s="37" t="str">
        <f t="shared" si="5"/>
        <v/>
      </c>
      <c r="O172" s="9"/>
      <c r="P172" s="10"/>
    </row>
    <row r="173" spans="1:16" ht="20.1" customHeight="1">
      <c r="A173" s="9"/>
      <c r="B173" s="9"/>
      <c r="C173" s="9"/>
      <c r="D173" s="43"/>
      <c r="E173" s="9"/>
      <c r="F173" s="9"/>
      <c r="G173" s="47" t="str">
        <f>IF(F173="","",INDEX(站位样品信息!$B$3:INDEX(站位样品信息!$B:$B,COUNTA(站位样品信息!$B:$B)+1),MATCH($F173,站位样品信息!$A$3:INDEX(站位样品信息!$A:$A,COUNTA(站位样品信息!$A:$A)+1),),))</f>
        <v/>
      </c>
      <c r="H173" s="37" t="str">
        <f>IF(A173&amp;B173&amp;C173="","",INDEX(生物种群!$A$2:INDEX(生物种群!$A:$A,COUNTA(生物种群!$A:$A)),MATCH($I173,生物种群!$B$2:INDEX(生物种群!$B:$B,COUNTA(生物种群!$B:$B)),),))</f>
        <v/>
      </c>
      <c r="I173" s="37" t="str">
        <f>IF(A173&amp;B173&amp;C173="","",IF($C173&lt;&gt;0,INDEX(生物种群!$B$2:INDEX(生物种群!$B:$B,COUNTA(生物种群!$B:$B)),MATCH($C173,生物种群!$G$2:INDEX(生物种群!$G:$G,COUNTA(生物种群!$G:$G)),),),IF($A173&lt;&gt;0,INDEX(生物种群!$B$2:INDEX(生物种群!$B:$B,COUNTA(生物种群!$B:$B)),MATCH($A173,生物种群!$C$2:INDEX(生物种群!$C:$C,COUNTA(生物种群!$C:$C)),),),INDEX(生物种群!$B$2:INDEX(生物种群!$B:$B,COUNTA(生物种群!$B:$B)),MATCH($B173,生物种群!$D$2:INDEX(生物种群!$D:$D,COUNTA(生物种群!$D:$D)),),))))</f>
        <v/>
      </c>
      <c r="J173" s="37" t="str">
        <f>IF(A173&amp;B173&amp;C173="","",INDEX(生物种群!$J$2:INDEX(生物种群!$J:$J,COUNTA(生物种群!$J:$J)),MATCH($I173,生物种群!$B$2:INDEX(生物种群!$B:$B,COUNTA(生物种群!$B:$B)),),))</f>
        <v/>
      </c>
      <c r="K173" s="37" t="str">
        <f>IF(A173&amp;B173&amp;C173="","",INDEX(生物种群!$E$2:INDEX(生物种群!$E:$E,COUNTA(生物种群!$E:$E)),MATCH($I173,生物种群!$B$2:INDEX(生物种群!$B:$B,COUNTA(生物种群!$B:$B)),),))</f>
        <v/>
      </c>
      <c r="L173" s="37" t="str">
        <f>IF(A173&amp;B173&amp;C173="","",INDEX(生物种群!$F$3:INDEX(生物种群!$F:$F,COUNTA(生物种群!$F:$F)),MATCH($I173,生物种群!$B$3:INDEX(生物种群!$B:$B,COUNTA(生物种群!$B:$B)),),))</f>
        <v/>
      </c>
      <c r="M173" s="37" t="str">
        <f t="shared" si="4"/>
        <v/>
      </c>
      <c r="N173" s="37" t="str">
        <f t="shared" si="5"/>
        <v/>
      </c>
      <c r="O173" s="9"/>
      <c r="P173" s="10"/>
    </row>
    <row r="174" spans="1:16" ht="20.1" customHeight="1">
      <c r="A174" s="9"/>
      <c r="B174" s="9"/>
      <c r="C174" s="9"/>
      <c r="D174" s="43"/>
      <c r="E174" s="9"/>
      <c r="F174" s="9"/>
      <c r="G174" s="47" t="str">
        <f>IF(F174="","",INDEX(站位样品信息!$B$3:INDEX(站位样品信息!$B:$B,COUNTA(站位样品信息!$B:$B)+1),MATCH($F174,站位样品信息!$A$3:INDEX(站位样品信息!$A:$A,COUNTA(站位样品信息!$A:$A)+1),),))</f>
        <v/>
      </c>
      <c r="H174" s="37" t="str">
        <f>IF(A174&amp;B174&amp;C174="","",INDEX(生物种群!$A$2:INDEX(生物种群!$A:$A,COUNTA(生物种群!$A:$A)),MATCH($I174,生物种群!$B$2:INDEX(生物种群!$B:$B,COUNTA(生物种群!$B:$B)),),))</f>
        <v/>
      </c>
      <c r="I174" s="37" t="str">
        <f>IF(A174&amp;B174&amp;C174="","",IF($C174&lt;&gt;0,INDEX(生物种群!$B$2:INDEX(生物种群!$B:$B,COUNTA(生物种群!$B:$B)),MATCH($C174,生物种群!$G$2:INDEX(生物种群!$G:$G,COUNTA(生物种群!$G:$G)),),),IF($A174&lt;&gt;0,INDEX(生物种群!$B$2:INDEX(生物种群!$B:$B,COUNTA(生物种群!$B:$B)),MATCH($A174,生物种群!$C$2:INDEX(生物种群!$C:$C,COUNTA(生物种群!$C:$C)),),),INDEX(生物种群!$B$2:INDEX(生物种群!$B:$B,COUNTA(生物种群!$B:$B)),MATCH($B174,生物种群!$D$2:INDEX(生物种群!$D:$D,COUNTA(生物种群!$D:$D)),),))))</f>
        <v/>
      </c>
      <c r="J174" s="37" t="str">
        <f>IF(A174&amp;B174&amp;C174="","",INDEX(生物种群!$J$2:INDEX(生物种群!$J:$J,COUNTA(生物种群!$J:$J)),MATCH($I174,生物种群!$B$2:INDEX(生物种群!$B:$B,COUNTA(生物种群!$B:$B)),),))</f>
        <v/>
      </c>
      <c r="K174" s="37" t="str">
        <f>IF(A174&amp;B174&amp;C174="","",INDEX(生物种群!$E$2:INDEX(生物种群!$E:$E,COUNTA(生物种群!$E:$E)),MATCH($I174,生物种群!$B$2:INDEX(生物种群!$B:$B,COUNTA(生物种群!$B:$B)),),))</f>
        <v/>
      </c>
      <c r="L174" s="37" t="str">
        <f>IF(A174&amp;B174&amp;C174="","",INDEX(生物种群!$F$3:INDEX(生物种群!$F:$F,COUNTA(生物种群!$F:$F)),MATCH($I174,生物种群!$B$3:INDEX(生物种群!$B:$B,COUNTA(生物种群!$B:$B)),),))</f>
        <v/>
      </c>
      <c r="M174" s="37" t="str">
        <f t="shared" si="4"/>
        <v/>
      </c>
      <c r="N174" s="37" t="str">
        <f t="shared" si="5"/>
        <v/>
      </c>
      <c r="O174" s="9"/>
      <c r="P174" s="10"/>
    </row>
    <row r="175" spans="1:16" ht="20.1" customHeight="1">
      <c r="A175" s="9"/>
      <c r="B175" s="9"/>
      <c r="C175" s="9"/>
      <c r="D175" s="43"/>
      <c r="E175" s="9"/>
      <c r="F175" s="9"/>
      <c r="G175" s="47" t="str">
        <f>IF(F175="","",INDEX(站位样品信息!$B$3:INDEX(站位样品信息!$B:$B,COUNTA(站位样品信息!$B:$B)+1),MATCH($F175,站位样品信息!$A$3:INDEX(站位样品信息!$A:$A,COUNTA(站位样品信息!$A:$A)+1),),))</f>
        <v/>
      </c>
      <c r="H175" s="37" t="str">
        <f>IF(A175&amp;B175&amp;C175="","",INDEX(生物种群!$A$2:INDEX(生物种群!$A:$A,COUNTA(生物种群!$A:$A)),MATCH($I175,生物种群!$B$2:INDEX(生物种群!$B:$B,COUNTA(生物种群!$B:$B)),),))</f>
        <v/>
      </c>
      <c r="I175" s="37" t="str">
        <f>IF(A175&amp;B175&amp;C175="","",IF($C175&lt;&gt;0,INDEX(生物种群!$B$2:INDEX(生物种群!$B:$B,COUNTA(生物种群!$B:$B)),MATCH($C175,生物种群!$G$2:INDEX(生物种群!$G:$G,COUNTA(生物种群!$G:$G)),),),IF($A175&lt;&gt;0,INDEX(生物种群!$B$2:INDEX(生物种群!$B:$B,COUNTA(生物种群!$B:$B)),MATCH($A175,生物种群!$C$2:INDEX(生物种群!$C:$C,COUNTA(生物种群!$C:$C)),),),INDEX(生物种群!$B$2:INDEX(生物种群!$B:$B,COUNTA(生物种群!$B:$B)),MATCH($B175,生物种群!$D$2:INDEX(生物种群!$D:$D,COUNTA(生物种群!$D:$D)),),))))</f>
        <v/>
      </c>
      <c r="J175" s="37" t="str">
        <f>IF(A175&amp;B175&amp;C175="","",INDEX(生物种群!$J$2:INDEX(生物种群!$J:$J,COUNTA(生物种群!$J:$J)),MATCH($I175,生物种群!$B$2:INDEX(生物种群!$B:$B,COUNTA(生物种群!$B:$B)),),))</f>
        <v/>
      </c>
      <c r="K175" s="37" t="str">
        <f>IF(A175&amp;B175&amp;C175="","",INDEX(生物种群!$E$2:INDEX(生物种群!$E:$E,COUNTA(生物种群!$E:$E)),MATCH($I175,生物种群!$B$2:INDEX(生物种群!$B:$B,COUNTA(生物种群!$B:$B)),),))</f>
        <v/>
      </c>
      <c r="L175" s="37" t="str">
        <f>IF(A175&amp;B175&amp;C175="","",INDEX(生物种群!$F$3:INDEX(生物种群!$F:$F,COUNTA(生物种群!$F:$F)),MATCH($I175,生物种群!$B$3:INDEX(生物种群!$B:$B,COUNTA(生物种群!$B:$B)),),))</f>
        <v/>
      </c>
      <c r="M175" s="37" t="str">
        <f t="shared" si="4"/>
        <v/>
      </c>
      <c r="N175" s="37" t="str">
        <f t="shared" si="5"/>
        <v/>
      </c>
      <c r="O175" s="9"/>
      <c r="P175" s="10"/>
    </row>
    <row r="176" spans="1:16" ht="20.1" customHeight="1">
      <c r="A176" s="9"/>
      <c r="B176" s="9"/>
      <c r="C176" s="9"/>
      <c r="D176" s="43"/>
      <c r="E176" s="9"/>
      <c r="F176" s="9"/>
      <c r="G176" s="47" t="str">
        <f>IF(F176="","",INDEX(站位样品信息!$B$3:INDEX(站位样品信息!$B:$B,COUNTA(站位样品信息!$B:$B)+1),MATCH($F176,站位样品信息!$A$3:INDEX(站位样品信息!$A:$A,COUNTA(站位样品信息!$A:$A)+1),),))</f>
        <v/>
      </c>
      <c r="H176" s="37" t="str">
        <f>IF(A176&amp;B176&amp;C176="","",INDEX(生物种群!$A$2:INDEX(生物种群!$A:$A,COUNTA(生物种群!$A:$A)),MATCH($I176,生物种群!$B$2:INDEX(生物种群!$B:$B,COUNTA(生物种群!$B:$B)),),))</f>
        <v/>
      </c>
      <c r="I176" s="37" t="str">
        <f>IF(A176&amp;B176&amp;C176="","",IF($C176&lt;&gt;0,INDEX(生物种群!$B$2:INDEX(生物种群!$B:$B,COUNTA(生物种群!$B:$B)),MATCH($C176,生物种群!$G$2:INDEX(生物种群!$G:$G,COUNTA(生物种群!$G:$G)),),),IF($A176&lt;&gt;0,INDEX(生物种群!$B$2:INDEX(生物种群!$B:$B,COUNTA(生物种群!$B:$B)),MATCH($A176,生物种群!$C$2:INDEX(生物种群!$C:$C,COUNTA(生物种群!$C:$C)),),),INDEX(生物种群!$B$2:INDEX(生物种群!$B:$B,COUNTA(生物种群!$B:$B)),MATCH($B176,生物种群!$D$2:INDEX(生物种群!$D:$D,COUNTA(生物种群!$D:$D)),),))))</f>
        <v/>
      </c>
      <c r="J176" s="37" t="str">
        <f>IF(A176&amp;B176&amp;C176="","",INDEX(生物种群!$J$2:INDEX(生物种群!$J:$J,COUNTA(生物种群!$J:$J)),MATCH($I176,生物种群!$B$2:INDEX(生物种群!$B:$B,COUNTA(生物种群!$B:$B)),),))</f>
        <v/>
      </c>
      <c r="K176" s="37" t="str">
        <f>IF(A176&amp;B176&amp;C176="","",INDEX(生物种群!$E$2:INDEX(生物种群!$E:$E,COUNTA(生物种群!$E:$E)),MATCH($I176,生物种群!$B$2:INDEX(生物种群!$B:$B,COUNTA(生物种群!$B:$B)),),))</f>
        <v/>
      </c>
      <c r="L176" s="37" t="str">
        <f>IF(A176&amp;B176&amp;C176="","",INDEX(生物种群!$F$3:INDEX(生物种群!$F:$F,COUNTA(生物种群!$F:$F)),MATCH($I176,生物种群!$B$3:INDEX(生物种群!$B:$B,COUNTA(生物种群!$B:$B)),),))</f>
        <v/>
      </c>
      <c r="M176" s="37" t="str">
        <f t="shared" si="4"/>
        <v/>
      </c>
      <c r="N176" s="37" t="str">
        <f t="shared" si="5"/>
        <v/>
      </c>
      <c r="O176" s="9"/>
      <c r="P176" s="10"/>
    </row>
    <row r="177" spans="1:16" ht="20.1" customHeight="1">
      <c r="A177" s="9"/>
      <c r="B177" s="9"/>
      <c r="C177" s="9"/>
      <c r="D177" s="43"/>
      <c r="E177" s="9"/>
      <c r="F177" s="9"/>
      <c r="G177" s="47" t="str">
        <f>IF(F177="","",INDEX(站位样品信息!$B$3:INDEX(站位样品信息!$B:$B,COUNTA(站位样品信息!$B:$B)+1),MATCH($F177,站位样品信息!$A$3:INDEX(站位样品信息!$A:$A,COUNTA(站位样品信息!$A:$A)+1),),))</f>
        <v/>
      </c>
      <c r="H177" s="37" t="str">
        <f>IF(A177&amp;B177&amp;C177="","",INDEX(生物种群!$A$2:INDEX(生物种群!$A:$A,COUNTA(生物种群!$A:$A)),MATCH($I177,生物种群!$B$2:INDEX(生物种群!$B:$B,COUNTA(生物种群!$B:$B)),),))</f>
        <v/>
      </c>
      <c r="I177" s="37" t="str">
        <f>IF(A177&amp;B177&amp;C177="","",IF($C177&lt;&gt;0,INDEX(生物种群!$B$2:INDEX(生物种群!$B:$B,COUNTA(生物种群!$B:$B)),MATCH($C177,生物种群!$G$2:INDEX(生物种群!$G:$G,COUNTA(生物种群!$G:$G)),),),IF($A177&lt;&gt;0,INDEX(生物种群!$B$2:INDEX(生物种群!$B:$B,COUNTA(生物种群!$B:$B)),MATCH($A177,生物种群!$C$2:INDEX(生物种群!$C:$C,COUNTA(生物种群!$C:$C)),),),INDEX(生物种群!$B$2:INDEX(生物种群!$B:$B,COUNTA(生物种群!$B:$B)),MATCH($B177,生物种群!$D$2:INDEX(生物种群!$D:$D,COUNTA(生物种群!$D:$D)),),))))</f>
        <v/>
      </c>
      <c r="J177" s="37" t="str">
        <f>IF(A177&amp;B177&amp;C177="","",INDEX(生物种群!$J$2:INDEX(生物种群!$J:$J,COUNTA(生物种群!$J:$J)),MATCH($I177,生物种群!$B$2:INDEX(生物种群!$B:$B,COUNTA(生物种群!$B:$B)),),))</f>
        <v/>
      </c>
      <c r="K177" s="37" t="str">
        <f>IF(A177&amp;B177&amp;C177="","",INDEX(生物种群!$E$2:INDEX(生物种群!$E:$E,COUNTA(生物种群!$E:$E)),MATCH($I177,生物种群!$B$2:INDEX(生物种群!$B:$B,COUNTA(生物种群!$B:$B)),),))</f>
        <v/>
      </c>
      <c r="L177" s="37" t="str">
        <f>IF(A177&amp;B177&amp;C177="","",INDEX(生物种群!$F$3:INDEX(生物种群!$F:$F,COUNTA(生物种群!$F:$F)),MATCH($I177,生物种群!$B$3:INDEX(生物种群!$B:$B,COUNTA(生物种群!$B:$B)),),))</f>
        <v/>
      </c>
      <c r="M177" s="37" t="str">
        <f t="shared" si="4"/>
        <v/>
      </c>
      <c r="N177" s="37" t="str">
        <f t="shared" si="5"/>
        <v/>
      </c>
      <c r="O177" s="9"/>
      <c r="P177" s="10"/>
    </row>
    <row r="178" spans="1:16" ht="20.1" customHeight="1">
      <c r="A178" s="9"/>
      <c r="B178" s="9"/>
      <c r="C178" s="9"/>
      <c r="D178" s="43"/>
      <c r="E178" s="9"/>
      <c r="F178" s="9"/>
      <c r="G178" s="47" t="str">
        <f>IF(F178="","",INDEX(站位样品信息!$B$3:INDEX(站位样品信息!$B:$B,COUNTA(站位样品信息!$B:$B)+1),MATCH($F178,站位样品信息!$A$3:INDEX(站位样品信息!$A:$A,COUNTA(站位样品信息!$A:$A)+1),),))</f>
        <v/>
      </c>
      <c r="H178" s="37" t="str">
        <f>IF(A178&amp;B178&amp;C178="","",INDEX(生物种群!$A$2:INDEX(生物种群!$A:$A,COUNTA(生物种群!$A:$A)),MATCH($I178,生物种群!$B$2:INDEX(生物种群!$B:$B,COUNTA(生物种群!$B:$B)),),))</f>
        <v/>
      </c>
      <c r="I178" s="37" t="str">
        <f>IF(A178&amp;B178&amp;C178="","",IF($C178&lt;&gt;0,INDEX(生物种群!$B$2:INDEX(生物种群!$B:$B,COUNTA(生物种群!$B:$B)),MATCH($C178,生物种群!$G$2:INDEX(生物种群!$G:$G,COUNTA(生物种群!$G:$G)),),),IF($A178&lt;&gt;0,INDEX(生物种群!$B$2:INDEX(生物种群!$B:$B,COUNTA(生物种群!$B:$B)),MATCH($A178,生物种群!$C$2:INDEX(生物种群!$C:$C,COUNTA(生物种群!$C:$C)),),),INDEX(生物种群!$B$2:INDEX(生物种群!$B:$B,COUNTA(生物种群!$B:$B)),MATCH($B178,生物种群!$D$2:INDEX(生物种群!$D:$D,COUNTA(生物种群!$D:$D)),),))))</f>
        <v/>
      </c>
      <c r="J178" s="37" t="str">
        <f>IF(A178&amp;B178&amp;C178="","",INDEX(生物种群!$J$2:INDEX(生物种群!$J:$J,COUNTA(生物种群!$J:$J)),MATCH($I178,生物种群!$B$2:INDEX(生物种群!$B:$B,COUNTA(生物种群!$B:$B)),),))</f>
        <v/>
      </c>
      <c r="K178" s="37" t="str">
        <f>IF(A178&amp;B178&amp;C178="","",INDEX(生物种群!$E$2:INDEX(生物种群!$E:$E,COUNTA(生物种群!$E:$E)),MATCH($I178,生物种群!$B$2:INDEX(生物种群!$B:$B,COUNTA(生物种群!$B:$B)),),))</f>
        <v/>
      </c>
      <c r="L178" s="37" t="str">
        <f>IF(A178&amp;B178&amp;C178="","",INDEX(生物种群!$F$3:INDEX(生物种群!$F:$F,COUNTA(生物种群!$F:$F)),MATCH($I178,生物种群!$B$3:INDEX(生物种群!$B:$B,COUNTA(生物种群!$B:$B)),),))</f>
        <v/>
      </c>
      <c r="M178" s="37" t="str">
        <f t="shared" si="4"/>
        <v/>
      </c>
      <c r="N178" s="37" t="str">
        <f t="shared" si="5"/>
        <v/>
      </c>
      <c r="O178" s="9"/>
      <c r="P178" s="10"/>
    </row>
    <row r="179" spans="1:16" ht="20.1" customHeight="1">
      <c r="A179" s="9"/>
      <c r="B179" s="9"/>
      <c r="C179" s="9"/>
      <c r="D179" s="43"/>
      <c r="E179" s="9"/>
      <c r="F179" s="9"/>
      <c r="G179" s="47" t="str">
        <f>IF(F179="","",INDEX(站位样品信息!$B$3:INDEX(站位样品信息!$B:$B,COUNTA(站位样品信息!$B:$B)+1),MATCH($F179,站位样品信息!$A$3:INDEX(站位样品信息!$A:$A,COUNTA(站位样品信息!$A:$A)+1),),))</f>
        <v/>
      </c>
      <c r="H179" s="37" t="str">
        <f>IF(A179&amp;B179&amp;C179="","",INDEX(生物种群!$A$2:INDEX(生物种群!$A:$A,COUNTA(生物种群!$A:$A)),MATCH($I179,生物种群!$B$2:INDEX(生物种群!$B:$B,COUNTA(生物种群!$B:$B)),),))</f>
        <v/>
      </c>
      <c r="I179" s="37" t="str">
        <f>IF(A179&amp;B179&amp;C179="","",IF($C179&lt;&gt;0,INDEX(生物种群!$B$2:INDEX(生物种群!$B:$B,COUNTA(生物种群!$B:$B)),MATCH($C179,生物种群!$G$2:INDEX(生物种群!$G:$G,COUNTA(生物种群!$G:$G)),),),IF($A179&lt;&gt;0,INDEX(生物种群!$B$2:INDEX(生物种群!$B:$B,COUNTA(生物种群!$B:$B)),MATCH($A179,生物种群!$C$2:INDEX(生物种群!$C:$C,COUNTA(生物种群!$C:$C)),),),INDEX(生物种群!$B$2:INDEX(生物种群!$B:$B,COUNTA(生物种群!$B:$B)),MATCH($B179,生物种群!$D$2:INDEX(生物种群!$D:$D,COUNTA(生物种群!$D:$D)),),))))</f>
        <v/>
      </c>
      <c r="J179" s="37" t="str">
        <f>IF(A179&amp;B179&amp;C179="","",INDEX(生物种群!$J$2:INDEX(生物种群!$J:$J,COUNTA(生物种群!$J:$J)),MATCH($I179,生物种群!$B$2:INDEX(生物种群!$B:$B,COUNTA(生物种群!$B:$B)),),))</f>
        <v/>
      </c>
      <c r="K179" s="37" t="str">
        <f>IF(A179&amp;B179&amp;C179="","",INDEX(生物种群!$E$2:INDEX(生物种群!$E:$E,COUNTA(生物种群!$E:$E)),MATCH($I179,生物种群!$B$2:INDEX(生物种群!$B:$B,COUNTA(生物种群!$B:$B)),),))</f>
        <v/>
      </c>
      <c r="L179" s="37" t="str">
        <f>IF(A179&amp;B179&amp;C179="","",INDEX(生物种群!$F$3:INDEX(生物种群!$F:$F,COUNTA(生物种群!$F:$F)),MATCH($I179,生物种群!$B$3:INDEX(生物种群!$B:$B,COUNTA(生物种群!$B:$B)),),))</f>
        <v/>
      </c>
      <c r="M179" s="37" t="str">
        <f t="shared" si="4"/>
        <v/>
      </c>
      <c r="N179" s="37" t="str">
        <f t="shared" si="5"/>
        <v/>
      </c>
      <c r="O179" s="9"/>
      <c r="P179" s="10"/>
    </row>
    <row r="180" spans="1:16" ht="20.1" customHeight="1">
      <c r="A180" s="9"/>
      <c r="B180" s="9"/>
      <c r="C180" s="9"/>
      <c r="D180" s="43"/>
      <c r="E180" s="9"/>
      <c r="F180" s="9"/>
      <c r="G180" s="47" t="str">
        <f>IF(F180="","",INDEX(站位样品信息!$B$3:INDEX(站位样品信息!$B:$B,COUNTA(站位样品信息!$B:$B)+1),MATCH($F180,站位样品信息!$A$3:INDEX(站位样品信息!$A:$A,COUNTA(站位样品信息!$A:$A)+1),),))</f>
        <v/>
      </c>
      <c r="H180" s="37" t="str">
        <f>IF(A180&amp;B180&amp;C180="","",INDEX(生物种群!$A$2:INDEX(生物种群!$A:$A,COUNTA(生物种群!$A:$A)),MATCH($I180,生物种群!$B$2:INDEX(生物种群!$B:$B,COUNTA(生物种群!$B:$B)),),))</f>
        <v/>
      </c>
      <c r="I180" s="37" t="str">
        <f>IF(A180&amp;B180&amp;C180="","",IF($C180&lt;&gt;0,INDEX(生物种群!$B$2:INDEX(生物种群!$B:$B,COUNTA(生物种群!$B:$B)),MATCH($C180,生物种群!$G$2:INDEX(生物种群!$G:$G,COUNTA(生物种群!$G:$G)),),),IF($A180&lt;&gt;0,INDEX(生物种群!$B$2:INDEX(生物种群!$B:$B,COUNTA(生物种群!$B:$B)),MATCH($A180,生物种群!$C$2:INDEX(生物种群!$C:$C,COUNTA(生物种群!$C:$C)),),),INDEX(生物种群!$B$2:INDEX(生物种群!$B:$B,COUNTA(生物种群!$B:$B)),MATCH($B180,生物种群!$D$2:INDEX(生物种群!$D:$D,COUNTA(生物种群!$D:$D)),),))))</f>
        <v/>
      </c>
      <c r="J180" s="37" t="str">
        <f>IF(A180&amp;B180&amp;C180="","",INDEX(生物种群!$J$2:INDEX(生物种群!$J:$J,COUNTA(生物种群!$J:$J)),MATCH($I180,生物种群!$B$2:INDEX(生物种群!$B:$B,COUNTA(生物种群!$B:$B)),),))</f>
        <v/>
      </c>
      <c r="K180" s="37" t="str">
        <f>IF(A180&amp;B180&amp;C180="","",INDEX(生物种群!$E$2:INDEX(生物种群!$E:$E,COUNTA(生物种群!$E:$E)),MATCH($I180,生物种群!$B$2:INDEX(生物种群!$B:$B,COUNTA(生物种群!$B:$B)),),))</f>
        <v/>
      </c>
      <c r="L180" s="37" t="str">
        <f>IF(A180&amp;B180&amp;C180="","",INDEX(生物种群!$F$3:INDEX(生物种群!$F:$F,COUNTA(生物种群!$F:$F)),MATCH($I180,生物种群!$B$3:INDEX(生物种群!$B:$B,COUNTA(生物种群!$B:$B)),),))</f>
        <v/>
      </c>
      <c r="M180" s="37" t="str">
        <f t="shared" si="4"/>
        <v/>
      </c>
      <c r="N180" s="37" t="str">
        <f t="shared" si="5"/>
        <v/>
      </c>
      <c r="O180" s="9"/>
      <c r="P180" s="10"/>
    </row>
    <row r="181" spans="1:16" ht="20.1" customHeight="1">
      <c r="A181" s="9"/>
      <c r="B181" s="9"/>
      <c r="C181" s="9"/>
      <c r="D181" s="43"/>
      <c r="E181" s="9"/>
      <c r="F181" s="9"/>
      <c r="G181" s="47" t="str">
        <f>IF(F181="","",INDEX(站位样品信息!$B$3:INDEX(站位样品信息!$B:$B,COUNTA(站位样品信息!$B:$B)+1),MATCH($F181,站位样品信息!$A$3:INDEX(站位样品信息!$A:$A,COUNTA(站位样品信息!$A:$A)+1),),))</f>
        <v/>
      </c>
      <c r="H181" s="37" t="str">
        <f>IF(A181&amp;B181&amp;C181="","",INDEX(生物种群!$A$2:INDEX(生物种群!$A:$A,COUNTA(生物种群!$A:$A)),MATCH($I181,生物种群!$B$2:INDEX(生物种群!$B:$B,COUNTA(生物种群!$B:$B)),),))</f>
        <v/>
      </c>
      <c r="I181" s="37" t="str">
        <f>IF(A181&amp;B181&amp;C181="","",IF($C181&lt;&gt;0,INDEX(生物种群!$B$2:INDEX(生物种群!$B:$B,COUNTA(生物种群!$B:$B)),MATCH($C181,生物种群!$G$2:INDEX(生物种群!$G:$G,COUNTA(生物种群!$G:$G)),),),IF($A181&lt;&gt;0,INDEX(生物种群!$B$2:INDEX(生物种群!$B:$B,COUNTA(生物种群!$B:$B)),MATCH($A181,生物种群!$C$2:INDEX(生物种群!$C:$C,COUNTA(生物种群!$C:$C)),),),INDEX(生物种群!$B$2:INDEX(生物种群!$B:$B,COUNTA(生物种群!$B:$B)),MATCH($B181,生物种群!$D$2:INDEX(生物种群!$D:$D,COUNTA(生物种群!$D:$D)),),))))</f>
        <v/>
      </c>
      <c r="J181" s="37" t="str">
        <f>IF(A181&amp;B181&amp;C181="","",INDEX(生物种群!$J$2:INDEX(生物种群!$J:$J,COUNTA(生物种群!$J:$J)),MATCH($I181,生物种群!$B$2:INDEX(生物种群!$B:$B,COUNTA(生物种群!$B:$B)),),))</f>
        <v/>
      </c>
      <c r="K181" s="37" t="str">
        <f>IF(A181&amp;B181&amp;C181="","",INDEX(生物种群!$E$2:INDEX(生物种群!$E:$E,COUNTA(生物种群!$E:$E)),MATCH($I181,生物种群!$B$2:INDEX(生物种群!$B:$B,COUNTA(生物种群!$B:$B)),),))</f>
        <v/>
      </c>
      <c r="L181" s="37" t="str">
        <f>IF(A181&amp;B181&amp;C181="","",INDEX(生物种群!$F$3:INDEX(生物种群!$F:$F,COUNTA(生物种群!$F:$F)),MATCH($I181,生物种群!$B$3:INDEX(生物种群!$B:$B,COUNTA(生物种群!$B:$B)),),))</f>
        <v/>
      </c>
      <c r="M181" s="37" t="str">
        <f t="shared" si="4"/>
        <v/>
      </c>
      <c r="N181" s="37" t="str">
        <f t="shared" si="5"/>
        <v/>
      </c>
      <c r="O181" s="9"/>
      <c r="P181" s="10"/>
    </row>
    <row r="182" spans="1:16" ht="20.1" customHeight="1">
      <c r="A182" s="9"/>
      <c r="B182" s="9"/>
      <c r="C182" s="9"/>
      <c r="D182" s="43"/>
      <c r="E182" s="9"/>
      <c r="F182" s="9"/>
      <c r="G182" s="47" t="str">
        <f>IF(F182="","",INDEX(站位样品信息!$B$3:INDEX(站位样品信息!$B:$B,COUNTA(站位样品信息!$B:$B)+1),MATCH($F182,站位样品信息!$A$3:INDEX(站位样品信息!$A:$A,COUNTA(站位样品信息!$A:$A)+1),),))</f>
        <v/>
      </c>
      <c r="H182" s="37" t="str">
        <f>IF(A182&amp;B182&amp;C182="","",INDEX(生物种群!$A$2:INDEX(生物种群!$A:$A,COUNTA(生物种群!$A:$A)),MATCH($I182,生物种群!$B$2:INDEX(生物种群!$B:$B,COUNTA(生物种群!$B:$B)),),))</f>
        <v/>
      </c>
      <c r="I182" s="37" t="str">
        <f>IF(A182&amp;B182&amp;C182="","",IF($C182&lt;&gt;0,INDEX(生物种群!$B$2:INDEX(生物种群!$B:$B,COUNTA(生物种群!$B:$B)),MATCH($C182,生物种群!$G$2:INDEX(生物种群!$G:$G,COUNTA(生物种群!$G:$G)),),),IF($A182&lt;&gt;0,INDEX(生物种群!$B$2:INDEX(生物种群!$B:$B,COUNTA(生物种群!$B:$B)),MATCH($A182,生物种群!$C$2:INDEX(生物种群!$C:$C,COUNTA(生物种群!$C:$C)),),),INDEX(生物种群!$B$2:INDEX(生物种群!$B:$B,COUNTA(生物种群!$B:$B)),MATCH($B182,生物种群!$D$2:INDEX(生物种群!$D:$D,COUNTA(生物种群!$D:$D)),),))))</f>
        <v/>
      </c>
      <c r="J182" s="37" t="str">
        <f>IF(A182&amp;B182&amp;C182="","",INDEX(生物种群!$J$2:INDEX(生物种群!$J:$J,COUNTA(生物种群!$J:$J)),MATCH($I182,生物种群!$B$2:INDEX(生物种群!$B:$B,COUNTA(生物种群!$B:$B)),),))</f>
        <v/>
      </c>
      <c r="K182" s="37" t="str">
        <f>IF(A182&amp;B182&amp;C182="","",INDEX(生物种群!$E$2:INDEX(生物种群!$E:$E,COUNTA(生物种群!$E:$E)),MATCH($I182,生物种群!$B$2:INDEX(生物种群!$B:$B,COUNTA(生物种群!$B:$B)),),))</f>
        <v/>
      </c>
      <c r="L182" s="37" t="str">
        <f>IF(A182&amp;B182&amp;C182="","",INDEX(生物种群!$F$3:INDEX(生物种群!$F:$F,COUNTA(生物种群!$F:$F)),MATCH($I182,生物种群!$B$3:INDEX(生物种群!$B:$B,COUNTA(生物种群!$B:$B)),),))</f>
        <v/>
      </c>
      <c r="M182" s="37" t="str">
        <f t="shared" si="4"/>
        <v/>
      </c>
      <c r="N182" s="37" t="str">
        <f t="shared" si="5"/>
        <v/>
      </c>
      <c r="O182" s="9"/>
      <c r="P182" s="10"/>
    </row>
    <row r="183" spans="1:16" ht="20.1" customHeight="1">
      <c r="A183" s="9"/>
      <c r="B183" s="9"/>
      <c r="C183" s="9"/>
      <c r="D183" s="43"/>
      <c r="E183" s="9"/>
      <c r="F183" s="9"/>
      <c r="G183" s="47" t="str">
        <f>IF(F183="","",INDEX(站位样品信息!$B$3:INDEX(站位样品信息!$B:$B,COUNTA(站位样品信息!$B:$B)+1),MATCH($F183,站位样品信息!$A$3:INDEX(站位样品信息!$A:$A,COUNTA(站位样品信息!$A:$A)+1),),))</f>
        <v/>
      </c>
      <c r="H183" s="37" t="str">
        <f>IF(A183&amp;B183&amp;C183="","",INDEX(生物种群!$A$2:INDEX(生物种群!$A:$A,COUNTA(生物种群!$A:$A)),MATCH($I183,生物种群!$B$2:INDEX(生物种群!$B:$B,COUNTA(生物种群!$B:$B)),),))</f>
        <v/>
      </c>
      <c r="I183" s="37" t="str">
        <f>IF(A183&amp;B183&amp;C183="","",IF($C183&lt;&gt;0,INDEX(生物种群!$B$2:INDEX(生物种群!$B:$B,COUNTA(生物种群!$B:$B)),MATCH($C183,生物种群!$G$2:INDEX(生物种群!$G:$G,COUNTA(生物种群!$G:$G)),),),IF($A183&lt;&gt;0,INDEX(生物种群!$B$2:INDEX(生物种群!$B:$B,COUNTA(生物种群!$B:$B)),MATCH($A183,生物种群!$C$2:INDEX(生物种群!$C:$C,COUNTA(生物种群!$C:$C)),),),INDEX(生物种群!$B$2:INDEX(生物种群!$B:$B,COUNTA(生物种群!$B:$B)),MATCH($B183,生物种群!$D$2:INDEX(生物种群!$D:$D,COUNTA(生物种群!$D:$D)),),))))</f>
        <v/>
      </c>
      <c r="J183" s="37" t="str">
        <f>IF(A183&amp;B183&amp;C183="","",INDEX(生物种群!$J$2:INDEX(生物种群!$J:$J,COUNTA(生物种群!$J:$J)),MATCH($I183,生物种群!$B$2:INDEX(生物种群!$B:$B,COUNTA(生物种群!$B:$B)),),))</f>
        <v/>
      </c>
      <c r="K183" s="37" t="str">
        <f>IF(A183&amp;B183&amp;C183="","",INDEX(生物种群!$E$2:INDEX(生物种群!$E:$E,COUNTA(生物种群!$E:$E)),MATCH($I183,生物种群!$B$2:INDEX(生物种群!$B:$B,COUNTA(生物种群!$B:$B)),),))</f>
        <v/>
      </c>
      <c r="L183" s="37" t="str">
        <f>IF(A183&amp;B183&amp;C183="","",INDEX(生物种群!$F$3:INDEX(生物种群!$F:$F,COUNTA(生物种群!$F:$F)),MATCH($I183,生物种群!$B$3:INDEX(生物种群!$B:$B,COUNTA(生物种群!$B:$B)),),))</f>
        <v/>
      </c>
      <c r="M183" s="37" t="str">
        <f t="shared" si="4"/>
        <v/>
      </c>
      <c r="N183" s="37" t="str">
        <f t="shared" si="5"/>
        <v/>
      </c>
      <c r="O183" s="9"/>
      <c r="P183" s="10"/>
    </row>
    <row r="184" spans="1:16" ht="20.1" customHeight="1">
      <c r="A184" s="9"/>
      <c r="B184" s="9"/>
      <c r="C184" s="9"/>
      <c r="D184" s="43"/>
      <c r="E184" s="9"/>
      <c r="F184" s="9"/>
      <c r="G184" s="47" t="str">
        <f>IF(F184="","",INDEX(站位样品信息!$B$3:INDEX(站位样品信息!$B:$B,COUNTA(站位样品信息!$B:$B)+1),MATCH($F184,站位样品信息!$A$3:INDEX(站位样品信息!$A:$A,COUNTA(站位样品信息!$A:$A)+1),),))</f>
        <v/>
      </c>
      <c r="H184" s="37" t="str">
        <f>IF(A184&amp;B184&amp;C184="","",INDEX(生物种群!$A$2:INDEX(生物种群!$A:$A,COUNTA(生物种群!$A:$A)),MATCH($I184,生物种群!$B$2:INDEX(生物种群!$B:$B,COUNTA(生物种群!$B:$B)),),))</f>
        <v/>
      </c>
      <c r="I184" s="37" t="str">
        <f>IF(A184&amp;B184&amp;C184="","",IF($C184&lt;&gt;0,INDEX(生物种群!$B$2:INDEX(生物种群!$B:$B,COUNTA(生物种群!$B:$B)),MATCH($C184,生物种群!$G$2:INDEX(生物种群!$G:$G,COUNTA(生物种群!$G:$G)),),),IF($A184&lt;&gt;0,INDEX(生物种群!$B$2:INDEX(生物种群!$B:$B,COUNTA(生物种群!$B:$B)),MATCH($A184,生物种群!$C$2:INDEX(生物种群!$C:$C,COUNTA(生物种群!$C:$C)),),),INDEX(生物种群!$B$2:INDEX(生物种群!$B:$B,COUNTA(生物种群!$B:$B)),MATCH($B184,生物种群!$D$2:INDEX(生物种群!$D:$D,COUNTA(生物种群!$D:$D)),),))))</f>
        <v/>
      </c>
      <c r="J184" s="37" t="str">
        <f>IF(A184&amp;B184&amp;C184="","",INDEX(生物种群!$J$2:INDEX(生物种群!$J:$J,COUNTA(生物种群!$J:$J)),MATCH($I184,生物种群!$B$2:INDEX(生物种群!$B:$B,COUNTA(生物种群!$B:$B)),),))</f>
        <v/>
      </c>
      <c r="K184" s="37" t="str">
        <f>IF(A184&amp;B184&amp;C184="","",INDEX(生物种群!$E$2:INDEX(生物种群!$E:$E,COUNTA(生物种群!$E:$E)),MATCH($I184,生物种群!$B$2:INDEX(生物种群!$B:$B,COUNTA(生物种群!$B:$B)),),))</f>
        <v/>
      </c>
      <c r="L184" s="37" t="str">
        <f>IF(A184&amp;B184&amp;C184="","",INDEX(生物种群!$F$3:INDEX(生物种群!$F:$F,COUNTA(生物种群!$F:$F)),MATCH($I184,生物种群!$B$3:INDEX(生物种群!$B:$B,COUNTA(生物种群!$B:$B)),),))</f>
        <v/>
      </c>
      <c r="M184" s="37" t="str">
        <f t="shared" si="4"/>
        <v/>
      </c>
      <c r="N184" s="37" t="str">
        <f t="shared" si="5"/>
        <v/>
      </c>
      <c r="O184" s="9"/>
      <c r="P184" s="10"/>
    </row>
    <row r="185" spans="1:16" ht="20.1" customHeight="1">
      <c r="A185" s="9"/>
      <c r="B185" s="9"/>
      <c r="C185" s="9"/>
      <c r="D185" s="43"/>
      <c r="E185" s="9"/>
      <c r="F185" s="9"/>
      <c r="G185" s="47" t="str">
        <f>IF(F185="","",INDEX(站位样品信息!$B$3:INDEX(站位样品信息!$B:$B,COUNTA(站位样品信息!$B:$B)+1),MATCH($F185,站位样品信息!$A$3:INDEX(站位样品信息!$A:$A,COUNTA(站位样品信息!$A:$A)+1),),))</f>
        <v/>
      </c>
      <c r="H185" s="37" t="str">
        <f>IF(A185&amp;B185&amp;C185="","",INDEX(生物种群!$A$2:INDEX(生物种群!$A:$A,COUNTA(生物种群!$A:$A)),MATCH($I185,生物种群!$B$2:INDEX(生物种群!$B:$B,COUNTA(生物种群!$B:$B)),),))</f>
        <v/>
      </c>
      <c r="I185" s="37" t="str">
        <f>IF(A185&amp;B185&amp;C185="","",IF($C185&lt;&gt;0,INDEX(生物种群!$B$2:INDEX(生物种群!$B:$B,COUNTA(生物种群!$B:$B)),MATCH($C185,生物种群!$G$2:INDEX(生物种群!$G:$G,COUNTA(生物种群!$G:$G)),),),IF($A185&lt;&gt;0,INDEX(生物种群!$B$2:INDEX(生物种群!$B:$B,COUNTA(生物种群!$B:$B)),MATCH($A185,生物种群!$C$2:INDEX(生物种群!$C:$C,COUNTA(生物种群!$C:$C)),),),INDEX(生物种群!$B$2:INDEX(生物种群!$B:$B,COUNTA(生物种群!$B:$B)),MATCH($B185,生物种群!$D$2:INDEX(生物种群!$D:$D,COUNTA(生物种群!$D:$D)),),))))</f>
        <v/>
      </c>
      <c r="J185" s="37" t="str">
        <f>IF(A185&amp;B185&amp;C185="","",INDEX(生物种群!$J$2:INDEX(生物种群!$J:$J,COUNTA(生物种群!$J:$J)),MATCH($I185,生物种群!$B$2:INDEX(生物种群!$B:$B,COUNTA(生物种群!$B:$B)),),))</f>
        <v/>
      </c>
      <c r="K185" s="37" t="str">
        <f>IF(A185&amp;B185&amp;C185="","",INDEX(生物种群!$E$2:INDEX(生物种群!$E:$E,COUNTA(生物种群!$E:$E)),MATCH($I185,生物种群!$B$2:INDEX(生物种群!$B:$B,COUNTA(生物种群!$B:$B)),),))</f>
        <v/>
      </c>
      <c r="L185" s="37" t="str">
        <f>IF(A185&amp;B185&amp;C185="","",INDEX(生物种群!$F$3:INDEX(生物种群!$F:$F,COUNTA(生物种群!$F:$F)),MATCH($I185,生物种群!$B$3:INDEX(生物种群!$B:$B,COUNTA(生物种群!$B:$B)),),))</f>
        <v/>
      </c>
      <c r="M185" s="37" t="str">
        <f t="shared" si="4"/>
        <v/>
      </c>
      <c r="N185" s="37" t="str">
        <f t="shared" si="5"/>
        <v/>
      </c>
      <c r="O185" s="9"/>
      <c r="P185" s="10"/>
    </row>
    <row r="186" spans="1:16" ht="20.1" customHeight="1">
      <c r="A186" s="9"/>
      <c r="B186" s="9"/>
      <c r="C186" s="9"/>
      <c r="D186" s="43"/>
      <c r="E186" s="9"/>
      <c r="F186" s="9"/>
      <c r="G186" s="47" t="str">
        <f>IF(F186="","",INDEX(站位样品信息!$B$3:INDEX(站位样品信息!$B:$B,COUNTA(站位样品信息!$B:$B)+1),MATCH($F186,站位样品信息!$A$3:INDEX(站位样品信息!$A:$A,COUNTA(站位样品信息!$A:$A)+1),),))</f>
        <v/>
      </c>
      <c r="H186" s="37" t="str">
        <f>IF(A186&amp;B186&amp;C186="","",INDEX(生物种群!$A$2:INDEX(生物种群!$A:$A,COUNTA(生物种群!$A:$A)),MATCH($I186,生物种群!$B$2:INDEX(生物种群!$B:$B,COUNTA(生物种群!$B:$B)),),))</f>
        <v/>
      </c>
      <c r="I186" s="37" t="str">
        <f>IF(A186&amp;B186&amp;C186="","",IF($C186&lt;&gt;0,INDEX(生物种群!$B$2:INDEX(生物种群!$B:$B,COUNTA(生物种群!$B:$B)),MATCH($C186,生物种群!$G$2:INDEX(生物种群!$G:$G,COUNTA(生物种群!$G:$G)),),),IF($A186&lt;&gt;0,INDEX(生物种群!$B$2:INDEX(生物种群!$B:$B,COUNTA(生物种群!$B:$B)),MATCH($A186,生物种群!$C$2:INDEX(生物种群!$C:$C,COUNTA(生物种群!$C:$C)),),),INDEX(生物种群!$B$2:INDEX(生物种群!$B:$B,COUNTA(生物种群!$B:$B)),MATCH($B186,生物种群!$D$2:INDEX(生物种群!$D:$D,COUNTA(生物种群!$D:$D)),),))))</f>
        <v/>
      </c>
      <c r="J186" s="37" t="str">
        <f>IF(A186&amp;B186&amp;C186="","",INDEX(生物种群!$J$2:INDEX(生物种群!$J:$J,COUNTA(生物种群!$J:$J)),MATCH($I186,生物种群!$B$2:INDEX(生物种群!$B:$B,COUNTA(生物种群!$B:$B)),),))</f>
        <v/>
      </c>
      <c r="K186" s="37" t="str">
        <f>IF(A186&amp;B186&amp;C186="","",INDEX(生物种群!$E$2:INDEX(生物种群!$E:$E,COUNTA(生物种群!$E:$E)),MATCH($I186,生物种群!$B$2:INDEX(生物种群!$B:$B,COUNTA(生物种群!$B:$B)),),))</f>
        <v/>
      </c>
      <c r="L186" s="37" t="str">
        <f>IF(A186&amp;B186&amp;C186="","",INDEX(生物种群!$F$3:INDEX(生物种群!$F:$F,COUNTA(生物种群!$F:$F)),MATCH($I186,生物种群!$B$3:INDEX(生物种群!$B:$B,COUNTA(生物种群!$B:$B)),),))</f>
        <v/>
      </c>
      <c r="M186" s="37" t="str">
        <f t="shared" si="4"/>
        <v/>
      </c>
      <c r="N186" s="37" t="str">
        <f t="shared" si="5"/>
        <v/>
      </c>
      <c r="O186" s="9"/>
      <c r="P186" s="10"/>
    </row>
    <row r="187" spans="1:16" ht="20.1" customHeight="1">
      <c r="A187" s="9"/>
      <c r="B187" s="9"/>
      <c r="C187" s="9"/>
      <c r="D187" s="43"/>
      <c r="E187" s="9"/>
      <c r="F187" s="9"/>
      <c r="G187" s="47" t="str">
        <f>IF(F187="","",INDEX(站位样品信息!$B$3:INDEX(站位样品信息!$B:$B,COUNTA(站位样品信息!$B:$B)+1),MATCH($F187,站位样品信息!$A$3:INDEX(站位样品信息!$A:$A,COUNTA(站位样品信息!$A:$A)+1),),))</f>
        <v/>
      </c>
      <c r="H187" s="37" t="str">
        <f>IF(A187&amp;B187&amp;C187="","",INDEX(生物种群!$A$2:INDEX(生物种群!$A:$A,COUNTA(生物种群!$A:$A)),MATCH($I187,生物种群!$B$2:INDEX(生物种群!$B:$B,COUNTA(生物种群!$B:$B)),),))</f>
        <v/>
      </c>
      <c r="I187" s="37" t="str">
        <f>IF(A187&amp;B187&amp;C187="","",IF($C187&lt;&gt;0,INDEX(生物种群!$B$2:INDEX(生物种群!$B:$B,COUNTA(生物种群!$B:$B)),MATCH($C187,生物种群!$G$2:INDEX(生物种群!$G:$G,COUNTA(生物种群!$G:$G)),),),IF($A187&lt;&gt;0,INDEX(生物种群!$B$2:INDEX(生物种群!$B:$B,COUNTA(生物种群!$B:$B)),MATCH($A187,生物种群!$C$2:INDEX(生物种群!$C:$C,COUNTA(生物种群!$C:$C)),),),INDEX(生物种群!$B$2:INDEX(生物种群!$B:$B,COUNTA(生物种群!$B:$B)),MATCH($B187,生物种群!$D$2:INDEX(生物种群!$D:$D,COUNTA(生物种群!$D:$D)),),))))</f>
        <v/>
      </c>
      <c r="J187" s="37" t="str">
        <f>IF(A187&amp;B187&amp;C187="","",INDEX(生物种群!$J$2:INDEX(生物种群!$J:$J,COUNTA(生物种群!$J:$J)),MATCH($I187,生物种群!$B$2:INDEX(生物种群!$B:$B,COUNTA(生物种群!$B:$B)),),))</f>
        <v/>
      </c>
      <c r="K187" s="37" t="str">
        <f>IF(A187&amp;B187&amp;C187="","",INDEX(生物种群!$E$2:INDEX(生物种群!$E:$E,COUNTA(生物种群!$E:$E)),MATCH($I187,生物种群!$B$2:INDEX(生物种群!$B:$B,COUNTA(生物种群!$B:$B)),),))</f>
        <v/>
      </c>
      <c r="L187" s="37" t="str">
        <f>IF(A187&amp;B187&amp;C187="","",INDEX(生物种群!$F$3:INDEX(生物种群!$F:$F,COUNTA(生物种群!$F:$F)),MATCH($I187,生物种群!$B$3:INDEX(生物种群!$B:$B,COUNTA(生物种群!$B:$B)),),))</f>
        <v/>
      </c>
      <c r="M187" s="37" t="str">
        <f t="shared" si="4"/>
        <v/>
      </c>
      <c r="N187" s="37" t="str">
        <f t="shared" si="5"/>
        <v/>
      </c>
      <c r="O187" s="9"/>
      <c r="P187" s="10"/>
    </row>
    <row r="188" spans="1:16" ht="20.1" customHeight="1">
      <c r="A188" s="9"/>
      <c r="B188" s="9"/>
      <c r="C188" s="9"/>
      <c r="D188" s="43"/>
      <c r="E188" s="9"/>
      <c r="F188" s="9"/>
      <c r="G188" s="47" t="str">
        <f>IF(F188="","",INDEX(站位样品信息!$B$3:INDEX(站位样品信息!$B:$B,COUNTA(站位样品信息!$B:$B)+1),MATCH($F188,站位样品信息!$A$3:INDEX(站位样品信息!$A:$A,COUNTA(站位样品信息!$A:$A)+1),),))</f>
        <v/>
      </c>
      <c r="H188" s="37" t="str">
        <f>IF(A188&amp;B188&amp;C188="","",INDEX(生物种群!$A$2:INDEX(生物种群!$A:$A,COUNTA(生物种群!$A:$A)),MATCH($I188,生物种群!$B$2:INDEX(生物种群!$B:$B,COUNTA(生物种群!$B:$B)),),))</f>
        <v/>
      </c>
      <c r="I188" s="37" t="str">
        <f>IF(A188&amp;B188&amp;C188="","",IF($C188&lt;&gt;0,INDEX(生物种群!$B$2:INDEX(生物种群!$B:$B,COUNTA(生物种群!$B:$B)),MATCH($C188,生物种群!$G$2:INDEX(生物种群!$G:$G,COUNTA(生物种群!$G:$G)),),),IF($A188&lt;&gt;0,INDEX(生物种群!$B$2:INDEX(生物种群!$B:$B,COUNTA(生物种群!$B:$B)),MATCH($A188,生物种群!$C$2:INDEX(生物种群!$C:$C,COUNTA(生物种群!$C:$C)),),),INDEX(生物种群!$B$2:INDEX(生物种群!$B:$B,COUNTA(生物种群!$B:$B)),MATCH($B188,生物种群!$D$2:INDEX(生物种群!$D:$D,COUNTA(生物种群!$D:$D)),),))))</f>
        <v/>
      </c>
      <c r="J188" s="37" t="str">
        <f>IF(A188&amp;B188&amp;C188="","",INDEX(生物种群!$J$2:INDEX(生物种群!$J:$J,COUNTA(生物种群!$J:$J)),MATCH($I188,生物种群!$B$2:INDEX(生物种群!$B:$B,COUNTA(生物种群!$B:$B)),),))</f>
        <v/>
      </c>
      <c r="K188" s="37" t="str">
        <f>IF(A188&amp;B188&amp;C188="","",INDEX(生物种群!$E$2:INDEX(生物种群!$E:$E,COUNTA(生物种群!$E:$E)),MATCH($I188,生物种群!$B$2:INDEX(生物种群!$B:$B,COUNTA(生物种群!$B:$B)),),))</f>
        <v/>
      </c>
      <c r="L188" s="37" t="str">
        <f>IF(A188&amp;B188&amp;C188="","",INDEX(生物种群!$F$3:INDEX(生物种群!$F:$F,COUNTA(生物种群!$F:$F)),MATCH($I188,生物种群!$B$3:INDEX(生物种群!$B:$B,COUNTA(生物种群!$B:$B)),),))</f>
        <v/>
      </c>
      <c r="M188" s="37" t="str">
        <f t="shared" si="4"/>
        <v/>
      </c>
      <c r="N188" s="37" t="str">
        <f t="shared" si="5"/>
        <v/>
      </c>
      <c r="O188" s="9"/>
      <c r="P188" s="10"/>
    </row>
    <row r="189" spans="1:16" ht="20.1" customHeight="1">
      <c r="A189" s="9"/>
      <c r="B189" s="9"/>
      <c r="C189" s="9"/>
      <c r="D189" s="43"/>
      <c r="E189" s="9"/>
      <c r="F189" s="9"/>
      <c r="G189" s="47" t="str">
        <f>IF(F189="","",INDEX(站位样品信息!$B$3:INDEX(站位样品信息!$B:$B,COUNTA(站位样品信息!$B:$B)+1),MATCH($F189,站位样品信息!$A$3:INDEX(站位样品信息!$A:$A,COUNTA(站位样品信息!$A:$A)+1),),))</f>
        <v/>
      </c>
      <c r="H189" s="37" t="str">
        <f>IF(A189&amp;B189&amp;C189="","",INDEX(生物种群!$A$2:INDEX(生物种群!$A:$A,COUNTA(生物种群!$A:$A)),MATCH($I189,生物种群!$B$2:INDEX(生物种群!$B:$B,COUNTA(生物种群!$B:$B)),),))</f>
        <v/>
      </c>
      <c r="I189" s="37" t="str">
        <f>IF(A189&amp;B189&amp;C189="","",IF($C189&lt;&gt;0,INDEX(生物种群!$B$2:INDEX(生物种群!$B:$B,COUNTA(生物种群!$B:$B)),MATCH($C189,生物种群!$G$2:INDEX(生物种群!$G:$G,COUNTA(生物种群!$G:$G)),),),IF($A189&lt;&gt;0,INDEX(生物种群!$B$2:INDEX(生物种群!$B:$B,COUNTA(生物种群!$B:$B)),MATCH($A189,生物种群!$C$2:INDEX(生物种群!$C:$C,COUNTA(生物种群!$C:$C)),),),INDEX(生物种群!$B$2:INDEX(生物种群!$B:$B,COUNTA(生物种群!$B:$B)),MATCH($B189,生物种群!$D$2:INDEX(生物种群!$D:$D,COUNTA(生物种群!$D:$D)),),))))</f>
        <v/>
      </c>
      <c r="J189" s="37" t="str">
        <f>IF(A189&amp;B189&amp;C189="","",INDEX(生物种群!$J$2:INDEX(生物种群!$J:$J,COUNTA(生物种群!$J:$J)),MATCH($I189,生物种群!$B$2:INDEX(生物种群!$B:$B,COUNTA(生物种群!$B:$B)),),))</f>
        <v/>
      </c>
      <c r="K189" s="37" t="str">
        <f>IF(A189&amp;B189&amp;C189="","",INDEX(生物种群!$E$2:INDEX(生物种群!$E:$E,COUNTA(生物种群!$E:$E)),MATCH($I189,生物种群!$B$2:INDEX(生物种群!$B:$B,COUNTA(生物种群!$B:$B)),),))</f>
        <v/>
      </c>
      <c r="L189" s="37" t="str">
        <f>IF(A189&amp;B189&amp;C189="","",INDEX(生物种群!$F$3:INDEX(生物种群!$F:$F,COUNTA(生物种群!$F:$F)),MATCH($I189,生物种群!$B$3:INDEX(生物种群!$B:$B,COUNTA(生物种群!$B:$B)),),))</f>
        <v/>
      </c>
      <c r="M189" s="37" t="str">
        <f t="shared" si="4"/>
        <v/>
      </c>
      <c r="N189" s="37" t="str">
        <f t="shared" si="5"/>
        <v/>
      </c>
      <c r="O189" s="9"/>
      <c r="P189" s="10"/>
    </row>
    <row r="190" spans="1:16" ht="20.1" customHeight="1">
      <c r="A190" s="9"/>
      <c r="B190" s="9"/>
      <c r="C190" s="9"/>
      <c r="D190" s="43"/>
      <c r="E190" s="9"/>
      <c r="F190" s="9"/>
      <c r="G190" s="47" t="str">
        <f>IF(F190="","",INDEX(站位样品信息!$B$3:INDEX(站位样品信息!$B:$B,COUNTA(站位样品信息!$B:$B)+1),MATCH($F190,站位样品信息!$A$3:INDEX(站位样品信息!$A:$A,COUNTA(站位样品信息!$A:$A)+1),),))</f>
        <v/>
      </c>
      <c r="H190" s="37" t="str">
        <f>IF(A190&amp;B190&amp;C190="","",INDEX(生物种群!$A$2:INDEX(生物种群!$A:$A,COUNTA(生物种群!$A:$A)),MATCH($I190,生物种群!$B$2:INDEX(生物种群!$B:$B,COUNTA(生物种群!$B:$B)),),))</f>
        <v/>
      </c>
      <c r="I190" s="37" t="str">
        <f>IF(A190&amp;B190&amp;C190="","",IF($C190&lt;&gt;0,INDEX(生物种群!$B$2:INDEX(生物种群!$B:$B,COUNTA(生物种群!$B:$B)),MATCH($C190,生物种群!$G$2:INDEX(生物种群!$G:$G,COUNTA(生物种群!$G:$G)),),),IF($A190&lt;&gt;0,INDEX(生物种群!$B$2:INDEX(生物种群!$B:$B,COUNTA(生物种群!$B:$B)),MATCH($A190,生物种群!$C$2:INDEX(生物种群!$C:$C,COUNTA(生物种群!$C:$C)),),),INDEX(生物种群!$B$2:INDEX(生物种群!$B:$B,COUNTA(生物种群!$B:$B)),MATCH($B190,生物种群!$D$2:INDEX(生物种群!$D:$D,COUNTA(生物种群!$D:$D)),),))))</f>
        <v/>
      </c>
      <c r="J190" s="37" t="str">
        <f>IF(A190&amp;B190&amp;C190="","",INDEX(生物种群!$J$2:INDEX(生物种群!$J:$J,COUNTA(生物种群!$J:$J)),MATCH($I190,生物种群!$B$2:INDEX(生物种群!$B:$B,COUNTA(生物种群!$B:$B)),),))</f>
        <v/>
      </c>
      <c r="K190" s="37" t="str">
        <f>IF(A190&amp;B190&amp;C190="","",INDEX(生物种群!$E$2:INDEX(生物种群!$E:$E,COUNTA(生物种群!$E:$E)),MATCH($I190,生物种群!$B$2:INDEX(生物种群!$B:$B,COUNTA(生物种群!$B:$B)),),))</f>
        <v/>
      </c>
      <c r="L190" s="37" t="str">
        <f>IF(A190&amp;B190&amp;C190="","",INDEX(生物种群!$F$3:INDEX(生物种群!$F:$F,COUNTA(生物种群!$F:$F)),MATCH($I190,生物种群!$B$3:INDEX(生物种群!$B:$B,COUNTA(生物种群!$B:$B)),),))</f>
        <v/>
      </c>
      <c r="M190" s="37" t="str">
        <f t="shared" si="4"/>
        <v/>
      </c>
      <c r="N190" s="37" t="str">
        <f t="shared" si="5"/>
        <v/>
      </c>
      <c r="O190" s="9"/>
      <c r="P190" s="10"/>
    </row>
    <row r="191" spans="1:16" ht="20.1" customHeight="1">
      <c r="A191" s="9"/>
      <c r="B191" s="9"/>
      <c r="C191" s="9"/>
      <c r="D191" s="43"/>
      <c r="E191" s="9"/>
      <c r="F191" s="9"/>
      <c r="G191" s="47" t="str">
        <f>IF(F191="","",INDEX(站位样品信息!$B$3:INDEX(站位样品信息!$B:$B,COUNTA(站位样品信息!$B:$B)+1),MATCH($F191,站位样品信息!$A$3:INDEX(站位样品信息!$A:$A,COUNTA(站位样品信息!$A:$A)+1),),))</f>
        <v/>
      </c>
      <c r="H191" s="37" t="str">
        <f>IF(A191&amp;B191&amp;C191="","",INDEX(生物种群!$A$2:INDEX(生物种群!$A:$A,COUNTA(生物种群!$A:$A)),MATCH($I191,生物种群!$B$2:INDEX(生物种群!$B:$B,COUNTA(生物种群!$B:$B)),),))</f>
        <v/>
      </c>
      <c r="I191" s="37" t="str">
        <f>IF(A191&amp;B191&amp;C191="","",IF($C191&lt;&gt;0,INDEX(生物种群!$B$2:INDEX(生物种群!$B:$B,COUNTA(生物种群!$B:$B)),MATCH($C191,生物种群!$G$2:INDEX(生物种群!$G:$G,COUNTA(生物种群!$G:$G)),),),IF($A191&lt;&gt;0,INDEX(生物种群!$B$2:INDEX(生物种群!$B:$B,COUNTA(生物种群!$B:$B)),MATCH($A191,生物种群!$C$2:INDEX(生物种群!$C:$C,COUNTA(生物种群!$C:$C)),),),INDEX(生物种群!$B$2:INDEX(生物种群!$B:$B,COUNTA(生物种群!$B:$B)),MATCH($B191,生物种群!$D$2:INDEX(生物种群!$D:$D,COUNTA(生物种群!$D:$D)),),))))</f>
        <v/>
      </c>
      <c r="J191" s="37" t="str">
        <f>IF(A191&amp;B191&amp;C191="","",INDEX(生物种群!$J$2:INDEX(生物种群!$J:$J,COUNTA(生物种群!$J:$J)),MATCH($I191,生物种群!$B$2:INDEX(生物种群!$B:$B,COUNTA(生物种群!$B:$B)),),))</f>
        <v/>
      </c>
      <c r="K191" s="37" t="str">
        <f>IF(A191&amp;B191&amp;C191="","",INDEX(生物种群!$E$2:INDEX(生物种群!$E:$E,COUNTA(生物种群!$E:$E)),MATCH($I191,生物种群!$B$2:INDEX(生物种群!$B:$B,COUNTA(生物种群!$B:$B)),),))</f>
        <v/>
      </c>
      <c r="L191" s="37" t="str">
        <f>IF(A191&amp;B191&amp;C191="","",INDEX(生物种群!$F$3:INDEX(生物种群!$F:$F,COUNTA(生物种群!$F:$F)),MATCH($I191,生物种群!$B$3:INDEX(生物种群!$B:$B,COUNTA(生物种群!$B:$B)),),))</f>
        <v/>
      </c>
      <c r="M191" s="37" t="str">
        <f t="shared" si="4"/>
        <v/>
      </c>
      <c r="N191" s="37" t="str">
        <f t="shared" si="5"/>
        <v/>
      </c>
      <c r="O191" s="9"/>
      <c r="P191" s="10"/>
    </row>
    <row r="192" spans="1:16" ht="20.1" customHeight="1">
      <c r="A192" s="9"/>
      <c r="B192" s="9"/>
      <c r="C192" s="9"/>
      <c r="D192" s="43"/>
      <c r="E192" s="9"/>
      <c r="F192" s="9"/>
      <c r="G192" s="47" t="str">
        <f>IF(F192="","",INDEX(站位样品信息!$B$3:INDEX(站位样品信息!$B:$B,COUNTA(站位样品信息!$B:$B)+1),MATCH($F192,站位样品信息!$A$3:INDEX(站位样品信息!$A:$A,COUNTA(站位样品信息!$A:$A)+1),),))</f>
        <v/>
      </c>
      <c r="H192" s="37" t="str">
        <f>IF(A192&amp;B192&amp;C192="","",INDEX(生物种群!$A$2:INDEX(生物种群!$A:$A,COUNTA(生物种群!$A:$A)),MATCH($I192,生物种群!$B$2:INDEX(生物种群!$B:$B,COUNTA(生物种群!$B:$B)),),))</f>
        <v/>
      </c>
      <c r="I192" s="37" t="str">
        <f>IF(A192&amp;B192&amp;C192="","",IF($C192&lt;&gt;0,INDEX(生物种群!$B$2:INDEX(生物种群!$B:$B,COUNTA(生物种群!$B:$B)),MATCH($C192,生物种群!$G$2:INDEX(生物种群!$G:$G,COUNTA(生物种群!$G:$G)),),),IF($A192&lt;&gt;0,INDEX(生物种群!$B$2:INDEX(生物种群!$B:$B,COUNTA(生物种群!$B:$B)),MATCH($A192,生物种群!$C$2:INDEX(生物种群!$C:$C,COUNTA(生物种群!$C:$C)),),),INDEX(生物种群!$B$2:INDEX(生物种群!$B:$B,COUNTA(生物种群!$B:$B)),MATCH($B192,生物种群!$D$2:INDEX(生物种群!$D:$D,COUNTA(生物种群!$D:$D)),),))))</f>
        <v/>
      </c>
      <c r="J192" s="37" t="str">
        <f>IF(A192&amp;B192&amp;C192="","",INDEX(生物种群!$J$2:INDEX(生物种群!$J:$J,COUNTA(生物种群!$J:$J)),MATCH($I192,生物种群!$B$2:INDEX(生物种群!$B:$B,COUNTA(生物种群!$B:$B)),),))</f>
        <v/>
      </c>
      <c r="K192" s="37" t="str">
        <f>IF(A192&amp;B192&amp;C192="","",INDEX(生物种群!$E$2:INDEX(生物种群!$E:$E,COUNTA(生物种群!$E:$E)),MATCH($I192,生物种群!$B$2:INDEX(生物种群!$B:$B,COUNTA(生物种群!$B:$B)),),))</f>
        <v/>
      </c>
      <c r="L192" s="37" t="str">
        <f>IF(A192&amp;B192&amp;C192="","",INDEX(生物种群!$F$3:INDEX(生物种群!$F:$F,COUNTA(生物种群!$F:$F)),MATCH($I192,生物种群!$B$3:INDEX(生物种群!$B:$B,COUNTA(生物种群!$B:$B)),),))</f>
        <v/>
      </c>
      <c r="M192" s="37" t="str">
        <f t="shared" si="4"/>
        <v/>
      </c>
      <c r="N192" s="37" t="str">
        <f t="shared" si="5"/>
        <v/>
      </c>
      <c r="O192" s="9"/>
      <c r="P192" s="10"/>
    </row>
    <row r="193" spans="1:16" ht="20.1" customHeight="1">
      <c r="A193" s="9"/>
      <c r="B193" s="9"/>
      <c r="C193" s="9"/>
      <c r="D193" s="43"/>
      <c r="E193" s="9"/>
      <c r="F193" s="9"/>
      <c r="G193" s="47" t="str">
        <f>IF(F193="","",INDEX(站位样品信息!$B$3:INDEX(站位样品信息!$B:$B,COUNTA(站位样品信息!$B:$B)+1),MATCH($F193,站位样品信息!$A$3:INDEX(站位样品信息!$A:$A,COUNTA(站位样品信息!$A:$A)+1),),))</f>
        <v/>
      </c>
      <c r="H193" s="37" t="str">
        <f>IF(A193&amp;B193&amp;C193="","",INDEX(生物种群!$A$2:INDEX(生物种群!$A:$A,COUNTA(生物种群!$A:$A)),MATCH($I193,生物种群!$B$2:INDEX(生物种群!$B:$B,COUNTA(生物种群!$B:$B)),),))</f>
        <v/>
      </c>
      <c r="I193" s="37" t="str">
        <f>IF(A193&amp;B193&amp;C193="","",IF($C193&lt;&gt;0,INDEX(生物种群!$B$2:INDEX(生物种群!$B:$B,COUNTA(生物种群!$B:$B)),MATCH($C193,生物种群!$G$2:INDEX(生物种群!$G:$G,COUNTA(生物种群!$G:$G)),),),IF($A193&lt;&gt;0,INDEX(生物种群!$B$2:INDEX(生物种群!$B:$B,COUNTA(生物种群!$B:$B)),MATCH($A193,生物种群!$C$2:INDEX(生物种群!$C:$C,COUNTA(生物种群!$C:$C)),),),INDEX(生物种群!$B$2:INDEX(生物种群!$B:$B,COUNTA(生物种群!$B:$B)),MATCH($B193,生物种群!$D$2:INDEX(生物种群!$D:$D,COUNTA(生物种群!$D:$D)),),))))</f>
        <v/>
      </c>
      <c r="J193" s="37" t="str">
        <f>IF(A193&amp;B193&amp;C193="","",INDEX(生物种群!$J$2:INDEX(生物种群!$J:$J,COUNTA(生物种群!$J:$J)),MATCH($I193,生物种群!$B$2:INDEX(生物种群!$B:$B,COUNTA(生物种群!$B:$B)),),))</f>
        <v/>
      </c>
      <c r="K193" s="37" t="str">
        <f>IF(A193&amp;B193&amp;C193="","",INDEX(生物种群!$E$2:INDEX(生物种群!$E:$E,COUNTA(生物种群!$E:$E)),MATCH($I193,生物种群!$B$2:INDEX(生物种群!$B:$B,COUNTA(生物种群!$B:$B)),),))</f>
        <v/>
      </c>
      <c r="L193" s="37" t="str">
        <f>IF(A193&amp;B193&amp;C193="","",INDEX(生物种群!$F$3:INDEX(生物种群!$F:$F,COUNTA(生物种群!$F:$F)),MATCH($I193,生物种群!$B$3:INDEX(生物种群!$B:$B,COUNTA(生物种群!$B:$B)),),))</f>
        <v/>
      </c>
      <c r="M193" s="37" t="str">
        <f t="shared" si="4"/>
        <v/>
      </c>
      <c r="N193" s="37" t="str">
        <f t="shared" si="5"/>
        <v/>
      </c>
      <c r="O193" s="9"/>
      <c r="P193" s="10"/>
    </row>
    <row r="194" spans="1:16" ht="20.1" customHeight="1">
      <c r="A194" s="9"/>
      <c r="B194" s="9"/>
      <c r="C194" s="9"/>
      <c r="D194" s="43"/>
      <c r="E194" s="9"/>
      <c r="F194" s="9"/>
      <c r="G194" s="47" t="str">
        <f>IF(F194="","",INDEX(站位样品信息!$B$3:INDEX(站位样品信息!$B:$B,COUNTA(站位样品信息!$B:$B)+1),MATCH($F194,站位样品信息!$A$3:INDEX(站位样品信息!$A:$A,COUNTA(站位样品信息!$A:$A)+1),),))</f>
        <v/>
      </c>
      <c r="H194" s="37" t="str">
        <f>IF(A194&amp;B194&amp;C194="","",INDEX(生物种群!$A$2:INDEX(生物种群!$A:$A,COUNTA(生物种群!$A:$A)),MATCH($I194,生物种群!$B$2:INDEX(生物种群!$B:$B,COUNTA(生物种群!$B:$B)),),))</f>
        <v/>
      </c>
      <c r="I194" s="37" t="str">
        <f>IF(A194&amp;B194&amp;C194="","",IF($C194&lt;&gt;0,INDEX(生物种群!$B$2:INDEX(生物种群!$B:$B,COUNTA(生物种群!$B:$B)),MATCH($C194,生物种群!$G$2:INDEX(生物种群!$G:$G,COUNTA(生物种群!$G:$G)),),),IF($A194&lt;&gt;0,INDEX(生物种群!$B$2:INDEX(生物种群!$B:$B,COUNTA(生物种群!$B:$B)),MATCH($A194,生物种群!$C$2:INDEX(生物种群!$C:$C,COUNTA(生物种群!$C:$C)),),),INDEX(生物种群!$B$2:INDEX(生物种群!$B:$B,COUNTA(生物种群!$B:$B)),MATCH($B194,生物种群!$D$2:INDEX(生物种群!$D:$D,COUNTA(生物种群!$D:$D)),),))))</f>
        <v/>
      </c>
      <c r="J194" s="37" t="str">
        <f>IF(A194&amp;B194&amp;C194="","",INDEX(生物种群!$J$2:INDEX(生物种群!$J:$J,COUNTA(生物种群!$J:$J)),MATCH($I194,生物种群!$B$2:INDEX(生物种群!$B:$B,COUNTA(生物种群!$B:$B)),),))</f>
        <v/>
      </c>
      <c r="K194" s="37" t="str">
        <f>IF(A194&amp;B194&amp;C194="","",INDEX(生物种群!$E$2:INDEX(生物种群!$E:$E,COUNTA(生物种群!$E:$E)),MATCH($I194,生物种群!$B$2:INDEX(生物种群!$B:$B,COUNTA(生物种群!$B:$B)),),))</f>
        <v/>
      </c>
      <c r="L194" s="37" t="str">
        <f>IF(A194&amp;B194&amp;C194="","",INDEX(生物种群!$F$3:INDEX(生物种群!$F:$F,COUNTA(生物种群!$F:$F)),MATCH($I194,生物种群!$B$3:INDEX(生物种群!$B:$B,COUNTA(生物种群!$B:$B)),),))</f>
        <v/>
      </c>
      <c r="M194" s="37" t="str">
        <f t="shared" si="4"/>
        <v/>
      </c>
      <c r="N194" s="37" t="str">
        <f t="shared" si="5"/>
        <v/>
      </c>
      <c r="O194" s="9"/>
      <c r="P194" s="10"/>
    </row>
    <row r="195" spans="1:16" ht="20.1" customHeight="1">
      <c r="A195" s="9"/>
      <c r="B195" s="9"/>
      <c r="C195" s="9"/>
      <c r="D195" s="43"/>
      <c r="E195" s="9"/>
      <c r="F195" s="9"/>
      <c r="G195" s="47" t="str">
        <f>IF(F195="","",INDEX(站位样品信息!$B$3:INDEX(站位样品信息!$B:$B,COUNTA(站位样品信息!$B:$B)+1),MATCH($F195,站位样品信息!$A$3:INDEX(站位样品信息!$A:$A,COUNTA(站位样品信息!$A:$A)+1),),))</f>
        <v/>
      </c>
      <c r="H195" s="37" t="str">
        <f>IF(A195&amp;B195&amp;C195="","",INDEX(生物种群!$A$2:INDEX(生物种群!$A:$A,COUNTA(生物种群!$A:$A)),MATCH($I195,生物种群!$B$2:INDEX(生物种群!$B:$B,COUNTA(生物种群!$B:$B)),),))</f>
        <v/>
      </c>
      <c r="I195" s="37" t="str">
        <f>IF(A195&amp;B195&amp;C195="","",IF($C195&lt;&gt;0,INDEX(生物种群!$B$2:INDEX(生物种群!$B:$B,COUNTA(生物种群!$B:$B)),MATCH($C195,生物种群!$G$2:INDEX(生物种群!$G:$G,COUNTA(生物种群!$G:$G)),),),IF($A195&lt;&gt;0,INDEX(生物种群!$B$2:INDEX(生物种群!$B:$B,COUNTA(生物种群!$B:$B)),MATCH($A195,生物种群!$C$2:INDEX(生物种群!$C:$C,COUNTA(生物种群!$C:$C)),),),INDEX(生物种群!$B$2:INDEX(生物种群!$B:$B,COUNTA(生物种群!$B:$B)),MATCH($B195,生物种群!$D$2:INDEX(生物种群!$D:$D,COUNTA(生物种群!$D:$D)),),))))</f>
        <v/>
      </c>
      <c r="J195" s="37" t="str">
        <f>IF(A195&amp;B195&amp;C195="","",INDEX(生物种群!$J$2:INDEX(生物种群!$J:$J,COUNTA(生物种群!$J:$J)),MATCH($I195,生物种群!$B$2:INDEX(生物种群!$B:$B,COUNTA(生物种群!$B:$B)),),))</f>
        <v/>
      </c>
      <c r="K195" s="37" t="str">
        <f>IF(A195&amp;B195&amp;C195="","",INDEX(生物种群!$E$2:INDEX(生物种群!$E:$E,COUNTA(生物种群!$E:$E)),MATCH($I195,生物种群!$B$2:INDEX(生物种群!$B:$B,COUNTA(生物种群!$B:$B)),),))</f>
        <v/>
      </c>
      <c r="L195" s="37" t="str">
        <f>IF(A195&amp;B195&amp;C195="","",INDEX(生物种群!$F$3:INDEX(生物种群!$F:$F,COUNTA(生物种群!$F:$F)),MATCH($I195,生物种群!$B$3:INDEX(生物种群!$B:$B,COUNTA(生物种群!$B:$B)),),))</f>
        <v/>
      </c>
      <c r="M195" s="37" t="str">
        <f t="shared" si="6" ref="M195:M258">IF(F195&gt;0,F195&amp;I195&amp;E195,"")</f>
        <v/>
      </c>
      <c r="N195" s="37" t="str">
        <f t="shared" si="7" ref="N195:N258">IF(COUNTIF($M:$M,M195)=1,"",IF(A195&amp;B195&amp;C195="","","重复"))</f>
        <v/>
      </c>
      <c r="O195" s="9"/>
      <c r="P195" s="10"/>
    </row>
    <row r="196" spans="1:16" ht="20.1" customHeight="1">
      <c r="A196" s="9"/>
      <c r="B196" s="9"/>
      <c r="C196" s="9"/>
      <c r="D196" s="43"/>
      <c r="E196" s="9"/>
      <c r="F196" s="9"/>
      <c r="G196" s="47" t="str">
        <f>IF(F196="","",INDEX(站位样品信息!$B$3:INDEX(站位样品信息!$B:$B,COUNTA(站位样品信息!$B:$B)+1),MATCH($F196,站位样品信息!$A$3:INDEX(站位样品信息!$A:$A,COUNTA(站位样品信息!$A:$A)+1),),))</f>
        <v/>
      </c>
      <c r="H196" s="37" t="str">
        <f>IF(A196&amp;B196&amp;C196="","",INDEX(生物种群!$A$2:INDEX(生物种群!$A:$A,COUNTA(生物种群!$A:$A)),MATCH($I196,生物种群!$B$2:INDEX(生物种群!$B:$B,COUNTA(生物种群!$B:$B)),),))</f>
        <v/>
      </c>
      <c r="I196" s="37" t="str">
        <f>IF(A196&amp;B196&amp;C196="","",IF($C196&lt;&gt;0,INDEX(生物种群!$B$2:INDEX(生物种群!$B:$B,COUNTA(生物种群!$B:$B)),MATCH($C196,生物种群!$G$2:INDEX(生物种群!$G:$G,COUNTA(生物种群!$G:$G)),),),IF($A196&lt;&gt;0,INDEX(生物种群!$B$2:INDEX(生物种群!$B:$B,COUNTA(生物种群!$B:$B)),MATCH($A196,生物种群!$C$2:INDEX(生物种群!$C:$C,COUNTA(生物种群!$C:$C)),),),INDEX(生物种群!$B$2:INDEX(生物种群!$B:$B,COUNTA(生物种群!$B:$B)),MATCH($B196,生物种群!$D$2:INDEX(生物种群!$D:$D,COUNTA(生物种群!$D:$D)),),))))</f>
        <v/>
      </c>
      <c r="J196" s="37" t="str">
        <f>IF(A196&amp;B196&amp;C196="","",INDEX(生物种群!$J$2:INDEX(生物种群!$J:$J,COUNTA(生物种群!$J:$J)),MATCH($I196,生物种群!$B$2:INDEX(生物种群!$B:$B,COUNTA(生物种群!$B:$B)),),))</f>
        <v/>
      </c>
      <c r="K196" s="37" t="str">
        <f>IF(A196&amp;B196&amp;C196="","",INDEX(生物种群!$E$2:INDEX(生物种群!$E:$E,COUNTA(生物种群!$E:$E)),MATCH($I196,生物种群!$B$2:INDEX(生物种群!$B:$B,COUNTA(生物种群!$B:$B)),),))</f>
        <v/>
      </c>
      <c r="L196" s="37" t="str">
        <f>IF(A196&amp;B196&amp;C196="","",INDEX(生物种群!$F$3:INDEX(生物种群!$F:$F,COUNTA(生物种群!$F:$F)),MATCH($I196,生物种群!$B$3:INDEX(生物种群!$B:$B,COUNTA(生物种群!$B:$B)),),))</f>
        <v/>
      </c>
      <c r="M196" s="37" t="str">
        <f t="shared" si="6"/>
        <v/>
      </c>
      <c r="N196" s="37" t="str">
        <f t="shared" si="7"/>
        <v/>
      </c>
      <c r="O196" s="9"/>
      <c r="P196" s="10"/>
    </row>
    <row r="197" spans="1:16" ht="20.1" customHeight="1">
      <c r="A197" s="9"/>
      <c r="B197" s="9"/>
      <c r="C197" s="9"/>
      <c r="D197" s="43"/>
      <c r="E197" s="9"/>
      <c r="F197" s="9"/>
      <c r="G197" s="47" t="str">
        <f>IF(F197="","",INDEX(站位样品信息!$B$3:INDEX(站位样品信息!$B:$B,COUNTA(站位样品信息!$B:$B)+1),MATCH($F197,站位样品信息!$A$3:INDEX(站位样品信息!$A:$A,COUNTA(站位样品信息!$A:$A)+1),),))</f>
        <v/>
      </c>
      <c r="H197" s="37" t="str">
        <f>IF(A197&amp;B197&amp;C197="","",INDEX(生物种群!$A$2:INDEX(生物种群!$A:$A,COUNTA(生物种群!$A:$A)),MATCH($I197,生物种群!$B$2:INDEX(生物种群!$B:$B,COUNTA(生物种群!$B:$B)),),))</f>
        <v/>
      </c>
      <c r="I197" s="37" t="str">
        <f>IF(A197&amp;B197&amp;C197="","",IF($C197&lt;&gt;0,INDEX(生物种群!$B$2:INDEX(生物种群!$B:$B,COUNTA(生物种群!$B:$B)),MATCH($C197,生物种群!$G$2:INDEX(生物种群!$G:$G,COUNTA(生物种群!$G:$G)),),),IF($A197&lt;&gt;0,INDEX(生物种群!$B$2:INDEX(生物种群!$B:$B,COUNTA(生物种群!$B:$B)),MATCH($A197,生物种群!$C$2:INDEX(生物种群!$C:$C,COUNTA(生物种群!$C:$C)),),),INDEX(生物种群!$B$2:INDEX(生物种群!$B:$B,COUNTA(生物种群!$B:$B)),MATCH($B197,生物种群!$D$2:INDEX(生物种群!$D:$D,COUNTA(生物种群!$D:$D)),),))))</f>
        <v/>
      </c>
      <c r="J197" s="37" t="str">
        <f>IF(A197&amp;B197&amp;C197="","",INDEX(生物种群!$J$2:INDEX(生物种群!$J:$J,COUNTA(生物种群!$J:$J)),MATCH($I197,生物种群!$B$2:INDEX(生物种群!$B:$B,COUNTA(生物种群!$B:$B)),),))</f>
        <v/>
      </c>
      <c r="K197" s="37" t="str">
        <f>IF(A197&amp;B197&amp;C197="","",INDEX(生物种群!$E$2:INDEX(生物种群!$E:$E,COUNTA(生物种群!$E:$E)),MATCH($I197,生物种群!$B$2:INDEX(生物种群!$B:$B,COUNTA(生物种群!$B:$B)),),))</f>
        <v/>
      </c>
      <c r="L197" s="37" t="str">
        <f>IF(A197&amp;B197&amp;C197="","",INDEX(生物种群!$F$3:INDEX(生物种群!$F:$F,COUNTA(生物种群!$F:$F)),MATCH($I197,生物种群!$B$3:INDEX(生物种群!$B:$B,COUNTA(生物种群!$B:$B)),),))</f>
        <v/>
      </c>
      <c r="M197" s="37" t="str">
        <f t="shared" si="6"/>
        <v/>
      </c>
      <c r="N197" s="37" t="str">
        <f t="shared" si="7"/>
        <v/>
      </c>
      <c r="O197" s="9"/>
      <c r="P197" s="10"/>
    </row>
    <row r="198" spans="1:16" ht="20.1" customHeight="1">
      <c r="A198" s="9"/>
      <c r="B198" s="9"/>
      <c r="C198" s="9"/>
      <c r="D198" s="43"/>
      <c r="E198" s="9"/>
      <c r="F198" s="9"/>
      <c r="G198" s="47" t="str">
        <f>IF(F198="","",INDEX(站位样品信息!$B$3:INDEX(站位样品信息!$B:$B,COUNTA(站位样品信息!$B:$B)+1),MATCH($F198,站位样品信息!$A$3:INDEX(站位样品信息!$A:$A,COUNTA(站位样品信息!$A:$A)+1),),))</f>
        <v/>
      </c>
      <c r="H198" s="37" t="str">
        <f>IF(A198&amp;B198&amp;C198="","",INDEX(生物种群!$A$2:INDEX(生物种群!$A:$A,COUNTA(生物种群!$A:$A)),MATCH($I198,生物种群!$B$2:INDEX(生物种群!$B:$B,COUNTA(生物种群!$B:$B)),),))</f>
        <v/>
      </c>
      <c r="I198" s="37" t="str">
        <f>IF(A198&amp;B198&amp;C198="","",IF($C198&lt;&gt;0,INDEX(生物种群!$B$2:INDEX(生物种群!$B:$B,COUNTA(生物种群!$B:$B)),MATCH($C198,生物种群!$G$2:INDEX(生物种群!$G:$G,COUNTA(生物种群!$G:$G)),),),IF($A198&lt;&gt;0,INDEX(生物种群!$B$2:INDEX(生物种群!$B:$B,COUNTA(生物种群!$B:$B)),MATCH($A198,生物种群!$C$2:INDEX(生物种群!$C:$C,COUNTA(生物种群!$C:$C)),),),INDEX(生物种群!$B$2:INDEX(生物种群!$B:$B,COUNTA(生物种群!$B:$B)),MATCH($B198,生物种群!$D$2:INDEX(生物种群!$D:$D,COUNTA(生物种群!$D:$D)),),))))</f>
        <v/>
      </c>
      <c r="J198" s="37" t="str">
        <f>IF(A198&amp;B198&amp;C198="","",INDEX(生物种群!$J$2:INDEX(生物种群!$J:$J,COUNTA(生物种群!$J:$J)),MATCH($I198,生物种群!$B$2:INDEX(生物种群!$B:$B,COUNTA(生物种群!$B:$B)),),))</f>
        <v/>
      </c>
      <c r="K198" s="37" t="str">
        <f>IF(A198&amp;B198&amp;C198="","",INDEX(生物种群!$E$2:INDEX(生物种群!$E:$E,COUNTA(生物种群!$E:$E)),MATCH($I198,生物种群!$B$2:INDEX(生物种群!$B:$B,COUNTA(生物种群!$B:$B)),),))</f>
        <v/>
      </c>
      <c r="L198" s="37" t="str">
        <f>IF(A198&amp;B198&amp;C198="","",INDEX(生物种群!$F$3:INDEX(生物种群!$F:$F,COUNTA(生物种群!$F:$F)),MATCH($I198,生物种群!$B$3:INDEX(生物种群!$B:$B,COUNTA(生物种群!$B:$B)),),))</f>
        <v/>
      </c>
      <c r="M198" s="37" t="str">
        <f t="shared" si="6"/>
        <v/>
      </c>
      <c r="N198" s="37" t="str">
        <f t="shared" si="7"/>
        <v/>
      </c>
      <c r="O198" s="9"/>
      <c r="P198" s="10"/>
    </row>
    <row r="199" spans="1:16" ht="20.1" customHeight="1">
      <c r="A199" s="9"/>
      <c r="B199" s="9"/>
      <c r="C199" s="9"/>
      <c r="D199" s="43"/>
      <c r="E199" s="9"/>
      <c r="F199" s="9"/>
      <c r="G199" s="47" t="str">
        <f>IF(F199="","",INDEX(站位样品信息!$B$3:INDEX(站位样品信息!$B:$B,COUNTA(站位样品信息!$B:$B)+1),MATCH($F199,站位样品信息!$A$3:INDEX(站位样品信息!$A:$A,COUNTA(站位样品信息!$A:$A)+1),),))</f>
        <v/>
      </c>
      <c r="H199" s="37" t="str">
        <f>IF(A199&amp;B199&amp;C199="","",INDEX(生物种群!$A$2:INDEX(生物种群!$A:$A,COUNTA(生物种群!$A:$A)),MATCH($I199,生物种群!$B$2:INDEX(生物种群!$B:$B,COUNTA(生物种群!$B:$B)),),))</f>
        <v/>
      </c>
      <c r="I199" s="37" t="str">
        <f>IF(A199&amp;B199&amp;C199="","",IF($C199&lt;&gt;0,INDEX(生物种群!$B$2:INDEX(生物种群!$B:$B,COUNTA(生物种群!$B:$B)),MATCH($C199,生物种群!$G$2:INDEX(生物种群!$G:$G,COUNTA(生物种群!$G:$G)),),),IF($A199&lt;&gt;0,INDEX(生物种群!$B$2:INDEX(生物种群!$B:$B,COUNTA(生物种群!$B:$B)),MATCH($A199,生物种群!$C$2:INDEX(生物种群!$C:$C,COUNTA(生物种群!$C:$C)),),),INDEX(生物种群!$B$2:INDEX(生物种群!$B:$B,COUNTA(生物种群!$B:$B)),MATCH($B199,生物种群!$D$2:INDEX(生物种群!$D:$D,COUNTA(生物种群!$D:$D)),),))))</f>
        <v/>
      </c>
      <c r="J199" s="37" t="str">
        <f>IF(A199&amp;B199&amp;C199="","",INDEX(生物种群!$J$2:INDEX(生物种群!$J:$J,COUNTA(生物种群!$J:$J)),MATCH($I199,生物种群!$B$2:INDEX(生物种群!$B:$B,COUNTA(生物种群!$B:$B)),),))</f>
        <v/>
      </c>
      <c r="K199" s="37" t="str">
        <f>IF(A199&amp;B199&amp;C199="","",INDEX(生物种群!$E$2:INDEX(生物种群!$E:$E,COUNTA(生物种群!$E:$E)),MATCH($I199,生物种群!$B$2:INDEX(生物种群!$B:$B,COUNTA(生物种群!$B:$B)),),))</f>
        <v/>
      </c>
      <c r="L199" s="37" t="str">
        <f>IF(A199&amp;B199&amp;C199="","",INDEX(生物种群!$F$3:INDEX(生物种群!$F:$F,COUNTA(生物种群!$F:$F)),MATCH($I199,生物种群!$B$3:INDEX(生物种群!$B:$B,COUNTA(生物种群!$B:$B)),),))</f>
        <v/>
      </c>
      <c r="M199" s="37" t="str">
        <f t="shared" si="6"/>
        <v/>
      </c>
      <c r="N199" s="37" t="str">
        <f t="shared" si="7"/>
        <v/>
      </c>
      <c r="O199" s="9"/>
      <c r="P199" s="10"/>
    </row>
    <row r="200" spans="1:16" ht="20.1" customHeight="1">
      <c r="A200" s="9"/>
      <c r="B200" s="9"/>
      <c r="C200" s="9"/>
      <c r="D200" s="43"/>
      <c r="E200" s="9"/>
      <c r="F200" s="9"/>
      <c r="G200" s="47" t="str">
        <f>IF(F200="","",INDEX(站位样品信息!$B$3:INDEX(站位样品信息!$B:$B,COUNTA(站位样品信息!$B:$B)+1),MATCH($F200,站位样品信息!$A$3:INDEX(站位样品信息!$A:$A,COUNTA(站位样品信息!$A:$A)+1),),))</f>
        <v/>
      </c>
      <c r="H200" s="37" t="str">
        <f>IF(A200&amp;B200&amp;C200="","",INDEX(生物种群!$A$2:INDEX(生物种群!$A:$A,COUNTA(生物种群!$A:$A)),MATCH($I200,生物种群!$B$2:INDEX(生物种群!$B:$B,COUNTA(生物种群!$B:$B)),),))</f>
        <v/>
      </c>
      <c r="I200" s="37" t="str">
        <f>IF(A200&amp;B200&amp;C200="","",IF($C200&lt;&gt;0,INDEX(生物种群!$B$2:INDEX(生物种群!$B:$B,COUNTA(生物种群!$B:$B)),MATCH($C200,生物种群!$G$2:INDEX(生物种群!$G:$G,COUNTA(生物种群!$G:$G)),),),IF($A200&lt;&gt;0,INDEX(生物种群!$B$2:INDEX(生物种群!$B:$B,COUNTA(生物种群!$B:$B)),MATCH($A200,生物种群!$C$2:INDEX(生物种群!$C:$C,COUNTA(生物种群!$C:$C)),),),INDEX(生物种群!$B$2:INDEX(生物种群!$B:$B,COUNTA(生物种群!$B:$B)),MATCH($B200,生物种群!$D$2:INDEX(生物种群!$D:$D,COUNTA(生物种群!$D:$D)),),))))</f>
        <v/>
      </c>
      <c r="J200" s="37" t="str">
        <f>IF(A200&amp;B200&amp;C200="","",INDEX(生物种群!$J$2:INDEX(生物种群!$J:$J,COUNTA(生物种群!$J:$J)),MATCH($I200,生物种群!$B$2:INDEX(生物种群!$B:$B,COUNTA(生物种群!$B:$B)),),))</f>
        <v/>
      </c>
      <c r="K200" s="37" t="str">
        <f>IF(A200&amp;B200&amp;C200="","",INDEX(生物种群!$E$2:INDEX(生物种群!$E:$E,COUNTA(生物种群!$E:$E)),MATCH($I200,生物种群!$B$2:INDEX(生物种群!$B:$B,COUNTA(生物种群!$B:$B)),),))</f>
        <v/>
      </c>
      <c r="L200" s="37" t="str">
        <f>IF(A200&amp;B200&amp;C200="","",INDEX(生物种群!$F$3:INDEX(生物种群!$F:$F,COUNTA(生物种群!$F:$F)),MATCH($I200,生物种群!$B$3:INDEX(生物种群!$B:$B,COUNTA(生物种群!$B:$B)),),))</f>
        <v/>
      </c>
      <c r="M200" s="37" t="str">
        <f t="shared" si="6"/>
        <v/>
      </c>
      <c r="N200" s="37" t="str">
        <f t="shared" si="7"/>
        <v/>
      </c>
      <c r="O200" s="9"/>
      <c r="P200" s="10"/>
    </row>
    <row r="201" spans="1:16" ht="20.1" customHeight="1">
      <c r="A201" s="9"/>
      <c r="B201" s="9"/>
      <c r="C201" s="9"/>
      <c r="D201" s="43"/>
      <c r="E201" s="9"/>
      <c r="F201" s="9"/>
      <c r="G201" s="47" t="str">
        <f>IF(F201="","",INDEX(站位样品信息!$B$3:INDEX(站位样品信息!$B:$B,COUNTA(站位样品信息!$B:$B)+1),MATCH($F201,站位样品信息!$A$3:INDEX(站位样品信息!$A:$A,COUNTA(站位样品信息!$A:$A)+1),),))</f>
        <v/>
      </c>
      <c r="H201" s="37" t="str">
        <f>IF(A201&amp;B201&amp;C201="","",INDEX(生物种群!$A$2:INDEX(生物种群!$A:$A,COUNTA(生物种群!$A:$A)),MATCH($I201,生物种群!$B$2:INDEX(生物种群!$B:$B,COUNTA(生物种群!$B:$B)),),))</f>
        <v/>
      </c>
      <c r="I201" s="37" t="str">
        <f>IF(A201&amp;B201&amp;C201="","",IF($C201&lt;&gt;0,INDEX(生物种群!$B$2:INDEX(生物种群!$B:$B,COUNTA(生物种群!$B:$B)),MATCH($C201,生物种群!$G$2:INDEX(生物种群!$G:$G,COUNTA(生物种群!$G:$G)),),),IF($A201&lt;&gt;0,INDEX(生物种群!$B$2:INDEX(生物种群!$B:$B,COUNTA(生物种群!$B:$B)),MATCH($A201,生物种群!$C$2:INDEX(生物种群!$C:$C,COUNTA(生物种群!$C:$C)),),),INDEX(生物种群!$B$2:INDEX(生物种群!$B:$B,COUNTA(生物种群!$B:$B)),MATCH($B201,生物种群!$D$2:INDEX(生物种群!$D:$D,COUNTA(生物种群!$D:$D)),),))))</f>
        <v/>
      </c>
      <c r="J201" s="37" t="str">
        <f>IF(A201&amp;B201&amp;C201="","",INDEX(生物种群!$J$2:INDEX(生物种群!$J:$J,COUNTA(生物种群!$J:$J)),MATCH($I201,生物种群!$B$2:INDEX(生物种群!$B:$B,COUNTA(生物种群!$B:$B)),),))</f>
        <v/>
      </c>
      <c r="K201" s="37" t="str">
        <f>IF(A201&amp;B201&amp;C201="","",INDEX(生物种群!$E$2:INDEX(生物种群!$E:$E,COUNTA(生物种群!$E:$E)),MATCH($I201,生物种群!$B$2:INDEX(生物种群!$B:$B,COUNTA(生物种群!$B:$B)),),))</f>
        <v/>
      </c>
      <c r="L201" s="37" t="str">
        <f>IF(A201&amp;B201&amp;C201="","",INDEX(生物种群!$F$3:INDEX(生物种群!$F:$F,COUNTA(生物种群!$F:$F)),MATCH($I201,生物种群!$B$3:INDEX(生物种群!$B:$B,COUNTA(生物种群!$B:$B)),),))</f>
        <v/>
      </c>
      <c r="M201" s="37" t="str">
        <f t="shared" si="6"/>
        <v/>
      </c>
      <c r="N201" s="37" t="str">
        <f t="shared" si="7"/>
        <v/>
      </c>
      <c r="O201" s="9"/>
      <c r="P201" s="10"/>
    </row>
    <row r="202" spans="1:16" ht="20.1" customHeight="1">
      <c r="A202" s="9"/>
      <c r="B202" s="9"/>
      <c r="C202" s="9"/>
      <c r="D202" s="43"/>
      <c r="E202" s="9"/>
      <c r="F202" s="9"/>
      <c r="G202" s="47" t="str">
        <f>IF(F202="","",INDEX(站位样品信息!$B$3:INDEX(站位样品信息!$B:$B,COUNTA(站位样品信息!$B:$B)+1),MATCH($F202,站位样品信息!$A$3:INDEX(站位样品信息!$A:$A,COUNTA(站位样品信息!$A:$A)+1),),))</f>
        <v/>
      </c>
      <c r="H202" s="37" t="str">
        <f>IF(A202&amp;B202&amp;C202="","",INDEX(生物种群!$A$2:INDEX(生物种群!$A:$A,COUNTA(生物种群!$A:$A)),MATCH($I202,生物种群!$B$2:INDEX(生物种群!$B:$B,COUNTA(生物种群!$B:$B)),),))</f>
        <v/>
      </c>
      <c r="I202" s="37" t="str">
        <f>IF(A202&amp;B202&amp;C202="","",IF($C202&lt;&gt;0,INDEX(生物种群!$B$2:INDEX(生物种群!$B:$B,COUNTA(生物种群!$B:$B)),MATCH($C202,生物种群!$G$2:INDEX(生物种群!$G:$G,COUNTA(生物种群!$G:$G)),),),IF($A202&lt;&gt;0,INDEX(生物种群!$B$2:INDEX(生物种群!$B:$B,COUNTA(生物种群!$B:$B)),MATCH($A202,生物种群!$C$2:INDEX(生物种群!$C:$C,COUNTA(生物种群!$C:$C)),),),INDEX(生物种群!$B$2:INDEX(生物种群!$B:$B,COUNTA(生物种群!$B:$B)),MATCH($B202,生物种群!$D$2:INDEX(生物种群!$D:$D,COUNTA(生物种群!$D:$D)),),))))</f>
        <v/>
      </c>
      <c r="J202" s="37" t="str">
        <f>IF(A202&amp;B202&amp;C202="","",INDEX(生物种群!$J$2:INDEX(生物种群!$J:$J,COUNTA(生物种群!$J:$J)),MATCH($I202,生物种群!$B$2:INDEX(生物种群!$B:$B,COUNTA(生物种群!$B:$B)),),))</f>
        <v/>
      </c>
      <c r="K202" s="37" t="str">
        <f>IF(A202&amp;B202&amp;C202="","",INDEX(生物种群!$E$2:INDEX(生物种群!$E:$E,COUNTA(生物种群!$E:$E)),MATCH($I202,生物种群!$B$2:INDEX(生物种群!$B:$B,COUNTA(生物种群!$B:$B)),),))</f>
        <v/>
      </c>
      <c r="L202" s="37" t="str">
        <f>IF(A202&amp;B202&amp;C202="","",INDEX(生物种群!$F$3:INDEX(生物种群!$F:$F,COUNTA(生物种群!$F:$F)),MATCH($I202,生物种群!$B$3:INDEX(生物种群!$B:$B,COUNTA(生物种群!$B:$B)),),))</f>
        <v/>
      </c>
      <c r="M202" s="37" t="str">
        <f t="shared" si="6"/>
        <v/>
      </c>
      <c r="N202" s="37" t="str">
        <f t="shared" si="7"/>
        <v/>
      </c>
      <c r="O202" s="9"/>
      <c r="P202" s="10"/>
    </row>
    <row r="203" spans="1:16" ht="20.1" customHeight="1">
      <c r="A203" s="9"/>
      <c r="B203" s="9"/>
      <c r="C203" s="9"/>
      <c r="D203" s="43"/>
      <c r="E203" s="9"/>
      <c r="F203" s="9"/>
      <c r="G203" s="47" t="str">
        <f>IF(F203="","",INDEX(站位样品信息!$B$3:INDEX(站位样品信息!$B:$B,COUNTA(站位样品信息!$B:$B)+1),MATCH($F203,站位样品信息!$A$3:INDEX(站位样品信息!$A:$A,COUNTA(站位样品信息!$A:$A)+1),),))</f>
        <v/>
      </c>
      <c r="H203" s="37" t="str">
        <f>IF(A203&amp;B203&amp;C203="","",INDEX(生物种群!$A$2:INDEX(生物种群!$A:$A,COUNTA(生物种群!$A:$A)),MATCH($I203,生物种群!$B$2:INDEX(生物种群!$B:$B,COUNTA(生物种群!$B:$B)),),))</f>
        <v/>
      </c>
      <c r="I203" s="37" t="str">
        <f>IF(A203&amp;B203&amp;C203="","",IF($C203&lt;&gt;0,INDEX(生物种群!$B$2:INDEX(生物种群!$B:$B,COUNTA(生物种群!$B:$B)),MATCH($C203,生物种群!$G$2:INDEX(生物种群!$G:$G,COUNTA(生物种群!$G:$G)),),),IF($A203&lt;&gt;0,INDEX(生物种群!$B$2:INDEX(生物种群!$B:$B,COUNTA(生物种群!$B:$B)),MATCH($A203,生物种群!$C$2:INDEX(生物种群!$C:$C,COUNTA(生物种群!$C:$C)),),),INDEX(生物种群!$B$2:INDEX(生物种群!$B:$B,COUNTA(生物种群!$B:$B)),MATCH($B203,生物种群!$D$2:INDEX(生物种群!$D:$D,COUNTA(生物种群!$D:$D)),),))))</f>
        <v/>
      </c>
      <c r="J203" s="37" t="str">
        <f>IF(A203&amp;B203&amp;C203="","",INDEX(生物种群!$J$2:INDEX(生物种群!$J:$J,COUNTA(生物种群!$J:$J)),MATCH($I203,生物种群!$B$2:INDEX(生物种群!$B:$B,COUNTA(生物种群!$B:$B)),),))</f>
        <v/>
      </c>
      <c r="K203" s="37" t="str">
        <f>IF(A203&amp;B203&amp;C203="","",INDEX(生物种群!$E$2:INDEX(生物种群!$E:$E,COUNTA(生物种群!$E:$E)),MATCH($I203,生物种群!$B$2:INDEX(生物种群!$B:$B,COUNTA(生物种群!$B:$B)),),))</f>
        <v/>
      </c>
      <c r="L203" s="37" t="str">
        <f>IF(A203&amp;B203&amp;C203="","",INDEX(生物种群!$F$3:INDEX(生物种群!$F:$F,COUNTA(生物种群!$F:$F)),MATCH($I203,生物种群!$B$3:INDEX(生物种群!$B:$B,COUNTA(生物种群!$B:$B)),),))</f>
        <v/>
      </c>
      <c r="M203" s="37" t="str">
        <f t="shared" si="6"/>
        <v/>
      </c>
      <c r="N203" s="37" t="str">
        <f t="shared" si="7"/>
        <v/>
      </c>
      <c r="O203" s="9"/>
      <c r="P203" s="10"/>
    </row>
    <row r="204" spans="1:16" ht="20.1" customHeight="1">
      <c r="A204" s="9"/>
      <c r="B204" s="9"/>
      <c r="C204" s="9"/>
      <c r="D204" s="43"/>
      <c r="E204" s="9"/>
      <c r="F204" s="9"/>
      <c r="G204" s="47" t="str">
        <f>IF(F204="","",INDEX(站位样品信息!$B$3:INDEX(站位样品信息!$B:$B,COUNTA(站位样品信息!$B:$B)+1),MATCH($F204,站位样品信息!$A$3:INDEX(站位样品信息!$A:$A,COUNTA(站位样品信息!$A:$A)+1),),))</f>
        <v/>
      </c>
      <c r="H204" s="37" t="str">
        <f>IF(A204&amp;B204&amp;C204="","",INDEX(生物种群!$A$2:INDEX(生物种群!$A:$A,COUNTA(生物种群!$A:$A)),MATCH($I204,生物种群!$B$2:INDEX(生物种群!$B:$B,COUNTA(生物种群!$B:$B)),),))</f>
        <v/>
      </c>
      <c r="I204" s="37" t="str">
        <f>IF(A204&amp;B204&amp;C204="","",IF($C204&lt;&gt;0,INDEX(生物种群!$B$2:INDEX(生物种群!$B:$B,COUNTA(生物种群!$B:$B)),MATCH($C204,生物种群!$G$2:INDEX(生物种群!$G:$G,COUNTA(生物种群!$G:$G)),),),IF($A204&lt;&gt;0,INDEX(生物种群!$B$2:INDEX(生物种群!$B:$B,COUNTA(生物种群!$B:$B)),MATCH($A204,生物种群!$C$2:INDEX(生物种群!$C:$C,COUNTA(生物种群!$C:$C)),),),INDEX(生物种群!$B$2:INDEX(生物种群!$B:$B,COUNTA(生物种群!$B:$B)),MATCH($B204,生物种群!$D$2:INDEX(生物种群!$D:$D,COUNTA(生物种群!$D:$D)),),))))</f>
        <v/>
      </c>
      <c r="J204" s="37" t="str">
        <f>IF(A204&amp;B204&amp;C204="","",INDEX(生物种群!$J$2:INDEX(生物种群!$J:$J,COUNTA(生物种群!$J:$J)),MATCH($I204,生物种群!$B$2:INDEX(生物种群!$B:$B,COUNTA(生物种群!$B:$B)),),))</f>
        <v/>
      </c>
      <c r="K204" s="37" t="str">
        <f>IF(A204&amp;B204&amp;C204="","",INDEX(生物种群!$E$2:INDEX(生物种群!$E:$E,COUNTA(生物种群!$E:$E)),MATCH($I204,生物种群!$B$2:INDEX(生物种群!$B:$B,COUNTA(生物种群!$B:$B)),),))</f>
        <v/>
      </c>
      <c r="L204" s="37" t="str">
        <f>IF(A204&amp;B204&amp;C204="","",INDEX(生物种群!$F$3:INDEX(生物种群!$F:$F,COUNTA(生物种群!$F:$F)),MATCH($I204,生物种群!$B$3:INDEX(生物种群!$B:$B,COUNTA(生物种群!$B:$B)),),))</f>
        <v/>
      </c>
      <c r="M204" s="37" t="str">
        <f t="shared" si="6"/>
        <v/>
      </c>
      <c r="N204" s="37" t="str">
        <f t="shared" si="7"/>
        <v/>
      </c>
      <c r="O204" s="9"/>
      <c r="P204" s="10"/>
    </row>
    <row r="205" spans="1:16" ht="20.1" customHeight="1">
      <c r="A205" s="9"/>
      <c r="B205" s="9"/>
      <c r="C205" s="9"/>
      <c r="D205" s="43"/>
      <c r="E205" s="9"/>
      <c r="F205" s="9"/>
      <c r="G205" s="47" t="str">
        <f>IF(F205="","",INDEX(站位样品信息!$B$3:INDEX(站位样品信息!$B:$B,COUNTA(站位样品信息!$B:$B)+1),MATCH($F205,站位样品信息!$A$3:INDEX(站位样品信息!$A:$A,COUNTA(站位样品信息!$A:$A)+1),),))</f>
        <v/>
      </c>
      <c r="H205" s="37" t="str">
        <f>IF(A205&amp;B205&amp;C205="","",INDEX(生物种群!$A$2:INDEX(生物种群!$A:$A,COUNTA(生物种群!$A:$A)),MATCH($I205,生物种群!$B$2:INDEX(生物种群!$B:$B,COUNTA(生物种群!$B:$B)),),))</f>
        <v/>
      </c>
      <c r="I205" s="37" t="str">
        <f>IF(A205&amp;B205&amp;C205="","",IF($C205&lt;&gt;0,INDEX(生物种群!$B$2:INDEX(生物种群!$B:$B,COUNTA(生物种群!$B:$B)),MATCH($C205,生物种群!$G$2:INDEX(生物种群!$G:$G,COUNTA(生物种群!$G:$G)),),),IF($A205&lt;&gt;0,INDEX(生物种群!$B$2:INDEX(生物种群!$B:$B,COUNTA(生物种群!$B:$B)),MATCH($A205,生物种群!$C$2:INDEX(生物种群!$C:$C,COUNTA(生物种群!$C:$C)),),),INDEX(生物种群!$B$2:INDEX(生物种群!$B:$B,COUNTA(生物种群!$B:$B)),MATCH($B205,生物种群!$D$2:INDEX(生物种群!$D:$D,COUNTA(生物种群!$D:$D)),),))))</f>
        <v/>
      </c>
      <c r="J205" s="37" t="str">
        <f>IF(A205&amp;B205&amp;C205="","",INDEX(生物种群!$J$2:INDEX(生物种群!$J:$J,COUNTA(生物种群!$J:$J)),MATCH($I205,生物种群!$B$2:INDEX(生物种群!$B:$B,COUNTA(生物种群!$B:$B)),),))</f>
        <v/>
      </c>
      <c r="K205" s="37" t="str">
        <f>IF(A205&amp;B205&amp;C205="","",INDEX(生物种群!$E$2:INDEX(生物种群!$E:$E,COUNTA(生物种群!$E:$E)),MATCH($I205,生物种群!$B$2:INDEX(生物种群!$B:$B,COUNTA(生物种群!$B:$B)),),))</f>
        <v/>
      </c>
      <c r="L205" s="37" t="str">
        <f>IF(A205&amp;B205&amp;C205="","",INDEX(生物种群!$F$3:INDEX(生物种群!$F:$F,COUNTA(生物种群!$F:$F)),MATCH($I205,生物种群!$B$3:INDEX(生物种群!$B:$B,COUNTA(生物种群!$B:$B)),),))</f>
        <v/>
      </c>
      <c r="M205" s="37" t="str">
        <f t="shared" si="6"/>
        <v/>
      </c>
      <c r="N205" s="37" t="str">
        <f t="shared" si="7"/>
        <v/>
      </c>
      <c r="O205" s="9"/>
      <c r="P205" s="10"/>
    </row>
    <row r="206" spans="1:16" ht="20.1" customHeight="1">
      <c r="A206" s="9"/>
      <c r="B206" s="9"/>
      <c r="C206" s="9"/>
      <c r="D206" s="43"/>
      <c r="E206" s="9"/>
      <c r="F206" s="9"/>
      <c r="G206" s="47" t="str">
        <f>IF(F206="","",INDEX(站位样品信息!$B$3:INDEX(站位样品信息!$B:$B,COUNTA(站位样品信息!$B:$B)+1),MATCH($F206,站位样品信息!$A$3:INDEX(站位样品信息!$A:$A,COUNTA(站位样品信息!$A:$A)+1),),))</f>
        <v/>
      </c>
      <c r="H206" s="37" t="str">
        <f>IF(A206&amp;B206&amp;C206="","",INDEX(生物种群!$A$2:INDEX(生物种群!$A:$A,COUNTA(生物种群!$A:$A)),MATCH($I206,生物种群!$B$2:INDEX(生物种群!$B:$B,COUNTA(生物种群!$B:$B)),),))</f>
        <v/>
      </c>
      <c r="I206" s="37" t="str">
        <f>IF(A206&amp;B206&amp;C206="","",IF($C206&lt;&gt;0,INDEX(生物种群!$B$2:INDEX(生物种群!$B:$B,COUNTA(生物种群!$B:$B)),MATCH($C206,生物种群!$G$2:INDEX(生物种群!$G:$G,COUNTA(生物种群!$G:$G)),),),IF($A206&lt;&gt;0,INDEX(生物种群!$B$2:INDEX(生物种群!$B:$B,COUNTA(生物种群!$B:$B)),MATCH($A206,生物种群!$C$2:INDEX(生物种群!$C:$C,COUNTA(生物种群!$C:$C)),),),INDEX(生物种群!$B$2:INDEX(生物种群!$B:$B,COUNTA(生物种群!$B:$B)),MATCH($B206,生物种群!$D$2:INDEX(生物种群!$D:$D,COUNTA(生物种群!$D:$D)),),))))</f>
        <v/>
      </c>
      <c r="J206" s="37" t="str">
        <f>IF(A206&amp;B206&amp;C206="","",INDEX(生物种群!$J$2:INDEX(生物种群!$J:$J,COUNTA(生物种群!$J:$J)),MATCH($I206,生物种群!$B$2:INDEX(生物种群!$B:$B,COUNTA(生物种群!$B:$B)),),))</f>
        <v/>
      </c>
      <c r="K206" s="37" t="str">
        <f>IF(A206&amp;B206&amp;C206="","",INDEX(生物种群!$E$2:INDEX(生物种群!$E:$E,COUNTA(生物种群!$E:$E)),MATCH($I206,生物种群!$B$2:INDEX(生物种群!$B:$B,COUNTA(生物种群!$B:$B)),),))</f>
        <v/>
      </c>
      <c r="L206" s="37" t="str">
        <f>IF(A206&amp;B206&amp;C206="","",INDEX(生物种群!$F$3:INDEX(生物种群!$F:$F,COUNTA(生物种群!$F:$F)),MATCH($I206,生物种群!$B$3:INDEX(生物种群!$B:$B,COUNTA(生物种群!$B:$B)),),))</f>
        <v/>
      </c>
      <c r="M206" s="37" t="str">
        <f t="shared" si="6"/>
        <v/>
      </c>
      <c r="N206" s="37" t="str">
        <f t="shared" si="7"/>
        <v/>
      </c>
      <c r="O206" s="9"/>
      <c r="P206" s="10"/>
    </row>
    <row r="207" spans="1:16" ht="20.1" customHeight="1">
      <c r="A207" s="9"/>
      <c r="B207" s="9"/>
      <c r="C207" s="9"/>
      <c r="D207" s="43"/>
      <c r="E207" s="9"/>
      <c r="F207" s="9"/>
      <c r="G207" s="47" t="str">
        <f>IF(F207="","",INDEX(站位样品信息!$B$3:INDEX(站位样品信息!$B:$B,COUNTA(站位样品信息!$B:$B)+1),MATCH($F207,站位样品信息!$A$3:INDEX(站位样品信息!$A:$A,COUNTA(站位样品信息!$A:$A)+1),),))</f>
        <v/>
      </c>
      <c r="H207" s="37" t="str">
        <f>IF(A207&amp;B207&amp;C207="","",INDEX(生物种群!$A$2:INDEX(生物种群!$A:$A,COUNTA(生物种群!$A:$A)),MATCH($I207,生物种群!$B$2:INDEX(生物种群!$B:$B,COUNTA(生物种群!$B:$B)),),))</f>
        <v/>
      </c>
      <c r="I207" s="37" t="str">
        <f>IF(A207&amp;B207&amp;C207="","",IF($C207&lt;&gt;0,INDEX(生物种群!$B$2:INDEX(生物种群!$B:$B,COUNTA(生物种群!$B:$B)),MATCH($C207,生物种群!$G$2:INDEX(生物种群!$G:$G,COUNTA(生物种群!$G:$G)),),),IF($A207&lt;&gt;0,INDEX(生物种群!$B$2:INDEX(生物种群!$B:$B,COUNTA(生物种群!$B:$B)),MATCH($A207,生物种群!$C$2:INDEX(生物种群!$C:$C,COUNTA(生物种群!$C:$C)),),),INDEX(生物种群!$B$2:INDEX(生物种群!$B:$B,COUNTA(生物种群!$B:$B)),MATCH($B207,生物种群!$D$2:INDEX(生物种群!$D:$D,COUNTA(生物种群!$D:$D)),),))))</f>
        <v/>
      </c>
      <c r="J207" s="37" t="str">
        <f>IF(A207&amp;B207&amp;C207="","",INDEX(生物种群!$J$2:INDEX(生物种群!$J:$J,COUNTA(生物种群!$J:$J)),MATCH($I207,生物种群!$B$2:INDEX(生物种群!$B:$B,COUNTA(生物种群!$B:$B)),),))</f>
        <v/>
      </c>
      <c r="K207" s="37" t="str">
        <f>IF(A207&amp;B207&amp;C207="","",INDEX(生物种群!$E$2:INDEX(生物种群!$E:$E,COUNTA(生物种群!$E:$E)),MATCH($I207,生物种群!$B$2:INDEX(生物种群!$B:$B,COUNTA(生物种群!$B:$B)),),))</f>
        <v/>
      </c>
      <c r="L207" s="37" t="str">
        <f>IF(A207&amp;B207&amp;C207="","",INDEX(生物种群!$F$3:INDEX(生物种群!$F:$F,COUNTA(生物种群!$F:$F)),MATCH($I207,生物种群!$B$3:INDEX(生物种群!$B:$B,COUNTA(生物种群!$B:$B)),),))</f>
        <v/>
      </c>
      <c r="M207" s="37" t="str">
        <f t="shared" si="6"/>
        <v/>
      </c>
      <c r="N207" s="37" t="str">
        <f t="shared" si="7"/>
        <v/>
      </c>
      <c r="O207" s="9"/>
      <c r="P207" s="10"/>
    </row>
    <row r="208" spans="1:16" ht="20.1" customHeight="1">
      <c r="A208" s="9"/>
      <c r="B208" s="9"/>
      <c r="C208" s="9"/>
      <c r="D208" s="43"/>
      <c r="E208" s="9"/>
      <c r="F208" s="9"/>
      <c r="G208" s="47" t="str">
        <f>IF(F208="","",INDEX(站位样品信息!$B$3:INDEX(站位样品信息!$B:$B,COUNTA(站位样品信息!$B:$B)+1),MATCH($F208,站位样品信息!$A$3:INDEX(站位样品信息!$A:$A,COUNTA(站位样品信息!$A:$A)+1),),))</f>
        <v/>
      </c>
      <c r="H208" s="37" t="str">
        <f>IF(A208&amp;B208&amp;C208="","",INDEX(生物种群!$A$2:INDEX(生物种群!$A:$A,COUNTA(生物种群!$A:$A)),MATCH($I208,生物种群!$B$2:INDEX(生物种群!$B:$B,COUNTA(生物种群!$B:$B)),),))</f>
        <v/>
      </c>
      <c r="I208" s="37" t="str">
        <f>IF(A208&amp;B208&amp;C208="","",IF($C208&lt;&gt;0,INDEX(生物种群!$B$2:INDEX(生物种群!$B:$B,COUNTA(生物种群!$B:$B)),MATCH($C208,生物种群!$G$2:INDEX(生物种群!$G:$G,COUNTA(生物种群!$G:$G)),),),IF($A208&lt;&gt;0,INDEX(生物种群!$B$2:INDEX(生物种群!$B:$B,COUNTA(生物种群!$B:$B)),MATCH($A208,生物种群!$C$2:INDEX(生物种群!$C:$C,COUNTA(生物种群!$C:$C)),),),INDEX(生物种群!$B$2:INDEX(生物种群!$B:$B,COUNTA(生物种群!$B:$B)),MATCH($B208,生物种群!$D$2:INDEX(生物种群!$D:$D,COUNTA(生物种群!$D:$D)),),))))</f>
        <v/>
      </c>
      <c r="J208" s="37" t="str">
        <f>IF(A208&amp;B208&amp;C208="","",INDEX(生物种群!$J$2:INDEX(生物种群!$J:$J,COUNTA(生物种群!$J:$J)),MATCH($I208,生物种群!$B$2:INDEX(生物种群!$B:$B,COUNTA(生物种群!$B:$B)),),))</f>
        <v/>
      </c>
      <c r="K208" s="37" t="str">
        <f>IF(A208&amp;B208&amp;C208="","",INDEX(生物种群!$E$2:INDEX(生物种群!$E:$E,COUNTA(生物种群!$E:$E)),MATCH($I208,生物种群!$B$2:INDEX(生物种群!$B:$B,COUNTA(生物种群!$B:$B)),),))</f>
        <v/>
      </c>
      <c r="L208" s="37" t="str">
        <f>IF(A208&amp;B208&amp;C208="","",INDEX(生物种群!$F$3:INDEX(生物种群!$F:$F,COUNTA(生物种群!$F:$F)),MATCH($I208,生物种群!$B$3:INDEX(生物种群!$B:$B,COUNTA(生物种群!$B:$B)),),))</f>
        <v/>
      </c>
      <c r="M208" s="37" t="str">
        <f t="shared" si="6"/>
        <v/>
      </c>
      <c r="N208" s="37" t="str">
        <f t="shared" si="7"/>
        <v/>
      </c>
      <c r="O208" s="9"/>
      <c r="P208" s="10"/>
    </row>
    <row r="209" spans="1:16" ht="20.1" customHeight="1">
      <c r="A209" s="9"/>
      <c r="B209" s="9"/>
      <c r="C209" s="9"/>
      <c r="D209" s="43"/>
      <c r="E209" s="9"/>
      <c r="F209" s="9"/>
      <c r="G209" s="47" t="str">
        <f>IF(F209="","",INDEX(站位样品信息!$B$3:INDEX(站位样品信息!$B:$B,COUNTA(站位样品信息!$B:$B)+1),MATCH($F209,站位样品信息!$A$3:INDEX(站位样品信息!$A:$A,COUNTA(站位样品信息!$A:$A)+1),),))</f>
        <v/>
      </c>
      <c r="H209" s="37" t="str">
        <f>IF(A209&amp;B209&amp;C209="","",INDEX(生物种群!$A$2:INDEX(生物种群!$A:$A,COUNTA(生物种群!$A:$A)),MATCH($I209,生物种群!$B$2:INDEX(生物种群!$B:$B,COUNTA(生物种群!$B:$B)),),))</f>
        <v/>
      </c>
      <c r="I209" s="37" t="str">
        <f>IF(A209&amp;B209&amp;C209="","",IF($C209&lt;&gt;0,INDEX(生物种群!$B$2:INDEX(生物种群!$B:$B,COUNTA(生物种群!$B:$B)),MATCH($C209,生物种群!$G$2:INDEX(生物种群!$G:$G,COUNTA(生物种群!$G:$G)),),),IF($A209&lt;&gt;0,INDEX(生物种群!$B$2:INDEX(生物种群!$B:$B,COUNTA(生物种群!$B:$B)),MATCH($A209,生物种群!$C$2:INDEX(生物种群!$C:$C,COUNTA(生物种群!$C:$C)),),),INDEX(生物种群!$B$2:INDEX(生物种群!$B:$B,COUNTA(生物种群!$B:$B)),MATCH($B209,生物种群!$D$2:INDEX(生物种群!$D:$D,COUNTA(生物种群!$D:$D)),),))))</f>
        <v/>
      </c>
      <c r="J209" s="37" t="str">
        <f>IF(A209&amp;B209&amp;C209="","",INDEX(生物种群!$J$2:INDEX(生物种群!$J:$J,COUNTA(生物种群!$J:$J)),MATCH($I209,生物种群!$B$2:INDEX(生物种群!$B:$B,COUNTA(生物种群!$B:$B)),),))</f>
        <v/>
      </c>
      <c r="K209" s="37" t="str">
        <f>IF(A209&amp;B209&amp;C209="","",INDEX(生物种群!$E$2:INDEX(生物种群!$E:$E,COUNTA(生物种群!$E:$E)),MATCH($I209,生物种群!$B$2:INDEX(生物种群!$B:$B,COUNTA(生物种群!$B:$B)),),))</f>
        <v/>
      </c>
      <c r="L209" s="37" t="str">
        <f>IF(A209&amp;B209&amp;C209="","",INDEX(生物种群!$F$3:INDEX(生物种群!$F:$F,COUNTA(生物种群!$F:$F)),MATCH($I209,生物种群!$B$3:INDEX(生物种群!$B:$B,COUNTA(生物种群!$B:$B)),),))</f>
        <v/>
      </c>
      <c r="M209" s="37" t="str">
        <f t="shared" si="6"/>
        <v/>
      </c>
      <c r="N209" s="37" t="str">
        <f t="shared" si="7"/>
        <v/>
      </c>
      <c r="O209" s="9"/>
      <c r="P209" s="10"/>
    </row>
    <row r="210" spans="1:16" ht="20.1" customHeight="1">
      <c r="A210" s="9"/>
      <c r="B210" s="9"/>
      <c r="C210" s="9"/>
      <c r="D210" s="43"/>
      <c r="E210" s="9"/>
      <c r="F210" s="9"/>
      <c r="G210" s="47" t="str">
        <f>IF(F210="","",INDEX(站位样品信息!$B$3:INDEX(站位样品信息!$B:$B,COUNTA(站位样品信息!$B:$B)+1),MATCH($F210,站位样品信息!$A$3:INDEX(站位样品信息!$A:$A,COUNTA(站位样品信息!$A:$A)+1),),))</f>
        <v/>
      </c>
      <c r="H210" s="37" t="str">
        <f>IF(A210&amp;B210&amp;C210="","",INDEX(生物种群!$A$2:INDEX(生物种群!$A:$A,COUNTA(生物种群!$A:$A)),MATCH($I210,生物种群!$B$2:INDEX(生物种群!$B:$B,COUNTA(生物种群!$B:$B)),),))</f>
        <v/>
      </c>
      <c r="I210" s="37" t="str">
        <f>IF(A210&amp;B210&amp;C210="","",IF($C210&lt;&gt;0,INDEX(生物种群!$B$2:INDEX(生物种群!$B:$B,COUNTA(生物种群!$B:$B)),MATCH($C210,生物种群!$G$2:INDEX(生物种群!$G:$G,COUNTA(生物种群!$G:$G)),),),IF($A210&lt;&gt;0,INDEX(生物种群!$B$2:INDEX(生物种群!$B:$B,COUNTA(生物种群!$B:$B)),MATCH($A210,生物种群!$C$2:INDEX(生物种群!$C:$C,COUNTA(生物种群!$C:$C)),),),INDEX(生物种群!$B$2:INDEX(生物种群!$B:$B,COUNTA(生物种群!$B:$B)),MATCH($B210,生物种群!$D$2:INDEX(生物种群!$D:$D,COUNTA(生物种群!$D:$D)),),))))</f>
        <v/>
      </c>
      <c r="J210" s="37" t="str">
        <f>IF(A210&amp;B210&amp;C210="","",INDEX(生物种群!$J$2:INDEX(生物种群!$J:$J,COUNTA(生物种群!$J:$J)),MATCH($I210,生物种群!$B$2:INDEX(生物种群!$B:$B,COUNTA(生物种群!$B:$B)),),))</f>
        <v/>
      </c>
      <c r="K210" s="37" t="str">
        <f>IF(A210&amp;B210&amp;C210="","",INDEX(生物种群!$E$2:INDEX(生物种群!$E:$E,COUNTA(生物种群!$E:$E)),MATCH($I210,生物种群!$B$2:INDEX(生物种群!$B:$B,COUNTA(生物种群!$B:$B)),),))</f>
        <v/>
      </c>
      <c r="L210" s="37" t="str">
        <f>IF(A210&amp;B210&amp;C210="","",INDEX(生物种群!$F$3:INDEX(生物种群!$F:$F,COUNTA(生物种群!$F:$F)),MATCH($I210,生物种群!$B$3:INDEX(生物种群!$B:$B,COUNTA(生物种群!$B:$B)),),))</f>
        <v/>
      </c>
      <c r="M210" s="37" t="str">
        <f t="shared" si="6"/>
        <v/>
      </c>
      <c r="N210" s="37" t="str">
        <f t="shared" si="7"/>
        <v/>
      </c>
      <c r="O210" s="9"/>
      <c r="P210" s="10"/>
    </row>
    <row r="211" spans="1:16" ht="20.1" customHeight="1">
      <c r="A211" s="9"/>
      <c r="B211" s="9"/>
      <c r="C211" s="9"/>
      <c r="D211" s="43"/>
      <c r="E211" s="9"/>
      <c r="F211" s="9"/>
      <c r="G211" s="47" t="str">
        <f>IF(F211="","",INDEX(站位样品信息!$B$3:INDEX(站位样品信息!$B:$B,COUNTA(站位样品信息!$B:$B)+1),MATCH($F211,站位样品信息!$A$3:INDEX(站位样品信息!$A:$A,COUNTA(站位样品信息!$A:$A)+1),),))</f>
        <v/>
      </c>
      <c r="H211" s="37" t="str">
        <f>IF(A211&amp;B211&amp;C211="","",INDEX(生物种群!$A$2:INDEX(生物种群!$A:$A,COUNTA(生物种群!$A:$A)),MATCH($I211,生物种群!$B$2:INDEX(生物种群!$B:$B,COUNTA(生物种群!$B:$B)),),))</f>
        <v/>
      </c>
      <c r="I211" s="37" t="str">
        <f>IF(A211&amp;B211&amp;C211="","",IF($C211&lt;&gt;0,INDEX(生物种群!$B$2:INDEX(生物种群!$B:$B,COUNTA(生物种群!$B:$B)),MATCH($C211,生物种群!$G$2:INDEX(生物种群!$G:$G,COUNTA(生物种群!$G:$G)),),),IF($A211&lt;&gt;0,INDEX(生物种群!$B$2:INDEX(生物种群!$B:$B,COUNTA(生物种群!$B:$B)),MATCH($A211,生物种群!$C$2:INDEX(生物种群!$C:$C,COUNTA(生物种群!$C:$C)),),),INDEX(生物种群!$B$2:INDEX(生物种群!$B:$B,COUNTA(生物种群!$B:$B)),MATCH($B211,生物种群!$D$2:INDEX(生物种群!$D:$D,COUNTA(生物种群!$D:$D)),),))))</f>
        <v/>
      </c>
      <c r="J211" s="37" t="str">
        <f>IF(A211&amp;B211&amp;C211="","",INDEX(生物种群!$J$2:INDEX(生物种群!$J:$J,COUNTA(生物种群!$J:$J)),MATCH($I211,生物种群!$B$2:INDEX(生物种群!$B:$B,COUNTA(生物种群!$B:$B)),),))</f>
        <v/>
      </c>
      <c r="K211" s="37" t="str">
        <f>IF(A211&amp;B211&amp;C211="","",INDEX(生物种群!$E$2:INDEX(生物种群!$E:$E,COUNTA(生物种群!$E:$E)),MATCH($I211,生物种群!$B$2:INDEX(生物种群!$B:$B,COUNTA(生物种群!$B:$B)),),))</f>
        <v/>
      </c>
      <c r="L211" s="37" t="str">
        <f>IF(A211&amp;B211&amp;C211="","",INDEX(生物种群!$F$3:INDEX(生物种群!$F:$F,COUNTA(生物种群!$F:$F)),MATCH($I211,生物种群!$B$3:INDEX(生物种群!$B:$B,COUNTA(生物种群!$B:$B)),),))</f>
        <v/>
      </c>
      <c r="M211" s="37" t="str">
        <f t="shared" si="6"/>
        <v/>
      </c>
      <c r="N211" s="37" t="str">
        <f t="shared" si="7"/>
        <v/>
      </c>
      <c r="O211" s="9"/>
      <c r="P211" s="10"/>
    </row>
    <row r="212" spans="1:16" ht="20.1" customHeight="1">
      <c r="A212" s="9"/>
      <c r="B212" s="9"/>
      <c r="C212" s="9"/>
      <c r="D212" s="43"/>
      <c r="E212" s="9"/>
      <c r="F212" s="9"/>
      <c r="G212" s="47" t="str">
        <f>IF(F212="","",INDEX(站位样品信息!$B$3:INDEX(站位样品信息!$B:$B,COUNTA(站位样品信息!$B:$B)+1),MATCH($F212,站位样品信息!$A$3:INDEX(站位样品信息!$A:$A,COUNTA(站位样品信息!$A:$A)+1),),))</f>
        <v/>
      </c>
      <c r="H212" s="37" t="str">
        <f>IF(A212&amp;B212&amp;C212="","",INDEX(生物种群!$A$2:INDEX(生物种群!$A:$A,COUNTA(生物种群!$A:$A)),MATCH($I212,生物种群!$B$2:INDEX(生物种群!$B:$B,COUNTA(生物种群!$B:$B)),),))</f>
        <v/>
      </c>
      <c r="I212" s="37" t="str">
        <f>IF(A212&amp;B212&amp;C212="","",IF($C212&lt;&gt;0,INDEX(生物种群!$B$2:INDEX(生物种群!$B:$B,COUNTA(生物种群!$B:$B)),MATCH($C212,生物种群!$G$2:INDEX(生物种群!$G:$G,COUNTA(生物种群!$G:$G)),),),IF($A212&lt;&gt;0,INDEX(生物种群!$B$2:INDEX(生物种群!$B:$B,COUNTA(生物种群!$B:$B)),MATCH($A212,生物种群!$C$2:INDEX(生物种群!$C:$C,COUNTA(生物种群!$C:$C)),),),INDEX(生物种群!$B$2:INDEX(生物种群!$B:$B,COUNTA(生物种群!$B:$B)),MATCH($B212,生物种群!$D$2:INDEX(生物种群!$D:$D,COUNTA(生物种群!$D:$D)),),))))</f>
        <v/>
      </c>
      <c r="J212" s="37" t="str">
        <f>IF(A212&amp;B212&amp;C212="","",INDEX(生物种群!$J$2:INDEX(生物种群!$J:$J,COUNTA(生物种群!$J:$J)),MATCH($I212,生物种群!$B$2:INDEX(生物种群!$B:$B,COUNTA(生物种群!$B:$B)),),))</f>
        <v/>
      </c>
      <c r="K212" s="37" t="str">
        <f>IF(A212&amp;B212&amp;C212="","",INDEX(生物种群!$E$2:INDEX(生物种群!$E:$E,COUNTA(生物种群!$E:$E)),MATCH($I212,生物种群!$B$2:INDEX(生物种群!$B:$B,COUNTA(生物种群!$B:$B)),),))</f>
        <v/>
      </c>
      <c r="L212" s="37" t="str">
        <f>IF(A212&amp;B212&amp;C212="","",INDEX(生物种群!$F$3:INDEX(生物种群!$F:$F,COUNTA(生物种群!$F:$F)),MATCH($I212,生物种群!$B$3:INDEX(生物种群!$B:$B,COUNTA(生物种群!$B:$B)),),))</f>
        <v/>
      </c>
      <c r="M212" s="37" t="str">
        <f t="shared" si="6"/>
        <v/>
      </c>
      <c r="N212" s="37" t="str">
        <f t="shared" si="7"/>
        <v/>
      </c>
      <c r="O212" s="9"/>
      <c r="P212" s="10"/>
    </row>
    <row r="213" spans="1:16" ht="20.1" customHeight="1">
      <c r="A213" s="9"/>
      <c r="B213" s="9"/>
      <c r="C213" s="9"/>
      <c r="D213" s="43"/>
      <c r="E213" s="9"/>
      <c r="F213" s="9"/>
      <c r="G213" s="47" t="str">
        <f>IF(F213="","",INDEX(站位样品信息!$B$3:INDEX(站位样品信息!$B:$B,COUNTA(站位样品信息!$B:$B)+1),MATCH($F213,站位样品信息!$A$3:INDEX(站位样品信息!$A:$A,COUNTA(站位样品信息!$A:$A)+1),),))</f>
        <v/>
      </c>
      <c r="H213" s="37" t="str">
        <f>IF(A213&amp;B213&amp;C213="","",INDEX(生物种群!$A$2:INDEX(生物种群!$A:$A,COUNTA(生物种群!$A:$A)),MATCH($I213,生物种群!$B$2:INDEX(生物种群!$B:$B,COUNTA(生物种群!$B:$B)),),))</f>
        <v/>
      </c>
      <c r="I213" s="37" t="str">
        <f>IF(A213&amp;B213&amp;C213="","",IF($C213&lt;&gt;0,INDEX(生物种群!$B$2:INDEX(生物种群!$B:$B,COUNTA(生物种群!$B:$B)),MATCH($C213,生物种群!$G$2:INDEX(生物种群!$G:$G,COUNTA(生物种群!$G:$G)),),),IF($A213&lt;&gt;0,INDEX(生物种群!$B$2:INDEX(生物种群!$B:$B,COUNTA(生物种群!$B:$B)),MATCH($A213,生物种群!$C$2:INDEX(生物种群!$C:$C,COUNTA(生物种群!$C:$C)),),),INDEX(生物种群!$B$2:INDEX(生物种群!$B:$B,COUNTA(生物种群!$B:$B)),MATCH($B213,生物种群!$D$2:INDEX(生物种群!$D:$D,COUNTA(生物种群!$D:$D)),),))))</f>
        <v/>
      </c>
      <c r="J213" s="37" t="str">
        <f>IF(A213&amp;B213&amp;C213="","",INDEX(生物种群!$J$2:INDEX(生物种群!$J:$J,COUNTA(生物种群!$J:$J)),MATCH($I213,生物种群!$B$2:INDEX(生物种群!$B:$B,COUNTA(生物种群!$B:$B)),),))</f>
        <v/>
      </c>
      <c r="K213" s="37" t="str">
        <f>IF(A213&amp;B213&amp;C213="","",INDEX(生物种群!$E$2:INDEX(生物种群!$E:$E,COUNTA(生物种群!$E:$E)),MATCH($I213,生物种群!$B$2:INDEX(生物种群!$B:$B,COUNTA(生物种群!$B:$B)),),))</f>
        <v/>
      </c>
      <c r="L213" s="37" t="str">
        <f>IF(A213&amp;B213&amp;C213="","",INDEX(生物种群!$F$3:INDEX(生物种群!$F:$F,COUNTA(生物种群!$F:$F)),MATCH($I213,生物种群!$B$3:INDEX(生物种群!$B:$B,COUNTA(生物种群!$B:$B)),),))</f>
        <v/>
      </c>
      <c r="M213" s="37" t="str">
        <f t="shared" si="6"/>
        <v/>
      </c>
      <c r="N213" s="37" t="str">
        <f t="shared" si="7"/>
        <v/>
      </c>
      <c r="O213" s="9"/>
      <c r="P213" s="10"/>
    </row>
    <row r="214" spans="1:16" ht="20.1" customHeight="1">
      <c r="A214" s="9"/>
      <c r="B214" s="9"/>
      <c r="C214" s="9"/>
      <c r="D214" s="43"/>
      <c r="E214" s="9"/>
      <c r="F214" s="9"/>
      <c r="G214" s="47" t="str">
        <f>IF(F214="","",INDEX(站位样品信息!$B$3:INDEX(站位样品信息!$B:$B,COUNTA(站位样品信息!$B:$B)+1),MATCH($F214,站位样品信息!$A$3:INDEX(站位样品信息!$A:$A,COUNTA(站位样品信息!$A:$A)+1),),))</f>
        <v/>
      </c>
      <c r="H214" s="37" t="str">
        <f>IF(A214&amp;B214&amp;C214="","",INDEX(生物种群!$A$2:INDEX(生物种群!$A:$A,COUNTA(生物种群!$A:$A)),MATCH($I214,生物种群!$B$2:INDEX(生物种群!$B:$B,COUNTA(生物种群!$B:$B)),),))</f>
        <v/>
      </c>
      <c r="I214" s="37" t="str">
        <f>IF(A214&amp;B214&amp;C214="","",IF($C214&lt;&gt;0,INDEX(生物种群!$B$2:INDEX(生物种群!$B:$B,COUNTA(生物种群!$B:$B)),MATCH($C214,生物种群!$G$2:INDEX(生物种群!$G:$G,COUNTA(生物种群!$G:$G)),),),IF($A214&lt;&gt;0,INDEX(生物种群!$B$2:INDEX(生物种群!$B:$B,COUNTA(生物种群!$B:$B)),MATCH($A214,生物种群!$C$2:INDEX(生物种群!$C:$C,COUNTA(生物种群!$C:$C)),),),INDEX(生物种群!$B$2:INDEX(生物种群!$B:$B,COUNTA(生物种群!$B:$B)),MATCH($B214,生物种群!$D$2:INDEX(生物种群!$D:$D,COUNTA(生物种群!$D:$D)),),))))</f>
        <v/>
      </c>
      <c r="J214" s="37" t="str">
        <f>IF(A214&amp;B214&amp;C214="","",INDEX(生物种群!$J$2:INDEX(生物种群!$J:$J,COUNTA(生物种群!$J:$J)),MATCH($I214,生物种群!$B$2:INDEX(生物种群!$B:$B,COUNTA(生物种群!$B:$B)),),))</f>
        <v/>
      </c>
      <c r="K214" s="37" t="str">
        <f>IF(A214&amp;B214&amp;C214="","",INDEX(生物种群!$E$2:INDEX(生物种群!$E:$E,COUNTA(生物种群!$E:$E)),MATCH($I214,生物种群!$B$2:INDEX(生物种群!$B:$B,COUNTA(生物种群!$B:$B)),),))</f>
        <v/>
      </c>
      <c r="L214" s="37" t="str">
        <f>IF(A214&amp;B214&amp;C214="","",INDEX(生物种群!$F$3:INDEX(生物种群!$F:$F,COUNTA(生物种群!$F:$F)),MATCH($I214,生物种群!$B$3:INDEX(生物种群!$B:$B,COUNTA(生物种群!$B:$B)),),))</f>
        <v/>
      </c>
      <c r="M214" s="37" t="str">
        <f t="shared" si="6"/>
        <v/>
      </c>
      <c r="N214" s="37" t="str">
        <f t="shared" si="7"/>
        <v/>
      </c>
      <c r="O214" s="9"/>
      <c r="P214" s="10"/>
    </row>
    <row r="215" spans="1:16" ht="20.1" customHeight="1">
      <c r="A215" s="9"/>
      <c r="B215" s="9"/>
      <c r="C215" s="9"/>
      <c r="D215" s="43"/>
      <c r="E215" s="9"/>
      <c r="F215" s="9"/>
      <c r="G215" s="47" t="str">
        <f>IF(F215="","",INDEX(站位样品信息!$B$3:INDEX(站位样品信息!$B:$B,COUNTA(站位样品信息!$B:$B)+1),MATCH($F215,站位样品信息!$A$3:INDEX(站位样品信息!$A:$A,COUNTA(站位样品信息!$A:$A)+1),),))</f>
        <v/>
      </c>
      <c r="H215" s="37" t="str">
        <f>IF(A215&amp;B215&amp;C215="","",INDEX(生物种群!$A$2:INDEX(生物种群!$A:$A,COUNTA(生物种群!$A:$A)),MATCH($I215,生物种群!$B$2:INDEX(生物种群!$B:$B,COUNTA(生物种群!$B:$B)),),))</f>
        <v/>
      </c>
      <c r="I215" s="37" t="str">
        <f>IF(A215&amp;B215&amp;C215="","",IF($C215&lt;&gt;0,INDEX(生物种群!$B$2:INDEX(生物种群!$B:$B,COUNTA(生物种群!$B:$B)),MATCH($C215,生物种群!$G$2:INDEX(生物种群!$G:$G,COUNTA(生物种群!$G:$G)),),),IF($A215&lt;&gt;0,INDEX(生物种群!$B$2:INDEX(生物种群!$B:$B,COUNTA(生物种群!$B:$B)),MATCH($A215,生物种群!$C$2:INDEX(生物种群!$C:$C,COUNTA(生物种群!$C:$C)),),),INDEX(生物种群!$B$2:INDEX(生物种群!$B:$B,COUNTA(生物种群!$B:$B)),MATCH($B215,生物种群!$D$2:INDEX(生物种群!$D:$D,COUNTA(生物种群!$D:$D)),),))))</f>
        <v/>
      </c>
      <c r="J215" s="37" t="str">
        <f>IF(A215&amp;B215&amp;C215="","",INDEX(生物种群!$J$2:INDEX(生物种群!$J:$J,COUNTA(生物种群!$J:$J)),MATCH($I215,生物种群!$B$2:INDEX(生物种群!$B:$B,COUNTA(生物种群!$B:$B)),),))</f>
        <v/>
      </c>
      <c r="K215" s="37" t="str">
        <f>IF(A215&amp;B215&amp;C215="","",INDEX(生物种群!$E$2:INDEX(生物种群!$E:$E,COUNTA(生物种群!$E:$E)),MATCH($I215,生物种群!$B$2:INDEX(生物种群!$B:$B,COUNTA(生物种群!$B:$B)),),))</f>
        <v/>
      </c>
      <c r="L215" s="37" t="str">
        <f>IF(A215&amp;B215&amp;C215="","",INDEX(生物种群!$F$3:INDEX(生物种群!$F:$F,COUNTA(生物种群!$F:$F)),MATCH($I215,生物种群!$B$3:INDEX(生物种群!$B:$B,COUNTA(生物种群!$B:$B)),),))</f>
        <v/>
      </c>
      <c r="M215" s="37" t="str">
        <f t="shared" si="6"/>
        <v/>
      </c>
      <c r="N215" s="37" t="str">
        <f t="shared" si="7"/>
        <v/>
      </c>
      <c r="O215" s="9"/>
      <c r="P215" s="10"/>
    </row>
    <row r="216" spans="1:16" ht="20.1" customHeight="1">
      <c r="A216" s="9"/>
      <c r="B216" s="9"/>
      <c r="C216" s="9"/>
      <c r="D216" s="43"/>
      <c r="E216" s="9"/>
      <c r="F216" s="9"/>
      <c r="G216" s="47" t="str">
        <f>IF(F216="","",INDEX(站位样品信息!$B$3:INDEX(站位样品信息!$B:$B,COUNTA(站位样品信息!$B:$B)+1),MATCH($F216,站位样品信息!$A$3:INDEX(站位样品信息!$A:$A,COUNTA(站位样品信息!$A:$A)+1),),))</f>
        <v/>
      </c>
      <c r="H216" s="37" t="str">
        <f>IF(A216&amp;B216&amp;C216="","",INDEX(生物种群!$A$2:INDEX(生物种群!$A:$A,COUNTA(生物种群!$A:$A)),MATCH($I216,生物种群!$B$2:INDEX(生物种群!$B:$B,COUNTA(生物种群!$B:$B)),),))</f>
        <v/>
      </c>
      <c r="I216" s="37" t="str">
        <f>IF(A216&amp;B216&amp;C216="","",IF($C216&lt;&gt;0,INDEX(生物种群!$B$2:INDEX(生物种群!$B:$B,COUNTA(生物种群!$B:$B)),MATCH($C216,生物种群!$G$2:INDEX(生物种群!$G:$G,COUNTA(生物种群!$G:$G)),),),IF($A216&lt;&gt;0,INDEX(生物种群!$B$2:INDEX(生物种群!$B:$B,COUNTA(生物种群!$B:$B)),MATCH($A216,生物种群!$C$2:INDEX(生物种群!$C:$C,COUNTA(生物种群!$C:$C)),),),INDEX(生物种群!$B$2:INDEX(生物种群!$B:$B,COUNTA(生物种群!$B:$B)),MATCH($B216,生物种群!$D$2:INDEX(生物种群!$D:$D,COUNTA(生物种群!$D:$D)),),))))</f>
        <v/>
      </c>
      <c r="J216" s="37" t="str">
        <f>IF(A216&amp;B216&amp;C216="","",INDEX(生物种群!$J$2:INDEX(生物种群!$J:$J,COUNTA(生物种群!$J:$J)),MATCH($I216,生物种群!$B$2:INDEX(生物种群!$B:$B,COUNTA(生物种群!$B:$B)),),))</f>
        <v/>
      </c>
      <c r="K216" s="37" t="str">
        <f>IF(A216&amp;B216&amp;C216="","",INDEX(生物种群!$E$2:INDEX(生物种群!$E:$E,COUNTA(生物种群!$E:$E)),MATCH($I216,生物种群!$B$2:INDEX(生物种群!$B:$B,COUNTA(生物种群!$B:$B)),),))</f>
        <v/>
      </c>
      <c r="L216" s="37" t="str">
        <f>IF(A216&amp;B216&amp;C216="","",INDEX(生物种群!$F$3:INDEX(生物种群!$F:$F,COUNTA(生物种群!$F:$F)),MATCH($I216,生物种群!$B$3:INDEX(生物种群!$B:$B,COUNTA(生物种群!$B:$B)),),))</f>
        <v/>
      </c>
      <c r="M216" s="37" t="str">
        <f t="shared" si="6"/>
        <v/>
      </c>
      <c r="N216" s="37" t="str">
        <f t="shared" si="7"/>
        <v/>
      </c>
      <c r="O216" s="9"/>
      <c r="P216" s="10"/>
    </row>
    <row r="217" spans="1:16" ht="20.1" customHeight="1">
      <c r="A217" s="9"/>
      <c r="B217" s="9"/>
      <c r="C217" s="9"/>
      <c r="D217" s="43"/>
      <c r="E217" s="9"/>
      <c r="F217" s="9"/>
      <c r="G217" s="47" t="str">
        <f>IF(F217="","",INDEX(站位样品信息!$B$3:INDEX(站位样品信息!$B:$B,COUNTA(站位样品信息!$B:$B)+1),MATCH($F217,站位样品信息!$A$3:INDEX(站位样品信息!$A:$A,COUNTA(站位样品信息!$A:$A)+1),),))</f>
        <v/>
      </c>
      <c r="H217" s="37" t="str">
        <f>IF(A217&amp;B217&amp;C217="","",INDEX(生物种群!$A$2:INDEX(生物种群!$A:$A,COUNTA(生物种群!$A:$A)),MATCH($I217,生物种群!$B$2:INDEX(生物种群!$B:$B,COUNTA(生物种群!$B:$B)),),))</f>
        <v/>
      </c>
      <c r="I217" s="37" t="str">
        <f>IF(A217&amp;B217&amp;C217="","",IF($C217&lt;&gt;0,INDEX(生物种群!$B$2:INDEX(生物种群!$B:$B,COUNTA(生物种群!$B:$B)),MATCH($C217,生物种群!$G$2:INDEX(生物种群!$G:$G,COUNTA(生物种群!$G:$G)),),),IF($A217&lt;&gt;0,INDEX(生物种群!$B$2:INDEX(生物种群!$B:$B,COUNTA(生物种群!$B:$B)),MATCH($A217,生物种群!$C$2:INDEX(生物种群!$C:$C,COUNTA(生物种群!$C:$C)),),),INDEX(生物种群!$B$2:INDEX(生物种群!$B:$B,COUNTA(生物种群!$B:$B)),MATCH($B217,生物种群!$D$2:INDEX(生物种群!$D:$D,COUNTA(生物种群!$D:$D)),),))))</f>
        <v/>
      </c>
      <c r="J217" s="37" t="str">
        <f>IF(A217&amp;B217&amp;C217="","",INDEX(生物种群!$J$2:INDEX(生物种群!$J:$J,COUNTA(生物种群!$J:$J)),MATCH($I217,生物种群!$B$2:INDEX(生物种群!$B:$B,COUNTA(生物种群!$B:$B)),),))</f>
        <v/>
      </c>
      <c r="K217" s="37" t="str">
        <f>IF(A217&amp;B217&amp;C217="","",INDEX(生物种群!$E$2:INDEX(生物种群!$E:$E,COUNTA(生物种群!$E:$E)),MATCH($I217,生物种群!$B$2:INDEX(生物种群!$B:$B,COUNTA(生物种群!$B:$B)),),))</f>
        <v/>
      </c>
      <c r="L217" s="37" t="str">
        <f>IF(A217&amp;B217&amp;C217="","",INDEX(生物种群!$F$3:INDEX(生物种群!$F:$F,COUNTA(生物种群!$F:$F)),MATCH($I217,生物种群!$B$3:INDEX(生物种群!$B:$B,COUNTA(生物种群!$B:$B)),),))</f>
        <v/>
      </c>
      <c r="M217" s="37" t="str">
        <f t="shared" si="6"/>
        <v/>
      </c>
      <c r="N217" s="37" t="str">
        <f t="shared" si="7"/>
        <v/>
      </c>
      <c r="O217" s="9"/>
      <c r="P217" s="10"/>
    </row>
    <row r="218" spans="1:16" ht="20.1" customHeight="1">
      <c r="A218" s="9"/>
      <c r="B218" s="9"/>
      <c r="C218" s="9"/>
      <c r="D218" s="43"/>
      <c r="E218" s="9"/>
      <c r="F218" s="9"/>
      <c r="G218" s="47" t="str">
        <f>IF(F218="","",INDEX(站位样品信息!$B$3:INDEX(站位样品信息!$B:$B,COUNTA(站位样品信息!$B:$B)+1),MATCH($F218,站位样品信息!$A$3:INDEX(站位样品信息!$A:$A,COUNTA(站位样品信息!$A:$A)+1),),))</f>
        <v/>
      </c>
      <c r="H218" s="37" t="str">
        <f>IF(A218&amp;B218&amp;C218="","",INDEX(生物种群!$A$2:INDEX(生物种群!$A:$A,COUNTA(生物种群!$A:$A)),MATCH($I218,生物种群!$B$2:INDEX(生物种群!$B:$B,COUNTA(生物种群!$B:$B)),),))</f>
        <v/>
      </c>
      <c r="I218" s="37" t="str">
        <f>IF(A218&amp;B218&amp;C218="","",IF($C218&lt;&gt;0,INDEX(生物种群!$B$2:INDEX(生物种群!$B:$B,COUNTA(生物种群!$B:$B)),MATCH($C218,生物种群!$G$2:INDEX(生物种群!$G:$G,COUNTA(生物种群!$G:$G)),),),IF($A218&lt;&gt;0,INDEX(生物种群!$B$2:INDEX(生物种群!$B:$B,COUNTA(生物种群!$B:$B)),MATCH($A218,生物种群!$C$2:INDEX(生物种群!$C:$C,COUNTA(生物种群!$C:$C)),),),INDEX(生物种群!$B$2:INDEX(生物种群!$B:$B,COUNTA(生物种群!$B:$B)),MATCH($B218,生物种群!$D$2:INDEX(生物种群!$D:$D,COUNTA(生物种群!$D:$D)),),))))</f>
        <v/>
      </c>
      <c r="J218" s="37" t="str">
        <f>IF(A218&amp;B218&amp;C218="","",INDEX(生物种群!$J$2:INDEX(生物种群!$J:$J,COUNTA(生物种群!$J:$J)),MATCH($I218,生物种群!$B$2:INDEX(生物种群!$B:$B,COUNTA(生物种群!$B:$B)),),))</f>
        <v/>
      </c>
      <c r="K218" s="37" t="str">
        <f>IF(A218&amp;B218&amp;C218="","",INDEX(生物种群!$E$2:INDEX(生物种群!$E:$E,COUNTA(生物种群!$E:$E)),MATCH($I218,生物种群!$B$2:INDEX(生物种群!$B:$B,COUNTA(生物种群!$B:$B)),),))</f>
        <v/>
      </c>
      <c r="L218" s="37" t="str">
        <f>IF(A218&amp;B218&amp;C218="","",INDEX(生物种群!$F$3:INDEX(生物种群!$F:$F,COUNTA(生物种群!$F:$F)),MATCH($I218,生物种群!$B$3:INDEX(生物种群!$B:$B,COUNTA(生物种群!$B:$B)),),))</f>
        <v/>
      </c>
      <c r="M218" s="37" t="str">
        <f t="shared" si="6"/>
        <v/>
      </c>
      <c r="N218" s="37" t="str">
        <f t="shared" si="7"/>
        <v/>
      </c>
      <c r="O218" s="9"/>
      <c r="P218" s="10"/>
    </row>
    <row r="219" spans="1:16" ht="20.1" customHeight="1">
      <c r="A219" s="9"/>
      <c r="B219" s="9"/>
      <c r="C219" s="9"/>
      <c r="D219" s="43"/>
      <c r="E219" s="9"/>
      <c r="F219" s="9"/>
      <c r="G219" s="47" t="str">
        <f>IF(F219="","",INDEX(站位样品信息!$B$3:INDEX(站位样品信息!$B:$B,COUNTA(站位样品信息!$B:$B)+1),MATCH($F219,站位样品信息!$A$3:INDEX(站位样品信息!$A:$A,COUNTA(站位样品信息!$A:$A)+1),),))</f>
        <v/>
      </c>
      <c r="H219" s="37" t="str">
        <f>IF(A219&amp;B219&amp;C219="","",INDEX(生物种群!$A$2:INDEX(生物种群!$A:$A,COUNTA(生物种群!$A:$A)),MATCH($I219,生物种群!$B$2:INDEX(生物种群!$B:$B,COUNTA(生物种群!$B:$B)),),))</f>
        <v/>
      </c>
      <c r="I219" s="37" t="str">
        <f>IF(A219&amp;B219&amp;C219="","",IF($C219&lt;&gt;0,INDEX(生物种群!$B$2:INDEX(生物种群!$B:$B,COUNTA(生物种群!$B:$B)),MATCH($C219,生物种群!$G$2:INDEX(生物种群!$G:$G,COUNTA(生物种群!$G:$G)),),),IF($A219&lt;&gt;0,INDEX(生物种群!$B$2:INDEX(生物种群!$B:$B,COUNTA(生物种群!$B:$B)),MATCH($A219,生物种群!$C$2:INDEX(生物种群!$C:$C,COUNTA(生物种群!$C:$C)),),),INDEX(生物种群!$B$2:INDEX(生物种群!$B:$B,COUNTA(生物种群!$B:$B)),MATCH($B219,生物种群!$D$2:INDEX(生物种群!$D:$D,COUNTA(生物种群!$D:$D)),),))))</f>
        <v/>
      </c>
      <c r="J219" s="37" t="str">
        <f>IF(A219&amp;B219&amp;C219="","",INDEX(生物种群!$J$2:INDEX(生物种群!$J:$J,COUNTA(生物种群!$J:$J)),MATCH($I219,生物种群!$B$2:INDEX(生物种群!$B:$B,COUNTA(生物种群!$B:$B)),),))</f>
        <v/>
      </c>
      <c r="K219" s="37" t="str">
        <f>IF(A219&amp;B219&amp;C219="","",INDEX(生物种群!$E$2:INDEX(生物种群!$E:$E,COUNTA(生物种群!$E:$E)),MATCH($I219,生物种群!$B$2:INDEX(生物种群!$B:$B,COUNTA(生物种群!$B:$B)),),))</f>
        <v/>
      </c>
      <c r="L219" s="37" t="str">
        <f>IF(A219&amp;B219&amp;C219="","",INDEX(生物种群!$F$3:INDEX(生物种群!$F:$F,COUNTA(生物种群!$F:$F)),MATCH($I219,生物种群!$B$3:INDEX(生物种群!$B:$B,COUNTA(生物种群!$B:$B)),),))</f>
        <v/>
      </c>
      <c r="M219" s="37" t="str">
        <f t="shared" si="6"/>
        <v/>
      </c>
      <c r="N219" s="37" t="str">
        <f t="shared" si="7"/>
        <v/>
      </c>
      <c r="O219" s="9"/>
      <c r="P219" s="10"/>
    </row>
    <row r="220" spans="1:16" ht="20.1" customHeight="1">
      <c r="A220" s="9"/>
      <c r="B220" s="9"/>
      <c r="C220" s="9"/>
      <c r="D220" s="43"/>
      <c r="E220" s="9"/>
      <c r="F220" s="9"/>
      <c r="G220" s="47" t="str">
        <f>IF(F220="","",INDEX(站位样品信息!$B$3:INDEX(站位样品信息!$B:$B,COUNTA(站位样品信息!$B:$B)+1),MATCH($F220,站位样品信息!$A$3:INDEX(站位样品信息!$A:$A,COUNTA(站位样品信息!$A:$A)+1),),))</f>
        <v/>
      </c>
      <c r="H220" s="37" t="str">
        <f>IF(A220&amp;B220&amp;C220="","",INDEX(生物种群!$A$2:INDEX(生物种群!$A:$A,COUNTA(生物种群!$A:$A)),MATCH($I220,生物种群!$B$2:INDEX(生物种群!$B:$B,COUNTA(生物种群!$B:$B)),),))</f>
        <v/>
      </c>
      <c r="I220" s="37" t="str">
        <f>IF(A220&amp;B220&amp;C220="","",IF($C220&lt;&gt;0,INDEX(生物种群!$B$2:INDEX(生物种群!$B:$B,COUNTA(生物种群!$B:$B)),MATCH($C220,生物种群!$G$2:INDEX(生物种群!$G:$G,COUNTA(生物种群!$G:$G)),),),IF($A220&lt;&gt;0,INDEX(生物种群!$B$2:INDEX(生物种群!$B:$B,COUNTA(生物种群!$B:$B)),MATCH($A220,生物种群!$C$2:INDEX(生物种群!$C:$C,COUNTA(生物种群!$C:$C)),),),INDEX(生物种群!$B$2:INDEX(生物种群!$B:$B,COUNTA(生物种群!$B:$B)),MATCH($B220,生物种群!$D$2:INDEX(生物种群!$D:$D,COUNTA(生物种群!$D:$D)),),))))</f>
        <v/>
      </c>
      <c r="J220" s="37" t="str">
        <f>IF(A220&amp;B220&amp;C220="","",INDEX(生物种群!$J$2:INDEX(生物种群!$J:$J,COUNTA(生物种群!$J:$J)),MATCH($I220,生物种群!$B$2:INDEX(生物种群!$B:$B,COUNTA(生物种群!$B:$B)),),))</f>
        <v/>
      </c>
      <c r="K220" s="37" t="str">
        <f>IF(A220&amp;B220&amp;C220="","",INDEX(生物种群!$E$2:INDEX(生物种群!$E:$E,COUNTA(生物种群!$E:$E)),MATCH($I220,生物种群!$B$2:INDEX(生物种群!$B:$B,COUNTA(生物种群!$B:$B)),),))</f>
        <v/>
      </c>
      <c r="L220" s="37" t="str">
        <f>IF(A220&amp;B220&amp;C220="","",INDEX(生物种群!$F$3:INDEX(生物种群!$F:$F,COUNTA(生物种群!$F:$F)),MATCH($I220,生物种群!$B$3:INDEX(生物种群!$B:$B,COUNTA(生物种群!$B:$B)),),))</f>
        <v/>
      </c>
      <c r="M220" s="37" t="str">
        <f t="shared" si="6"/>
        <v/>
      </c>
      <c r="N220" s="37" t="str">
        <f t="shared" si="7"/>
        <v/>
      </c>
      <c r="O220" s="9"/>
      <c r="P220" s="10"/>
    </row>
    <row r="221" spans="1:16" ht="20.1" customHeight="1">
      <c r="A221" s="9"/>
      <c r="B221" s="9"/>
      <c r="C221" s="9"/>
      <c r="D221" s="43"/>
      <c r="E221" s="9"/>
      <c r="F221" s="9"/>
      <c r="G221" s="47" t="str">
        <f>IF(F221="","",INDEX(站位样品信息!$B$3:INDEX(站位样品信息!$B:$B,COUNTA(站位样品信息!$B:$B)+1),MATCH($F221,站位样品信息!$A$3:INDEX(站位样品信息!$A:$A,COUNTA(站位样品信息!$A:$A)+1),),))</f>
        <v/>
      </c>
      <c r="H221" s="37" t="str">
        <f>IF(A221&amp;B221&amp;C221="","",INDEX(生物种群!$A$2:INDEX(生物种群!$A:$A,COUNTA(生物种群!$A:$A)),MATCH($I221,生物种群!$B$2:INDEX(生物种群!$B:$B,COUNTA(生物种群!$B:$B)),),))</f>
        <v/>
      </c>
      <c r="I221" s="37" t="str">
        <f>IF(A221&amp;B221&amp;C221="","",IF($C221&lt;&gt;0,INDEX(生物种群!$B$2:INDEX(生物种群!$B:$B,COUNTA(生物种群!$B:$B)),MATCH($C221,生物种群!$G$2:INDEX(生物种群!$G:$G,COUNTA(生物种群!$G:$G)),),),IF($A221&lt;&gt;0,INDEX(生物种群!$B$2:INDEX(生物种群!$B:$B,COUNTA(生物种群!$B:$B)),MATCH($A221,生物种群!$C$2:INDEX(生物种群!$C:$C,COUNTA(生物种群!$C:$C)),),),INDEX(生物种群!$B$2:INDEX(生物种群!$B:$B,COUNTA(生物种群!$B:$B)),MATCH($B221,生物种群!$D$2:INDEX(生物种群!$D:$D,COUNTA(生物种群!$D:$D)),),))))</f>
        <v/>
      </c>
      <c r="J221" s="37" t="str">
        <f>IF(A221&amp;B221&amp;C221="","",INDEX(生物种群!$J$2:INDEX(生物种群!$J:$J,COUNTA(生物种群!$J:$J)),MATCH($I221,生物种群!$B$2:INDEX(生物种群!$B:$B,COUNTA(生物种群!$B:$B)),),))</f>
        <v/>
      </c>
      <c r="K221" s="37" t="str">
        <f>IF(A221&amp;B221&amp;C221="","",INDEX(生物种群!$E$2:INDEX(生物种群!$E:$E,COUNTA(生物种群!$E:$E)),MATCH($I221,生物种群!$B$2:INDEX(生物种群!$B:$B,COUNTA(生物种群!$B:$B)),),))</f>
        <v/>
      </c>
      <c r="L221" s="37" t="str">
        <f>IF(A221&amp;B221&amp;C221="","",INDEX(生物种群!$F$3:INDEX(生物种群!$F:$F,COUNTA(生物种群!$F:$F)),MATCH($I221,生物种群!$B$3:INDEX(生物种群!$B:$B,COUNTA(生物种群!$B:$B)),),))</f>
        <v/>
      </c>
      <c r="M221" s="37" t="str">
        <f t="shared" si="6"/>
        <v/>
      </c>
      <c r="N221" s="37" t="str">
        <f t="shared" si="7"/>
        <v/>
      </c>
      <c r="O221" s="9"/>
      <c r="P221" s="10"/>
    </row>
    <row r="222" spans="1:16" ht="20.1" customHeight="1">
      <c r="A222" s="9"/>
      <c r="B222" s="9"/>
      <c r="C222" s="9"/>
      <c r="D222" s="43"/>
      <c r="E222" s="9"/>
      <c r="F222" s="9"/>
      <c r="G222" s="47" t="str">
        <f>IF(F222="","",INDEX(站位样品信息!$B$3:INDEX(站位样品信息!$B:$B,COUNTA(站位样品信息!$B:$B)+1),MATCH($F222,站位样品信息!$A$3:INDEX(站位样品信息!$A:$A,COUNTA(站位样品信息!$A:$A)+1),),))</f>
        <v/>
      </c>
      <c r="H222" s="37" t="str">
        <f>IF(A222&amp;B222&amp;C222="","",INDEX(生物种群!$A$2:INDEX(生物种群!$A:$A,COUNTA(生物种群!$A:$A)),MATCH($I222,生物种群!$B$2:INDEX(生物种群!$B:$B,COUNTA(生物种群!$B:$B)),),))</f>
        <v/>
      </c>
      <c r="I222" s="37" t="str">
        <f>IF(A222&amp;B222&amp;C222="","",IF($C222&lt;&gt;0,INDEX(生物种群!$B$2:INDEX(生物种群!$B:$B,COUNTA(生物种群!$B:$B)),MATCH($C222,生物种群!$G$2:INDEX(生物种群!$G:$G,COUNTA(生物种群!$G:$G)),),),IF($A222&lt;&gt;0,INDEX(生物种群!$B$2:INDEX(生物种群!$B:$B,COUNTA(生物种群!$B:$B)),MATCH($A222,生物种群!$C$2:INDEX(生物种群!$C:$C,COUNTA(生物种群!$C:$C)),),),INDEX(生物种群!$B$2:INDEX(生物种群!$B:$B,COUNTA(生物种群!$B:$B)),MATCH($B222,生物种群!$D$2:INDEX(生物种群!$D:$D,COUNTA(生物种群!$D:$D)),),))))</f>
        <v/>
      </c>
      <c r="J222" s="37" t="str">
        <f>IF(A222&amp;B222&amp;C222="","",INDEX(生物种群!$J$2:INDEX(生物种群!$J:$J,COUNTA(生物种群!$J:$J)),MATCH($I222,生物种群!$B$2:INDEX(生物种群!$B:$B,COUNTA(生物种群!$B:$B)),),))</f>
        <v/>
      </c>
      <c r="K222" s="37" t="str">
        <f>IF(A222&amp;B222&amp;C222="","",INDEX(生物种群!$E$2:INDEX(生物种群!$E:$E,COUNTA(生物种群!$E:$E)),MATCH($I222,生物种群!$B$2:INDEX(生物种群!$B:$B,COUNTA(生物种群!$B:$B)),),))</f>
        <v/>
      </c>
      <c r="L222" s="37" t="str">
        <f>IF(A222&amp;B222&amp;C222="","",INDEX(生物种群!$F$3:INDEX(生物种群!$F:$F,COUNTA(生物种群!$F:$F)),MATCH($I222,生物种群!$B$3:INDEX(生物种群!$B:$B,COUNTA(生物种群!$B:$B)),),))</f>
        <v/>
      </c>
      <c r="M222" s="37" t="str">
        <f t="shared" si="6"/>
        <v/>
      </c>
      <c r="N222" s="37" t="str">
        <f t="shared" si="7"/>
        <v/>
      </c>
      <c r="O222" s="9"/>
      <c r="P222" s="10"/>
    </row>
    <row r="223" spans="1:16" ht="20.1" customHeight="1">
      <c r="A223" s="9"/>
      <c r="B223" s="9"/>
      <c r="C223" s="9"/>
      <c r="D223" s="43"/>
      <c r="E223" s="9"/>
      <c r="F223" s="9"/>
      <c r="G223" s="47" t="str">
        <f>IF(F223="","",INDEX(站位样品信息!$B$3:INDEX(站位样品信息!$B:$B,COUNTA(站位样品信息!$B:$B)+1),MATCH($F223,站位样品信息!$A$3:INDEX(站位样品信息!$A:$A,COUNTA(站位样品信息!$A:$A)+1),),))</f>
        <v/>
      </c>
      <c r="H223" s="37" t="str">
        <f>IF(A223&amp;B223&amp;C223="","",INDEX(生物种群!$A$2:INDEX(生物种群!$A:$A,COUNTA(生物种群!$A:$A)),MATCH($I223,生物种群!$B$2:INDEX(生物种群!$B:$B,COUNTA(生物种群!$B:$B)),),))</f>
        <v/>
      </c>
      <c r="I223" s="37" t="str">
        <f>IF(A223&amp;B223&amp;C223="","",IF($C223&lt;&gt;0,INDEX(生物种群!$B$2:INDEX(生物种群!$B:$B,COUNTA(生物种群!$B:$B)),MATCH($C223,生物种群!$G$2:INDEX(生物种群!$G:$G,COUNTA(生物种群!$G:$G)),),),IF($A223&lt;&gt;0,INDEX(生物种群!$B$2:INDEX(生物种群!$B:$B,COUNTA(生物种群!$B:$B)),MATCH($A223,生物种群!$C$2:INDEX(生物种群!$C:$C,COUNTA(生物种群!$C:$C)),),),INDEX(生物种群!$B$2:INDEX(生物种群!$B:$B,COUNTA(生物种群!$B:$B)),MATCH($B223,生物种群!$D$2:INDEX(生物种群!$D:$D,COUNTA(生物种群!$D:$D)),),))))</f>
        <v/>
      </c>
      <c r="J223" s="37" t="str">
        <f>IF(A223&amp;B223&amp;C223="","",INDEX(生物种群!$J$2:INDEX(生物种群!$J:$J,COUNTA(生物种群!$J:$J)),MATCH($I223,生物种群!$B$2:INDEX(生物种群!$B:$B,COUNTA(生物种群!$B:$B)),),))</f>
        <v/>
      </c>
      <c r="K223" s="37" t="str">
        <f>IF(A223&amp;B223&amp;C223="","",INDEX(生物种群!$E$2:INDEX(生物种群!$E:$E,COUNTA(生物种群!$E:$E)),MATCH($I223,生物种群!$B$2:INDEX(生物种群!$B:$B,COUNTA(生物种群!$B:$B)),),))</f>
        <v/>
      </c>
      <c r="L223" s="37" t="str">
        <f>IF(A223&amp;B223&amp;C223="","",INDEX(生物种群!$F$3:INDEX(生物种群!$F:$F,COUNTA(生物种群!$F:$F)),MATCH($I223,生物种群!$B$3:INDEX(生物种群!$B:$B,COUNTA(生物种群!$B:$B)),),))</f>
        <v/>
      </c>
      <c r="M223" s="37" t="str">
        <f t="shared" si="6"/>
        <v/>
      </c>
      <c r="N223" s="37" t="str">
        <f t="shared" si="7"/>
        <v/>
      </c>
      <c r="O223" s="9"/>
      <c r="P223" s="10"/>
    </row>
    <row r="224" spans="1:16" ht="20.1" customHeight="1">
      <c r="A224" s="9"/>
      <c r="B224" s="9"/>
      <c r="C224" s="9"/>
      <c r="D224" s="43"/>
      <c r="E224" s="9"/>
      <c r="F224" s="9"/>
      <c r="G224" s="47" t="str">
        <f>IF(F224="","",INDEX(站位样品信息!$B$3:INDEX(站位样品信息!$B:$B,COUNTA(站位样品信息!$B:$B)+1),MATCH($F224,站位样品信息!$A$3:INDEX(站位样品信息!$A:$A,COUNTA(站位样品信息!$A:$A)+1),),))</f>
        <v/>
      </c>
      <c r="H224" s="37" t="str">
        <f>IF(A224&amp;B224&amp;C224="","",INDEX(生物种群!$A$2:INDEX(生物种群!$A:$A,COUNTA(生物种群!$A:$A)),MATCH($I224,生物种群!$B$2:INDEX(生物种群!$B:$B,COUNTA(生物种群!$B:$B)),),))</f>
        <v/>
      </c>
      <c r="I224" s="37" t="str">
        <f>IF(A224&amp;B224&amp;C224="","",IF($C224&lt;&gt;0,INDEX(生物种群!$B$2:INDEX(生物种群!$B:$B,COUNTA(生物种群!$B:$B)),MATCH($C224,生物种群!$G$2:INDEX(生物种群!$G:$G,COUNTA(生物种群!$G:$G)),),),IF($A224&lt;&gt;0,INDEX(生物种群!$B$2:INDEX(生物种群!$B:$B,COUNTA(生物种群!$B:$B)),MATCH($A224,生物种群!$C$2:INDEX(生物种群!$C:$C,COUNTA(生物种群!$C:$C)),),),INDEX(生物种群!$B$2:INDEX(生物种群!$B:$B,COUNTA(生物种群!$B:$B)),MATCH($B224,生物种群!$D$2:INDEX(生物种群!$D:$D,COUNTA(生物种群!$D:$D)),),))))</f>
        <v/>
      </c>
      <c r="J224" s="37" t="str">
        <f>IF(A224&amp;B224&amp;C224="","",INDEX(生物种群!$J$2:INDEX(生物种群!$J:$J,COUNTA(生物种群!$J:$J)),MATCH($I224,生物种群!$B$2:INDEX(生物种群!$B:$B,COUNTA(生物种群!$B:$B)),),))</f>
        <v/>
      </c>
      <c r="K224" s="37" t="str">
        <f>IF(A224&amp;B224&amp;C224="","",INDEX(生物种群!$E$2:INDEX(生物种群!$E:$E,COUNTA(生物种群!$E:$E)),MATCH($I224,生物种群!$B$2:INDEX(生物种群!$B:$B,COUNTA(生物种群!$B:$B)),),))</f>
        <v/>
      </c>
      <c r="L224" s="37" t="str">
        <f>IF(A224&amp;B224&amp;C224="","",INDEX(生物种群!$F$3:INDEX(生物种群!$F:$F,COUNTA(生物种群!$F:$F)),MATCH($I224,生物种群!$B$3:INDEX(生物种群!$B:$B,COUNTA(生物种群!$B:$B)),),))</f>
        <v/>
      </c>
      <c r="M224" s="37" t="str">
        <f t="shared" si="6"/>
        <v/>
      </c>
      <c r="N224" s="37" t="str">
        <f t="shared" si="7"/>
        <v/>
      </c>
      <c r="O224" s="9"/>
      <c r="P224" s="10"/>
    </row>
    <row r="225" spans="1:16" ht="20.1" customHeight="1">
      <c r="A225" s="9"/>
      <c r="B225" s="9"/>
      <c r="C225" s="9"/>
      <c r="D225" s="43"/>
      <c r="E225" s="9"/>
      <c r="F225" s="9"/>
      <c r="G225" s="47" t="str">
        <f>IF(F225="","",INDEX(站位样品信息!$B$3:INDEX(站位样品信息!$B:$B,COUNTA(站位样品信息!$B:$B)+1),MATCH($F225,站位样品信息!$A$3:INDEX(站位样品信息!$A:$A,COUNTA(站位样品信息!$A:$A)+1),),))</f>
        <v/>
      </c>
      <c r="H225" s="37" t="str">
        <f>IF(A225&amp;B225&amp;C225="","",INDEX(生物种群!$A$2:INDEX(生物种群!$A:$A,COUNTA(生物种群!$A:$A)),MATCH($I225,生物种群!$B$2:INDEX(生物种群!$B:$B,COUNTA(生物种群!$B:$B)),),))</f>
        <v/>
      </c>
      <c r="I225" s="37" t="str">
        <f>IF(A225&amp;B225&amp;C225="","",IF($C225&lt;&gt;0,INDEX(生物种群!$B$2:INDEX(生物种群!$B:$B,COUNTA(生物种群!$B:$B)),MATCH($C225,生物种群!$G$2:INDEX(生物种群!$G:$G,COUNTA(生物种群!$G:$G)),),),IF($A225&lt;&gt;0,INDEX(生物种群!$B$2:INDEX(生物种群!$B:$B,COUNTA(生物种群!$B:$B)),MATCH($A225,生物种群!$C$2:INDEX(生物种群!$C:$C,COUNTA(生物种群!$C:$C)),),),INDEX(生物种群!$B$2:INDEX(生物种群!$B:$B,COUNTA(生物种群!$B:$B)),MATCH($B225,生物种群!$D$2:INDEX(生物种群!$D:$D,COUNTA(生物种群!$D:$D)),),))))</f>
        <v/>
      </c>
      <c r="J225" s="37" t="str">
        <f>IF(A225&amp;B225&amp;C225="","",INDEX(生物种群!$J$2:INDEX(生物种群!$J:$J,COUNTA(生物种群!$J:$J)),MATCH($I225,生物种群!$B$2:INDEX(生物种群!$B:$B,COUNTA(生物种群!$B:$B)),),))</f>
        <v/>
      </c>
      <c r="K225" s="37" t="str">
        <f>IF(A225&amp;B225&amp;C225="","",INDEX(生物种群!$E$2:INDEX(生物种群!$E:$E,COUNTA(生物种群!$E:$E)),MATCH($I225,生物种群!$B$2:INDEX(生物种群!$B:$B,COUNTA(生物种群!$B:$B)),),))</f>
        <v/>
      </c>
      <c r="L225" s="37" t="str">
        <f>IF(A225&amp;B225&amp;C225="","",INDEX(生物种群!$F$3:INDEX(生物种群!$F:$F,COUNTA(生物种群!$F:$F)),MATCH($I225,生物种群!$B$3:INDEX(生物种群!$B:$B,COUNTA(生物种群!$B:$B)),),))</f>
        <v/>
      </c>
      <c r="M225" s="37" t="str">
        <f t="shared" si="6"/>
        <v/>
      </c>
      <c r="N225" s="37" t="str">
        <f t="shared" si="7"/>
        <v/>
      </c>
      <c r="O225" s="9"/>
      <c r="P225" s="10"/>
    </row>
    <row r="226" spans="1:16" ht="20.1" customHeight="1">
      <c r="A226" s="9"/>
      <c r="B226" s="9"/>
      <c r="C226" s="9"/>
      <c r="D226" s="43"/>
      <c r="E226" s="9"/>
      <c r="F226" s="9"/>
      <c r="G226" s="47" t="str">
        <f>IF(F226="","",INDEX(站位样品信息!$B$3:INDEX(站位样品信息!$B:$B,COUNTA(站位样品信息!$B:$B)+1),MATCH($F226,站位样品信息!$A$3:INDEX(站位样品信息!$A:$A,COUNTA(站位样品信息!$A:$A)+1),),))</f>
        <v/>
      </c>
      <c r="H226" s="37" t="str">
        <f>IF(A226&amp;B226&amp;C226="","",INDEX(生物种群!$A$2:INDEX(生物种群!$A:$A,COUNTA(生物种群!$A:$A)),MATCH($I226,生物种群!$B$2:INDEX(生物种群!$B:$B,COUNTA(生物种群!$B:$B)),),))</f>
        <v/>
      </c>
      <c r="I226" s="37" t="str">
        <f>IF(A226&amp;B226&amp;C226="","",IF($C226&lt;&gt;0,INDEX(生物种群!$B$2:INDEX(生物种群!$B:$B,COUNTA(生物种群!$B:$B)),MATCH($C226,生物种群!$G$2:INDEX(生物种群!$G:$G,COUNTA(生物种群!$G:$G)),),),IF($A226&lt;&gt;0,INDEX(生物种群!$B$2:INDEX(生物种群!$B:$B,COUNTA(生物种群!$B:$B)),MATCH($A226,生物种群!$C$2:INDEX(生物种群!$C:$C,COUNTA(生物种群!$C:$C)),),),INDEX(生物种群!$B$2:INDEX(生物种群!$B:$B,COUNTA(生物种群!$B:$B)),MATCH($B226,生物种群!$D$2:INDEX(生物种群!$D:$D,COUNTA(生物种群!$D:$D)),),))))</f>
        <v/>
      </c>
      <c r="J226" s="37" t="str">
        <f>IF(A226&amp;B226&amp;C226="","",INDEX(生物种群!$J$2:INDEX(生物种群!$J:$J,COUNTA(生物种群!$J:$J)),MATCH($I226,生物种群!$B$2:INDEX(生物种群!$B:$B,COUNTA(生物种群!$B:$B)),),))</f>
        <v/>
      </c>
      <c r="K226" s="37" t="str">
        <f>IF(A226&amp;B226&amp;C226="","",INDEX(生物种群!$E$2:INDEX(生物种群!$E:$E,COUNTA(生物种群!$E:$E)),MATCH($I226,生物种群!$B$2:INDEX(生物种群!$B:$B,COUNTA(生物种群!$B:$B)),),))</f>
        <v/>
      </c>
      <c r="L226" s="37" t="str">
        <f>IF(A226&amp;B226&amp;C226="","",INDEX(生物种群!$F$3:INDEX(生物种群!$F:$F,COUNTA(生物种群!$F:$F)),MATCH($I226,生物种群!$B$3:INDEX(生物种群!$B:$B,COUNTA(生物种群!$B:$B)),),))</f>
        <v/>
      </c>
      <c r="M226" s="37" t="str">
        <f t="shared" si="6"/>
        <v/>
      </c>
      <c r="N226" s="37" t="str">
        <f t="shared" si="7"/>
        <v/>
      </c>
      <c r="O226" s="9"/>
      <c r="P226" s="10"/>
    </row>
    <row r="227" spans="1:16" ht="20.1" customHeight="1">
      <c r="A227" s="9"/>
      <c r="B227" s="9"/>
      <c r="C227" s="9"/>
      <c r="D227" s="43"/>
      <c r="E227" s="9"/>
      <c r="F227" s="9"/>
      <c r="G227" s="47" t="str">
        <f>IF(F227="","",INDEX(站位样品信息!$B$3:INDEX(站位样品信息!$B:$B,COUNTA(站位样品信息!$B:$B)+1),MATCH($F227,站位样品信息!$A$3:INDEX(站位样品信息!$A:$A,COUNTA(站位样品信息!$A:$A)+1),),))</f>
        <v/>
      </c>
      <c r="H227" s="37" t="str">
        <f>IF(A227&amp;B227&amp;C227="","",INDEX(生物种群!$A$2:INDEX(生物种群!$A:$A,COUNTA(生物种群!$A:$A)),MATCH($I227,生物种群!$B$2:INDEX(生物种群!$B:$B,COUNTA(生物种群!$B:$B)),),))</f>
        <v/>
      </c>
      <c r="I227" s="37" t="str">
        <f>IF(A227&amp;B227&amp;C227="","",IF($C227&lt;&gt;0,INDEX(生物种群!$B$2:INDEX(生物种群!$B:$B,COUNTA(生物种群!$B:$B)),MATCH($C227,生物种群!$G$2:INDEX(生物种群!$G:$G,COUNTA(生物种群!$G:$G)),),),IF($A227&lt;&gt;0,INDEX(生物种群!$B$2:INDEX(生物种群!$B:$B,COUNTA(生物种群!$B:$B)),MATCH($A227,生物种群!$C$2:INDEX(生物种群!$C:$C,COUNTA(生物种群!$C:$C)),),),INDEX(生物种群!$B$2:INDEX(生物种群!$B:$B,COUNTA(生物种群!$B:$B)),MATCH($B227,生物种群!$D$2:INDEX(生物种群!$D:$D,COUNTA(生物种群!$D:$D)),),))))</f>
        <v/>
      </c>
      <c r="J227" s="37" t="str">
        <f>IF(A227&amp;B227&amp;C227="","",INDEX(生物种群!$J$2:INDEX(生物种群!$J:$J,COUNTA(生物种群!$J:$J)),MATCH($I227,生物种群!$B$2:INDEX(生物种群!$B:$B,COUNTA(生物种群!$B:$B)),),))</f>
        <v/>
      </c>
      <c r="K227" s="37" t="str">
        <f>IF(A227&amp;B227&amp;C227="","",INDEX(生物种群!$E$2:INDEX(生物种群!$E:$E,COUNTA(生物种群!$E:$E)),MATCH($I227,生物种群!$B$2:INDEX(生物种群!$B:$B,COUNTA(生物种群!$B:$B)),),))</f>
        <v/>
      </c>
      <c r="L227" s="37" t="str">
        <f>IF(A227&amp;B227&amp;C227="","",INDEX(生物种群!$F$3:INDEX(生物种群!$F:$F,COUNTA(生物种群!$F:$F)),MATCH($I227,生物种群!$B$3:INDEX(生物种群!$B:$B,COUNTA(生物种群!$B:$B)),),))</f>
        <v/>
      </c>
      <c r="M227" s="37" t="str">
        <f t="shared" si="6"/>
        <v/>
      </c>
      <c r="N227" s="37" t="str">
        <f t="shared" si="7"/>
        <v/>
      </c>
      <c r="O227" s="9"/>
      <c r="P227" s="10"/>
    </row>
    <row r="228" spans="1:16" ht="20.1" customHeight="1">
      <c r="A228" s="9"/>
      <c r="B228" s="9"/>
      <c r="C228" s="9"/>
      <c r="D228" s="43"/>
      <c r="E228" s="9"/>
      <c r="F228" s="9"/>
      <c r="G228" s="47" t="str">
        <f>IF(F228="","",INDEX(站位样品信息!$B$3:INDEX(站位样品信息!$B:$B,COUNTA(站位样品信息!$B:$B)+1),MATCH($F228,站位样品信息!$A$3:INDEX(站位样品信息!$A:$A,COUNTA(站位样品信息!$A:$A)+1),),))</f>
        <v/>
      </c>
      <c r="H228" s="37" t="str">
        <f>IF(A228&amp;B228&amp;C228="","",INDEX(生物种群!$A$2:INDEX(生物种群!$A:$A,COUNTA(生物种群!$A:$A)),MATCH($I228,生物种群!$B$2:INDEX(生物种群!$B:$B,COUNTA(生物种群!$B:$B)),),))</f>
        <v/>
      </c>
      <c r="I228" s="37" t="str">
        <f>IF(A228&amp;B228&amp;C228="","",IF($C228&lt;&gt;0,INDEX(生物种群!$B$2:INDEX(生物种群!$B:$B,COUNTA(生物种群!$B:$B)),MATCH($C228,生物种群!$G$2:INDEX(生物种群!$G:$G,COUNTA(生物种群!$G:$G)),),),IF($A228&lt;&gt;0,INDEX(生物种群!$B$2:INDEX(生物种群!$B:$B,COUNTA(生物种群!$B:$B)),MATCH($A228,生物种群!$C$2:INDEX(生物种群!$C:$C,COUNTA(生物种群!$C:$C)),),),INDEX(生物种群!$B$2:INDEX(生物种群!$B:$B,COUNTA(生物种群!$B:$B)),MATCH($B228,生物种群!$D$2:INDEX(生物种群!$D:$D,COUNTA(生物种群!$D:$D)),),))))</f>
        <v/>
      </c>
      <c r="J228" s="37" t="str">
        <f>IF(A228&amp;B228&amp;C228="","",INDEX(生物种群!$J$2:INDEX(生物种群!$J:$J,COUNTA(生物种群!$J:$J)),MATCH($I228,生物种群!$B$2:INDEX(生物种群!$B:$B,COUNTA(生物种群!$B:$B)),),))</f>
        <v/>
      </c>
      <c r="K228" s="37" t="str">
        <f>IF(A228&amp;B228&amp;C228="","",INDEX(生物种群!$E$2:INDEX(生物种群!$E:$E,COUNTA(生物种群!$E:$E)),MATCH($I228,生物种群!$B$2:INDEX(生物种群!$B:$B,COUNTA(生物种群!$B:$B)),),))</f>
        <v/>
      </c>
      <c r="L228" s="37" t="str">
        <f>IF(A228&amp;B228&amp;C228="","",INDEX(生物种群!$F$3:INDEX(生物种群!$F:$F,COUNTA(生物种群!$F:$F)),MATCH($I228,生物种群!$B$3:INDEX(生物种群!$B:$B,COUNTA(生物种群!$B:$B)),),))</f>
        <v/>
      </c>
      <c r="M228" s="37" t="str">
        <f t="shared" si="6"/>
        <v/>
      </c>
      <c r="N228" s="37" t="str">
        <f t="shared" si="7"/>
        <v/>
      </c>
      <c r="O228" s="9"/>
      <c r="P228" s="10"/>
    </row>
    <row r="229" spans="1:16" ht="20.1" customHeight="1">
      <c r="A229" s="9"/>
      <c r="B229" s="9"/>
      <c r="C229" s="9"/>
      <c r="D229" s="43"/>
      <c r="E229" s="9"/>
      <c r="F229" s="9"/>
      <c r="G229" s="47" t="str">
        <f>IF(F229="","",INDEX(站位样品信息!$B$3:INDEX(站位样品信息!$B:$B,COUNTA(站位样品信息!$B:$B)+1),MATCH($F229,站位样品信息!$A$3:INDEX(站位样品信息!$A:$A,COUNTA(站位样品信息!$A:$A)+1),),))</f>
        <v/>
      </c>
      <c r="H229" s="37" t="str">
        <f>IF(A229&amp;B229&amp;C229="","",INDEX(生物种群!$A$2:INDEX(生物种群!$A:$A,COUNTA(生物种群!$A:$A)),MATCH($I229,生物种群!$B$2:INDEX(生物种群!$B:$B,COUNTA(生物种群!$B:$B)),),))</f>
        <v/>
      </c>
      <c r="I229" s="37" t="str">
        <f>IF(A229&amp;B229&amp;C229="","",IF($C229&lt;&gt;0,INDEX(生物种群!$B$2:INDEX(生物种群!$B:$B,COUNTA(生物种群!$B:$B)),MATCH($C229,生物种群!$G$2:INDEX(生物种群!$G:$G,COUNTA(生物种群!$G:$G)),),),IF($A229&lt;&gt;0,INDEX(生物种群!$B$2:INDEX(生物种群!$B:$B,COUNTA(生物种群!$B:$B)),MATCH($A229,生物种群!$C$2:INDEX(生物种群!$C:$C,COUNTA(生物种群!$C:$C)),),),INDEX(生物种群!$B$2:INDEX(生物种群!$B:$B,COUNTA(生物种群!$B:$B)),MATCH($B229,生物种群!$D$2:INDEX(生物种群!$D:$D,COUNTA(生物种群!$D:$D)),),))))</f>
        <v/>
      </c>
      <c r="J229" s="37" t="str">
        <f>IF(A229&amp;B229&amp;C229="","",INDEX(生物种群!$J$2:INDEX(生物种群!$J:$J,COUNTA(生物种群!$J:$J)),MATCH($I229,生物种群!$B$2:INDEX(生物种群!$B:$B,COUNTA(生物种群!$B:$B)),),))</f>
        <v/>
      </c>
      <c r="K229" s="37" t="str">
        <f>IF(A229&amp;B229&amp;C229="","",INDEX(生物种群!$E$2:INDEX(生物种群!$E:$E,COUNTA(生物种群!$E:$E)),MATCH($I229,生物种群!$B$2:INDEX(生物种群!$B:$B,COUNTA(生物种群!$B:$B)),),))</f>
        <v/>
      </c>
      <c r="L229" s="37" t="str">
        <f>IF(A229&amp;B229&amp;C229="","",INDEX(生物种群!$F$3:INDEX(生物种群!$F:$F,COUNTA(生物种群!$F:$F)),MATCH($I229,生物种群!$B$3:INDEX(生物种群!$B:$B,COUNTA(生物种群!$B:$B)),),))</f>
        <v/>
      </c>
      <c r="M229" s="37" t="str">
        <f t="shared" si="6"/>
        <v/>
      </c>
      <c r="N229" s="37" t="str">
        <f t="shared" si="7"/>
        <v/>
      </c>
      <c r="O229" s="9"/>
      <c r="P229" s="10"/>
    </row>
    <row r="230" spans="1:16" ht="20.1" customHeight="1">
      <c r="A230" s="9"/>
      <c r="B230" s="9"/>
      <c r="C230" s="9"/>
      <c r="D230" s="43"/>
      <c r="E230" s="9"/>
      <c r="F230" s="9"/>
      <c r="G230" s="47" t="str">
        <f>IF(F230="","",INDEX(站位样品信息!$B$3:INDEX(站位样品信息!$B:$B,COUNTA(站位样品信息!$B:$B)+1),MATCH($F230,站位样品信息!$A$3:INDEX(站位样品信息!$A:$A,COUNTA(站位样品信息!$A:$A)+1),),))</f>
        <v/>
      </c>
      <c r="H230" s="37" t="str">
        <f>IF(A230&amp;B230&amp;C230="","",INDEX(生物种群!$A$2:INDEX(生物种群!$A:$A,COUNTA(生物种群!$A:$A)),MATCH($I230,生物种群!$B$2:INDEX(生物种群!$B:$B,COUNTA(生物种群!$B:$B)),),))</f>
        <v/>
      </c>
      <c r="I230" s="37" t="str">
        <f>IF(A230&amp;B230&amp;C230="","",IF($C230&lt;&gt;0,INDEX(生物种群!$B$2:INDEX(生物种群!$B:$B,COUNTA(生物种群!$B:$B)),MATCH($C230,生物种群!$G$2:INDEX(生物种群!$G:$G,COUNTA(生物种群!$G:$G)),),),IF($A230&lt;&gt;0,INDEX(生物种群!$B$2:INDEX(生物种群!$B:$B,COUNTA(生物种群!$B:$B)),MATCH($A230,生物种群!$C$2:INDEX(生物种群!$C:$C,COUNTA(生物种群!$C:$C)),),),INDEX(生物种群!$B$2:INDEX(生物种群!$B:$B,COUNTA(生物种群!$B:$B)),MATCH($B230,生物种群!$D$2:INDEX(生物种群!$D:$D,COUNTA(生物种群!$D:$D)),),))))</f>
        <v/>
      </c>
      <c r="J230" s="37" t="str">
        <f>IF(A230&amp;B230&amp;C230="","",INDEX(生物种群!$J$2:INDEX(生物种群!$J:$J,COUNTA(生物种群!$J:$J)),MATCH($I230,生物种群!$B$2:INDEX(生物种群!$B:$B,COUNTA(生物种群!$B:$B)),),))</f>
        <v/>
      </c>
      <c r="K230" s="37" t="str">
        <f>IF(A230&amp;B230&amp;C230="","",INDEX(生物种群!$E$2:INDEX(生物种群!$E:$E,COUNTA(生物种群!$E:$E)),MATCH($I230,生物种群!$B$2:INDEX(生物种群!$B:$B,COUNTA(生物种群!$B:$B)),),))</f>
        <v/>
      </c>
      <c r="L230" s="37" t="str">
        <f>IF(A230&amp;B230&amp;C230="","",INDEX(生物种群!$F$3:INDEX(生物种群!$F:$F,COUNTA(生物种群!$F:$F)),MATCH($I230,生物种群!$B$3:INDEX(生物种群!$B:$B,COUNTA(生物种群!$B:$B)),),))</f>
        <v/>
      </c>
      <c r="M230" s="37" t="str">
        <f t="shared" si="6"/>
        <v/>
      </c>
      <c r="N230" s="37" t="str">
        <f t="shared" si="7"/>
        <v/>
      </c>
      <c r="O230" s="9"/>
      <c r="P230" s="10"/>
    </row>
    <row r="231" spans="1:16" ht="20.1" customHeight="1">
      <c r="A231" s="9"/>
      <c r="B231" s="9"/>
      <c r="C231" s="9"/>
      <c r="D231" s="43"/>
      <c r="E231" s="9"/>
      <c r="F231" s="9"/>
      <c r="G231" s="47" t="str">
        <f>IF(F231="","",INDEX(站位样品信息!$B$3:INDEX(站位样品信息!$B:$B,COUNTA(站位样品信息!$B:$B)+1),MATCH($F231,站位样品信息!$A$3:INDEX(站位样品信息!$A:$A,COUNTA(站位样品信息!$A:$A)+1),),))</f>
        <v/>
      </c>
      <c r="H231" s="37" t="str">
        <f>IF(A231&amp;B231&amp;C231="","",INDEX(生物种群!$A$2:INDEX(生物种群!$A:$A,COUNTA(生物种群!$A:$A)),MATCH($I231,生物种群!$B$2:INDEX(生物种群!$B:$B,COUNTA(生物种群!$B:$B)),),))</f>
        <v/>
      </c>
      <c r="I231" s="37" t="str">
        <f>IF(A231&amp;B231&amp;C231="","",IF($C231&lt;&gt;0,INDEX(生物种群!$B$2:INDEX(生物种群!$B:$B,COUNTA(生物种群!$B:$B)),MATCH($C231,生物种群!$G$2:INDEX(生物种群!$G:$G,COUNTA(生物种群!$G:$G)),),),IF($A231&lt;&gt;0,INDEX(生物种群!$B$2:INDEX(生物种群!$B:$B,COUNTA(生物种群!$B:$B)),MATCH($A231,生物种群!$C$2:INDEX(生物种群!$C:$C,COUNTA(生物种群!$C:$C)),),),INDEX(生物种群!$B$2:INDEX(生物种群!$B:$B,COUNTA(生物种群!$B:$B)),MATCH($B231,生物种群!$D$2:INDEX(生物种群!$D:$D,COUNTA(生物种群!$D:$D)),),))))</f>
        <v/>
      </c>
      <c r="J231" s="37" t="str">
        <f>IF(A231&amp;B231&amp;C231="","",INDEX(生物种群!$J$2:INDEX(生物种群!$J:$J,COUNTA(生物种群!$J:$J)),MATCH($I231,生物种群!$B$2:INDEX(生物种群!$B:$B,COUNTA(生物种群!$B:$B)),),))</f>
        <v/>
      </c>
      <c r="K231" s="37" t="str">
        <f>IF(A231&amp;B231&amp;C231="","",INDEX(生物种群!$E$2:INDEX(生物种群!$E:$E,COUNTA(生物种群!$E:$E)),MATCH($I231,生物种群!$B$2:INDEX(生物种群!$B:$B,COUNTA(生物种群!$B:$B)),),))</f>
        <v/>
      </c>
      <c r="L231" s="37" t="str">
        <f>IF(A231&amp;B231&amp;C231="","",INDEX(生物种群!$F$3:INDEX(生物种群!$F:$F,COUNTA(生物种群!$F:$F)),MATCH($I231,生物种群!$B$3:INDEX(生物种群!$B:$B,COUNTA(生物种群!$B:$B)),),))</f>
        <v/>
      </c>
      <c r="M231" s="37" t="str">
        <f t="shared" si="6"/>
        <v/>
      </c>
      <c r="N231" s="37" t="str">
        <f t="shared" si="7"/>
        <v/>
      </c>
      <c r="O231" s="9"/>
      <c r="P231" s="10"/>
    </row>
    <row r="232" spans="1:16" ht="20.1" customHeight="1">
      <c r="A232" s="9"/>
      <c r="B232" s="9"/>
      <c r="C232" s="9"/>
      <c r="D232" s="43"/>
      <c r="E232" s="9"/>
      <c r="F232" s="9"/>
      <c r="G232" s="47" t="str">
        <f>IF(F232="","",INDEX(站位样品信息!$B$3:INDEX(站位样品信息!$B:$B,COUNTA(站位样品信息!$B:$B)+1),MATCH($F232,站位样品信息!$A$3:INDEX(站位样品信息!$A:$A,COUNTA(站位样品信息!$A:$A)+1),),))</f>
        <v/>
      </c>
      <c r="H232" s="37" t="str">
        <f>IF(A232&amp;B232&amp;C232="","",INDEX(生物种群!$A$2:INDEX(生物种群!$A:$A,COUNTA(生物种群!$A:$A)),MATCH($I232,生物种群!$B$2:INDEX(生物种群!$B:$B,COUNTA(生物种群!$B:$B)),),))</f>
        <v/>
      </c>
      <c r="I232" s="37" t="str">
        <f>IF(A232&amp;B232&amp;C232="","",IF($C232&lt;&gt;0,INDEX(生物种群!$B$2:INDEX(生物种群!$B:$B,COUNTA(生物种群!$B:$B)),MATCH($C232,生物种群!$G$2:INDEX(生物种群!$G:$G,COUNTA(生物种群!$G:$G)),),),IF($A232&lt;&gt;0,INDEX(生物种群!$B$2:INDEX(生物种群!$B:$B,COUNTA(生物种群!$B:$B)),MATCH($A232,生物种群!$C$2:INDEX(生物种群!$C:$C,COUNTA(生物种群!$C:$C)),),),INDEX(生物种群!$B$2:INDEX(生物种群!$B:$B,COUNTA(生物种群!$B:$B)),MATCH($B232,生物种群!$D$2:INDEX(生物种群!$D:$D,COUNTA(生物种群!$D:$D)),),))))</f>
        <v/>
      </c>
      <c r="J232" s="37" t="str">
        <f>IF(A232&amp;B232&amp;C232="","",INDEX(生物种群!$J$2:INDEX(生物种群!$J:$J,COUNTA(生物种群!$J:$J)),MATCH($I232,生物种群!$B$2:INDEX(生物种群!$B:$B,COUNTA(生物种群!$B:$B)),),))</f>
        <v/>
      </c>
      <c r="K232" s="37" t="str">
        <f>IF(A232&amp;B232&amp;C232="","",INDEX(生物种群!$E$2:INDEX(生物种群!$E:$E,COUNTA(生物种群!$E:$E)),MATCH($I232,生物种群!$B$2:INDEX(生物种群!$B:$B,COUNTA(生物种群!$B:$B)),),))</f>
        <v/>
      </c>
      <c r="L232" s="37" t="str">
        <f>IF(A232&amp;B232&amp;C232="","",INDEX(生物种群!$F$3:INDEX(生物种群!$F:$F,COUNTA(生物种群!$F:$F)),MATCH($I232,生物种群!$B$3:INDEX(生物种群!$B:$B,COUNTA(生物种群!$B:$B)),),))</f>
        <v/>
      </c>
      <c r="M232" s="37" t="str">
        <f t="shared" si="6"/>
        <v/>
      </c>
      <c r="N232" s="37" t="str">
        <f t="shared" si="7"/>
        <v/>
      </c>
      <c r="O232" s="9"/>
      <c r="P232" s="10"/>
    </row>
    <row r="233" spans="1:16" ht="20.1" customHeight="1">
      <c r="A233" s="9"/>
      <c r="B233" s="9"/>
      <c r="C233" s="9"/>
      <c r="D233" s="43"/>
      <c r="E233" s="9"/>
      <c r="F233" s="9"/>
      <c r="G233" s="47" t="str">
        <f>IF(F233="","",INDEX(站位样品信息!$B$3:INDEX(站位样品信息!$B:$B,COUNTA(站位样品信息!$B:$B)+1),MATCH($F233,站位样品信息!$A$3:INDEX(站位样品信息!$A:$A,COUNTA(站位样品信息!$A:$A)+1),),))</f>
        <v/>
      </c>
      <c r="H233" s="37" t="str">
        <f>IF(A233&amp;B233&amp;C233="","",INDEX(生物种群!$A$2:INDEX(生物种群!$A:$A,COUNTA(生物种群!$A:$A)),MATCH($I233,生物种群!$B$2:INDEX(生物种群!$B:$B,COUNTA(生物种群!$B:$B)),),))</f>
        <v/>
      </c>
      <c r="I233" s="37" t="str">
        <f>IF(A233&amp;B233&amp;C233="","",IF($C233&lt;&gt;0,INDEX(生物种群!$B$2:INDEX(生物种群!$B:$B,COUNTA(生物种群!$B:$B)),MATCH($C233,生物种群!$G$2:INDEX(生物种群!$G:$G,COUNTA(生物种群!$G:$G)),),),IF($A233&lt;&gt;0,INDEX(生物种群!$B$2:INDEX(生物种群!$B:$B,COUNTA(生物种群!$B:$B)),MATCH($A233,生物种群!$C$2:INDEX(生物种群!$C:$C,COUNTA(生物种群!$C:$C)),),),INDEX(生物种群!$B$2:INDEX(生物种群!$B:$B,COUNTA(生物种群!$B:$B)),MATCH($B233,生物种群!$D$2:INDEX(生物种群!$D:$D,COUNTA(生物种群!$D:$D)),),))))</f>
        <v/>
      </c>
      <c r="J233" s="37" t="str">
        <f>IF(A233&amp;B233&amp;C233="","",INDEX(生物种群!$J$2:INDEX(生物种群!$J:$J,COUNTA(生物种群!$J:$J)),MATCH($I233,生物种群!$B$2:INDEX(生物种群!$B:$B,COUNTA(生物种群!$B:$B)),),))</f>
        <v/>
      </c>
      <c r="K233" s="37" t="str">
        <f>IF(A233&amp;B233&amp;C233="","",INDEX(生物种群!$E$2:INDEX(生物种群!$E:$E,COUNTA(生物种群!$E:$E)),MATCH($I233,生物种群!$B$2:INDEX(生物种群!$B:$B,COUNTA(生物种群!$B:$B)),),))</f>
        <v/>
      </c>
      <c r="L233" s="37" t="str">
        <f>IF(A233&amp;B233&amp;C233="","",INDEX(生物种群!$F$3:INDEX(生物种群!$F:$F,COUNTA(生物种群!$F:$F)),MATCH($I233,生物种群!$B$3:INDEX(生物种群!$B:$B,COUNTA(生物种群!$B:$B)),),))</f>
        <v/>
      </c>
      <c r="M233" s="37" t="str">
        <f t="shared" si="6"/>
        <v/>
      </c>
      <c r="N233" s="37" t="str">
        <f t="shared" si="7"/>
        <v/>
      </c>
      <c r="O233" s="9"/>
      <c r="P233" s="10"/>
    </row>
    <row r="234" spans="1:16" ht="20.1" customHeight="1">
      <c r="A234" s="9"/>
      <c r="B234" s="9"/>
      <c r="C234" s="9"/>
      <c r="D234" s="43"/>
      <c r="E234" s="9"/>
      <c r="F234" s="9"/>
      <c r="G234" s="47" t="str">
        <f>IF(F234="","",INDEX(站位样品信息!$B$3:INDEX(站位样品信息!$B:$B,COUNTA(站位样品信息!$B:$B)+1),MATCH($F234,站位样品信息!$A$3:INDEX(站位样品信息!$A:$A,COUNTA(站位样品信息!$A:$A)+1),),))</f>
        <v/>
      </c>
      <c r="H234" s="37" t="str">
        <f>IF(A234&amp;B234&amp;C234="","",INDEX(生物种群!$A$2:INDEX(生物种群!$A:$A,COUNTA(生物种群!$A:$A)),MATCH($I234,生物种群!$B$2:INDEX(生物种群!$B:$B,COUNTA(生物种群!$B:$B)),),))</f>
        <v/>
      </c>
      <c r="I234" s="37" t="str">
        <f>IF(A234&amp;B234&amp;C234="","",IF($C234&lt;&gt;0,INDEX(生物种群!$B$2:INDEX(生物种群!$B:$B,COUNTA(生物种群!$B:$B)),MATCH($C234,生物种群!$G$2:INDEX(生物种群!$G:$G,COUNTA(生物种群!$G:$G)),),),IF($A234&lt;&gt;0,INDEX(生物种群!$B$2:INDEX(生物种群!$B:$B,COUNTA(生物种群!$B:$B)),MATCH($A234,生物种群!$C$2:INDEX(生物种群!$C:$C,COUNTA(生物种群!$C:$C)),),),INDEX(生物种群!$B$2:INDEX(生物种群!$B:$B,COUNTA(生物种群!$B:$B)),MATCH($B234,生物种群!$D$2:INDEX(生物种群!$D:$D,COUNTA(生物种群!$D:$D)),),))))</f>
        <v/>
      </c>
      <c r="J234" s="37" t="str">
        <f>IF(A234&amp;B234&amp;C234="","",INDEX(生物种群!$J$2:INDEX(生物种群!$J:$J,COUNTA(生物种群!$J:$J)),MATCH($I234,生物种群!$B$2:INDEX(生物种群!$B:$B,COUNTA(生物种群!$B:$B)),),))</f>
        <v/>
      </c>
      <c r="K234" s="37" t="str">
        <f>IF(A234&amp;B234&amp;C234="","",INDEX(生物种群!$E$2:INDEX(生物种群!$E:$E,COUNTA(生物种群!$E:$E)),MATCH($I234,生物种群!$B$2:INDEX(生物种群!$B:$B,COUNTA(生物种群!$B:$B)),),))</f>
        <v/>
      </c>
      <c r="L234" s="37" t="str">
        <f>IF(A234&amp;B234&amp;C234="","",INDEX(生物种群!$F$3:INDEX(生物种群!$F:$F,COUNTA(生物种群!$F:$F)),MATCH($I234,生物种群!$B$3:INDEX(生物种群!$B:$B,COUNTA(生物种群!$B:$B)),),))</f>
        <v/>
      </c>
      <c r="M234" s="37" t="str">
        <f t="shared" si="6"/>
        <v/>
      </c>
      <c r="N234" s="37" t="str">
        <f t="shared" si="7"/>
        <v/>
      </c>
      <c r="O234" s="9"/>
      <c r="P234" s="10"/>
    </row>
    <row r="235" spans="1:16" ht="20.1" customHeight="1">
      <c r="A235" s="9"/>
      <c r="B235" s="9"/>
      <c r="C235" s="9"/>
      <c r="D235" s="43"/>
      <c r="E235" s="9"/>
      <c r="F235" s="9"/>
      <c r="G235" s="47" t="str">
        <f>IF(F235="","",INDEX(站位样品信息!$B$3:INDEX(站位样品信息!$B:$B,COUNTA(站位样品信息!$B:$B)+1),MATCH($F235,站位样品信息!$A$3:INDEX(站位样品信息!$A:$A,COUNTA(站位样品信息!$A:$A)+1),),))</f>
        <v/>
      </c>
      <c r="H235" s="37" t="str">
        <f>IF(A235&amp;B235&amp;C235="","",INDEX(生物种群!$A$2:INDEX(生物种群!$A:$A,COUNTA(生物种群!$A:$A)),MATCH($I235,生物种群!$B$2:INDEX(生物种群!$B:$B,COUNTA(生物种群!$B:$B)),),))</f>
        <v/>
      </c>
      <c r="I235" s="37" t="str">
        <f>IF(A235&amp;B235&amp;C235="","",IF($C235&lt;&gt;0,INDEX(生物种群!$B$2:INDEX(生物种群!$B:$B,COUNTA(生物种群!$B:$B)),MATCH($C235,生物种群!$G$2:INDEX(生物种群!$G:$G,COUNTA(生物种群!$G:$G)),),),IF($A235&lt;&gt;0,INDEX(生物种群!$B$2:INDEX(生物种群!$B:$B,COUNTA(生物种群!$B:$B)),MATCH($A235,生物种群!$C$2:INDEX(生物种群!$C:$C,COUNTA(生物种群!$C:$C)),),),INDEX(生物种群!$B$2:INDEX(生物种群!$B:$B,COUNTA(生物种群!$B:$B)),MATCH($B235,生物种群!$D$2:INDEX(生物种群!$D:$D,COUNTA(生物种群!$D:$D)),),))))</f>
        <v/>
      </c>
      <c r="J235" s="37" t="str">
        <f>IF(A235&amp;B235&amp;C235="","",INDEX(生物种群!$J$2:INDEX(生物种群!$J:$J,COUNTA(生物种群!$J:$J)),MATCH($I235,生物种群!$B$2:INDEX(生物种群!$B:$B,COUNTA(生物种群!$B:$B)),),))</f>
        <v/>
      </c>
      <c r="K235" s="37" t="str">
        <f>IF(A235&amp;B235&amp;C235="","",INDEX(生物种群!$E$2:INDEX(生物种群!$E:$E,COUNTA(生物种群!$E:$E)),MATCH($I235,生物种群!$B$2:INDEX(生物种群!$B:$B,COUNTA(生物种群!$B:$B)),),))</f>
        <v/>
      </c>
      <c r="L235" s="37" t="str">
        <f>IF(A235&amp;B235&amp;C235="","",INDEX(生物种群!$F$3:INDEX(生物种群!$F:$F,COUNTA(生物种群!$F:$F)),MATCH($I235,生物种群!$B$3:INDEX(生物种群!$B:$B,COUNTA(生物种群!$B:$B)),),))</f>
        <v/>
      </c>
      <c r="M235" s="37" t="str">
        <f t="shared" si="6"/>
        <v/>
      </c>
      <c r="N235" s="37" t="str">
        <f t="shared" si="7"/>
        <v/>
      </c>
      <c r="O235" s="9"/>
      <c r="P235" s="10"/>
    </row>
    <row r="236" spans="1:16" ht="20.1" customHeight="1">
      <c r="A236" s="9"/>
      <c r="B236" s="9"/>
      <c r="C236" s="9"/>
      <c r="D236" s="43"/>
      <c r="E236" s="9"/>
      <c r="F236" s="9"/>
      <c r="G236" s="47" t="str">
        <f>IF(F236="","",INDEX(站位样品信息!$B$3:INDEX(站位样品信息!$B:$B,COUNTA(站位样品信息!$B:$B)+1),MATCH($F236,站位样品信息!$A$3:INDEX(站位样品信息!$A:$A,COUNTA(站位样品信息!$A:$A)+1),),))</f>
        <v/>
      </c>
      <c r="H236" s="37" t="str">
        <f>IF(A236&amp;B236&amp;C236="","",INDEX(生物种群!$A$2:INDEX(生物种群!$A:$A,COUNTA(生物种群!$A:$A)),MATCH($I236,生物种群!$B$2:INDEX(生物种群!$B:$B,COUNTA(生物种群!$B:$B)),),))</f>
        <v/>
      </c>
      <c r="I236" s="37" t="str">
        <f>IF(A236&amp;B236&amp;C236="","",IF($C236&lt;&gt;0,INDEX(生物种群!$B$2:INDEX(生物种群!$B:$B,COUNTA(生物种群!$B:$B)),MATCH($C236,生物种群!$G$2:INDEX(生物种群!$G:$G,COUNTA(生物种群!$G:$G)),),),IF($A236&lt;&gt;0,INDEX(生物种群!$B$2:INDEX(生物种群!$B:$B,COUNTA(生物种群!$B:$B)),MATCH($A236,生物种群!$C$2:INDEX(生物种群!$C:$C,COUNTA(生物种群!$C:$C)),),),INDEX(生物种群!$B$2:INDEX(生物种群!$B:$B,COUNTA(生物种群!$B:$B)),MATCH($B236,生物种群!$D$2:INDEX(生物种群!$D:$D,COUNTA(生物种群!$D:$D)),),))))</f>
        <v/>
      </c>
      <c r="J236" s="37" t="str">
        <f>IF(A236&amp;B236&amp;C236="","",INDEX(生物种群!$J$2:INDEX(生物种群!$J:$J,COUNTA(生物种群!$J:$J)),MATCH($I236,生物种群!$B$2:INDEX(生物种群!$B:$B,COUNTA(生物种群!$B:$B)),),))</f>
        <v/>
      </c>
      <c r="K236" s="37" t="str">
        <f>IF(A236&amp;B236&amp;C236="","",INDEX(生物种群!$E$2:INDEX(生物种群!$E:$E,COUNTA(生物种群!$E:$E)),MATCH($I236,生物种群!$B$2:INDEX(生物种群!$B:$B,COUNTA(生物种群!$B:$B)),),))</f>
        <v/>
      </c>
      <c r="L236" s="37" t="str">
        <f>IF(A236&amp;B236&amp;C236="","",INDEX(生物种群!$F$3:INDEX(生物种群!$F:$F,COUNTA(生物种群!$F:$F)),MATCH($I236,生物种群!$B$3:INDEX(生物种群!$B:$B,COUNTA(生物种群!$B:$B)),),))</f>
        <v/>
      </c>
      <c r="M236" s="37" t="str">
        <f t="shared" si="6"/>
        <v/>
      </c>
      <c r="N236" s="37" t="str">
        <f t="shared" si="7"/>
        <v/>
      </c>
      <c r="O236" s="9"/>
      <c r="P236" s="10"/>
    </row>
    <row r="237" spans="1:16" ht="20.1" customHeight="1">
      <c r="A237" s="9"/>
      <c r="B237" s="9"/>
      <c r="C237" s="9"/>
      <c r="D237" s="43"/>
      <c r="E237" s="9"/>
      <c r="F237" s="9"/>
      <c r="G237" s="47" t="str">
        <f>IF(F237="","",INDEX(站位样品信息!$B$3:INDEX(站位样品信息!$B:$B,COUNTA(站位样品信息!$B:$B)+1),MATCH($F237,站位样品信息!$A$3:INDEX(站位样品信息!$A:$A,COUNTA(站位样品信息!$A:$A)+1),),))</f>
        <v/>
      </c>
      <c r="H237" s="37" t="str">
        <f>IF(A237&amp;B237&amp;C237="","",INDEX(生物种群!$A$2:INDEX(生物种群!$A:$A,COUNTA(生物种群!$A:$A)),MATCH($I237,生物种群!$B$2:INDEX(生物种群!$B:$B,COUNTA(生物种群!$B:$B)),),))</f>
        <v/>
      </c>
      <c r="I237" s="37" t="str">
        <f>IF(A237&amp;B237&amp;C237="","",IF($C237&lt;&gt;0,INDEX(生物种群!$B$2:INDEX(生物种群!$B:$B,COUNTA(生物种群!$B:$B)),MATCH($C237,生物种群!$G$2:INDEX(生物种群!$G:$G,COUNTA(生物种群!$G:$G)),),),IF($A237&lt;&gt;0,INDEX(生物种群!$B$2:INDEX(生物种群!$B:$B,COUNTA(生物种群!$B:$B)),MATCH($A237,生物种群!$C$2:INDEX(生物种群!$C:$C,COUNTA(生物种群!$C:$C)),),),INDEX(生物种群!$B$2:INDEX(生物种群!$B:$B,COUNTA(生物种群!$B:$B)),MATCH($B237,生物种群!$D$2:INDEX(生物种群!$D:$D,COUNTA(生物种群!$D:$D)),),))))</f>
        <v/>
      </c>
      <c r="J237" s="37" t="str">
        <f>IF(A237&amp;B237&amp;C237="","",INDEX(生物种群!$J$2:INDEX(生物种群!$J:$J,COUNTA(生物种群!$J:$J)),MATCH($I237,生物种群!$B$2:INDEX(生物种群!$B:$B,COUNTA(生物种群!$B:$B)),),))</f>
        <v/>
      </c>
      <c r="K237" s="37" t="str">
        <f>IF(A237&amp;B237&amp;C237="","",INDEX(生物种群!$E$2:INDEX(生物种群!$E:$E,COUNTA(生物种群!$E:$E)),MATCH($I237,生物种群!$B$2:INDEX(生物种群!$B:$B,COUNTA(生物种群!$B:$B)),),))</f>
        <v/>
      </c>
      <c r="L237" s="37" t="str">
        <f>IF(A237&amp;B237&amp;C237="","",INDEX(生物种群!$F$3:INDEX(生物种群!$F:$F,COUNTA(生物种群!$F:$F)),MATCH($I237,生物种群!$B$3:INDEX(生物种群!$B:$B,COUNTA(生物种群!$B:$B)),),))</f>
        <v/>
      </c>
      <c r="M237" s="37" t="str">
        <f t="shared" si="6"/>
        <v/>
      </c>
      <c r="N237" s="37" t="str">
        <f t="shared" si="7"/>
        <v/>
      </c>
      <c r="O237" s="9"/>
      <c r="P237" s="10"/>
    </row>
    <row r="238" spans="1:16" ht="20.1" customHeight="1">
      <c r="A238" s="9"/>
      <c r="B238" s="9"/>
      <c r="C238" s="9"/>
      <c r="D238" s="43"/>
      <c r="E238" s="9"/>
      <c r="F238" s="9"/>
      <c r="G238" s="47" t="str">
        <f>IF(F238="","",INDEX(站位样品信息!$B$3:INDEX(站位样品信息!$B:$B,COUNTA(站位样品信息!$B:$B)+1),MATCH($F238,站位样品信息!$A$3:INDEX(站位样品信息!$A:$A,COUNTA(站位样品信息!$A:$A)+1),),))</f>
        <v/>
      </c>
      <c r="H238" s="37" t="str">
        <f>IF(A238&amp;B238&amp;C238="","",INDEX(生物种群!$A$2:INDEX(生物种群!$A:$A,COUNTA(生物种群!$A:$A)),MATCH($I238,生物种群!$B$2:INDEX(生物种群!$B:$B,COUNTA(生物种群!$B:$B)),),))</f>
        <v/>
      </c>
      <c r="I238" s="37" t="str">
        <f>IF(A238&amp;B238&amp;C238="","",IF($C238&lt;&gt;0,INDEX(生物种群!$B$2:INDEX(生物种群!$B:$B,COUNTA(生物种群!$B:$B)),MATCH($C238,生物种群!$G$2:INDEX(生物种群!$G:$G,COUNTA(生物种群!$G:$G)),),),IF($A238&lt;&gt;0,INDEX(生物种群!$B$2:INDEX(生物种群!$B:$B,COUNTA(生物种群!$B:$B)),MATCH($A238,生物种群!$C$2:INDEX(生物种群!$C:$C,COUNTA(生物种群!$C:$C)),),),INDEX(生物种群!$B$2:INDEX(生物种群!$B:$B,COUNTA(生物种群!$B:$B)),MATCH($B238,生物种群!$D$2:INDEX(生物种群!$D:$D,COUNTA(生物种群!$D:$D)),),))))</f>
        <v/>
      </c>
      <c r="J238" s="37" t="str">
        <f>IF(A238&amp;B238&amp;C238="","",INDEX(生物种群!$J$2:INDEX(生物种群!$J:$J,COUNTA(生物种群!$J:$J)),MATCH($I238,生物种群!$B$2:INDEX(生物种群!$B:$B,COUNTA(生物种群!$B:$B)),),))</f>
        <v/>
      </c>
      <c r="K238" s="37" t="str">
        <f>IF(A238&amp;B238&amp;C238="","",INDEX(生物种群!$E$2:INDEX(生物种群!$E:$E,COUNTA(生物种群!$E:$E)),MATCH($I238,生物种群!$B$2:INDEX(生物种群!$B:$B,COUNTA(生物种群!$B:$B)),),))</f>
        <v/>
      </c>
      <c r="L238" s="37" t="str">
        <f>IF(A238&amp;B238&amp;C238="","",INDEX(生物种群!$F$3:INDEX(生物种群!$F:$F,COUNTA(生物种群!$F:$F)),MATCH($I238,生物种群!$B$3:INDEX(生物种群!$B:$B,COUNTA(生物种群!$B:$B)),),))</f>
        <v/>
      </c>
      <c r="M238" s="37" t="str">
        <f t="shared" si="6"/>
        <v/>
      </c>
      <c r="N238" s="37" t="str">
        <f t="shared" si="7"/>
        <v/>
      </c>
      <c r="O238" s="9"/>
      <c r="P238" s="10"/>
    </row>
    <row r="239" spans="1:16" ht="20.1" customHeight="1">
      <c r="A239" s="9"/>
      <c r="B239" s="9"/>
      <c r="C239" s="9"/>
      <c r="D239" s="43"/>
      <c r="E239" s="9"/>
      <c r="F239" s="9"/>
      <c r="G239" s="47" t="str">
        <f>IF(F239="","",INDEX(站位样品信息!$B$3:INDEX(站位样品信息!$B:$B,COUNTA(站位样品信息!$B:$B)+1),MATCH($F239,站位样品信息!$A$3:INDEX(站位样品信息!$A:$A,COUNTA(站位样品信息!$A:$A)+1),),))</f>
        <v/>
      </c>
      <c r="H239" s="37" t="str">
        <f>IF(A239&amp;B239&amp;C239="","",INDEX(生物种群!$A$2:INDEX(生物种群!$A:$A,COUNTA(生物种群!$A:$A)),MATCH($I239,生物种群!$B$2:INDEX(生物种群!$B:$B,COUNTA(生物种群!$B:$B)),),))</f>
        <v/>
      </c>
      <c r="I239" s="37" t="str">
        <f>IF(A239&amp;B239&amp;C239="","",IF($C239&lt;&gt;0,INDEX(生物种群!$B$2:INDEX(生物种群!$B:$B,COUNTA(生物种群!$B:$B)),MATCH($C239,生物种群!$G$2:INDEX(生物种群!$G:$G,COUNTA(生物种群!$G:$G)),),),IF($A239&lt;&gt;0,INDEX(生物种群!$B$2:INDEX(生物种群!$B:$B,COUNTA(生物种群!$B:$B)),MATCH($A239,生物种群!$C$2:INDEX(生物种群!$C:$C,COUNTA(生物种群!$C:$C)),),),INDEX(生物种群!$B$2:INDEX(生物种群!$B:$B,COUNTA(生物种群!$B:$B)),MATCH($B239,生物种群!$D$2:INDEX(生物种群!$D:$D,COUNTA(生物种群!$D:$D)),),))))</f>
        <v/>
      </c>
      <c r="J239" s="37" t="str">
        <f>IF(A239&amp;B239&amp;C239="","",INDEX(生物种群!$J$2:INDEX(生物种群!$J:$J,COUNTA(生物种群!$J:$J)),MATCH($I239,生物种群!$B$2:INDEX(生物种群!$B:$B,COUNTA(生物种群!$B:$B)),),))</f>
        <v/>
      </c>
      <c r="K239" s="37" t="str">
        <f>IF(A239&amp;B239&amp;C239="","",INDEX(生物种群!$E$2:INDEX(生物种群!$E:$E,COUNTA(生物种群!$E:$E)),MATCH($I239,生物种群!$B$2:INDEX(生物种群!$B:$B,COUNTA(生物种群!$B:$B)),),))</f>
        <v/>
      </c>
      <c r="L239" s="37" t="str">
        <f>IF(A239&amp;B239&amp;C239="","",INDEX(生物种群!$F$3:INDEX(生物种群!$F:$F,COUNTA(生物种群!$F:$F)),MATCH($I239,生物种群!$B$3:INDEX(生物种群!$B:$B,COUNTA(生物种群!$B:$B)),),))</f>
        <v/>
      </c>
      <c r="M239" s="37" t="str">
        <f t="shared" si="6"/>
        <v/>
      </c>
      <c r="N239" s="37" t="str">
        <f t="shared" si="7"/>
        <v/>
      </c>
      <c r="O239" s="9"/>
      <c r="P239" s="10"/>
    </row>
    <row r="240" spans="1:16" ht="20.1" customHeight="1">
      <c r="A240" s="9"/>
      <c r="B240" s="9"/>
      <c r="C240" s="9"/>
      <c r="D240" s="43"/>
      <c r="E240" s="9"/>
      <c r="F240" s="9"/>
      <c r="G240" s="47" t="str">
        <f>IF(F240="","",INDEX(站位样品信息!$B$3:INDEX(站位样品信息!$B:$B,COUNTA(站位样品信息!$B:$B)+1),MATCH($F240,站位样品信息!$A$3:INDEX(站位样品信息!$A:$A,COUNTA(站位样品信息!$A:$A)+1),),))</f>
        <v/>
      </c>
      <c r="H240" s="37" t="str">
        <f>IF(A240&amp;B240&amp;C240="","",INDEX(生物种群!$A$2:INDEX(生物种群!$A:$A,COUNTA(生物种群!$A:$A)),MATCH($I240,生物种群!$B$2:INDEX(生物种群!$B:$B,COUNTA(生物种群!$B:$B)),),))</f>
        <v/>
      </c>
      <c r="I240" s="37" t="str">
        <f>IF(A240&amp;B240&amp;C240="","",IF($C240&lt;&gt;0,INDEX(生物种群!$B$2:INDEX(生物种群!$B:$B,COUNTA(生物种群!$B:$B)),MATCH($C240,生物种群!$G$2:INDEX(生物种群!$G:$G,COUNTA(生物种群!$G:$G)),),),IF($A240&lt;&gt;0,INDEX(生物种群!$B$2:INDEX(生物种群!$B:$B,COUNTA(生物种群!$B:$B)),MATCH($A240,生物种群!$C$2:INDEX(生物种群!$C:$C,COUNTA(生物种群!$C:$C)),),),INDEX(生物种群!$B$2:INDEX(生物种群!$B:$B,COUNTA(生物种群!$B:$B)),MATCH($B240,生物种群!$D$2:INDEX(生物种群!$D:$D,COUNTA(生物种群!$D:$D)),),))))</f>
        <v/>
      </c>
      <c r="J240" s="37" t="str">
        <f>IF(A240&amp;B240&amp;C240="","",INDEX(生物种群!$J$2:INDEX(生物种群!$J:$J,COUNTA(生物种群!$J:$J)),MATCH($I240,生物种群!$B$2:INDEX(生物种群!$B:$B,COUNTA(生物种群!$B:$B)),),))</f>
        <v/>
      </c>
      <c r="K240" s="37" t="str">
        <f>IF(A240&amp;B240&amp;C240="","",INDEX(生物种群!$E$2:INDEX(生物种群!$E:$E,COUNTA(生物种群!$E:$E)),MATCH($I240,生物种群!$B$2:INDEX(生物种群!$B:$B,COUNTA(生物种群!$B:$B)),),))</f>
        <v/>
      </c>
      <c r="L240" s="37" t="str">
        <f>IF(A240&amp;B240&amp;C240="","",INDEX(生物种群!$F$3:INDEX(生物种群!$F:$F,COUNTA(生物种群!$F:$F)),MATCH($I240,生物种群!$B$3:INDEX(生物种群!$B:$B,COUNTA(生物种群!$B:$B)),),))</f>
        <v/>
      </c>
      <c r="M240" s="37" t="str">
        <f t="shared" si="6"/>
        <v/>
      </c>
      <c r="N240" s="37" t="str">
        <f t="shared" si="7"/>
        <v/>
      </c>
      <c r="O240" s="9"/>
      <c r="P240" s="10"/>
    </row>
    <row r="241" spans="1:16" ht="20.1" customHeight="1">
      <c r="A241" s="9"/>
      <c r="B241" s="9"/>
      <c r="C241" s="9"/>
      <c r="D241" s="43"/>
      <c r="E241" s="9"/>
      <c r="F241" s="9"/>
      <c r="G241" s="47" t="str">
        <f>IF(F241="","",INDEX(站位样品信息!$B$3:INDEX(站位样品信息!$B:$B,COUNTA(站位样品信息!$B:$B)+1),MATCH($F241,站位样品信息!$A$3:INDEX(站位样品信息!$A:$A,COUNTA(站位样品信息!$A:$A)+1),),))</f>
        <v/>
      </c>
      <c r="H241" s="37" t="str">
        <f>IF(A241&amp;B241&amp;C241="","",INDEX(生物种群!$A$2:INDEX(生物种群!$A:$A,COUNTA(生物种群!$A:$A)),MATCH($I241,生物种群!$B$2:INDEX(生物种群!$B:$B,COUNTA(生物种群!$B:$B)),),))</f>
        <v/>
      </c>
      <c r="I241" s="37" t="str">
        <f>IF(A241&amp;B241&amp;C241="","",IF($C241&lt;&gt;0,INDEX(生物种群!$B$2:INDEX(生物种群!$B:$B,COUNTA(生物种群!$B:$B)),MATCH($C241,生物种群!$G$2:INDEX(生物种群!$G:$G,COUNTA(生物种群!$G:$G)),),),IF($A241&lt;&gt;0,INDEX(生物种群!$B$2:INDEX(生物种群!$B:$B,COUNTA(生物种群!$B:$B)),MATCH($A241,生物种群!$C$2:INDEX(生物种群!$C:$C,COUNTA(生物种群!$C:$C)),),),INDEX(生物种群!$B$2:INDEX(生物种群!$B:$B,COUNTA(生物种群!$B:$B)),MATCH($B241,生物种群!$D$2:INDEX(生物种群!$D:$D,COUNTA(生物种群!$D:$D)),),))))</f>
        <v/>
      </c>
      <c r="J241" s="37" t="str">
        <f>IF(A241&amp;B241&amp;C241="","",INDEX(生物种群!$J$2:INDEX(生物种群!$J:$J,COUNTA(生物种群!$J:$J)),MATCH($I241,生物种群!$B$2:INDEX(生物种群!$B:$B,COUNTA(生物种群!$B:$B)),),))</f>
        <v/>
      </c>
      <c r="K241" s="37" t="str">
        <f>IF(A241&amp;B241&amp;C241="","",INDEX(生物种群!$E$2:INDEX(生物种群!$E:$E,COUNTA(生物种群!$E:$E)),MATCH($I241,生物种群!$B$2:INDEX(生物种群!$B:$B,COUNTA(生物种群!$B:$B)),),))</f>
        <v/>
      </c>
      <c r="L241" s="37" t="str">
        <f>IF(A241&amp;B241&amp;C241="","",INDEX(生物种群!$F$3:INDEX(生物种群!$F:$F,COUNTA(生物种群!$F:$F)),MATCH($I241,生物种群!$B$3:INDEX(生物种群!$B:$B,COUNTA(生物种群!$B:$B)),),))</f>
        <v/>
      </c>
      <c r="M241" s="37" t="str">
        <f t="shared" si="6"/>
        <v/>
      </c>
      <c r="N241" s="37" t="str">
        <f t="shared" si="7"/>
        <v/>
      </c>
      <c r="O241" s="9"/>
      <c r="P241" s="10"/>
    </row>
    <row r="242" spans="1:16" ht="20.1" customHeight="1">
      <c r="A242" s="9"/>
      <c r="B242" s="9"/>
      <c r="C242" s="9"/>
      <c r="D242" s="43"/>
      <c r="E242" s="9"/>
      <c r="F242" s="9"/>
      <c r="G242" s="47" t="str">
        <f>IF(F242="","",INDEX(站位样品信息!$B$3:INDEX(站位样品信息!$B:$B,COUNTA(站位样品信息!$B:$B)+1),MATCH($F242,站位样品信息!$A$3:INDEX(站位样品信息!$A:$A,COUNTA(站位样品信息!$A:$A)+1),),))</f>
        <v/>
      </c>
      <c r="H242" s="37" t="str">
        <f>IF(A242&amp;B242&amp;C242="","",INDEX(生物种群!$A$2:INDEX(生物种群!$A:$A,COUNTA(生物种群!$A:$A)),MATCH($I242,生物种群!$B$2:INDEX(生物种群!$B:$B,COUNTA(生物种群!$B:$B)),),))</f>
        <v/>
      </c>
      <c r="I242" s="37" t="str">
        <f>IF(A242&amp;B242&amp;C242="","",IF($C242&lt;&gt;0,INDEX(生物种群!$B$2:INDEX(生物种群!$B:$B,COUNTA(生物种群!$B:$B)),MATCH($C242,生物种群!$G$2:INDEX(生物种群!$G:$G,COUNTA(生物种群!$G:$G)),),),IF($A242&lt;&gt;0,INDEX(生物种群!$B$2:INDEX(生物种群!$B:$B,COUNTA(生物种群!$B:$B)),MATCH($A242,生物种群!$C$2:INDEX(生物种群!$C:$C,COUNTA(生物种群!$C:$C)),),),INDEX(生物种群!$B$2:INDEX(生物种群!$B:$B,COUNTA(生物种群!$B:$B)),MATCH($B242,生物种群!$D$2:INDEX(生物种群!$D:$D,COUNTA(生物种群!$D:$D)),),))))</f>
        <v/>
      </c>
      <c r="J242" s="37" t="str">
        <f>IF(A242&amp;B242&amp;C242="","",INDEX(生物种群!$J$2:INDEX(生物种群!$J:$J,COUNTA(生物种群!$J:$J)),MATCH($I242,生物种群!$B$2:INDEX(生物种群!$B:$B,COUNTA(生物种群!$B:$B)),),))</f>
        <v/>
      </c>
      <c r="K242" s="37" t="str">
        <f>IF(A242&amp;B242&amp;C242="","",INDEX(生物种群!$E$2:INDEX(生物种群!$E:$E,COUNTA(生物种群!$E:$E)),MATCH($I242,生物种群!$B$2:INDEX(生物种群!$B:$B,COUNTA(生物种群!$B:$B)),),))</f>
        <v/>
      </c>
      <c r="L242" s="37" t="str">
        <f>IF(A242&amp;B242&amp;C242="","",INDEX(生物种群!$F$3:INDEX(生物种群!$F:$F,COUNTA(生物种群!$F:$F)),MATCH($I242,生物种群!$B$3:INDEX(生物种群!$B:$B,COUNTA(生物种群!$B:$B)),),))</f>
        <v/>
      </c>
      <c r="M242" s="37" t="str">
        <f t="shared" si="6"/>
        <v/>
      </c>
      <c r="N242" s="37" t="str">
        <f t="shared" si="7"/>
        <v/>
      </c>
      <c r="O242" s="9"/>
      <c r="P242" s="10"/>
    </row>
    <row r="243" spans="1:16" ht="20.1" customHeight="1">
      <c r="A243" s="9"/>
      <c r="B243" s="9"/>
      <c r="C243" s="9"/>
      <c r="D243" s="43"/>
      <c r="E243" s="9"/>
      <c r="F243" s="9"/>
      <c r="G243" s="47" t="str">
        <f>IF(F243="","",INDEX(站位样品信息!$B$3:INDEX(站位样品信息!$B:$B,COUNTA(站位样品信息!$B:$B)+1),MATCH($F243,站位样品信息!$A$3:INDEX(站位样品信息!$A:$A,COUNTA(站位样品信息!$A:$A)+1),),))</f>
        <v/>
      </c>
      <c r="H243" s="37" t="str">
        <f>IF(A243&amp;B243&amp;C243="","",INDEX(生物种群!$A$2:INDEX(生物种群!$A:$A,COUNTA(生物种群!$A:$A)),MATCH($I243,生物种群!$B$2:INDEX(生物种群!$B:$B,COUNTA(生物种群!$B:$B)),),))</f>
        <v/>
      </c>
      <c r="I243" s="37" t="str">
        <f>IF(A243&amp;B243&amp;C243="","",IF($C243&lt;&gt;0,INDEX(生物种群!$B$2:INDEX(生物种群!$B:$B,COUNTA(生物种群!$B:$B)),MATCH($C243,生物种群!$G$2:INDEX(生物种群!$G:$G,COUNTA(生物种群!$G:$G)),),),IF($A243&lt;&gt;0,INDEX(生物种群!$B$2:INDEX(生物种群!$B:$B,COUNTA(生物种群!$B:$B)),MATCH($A243,生物种群!$C$2:INDEX(生物种群!$C:$C,COUNTA(生物种群!$C:$C)),),),INDEX(生物种群!$B$2:INDEX(生物种群!$B:$B,COUNTA(生物种群!$B:$B)),MATCH($B243,生物种群!$D$2:INDEX(生物种群!$D:$D,COUNTA(生物种群!$D:$D)),),))))</f>
        <v/>
      </c>
      <c r="J243" s="37" t="str">
        <f>IF(A243&amp;B243&amp;C243="","",INDEX(生物种群!$J$2:INDEX(生物种群!$J:$J,COUNTA(生物种群!$J:$J)),MATCH($I243,生物种群!$B$2:INDEX(生物种群!$B:$B,COUNTA(生物种群!$B:$B)),),))</f>
        <v/>
      </c>
      <c r="K243" s="37" t="str">
        <f>IF(A243&amp;B243&amp;C243="","",INDEX(生物种群!$E$2:INDEX(生物种群!$E:$E,COUNTA(生物种群!$E:$E)),MATCH($I243,生物种群!$B$2:INDEX(生物种群!$B:$B,COUNTA(生物种群!$B:$B)),),))</f>
        <v/>
      </c>
      <c r="L243" s="37" t="str">
        <f>IF(A243&amp;B243&amp;C243="","",INDEX(生物种群!$F$3:INDEX(生物种群!$F:$F,COUNTA(生物种群!$F:$F)),MATCH($I243,生物种群!$B$3:INDEX(生物种群!$B:$B,COUNTA(生物种群!$B:$B)),),))</f>
        <v/>
      </c>
      <c r="M243" s="37" t="str">
        <f t="shared" si="6"/>
        <v/>
      </c>
      <c r="N243" s="37" t="str">
        <f t="shared" si="7"/>
        <v/>
      </c>
      <c r="O243" s="9"/>
      <c r="P243" s="10"/>
    </row>
    <row r="244" spans="1:16" ht="20.1" customHeight="1">
      <c r="A244" s="9"/>
      <c r="B244" s="9"/>
      <c r="C244" s="9"/>
      <c r="D244" s="43"/>
      <c r="E244" s="9"/>
      <c r="F244" s="9"/>
      <c r="G244" s="47" t="str">
        <f>IF(F244="","",INDEX(站位样品信息!$B$3:INDEX(站位样品信息!$B:$B,COUNTA(站位样品信息!$B:$B)+1),MATCH($F244,站位样品信息!$A$3:INDEX(站位样品信息!$A:$A,COUNTA(站位样品信息!$A:$A)+1),),))</f>
        <v/>
      </c>
      <c r="H244" s="37" t="str">
        <f>IF(A244&amp;B244&amp;C244="","",INDEX(生物种群!$A$2:INDEX(生物种群!$A:$A,COUNTA(生物种群!$A:$A)),MATCH($I244,生物种群!$B$2:INDEX(生物种群!$B:$B,COUNTA(生物种群!$B:$B)),),))</f>
        <v/>
      </c>
      <c r="I244" s="37" t="str">
        <f>IF(A244&amp;B244&amp;C244="","",IF($C244&lt;&gt;0,INDEX(生物种群!$B$2:INDEX(生物种群!$B:$B,COUNTA(生物种群!$B:$B)),MATCH($C244,生物种群!$G$2:INDEX(生物种群!$G:$G,COUNTA(生物种群!$G:$G)),),),IF($A244&lt;&gt;0,INDEX(生物种群!$B$2:INDEX(生物种群!$B:$B,COUNTA(生物种群!$B:$B)),MATCH($A244,生物种群!$C$2:INDEX(生物种群!$C:$C,COUNTA(生物种群!$C:$C)),),),INDEX(生物种群!$B$2:INDEX(生物种群!$B:$B,COUNTA(生物种群!$B:$B)),MATCH($B244,生物种群!$D$2:INDEX(生物种群!$D:$D,COUNTA(生物种群!$D:$D)),),))))</f>
        <v/>
      </c>
      <c r="J244" s="37" t="str">
        <f>IF(A244&amp;B244&amp;C244="","",INDEX(生物种群!$J$2:INDEX(生物种群!$J:$J,COUNTA(生物种群!$J:$J)),MATCH($I244,生物种群!$B$2:INDEX(生物种群!$B:$B,COUNTA(生物种群!$B:$B)),),))</f>
        <v/>
      </c>
      <c r="K244" s="37" t="str">
        <f>IF(A244&amp;B244&amp;C244="","",INDEX(生物种群!$E$2:INDEX(生物种群!$E:$E,COUNTA(生物种群!$E:$E)),MATCH($I244,生物种群!$B$2:INDEX(生物种群!$B:$B,COUNTA(生物种群!$B:$B)),),))</f>
        <v/>
      </c>
      <c r="L244" s="37" t="str">
        <f>IF(A244&amp;B244&amp;C244="","",INDEX(生物种群!$F$3:INDEX(生物种群!$F:$F,COUNTA(生物种群!$F:$F)),MATCH($I244,生物种群!$B$3:INDEX(生物种群!$B:$B,COUNTA(生物种群!$B:$B)),),))</f>
        <v/>
      </c>
      <c r="M244" s="37" t="str">
        <f t="shared" si="6"/>
        <v/>
      </c>
      <c r="N244" s="37" t="str">
        <f t="shared" si="7"/>
        <v/>
      </c>
      <c r="O244" s="9"/>
      <c r="P244" s="10"/>
    </row>
    <row r="245" spans="1:16" ht="20.1" customHeight="1">
      <c r="A245" s="9"/>
      <c r="B245" s="9"/>
      <c r="C245" s="9"/>
      <c r="D245" s="43"/>
      <c r="E245" s="9"/>
      <c r="F245" s="9"/>
      <c r="G245" s="47" t="str">
        <f>IF(F245="","",INDEX(站位样品信息!$B$3:INDEX(站位样品信息!$B:$B,COUNTA(站位样品信息!$B:$B)+1),MATCH($F245,站位样品信息!$A$3:INDEX(站位样品信息!$A:$A,COUNTA(站位样品信息!$A:$A)+1),),))</f>
        <v/>
      </c>
      <c r="H245" s="37" t="str">
        <f>IF(A245&amp;B245&amp;C245="","",INDEX(生物种群!$A$2:INDEX(生物种群!$A:$A,COUNTA(生物种群!$A:$A)),MATCH($I245,生物种群!$B$2:INDEX(生物种群!$B:$B,COUNTA(生物种群!$B:$B)),),))</f>
        <v/>
      </c>
      <c r="I245" s="37" t="str">
        <f>IF(A245&amp;B245&amp;C245="","",IF($C245&lt;&gt;0,INDEX(生物种群!$B$2:INDEX(生物种群!$B:$B,COUNTA(生物种群!$B:$B)),MATCH($C245,生物种群!$G$2:INDEX(生物种群!$G:$G,COUNTA(生物种群!$G:$G)),),),IF($A245&lt;&gt;0,INDEX(生物种群!$B$2:INDEX(生物种群!$B:$B,COUNTA(生物种群!$B:$B)),MATCH($A245,生物种群!$C$2:INDEX(生物种群!$C:$C,COUNTA(生物种群!$C:$C)),),),INDEX(生物种群!$B$2:INDEX(生物种群!$B:$B,COUNTA(生物种群!$B:$B)),MATCH($B245,生物种群!$D$2:INDEX(生物种群!$D:$D,COUNTA(生物种群!$D:$D)),),))))</f>
        <v/>
      </c>
      <c r="J245" s="37" t="str">
        <f>IF(A245&amp;B245&amp;C245="","",INDEX(生物种群!$J$2:INDEX(生物种群!$J:$J,COUNTA(生物种群!$J:$J)),MATCH($I245,生物种群!$B$2:INDEX(生物种群!$B:$B,COUNTA(生物种群!$B:$B)),),))</f>
        <v/>
      </c>
      <c r="K245" s="37" t="str">
        <f>IF(A245&amp;B245&amp;C245="","",INDEX(生物种群!$E$2:INDEX(生物种群!$E:$E,COUNTA(生物种群!$E:$E)),MATCH($I245,生物种群!$B$2:INDEX(生物种群!$B:$B,COUNTA(生物种群!$B:$B)),),))</f>
        <v/>
      </c>
      <c r="L245" s="37" t="str">
        <f>IF(A245&amp;B245&amp;C245="","",INDEX(生物种群!$F$3:INDEX(生物种群!$F:$F,COUNTA(生物种群!$F:$F)),MATCH($I245,生物种群!$B$3:INDEX(生物种群!$B:$B,COUNTA(生物种群!$B:$B)),),))</f>
        <v/>
      </c>
      <c r="M245" s="37" t="str">
        <f t="shared" si="6"/>
        <v/>
      </c>
      <c r="N245" s="37" t="str">
        <f t="shared" si="7"/>
        <v/>
      </c>
      <c r="O245" s="9"/>
      <c r="P245" s="10"/>
    </row>
    <row r="246" spans="1:16" ht="20.1" customHeight="1">
      <c r="A246" s="9"/>
      <c r="B246" s="9"/>
      <c r="C246" s="9"/>
      <c r="D246" s="43"/>
      <c r="E246" s="9"/>
      <c r="F246" s="9"/>
      <c r="G246" s="47" t="str">
        <f>IF(F246="","",INDEX(站位样品信息!$B$3:INDEX(站位样品信息!$B:$B,COUNTA(站位样品信息!$B:$B)+1),MATCH($F246,站位样品信息!$A$3:INDEX(站位样品信息!$A:$A,COUNTA(站位样品信息!$A:$A)+1),),))</f>
        <v/>
      </c>
      <c r="H246" s="37" t="str">
        <f>IF(A246&amp;B246&amp;C246="","",INDEX(生物种群!$A$2:INDEX(生物种群!$A:$A,COUNTA(生物种群!$A:$A)),MATCH($I246,生物种群!$B$2:INDEX(生物种群!$B:$B,COUNTA(生物种群!$B:$B)),),))</f>
        <v/>
      </c>
      <c r="I246" s="37" t="str">
        <f>IF(A246&amp;B246&amp;C246="","",IF($C246&lt;&gt;0,INDEX(生物种群!$B$2:INDEX(生物种群!$B:$B,COUNTA(生物种群!$B:$B)),MATCH($C246,生物种群!$G$2:INDEX(生物种群!$G:$G,COUNTA(生物种群!$G:$G)),),),IF($A246&lt;&gt;0,INDEX(生物种群!$B$2:INDEX(生物种群!$B:$B,COUNTA(生物种群!$B:$B)),MATCH($A246,生物种群!$C$2:INDEX(生物种群!$C:$C,COUNTA(生物种群!$C:$C)),),),INDEX(生物种群!$B$2:INDEX(生物种群!$B:$B,COUNTA(生物种群!$B:$B)),MATCH($B246,生物种群!$D$2:INDEX(生物种群!$D:$D,COUNTA(生物种群!$D:$D)),),))))</f>
        <v/>
      </c>
      <c r="J246" s="37" t="str">
        <f>IF(A246&amp;B246&amp;C246="","",INDEX(生物种群!$J$2:INDEX(生物种群!$J:$J,COUNTA(生物种群!$J:$J)),MATCH($I246,生物种群!$B$2:INDEX(生物种群!$B:$B,COUNTA(生物种群!$B:$B)),),))</f>
        <v/>
      </c>
      <c r="K246" s="37" t="str">
        <f>IF(A246&amp;B246&amp;C246="","",INDEX(生物种群!$E$2:INDEX(生物种群!$E:$E,COUNTA(生物种群!$E:$E)),MATCH($I246,生物种群!$B$2:INDEX(生物种群!$B:$B,COUNTA(生物种群!$B:$B)),),))</f>
        <v/>
      </c>
      <c r="L246" s="37" t="str">
        <f>IF(A246&amp;B246&amp;C246="","",INDEX(生物种群!$F$3:INDEX(生物种群!$F:$F,COUNTA(生物种群!$F:$F)),MATCH($I246,生物种群!$B$3:INDEX(生物种群!$B:$B,COUNTA(生物种群!$B:$B)),),))</f>
        <v/>
      </c>
      <c r="M246" s="37" t="str">
        <f t="shared" si="6"/>
        <v/>
      </c>
      <c r="N246" s="37" t="str">
        <f t="shared" si="7"/>
        <v/>
      </c>
      <c r="O246" s="9"/>
      <c r="P246" s="10"/>
    </row>
    <row r="247" spans="1:16" ht="20.1" customHeight="1">
      <c r="A247" s="9"/>
      <c r="B247" s="9"/>
      <c r="C247" s="9"/>
      <c r="D247" s="43"/>
      <c r="E247" s="9"/>
      <c r="F247" s="9"/>
      <c r="G247" s="47" t="str">
        <f>IF(F247="","",INDEX(站位样品信息!$B$3:INDEX(站位样品信息!$B:$B,COUNTA(站位样品信息!$B:$B)+1),MATCH($F247,站位样品信息!$A$3:INDEX(站位样品信息!$A:$A,COUNTA(站位样品信息!$A:$A)+1),),))</f>
        <v/>
      </c>
      <c r="H247" s="37" t="str">
        <f>IF(A247&amp;B247&amp;C247="","",INDEX(生物种群!$A$2:INDEX(生物种群!$A:$A,COUNTA(生物种群!$A:$A)),MATCH($I247,生物种群!$B$2:INDEX(生物种群!$B:$B,COUNTA(生物种群!$B:$B)),),))</f>
        <v/>
      </c>
      <c r="I247" s="37" t="str">
        <f>IF(A247&amp;B247&amp;C247="","",IF($C247&lt;&gt;0,INDEX(生物种群!$B$2:INDEX(生物种群!$B:$B,COUNTA(生物种群!$B:$B)),MATCH($C247,生物种群!$G$2:INDEX(生物种群!$G:$G,COUNTA(生物种群!$G:$G)),),),IF($A247&lt;&gt;0,INDEX(生物种群!$B$2:INDEX(生物种群!$B:$B,COUNTA(生物种群!$B:$B)),MATCH($A247,生物种群!$C$2:INDEX(生物种群!$C:$C,COUNTA(生物种群!$C:$C)),),),INDEX(生物种群!$B$2:INDEX(生物种群!$B:$B,COUNTA(生物种群!$B:$B)),MATCH($B247,生物种群!$D$2:INDEX(生物种群!$D:$D,COUNTA(生物种群!$D:$D)),),))))</f>
        <v/>
      </c>
      <c r="J247" s="37" t="str">
        <f>IF(A247&amp;B247&amp;C247="","",INDEX(生物种群!$J$2:INDEX(生物种群!$J:$J,COUNTA(生物种群!$J:$J)),MATCH($I247,生物种群!$B$2:INDEX(生物种群!$B:$B,COUNTA(生物种群!$B:$B)),),))</f>
        <v/>
      </c>
      <c r="K247" s="37" t="str">
        <f>IF(A247&amp;B247&amp;C247="","",INDEX(生物种群!$E$2:INDEX(生物种群!$E:$E,COUNTA(生物种群!$E:$E)),MATCH($I247,生物种群!$B$2:INDEX(生物种群!$B:$B,COUNTA(生物种群!$B:$B)),),))</f>
        <v/>
      </c>
      <c r="L247" s="37" t="str">
        <f>IF(A247&amp;B247&amp;C247="","",INDEX(生物种群!$F$3:INDEX(生物种群!$F:$F,COUNTA(生物种群!$F:$F)),MATCH($I247,生物种群!$B$3:INDEX(生物种群!$B:$B,COUNTA(生物种群!$B:$B)),),))</f>
        <v/>
      </c>
      <c r="M247" s="37" t="str">
        <f t="shared" si="6"/>
        <v/>
      </c>
      <c r="N247" s="37" t="str">
        <f t="shared" si="7"/>
        <v/>
      </c>
      <c r="O247" s="9"/>
      <c r="P247" s="10"/>
    </row>
    <row r="248" spans="1:16" ht="20.1" customHeight="1">
      <c r="A248" s="9"/>
      <c r="B248" s="9"/>
      <c r="C248" s="9"/>
      <c r="D248" s="43"/>
      <c r="E248" s="9"/>
      <c r="F248" s="9"/>
      <c r="G248" s="47" t="str">
        <f>IF(F248="","",INDEX(站位样品信息!$B$3:INDEX(站位样品信息!$B:$B,COUNTA(站位样品信息!$B:$B)+1),MATCH($F248,站位样品信息!$A$3:INDEX(站位样品信息!$A:$A,COUNTA(站位样品信息!$A:$A)+1),),))</f>
        <v/>
      </c>
      <c r="H248" s="37" t="str">
        <f>IF(A248&amp;B248&amp;C248="","",INDEX(生物种群!$A$2:INDEX(生物种群!$A:$A,COUNTA(生物种群!$A:$A)),MATCH($I248,生物种群!$B$2:INDEX(生物种群!$B:$B,COUNTA(生物种群!$B:$B)),),))</f>
        <v/>
      </c>
      <c r="I248" s="37" t="str">
        <f>IF(A248&amp;B248&amp;C248="","",IF($C248&lt;&gt;0,INDEX(生物种群!$B$2:INDEX(生物种群!$B:$B,COUNTA(生物种群!$B:$B)),MATCH($C248,生物种群!$G$2:INDEX(生物种群!$G:$G,COUNTA(生物种群!$G:$G)),),),IF($A248&lt;&gt;0,INDEX(生物种群!$B$2:INDEX(生物种群!$B:$B,COUNTA(生物种群!$B:$B)),MATCH($A248,生物种群!$C$2:INDEX(生物种群!$C:$C,COUNTA(生物种群!$C:$C)),),),INDEX(生物种群!$B$2:INDEX(生物种群!$B:$B,COUNTA(生物种群!$B:$B)),MATCH($B248,生物种群!$D$2:INDEX(生物种群!$D:$D,COUNTA(生物种群!$D:$D)),),))))</f>
        <v/>
      </c>
      <c r="J248" s="37" t="str">
        <f>IF(A248&amp;B248&amp;C248="","",INDEX(生物种群!$J$2:INDEX(生物种群!$J:$J,COUNTA(生物种群!$J:$J)),MATCH($I248,生物种群!$B$2:INDEX(生物种群!$B:$B,COUNTA(生物种群!$B:$B)),),))</f>
        <v/>
      </c>
      <c r="K248" s="37" t="str">
        <f>IF(A248&amp;B248&amp;C248="","",INDEX(生物种群!$E$2:INDEX(生物种群!$E:$E,COUNTA(生物种群!$E:$E)),MATCH($I248,生物种群!$B$2:INDEX(生物种群!$B:$B,COUNTA(生物种群!$B:$B)),),))</f>
        <v/>
      </c>
      <c r="L248" s="37" t="str">
        <f>IF(A248&amp;B248&amp;C248="","",INDEX(生物种群!$F$3:INDEX(生物种群!$F:$F,COUNTA(生物种群!$F:$F)),MATCH($I248,生物种群!$B$3:INDEX(生物种群!$B:$B,COUNTA(生物种群!$B:$B)),),))</f>
        <v/>
      </c>
      <c r="M248" s="37" t="str">
        <f t="shared" si="6"/>
        <v/>
      </c>
      <c r="N248" s="37" t="str">
        <f t="shared" si="7"/>
        <v/>
      </c>
      <c r="O248" s="9"/>
      <c r="P248" s="10"/>
    </row>
    <row r="249" spans="1:16" ht="20.1" customHeight="1">
      <c r="A249" s="9"/>
      <c r="B249" s="9"/>
      <c r="C249" s="9"/>
      <c r="D249" s="43"/>
      <c r="E249" s="9"/>
      <c r="F249" s="9"/>
      <c r="G249" s="47" t="str">
        <f>IF(F249="","",INDEX(站位样品信息!$B$3:INDEX(站位样品信息!$B:$B,COUNTA(站位样品信息!$B:$B)+1),MATCH($F249,站位样品信息!$A$3:INDEX(站位样品信息!$A:$A,COUNTA(站位样品信息!$A:$A)+1),),))</f>
        <v/>
      </c>
      <c r="H249" s="37" t="str">
        <f>IF(A249&amp;B249&amp;C249="","",INDEX(生物种群!$A$2:INDEX(生物种群!$A:$A,COUNTA(生物种群!$A:$A)),MATCH($I249,生物种群!$B$2:INDEX(生物种群!$B:$B,COUNTA(生物种群!$B:$B)),),))</f>
        <v/>
      </c>
      <c r="I249" s="37" t="str">
        <f>IF(A249&amp;B249&amp;C249="","",IF($C249&lt;&gt;0,INDEX(生物种群!$B$2:INDEX(生物种群!$B:$B,COUNTA(生物种群!$B:$B)),MATCH($C249,生物种群!$G$2:INDEX(生物种群!$G:$G,COUNTA(生物种群!$G:$G)),),),IF($A249&lt;&gt;0,INDEX(生物种群!$B$2:INDEX(生物种群!$B:$B,COUNTA(生物种群!$B:$B)),MATCH($A249,生物种群!$C$2:INDEX(生物种群!$C:$C,COUNTA(生物种群!$C:$C)),),),INDEX(生物种群!$B$2:INDEX(生物种群!$B:$B,COUNTA(生物种群!$B:$B)),MATCH($B249,生物种群!$D$2:INDEX(生物种群!$D:$D,COUNTA(生物种群!$D:$D)),),))))</f>
        <v/>
      </c>
      <c r="J249" s="37" t="str">
        <f>IF(A249&amp;B249&amp;C249="","",INDEX(生物种群!$J$2:INDEX(生物种群!$J:$J,COUNTA(生物种群!$J:$J)),MATCH($I249,生物种群!$B$2:INDEX(生物种群!$B:$B,COUNTA(生物种群!$B:$B)),),))</f>
        <v/>
      </c>
      <c r="K249" s="37" t="str">
        <f>IF(A249&amp;B249&amp;C249="","",INDEX(生物种群!$E$2:INDEX(生物种群!$E:$E,COUNTA(生物种群!$E:$E)),MATCH($I249,生物种群!$B$2:INDEX(生物种群!$B:$B,COUNTA(生物种群!$B:$B)),),))</f>
        <v/>
      </c>
      <c r="L249" s="37" t="str">
        <f>IF(A249&amp;B249&amp;C249="","",INDEX(生物种群!$F$3:INDEX(生物种群!$F:$F,COUNTA(生物种群!$F:$F)),MATCH($I249,生物种群!$B$3:INDEX(生物种群!$B:$B,COUNTA(生物种群!$B:$B)),),))</f>
        <v/>
      </c>
      <c r="M249" s="37" t="str">
        <f t="shared" si="6"/>
        <v/>
      </c>
      <c r="N249" s="37" t="str">
        <f t="shared" si="7"/>
        <v/>
      </c>
      <c r="O249" s="9"/>
      <c r="P249" s="10"/>
    </row>
    <row r="250" spans="1:16" ht="20.1" customHeight="1">
      <c r="A250" s="9"/>
      <c r="B250" s="9"/>
      <c r="C250" s="9"/>
      <c r="D250" s="43"/>
      <c r="E250" s="9"/>
      <c r="F250" s="9"/>
      <c r="G250" s="47" t="str">
        <f>IF(F250="","",INDEX(站位样品信息!$B$3:INDEX(站位样品信息!$B:$B,COUNTA(站位样品信息!$B:$B)+1),MATCH($F250,站位样品信息!$A$3:INDEX(站位样品信息!$A:$A,COUNTA(站位样品信息!$A:$A)+1),),))</f>
        <v/>
      </c>
      <c r="H250" s="37" t="str">
        <f>IF(A250&amp;B250&amp;C250="","",INDEX(生物种群!$A$2:INDEX(生物种群!$A:$A,COUNTA(生物种群!$A:$A)),MATCH($I250,生物种群!$B$2:INDEX(生物种群!$B:$B,COUNTA(生物种群!$B:$B)),),))</f>
        <v/>
      </c>
      <c r="I250" s="37" t="str">
        <f>IF(A250&amp;B250&amp;C250="","",IF($C250&lt;&gt;0,INDEX(生物种群!$B$2:INDEX(生物种群!$B:$B,COUNTA(生物种群!$B:$B)),MATCH($C250,生物种群!$G$2:INDEX(生物种群!$G:$G,COUNTA(生物种群!$G:$G)),),),IF($A250&lt;&gt;0,INDEX(生物种群!$B$2:INDEX(生物种群!$B:$B,COUNTA(生物种群!$B:$B)),MATCH($A250,生物种群!$C$2:INDEX(生物种群!$C:$C,COUNTA(生物种群!$C:$C)),),),INDEX(生物种群!$B$2:INDEX(生物种群!$B:$B,COUNTA(生物种群!$B:$B)),MATCH($B250,生物种群!$D$2:INDEX(生物种群!$D:$D,COUNTA(生物种群!$D:$D)),),))))</f>
        <v/>
      </c>
      <c r="J250" s="37" t="str">
        <f>IF(A250&amp;B250&amp;C250="","",INDEX(生物种群!$J$2:INDEX(生物种群!$J:$J,COUNTA(生物种群!$J:$J)),MATCH($I250,生物种群!$B$2:INDEX(生物种群!$B:$B,COUNTA(生物种群!$B:$B)),),))</f>
        <v/>
      </c>
      <c r="K250" s="37" t="str">
        <f>IF(A250&amp;B250&amp;C250="","",INDEX(生物种群!$E$2:INDEX(生物种群!$E:$E,COUNTA(生物种群!$E:$E)),MATCH($I250,生物种群!$B$2:INDEX(生物种群!$B:$B,COUNTA(生物种群!$B:$B)),),))</f>
        <v/>
      </c>
      <c r="L250" s="37" t="str">
        <f>IF(A250&amp;B250&amp;C250="","",INDEX(生物种群!$F$3:INDEX(生物种群!$F:$F,COUNTA(生物种群!$F:$F)),MATCH($I250,生物种群!$B$3:INDEX(生物种群!$B:$B,COUNTA(生物种群!$B:$B)),),))</f>
        <v/>
      </c>
      <c r="M250" s="37" t="str">
        <f t="shared" si="6"/>
        <v/>
      </c>
      <c r="N250" s="37" t="str">
        <f t="shared" si="7"/>
        <v/>
      </c>
      <c r="O250" s="9"/>
      <c r="P250" s="10"/>
    </row>
    <row r="251" spans="1:16" ht="20.1" customHeight="1">
      <c r="A251" s="9"/>
      <c r="B251" s="9"/>
      <c r="C251" s="9"/>
      <c r="D251" s="43"/>
      <c r="E251" s="9"/>
      <c r="F251" s="9"/>
      <c r="G251" s="47" t="str">
        <f>IF(F251="","",INDEX(站位样品信息!$B$3:INDEX(站位样品信息!$B:$B,COUNTA(站位样品信息!$B:$B)+1),MATCH($F251,站位样品信息!$A$3:INDEX(站位样品信息!$A:$A,COUNTA(站位样品信息!$A:$A)+1),),))</f>
        <v/>
      </c>
      <c r="H251" s="37" t="str">
        <f>IF(A251&amp;B251&amp;C251="","",INDEX(生物种群!$A$2:INDEX(生物种群!$A:$A,COUNTA(生物种群!$A:$A)),MATCH($I251,生物种群!$B$2:INDEX(生物种群!$B:$B,COUNTA(生物种群!$B:$B)),),))</f>
        <v/>
      </c>
      <c r="I251" s="37" t="str">
        <f>IF(A251&amp;B251&amp;C251="","",IF($C251&lt;&gt;0,INDEX(生物种群!$B$2:INDEX(生物种群!$B:$B,COUNTA(生物种群!$B:$B)),MATCH($C251,生物种群!$G$2:INDEX(生物种群!$G:$G,COUNTA(生物种群!$G:$G)),),),IF($A251&lt;&gt;0,INDEX(生物种群!$B$2:INDEX(生物种群!$B:$B,COUNTA(生物种群!$B:$B)),MATCH($A251,生物种群!$C$2:INDEX(生物种群!$C:$C,COUNTA(生物种群!$C:$C)),),),INDEX(生物种群!$B$2:INDEX(生物种群!$B:$B,COUNTA(生物种群!$B:$B)),MATCH($B251,生物种群!$D$2:INDEX(生物种群!$D:$D,COUNTA(生物种群!$D:$D)),),))))</f>
        <v/>
      </c>
      <c r="J251" s="37" t="str">
        <f>IF(A251&amp;B251&amp;C251="","",INDEX(生物种群!$J$2:INDEX(生物种群!$J:$J,COUNTA(生物种群!$J:$J)),MATCH($I251,生物种群!$B$2:INDEX(生物种群!$B:$B,COUNTA(生物种群!$B:$B)),),))</f>
        <v/>
      </c>
      <c r="K251" s="37" t="str">
        <f>IF(A251&amp;B251&amp;C251="","",INDEX(生物种群!$E$2:INDEX(生物种群!$E:$E,COUNTA(生物种群!$E:$E)),MATCH($I251,生物种群!$B$2:INDEX(生物种群!$B:$B,COUNTA(生物种群!$B:$B)),),))</f>
        <v/>
      </c>
      <c r="L251" s="37" t="str">
        <f>IF(A251&amp;B251&amp;C251="","",INDEX(生物种群!$F$3:INDEX(生物种群!$F:$F,COUNTA(生物种群!$F:$F)),MATCH($I251,生物种群!$B$3:INDEX(生物种群!$B:$B,COUNTA(生物种群!$B:$B)),),))</f>
        <v/>
      </c>
      <c r="M251" s="37" t="str">
        <f t="shared" si="6"/>
        <v/>
      </c>
      <c r="N251" s="37" t="str">
        <f t="shared" si="7"/>
        <v/>
      </c>
      <c r="O251" s="9"/>
      <c r="P251" s="10"/>
    </row>
    <row r="252" spans="1:16" ht="20.1" customHeight="1">
      <c r="A252" s="9"/>
      <c r="B252" s="9"/>
      <c r="C252" s="9"/>
      <c r="D252" s="43"/>
      <c r="E252" s="9"/>
      <c r="F252" s="9"/>
      <c r="G252" s="47" t="str">
        <f>IF(F252="","",INDEX(站位样品信息!$B$3:INDEX(站位样品信息!$B:$B,COUNTA(站位样品信息!$B:$B)+1),MATCH($F252,站位样品信息!$A$3:INDEX(站位样品信息!$A:$A,COUNTA(站位样品信息!$A:$A)+1),),))</f>
        <v/>
      </c>
      <c r="H252" s="37" t="str">
        <f>IF(A252&amp;B252&amp;C252="","",INDEX(生物种群!$A$2:INDEX(生物种群!$A:$A,COUNTA(生物种群!$A:$A)),MATCH($I252,生物种群!$B$2:INDEX(生物种群!$B:$B,COUNTA(生物种群!$B:$B)),),))</f>
        <v/>
      </c>
      <c r="I252" s="37" t="str">
        <f>IF(A252&amp;B252&amp;C252="","",IF($C252&lt;&gt;0,INDEX(生物种群!$B$2:INDEX(生物种群!$B:$B,COUNTA(生物种群!$B:$B)),MATCH($C252,生物种群!$G$2:INDEX(生物种群!$G:$G,COUNTA(生物种群!$G:$G)),),),IF($A252&lt;&gt;0,INDEX(生物种群!$B$2:INDEX(生物种群!$B:$B,COUNTA(生物种群!$B:$B)),MATCH($A252,生物种群!$C$2:INDEX(生物种群!$C:$C,COUNTA(生物种群!$C:$C)),),),INDEX(生物种群!$B$2:INDEX(生物种群!$B:$B,COUNTA(生物种群!$B:$B)),MATCH($B252,生物种群!$D$2:INDEX(生物种群!$D:$D,COUNTA(生物种群!$D:$D)),),))))</f>
        <v/>
      </c>
      <c r="J252" s="37" t="str">
        <f>IF(A252&amp;B252&amp;C252="","",INDEX(生物种群!$J$2:INDEX(生物种群!$J:$J,COUNTA(生物种群!$J:$J)),MATCH($I252,生物种群!$B$2:INDEX(生物种群!$B:$B,COUNTA(生物种群!$B:$B)),),))</f>
        <v/>
      </c>
      <c r="K252" s="37" t="str">
        <f>IF(A252&amp;B252&amp;C252="","",INDEX(生物种群!$E$2:INDEX(生物种群!$E:$E,COUNTA(生物种群!$E:$E)),MATCH($I252,生物种群!$B$2:INDEX(生物种群!$B:$B,COUNTA(生物种群!$B:$B)),),))</f>
        <v/>
      </c>
      <c r="L252" s="37" t="str">
        <f>IF(A252&amp;B252&amp;C252="","",INDEX(生物种群!$F$3:INDEX(生物种群!$F:$F,COUNTA(生物种群!$F:$F)),MATCH($I252,生物种群!$B$3:INDEX(生物种群!$B:$B,COUNTA(生物种群!$B:$B)),),))</f>
        <v/>
      </c>
      <c r="M252" s="37" t="str">
        <f t="shared" si="6"/>
        <v/>
      </c>
      <c r="N252" s="37" t="str">
        <f t="shared" si="7"/>
        <v/>
      </c>
      <c r="O252" s="9"/>
      <c r="P252" s="10"/>
    </row>
    <row r="253" spans="1:16" ht="20.1" customHeight="1">
      <c r="A253" s="9"/>
      <c r="B253" s="9"/>
      <c r="C253" s="9"/>
      <c r="D253" s="43"/>
      <c r="E253" s="9"/>
      <c r="F253" s="9"/>
      <c r="G253" s="47" t="str">
        <f>IF(F253="","",INDEX(站位样品信息!$B$3:INDEX(站位样品信息!$B:$B,COUNTA(站位样品信息!$B:$B)+1),MATCH($F253,站位样品信息!$A$3:INDEX(站位样品信息!$A:$A,COUNTA(站位样品信息!$A:$A)+1),),))</f>
        <v/>
      </c>
      <c r="H253" s="37" t="str">
        <f>IF(A253&amp;B253&amp;C253="","",INDEX(生物种群!$A$2:INDEX(生物种群!$A:$A,COUNTA(生物种群!$A:$A)),MATCH($I253,生物种群!$B$2:INDEX(生物种群!$B:$B,COUNTA(生物种群!$B:$B)),),))</f>
        <v/>
      </c>
      <c r="I253" s="37" t="str">
        <f>IF(A253&amp;B253&amp;C253="","",IF($C253&lt;&gt;0,INDEX(生物种群!$B$2:INDEX(生物种群!$B:$B,COUNTA(生物种群!$B:$B)),MATCH($C253,生物种群!$G$2:INDEX(生物种群!$G:$G,COUNTA(生物种群!$G:$G)),),),IF($A253&lt;&gt;0,INDEX(生物种群!$B$2:INDEX(生物种群!$B:$B,COUNTA(生物种群!$B:$B)),MATCH($A253,生物种群!$C$2:INDEX(生物种群!$C:$C,COUNTA(生物种群!$C:$C)),),),INDEX(生物种群!$B$2:INDEX(生物种群!$B:$B,COUNTA(生物种群!$B:$B)),MATCH($B253,生物种群!$D$2:INDEX(生物种群!$D:$D,COUNTA(生物种群!$D:$D)),),))))</f>
        <v/>
      </c>
      <c r="J253" s="37" t="str">
        <f>IF(A253&amp;B253&amp;C253="","",INDEX(生物种群!$J$2:INDEX(生物种群!$J:$J,COUNTA(生物种群!$J:$J)),MATCH($I253,生物种群!$B$2:INDEX(生物种群!$B:$B,COUNTA(生物种群!$B:$B)),),))</f>
        <v/>
      </c>
      <c r="K253" s="37" t="str">
        <f>IF(A253&amp;B253&amp;C253="","",INDEX(生物种群!$E$2:INDEX(生物种群!$E:$E,COUNTA(生物种群!$E:$E)),MATCH($I253,生物种群!$B$2:INDEX(生物种群!$B:$B,COUNTA(生物种群!$B:$B)),),))</f>
        <v/>
      </c>
      <c r="L253" s="37" t="str">
        <f>IF(A253&amp;B253&amp;C253="","",INDEX(生物种群!$F$3:INDEX(生物种群!$F:$F,COUNTA(生物种群!$F:$F)),MATCH($I253,生物种群!$B$3:INDEX(生物种群!$B:$B,COUNTA(生物种群!$B:$B)),),))</f>
        <v/>
      </c>
      <c r="M253" s="37" t="str">
        <f t="shared" si="6"/>
        <v/>
      </c>
      <c r="N253" s="37" t="str">
        <f t="shared" si="7"/>
        <v/>
      </c>
      <c r="O253" s="9"/>
      <c r="P253" s="10"/>
    </row>
    <row r="254" spans="1:16" ht="20.1" customHeight="1">
      <c r="A254" s="9"/>
      <c r="B254" s="9"/>
      <c r="C254" s="9"/>
      <c r="D254" s="43"/>
      <c r="E254" s="9"/>
      <c r="F254" s="9"/>
      <c r="G254" s="47" t="str">
        <f>IF(F254="","",INDEX(站位样品信息!$B$3:INDEX(站位样品信息!$B:$B,COUNTA(站位样品信息!$B:$B)+1),MATCH($F254,站位样品信息!$A$3:INDEX(站位样品信息!$A:$A,COUNTA(站位样品信息!$A:$A)+1),),))</f>
        <v/>
      </c>
      <c r="H254" s="37" t="str">
        <f>IF(A254&amp;B254&amp;C254="","",INDEX(生物种群!$A$2:INDEX(生物种群!$A:$A,COUNTA(生物种群!$A:$A)),MATCH($I254,生物种群!$B$2:INDEX(生物种群!$B:$B,COUNTA(生物种群!$B:$B)),),))</f>
        <v/>
      </c>
      <c r="I254" s="37" t="str">
        <f>IF(A254&amp;B254&amp;C254="","",IF($C254&lt;&gt;0,INDEX(生物种群!$B$2:INDEX(生物种群!$B:$B,COUNTA(生物种群!$B:$B)),MATCH($C254,生物种群!$G$2:INDEX(生物种群!$G:$G,COUNTA(生物种群!$G:$G)),),),IF($A254&lt;&gt;0,INDEX(生物种群!$B$2:INDEX(生物种群!$B:$B,COUNTA(生物种群!$B:$B)),MATCH($A254,生物种群!$C$2:INDEX(生物种群!$C:$C,COUNTA(生物种群!$C:$C)),),),INDEX(生物种群!$B$2:INDEX(生物种群!$B:$B,COUNTA(生物种群!$B:$B)),MATCH($B254,生物种群!$D$2:INDEX(生物种群!$D:$D,COUNTA(生物种群!$D:$D)),),))))</f>
        <v/>
      </c>
      <c r="J254" s="37" t="str">
        <f>IF(A254&amp;B254&amp;C254="","",INDEX(生物种群!$J$2:INDEX(生物种群!$J:$J,COUNTA(生物种群!$J:$J)),MATCH($I254,生物种群!$B$2:INDEX(生物种群!$B:$B,COUNTA(生物种群!$B:$B)),),))</f>
        <v/>
      </c>
      <c r="K254" s="37" t="str">
        <f>IF(A254&amp;B254&amp;C254="","",INDEX(生物种群!$E$2:INDEX(生物种群!$E:$E,COUNTA(生物种群!$E:$E)),MATCH($I254,生物种群!$B$2:INDEX(生物种群!$B:$B,COUNTA(生物种群!$B:$B)),),))</f>
        <v/>
      </c>
      <c r="L254" s="37" t="str">
        <f>IF(A254&amp;B254&amp;C254="","",INDEX(生物种群!$F$3:INDEX(生物种群!$F:$F,COUNTA(生物种群!$F:$F)),MATCH($I254,生物种群!$B$3:INDEX(生物种群!$B:$B,COUNTA(生物种群!$B:$B)),),))</f>
        <v/>
      </c>
      <c r="M254" s="37" t="str">
        <f t="shared" si="6"/>
        <v/>
      </c>
      <c r="N254" s="37" t="str">
        <f t="shared" si="7"/>
        <v/>
      </c>
      <c r="O254" s="9"/>
      <c r="P254" s="10"/>
    </row>
    <row r="255" spans="1:16" ht="20.1" customHeight="1">
      <c r="A255" s="9"/>
      <c r="B255" s="9"/>
      <c r="C255" s="9"/>
      <c r="D255" s="43"/>
      <c r="E255" s="9"/>
      <c r="F255" s="9"/>
      <c r="G255" s="47" t="str">
        <f>IF(F255="","",INDEX(站位样品信息!$B$3:INDEX(站位样品信息!$B:$B,COUNTA(站位样品信息!$B:$B)+1),MATCH($F255,站位样品信息!$A$3:INDEX(站位样品信息!$A:$A,COUNTA(站位样品信息!$A:$A)+1),),))</f>
        <v/>
      </c>
      <c r="H255" s="37" t="str">
        <f>IF(A255&amp;B255&amp;C255="","",INDEX(生物种群!$A$2:INDEX(生物种群!$A:$A,COUNTA(生物种群!$A:$A)),MATCH($I255,生物种群!$B$2:INDEX(生物种群!$B:$B,COUNTA(生物种群!$B:$B)),),))</f>
        <v/>
      </c>
      <c r="I255" s="37" t="str">
        <f>IF(A255&amp;B255&amp;C255="","",IF($C255&lt;&gt;0,INDEX(生物种群!$B$2:INDEX(生物种群!$B:$B,COUNTA(生物种群!$B:$B)),MATCH($C255,生物种群!$G$2:INDEX(生物种群!$G:$G,COUNTA(生物种群!$G:$G)),),),IF($A255&lt;&gt;0,INDEX(生物种群!$B$2:INDEX(生物种群!$B:$B,COUNTA(生物种群!$B:$B)),MATCH($A255,生物种群!$C$2:INDEX(生物种群!$C:$C,COUNTA(生物种群!$C:$C)),),),INDEX(生物种群!$B$2:INDEX(生物种群!$B:$B,COUNTA(生物种群!$B:$B)),MATCH($B255,生物种群!$D$2:INDEX(生物种群!$D:$D,COUNTA(生物种群!$D:$D)),),))))</f>
        <v/>
      </c>
      <c r="J255" s="37" t="str">
        <f>IF(A255&amp;B255&amp;C255="","",INDEX(生物种群!$J$2:INDEX(生物种群!$J:$J,COUNTA(生物种群!$J:$J)),MATCH($I255,生物种群!$B$2:INDEX(生物种群!$B:$B,COUNTA(生物种群!$B:$B)),),))</f>
        <v/>
      </c>
      <c r="K255" s="37" t="str">
        <f>IF(A255&amp;B255&amp;C255="","",INDEX(生物种群!$E$2:INDEX(生物种群!$E:$E,COUNTA(生物种群!$E:$E)),MATCH($I255,生物种群!$B$2:INDEX(生物种群!$B:$B,COUNTA(生物种群!$B:$B)),),))</f>
        <v/>
      </c>
      <c r="L255" s="37" t="str">
        <f>IF(A255&amp;B255&amp;C255="","",INDEX(生物种群!$F$3:INDEX(生物种群!$F:$F,COUNTA(生物种群!$F:$F)),MATCH($I255,生物种群!$B$3:INDEX(生物种群!$B:$B,COUNTA(生物种群!$B:$B)),),))</f>
        <v/>
      </c>
      <c r="M255" s="37" t="str">
        <f t="shared" si="6"/>
        <v/>
      </c>
      <c r="N255" s="37" t="str">
        <f t="shared" si="7"/>
        <v/>
      </c>
      <c r="O255" s="9"/>
      <c r="P255" s="10"/>
    </row>
    <row r="256" spans="1:16" ht="20.1" customHeight="1">
      <c r="A256" s="9"/>
      <c r="B256" s="9"/>
      <c r="C256" s="9"/>
      <c r="D256" s="43"/>
      <c r="E256" s="9"/>
      <c r="F256" s="9"/>
      <c r="G256" s="47" t="str">
        <f>IF(F256="","",INDEX(站位样品信息!$B$3:INDEX(站位样品信息!$B:$B,COUNTA(站位样品信息!$B:$B)+1),MATCH($F256,站位样品信息!$A$3:INDEX(站位样品信息!$A:$A,COUNTA(站位样品信息!$A:$A)+1),),))</f>
        <v/>
      </c>
      <c r="H256" s="37" t="str">
        <f>IF(A256&amp;B256&amp;C256="","",INDEX(生物种群!$A$2:INDEX(生物种群!$A:$A,COUNTA(生物种群!$A:$A)),MATCH($I256,生物种群!$B$2:INDEX(生物种群!$B:$B,COUNTA(生物种群!$B:$B)),),))</f>
        <v/>
      </c>
      <c r="I256" s="37" t="str">
        <f>IF(A256&amp;B256&amp;C256="","",IF($C256&lt;&gt;0,INDEX(生物种群!$B$2:INDEX(生物种群!$B:$B,COUNTA(生物种群!$B:$B)),MATCH($C256,生物种群!$G$2:INDEX(生物种群!$G:$G,COUNTA(生物种群!$G:$G)),),),IF($A256&lt;&gt;0,INDEX(生物种群!$B$2:INDEX(生物种群!$B:$B,COUNTA(生物种群!$B:$B)),MATCH($A256,生物种群!$C$2:INDEX(生物种群!$C:$C,COUNTA(生物种群!$C:$C)),),),INDEX(生物种群!$B$2:INDEX(生物种群!$B:$B,COUNTA(生物种群!$B:$B)),MATCH($B256,生物种群!$D$2:INDEX(生物种群!$D:$D,COUNTA(生物种群!$D:$D)),),))))</f>
        <v/>
      </c>
      <c r="J256" s="37" t="str">
        <f>IF(A256&amp;B256&amp;C256="","",INDEX(生物种群!$J$2:INDEX(生物种群!$J:$J,COUNTA(生物种群!$J:$J)),MATCH($I256,生物种群!$B$2:INDEX(生物种群!$B:$B,COUNTA(生物种群!$B:$B)),),))</f>
        <v/>
      </c>
      <c r="K256" s="37" t="str">
        <f>IF(A256&amp;B256&amp;C256="","",INDEX(生物种群!$E$2:INDEX(生物种群!$E:$E,COUNTA(生物种群!$E:$E)),MATCH($I256,生物种群!$B$2:INDEX(生物种群!$B:$B,COUNTA(生物种群!$B:$B)),),))</f>
        <v/>
      </c>
      <c r="L256" s="37" t="str">
        <f>IF(A256&amp;B256&amp;C256="","",INDEX(生物种群!$F$3:INDEX(生物种群!$F:$F,COUNTA(生物种群!$F:$F)),MATCH($I256,生物种群!$B$3:INDEX(生物种群!$B:$B,COUNTA(生物种群!$B:$B)),),))</f>
        <v/>
      </c>
      <c r="M256" s="37" t="str">
        <f t="shared" si="6"/>
        <v/>
      </c>
      <c r="N256" s="37" t="str">
        <f t="shared" si="7"/>
        <v/>
      </c>
      <c r="O256" s="9"/>
      <c r="P256" s="10"/>
    </row>
    <row r="257" spans="1:16" ht="20.1" customHeight="1">
      <c r="A257" s="9"/>
      <c r="B257" s="9"/>
      <c r="C257" s="9"/>
      <c r="D257" s="43"/>
      <c r="E257" s="9"/>
      <c r="F257" s="9"/>
      <c r="G257" s="47" t="str">
        <f>IF(F257="","",INDEX(站位样品信息!$B$3:INDEX(站位样品信息!$B:$B,COUNTA(站位样品信息!$B:$B)+1),MATCH($F257,站位样品信息!$A$3:INDEX(站位样品信息!$A:$A,COUNTA(站位样品信息!$A:$A)+1),),))</f>
        <v/>
      </c>
      <c r="H257" s="37" t="str">
        <f>IF(A257&amp;B257&amp;C257="","",INDEX(生物种群!$A$2:INDEX(生物种群!$A:$A,COUNTA(生物种群!$A:$A)),MATCH($I257,生物种群!$B$2:INDEX(生物种群!$B:$B,COUNTA(生物种群!$B:$B)),),))</f>
        <v/>
      </c>
      <c r="I257" s="37" t="str">
        <f>IF(A257&amp;B257&amp;C257="","",IF($C257&lt;&gt;0,INDEX(生物种群!$B$2:INDEX(生物种群!$B:$B,COUNTA(生物种群!$B:$B)),MATCH($C257,生物种群!$G$2:INDEX(生物种群!$G:$G,COUNTA(生物种群!$G:$G)),),),IF($A257&lt;&gt;0,INDEX(生物种群!$B$2:INDEX(生物种群!$B:$B,COUNTA(生物种群!$B:$B)),MATCH($A257,生物种群!$C$2:INDEX(生物种群!$C:$C,COUNTA(生物种群!$C:$C)),),),INDEX(生物种群!$B$2:INDEX(生物种群!$B:$B,COUNTA(生物种群!$B:$B)),MATCH($B257,生物种群!$D$2:INDEX(生物种群!$D:$D,COUNTA(生物种群!$D:$D)),),))))</f>
        <v/>
      </c>
      <c r="J257" s="37" t="str">
        <f>IF(A257&amp;B257&amp;C257="","",INDEX(生物种群!$J$2:INDEX(生物种群!$J:$J,COUNTA(生物种群!$J:$J)),MATCH($I257,生物种群!$B$2:INDEX(生物种群!$B:$B,COUNTA(生物种群!$B:$B)),),))</f>
        <v/>
      </c>
      <c r="K257" s="37" t="str">
        <f>IF(A257&amp;B257&amp;C257="","",INDEX(生物种群!$E$2:INDEX(生物种群!$E:$E,COUNTA(生物种群!$E:$E)),MATCH($I257,生物种群!$B$2:INDEX(生物种群!$B:$B,COUNTA(生物种群!$B:$B)),),))</f>
        <v/>
      </c>
      <c r="L257" s="37" t="str">
        <f>IF(A257&amp;B257&amp;C257="","",INDEX(生物种群!$F$3:INDEX(生物种群!$F:$F,COUNTA(生物种群!$F:$F)),MATCH($I257,生物种群!$B$3:INDEX(生物种群!$B:$B,COUNTA(生物种群!$B:$B)),),))</f>
        <v/>
      </c>
      <c r="M257" s="37" t="str">
        <f t="shared" si="6"/>
        <v/>
      </c>
      <c r="N257" s="37" t="str">
        <f t="shared" si="7"/>
        <v/>
      </c>
      <c r="O257" s="9"/>
      <c r="P257" s="10"/>
    </row>
    <row r="258" spans="1:16" ht="20.1" customHeight="1">
      <c r="A258" s="9"/>
      <c r="B258" s="9"/>
      <c r="C258" s="9"/>
      <c r="D258" s="43"/>
      <c r="E258" s="9"/>
      <c r="F258" s="9"/>
      <c r="G258" s="47" t="str">
        <f>IF(F258="","",INDEX(站位样品信息!$B$3:INDEX(站位样品信息!$B:$B,COUNTA(站位样品信息!$B:$B)+1),MATCH($F258,站位样品信息!$A$3:INDEX(站位样品信息!$A:$A,COUNTA(站位样品信息!$A:$A)+1),),))</f>
        <v/>
      </c>
      <c r="H258" s="37" t="str">
        <f>IF(A258&amp;B258&amp;C258="","",INDEX(生物种群!$A$2:INDEX(生物种群!$A:$A,COUNTA(生物种群!$A:$A)),MATCH($I258,生物种群!$B$2:INDEX(生物种群!$B:$B,COUNTA(生物种群!$B:$B)),),))</f>
        <v/>
      </c>
      <c r="I258" s="37" t="str">
        <f>IF(A258&amp;B258&amp;C258="","",IF($C258&lt;&gt;0,INDEX(生物种群!$B$2:INDEX(生物种群!$B:$B,COUNTA(生物种群!$B:$B)),MATCH($C258,生物种群!$G$2:INDEX(生物种群!$G:$G,COUNTA(生物种群!$G:$G)),),),IF($A258&lt;&gt;0,INDEX(生物种群!$B$2:INDEX(生物种群!$B:$B,COUNTA(生物种群!$B:$B)),MATCH($A258,生物种群!$C$2:INDEX(生物种群!$C:$C,COUNTA(生物种群!$C:$C)),),),INDEX(生物种群!$B$2:INDEX(生物种群!$B:$B,COUNTA(生物种群!$B:$B)),MATCH($B258,生物种群!$D$2:INDEX(生物种群!$D:$D,COUNTA(生物种群!$D:$D)),),))))</f>
        <v/>
      </c>
      <c r="J258" s="37" t="str">
        <f>IF(A258&amp;B258&amp;C258="","",INDEX(生物种群!$J$2:INDEX(生物种群!$J:$J,COUNTA(生物种群!$J:$J)),MATCH($I258,生物种群!$B$2:INDEX(生物种群!$B:$B,COUNTA(生物种群!$B:$B)),),))</f>
        <v/>
      </c>
      <c r="K258" s="37" t="str">
        <f>IF(A258&amp;B258&amp;C258="","",INDEX(生物种群!$E$2:INDEX(生物种群!$E:$E,COUNTA(生物种群!$E:$E)),MATCH($I258,生物种群!$B$2:INDEX(生物种群!$B:$B,COUNTA(生物种群!$B:$B)),),))</f>
        <v/>
      </c>
      <c r="L258" s="37" t="str">
        <f>IF(A258&amp;B258&amp;C258="","",INDEX(生物种群!$F$3:INDEX(生物种群!$F:$F,COUNTA(生物种群!$F:$F)),MATCH($I258,生物种群!$B$3:INDEX(生物种群!$B:$B,COUNTA(生物种群!$B:$B)),),))</f>
        <v/>
      </c>
      <c r="M258" s="37" t="str">
        <f t="shared" si="6"/>
        <v/>
      </c>
      <c r="N258" s="37" t="str">
        <f t="shared" si="7"/>
        <v/>
      </c>
      <c r="O258" s="9"/>
      <c r="P258" s="10"/>
    </row>
    <row r="259" spans="1:16" ht="20.1" customHeight="1">
      <c r="A259" s="9"/>
      <c r="B259" s="9"/>
      <c r="C259" s="9"/>
      <c r="D259" s="43"/>
      <c r="E259" s="9"/>
      <c r="F259" s="9"/>
      <c r="G259" s="47" t="str">
        <f>IF(F259="","",INDEX(站位样品信息!$B$3:INDEX(站位样品信息!$B:$B,COUNTA(站位样品信息!$B:$B)+1),MATCH($F259,站位样品信息!$A$3:INDEX(站位样品信息!$A:$A,COUNTA(站位样品信息!$A:$A)+1),),))</f>
        <v/>
      </c>
      <c r="H259" s="37" t="str">
        <f>IF(A259&amp;B259&amp;C259="","",INDEX(生物种群!$A$2:INDEX(生物种群!$A:$A,COUNTA(生物种群!$A:$A)),MATCH($I259,生物种群!$B$2:INDEX(生物种群!$B:$B,COUNTA(生物种群!$B:$B)),),))</f>
        <v/>
      </c>
      <c r="I259" s="37" t="str">
        <f>IF(A259&amp;B259&amp;C259="","",IF($C259&lt;&gt;0,INDEX(生物种群!$B$2:INDEX(生物种群!$B:$B,COUNTA(生物种群!$B:$B)),MATCH($C259,生物种群!$G$2:INDEX(生物种群!$G:$G,COUNTA(生物种群!$G:$G)),),),IF($A259&lt;&gt;0,INDEX(生物种群!$B$2:INDEX(生物种群!$B:$B,COUNTA(生物种群!$B:$B)),MATCH($A259,生物种群!$C$2:INDEX(生物种群!$C:$C,COUNTA(生物种群!$C:$C)),),),INDEX(生物种群!$B$2:INDEX(生物种群!$B:$B,COUNTA(生物种群!$B:$B)),MATCH($B259,生物种群!$D$2:INDEX(生物种群!$D:$D,COUNTA(生物种群!$D:$D)),),))))</f>
        <v/>
      </c>
      <c r="J259" s="37" t="str">
        <f>IF(A259&amp;B259&amp;C259="","",INDEX(生物种群!$J$2:INDEX(生物种群!$J:$J,COUNTA(生物种群!$J:$J)),MATCH($I259,生物种群!$B$2:INDEX(生物种群!$B:$B,COUNTA(生物种群!$B:$B)),),))</f>
        <v/>
      </c>
      <c r="K259" s="37" t="str">
        <f>IF(A259&amp;B259&amp;C259="","",INDEX(生物种群!$E$2:INDEX(生物种群!$E:$E,COUNTA(生物种群!$E:$E)),MATCH($I259,生物种群!$B$2:INDEX(生物种群!$B:$B,COUNTA(生物种群!$B:$B)),),))</f>
        <v/>
      </c>
      <c r="L259" s="37" t="str">
        <f>IF(A259&amp;B259&amp;C259="","",INDEX(生物种群!$F$3:INDEX(生物种群!$F:$F,COUNTA(生物种群!$F:$F)),MATCH($I259,生物种群!$B$3:INDEX(生物种群!$B:$B,COUNTA(生物种群!$B:$B)),),))</f>
        <v/>
      </c>
      <c r="M259" s="37" t="str">
        <f t="shared" si="8" ref="M259:M322">IF(F259&gt;0,F259&amp;I259&amp;E259,"")</f>
        <v/>
      </c>
      <c r="N259" s="37" t="str">
        <f t="shared" si="9" ref="N259:N322">IF(COUNTIF($M:$M,M259)=1,"",IF(A259&amp;B259&amp;C259="","","重复"))</f>
        <v/>
      </c>
      <c r="O259" s="9"/>
      <c r="P259" s="10"/>
    </row>
    <row r="260" spans="1:16" ht="20.1" customHeight="1">
      <c r="A260" s="9"/>
      <c r="B260" s="9"/>
      <c r="C260" s="9"/>
      <c r="D260" s="43"/>
      <c r="E260" s="9"/>
      <c r="F260" s="9"/>
      <c r="G260" s="47" t="str">
        <f>IF(F260="","",INDEX(站位样品信息!$B$3:INDEX(站位样品信息!$B:$B,COUNTA(站位样品信息!$B:$B)+1),MATCH($F260,站位样品信息!$A$3:INDEX(站位样品信息!$A:$A,COUNTA(站位样品信息!$A:$A)+1),),))</f>
        <v/>
      </c>
      <c r="H260" s="37" t="str">
        <f>IF(A260&amp;B260&amp;C260="","",INDEX(生物种群!$A$2:INDEX(生物种群!$A:$A,COUNTA(生物种群!$A:$A)),MATCH($I260,生物种群!$B$2:INDEX(生物种群!$B:$B,COUNTA(生物种群!$B:$B)),),))</f>
        <v/>
      </c>
      <c r="I260" s="37" t="str">
        <f>IF(A260&amp;B260&amp;C260="","",IF($C260&lt;&gt;0,INDEX(生物种群!$B$2:INDEX(生物种群!$B:$B,COUNTA(生物种群!$B:$B)),MATCH($C260,生物种群!$G$2:INDEX(生物种群!$G:$G,COUNTA(生物种群!$G:$G)),),),IF($A260&lt;&gt;0,INDEX(生物种群!$B$2:INDEX(生物种群!$B:$B,COUNTA(生物种群!$B:$B)),MATCH($A260,生物种群!$C$2:INDEX(生物种群!$C:$C,COUNTA(生物种群!$C:$C)),),),INDEX(生物种群!$B$2:INDEX(生物种群!$B:$B,COUNTA(生物种群!$B:$B)),MATCH($B260,生物种群!$D$2:INDEX(生物种群!$D:$D,COUNTA(生物种群!$D:$D)),),))))</f>
        <v/>
      </c>
      <c r="J260" s="37" t="str">
        <f>IF(A260&amp;B260&amp;C260="","",INDEX(生物种群!$J$2:INDEX(生物种群!$J:$J,COUNTA(生物种群!$J:$J)),MATCH($I260,生物种群!$B$2:INDEX(生物种群!$B:$B,COUNTA(生物种群!$B:$B)),),))</f>
        <v/>
      </c>
      <c r="K260" s="37" t="str">
        <f>IF(A260&amp;B260&amp;C260="","",INDEX(生物种群!$E$2:INDEX(生物种群!$E:$E,COUNTA(生物种群!$E:$E)),MATCH($I260,生物种群!$B$2:INDEX(生物种群!$B:$B,COUNTA(生物种群!$B:$B)),),))</f>
        <v/>
      </c>
      <c r="L260" s="37" t="str">
        <f>IF(A260&amp;B260&amp;C260="","",INDEX(生物种群!$F$3:INDEX(生物种群!$F:$F,COUNTA(生物种群!$F:$F)),MATCH($I260,生物种群!$B$3:INDEX(生物种群!$B:$B,COUNTA(生物种群!$B:$B)),),))</f>
        <v/>
      </c>
      <c r="M260" s="37" t="str">
        <f t="shared" si="8"/>
        <v/>
      </c>
      <c r="N260" s="37" t="str">
        <f t="shared" si="9"/>
        <v/>
      </c>
      <c r="O260" s="9"/>
      <c r="P260" s="10"/>
    </row>
    <row r="261" spans="1:16" ht="20.1" customHeight="1">
      <c r="A261" s="9"/>
      <c r="B261" s="9"/>
      <c r="C261" s="9"/>
      <c r="D261" s="43"/>
      <c r="E261" s="9"/>
      <c r="F261" s="9"/>
      <c r="G261" s="47" t="str">
        <f>IF(F261="","",INDEX(站位样品信息!$B$3:INDEX(站位样品信息!$B:$B,COUNTA(站位样品信息!$B:$B)+1),MATCH($F261,站位样品信息!$A$3:INDEX(站位样品信息!$A:$A,COUNTA(站位样品信息!$A:$A)+1),),))</f>
        <v/>
      </c>
      <c r="H261" s="37" t="str">
        <f>IF(A261&amp;B261&amp;C261="","",INDEX(生物种群!$A$2:INDEX(生物种群!$A:$A,COUNTA(生物种群!$A:$A)),MATCH($I261,生物种群!$B$2:INDEX(生物种群!$B:$B,COUNTA(生物种群!$B:$B)),),))</f>
        <v/>
      </c>
      <c r="I261" s="37" t="str">
        <f>IF(A261&amp;B261&amp;C261="","",IF($C261&lt;&gt;0,INDEX(生物种群!$B$2:INDEX(生物种群!$B:$B,COUNTA(生物种群!$B:$B)),MATCH($C261,生物种群!$G$2:INDEX(生物种群!$G:$G,COUNTA(生物种群!$G:$G)),),),IF($A261&lt;&gt;0,INDEX(生物种群!$B$2:INDEX(生物种群!$B:$B,COUNTA(生物种群!$B:$B)),MATCH($A261,生物种群!$C$2:INDEX(生物种群!$C:$C,COUNTA(生物种群!$C:$C)),),),INDEX(生物种群!$B$2:INDEX(生物种群!$B:$B,COUNTA(生物种群!$B:$B)),MATCH($B261,生物种群!$D$2:INDEX(生物种群!$D:$D,COUNTA(生物种群!$D:$D)),),))))</f>
        <v/>
      </c>
      <c r="J261" s="37" t="str">
        <f>IF(A261&amp;B261&amp;C261="","",INDEX(生物种群!$J$2:INDEX(生物种群!$J:$J,COUNTA(生物种群!$J:$J)),MATCH($I261,生物种群!$B$2:INDEX(生物种群!$B:$B,COUNTA(生物种群!$B:$B)),),))</f>
        <v/>
      </c>
      <c r="K261" s="37" t="str">
        <f>IF(A261&amp;B261&amp;C261="","",INDEX(生物种群!$E$2:INDEX(生物种群!$E:$E,COUNTA(生物种群!$E:$E)),MATCH($I261,生物种群!$B$2:INDEX(生物种群!$B:$B,COUNTA(生物种群!$B:$B)),),))</f>
        <v/>
      </c>
      <c r="L261" s="37" t="str">
        <f>IF(A261&amp;B261&amp;C261="","",INDEX(生物种群!$F$3:INDEX(生物种群!$F:$F,COUNTA(生物种群!$F:$F)),MATCH($I261,生物种群!$B$3:INDEX(生物种群!$B:$B,COUNTA(生物种群!$B:$B)),),))</f>
        <v/>
      </c>
      <c r="M261" s="37" t="str">
        <f t="shared" si="8"/>
        <v/>
      </c>
      <c r="N261" s="37" t="str">
        <f t="shared" si="9"/>
        <v/>
      </c>
      <c r="O261" s="9"/>
      <c r="P261" s="10"/>
    </row>
    <row r="262" spans="1:16" ht="20.1" customHeight="1">
      <c r="A262" s="9"/>
      <c r="B262" s="9"/>
      <c r="C262" s="9"/>
      <c r="D262" s="43"/>
      <c r="E262" s="9"/>
      <c r="F262" s="9"/>
      <c r="G262" s="47" t="str">
        <f>IF(F262="","",INDEX(站位样品信息!$B$3:INDEX(站位样品信息!$B:$B,COUNTA(站位样品信息!$B:$B)+1),MATCH($F262,站位样品信息!$A$3:INDEX(站位样品信息!$A:$A,COUNTA(站位样品信息!$A:$A)+1),),))</f>
        <v/>
      </c>
      <c r="H262" s="37" t="str">
        <f>IF(A262&amp;B262&amp;C262="","",INDEX(生物种群!$A$2:INDEX(生物种群!$A:$A,COUNTA(生物种群!$A:$A)),MATCH($I262,生物种群!$B$2:INDEX(生物种群!$B:$B,COUNTA(生物种群!$B:$B)),),))</f>
        <v/>
      </c>
      <c r="I262" s="37" t="str">
        <f>IF(A262&amp;B262&amp;C262="","",IF($C262&lt;&gt;0,INDEX(生物种群!$B$2:INDEX(生物种群!$B:$B,COUNTA(生物种群!$B:$B)),MATCH($C262,生物种群!$G$2:INDEX(生物种群!$G:$G,COUNTA(生物种群!$G:$G)),),),IF($A262&lt;&gt;0,INDEX(生物种群!$B$2:INDEX(生物种群!$B:$B,COUNTA(生物种群!$B:$B)),MATCH($A262,生物种群!$C$2:INDEX(生物种群!$C:$C,COUNTA(生物种群!$C:$C)),),),INDEX(生物种群!$B$2:INDEX(生物种群!$B:$B,COUNTA(生物种群!$B:$B)),MATCH($B262,生物种群!$D$2:INDEX(生物种群!$D:$D,COUNTA(生物种群!$D:$D)),),))))</f>
        <v/>
      </c>
      <c r="J262" s="37" t="str">
        <f>IF(A262&amp;B262&amp;C262="","",INDEX(生物种群!$J$2:INDEX(生物种群!$J:$J,COUNTA(生物种群!$J:$J)),MATCH($I262,生物种群!$B$2:INDEX(生物种群!$B:$B,COUNTA(生物种群!$B:$B)),),))</f>
        <v/>
      </c>
      <c r="K262" s="37" t="str">
        <f>IF(A262&amp;B262&amp;C262="","",INDEX(生物种群!$E$2:INDEX(生物种群!$E:$E,COUNTA(生物种群!$E:$E)),MATCH($I262,生物种群!$B$2:INDEX(生物种群!$B:$B,COUNTA(生物种群!$B:$B)),),))</f>
        <v/>
      </c>
      <c r="L262" s="37" t="str">
        <f>IF(A262&amp;B262&amp;C262="","",INDEX(生物种群!$F$3:INDEX(生物种群!$F:$F,COUNTA(生物种群!$F:$F)),MATCH($I262,生物种群!$B$3:INDEX(生物种群!$B:$B,COUNTA(生物种群!$B:$B)),),))</f>
        <v/>
      </c>
      <c r="M262" s="37" t="str">
        <f t="shared" si="8"/>
        <v/>
      </c>
      <c r="N262" s="37" t="str">
        <f t="shared" si="9"/>
        <v/>
      </c>
      <c r="O262" s="9"/>
      <c r="P262" s="10"/>
    </row>
    <row r="263" spans="1:16" ht="20.1" customHeight="1">
      <c r="A263" s="9"/>
      <c r="B263" s="9"/>
      <c r="C263" s="9"/>
      <c r="D263" s="43"/>
      <c r="E263" s="9"/>
      <c r="F263" s="9"/>
      <c r="G263" s="47" t="str">
        <f>IF(F263="","",INDEX(站位样品信息!$B$3:INDEX(站位样品信息!$B:$B,COUNTA(站位样品信息!$B:$B)+1),MATCH($F263,站位样品信息!$A$3:INDEX(站位样品信息!$A:$A,COUNTA(站位样品信息!$A:$A)+1),),))</f>
        <v/>
      </c>
      <c r="H263" s="37" t="str">
        <f>IF(A263&amp;B263&amp;C263="","",INDEX(生物种群!$A$2:INDEX(生物种群!$A:$A,COUNTA(生物种群!$A:$A)),MATCH($I263,生物种群!$B$2:INDEX(生物种群!$B:$B,COUNTA(生物种群!$B:$B)),),))</f>
        <v/>
      </c>
      <c r="I263" s="37" t="str">
        <f>IF(A263&amp;B263&amp;C263="","",IF($C263&lt;&gt;0,INDEX(生物种群!$B$2:INDEX(生物种群!$B:$B,COUNTA(生物种群!$B:$B)),MATCH($C263,生物种群!$G$2:INDEX(生物种群!$G:$G,COUNTA(生物种群!$G:$G)),),),IF($A263&lt;&gt;0,INDEX(生物种群!$B$2:INDEX(生物种群!$B:$B,COUNTA(生物种群!$B:$B)),MATCH($A263,生物种群!$C$2:INDEX(生物种群!$C:$C,COUNTA(生物种群!$C:$C)),),),INDEX(生物种群!$B$2:INDEX(生物种群!$B:$B,COUNTA(生物种群!$B:$B)),MATCH($B263,生物种群!$D$2:INDEX(生物种群!$D:$D,COUNTA(生物种群!$D:$D)),),))))</f>
        <v/>
      </c>
      <c r="J263" s="37" t="str">
        <f>IF(A263&amp;B263&amp;C263="","",INDEX(生物种群!$J$2:INDEX(生物种群!$J:$J,COUNTA(生物种群!$J:$J)),MATCH($I263,生物种群!$B$2:INDEX(生物种群!$B:$B,COUNTA(生物种群!$B:$B)),),))</f>
        <v/>
      </c>
      <c r="K263" s="37" t="str">
        <f>IF(A263&amp;B263&amp;C263="","",INDEX(生物种群!$E$2:INDEX(生物种群!$E:$E,COUNTA(生物种群!$E:$E)),MATCH($I263,生物种群!$B$2:INDEX(生物种群!$B:$B,COUNTA(生物种群!$B:$B)),),))</f>
        <v/>
      </c>
      <c r="L263" s="37" t="str">
        <f>IF(A263&amp;B263&amp;C263="","",INDEX(生物种群!$F$3:INDEX(生物种群!$F:$F,COUNTA(生物种群!$F:$F)),MATCH($I263,生物种群!$B$3:INDEX(生物种群!$B:$B,COUNTA(生物种群!$B:$B)),),))</f>
        <v/>
      </c>
      <c r="M263" s="37" t="str">
        <f t="shared" si="8"/>
        <v/>
      </c>
      <c r="N263" s="37" t="str">
        <f t="shared" si="9"/>
        <v/>
      </c>
      <c r="O263" s="9"/>
      <c r="P263" s="10"/>
    </row>
    <row r="264" spans="1:16" ht="20.1" customHeight="1">
      <c r="A264" s="9"/>
      <c r="B264" s="9"/>
      <c r="C264" s="9"/>
      <c r="D264" s="43"/>
      <c r="E264" s="9"/>
      <c r="F264" s="9"/>
      <c r="G264" s="47" t="str">
        <f>IF(F264="","",INDEX(站位样品信息!$B$3:INDEX(站位样品信息!$B:$B,COUNTA(站位样品信息!$B:$B)+1),MATCH($F264,站位样品信息!$A$3:INDEX(站位样品信息!$A:$A,COUNTA(站位样品信息!$A:$A)+1),),))</f>
        <v/>
      </c>
      <c r="H264" s="37" t="str">
        <f>IF(A264&amp;B264&amp;C264="","",INDEX(生物种群!$A$2:INDEX(生物种群!$A:$A,COUNTA(生物种群!$A:$A)),MATCH($I264,生物种群!$B$2:INDEX(生物种群!$B:$B,COUNTA(生物种群!$B:$B)),),))</f>
        <v/>
      </c>
      <c r="I264" s="37" t="str">
        <f>IF(A264&amp;B264&amp;C264="","",IF($C264&lt;&gt;0,INDEX(生物种群!$B$2:INDEX(生物种群!$B:$B,COUNTA(生物种群!$B:$B)),MATCH($C264,生物种群!$G$2:INDEX(生物种群!$G:$G,COUNTA(生物种群!$G:$G)),),),IF($A264&lt;&gt;0,INDEX(生物种群!$B$2:INDEX(生物种群!$B:$B,COUNTA(生物种群!$B:$B)),MATCH($A264,生物种群!$C$2:INDEX(生物种群!$C:$C,COUNTA(生物种群!$C:$C)),),),INDEX(生物种群!$B$2:INDEX(生物种群!$B:$B,COUNTA(生物种群!$B:$B)),MATCH($B264,生物种群!$D$2:INDEX(生物种群!$D:$D,COUNTA(生物种群!$D:$D)),),))))</f>
        <v/>
      </c>
      <c r="J264" s="37" t="str">
        <f>IF(A264&amp;B264&amp;C264="","",INDEX(生物种群!$J$2:INDEX(生物种群!$J:$J,COUNTA(生物种群!$J:$J)),MATCH($I264,生物种群!$B$2:INDEX(生物种群!$B:$B,COUNTA(生物种群!$B:$B)),),))</f>
        <v/>
      </c>
      <c r="K264" s="37" t="str">
        <f>IF(A264&amp;B264&amp;C264="","",INDEX(生物种群!$E$2:INDEX(生物种群!$E:$E,COUNTA(生物种群!$E:$E)),MATCH($I264,生物种群!$B$2:INDEX(生物种群!$B:$B,COUNTA(生物种群!$B:$B)),),))</f>
        <v/>
      </c>
      <c r="L264" s="37" t="str">
        <f>IF(A264&amp;B264&amp;C264="","",INDEX(生物种群!$F$3:INDEX(生物种群!$F:$F,COUNTA(生物种群!$F:$F)),MATCH($I264,生物种群!$B$3:INDEX(生物种群!$B:$B,COUNTA(生物种群!$B:$B)),),))</f>
        <v/>
      </c>
      <c r="M264" s="37" t="str">
        <f t="shared" si="8"/>
        <v/>
      </c>
      <c r="N264" s="37" t="str">
        <f t="shared" si="9"/>
        <v/>
      </c>
      <c r="O264" s="9"/>
      <c r="P264" s="10"/>
    </row>
    <row r="265" spans="1:16" ht="20.1" customHeight="1">
      <c r="A265" s="9"/>
      <c r="B265" s="9"/>
      <c r="C265" s="9"/>
      <c r="D265" s="43"/>
      <c r="E265" s="9"/>
      <c r="F265" s="9"/>
      <c r="G265" s="47" t="str">
        <f>IF(F265="","",INDEX(站位样品信息!$B$3:INDEX(站位样品信息!$B:$B,COUNTA(站位样品信息!$B:$B)+1),MATCH($F265,站位样品信息!$A$3:INDEX(站位样品信息!$A:$A,COUNTA(站位样品信息!$A:$A)+1),),))</f>
        <v/>
      </c>
      <c r="H265" s="37" t="str">
        <f>IF(A265&amp;B265&amp;C265="","",INDEX(生物种群!$A$2:INDEX(生物种群!$A:$A,COUNTA(生物种群!$A:$A)),MATCH($I265,生物种群!$B$2:INDEX(生物种群!$B:$B,COUNTA(生物种群!$B:$B)),),))</f>
        <v/>
      </c>
      <c r="I265" s="37" t="str">
        <f>IF(A265&amp;B265&amp;C265="","",IF($C265&lt;&gt;0,INDEX(生物种群!$B$2:INDEX(生物种群!$B:$B,COUNTA(生物种群!$B:$B)),MATCH($C265,生物种群!$G$2:INDEX(生物种群!$G:$G,COUNTA(生物种群!$G:$G)),),),IF($A265&lt;&gt;0,INDEX(生物种群!$B$2:INDEX(生物种群!$B:$B,COUNTA(生物种群!$B:$B)),MATCH($A265,生物种群!$C$2:INDEX(生物种群!$C:$C,COUNTA(生物种群!$C:$C)),),),INDEX(生物种群!$B$2:INDEX(生物种群!$B:$B,COUNTA(生物种群!$B:$B)),MATCH($B265,生物种群!$D$2:INDEX(生物种群!$D:$D,COUNTA(生物种群!$D:$D)),),))))</f>
        <v/>
      </c>
      <c r="J265" s="37" t="str">
        <f>IF(A265&amp;B265&amp;C265="","",INDEX(生物种群!$J$2:INDEX(生物种群!$J:$J,COUNTA(生物种群!$J:$J)),MATCH($I265,生物种群!$B$2:INDEX(生物种群!$B:$B,COUNTA(生物种群!$B:$B)),),))</f>
        <v/>
      </c>
      <c r="K265" s="37" t="str">
        <f>IF(A265&amp;B265&amp;C265="","",INDEX(生物种群!$E$2:INDEX(生物种群!$E:$E,COUNTA(生物种群!$E:$E)),MATCH($I265,生物种群!$B$2:INDEX(生物种群!$B:$B,COUNTA(生物种群!$B:$B)),),))</f>
        <v/>
      </c>
      <c r="L265" s="37" t="str">
        <f>IF(A265&amp;B265&amp;C265="","",INDEX(生物种群!$F$3:INDEX(生物种群!$F:$F,COUNTA(生物种群!$F:$F)),MATCH($I265,生物种群!$B$3:INDEX(生物种群!$B:$B,COUNTA(生物种群!$B:$B)),),))</f>
        <v/>
      </c>
      <c r="M265" s="37" t="str">
        <f t="shared" si="8"/>
        <v/>
      </c>
      <c r="N265" s="37" t="str">
        <f t="shared" si="9"/>
        <v/>
      </c>
      <c r="O265" s="9"/>
      <c r="P265" s="10"/>
    </row>
    <row r="266" spans="1:16" ht="20.1" customHeight="1">
      <c r="A266" s="9"/>
      <c r="B266" s="9"/>
      <c r="C266" s="9"/>
      <c r="D266" s="43"/>
      <c r="E266" s="9"/>
      <c r="F266" s="9"/>
      <c r="G266" s="47" t="str">
        <f>IF(F266="","",INDEX(站位样品信息!$B$3:INDEX(站位样品信息!$B:$B,COUNTA(站位样品信息!$B:$B)+1),MATCH($F266,站位样品信息!$A$3:INDEX(站位样品信息!$A:$A,COUNTA(站位样品信息!$A:$A)+1),),))</f>
        <v/>
      </c>
      <c r="H266" s="37" t="str">
        <f>IF(A266&amp;B266&amp;C266="","",INDEX(生物种群!$A$2:INDEX(生物种群!$A:$A,COUNTA(生物种群!$A:$A)),MATCH($I266,生物种群!$B$2:INDEX(生物种群!$B:$B,COUNTA(生物种群!$B:$B)),),))</f>
        <v/>
      </c>
      <c r="I266" s="37" t="str">
        <f>IF(A266&amp;B266&amp;C266="","",IF($C266&lt;&gt;0,INDEX(生物种群!$B$2:INDEX(生物种群!$B:$B,COUNTA(生物种群!$B:$B)),MATCH($C266,生物种群!$G$2:INDEX(生物种群!$G:$G,COUNTA(生物种群!$G:$G)),),),IF($A266&lt;&gt;0,INDEX(生物种群!$B$2:INDEX(生物种群!$B:$B,COUNTA(生物种群!$B:$B)),MATCH($A266,生物种群!$C$2:INDEX(生物种群!$C:$C,COUNTA(生物种群!$C:$C)),),),INDEX(生物种群!$B$2:INDEX(生物种群!$B:$B,COUNTA(生物种群!$B:$B)),MATCH($B266,生物种群!$D$2:INDEX(生物种群!$D:$D,COUNTA(生物种群!$D:$D)),),))))</f>
        <v/>
      </c>
      <c r="J266" s="37" t="str">
        <f>IF(A266&amp;B266&amp;C266="","",INDEX(生物种群!$J$2:INDEX(生物种群!$J:$J,COUNTA(生物种群!$J:$J)),MATCH($I266,生物种群!$B$2:INDEX(生物种群!$B:$B,COUNTA(生物种群!$B:$B)),),))</f>
        <v/>
      </c>
      <c r="K266" s="37" t="str">
        <f>IF(A266&amp;B266&amp;C266="","",INDEX(生物种群!$E$2:INDEX(生物种群!$E:$E,COUNTA(生物种群!$E:$E)),MATCH($I266,生物种群!$B$2:INDEX(生物种群!$B:$B,COUNTA(生物种群!$B:$B)),),))</f>
        <v/>
      </c>
      <c r="L266" s="37" t="str">
        <f>IF(A266&amp;B266&amp;C266="","",INDEX(生物种群!$F$3:INDEX(生物种群!$F:$F,COUNTA(生物种群!$F:$F)),MATCH($I266,生物种群!$B$3:INDEX(生物种群!$B:$B,COUNTA(生物种群!$B:$B)),),))</f>
        <v/>
      </c>
      <c r="M266" s="37" t="str">
        <f t="shared" si="8"/>
        <v/>
      </c>
      <c r="N266" s="37" t="str">
        <f t="shared" si="9"/>
        <v/>
      </c>
      <c r="O266" s="9"/>
      <c r="P266" s="10"/>
    </row>
    <row r="267" spans="1:16" ht="20.1" customHeight="1">
      <c r="A267" s="9"/>
      <c r="B267" s="9"/>
      <c r="C267" s="9"/>
      <c r="D267" s="43"/>
      <c r="E267" s="9"/>
      <c r="F267" s="9"/>
      <c r="G267" s="47" t="str">
        <f>IF(F267="","",INDEX(站位样品信息!$B$3:INDEX(站位样品信息!$B:$B,COUNTA(站位样品信息!$B:$B)+1),MATCH($F267,站位样品信息!$A$3:INDEX(站位样品信息!$A:$A,COUNTA(站位样品信息!$A:$A)+1),),))</f>
        <v/>
      </c>
      <c r="H267" s="37" t="str">
        <f>IF(A267&amp;B267&amp;C267="","",INDEX(生物种群!$A$2:INDEX(生物种群!$A:$A,COUNTA(生物种群!$A:$A)),MATCH($I267,生物种群!$B$2:INDEX(生物种群!$B:$B,COUNTA(生物种群!$B:$B)),),))</f>
        <v/>
      </c>
      <c r="I267" s="37" t="str">
        <f>IF(A267&amp;B267&amp;C267="","",IF($C267&lt;&gt;0,INDEX(生物种群!$B$2:INDEX(生物种群!$B:$B,COUNTA(生物种群!$B:$B)),MATCH($C267,生物种群!$G$2:INDEX(生物种群!$G:$G,COUNTA(生物种群!$G:$G)),),),IF($A267&lt;&gt;0,INDEX(生物种群!$B$2:INDEX(生物种群!$B:$B,COUNTA(生物种群!$B:$B)),MATCH($A267,生物种群!$C$2:INDEX(生物种群!$C:$C,COUNTA(生物种群!$C:$C)),),),INDEX(生物种群!$B$2:INDEX(生物种群!$B:$B,COUNTA(生物种群!$B:$B)),MATCH($B267,生物种群!$D$2:INDEX(生物种群!$D:$D,COUNTA(生物种群!$D:$D)),),))))</f>
        <v/>
      </c>
      <c r="J267" s="37" t="str">
        <f>IF(A267&amp;B267&amp;C267="","",INDEX(生物种群!$J$2:INDEX(生物种群!$J:$J,COUNTA(生物种群!$J:$J)),MATCH($I267,生物种群!$B$2:INDEX(生物种群!$B:$B,COUNTA(生物种群!$B:$B)),),))</f>
        <v/>
      </c>
      <c r="K267" s="37" t="str">
        <f>IF(A267&amp;B267&amp;C267="","",INDEX(生物种群!$E$2:INDEX(生物种群!$E:$E,COUNTA(生物种群!$E:$E)),MATCH($I267,生物种群!$B$2:INDEX(生物种群!$B:$B,COUNTA(生物种群!$B:$B)),),))</f>
        <v/>
      </c>
      <c r="L267" s="37" t="str">
        <f>IF(A267&amp;B267&amp;C267="","",INDEX(生物种群!$F$3:INDEX(生物种群!$F:$F,COUNTA(生物种群!$F:$F)),MATCH($I267,生物种群!$B$3:INDEX(生物种群!$B:$B,COUNTA(生物种群!$B:$B)),),))</f>
        <v/>
      </c>
      <c r="M267" s="37" t="str">
        <f t="shared" si="8"/>
        <v/>
      </c>
      <c r="N267" s="37" t="str">
        <f t="shared" si="9"/>
        <v/>
      </c>
      <c r="O267" s="9"/>
      <c r="P267" s="10"/>
    </row>
    <row r="268" spans="1:16" ht="20.1" customHeight="1">
      <c r="A268" s="9"/>
      <c r="B268" s="9"/>
      <c r="C268" s="9"/>
      <c r="D268" s="43"/>
      <c r="E268" s="9"/>
      <c r="F268" s="9"/>
      <c r="G268" s="47" t="str">
        <f>IF(F268="","",INDEX(站位样品信息!$B$3:INDEX(站位样品信息!$B:$B,COUNTA(站位样品信息!$B:$B)+1),MATCH($F268,站位样品信息!$A$3:INDEX(站位样品信息!$A:$A,COUNTA(站位样品信息!$A:$A)+1),),))</f>
        <v/>
      </c>
      <c r="H268" s="37" t="str">
        <f>IF(A268&amp;B268&amp;C268="","",INDEX(生物种群!$A$2:INDEX(生物种群!$A:$A,COUNTA(生物种群!$A:$A)),MATCH($I268,生物种群!$B$2:INDEX(生物种群!$B:$B,COUNTA(生物种群!$B:$B)),),))</f>
        <v/>
      </c>
      <c r="I268" s="37" t="str">
        <f>IF(A268&amp;B268&amp;C268="","",IF($C268&lt;&gt;0,INDEX(生物种群!$B$2:INDEX(生物种群!$B:$B,COUNTA(生物种群!$B:$B)),MATCH($C268,生物种群!$G$2:INDEX(生物种群!$G:$G,COUNTA(生物种群!$G:$G)),),),IF($A268&lt;&gt;0,INDEX(生物种群!$B$2:INDEX(生物种群!$B:$B,COUNTA(生物种群!$B:$B)),MATCH($A268,生物种群!$C$2:INDEX(生物种群!$C:$C,COUNTA(生物种群!$C:$C)),),),INDEX(生物种群!$B$2:INDEX(生物种群!$B:$B,COUNTA(生物种群!$B:$B)),MATCH($B268,生物种群!$D$2:INDEX(生物种群!$D:$D,COUNTA(生物种群!$D:$D)),),))))</f>
        <v/>
      </c>
      <c r="J268" s="37" t="str">
        <f>IF(A268&amp;B268&amp;C268="","",INDEX(生物种群!$J$2:INDEX(生物种群!$J:$J,COUNTA(生物种群!$J:$J)),MATCH($I268,生物种群!$B$2:INDEX(生物种群!$B:$B,COUNTA(生物种群!$B:$B)),),))</f>
        <v/>
      </c>
      <c r="K268" s="37" t="str">
        <f>IF(A268&amp;B268&amp;C268="","",INDEX(生物种群!$E$2:INDEX(生物种群!$E:$E,COUNTA(生物种群!$E:$E)),MATCH($I268,生物种群!$B$2:INDEX(生物种群!$B:$B,COUNTA(生物种群!$B:$B)),),))</f>
        <v/>
      </c>
      <c r="L268" s="37" t="str">
        <f>IF(A268&amp;B268&amp;C268="","",INDEX(生物种群!$F$3:INDEX(生物种群!$F:$F,COUNTA(生物种群!$F:$F)),MATCH($I268,生物种群!$B$3:INDEX(生物种群!$B:$B,COUNTA(生物种群!$B:$B)),),))</f>
        <v/>
      </c>
      <c r="M268" s="37" t="str">
        <f t="shared" si="8"/>
        <v/>
      </c>
      <c r="N268" s="37" t="str">
        <f t="shared" si="9"/>
        <v/>
      </c>
      <c r="O268" s="9"/>
      <c r="P268" s="10"/>
    </row>
    <row r="269" spans="1:16" ht="20.1" customHeight="1">
      <c r="A269" s="9"/>
      <c r="B269" s="9"/>
      <c r="C269" s="9"/>
      <c r="D269" s="43"/>
      <c r="E269" s="9"/>
      <c r="F269" s="9"/>
      <c r="G269" s="47" t="str">
        <f>IF(F269="","",INDEX(站位样品信息!$B$3:INDEX(站位样品信息!$B:$B,COUNTA(站位样品信息!$B:$B)+1),MATCH($F269,站位样品信息!$A$3:INDEX(站位样品信息!$A:$A,COUNTA(站位样品信息!$A:$A)+1),),))</f>
        <v/>
      </c>
      <c r="H269" s="37" t="str">
        <f>IF(A269&amp;B269&amp;C269="","",INDEX(生物种群!$A$2:INDEX(生物种群!$A:$A,COUNTA(生物种群!$A:$A)),MATCH($I269,生物种群!$B$2:INDEX(生物种群!$B:$B,COUNTA(生物种群!$B:$B)),),))</f>
        <v/>
      </c>
      <c r="I269" s="37" t="str">
        <f>IF(A269&amp;B269&amp;C269="","",IF($C269&lt;&gt;0,INDEX(生物种群!$B$2:INDEX(生物种群!$B:$B,COUNTA(生物种群!$B:$B)),MATCH($C269,生物种群!$G$2:INDEX(生物种群!$G:$G,COUNTA(生物种群!$G:$G)),),),IF($A269&lt;&gt;0,INDEX(生物种群!$B$2:INDEX(生物种群!$B:$B,COUNTA(生物种群!$B:$B)),MATCH($A269,生物种群!$C$2:INDEX(生物种群!$C:$C,COUNTA(生物种群!$C:$C)),),),INDEX(生物种群!$B$2:INDEX(生物种群!$B:$B,COUNTA(生物种群!$B:$B)),MATCH($B269,生物种群!$D$2:INDEX(生物种群!$D:$D,COUNTA(生物种群!$D:$D)),),))))</f>
        <v/>
      </c>
      <c r="J269" s="37" t="str">
        <f>IF(A269&amp;B269&amp;C269="","",INDEX(生物种群!$J$2:INDEX(生物种群!$J:$J,COUNTA(生物种群!$J:$J)),MATCH($I269,生物种群!$B$2:INDEX(生物种群!$B:$B,COUNTA(生物种群!$B:$B)),),))</f>
        <v/>
      </c>
      <c r="K269" s="37" t="str">
        <f>IF(A269&amp;B269&amp;C269="","",INDEX(生物种群!$E$2:INDEX(生物种群!$E:$E,COUNTA(生物种群!$E:$E)),MATCH($I269,生物种群!$B$2:INDEX(生物种群!$B:$B,COUNTA(生物种群!$B:$B)),),))</f>
        <v/>
      </c>
      <c r="L269" s="37" t="str">
        <f>IF(A269&amp;B269&amp;C269="","",INDEX(生物种群!$F$3:INDEX(生物种群!$F:$F,COUNTA(生物种群!$F:$F)),MATCH($I269,生物种群!$B$3:INDEX(生物种群!$B:$B,COUNTA(生物种群!$B:$B)),),))</f>
        <v/>
      </c>
      <c r="M269" s="37" t="str">
        <f t="shared" si="8"/>
        <v/>
      </c>
      <c r="N269" s="37" t="str">
        <f t="shared" si="9"/>
        <v/>
      </c>
      <c r="O269" s="9"/>
      <c r="P269" s="10"/>
    </row>
    <row r="270" spans="1:16" ht="20.1" customHeight="1">
      <c r="A270" s="9"/>
      <c r="B270" s="9"/>
      <c r="C270" s="9"/>
      <c r="D270" s="43"/>
      <c r="E270" s="9"/>
      <c r="F270" s="9"/>
      <c r="G270" s="47" t="str">
        <f>IF(F270="","",INDEX(站位样品信息!$B$3:INDEX(站位样品信息!$B:$B,COUNTA(站位样品信息!$B:$B)+1),MATCH($F270,站位样品信息!$A$3:INDEX(站位样品信息!$A:$A,COUNTA(站位样品信息!$A:$A)+1),),))</f>
        <v/>
      </c>
      <c r="H270" s="37" t="str">
        <f>IF(A270&amp;B270&amp;C270="","",INDEX(生物种群!$A$2:INDEX(生物种群!$A:$A,COUNTA(生物种群!$A:$A)),MATCH($I270,生物种群!$B$2:INDEX(生物种群!$B:$B,COUNTA(生物种群!$B:$B)),),))</f>
        <v/>
      </c>
      <c r="I270" s="37" t="str">
        <f>IF(A270&amp;B270&amp;C270="","",IF($C270&lt;&gt;0,INDEX(生物种群!$B$2:INDEX(生物种群!$B:$B,COUNTA(生物种群!$B:$B)),MATCH($C270,生物种群!$G$2:INDEX(生物种群!$G:$G,COUNTA(生物种群!$G:$G)),),),IF($A270&lt;&gt;0,INDEX(生物种群!$B$2:INDEX(生物种群!$B:$B,COUNTA(生物种群!$B:$B)),MATCH($A270,生物种群!$C$2:INDEX(生物种群!$C:$C,COUNTA(生物种群!$C:$C)),),),INDEX(生物种群!$B$2:INDEX(生物种群!$B:$B,COUNTA(生物种群!$B:$B)),MATCH($B270,生物种群!$D$2:INDEX(生物种群!$D:$D,COUNTA(生物种群!$D:$D)),),))))</f>
        <v/>
      </c>
      <c r="J270" s="37" t="str">
        <f>IF(A270&amp;B270&amp;C270="","",INDEX(生物种群!$J$2:INDEX(生物种群!$J:$J,COUNTA(生物种群!$J:$J)),MATCH($I270,生物种群!$B$2:INDEX(生物种群!$B:$B,COUNTA(生物种群!$B:$B)),),))</f>
        <v/>
      </c>
      <c r="K270" s="37" t="str">
        <f>IF(A270&amp;B270&amp;C270="","",INDEX(生物种群!$E$2:INDEX(生物种群!$E:$E,COUNTA(生物种群!$E:$E)),MATCH($I270,生物种群!$B$2:INDEX(生物种群!$B:$B,COUNTA(生物种群!$B:$B)),),))</f>
        <v/>
      </c>
      <c r="L270" s="37" t="str">
        <f>IF(A270&amp;B270&amp;C270="","",INDEX(生物种群!$F$3:INDEX(生物种群!$F:$F,COUNTA(生物种群!$F:$F)),MATCH($I270,生物种群!$B$3:INDEX(生物种群!$B:$B,COUNTA(生物种群!$B:$B)),),))</f>
        <v/>
      </c>
      <c r="M270" s="37" t="str">
        <f t="shared" si="8"/>
        <v/>
      </c>
      <c r="N270" s="37" t="str">
        <f t="shared" si="9"/>
        <v/>
      </c>
      <c r="O270" s="9"/>
      <c r="P270" s="10"/>
    </row>
    <row r="271" spans="1:16" ht="20.1" customHeight="1">
      <c r="A271" s="9"/>
      <c r="B271" s="9"/>
      <c r="C271" s="9"/>
      <c r="D271" s="43"/>
      <c r="E271" s="9"/>
      <c r="F271" s="9"/>
      <c r="G271" s="47" t="str">
        <f>IF(F271="","",INDEX(站位样品信息!$B$3:INDEX(站位样品信息!$B:$B,COUNTA(站位样品信息!$B:$B)+1),MATCH($F271,站位样品信息!$A$3:INDEX(站位样品信息!$A:$A,COUNTA(站位样品信息!$A:$A)+1),),))</f>
        <v/>
      </c>
      <c r="H271" s="37" t="str">
        <f>IF(A271&amp;B271&amp;C271="","",INDEX(生物种群!$A$2:INDEX(生物种群!$A:$A,COUNTA(生物种群!$A:$A)),MATCH($I271,生物种群!$B$2:INDEX(生物种群!$B:$B,COUNTA(生物种群!$B:$B)),),))</f>
        <v/>
      </c>
      <c r="I271" s="37" t="str">
        <f>IF(A271&amp;B271&amp;C271="","",IF($C271&lt;&gt;0,INDEX(生物种群!$B$2:INDEX(生物种群!$B:$B,COUNTA(生物种群!$B:$B)),MATCH($C271,生物种群!$G$2:INDEX(生物种群!$G:$G,COUNTA(生物种群!$G:$G)),),),IF($A271&lt;&gt;0,INDEX(生物种群!$B$2:INDEX(生物种群!$B:$B,COUNTA(生物种群!$B:$B)),MATCH($A271,生物种群!$C$2:INDEX(生物种群!$C:$C,COUNTA(生物种群!$C:$C)),),),INDEX(生物种群!$B$2:INDEX(生物种群!$B:$B,COUNTA(生物种群!$B:$B)),MATCH($B271,生物种群!$D$2:INDEX(生物种群!$D:$D,COUNTA(生物种群!$D:$D)),),))))</f>
        <v/>
      </c>
      <c r="J271" s="37" t="str">
        <f>IF(A271&amp;B271&amp;C271="","",INDEX(生物种群!$J$2:INDEX(生物种群!$J:$J,COUNTA(生物种群!$J:$J)),MATCH($I271,生物种群!$B$2:INDEX(生物种群!$B:$B,COUNTA(生物种群!$B:$B)),),))</f>
        <v/>
      </c>
      <c r="K271" s="37" t="str">
        <f>IF(A271&amp;B271&amp;C271="","",INDEX(生物种群!$E$2:INDEX(生物种群!$E:$E,COUNTA(生物种群!$E:$E)),MATCH($I271,生物种群!$B$2:INDEX(生物种群!$B:$B,COUNTA(生物种群!$B:$B)),),))</f>
        <v/>
      </c>
      <c r="L271" s="37" t="str">
        <f>IF(A271&amp;B271&amp;C271="","",INDEX(生物种群!$F$3:INDEX(生物种群!$F:$F,COUNTA(生物种群!$F:$F)),MATCH($I271,生物种群!$B$3:INDEX(生物种群!$B:$B,COUNTA(生物种群!$B:$B)),),))</f>
        <v/>
      </c>
      <c r="M271" s="37" t="str">
        <f t="shared" si="8"/>
        <v/>
      </c>
      <c r="N271" s="37" t="str">
        <f t="shared" si="9"/>
        <v/>
      </c>
      <c r="O271" s="9"/>
      <c r="P271" s="10"/>
    </row>
    <row r="272" spans="1:16" ht="20.1" customHeight="1">
      <c r="A272" s="9"/>
      <c r="B272" s="9"/>
      <c r="C272" s="9"/>
      <c r="D272" s="43"/>
      <c r="E272" s="9"/>
      <c r="F272" s="9"/>
      <c r="G272" s="47" t="str">
        <f>IF(F272="","",INDEX(站位样品信息!$B$3:INDEX(站位样品信息!$B:$B,COUNTA(站位样品信息!$B:$B)+1),MATCH($F272,站位样品信息!$A$3:INDEX(站位样品信息!$A:$A,COUNTA(站位样品信息!$A:$A)+1),),))</f>
        <v/>
      </c>
      <c r="H272" s="37" t="str">
        <f>IF(A272&amp;B272&amp;C272="","",INDEX(生物种群!$A$2:INDEX(生物种群!$A:$A,COUNTA(生物种群!$A:$A)),MATCH($I272,生物种群!$B$2:INDEX(生物种群!$B:$B,COUNTA(生物种群!$B:$B)),),))</f>
        <v/>
      </c>
      <c r="I272" s="37" t="str">
        <f>IF(A272&amp;B272&amp;C272="","",IF($C272&lt;&gt;0,INDEX(生物种群!$B$2:INDEX(生物种群!$B:$B,COUNTA(生物种群!$B:$B)),MATCH($C272,生物种群!$G$2:INDEX(生物种群!$G:$G,COUNTA(生物种群!$G:$G)),),),IF($A272&lt;&gt;0,INDEX(生物种群!$B$2:INDEX(生物种群!$B:$B,COUNTA(生物种群!$B:$B)),MATCH($A272,生物种群!$C$2:INDEX(生物种群!$C:$C,COUNTA(生物种群!$C:$C)),),),INDEX(生物种群!$B$2:INDEX(生物种群!$B:$B,COUNTA(生物种群!$B:$B)),MATCH($B272,生物种群!$D$2:INDEX(生物种群!$D:$D,COUNTA(生物种群!$D:$D)),),))))</f>
        <v/>
      </c>
      <c r="J272" s="37" t="str">
        <f>IF(A272&amp;B272&amp;C272="","",INDEX(生物种群!$J$2:INDEX(生物种群!$J:$J,COUNTA(生物种群!$J:$J)),MATCH($I272,生物种群!$B$2:INDEX(生物种群!$B:$B,COUNTA(生物种群!$B:$B)),),))</f>
        <v/>
      </c>
      <c r="K272" s="37" t="str">
        <f>IF(A272&amp;B272&amp;C272="","",INDEX(生物种群!$E$2:INDEX(生物种群!$E:$E,COUNTA(生物种群!$E:$E)),MATCH($I272,生物种群!$B$2:INDEX(生物种群!$B:$B,COUNTA(生物种群!$B:$B)),),))</f>
        <v/>
      </c>
      <c r="L272" s="37" t="str">
        <f>IF(A272&amp;B272&amp;C272="","",INDEX(生物种群!$F$3:INDEX(生物种群!$F:$F,COUNTA(生物种群!$F:$F)),MATCH($I272,生物种群!$B$3:INDEX(生物种群!$B:$B,COUNTA(生物种群!$B:$B)),),))</f>
        <v/>
      </c>
      <c r="M272" s="37" t="str">
        <f t="shared" si="8"/>
        <v/>
      </c>
      <c r="N272" s="37" t="str">
        <f t="shared" si="9"/>
        <v/>
      </c>
      <c r="O272" s="9"/>
      <c r="P272" s="10"/>
    </row>
    <row r="273" spans="1:16" ht="20.1" customHeight="1">
      <c r="A273" s="9"/>
      <c r="B273" s="9"/>
      <c r="C273" s="9"/>
      <c r="D273" s="43"/>
      <c r="E273" s="9"/>
      <c r="F273" s="9"/>
      <c r="G273" s="47" t="str">
        <f>IF(F273="","",INDEX(站位样品信息!$B$3:INDEX(站位样品信息!$B:$B,COUNTA(站位样品信息!$B:$B)+1),MATCH($F273,站位样品信息!$A$3:INDEX(站位样品信息!$A:$A,COUNTA(站位样品信息!$A:$A)+1),),))</f>
        <v/>
      </c>
      <c r="H273" s="37" t="str">
        <f>IF(A273&amp;B273&amp;C273="","",INDEX(生物种群!$A$2:INDEX(生物种群!$A:$A,COUNTA(生物种群!$A:$A)),MATCH($I273,生物种群!$B$2:INDEX(生物种群!$B:$B,COUNTA(生物种群!$B:$B)),),))</f>
        <v/>
      </c>
      <c r="I273" s="37" t="str">
        <f>IF(A273&amp;B273&amp;C273="","",IF($C273&lt;&gt;0,INDEX(生物种群!$B$2:INDEX(生物种群!$B:$B,COUNTA(生物种群!$B:$B)),MATCH($C273,生物种群!$G$2:INDEX(生物种群!$G:$G,COUNTA(生物种群!$G:$G)),),),IF($A273&lt;&gt;0,INDEX(生物种群!$B$2:INDEX(生物种群!$B:$B,COUNTA(生物种群!$B:$B)),MATCH($A273,生物种群!$C$2:INDEX(生物种群!$C:$C,COUNTA(生物种群!$C:$C)),),),INDEX(生物种群!$B$2:INDEX(生物种群!$B:$B,COUNTA(生物种群!$B:$B)),MATCH($B273,生物种群!$D$2:INDEX(生物种群!$D:$D,COUNTA(生物种群!$D:$D)),),))))</f>
        <v/>
      </c>
      <c r="J273" s="37" t="str">
        <f>IF(A273&amp;B273&amp;C273="","",INDEX(生物种群!$J$2:INDEX(生物种群!$J:$J,COUNTA(生物种群!$J:$J)),MATCH($I273,生物种群!$B$2:INDEX(生物种群!$B:$B,COUNTA(生物种群!$B:$B)),),))</f>
        <v/>
      </c>
      <c r="K273" s="37" t="str">
        <f>IF(A273&amp;B273&amp;C273="","",INDEX(生物种群!$E$2:INDEX(生物种群!$E:$E,COUNTA(生物种群!$E:$E)),MATCH($I273,生物种群!$B$2:INDEX(生物种群!$B:$B,COUNTA(生物种群!$B:$B)),),))</f>
        <v/>
      </c>
      <c r="L273" s="37" t="str">
        <f>IF(A273&amp;B273&amp;C273="","",INDEX(生物种群!$F$3:INDEX(生物种群!$F:$F,COUNTA(生物种群!$F:$F)),MATCH($I273,生物种群!$B$3:INDEX(生物种群!$B:$B,COUNTA(生物种群!$B:$B)),),))</f>
        <v/>
      </c>
      <c r="M273" s="37" t="str">
        <f t="shared" si="8"/>
        <v/>
      </c>
      <c r="N273" s="37" t="str">
        <f t="shared" si="9"/>
        <v/>
      </c>
      <c r="O273" s="9"/>
      <c r="P273" s="10"/>
    </row>
    <row r="274" spans="1:16" ht="20.1" customHeight="1">
      <c r="A274" s="9"/>
      <c r="B274" s="9"/>
      <c r="C274" s="9"/>
      <c r="D274" s="43"/>
      <c r="E274" s="9"/>
      <c r="F274" s="9"/>
      <c r="G274" s="47" t="str">
        <f>IF(F274="","",INDEX(站位样品信息!$B$3:INDEX(站位样品信息!$B:$B,COUNTA(站位样品信息!$B:$B)+1),MATCH($F274,站位样品信息!$A$3:INDEX(站位样品信息!$A:$A,COUNTA(站位样品信息!$A:$A)+1),),))</f>
        <v/>
      </c>
      <c r="H274" s="37" t="str">
        <f>IF(A274&amp;B274&amp;C274="","",INDEX(生物种群!$A$2:INDEX(生物种群!$A:$A,COUNTA(生物种群!$A:$A)),MATCH($I274,生物种群!$B$2:INDEX(生物种群!$B:$B,COUNTA(生物种群!$B:$B)),),))</f>
        <v/>
      </c>
      <c r="I274" s="37" t="str">
        <f>IF(A274&amp;B274&amp;C274="","",IF($C274&lt;&gt;0,INDEX(生物种群!$B$2:INDEX(生物种群!$B:$B,COUNTA(生物种群!$B:$B)),MATCH($C274,生物种群!$G$2:INDEX(生物种群!$G:$G,COUNTA(生物种群!$G:$G)),),),IF($A274&lt;&gt;0,INDEX(生物种群!$B$2:INDEX(生物种群!$B:$B,COUNTA(生物种群!$B:$B)),MATCH($A274,生物种群!$C$2:INDEX(生物种群!$C:$C,COUNTA(生物种群!$C:$C)),),),INDEX(生物种群!$B$2:INDEX(生物种群!$B:$B,COUNTA(生物种群!$B:$B)),MATCH($B274,生物种群!$D$2:INDEX(生物种群!$D:$D,COUNTA(生物种群!$D:$D)),),))))</f>
        <v/>
      </c>
      <c r="J274" s="37" t="str">
        <f>IF(A274&amp;B274&amp;C274="","",INDEX(生物种群!$J$2:INDEX(生物种群!$J:$J,COUNTA(生物种群!$J:$J)),MATCH($I274,生物种群!$B$2:INDEX(生物种群!$B:$B,COUNTA(生物种群!$B:$B)),),))</f>
        <v/>
      </c>
      <c r="K274" s="37" t="str">
        <f>IF(A274&amp;B274&amp;C274="","",INDEX(生物种群!$E$2:INDEX(生物种群!$E:$E,COUNTA(生物种群!$E:$E)),MATCH($I274,生物种群!$B$2:INDEX(生物种群!$B:$B,COUNTA(生物种群!$B:$B)),),))</f>
        <v/>
      </c>
      <c r="L274" s="37" t="str">
        <f>IF(A274&amp;B274&amp;C274="","",INDEX(生物种群!$F$3:INDEX(生物种群!$F:$F,COUNTA(生物种群!$F:$F)),MATCH($I274,生物种群!$B$3:INDEX(生物种群!$B:$B,COUNTA(生物种群!$B:$B)),),))</f>
        <v/>
      </c>
      <c r="M274" s="37" t="str">
        <f t="shared" si="8"/>
        <v/>
      </c>
      <c r="N274" s="37" t="str">
        <f t="shared" si="9"/>
        <v/>
      </c>
      <c r="O274" s="9"/>
      <c r="P274" s="10"/>
    </row>
    <row r="275" spans="1:16" ht="20.1" customHeight="1">
      <c r="A275" s="9"/>
      <c r="B275" s="9"/>
      <c r="C275" s="9"/>
      <c r="D275" s="43"/>
      <c r="E275" s="9"/>
      <c r="F275" s="9"/>
      <c r="G275" s="47" t="str">
        <f>IF(F275="","",INDEX(站位样品信息!$B$3:INDEX(站位样品信息!$B:$B,COUNTA(站位样品信息!$B:$B)+1),MATCH($F275,站位样品信息!$A$3:INDEX(站位样品信息!$A:$A,COUNTA(站位样品信息!$A:$A)+1),),))</f>
        <v/>
      </c>
      <c r="H275" s="37" t="str">
        <f>IF(A275&amp;B275&amp;C275="","",INDEX(生物种群!$A$2:INDEX(生物种群!$A:$A,COUNTA(生物种群!$A:$A)),MATCH($I275,生物种群!$B$2:INDEX(生物种群!$B:$B,COUNTA(生物种群!$B:$B)),),))</f>
        <v/>
      </c>
      <c r="I275" s="37" t="str">
        <f>IF(A275&amp;B275&amp;C275="","",IF($C275&lt;&gt;0,INDEX(生物种群!$B$2:INDEX(生物种群!$B:$B,COUNTA(生物种群!$B:$B)),MATCH($C275,生物种群!$G$2:INDEX(生物种群!$G:$G,COUNTA(生物种群!$G:$G)),),),IF($A275&lt;&gt;0,INDEX(生物种群!$B$2:INDEX(生物种群!$B:$B,COUNTA(生物种群!$B:$B)),MATCH($A275,生物种群!$C$2:INDEX(生物种群!$C:$C,COUNTA(生物种群!$C:$C)),),),INDEX(生物种群!$B$2:INDEX(生物种群!$B:$B,COUNTA(生物种群!$B:$B)),MATCH($B275,生物种群!$D$2:INDEX(生物种群!$D:$D,COUNTA(生物种群!$D:$D)),),))))</f>
        <v/>
      </c>
      <c r="J275" s="37" t="str">
        <f>IF(A275&amp;B275&amp;C275="","",INDEX(生物种群!$J$2:INDEX(生物种群!$J:$J,COUNTA(生物种群!$J:$J)),MATCH($I275,生物种群!$B$2:INDEX(生物种群!$B:$B,COUNTA(生物种群!$B:$B)),),))</f>
        <v/>
      </c>
      <c r="K275" s="37" t="str">
        <f>IF(A275&amp;B275&amp;C275="","",INDEX(生物种群!$E$2:INDEX(生物种群!$E:$E,COUNTA(生物种群!$E:$E)),MATCH($I275,生物种群!$B$2:INDEX(生物种群!$B:$B,COUNTA(生物种群!$B:$B)),),))</f>
        <v/>
      </c>
      <c r="L275" s="37" t="str">
        <f>IF(A275&amp;B275&amp;C275="","",INDEX(生物种群!$F$3:INDEX(生物种群!$F:$F,COUNTA(生物种群!$F:$F)),MATCH($I275,生物种群!$B$3:INDEX(生物种群!$B:$B,COUNTA(生物种群!$B:$B)),),))</f>
        <v/>
      </c>
      <c r="M275" s="37" t="str">
        <f t="shared" si="8"/>
        <v/>
      </c>
      <c r="N275" s="37" t="str">
        <f t="shared" si="9"/>
        <v/>
      </c>
      <c r="O275" s="9"/>
      <c r="P275" s="10"/>
    </row>
    <row r="276" spans="1:16" ht="20.1" customHeight="1">
      <c r="A276" s="9"/>
      <c r="B276" s="9"/>
      <c r="C276" s="9"/>
      <c r="D276" s="43"/>
      <c r="E276" s="9"/>
      <c r="F276" s="9"/>
      <c r="G276" s="47" t="str">
        <f>IF(F276="","",INDEX(站位样品信息!$B$3:INDEX(站位样品信息!$B:$B,COUNTA(站位样品信息!$B:$B)+1),MATCH($F276,站位样品信息!$A$3:INDEX(站位样品信息!$A:$A,COUNTA(站位样品信息!$A:$A)+1),),))</f>
        <v/>
      </c>
      <c r="H276" s="37" t="str">
        <f>IF(A276&amp;B276&amp;C276="","",INDEX(生物种群!$A$2:INDEX(生物种群!$A:$A,COUNTA(生物种群!$A:$A)),MATCH($I276,生物种群!$B$2:INDEX(生物种群!$B:$B,COUNTA(生物种群!$B:$B)),),))</f>
        <v/>
      </c>
      <c r="I276" s="37" t="str">
        <f>IF(A276&amp;B276&amp;C276="","",IF($C276&lt;&gt;0,INDEX(生物种群!$B$2:INDEX(生物种群!$B:$B,COUNTA(生物种群!$B:$B)),MATCH($C276,生物种群!$G$2:INDEX(生物种群!$G:$G,COUNTA(生物种群!$G:$G)),),),IF($A276&lt;&gt;0,INDEX(生物种群!$B$2:INDEX(生物种群!$B:$B,COUNTA(生物种群!$B:$B)),MATCH($A276,生物种群!$C$2:INDEX(生物种群!$C:$C,COUNTA(生物种群!$C:$C)),),),INDEX(生物种群!$B$2:INDEX(生物种群!$B:$B,COUNTA(生物种群!$B:$B)),MATCH($B276,生物种群!$D$2:INDEX(生物种群!$D:$D,COUNTA(生物种群!$D:$D)),),))))</f>
        <v/>
      </c>
      <c r="J276" s="37" t="str">
        <f>IF(A276&amp;B276&amp;C276="","",INDEX(生物种群!$J$2:INDEX(生物种群!$J:$J,COUNTA(生物种群!$J:$J)),MATCH($I276,生物种群!$B$2:INDEX(生物种群!$B:$B,COUNTA(生物种群!$B:$B)),),))</f>
        <v/>
      </c>
      <c r="K276" s="37" t="str">
        <f>IF(A276&amp;B276&amp;C276="","",INDEX(生物种群!$E$2:INDEX(生物种群!$E:$E,COUNTA(生物种群!$E:$E)),MATCH($I276,生物种群!$B$2:INDEX(生物种群!$B:$B,COUNTA(生物种群!$B:$B)),),))</f>
        <v/>
      </c>
      <c r="L276" s="37" t="str">
        <f>IF(A276&amp;B276&amp;C276="","",INDEX(生物种群!$F$3:INDEX(生物种群!$F:$F,COUNTA(生物种群!$F:$F)),MATCH($I276,生物种群!$B$3:INDEX(生物种群!$B:$B,COUNTA(生物种群!$B:$B)),),))</f>
        <v/>
      </c>
      <c r="M276" s="37" t="str">
        <f t="shared" si="8"/>
        <v/>
      </c>
      <c r="N276" s="37" t="str">
        <f t="shared" si="9"/>
        <v/>
      </c>
      <c r="O276" s="9"/>
      <c r="P276" s="10"/>
    </row>
    <row r="277" spans="1:16" ht="20.1" customHeight="1">
      <c r="A277" s="9"/>
      <c r="B277" s="9"/>
      <c r="C277" s="9"/>
      <c r="D277" s="43"/>
      <c r="E277" s="9"/>
      <c r="F277" s="9"/>
      <c r="G277" s="47" t="str">
        <f>IF(F277="","",INDEX(站位样品信息!$B$3:INDEX(站位样品信息!$B:$B,COUNTA(站位样品信息!$B:$B)+1),MATCH($F277,站位样品信息!$A$3:INDEX(站位样品信息!$A:$A,COUNTA(站位样品信息!$A:$A)+1),),))</f>
        <v/>
      </c>
      <c r="H277" s="37" t="str">
        <f>IF(A277&amp;B277&amp;C277="","",INDEX(生物种群!$A$2:INDEX(生物种群!$A:$A,COUNTA(生物种群!$A:$A)),MATCH($I277,生物种群!$B$2:INDEX(生物种群!$B:$B,COUNTA(生物种群!$B:$B)),),))</f>
        <v/>
      </c>
      <c r="I277" s="37" t="str">
        <f>IF(A277&amp;B277&amp;C277="","",IF($C277&lt;&gt;0,INDEX(生物种群!$B$2:INDEX(生物种群!$B:$B,COUNTA(生物种群!$B:$B)),MATCH($C277,生物种群!$G$2:INDEX(生物种群!$G:$G,COUNTA(生物种群!$G:$G)),),),IF($A277&lt;&gt;0,INDEX(生物种群!$B$2:INDEX(生物种群!$B:$B,COUNTA(生物种群!$B:$B)),MATCH($A277,生物种群!$C$2:INDEX(生物种群!$C:$C,COUNTA(生物种群!$C:$C)),),),INDEX(生物种群!$B$2:INDEX(生物种群!$B:$B,COUNTA(生物种群!$B:$B)),MATCH($B277,生物种群!$D$2:INDEX(生物种群!$D:$D,COUNTA(生物种群!$D:$D)),),))))</f>
        <v/>
      </c>
      <c r="J277" s="37" t="str">
        <f>IF(A277&amp;B277&amp;C277="","",INDEX(生物种群!$J$2:INDEX(生物种群!$J:$J,COUNTA(生物种群!$J:$J)),MATCH($I277,生物种群!$B$2:INDEX(生物种群!$B:$B,COUNTA(生物种群!$B:$B)),),))</f>
        <v/>
      </c>
      <c r="K277" s="37" t="str">
        <f>IF(A277&amp;B277&amp;C277="","",INDEX(生物种群!$E$2:INDEX(生物种群!$E:$E,COUNTA(生物种群!$E:$E)),MATCH($I277,生物种群!$B$2:INDEX(生物种群!$B:$B,COUNTA(生物种群!$B:$B)),),))</f>
        <v/>
      </c>
      <c r="L277" s="37" t="str">
        <f>IF(A277&amp;B277&amp;C277="","",INDEX(生物种群!$F$3:INDEX(生物种群!$F:$F,COUNTA(生物种群!$F:$F)),MATCH($I277,生物种群!$B$3:INDEX(生物种群!$B:$B,COUNTA(生物种群!$B:$B)),),))</f>
        <v/>
      </c>
      <c r="M277" s="37" t="str">
        <f t="shared" si="8"/>
        <v/>
      </c>
      <c r="N277" s="37" t="str">
        <f t="shared" si="9"/>
        <v/>
      </c>
      <c r="O277" s="9"/>
      <c r="P277" s="10"/>
    </row>
    <row r="278" spans="1:16" ht="20.1" customHeight="1">
      <c r="A278" s="9"/>
      <c r="B278" s="9"/>
      <c r="C278" s="9"/>
      <c r="D278" s="43"/>
      <c r="E278" s="9"/>
      <c r="F278" s="9"/>
      <c r="G278" s="47" t="str">
        <f>IF(F278="","",INDEX(站位样品信息!$B$3:INDEX(站位样品信息!$B:$B,COUNTA(站位样品信息!$B:$B)+1),MATCH($F278,站位样品信息!$A$3:INDEX(站位样品信息!$A:$A,COUNTA(站位样品信息!$A:$A)+1),),))</f>
        <v/>
      </c>
      <c r="H278" s="37" t="str">
        <f>IF(A278&amp;B278&amp;C278="","",INDEX(生物种群!$A$2:INDEX(生物种群!$A:$A,COUNTA(生物种群!$A:$A)),MATCH($I278,生物种群!$B$2:INDEX(生物种群!$B:$B,COUNTA(生物种群!$B:$B)),),))</f>
        <v/>
      </c>
      <c r="I278" s="37" t="str">
        <f>IF(A278&amp;B278&amp;C278="","",IF($C278&lt;&gt;0,INDEX(生物种群!$B$2:INDEX(生物种群!$B:$B,COUNTA(生物种群!$B:$B)),MATCH($C278,生物种群!$G$2:INDEX(生物种群!$G:$G,COUNTA(生物种群!$G:$G)),),),IF($A278&lt;&gt;0,INDEX(生物种群!$B$2:INDEX(生物种群!$B:$B,COUNTA(生物种群!$B:$B)),MATCH($A278,生物种群!$C$2:INDEX(生物种群!$C:$C,COUNTA(生物种群!$C:$C)),),),INDEX(生物种群!$B$2:INDEX(生物种群!$B:$B,COUNTA(生物种群!$B:$B)),MATCH($B278,生物种群!$D$2:INDEX(生物种群!$D:$D,COUNTA(生物种群!$D:$D)),),))))</f>
        <v/>
      </c>
      <c r="J278" s="37" t="str">
        <f>IF(A278&amp;B278&amp;C278="","",INDEX(生物种群!$J$2:INDEX(生物种群!$J:$J,COUNTA(生物种群!$J:$J)),MATCH($I278,生物种群!$B$2:INDEX(生物种群!$B:$B,COUNTA(生物种群!$B:$B)),),))</f>
        <v/>
      </c>
      <c r="K278" s="37" t="str">
        <f>IF(A278&amp;B278&amp;C278="","",INDEX(生物种群!$E$2:INDEX(生物种群!$E:$E,COUNTA(生物种群!$E:$E)),MATCH($I278,生物种群!$B$2:INDEX(生物种群!$B:$B,COUNTA(生物种群!$B:$B)),),))</f>
        <v/>
      </c>
      <c r="L278" s="37" t="str">
        <f>IF(A278&amp;B278&amp;C278="","",INDEX(生物种群!$F$3:INDEX(生物种群!$F:$F,COUNTA(生物种群!$F:$F)),MATCH($I278,生物种群!$B$3:INDEX(生物种群!$B:$B,COUNTA(生物种群!$B:$B)),),))</f>
        <v/>
      </c>
      <c r="M278" s="37" t="str">
        <f t="shared" si="8"/>
        <v/>
      </c>
      <c r="N278" s="37" t="str">
        <f t="shared" si="9"/>
        <v/>
      </c>
      <c r="O278" s="9"/>
      <c r="P278" s="10"/>
    </row>
    <row r="279" spans="1:16" ht="20.1" customHeight="1">
      <c r="A279" s="9"/>
      <c r="B279" s="9"/>
      <c r="C279" s="9"/>
      <c r="D279" s="43"/>
      <c r="E279" s="9"/>
      <c r="F279" s="9"/>
      <c r="G279" s="47" t="str">
        <f>IF(F279="","",INDEX(站位样品信息!$B$3:INDEX(站位样品信息!$B:$B,COUNTA(站位样品信息!$B:$B)+1),MATCH($F279,站位样品信息!$A$3:INDEX(站位样品信息!$A:$A,COUNTA(站位样品信息!$A:$A)+1),),))</f>
        <v/>
      </c>
      <c r="H279" s="37" t="str">
        <f>IF(A279&amp;B279&amp;C279="","",INDEX(生物种群!$A$2:INDEX(生物种群!$A:$A,COUNTA(生物种群!$A:$A)),MATCH($I279,生物种群!$B$2:INDEX(生物种群!$B:$B,COUNTA(生物种群!$B:$B)),),))</f>
        <v/>
      </c>
      <c r="I279" s="37" t="str">
        <f>IF(A279&amp;B279&amp;C279="","",IF($C279&lt;&gt;0,INDEX(生物种群!$B$2:INDEX(生物种群!$B:$B,COUNTA(生物种群!$B:$B)),MATCH($C279,生物种群!$G$2:INDEX(生物种群!$G:$G,COUNTA(生物种群!$G:$G)),),),IF($A279&lt;&gt;0,INDEX(生物种群!$B$2:INDEX(生物种群!$B:$B,COUNTA(生物种群!$B:$B)),MATCH($A279,生物种群!$C$2:INDEX(生物种群!$C:$C,COUNTA(生物种群!$C:$C)),),),INDEX(生物种群!$B$2:INDEX(生物种群!$B:$B,COUNTA(生物种群!$B:$B)),MATCH($B279,生物种群!$D$2:INDEX(生物种群!$D:$D,COUNTA(生物种群!$D:$D)),),))))</f>
        <v/>
      </c>
      <c r="J279" s="37" t="str">
        <f>IF(A279&amp;B279&amp;C279="","",INDEX(生物种群!$J$2:INDEX(生物种群!$J:$J,COUNTA(生物种群!$J:$J)),MATCH($I279,生物种群!$B$2:INDEX(生物种群!$B:$B,COUNTA(生物种群!$B:$B)),),))</f>
        <v/>
      </c>
      <c r="K279" s="37" t="str">
        <f>IF(A279&amp;B279&amp;C279="","",INDEX(生物种群!$E$2:INDEX(生物种群!$E:$E,COUNTA(生物种群!$E:$E)),MATCH($I279,生物种群!$B$2:INDEX(生物种群!$B:$B,COUNTA(生物种群!$B:$B)),),))</f>
        <v/>
      </c>
      <c r="L279" s="37" t="str">
        <f>IF(A279&amp;B279&amp;C279="","",INDEX(生物种群!$F$3:INDEX(生物种群!$F:$F,COUNTA(生物种群!$F:$F)),MATCH($I279,生物种群!$B$3:INDEX(生物种群!$B:$B,COUNTA(生物种群!$B:$B)),),))</f>
        <v/>
      </c>
      <c r="M279" s="37" t="str">
        <f t="shared" si="8"/>
        <v/>
      </c>
      <c r="N279" s="37" t="str">
        <f t="shared" si="9"/>
        <v/>
      </c>
      <c r="O279" s="9"/>
      <c r="P279" s="10"/>
    </row>
    <row r="280" spans="1:16" ht="20.1" customHeight="1">
      <c r="A280" s="9"/>
      <c r="B280" s="9"/>
      <c r="C280" s="9"/>
      <c r="D280" s="43"/>
      <c r="E280" s="9"/>
      <c r="F280" s="9"/>
      <c r="G280" s="47" t="str">
        <f>IF(F280="","",INDEX(站位样品信息!$B$3:INDEX(站位样品信息!$B:$B,COUNTA(站位样品信息!$B:$B)+1),MATCH($F280,站位样品信息!$A$3:INDEX(站位样品信息!$A:$A,COUNTA(站位样品信息!$A:$A)+1),),))</f>
        <v/>
      </c>
      <c r="H280" s="37" t="str">
        <f>IF(A280&amp;B280&amp;C280="","",INDEX(生物种群!$A$2:INDEX(生物种群!$A:$A,COUNTA(生物种群!$A:$A)),MATCH($I280,生物种群!$B$2:INDEX(生物种群!$B:$B,COUNTA(生物种群!$B:$B)),),))</f>
        <v/>
      </c>
      <c r="I280" s="37" t="str">
        <f>IF(A280&amp;B280&amp;C280="","",IF($C280&lt;&gt;0,INDEX(生物种群!$B$2:INDEX(生物种群!$B:$B,COUNTA(生物种群!$B:$B)),MATCH($C280,生物种群!$G$2:INDEX(生物种群!$G:$G,COUNTA(生物种群!$G:$G)),),),IF($A280&lt;&gt;0,INDEX(生物种群!$B$2:INDEX(生物种群!$B:$B,COUNTA(生物种群!$B:$B)),MATCH($A280,生物种群!$C$2:INDEX(生物种群!$C:$C,COUNTA(生物种群!$C:$C)),),),INDEX(生物种群!$B$2:INDEX(生物种群!$B:$B,COUNTA(生物种群!$B:$B)),MATCH($B280,生物种群!$D$2:INDEX(生物种群!$D:$D,COUNTA(生物种群!$D:$D)),),))))</f>
        <v/>
      </c>
      <c r="J280" s="37" t="str">
        <f>IF(A280&amp;B280&amp;C280="","",INDEX(生物种群!$J$2:INDEX(生物种群!$J:$J,COUNTA(生物种群!$J:$J)),MATCH($I280,生物种群!$B$2:INDEX(生物种群!$B:$B,COUNTA(生物种群!$B:$B)),),))</f>
        <v/>
      </c>
      <c r="K280" s="37" t="str">
        <f>IF(A280&amp;B280&amp;C280="","",INDEX(生物种群!$E$2:INDEX(生物种群!$E:$E,COUNTA(生物种群!$E:$E)),MATCH($I280,生物种群!$B$2:INDEX(生物种群!$B:$B,COUNTA(生物种群!$B:$B)),),))</f>
        <v/>
      </c>
      <c r="L280" s="37" t="str">
        <f>IF(A280&amp;B280&amp;C280="","",INDEX(生物种群!$F$3:INDEX(生物种群!$F:$F,COUNTA(生物种群!$F:$F)),MATCH($I280,生物种群!$B$3:INDEX(生物种群!$B:$B,COUNTA(生物种群!$B:$B)),),))</f>
        <v/>
      </c>
      <c r="M280" s="37" t="str">
        <f t="shared" si="8"/>
        <v/>
      </c>
      <c r="N280" s="37" t="str">
        <f t="shared" si="9"/>
        <v/>
      </c>
      <c r="O280" s="9"/>
      <c r="P280" s="10"/>
    </row>
    <row r="281" spans="1:16" ht="20.1" customHeight="1">
      <c r="A281" s="9"/>
      <c r="B281" s="9"/>
      <c r="C281" s="9"/>
      <c r="D281" s="43"/>
      <c r="E281" s="9"/>
      <c r="F281" s="9"/>
      <c r="G281" s="47" t="str">
        <f>IF(F281="","",INDEX(站位样品信息!$B$3:INDEX(站位样品信息!$B:$B,COUNTA(站位样品信息!$B:$B)+1),MATCH($F281,站位样品信息!$A$3:INDEX(站位样品信息!$A:$A,COUNTA(站位样品信息!$A:$A)+1),),))</f>
        <v/>
      </c>
      <c r="H281" s="37" t="str">
        <f>IF(A281&amp;B281&amp;C281="","",INDEX(生物种群!$A$2:INDEX(生物种群!$A:$A,COUNTA(生物种群!$A:$A)),MATCH($I281,生物种群!$B$2:INDEX(生物种群!$B:$B,COUNTA(生物种群!$B:$B)),),))</f>
        <v/>
      </c>
      <c r="I281" s="37" t="str">
        <f>IF(A281&amp;B281&amp;C281="","",IF($C281&lt;&gt;0,INDEX(生物种群!$B$2:INDEX(生物种群!$B:$B,COUNTA(生物种群!$B:$B)),MATCH($C281,生物种群!$G$2:INDEX(生物种群!$G:$G,COUNTA(生物种群!$G:$G)),),),IF($A281&lt;&gt;0,INDEX(生物种群!$B$2:INDEX(生物种群!$B:$B,COUNTA(生物种群!$B:$B)),MATCH($A281,生物种群!$C$2:INDEX(生物种群!$C:$C,COUNTA(生物种群!$C:$C)),),),INDEX(生物种群!$B$2:INDEX(生物种群!$B:$B,COUNTA(生物种群!$B:$B)),MATCH($B281,生物种群!$D$2:INDEX(生物种群!$D:$D,COUNTA(生物种群!$D:$D)),),))))</f>
        <v/>
      </c>
      <c r="J281" s="37" t="str">
        <f>IF(A281&amp;B281&amp;C281="","",INDEX(生物种群!$J$2:INDEX(生物种群!$J:$J,COUNTA(生物种群!$J:$J)),MATCH($I281,生物种群!$B$2:INDEX(生物种群!$B:$B,COUNTA(生物种群!$B:$B)),),))</f>
        <v/>
      </c>
      <c r="K281" s="37" t="str">
        <f>IF(A281&amp;B281&amp;C281="","",INDEX(生物种群!$E$2:INDEX(生物种群!$E:$E,COUNTA(生物种群!$E:$E)),MATCH($I281,生物种群!$B$2:INDEX(生物种群!$B:$B,COUNTA(生物种群!$B:$B)),),))</f>
        <v/>
      </c>
      <c r="L281" s="37" t="str">
        <f>IF(A281&amp;B281&amp;C281="","",INDEX(生物种群!$F$3:INDEX(生物种群!$F:$F,COUNTA(生物种群!$F:$F)),MATCH($I281,生物种群!$B$3:INDEX(生物种群!$B:$B,COUNTA(生物种群!$B:$B)),),))</f>
        <v/>
      </c>
      <c r="M281" s="37" t="str">
        <f t="shared" si="8"/>
        <v/>
      </c>
      <c r="N281" s="37" t="str">
        <f t="shared" si="9"/>
        <v/>
      </c>
      <c r="O281" s="9"/>
      <c r="P281" s="10"/>
    </row>
    <row r="282" spans="1:16" ht="20.1" customHeight="1">
      <c r="A282" s="9"/>
      <c r="B282" s="9"/>
      <c r="C282" s="9"/>
      <c r="D282" s="43"/>
      <c r="E282" s="9"/>
      <c r="F282" s="9"/>
      <c r="G282" s="47" t="str">
        <f>IF(F282="","",INDEX(站位样品信息!$B$3:INDEX(站位样品信息!$B:$B,COUNTA(站位样品信息!$B:$B)+1),MATCH($F282,站位样品信息!$A$3:INDEX(站位样品信息!$A:$A,COUNTA(站位样品信息!$A:$A)+1),),))</f>
        <v/>
      </c>
      <c r="H282" s="37" t="str">
        <f>IF(A282&amp;B282&amp;C282="","",INDEX(生物种群!$A$2:INDEX(生物种群!$A:$A,COUNTA(生物种群!$A:$A)),MATCH($I282,生物种群!$B$2:INDEX(生物种群!$B:$B,COUNTA(生物种群!$B:$B)),),))</f>
        <v/>
      </c>
      <c r="I282" s="37" t="str">
        <f>IF(A282&amp;B282&amp;C282="","",IF($C282&lt;&gt;0,INDEX(生物种群!$B$2:INDEX(生物种群!$B:$B,COUNTA(生物种群!$B:$B)),MATCH($C282,生物种群!$G$2:INDEX(生物种群!$G:$G,COUNTA(生物种群!$G:$G)),),),IF($A282&lt;&gt;0,INDEX(生物种群!$B$2:INDEX(生物种群!$B:$B,COUNTA(生物种群!$B:$B)),MATCH($A282,生物种群!$C$2:INDEX(生物种群!$C:$C,COUNTA(生物种群!$C:$C)),),),INDEX(生物种群!$B$2:INDEX(生物种群!$B:$B,COUNTA(生物种群!$B:$B)),MATCH($B282,生物种群!$D$2:INDEX(生物种群!$D:$D,COUNTA(生物种群!$D:$D)),),))))</f>
        <v/>
      </c>
      <c r="J282" s="37" t="str">
        <f>IF(A282&amp;B282&amp;C282="","",INDEX(生物种群!$J$2:INDEX(生物种群!$J:$J,COUNTA(生物种群!$J:$J)),MATCH($I282,生物种群!$B$2:INDEX(生物种群!$B:$B,COUNTA(生物种群!$B:$B)),),))</f>
        <v/>
      </c>
      <c r="K282" s="37" t="str">
        <f>IF(A282&amp;B282&amp;C282="","",INDEX(生物种群!$E$2:INDEX(生物种群!$E:$E,COUNTA(生物种群!$E:$E)),MATCH($I282,生物种群!$B$2:INDEX(生物种群!$B:$B,COUNTA(生物种群!$B:$B)),),))</f>
        <v/>
      </c>
      <c r="L282" s="37" t="str">
        <f>IF(A282&amp;B282&amp;C282="","",INDEX(生物种群!$F$3:INDEX(生物种群!$F:$F,COUNTA(生物种群!$F:$F)),MATCH($I282,生物种群!$B$3:INDEX(生物种群!$B:$B,COUNTA(生物种群!$B:$B)),),))</f>
        <v/>
      </c>
      <c r="M282" s="37" t="str">
        <f t="shared" si="8"/>
        <v/>
      </c>
      <c r="N282" s="37" t="str">
        <f t="shared" si="9"/>
        <v/>
      </c>
      <c r="O282" s="9"/>
      <c r="P282" s="10"/>
    </row>
    <row r="283" spans="1:16" ht="20.1" customHeight="1">
      <c r="A283" s="9"/>
      <c r="B283" s="9"/>
      <c r="C283" s="9"/>
      <c r="D283" s="43"/>
      <c r="E283" s="9"/>
      <c r="F283" s="9"/>
      <c r="G283" s="47" t="str">
        <f>IF(F283="","",INDEX(站位样品信息!$B$3:INDEX(站位样品信息!$B:$B,COUNTA(站位样品信息!$B:$B)+1),MATCH($F283,站位样品信息!$A$3:INDEX(站位样品信息!$A:$A,COUNTA(站位样品信息!$A:$A)+1),),))</f>
        <v/>
      </c>
      <c r="H283" s="37" t="str">
        <f>IF(A283&amp;B283&amp;C283="","",INDEX(生物种群!$A$2:INDEX(生物种群!$A:$A,COUNTA(生物种群!$A:$A)),MATCH($I283,生物种群!$B$2:INDEX(生物种群!$B:$B,COUNTA(生物种群!$B:$B)),),))</f>
        <v/>
      </c>
      <c r="I283" s="37" t="str">
        <f>IF(A283&amp;B283&amp;C283="","",IF($C283&lt;&gt;0,INDEX(生物种群!$B$2:INDEX(生物种群!$B:$B,COUNTA(生物种群!$B:$B)),MATCH($C283,生物种群!$G$2:INDEX(生物种群!$G:$G,COUNTA(生物种群!$G:$G)),),),IF($A283&lt;&gt;0,INDEX(生物种群!$B$2:INDEX(生物种群!$B:$B,COUNTA(生物种群!$B:$B)),MATCH($A283,生物种群!$C$2:INDEX(生物种群!$C:$C,COUNTA(生物种群!$C:$C)),),),INDEX(生物种群!$B$2:INDEX(生物种群!$B:$B,COUNTA(生物种群!$B:$B)),MATCH($B283,生物种群!$D$2:INDEX(生物种群!$D:$D,COUNTA(生物种群!$D:$D)),),))))</f>
        <v/>
      </c>
      <c r="J283" s="37" t="str">
        <f>IF(A283&amp;B283&amp;C283="","",INDEX(生物种群!$J$2:INDEX(生物种群!$J:$J,COUNTA(生物种群!$J:$J)),MATCH($I283,生物种群!$B$2:INDEX(生物种群!$B:$B,COUNTA(生物种群!$B:$B)),),))</f>
        <v/>
      </c>
      <c r="K283" s="37" t="str">
        <f>IF(A283&amp;B283&amp;C283="","",INDEX(生物种群!$E$2:INDEX(生物种群!$E:$E,COUNTA(生物种群!$E:$E)),MATCH($I283,生物种群!$B$2:INDEX(生物种群!$B:$B,COUNTA(生物种群!$B:$B)),),))</f>
        <v/>
      </c>
      <c r="L283" s="37" t="str">
        <f>IF(A283&amp;B283&amp;C283="","",INDEX(生物种群!$F$3:INDEX(生物种群!$F:$F,COUNTA(生物种群!$F:$F)),MATCH($I283,生物种群!$B$3:INDEX(生物种群!$B:$B,COUNTA(生物种群!$B:$B)),),))</f>
        <v/>
      </c>
      <c r="M283" s="37" t="str">
        <f t="shared" si="8"/>
        <v/>
      </c>
      <c r="N283" s="37" t="str">
        <f t="shared" si="9"/>
        <v/>
      </c>
      <c r="O283" s="9"/>
      <c r="P283" s="10"/>
    </row>
    <row r="284" spans="1:16" ht="20.1" customHeight="1">
      <c r="A284" s="9"/>
      <c r="B284" s="9"/>
      <c r="C284" s="9"/>
      <c r="D284" s="43"/>
      <c r="E284" s="9"/>
      <c r="F284" s="9"/>
      <c r="G284" s="47" t="str">
        <f>IF(F284="","",INDEX(站位样品信息!$B$3:INDEX(站位样品信息!$B:$B,COUNTA(站位样品信息!$B:$B)+1),MATCH($F284,站位样品信息!$A$3:INDEX(站位样品信息!$A:$A,COUNTA(站位样品信息!$A:$A)+1),),))</f>
        <v/>
      </c>
      <c r="H284" s="37" t="str">
        <f>IF(A284&amp;B284&amp;C284="","",INDEX(生物种群!$A$2:INDEX(生物种群!$A:$A,COUNTA(生物种群!$A:$A)),MATCH($I284,生物种群!$B$2:INDEX(生物种群!$B:$B,COUNTA(生物种群!$B:$B)),),))</f>
        <v/>
      </c>
      <c r="I284" s="37" t="str">
        <f>IF(A284&amp;B284&amp;C284="","",IF($C284&lt;&gt;0,INDEX(生物种群!$B$2:INDEX(生物种群!$B:$B,COUNTA(生物种群!$B:$B)),MATCH($C284,生物种群!$G$2:INDEX(生物种群!$G:$G,COUNTA(生物种群!$G:$G)),),),IF($A284&lt;&gt;0,INDEX(生物种群!$B$2:INDEX(生物种群!$B:$B,COUNTA(生物种群!$B:$B)),MATCH($A284,生物种群!$C$2:INDEX(生物种群!$C:$C,COUNTA(生物种群!$C:$C)),),),INDEX(生物种群!$B$2:INDEX(生物种群!$B:$B,COUNTA(生物种群!$B:$B)),MATCH($B284,生物种群!$D$2:INDEX(生物种群!$D:$D,COUNTA(生物种群!$D:$D)),),))))</f>
        <v/>
      </c>
      <c r="J284" s="37" t="str">
        <f>IF(A284&amp;B284&amp;C284="","",INDEX(生物种群!$J$2:INDEX(生物种群!$J:$J,COUNTA(生物种群!$J:$J)),MATCH($I284,生物种群!$B$2:INDEX(生物种群!$B:$B,COUNTA(生物种群!$B:$B)),),))</f>
        <v/>
      </c>
      <c r="K284" s="37" t="str">
        <f>IF(A284&amp;B284&amp;C284="","",INDEX(生物种群!$E$2:INDEX(生物种群!$E:$E,COUNTA(生物种群!$E:$E)),MATCH($I284,生物种群!$B$2:INDEX(生物种群!$B:$B,COUNTA(生物种群!$B:$B)),),))</f>
        <v/>
      </c>
      <c r="L284" s="37" t="str">
        <f>IF(A284&amp;B284&amp;C284="","",INDEX(生物种群!$F$3:INDEX(生物种群!$F:$F,COUNTA(生物种群!$F:$F)),MATCH($I284,生物种群!$B$3:INDEX(生物种群!$B:$B,COUNTA(生物种群!$B:$B)),),))</f>
        <v/>
      </c>
      <c r="M284" s="37" t="str">
        <f t="shared" si="8"/>
        <v/>
      </c>
      <c r="N284" s="37" t="str">
        <f t="shared" si="9"/>
        <v/>
      </c>
      <c r="O284" s="9"/>
      <c r="P284" s="10"/>
    </row>
    <row r="285" spans="1:16" ht="20.1" customHeight="1">
      <c r="A285" s="9"/>
      <c r="B285" s="9"/>
      <c r="C285" s="9"/>
      <c r="D285" s="43"/>
      <c r="E285" s="9"/>
      <c r="F285" s="9"/>
      <c r="G285" s="47" t="str">
        <f>IF(F285="","",INDEX(站位样品信息!$B$3:INDEX(站位样品信息!$B:$B,COUNTA(站位样品信息!$B:$B)+1),MATCH($F285,站位样品信息!$A$3:INDEX(站位样品信息!$A:$A,COUNTA(站位样品信息!$A:$A)+1),),))</f>
        <v/>
      </c>
      <c r="H285" s="37" t="str">
        <f>IF(A285&amp;B285&amp;C285="","",INDEX(生物种群!$A$2:INDEX(生物种群!$A:$A,COUNTA(生物种群!$A:$A)),MATCH($I285,生物种群!$B$2:INDEX(生物种群!$B:$B,COUNTA(生物种群!$B:$B)),),))</f>
        <v/>
      </c>
      <c r="I285" s="37" t="str">
        <f>IF(A285&amp;B285&amp;C285="","",IF($C285&lt;&gt;0,INDEX(生物种群!$B$2:INDEX(生物种群!$B:$B,COUNTA(生物种群!$B:$B)),MATCH($C285,生物种群!$G$2:INDEX(生物种群!$G:$G,COUNTA(生物种群!$G:$G)),),),IF($A285&lt;&gt;0,INDEX(生物种群!$B$2:INDEX(生物种群!$B:$B,COUNTA(生物种群!$B:$B)),MATCH($A285,生物种群!$C$2:INDEX(生物种群!$C:$C,COUNTA(生物种群!$C:$C)),),),INDEX(生物种群!$B$2:INDEX(生物种群!$B:$B,COUNTA(生物种群!$B:$B)),MATCH($B285,生物种群!$D$2:INDEX(生物种群!$D:$D,COUNTA(生物种群!$D:$D)),),))))</f>
        <v/>
      </c>
      <c r="J285" s="37" t="str">
        <f>IF(A285&amp;B285&amp;C285="","",INDEX(生物种群!$J$2:INDEX(生物种群!$J:$J,COUNTA(生物种群!$J:$J)),MATCH($I285,生物种群!$B$2:INDEX(生物种群!$B:$B,COUNTA(生物种群!$B:$B)),),))</f>
        <v/>
      </c>
      <c r="K285" s="37" t="str">
        <f>IF(A285&amp;B285&amp;C285="","",INDEX(生物种群!$E$2:INDEX(生物种群!$E:$E,COUNTA(生物种群!$E:$E)),MATCH($I285,生物种群!$B$2:INDEX(生物种群!$B:$B,COUNTA(生物种群!$B:$B)),),))</f>
        <v/>
      </c>
      <c r="L285" s="37" t="str">
        <f>IF(A285&amp;B285&amp;C285="","",INDEX(生物种群!$F$3:INDEX(生物种群!$F:$F,COUNTA(生物种群!$F:$F)),MATCH($I285,生物种群!$B$3:INDEX(生物种群!$B:$B,COUNTA(生物种群!$B:$B)),),))</f>
        <v/>
      </c>
      <c r="M285" s="37" t="str">
        <f t="shared" si="8"/>
        <v/>
      </c>
      <c r="N285" s="37" t="str">
        <f t="shared" si="9"/>
        <v/>
      </c>
      <c r="O285" s="9"/>
      <c r="P285" s="10"/>
    </row>
    <row r="286" spans="1:16" ht="20.1" customHeight="1">
      <c r="A286" s="9"/>
      <c r="B286" s="9"/>
      <c r="C286" s="9"/>
      <c r="D286" s="43"/>
      <c r="E286" s="9"/>
      <c r="F286" s="9"/>
      <c r="G286" s="47" t="str">
        <f>IF(F286="","",INDEX(站位样品信息!$B$3:INDEX(站位样品信息!$B:$B,COUNTA(站位样品信息!$B:$B)+1),MATCH($F286,站位样品信息!$A$3:INDEX(站位样品信息!$A:$A,COUNTA(站位样品信息!$A:$A)+1),),))</f>
        <v/>
      </c>
      <c r="H286" s="37" t="str">
        <f>IF(A286&amp;B286&amp;C286="","",INDEX(生物种群!$A$2:INDEX(生物种群!$A:$A,COUNTA(生物种群!$A:$A)),MATCH($I286,生物种群!$B$2:INDEX(生物种群!$B:$B,COUNTA(生物种群!$B:$B)),),))</f>
        <v/>
      </c>
      <c r="I286" s="37" t="str">
        <f>IF(A286&amp;B286&amp;C286="","",IF($C286&lt;&gt;0,INDEX(生物种群!$B$2:INDEX(生物种群!$B:$B,COUNTA(生物种群!$B:$B)),MATCH($C286,生物种群!$G$2:INDEX(生物种群!$G:$G,COUNTA(生物种群!$G:$G)),),),IF($A286&lt;&gt;0,INDEX(生物种群!$B$2:INDEX(生物种群!$B:$B,COUNTA(生物种群!$B:$B)),MATCH($A286,生物种群!$C$2:INDEX(生物种群!$C:$C,COUNTA(生物种群!$C:$C)),),),INDEX(生物种群!$B$2:INDEX(生物种群!$B:$B,COUNTA(生物种群!$B:$B)),MATCH($B286,生物种群!$D$2:INDEX(生物种群!$D:$D,COUNTA(生物种群!$D:$D)),),))))</f>
        <v/>
      </c>
      <c r="J286" s="37" t="str">
        <f>IF(A286&amp;B286&amp;C286="","",INDEX(生物种群!$J$2:INDEX(生物种群!$J:$J,COUNTA(生物种群!$J:$J)),MATCH($I286,生物种群!$B$2:INDEX(生物种群!$B:$B,COUNTA(生物种群!$B:$B)),),))</f>
        <v/>
      </c>
      <c r="K286" s="37" t="str">
        <f>IF(A286&amp;B286&amp;C286="","",INDEX(生物种群!$E$2:INDEX(生物种群!$E:$E,COUNTA(生物种群!$E:$E)),MATCH($I286,生物种群!$B$2:INDEX(生物种群!$B:$B,COUNTA(生物种群!$B:$B)),),))</f>
        <v/>
      </c>
      <c r="L286" s="37" t="str">
        <f>IF(A286&amp;B286&amp;C286="","",INDEX(生物种群!$F$3:INDEX(生物种群!$F:$F,COUNTA(生物种群!$F:$F)),MATCH($I286,生物种群!$B$3:INDEX(生物种群!$B:$B,COUNTA(生物种群!$B:$B)),),))</f>
        <v/>
      </c>
      <c r="M286" s="37" t="str">
        <f t="shared" si="8"/>
        <v/>
      </c>
      <c r="N286" s="37" t="str">
        <f t="shared" si="9"/>
        <v/>
      </c>
      <c r="O286" s="9"/>
      <c r="P286" s="10"/>
    </row>
    <row r="287" spans="1:16" ht="20.1" customHeight="1">
      <c r="A287" s="9"/>
      <c r="B287" s="9"/>
      <c r="C287" s="9"/>
      <c r="D287" s="43"/>
      <c r="E287" s="9"/>
      <c r="F287" s="9"/>
      <c r="G287" s="47" t="str">
        <f>IF(F287="","",INDEX(站位样品信息!$B$3:INDEX(站位样品信息!$B:$B,COUNTA(站位样品信息!$B:$B)+1),MATCH($F287,站位样品信息!$A$3:INDEX(站位样品信息!$A:$A,COUNTA(站位样品信息!$A:$A)+1),),))</f>
        <v/>
      </c>
      <c r="H287" s="37" t="str">
        <f>IF(A287&amp;B287&amp;C287="","",INDEX(生物种群!$A$2:INDEX(生物种群!$A:$A,COUNTA(生物种群!$A:$A)),MATCH($I287,生物种群!$B$2:INDEX(生物种群!$B:$B,COUNTA(生物种群!$B:$B)),),))</f>
        <v/>
      </c>
      <c r="I287" s="37" t="str">
        <f>IF(A287&amp;B287&amp;C287="","",IF($C287&lt;&gt;0,INDEX(生物种群!$B$2:INDEX(生物种群!$B:$B,COUNTA(生物种群!$B:$B)),MATCH($C287,生物种群!$G$2:INDEX(生物种群!$G:$G,COUNTA(生物种群!$G:$G)),),),IF($A287&lt;&gt;0,INDEX(生物种群!$B$2:INDEX(生物种群!$B:$B,COUNTA(生物种群!$B:$B)),MATCH($A287,生物种群!$C$2:INDEX(生物种群!$C:$C,COUNTA(生物种群!$C:$C)),),),INDEX(生物种群!$B$2:INDEX(生物种群!$B:$B,COUNTA(生物种群!$B:$B)),MATCH($B287,生物种群!$D$2:INDEX(生物种群!$D:$D,COUNTA(生物种群!$D:$D)),),))))</f>
        <v/>
      </c>
      <c r="J287" s="37" t="str">
        <f>IF(A287&amp;B287&amp;C287="","",INDEX(生物种群!$J$2:INDEX(生物种群!$J:$J,COUNTA(生物种群!$J:$J)),MATCH($I287,生物种群!$B$2:INDEX(生物种群!$B:$B,COUNTA(生物种群!$B:$B)),),))</f>
        <v/>
      </c>
      <c r="K287" s="37" t="str">
        <f>IF(A287&amp;B287&amp;C287="","",INDEX(生物种群!$E$2:INDEX(生物种群!$E:$E,COUNTA(生物种群!$E:$E)),MATCH($I287,生物种群!$B$2:INDEX(生物种群!$B:$B,COUNTA(生物种群!$B:$B)),),))</f>
        <v/>
      </c>
      <c r="L287" s="37" t="str">
        <f>IF(A287&amp;B287&amp;C287="","",INDEX(生物种群!$F$3:INDEX(生物种群!$F:$F,COUNTA(生物种群!$F:$F)),MATCH($I287,生物种群!$B$3:INDEX(生物种群!$B:$B,COUNTA(生物种群!$B:$B)),),))</f>
        <v/>
      </c>
      <c r="M287" s="37" t="str">
        <f t="shared" si="8"/>
        <v/>
      </c>
      <c r="N287" s="37" t="str">
        <f t="shared" si="9"/>
        <v/>
      </c>
      <c r="O287" s="9"/>
      <c r="P287" s="10"/>
    </row>
    <row r="288" spans="1:16" ht="20.1" customHeight="1">
      <c r="A288" s="9"/>
      <c r="B288" s="9"/>
      <c r="C288" s="9"/>
      <c r="D288" s="43"/>
      <c r="E288" s="9"/>
      <c r="F288" s="9"/>
      <c r="G288" s="47" t="str">
        <f>IF(F288="","",INDEX(站位样品信息!$B$3:INDEX(站位样品信息!$B:$B,COUNTA(站位样品信息!$B:$B)+1),MATCH($F288,站位样品信息!$A$3:INDEX(站位样品信息!$A:$A,COUNTA(站位样品信息!$A:$A)+1),),))</f>
        <v/>
      </c>
      <c r="H288" s="37" t="str">
        <f>IF(A288&amp;B288&amp;C288="","",INDEX(生物种群!$A$2:INDEX(生物种群!$A:$A,COUNTA(生物种群!$A:$A)),MATCH($I288,生物种群!$B$2:INDEX(生物种群!$B:$B,COUNTA(生物种群!$B:$B)),),))</f>
        <v/>
      </c>
      <c r="I288" s="37" t="str">
        <f>IF(A288&amp;B288&amp;C288="","",IF($C288&lt;&gt;0,INDEX(生物种群!$B$2:INDEX(生物种群!$B:$B,COUNTA(生物种群!$B:$B)),MATCH($C288,生物种群!$G$2:INDEX(生物种群!$G:$G,COUNTA(生物种群!$G:$G)),),),IF($A288&lt;&gt;0,INDEX(生物种群!$B$2:INDEX(生物种群!$B:$B,COUNTA(生物种群!$B:$B)),MATCH($A288,生物种群!$C$2:INDEX(生物种群!$C:$C,COUNTA(生物种群!$C:$C)),),),INDEX(生物种群!$B$2:INDEX(生物种群!$B:$B,COUNTA(生物种群!$B:$B)),MATCH($B288,生物种群!$D$2:INDEX(生物种群!$D:$D,COUNTA(生物种群!$D:$D)),),))))</f>
        <v/>
      </c>
      <c r="J288" s="37" t="str">
        <f>IF(A288&amp;B288&amp;C288="","",INDEX(生物种群!$J$2:INDEX(生物种群!$J:$J,COUNTA(生物种群!$J:$J)),MATCH($I288,生物种群!$B$2:INDEX(生物种群!$B:$B,COUNTA(生物种群!$B:$B)),),))</f>
        <v/>
      </c>
      <c r="K288" s="37" t="str">
        <f>IF(A288&amp;B288&amp;C288="","",INDEX(生物种群!$E$2:INDEX(生物种群!$E:$E,COUNTA(生物种群!$E:$E)),MATCH($I288,生物种群!$B$2:INDEX(生物种群!$B:$B,COUNTA(生物种群!$B:$B)),),))</f>
        <v/>
      </c>
      <c r="L288" s="37" t="str">
        <f>IF(A288&amp;B288&amp;C288="","",INDEX(生物种群!$F$3:INDEX(生物种群!$F:$F,COUNTA(生物种群!$F:$F)),MATCH($I288,生物种群!$B$3:INDEX(生物种群!$B:$B,COUNTA(生物种群!$B:$B)),),))</f>
        <v/>
      </c>
      <c r="M288" s="37" t="str">
        <f t="shared" si="8"/>
        <v/>
      </c>
      <c r="N288" s="37" t="str">
        <f t="shared" si="9"/>
        <v/>
      </c>
      <c r="O288" s="9"/>
      <c r="P288" s="10"/>
    </row>
    <row r="289" spans="1:16" ht="20.1" customHeight="1">
      <c r="A289" s="9"/>
      <c r="B289" s="9"/>
      <c r="C289" s="9"/>
      <c r="D289" s="43"/>
      <c r="E289" s="9"/>
      <c r="F289" s="9"/>
      <c r="G289" s="47" t="str">
        <f>IF(F289="","",INDEX(站位样品信息!$B$3:INDEX(站位样品信息!$B:$B,COUNTA(站位样品信息!$B:$B)+1),MATCH($F289,站位样品信息!$A$3:INDEX(站位样品信息!$A:$A,COUNTA(站位样品信息!$A:$A)+1),),))</f>
        <v/>
      </c>
      <c r="H289" s="37" t="str">
        <f>IF(A289&amp;B289&amp;C289="","",INDEX(生物种群!$A$2:INDEX(生物种群!$A:$A,COUNTA(生物种群!$A:$A)),MATCH($I289,生物种群!$B$2:INDEX(生物种群!$B:$B,COUNTA(生物种群!$B:$B)),),))</f>
        <v/>
      </c>
      <c r="I289" s="37" t="str">
        <f>IF(A289&amp;B289&amp;C289="","",IF($C289&lt;&gt;0,INDEX(生物种群!$B$2:INDEX(生物种群!$B:$B,COUNTA(生物种群!$B:$B)),MATCH($C289,生物种群!$G$2:INDEX(生物种群!$G:$G,COUNTA(生物种群!$G:$G)),),),IF($A289&lt;&gt;0,INDEX(生物种群!$B$2:INDEX(生物种群!$B:$B,COUNTA(生物种群!$B:$B)),MATCH($A289,生物种群!$C$2:INDEX(生物种群!$C:$C,COUNTA(生物种群!$C:$C)),),),INDEX(生物种群!$B$2:INDEX(生物种群!$B:$B,COUNTA(生物种群!$B:$B)),MATCH($B289,生物种群!$D$2:INDEX(生物种群!$D:$D,COUNTA(生物种群!$D:$D)),),))))</f>
        <v/>
      </c>
      <c r="J289" s="37" t="str">
        <f>IF(A289&amp;B289&amp;C289="","",INDEX(生物种群!$J$2:INDEX(生物种群!$J:$J,COUNTA(生物种群!$J:$J)),MATCH($I289,生物种群!$B$2:INDEX(生物种群!$B:$B,COUNTA(生物种群!$B:$B)),),))</f>
        <v/>
      </c>
      <c r="K289" s="37" t="str">
        <f>IF(A289&amp;B289&amp;C289="","",INDEX(生物种群!$E$2:INDEX(生物种群!$E:$E,COUNTA(生物种群!$E:$E)),MATCH($I289,生物种群!$B$2:INDEX(生物种群!$B:$B,COUNTA(生物种群!$B:$B)),),))</f>
        <v/>
      </c>
      <c r="L289" s="37" t="str">
        <f>IF(A289&amp;B289&amp;C289="","",INDEX(生物种群!$F$3:INDEX(生物种群!$F:$F,COUNTA(生物种群!$F:$F)),MATCH($I289,生物种群!$B$3:INDEX(生物种群!$B:$B,COUNTA(生物种群!$B:$B)),),))</f>
        <v/>
      </c>
      <c r="M289" s="37" t="str">
        <f t="shared" si="8"/>
        <v/>
      </c>
      <c r="N289" s="37" t="str">
        <f t="shared" si="9"/>
        <v/>
      </c>
      <c r="O289" s="9"/>
      <c r="P289" s="10"/>
    </row>
    <row r="290" spans="1:16" ht="20.1" customHeight="1">
      <c r="A290" s="9"/>
      <c r="B290" s="9"/>
      <c r="C290" s="9"/>
      <c r="D290" s="43"/>
      <c r="E290" s="9"/>
      <c r="F290" s="9"/>
      <c r="G290" s="47" t="str">
        <f>IF(F290="","",INDEX(站位样品信息!$B$3:INDEX(站位样品信息!$B:$B,COUNTA(站位样品信息!$B:$B)+1),MATCH($F290,站位样品信息!$A$3:INDEX(站位样品信息!$A:$A,COUNTA(站位样品信息!$A:$A)+1),),))</f>
        <v/>
      </c>
      <c r="H290" s="37" t="str">
        <f>IF(A290&amp;B290&amp;C290="","",INDEX(生物种群!$A$2:INDEX(生物种群!$A:$A,COUNTA(生物种群!$A:$A)),MATCH($I290,生物种群!$B$2:INDEX(生物种群!$B:$B,COUNTA(生物种群!$B:$B)),),))</f>
        <v/>
      </c>
      <c r="I290" s="37" t="str">
        <f>IF(A290&amp;B290&amp;C290="","",IF($C290&lt;&gt;0,INDEX(生物种群!$B$2:INDEX(生物种群!$B:$B,COUNTA(生物种群!$B:$B)),MATCH($C290,生物种群!$G$2:INDEX(生物种群!$G:$G,COUNTA(生物种群!$G:$G)),),),IF($A290&lt;&gt;0,INDEX(生物种群!$B$2:INDEX(生物种群!$B:$B,COUNTA(生物种群!$B:$B)),MATCH($A290,生物种群!$C$2:INDEX(生物种群!$C:$C,COUNTA(生物种群!$C:$C)),),),INDEX(生物种群!$B$2:INDEX(生物种群!$B:$B,COUNTA(生物种群!$B:$B)),MATCH($B290,生物种群!$D$2:INDEX(生物种群!$D:$D,COUNTA(生物种群!$D:$D)),),))))</f>
        <v/>
      </c>
      <c r="J290" s="37" t="str">
        <f>IF(A290&amp;B290&amp;C290="","",INDEX(生物种群!$J$2:INDEX(生物种群!$J:$J,COUNTA(生物种群!$J:$J)),MATCH($I290,生物种群!$B$2:INDEX(生物种群!$B:$B,COUNTA(生物种群!$B:$B)),),))</f>
        <v/>
      </c>
      <c r="K290" s="37" t="str">
        <f>IF(A290&amp;B290&amp;C290="","",INDEX(生物种群!$E$2:INDEX(生物种群!$E:$E,COUNTA(生物种群!$E:$E)),MATCH($I290,生物种群!$B$2:INDEX(生物种群!$B:$B,COUNTA(生物种群!$B:$B)),),))</f>
        <v/>
      </c>
      <c r="L290" s="37" t="str">
        <f>IF(A290&amp;B290&amp;C290="","",INDEX(生物种群!$F$3:INDEX(生物种群!$F:$F,COUNTA(生物种群!$F:$F)),MATCH($I290,生物种群!$B$3:INDEX(生物种群!$B:$B,COUNTA(生物种群!$B:$B)),),))</f>
        <v/>
      </c>
      <c r="M290" s="37" t="str">
        <f t="shared" si="8"/>
        <v/>
      </c>
      <c r="N290" s="37" t="str">
        <f t="shared" si="9"/>
        <v/>
      </c>
      <c r="O290" s="9"/>
      <c r="P290" s="10"/>
    </row>
    <row r="291" spans="1:16" ht="20.1" customHeight="1">
      <c r="A291" s="9"/>
      <c r="B291" s="9"/>
      <c r="C291" s="9"/>
      <c r="D291" s="43"/>
      <c r="E291" s="9"/>
      <c r="F291" s="9"/>
      <c r="G291" s="47" t="str">
        <f>IF(F291="","",INDEX(站位样品信息!$B$3:INDEX(站位样品信息!$B:$B,COUNTA(站位样品信息!$B:$B)+1),MATCH($F291,站位样品信息!$A$3:INDEX(站位样品信息!$A:$A,COUNTA(站位样品信息!$A:$A)+1),),))</f>
        <v/>
      </c>
      <c r="H291" s="37" t="str">
        <f>IF(A291&amp;B291&amp;C291="","",INDEX(生物种群!$A$2:INDEX(生物种群!$A:$A,COUNTA(生物种群!$A:$A)),MATCH($I291,生物种群!$B$2:INDEX(生物种群!$B:$B,COUNTA(生物种群!$B:$B)),),))</f>
        <v/>
      </c>
      <c r="I291" s="37" t="str">
        <f>IF(A291&amp;B291&amp;C291="","",IF($C291&lt;&gt;0,INDEX(生物种群!$B$2:INDEX(生物种群!$B:$B,COUNTA(生物种群!$B:$B)),MATCH($C291,生物种群!$G$2:INDEX(生物种群!$G:$G,COUNTA(生物种群!$G:$G)),),),IF($A291&lt;&gt;0,INDEX(生物种群!$B$2:INDEX(生物种群!$B:$B,COUNTA(生物种群!$B:$B)),MATCH($A291,生物种群!$C$2:INDEX(生物种群!$C:$C,COUNTA(生物种群!$C:$C)),),),INDEX(生物种群!$B$2:INDEX(生物种群!$B:$B,COUNTA(生物种群!$B:$B)),MATCH($B291,生物种群!$D$2:INDEX(生物种群!$D:$D,COUNTA(生物种群!$D:$D)),),))))</f>
        <v/>
      </c>
      <c r="J291" s="37" t="str">
        <f>IF(A291&amp;B291&amp;C291="","",INDEX(生物种群!$J$2:INDEX(生物种群!$J:$J,COUNTA(生物种群!$J:$J)),MATCH($I291,生物种群!$B$2:INDEX(生物种群!$B:$B,COUNTA(生物种群!$B:$B)),),))</f>
        <v/>
      </c>
      <c r="K291" s="37" t="str">
        <f>IF(A291&amp;B291&amp;C291="","",INDEX(生物种群!$E$2:INDEX(生物种群!$E:$E,COUNTA(生物种群!$E:$E)),MATCH($I291,生物种群!$B$2:INDEX(生物种群!$B:$B,COUNTA(生物种群!$B:$B)),),))</f>
        <v/>
      </c>
      <c r="L291" s="37" t="str">
        <f>IF(A291&amp;B291&amp;C291="","",INDEX(生物种群!$F$3:INDEX(生物种群!$F:$F,COUNTA(生物种群!$F:$F)),MATCH($I291,生物种群!$B$3:INDEX(生物种群!$B:$B,COUNTA(生物种群!$B:$B)),),))</f>
        <v/>
      </c>
      <c r="M291" s="37" t="str">
        <f t="shared" si="8"/>
        <v/>
      </c>
      <c r="N291" s="37" t="str">
        <f t="shared" si="9"/>
        <v/>
      </c>
      <c r="O291" s="9"/>
      <c r="P291" s="10"/>
    </row>
    <row r="292" spans="1:16" ht="20.1" customHeight="1">
      <c r="A292" s="9"/>
      <c r="B292" s="9"/>
      <c r="C292" s="9"/>
      <c r="D292" s="43"/>
      <c r="E292" s="9"/>
      <c r="F292" s="9"/>
      <c r="G292" s="47" t="str">
        <f>IF(F292="","",INDEX(站位样品信息!$B$3:INDEX(站位样品信息!$B:$B,COUNTA(站位样品信息!$B:$B)+1),MATCH($F292,站位样品信息!$A$3:INDEX(站位样品信息!$A:$A,COUNTA(站位样品信息!$A:$A)+1),),))</f>
        <v/>
      </c>
      <c r="H292" s="37" t="str">
        <f>IF(A292&amp;B292&amp;C292="","",INDEX(生物种群!$A$2:INDEX(生物种群!$A:$A,COUNTA(生物种群!$A:$A)),MATCH($I292,生物种群!$B$2:INDEX(生物种群!$B:$B,COUNTA(生物种群!$B:$B)),),))</f>
        <v/>
      </c>
      <c r="I292" s="37" t="str">
        <f>IF(A292&amp;B292&amp;C292="","",IF($C292&lt;&gt;0,INDEX(生物种群!$B$2:INDEX(生物种群!$B:$B,COUNTA(生物种群!$B:$B)),MATCH($C292,生物种群!$G$2:INDEX(生物种群!$G:$G,COUNTA(生物种群!$G:$G)),),),IF($A292&lt;&gt;0,INDEX(生物种群!$B$2:INDEX(生物种群!$B:$B,COUNTA(生物种群!$B:$B)),MATCH($A292,生物种群!$C$2:INDEX(生物种群!$C:$C,COUNTA(生物种群!$C:$C)),),),INDEX(生物种群!$B$2:INDEX(生物种群!$B:$B,COUNTA(生物种群!$B:$B)),MATCH($B292,生物种群!$D$2:INDEX(生物种群!$D:$D,COUNTA(生物种群!$D:$D)),),))))</f>
        <v/>
      </c>
      <c r="J292" s="37" t="str">
        <f>IF(A292&amp;B292&amp;C292="","",INDEX(生物种群!$J$2:INDEX(生物种群!$J:$J,COUNTA(生物种群!$J:$J)),MATCH($I292,生物种群!$B$2:INDEX(生物种群!$B:$B,COUNTA(生物种群!$B:$B)),),))</f>
        <v/>
      </c>
      <c r="K292" s="37" t="str">
        <f>IF(A292&amp;B292&amp;C292="","",INDEX(生物种群!$E$2:INDEX(生物种群!$E:$E,COUNTA(生物种群!$E:$E)),MATCH($I292,生物种群!$B$2:INDEX(生物种群!$B:$B,COUNTA(生物种群!$B:$B)),),))</f>
        <v/>
      </c>
      <c r="L292" s="37" t="str">
        <f>IF(A292&amp;B292&amp;C292="","",INDEX(生物种群!$F$3:INDEX(生物种群!$F:$F,COUNTA(生物种群!$F:$F)),MATCH($I292,生物种群!$B$3:INDEX(生物种群!$B:$B,COUNTA(生物种群!$B:$B)),),))</f>
        <v/>
      </c>
      <c r="M292" s="37" t="str">
        <f t="shared" si="8"/>
        <v/>
      </c>
      <c r="N292" s="37" t="str">
        <f t="shared" si="9"/>
        <v/>
      </c>
      <c r="O292" s="9"/>
      <c r="P292" s="10"/>
    </row>
    <row r="293" spans="1:16" ht="20.1" customHeight="1">
      <c r="A293" s="9"/>
      <c r="B293" s="9"/>
      <c r="C293" s="9"/>
      <c r="D293" s="43"/>
      <c r="E293" s="9"/>
      <c r="F293" s="9"/>
      <c r="G293" s="47" t="str">
        <f>IF(F293="","",INDEX(站位样品信息!$B$3:INDEX(站位样品信息!$B:$B,COUNTA(站位样品信息!$B:$B)+1),MATCH($F293,站位样品信息!$A$3:INDEX(站位样品信息!$A:$A,COUNTA(站位样品信息!$A:$A)+1),),))</f>
        <v/>
      </c>
      <c r="H293" s="37" t="str">
        <f>IF(A293&amp;B293&amp;C293="","",INDEX(生物种群!$A$2:INDEX(生物种群!$A:$A,COUNTA(生物种群!$A:$A)),MATCH($I293,生物种群!$B$2:INDEX(生物种群!$B:$B,COUNTA(生物种群!$B:$B)),),))</f>
        <v/>
      </c>
      <c r="I293" s="37" t="str">
        <f>IF(A293&amp;B293&amp;C293="","",IF($C293&lt;&gt;0,INDEX(生物种群!$B$2:INDEX(生物种群!$B:$B,COUNTA(生物种群!$B:$B)),MATCH($C293,生物种群!$G$2:INDEX(生物种群!$G:$G,COUNTA(生物种群!$G:$G)),),),IF($A293&lt;&gt;0,INDEX(生物种群!$B$2:INDEX(生物种群!$B:$B,COUNTA(生物种群!$B:$B)),MATCH($A293,生物种群!$C$2:INDEX(生物种群!$C:$C,COUNTA(生物种群!$C:$C)),),),INDEX(生物种群!$B$2:INDEX(生物种群!$B:$B,COUNTA(生物种群!$B:$B)),MATCH($B293,生物种群!$D$2:INDEX(生物种群!$D:$D,COUNTA(生物种群!$D:$D)),),))))</f>
        <v/>
      </c>
      <c r="J293" s="37" t="str">
        <f>IF(A293&amp;B293&amp;C293="","",INDEX(生物种群!$J$2:INDEX(生物种群!$J:$J,COUNTA(生物种群!$J:$J)),MATCH($I293,生物种群!$B$2:INDEX(生物种群!$B:$B,COUNTA(生物种群!$B:$B)),),))</f>
        <v/>
      </c>
      <c r="K293" s="37" t="str">
        <f>IF(A293&amp;B293&amp;C293="","",INDEX(生物种群!$E$2:INDEX(生物种群!$E:$E,COUNTA(生物种群!$E:$E)),MATCH($I293,生物种群!$B$2:INDEX(生物种群!$B:$B,COUNTA(生物种群!$B:$B)),),))</f>
        <v/>
      </c>
      <c r="L293" s="37" t="str">
        <f>IF(A293&amp;B293&amp;C293="","",INDEX(生物种群!$F$3:INDEX(生物种群!$F:$F,COUNTA(生物种群!$F:$F)),MATCH($I293,生物种群!$B$3:INDEX(生物种群!$B:$B,COUNTA(生物种群!$B:$B)),),))</f>
        <v/>
      </c>
      <c r="M293" s="37" t="str">
        <f t="shared" si="8"/>
        <v/>
      </c>
      <c r="N293" s="37" t="str">
        <f t="shared" si="9"/>
        <v/>
      </c>
      <c r="O293" s="9"/>
      <c r="P293" s="10"/>
    </row>
    <row r="294" spans="1:16" ht="20.1" customHeight="1">
      <c r="A294" s="9"/>
      <c r="B294" s="9"/>
      <c r="C294" s="9"/>
      <c r="D294" s="43"/>
      <c r="E294" s="9"/>
      <c r="F294" s="9"/>
      <c r="G294" s="47" t="str">
        <f>IF(F294="","",INDEX(站位样品信息!$B$3:INDEX(站位样品信息!$B:$B,COUNTA(站位样品信息!$B:$B)+1),MATCH($F294,站位样品信息!$A$3:INDEX(站位样品信息!$A:$A,COUNTA(站位样品信息!$A:$A)+1),),))</f>
        <v/>
      </c>
      <c r="H294" s="37" t="str">
        <f>IF(A294&amp;B294&amp;C294="","",INDEX(生物种群!$A$2:INDEX(生物种群!$A:$A,COUNTA(生物种群!$A:$A)),MATCH($I294,生物种群!$B$2:INDEX(生物种群!$B:$B,COUNTA(生物种群!$B:$B)),),))</f>
        <v/>
      </c>
      <c r="I294" s="37" t="str">
        <f>IF(A294&amp;B294&amp;C294="","",IF($C294&lt;&gt;0,INDEX(生物种群!$B$2:INDEX(生物种群!$B:$B,COUNTA(生物种群!$B:$B)),MATCH($C294,生物种群!$G$2:INDEX(生物种群!$G:$G,COUNTA(生物种群!$G:$G)),),),IF($A294&lt;&gt;0,INDEX(生物种群!$B$2:INDEX(生物种群!$B:$B,COUNTA(生物种群!$B:$B)),MATCH($A294,生物种群!$C$2:INDEX(生物种群!$C:$C,COUNTA(生物种群!$C:$C)),),),INDEX(生物种群!$B$2:INDEX(生物种群!$B:$B,COUNTA(生物种群!$B:$B)),MATCH($B294,生物种群!$D$2:INDEX(生物种群!$D:$D,COUNTA(生物种群!$D:$D)),),))))</f>
        <v/>
      </c>
      <c r="J294" s="37" t="str">
        <f>IF(A294&amp;B294&amp;C294="","",INDEX(生物种群!$J$2:INDEX(生物种群!$J:$J,COUNTA(生物种群!$J:$J)),MATCH($I294,生物种群!$B$2:INDEX(生物种群!$B:$B,COUNTA(生物种群!$B:$B)),),))</f>
        <v/>
      </c>
      <c r="K294" s="37" t="str">
        <f>IF(A294&amp;B294&amp;C294="","",INDEX(生物种群!$E$2:INDEX(生物种群!$E:$E,COUNTA(生物种群!$E:$E)),MATCH($I294,生物种群!$B$2:INDEX(生物种群!$B:$B,COUNTA(生物种群!$B:$B)),),))</f>
        <v/>
      </c>
      <c r="L294" s="37" t="str">
        <f>IF(A294&amp;B294&amp;C294="","",INDEX(生物种群!$F$3:INDEX(生物种群!$F:$F,COUNTA(生物种群!$F:$F)),MATCH($I294,生物种群!$B$3:INDEX(生物种群!$B:$B,COUNTA(生物种群!$B:$B)),),))</f>
        <v/>
      </c>
      <c r="M294" s="37" t="str">
        <f t="shared" si="8"/>
        <v/>
      </c>
      <c r="N294" s="37" t="str">
        <f t="shared" si="9"/>
        <v/>
      </c>
      <c r="O294" s="9"/>
      <c r="P294" s="10"/>
    </row>
    <row r="295" spans="1:16" ht="20.1" customHeight="1">
      <c r="A295" s="9"/>
      <c r="B295" s="9"/>
      <c r="C295" s="9"/>
      <c r="D295" s="43"/>
      <c r="E295" s="9"/>
      <c r="F295" s="9"/>
      <c r="G295" s="47" t="str">
        <f>IF(F295="","",INDEX(站位样品信息!$B$3:INDEX(站位样品信息!$B:$B,COUNTA(站位样品信息!$B:$B)+1),MATCH($F295,站位样品信息!$A$3:INDEX(站位样品信息!$A:$A,COUNTA(站位样品信息!$A:$A)+1),),))</f>
        <v/>
      </c>
      <c r="H295" s="37" t="str">
        <f>IF(A295&amp;B295&amp;C295="","",INDEX(生物种群!$A$2:INDEX(生物种群!$A:$A,COUNTA(生物种群!$A:$A)),MATCH($I295,生物种群!$B$2:INDEX(生物种群!$B:$B,COUNTA(生物种群!$B:$B)),),))</f>
        <v/>
      </c>
      <c r="I295" s="37" t="str">
        <f>IF(A295&amp;B295&amp;C295="","",IF($C295&lt;&gt;0,INDEX(生物种群!$B$2:INDEX(生物种群!$B:$B,COUNTA(生物种群!$B:$B)),MATCH($C295,生物种群!$G$2:INDEX(生物种群!$G:$G,COUNTA(生物种群!$G:$G)),),),IF($A295&lt;&gt;0,INDEX(生物种群!$B$2:INDEX(生物种群!$B:$B,COUNTA(生物种群!$B:$B)),MATCH($A295,生物种群!$C$2:INDEX(生物种群!$C:$C,COUNTA(生物种群!$C:$C)),),),INDEX(生物种群!$B$2:INDEX(生物种群!$B:$B,COUNTA(生物种群!$B:$B)),MATCH($B295,生物种群!$D$2:INDEX(生物种群!$D:$D,COUNTA(生物种群!$D:$D)),),))))</f>
        <v/>
      </c>
      <c r="J295" s="37" t="str">
        <f>IF(A295&amp;B295&amp;C295="","",INDEX(生物种群!$J$2:INDEX(生物种群!$J:$J,COUNTA(生物种群!$J:$J)),MATCH($I295,生物种群!$B$2:INDEX(生物种群!$B:$B,COUNTA(生物种群!$B:$B)),),))</f>
        <v/>
      </c>
      <c r="K295" s="37" t="str">
        <f>IF(A295&amp;B295&amp;C295="","",INDEX(生物种群!$E$2:INDEX(生物种群!$E:$E,COUNTA(生物种群!$E:$E)),MATCH($I295,生物种群!$B$2:INDEX(生物种群!$B:$B,COUNTA(生物种群!$B:$B)),),))</f>
        <v/>
      </c>
      <c r="L295" s="37" t="str">
        <f>IF(A295&amp;B295&amp;C295="","",INDEX(生物种群!$F$3:INDEX(生物种群!$F:$F,COUNTA(生物种群!$F:$F)),MATCH($I295,生物种群!$B$3:INDEX(生物种群!$B:$B,COUNTA(生物种群!$B:$B)),),))</f>
        <v/>
      </c>
      <c r="M295" s="37" t="str">
        <f t="shared" si="8"/>
        <v/>
      </c>
      <c r="N295" s="37" t="str">
        <f t="shared" si="9"/>
        <v/>
      </c>
      <c r="O295" s="9"/>
      <c r="P295" s="10"/>
    </row>
    <row r="296" spans="1:16" ht="20.1" customHeight="1">
      <c r="A296" s="9"/>
      <c r="B296" s="9"/>
      <c r="C296" s="9"/>
      <c r="D296" s="43"/>
      <c r="E296" s="9"/>
      <c r="F296" s="9"/>
      <c r="G296" s="47" t="str">
        <f>IF(F296="","",INDEX(站位样品信息!$B$3:INDEX(站位样品信息!$B:$B,COUNTA(站位样品信息!$B:$B)+1),MATCH($F296,站位样品信息!$A$3:INDEX(站位样品信息!$A:$A,COUNTA(站位样品信息!$A:$A)+1),),))</f>
        <v/>
      </c>
      <c r="H296" s="37" t="str">
        <f>IF(A296&amp;B296&amp;C296="","",INDEX(生物种群!$A$2:INDEX(生物种群!$A:$A,COUNTA(生物种群!$A:$A)),MATCH($I296,生物种群!$B$2:INDEX(生物种群!$B:$B,COUNTA(生物种群!$B:$B)),),))</f>
        <v/>
      </c>
      <c r="I296" s="37" t="str">
        <f>IF(A296&amp;B296&amp;C296="","",IF($C296&lt;&gt;0,INDEX(生物种群!$B$2:INDEX(生物种群!$B:$B,COUNTA(生物种群!$B:$B)),MATCH($C296,生物种群!$G$2:INDEX(生物种群!$G:$G,COUNTA(生物种群!$G:$G)),),),IF($A296&lt;&gt;0,INDEX(生物种群!$B$2:INDEX(生物种群!$B:$B,COUNTA(生物种群!$B:$B)),MATCH($A296,生物种群!$C$2:INDEX(生物种群!$C:$C,COUNTA(生物种群!$C:$C)),),),INDEX(生物种群!$B$2:INDEX(生物种群!$B:$B,COUNTA(生物种群!$B:$B)),MATCH($B296,生物种群!$D$2:INDEX(生物种群!$D:$D,COUNTA(生物种群!$D:$D)),),))))</f>
        <v/>
      </c>
      <c r="J296" s="37" t="str">
        <f>IF(A296&amp;B296&amp;C296="","",INDEX(生物种群!$J$2:INDEX(生物种群!$J:$J,COUNTA(生物种群!$J:$J)),MATCH($I296,生物种群!$B$2:INDEX(生物种群!$B:$B,COUNTA(生物种群!$B:$B)),),))</f>
        <v/>
      </c>
      <c r="K296" s="37" t="str">
        <f>IF(A296&amp;B296&amp;C296="","",INDEX(生物种群!$E$2:INDEX(生物种群!$E:$E,COUNTA(生物种群!$E:$E)),MATCH($I296,生物种群!$B$2:INDEX(生物种群!$B:$B,COUNTA(生物种群!$B:$B)),),))</f>
        <v/>
      </c>
      <c r="L296" s="37" t="str">
        <f>IF(A296&amp;B296&amp;C296="","",INDEX(生物种群!$F$3:INDEX(生物种群!$F:$F,COUNTA(生物种群!$F:$F)),MATCH($I296,生物种群!$B$3:INDEX(生物种群!$B:$B,COUNTA(生物种群!$B:$B)),),))</f>
        <v/>
      </c>
      <c r="M296" s="37" t="str">
        <f t="shared" si="8"/>
        <v/>
      </c>
      <c r="N296" s="37" t="str">
        <f t="shared" si="9"/>
        <v/>
      </c>
      <c r="O296" s="9"/>
      <c r="P296" s="10"/>
    </row>
    <row r="297" spans="1:16" ht="20.1" customHeight="1">
      <c r="A297" s="9"/>
      <c r="B297" s="9"/>
      <c r="C297" s="9"/>
      <c r="D297" s="43"/>
      <c r="E297" s="9"/>
      <c r="F297" s="9"/>
      <c r="G297" s="47" t="str">
        <f>IF(F297="","",INDEX(站位样品信息!$B$3:INDEX(站位样品信息!$B:$B,COUNTA(站位样品信息!$B:$B)+1),MATCH($F297,站位样品信息!$A$3:INDEX(站位样品信息!$A:$A,COUNTA(站位样品信息!$A:$A)+1),),))</f>
        <v/>
      </c>
      <c r="H297" s="37" t="str">
        <f>IF(A297&amp;B297&amp;C297="","",INDEX(生物种群!$A$2:INDEX(生物种群!$A:$A,COUNTA(生物种群!$A:$A)),MATCH($I297,生物种群!$B$2:INDEX(生物种群!$B:$B,COUNTA(生物种群!$B:$B)),),))</f>
        <v/>
      </c>
      <c r="I297" s="37" t="str">
        <f>IF(A297&amp;B297&amp;C297="","",IF($C297&lt;&gt;0,INDEX(生物种群!$B$2:INDEX(生物种群!$B:$B,COUNTA(生物种群!$B:$B)),MATCH($C297,生物种群!$G$2:INDEX(生物种群!$G:$G,COUNTA(生物种群!$G:$G)),),),IF($A297&lt;&gt;0,INDEX(生物种群!$B$2:INDEX(生物种群!$B:$B,COUNTA(生物种群!$B:$B)),MATCH($A297,生物种群!$C$2:INDEX(生物种群!$C:$C,COUNTA(生物种群!$C:$C)),),),INDEX(生物种群!$B$2:INDEX(生物种群!$B:$B,COUNTA(生物种群!$B:$B)),MATCH($B297,生物种群!$D$2:INDEX(生物种群!$D:$D,COUNTA(生物种群!$D:$D)),),))))</f>
        <v/>
      </c>
      <c r="J297" s="37" t="str">
        <f>IF(A297&amp;B297&amp;C297="","",INDEX(生物种群!$J$2:INDEX(生物种群!$J:$J,COUNTA(生物种群!$J:$J)),MATCH($I297,生物种群!$B$2:INDEX(生物种群!$B:$B,COUNTA(生物种群!$B:$B)),),))</f>
        <v/>
      </c>
      <c r="K297" s="37" t="str">
        <f>IF(A297&amp;B297&amp;C297="","",INDEX(生物种群!$E$2:INDEX(生物种群!$E:$E,COUNTA(生物种群!$E:$E)),MATCH($I297,生物种群!$B$2:INDEX(生物种群!$B:$B,COUNTA(生物种群!$B:$B)),),))</f>
        <v/>
      </c>
      <c r="L297" s="37" t="str">
        <f>IF(A297&amp;B297&amp;C297="","",INDEX(生物种群!$F$3:INDEX(生物种群!$F:$F,COUNTA(生物种群!$F:$F)),MATCH($I297,生物种群!$B$3:INDEX(生物种群!$B:$B,COUNTA(生物种群!$B:$B)),),))</f>
        <v/>
      </c>
      <c r="M297" s="37" t="str">
        <f t="shared" si="8"/>
        <v/>
      </c>
      <c r="N297" s="37" t="str">
        <f t="shared" si="9"/>
        <v/>
      </c>
      <c r="O297" s="9"/>
      <c r="P297" s="10"/>
    </row>
    <row r="298" spans="1:16" ht="20.1" customHeight="1">
      <c r="A298" s="9"/>
      <c r="B298" s="9"/>
      <c r="C298" s="9"/>
      <c r="D298" s="43"/>
      <c r="E298" s="9"/>
      <c r="F298" s="9"/>
      <c r="G298" s="47" t="str">
        <f>IF(F298="","",INDEX(站位样品信息!$B$3:INDEX(站位样品信息!$B:$B,COUNTA(站位样品信息!$B:$B)+1),MATCH($F298,站位样品信息!$A$3:INDEX(站位样品信息!$A:$A,COUNTA(站位样品信息!$A:$A)+1),),))</f>
        <v/>
      </c>
      <c r="H298" s="37" t="str">
        <f>IF(A298&amp;B298&amp;C298="","",INDEX(生物种群!$A$2:INDEX(生物种群!$A:$A,COUNTA(生物种群!$A:$A)),MATCH($I298,生物种群!$B$2:INDEX(生物种群!$B:$B,COUNTA(生物种群!$B:$B)),),))</f>
        <v/>
      </c>
      <c r="I298" s="37" t="str">
        <f>IF(A298&amp;B298&amp;C298="","",IF($C298&lt;&gt;0,INDEX(生物种群!$B$2:INDEX(生物种群!$B:$B,COUNTA(生物种群!$B:$B)),MATCH($C298,生物种群!$G$2:INDEX(生物种群!$G:$G,COUNTA(生物种群!$G:$G)),),),IF($A298&lt;&gt;0,INDEX(生物种群!$B$2:INDEX(生物种群!$B:$B,COUNTA(生物种群!$B:$B)),MATCH($A298,生物种群!$C$2:INDEX(生物种群!$C:$C,COUNTA(生物种群!$C:$C)),),),INDEX(生物种群!$B$2:INDEX(生物种群!$B:$B,COUNTA(生物种群!$B:$B)),MATCH($B298,生物种群!$D$2:INDEX(生物种群!$D:$D,COUNTA(生物种群!$D:$D)),),))))</f>
        <v/>
      </c>
      <c r="J298" s="37" t="str">
        <f>IF(A298&amp;B298&amp;C298="","",INDEX(生物种群!$J$2:INDEX(生物种群!$J:$J,COUNTA(生物种群!$J:$J)),MATCH($I298,生物种群!$B$2:INDEX(生物种群!$B:$B,COUNTA(生物种群!$B:$B)),),))</f>
        <v/>
      </c>
      <c r="K298" s="37" t="str">
        <f>IF(A298&amp;B298&amp;C298="","",INDEX(生物种群!$E$2:INDEX(生物种群!$E:$E,COUNTA(生物种群!$E:$E)),MATCH($I298,生物种群!$B$2:INDEX(生物种群!$B:$B,COUNTA(生物种群!$B:$B)),),))</f>
        <v/>
      </c>
      <c r="L298" s="37" t="str">
        <f>IF(A298&amp;B298&amp;C298="","",INDEX(生物种群!$F$3:INDEX(生物种群!$F:$F,COUNTA(生物种群!$F:$F)),MATCH($I298,生物种群!$B$3:INDEX(生物种群!$B:$B,COUNTA(生物种群!$B:$B)),),))</f>
        <v/>
      </c>
      <c r="M298" s="37" t="str">
        <f t="shared" si="8"/>
        <v/>
      </c>
      <c r="N298" s="37" t="str">
        <f t="shared" si="9"/>
        <v/>
      </c>
      <c r="O298" s="9"/>
      <c r="P298" s="10"/>
    </row>
    <row r="299" spans="1:16" ht="20.1" customHeight="1">
      <c r="A299" s="9"/>
      <c r="B299" s="9"/>
      <c r="C299" s="9"/>
      <c r="D299" s="43"/>
      <c r="E299" s="9"/>
      <c r="F299" s="9"/>
      <c r="G299" s="47" t="str">
        <f>IF(F299="","",INDEX(站位样品信息!$B$3:INDEX(站位样品信息!$B:$B,COUNTA(站位样品信息!$B:$B)+1),MATCH($F299,站位样品信息!$A$3:INDEX(站位样品信息!$A:$A,COUNTA(站位样品信息!$A:$A)+1),),))</f>
        <v/>
      </c>
      <c r="H299" s="37" t="str">
        <f>IF(A299&amp;B299&amp;C299="","",INDEX(生物种群!$A$2:INDEX(生物种群!$A:$A,COUNTA(生物种群!$A:$A)),MATCH($I299,生物种群!$B$2:INDEX(生物种群!$B:$B,COUNTA(生物种群!$B:$B)),),))</f>
        <v/>
      </c>
      <c r="I299" s="37" t="str">
        <f>IF(A299&amp;B299&amp;C299="","",IF($C299&lt;&gt;0,INDEX(生物种群!$B$2:INDEX(生物种群!$B:$B,COUNTA(生物种群!$B:$B)),MATCH($C299,生物种群!$G$2:INDEX(生物种群!$G:$G,COUNTA(生物种群!$G:$G)),),),IF($A299&lt;&gt;0,INDEX(生物种群!$B$2:INDEX(生物种群!$B:$B,COUNTA(生物种群!$B:$B)),MATCH($A299,生物种群!$C$2:INDEX(生物种群!$C:$C,COUNTA(生物种群!$C:$C)),),),INDEX(生物种群!$B$2:INDEX(生物种群!$B:$B,COUNTA(生物种群!$B:$B)),MATCH($B299,生物种群!$D$2:INDEX(生物种群!$D:$D,COUNTA(生物种群!$D:$D)),),))))</f>
        <v/>
      </c>
      <c r="J299" s="37" t="str">
        <f>IF(A299&amp;B299&amp;C299="","",INDEX(生物种群!$J$2:INDEX(生物种群!$J:$J,COUNTA(生物种群!$J:$J)),MATCH($I299,生物种群!$B$2:INDEX(生物种群!$B:$B,COUNTA(生物种群!$B:$B)),),))</f>
        <v/>
      </c>
      <c r="K299" s="37" t="str">
        <f>IF(A299&amp;B299&amp;C299="","",INDEX(生物种群!$E$2:INDEX(生物种群!$E:$E,COUNTA(生物种群!$E:$E)),MATCH($I299,生物种群!$B$2:INDEX(生物种群!$B:$B,COUNTA(生物种群!$B:$B)),),))</f>
        <v/>
      </c>
      <c r="L299" s="37" t="str">
        <f>IF(A299&amp;B299&amp;C299="","",INDEX(生物种群!$F$3:INDEX(生物种群!$F:$F,COUNTA(生物种群!$F:$F)),MATCH($I299,生物种群!$B$3:INDEX(生物种群!$B:$B,COUNTA(生物种群!$B:$B)),),))</f>
        <v/>
      </c>
      <c r="M299" s="37" t="str">
        <f t="shared" si="8"/>
        <v/>
      </c>
      <c r="N299" s="37" t="str">
        <f t="shared" si="9"/>
        <v/>
      </c>
      <c r="O299" s="9"/>
      <c r="P299" s="10"/>
    </row>
    <row r="300" spans="1:16" ht="20.1" customHeight="1">
      <c r="A300" s="9"/>
      <c r="B300" s="9"/>
      <c r="C300" s="9"/>
      <c r="D300" s="43"/>
      <c r="E300" s="9"/>
      <c r="F300" s="9"/>
      <c r="G300" s="47" t="str">
        <f>IF(F300="","",INDEX(站位样品信息!$B$3:INDEX(站位样品信息!$B:$B,COUNTA(站位样品信息!$B:$B)+1),MATCH($F300,站位样品信息!$A$3:INDEX(站位样品信息!$A:$A,COUNTA(站位样品信息!$A:$A)+1),),))</f>
        <v/>
      </c>
      <c r="H300" s="37" t="str">
        <f>IF(A300&amp;B300&amp;C300="","",INDEX(生物种群!$A$2:INDEX(生物种群!$A:$A,COUNTA(生物种群!$A:$A)),MATCH($I300,生物种群!$B$2:INDEX(生物种群!$B:$B,COUNTA(生物种群!$B:$B)),),))</f>
        <v/>
      </c>
      <c r="I300" s="37" t="str">
        <f>IF(A300&amp;B300&amp;C300="","",IF($C300&lt;&gt;0,INDEX(生物种群!$B$2:INDEX(生物种群!$B:$B,COUNTA(生物种群!$B:$B)),MATCH($C300,生物种群!$G$2:INDEX(生物种群!$G:$G,COUNTA(生物种群!$G:$G)),),),IF($A300&lt;&gt;0,INDEX(生物种群!$B$2:INDEX(生物种群!$B:$B,COUNTA(生物种群!$B:$B)),MATCH($A300,生物种群!$C$2:INDEX(生物种群!$C:$C,COUNTA(生物种群!$C:$C)),),),INDEX(生物种群!$B$2:INDEX(生物种群!$B:$B,COUNTA(生物种群!$B:$B)),MATCH($B300,生物种群!$D$2:INDEX(生物种群!$D:$D,COUNTA(生物种群!$D:$D)),),))))</f>
        <v/>
      </c>
      <c r="J300" s="37" t="str">
        <f>IF(A300&amp;B300&amp;C300="","",INDEX(生物种群!$J$2:INDEX(生物种群!$J:$J,COUNTA(生物种群!$J:$J)),MATCH($I300,生物种群!$B$2:INDEX(生物种群!$B:$B,COUNTA(生物种群!$B:$B)),),))</f>
        <v/>
      </c>
      <c r="K300" s="37" t="str">
        <f>IF(A300&amp;B300&amp;C300="","",INDEX(生物种群!$E$2:INDEX(生物种群!$E:$E,COUNTA(生物种群!$E:$E)),MATCH($I300,生物种群!$B$2:INDEX(生物种群!$B:$B,COUNTA(生物种群!$B:$B)),),))</f>
        <v/>
      </c>
      <c r="L300" s="37" t="str">
        <f>IF(A300&amp;B300&amp;C300="","",INDEX(生物种群!$F$3:INDEX(生物种群!$F:$F,COUNTA(生物种群!$F:$F)),MATCH($I300,生物种群!$B$3:INDEX(生物种群!$B:$B,COUNTA(生物种群!$B:$B)),),))</f>
        <v/>
      </c>
      <c r="M300" s="37" t="str">
        <f t="shared" si="8"/>
        <v/>
      </c>
      <c r="N300" s="37" t="str">
        <f t="shared" si="9"/>
        <v/>
      </c>
      <c r="O300" s="9"/>
      <c r="P300" s="10"/>
    </row>
    <row r="301" spans="1:16" ht="20.1" customHeight="1">
      <c r="A301" s="9"/>
      <c r="B301" s="9"/>
      <c r="C301" s="9"/>
      <c r="D301" s="43"/>
      <c r="E301" s="9"/>
      <c r="F301" s="9"/>
      <c r="G301" s="47" t="str">
        <f>IF(F301="","",INDEX(站位样品信息!$B$3:INDEX(站位样品信息!$B:$B,COUNTA(站位样品信息!$B:$B)+1),MATCH($F301,站位样品信息!$A$3:INDEX(站位样品信息!$A:$A,COUNTA(站位样品信息!$A:$A)+1),),))</f>
        <v/>
      </c>
      <c r="H301" s="37" t="str">
        <f>IF(A301&amp;B301&amp;C301="","",INDEX(生物种群!$A$2:INDEX(生物种群!$A:$A,COUNTA(生物种群!$A:$A)),MATCH($I301,生物种群!$B$2:INDEX(生物种群!$B:$B,COUNTA(生物种群!$B:$B)),),))</f>
        <v/>
      </c>
      <c r="I301" s="37" t="str">
        <f>IF(A301&amp;B301&amp;C301="","",IF($C301&lt;&gt;0,INDEX(生物种群!$B$2:INDEX(生物种群!$B:$B,COUNTA(生物种群!$B:$B)),MATCH($C301,生物种群!$G$2:INDEX(生物种群!$G:$G,COUNTA(生物种群!$G:$G)),),),IF($A301&lt;&gt;0,INDEX(生物种群!$B$2:INDEX(生物种群!$B:$B,COUNTA(生物种群!$B:$B)),MATCH($A301,生物种群!$C$2:INDEX(生物种群!$C:$C,COUNTA(生物种群!$C:$C)),),),INDEX(生物种群!$B$2:INDEX(生物种群!$B:$B,COUNTA(生物种群!$B:$B)),MATCH($B301,生物种群!$D$2:INDEX(生物种群!$D:$D,COUNTA(生物种群!$D:$D)),),))))</f>
        <v/>
      </c>
      <c r="J301" s="37" t="str">
        <f>IF(A301&amp;B301&amp;C301="","",INDEX(生物种群!$J$2:INDEX(生物种群!$J:$J,COUNTA(生物种群!$J:$J)),MATCH($I301,生物种群!$B$2:INDEX(生物种群!$B:$B,COUNTA(生物种群!$B:$B)),),))</f>
        <v/>
      </c>
      <c r="K301" s="37" t="str">
        <f>IF(A301&amp;B301&amp;C301="","",INDEX(生物种群!$E$2:INDEX(生物种群!$E:$E,COUNTA(生物种群!$E:$E)),MATCH($I301,生物种群!$B$2:INDEX(生物种群!$B:$B,COUNTA(生物种群!$B:$B)),),))</f>
        <v/>
      </c>
      <c r="L301" s="37" t="str">
        <f>IF(A301&amp;B301&amp;C301="","",INDEX(生物种群!$F$3:INDEX(生物种群!$F:$F,COUNTA(生物种群!$F:$F)),MATCH($I301,生物种群!$B$3:INDEX(生物种群!$B:$B,COUNTA(生物种群!$B:$B)),),))</f>
        <v/>
      </c>
      <c r="M301" s="37" t="str">
        <f t="shared" si="8"/>
        <v/>
      </c>
      <c r="N301" s="37" t="str">
        <f t="shared" si="9"/>
        <v/>
      </c>
      <c r="O301" s="9"/>
      <c r="P301" s="10"/>
    </row>
    <row r="302" spans="1:16" ht="20.1" customHeight="1">
      <c r="A302" s="9"/>
      <c r="B302" s="9"/>
      <c r="C302" s="9"/>
      <c r="D302" s="43"/>
      <c r="E302" s="9"/>
      <c r="F302" s="9"/>
      <c r="G302" s="47" t="str">
        <f>IF(F302="","",INDEX(站位样品信息!$B$3:INDEX(站位样品信息!$B:$B,COUNTA(站位样品信息!$B:$B)+1),MATCH($F302,站位样品信息!$A$3:INDEX(站位样品信息!$A:$A,COUNTA(站位样品信息!$A:$A)+1),),))</f>
        <v/>
      </c>
      <c r="H302" s="37" t="str">
        <f>IF(A302&amp;B302&amp;C302="","",INDEX(生物种群!$A$2:INDEX(生物种群!$A:$A,COUNTA(生物种群!$A:$A)),MATCH($I302,生物种群!$B$2:INDEX(生物种群!$B:$B,COUNTA(生物种群!$B:$B)),),))</f>
        <v/>
      </c>
      <c r="I302" s="37" t="str">
        <f>IF(A302&amp;B302&amp;C302="","",IF($C302&lt;&gt;0,INDEX(生物种群!$B$2:INDEX(生物种群!$B:$B,COUNTA(生物种群!$B:$B)),MATCH($C302,生物种群!$G$2:INDEX(生物种群!$G:$G,COUNTA(生物种群!$G:$G)),),),IF($A302&lt;&gt;0,INDEX(生物种群!$B$2:INDEX(生物种群!$B:$B,COUNTA(生物种群!$B:$B)),MATCH($A302,生物种群!$C$2:INDEX(生物种群!$C:$C,COUNTA(生物种群!$C:$C)),),),INDEX(生物种群!$B$2:INDEX(生物种群!$B:$B,COUNTA(生物种群!$B:$B)),MATCH($B302,生物种群!$D$2:INDEX(生物种群!$D:$D,COUNTA(生物种群!$D:$D)),),))))</f>
        <v/>
      </c>
      <c r="J302" s="37" t="str">
        <f>IF(A302&amp;B302&amp;C302="","",INDEX(生物种群!$J$2:INDEX(生物种群!$J:$J,COUNTA(生物种群!$J:$J)),MATCH($I302,生物种群!$B$2:INDEX(生物种群!$B:$B,COUNTA(生物种群!$B:$B)),),))</f>
        <v/>
      </c>
      <c r="K302" s="37" t="str">
        <f>IF(A302&amp;B302&amp;C302="","",INDEX(生物种群!$E$2:INDEX(生物种群!$E:$E,COUNTA(生物种群!$E:$E)),MATCH($I302,生物种群!$B$2:INDEX(生物种群!$B:$B,COUNTA(生物种群!$B:$B)),),))</f>
        <v/>
      </c>
      <c r="L302" s="37" t="str">
        <f>IF(A302&amp;B302&amp;C302="","",INDEX(生物种群!$F$3:INDEX(生物种群!$F:$F,COUNTA(生物种群!$F:$F)),MATCH($I302,生物种群!$B$3:INDEX(生物种群!$B:$B,COUNTA(生物种群!$B:$B)),),))</f>
        <v/>
      </c>
      <c r="M302" s="37" t="str">
        <f t="shared" si="8"/>
        <v/>
      </c>
      <c r="N302" s="37" t="str">
        <f t="shared" si="9"/>
        <v/>
      </c>
      <c r="O302" s="9"/>
      <c r="P302" s="10"/>
    </row>
    <row r="303" spans="1:16" ht="20.1" customHeight="1">
      <c r="A303" s="9"/>
      <c r="B303" s="9"/>
      <c r="C303" s="9"/>
      <c r="D303" s="43"/>
      <c r="E303" s="9"/>
      <c r="F303" s="9"/>
      <c r="G303" s="47" t="str">
        <f>IF(F303="","",INDEX(站位样品信息!$B$3:INDEX(站位样品信息!$B:$B,COUNTA(站位样品信息!$B:$B)+1),MATCH($F303,站位样品信息!$A$3:INDEX(站位样品信息!$A:$A,COUNTA(站位样品信息!$A:$A)+1),),))</f>
        <v/>
      </c>
      <c r="H303" s="37" t="str">
        <f>IF(A303&amp;B303&amp;C303="","",INDEX(生物种群!$A$2:INDEX(生物种群!$A:$A,COUNTA(生物种群!$A:$A)),MATCH($I303,生物种群!$B$2:INDEX(生物种群!$B:$B,COUNTA(生物种群!$B:$B)),),))</f>
        <v/>
      </c>
      <c r="I303" s="37" t="str">
        <f>IF(A303&amp;B303&amp;C303="","",IF($C303&lt;&gt;0,INDEX(生物种群!$B$2:INDEX(生物种群!$B:$B,COUNTA(生物种群!$B:$B)),MATCH($C303,生物种群!$G$2:INDEX(生物种群!$G:$G,COUNTA(生物种群!$G:$G)),),),IF($A303&lt;&gt;0,INDEX(生物种群!$B$2:INDEX(生物种群!$B:$B,COUNTA(生物种群!$B:$B)),MATCH($A303,生物种群!$C$2:INDEX(生物种群!$C:$C,COUNTA(生物种群!$C:$C)),),),INDEX(生物种群!$B$2:INDEX(生物种群!$B:$B,COUNTA(生物种群!$B:$B)),MATCH($B303,生物种群!$D$2:INDEX(生物种群!$D:$D,COUNTA(生物种群!$D:$D)),),))))</f>
        <v/>
      </c>
      <c r="J303" s="37" t="str">
        <f>IF(A303&amp;B303&amp;C303="","",INDEX(生物种群!$J$2:INDEX(生物种群!$J:$J,COUNTA(生物种群!$J:$J)),MATCH($I303,生物种群!$B$2:INDEX(生物种群!$B:$B,COUNTA(生物种群!$B:$B)),),))</f>
        <v/>
      </c>
      <c r="K303" s="37" t="str">
        <f>IF(A303&amp;B303&amp;C303="","",INDEX(生物种群!$E$2:INDEX(生物种群!$E:$E,COUNTA(生物种群!$E:$E)),MATCH($I303,生物种群!$B$2:INDEX(生物种群!$B:$B,COUNTA(生物种群!$B:$B)),),))</f>
        <v/>
      </c>
      <c r="L303" s="37" t="str">
        <f>IF(A303&amp;B303&amp;C303="","",INDEX(生物种群!$F$3:INDEX(生物种群!$F:$F,COUNTA(生物种群!$F:$F)),MATCH($I303,生物种群!$B$3:INDEX(生物种群!$B:$B,COUNTA(生物种群!$B:$B)),),))</f>
        <v/>
      </c>
      <c r="M303" s="37" t="str">
        <f t="shared" si="8"/>
        <v/>
      </c>
      <c r="N303" s="37" t="str">
        <f t="shared" si="9"/>
        <v/>
      </c>
      <c r="O303" s="9"/>
      <c r="P303" s="10"/>
    </row>
    <row r="304" spans="1:16" ht="20.1" customHeight="1">
      <c r="A304" s="9"/>
      <c r="B304" s="9"/>
      <c r="C304" s="9"/>
      <c r="D304" s="43"/>
      <c r="E304" s="9"/>
      <c r="F304" s="9"/>
      <c r="G304" s="47" t="str">
        <f>IF(F304="","",INDEX(站位样品信息!$B$3:INDEX(站位样品信息!$B:$B,COUNTA(站位样品信息!$B:$B)+1),MATCH($F304,站位样品信息!$A$3:INDEX(站位样品信息!$A:$A,COUNTA(站位样品信息!$A:$A)+1),),))</f>
        <v/>
      </c>
      <c r="H304" s="37" t="str">
        <f>IF(A304&amp;B304&amp;C304="","",INDEX(生物种群!$A$2:INDEX(生物种群!$A:$A,COUNTA(生物种群!$A:$A)),MATCH($I304,生物种群!$B$2:INDEX(生物种群!$B:$B,COUNTA(生物种群!$B:$B)),),))</f>
        <v/>
      </c>
      <c r="I304" s="37" t="str">
        <f>IF(A304&amp;B304&amp;C304="","",IF($C304&lt;&gt;0,INDEX(生物种群!$B$2:INDEX(生物种群!$B:$B,COUNTA(生物种群!$B:$B)),MATCH($C304,生物种群!$G$2:INDEX(生物种群!$G:$G,COUNTA(生物种群!$G:$G)),),),IF($A304&lt;&gt;0,INDEX(生物种群!$B$2:INDEX(生物种群!$B:$B,COUNTA(生物种群!$B:$B)),MATCH($A304,生物种群!$C$2:INDEX(生物种群!$C:$C,COUNTA(生物种群!$C:$C)),),),INDEX(生物种群!$B$2:INDEX(生物种群!$B:$B,COUNTA(生物种群!$B:$B)),MATCH($B304,生物种群!$D$2:INDEX(生物种群!$D:$D,COUNTA(生物种群!$D:$D)),),))))</f>
        <v/>
      </c>
      <c r="J304" s="37" t="str">
        <f>IF(A304&amp;B304&amp;C304="","",INDEX(生物种群!$J$2:INDEX(生物种群!$J:$J,COUNTA(生物种群!$J:$J)),MATCH($I304,生物种群!$B$2:INDEX(生物种群!$B:$B,COUNTA(生物种群!$B:$B)),),))</f>
        <v/>
      </c>
      <c r="K304" s="37" t="str">
        <f>IF(A304&amp;B304&amp;C304="","",INDEX(生物种群!$E$2:INDEX(生物种群!$E:$E,COUNTA(生物种群!$E:$E)),MATCH($I304,生物种群!$B$2:INDEX(生物种群!$B:$B,COUNTA(生物种群!$B:$B)),),))</f>
        <v/>
      </c>
      <c r="L304" s="37" t="str">
        <f>IF(A304&amp;B304&amp;C304="","",INDEX(生物种群!$F$3:INDEX(生物种群!$F:$F,COUNTA(生物种群!$F:$F)),MATCH($I304,生物种群!$B$3:INDEX(生物种群!$B:$B,COUNTA(生物种群!$B:$B)),),))</f>
        <v/>
      </c>
      <c r="M304" s="37" t="str">
        <f t="shared" si="8"/>
        <v/>
      </c>
      <c r="N304" s="37" t="str">
        <f t="shared" si="9"/>
        <v/>
      </c>
      <c r="O304" s="9"/>
      <c r="P304" s="10"/>
    </row>
    <row r="305" spans="1:16" ht="20.1" customHeight="1">
      <c r="A305" s="9"/>
      <c r="B305" s="9"/>
      <c r="C305" s="9"/>
      <c r="D305" s="43"/>
      <c r="E305" s="9"/>
      <c r="F305" s="9"/>
      <c r="G305" s="47" t="str">
        <f>IF(F305="","",INDEX(站位样品信息!$B$3:INDEX(站位样品信息!$B:$B,COUNTA(站位样品信息!$B:$B)+1),MATCH($F305,站位样品信息!$A$3:INDEX(站位样品信息!$A:$A,COUNTA(站位样品信息!$A:$A)+1),),))</f>
        <v/>
      </c>
      <c r="H305" s="37" t="str">
        <f>IF(A305&amp;B305&amp;C305="","",INDEX(生物种群!$A$2:INDEX(生物种群!$A:$A,COUNTA(生物种群!$A:$A)),MATCH($I305,生物种群!$B$2:INDEX(生物种群!$B:$B,COUNTA(生物种群!$B:$B)),),))</f>
        <v/>
      </c>
      <c r="I305" s="37" t="str">
        <f>IF(A305&amp;B305&amp;C305="","",IF($C305&lt;&gt;0,INDEX(生物种群!$B$2:INDEX(生物种群!$B:$B,COUNTA(生物种群!$B:$B)),MATCH($C305,生物种群!$G$2:INDEX(生物种群!$G:$G,COUNTA(生物种群!$G:$G)),),),IF($A305&lt;&gt;0,INDEX(生物种群!$B$2:INDEX(生物种群!$B:$B,COUNTA(生物种群!$B:$B)),MATCH($A305,生物种群!$C$2:INDEX(生物种群!$C:$C,COUNTA(生物种群!$C:$C)),),),INDEX(生物种群!$B$2:INDEX(生物种群!$B:$B,COUNTA(生物种群!$B:$B)),MATCH($B305,生物种群!$D$2:INDEX(生物种群!$D:$D,COUNTA(生物种群!$D:$D)),),))))</f>
        <v/>
      </c>
      <c r="J305" s="37" t="str">
        <f>IF(A305&amp;B305&amp;C305="","",INDEX(生物种群!$J$2:INDEX(生物种群!$J:$J,COUNTA(生物种群!$J:$J)),MATCH($I305,生物种群!$B$2:INDEX(生物种群!$B:$B,COUNTA(生物种群!$B:$B)),),))</f>
        <v/>
      </c>
      <c r="K305" s="37" t="str">
        <f>IF(A305&amp;B305&amp;C305="","",INDEX(生物种群!$E$2:INDEX(生物种群!$E:$E,COUNTA(生物种群!$E:$E)),MATCH($I305,生物种群!$B$2:INDEX(生物种群!$B:$B,COUNTA(生物种群!$B:$B)),),))</f>
        <v/>
      </c>
      <c r="L305" s="37" t="str">
        <f>IF(A305&amp;B305&amp;C305="","",INDEX(生物种群!$F$3:INDEX(生物种群!$F:$F,COUNTA(生物种群!$F:$F)),MATCH($I305,生物种群!$B$3:INDEX(生物种群!$B:$B,COUNTA(生物种群!$B:$B)),),))</f>
        <v/>
      </c>
      <c r="M305" s="37" t="str">
        <f t="shared" si="8"/>
        <v/>
      </c>
      <c r="N305" s="37" t="str">
        <f t="shared" si="9"/>
        <v/>
      </c>
      <c r="O305" s="9"/>
      <c r="P305" s="10"/>
    </row>
    <row r="306" spans="1:16" ht="20.1" customHeight="1">
      <c r="A306" s="9"/>
      <c r="B306" s="9"/>
      <c r="C306" s="9"/>
      <c r="D306" s="43"/>
      <c r="E306" s="9"/>
      <c r="F306" s="9"/>
      <c r="G306" s="47" t="str">
        <f>IF(F306="","",INDEX(站位样品信息!$B$3:INDEX(站位样品信息!$B:$B,COUNTA(站位样品信息!$B:$B)+1),MATCH($F306,站位样品信息!$A$3:INDEX(站位样品信息!$A:$A,COUNTA(站位样品信息!$A:$A)+1),),))</f>
        <v/>
      </c>
      <c r="H306" s="37" t="str">
        <f>IF(A306&amp;B306&amp;C306="","",INDEX(生物种群!$A$2:INDEX(生物种群!$A:$A,COUNTA(生物种群!$A:$A)),MATCH($I306,生物种群!$B$2:INDEX(生物种群!$B:$B,COUNTA(生物种群!$B:$B)),),))</f>
        <v/>
      </c>
      <c r="I306" s="37" t="str">
        <f>IF(A306&amp;B306&amp;C306="","",IF($C306&lt;&gt;0,INDEX(生物种群!$B$2:INDEX(生物种群!$B:$B,COUNTA(生物种群!$B:$B)),MATCH($C306,生物种群!$G$2:INDEX(生物种群!$G:$G,COUNTA(生物种群!$G:$G)),),),IF($A306&lt;&gt;0,INDEX(生物种群!$B$2:INDEX(生物种群!$B:$B,COUNTA(生物种群!$B:$B)),MATCH($A306,生物种群!$C$2:INDEX(生物种群!$C:$C,COUNTA(生物种群!$C:$C)),),),INDEX(生物种群!$B$2:INDEX(生物种群!$B:$B,COUNTA(生物种群!$B:$B)),MATCH($B306,生物种群!$D$2:INDEX(生物种群!$D:$D,COUNTA(生物种群!$D:$D)),),))))</f>
        <v/>
      </c>
      <c r="J306" s="37" t="str">
        <f>IF(A306&amp;B306&amp;C306="","",INDEX(生物种群!$J$2:INDEX(生物种群!$J:$J,COUNTA(生物种群!$J:$J)),MATCH($I306,生物种群!$B$2:INDEX(生物种群!$B:$B,COUNTA(生物种群!$B:$B)),),))</f>
        <v/>
      </c>
      <c r="K306" s="37" t="str">
        <f>IF(A306&amp;B306&amp;C306="","",INDEX(生物种群!$E$2:INDEX(生物种群!$E:$E,COUNTA(生物种群!$E:$E)),MATCH($I306,生物种群!$B$2:INDEX(生物种群!$B:$B,COUNTA(生物种群!$B:$B)),),))</f>
        <v/>
      </c>
      <c r="L306" s="37" t="str">
        <f>IF(A306&amp;B306&amp;C306="","",INDEX(生物种群!$F$3:INDEX(生物种群!$F:$F,COUNTA(生物种群!$F:$F)),MATCH($I306,生物种群!$B$3:INDEX(生物种群!$B:$B,COUNTA(生物种群!$B:$B)),),))</f>
        <v/>
      </c>
      <c r="M306" s="37" t="str">
        <f t="shared" si="8"/>
        <v/>
      </c>
      <c r="N306" s="37" t="str">
        <f t="shared" si="9"/>
        <v/>
      </c>
      <c r="O306" s="9"/>
      <c r="P306" s="10"/>
    </row>
    <row r="307" spans="1:16" ht="20.1" customHeight="1">
      <c r="A307" s="9"/>
      <c r="B307" s="9"/>
      <c r="C307" s="9"/>
      <c r="D307" s="43"/>
      <c r="E307" s="9"/>
      <c r="F307" s="9"/>
      <c r="G307" s="47" t="str">
        <f>IF(F307="","",INDEX(站位样品信息!$B$3:INDEX(站位样品信息!$B:$B,COUNTA(站位样品信息!$B:$B)+1),MATCH($F307,站位样品信息!$A$3:INDEX(站位样品信息!$A:$A,COUNTA(站位样品信息!$A:$A)+1),),))</f>
        <v/>
      </c>
      <c r="H307" s="37" t="str">
        <f>IF(A307&amp;B307&amp;C307="","",INDEX(生物种群!$A$2:INDEX(生物种群!$A:$A,COUNTA(生物种群!$A:$A)),MATCH($I307,生物种群!$B$2:INDEX(生物种群!$B:$B,COUNTA(生物种群!$B:$B)),),))</f>
        <v/>
      </c>
      <c r="I307" s="37" t="str">
        <f>IF(A307&amp;B307&amp;C307="","",IF($C307&lt;&gt;0,INDEX(生物种群!$B$2:INDEX(生物种群!$B:$B,COUNTA(生物种群!$B:$B)),MATCH($C307,生物种群!$G$2:INDEX(生物种群!$G:$G,COUNTA(生物种群!$G:$G)),),),IF($A307&lt;&gt;0,INDEX(生物种群!$B$2:INDEX(生物种群!$B:$B,COUNTA(生物种群!$B:$B)),MATCH($A307,生物种群!$C$2:INDEX(生物种群!$C:$C,COUNTA(生物种群!$C:$C)),),),INDEX(生物种群!$B$2:INDEX(生物种群!$B:$B,COUNTA(生物种群!$B:$B)),MATCH($B307,生物种群!$D$2:INDEX(生物种群!$D:$D,COUNTA(生物种群!$D:$D)),),))))</f>
        <v/>
      </c>
      <c r="J307" s="37" t="str">
        <f>IF(A307&amp;B307&amp;C307="","",INDEX(生物种群!$J$2:INDEX(生物种群!$J:$J,COUNTA(生物种群!$J:$J)),MATCH($I307,生物种群!$B$2:INDEX(生物种群!$B:$B,COUNTA(生物种群!$B:$B)),),))</f>
        <v/>
      </c>
      <c r="K307" s="37" t="str">
        <f>IF(A307&amp;B307&amp;C307="","",INDEX(生物种群!$E$2:INDEX(生物种群!$E:$E,COUNTA(生物种群!$E:$E)),MATCH($I307,生物种群!$B$2:INDEX(生物种群!$B:$B,COUNTA(生物种群!$B:$B)),),))</f>
        <v/>
      </c>
      <c r="L307" s="37" t="str">
        <f>IF(A307&amp;B307&amp;C307="","",INDEX(生物种群!$F$3:INDEX(生物种群!$F:$F,COUNTA(生物种群!$F:$F)),MATCH($I307,生物种群!$B$3:INDEX(生物种群!$B:$B,COUNTA(生物种群!$B:$B)),),))</f>
        <v/>
      </c>
      <c r="M307" s="37" t="str">
        <f t="shared" si="8"/>
        <v/>
      </c>
      <c r="N307" s="37" t="str">
        <f t="shared" si="9"/>
        <v/>
      </c>
      <c r="O307" s="9"/>
      <c r="P307" s="10"/>
    </row>
    <row r="308" spans="1:16" ht="20.1" customHeight="1">
      <c r="A308" s="9"/>
      <c r="B308" s="9"/>
      <c r="C308" s="9"/>
      <c r="D308" s="43"/>
      <c r="E308" s="9"/>
      <c r="F308" s="9"/>
      <c r="G308" s="47" t="str">
        <f>IF(F308="","",INDEX(站位样品信息!$B$3:INDEX(站位样品信息!$B:$B,COUNTA(站位样品信息!$B:$B)+1),MATCH($F308,站位样品信息!$A$3:INDEX(站位样品信息!$A:$A,COUNTA(站位样品信息!$A:$A)+1),),))</f>
        <v/>
      </c>
      <c r="H308" s="37" t="str">
        <f>IF(A308&amp;B308&amp;C308="","",INDEX(生物种群!$A$2:INDEX(生物种群!$A:$A,COUNTA(生物种群!$A:$A)),MATCH($I308,生物种群!$B$2:INDEX(生物种群!$B:$B,COUNTA(生物种群!$B:$B)),),))</f>
        <v/>
      </c>
      <c r="I308" s="37" t="str">
        <f>IF(A308&amp;B308&amp;C308="","",IF($C308&lt;&gt;0,INDEX(生物种群!$B$2:INDEX(生物种群!$B:$B,COUNTA(生物种群!$B:$B)),MATCH($C308,生物种群!$G$2:INDEX(生物种群!$G:$G,COUNTA(生物种群!$G:$G)),),),IF($A308&lt;&gt;0,INDEX(生物种群!$B$2:INDEX(生物种群!$B:$B,COUNTA(生物种群!$B:$B)),MATCH($A308,生物种群!$C$2:INDEX(生物种群!$C:$C,COUNTA(生物种群!$C:$C)),),),INDEX(生物种群!$B$2:INDEX(生物种群!$B:$B,COUNTA(生物种群!$B:$B)),MATCH($B308,生物种群!$D$2:INDEX(生物种群!$D:$D,COUNTA(生物种群!$D:$D)),),))))</f>
        <v/>
      </c>
      <c r="J308" s="37" t="str">
        <f>IF(A308&amp;B308&amp;C308="","",INDEX(生物种群!$J$2:INDEX(生物种群!$J:$J,COUNTA(生物种群!$J:$J)),MATCH($I308,生物种群!$B$2:INDEX(生物种群!$B:$B,COUNTA(生物种群!$B:$B)),),))</f>
        <v/>
      </c>
      <c r="K308" s="37" t="str">
        <f>IF(A308&amp;B308&amp;C308="","",INDEX(生物种群!$E$2:INDEX(生物种群!$E:$E,COUNTA(生物种群!$E:$E)),MATCH($I308,生物种群!$B$2:INDEX(生物种群!$B:$B,COUNTA(生物种群!$B:$B)),),))</f>
        <v/>
      </c>
      <c r="L308" s="37" t="str">
        <f>IF(A308&amp;B308&amp;C308="","",INDEX(生物种群!$F$3:INDEX(生物种群!$F:$F,COUNTA(生物种群!$F:$F)),MATCH($I308,生物种群!$B$3:INDEX(生物种群!$B:$B,COUNTA(生物种群!$B:$B)),),))</f>
        <v/>
      </c>
      <c r="M308" s="37" t="str">
        <f t="shared" si="8"/>
        <v/>
      </c>
      <c r="N308" s="37" t="str">
        <f t="shared" si="9"/>
        <v/>
      </c>
      <c r="O308" s="9"/>
      <c r="P308" s="10"/>
    </row>
    <row r="309" spans="1:16" ht="20.1" customHeight="1">
      <c r="A309" s="9"/>
      <c r="B309" s="9"/>
      <c r="C309" s="9"/>
      <c r="D309" s="43"/>
      <c r="E309" s="9"/>
      <c r="F309" s="9"/>
      <c r="G309" s="47" t="str">
        <f>IF(F309="","",INDEX(站位样品信息!$B$3:INDEX(站位样品信息!$B:$B,COUNTA(站位样品信息!$B:$B)+1),MATCH($F309,站位样品信息!$A$3:INDEX(站位样品信息!$A:$A,COUNTA(站位样品信息!$A:$A)+1),),))</f>
        <v/>
      </c>
      <c r="H309" s="37" t="str">
        <f>IF(A309&amp;B309&amp;C309="","",INDEX(生物种群!$A$2:INDEX(生物种群!$A:$A,COUNTA(生物种群!$A:$A)),MATCH($I309,生物种群!$B$2:INDEX(生物种群!$B:$B,COUNTA(生物种群!$B:$B)),),))</f>
        <v/>
      </c>
      <c r="I309" s="37" t="str">
        <f>IF(A309&amp;B309&amp;C309="","",IF($C309&lt;&gt;0,INDEX(生物种群!$B$2:INDEX(生物种群!$B:$B,COUNTA(生物种群!$B:$B)),MATCH($C309,生物种群!$G$2:INDEX(生物种群!$G:$G,COUNTA(生物种群!$G:$G)),),),IF($A309&lt;&gt;0,INDEX(生物种群!$B$2:INDEX(生物种群!$B:$B,COUNTA(生物种群!$B:$B)),MATCH($A309,生物种群!$C$2:INDEX(生物种群!$C:$C,COUNTA(生物种群!$C:$C)),),),INDEX(生物种群!$B$2:INDEX(生物种群!$B:$B,COUNTA(生物种群!$B:$B)),MATCH($B309,生物种群!$D$2:INDEX(生物种群!$D:$D,COUNTA(生物种群!$D:$D)),),))))</f>
        <v/>
      </c>
      <c r="J309" s="37" t="str">
        <f>IF(A309&amp;B309&amp;C309="","",INDEX(生物种群!$J$2:INDEX(生物种群!$J:$J,COUNTA(生物种群!$J:$J)),MATCH($I309,生物种群!$B$2:INDEX(生物种群!$B:$B,COUNTA(生物种群!$B:$B)),),))</f>
        <v/>
      </c>
      <c r="K309" s="37" t="str">
        <f>IF(A309&amp;B309&amp;C309="","",INDEX(生物种群!$E$2:INDEX(生物种群!$E:$E,COUNTA(生物种群!$E:$E)),MATCH($I309,生物种群!$B$2:INDEX(生物种群!$B:$B,COUNTA(生物种群!$B:$B)),),))</f>
        <v/>
      </c>
      <c r="L309" s="37" t="str">
        <f>IF(A309&amp;B309&amp;C309="","",INDEX(生物种群!$F$3:INDEX(生物种群!$F:$F,COUNTA(生物种群!$F:$F)),MATCH($I309,生物种群!$B$3:INDEX(生物种群!$B:$B,COUNTA(生物种群!$B:$B)),),))</f>
        <v/>
      </c>
      <c r="M309" s="37" t="str">
        <f t="shared" si="8"/>
        <v/>
      </c>
      <c r="N309" s="37" t="str">
        <f t="shared" si="9"/>
        <v/>
      </c>
      <c r="O309" s="9"/>
      <c r="P309" s="10"/>
    </row>
    <row r="310" spans="1:16" ht="20.1" customHeight="1">
      <c r="A310" s="9"/>
      <c r="B310" s="9"/>
      <c r="C310" s="9"/>
      <c r="D310" s="43"/>
      <c r="E310" s="9"/>
      <c r="F310" s="9"/>
      <c r="G310" s="47" t="str">
        <f>IF(F310="","",INDEX(站位样品信息!$B$3:INDEX(站位样品信息!$B:$B,COUNTA(站位样品信息!$B:$B)+1),MATCH($F310,站位样品信息!$A$3:INDEX(站位样品信息!$A:$A,COUNTA(站位样品信息!$A:$A)+1),),))</f>
        <v/>
      </c>
      <c r="H310" s="37" t="str">
        <f>IF(A310&amp;B310&amp;C310="","",INDEX(生物种群!$A$2:INDEX(生物种群!$A:$A,COUNTA(生物种群!$A:$A)),MATCH($I310,生物种群!$B$2:INDEX(生物种群!$B:$B,COUNTA(生物种群!$B:$B)),),))</f>
        <v/>
      </c>
      <c r="I310" s="37" t="str">
        <f>IF(A310&amp;B310&amp;C310="","",IF($C310&lt;&gt;0,INDEX(生物种群!$B$2:INDEX(生物种群!$B:$B,COUNTA(生物种群!$B:$B)),MATCH($C310,生物种群!$G$2:INDEX(生物种群!$G:$G,COUNTA(生物种群!$G:$G)),),),IF($A310&lt;&gt;0,INDEX(生物种群!$B$2:INDEX(生物种群!$B:$B,COUNTA(生物种群!$B:$B)),MATCH($A310,生物种群!$C$2:INDEX(生物种群!$C:$C,COUNTA(生物种群!$C:$C)),),),INDEX(生物种群!$B$2:INDEX(生物种群!$B:$B,COUNTA(生物种群!$B:$B)),MATCH($B310,生物种群!$D$2:INDEX(生物种群!$D:$D,COUNTA(生物种群!$D:$D)),),))))</f>
        <v/>
      </c>
      <c r="J310" s="37" t="str">
        <f>IF(A310&amp;B310&amp;C310="","",INDEX(生物种群!$J$2:INDEX(生物种群!$J:$J,COUNTA(生物种群!$J:$J)),MATCH($I310,生物种群!$B$2:INDEX(生物种群!$B:$B,COUNTA(生物种群!$B:$B)),),))</f>
        <v/>
      </c>
      <c r="K310" s="37" t="str">
        <f>IF(A310&amp;B310&amp;C310="","",INDEX(生物种群!$E$2:INDEX(生物种群!$E:$E,COUNTA(生物种群!$E:$E)),MATCH($I310,生物种群!$B$2:INDEX(生物种群!$B:$B,COUNTA(生物种群!$B:$B)),),))</f>
        <v/>
      </c>
      <c r="L310" s="37" t="str">
        <f>IF(A310&amp;B310&amp;C310="","",INDEX(生物种群!$F$3:INDEX(生物种群!$F:$F,COUNTA(生物种群!$F:$F)),MATCH($I310,生物种群!$B$3:INDEX(生物种群!$B:$B,COUNTA(生物种群!$B:$B)),),))</f>
        <v/>
      </c>
      <c r="M310" s="37" t="str">
        <f t="shared" si="8"/>
        <v/>
      </c>
      <c r="N310" s="37" t="str">
        <f t="shared" si="9"/>
        <v/>
      </c>
      <c r="O310" s="9"/>
      <c r="P310" s="10"/>
    </row>
    <row r="311" spans="1:16" ht="20.1" customHeight="1">
      <c r="A311" s="9"/>
      <c r="B311" s="9"/>
      <c r="C311" s="9"/>
      <c r="D311" s="43"/>
      <c r="E311" s="9"/>
      <c r="F311" s="9"/>
      <c r="G311" s="47" t="str">
        <f>IF(F311="","",INDEX(站位样品信息!$B$3:INDEX(站位样品信息!$B:$B,COUNTA(站位样品信息!$B:$B)+1),MATCH($F311,站位样品信息!$A$3:INDEX(站位样品信息!$A:$A,COUNTA(站位样品信息!$A:$A)+1),),))</f>
        <v/>
      </c>
      <c r="H311" s="37" t="str">
        <f>IF(A311&amp;B311&amp;C311="","",INDEX(生物种群!$A$2:INDEX(生物种群!$A:$A,COUNTA(生物种群!$A:$A)),MATCH($I311,生物种群!$B$2:INDEX(生物种群!$B:$B,COUNTA(生物种群!$B:$B)),),))</f>
        <v/>
      </c>
      <c r="I311" s="37" t="str">
        <f>IF(A311&amp;B311&amp;C311="","",IF($C311&lt;&gt;0,INDEX(生物种群!$B$2:INDEX(生物种群!$B:$B,COUNTA(生物种群!$B:$B)),MATCH($C311,生物种群!$G$2:INDEX(生物种群!$G:$G,COUNTA(生物种群!$G:$G)),),),IF($A311&lt;&gt;0,INDEX(生物种群!$B$2:INDEX(生物种群!$B:$B,COUNTA(生物种群!$B:$B)),MATCH($A311,生物种群!$C$2:INDEX(生物种群!$C:$C,COUNTA(生物种群!$C:$C)),),),INDEX(生物种群!$B$2:INDEX(生物种群!$B:$B,COUNTA(生物种群!$B:$B)),MATCH($B311,生物种群!$D$2:INDEX(生物种群!$D:$D,COUNTA(生物种群!$D:$D)),),))))</f>
        <v/>
      </c>
      <c r="J311" s="37" t="str">
        <f>IF(A311&amp;B311&amp;C311="","",INDEX(生物种群!$J$2:INDEX(生物种群!$J:$J,COUNTA(生物种群!$J:$J)),MATCH($I311,生物种群!$B$2:INDEX(生物种群!$B:$B,COUNTA(生物种群!$B:$B)),),))</f>
        <v/>
      </c>
      <c r="K311" s="37" t="str">
        <f>IF(A311&amp;B311&amp;C311="","",INDEX(生物种群!$E$2:INDEX(生物种群!$E:$E,COUNTA(生物种群!$E:$E)),MATCH($I311,生物种群!$B$2:INDEX(生物种群!$B:$B,COUNTA(生物种群!$B:$B)),),))</f>
        <v/>
      </c>
      <c r="L311" s="37" t="str">
        <f>IF(A311&amp;B311&amp;C311="","",INDEX(生物种群!$F$3:INDEX(生物种群!$F:$F,COUNTA(生物种群!$F:$F)),MATCH($I311,生物种群!$B$3:INDEX(生物种群!$B:$B,COUNTA(生物种群!$B:$B)),),))</f>
        <v/>
      </c>
      <c r="M311" s="37" t="str">
        <f t="shared" si="8"/>
        <v/>
      </c>
      <c r="N311" s="37" t="str">
        <f t="shared" si="9"/>
        <v/>
      </c>
      <c r="O311" s="9"/>
      <c r="P311" s="10"/>
    </row>
    <row r="312" spans="1:16" ht="20.1" customHeight="1">
      <c r="A312" s="9"/>
      <c r="B312" s="9"/>
      <c r="C312" s="9"/>
      <c r="D312" s="43"/>
      <c r="E312" s="9"/>
      <c r="F312" s="9"/>
      <c r="G312" s="47" t="str">
        <f>IF(F312="","",INDEX(站位样品信息!$B$3:INDEX(站位样品信息!$B:$B,COUNTA(站位样品信息!$B:$B)+1),MATCH($F312,站位样品信息!$A$3:INDEX(站位样品信息!$A:$A,COUNTA(站位样品信息!$A:$A)+1),),))</f>
        <v/>
      </c>
      <c r="H312" s="37" t="str">
        <f>IF(A312&amp;B312&amp;C312="","",INDEX(生物种群!$A$2:INDEX(生物种群!$A:$A,COUNTA(生物种群!$A:$A)),MATCH($I312,生物种群!$B$2:INDEX(生物种群!$B:$B,COUNTA(生物种群!$B:$B)),),))</f>
        <v/>
      </c>
      <c r="I312" s="37" t="str">
        <f>IF(A312&amp;B312&amp;C312="","",IF($C312&lt;&gt;0,INDEX(生物种群!$B$2:INDEX(生物种群!$B:$B,COUNTA(生物种群!$B:$B)),MATCH($C312,生物种群!$G$2:INDEX(生物种群!$G:$G,COUNTA(生物种群!$G:$G)),),),IF($A312&lt;&gt;0,INDEX(生物种群!$B$2:INDEX(生物种群!$B:$B,COUNTA(生物种群!$B:$B)),MATCH($A312,生物种群!$C$2:INDEX(生物种群!$C:$C,COUNTA(生物种群!$C:$C)),),),INDEX(生物种群!$B$2:INDEX(生物种群!$B:$B,COUNTA(生物种群!$B:$B)),MATCH($B312,生物种群!$D$2:INDEX(生物种群!$D:$D,COUNTA(生物种群!$D:$D)),),))))</f>
        <v/>
      </c>
      <c r="J312" s="37" t="str">
        <f>IF(A312&amp;B312&amp;C312="","",INDEX(生物种群!$J$2:INDEX(生物种群!$J:$J,COUNTA(生物种群!$J:$J)),MATCH($I312,生物种群!$B$2:INDEX(生物种群!$B:$B,COUNTA(生物种群!$B:$B)),),))</f>
        <v/>
      </c>
      <c r="K312" s="37" t="str">
        <f>IF(A312&amp;B312&amp;C312="","",INDEX(生物种群!$E$2:INDEX(生物种群!$E:$E,COUNTA(生物种群!$E:$E)),MATCH($I312,生物种群!$B$2:INDEX(生物种群!$B:$B,COUNTA(生物种群!$B:$B)),),))</f>
        <v/>
      </c>
      <c r="L312" s="37" t="str">
        <f>IF(A312&amp;B312&amp;C312="","",INDEX(生物种群!$F$3:INDEX(生物种群!$F:$F,COUNTA(生物种群!$F:$F)),MATCH($I312,生物种群!$B$3:INDEX(生物种群!$B:$B,COUNTA(生物种群!$B:$B)),),))</f>
        <v/>
      </c>
      <c r="M312" s="37" t="str">
        <f t="shared" si="8"/>
        <v/>
      </c>
      <c r="N312" s="37" t="str">
        <f t="shared" si="9"/>
        <v/>
      </c>
      <c r="O312" s="9"/>
      <c r="P312" s="10"/>
    </row>
    <row r="313" spans="1:16" ht="20.1" customHeight="1">
      <c r="A313" s="9"/>
      <c r="B313" s="9"/>
      <c r="C313" s="9"/>
      <c r="D313" s="43"/>
      <c r="E313" s="9"/>
      <c r="F313" s="9"/>
      <c r="G313" s="47" t="str">
        <f>IF(F313="","",INDEX(站位样品信息!$B$3:INDEX(站位样品信息!$B:$B,COUNTA(站位样品信息!$B:$B)+1),MATCH($F313,站位样品信息!$A$3:INDEX(站位样品信息!$A:$A,COUNTA(站位样品信息!$A:$A)+1),),))</f>
        <v/>
      </c>
      <c r="H313" s="37" t="str">
        <f>IF(A313&amp;B313&amp;C313="","",INDEX(生物种群!$A$2:INDEX(生物种群!$A:$A,COUNTA(生物种群!$A:$A)),MATCH($I313,生物种群!$B$2:INDEX(生物种群!$B:$B,COUNTA(生物种群!$B:$B)),),))</f>
        <v/>
      </c>
      <c r="I313" s="37" t="str">
        <f>IF(A313&amp;B313&amp;C313="","",IF($C313&lt;&gt;0,INDEX(生物种群!$B$2:INDEX(生物种群!$B:$B,COUNTA(生物种群!$B:$B)),MATCH($C313,生物种群!$G$2:INDEX(生物种群!$G:$G,COUNTA(生物种群!$G:$G)),),),IF($A313&lt;&gt;0,INDEX(生物种群!$B$2:INDEX(生物种群!$B:$B,COUNTA(生物种群!$B:$B)),MATCH($A313,生物种群!$C$2:INDEX(生物种群!$C:$C,COUNTA(生物种群!$C:$C)),),),INDEX(生物种群!$B$2:INDEX(生物种群!$B:$B,COUNTA(生物种群!$B:$B)),MATCH($B313,生物种群!$D$2:INDEX(生物种群!$D:$D,COUNTA(生物种群!$D:$D)),),))))</f>
        <v/>
      </c>
      <c r="J313" s="37" t="str">
        <f>IF(A313&amp;B313&amp;C313="","",INDEX(生物种群!$J$2:INDEX(生物种群!$J:$J,COUNTA(生物种群!$J:$J)),MATCH($I313,生物种群!$B$2:INDEX(生物种群!$B:$B,COUNTA(生物种群!$B:$B)),),))</f>
        <v/>
      </c>
      <c r="K313" s="37" t="str">
        <f>IF(A313&amp;B313&amp;C313="","",INDEX(生物种群!$E$2:INDEX(生物种群!$E:$E,COUNTA(生物种群!$E:$E)),MATCH($I313,生物种群!$B$2:INDEX(生物种群!$B:$B,COUNTA(生物种群!$B:$B)),),))</f>
        <v/>
      </c>
      <c r="L313" s="37" t="str">
        <f>IF(A313&amp;B313&amp;C313="","",INDEX(生物种群!$F$3:INDEX(生物种群!$F:$F,COUNTA(生物种群!$F:$F)),MATCH($I313,生物种群!$B$3:INDEX(生物种群!$B:$B,COUNTA(生物种群!$B:$B)),),))</f>
        <v/>
      </c>
      <c r="M313" s="37" t="str">
        <f t="shared" si="8"/>
        <v/>
      </c>
      <c r="N313" s="37" t="str">
        <f t="shared" si="9"/>
        <v/>
      </c>
      <c r="O313" s="9"/>
      <c r="P313" s="10"/>
    </row>
    <row r="314" spans="1:16" ht="20.1" customHeight="1">
      <c r="A314" s="9"/>
      <c r="B314" s="9"/>
      <c r="C314" s="9"/>
      <c r="D314" s="43"/>
      <c r="E314" s="9"/>
      <c r="F314" s="9"/>
      <c r="G314" s="47" t="str">
        <f>IF(F314="","",INDEX(站位样品信息!$B$3:INDEX(站位样品信息!$B:$B,COUNTA(站位样品信息!$B:$B)+1),MATCH($F314,站位样品信息!$A$3:INDEX(站位样品信息!$A:$A,COUNTA(站位样品信息!$A:$A)+1),),))</f>
        <v/>
      </c>
      <c r="H314" s="37" t="str">
        <f>IF(A314&amp;B314&amp;C314="","",INDEX(生物种群!$A$2:INDEX(生物种群!$A:$A,COUNTA(生物种群!$A:$A)),MATCH($I314,生物种群!$B$2:INDEX(生物种群!$B:$B,COUNTA(生物种群!$B:$B)),),))</f>
        <v/>
      </c>
      <c r="I314" s="37" t="str">
        <f>IF(A314&amp;B314&amp;C314="","",IF($C314&lt;&gt;0,INDEX(生物种群!$B$2:INDEX(生物种群!$B:$B,COUNTA(生物种群!$B:$B)),MATCH($C314,生物种群!$G$2:INDEX(生物种群!$G:$G,COUNTA(生物种群!$G:$G)),),),IF($A314&lt;&gt;0,INDEX(生物种群!$B$2:INDEX(生物种群!$B:$B,COUNTA(生物种群!$B:$B)),MATCH($A314,生物种群!$C$2:INDEX(生物种群!$C:$C,COUNTA(生物种群!$C:$C)),),),INDEX(生物种群!$B$2:INDEX(生物种群!$B:$B,COUNTA(生物种群!$B:$B)),MATCH($B314,生物种群!$D$2:INDEX(生物种群!$D:$D,COUNTA(生物种群!$D:$D)),),))))</f>
        <v/>
      </c>
      <c r="J314" s="37" t="str">
        <f>IF(A314&amp;B314&amp;C314="","",INDEX(生物种群!$J$2:INDEX(生物种群!$J:$J,COUNTA(生物种群!$J:$J)),MATCH($I314,生物种群!$B$2:INDEX(生物种群!$B:$B,COUNTA(生物种群!$B:$B)),),))</f>
        <v/>
      </c>
      <c r="K314" s="37" t="str">
        <f>IF(A314&amp;B314&amp;C314="","",INDEX(生物种群!$E$2:INDEX(生物种群!$E:$E,COUNTA(生物种群!$E:$E)),MATCH($I314,生物种群!$B$2:INDEX(生物种群!$B:$B,COUNTA(生物种群!$B:$B)),),))</f>
        <v/>
      </c>
      <c r="L314" s="37" t="str">
        <f>IF(A314&amp;B314&amp;C314="","",INDEX(生物种群!$F$3:INDEX(生物种群!$F:$F,COUNTA(生物种群!$F:$F)),MATCH($I314,生物种群!$B$3:INDEX(生物种群!$B:$B,COUNTA(生物种群!$B:$B)),),))</f>
        <v/>
      </c>
      <c r="M314" s="37" t="str">
        <f t="shared" si="8"/>
        <v/>
      </c>
      <c r="N314" s="37" t="str">
        <f t="shared" si="9"/>
        <v/>
      </c>
      <c r="O314" s="9"/>
      <c r="P314" s="10"/>
    </row>
    <row r="315" spans="1:16" ht="20.1" customHeight="1">
      <c r="A315" s="9"/>
      <c r="B315" s="9"/>
      <c r="C315" s="9"/>
      <c r="D315" s="43"/>
      <c r="E315" s="9"/>
      <c r="F315" s="9"/>
      <c r="G315" s="47" t="str">
        <f>IF(F315="","",INDEX(站位样品信息!$B$3:INDEX(站位样品信息!$B:$B,COUNTA(站位样品信息!$B:$B)+1),MATCH($F315,站位样品信息!$A$3:INDEX(站位样品信息!$A:$A,COUNTA(站位样品信息!$A:$A)+1),),))</f>
        <v/>
      </c>
      <c r="H315" s="37" t="str">
        <f>IF(A315&amp;B315&amp;C315="","",INDEX(生物种群!$A$2:INDEX(生物种群!$A:$A,COUNTA(生物种群!$A:$A)),MATCH($I315,生物种群!$B$2:INDEX(生物种群!$B:$B,COUNTA(生物种群!$B:$B)),),))</f>
        <v/>
      </c>
      <c r="I315" s="37" t="str">
        <f>IF(A315&amp;B315&amp;C315="","",IF($C315&lt;&gt;0,INDEX(生物种群!$B$2:INDEX(生物种群!$B:$B,COUNTA(生物种群!$B:$B)),MATCH($C315,生物种群!$G$2:INDEX(生物种群!$G:$G,COUNTA(生物种群!$G:$G)),),),IF($A315&lt;&gt;0,INDEX(生物种群!$B$2:INDEX(生物种群!$B:$B,COUNTA(生物种群!$B:$B)),MATCH($A315,生物种群!$C$2:INDEX(生物种群!$C:$C,COUNTA(生物种群!$C:$C)),),),INDEX(生物种群!$B$2:INDEX(生物种群!$B:$B,COUNTA(生物种群!$B:$B)),MATCH($B315,生物种群!$D$2:INDEX(生物种群!$D:$D,COUNTA(生物种群!$D:$D)),),))))</f>
        <v/>
      </c>
      <c r="J315" s="37" t="str">
        <f>IF(A315&amp;B315&amp;C315="","",INDEX(生物种群!$J$2:INDEX(生物种群!$J:$J,COUNTA(生物种群!$J:$J)),MATCH($I315,生物种群!$B$2:INDEX(生物种群!$B:$B,COUNTA(生物种群!$B:$B)),),))</f>
        <v/>
      </c>
      <c r="K315" s="37" t="str">
        <f>IF(A315&amp;B315&amp;C315="","",INDEX(生物种群!$E$2:INDEX(生物种群!$E:$E,COUNTA(生物种群!$E:$E)),MATCH($I315,生物种群!$B$2:INDEX(生物种群!$B:$B,COUNTA(生物种群!$B:$B)),),))</f>
        <v/>
      </c>
      <c r="L315" s="37" t="str">
        <f>IF(A315&amp;B315&amp;C315="","",INDEX(生物种群!$F$3:INDEX(生物种群!$F:$F,COUNTA(生物种群!$F:$F)),MATCH($I315,生物种群!$B$3:INDEX(生物种群!$B:$B,COUNTA(生物种群!$B:$B)),),))</f>
        <v/>
      </c>
      <c r="M315" s="37" t="str">
        <f t="shared" si="8"/>
        <v/>
      </c>
      <c r="N315" s="37" t="str">
        <f t="shared" si="9"/>
        <v/>
      </c>
      <c r="O315" s="9"/>
      <c r="P315" s="10"/>
    </row>
    <row r="316" spans="1:16" ht="20.1" customHeight="1">
      <c r="A316" s="9"/>
      <c r="B316" s="9"/>
      <c r="C316" s="9"/>
      <c r="D316" s="43"/>
      <c r="E316" s="9"/>
      <c r="F316" s="9"/>
      <c r="G316" s="47" t="str">
        <f>IF(F316="","",INDEX(站位样品信息!$B$3:INDEX(站位样品信息!$B:$B,COUNTA(站位样品信息!$B:$B)+1),MATCH($F316,站位样品信息!$A$3:INDEX(站位样品信息!$A:$A,COUNTA(站位样品信息!$A:$A)+1),),))</f>
        <v/>
      </c>
      <c r="H316" s="37" t="str">
        <f>IF(A316&amp;B316&amp;C316="","",INDEX(生物种群!$A$2:INDEX(生物种群!$A:$A,COUNTA(生物种群!$A:$A)),MATCH($I316,生物种群!$B$2:INDEX(生物种群!$B:$B,COUNTA(生物种群!$B:$B)),),))</f>
        <v/>
      </c>
      <c r="I316" s="37" t="str">
        <f>IF(A316&amp;B316&amp;C316="","",IF($C316&lt;&gt;0,INDEX(生物种群!$B$2:INDEX(生物种群!$B:$B,COUNTA(生物种群!$B:$B)),MATCH($C316,生物种群!$G$2:INDEX(生物种群!$G:$G,COUNTA(生物种群!$G:$G)),),),IF($A316&lt;&gt;0,INDEX(生物种群!$B$2:INDEX(生物种群!$B:$B,COUNTA(生物种群!$B:$B)),MATCH($A316,生物种群!$C$2:INDEX(生物种群!$C:$C,COUNTA(生物种群!$C:$C)),),),INDEX(生物种群!$B$2:INDEX(生物种群!$B:$B,COUNTA(生物种群!$B:$B)),MATCH($B316,生物种群!$D$2:INDEX(生物种群!$D:$D,COUNTA(生物种群!$D:$D)),),))))</f>
        <v/>
      </c>
      <c r="J316" s="37" t="str">
        <f>IF(A316&amp;B316&amp;C316="","",INDEX(生物种群!$J$2:INDEX(生物种群!$J:$J,COUNTA(生物种群!$J:$J)),MATCH($I316,生物种群!$B$2:INDEX(生物种群!$B:$B,COUNTA(生物种群!$B:$B)),),))</f>
        <v/>
      </c>
      <c r="K316" s="37" t="str">
        <f>IF(A316&amp;B316&amp;C316="","",INDEX(生物种群!$E$2:INDEX(生物种群!$E:$E,COUNTA(生物种群!$E:$E)),MATCH($I316,生物种群!$B$2:INDEX(生物种群!$B:$B,COUNTA(生物种群!$B:$B)),),))</f>
        <v/>
      </c>
      <c r="L316" s="37" t="str">
        <f>IF(A316&amp;B316&amp;C316="","",INDEX(生物种群!$F$3:INDEX(生物种群!$F:$F,COUNTA(生物种群!$F:$F)),MATCH($I316,生物种群!$B$3:INDEX(生物种群!$B:$B,COUNTA(生物种群!$B:$B)),),))</f>
        <v/>
      </c>
      <c r="M316" s="37" t="str">
        <f t="shared" si="8"/>
        <v/>
      </c>
      <c r="N316" s="37" t="str">
        <f t="shared" si="9"/>
        <v/>
      </c>
      <c r="O316" s="9"/>
      <c r="P316" s="10"/>
    </row>
    <row r="317" spans="1:16" ht="20.1" customHeight="1">
      <c r="A317" s="9"/>
      <c r="B317" s="9"/>
      <c r="C317" s="9"/>
      <c r="D317" s="43"/>
      <c r="E317" s="9"/>
      <c r="F317" s="9"/>
      <c r="G317" s="47" t="str">
        <f>IF(F317="","",INDEX(站位样品信息!$B$3:INDEX(站位样品信息!$B:$B,COUNTA(站位样品信息!$B:$B)+1),MATCH($F317,站位样品信息!$A$3:INDEX(站位样品信息!$A:$A,COUNTA(站位样品信息!$A:$A)+1),),))</f>
        <v/>
      </c>
      <c r="H317" s="37" t="str">
        <f>IF(A317&amp;B317&amp;C317="","",INDEX(生物种群!$A$2:INDEX(生物种群!$A:$A,COUNTA(生物种群!$A:$A)),MATCH($I317,生物种群!$B$2:INDEX(生物种群!$B:$B,COUNTA(生物种群!$B:$B)),),))</f>
        <v/>
      </c>
      <c r="I317" s="37" t="str">
        <f>IF(A317&amp;B317&amp;C317="","",IF($C317&lt;&gt;0,INDEX(生物种群!$B$2:INDEX(生物种群!$B:$B,COUNTA(生物种群!$B:$B)),MATCH($C317,生物种群!$G$2:INDEX(生物种群!$G:$G,COUNTA(生物种群!$G:$G)),),),IF($A317&lt;&gt;0,INDEX(生物种群!$B$2:INDEX(生物种群!$B:$B,COUNTA(生物种群!$B:$B)),MATCH($A317,生物种群!$C$2:INDEX(生物种群!$C:$C,COUNTA(生物种群!$C:$C)),),),INDEX(生物种群!$B$2:INDEX(生物种群!$B:$B,COUNTA(生物种群!$B:$B)),MATCH($B317,生物种群!$D$2:INDEX(生物种群!$D:$D,COUNTA(生物种群!$D:$D)),),))))</f>
        <v/>
      </c>
      <c r="J317" s="37" t="str">
        <f>IF(A317&amp;B317&amp;C317="","",INDEX(生物种群!$J$2:INDEX(生物种群!$J:$J,COUNTA(生物种群!$J:$J)),MATCH($I317,生物种群!$B$2:INDEX(生物种群!$B:$B,COUNTA(生物种群!$B:$B)),),))</f>
        <v/>
      </c>
      <c r="K317" s="37" t="str">
        <f>IF(A317&amp;B317&amp;C317="","",INDEX(生物种群!$E$2:INDEX(生物种群!$E:$E,COUNTA(生物种群!$E:$E)),MATCH($I317,生物种群!$B$2:INDEX(生物种群!$B:$B,COUNTA(生物种群!$B:$B)),),))</f>
        <v/>
      </c>
      <c r="L317" s="37" t="str">
        <f>IF(A317&amp;B317&amp;C317="","",INDEX(生物种群!$F$3:INDEX(生物种群!$F:$F,COUNTA(生物种群!$F:$F)),MATCH($I317,生物种群!$B$3:INDEX(生物种群!$B:$B,COUNTA(生物种群!$B:$B)),),))</f>
        <v/>
      </c>
      <c r="M317" s="37" t="str">
        <f t="shared" si="8"/>
        <v/>
      </c>
      <c r="N317" s="37" t="str">
        <f t="shared" si="9"/>
        <v/>
      </c>
      <c r="O317" s="9"/>
      <c r="P317" s="10"/>
    </row>
    <row r="318" spans="1:16" ht="20.1" customHeight="1">
      <c r="A318" s="9"/>
      <c r="B318" s="9"/>
      <c r="C318" s="9"/>
      <c r="D318" s="43"/>
      <c r="E318" s="9"/>
      <c r="F318" s="9"/>
      <c r="G318" s="47" t="str">
        <f>IF(F318="","",INDEX(站位样品信息!$B$3:INDEX(站位样品信息!$B:$B,COUNTA(站位样品信息!$B:$B)+1),MATCH($F318,站位样品信息!$A$3:INDEX(站位样品信息!$A:$A,COUNTA(站位样品信息!$A:$A)+1),),))</f>
        <v/>
      </c>
      <c r="H318" s="37" t="str">
        <f>IF(A318&amp;B318&amp;C318="","",INDEX(生物种群!$A$2:INDEX(生物种群!$A:$A,COUNTA(生物种群!$A:$A)),MATCH($I318,生物种群!$B$2:INDEX(生物种群!$B:$B,COUNTA(生物种群!$B:$B)),),))</f>
        <v/>
      </c>
      <c r="I318" s="37" t="str">
        <f>IF(A318&amp;B318&amp;C318="","",IF($C318&lt;&gt;0,INDEX(生物种群!$B$2:INDEX(生物种群!$B:$B,COUNTA(生物种群!$B:$B)),MATCH($C318,生物种群!$G$2:INDEX(生物种群!$G:$G,COUNTA(生物种群!$G:$G)),),),IF($A318&lt;&gt;0,INDEX(生物种群!$B$2:INDEX(生物种群!$B:$B,COUNTA(生物种群!$B:$B)),MATCH($A318,生物种群!$C$2:INDEX(生物种群!$C:$C,COUNTA(生物种群!$C:$C)),),),INDEX(生物种群!$B$2:INDEX(生物种群!$B:$B,COUNTA(生物种群!$B:$B)),MATCH($B318,生物种群!$D$2:INDEX(生物种群!$D:$D,COUNTA(生物种群!$D:$D)),),))))</f>
        <v/>
      </c>
      <c r="J318" s="37" t="str">
        <f>IF(A318&amp;B318&amp;C318="","",INDEX(生物种群!$J$2:INDEX(生物种群!$J:$J,COUNTA(生物种群!$J:$J)),MATCH($I318,生物种群!$B$2:INDEX(生物种群!$B:$B,COUNTA(生物种群!$B:$B)),),))</f>
        <v/>
      </c>
      <c r="K318" s="37" t="str">
        <f>IF(A318&amp;B318&amp;C318="","",INDEX(生物种群!$E$2:INDEX(生物种群!$E:$E,COUNTA(生物种群!$E:$E)),MATCH($I318,生物种群!$B$2:INDEX(生物种群!$B:$B,COUNTA(生物种群!$B:$B)),),))</f>
        <v/>
      </c>
      <c r="L318" s="37" t="str">
        <f>IF(A318&amp;B318&amp;C318="","",INDEX(生物种群!$F$3:INDEX(生物种群!$F:$F,COUNTA(生物种群!$F:$F)),MATCH($I318,生物种群!$B$3:INDEX(生物种群!$B:$B,COUNTA(生物种群!$B:$B)),),))</f>
        <v/>
      </c>
      <c r="M318" s="37" t="str">
        <f t="shared" si="8"/>
        <v/>
      </c>
      <c r="N318" s="37" t="str">
        <f t="shared" si="9"/>
        <v/>
      </c>
      <c r="O318" s="9"/>
      <c r="P318" s="10"/>
    </row>
    <row r="319" spans="1:16" ht="20.1" customHeight="1">
      <c r="A319" s="9"/>
      <c r="B319" s="9"/>
      <c r="C319" s="9"/>
      <c r="D319" s="43"/>
      <c r="E319" s="9"/>
      <c r="F319" s="9"/>
      <c r="G319" s="47" t="str">
        <f>IF(F319="","",INDEX(站位样品信息!$B$3:INDEX(站位样品信息!$B:$B,COUNTA(站位样品信息!$B:$B)+1),MATCH($F319,站位样品信息!$A$3:INDEX(站位样品信息!$A:$A,COUNTA(站位样品信息!$A:$A)+1),),))</f>
        <v/>
      </c>
      <c r="H319" s="37" t="str">
        <f>IF(A319&amp;B319&amp;C319="","",INDEX(生物种群!$A$2:INDEX(生物种群!$A:$A,COUNTA(生物种群!$A:$A)),MATCH($I319,生物种群!$B$2:INDEX(生物种群!$B:$B,COUNTA(生物种群!$B:$B)),),))</f>
        <v/>
      </c>
      <c r="I319" s="37" t="str">
        <f>IF(A319&amp;B319&amp;C319="","",IF($C319&lt;&gt;0,INDEX(生物种群!$B$2:INDEX(生物种群!$B:$B,COUNTA(生物种群!$B:$B)),MATCH($C319,生物种群!$G$2:INDEX(生物种群!$G:$G,COUNTA(生物种群!$G:$G)),),),IF($A319&lt;&gt;0,INDEX(生物种群!$B$2:INDEX(生物种群!$B:$B,COUNTA(生物种群!$B:$B)),MATCH($A319,生物种群!$C$2:INDEX(生物种群!$C:$C,COUNTA(生物种群!$C:$C)),),),INDEX(生物种群!$B$2:INDEX(生物种群!$B:$B,COUNTA(生物种群!$B:$B)),MATCH($B319,生物种群!$D$2:INDEX(生物种群!$D:$D,COUNTA(生物种群!$D:$D)),),))))</f>
        <v/>
      </c>
      <c r="J319" s="37" t="str">
        <f>IF(A319&amp;B319&amp;C319="","",INDEX(生物种群!$J$2:INDEX(生物种群!$J:$J,COUNTA(生物种群!$J:$J)),MATCH($I319,生物种群!$B$2:INDEX(生物种群!$B:$B,COUNTA(生物种群!$B:$B)),),))</f>
        <v/>
      </c>
      <c r="K319" s="37" t="str">
        <f>IF(A319&amp;B319&amp;C319="","",INDEX(生物种群!$E$2:INDEX(生物种群!$E:$E,COUNTA(生物种群!$E:$E)),MATCH($I319,生物种群!$B$2:INDEX(生物种群!$B:$B,COUNTA(生物种群!$B:$B)),),))</f>
        <v/>
      </c>
      <c r="L319" s="37" t="str">
        <f>IF(A319&amp;B319&amp;C319="","",INDEX(生物种群!$F$3:INDEX(生物种群!$F:$F,COUNTA(生物种群!$F:$F)),MATCH($I319,生物种群!$B$3:INDEX(生物种群!$B:$B,COUNTA(生物种群!$B:$B)),),))</f>
        <v/>
      </c>
      <c r="M319" s="37" t="str">
        <f t="shared" si="8"/>
        <v/>
      </c>
      <c r="N319" s="37" t="str">
        <f t="shared" si="9"/>
        <v/>
      </c>
      <c r="O319" s="9"/>
      <c r="P319" s="10"/>
    </row>
    <row r="320" spans="1:16" ht="20.1" customHeight="1">
      <c r="A320" s="9"/>
      <c r="B320" s="9"/>
      <c r="C320" s="9"/>
      <c r="D320" s="43"/>
      <c r="E320" s="9"/>
      <c r="F320" s="9"/>
      <c r="G320" s="47" t="str">
        <f>IF(F320="","",INDEX(站位样品信息!$B$3:INDEX(站位样品信息!$B:$B,COUNTA(站位样品信息!$B:$B)+1),MATCH($F320,站位样品信息!$A$3:INDEX(站位样品信息!$A:$A,COUNTA(站位样品信息!$A:$A)+1),),))</f>
        <v/>
      </c>
      <c r="H320" s="37" t="str">
        <f>IF(A320&amp;B320&amp;C320="","",INDEX(生物种群!$A$2:INDEX(生物种群!$A:$A,COUNTA(生物种群!$A:$A)),MATCH($I320,生物种群!$B$2:INDEX(生物种群!$B:$B,COUNTA(生物种群!$B:$B)),),))</f>
        <v/>
      </c>
      <c r="I320" s="37" t="str">
        <f>IF(A320&amp;B320&amp;C320="","",IF($C320&lt;&gt;0,INDEX(生物种群!$B$2:INDEX(生物种群!$B:$B,COUNTA(生物种群!$B:$B)),MATCH($C320,生物种群!$G$2:INDEX(生物种群!$G:$G,COUNTA(生物种群!$G:$G)),),),IF($A320&lt;&gt;0,INDEX(生物种群!$B$2:INDEX(生物种群!$B:$B,COUNTA(生物种群!$B:$B)),MATCH($A320,生物种群!$C$2:INDEX(生物种群!$C:$C,COUNTA(生物种群!$C:$C)),),),INDEX(生物种群!$B$2:INDEX(生物种群!$B:$B,COUNTA(生物种群!$B:$B)),MATCH($B320,生物种群!$D$2:INDEX(生物种群!$D:$D,COUNTA(生物种群!$D:$D)),),))))</f>
        <v/>
      </c>
      <c r="J320" s="37" t="str">
        <f>IF(A320&amp;B320&amp;C320="","",INDEX(生物种群!$J$2:INDEX(生物种群!$J:$J,COUNTA(生物种群!$J:$J)),MATCH($I320,生物种群!$B$2:INDEX(生物种群!$B:$B,COUNTA(生物种群!$B:$B)),),))</f>
        <v/>
      </c>
      <c r="K320" s="37" t="str">
        <f>IF(A320&amp;B320&amp;C320="","",INDEX(生物种群!$E$2:INDEX(生物种群!$E:$E,COUNTA(生物种群!$E:$E)),MATCH($I320,生物种群!$B$2:INDEX(生物种群!$B:$B,COUNTA(生物种群!$B:$B)),),))</f>
        <v/>
      </c>
      <c r="L320" s="37" t="str">
        <f>IF(A320&amp;B320&amp;C320="","",INDEX(生物种群!$F$3:INDEX(生物种群!$F:$F,COUNTA(生物种群!$F:$F)),MATCH($I320,生物种群!$B$3:INDEX(生物种群!$B:$B,COUNTA(生物种群!$B:$B)),),))</f>
        <v/>
      </c>
      <c r="M320" s="37" t="str">
        <f t="shared" si="8"/>
        <v/>
      </c>
      <c r="N320" s="37" t="str">
        <f t="shared" si="9"/>
        <v/>
      </c>
      <c r="O320" s="9"/>
      <c r="P320" s="10"/>
    </row>
    <row r="321" spans="1:16" ht="20.1" customHeight="1">
      <c r="A321" s="9"/>
      <c r="B321" s="9"/>
      <c r="C321" s="9"/>
      <c r="D321" s="43"/>
      <c r="E321" s="9"/>
      <c r="F321" s="9"/>
      <c r="G321" s="47" t="str">
        <f>IF(F321="","",INDEX(站位样品信息!$B$3:INDEX(站位样品信息!$B:$B,COUNTA(站位样品信息!$B:$B)+1),MATCH($F321,站位样品信息!$A$3:INDEX(站位样品信息!$A:$A,COUNTA(站位样品信息!$A:$A)+1),),))</f>
        <v/>
      </c>
      <c r="H321" s="37" t="str">
        <f>IF(A321&amp;B321&amp;C321="","",INDEX(生物种群!$A$2:INDEX(生物种群!$A:$A,COUNTA(生物种群!$A:$A)),MATCH($I321,生物种群!$B$2:INDEX(生物种群!$B:$B,COUNTA(生物种群!$B:$B)),),))</f>
        <v/>
      </c>
      <c r="I321" s="37" t="str">
        <f>IF(A321&amp;B321&amp;C321="","",IF($C321&lt;&gt;0,INDEX(生物种群!$B$2:INDEX(生物种群!$B:$B,COUNTA(生物种群!$B:$B)),MATCH($C321,生物种群!$G$2:INDEX(生物种群!$G:$G,COUNTA(生物种群!$G:$G)),),),IF($A321&lt;&gt;0,INDEX(生物种群!$B$2:INDEX(生物种群!$B:$B,COUNTA(生物种群!$B:$B)),MATCH($A321,生物种群!$C$2:INDEX(生物种群!$C:$C,COUNTA(生物种群!$C:$C)),),),INDEX(生物种群!$B$2:INDEX(生物种群!$B:$B,COUNTA(生物种群!$B:$B)),MATCH($B321,生物种群!$D$2:INDEX(生物种群!$D:$D,COUNTA(生物种群!$D:$D)),),))))</f>
        <v/>
      </c>
      <c r="J321" s="37" t="str">
        <f>IF(A321&amp;B321&amp;C321="","",INDEX(生物种群!$J$2:INDEX(生物种群!$J:$J,COUNTA(生物种群!$J:$J)),MATCH($I321,生物种群!$B$2:INDEX(生物种群!$B:$B,COUNTA(生物种群!$B:$B)),),))</f>
        <v/>
      </c>
      <c r="K321" s="37" t="str">
        <f>IF(A321&amp;B321&amp;C321="","",INDEX(生物种群!$E$2:INDEX(生物种群!$E:$E,COUNTA(生物种群!$E:$E)),MATCH($I321,生物种群!$B$2:INDEX(生物种群!$B:$B,COUNTA(生物种群!$B:$B)),),))</f>
        <v/>
      </c>
      <c r="L321" s="37" t="str">
        <f>IF(A321&amp;B321&amp;C321="","",INDEX(生物种群!$F$3:INDEX(生物种群!$F:$F,COUNTA(生物种群!$F:$F)),MATCH($I321,生物种群!$B$3:INDEX(生物种群!$B:$B,COUNTA(生物种群!$B:$B)),),))</f>
        <v/>
      </c>
      <c r="M321" s="37" t="str">
        <f t="shared" si="8"/>
        <v/>
      </c>
      <c r="N321" s="37" t="str">
        <f t="shared" si="9"/>
        <v/>
      </c>
      <c r="O321" s="9"/>
      <c r="P321" s="10"/>
    </row>
    <row r="322" spans="1:16" ht="20.1" customHeight="1">
      <c r="A322" s="9"/>
      <c r="B322" s="9"/>
      <c r="C322" s="9"/>
      <c r="D322" s="43"/>
      <c r="E322" s="9"/>
      <c r="F322" s="9"/>
      <c r="G322" s="47" t="str">
        <f>IF(F322="","",INDEX(站位样品信息!$B$3:INDEX(站位样品信息!$B:$B,COUNTA(站位样品信息!$B:$B)+1),MATCH($F322,站位样品信息!$A$3:INDEX(站位样品信息!$A:$A,COUNTA(站位样品信息!$A:$A)+1),),))</f>
        <v/>
      </c>
      <c r="H322" s="37" t="str">
        <f>IF(A322&amp;B322&amp;C322="","",INDEX(生物种群!$A$2:INDEX(生物种群!$A:$A,COUNTA(生物种群!$A:$A)),MATCH($I322,生物种群!$B$2:INDEX(生物种群!$B:$B,COUNTA(生物种群!$B:$B)),),))</f>
        <v/>
      </c>
      <c r="I322" s="37" t="str">
        <f>IF(A322&amp;B322&amp;C322="","",IF($C322&lt;&gt;0,INDEX(生物种群!$B$2:INDEX(生物种群!$B:$B,COUNTA(生物种群!$B:$B)),MATCH($C322,生物种群!$G$2:INDEX(生物种群!$G:$G,COUNTA(生物种群!$G:$G)),),),IF($A322&lt;&gt;0,INDEX(生物种群!$B$2:INDEX(生物种群!$B:$B,COUNTA(生物种群!$B:$B)),MATCH($A322,生物种群!$C$2:INDEX(生物种群!$C:$C,COUNTA(生物种群!$C:$C)),),),INDEX(生物种群!$B$2:INDEX(生物种群!$B:$B,COUNTA(生物种群!$B:$B)),MATCH($B322,生物种群!$D$2:INDEX(生物种群!$D:$D,COUNTA(生物种群!$D:$D)),),))))</f>
        <v/>
      </c>
      <c r="J322" s="37" t="str">
        <f>IF(A322&amp;B322&amp;C322="","",INDEX(生物种群!$J$2:INDEX(生物种群!$J:$J,COUNTA(生物种群!$J:$J)),MATCH($I322,生物种群!$B$2:INDEX(生物种群!$B:$B,COUNTA(生物种群!$B:$B)),),))</f>
        <v/>
      </c>
      <c r="K322" s="37" t="str">
        <f>IF(A322&amp;B322&amp;C322="","",INDEX(生物种群!$E$2:INDEX(生物种群!$E:$E,COUNTA(生物种群!$E:$E)),MATCH($I322,生物种群!$B$2:INDEX(生物种群!$B:$B,COUNTA(生物种群!$B:$B)),),))</f>
        <v/>
      </c>
      <c r="L322" s="37" t="str">
        <f>IF(A322&amp;B322&amp;C322="","",INDEX(生物种群!$F$3:INDEX(生物种群!$F:$F,COUNTA(生物种群!$F:$F)),MATCH($I322,生物种群!$B$3:INDEX(生物种群!$B:$B,COUNTA(生物种群!$B:$B)),),))</f>
        <v/>
      </c>
      <c r="M322" s="37" t="str">
        <f t="shared" si="8"/>
        <v/>
      </c>
      <c r="N322" s="37" t="str">
        <f t="shared" si="9"/>
        <v/>
      </c>
      <c r="O322" s="9"/>
      <c r="P322" s="10"/>
    </row>
    <row r="323" spans="1:16" ht="20.1" customHeight="1">
      <c r="A323" s="9"/>
      <c r="B323" s="9"/>
      <c r="C323" s="9"/>
      <c r="D323" s="43"/>
      <c r="E323" s="9"/>
      <c r="F323" s="9"/>
      <c r="G323" s="47" t="str">
        <f>IF(F323="","",INDEX(站位样品信息!$B$3:INDEX(站位样品信息!$B:$B,COUNTA(站位样品信息!$B:$B)+1),MATCH($F323,站位样品信息!$A$3:INDEX(站位样品信息!$A:$A,COUNTA(站位样品信息!$A:$A)+1),),))</f>
        <v/>
      </c>
      <c r="H323" s="37" t="str">
        <f>IF(A323&amp;B323&amp;C323="","",INDEX(生物种群!$A$2:INDEX(生物种群!$A:$A,COUNTA(生物种群!$A:$A)),MATCH($I323,生物种群!$B$2:INDEX(生物种群!$B:$B,COUNTA(生物种群!$B:$B)),),))</f>
        <v/>
      </c>
      <c r="I323" s="37" t="str">
        <f>IF(A323&amp;B323&amp;C323="","",IF($C323&lt;&gt;0,INDEX(生物种群!$B$2:INDEX(生物种群!$B:$B,COUNTA(生物种群!$B:$B)),MATCH($C323,生物种群!$G$2:INDEX(生物种群!$G:$G,COUNTA(生物种群!$G:$G)),),),IF($A323&lt;&gt;0,INDEX(生物种群!$B$2:INDEX(生物种群!$B:$B,COUNTA(生物种群!$B:$B)),MATCH($A323,生物种群!$C$2:INDEX(生物种群!$C:$C,COUNTA(生物种群!$C:$C)),),),INDEX(生物种群!$B$2:INDEX(生物种群!$B:$B,COUNTA(生物种群!$B:$B)),MATCH($B323,生物种群!$D$2:INDEX(生物种群!$D:$D,COUNTA(生物种群!$D:$D)),),))))</f>
        <v/>
      </c>
      <c r="J323" s="37" t="str">
        <f>IF(A323&amp;B323&amp;C323="","",INDEX(生物种群!$J$2:INDEX(生物种群!$J:$J,COUNTA(生物种群!$J:$J)),MATCH($I323,生物种群!$B$2:INDEX(生物种群!$B:$B,COUNTA(生物种群!$B:$B)),),))</f>
        <v/>
      </c>
      <c r="K323" s="37" t="str">
        <f>IF(A323&amp;B323&amp;C323="","",INDEX(生物种群!$E$2:INDEX(生物种群!$E:$E,COUNTA(生物种群!$E:$E)),MATCH($I323,生物种群!$B$2:INDEX(生物种群!$B:$B,COUNTA(生物种群!$B:$B)),),))</f>
        <v/>
      </c>
      <c r="L323" s="37" t="str">
        <f>IF(A323&amp;B323&amp;C323="","",INDEX(生物种群!$F$3:INDEX(生物种群!$F:$F,COUNTA(生物种群!$F:$F)),MATCH($I323,生物种群!$B$3:INDEX(生物种群!$B:$B,COUNTA(生物种群!$B:$B)),),))</f>
        <v/>
      </c>
      <c r="M323" s="37" t="str">
        <f t="shared" si="10" ref="M323:M386">IF(F323&gt;0,F323&amp;I323&amp;E323,"")</f>
        <v/>
      </c>
      <c r="N323" s="37" t="str">
        <f t="shared" si="11" ref="N323:N386">IF(COUNTIF($M:$M,M323)=1,"",IF(A323&amp;B323&amp;C323="","","重复"))</f>
        <v/>
      </c>
      <c r="O323" s="9"/>
      <c r="P323" s="10"/>
    </row>
    <row r="324" spans="1:16" ht="20.1" customHeight="1">
      <c r="A324" s="9"/>
      <c r="B324" s="9"/>
      <c r="C324" s="9"/>
      <c r="D324" s="43"/>
      <c r="E324" s="9"/>
      <c r="F324" s="9"/>
      <c r="G324" s="47" t="str">
        <f>IF(F324="","",INDEX(站位样品信息!$B$3:INDEX(站位样品信息!$B:$B,COUNTA(站位样品信息!$B:$B)+1),MATCH($F324,站位样品信息!$A$3:INDEX(站位样品信息!$A:$A,COUNTA(站位样品信息!$A:$A)+1),),))</f>
        <v/>
      </c>
      <c r="H324" s="37" t="str">
        <f>IF(A324&amp;B324&amp;C324="","",INDEX(生物种群!$A$2:INDEX(生物种群!$A:$A,COUNTA(生物种群!$A:$A)),MATCH($I324,生物种群!$B$2:INDEX(生物种群!$B:$B,COUNTA(生物种群!$B:$B)),),))</f>
        <v/>
      </c>
      <c r="I324" s="37" t="str">
        <f>IF(A324&amp;B324&amp;C324="","",IF($C324&lt;&gt;0,INDEX(生物种群!$B$2:INDEX(生物种群!$B:$B,COUNTA(生物种群!$B:$B)),MATCH($C324,生物种群!$G$2:INDEX(生物种群!$G:$G,COUNTA(生物种群!$G:$G)),),),IF($A324&lt;&gt;0,INDEX(生物种群!$B$2:INDEX(生物种群!$B:$B,COUNTA(生物种群!$B:$B)),MATCH($A324,生物种群!$C$2:INDEX(生物种群!$C:$C,COUNTA(生物种群!$C:$C)),),),INDEX(生物种群!$B$2:INDEX(生物种群!$B:$B,COUNTA(生物种群!$B:$B)),MATCH($B324,生物种群!$D$2:INDEX(生物种群!$D:$D,COUNTA(生物种群!$D:$D)),),))))</f>
        <v/>
      </c>
      <c r="J324" s="37" t="str">
        <f>IF(A324&amp;B324&amp;C324="","",INDEX(生物种群!$J$2:INDEX(生物种群!$J:$J,COUNTA(生物种群!$J:$J)),MATCH($I324,生物种群!$B$2:INDEX(生物种群!$B:$B,COUNTA(生物种群!$B:$B)),),))</f>
        <v/>
      </c>
      <c r="K324" s="37" t="str">
        <f>IF(A324&amp;B324&amp;C324="","",INDEX(生物种群!$E$2:INDEX(生物种群!$E:$E,COUNTA(生物种群!$E:$E)),MATCH($I324,生物种群!$B$2:INDEX(生物种群!$B:$B,COUNTA(生物种群!$B:$B)),),))</f>
        <v/>
      </c>
      <c r="L324" s="37" t="str">
        <f>IF(A324&amp;B324&amp;C324="","",INDEX(生物种群!$F$3:INDEX(生物种群!$F:$F,COUNTA(生物种群!$F:$F)),MATCH($I324,生物种群!$B$3:INDEX(生物种群!$B:$B,COUNTA(生物种群!$B:$B)),),))</f>
        <v/>
      </c>
      <c r="M324" s="37" t="str">
        <f t="shared" si="10"/>
        <v/>
      </c>
      <c r="N324" s="37" t="str">
        <f t="shared" si="11"/>
        <v/>
      </c>
      <c r="O324" s="9"/>
      <c r="P324" s="10"/>
    </row>
    <row r="325" spans="1:16" ht="20.1" customHeight="1">
      <c r="A325" s="9"/>
      <c r="B325" s="9"/>
      <c r="C325" s="9"/>
      <c r="D325" s="43"/>
      <c r="E325" s="9"/>
      <c r="F325" s="9"/>
      <c r="G325" s="47" t="str">
        <f>IF(F325="","",INDEX(站位样品信息!$B$3:INDEX(站位样品信息!$B:$B,COUNTA(站位样品信息!$B:$B)+1),MATCH($F325,站位样品信息!$A$3:INDEX(站位样品信息!$A:$A,COUNTA(站位样品信息!$A:$A)+1),),))</f>
        <v/>
      </c>
      <c r="H325" s="37" t="str">
        <f>IF(A325&amp;B325&amp;C325="","",INDEX(生物种群!$A$2:INDEX(生物种群!$A:$A,COUNTA(生物种群!$A:$A)),MATCH($I325,生物种群!$B$2:INDEX(生物种群!$B:$B,COUNTA(生物种群!$B:$B)),),))</f>
        <v/>
      </c>
      <c r="I325" s="37" t="str">
        <f>IF(A325&amp;B325&amp;C325="","",IF($C325&lt;&gt;0,INDEX(生物种群!$B$2:INDEX(生物种群!$B:$B,COUNTA(生物种群!$B:$B)),MATCH($C325,生物种群!$G$2:INDEX(生物种群!$G:$G,COUNTA(生物种群!$G:$G)),),),IF($A325&lt;&gt;0,INDEX(生物种群!$B$2:INDEX(生物种群!$B:$B,COUNTA(生物种群!$B:$B)),MATCH($A325,生物种群!$C$2:INDEX(生物种群!$C:$C,COUNTA(生物种群!$C:$C)),),),INDEX(生物种群!$B$2:INDEX(生物种群!$B:$B,COUNTA(生物种群!$B:$B)),MATCH($B325,生物种群!$D$2:INDEX(生物种群!$D:$D,COUNTA(生物种群!$D:$D)),),))))</f>
        <v/>
      </c>
      <c r="J325" s="37" t="str">
        <f>IF(A325&amp;B325&amp;C325="","",INDEX(生物种群!$J$2:INDEX(生物种群!$J:$J,COUNTA(生物种群!$J:$J)),MATCH($I325,生物种群!$B$2:INDEX(生物种群!$B:$B,COUNTA(生物种群!$B:$B)),),))</f>
        <v/>
      </c>
      <c r="K325" s="37" t="str">
        <f>IF(A325&amp;B325&amp;C325="","",INDEX(生物种群!$E$2:INDEX(生物种群!$E:$E,COUNTA(生物种群!$E:$E)),MATCH($I325,生物种群!$B$2:INDEX(生物种群!$B:$B,COUNTA(生物种群!$B:$B)),),))</f>
        <v/>
      </c>
      <c r="L325" s="37" t="str">
        <f>IF(A325&amp;B325&amp;C325="","",INDEX(生物种群!$F$3:INDEX(生物种群!$F:$F,COUNTA(生物种群!$F:$F)),MATCH($I325,生物种群!$B$3:INDEX(生物种群!$B:$B,COUNTA(生物种群!$B:$B)),),))</f>
        <v/>
      </c>
      <c r="M325" s="37" t="str">
        <f t="shared" si="10"/>
        <v/>
      </c>
      <c r="N325" s="37" t="str">
        <f t="shared" si="11"/>
        <v/>
      </c>
      <c r="O325" s="9"/>
      <c r="P325" s="10"/>
    </row>
    <row r="326" spans="1:16" ht="20.1" customHeight="1">
      <c r="A326" s="9"/>
      <c r="B326" s="9"/>
      <c r="C326" s="9"/>
      <c r="D326" s="43"/>
      <c r="E326" s="9"/>
      <c r="F326" s="9"/>
      <c r="G326" s="47" t="str">
        <f>IF(F326="","",INDEX(站位样品信息!$B$3:INDEX(站位样品信息!$B:$B,COUNTA(站位样品信息!$B:$B)+1),MATCH($F326,站位样品信息!$A$3:INDEX(站位样品信息!$A:$A,COUNTA(站位样品信息!$A:$A)+1),),))</f>
        <v/>
      </c>
      <c r="H326" s="37" t="str">
        <f>IF(A326&amp;B326&amp;C326="","",INDEX(生物种群!$A$2:INDEX(生物种群!$A:$A,COUNTA(生物种群!$A:$A)),MATCH($I326,生物种群!$B$2:INDEX(生物种群!$B:$B,COUNTA(生物种群!$B:$B)),),))</f>
        <v/>
      </c>
      <c r="I326" s="37" t="str">
        <f>IF(A326&amp;B326&amp;C326="","",IF($C326&lt;&gt;0,INDEX(生物种群!$B$2:INDEX(生物种群!$B:$B,COUNTA(生物种群!$B:$B)),MATCH($C326,生物种群!$G$2:INDEX(生物种群!$G:$G,COUNTA(生物种群!$G:$G)),),),IF($A326&lt;&gt;0,INDEX(生物种群!$B$2:INDEX(生物种群!$B:$B,COUNTA(生物种群!$B:$B)),MATCH($A326,生物种群!$C$2:INDEX(生物种群!$C:$C,COUNTA(生物种群!$C:$C)),),),INDEX(生物种群!$B$2:INDEX(生物种群!$B:$B,COUNTA(生物种群!$B:$B)),MATCH($B326,生物种群!$D$2:INDEX(生物种群!$D:$D,COUNTA(生物种群!$D:$D)),),))))</f>
        <v/>
      </c>
      <c r="J326" s="37" t="str">
        <f>IF(A326&amp;B326&amp;C326="","",INDEX(生物种群!$J$2:INDEX(生物种群!$J:$J,COUNTA(生物种群!$J:$J)),MATCH($I326,生物种群!$B$2:INDEX(生物种群!$B:$B,COUNTA(生物种群!$B:$B)),),))</f>
        <v/>
      </c>
      <c r="K326" s="37" t="str">
        <f>IF(A326&amp;B326&amp;C326="","",INDEX(生物种群!$E$2:INDEX(生物种群!$E:$E,COUNTA(生物种群!$E:$E)),MATCH($I326,生物种群!$B$2:INDEX(生物种群!$B:$B,COUNTA(生物种群!$B:$B)),),))</f>
        <v/>
      </c>
      <c r="L326" s="37" t="str">
        <f>IF(A326&amp;B326&amp;C326="","",INDEX(生物种群!$F$3:INDEX(生物种群!$F:$F,COUNTA(生物种群!$F:$F)),MATCH($I326,生物种群!$B$3:INDEX(生物种群!$B:$B,COUNTA(生物种群!$B:$B)),),))</f>
        <v/>
      </c>
      <c r="M326" s="37" t="str">
        <f t="shared" si="10"/>
        <v/>
      </c>
      <c r="N326" s="37" t="str">
        <f t="shared" si="11"/>
        <v/>
      </c>
      <c r="O326" s="9"/>
      <c r="P326" s="10"/>
    </row>
    <row r="327" spans="1:16" ht="20.1" customHeight="1">
      <c r="A327" s="9"/>
      <c r="B327" s="9"/>
      <c r="C327" s="9"/>
      <c r="D327" s="43"/>
      <c r="E327" s="9"/>
      <c r="F327" s="9"/>
      <c r="G327" s="47" t="str">
        <f>IF(F327="","",INDEX(站位样品信息!$B$3:INDEX(站位样品信息!$B:$B,COUNTA(站位样品信息!$B:$B)+1),MATCH($F327,站位样品信息!$A$3:INDEX(站位样品信息!$A:$A,COUNTA(站位样品信息!$A:$A)+1),),))</f>
        <v/>
      </c>
      <c r="H327" s="37" t="str">
        <f>IF(A327&amp;B327&amp;C327="","",INDEX(生物种群!$A$2:INDEX(生物种群!$A:$A,COUNTA(生物种群!$A:$A)),MATCH($I327,生物种群!$B$2:INDEX(生物种群!$B:$B,COUNTA(生物种群!$B:$B)),),))</f>
        <v/>
      </c>
      <c r="I327" s="37" t="str">
        <f>IF(A327&amp;B327&amp;C327="","",IF($C327&lt;&gt;0,INDEX(生物种群!$B$2:INDEX(生物种群!$B:$B,COUNTA(生物种群!$B:$B)),MATCH($C327,生物种群!$G$2:INDEX(生物种群!$G:$G,COUNTA(生物种群!$G:$G)),),),IF($A327&lt;&gt;0,INDEX(生物种群!$B$2:INDEX(生物种群!$B:$B,COUNTA(生物种群!$B:$B)),MATCH($A327,生物种群!$C$2:INDEX(生物种群!$C:$C,COUNTA(生物种群!$C:$C)),),),INDEX(生物种群!$B$2:INDEX(生物种群!$B:$B,COUNTA(生物种群!$B:$B)),MATCH($B327,生物种群!$D$2:INDEX(生物种群!$D:$D,COUNTA(生物种群!$D:$D)),),))))</f>
        <v/>
      </c>
      <c r="J327" s="37" t="str">
        <f>IF(A327&amp;B327&amp;C327="","",INDEX(生物种群!$J$2:INDEX(生物种群!$J:$J,COUNTA(生物种群!$J:$J)),MATCH($I327,生物种群!$B$2:INDEX(生物种群!$B:$B,COUNTA(生物种群!$B:$B)),),))</f>
        <v/>
      </c>
      <c r="K327" s="37" t="str">
        <f>IF(A327&amp;B327&amp;C327="","",INDEX(生物种群!$E$2:INDEX(生物种群!$E:$E,COUNTA(生物种群!$E:$E)),MATCH($I327,生物种群!$B$2:INDEX(生物种群!$B:$B,COUNTA(生物种群!$B:$B)),),))</f>
        <v/>
      </c>
      <c r="L327" s="37" t="str">
        <f>IF(A327&amp;B327&amp;C327="","",INDEX(生物种群!$F$3:INDEX(生物种群!$F:$F,COUNTA(生物种群!$F:$F)),MATCH($I327,生物种群!$B$3:INDEX(生物种群!$B:$B,COUNTA(生物种群!$B:$B)),),))</f>
        <v/>
      </c>
      <c r="M327" s="37" t="str">
        <f t="shared" si="10"/>
        <v/>
      </c>
      <c r="N327" s="37" t="str">
        <f t="shared" si="11"/>
        <v/>
      </c>
      <c r="O327" s="9"/>
      <c r="P327" s="10"/>
    </row>
    <row r="328" spans="1:16" ht="20.1" customHeight="1">
      <c r="A328" s="9"/>
      <c r="B328" s="9"/>
      <c r="C328" s="9"/>
      <c r="D328" s="43"/>
      <c r="E328" s="9"/>
      <c r="F328" s="9"/>
      <c r="G328" s="47" t="str">
        <f>IF(F328="","",INDEX(站位样品信息!$B$3:INDEX(站位样品信息!$B:$B,COUNTA(站位样品信息!$B:$B)+1),MATCH($F328,站位样品信息!$A$3:INDEX(站位样品信息!$A:$A,COUNTA(站位样品信息!$A:$A)+1),),))</f>
        <v/>
      </c>
      <c r="H328" s="37" t="str">
        <f>IF(A328&amp;B328&amp;C328="","",INDEX(生物种群!$A$2:INDEX(生物种群!$A:$A,COUNTA(生物种群!$A:$A)),MATCH($I328,生物种群!$B$2:INDEX(生物种群!$B:$B,COUNTA(生物种群!$B:$B)),),))</f>
        <v/>
      </c>
      <c r="I328" s="37" t="str">
        <f>IF(A328&amp;B328&amp;C328="","",IF($C328&lt;&gt;0,INDEX(生物种群!$B$2:INDEX(生物种群!$B:$B,COUNTA(生物种群!$B:$B)),MATCH($C328,生物种群!$G$2:INDEX(生物种群!$G:$G,COUNTA(生物种群!$G:$G)),),),IF($A328&lt;&gt;0,INDEX(生物种群!$B$2:INDEX(生物种群!$B:$B,COUNTA(生物种群!$B:$B)),MATCH($A328,生物种群!$C$2:INDEX(生物种群!$C:$C,COUNTA(生物种群!$C:$C)),),),INDEX(生物种群!$B$2:INDEX(生物种群!$B:$B,COUNTA(生物种群!$B:$B)),MATCH($B328,生物种群!$D$2:INDEX(生物种群!$D:$D,COUNTA(生物种群!$D:$D)),),))))</f>
        <v/>
      </c>
      <c r="J328" s="37" t="str">
        <f>IF(A328&amp;B328&amp;C328="","",INDEX(生物种群!$J$2:INDEX(生物种群!$J:$J,COUNTA(生物种群!$J:$J)),MATCH($I328,生物种群!$B$2:INDEX(生物种群!$B:$B,COUNTA(生物种群!$B:$B)),),))</f>
        <v/>
      </c>
      <c r="K328" s="37" t="str">
        <f>IF(A328&amp;B328&amp;C328="","",INDEX(生物种群!$E$2:INDEX(生物种群!$E:$E,COUNTA(生物种群!$E:$E)),MATCH($I328,生物种群!$B$2:INDEX(生物种群!$B:$B,COUNTA(生物种群!$B:$B)),),))</f>
        <v/>
      </c>
      <c r="L328" s="37" t="str">
        <f>IF(A328&amp;B328&amp;C328="","",INDEX(生物种群!$F$3:INDEX(生物种群!$F:$F,COUNTA(生物种群!$F:$F)),MATCH($I328,生物种群!$B$3:INDEX(生物种群!$B:$B,COUNTA(生物种群!$B:$B)),),))</f>
        <v/>
      </c>
      <c r="M328" s="37" t="str">
        <f t="shared" si="10"/>
        <v/>
      </c>
      <c r="N328" s="37" t="str">
        <f t="shared" si="11"/>
        <v/>
      </c>
      <c r="O328" s="9"/>
      <c r="P328" s="10"/>
    </row>
    <row r="329" spans="1:16" ht="20.1" customHeight="1">
      <c r="A329" s="9"/>
      <c r="B329" s="9"/>
      <c r="C329" s="9"/>
      <c r="D329" s="43"/>
      <c r="E329" s="9"/>
      <c r="F329" s="9"/>
      <c r="G329" s="47" t="str">
        <f>IF(F329="","",INDEX(站位样品信息!$B$3:INDEX(站位样品信息!$B:$B,COUNTA(站位样品信息!$B:$B)+1),MATCH($F329,站位样品信息!$A$3:INDEX(站位样品信息!$A:$A,COUNTA(站位样品信息!$A:$A)+1),),))</f>
        <v/>
      </c>
      <c r="H329" s="37" t="str">
        <f>IF(A329&amp;B329&amp;C329="","",INDEX(生物种群!$A$2:INDEX(生物种群!$A:$A,COUNTA(生物种群!$A:$A)),MATCH($I329,生物种群!$B$2:INDEX(生物种群!$B:$B,COUNTA(生物种群!$B:$B)),),))</f>
        <v/>
      </c>
      <c r="I329" s="37" t="str">
        <f>IF(A329&amp;B329&amp;C329="","",IF($C329&lt;&gt;0,INDEX(生物种群!$B$2:INDEX(生物种群!$B:$B,COUNTA(生物种群!$B:$B)),MATCH($C329,生物种群!$G$2:INDEX(生物种群!$G:$G,COUNTA(生物种群!$G:$G)),),),IF($A329&lt;&gt;0,INDEX(生物种群!$B$2:INDEX(生物种群!$B:$B,COUNTA(生物种群!$B:$B)),MATCH($A329,生物种群!$C$2:INDEX(生物种群!$C:$C,COUNTA(生物种群!$C:$C)),),),INDEX(生物种群!$B$2:INDEX(生物种群!$B:$B,COUNTA(生物种群!$B:$B)),MATCH($B329,生物种群!$D$2:INDEX(生物种群!$D:$D,COUNTA(生物种群!$D:$D)),),))))</f>
        <v/>
      </c>
      <c r="J329" s="37" t="str">
        <f>IF(A329&amp;B329&amp;C329="","",INDEX(生物种群!$J$2:INDEX(生物种群!$J:$J,COUNTA(生物种群!$J:$J)),MATCH($I329,生物种群!$B$2:INDEX(生物种群!$B:$B,COUNTA(生物种群!$B:$B)),),))</f>
        <v/>
      </c>
      <c r="K329" s="37" t="str">
        <f>IF(A329&amp;B329&amp;C329="","",INDEX(生物种群!$E$2:INDEX(生物种群!$E:$E,COUNTA(生物种群!$E:$E)),MATCH($I329,生物种群!$B$2:INDEX(生物种群!$B:$B,COUNTA(生物种群!$B:$B)),),))</f>
        <v/>
      </c>
      <c r="L329" s="37" t="str">
        <f>IF(A329&amp;B329&amp;C329="","",INDEX(生物种群!$F$3:INDEX(生物种群!$F:$F,COUNTA(生物种群!$F:$F)),MATCH($I329,生物种群!$B$3:INDEX(生物种群!$B:$B,COUNTA(生物种群!$B:$B)),),))</f>
        <v/>
      </c>
      <c r="M329" s="37" t="str">
        <f t="shared" si="10"/>
        <v/>
      </c>
      <c r="N329" s="37" t="str">
        <f t="shared" si="11"/>
        <v/>
      </c>
      <c r="O329" s="9"/>
      <c r="P329" s="10"/>
    </row>
    <row r="330" spans="1:16" ht="20.1" customHeight="1">
      <c r="A330" s="9"/>
      <c r="B330" s="9"/>
      <c r="C330" s="9"/>
      <c r="D330" s="43"/>
      <c r="E330" s="9"/>
      <c r="F330" s="9"/>
      <c r="G330" s="47" t="str">
        <f>IF(F330="","",INDEX(站位样品信息!$B$3:INDEX(站位样品信息!$B:$B,COUNTA(站位样品信息!$B:$B)+1),MATCH($F330,站位样品信息!$A$3:INDEX(站位样品信息!$A:$A,COUNTA(站位样品信息!$A:$A)+1),),))</f>
        <v/>
      </c>
      <c r="H330" s="37" t="str">
        <f>IF(A330&amp;B330&amp;C330="","",INDEX(生物种群!$A$2:INDEX(生物种群!$A:$A,COUNTA(生物种群!$A:$A)),MATCH($I330,生物种群!$B$2:INDEX(生物种群!$B:$B,COUNTA(生物种群!$B:$B)),),))</f>
        <v/>
      </c>
      <c r="I330" s="37" t="str">
        <f>IF(A330&amp;B330&amp;C330="","",IF($C330&lt;&gt;0,INDEX(生物种群!$B$2:INDEX(生物种群!$B:$B,COUNTA(生物种群!$B:$B)),MATCH($C330,生物种群!$G$2:INDEX(生物种群!$G:$G,COUNTA(生物种群!$G:$G)),),),IF($A330&lt;&gt;0,INDEX(生物种群!$B$2:INDEX(生物种群!$B:$B,COUNTA(生物种群!$B:$B)),MATCH($A330,生物种群!$C$2:INDEX(生物种群!$C:$C,COUNTA(生物种群!$C:$C)),),),INDEX(生物种群!$B$2:INDEX(生物种群!$B:$B,COUNTA(生物种群!$B:$B)),MATCH($B330,生物种群!$D$2:INDEX(生物种群!$D:$D,COUNTA(生物种群!$D:$D)),),))))</f>
        <v/>
      </c>
      <c r="J330" s="37" t="str">
        <f>IF(A330&amp;B330&amp;C330="","",INDEX(生物种群!$J$2:INDEX(生物种群!$J:$J,COUNTA(生物种群!$J:$J)),MATCH($I330,生物种群!$B$2:INDEX(生物种群!$B:$B,COUNTA(生物种群!$B:$B)),),))</f>
        <v/>
      </c>
      <c r="K330" s="37" t="str">
        <f>IF(A330&amp;B330&amp;C330="","",INDEX(生物种群!$E$2:INDEX(生物种群!$E:$E,COUNTA(生物种群!$E:$E)),MATCH($I330,生物种群!$B$2:INDEX(生物种群!$B:$B,COUNTA(生物种群!$B:$B)),),))</f>
        <v/>
      </c>
      <c r="L330" s="37" t="str">
        <f>IF(A330&amp;B330&amp;C330="","",INDEX(生物种群!$F$3:INDEX(生物种群!$F:$F,COUNTA(生物种群!$F:$F)),MATCH($I330,生物种群!$B$3:INDEX(生物种群!$B:$B,COUNTA(生物种群!$B:$B)),),))</f>
        <v/>
      </c>
      <c r="M330" s="37" t="str">
        <f t="shared" si="10"/>
        <v/>
      </c>
      <c r="N330" s="37" t="str">
        <f t="shared" si="11"/>
        <v/>
      </c>
      <c r="O330" s="9"/>
      <c r="P330" s="10"/>
    </row>
    <row r="331" spans="1:16" ht="20.1" customHeight="1">
      <c r="A331" s="9"/>
      <c r="B331" s="9"/>
      <c r="C331" s="9"/>
      <c r="D331" s="43"/>
      <c r="E331" s="9"/>
      <c r="F331" s="9"/>
      <c r="G331" s="47" t="str">
        <f>IF(F331="","",INDEX(站位样品信息!$B$3:INDEX(站位样品信息!$B:$B,COUNTA(站位样品信息!$B:$B)+1),MATCH($F331,站位样品信息!$A$3:INDEX(站位样品信息!$A:$A,COUNTA(站位样品信息!$A:$A)+1),),))</f>
        <v/>
      </c>
      <c r="H331" s="37" t="str">
        <f>IF(A331&amp;B331&amp;C331="","",INDEX(生物种群!$A$2:INDEX(生物种群!$A:$A,COUNTA(生物种群!$A:$A)),MATCH($I331,生物种群!$B$2:INDEX(生物种群!$B:$B,COUNTA(生物种群!$B:$B)),),))</f>
        <v/>
      </c>
      <c r="I331" s="37" t="str">
        <f>IF(A331&amp;B331&amp;C331="","",IF($C331&lt;&gt;0,INDEX(生物种群!$B$2:INDEX(生物种群!$B:$B,COUNTA(生物种群!$B:$B)),MATCH($C331,生物种群!$G$2:INDEX(生物种群!$G:$G,COUNTA(生物种群!$G:$G)),),),IF($A331&lt;&gt;0,INDEX(生物种群!$B$2:INDEX(生物种群!$B:$B,COUNTA(生物种群!$B:$B)),MATCH($A331,生物种群!$C$2:INDEX(生物种群!$C:$C,COUNTA(生物种群!$C:$C)),),),INDEX(生物种群!$B$2:INDEX(生物种群!$B:$B,COUNTA(生物种群!$B:$B)),MATCH($B331,生物种群!$D$2:INDEX(生物种群!$D:$D,COUNTA(生物种群!$D:$D)),),))))</f>
        <v/>
      </c>
      <c r="J331" s="37" t="str">
        <f>IF(A331&amp;B331&amp;C331="","",INDEX(生物种群!$J$2:INDEX(生物种群!$J:$J,COUNTA(生物种群!$J:$J)),MATCH($I331,生物种群!$B$2:INDEX(生物种群!$B:$B,COUNTA(生物种群!$B:$B)),),))</f>
        <v/>
      </c>
      <c r="K331" s="37" t="str">
        <f>IF(A331&amp;B331&amp;C331="","",INDEX(生物种群!$E$2:INDEX(生物种群!$E:$E,COUNTA(生物种群!$E:$E)),MATCH($I331,生物种群!$B$2:INDEX(生物种群!$B:$B,COUNTA(生物种群!$B:$B)),),))</f>
        <v/>
      </c>
      <c r="L331" s="37" t="str">
        <f>IF(A331&amp;B331&amp;C331="","",INDEX(生物种群!$F$3:INDEX(生物种群!$F:$F,COUNTA(生物种群!$F:$F)),MATCH($I331,生物种群!$B$3:INDEX(生物种群!$B:$B,COUNTA(生物种群!$B:$B)),),))</f>
        <v/>
      </c>
      <c r="M331" s="37" t="str">
        <f t="shared" si="10"/>
        <v/>
      </c>
      <c r="N331" s="37" t="str">
        <f t="shared" si="11"/>
        <v/>
      </c>
      <c r="O331" s="9"/>
      <c r="P331" s="10"/>
    </row>
    <row r="332" spans="1:16" ht="20.1" customHeight="1">
      <c r="A332" s="9"/>
      <c r="B332" s="9"/>
      <c r="C332" s="9"/>
      <c r="D332" s="43"/>
      <c r="E332" s="9"/>
      <c r="F332" s="9"/>
      <c r="G332" s="47" t="str">
        <f>IF(F332="","",INDEX(站位样品信息!$B$3:INDEX(站位样品信息!$B:$B,COUNTA(站位样品信息!$B:$B)+1),MATCH($F332,站位样品信息!$A$3:INDEX(站位样品信息!$A:$A,COUNTA(站位样品信息!$A:$A)+1),),))</f>
        <v/>
      </c>
      <c r="H332" s="37" t="str">
        <f>IF(A332&amp;B332&amp;C332="","",INDEX(生物种群!$A$2:INDEX(生物种群!$A:$A,COUNTA(生物种群!$A:$A)),MATCH($I332,生物种群!$B$2:INDEX(生物种群!$B:$B,COUNTA(生物种群!$B:$B)),),))</f>
        <v/>
      </c>
      <c r="I332" s="37" t="str">
        <f>IF(A332&amp;B332&amp;C332="","",IF($C332&lt;&gt;0,INDEX(生物种群!$B$2:INDEX(生物种群!$B:$B,COUNTA(生物种群!$B:$B)),MATCH($C332,生物种群!$G$2:INDEX(生物种群!$G:$G,COUNTA(生物种群!$G:$G)),),),IF($A332&lt;&gt;0,INDEX(生物种群!$B$2:INDEX(生物种群!$B:$B,COUNTA(生物种群!$B:$B)),MATCH($A332,生物种群!$C$2:INDEX(生物种群!$C:$C,COUNTA(生物种群!$C:$C)),),),INDEX(生物种群!$B$2:INDEX(生物种群!$B:$B,COUNTA(生物种群!$B:$B)),MATCH($B332,生物种群!$D$2:INDEX(生物种群!$D:$D,COUNTA(生物种群!$D:$D)),),))))</f>
        <v/>
      </c>
      <c r="J332" s="37" t="str">
        <f>IF(A332&amp;B332&amp;C332="","",INDEX(生物种群!$J$2:INDEX(生物种群!$J:$J,COUNTA(生物种群!$J:$J)),MATCH($I332,生物种群!$B$2:INDEX(生物种群!$B:$B,COUNTA(生物种群!$B:$B)),),))</f>
        <v/>
      </c>
      <c r="K332" s="37" t="str">
        <f>IF(A332&amp;B332&amp;C332="","",INDEX(生物种群!$E$2:INDEX(生物种群!$E:$E,COUNTA(生物种群!$E:$E)),MATCH($I332,生物种群!$B$2:INDEX(生物种群!$B:$B,COUNTA(生物种群!$B:$B)),),))</f>
        <v/>
      </c>
      <c r="L332" s="37" t="str">
        <f>IF(A332&amp;B332&amp;C332="","",INDEX(生物种群!$F$3:INDEX(生物种群!$F:$F,COUNTA(生物种群!$F:$F)),MATCH($I332,生物种群!$B$3:INDEX(生物种群!$B:$B,COUNTA(生物种群!$B:$B)),),))</f>
        <v/>
      </c>
      <c r="M332" s="37" t="str">
        <f t="shared" si="10"/>
        <v/>
      </c>
      <c r="N332" s="37" t="str">
        <f t="shared" si="11"/>
        <v/>
      </c>
      <c r="O332" s="9"/>
      <c r="P332" s="10"/>
    </row>
    <row r="333" spans="1:16" ht="20.1" customHeight="1">
      <c r="A333" s="9"/>
      <c r="B333" s="9"/>
      <c r="C333" s="9"/>
      <c r="D333" s="43"/>
      <c r="E333" s="9"/>
      <c r="F333" s="9"/>
      <c r="G333" s="47" t="str">
        <f>IF(F333="","",INDEX(站位样品信息!$B$3:INDEX(站位样品信息!$B:$B,COUNTA(站位样品信息!$B:$B)+1),MATCH($F333,站位样品信息!$A$3:INDEX(站位样品信息!$A:$A,COUNTA(站位样品信息!$A:$A)+1),),))</f>
        <v/>
      </c>
      <c r="H333" s="37" t="str">
        <f>IF(A333&amp;B333&amp;C333="","",INDEX(生物种群!$A$2:INDEX(生物种群!$A:$A,COUNTA(生物种群!$A:$A)),MATCH($I333,生物种群!$B$2:INDEX(生物种群!$B:$B,COUNTA(生物种群!$B:$B)),),))</f>
        <v/>
      </c>
      <c r="I333" s="37" t="str">
        <f>IF(A333&amp;B333&amp;C333="","",IF($C333&lt;&gt;0,INDEX(生物种群!$B$2:INDEX(生物种群!$B:$B,COUNTA(生物种群!$B:$B)),MATCH($C333,生物种群!$G$2:INDEX(生物种群!$G:$G,COUNTA(生物种群!$G:$G)),),),IF($A333&lt;&gt;0,INDEX(生物种群!$B$2:INDEX(生物种群!$B:$B,COUNTA(生物种群!$B:$B)),MATCH($A333,生物种群!$C$2:INDEX(生物种群!$C:$C,COUNTA(生物种群!$C:$C)),),),INDEX(生物种群!$B$2:INDEX(生物种群!$B:$B,COUNTA(生物种群!$B:$B)),MATCH($B333,生物种群!$D$2:INDEX(生物种群!$D:$D,COUNTA(生物种群!$D:$D)),),))))</f>
        <v/>
      </c>
      <c r="J333" s="37" t="str">
        <f>IF(A333&amp;B333&amp;C333="","",INDEX(生物种群!$J$2:INDEX(生物种群!$J:$J,COUNTA(生物种群!$J:$J)),MATCH($I333,生物种群!$B$2:INDEX(生物种群!$B:$B,COUNTA(生物种群!$B:$B)),),))</f>
        <v/>
      </c>
      <c r="K333" s="37" t="str">
        <f>IF(A333&amp;B333&amp;C333="","",INDEX(生物种群!$E$2:INDEX(生物种群!$E:$E,COUNTA(生物种群!$E:$E)),MATCH($I333,生物种群!$B$2:INDEX(生物种群!$B:$B,COUNTA(生物种群!$B:$B)),),))</f>
        <v/>
      </c>
      <c r="L333" s="37" t="str">
        <f>IF(A333&amp;B333&amp;C333="","",INDEX(生物种群!$F$3:INDEX(生物种群!$F:$F,COUNTA(生物种群!$F:$F)),MATCH($I333,生物种群!$B$3:INDEX(生物种群!$B:$B,COUNTA(生物种群!$B:$B)),),))</f>
        <v/>
      </c>
      <c r="M333" s="37" t="str">
        <f t="shared" si="10"/>
        <v/>
      </c>
      <c r="N333" s="37" t="str">
        <f t="shared" si="11"/>
        <v/>
      </c>
      <c r="O333" s="9"/>
      <c r="P333" s="10"/>
    </row>
    <row r="334" spans="1:16" ht="20.1" customHeight="1">
      <c r="A334" s="9"/>
      <c r="B334" s="9"/>
      <c r="C334" s="9"/>
      <c r="D334" s="43"/>
      <c r="E334" s="9"/>
      <c r="F334" s="9"/>
      <c r="G334" s="47" t="str">
        <f>IF(F334="","",INDEX(站位样品信息!$B$3:INDEX(站位样品信息!$B:$B,COUNTA(站位样品信息!$B:$B)+1),MATCH($F334,站位样品信息!$A$3:INDEX(站位样品信息!$A:$A,COUNTA(站位样品信息!$A:$A)+1),),))</f>
        <v/>
      </c>
      <c r="H334" s="37" t="str">
        <f>IF(A334&amp;B334&amp;C334="","",INDEX(生物种群!$A$2:INDEX(生物种群!$A:$A,COUNTA(生物种群!$A:$A)),MATCH($I334,生物种群!$B$2:INDEX(生物种群!$B:$B,COUNTA(生物种群!$B:$B)),),))</f>
        <v/>
      </c>
      <c r="I334" s="37" t="str">
        <f>IF(A334&amp;B334&amp;C334="","",IF($C334&lt;&gt;0,INDEX(生物种群!$B$2:INDEX(生物种群!$B:$B,COUNTA(生物种群!$B:$B)),MATCH($C334,生物种群!$G$2:INDEX(生物种群!$G:$G,COUNTA(生物种群!$G:$G)),),),IF($A334&lt;&gt;0,INDEX(生物种群!$B$2:INDEX(生物种群!$B:$B,COUNTA(生物种群!$B:$B)),MATCH($A334,生物种群!$C$2:INDEX(生物种群!$C:$C,COUNTA(生物种群!$C:$C)),),),INDEX(生物种群!$B$2:INDEX(生物种群!$B:$B,COUNTA(生物种群!$B:$B)),MATCH($B334,生物种群!$D$2:INDEX(生物种群!$D:$D,COUNTA(生物种群!$D:$D)),),))))</f>
        <v/>
      </c>
      <c r="J334" s="37" t="str">
        <f>IF(A334&amp;B334&amp;C334="","",INDEX(生物种群!$J$2:INDEX(生物种群!$J:$J,COUNTA(生物种群!$J:$J)),MATCH($I334,生物种群!$B$2:INDEX(生物种群!$B:$B,COUNTA(生物种群!$B:$B)),),))</f>
        <v/>
      </c>
      <c r="K334" s="37" t="str">
        <f>IF(A334&amp;B334&amp;C334="","",INDEX(生物种群!$E$2:INDEX(生物种群!$E:$E,COUNTA(生物种群!$E:$E)),MATCH($I334,生物种群!$B$2:INDEX(生物种群!$B:$B,COUNTA(生物种群!$B:$B)),),))</f>
        <v/>
      </c>
      <c r="L334" s="37" t="str">
        <f>IF(A334&amp;B334&amp;C334="","",INDEX(生物种群!$F$3:INDEX(生物种群!$F:$F,COUNTA(生物种群!$F:$F)),MATCH($I334,生物种群!$B$3:INDEX(生物种群!$B:$B,COUNTA(生物种群!$B:$B)),),))</f>
        <v/>
      </c>
      <c r="M334" s="37" t="str">
        <f t="shared" si="10"/>
        <v/>
      </c>
      <c r="N334" s="37" t="str">
        <f t="shared" si="11"/>
        <v/>
      </c>
      <c r="O334" s="9"/>
      <c r="P334" s="10"/>
    </row>
    <row r="335" spans="1:16" ht="20.1" customHeight="1">
      <c r="A335" s="9"/>
      <c r="B335" s="9"/>
      <c r="C335" s="9"/>
      <c r="D335" s="43"/>
      <c r="E335" s="9"/>
      <c r="F335" s="9"/>
      <c r="G335" s="47" t="str">
        <f>IF(F335="","",INDEX(站位样品信息!$B$3:INDEX(站位样品信息!$B:$B,COUNTA(站位样品信息!$B:$B)+1),MATCH($F335,站位样品信息!$A$3:INDEX(站位样品信息!$A:$A,COUNTA(站位样品信息!$A:$A)+1),),))</f>
        <v/>
      </c>
      <c r="H335" s="37" t="str">
        <f>IF(A335&amp;B335&amp;C335="","",INDEX(生物种群!$A$2:INDEX(生物种群!$A:$A,COUNTA(生物种群!$A:$A)),MATCH($I335,生物种群!$B$2:INDEX(生物种群!$B:$B,COUNTA(生物种群!$B:$B)),),))</f>
        <v/>
      </c>
      <c r="I335" s="37" t="str">
        <f>IF(A335&amp;B335&amp;C335="","",IF($C335&lt;&gt;0,INDEX(生物种群!$B$2:INDEX(生物种群!$B:$B,COUNTA(生物种群!$B:$B)),MATCH($C335,生物种群!$G$2:INDEX(生物种群!$G:$G,COUNTA(生物种群!$G:$G)),),),IF($A335&lt;&gt;0,INDEX(生物种群!$B$2:INDEX(生物种群!$B:$B,COUNTA(生物种群!$B:$B)),MATCH($A335,生物种群!$C$2:INDEX(生物种群!$C:$C,COUNTA(生物种群!$C:$C)),),),INDEX(生物种群!$B$2:INDEX(生物种群!$B:$B,COUNTA(生物种群!$B:$B)),MATCH($B335,生物种群!$D$2:INDEX(生物种群!$D:$D,COUNTA(生物种群!$D:$D)),),))))</f>
        <v/>
      </c>
      <c r="J335" s="37" t="str">
        <f>IF(A335&amp;B335&amp;C335="","",INDEX(生物种群!$J$2:INDEX(生物种群!$J:$J,COUNTA(生物种群!$J:$J)),MATCH($I335,生物种群!$B$2:INDEX(生物种群!$B:$B,COUNTA(生物种群!$B:$B)),),))</f>
        <v/>
      </c>
      <c r="K335" s="37" t="str">
        <f>IF(A335&amp;B335&amp;C335="","",INDEX(生物种群!$E$2:INDEX(生物种群!$E:$E,COUNTA(生物种群!$E:$E)),MATCH($I335,生物种群!$B$2:INDEX(生物种群!$B:$B,COUNTA(生物种群!$B:$B)),),))</f>
        <v/>
      </c>
      <c r="L335" s="37" t="str">
        <f>IF(A335&amp;B335&amp;C335="","",INDEX(生物种群!$F$3:INDEX(生物种群!$F:$F,COUNTA(生物种群!$F:$F)),MATCH($I335,生物种群!$B$3:INDEX(生物种群!$B:$B,COUNTA(生物种群!$B:$B)),),))</f>
        <v/>
      </c>
      <c r="M335" s="37" t="str">
        <f t="shared" si="10"/>
        <v/>
      </c>
      <c r="N335" s="37" t="str">
        <f t="shared" si="11"/>
        <v/>
      </c>
      <c r="O335" s="9"/>
      <c r="P335" s="10"/>
    </row>
    <row r="336" spans="1:16" ht="20.1" customHeight="1">
      <c r="A336" s="9"/>
      <c r="B336" s="9"/>
      <c r="C336" s="9"/>
      <c r="D336" s="43"/>
      <c r="E336" s="9"/>
      <c r="F336" s="9"/>
      <c r="G336" s="47" t="str">
        <f>IF(F336="","",INDEX(站位样品信息!$B$3:INDEX(站位样品信息!$B:$B,COUNTA(站位样品信息!$B:$B)+1),MATCH($F336,站位样品信息!$A$3:INDEX(站位样品信息!$A:$A,COUNTA(站位样品信息!$A:$A)+1),),))</f>
        <v/>
      </c>
      <c r="H336" s="37" t="str">
        <f>IF(A336&amp;B336&amp;C336="","",INDEX(生物种群!$A$2:INDEX(生物种群!$A:$A,COUNTA(生物种群!$A:$A)),MATCH($I336,生物种群!$B$2:INDEX(生物种群!$B:$B,COUNTA(生物种群!$B:$B)),),))</f>
        <v/>
      </c>
      <c r="I336" s="37" t="str">
        <f>IF(A336&amp;B336&amp;C336="","",IF($C336&lt;&gt;0,INDEX(生物种群!$B$2:INDEX(生物种群!$B:$B,COUNTA(生物种群!$B:$B)),MATCH($C336,生物种群!$G$2:INDEX(生物种群!$G:$G,COUNTA(生物种群!$G:$G)),),),IF($A336&lt;&gt;0,INDEX(生物种群!$B$2:INDEX(生物种群!$B:$B,COUNTA(生物种群!$B:$B)),MATCH($A336,生物种群!$C$2:INDEX(生物种群!$C:$C,COUNTA(生物种群!$C:$C)),),),INDEX(生物种群!$B$2:INDEX(生物种群!$B:$B,COUNTA(生物种群!$B:$B)),MATCH($B336,生物种群!$D$2:INDEX(生物种群!$D:$D,COUNTA(生物种群!$D:$D)),),))))</f>
        <v/>
      </c>
      <c r="J336" s="37" t="str">
        <f>IF(A336&amp;B336&amp;C336="","",INDEX(生物种群!$J$2:INDEX(生物种群!$J:$J,COUNTA(生物种群!$J:$J)),MATCH($I336,生物种群!$B$2:INDEX(生物种群!$B:$B,COUNTA(生物种群!$B:$B)),),))</f>
        <v/>
      </c>
      <c r="K336" s="37" t="str">
        <f>IF(A336&amp;B336&amp;C336="","",INDEX(生物种群!$E$2:INDEX(生物种群!$E:$E,COUNTA(生物种群!$E:$E)),MATCH($I336,生物种群!$B$2:INDEX(生物种群!$B:$B,COUNTA(生物种群!$B:$B)),),))</f>
        <v/>
      </c>
      <c r="L336" s="37" t="str">
        <f>IF(A336&amp;B336&amp;C336="","",INDEX(生物种群!$F$3:INDEX(生物种群!$F:$F,COUNTA(生物种群!$F:$F)),MATCH($I336,生物种群!$B$3:INDEX(生物种群!$B:$B,COUNTA(生物种群!$B:$B)),),))</f>
        <v/>
      </c>
      <c r="M336" s="37" t="str">
        <f t="shared" si="10"/>
        <v/>
      </c>
      <c r="N336" s="37" t="str">
        <f t="shared" si="11"/>
        <v/>
      </c>
      <c r="O336" s="9"/>
      <c r="P336" s="10"/>
    </row>
    <row r="337" spans="1:16" ht="20.1" customHeight="1">
      <c r="A337" s="9"/>
      <c r="B337" s="9"/>
      <c r="C337" s="9"/>
      <c r="D337" s="43"/>
      <c r="E337" s="9"/>
      <c r="F337" s="9"/>
      <c r="G337" s="47" t="str">
        <f>IF(F337="","",INDEX(站位样品信息!$B$3:INDEX(站位样品信息!$B:$B,COUNTA(站位样品信息!$B:$B)+1),MATCH($F337,站位样品信息!$A$3:INDEX(站位样品信息!$A:$A,COUNTA(站位样品信息!$A:$A)+1),),))</f>
        <v/>
      </c>
      <c r="H337" s="37" t="str">
        <f>IF(A337&amp;B337&amp;C337="","",INDEX(生物种群!$A$2:INDEX(生物种群!$A:$A,COUNTA(生物种群!$A:$A)),MATCH($I337,生物种群!$B$2:INDEX(生物种群!$B:$B,COUNTA(生物种群!$B:$B)),),))</f>
        <v/>
      </c>
      <c r="I337" s="37" t="str">
        <f>IF(A337&amp;B337&amp;C337="","",IF($C337&lt;&gt;0,INDEX(生物种群!$B$2:INDEX(生物种群!$B:$B,COUNTA(生物种群!$B:$B)),MATCH($C337,生物种群!$G$2:INDEX(生物种群!$G:$G,COUNTA(生物种群!$G:$G)),),),IF($A337&lt;&gt;0,INDEX(生物种群!$B$2:INDEX(生物种群!$B:$B,COUNTA(生物种群!$B:$B)),MATCH($A337,生物种群!$C$2:INDEX(生物种群!$C:$C,COUNTA(生物种群!$C:$C)),),),INDEX(生物种群!$B$2:INDEX(生物种群!$B:$B,COUNTA(生物种群!$B:$B)),MATCH($B337,生物种群!$D$2:INDEX(生物种群!$D:$D,COUNTA(生物种群!$D:$D)),),))))</f>
        <v/>
      </c>
      <c r="J337" s="37" t="str">
        <f>IF(A337&amp;B337&amp;C337="","",INDEX(生物种群!$J$2:INDEX(生物种群!$J:$J,COUNTA(生物种群!$J:$J)),MATCH($I337,生物种群!$B$2:INDEX(生物种群!$B:$B,COUNTA(生物种群!$B:$B)),),))</f>
        <v/>
      </c>
      <c r="K337" s="37" t="str">
        <f>IF(A337&amp;B337&amp;C337="","",INDEX(生物种群!$E$2:INDEX(生物种群!$E:$E,COUNTA(生物种群!$E:$E)),MATCH($I337,生物种群!$B$2:INDEX(生物种群!$B:$B,COUNTA(生物种群!$B:$B)),),))</f>
        <v/>
      </c>
      <c r="L337" s="37" t="str">
        <f>IF(A337&amp;B337&amp;C337="","",INDEX(生物种群!$F$3:INDEX(生物种群!$F:$F,COUNTA(生物种群!$F:$F)),MATCH($I337,生物种群!$B$3:INDEX(生物种群!$B:$B,COUNTA(生物种群!$B:$B)),),))</f>
        <v/>
      </c>
      <c r="M337" s="37" t="str">
        <f t="shared" si="10"/>
        <v/>
      </c>
      <c r="N337" s="37" t="str">
        <f t="shared" si="11"/>
        <v/>
      </c>
      <c r="O337" s="9"/>
      <c r="P337" s="10"/>
    </row>
    <row r="338" spans="1:16" ht="20.1" customHeight="1">
      <c r="A338" s="9"/>
      <c r="B338" s="9"/>
      <c r="C338" s="9"/>
      <c r="D338" s="43"/>
      <c r="E338" s="9"/>
      <c r="F338" s="9"/>
      <c r="G338" s="47" t="str">
        <f>IF(F338="","",INDEX(站位样品信息!$B$3:INDEX(站位样品信息!$B:$B,COUNTA(站位样品信息!$B:$B)+1),MATCH($F338,站位样品信息!$A$3:INDEX(站位样品信息!$A:$A,COUNTA(站位样品信息!$A:$A)+1),),))</f>
        <v/>
      </c>
      <c r="H338" s="37" t="str">
        <f>IF(A338&amp;B338&amp;C338="","",INDEX(生物种群!$A$2:INDEX(生物种群!$A:$A,COUNTA(生物种群!$A:$A)),MATCH($I338,生物种群!$B$2:INDEX(生物种群!$B:$B,COUNTA(生物种群!$B:$B)),),))</f>
        <v/>
      </c>
      <c r="I338" s="37" t="str">
        <f>IF(A338&amp;B338&amp;C338="","",IF($C338&lt;&gt;0,INDEX(生物种群!$B$2:INDEX(生物种群!$B:$B,COUNTA(生物种群!$B:$B)),MATCH($C338,生物种群!$G$2:INDEX(生物种群!$G:$G,COUNTA(生物种群!$G:$G)),),),IF($A338&lt;&gt;0,INDEX(生物种群!$B$2:INDEX(生物种群!$B:$B,COUNTA(生物种群!$B:$B)),MATCH($A338,生物种群!$C$2:INDEX(生物种群!$C:$C,COUNTA(生物种群!$C:$C)),),),INDEX(生物种群!$B$2:INDEX(生物种群!$B:$B,COUNTA(生物种群!$B:$B)),MATCH($B338,生物种群!$D$2:INDEX(生物种群!$D:$D,COUNTA(生物种群!$D:$D)),),))))</f>
        <v/>
      </c>
      <c r="J338" s="37" t="str">
        <f>IF(A338&amp;B338&amp;C338="","",INDEX(生物种群!$J$2:INDEX(生物种群!$J:$J,COUNTA(生物种群!$J:$J)),MATCH($I338,生物种群!$B$2:INDEX(生物种群!$B:$B,COUNTA(生物种群!$B:$B)),),))</f>
        <v/>
      </c>
      <c r="K338" s="37" t="str">
        <f>IF(A338&amp;B338&amp;C338="","",INDEX(生物种群!$E$2:INDEX(生物种群!$E:$E,COUNTA(生物种群!$E:$E)),MATCH($I338,生物种群!$B$2:INDEX(生物种群!$B:$B,COUNTA(生物种群!$B:$B)),),))</f>
        <v/>
      </c>
      <c r="L338" s="37" t="str">
        <f>IF(A338&amp;B338&amp;C338="","",INDEX(生物种群!$F$3:INDEX(生物种群!$F:$F,COUNTA(生物种群!$F:$F)),MATCH($I338,生物种群!$B$3:INDEX(生物种群!$B:$B,COUNTA(生物种群!$B:$B)),),))</f>
        <v/>
      </c>
      <c r="M338" s="37" t="str">
        <f t="shared" si="10"/>
        <v/>
      </c>
      <c r="N338" s="37" t="str">
        <f t="shared" si="11"/>
        <v/>
      </c>
      <c r="O338" s="9"/>
      <c r="P338" s="10"/>
    </row>
    <row r="339" spans="1:16" ht="20.1" customHeight="1">
      <c r="A339" s="9"/>
      <c r="B339" s="9"/>
      <c r="C339" s="9"/>
      <c r="D339" s="43"/>
      <c r="E339" s="9"/>
      <c r="F339" s="9"/>
      <c r="G339" s="47" t="str">
        <f>IF(F339="","",INDEX(站位样品信息!$B$3:INDEX(站位样品信息!$B:$B,COUNTA(站位样品信息!$B:$B)+1),MATCH($F339,站位样品信息!$A$3:INDEX(站位样品信息!$A:$A,COUNTA(站位样品信息!$A:$A)+1),),))</f>
        <v/>
      </c>
      <c r="H339" s="37" t="str">
        <f>IF(A339&amp;B339&amp;C339="","",INDEX(生物种群!$A$2:INDEX(生物种群!$A:$A,COUNTA(生物种群!$A:$A)),MATCH($I339,生物种群!$B$2:INDEX(生物种群!$B:$B,COUNTA(生物种群!$B:$B)),),))</f>
        <v/>
      </c>
      <c r="I339" s="37" t="str">
        <f>IF(A339&amp;B339&amp;C339="","",IF($C339&lt;&gt;0,INDEX(生物种群!$B$2:INDEX(生物种群!$B:$B,COUNTA(生物种群!$B:$B)),MATCH($C339,生物种群!$G$2:INDEX(生物种群!$G:$G,COUNTA(生物种群!$G:$G)),),),IF($A339&lt;&gt;0,INDEX(生物种群!$B$2:INDEX(生物种群!$B:$B,COUNTA(生物种群!$B:$B)),MATCH($A339,生物种群!$C$2:INDEX(生物种群!$C:$C,COUNTA(生物种群!$C:$C)),),),INDEX(生物种群!$B$2:INDEX(生物种群!$B:$B,COUNTA(生物种群!$B:$B)),MATCH($B339,生物种群!$D$2:INDEX(生物种群!$D:$D,COUNTA(生物种群!$D:$D)),),))))</f>
        <v/>
      </c>
      <c r="J339" s="37" t="str">
        <f>IF(A339&amp;B339&amp;C339="","",INDEX(生物种群!$J$2:INDEX(生物种群!$J:$J,COUNTA(生物种群!$J:$J)),MATCH($I339,生物种群!$B$2:INDEX(生物种群!$B:$B,COUNTA(生物种群!$B:$B)),),))</f>
        <v/>
      </c>
      <c r="K339" s="37" t="str">
        <f>IF(A339&amp;B339&amp;C339="","",INDEX(生物种群!$E$2:INDEX(生物种群!$E:$E,COUNTA(生物种群!$E:$E)),MATCH($I339,生物种群!$B$2:INDEX(生物种群!$B:$B,COUNTA(生物种群!$B:$B)),),))</f>
        <v/>
      </c>
      <c r="L339" s="37" t="str">
        <f>IF(A339&amp;B339&amp;C339="","",INDEX(生物种群!$F$3:INDEX(生物种群!$F:$F,COUNTA(生物种群!$F:$F)),MATCH($I339,生物种群!$B$3:INDEX(生物种群!$B:$B,COUNTA(生物种群!$B:$B)),),))</f>
        <v/>
      </c>
      <c r="M339" s="37" t="str">
        <f t="shared" si="10"/>
        <v/>
      </c>
      <c r="N339" s="37" t="str">
        <f t="shared" si="11"/>
        <v/>
      </c>
      <c r="O339" s="9"/>
      <c r="P339" s="10"/>
    </row>
    <row r="340" spans="1:16" ht="20.1" customHeight="1">
      <c r="A340" s="9"/>
      <c r="B340" s="9"/>
      <c r="C340" s="9"/>
      <c r="D340" s="43"/>
      <c r="E340" s="9"/>
      <c r="F340" s="9"/>
      <c r="G340" s="47" t="str">
        <f>IF(F340="","",INDEX(站位样品信息!$B$3:INDEX(站位样品信息!$B:$B,COUNTA(站位样品信息!$B:$B)+1),MATCH($F340,站位样品信息!$A$3:INDEX(站位样品信息!$A:$A,COUNTA(站位样品信息!$A:$A)+1),),))</f>
        <v/>
      </c>
      <c r="H340" s="37" t="str">
        <f>IF(A340&amp;B340&amp;C340="","",INDEX(生物种群!$A$2:INDEX(生物种群!$A:$A,COUNTA(生物种群!$A:$A)),MATCH($I340,生物种群!$B$2:INDEX(生物种群!$B:$B,COUNTA(生物种群!$B:$B)),),))</f>
        <v/>
      </c>
      <c r="I340" s="37" t="str">
        <f>IF(A340&amp;B340&amp;C340="","",IF($C340&lt;&gt;0,INDEX(生物种群!$B$2:INDEX(生物种群!$B:$B,COUNTA(生物种群!$B:$B)),MATCH($C340,生物种群!$G$2:INDEX(生物种群!$G:$G,COUNTA(生物种群!$G:$G)),),),IF($A340&lt;&gt;0,INDEX(生物种群!$B$2:INDEX(生物种群!$B:$B,COUNTA(生物种群!$B:$B)),MATCH($A340,生物种群!$C$2:INDEX(生物种群!$C:$C,COUNTA(生物种群!$C:$C)),),),INDEX(生物种群!$B$2:INDEX(生物种群!$B:$B,COUNTA(生物种群!$B:$B)),MATCH($B340,生物种群!$D$2:INDEX(生物种群!$D:$D,COUNTA(生物种群!$D:$D)),),))))</f>
        <v/>
      </c>
      <c r="J340" s="37" t="str">
        <f>IF(A340&amp;B340&amp;C340="","",INDEX(生物种群!$J$2:INDEX(生物种群!$J:$J,COUNTA(生物种群!$J:$J)),MATCH($I340,生物种群!$B$2:INDEX(生物种群!$B:$B,COUNTA(生物种群!$B:$B)),),))</f>
        <v/>
      </c>
      <c r="K340" s="37" t="str">
        <f>IF(A340&amp;B340&amp;C340="","",INDEX(生物种群!$E$2:INDEX(生物种群!$E:$E,COUNTA(生物种群!$E:$E)),MATCH($I340,生物种群!$B$2:INDEX(生物种群!$B:$B,COUNTA(生物种群!$B:$B)),),))</f>
        <v/>
      </c>
      <c r="L340" s="37" t="str">
        <f>IF(A340&amp;B340&amp;C340="","",INDEX(生物种群!$F$3:INDEX(生物种群!$F:$F,COUNTA(生物种群!$F:$F)),MATCH($I340,生物种群!$B$3:INDEX(生物种群!$B:$B,COUNTA(生物种群!$B:$B)),),))</f>
        <v/>
      </c>
      <c r="M340" s="37" t="str">
        <f t="shared" si="10"/>
        <v/>
      </c>
      <c r="N340" s="37" t="str">
        <f t="shared" si="11"/>
        <v/>
      </c>
      <c r="O340" s="9"/>
      <c r="P340" s="10"/>
    </row>
    <row r="341" spans="1:16" ht="20.1" customHeight="1">
      <c r="A341" s="9"/>
      <c r="B341" s="9"/>
      <c r="C341" s="9"/>
      <c r="D341" s="43"/>
      <c r="E341" s="9"/>
      <c r="F341" s="9"/>
      <c r="G341" s="47" t="str">
        <f>IF(F341="","",INDEX(站位样品信息!$B$3:INDEX(站位样品信息!$B:$B,COUNTA(站位样品信息!$B:$B)+1),MATCH($F341,站位样品信息!$A$3:INDEX(站位样品信息!$A:$A,COUNTA(站位样品信息!$A:$A)+1),),))</f>
        <v/>
      </c>
      <c r="H341" s="37" t="str">
        <f>IF(A341&amp;B341&amp;C341="","",INDEX(生物种群!$A$2:INDEX(生物种群!$A:$A,COUNTA(生物种群!$A:$A)),MATCH($I341,生物种群!$B$2:INDEX(生物种群!$B:$B,COUNTA(生物种群!$B:$B)),),))</f>
        <v/>
      </c>
      <c r="I341" s="37" t="str">
        <f>IF(A341&amp;B341&amp;C341="","",IF($C341&lt;&gt;0,INDEX(生物种群!$B$2:INDEX(生物种群!$B:$B,COUNTA(生物种群!$B:$B)),MATCH($C341,生物种群!$G$2:INDEX(生物种群!$G:$G,COUNTA(生物种群!$G:$G)),),),IF($A341&lt;&gt;0,INDEX(生物种群!$B$2:INDEX(生物种群!$B:$B,COUNTA(生物种群!$B:$B)),MATCH($A341,生物种群!$C$2:INDEX(生物种群!$C:$C,COUNTA(生物种群!$C:$C)),),),INDEX(生物种群!$B$2:INDEX(生物种群!$B:$B,COUNTA(生物种群!$B:$B)),MATCH($B341,生物种群!$D$2:INDEX(生物种群!$D:$D,COUNTA(生物种群!$D:$D)),),))))</f>
        <v/>
      </c>
      <c r="J341" s="37" t="str">
        <f>IF(A341&amp;B341&amp;C341="","",INDEX(生物种群!$J$2:INDEX(生物种群!$J:$J,COUNTA(生物种群!$J:$J)),MATCH($I341,生物种群!$B$2:INDEX(生物种群!$B:$B,COUNTA(生物种群!$B:$B)),),))</f>
        <v/>
      </c>
      <c r="K341" s="37" t="str">
        <f>IF(A341&amp;B341&amp;C341="","",INDEX(生物种群!$E$2:INDEX(生物种群!$E:$E,COUNTA(生物种群!$E:$E)),MATCH($I341,生物种群!$B$2:INDEX(生物种群!$B:$B,COUNTA(生物种群!$B:$B)),),))</f>
        <v/>
      </c>
      <c r="L341" s="37" t="str">
        <f>IF(A341&amp;B341&amp;C341="","",INDEX(生物种群!$F$3:INDEX(生物种群!$F:$F,COUNTA(生物种群!$F:$F)),MATCH($I341,生物种群!$B$3:INDEX(生物种群!$B:$B,COUNTA(生物种群!$B:$B)),),))</f>
        <v/>
      </c>
      <c r="M341" s="37" t="str">
        <f t="shared" si="10"/>
        <v/>
      </c>
      <c r="N341" s="37" t="str">
        <f t="shared" si="11"/>
        <v/>
      </c>
      <c r="O341" s="9"/>
      <c r="P341" s="10"/>
    </row>
    <row r="342" spans="1:16" ht="20.1" customHeight="1">
      <c r="A342" s="9"/>
      <c r="B342" s="9"/>
      <c r="C342" s="9"/>
      <c r="D342" s="43"/>
      <c r="E342" s="9"/>
      <c r="F342" s="9"/>
      <c r="G342" s="47" t="str">
        <f>IF(F342="","",INDEX(站位样品信息!$B$3:INDEX(站位样品信息!$B:$B,COUNTA(站位样品信息!$B:$B)+1),MATCH($F342,站位样品信息!$A$3:INDEX(站位样品信息!$A:$A,COUNTA(站位样品信息!$A:$A)+1),),))</f>
        <v/>
      </c>
      <c r="H342" s="37" t="str">
        <f>IF(A342&amp;B342&amp;C342="","",INDEX(生物种群!$A$2:INDEX(生物种群!$A:$A,COUNTA(生物种群!$A:$A)),MATCH($I342,生物种群!$B$2:INDEX(生物种群!$B:$B,COUNTA(生物种群!$B:$B)),),))</f>
        <v/>
      </c>
      <c r="I342" s="37" t="str">
        <f>IF(A342&amp;B342&amp;C342="","",IF($C342&lt;&gt;0,INDEX(生物种群!$B$2:INDEX(生物种群!$B:$B,COUNTA(生物种群!$B:$B)),MATCH($C342,生物种群!$G$2:INDEX(生物种群!$G:$G,COUNTA(生物种群!$G:$G)),),),IF($A342&lt;&gt;0,INDEX(生物种群!$B$2:INDEX(生物种群!$B:$B,COUNTA(生物种群!$B:$B)),MATCH($A342,生物种群!$C$2:INDEX(生物种群!$C:$C,COUNTA(生物种群!$C:$C)),),),INDEX(生物种群!$B$2:INDEX(生物种群!$B:$B,COUNTA(生物种群!$B:$B)),MATCH($B342,生物种群!$D$2:INDEX(生物种群!$D:$D,COUNTA(生物种群!$D:$D)),),))))</f>
        <v/>
      </c>
      <c r="J342" s="37" t="str">
        <f>IF(A342&amp;B342&amp;C342="","",INDEX(生物种群!$J$2:INDEX(生物种群!$J:$J,COUNTA(生物种群!$J:$J)),MATCH($I342,生物种群!$B$2:INDEX(生物种群!$B:$B,COUNTA(生物种群!$B:$B)),),))</f>
        <v/>
      </c>
      <c r="K342" s="37" t="str">
        <f>IF(A342&amp;B342&amp;C342="","",INDEX(生物种群!$E$2:INDEX(生物种群!$E:$E,COUNTA(生物种群!$E:$E)),MATCH($I342,生物种群!$B$2:INDEX(生物种群!$B:$B,COUNTA(生物种群!$B:$B)),),))</f>
        <v/>
      </c>
      <c r="L342" s="37" t="str">
        <f>IF(A342&amp;B342&amp;C342="","",INDEX(生物种群!$F$3:INDEX(生物种群!$F:$F,COUNTA(生物种群!$F:$F)),MATCH($I342,生物种群!$B$3:INDEX(生物种群!$B:$B,COUNTA(生物种群!$B:$B)),),))</f>
        <v/>
      </c>
      <c r="M342" s="37" t="str">
        <f t="shared" si="10"/>
        <v/>
      </c>
      <c r="N342" s="37" t="str">
        <f t="shared" si="11"/>
        <v/>
      </c>
      <c r="O342" s="9"/>
      <c r="P342" s="10"/>
    </row>
    <row r="343" spans="1:16" ht="20.1" customHeight="1">
      <c r="A343" s="9"/>
      <c r="B343" s="9"/>
      <c r="C343" s="9"/>
      <c r="D343" s="43"/>
      <c r="E343" s="9"/>
      <c r="F343" s="9"/>
      <c r="G343" s="47" t="str">
        <f>IF(F343="","",INDEX(站位样品信息!$B$3:INDEX(站位样品信息!$B:$B,COUNTA(站位样品信息!$B:$B)+1),MATCH($F343,站位样品信息!$A$3:INDEX(站位样品信息!$A:$A,COUNTA(站位样品信息!$A:$A)+1),),))</f>
        <v/>
      </c>
      <c r="H343" s="37" t="str">
        <f>IF(A343&amp;B343&amp;C343="","",INDEX(生物种群!$A$2:INDEX(生物种群!$A:$A,COUNTA(生物种群!$A:$A)),MATCH($I343,生物种群!$B$2:INDEX(生物种群!$B:$B,COUNTA(生物种群!$B:$B)),),))</f>
        <v/>
      </c>
      <c r="I343" s="37" t="str">
        <f>IF(A343&amp;B343&amp;C343="","",IF($C343&lt;&gt;0,INDEX(生物种群!$B$2:INDEX(生物种群!$B:$B,COUNTA(生物种群!$B:$B)),MATCH($C343,生物种群!$G$2:INDEX(生物种群!$G:$G,COUNTA(生物种群!$G:$G)),),),IF($A343&lt;&gt;0,INDEX(生物种群!$B$2:INDEX(生物种群!$B:$B,COUNTA(生物种群!$B:$B)),MATCH($A343,生物种群!$C$2:INDEX(生物种群!$C:$C,COUNTA(生物种群!$C:$C)),),),INDEX(生物种群!$B$2:INDEX(生物种群!$B:$B,COUNTA(生物种群!$B:$B)),MATCH($B343,生物种群!$D$2:INDEX(生物种群!$D:$D,COUNTA(生物种群!$D:$D)),),))))</f>
        <v/>
      </c>
      <c r="J343" s="37" t="str">
        <f>IF(A343&amp;B343&amp;C343="","",INDEX(生物种群!$J$2:INDEX(生物种群!$J:$J,COUNTA(生物种群!$J:$J)),MATCH($I343,生物种群!$B$2:INDEX(生物种群!$B:$B,COUNTA(生物种群!$B:$B)),),))</f>
        <v/>
      </c>
      <c r="K343" s="37" t="str">
        <f>IF(A343&amp;B343&amp;C343="","",INDEX(生物种群!$E$2:INDEX(生物种群!$E:$E,COUNTA(生物种群!$E:$E)),MATCH($I343,生物种群!$B$2:INDEX(生物种群!$B:$B,COUNTA(生物种群!$B:$B)),),))</f>
        <v/>
      </c>
      <c r="L343" s="37" t="str">
        <f>IF(A343&amp;B343&amp;C343="","",INDEX(生物种群!$F$3:INDEX(生物种群!$F:$F,COUNTA(生物种群!$F:$F)),MATCH($I343,生物种群!$B$3:INDEX(生物种群!$B:$B,COUNTA(生物种群!$B:$B)),),))</f>
        <v/>
      </c>
      <c r="M343" s="37" t="str">
        <f t="shared" si="10"/>
        <v/>
      </c>
      <c r="N343" s="37" t="str">
        <f t="shared" si="11"/>
        <v/>
      </c>
      <c r="O343" s="9"/>
      <c r="P343" s="10"/>
    </row>
    <row r="344" spans="1:16" ht="20.1" customHeight="1">
      <c r="A344" s="9"/>
      <c r="B344" s="9"/>
      <c r="C344" s="9"/>
      <c r="D344" s="43"/>
      <c r="E344" s="9"/>
      <c r="F344" s="9"/>
      <c r="G344" s="47" t="str">
        <f>IF(F344="","",INDEX(站位样品信息!$B$3:INDEX(站位样品信息!$B:$B,COUNTA(站位样品信息!$B:$B)+1),MATCH($F344,站位样品信息!$A$3:INDEX(站位样品信息!$A:$A,COUNTA(站位样品信息!$A:$A)+1),),))</f>
        <v/>
      </c>
      <c r="H344" s="37" t="str">
        <f>IF(A344&amp;B344&amp;C344="","",INDEX(生物种群!$A$2:INDEX(生物种群!$A:$A,COUNTA(生物种群!$A:$A)),MATCH($I344,生物种群!$B$2:INDEX(生物种群!$B:$B,COUNTA(生物种群!$B:$B)),),))</f>
        <v/>
      </c>
      <c r="I344" s="37" t="str">
        <f>IF(A344&amp;B344&amp;C344="","",IF($C344&lt;&gt;0,INDEX(生物种群!$B$2:INDEX(生物种群!$B:$B,COUNTA(生物种群!$B:$B)),MATCH($C344,生物种群!$G$2:INDEX(生物种群!$G:$G,COUNTA(生物种群!$G:$G)),),),IF($A344&lt;&gt;0,INDEX(生物种群!$B$2:INDEX(生物种群!$B:$B,COUNTA(生物种群!$B:$B)),MATCH($A344,生物种群!$C$2:INDEX(生物种群!$C:$C,COUNTA(生物种群!$C:$C)),),),INDEX(生物种群!$B$2:INDEX(生物种群!$B:$B,COUNTA(生物种群!$B:$B)),MATCH($B344,生物种群!$D$2:INDEX(生物种群!$D:$D,COUNTA(生物种群!$D:$D)),),))))</f>
        <v/>
      </c>
      <c r="J344" s="37" t="str">
        <f>IF(A344&amp;B344&amp;C344="","",INDEX(生物种群!$J$2:INDEX(生物种群!$J:$J,COUNTA(生物种群!$J:$J)),MATCH($I344,生物种群!$B$2:INDEX(生物种群!$B:$B,COUNTA(生物种群!$B:$B)),),))</f>
        <v/>
      </c>
      <c r="K344" s="37" t="str">
        <f>IF(A344&amp;B344&amp;C344="","",INDEX(生物种群!$E$2:INDEX(生物种群!$E:$E,COUNTA(生物种群!$E:$E)),MATCH($I344,生物种群!$B$2:INDEX(生物种群!$B:$B,COUNTA(生物种群!$B:$B)),),))</f>
        <v/>
      </c>
      <c r="L344" s="37" t="str">
        <f>IF(A344&amp;B344&amp;C344="","",INDEX(生物种群!$F$3:INDEX(生物种群!$F:$F,COUNTA(生物种群!$F:$F)),MATCH($I344,生物种群!$B$3:INDEX(生物种群!$B:$B,COUNTA(生物种群!$B:$B)),),))</f>
        <v/>
      </c>
      <c r="M344" s="37" t="str">
        <f t="shared" si="10"/>
        <v/>
      </c>
      <c r="N344" s="37" t="str">
        <f t="shared" si="11"/>
        <v/>
      </c>
      <c r="O344" s="9"/>
      <c r="P344" s="10"/>
    </row>
    <row r="345" spans="1:16" ht="20.1" customHeight="1">
      <c r="A345" s="9"/>
      <c r="B345" s="9"/>
      <c r="C345" s="9"/>
      <c r="D345" s="43"/>
      <c r="E345" s="9"/>
      <c r="F345" s="9"/>
      <c r="G345" s="47" t="str">
        <f>IF(F345="","",INDEX(站位样品信息!$B$3:INDEX(站位样品信息!$B:$B,COUNTA(站位样品信息!$B:$B)+1),MATCH($F345,站位样品信息!$A$3:INDEX(站位样品信息!$A:$A,COUNTA(站位样品信息!$A:$A)+1),),))</f>
        <v/>
      </c>
      <c r="H345" s="37" t="str">
        <f>IF(A345&amp;B345&amp;C345="","",INDEX(生物种群!$A$2:INDEX(生物种群!$A:$A,COUNTA(生物种群!$A:$A)),MATCH($I345,生物种群!$B$2:INDEX(生物种群!$B:$B,COUNTA(生物种群!$B:$B)),),))</f>
        <v/>
      </c>
      <c r="I345" s="37" t="str">
        <f>IF(A345&amp;B345&amp;C345="","",IF($C345&lt;&gt;0,INDEX(生物种群!$B$2:INDEX(生物种群!$B:$B,COUNTA(生物种群!$B:$B)),MATCH($C345,生物种群!$G$2:INDEX(生物种群!$G:$G,COUNTA(生物种群!$G:$G)),),),IF($A345&lt;&gt;0,INDEX(生物种群!$B$2:INDEX(生物种群!$B:$B,COUNTA(生物种群!$B:$B)),MATCH($A345,生物种群!$C$2:INDEX(生物种群!$C:$C,COUNTA(生物种群!$C:$C)),),),INDEX(生物种群!$B$2:INDEX(生物种群!$B:$B,COUNTA(生物种群!$B:$B)),MATCH($B345,生物种群!$D$2:INDEX(生物种群!$D:$D,COUNTA(生物种群!$D:$D)),),))))</f>
        <v/>
      </c>
      <c r="J345" s="37" t="str">
        <f>IF(A345&amp;B345&amp;C345="","",INDEX(生物种群!$J$2:INDEX(生物种群!$J:$J,COUNTA(生物种群!$J:$J)),MATCH($I345,生物种群!$B$2:INDEX(生物种群!$B:$B,COUNTA(生物种群!$B:$B)),),))</f>
        <v/>
      </c>
      <c r="K345" s="37" t="str">
        <f>IF(A345&amp;B345&amp;C345="","",INDEX(生物种群!$E$2:INDEX(生物种群!$E:$E,COUNTA(生物种群!$E:$E)),MATCH($I345,生物种群!$B$2:INDEX(生物种群!$B:$B,COUNTA(生物种群!$B:$B)),),))</f>
        <v/>
      </c>
      <c r="L345" s="37" t="str">
        <f>IF(A345&amp;B345&amp;C345="","",INDEX(生物种群!$F$3:INDEX(生物种群!$F:$F,COUNTA(生物种群!$F:$F)),MATCH($I345,生物种群!$B$3:INDEX(生物种群!$B:$B,COUNTA(生物种群!$B:$B)),),))</f>
        <v/>
      </c>
      <c r="M345" s="37" t="str">
        <f t="shared" si="10"/>
        <v/>
      </c>
      <c r="N345" s="37" t="str">
        <f t="shared" si="11"/>
        <v/>
      </c>
      <c r="O345" s="9"/>
      <c r="P345" s="10"/>
    </row>
    <row r="346" spans="1:16" ht="20.1" customHeight="1">
      <c r="A346" s="9"/>
      <c r="B346" s="9"/>
      <c r="C346" s="9"/>
      <c r="D346" s="43"/>
      <c r="E346" s="9"/>
      <c r="F346" s="9"/>
      <c r="G346" s="47" t="str">
        <f>IF(F346="","",INDEX(站位样品信息!$B$3:INDEX(站位样品信息!$B:$B,COUNTA(站位样品信息!$B:$B)+1),MATCH($F346,站位样品信息!$A$3:INDEX(站位样品信息!$A:$A,COUNTA(站位样品信息!$A:$A)+1),),))</f>
        <v/>
      </c>
      <c r="H346" s="37" t="str">
        <f>IF(A346&amp;B346&amp;C346="","",INDEX(生物种群!$A$2:INDEX(生物种群!$A:$A,COUNTA(生物种群!$A:$A)),MATCH($I346,生物种群!$B$2:INDEX(生物种群!$B:$B,COUNTA(生物种群!$B:$B)),),))</f>
        <v/>
      </c>
      <c r="I346" s="37" t="str">
        <f>IF(A346&amp;B346&amp;C346="","",IF($C346&lt;&gt;0,INDEX(生物种群!$B$2:INDEX(生物种群!$B:$B,COUNTA(生物种群!$B:$B)),MATCH($C346,生物种群!$G$2:INDEX(生物种群!$G:$G,COUNTA(生物种群!$G:$G)),),),IF($A346&lt;&gt;0,INDEX(生物种群!$B$2:INDEX(生物种群!$B:$B,COUNTA(生物种群!$B:$B)),MATCH($A346,生物种群!$C$2:INDEX(生物种群!$C:$C,COUNTA(生物种群!$C:$C)),),),INDEX(生物种群!$B$2:INDEX(生物种群!$B:$B,COUNTA(生物种群!$B:$B)),MATCH($B346,生物种群!$D$2:INDEX(生物种群!$D:$D,COUNTA(生物种群!$D:$D)),),))))</f>
        <v/>
      </c>
      <c r="J346" s="37" t="str">
        <f>IF(A346&amp;B346&amp;C346="","",INDEX(生物种群!$J$2:INDEX(生物种群!$J:$J,COUNTA(生物种群!$J:$J)),MATCH($I346,生物种群!$B$2:INDEX(生物种群!$B:$B,COUNTA(生物种群!$B:$B)),),))</f>
        <v/>
      </c>
      <c r="K346" s="37" t="str">
        <f>IF(A346&amp;B346&amp;C346="","",INDEX(生物种群!$E$2:INDEX(生物种群!$E:$E,COUNTA(生物种群!$E:$E)),MATCH($I346,生物种群!$B$2:INDEX(生物种群!$B:$B,COUNTA(生物种群!$B:$B)),),))</f>
        <v/>
      </c>
      <c r="L346" s="37" t="str">
        <f>IF(A346&amp;B346&amp;C346="","",INDEX(生物种群!$F$3:INDEX(生物种群!$F:$F,COUNTA(生物种群!$F:$F)),MATCH($I346,生物种群!$B$3:INDEX(生物种群!$B:$B,COUNTA(生物种群!$B:$B)),),))</f>
        <v/>
      </c>
      <c r="M346" s="37" t="str">
        <f t="shared" si="10"/>
        <v/>
      </c>
      <c r="N346" s="37" t="str">
        <f t="shared" si="11"/>
        <v/>
      </c>
      <c r="O346" s="9"/>
      <c r="P346" s="10"/>
    </row>
    <row r="347" spans="1:16" ht="20.1" customHeight="1">
      <c r="A347" s="9"/>
      <c r="B347" s="9"/>
      <c r="C347" s="9"/>
      <c r="D347" s="43"/>
      <c r="E347" s="9"/>
      <c r="F347" s="9"/>
      <c r="G347" s="47" t="str">
        <f>IF(F347="","",INDEX(站位样品信息!$B$3:INDEX(站位样品信息!$B:$B,COUNTA(站位样品信息!$B:$B)+1),MATCH($F347,站位样品信息!$A$3:INDEX(站位样品信息!$A:$A,COUNTA(站位样品信息!$A:$A)+1),),))</f>
        <v/>
      </c>
      <c r="H347" s="37" t="str">
        <f>IF(A347&amp;B347&amp;C347="","",INDEX(生物种群!$A$2:INDEX(生物种群!$A:$A,COUNTA(生物种群!$A:$A)),MATCH($I347,生物种群!$B$2:INDEX(生物种群!$B:$B,COUNTA(生物种群!$B:$B)),),))</f>
        <v/>
      </c>
      <c r="I347" s="37" t="str">
        <f>IF(A347&amp;B347&amp;C347="","",IF($C347&lt;&gt;0,INDEX(生物种群!$B$2:INDEX(生物种群!$B:$B,COUNTA(生物种群!$B:$B)),MATCH($C347,生物种群!$G$2:INDEX(生物种群!$G:$G,COUNTA(生物种群!$G:$G)),),),IF($A347&lt;&gt;0,INDEX(生物种群!$B$2:INDEX(生物种群!$B:$B,COUNTA(生物种群!$B:$B)),MATCH($A347,生物种群!$C$2:INDEX(生物种群!$C:$C,COUNTA(生物种群!$C:$C)),),),INDEX(生物种群!$B$2:INDEX(生物种群!$B:$B,COUNTA(生物种群!$B:$B)),MATCH($B347,生物种群!$D$2:INDEX(生物种群!$D:$D,COUNTA(生物种群!$D:$D)),),))))</f>
        <v/>
      </c>
      <c r="J347" s="37" t="str">
        <f>IF(A347&amp;B347&amp;C347="","",INDEX(生物种群!$J$2:INDEX(生物种群!$J:$J,COUNTA(生物种群!$J:$J)),MATCH($I347,生物种群!$B$2:INDEX(生物种群!$B:$B,COUNTA(生物种群!$B:$B)),),))</f>
        <v/>
      </c>
      <c r="K347" s="37" t="str">
        <f>IF(A347&amp;B347&amp;C347="","",INDEX(生物种群!$E$2:INDEX(生物种群!$E:$E,COUNTA(生物种群!$E:$E)),MATCH($I347,生物种群!$B$2:INDEX(生物种群!$B:$B,COUNTA(生物种群!$B:$B)),),))</f>
        <v/>
      </c>
      <c r="L347" s="37" t="str">
        <f>IF(A347&amp;B347&amp;C347="","",INDEX(生物种群!$F$3:INDEX(生物种群!$F:$F,COUNTA(生物种群!$F:$F)),MATCH($I347,生物种群!$B$3:INDEX(生物种群!$B:$B,COUNTA(生物种群!$B:$B)),),))</f>
        <v/>
      </c>
      <c r="M347" s="37" t="str">
        <f t="shared" si="10"/>
        <v/>
      </c>
      <c r="N347" s="37" t="str">
        <f t="shared" si="11"/>
        <v/>
      </c>
      <c r="O347" s="9"/>
      <c r="P347" s="10"/>
    </row>
    <row r="348" spans="1:16" ht="20.1" customHeight="1">
      <c r="A348" s="9"/>
      <c r="B348" s="9"/>
      <c r="C348" s="9"/>
      <c r="D348" s="43"/>
      <c r="E348" s="9"/>
      <c r="F348" s="9"/>
      <c r="G348" s="47" t="str">
        <f>IF(F348="","",INDEX(站位样品信息!$B$3:INDEX(站位样品信息!$B:$B,COUNTA(站位样品信息!$B:$B)+1),MATCH($F348,站位样品信息!$A$3:INDEX(站位样品信息!$A:$A,COUNTA(站位样品信息!$A:$A)+1),),))</f>
        <v/>
      </c>
      <c r="H348" s="37" t="str">
        <f>IF(A348&amp;B348&amp;C348="","",INDEX(生物种群!$A$2:INDEX(生物种群!$A:$A,COUNTA(生物种群!$A:$A)),MATCH($I348,生物种群!$B$2:INDEX(生物种群!$B:$B,COUNTA(生物种群!$B:$B)),),))</f>
        <v/>
      </c>
      <c r="I348" s="37" t="str">
        <f>IF(A348&amp;B348&amp;C348="","",IF($C348&lt;&gt;0,INDEX(生物种群!$B$2:INDEX(生物种群!$B:$B,COUNTA(生物种群!$B:$B)),MATCH($C348,生物种群!$G$2:INDEX(生物种群!$G:$G,COUNTA(生物种群!$G:$G)),),),IF($A348&lt;&gt;0,INDEX(生物种群!$B$2:INDEX(生物种群!$B:$B,COUNTA(生物种群!$B:$B)),MATCH($A348,生物种群!$C$2:INDEX(生物种群!$C:$C,COUNTA(生物种群!$C:$C)),),),INDEX(生物种群!$B$2:INDEX(生物种群!$B:$B,COUNTA(生物种群!$B:$B)),MATCH($B348,生物种群!$D$2:INDEX(生物种群!$D:$D,COUNTA(生物种群!$D:$D)),),))))</f>
        <v/>
      </c>
      <c r="J348" s="37" t="str">
        <f>IF(A348&amp;B348&amp;C348="","",INDEX(生物种群!$J$2:INDEX(生物种群!$J:$J,COUNTA(生物种群!$J:$J)),MATCH($I348,生物种群!$B$2:INDEX(生物种群!$B:$B,COUNTA(生物种群!$B:$B)),),))</f>
        <v/>
      </c>
      <c r="K348" s="37" t="str">
        <f>IF(A348&amp;B348&amp;C348="","",INDEX(生物种群!$E$2:INDEX(生物种群!$E:$E,COUNTA(生物种群!$E:$E)),MATCH($I348,生物种群!$B$2:INDEX(生物种群!$B:$B,COUNTA(生物种群!$B:$B)),),))</f>
        <v/>
      </c>
      <c r="L348" s="37" t="str">
        <f>IF(A348&amp;B348&amp;C348="","",INDEX(生物种群!$F$3:INDEX(生物种群!$F:$F,COUNTA(生物种群!$F:$F)),MATCH($I348,生物种群!$B$3:INDEX(生物种群!$B:$B,COUNTA(生物种群!$B:$B)),),))</f>
        <v/>
      </c>
      <c r="M348" s="37" t="str">
        <f t="shared" si="10"/>
        <v/>
      </c>
      <c r="N348" s="37" t="str">
        <f t="shared" si="11"/>
        <v/>
      </c>
      <c r="O348" s="9"/>
      <c r="P348" s="10"/>
    </row>
    <row r="349" spans="1:16" ht="20.1" customHeight="1">
      <c r="A349" s="9"/>
      <c r="B349" s="9"/>
      <c r="C349" s="9"/>
      <c r="D349" s="43"/>
      <c r="E349" s="9"/>
      <c r="F349" s="9"/>
      <c r="G349" s="47" t="str">
        <f>IF(F349="","",INDEX(站位样品信息!$B$3:INDEX(站位样品信息!$B:$B,COUNTA(站位样品信息!$B:$B)+1),MATCH($F349,站位样品信息!$A$3:INDEX(站位样品信息!$A:$A,COUNTA(站位样品信息!$A:$A)+1),),))</f>
        <v/>
      </c>
      <c r="H349" s="37" t="str">
        <f>IF(A349&amp;B349&amp;C349="","",INDEX(生物种群!$A$2:INDEX(生物种群!$A:$A,COUNTA(生物种群!$A:$A)),MATCH($I349,生物种群!$B$2:INDEX(生物种群!$B:$B,COUNTA(生物种群!$B:$B)),),))</f>
        <v/>
      </c>
      <c r="I349" s="37" t="str">
        <f>IF(A349&amp;B349&amp;C349="","",IF($C349&lt;&gt;0,INDEX(生物种群!$B$2:INDEX(生物种群!$B:$B,COUNTA(生物种群!$B:$B)),MATCH($C349,生物种群!$G$2:INDEX(生物种群!$G:$G,COUNTA(生物种群!$G:$G)),),),IF($A349&lt;&gt;0,INDEX(生物种群!$B$2:INDEX(生物种群!$B:$B,COUNTA(生物种群!$B:$B)),MATCH($A349,生物种群!$C$2:INDEX(生物种群!$C:$C,COUNTA(生物种群!$C:$C)),),),INDEX(生物种群!$B$2:INDEX(生物种群!$B:$B,COUNTA(生物种群!$B:$B)),MATCH($B349,生物种群!$D$2:INDEX(生物种群!$D:$D,COUNTA(生物种群!$D:$D)),),))))</f>
        <v/>
      </c>
      <c r="J349" s="37" t="str">
        <f>IF(A349&amp;B349&amp;C349="","",INDEX(生物种群!$J$2:INDEX(生物种群!$J:$J,COUNTA(生物种群!$J:$J)),MATCH($I349,生物种群!$B$2:INDEX(生物种群!$B:$B,COUNTA(生物种群!$B:$B)),),))</f>
        <v/>
      </c>
      <c r="K349" s="37" t="str">
        <f>IF(A349&amp;B349&amp;C349="","",INDEX(生物种群!$E$2:INDEX(生物种群!$E:$E,COUNTA(生物种群!$E:$E)),MATCH($I349,生物种群!$B$2:INDEX(生物种群!$B:$B,COUNTA(生物种群!$B:$B)),),))</f>
        <v/>
      </c>
      <c r="L349" s="37" t="str">
        <f>IF(A349&amp;B349&amp;C349="","",INDEX(生物种群!$F$3:INDEX(生物种群!$F:$F,COUNTA(生物种群!$F:$F)),MATCH($I349,生物种群!$B$3:INDEX(生物种群!$B:$B,COUNTA(生物种群!$B:$B)),),))</f>
        <v/>
      </c>
      <c r="M349" s="37" t="str">
        <f t="shared" si="10"/>
        <v/>
      </c>
      <c r="N349" s="37" t="str">
        <f t="shared" si="11"/>
        <v/>
      </c>
      <c r="O349" s="9"/>
      <c r="P349" s="10"/>
    </row>
    <row r="350" spans="1:16" ht="20.1" customHeight="1">
      <c r="A350" s="9"/>
      <c r="B350" s="9"/>
      <c r="C350" s="9"/>
      <c r="D350" s="43"/>
      <c r="E350" s="9"/>
      <c r="F350" s="9"/>
      <c r="G350" s="47" t="str">
        <f>IF(F350="","",INDEX(站位样品信息!$B$3:INDEX(站位样品信息!$B:$B,COUNTA(站位样品信息!$B:$B)+1),MATCH($F350,站位样品信息!$A$3:INDEX(站位样品信息!$A:$A,COUNTA(站位样品信息!$A:$A)+1),),))</f>
        <v/>
      </c>
      <c r="H350" s="37" t="str">
        <f>IF(A350&amp;B350&amp;C350="","",INDEX(生物种群!$A$2:INDEX(生物种群!$A:$A,COUNTA(生物种群!$A:$A)),MATCH($I350,生物种群!$B$2:INDEX(生物种群!$B:$B,COUNTA(生物种群!$B:$B)),),))</f>
        <v/>
      </c>
      <c r="I350" s="37" t="str">
        <f>IF(A350&amp;B350&amp;C350="","",IF($C350&lt;&gt;0,INDEX(生物种群!$B$2:INDEX(生物种群!$B:$B,COUNTA(生物种群!$B:$B)),MATCH($C350,生物种群!$G$2:INDEX(生物种群!$G:$G,COUNTA(生物种群!$G:$G)),),),IF($A350&lt;&gt;0,INDEX(生物种群!$B$2:INDEX(生物种群!$B:$B,COUNTA(生物种群!$B:$B)),MATCH($A350,生物种群!$C$2:INDEX(生物种群!$C:$C,COUNTA(生物种群!$C:$C)),),),INDEX(生物种群!$B$2:INDEX(生物种群!$B:$B,COUNTA(生物种群!$B:$B)),MATCH($B350,生物种群!$D$2:INDEX(生物种群!$D:$D,COUNTA(生物种群!$D:$D)),),))))</f>
        <v/>
      </c>
      <c r="J350" s="37" t="str">
        <f>IF(A350&amp;B350&amp;C350="","",INDEX(生物种群!$J$2:INDEX(生物种群!$J:$J,COUNTA(生物种群!$J:$J)),MATCH($I350,生物种群!$B$2:INDEX(生物种群!$B:$B,COUNTA(生物种群!$B:$B)),),))</f>
        <v/>
      </c>
      <c r="K350" s="37" t="str">
        <f>IF(A350&amp;B350&amp;C350="","",INDEX(生物种群!$E$2:INDEX(生物种群!$E:$E,COUNTA(生物种群!$E:$E)),MATCH($I350,生物种群!$B$2:INDEX(生物种群!$B:$B,COUNTA(生物种群!$B:$B)),),))</f>
        <v/>
      </c>
      <c r="L350" s="37" t="str">
        <f>IF(A350&amp;B350&amp;C350="","",INDEX(生物种群!$F$3:INDEX(生物种群!$F:$F,COUNTA(生物种群!$F:$F)),MATCH($I350,生物种群!$B$3:INDEX(生物种群!$B:$B,COUNTA(生物种群!$B:$B)),),))</f>
        <v/>
      </c>
      <c r="M350" s="37" t="str">
        <f t="shared" si="10"/>
        <v/>
      </c>
      <c r="N350" s="37" t="str">
        <f t="shared" si="11"/>
        <v/>
      </c>
      <c r="O350" s="9"/>
      <c r="P350" s="10"/>
    </row>
    <row r="351" spans="1:16" ht="20.1" customHeight="1">
      <c r="A351" s="9"/>
      <c r="B351" s="9"/>
      <c r="C351" s="9"/>
      <c r="D351" s="43"/>
      <c r="E351" s="9"/>
      <c r="F351" s="9"/>
      <c r="G351" s="47" t="str">
        <f>IF(F351="","",INDEX(站位样品信息!$B$3:INDEX(站位样品信息!$B:$B,COUNTA(站位样品信息!$B:$B)+1),MATCH($F351,站位样品信息!$A$3:INDEX(站位样品信息!$A:$A,COUNTA(站位样品信息!$A:$A)+1),),))</f>
        <v/>
      </c>
      <c r="H351" s="37" t="str">
        <f>IF(A351&amp;B351&amp;C351="","",INDEX(生物种群!$A$2:INDEX(生物种群!$A:$A,COUNTA(生物种群!$A:$A)),MATCH($I351,生物种群!$B$2:INDEX(生物种群!$B:$B,COUNTA(生物种群!$B:$B)),),))</f>
        <v/>
      </c>
      <c r="I351" s="37" t="str">
        <f>IF(A351&amp;B351&amp;C351="","",IF($C351&lt;&gt;0,INDEX(生物种群!$B$2:INDEX(生物种群!$B:$B,COUNTA(生物种群!$B:$B)),MATCH($C351,生物种群!$G$2:INDEX(生物种群!$G:$G,COUNTA(生物种群!$G:$G)),),),IF($A351&lt;&gt;0,INDEX(生物种群!$B$2:INDEX(生物种群!$B:$B,COUNTA(生物种群!$B:$B)),MATCH($A351,生物种群!$C$2:INDEX(生物种群!$C:$C,COUNTA(生物种群!$C:$C)),),),INDEX(生物种群!$B$2:INDEX(生物种群!$B:$B,COUNTA(生物种群!$B:$B)),MATCH($B351,生物种群!$D$2:INDEX(生物种群!$D:$D,COUNTA(生物种群!$D:$D)),),))))</f>
        <v/>
      </c>
      <c r="J351" s="37" t="str">
        <f>IF(A351&amp;B351&amp;C351="","",INDEX(生物种群!$J$2:INDEX(生物种群!$J:$J,COUNTA(生物种群!$J:$J)),MATCH($I351,生物种群!$B$2:INDEX(生物种群!$B:$B,COUNTA(生物种群!$B:$B)),),))</f>
        <v/>
      </c>
      <c r="K351" s="37" t="str">
        <f>IF(A351&amp;B351&amp;C351="","",INDEX(生物种群!$E$2:INDEX(生物种群!$E:$E,COUNTA(生物种群!$E:$E)),MATCH($I351,生物种群!$B$2:INDEX(生物种群!$B:$B,COUNTA(生物种群!$B:$B)),),))</f>
        <v/>
      </c>
      <c r="L351" s="37" t="str">
        <f>IF(A351&amp;B351&amp;C351="","",INDEX(生物种群!$F$3:INDEX(生物种群!$F:$F,COUNTA(生物种群!$F:$F)),MATCH($I351,生物种群!$B$3:INDEX(生物种群!$B:$B,COUNTA(生物种群!$B:$B)),),))</f>
        <v/>
      </c>
      <c r="M351" s="37" t="str">
        <f t="shared" si="10"/>
        <v/>
      </c>
      <c r="N351" s="37" t="str">
        <f t="shared" si="11"/>
        <v/>
      </c>
      <c r="O351" s="9"/>
      <c r="P351" s="10"/>
    </row>
    <row r="352" spans="1:16" ht="20.1" customHeight="1">
      <c r="A352" s="9"/>
      <c r="B352" s="9"/>
      <c r="C352" s="9"/>
      <c r="D352" s="43"/>
      <c r="E352" s="9"/>
      <c r="F352" s="9"/>
      <c r="G352" s="47" t="str">
        <f>IF(F352="","",INDEX(站位样品信息!$B$3:INDEX(站位样品信息!$B:$B,COUNTA(站位样品信息!$B:$B)+1),MATCH($F352,站位样品信息!$A$3:INDEX(站位样品信息!$A:$A,COUNTA(站位样品信息!$A:$A)+1),),))</f>
        <v/>
      </c>
      <c r="H352" s="37" t="str">
        <f>IF(A352&amp;B352&amp;C352="","",INDEX(生物种群!$A$2:INDEX(生物种群!$A:$A,COUNTA(生物种群!$A:$A)),MATCH($I352,生物种群!$B$2:INDEX(生物种群!$B:$B,COUNTA(生物种群!$B:$B)),),))</f>
        <v/>
      </c>
      <c r="I352" s="37" t="str">
        <f>IF(A352&amp;B352&amp;C352="","",IF($C352&lt;&gt;0,INDEX(生物种群!$B$2:INDEX(生物种群!$B:$B,COUNTA(生物种群!$B:$B)),MATCH($C352,生物种群!$G$2:INDEX(生物种群!$G:$G,COUNTA(生物种群!$G:$G)),),),IF($A352&lt;&gt;0,INDEX(生物种群!$B$2:INDEX(生物种群!$B:$B,COUNTA(生物种群!$B:$B)),MATCH($A352,生物种群!$C$2:INDEX(生物种群!$C:$C,COUNTA(生物种群!$C:$C)),),),INDEX(生物种群!$B$2:INDEX(生物种群!$B:$B,COUNTA(生物种群!$B:$B)),MATCH($B352,生物种群!$D$2:INDEX(生物种群!$D:$D,COUNTA(生物种群!$D:$D)),),))))</f>
        <v/>
      </c>
      <c r="J352" s="37" t="str">
        <f>IF(A352&amp;B352&amp;C352="","",INDEX(生物种群!$J$2:INDEX(生物种群!$J:$J,COUNTA(生物种群!$J:$J)),MATCH($I352,生物种群!$B$2:INDEX(生物种群!$B:$B,COUNTA(生物种群!$B:$B)),),))</f>
        <v/>
      </c>
      <c r="K352" s="37" t="str">
        <f>IF(A352&amp;B352&amp;C352="","",INDEX(生物种群!$E$2:INDEX(生物种群!$E:$E,COUNTA(生物种群!$E:$E)),MATCH($I352,生物种群!$B$2:INDEX(生物种群!$B:$B,COUNTA(生物种群!$B:$B)),),))</f>
        <v/>
      </c>
      <c r="L352" s="37" t="str">
        <f>IF(A352&amp;B352&amp;C352="","",INDEX(生物种群!$F$3:INDEX(生物种群!$F:$F,COUNTA(生物种群!$F:$F)),MATCH($I352,生物种群!$B$3:INDEX(生物种群!$B:$B,COUNTA(生物种群!$B:$B)),),))</f>
        <v/>
      </c>
      <c r="M352" s="37" t="str">
        <f t="shared" si="10"/>
        <v/>
      </c>
      <c r="N352" s="37" t="str">
        <f t="shared" si="11"/>
        <v/>
      </c>
      <c r="O352" s="9"/>
      <c r="P352" s="10"/>
    </row>
    <row r="353" spans="1:16" ht="20.1" customHeight="1">
      <c r="A353" s="9"/>
      <c r="B353" s="9"/>
      <c r="C353" s="9"/>
      <c r="D353" s="43"/>
      <c r="E353" s="9"/>
      <c r="F353" s="9"/>
      <c r="G353" s="47" t="str">
        <f>IF(F353="","",INDEX(站位样品信息!$B$3:INDEX(站位样品信息!$B:$B,COUNTA(站位样品信息!$B:$B)+1),MATCH($F353,站位样品信息!$A$3:INDEX(站位样品信息!$A:$A,COUNTA(站位样品信息!$A:$A)+1),),))</f>
        <v/>
      </c>
      <c r="H353" s="37" t="str">
        <f>IF(A353&amp;B353&amp;C353="","",INDEX(生物种群!$A$2:INDEX(生物种群!$A:$A,COUNTA(生物种群!$A:$A)),MATCH($I353,生物种群!$B$2:INDEX(生物种群!$B:$B,COUNTA(生物种群!$B:$B)),),))</f>
        <v/>
      </c>
      <c r="I353" s="37" t="str">
        <f>IF(A353&amp;B353&amp;C353="","",IF($C353&lt;&gt;0,INDEX(生物种群!$B$2:INDEX(生物种群!$B:$B,COUNTA(生物种群!$B:$B)),MATCH($C353,生物种群!$G$2:INDEX(生物种群!$G:$G,COUNTA(生物种群!$G:$G)),),),IF($A353&lt;&gt;0,INDEX(生物种群!$B$2:INDEX(生物种群!$B:$B,COUNTA(生物种群!$B:$B)),MATCH($A353,生物种群!$C$2:INDEX(生物种群!$C:$C,COUNTA(生物种群!$C:$C)),),),INDEX(生物种群!$B$2:INDEX(生物种群!$B:$B,COUNTA(生物种群!$B:$B)),MATCH($B353,生物种群!$D$2:INDEX(生物种群!$D:$D,COUNTA(生物种群!$D:$D)),),))))</f>
        <v/>
      </c>
      <c r="J353" s="37" t="str">
        <f>IF(A353&amp;B353&amp;C353="","",INDEX(生物种群!$J$2:INDEX(生物种群!$J:$J,COUNTA(生物种群!$J:$J)),MATCH($I353,生物种群!$B$2:INDEX(生物种群!$B:$B,COUNTA(生物种群!$B:$B)),),))</f>
        <v/>
      </c>
      <c r="K353" s="37" t="str">
        <f>IF(A353&amp;B353&amp;C353="","",INDEX(生物种群!$E$2:INDEX(生物种群!$E:$E,COUNTA(生物种群!$E:$E)),MATCH($I353,生物种群!$B$2:INDEX(生物种群!$B:$B,COUNTA(生物种群!$B:$B)),),))</f>
        <v/>
      </c>
      <c r="L353" s="37" t="str">
        <f>IF(A353&amp;B353&amp;C353="","",INDEX(生物种群!$F$3:INDEX(生物种群!$F:$F,COUNTA(生物种群!$F:$F)),MATCH($I353,生物种群!$B$3:INDEX(生物种群!$B:$B,COUNTA(生物种群!$B:$B)),),))</f>
        <v/>
      </c>
      <c r="M353" s="37" t="str">
        <f t="shared" si="10"/>
        <v/>
      </c>
      <c r="N353" s="37" t="str">
        <f t="shared" si="11"/>
        <v/>
      </c>
      <c r="O353" s="9"/>
      <c r="P353" s="10"/>
    </row>
    <row r="354" spans="1:16" ht="20.1" customHeight="1">
      <c r="A354" s="9"/>
      <c r="B354" s="9"/>
      <c r="C354" s="9"/>
      <c r="D354" s="43"/>
      <c r="E354" s="9"/>
      <c r="F354" s="9"/>
      <c r="G354" s="47" t="str">
        <f>IF(F354="","",INDEX(站位样品信息!$B$3:INDEX(站位样品信息!$B:$B,COUNTA(站位样品信息!$B:$B)+1),MATCH($F354,站位样品信息!$A$3:INDEX(站位样品信息!$A:$A,COUNTA(站位样品信息!$A:$A)+1),),))</f>
        <v/>
      </c>
      <c r="H354" s="37" t="str">
        <f>IF(A354&amp;B354&amp;C354="","",INDEX(生物种群!$A$2:INDEX(生物种群!$A:$A,COUNTA(生物种群!$A:$A)),MATCH($I354,生物种群!$B$2:INDEX(生物种群!$B:$B,COUNTA(生物种群!$B:$B)),),))</f>
        <v/>
      </c>
      <c r="I354" s="37" t="str">
        <f>IF(A354&amp;B354&amp;C354="","",IF($C354&lt;&gt;0,INDEX(生物种群!$B$2:INDEX(生物种群!$B:$B,COUNTA(生物种群!$B:$B)),MATCH($C354,生物种群!$G$2:INDEX(生物种群!$G:$G,COUNTA(生物种群!$G:$G)),),),IF($A354&lt;&gt;0,INDEX(生物种群!$B$2:INDEX(生物种群!$B:$B,COUNTA(生物种群!$B:$B)),MATCH($A354,生物种群!$C$2:INDEX(生物种群!$C:$C,COUNTA(生物种群!$C:$C)),),),INDEX(生物种群!$B$2:INDEX(生物种群!$B:$B,COUNTA(生物种群!$B:$B)),MATCH($B354,生物种群!$D$2:INDEX(生物种群!$D:$D,COUNTA(生物种群!$D:$D)),),))))</f>
        <v/>
      </c>
      <c r="J354" s="37" t="str">
        <f>IF(A354&amp;B354&amp;C354="","",INDEX(生物种群!$J$2:INDEX(生物种群!$J:$J,COUNTA(生物种群!$J:$J)),MATCH($I354,生物种群!$B$2:INDEX(生物种群!$B:$B,COUNTA(生物种群!$B:$B)),),))</f>
        <v/>
      </c>
      <c r="K354" s="37" t="str">
        <f>IF(A354&amp;B354&amp;C354="","",INDEX(生物种群!$E$2:INDEX(生物种群!$E:$E,COUNTA(生物种群!$E:$E)),MATCH($I354,生物种群!$B$2:INDEX(生物种群!$B:$B,COUNTA(生物种群!$B:$B)),),))</f>
        <v/>
      </c>
      <c r="L354" s="37" t="str">
        <f>IF(A354&amp;B354&amp;C354="","",INDEX(生物种群!$F$3:INDEX(生物种群!$F:$F,COUNTA(生物种群!$F:$F)),MATCH($I354,生物种群!$B$3:INDEX(生物种群!$B:$B,COUNTA(生物种群!$B:$B)),),))</f>
        <v/>
      </c>
      <c r="M354" s="37" t="str">
        <f t="shared" si="10"/>
        <v/>
      </c>
      <c r="N354" s="37" t="str">
        <f t="shared" si="11"/>
        <v/>
      </c>
      <c r="O354" s="9"/>
      <c r="P354" s="10"/>
    </row>
    <row r="355" spans="1:16" ht="20.1" customHeight="1">
      <c r="A355" s="9"/>
      <c r="B355" s="9"/>
      <c r="C355" s="9"/>
      <c r="D355" s="43"/>
      <c r="E355" s="9"/>
      <c r="F355" s="9"/>
      <c r="G355" s="47" t="str">
        <f>IF(F355="","",INDEX(站位样品信息!$B$3:INDEX(站位样品信息!$B:$B,COUNTA(站位样品信息!$B:$B)+1),MATCH($F355,站位样品信息!$A$3:INDEX(站位样品信息!$A:$A,COUNTA(站位样品信息!$A:$A)+1),),))</f>
        <v/>
      </c>
      <c r="H355" s="37" t="str">
        <f>IF(A355&amp;B355&amp;C355="","",INDEX(生物种群!$A$2:INDEX(生物种群!$A:$A,COUNTA(生物种群!$A:$A)),MATCH($I355,生物种群!$B$2:INDEX(生物种群!$B:$B,COUNTA(生物种群!$B:$B)),),))</f>
        <v/>
      </c>
      <c r="I355" s="37" t="str">
        <f>IF(A355&amp;B355&amp;C355="","",IF($C355&lt;&gt;0,INDEX(生物种群!$B$2:INDEX(生物种群!$B:$B,COUNTA(生物种群!$B:$B)),MATCH($C355,生物种群!$G$2:INDEX(生物种群!$G:$G,COUNTA(生物种群!$G:$G)),),),IF($A355&lt;&gt;0,INDEX(生物种群!$B$2:INDEX(生物种群!$B:$B,COUNTA(生物种群!$B:$B)),MATCH($A355,生物种群!$C$2:INDEX(生物种群!$C:$C,COUNTA(生物种群!$C:$C)),),),INDEX(生物种群!$B$2:INDEX(生物种群!$B:$B,COUNTA(生物种群!$B:$B)),MATCH($B355,生物种群!$D$2:INDEX(生物种群!$D:$D,COUNTA(生物种群!$D:$D)),),))))</f>
        <v/>
      </c>
      <c r="J355" s="37" t="str">
        <f>IF(A355&amp;B355&amp;C355="","",INDEX(生物种群!$J$2:INDEX(生物种群!$J:$J,COUNTA(生物种群!$J:$J)),MATCH($I355,生物种群!$B$2:INDEX(生物种群!$B:$B,COUNTA(生物种群!$B:$B)),),))</f>
        <v/>
      </c>
      <c r="K355" s="37" t="str">
        <f>IF(A355&amp;B355&amp;C355="","",INDEX(生物种群!$E$2:INDEX(生物种群!$E:$E,COUNTA(生物种群!$E:$E)),MATCH($I355,生物种群!$B$2:INDEX(生物种群!$B:$B,COUNTA(生物种群!$B:$B)),),))</f>
        <v/>
      </c>
      <c r="L355" s="37" t="str">
        <f>IF(A355&amp;B355&amp;C355="","",INDEX(生物种群!$F$3:INDEX(生物种群!$F:$F,COUNTA(生物种群!$F:$F)),MATCH($I355,生物种群!$B$3:INDEX(生物种群!$B:$B,COUNTA(生物种群!$B:$B)),),))</f>
        <v/>
      </c>
      <c r="M355" s="37" t="str">
        <f t="shared" si="10"/>
        <v/>
      </c>
      <c r="N355" s="37" t="str">
        <f t="shared" si="11"/>
        <v/>
      </c>
      <c r="O355" s="9"/>
      <c r="P355" s="10"/>
    </row>
    <row r="356" spans="1:16" ht="20.1" customHeight="1">
      <c r="A356" s="9"/>
      <c r="B356" s="9"/>
      <c r="C356" s="9"/>
      <c r="D356" s="43"/>
      <c r="E356" s="9"/>
      <c r="F356" s="9"/>
      <c r="G356" s="47" t="str">
        <f>IF(F356="","",INDEX(站位样品信息!$B$3:INDEX(站位样品信息!$B:$B,COUNTA(站位样品信息!$B:$B)+1),MATCH($F356,站位样品信息!$A$3:INDEX(站位样品信息!$A:$A,COUNTA(站位样品信息!$A:$A)+1),),))</f>
        <v/>
      </c>
      <c r="H356" s="37" t="str">
        <f>IF(A356&amp;B356&amp;C356="","",INDEX(生物种群!$A$2:INDEX(生物种群!$A:$A,COUNTA(生物种群!$A:$A)),MATCH($I356,生物种群!$B$2:INDEX(生物种群!$B:$B,COUNTA(生物种群!$B:$B)),),))</f>
        <v/>
      </c>
      <c r="I356" s="37" t="str">
        <f>IF(A356&amp;B356&amp;C356="","",IF($C356&lt;&gt;0,INDEX(生物种群!$B$2:INDEX(生物种群!$B:$B,COUNTA(生物种群!$B:$B)),MATCH($C356,生物种群!$G$2:INDEX(生物种群!$G:$G,COUNTA(生物种群!$G:$G)),),),IF($A356&lt;&gt;0,INDEX(生物种群!$B$2:INDEX(生物种群!$B:$B,COUNTA(生物种群!$B:$B)),MATCH($A356,生物种群!$C$2:INDEX(生物种群!$C:$C,COUNTA(生物种群!$C:$C)),),),INDEX(生物种群!$B$2:INDEX(生物种群!$B:$B,COUNTA(生物种群!$B:$B)),MATCH($B356,生物种群!$D$2:INDEX(生物种群!$D:$D,COUNTA(生物种群!$D:$D)),),))))</f>
        <v/>
      </c>
      <c r="J356" s="37" t="str">
        <f>IF(A356&amp;B356&amp;C356="","",INDEX(生物种群!$J$2:INDEX(生物种群!$J:$J,COUNTA(生物种群!$J:$J)),MATCH($I356,生物种群!$B$2:INDEX(生物种群!$B:$B,COUNTA(生物种群!$B:$B)),),))</f>
        <v/>
      </c>
      <c r="K356" s="37" t="str">
        <f>IF(A356&amp;B356&amp;C356="","",INDEX(生物种群!$E$2:INDEX(生物种群!$E:$E,COUNTA(生物种群!$E:$E)),MATCH($I356,生物种群!$B$2:INDEX(生物种群!$B:$B,COUNTA(生物种群!$B:$B)),),))</f>
        <v/>
      </c>
      <c r="L356" s="37" t="str">
        <f>IF(A356&amp;B356&amp;C356="","",INDEX(生物种群!$F$3:INDEX(生物种群!$F:$F,COUNTA(生物种群!$F:$F)),MATCH($I356,生物种群!$B$3:INDEX(生物种群!$B:$B,COUNTA(生物种群!$B:$B)),),))</f>
        <v/>
      </c>
      <c r="M356" s="37" t="str">
        <f t="shared" si="10"/>
        <v/>
      </c>
      <c r="N356" s="37" t="str">
        <f t="shared" si="11"/>
        <v/>
      </c>
      <c r="O356" s="9"/>
      <c r="P356" s="10"/>
    </row>
    <row r="357" spans="1:16" ht="20.1" customHeight="1">
      <c r="A357" s="9"/>
      <c r="B357" s="9"/>
      <c r="C357" s="9"/>
      <c r="D357" s="43"/>
      <c r="E357" s="9"/>
      <c r="F357" s="9"/>
      <c r="G357" s="47" t="str">
        <f>IF(F357="","",INDEX(站位样品信息!$B$3:INDEX(站位样品信息!$B:$B,COUNTA(站位样品信息!$B:$B)+1),MATCH($F357,站位样品信息!$A$3:INDEX(站位样品信息!$A:$A,COUNTA(站位样品信息!$A:$A)+1),),))</f>
        <v/>
      </c>
      <c r="H357" s="37" t="str">
        <f>IF(A357&amp;B357&amp;C357="","",INDEX(生物种群!$A$2:INDEX(生物种群!$A:$A,COUNTA(生物种群!$A:$A)),MATCH($I357,生物种群!$B$2:INDEX(生物种群!$B:$B,COUNTA(生物种群!$B:$B)),),))</f>
        <v/>
      </c>
      <c r="I357" s="37" t="str">
        <f>IF(A357&amp;B357&amp;C357="","",IF($C357&lt;&gt;0,INDEX(生物种群!$B$2:INDEX(生物种群!$B:$B,COUNTA(生物种群!$B:$B)),MATCH($C357,生物种群!$G$2:INDEX(生物种群!$G:$G,COUNTA(生物种群!$G:$G)),),),IF($A357&lt;&gt;0,INDEX(生物种群!$B$2:INDEX(生物种群!$B:$B,COUNTA(生物种群!$B:$B)),MATCH($A357,生物种群!$C$2:INDEX(生物种群!$C:$C,COUNTA(生物种群!$C:$C)),),),INDEX(生物种群!$B$2:INDEX(生物种群!$B:$B,COUNTA(生物种群!$B:$B)),MATCH($B357,生物种群!$D$2:INDEX(生物种群!$D:$D,COUNTA(生物种群!$D:$D)),),))))</f>
        <v/>
      </c>
      <c r="J357" s="37" t="str">
        <f>IF(A357&amp;B357&amp;C357="","",INDEX(生物种群!$J$2:INDEX(生物种群!$J:$J,COUNTA(生物种群!$J:$J)),MATCH($I357,生物种群!$B$2:INDEX(生物种群!$B:$B,COUNTA(生物种群!$B:$B)),),))</f>
        <v/>
      </c>
      <c r="K357" s="37" t="str">
        <f>IF(A357&amp;B357&amp;C357="","",INDEX(生物种群!$E$2:INDEX(生物种群!$E:$E,COUNTA(生物种群!$E:$E)),MATCH($I357,生物种群!$B$2:INDEX(生物种群!$B:$B,COUNTA(生物种群!$B:$B)),),))</f>
        <v/>
      </c>
      <c r="L357" s="37" t="str">
        <f>IF(A357&amp;B357&amp;C357="","",INDEX(生物种群!$F$3:INDEX(生物种群!$F:$F,COUNTA(生物种群!$F:$F)),MATCH($I357,生物种群!$B$3:INDEX(生物种群!$B:$B,COUNTA(生物种群!$B:$B)),),))</f>
        <v/>
      </c>
      <c r="M357" s="37" t="str">
        <f t="shared" si="10"/>
        <v/>
      </c>
      <c r="N357" s="37" t="str">
        <f t="shared" si="11"/>
        <v/>
      </c>
      <c r="O357" s="9"/>
      <c r="P357" s="10"/>
    </row>
    <row r="358" spans="1:16" ht="20.1" customHeight="1">
      <c r="A358" s="9"/>
      <c r="B358" s="9"/>
      <c r="C358" s="9"/>
      <c r="D358" s="43"/>
      <c r="E358" s="9"/>
      <c r="F358" s="9"/>
      <c r="G358" s="47" t="str">
        <f>IF(F358="","",INDEX(站位样品信息!$B$3:INDEX(站位样品信息!$B:$B,COUNTA(站位样品信息!$B:$B)+1),MATCH($F358,站位样品信息!$A$3:INDEX(站位样品信息!$A:$A,COUNTA(站位样品信息!$A:$A)+1),),))</f>
        <v/>
      </c>
      <c r="H358" s="37" t="str">
        <f>IF(A358&amp;B358&amp;C358="","",INDEX(生物种群!$A$2:INDEX(生物种群!$A:$A,COUNTA(生物种群!$A:$A)),MATCH($I358,生物种群!$B$2:INDEX(生物种群!$B:$B,COUNTA(生物种群!$B:$B)),),))</f>
        <v/>
      </c>
      <c r="I358" s="37" t="str">
        <f>IF(A358&amp;B358&amp;C358="","",IF($C358&lt;&gt;0,INDEX(生物种群!$B$2:INDEX(生物种群!$B:$B,COUNTA(生物种群!$B:$B)),MATCH($C358,生物种群!$G$2:INDEX(生物种群!$G:$G,COUNTA(生物种群!$G:$G)),),),IF($A358&lt;&gt;0,INDEX(生物种群!$B$2:INDEX(生物种群!$B:$B,COUNTA(生物种群!$B:$B)),MATCH($A358,生物种群!$C$2:INDEX(生物种群!$C:$C,COUNTA(生物种群!$C:$C)),),),INDEX(生物种群!$B$2:INDEX(生物种群!$B:$B,COUNTA(生物种群!$B:$B)),MATCH($B358,生物种群!$D$2:INDEX(生物种群!$D:$D,COUNTA(生物种群!$D:$D)),),))))</f>
        <v/>
      </c>
      <c r="J358" s="37" t="str">
        <f>IF(A358&amp;B358&amp;C358="","",INDEX(生物种群!$J$2:INDEX(生物种群!$J:$J,COUNTA(生物种群!$J:$J)),MATCH($I358,生物种群!$B$2:INDEX(生物种群!$B:$B,COUNTA(生物种群!$B:$B)),),))</f>
        <v/>
      </c>
      <c r="K358" s="37" t="str">
        <f>IF(A358&amp;B358&amp;C358="","",INDEX(生物种群!$E$2:INDEX(生物种群!$E:$E,COUNTA(生物种群!$E:$E)),MATCH($I358,生物种群!$B$2:INDEX(生物种群!$B:$B,COUNTA(生物种群!$B:$B)),),))</f>
        <v/>
      </c>
      <c r="L358" s="37" t="str">
        <f>IF(A358&amp;B358&amp;C358="","",INDEX(生物种群!$F$3:INDEX(生物种群!$F:$F,COUNTA(生物种群!$F:$F)),MATCH($I358,生物种群!$B$3:INDEX(生物种群!$B:$B,COUNTA(生物种群!$B:$B)),),))</f>
        <v/>
      </c>
      <c r="M358" s="37" t="str">
        <f t="shared" si="10"/>
        <v/>
      </c>
      <c r="N358" s="37" t="str">
        <f t="shared" si="11"/>
        <v/>
      </c>
      <c r="O358" s="9"/>
      <c r="P358" s="10"/>
    </row>
    <row r="359" spans="1:16" ht="20.1" customHeight="1">
      <c r="A359" s="9"/>
      <c r="B359" s="9"/>
      <c r="C359" s="9"/>
      <c r="D359" s="43"/>
      <c r="E359" s="9"/>
      <c r="F359" s="9"/>
      <c r="G359" s="47" t="str">
        <f>IF(F359="","",INDEX(站位样品信息!$B$3:INDEX(站位样品信息!$B:$B,COUNTA(站位样品信息!$B:$B)+1),MATCH($F359,站位样品信息!$A$3:INDEX(站位样品信息!$A:$A,COUNTA(站位样品信息!$A:$A)+1),),))</f>
        <v/>
      </c>
      <c r="H359" s="37" t="str">
        <f>IF(A359&amp;B359&amp;C359="","",INDEX(生物种群!$A$2:INDEX(生物种群!$A:$A,COUNTA(生物种群!$A:$A)),MATCH($I359,生物种群!$B$2:INDEX(生物种群!$B:$B,COUNTA(生物种群!$B:$B)),),))</f>
        <v/>
      </c>
      <c r="I359" s="37" t="str">
        <f>IF(A359&amp;B359&amp;C359="","",IF($C359&lt;&gt;0,INDEX(生物种群!$B$2:INDEX(生物种群!$B:$B,COUNTA(生物种群!$B:$B)),MATCH($C359,生物种群!$G$2:INDEX(生物种群!$G:$G,COUNTA(生物种群!$G:$G)),),),IF($A359&lt;&gt;0,INDEX(生物种群!$B$2:INDEX(生物种群!$B:$B,COUNTA(生物种群!$B:$B)),MATCH($A359,生物种群!$C$2:INDEX(生物种群!$C:$C,COUNTA(生物种群!$C:$C)),),),INDEX(生物种群!$B$2:INDEX(生物种群!$B:$B,COUNTA(生物种群!$B:$B)),MATCH($B359,生物种群!$D$2:INDEX(生物种群!$D:$D,COUNTA(生物种群!$D:$D)),),))))</f>
        <v/>
      </c>
      <c r="J359" s="37" t="str">
        <f>IF(A359&amp;B359&amp;C359="","",INDEX(生物种群!$J$2:INDEX(生物种群!$J:$J,COUNTA(生物种群!$J:$J)),MATCH($I359,生物种群!$B$2:INDEX(生物种群!$B:$B,COUNTA(生物种群!$B:$B)),),))</f>
        <v/>
      </c>
      <c r="K359" s="37" t="str">
        <f>IF(A359&amp;B359&amp;C359="","",INDEX(生物种群!$E$2:INDEX(生物种群!$E:$E,COUNTA(生物种群!$E:$E)),MATCH($I359,生物种群!$B$2:INDEX(生物种群!$B:$B,COUNTA(生物种群!$B:$B)),),))</f>
        <v/>
      </c>
      <c r="L359" s="37" t="str">
        <f>IF(A359&amp;B359&amp;C359="","",INDEX(生物种群!$F$3:INDEX(生物种群!$F:$F,COUNTA(生物种群!$F:$F)),MATCH($I359,生物种群!$B$3:INDEX(生物种群!$B:$B,COUNTA(生物种群!$B:$B)),),))</f>
        <v/>
      </c>
      <c r="M359" s="37" t="str">
        <f t="shared" si="10"/>
        <v/>
      </c>
      <c r="N359" s="37" t="str">
        <f t="shared" si="11"/>
        <v/>
      </c>
      <c r="O359" s="9"/>
      <c r="P359" s="10"/>
    </row>
    <row r="360" spans="1:16" ht="20.1" customHeight="1">
      <c r="A360" s="9"/>
      <c r="B360" s="9"/>
      <c r="C360" s="9"/>
      <c r="D360" s="43"/>
      <c r="E360" s="9"/>
      <c r="F360" s="9"/>
      <c r="G360" s="47" t="str">
        <f>IF(F360="","",INDEX(站位样品信息!$B$3:INDEX(站位样品信息!$B:$B,COUNTA(站位样品信息!$B:$B)+1),MATCH($F360,站位样品信息!$A$3:INDEX(站位样品信息!$A:$A,COUNTA(站位样品信息!$A:$A)+1),),))</f>
        <v/>
      </c>
      <c r="H360" s="37" t="str">
        <f>IF(A360&amp;B360&amp;C360="","",INDEX(生物种群!$A$2:INDEX(生物种群!$A:$A,COUNTA(生物种群!$A:$A)),MATCH($I360,生物种群!$B$2:INDEX(生物种群!$B:$B,COUNTA(生物种群!$B:$B)),),))</f>
        <v/>
      </c>
      <c r="I360" s="37" t="str">
        <f>IF(A360&amp;B360&amp;C360="","",IF($C360&lt;&gt;0,INDEX(生物种群!$B$2:INDEX(生物种群!$B:$B,COUNTA(生物种群!$B:$B)),MATCH($C360,生物种群!$G$2:INDEX(生物种群!$G:$G,COUNTA(生物种群!$G:$G)),),),IF($A360&lt;&gt;0,INDEX(生物种群!$B$2:INDEX(生物种群!$B:$B,COUNTA(生物种群!$B:$B)),MATCH($A360,生物种群!$C$2:INDEX(生物种群!$C:$C,COUNTA(生物种群!$C:$C)),),),INDEX(生物种群!$B$2:INDEX(生物种群!$B:$B,COUNTA(生物种群!$B:$B)),MATCH($B360,生物种群!$D$2:INDEX(生物种群!$D:$D,COUNTA(生物种群!$D:$D)),),))))</f>
        <v/>
      </c>
      <c r="J360" s="37" t="str">
        <f>IF(A360&amp;B360&amp;C360="","",INDEX(生物种群!$J$2:INDEX(生物种群!$J:$J,COUNTA(生物种群!$J:$J)),MATCH($I360,生物种群!$B$2:INDEX(生物种群!$B:$B,COUNTA(生物种群!$B:$B)),),))</f>
        <v/>
      </c>
      <c r="K360" s="37" t="str">
        <f>IF(A360&amp;B360&amp;C360="","",INDEX(生物种群!$E$2:INDEX(生物种群!$E:$E,COUNTA(生物种群!$E:$E)),MATCH($I360,生物种群!$B$2:INDEX(生物种群!$B:$B,COUNTA(生物种群!$B:$B)),),))</f>
        <v/>
      </c>
      <c r="L360" s="37" t="str">
        <f>IF(A360&amp;B360&amp;C360="","",INDEX(生物种群!$F$3:INDEX(生物种群!$F:$F,COUNTA(生物种群!$F:$F)),MATCH($I360,生物种群!$B$3:INDEX(生物种群!$B:$B,COUNTA(生物种群!$B:$B)),),))</f>
        <v/>
      </c>
      <c r="M360" s="37" t="str">
        <f t="shared" si="10"/>
        <v/>
      </c>
      <c r="N360" s="37" t="str">
        <f t="shared" si="11"/>
        <v/>
      </c>
      <c r="O360" s="9"/>
      <c r="P360" s="10"/>
    </row>
    <row r="361" spans="1:16" ht="20.1" customHeight="1">
      <c r="A361" s="9"/>
      <c r="B361" s="9"/>
      <c r="C361" s="9"/>
      <c r="D361" s="43"/>
      <c r="E361" s="9"/>
      <c r="F361" s="9"/>
      <c r="G361" s="47" t="str">
        <f>IF(F361="","",INDEX(站位样品信息!$B$3:INDEX(站位样品信息!$B:$B,COUNTA(站位样品信息!$B:$B)+1),MATCH($F361,站位样品信息!$A$3:INDEX(站位样品信息!$A:$A,COUNTA(站位样品信息!$A:$A)+1),),))</f>
        <v/>
      </c>
      <c r="H361" s="37" t="str">
        <f>IF(A361&amp;B361&amp;C361="","",INDEX(生物种群!$A$2:INDEX(生物种群!$A:$A,COUNTA(生物种群!$A:$A)),MATCH($I361,生物种群!$B$2:INDEX(生物种群!$B:$B,COUNTA(生物种群!$B:$B)),),))</f>
        <v/>
      </c>
      <c r="I361" s="37" t="str">
        <f>IF(A361&amp;B361&amp;C361="","",IF($C361&lt;&gt;0,INDEX(生物种群!$B$2:INDEX(生物种群!$B:$B,COUNTA(生物种群!$B:$B)),MATCH($C361,生物种群!$G$2:INDEX(生物种群!$G:$G,COUNTA(生物种群!$G:$G)),),),IF($A361&lt;&gt;0,INDEX(生物种群!$B$2:INDEX(生物种群!$B:$B,COUNTA(生物种群!$B:$B)),MATCH($A361,生物种群!$C$2:INDEX(生物种群!$C:$C,COUNTA(生物种群!$C:$C)),),),INDEX(生物种群!$B$2:INDEX(生物种群!$B:$B,COUNTA(生物种群!$B:$B)),MATCH($B361,生物种群!$D$2:INDEX(生物种群!$D:$D,COUNTA(生物种群!$D:$D)),),))))</f>
        <v/>
      </c>
      <c r="J361" s="37" t="str">
        <f>IF(A361&amp;B361&amp;C361="","",INDEX(生物种群!$J$2:INDEX(生物种群!$J:$J,COUNTA(生物种群!$J:$J)),MATCH($I361,生物种群!$B$2:INDEX(生物种群!$B:$B,COUNTA(生物种群!$B:$B)),),))</f>
        <v/>
      </c>
      <c r="K361" s="37" t="str">
        <f>IF(A361&amp;B361&amp;C361="","",INDEX(生物种群!$E$2:INDEX(生物种群!$E:$E,COUNTA(生物种群!$E:$E)),MATCH($I361,生物种群!$B$2:INDEX(生物种群!$B:$B,COUNTA(生物种群!$B:$B)),),))</f>
        <v/>
      </c>
      <c r="L361" s="37" t="str">
        <f>IF(A361&amp;B361&amp;C361="","",INDEX(生物种群!$F$3:INDEX(生物种群!$F:$F,COUNTA(生物种群!$F:$F)),MATCH($I361,生物种群!$B$3:INDEX(生物种群!$B:$B,COUNTA(生物种群!$B:$B)),),))</f>
        <v/>
      </c>
      <c r="M361" s="37" t="str">
        <f t="shared" si="10"/>
        <v/>
      </c>
      <c r="N361" s="37" t="str">
        <f t="shared" si="11"/>
        <v/>
      </c>
      <c r="O361" s="9"/>
      <c r="P361" s="10"/>
    </row>
    <row r="362" spans="1:16" ht="20.1" customHeight="1">
      <c r="A362" s="9"/>
      <c r="B362" s="9"/>
      <c r="C362" s="9"/>
      <c r="D362" s="43"/>
      <c r="E362" s="9"/>
      <c r="F362" s="9"/>
      <c r="G362" s="47" t="str">
        <f>IF(F362="","",INDEX(站位样品信息!$B$3:INDEX(站位样品信息!$B:$B,COUNTA(站位样品信息!$B:$B)+1),MATCH($F362,站位样品信息!$A$3:INDEX(站位样品信息!$A:$A,COUNTA(站位样品信息!$A:$A)+1),),))</f>
        <v/>
      </c>
      <c r="H362" s="37" t="str">
        <f>IF(A362&amp;B362&amp;C362="","",INDEX(生物种群!$A$2:INDEX(生物种群!$A:$A,COUNTA(生物种群!$A:$A)),MATCH($I362,生物种群!$B$2:INDEX(生物种群!$B:$B,COUNTA(生物种群!$B:$B)),),))</f>
        <v/>
      </c>
      <c r="I362" s="37" t="str">
        <f>IF(A362&amp;B362&amp;C362="","",IF($C362&lt;&gt;0,INDEX(生物种群!$B$2:INDEX(生物种群!$B:$B,COUNTA(生物种群!$B:$B)),MATCH($C362,生物种群!$G$2:INDEX(生物种群!$G:$G,COUNTA(生物种群!$G:$G)),),),IF($A362&lt;&gt;0,INDEX(生物种群!$B$2:INDEX(生物种群!$B:$B,COUNTA(生物种群!$B:$B)),MATCH($A362,生物种群!$C$2:INDEX(生物种群!$C:$C,COUNTA(生物种群!$C:$C)),),),INDEX(生物种群!$B$2:INDEX(生物种群!$B:$B,COUNTA(生物种群!$B:$B)),MATCH($B362,生物种群!$D$2:INDEX(生物种群!$D:$D,COUNTA(生物种群!$D:$D)),),))))</f>
        <v/>
      </c>
      <c r="J362" s="37" t="str">
        <f>IF(A362&amp;B362&amp;C362="","",INDEX(生物种群!$J$2:INDEX(生物种群!$J:$J,COUNTA(生物种群!$J:$J)),MATCH($I362,生物种群!$B$2:INDEX(生物种群!$B:$B,COUNTA(生物种群!$B:$B)),),))</f>
        <v/>
      </c>
      <c r="K362" s="37" t="str">
        <f>IF(A362&amp;B362&amp;C362="","",INDEX(生物种群!$E$2:INDEX(生物种群!$E:$E,COUNTA(生物种群!$E:$E)),MATCH($I362,生物种群!$B$2:INDEX(生物种群!$B:$B,COUNTA(生物种群!$B:$B)),),))</f>
        <v/>
      </c>
      <c r="L362" s="37" t="str">
        <f>IF(A362&amp;B362&amp;C362="","",INDEX(生物种群!$F$3:INDEX(生物种群!$F:$F,COUNTA(生物种群!$F:$F)),MATCH($I362,生物种群!$B$3:INDEX(生物种群!$B:$B,COUNTA(生物种群!$B:$B)),),))</f>
        <v/>
      </c>
      <c r="M362" s="37" t="str">
        <f t="shared" si="10"/>
        <v/>
      </c>
      <c r="N362" s="37" t="str">
        <f t="shared" si="11"/>
        <v/>
      </c>
      <c r="O362" s="9"/>
      <c r="P362" s="10"/>
    </row>
    <row r="363" spans="1:16" ht="20.1" customHeight="1">
      <c r="A363" s="9"/>
      <c r="B363" s="9"/>
      <c r="C363" s="9"/>
      <c r="D363" s="43"/>
      <c r="E363" s="9"/>
      <c r="F363" s="9"/>
      <c r="G363" s="47" t="str">
        <f>IF(F363="","",INDEX(站位样品信息!$B$3:INDEX(站位样品信息!$B:$B,COUNTA(站位样品信息!$B:$B)+1),MATCH($F363,站位样品信息!$A$3:INDEX(站位样品信息!$A:$A,COUNTA(站位样品信息!$A:$A)+1),),))</f>
        <v/>
      </c>
      <c r="H363" s="37" t="str">
        <f>IF(A363&amp;B363&amp;C363="","",INDEX(生物种群!$A$2:INDEX(生物种群!$A:$A,COUNTA(生物种群!$A:$A)),MATCH($I363,生物种群!$B$2:INDEX(生物种群!$B:$B,COUNTA(生物种群!$B:$B)),),))</f>
        <v/>
      </c>
      <c r="I363" s="37" t="str">
        <f>IF(A363&amp;B363&amp;C363="","",IF($C363&lt;&gt;0,INDEX(生物种群!$B$2:INDEX(生物种群!$B:$B,COUNTA(生物种群!$B:$B)),MATCH($C363,生物种群!$G$2:INDEX(生物种群!$G:$G,COUNTA(生物种群!$G:$G)),),),IF($A363&lt;&gt;0,INDEX(生物种群!$B$2:INDEX(生物种群!$B:$B,COUNTA(生物种群!$B:$B)),MATCH($A363,生物种群!$C$2:INDEX(生物种群!$C:$C,COUNTA(生物种群!$C:$C)),),),INDEX(生物种群!$B$2:INDEX(生物种群!$B:$B,COUNTA(生物种群!$B:$B)),MATCH($B363,生物种群!$D$2:INDEX(生物种群!$D:$D,COUNTA(生物种群!$D:$D)),),))))</f>
        <v/>
      </c>
      <c r="J363" s="37" t="str">
        <f>IF(A363&amp;B363&amp;C363="","",INDEX(生物种群!$J$2:INDEX(生物种群!$J:$J,COUNTA(生物种群!$J:$J)),MATCH($I363,生物种群!$B$2:INDEX(生物种群!$B:$B,COUNTA(生物种群!$B:$B)),),))</f>
        <v/>
      </c>
      <c r="K363" s="37" t="str">
        <f>IF(A363&amp;B363&amp;C363="","",INDEX(生物种群!$E$2:INDEX(生物种群!$E:$E,COUNTA(生物种群!$E:$E)),MATCH($I363,生物种群!$B$2:INDEX(生物种群!$B:$B,COUNTA(生物种群!$B:$B)),),))</f>
        <v/>
      </c>
      <c r="L363" s="37" t="str">
        <f>IF(A363&amp;B363&amp;C363="","",INDEX(生物种群!$F$3:INDEX(生物种群!$F:$F,COUNTA(生物种群!$F:$F)),MATCH($I363,生物种群!$B$3:INDEX(生物种群!$B:$B,COUNTA(生物种群!$B:$B)),),))</f>
        <v/>
      </c>
      <c r="M363" s="37" t="str">
        <f t="shared" si="10"/>
        <v/>
      </c>
      <c r="N363" s="37" t="str">
        <f t="shared" si="11"/>
        <v/>
      </c>
      <c r="O363" s="9"/>
      <c r="P363" s="10"/>
    </row>
    <row r="364" spans="1:16" ht="20.1" customHeight="1">
      <c r="A364" s="9"/>
      <c r="B364" s="9"/>
      <c r="C364" s="9"/>
      <c r="D364" s="43"/>
      <c r="E364" s="9"/>
      <c r="F364" s="9"/>
      <c r="G364" s="47" t="str">
        <f>IF(F364="","",INDEX(站位样品信息!$B$3:INDEX(站位样品信息!$B:$B,COUNTA(站位样品信息!$B:$B)+1),MATCH($F364,站位样品信息!$A$3:INDEX(站位样品信息!$A:$A,COUNTA(站位样品信息!$A:$A)+1),),))</f>
        <v/>
      </c>
      <c r="H364" s="37" t="str">
        <f>IF(A364&amp;B364&amp;C364="","",INDEX(生物种群!$A$2:INDEX(生物种群!$A:$A,COUNTA(生物种群!$A:$A)),MATCH($I364,生物种群!$B$2:INDEX(生物种群!$B:$B,COUNTA(生物种群!$B:$B)),),))</f>
        <v/>
      </c>
      <c r="I364" s="37" t="str">
        <f>IF(A364&amp;B364&amp;C364="","",IF($C364&lt;&gt;0,INDEX(生物种群!$B$2:INDEX(生物种群!$B:$B,COUNTA(生物种群!$B:$B)),MATCH($C364,生物种群!$G$2:INDEX(生物种群!$G:$G,COUNTA(生物种群!$G:$G)),),),IF($A364&lt;&gt;0,INDEX(生物种群!$B$2:INDEX(生物种群!$B:$B,COUNTA(生物种群!$B:$B)),MATCH($A364,生物种群!$C$2:INDEX(生物种群!$C:$C,COUNTA(生物种群!$C:$C)),),),INDEX(生物种群!$B$2:INDEX(生物种群!$B:$B,COUNTA(生物种群!$B:$B)),MATCH($B364,生物种群!$D$2:INDEX(生物种群!$D:$D,COUNTA(生物种群!$D:$D)),),))))</f>
        <v/>
      </c>
      <c r="J364" s="37" t="str">
        <f>IF(A364&amp;B364&amp;C364="","",INDEX(生物种群!$J$2:INDEX(生物种群!$J:$J,COUNTA(生物种群!$J:$J)),MATCH($I364,生物种群!$B$2:INDEX(生物种群!$B:$B,COUNTA(生物种群!$B:$B)),),))</f>
        <v/>
      </c>
      <c r="K364" s="37" t="str">
        <f>IF(A364&amp;B364&amp;C364="","",INDEX(生物种群!$E$2:INDEX(生物种群!$E:$E,COUNTA(生物种群!$E:$E)),MATCH($I364,生物种群!$B$2:INDEX(生物种群!$B:$B,COUNTA(生物种群!$B:$B)),),))</f>
        <v/>
      </c>
      <c r="L364" s="37" t="str">
        <f>IF(A364&amp;B364&amp;C364="","",INDEX(生物种群!$F$3:INDEX(生物种群!$F:$F,COUNTA(生物种群!$F:$F)),MATCH($I364,生物种群!$B$3:INDEX(生物种群!$B:$B,COUNTA(生物种群!$B:$B)),),))</f>
        <v/>
      </c>
      <c r="M364" s="37" t="str">
        <f t="shared" si="10"/>
        <v/>
      </c>
      <c r="N364" s="37" t="str">
        <f t="shared" si="11"/>
        <v/>
      </c>
      <c r="O364" s="9"/>
      <c r="P364" s="10"/>
    </row>
    <row r="365" spans="1:16" ht="20.1" customHeight="1">
      <c r="A365" s="9"/>
      <c r="B365" s="9"/>
      <c r="C365" s="9"/>
      <c r="D365" s="43"/>
      <c r="E365" s="9"/>
      <c r="F365" s="9"/>
      <c r="G365" s="47" t="str">
        <f>IF(F365="","",INDEX(站位样品信息!$B$3:INDEX(站位样品信息!$B:$B,COUNTA(站位样品信息!$B:$B)+1),MATCH($F365,站位样品信息!$A$3:INDEX(站位样品信息!$A:$A,COUNTA(站位样品信息!$A:$A)+1),),))</f>
        <v/>
      </c>
      <c r="H365" s="37" t="str">
        <f>IF(A365&amp;B365&amp;C365="","",INDEX(生物种群!$A$2:INDEX(生物种群!$A:$A,COUNTA(生物种群!$A:$A)),MATCH($I365,生物种群!$B$2:INDEX(生物种群!$B:$B,COUNTA(生物种群!$B:$B)),),))</f>
        <v/>
      </c>
      <c r="I365" s="37" t="str">
        <f>IF(A365&amp;B365&amp;C365="","",IF($C365&lt;&gt;0,INDEX(生物种群!$B$2:INDEX(生物种群!$B:$B,COUNTA(生物种群!$B:$B)),MATCH($C365,生物种群!$G$2:INDEX(生物种群!$G:$G,COUNTA(生物种群!$G:$G)),),),IF($A365&lt;&gt;0,INDEX(生物种群!$B$2:INDEX(生物种群!$B:$B,COUNTA(生物种群!$B:$B)),MATCH($A365,生物种群!$C$2:INDEX(生物种群!$C:$C,COUNTA(生物种群!$C:$C)),),),INDEX(生物种群!$B$2:INDEX(生物种群!$B:$B,COUNTA(生物种群!$B:$B)),MATCH($B365,生物种群!$D$2:INDEX(生物种群!$D:$D,COUNTA(生物种群!$D:$D)),),))))</f>
        <v/>
      </c>
      <c r="J365" s="37" t="str">
        <f>IF(A365&amp;B365&amp;C365="","",INDEX(生物种群!$J$2:INDEX(生物种群!$J:$J,COUNTA(生物种群!$J:$J)),MATCH($I365,生物种群!$B$2:INDEX(生物种群!$B:$B,COUNTA(生物种群!$B:$B)),),))</f>
        <v/>
      </c>
      <c r="K365" s="37" t="str">
        <f>IF(A365&amp;B365&amp;C365="","",INDEX(生物种群!$E$2:INDEX(生物种群!$E:$E,COUNTA(生物种群!$E:$E)),MATCH($I365,生物种群!$B$2:INDEX(生物种群!$B:$B,COUNTA(生物种群!$B:$B)),),))</f>
        <v/>
      </c>
      <c r="L365" s="37" t="str">
        <f>IF(A365&amp;B365&amp;C365="","",INDEX(生物种群!$F$3:INDEX(生物种群!$F:$F,COUNTA(生物种群!$F:$F)),MATCH($I365,生物种群!$B$3:INDEX(生物种群!$B:$B,COUNTA(生物种群!$B:$B)),),))</f>
        <v/>
      </c>
      <c r="M365" s="37" t="str">
        <f t="shared" si="10"/>
        <v/>
      </c>
      <c r="N365" s="37" t="str">
        <f t="shared" si="11"/>
        <v/>
      </c>
      <c r="O365" s="9"/>
      <c r="P365" s="10"/>
    </row>
    <row r="366" spans="1:16" ht="20.1" customHeight="1">
      <c r="A366" s="9"/>
      <c r="B366" s="9"/>
      <c r="C366" s="9"/>
      <c r="D366" s="43"/>
      <c r="E366" s="9"/>
      <c r="F366" s="9"/>
      <c r="G366" s="47" t="str">
        <f>IF(F366="","",INDEX(站位样品信息!$B$3:INDEX(站位样品信息!$B:$B,COUNTA(站位样品信息!$B:$B)+1),MATCH($F366,站位样品信息!$A$3:INDEX(站位样品信息!$A:$A,COUNTA(站位样品信息!$A:$A)+1),),))</f>
        <v/>
      </c>
      <c r="H366" s="37" t="str">
        <f>IF(A366&amp;B366&amp;C366="","",INDEX(生物种群!$A$2:INDEX(生物种群!$A:$A,COUNTA(生物种群!$A:$A)),MATCH($I366,生物种群!$B$2:INDEX(生物种群!$B:$B,COUNTA(生物种群!$B:$B)),),))</f>
        <v/>
      </c>
      <c r="I366" s="37" t="str">
        <f>IF(A366&amp;B366&amp;C366="","",IF($C366&lt;&gt;0,INDEX(生物种群!$B$2:INDEX(生物种群!$B:$B,COUNTA(生物种群!$B:$B)),MATCH($C366,生物种群!$G$2:INDEX(生物种群!$G:$G,COUNTA(生物种群!$G:$G)),),),IF($A366&lt;&gt;0,INDEX(生物种群!$B$2:INDEX(生物种群!$B:$B,COUNTA(生物种群!$B:$B)),MATCH($A366,生物种群!$C$2:INDEX(生物种群!$C:$C,COUNTA(生物种群!$C:$C)),),),INDEX(生物种群!$B$2:INDEX(生物种群!$B:$B,COUNTA(生物种群!$B:$B)),MATCH($B366,生物种群!$D$2:INDEX(生物种群!$D:$D,COUNTA(生物种群!$D:$D)),),))))</f>
        <v/>
      </c>
      <c r="J366" s="37" t="str">
        <f>IF(A366&amp;B366&amp;C366="","",INDEX(生物种群!$J$2:INDEX(生物种群!$J:$J,COUNTA(生物种群!$J:$J)),MATCH($I366,生物种群!$B$2:INDEX(生物种群!$B:$B,COUNTA(生物种群!$B:$B)),),))</f>
        <v/>
      </c>
      <c r="K366" s="37" t="str">
        <f>IF(A366&amp;B366&amp;C366="","",INDEX(生物种群!$E$2:INDEX(生物种群!$E:$E,COUNTA(生物种群!$E:$E)),MATCH($I366,生物种群!$B$2:INDEX(生物种群!$B:$B,COUNTA(生物种群!$B:$B)),),))</f>
        <v/>
      </c>
      <c r="L366" s="37" t="str">
        <f>IF(A366&amp;B366&amp;C366="","",INDEX(生物种群!$F$3:INDEX(生物种群!$F:$F,COUNTA(生物种群!$F:$F)),MATCH($I366,生物种群!$B$3:INDEX(生物种群!$B:$B,COUNTA(生物种群!$B:$B)),),))</f>
        <v/>
      </c>
      <c r="M366" s="37" t="str">
        <f t="shared" si="10"/>
        <v/>
      </c>
      <c r="N366" s="37" t="str">
        <f t="shared" si="11"/>
        <v/>
      </c>
      <c r="O366" s="9"/>
      <c r="P366" s="10"/>
    </row>
    <row r="367" spans="1:16" ht="20.1" customHeight="1">
      <c r="A367" s="9"/>
      <c r="B367" s="9"/>
      <c r="C367" s="9"/>
      <c r="D367" s="43"/>
      <c r="E367" s="9"/>
      <c r="F367" s="9"/>
      <c r="G367" s="47" t="str">
        <f>IF(F367="","",INDEX(站位样品信息!$B$3:INDEX(站位样品信息!$B:$B,COUNTA(站位样品信息!$B:$B)+1),MATCH($F367,站位样品信息!$A$3:INDEX(站位样品信息!$A:$A,COUNTA(站位样品信息!$A:$A)+1),),))</f>
        <v/>
      </c>
      <c r="H367" s="37" t="str">
        <f>IF(A367&amp;B367&amp;C367="","",INDEX(生物种群!$A$2:INDEX(生物种群!$A:$A,COUNTA(生物种群!$A:$A)),MATCH($I367,生物种群!$B$2:INDEX(生物种群!$B:$B,COUNTA(生物种群!$B:$B)),),))</f>
        <v/>
      </c>
      <c r="I367" s="37" t="str">
        <f>IF(A367&amp;B367&amp;C367="","",IF($C367&lt;&gt;0,INDEX(生物种群!$B$2:INDEX(生物种群!$B:$B,COUNTA(生物种群!$B:$B)),MATCH($C367,生物种群!$G$2:INDEX(生物种群!$G:$G,COUNTA(生物种群!$G:$G)),),),IF($A367&lt;&gt;0,INDEX(生物种群!$B$2:INDEX(生物种群!$B:$B,COUNTA(生物种群!$B:$B)),MATCH($A367,生物种群!$C$2:INDEX(生物种群!$C:$C,COUNTA(生物种群!$C:$C)),),),INDEX(生物种群!$B$2:INDEX(生物种群!$B:$B,COUNTA(生物种群!$B:$B)),MATCH($B367,生物种群!$D$2:INDEX(生物种群!$D:$D,COUNTA(生物种群!$D:$D)),),))))</f>
        <v/>
      </c>
      <c r="J367" s="37" t="str">
        <f>IF(A367&amp;B367&amp;C367="","",INDEX(生物种群!$J$2:INDEX(生物种群!$J:$J,COUNTA(生物种群!$J:$J)),MATCH($I367,生物种群!$B$2:INDEX(生物种群!$B:$B,COUNTA(生物种群!$B:$B)),),))</f>
        <v/>
      </c>
      <c r="K367" s="37" t="str">
        <f>IF(A367&amp;B367&amp;C367="","",INDEX(生物种群!$E$2:INDEX(生物种群!$E:$E,COUNTA(生物种群!$E:$E)),MATCH($I367,生物种群!$B$2:INDEX(生物种群!$B:$B,COUNTA(生物种群!$B:$B)),),))</f>
        <v/>
      </c>
      <c r="L367" s="37" t="str">
        <f>IF(A367&amp;B367&amp;C367="","",INDEX(生物种群!$F$3:INDEX(生物种群!$F:$F,COUNTA(生物种群!$F:$F)),MATCH($I367,生物种群!$B$3:INDEX(生物种群!$B:$B,COUNTA(生物种群!$B:$B)),),))</f>
        <v/>
      </c>
      <c r="M367" s="37" t="str">
        <f t="shared" si="10"/>
        <v/>
      </c>
      <c r="N367" s="37" t="str">
        <f t="shared" si="11"/>
        <v/>
      </c>
      <c r="O367" s="9"/>
      <c r="P367" s="10"/>
    </row>
    <row r="368" spans="1:16" ht="20.1" customHeight="1">
      <c r="A368" s="9"/>
      <c r="B368" s="9"/>
      <c r="C368" s="9"/>
      <c r="D368" s="43"/>
      <c r="E368" s="9"/>
      <c r="F368" s="9"/>
      <c r="G368" s="47" t="str">
        <f>IF(F368="","",INDEX(站位样品信息!$B$3:INDEX(站位样品信息!$B:$B,COUNTA(站位样品信息!$B:$B)+1),MATCH($F368,站位样品信息!$A$3:INDEX(站位样品信息!$A:$A,COUNTA(站位样品信息!$A:$A)+1),),))</f>
        <v/>
      </c>
      <c r="H368" s="37" t="str">
        <f>IF(A368&amp;B368&amp;C368="","",INDEX(生物种群!$A$2:INDEX(生物种群!$A:$A,COUNTA(生物种群!$A:$A)),MATCH($I368,生物种群!$B$2:INDEX(生物种群!$B:$B,COUNTA(生物种群!$B:$B)),),))</f>
        <v/>
      </c>
      <c r="I368" s="37" t="str">
        <f>IF(A368&amp;B368&amp;C368="","",IF($C368&lt;&gt;0,INDEX(生物种群!$B$2:INDEX(生物种群!$B:$B,COUNTA(生物种群!$B:$B)),MATCH($C368,生物种群!$G$2:INDEX(生物种群!$G:$G,COUNTA(生物种群!$G:$G)),),),IF($A368&lt;&gt;0,INDEX(生物种群!$B$2:INDEX(生物种群!$B:$B,COUNTA(生物种群!$B:$B)),MATCH($A368,生物种群!$C$2:INDEX(生物种群!$C:$C,COUNTA(生物种群!$C:$C)),),),INDEX(生物种群!$B$2:INDEX(生物种群!$B:$B,COUNTA(生物种群!$B:$B)),MATCH($B368,生物种群!$D$2:INDEX(生物种群!$D:$D,COUNTA(生物种群!$D:$D)),),))))</f>
        <v/>
      </c>
      <c r="J368" s="37" t="str">
        <f>IF(A368&amp;B368&amp;C368="","",INDEX(生物种群!$J$2:INDEX(生物种群!$J:$J,COUNTA(生物种群!$J:$J)),MATCH($I368,生物种群!$B$2:INDEX(生物种群!$B:$B,COUNTA(生物种群!$B:$B)),),))</f>
        <v/>
      </c>
      <c r="K368" s="37" t="str">
        <f>IF(A368&amp;B368&amp;C368="","",INDEX(生物种群!$E$2:INDEX(生物种群!$E:$E,COUNTA(生物种群!$E:$E)),MATCH($I368,生物种群!$B$2:INDEX(生物种群!$B:$B,COUNTA(生物种群!$B:$B)),),))</f>
        <v/>
      </c>
      <c r="L368" s="37" t="str">
        <f>IF(A368&amp;B368&amp;C368="","",INDEX(生物种群!$F$3:INDEX(生物种群!$F:$F,COUNTA(生物种群!$F:$F)),MATCH($I368,生物种群!$B$3:INDEX(生物种群!$B:$B,COUNTA(生物种群!$B:$B)),),))</f>
        <v/>
      </c>
      <c r="M368" s="37" t="str">
        <f t="shared" si="10"/>
        <v/>
      </c>
      <c r="N368" s="37" t="str">
        <f t="shared" si="11"/>
        <v/>
      </c>
      <c r="O368" s="9"/>
      <c r="P368" s="10"/>
    </row>
    <row r="369" spans="1:16" ht="20.1" customHeight="1">
      <c r="A369" s="9"/>
      <c r="B369" s="9"/>
      <c r="C369" s="9"/>
      <c r="D369" s="43"/>
      <c r="E369" s="9"/>
      <c r="F369" s="9"/>
      <c r="G369" s="47" t="str">
        <f>IF(F369="","",INDEX(站位样品信息!$B$3:INDEX(站位样品信息!$B:$B,COUNTA(站位样品信息!$B:$B)+1),MATCH($F369,站位样品信息!$A$3:INDEX(站位样品信息!$A:$A,COUNTA(站位样品信息!$A:$A)+1),),))</f>
        <v/>
      </c>
      <c r="H369" s="37" t="str">
        <f>IF(A369&amp;B369&amp;C369="","",INDEX(生物种群!$A$2:INDEX(生物种群!$A:$A,COUNTA(生物种群!$A:$A)),MATCH($I369,生物种群!$B$2:INDEX(生物种群!$B:$B,COUNTA(生物种群!$B:$B)),),))</f>
        <v/>
      </c>
      <c r="I369" s="37" t="str">
        <f>IF(A369&amp;B369&amp;C369="","",IF($C369&lt;&gt;0,INDEX(生物种群!$B$2:INDEX(生物种群!$B:$B,COUNTA(生物种群!$B:$B)),MATCH($C369,生物种群!$G$2:INDEX(生物种群!$G:$G,COUNTA(生物种群!$G:$G)),),),IF($A369&lt;&gt;0,INDEX(生物种群!$B$2:INDEX(生物种群!$B:$B,COUNTA(生物种群!$B:$B)),MATCH($A369,生物种群!$C$2:INDEX(生物种群!$C:$C,COUNTA(生物种群!$C:$C)),),),INDEX(生物种群!$B$2:INDEX(生物种群!$B:$B,COUNTA(生物种群!$B:$B)),MATCH($B369,生物种群!$D$2:INDEX(生物种群!$D:$D,COUNTA(生物种群!$D:$D)),),))))</f>
        <v/>
      </c>
      <c r="J369" s="37" t="str">
        <f>IF(A369&amp;B369&amp;C369="","",INDEX(生物种群!$J$2:INDEX(生物种群!$J:$J,COUNTA(生物种群!$J:$J)),MATCH($I369,生物种群!$B$2:INDEX(生物种群!$B:$B,COUNTA(生物种群!$B:$B)),),))</f>
        <v/>
      </c>
      <c r="K369" s="37" t="str">
        <f>IF(A369&amp;B369&amp;C369="","",INDEX(生物种群!$E$2:INDEX(生物种群!$E:$E,COUNTA(生物种群!$E:$E)),MATCH($I369,生物种群!$B$2:INDEX(生物种群!$B:$B,COUNTA(生物种群!$B:$B)),),))</f>
        <v/>
      </c>
      <c r="L369" s="37" t="str">
        <f>IF(A369&amp;B369&amp;C369="","",INDEX(生物种群!$F$3:INDEX(生物种群!$F:$F,COUNTA(生物种群!$F:$F)),MATCH($I369,生物种群!$B$3:INDEX(生物种群!$B:$B,COUNTA(生物种群!$B:$B)),),))</f>
        <v/>
      </c>
      <c r="M369" s="37" t="str">
        <f t="shared" si="10"/>
        <v/>
      </c>
      <c r="N369" s="37" t="str">
        <f t="shared" si="11"/>
        <v/>
      </c>
      <c r="O369" s="9"/>
      <c r="P369" s="10"/>
    </row>
    <row r="370" spans="1:16" ht="20.1" customHeight="1">
      <c r="A370" s="9"/>
      <c r="B370" s="9"/>
      <c r="C370" s="9"/>
      <c r="D370" s="43"/>
      <c r="E370" s="9"/>
      <c r="F370" s="9"/>
      <c r="G370" s="47" t="str">
        <f>IF(F370="","",INDEX(站位样品信息!$B$3:INDEX(站位样品信息!$B:$B,COUNTA(站位样品信息!$B:$B)+1),MATCH($F370,站位样品信息!$A$3:INDEX(站位样品信息!$A:$A,COUNTA(站位样品信息!$A:$A)+1),),))</f>
        <v/>
      </c>
      <c r="H370" s="37" t="str">
        <f>IF(A370&amp;B370&amp;C370="","",INDEX(生物种群!$A$2:INDEX(生物种群!$A:$A,COUNTA(生物种群!$A:$A)),MATCH($I370,生物种群!$B$2:INDEX(生物种群!$B:$B,COUNTA(生物种群!$B:$B)),),))</f>
        <v/>
      </c>
      <c r="I370" s="37" t="str">
        <f>IF(A370&amp;B370&amp;C370="","",IF($C370&lt;&gt;0,INDEX(生物种群!$B$2:INDEX(生物种群!$B:$B,COUNTA(生物种群!$B:$B)),MATCH($C370,生物种群!$G$2:INDEX(生物种群!$G:$G,COUNTA(生物种群!$G:$G)),),),IF($A370&lt;&gt;0,INDEX(生物种群!$B$2:INDEX(生物种群!$B:$B,COUNTA(生物种群!$B:$B)),MATCH($A370,生物种群!$C$2:INDEX(生物种群!$C:$C,COUNTA(生物种群!$C:$C)),),),INDEX(生物种群!$B$2:INDEX(生物种群!$B:$B,COUNTA(生物种群!$B:$B)),MATCH($B370,生物种群!$D$2:INDEX(生物种群!$D:$D,COUNTA(生物种群!$D:$D)),),))))</f>
        <v/>
      </c>
      <c r="J370" s="37" t="str">
        <f>IF(A370&amp;B370&amp;C370="","",INDEX(生物种群!$J$2:INDEX(生物种群!$J:$J,COUNTA(生物种群!$J:$J)),MATCH($I370,生物种群!$B$2:INDEX(生物种群!$B:$B,COUNTA(生物种群!$B:$B)),),))</f>
        <v/>
      </c>
      <c r="K370" s="37" t="str">
        <f>IF(A370&amp;B370&amp;C370="","",INDEX(生物种群!$E$2:INDEX(生物种群!$E:$E,COUNTA(生物种群!$E:$E)),MATCH($I370,生物种群!$B$2:INDEX(生物种群!$B:$B,COUNTA(生物种群!$B:$B)),),))</f>
        <v/>
      </c>
      <c r="L370" s="37" t="str">
        <f>IF(A370&amp;B370&amp;C370="","",INDEX(生物种群!$F$3:INDEX(生物种群!$F:$F,COUNTA(生物种群!$F:$F)),MATCH($I370,生物种群!$B$3:INDEX(生物种群!$B:$B,COUNTA(生物种群!$B:$B)),),))</f>
        <v/>
      </c>
      <c r="M370" s="37" t="str">
        <f t="shared" si="10"/>
        <v/>
      </c>
      <c r="N370" s="37" t="str">
        <f t="shared" si="11"/>
        <v/>
      </c>
      <c r="O370" s="9"/>
      <c r="P370" s="10"/>
    </row>
    <row r="371" spans="1:16" ht="20.1" customHeight="1">
      <c r="A371" s="9"/>
      <c r="B371" s="9"/>
      <c r="C371" s="9"/>
      <c r="D371" s="43"/>
      <c r="E371" s="9"/>
      <c r="F371" s="9"/>
      <c r="G371" s="47" t="str">
        <f>IF(F371="","",INDEX(站位样品信息!$B$3:INDEX(站位样品信息!$B:$B,COUNTA(站位样品信息!$B:$B)+1),MATCH($F371,站位样品信息!$A$3:INDEX(站位样品信息!$A:$A,COUNTA(站位样品信息!$A:$A)+1),),))</f>
        <v/>
      </c>
      <c r="H371" s="37" t="str">
        <f>IF(A371&amp;B371&amp;C371="","",INDEX(生物种群!$A$2:INDEX(生物种群!$A:$A,COUNTA(生物种群!$A:$A)),MATCH($I371,生物种群!$B$2:INDEX(生物种群!$B:$B,COUNTA(生物种群!$B:$B)),),))</f>
        <v/>
      </c>
      <c r="I371" s="37" t="str">
        <f>IF(A371&amp;B371&amp;C371="","",IF($C371&lt;&gt;0,INDEX(生物种群!$B$2:INDEX(生物种群!$B:$B,COUNTA(生物种群!$B:$B)),MATCH($C371,生物种群!$G$2:INDEX(生物种群!$G:$G,COUNTA(生物种群!$G:$G)),),),IF($A371&lt;&gt;0,INDEX(生物种群!$B$2:INDEX(生物种群!$B:$B,COUNTA(生物种群!$B:$B)),MATCH($A371,生物种群!$C$2:INDEX(生物种群!$C:$C,COUNTA(生物种群!$C:$C)),),),INDEX(生物种群!$B$2:INDEX(生物种群!$B:$B,COUNTA(生物种群!$B:$B)),MATCH($B371,生物种群!$D$2:INDEX(生物种群!$D:$D,COUNTA(生物种群!$D:$D)),),))))</f>
        <v/>
      </c>
      <c r="J371" s="37" t="str">
        <f>IF(A371&amp;B371&amp;C371="","",INDEX(生物种群!$J$2:INDEX(生物种群!$J:$J,COUNTA(生物种群!$J:$J)),MATCH($I371,生物种群!$B$2:INDEX(生物种群!$B:$B,COUNTA(生物种群!$B:$B)),),))</f>
        <v/>
      </c>
      <c r="K371" s="37" t="str">
        <f>IF(A371&amp;B371&amp;C371="","",INDEX(生物种群!$E$2:INDEX(生物种群!$E:$E,COUNTA(生物种群!$E:$E)),MATCH($I371,生物种群!$B$2:INDEX(生物种群!$B:$B,COUNTA(生物种群!$B:$B)),),))</f>
        <v/>
      </c>
      <c r="L371" s="37" t="str">
        <f>IF(A371&amp;B371&amp;C371="","",INDEX(生物种群!$F$3:INDEX(生物种群!$F:$F,COUNTA(生物种群!$F:$F)),MATCH($I371,生物种群!$B$3:INDEX(生物种群!$B:$B,COUNTA(生物种群!$B:$B)),),))</f>
        <v/>
      </c>
      <c r="M371" s="37" t="str">
        <f t="shared" si="10"/>
        <v/>
      </c>
      <c r="N371" s="37" t="str">
        <f t="shared" si="11"/>
        <v/>
      </c>
      <c r="O371" s="9"/>
      <c r="P371" s="10"/>
    </row>
    <row r="372" spans="1:16" ht="20.1" customHeight="1">
      <c r="A372" s="9"/>
      <c r="B372" s="9"/>
      <c r="C372" s="9"/>
      <c r="D372" s="43"/>
      <c r="E372" s="9"/>
      <c r="F372" s="9"/>
      <c r="G372" s="47" t="str">
        <f>IF(F372="","",INDEX(站位样品信息!$B$3:INDEX(站位样品信息!$B:$B,COUNTA(站位样品信息!$B:$B)+1),MATCH($F372,站位样品信息!$A$3:INDEX(站位样品信息!$A:$A,COUNTA(站位样品信息!$A:$A)+1),),))</f>
        <v/>
      </c>
      <c r="H372" s="37" t="str">
        <f>IF(A372&amp;B372&amp;C372="","",INDEX(生物种群!$A$2:INDEX(生物种群!$A:$A,COUNTA(生物种群!$A:$A)),MATCH($I372,生物种群!$B$2:INDEX(生物种群!$B:$B,COUNTA(生物种群!$B:$B)),),))</f>
        <v/>
      </c>
      <c r="I372" s="37" t="str">
        <f>IF(A372&amp;B372&amp;C372="","",IF($C372&lt;&gt;0,INDEX(生物种群!$B$2:INDEX(生物种群!$B:$B,COUNTA(生物种群!$B:$B)),MATCH($C372,生物种群!$G$2:INDEX(生物种群!$G:$G,COUNTA(生物种群!$G:$G)),),),IF($A372&lt;&gt;0,INDEX(生物种群!$B$2:INDEX(生物种群!$B:$B,COUNTA(生物种群!$B:$B)),MATCH($A372,生物种群!$C$2:INDEX(生物种群!$C:$C,COUNTA(生物种群!$C:$C)),),),INDEX(生物种群!$B$2:INDEX(生物种群!$B:$B,COUNTA(生物种群!$B:$B)),MATCH($B372,生物种群!$D$2:INDEX(生物种群!$D:$D,COUNTA(生物种群!$D:$D)),),))))</f>
        <v/>
      </c>
      <c r="J372" s="37" t="str">
        <f>IF(A372&amp;B372&amp;C372="","",INDEX(生物种群!$J$2:INDEX(生物种群!$J:$J,COUNTA(生物种群!$J:$J)),MATCH($I372,生物种群!$B$2:INDEX(生物种群!$B:$B,COUNTA(生物种群!$B:$B)),),))</f>
        <v/>
      </c>
      <c r="K372" s="37" t="str">
        <f>IF(A372&amp;B372&amp;C372="","",INDEX(生物种群!$E$2:INDEX(生物种群!$E:$E,COUNTA(生物种群!$E:$E)),MATCH($I372,生物种群!$B$2:INDEX(生物种群!$B:$B,COUNTA(生物种群!$B:$B)),),))</f>
        <v/>
      </c>
      <c r="L372" s="37" t="str">
        <f>IF(A372&amp;B372&amp;C372="","",INDEX(生物种群!$F$3:INDEX(生物种群!$F:$F,COUNTA(生物种群!$F:$F)),MATCH($I372,生物种群!$B$3:INDEX(生物种群!$B:$B,COUNTA(生物种群!$B:$B)),),))</f>
        <v/>
      </c>
      <c r="M372" s="37" t="str">
        <f t="shared" si="10"/>
        <v/>
      </c>
      <c r="N372" s="37" t="str">
        <f t="shared" si="11"/>
        <v/>
      </c>
      <c r="O372" s="9"/>
      <c r="P372" s="10"/>
    </row>
    <row r="373" spans="1:16" ht="20.1" customHeight="1">
      <c r="A373" s="9"/>
      <c r="B373" s="9"/>
      <c r="C373" s="9"/>
      <c r="D373" s="43"/>
      <c r="E373" s="9"/>
      <c r="F373" s="9"/>
      <c r="G373" s="47" t="str">
        <f>IF(F373="","",INDEX(站位样品信息!$B$3:INDEX(站位样品信息!$B:$B,COUNTA(站位样品信息!$B:$B)+1),MATCH($F373,站位样品信息!$A$3:INDEX(站位样品信息!$A:$A,COUNTA(站位样品信息!$A:$A)+1),),))</f>
        <v/>
      </c>
      <c r="H373" s="37" t="str">
        <f>IF(A373&amp;B373&amp;C373="","",INDEX(生物种群!$A$2:INDEX(生物种群!$A:$A,COUNTA(生物种群!$A:$A)),MATCH($I373,生物种群!$B$2:INDEX(生物种群!$B:$B,COUNTA(生物种群!$B:$B)),),))</f>
        <v/>
      </c>
      <c r="I373" s="37" t="str">
        <f>IF(A373&amp;B373&amp;C373="","",IF($C373&lt;&gt;0,INDEX(生物种群!$B$2:INDEX(生物种群!$B:$B,COUNTA(生物种群!$B:$B)),MATCH($C373,生物种群!$G$2:INDEX(生物种群!$G:$G,COUNTA(生物种群!$G:$G)),),),IF($A373&lt;&gt;0,INDEX(生物种群!$B$2:INDEX(生物种群!$B:$B,COUNTA(生物种群!$B:$B)),MATCH($A373,生物种群!$C$2:INDEX(生物种群!$C:$C,COUNTA(生物种群!$C:$C)),),),INDEX(生物种群!$B$2:INDEX(生物种群!$B:$B,COUNTA(生物种群!$B:$B)),MATCH($B373,生物种群!$D$2:INDEX(生物种群!$D:$D,COUNTA(生物种群!$D:$D)),),))))</f>
        <v/>
      </c>
      <c r="J373" s="37" t="str">
        <f>IF(A373&amp;B373&amp;C373="","",INDEX(生物种群!$J$2:INDEX(生物种群!$J:$J,COUNTA(生物种群!$J:$J)),MATCH($I373,生物种群!$B$2:INDEX(生物种群!$B:$B,COUNTA(生物种群!$B:$B)),),))</f>
        <v/>
      </c>
      <c r="K373" s="37" t="str">
        <f>IF(A373&amp;B373&amp;C373="","",INDEX(生物种群!$E$2:INDEX(生物种群!$E:$E,COUNTA(生物种群!$E:$E)),MATCH($I373,生物种群!$B$2:INDEX(生物种群!$B:$B,COUNTA(生物种群!$B:$B)),),))</f>
        <v/>
      </c>
      <c r="L373" s="37" t="str">
        <f>IF(A373&amp;B373&amp;C373="","",INDEX(生物种群!$F$3:INDEX(生物种群!$F:$F,COUNTA(生物种群!$F:$F)),MATCH($I373,生物种群!$B$3:INDEX(生物种群!$B:$B,COUNTA(生物种群!$B:$B)),),))</f>
        <v/>
      </c>
      <c r="M373" s="37" t="str">
        <f t="shared" si="10"/>
        <v/>
      </c>
      <c r="N373" s="37" t="str">
        <f t="shared" si="11"/>
        <v/>
      </c>
      <c r="O373" s="9"/>
      <c r="P373" s="10"/>
    </row>
    <row r="374" spans="1:16" ht="20.1" customHeight="1">
      <c r="A374" s="9"/>
      <c r="B374" s="9"/>
      <c r="C374" s="9"/>
      <c r="D374" s="43"/>
      <c r="E374" s="9"/>
      <c r="F374" s="9"/>
      <c r="G374" s="47" t="str">
        <f>IF(F374="","",INDEX(站位样品信息!$B$3:INDEX(站位样品信息!$B:$B,COUNTA(站位样品信息!$B:$B)+1),MATCH($F374,站位样品信息!$A$3:INDEX(站位样品信息!$A:$A,COUNTA(站位样品信息!$A:$A)+1),),))</f>
        <v/>
      </c>
      <c r="H374" s="37" t="str">
        <f>IF(A374&amp;B374&amp;C374="","",INDEX(生物种群!$A$2:INDEX(生物种群!$A:$A,COUNTA(生物种群!$A:$A)),MATCH($I374,生物种群!$B$2:INDEX(生物种群!$B:$B,COUNTA(生物种群!$B:$B)),),))</f>
        <v/>
      </c>
      <c r="I374" s="37" t="str">
        <f>IF(A374&amp;B374&amp;C374="","",IF($C374&lt;&gt;0,INDEX(生物种群!$B$2:INDEX(生物种群!$B:$B,COUNTA(生物种群!$B:$B)),MATCH($C374,生物种群!$G$2:INDEX(生物种群!$G:$G,COUNTA(生物种群!$G:$G)),),),IF($A374&lt;&gt;0,INDEX(生物种群!$B$2:INDEX(生物种群!$B:$B,COUNTA(生物种群!$B:$B)),MATCH($A374,生物种群!$C$2:INDEX(生物种群!$C:$C,COUNTA(生物种群!$C:$C)),),),INDEX(生物种群!$B$2:INDEX(生物种群!$B:$B,COUNTA(生物种群!$B:$B)),MATCH($B374,生物种群!$D$2:INDEX(生物种群!$D:$D,COUNTA(生物种群!$D:$D)),),))))</f>
        <v/>
      </c>
      <c r="J374" s="37" t="str">
        <f>IF(A374&amp;B374&amp;C374="","",INDEX(生物种群!$J$2:INDEX(生物种群!$J:$J,COUNTA(生物种群!$J:$J)),MATCH($I374,生物种群!$B$2:INDEX(生物种群!$B:$B,COUNTA(生物种群!$B:$B)),),))</f>
        <v/>
      </c>
      <c r="K374" s="37" t="str">
        <f>IF(A374&amp;B374&amp;C374="","",INDEX(生物种群!$E$2:INDEX(生物种群!$E:$E,COUNTA(生物种群!$E:$E)),MATCH($I374,生物种群!$B$2:INDEX(生物种群!$B:$B,COUNTA(生物种群!$B:$B)),),))</f>
        <v/>
      </c>
      <c r="L374" s="37" t="str">
        <f>IF(A374&amp;B374&amp;C374="","",INDEX(生物种群!$F$3:INDEX(生物种群!$F:$F,COUNTA(生物种群!$F:$F)),MATCH($I374,生物种群!$B$3:INDEX(生物种群!$B:$B,COUNTA(生物种群!$B:$B)),),))</f>
        <v/>
      </c>
      <c r="M374" s="37" t="str">
        <f t="shared" si="10"/>
        <v/>
      </c>
      <c r="N374" s="37" t="str">
        <f t="shared" si="11"/>
        <v/>
      </c>
      <c r="O374" s="9"/>
      <c r="P374" s="10"/>
    </row>
    <row r="375" spans="1:16" ht="20.1" customHeight="1">
      <c r="A375" s="9"/>
      <c r="B375" s="9"/>
      <c r="C375" s="9"/>
      <c r="D375" s="43"/>
      <c r="E375" s="9"/>
      <c r="F375" s="9"/>
      <c r="G375" s="47" t="str">
        <f>IF(F375="","",INDEX(站位样品信息!$B$3:INDEX(站位样品信息!$B:$B,COUNTA(站位样品信息!$B:$B)+1),MATCH($F375,站位样品信息!$A$3:INDEX(站位样品信息!$A:$A,COUNTA(站位样品信息!$A:$A)+1),),))</f>
        <v/>
      </c>
      <c r="H375" s="37" t="str">
        <f>IF(A375&amp;B375&amp;C375="","",INDEX(生物种群!$A$2:INDEX(生物种群!$A:$A,COUNTA(生物种群!$A:$A)),MATCH($I375,生物种群!$B$2:INDEX(生物种群!$B:$B,COUNTA(生物种群!$B:$B)),),))</f>
        <v/>
      </c>
      <c r="I375" s="37" t="str">
        <f>IF(A375&amp;B375&amp;C375="","",IF($C375&lt;&gt;0,INDEX(生物种群!$B$2:INDEX(生物种群!$B:$B,COUNTA(生物种群!$B:$B)),MATCH($C375,生物种群!$G$2:INDEX(生物种群!$G:$G,COUNTA(生物种群!$G:$G)),),),IF($A375&lt;&gt;0,INDEX(生物种群!$B$2:INDEX(生物种群!$B:$B,COUNTA(生物种群!$B:$B)),MATCH($A375,生物种群!$C$2:INDEX(生物种群!$C:$C,COUNTA(生物种群!$C:$C)),),),INDEX(生物种群!$B$2:INDEX(生物种群!$B:$B,COUNTA(生物种群!$B:$B)),MATCH($B375,生物种群!$D$2:INDEX(生物种群!$D:$D,COUNTA(生物种群!$D:$D)),),))))</f>
        <v/>
      </c>
      <c r="J375" s="37" t="str">
        <f>IF(A375&amp;B375&amp;C375="","",INDEX(生物种群!$J$2:INDEX(生物种群!$J:$J,COUNTA(生物种群!$J:$J)),MATCH($I375,生物种群!$B$2:INDEX(生物种群!$B:$B,COUNTA(生物种群!$B:$B)),),))</f>
        <v/>
      </c>
      <c r="K375" s="37" t="str">
        <f>IF(A375&amp;B375&amp;C375="","",INDEX(生物种群!$E$2:INDEX(生物种群!$E:$E,COUNTA(生物种群!$E:$E)),MATCH($I375,生物种群!$B$2:INDEX(生物种群!$B:$B,COUNTA(生物种群!$B:$B)),),))</f>
        <v/>
      </c>
      <c r="L375" s="37" t="str">
        <f>IF(A375&amp;B375&amp;C375="","",INDEX(生物种群!$F$3:INDEX(生物种群!$F:$F,COUNTA(生物种群!$F:$F)),MATCH($I375,生物种群!$B$3:INDEX(生物种群!$B:$B,COUNTA(生物种群!$B:$B)),),))</f>
        <v/>
      </c>
      <c r="M375" s="37" t="str">
        <f t="shared" si="10"/>
        <v/>
      </c>
      <c r="N375" s="37" t="str">
        <f t="shared" si="11"/>
        <v/>
      </c>
      <c r="O375" s="9"/>
      <c r="P375" s="10"/>
    </row>
    <row r="376" spans="1:16" ht="20.1" customHeight="1">
      <c r="A376" s="9"/>
      <c r="B376" s="9"/>
      <c r="C376" s="9"/>
      <c r="D376" s="43"/>
      <c r="E376" s="9"/>
      <c r="F376" s="9"/>
      <c r="G376" s="47" t="str">
        <f>IF(F376="","",INDEX(站位样品信息!$B$3:INDEX(站位样品信息!$B:$B,COUNTA(站位样品信息!$B:$B)+1),MATCH($F376,站位样品信息!$A$3:INDEX(站位样品信息!$A:$A,COUNTA(站位样品信息!$A:$A)+1),),))</f>
        <v/>
      </c>
      <c r="H376" s="37" t="str">
        <f>IF(A376&amp;B376&amp;C376="","",INDEX(生物种群!$A$2:INDEX(生物种群!$A:$A,COUNTA(生物种群!$A:$A)),MATCH($I376,生物种群!$B$2:INDEX(生物种群!$B:$B,COUNTA(生物种群!$B:$B)),),))</f>
        <v/>
      </c>
      <c r="I376" s="37" t="str">
        <f>IF(A376&amp;B376&amp;C376="","",IF($C376&lt;&gt;0,INDEX(生物种群!$B$2:INDEX(生物种群!$B:$B,COUNTA(生物种群!$B:$B)),MATCH($C376,生物种群!$G$2:INDEX(生物种群!$G:$G,COUNTA(生物种群!$G:$G)),),),IF($A376&lt;&gt;0,INDEX(生物种群!$B$2:INDEX(生物种群!$B:$B,COUNTA(生物种群!$B:$B)),MATCH($A376,生物种群!$C$2:INDEX(生物种群!$C:$C,COUNTA(生物种群!$C:$C)),),),INDEX(生物种群!$B$2:INDEX(生物种群!$B:$B,COUNTA(生物种群!$B:$B)),MATCH($B376,生物种群!$D$2:INDEX(生物种群!$D:$D,COUNTA(生物种群!$D:$D)),),))))</f>
        <v/>
      </c>
      <c r="J376" s="37" t="str">
        <f>IF(A376&amp;B376&amp;C376="","",INDEX(生物种群!$J$2:INDEX(生物种群!$J:$J,COUNTA(生物种群!$J:$J)),MATCH($I376,生物种群!$B$2:INDEX(生物种群!$B:$B,COUNTA(生物种群!$B:$B)),),))</f>
        <v/>
      </c>
      <c r="K376" s="37" t="str">
        <f>IF(A376&amp;B376&amp;C376="","",INDEX(生物种群!$E$2:INDEX(生物种群!$E:$E,COUNTA(生物种群!$E:$E)),MATCH($I376,生物种群!$B$2:INDEX(生物种群!$B:$B,COUNTA(生物种群!$B:$B)),),))</f>
        <v/>
      </c>
      <c r="L376" s="37" t="str">
        <f>IF(A376&amp;B376&amp;C376="","",INDEX(生物种群!$F$3:INDEX(生物种群!$F:$F,COUNTA(生物种群!$F:$F)),MATCH($I376,生物种群!$B$3:INDEX(生物种群!$B:$B,COUNTA(生物种群!$B:$B)),),))</f>
        <v/>
      </c>
      <c r="M376" s="37" t="str">
        <f t="shared" si="10"/>
        <v/>
      </c>
      <c r="N376" s="37" t="str">
        <f t="shared" si="11"/>
        <v/>
      </c>
      <c r="O376" s="9"/>
      <c r="P376" s="10"/>
    </row>
    <row r="377" spans="1:16" ht="20.1" customHeight="1">
      <c r="A377" s="9"/>
      <c r="B377" s="9"/>
      <c r="C377" s="9"/>
      <c r="D377" s="43"/>
      <c r="E377" s="9"/>
      <c r="F377" s="9"/>
      <c r="G377" s="47" t="str">
        <f>IF(F377="","",INDEX(站位样品信息!$B$3:INDEX(站位样品信息!$B:$B,COUNTA(站位样品信息!$B:$B)+1),MATCH($F377,站位样品信息!$A$3:INDEX(站位样品信息!$A:$A,COUNTA(站位样品信息!$A:$A)+1),),))</f>
        <v/>
      </c>
      <c r="H377" s="37" t="str">
        <f>IF(A377&amp;B377&amp;C377="","",INDEX(生物种群!$A$2:INDEX(生物种群!$A:$A,COUNTA(生物种群!$A:$A)),MATCH($I377,生物种群!$B$2:INDEX(生物种群!$B:$B,COUNTA(生物种群!$B:$B)),),))</f>
        <v/>
      </c>
      <c r="I377" s="37" t="str">
        <f>IF(A377&amp;B377&amp;C377="","",IF($C377&lt;&gt;0,INDEX(生物种群!$B$2:INDEX(生物种群!$B:$B,COUNTA(生物种群!$B:$B)),MATCH($C377,生物种群!$G$2:INDEX(生物种群!$G:$G,COUNTA(生物种群!$G:$G)),),),IF($A377&lt;&gt;0,INDEX(生物种群!$B$2:INDEX(生物种群!$B:$B,COUNTA(生物种群!$B:$B)),MATCH($A377,生物种群!$C$2:INDEX(生物种群!$C:$C,COUNTA(生物种群!$C:$C)),),),INDEX(生物种群!$B$2:INDEX(生物种群!$B:$B,COUNTA(生物种群!$B:$B)),MATCH($B377,生物种群!$D$2:INDEX(生物种群!$D:$D,COUNTA(生物种群!$D:$D)),),))))</f>
        <v/>
      </c>
      <c r="J377" s="37" t="str">
        <f>IF(A377&amp;B377&amp;C377="","",INDEX(生物种群!$J$2:INDEX(生物种群!$J:$J,COUNTA(生物种群!$J:$J)),MATCH($I377,生物种群!$B$2:INDEX(生物种群!$B:$B,COUNTA(生物种群!$B:$B)),),))</f>
        <v/>
      </c>
      <c r="K377" s="37" t="str">
        <f>IF(A377&amp;B377&amp;C377="","",INDEX(生物种群!$E$2:INDEX(生物种群!$E:$E,COUNTA(生物种群!$E:$E)),MATCH($I377,生物种群!$B$2:INDEX(生物种群!$B:$B,COUNTA(生物种群!$B:$B)),),))</f>
        <v/>
      </c>
      <c r="L377" s="37" t="str">
        <f>IF(A377&amp;B377&amp;C377="","",INDEX(生物种群!$F$3:INDEX(生物种群!$F:$F,COUNTA(生物种群!$F:$F)),MATCH($I377,生物种群!$B$3:INDEX(生物种群!$B:$B,COUNTA(生物种群!$B:$B)),),))</f>
        <v/>
      </c>
      <c r="M377" s="37" t="str">
        <f t="shared" si="10"/>
        <v/>
      </c>
      <c r="N377" s="37" t="str">
        <f t="shared" si="11"/>
        <v/>
      </c>
      <c r="O377" s="9"/>
      <c r="P377" s="10"/>
    </row>
    <row r="378" spans="1:16" ht="20.1" customHeight="1">
      <c r="A378" s="9"/>
      <c r="B378" s="9"/>
      <c r="C378" s="9"/>
      <c r="D378" s="43"/>
      <c r="E378" s="9"/>
      <c r="F378" s="9"/>
      <c r="G378" s="47" t="str">
        <f>IF(F378="","",INDEX(站位样品信息!$B$3:INDEX(站位样品信息!$B:$B,COUNTA(站位样品信息!$B:$B)+1),MATCH($F378,站位样品信息!$A$3:INDEX(站位样品信息!$A:$A,COUNTA(站位样品信息!$A:$A)+1),),))</f>
        <v/>
      </c>
      <c r="H378" s="37" t="str">
        <f>IF(A378&amp;B378&amp;C378="","",INDEX(生物种群!$A$2:INDEX(生物种群!$A:$A,COUNTA(生物种群!$A:$A)),MATCH($I378,生物种群!$B$2:INDEX(生物种群!$B:$B,COUNTA(生物种群!$B:$B)),),))</f>
        <v/>
      </c>
      <c r="I378" s="37" t="str">
        <f>IF(A378&amp;B378&amp;C378="","",IF($C378&lt;&gt;0,INDEX(生物种群!$B$2:INDEX(生物种群!$B:$B,COUNTA(生物种群!$B:$B)),MATCH($C378,生物种群!$G$2:INDEX(生物种群!$G:$G,COUNTA(生物种群!$G:$G)),),),IF($A378&lt;&gt;0,INDEX(生物种群!$B$2:INDEX(生物种群!$B:$B,COUNTA(生物种群!$B:$B)),MATCH($A378,生物种群!$C$2:INDEX(生物种群!$C:$C,COUNTA(生物种群!$C:$C)),),),INDEX(生物种群!$B$2:INDEX(生物种群!$B:$B,COUNTA(生物种群!$B:$B)),MATCH($B378,生物种群!$D$2:INDEX(生物种群!$D:$D,COUNTA(生物种群!$D:$D)),),))))</f>
        <v/>
      </c>
      <c r="J378" s="37" t="str">
        <f>IF(A378&amp;B378&amp;C378="","",INDEX(生物种群!$J$2:INDEX(生物种群!$J:$J,COUNTA(生物种群!$J:$J)),MATCH($I378,生物种群!$B$2:INDEX(生物种群!$B:$B,COUNTA(生物种群!$B:$B)),),))</f>
        <v/>
      </c>
      <c r="K378" s="37" t="str">
        <f>IF(A378&amp;B378&amp;C378="","",INDEX(生物种群!$E$2:INDEX(生物种群!$E:$E,COUNTA(生物种群!$E:$E)),MATCH($I378,生物种群!$B$2:INDEX(生物种群!$B:$B,COUNTA(生物种群!$B:$B)),),))</f>
        <v/>
      </c>
      <c r="L378" s="37" t="str">
        <f>IF(A378&amp;B378&amp;C378="","",INDEX(生物种群!$F$3:INDEX(生物种群!$F:$F,COUNTA(生物种群!$F:$F)),MATCH($I378,生物种群!$B$3:INDEX(生物种群!$B:$B,COUNTA(生物种群!$B:$B)),),))</f>
        <v/>
      </c>
      <c r="M378" s="37" t="str">
        <f t="shared" si="10"/>
        <v/>
      </c>
      <c r="N378" s="37" t="str">
        <f t="shared" si="11"/>
        <v/>
      </c>
      <c r="O378" s="9"/>
      <c r="P378" s="10"/>
    </row>
    <row r="379" spans="1:16" ht="20.1" customHeight="1">
      <c r="A379" s="9"/>
      <c r="B379" s="9"/>
      <c r="C379" s="9"/>
      <c r="D379" s="43"/>
      <c r="E379" s="9"/>
      <c r="F379" s="9"/>
      <c r="G379" s="47" t="str">
        <f>IF(F379="","",INDEX(站位样品信息!$B$3:INDEX(站位样品信息!$B:$B,COUNTA(站位样品信息!$B:$B)+1),MATCH($F379,站位样品信息!$A$3:INDEX(站位样品信息!$A:$A,COUNTA(站位样品信息!$A:$A)+1),),))</f>
        <v/>
      </c>
      <c r="H379" s="37" t="str">
        <f>IF(A379&amp;B379&amp;C379="","",INDEX(生物种群!$A$2:INDEX(生物种群!$A:$A,COUNTA(生物种群!$A:$A)),MATCH($I379,生物种群!$B$2:INDEX(生物种群!$B:$B,COUNTA(生物种群!$B:$B)),),))</f>
        <v/>
      </c>
      <c r="I379" s="37" t="str">
        <f>IF(A379&amp;B379&amp;C379="","",IF($C379&lt;&gt;0,INDEX(生物种群!$B$2:INDEX(生物种群!$B:$B,COUNTA(生物种群!$B:$B)),MATCH($C379,生物种群!$G$2:INDEX(生物种群!$G:$G,COUNTA(生物种群!$G:$G)),),),IF($A379&lt;&gt;0,INDEX(生物种群!$B$2:INDEX(生物种群!$B:$B,COUNTA(生物种群!$B:$B)),MATCH($A379,生物种群!$C$2:INDEX(生物种群!$C:$C,COUNTA(生物种群!$C:$C)),),),INDEX(生物种群!$B$2:INDEX(生物种群!$B:$B,COUNTA(生物种群!$B:$B)),MATCH($B379,生物种群!$D$2:INDEX(生物种群!$D:$D,COUNTA(生物种群!$D:$D)),),))))</f>
        <v/>
      </c>
      <c r="J379" s="37" t="str">
        <f>IF(A379&amp;B379&amp;C379="","",INDEX(生物种群!$J$2:INDEX(生物种群!$J:$J,COUNTA(生物种群!$J:$J)),MATCH($I379,生物种群!$B$2:INDEX(生物种群!$B:$B,COUNTA(生物种群!$B:$B)),),))</f>
        <v/>
      </c>
      <c r="K379" s="37" t="str">
        <f>IF(A379&amp;B379&amp;C379="","",INDEX(生物种群!$E$2:INDEX(生物种群!$E:$E,COUNTA(生物种群!$E:$E)),MATCH($I379,生物种群!$B$2:INDEX(生物种群!$B:$B,COUNTA(生物种群!$B:$B)),),))</f>
        <v/>
      </c>
      <c r="L379" s="37" t="str">
        <f>IF(A379&amp;B379&amp;C379="","",INDEX(生物种群!$F$3:INDEX(生物种群!$F:$F,COUNTA(生物种群!$F:$F)),MATCH($I379,生物种群!$B$3:INDEX(生物种群!$B:$B,COUNTA(生物种群!$B:$B)),),))</f>
        <v/>
      </c>
      <c r="M379" s="37" t="str">
        <f t="shared" si="10"/>
        <v/>
      </c>
      <c r="N379" s="37" t="str">
        <f t="shared" si="11"/>
        <v/>
      </c>
      <c r="O379" s="9"/>
      <c r="P379" s="10"/>
    </row>
    <row r="380" spans="1:16" ht="20.1" customHeight="1">
      <c r="A380" s="9"/>
      <c r="B380" s="9"/>
      <c r="C380" s="9"/>
      <c r="D380" s="43"/>
      <c r="E380" s="9"/>
      <c r="F380" s="9"/>
      <c r="G380" s="47" t="str">
        <f>IF(F380="","",INDEX(站位样品信息!$B$3:INDEX(站位样品信息!$B:$B,COUNTA(站位样品信息!$B:$B)+1),MATCH($F380,站位样品信息!$A$3:INDEX(站位样品信息!$A:$A,COUNTA(站位样品信息!$A:$A)+1),),))</f>
        <v/>
      </c>
      <c r="H380" s="37" t="str">
        <f>IF(A380&amp;B380&amp;C380="","",INDEX(生物种群!$A$2:INDEX(生物种群!$A:$A,COUNTA(生物种群!$A:$A)),MATCH($I380,生物种群!$B$2:INDEX(生物种群!$B:$B,COUNTA(生物种群!$B:$B)),),))</f>
        <v/>
      </c>
      <c r="I380" s="37" t="str">
        <f>IF(A380&amp;B380&amp;C380="","",IF($C380&lt;&gt;0,INDEX(生物种群!$B$2:INDEX(生物种群!$B:$B,COUNTA(生物种群!$B:$B)),MATCH($C380,生物种群!$G$2:INDEX(生物种群!$G:$G,COUNTA(生物种群!$G:$G)),),),IF($A380&lt;&gt;0,INDEX(生物种群!$B$2:INDEX(生物种群!$B:$B,COUNTA(生物种群!$B:$B)),MATCH($A380,生物种群!$C$2:INDEX(生物种群!$C:$C,COUNTA(生物种群!$C:$C)),),),INDEX(生物种群!$B$2:INDEX(生物种群!$B:$B,COUNTA(生物种群!$B:$B)),MATCH($B380,生物种群!$D$2:INDEX(生物种群!$D:$D,COUNTA(生物种群!$D:$D)),),))))</f>
        <v/>
      </c>
      <c r="J380" s="37" t="str">
        <f>IF(A380&amp;B380&amp;C380="","",INDEX(生物种群!$J$2:INDEX(生物种群!$J:$J,COUNTA(生物种群!$J:$J)),MATCH($I380,生物种群!$B$2:INDEX(生物种群!$B:$B,COUNTA(生物种群!$B:$B)),),))</f>
        <v/>
      </c>
      <c r="K380" s="37" t="str">
        <f>IF(A380&amp;B380&amp;C380="","",INDEX(生物种群!$E$2:INDEX(生物种群!$E:$E,COUNTA(生物种群!$E:$E)),MATCH($I380,生物种群!$B$2:INDEX(生物种群!$B:$B,COUNTA(生物种群!$B:$B)),),))</f>
        <v/>
      </c>
      <c r="L380" s="37" t="str">
        <f>IF(A380&amp;B380&amp;C380="","",INDEX(生物种群!$F$3:INDEX(生物种群!$F:$F,COUNTA(生物种群!$F:$F)),MATCH($I380,生物种群!$B$3:INDEX(生物种群!$B:$B,COUNTA(生物种群!$B:$B)),),))</f>
        <v/>
      </c>
      <c r="M380" s="37" t="str">
        <f t="shared" si="10"/>
        <v/>
      </c>
      <c r="N380" s="37" t="str">
        <f t="shared" si="11"/>
        <v/>
      </c>
      <c r="O380" s="9"/>
      <c r="P380" s="10"/>
    </row>
    <row r="381" spans="1:16" ht="20.1" customHeight="1">
      <c r="A381" s="9"/>
      <c r="B381" s="9"/>
      <c r="C381" s="9"/>
      <c r="D381" s="43"/>
      <c r="E381" s="9"/>
      <c r="F381" s="9"/>
      <c r="G381" s="47" t="str">
        <f>IF(F381="","",INDEX(站位样品信息!$B$3:INDEX(站位样品信息!$B:$B,COUNTA(站位样品信息!$B:$B)+1),MATCH($F381,站位样品信息!$A$3:INDEX(站位样品信息!$A:$A,COUNTA(站位样品信息!$A:$A)+1),),))</f>
        <v/>
      </c>
      <c r="H381" s="37" t="str">
        <f>IF(A381&amp;B381&amp;C381="","",INDEX(生物种群!$A$2:INDEX(生物种群!$A:$A,COUNTA(生物种群!$A:$A)),MATCH($I381,生物种群!$B$2:INDEX(生物种群!$B:$B,COUNTA(生物种群!$B:$B)),),))</f>
        <v/>
      </c>
      <c r="I381" s="37" t="str">
        <f>IF(A381&amp;B381&amp;C381="","",IF($C381&lt;&gt;0,INDEX(生物种群!$B$2:INDEX(生物种群!$B:$B,COUNTA(生物种群!$B:$B)),MATCH($C381,生物种群!$G$2:INDEX(生物种群!$G:$G,COUNTA(生物种群!$G:$G)),),),IF($A381&lt;&gt;0,INDEX(生物种群!$B$2:INDEX(生物种群!$B:$B,COUNTA(生物种群!$B:$B)),MATCH($A381,生物种群!$C$2:INDEX(生物种群!$C:$C,COUNTA(生物种群!$C:$C)),),),INDEX(生物种群!$B$2:INDEX(生物种群!$B:$B,COUNTA(生物种群!$B:$B)),MATCH($B381,生物种群!$D$2:INDEX(生物种群!$D:$D,COUNTA(生物种群!$D:$D)),),))))</f>
        <v/>
      </c>
      <c r="J381" s="37" t="str">
        <f>IF(A381&amp;B381&amp;C381="","",INDEX(生物种群!$J$2:INDEX(生物种群!$J:$J,COUNTA(生物种群!$J:$J)),MATCH($I381,生物种群!$B$2:INDEX(生物种群!$B:$B,COUNTA(生物种群!$B:$B)),),))</f>
        <v/>
      </c>
      <c r="K381" s="37" t="str">
        <f>IF(A381&amp;B381&amp;C381="","",INDEX(生物种群!$E$2:INDEX(生物种群!$E:$E,COUNTA(生物种群!$E:$E)),MATCH($I381,生物种群!$B$2:INDEX(生物种群!$B:$B,COUNTA(生物种群!$B:$B)),),))</f>
        <v/>
      </c>
      <c r="L381" s="37" t="str">
        <f>IF(A381&amp;B381&amp;C381="","",INDEX(生物种群!$F$3:INDEX(生物种群!$F:$F,COUNTA(生物种群!$F:$F)),MATCH($I381,生物种群!$B$3:INDEX(生物种群!$B:$B,COUNTA(生物种群!$B:$B)),),))</f>
        <v/>
      </c>
      <c r="M381" s="37" t="str">
        <f t="shared" si="10"/>
        <v/>
      </c>
      <c r="N381" s="37" t="str">
        <f t="shared" si="11"/>
        <v/>
      </c>
      <c r="O381" s="9"/>
      <c r="P381" s="10"/>
    </row>
    <row r="382" spans="1:16" ht="20.1" customHeight="1">
      <c r="A382" s="9"/>
      <c r="B382" s="9"/>
      <c r="C382" s="9"/>
      <c r="D382" s="43"/>
      <c r="E382" s="9"/>
      <c r="F382" s="9"/>
      <c r="G382" s="47" t="str">
        <f>IF(F382="","",INDEX(站位样品信息!$B$3:INDEX(站位样品信息!$B:$B,COUNTA(站位样品信息!$B:$B)+1),MATCH($F382,站位样品信息!$A$3:INDEX(站位样品信息!$A:$A,COUNTA(站位样品信息!$A:$A)+1),),))</f>
        <v/>
      </c>
      <c r="H382" s="37" t="str">
        <f>IF(A382&amp;B382&amp;C382="","",INDEX(生物种群!$A$2:INDEX(生物种群!$A:$A,COUNTA(生物种群!$A:$A)),MATCH($I382,生物种群!$B$2:INDEX(生物种群!$B:$B,COUNTA(生物种群!$B:$B)),),))</f>
        <v/>
      </c>
      <c r="I382" s="37" t="str">
        <f>IF(A382&amp;B382&amp;C382="","",IF($C382&lt;&gt;0,INDEX(生物种群!$B$2:INDEX(生物种群!$B:$B,COUNTA(生物种群!$B:$B)),MATCH($C382,生物种群!$G$2:INDEX(生物种群!$G:$G,COUNTA(生物种群!$G:$G)),),),IF($A382&lt;&gt;0,INDEX(生物种群!$B$2:INDEX(生物种群!$B:$B,COUNTA(生物种群!$B:$B)),MATCH($A382,生物种群!$C$2:INDEX(生物种群!$C:$C,COUNTA(生物种群!$C:$C)),),),INDEX(生物种群!$B$2:INDEX(生物种群!$B:$B,COUNTA(生物种群!$B:$B)),MATCH($B382,生物种群!$D$2:INDEX(生物种群!$D:$D,COUNTA(生物种群!$D:$D)),),))))</f>
        <v/>
      </c>
      <c r="J382" s="37" t="str">
        <f>IF(A382&amp;B382&amp;C382="","",INDEX(生物种群!$J$2:INDEX(生物种群!$J:$J,COUNTA(生物种群!$J:$J)),MATCH($I382,生物种群!$B$2:INDEX(生物种群!$B:$B,COUNTA(生物种群!$B:$B)),),))</f>
        <v/>
      </c>
      <c r="K382" s="37" t="str">
        <f>IF(A382&amp;B382&amp;C382="","",INDEX(生物种群!$E$2:INDEX(生物种群!$E:$E,COUNTA(生物种群!$E:$E)),MATCH($I382,生物种群!$B$2:INDEX(生物种群!$B:$B,COUNTA(生物种群!$B:$B)),),))</f>
        <v/>
      </c>
      <c r="L382" s="37" t="str">
        <f>IF(A382&amp;B382&amp;C382="","",INDEX(生物种群!$F$3:INDEX(生物种群!$F:$F,COUNTA(生物种群!$F:$F)),MATCH($I382,生物种群!$B$3:INDEX(生物种群!$B:$B,COUNTA(生物种群!$B:$B)),),))</f>
        <v/>
      </c>
      <c r="M382" s="37" t="str">
        <f t="shared" si="10"/>
        <v/>
      </c>
      <c r="N382" s="37" t="str">
        <f t="shared" si="11"/>
        <v/>
      </c>
      <c r="O382" s="9"/>
      <c r="P382" s="10"/>
    </row>
    <row r="383" spans="1:16" ht="20.1" customHeight="1">
      <c r="A383" s="9"/>
      <c r="B383" s="9"/>
      <c r="C383" s="9"/>
      <c r="D383" s="43"/>
      <c r="E383" s="9"/>
      <c r="F383" s="9"/>
      <c r="G383" s="47" t="str">
        <f>IF(F383="","",INDEX(站位样品信息!$B$3:INDEX(站位样品信息!$B:$B,COUNTA(站位样品信息!$B:$B)+1),MATCH($F383,站位样品信息!$A$3:INDEX(站位样品信息!$A:$A,COUNTA(站位样品信息!$A:$A)+1),),))</f>
        <v/>
      </c>
      <c r="H383" s="37" t="str">
        <f>IF(A383&amp;B383&amp;C383="","",INDEX(生物种群!$A$2:INDEX(生物种群!$A:$A,COUNTA(生物种群!$A:$A)),MATCH($I383,生物种群!$B$2:INDEX(生物种群!$B:$B,COUNTA(生物种群!$B:$B)),),))</f>
        <v/>
      </c>
      <c r="I383" s="37" t="str">
        <f>IF(A383&amp;B383&amp;C383="","",IF($C383&lt;&gt;0,INDEX(生物种群!$B$2:INDEX(生物种群!$B:$B,COUNTA(生物种群!$B:$B)),MATCH($C383,生物种群!$G$2:INDEX(生物种群!$G:$G,COUNTA(生物种群!$G:$G)),),),IF($A383&lt;&gt;0,INDEX(生物种群!$B$2:INDEX(生物种群!$B:$B,COUNTA(生物种群!$B:$B)),MATCH($A383,生物种群!$C$2:INDEX(生物种群!$C:$C,COUNTA(生物种群!$C:$C)),),),INDEX(生物种群!$B$2:INDEX(生物种群!$B:$B,COUNTA(生物种群!$B:$B)),MATCH($B383,生物种群!$D$2:INDEX(生物种群!$D:$D,COUNTA(生物种群!$D:$D)),),))))</f>
        <v/>
      </c>
      <c r="J383" s="37" t="str">
        <f>IF(A383&amp;B383&amp;C383="","",INDEX(生物种群!$J$2:INDEX(生物种群!$J:$J,COUNTA(生物种群!$J:$J)),MATCH($I383,生物种群!$B$2:INDEX(生物种群!$B:$B,COUNTA(生物种群!$B:$B)),),))</f>
        <v/>
      </c>
      <c r="K383" s="37" t="str">
        <f>IF(A383&amp;B383&amp;C383="","",INDEX(生物种群!$E$2:INDEX(生物种群!$E:$E,COUNTA(生物种群!$E:$E)),MATCH($I383,生物种群!$B$2:INDEX(生物种群!$B:$B,COUNTA(生物种群!$B:$B)),),))</f>
        <v/>
      </c>
      <c r="L383" s="37" t="str">
        <f>IF(A383&amp;B383&amp;C383="","",INDEX(生物种群!$F$3:INDEX(生物种群!$F:$F,COUNTA(生物种群!$F:$F)),MATCH($I383,生物种群!$B$3:INDEX(生物种群!$B:$B,COUNTA(生物种群!$B:$B)),),))</f>
        <v/>
      </c>
      <c r="M383" s="37" t="str">
        <f t="shared" si="10"/>
        <v/>
      </c>
      <c r="N383" s="37" t="str">
        <f t="shared" si="11"/>
        <v/>
      </c>
      <c r="O383" s="9"/>
      <c r="P383" s="10"/>
    </row>
    <row r="384" spans="1:16" ht="20.1" customHeight="1">
      <c r="A384" s="9"/>
      <c r="B384" s="9"/>
      <c r="C384" s="9"/>
      <c r="D384" s="43"/>
      <c r="E384" s="9"/>
      <c r="F384" s="9"/>
      <c r="G384" s="47" t="str">
        <f>IF(F384="","",INDEX(站位样品信息!$B$3:INDEX(站位样品信息!$B:$B,COUNTA(站位样品信息!$B:$B)+1),MATCH($F384,站位样品信息!$A$3:INDEX(站位样品信息!$A:$A,COUNTA(站位样品信息!$A:$A)+1),),))</f>
        <v/>
      </c>
      <c r="H384" s="37" t="str">
        <f>IF(A384&amp;B384&amp;C384="","",INDEX(生物种群!$A$2:INDEX(生物种群!$A:$A,COUNTA(生物种群!$A:$A)),MATCH($I384,生物种群!$B$2:INDEX(生物种群!$B:$B,COUNTA(生物种群!$B:$B)),),))</f>
        <v/>
      </c>
      <c r="I384" s="37" t="str">
        <f>IF(A384&amp;B384&amp;C384="","",IF($C384&lt;&gt;0,INDEX(生物种群!$B$2:INDEX(生物种群!$B:$B,COUNTA(生物种群!$B:$B)),MATCH($C384,生物种群!$G$2:INDEX(生物种群!$G:$G,COUNTA(生物种群!$G:$G)),),),IF($A384&lt;&gt;0,INDEX(生物种群!$B$2:INDEX(生物种群!$B:$B,COUNTA(生物种群!$B:$B)),MATCH($A384,生物种群!$C$2:INDEX(生物种群!$C:$C,COUNTA(生物种群!$C:$C)),),),INDEX(生物种群!$B$2:INDEX(生物种群!$B:$B,COUNTA(生物种群!$B:$B)),MATCH($B384,生物种群!$D$2:INDEX(生物种群!$D:$D,COUNTA(生物种群!$D:$D)),),))))</f>
        <v/>
      </c>
      <c r="J384" s="37" t="str">
        <f>IF(A384&amp;B384&amp;C384="","",INDEX(生物种群!$J$2:INDEX(生物种群!$J:$J,COUNTA(生物种群!$J:$J)),MATCH($I384,生物种群!$B$2:INDEX(生物种群!$B:$B,COUNTA(生物种群!$B:$B)),),))</f>
        <v/>
      </c>
      <c r="K384" s="37" t="str">
        <f>IF(A384&amp;B384&amp;C384="","",INDEX(生物种群!$E$2:INDEX(生物种群!$E:$E,COUNTA(生物种群!$E:$E)),MATCH($I384,生物种群!$B$2:INDEX(生物种群!$B:$B,COUNTA(生物种群!$B:$B)),),))</f>
        <v/>
      </c>
      <c r="L384" s="37" t="str">
        <f>IF(A384&amp;B384&amp;C384="","",INDEX(生物种群!$F$3:INDEX(生物种群!$F:$F,COUNTA(生物种群!$F:$F)),MATCH($I384,生物种群!$B$3:INDEX(生物种群!$B:$B,COUNTA(生物种群!$B:$B)),),))</f>
        <v/>
      </c>
      <c r="M384" s="37" t="str">
        <f t="shared" si="10"/>
        <v/>
      </c>
      <c r="N384" s="37" t="str">
        <f t="shared" si="11"/>
        <v/>
      </c>
      <c r="O384" s="9"/>
      <c r="P384" s="10"/>
    </row>
    <row r="385" spans="1:16" ht="20.1" customHeight="1">
      <c r="A385" s="9"/>
      <c r="B385" s="9"/>
      <c r="C385" s="9"/>
      <c r="D385" s="43"/>
      <c r="E385" s="9"/>
      <c r="F385" s="9"/>
      <c r="G385" s="47" t="str">
        <f>IF(F385="","",INDEX(站位样品信息!$B$3:INDEX(站位样品信息!$B:$B,COUNTA(站位样品信息!$B:$B)+1),MATCH($F385,站位样品信息!$A$3:INDEX(站位样品信息!$A:$A,COUNTA(站位样品信息!$A:$A)+1),),))</f>
        <v/>
      </c>
      <c r="H385" s="37" t="str">
        <f>IF(A385&amp;B385&amp;C385="","",INDEX(生物种群!$A$2:INDEX(生物种群!$A:$A,COUNTA(生物种群!$A:$A)),MATCH($I385,生物种群!$B$2:INDEX(生物种群!$B:$B,COUNTA(生物种群!$B:$B)),),))</f>
        <v/>
      </c>
      <c r="I385" s="37" t="str">
        <f>IF(A385&amp;B385&amp;C385="","",IF($C385&lt;&gt;0,INDEX(生物种群!$B$2:INDEX(生物种群!$B:$B,COUNTA(生物种群!$B:$B)),MATCH($C385,生物种群!$G$2:INDEX(生物种群!$G:$G,COUNTA(生物种群!$G:$G)),),),IF($A385&lt;&gt;0,INDEX(生物种群!$B$2:INDEX(生物种群!$B:$B,COUNTA(生物种群!$B:$B)),MATCH($A385,生物种群!$C$2:INDEX(生物种群!$C:$C,COUNTA(生物种群!$C:$C)),),),INDEX(生物种群!$B$2:INDEX(生物种群!$B:$B,COUNTA(生物种群!$B:$B)),MATCH($B385,生物种群!$D$2:INDEX(生物种群!$D:$D,COUNTA(生物种群!$D:$D)),),))))</f>
        <v/>
      </c>
      <c r="J385" s="37" t="str">
        <f>IF(A385&amp;B385&amp;C385="","",INDEX(生物种群!$J$2:INDEX(生物种群!$J:$J,COUNTA(生物种群!$J:$J)),MATCH($I385,生物种群!$B$2:INDEX(生物种群!$B:$B,COUNTA(生物种群!$B:$B)),),))</f>
        <v/>
      </c>
      <c r="K385" s="37" t="str">
        <f>IF(A385&amp;B385&amp;C385="","",INDEX(生物种群!$E$2:INDEX(生物种群!$E:$E,COUNTA(生物种群!$E:$E)),MATCH($I385,生物种群!$B$2:INDEX(生物种群!$B:$B,COUNTA(生物种群!$B:$B)),),))</f>
        <v/>
      </c>
      <c r="L385" s="37" t="str">
        <f>IF(A385&amp;B385&amp;C385="","",INDEX(生物种群!$F$3:INDEX(生物种群!$F:$F,COUNTA(生物种群!$F:$F)),MATCH($I385,生物种群!$B$3:INDEX(生物种群!$B:$B,COUNTA(生物种群!$B:$B)),),))</f>
        <v/>
      </c>
      <c r="M385" s="37" t="str">
        <f t="shared" si="10"/>
        <v/>
      </c>
      <c r="N385" s="37" t="str">
        <f t="shared" si="11"/>
        <v/>
      </c>
      <c r="O385" s="9"/>
      <c r="P385" s="10"/>
    </row>
    <row r="386" spans="1:16" ht="20.1" customHeight="1">
      <c r="A386" s="9"/>
      <c r="B386" s="9"/>
      <c r="C386" s="9"/>
      <c r="D386" s="43"/>
      <c r="E386" s="9"/>
      <c r="F386" s="9"/>
      <c r="G386" s="47" t="str">
        <f>IF(F386="","",INDEX(站位样品信息!$B$3:INDEX(站位样品信息!$B:$B,COUNTA(站位样品信息!$B:$B)+1),MATCH($F386,站位样品信息!$A$3:INDEX(站位样品信息!$A:$A,COUNTA(站位样品信息!$A:$A)+1),),))</f>
        <v/>
      </c>
      <c r="H386" s="37" t="str">
        <f>IF(A386&amp;B386&amp;C386="","",INDEX(生物种群!$A$2:INDEX(生物种群!$A:$A,COUNTA(生物种群!$A:$A)),MATCH($I386,生物种群!$B$2:INDEX(生物种群!$B:$B,COUNTA(生物种群!$B:$B)),),))</f>
        <v/>
      </c>
      <c r="I386" s="37" t="str">
        <f>IF(A386&amp;B386&amp;C386="","",IF($C386&lt;&gt;0,INDEX(生物种群!$B$2:INDEX(生物种群!$B:$B,COUNTA(生物种群!$B:$B)),MATCH($C386,生物种群!$G$2:INDEX(生物种群!$G:$G,COUNTA(生物种群!$G:$G)),),),IF($A386&lt;&gt;0,INDEX(生物种群!$B$2:INDEX(生物种群!$B:$B,COUNTA(生物种群!$B:$B)),MATCH($A386,生物种群!$C$2:INDEX(生物种群!$C:$C,COUNTA(生物种群!$C:$C)),),),INDEX(生物种群!$B$2:INDEX(生物种群!$B:$B,COUNTA(生物种群!$B:$B)),MATCH($B386,生物种群!$D$2:INDEX(生物种群!$D:$D,COUNTA(生物种群!$D:$D)),),))))</f>
        <v/>
      </c>
      <c r="J386" s="37" t="str">
        <f>IF(A386&amp;B386&amp;C386="","",INDEX(生物种群!$J$2:INDEX(生物种群!$J:$J,COUNTA(生物种群!$J:$J)),MATCH($I386,生物种群!$B$2:INDEX(生物种群!$B:$B,COUNTA(生物种群!$B:$B)),),))</f>
        <v/>
      </c>
      <c r="K386" s="37" t="str">
        <f>IF(A386&amp;B386&amp;C386="","",INDEX(生物种群!$E$2:INDEX(生物种群!$E:$E,COUNTA(生物种群!$E:$E)),MATCH($I386,生物种群!$B$2:INDEX(生物种群!$B:$B,COUNTA(生物种群!$B:$B)),),))</f>
        <v/>
      </c>
      <c r="L386" s="37" t="str">
        <f>IF(A386&amp;B386&amp;C386="","",INDEX(生物种群!$F$3:INDEX(生物种群!$F:$F,COUNTA(生物种群!$F:$F)),MATCH($I386,生物种群!$B$3:INDEX(生物种群!$B:$B,COUNTA(生物种群!$B:$B)),),))</f>
        <v/>
      </c>
      <c r="M386" s="37" t="str">
        <f t="shared" si="10"/>
        <v/>
      </c>
      <c r="N386" s="37" t="str">
        <f t="shared" si="11"/>
        <v/>
      </c>
      <c r="O386" s="9"/>
      <c r="P386" s="10"/>
    </row>
    <row r="387" spans="1:16" ht="20.1" customHeight="1">
      <c r="A387" s="9"/>
      <c r="B387" s="9"/>
      <c r="C387" s="9"/>
      <c r="D387" s="43"/>
      <c r="E387" s="9"/>
      <c r="F387" s="9"/>
      <c r="G387" s="47" t="str">
        <f>IF(F387="","",INDEX(站位样品信息!$B$3:INDEX(站位样品信息!$B:$B,COUNTA(站位样品信息!$B:$B)+1),MATCH($F387,站位样品信息!$A$3:INDEX(站位样品信息!$A:$A,COUNTA(站位样品信息!$A:$A)+1),),))</f>
        <v/>
      </c>
      <c r="H387" s="37" t="str">
        <f>IF(A387&amp;B387&amp;C387="","",INDEX(生物种群!$A$2:INDEX(生物种群!$A:$A,COUNTA(生物种群!$A:$A)),MATCH($I387,生物种群!$B$2:INDEX(生物种群!$B:$B,COUNTA(生物种群!$B:$B)),),))</f>
        <v/>
      </c>
      <c r="I387" s="37" t="str">
        <f>IF(A387&amp;B387&amp;C387="","",IF($C387&lt;&gt;0,INDEX(生物种群!$B$2:INDEX(生物种群!$B:$B,COUNTA(生物种群!$B:$B)),MATCH($C387,生物种群!$G$2:INDEX(生物种群!$G:$G,COUNTA(生物种群!$G:$G)),),),IF($A387&lt;&gt;0,INDEX(生物种群!$B$2:INDEX(生物种群!$B:$B,COUNTA(生物种群!$B:$B)),MATCH($A387,生物种群!$C$2:INDEX(生物种群!$C:$C,COUNTA(生物种群!$C:$C)),),),INDEX(生物种群!$B$2:INDEX(生物种群!$B:$B,COUNTA(生物种群!$B:$B)),MATCH($B387,生物种群!$D$2:INDEX(生物种群!$D:$D,COUNTA(生物种群!$D:$D)),),))))</f>
        <v/>
      </c>
      <c r="J387" s="37" t="str">
        <f>IF(A387&amp;B387&amp;C387="","",INDEX(生物种群!$J$2:INDEX(生物种群!$J:$J,COUNTA(生物种群!$J:$J)),MATCH($I387,生物种群!$B$2:INDEX(生物种群!$B:$B,COUNTA(生物种群!$B:$B)),),))</f>
        <v/>
      </c>
      <c r="K387" s="37" t="str">
        <f>IF(A387&amp;B387&amp;C387="","",INDEX(生物种群!$E$2:INDEX(生物种群!$E:$E,COUNTA(生物种群!$E:$E)),MATCH($I387,生物种群!$B$2:INDEX(生物种群!$B:$B,COUNTA(生物种群!$B:$B)),),))</f>
        <v/>
      </c>
      <c r="L387" s="37" t="str">
        <f>IF(A387&amp;B387&amp;C387="","",INDEX(生物种群!$F$3:INDEX(生物种群!$F:$F,COUNTA(生物种群!$F:$F)),MATCH($I387,生物种群!$B$3:INDEX(生物种群!$B:$B,COUNTA(生物种群!$B:$B)),),))</f>
        <v/>
      </c>
      <c r="M387" s="37" t="str">
        <f t="shared" si="12" ref="M387:M450">IF(F387&gt;0,F387&amp;I387&amp;E387,"")</f>
        <v/>
      </c>
      <c r="N387" s="37" t="str">
        <f t="shared" si="13" ref="N387:N450">IF(COUNTIF($M:$M,M387)=1,"",IF(A387&amp;B387&amp;C387="","","重复"))</f>
        <v/>
      </c>
      <c r="O387" s="9"/>
      <c r="P387" s="10"/>
    </row>
    <row r="388" spans="1:16" ht="20.1" customHeight="1">
      <c r="A388" s="9"/>
      <c r="B388" s="9"/>
      <c r="C388" s="9"/>
      <c r="D388" s="43"/>
      <c r="E388" s="9"/>
      <c r="F388" s="9"/>
      <c r="G388" s="47" t="str">
        <f>IF(F388="","",INDEX(站位样品信息!$B$3:INDEX(站位样品信息!$B:$B,COUNTA(站位样品信息!$B:$B)+1),MATCH($F388,站位样品信息!$A$3:INDEX(站位样品信息!$A:$A,COUNTA(站位样品信息!$A:$A)+1),),))</f>
        <v/>
      </c>
      <c r="H388" s="37" t="str">
        <f>IF(A388&amp;B388&amp;C388="","",INDEX(生物种群!$A$2:INDEX(生物种群!$A:$A,COUNTA(生物种群!$A:$A)),MATCH($I388,生物种群!$B$2:INDEX(生物种群!$B:$B,COUNTA(生物种群!$B:$B)),),))</f>
        <v/>
      </c>
      <c r="I388" s="37" t="str">
        <f>IF(A388&amp;B388&amp;C388="","",IF($C388&lt;&gt;0,INDEX(生物种群!$B$2:INDEX(生物种群!$B:$B,COUNTA(生物种群!$B:$B)),MATCH($C388,生物种群!$G$2:INDEX(生物种群!$G:$G,COUNTA(生物种群!$G:$G)),),),IF($A388&lt;&gt;0,INDEX(生物种群!$B$2:INDEX(生物种群!$B:$B,COUNTA(生物种群!$B:$B)),MATCH($A388,生物种群!$C$2:INDEX(生物种群!$C:$C,COUNTA(生物种群!$C:$C)),),),INDEX(生物种群!$B$2:INDEX(生物种群!$B:$B,COUNTA(生物种群!$B:$B)),MATCH($B388,生物种群!$D$2:INDEX(生物种群!$D:$D,COUNTA(生物种群!$D:$D)),),))))</f>
        <v/>
      </c>
      <c r="J388" s="37" t="str">
        <f>IF(A388&amp;B388&amp;C388="","",INDEX(生物种群!$J$2:INDEX(生物种群!$J:$J,COUNTA(生物种群!$J:$J)),MATCH($I388,生物种群!$B$2:INDEX(生物种群!$B:$B,COUNTA(生物种群!$B:$B)),),))</f>
        <v/>
      </c>
      <c r="K388" s="37" t="str">
        <f>IF(A388&amp;B388&amp;C388="","",INDEX(生物种群!$E$2:INDEX(生物种群!$E:$E,COUNTA(生物种群!$E:$E)),MATCH($I388,生物种群!$B$2:INDEX(生物种群!$B:$B,COUNTA(生物种群!$B:$B)),),))</f>
        <v/>
      </c>
      <c r="L388" s="37" t="str">
        <f>IF(A388&amp;B388&amp;C388="","",INDEX(生物种群!$F$3:INDEX(生物种群!$F:$F,COUNTA(生物种群!$F:$F)),MATCH($I388,生物种群!$B$3:INDEX(生物种群!$B:$B,COUNTA(生物种群!$B:$B)),),))</f>
        <v/>
      </c>
      <c r="M388" s="37" t="str">
        <f t="shared" si="12"/>
        <v/>
      </c>
      <c r="N388" s="37" t="str">
        <f t="shared" si="13"/>
        <v/>
      </c>
      <c r="O388" s="9"/>
      <c r="P388" s="10"/>
    </row>
    <row r="389" spans="1:16" ht="20.1" customHeight="1">
      <c r="A389" s="9"/>
      <c r="B389" s="9"/>
      <c r="C389" s="9"/>
      <c r="D389" s="43"/>
      <c r="E389" s="9"/>
      <c r="F389" s="9"/>
      <c r="G389" s="47" t="str">
        <f>IF(F389="","",INDEX(站位样品信息!$B$3:INDEX(站位样品信息!$B:$B,COUNTA(站位样品信息!$B:$B)+1),MATCH($F389,站位样品信息!$A$3:INDEX(站位样品信息!$A:$A,COUNTA(站位样品信息!$A:$A)+1),),))</f>
        <v/>
      </c>
      <c r="H389" s="37" t="str">
        <f>IF(A389&amp;B389&amp;C389="","",INDEX(生物种群!$A$2:INDEX(生物种群!$A:$A,COUNTA(生物种群!$A:$A)),MATCH($I389,生物种群!$B$2:INDEX(生物种群!$B:$B,COUNTA(生物种群!$B:$B)),),))</f>
        <v/>
      </c>
      <c r="I389" s="37" t="str">
        <f>IF(A389&amp;B389&amp;C389="","",IF($C389&lt;&gt;0,INDEX(生物种群!$B$2:INDEX(生物种群!$B:$B,COUNTA(生物种群!$B:$B)),MATCH($C389,生物种群!$G$2:INDEX(生物种群!$G:$G,COUNTA(生物种群!$G:$G)),),),IF($A389&lt;&gt;0,INDEX(生物种群!$B$2:INDEX(生物种群!$B:$B,COUNTA(生物种群!$B:$B)),MATCH($A389,生物种群!$C$2:INDEX(生物种群!$C:$C,COUNTA(生物种群!$C:$C)),),),INDEX(生物种群!$B$2:INDEX(生物种群!$B:$B,COUNTA(生物种群!$B:$B)),MATCH($B389,生物种群!$D$2:INDEX(生物种群!$D:$D,COUNTA(生物种群!$D:$D)),),))))</f>
        <v/>
      </c>
      <c r="J389" s="37" t="str">
        <f>IF(A389&amp;B389&amp;C389="","",INDEX(生物种群!$J$2:INDEX(生物种群!$J:$J,COUNTA(生物种群!$J:$J)),MATCH($I389,生物种群!$B$2:INDEX(生物种群!$B:$B,COUNTA(生物种群!$B:$B)),),))</f>
        <v/>
      </c>
      <c r="K389" s="37" t="str">
        <f>IF(A389&amp;B389&amp;C389="","",INDEX(生物种群!$E$2:INDEX(生物种群!$E:$E,COUNTA(生物种群!$E:$E)),MATCH($I389,生物种群!$B$2:INDEX(生物种群!$B:$B,COUNTA(生物种群!$B:$B)),),))</f>
        <v/>
      </c>
      <c r="L389" s="37" t="str">
        <f>IF(A389&amp;B389&amp;C389="","",INDEX(生物种群!$F$3:INDEX(生物种群!$F:$F,COUNTA(生物种群!$F:$F)),MATCH($I389,生物种群!$B$3:INDEX(生物种群!$B:$B,COUNTA(生物种群!$B:$B)),),))</f>
        <v/>
      </c>
      <c r="M389" s="37" t="str">
        <f t="shared" si="12"/>
        <v/>
      </c>
      <c r="N389" s="37" t="str">
        <f t="shared" si="13"/>
        <v/>
      </c>
      <c r="O389" s="9"/>
      <c r="P389" s="10"/>
    </row>
    <row r="390" spans="1:16" ht="20.1" customHeight="1">
      <c r="A390" s="9"/>
      <c r="B390" s="9"/>
      <c r="C390" s="9"/>
      <c r="D390" s="43"/>
      <c r="E390" s="9"/>
      <c r="F390" s="9"/>
      <c r="G390" s="47" t="str">
        <f>IF(F390="","",INDEX(站位样品信息!$B$3:INDEX(站位样品信息!$B:$B,COUNTA(站位样品信息!$B:$B)+1),MATCH($F390,站位样品信息!$A$3:INDEX(站位样品信息!$A:$A,COUNTA(站位样品信息!$A:$A)+1),),))</f>
        <v/>
      </c>
      <c r="H390" s="37" t="str">
        <f>IF(A390&amp;B390&amp;C390="","",INDEX(生物种群!$A$2:INDEX(生物种群!$A:$A,COUNTA(生物种群!$A:$A)),MATCH($I390,生物种群!$B$2:INDEX(生物种群!$B:$B,COUNTA(生物种群!$B:$B)),),))</f>
        <v/>
      </c>
      <c r="I390" s="37" t="str">
        <f>IF(A390&amp;B390&amp;C390="","",IF($C390&lt;&gt;0,INDEX(生物种群!$B$2:INDEX(生物种群!$B:$B,COUNTA(生物种群!$B:$B)),MATCH($C390,生物种群!$G$2:INDEX(生物种群!$G:$G,COUNTA(生物种群!$G:$G)),),),IF($A390&lt;&gt;0,INDEX(生物种群!$B$2:INDEX(生物种群!$B:$B,COUNTA(生物种群!$B:$B)),MATCH($A390,生物种群!$C$2:INDEX(生物种群!$C:$C,COUNTA(生物种群!$C:$C)),),),INDEX(生物种群!$B$2:INDEX(生物种群!$B:$B,COUNTA(生物种群!$B:$B)),MATCH($B390,生物种群!$D$2:INDEX(生物种群!$D:$D,COUNTA(生物种群!$D:$D)),),))))</f>
        <v/>
      </c>
      <c r="J390" s="37" t="str">
        <f>IF(A390&amp;B390&amp;C390="","",INDEX(生物种群!$J$2:INDEX(生物种群!$J:$J,COUNTA(生物种群!$J:$J)),MATCH($I390,生物种群!$B$2:INDEX(生物种群!$B:$B,COUNTA(生物种群!$B:$B)),),))</f>
        <v/>
      </c>
      <c r="K390" s="37" t="str">
        <f>IF(A390&amp;B390&amp;C390="","",INDEX(生物种群!$E$2:INDEX(生物种群!$E:$E,COUNTA(生物种群!$E:$E)),MATCH($I390,生物种群!$B$2:INDEX(生物种群!$B:$B,COUNTA(生物种群!$B:$B)),),))</f>
        <v/>
      </c>
      <c r="L390" s="37" t="str">
        <f>IF(A390&amp;B390&amp;C390="","",INDEX(生物种群!$F$3:INDEX(生物种群!$F:$F,COUNTA(生物种群!$F:$F)),MATCH($I390,生物种群!$B$3:INDEX(生物种群!$B:$B,COUNTA(生物种群!$B:$B)),),))</f>
        <v/>
      </c>
      <c r="M390" s="37" t="str">
        <f t="shared" si="12"/>
        <v/>
      </c>
      <c r="N390" s="37" t="str">
        <f t="shared" si="13"/>
        <v/>
      </c>
      <c r="O390" s="9"/>
      <c r="P390" s="10"/>
    </row>
    <row r="391" spans="1:16" ht="20.1" customHeight="1">
      <c r="A391" s="9"/>
      <c r="B391" s="9"/>
      <c r="C391" s="9"/>
      <c r="D391" s="43"/>
      <c r="E391" s="9"/>
      <c r="F391" s="9"/>
      <c r="G391" s="47" t="str">
        <f>IF(F391="","",INDEX(站位样品信息!$B$3:INDEX(站位样品信息!$B:$B,COUNTA(站位样品信息!$B:$B)+1),MATCH($F391,站位样品信息!$A$3:INDEX(站位样品信息!$A:$A,COUNTA(站位样品信息!$A:$A)+1),),))</f>
        <v/>
      </c>
      <c r="H391" s="37" t="str">
        <f>IF(A391&amp;B391&amp;C391="","",INDEX(生物种群!$A$2:INDEX(生物种群!$A:$A,COUNTA(生物种群!$A:$A)),MATCH($I391,生物种群!$B$2:INDEX(生物种群!$B:$B,COUNTA(生物种群!$B:$B)),),))</f>
        <v/>
      </c>
      <c r="I391" s="37" t="str">
        <f>IF(A391&amp;B391&amp;C391="","",IF($C391&lt;&gt;0,INDEX(生物种群!$B$2:INDEX(生物种群!$B:$B,COUNTA(生物种群!$B:$B)),MATCH($C391,生物种群!$G$2:INDEX(生物种群!$G:$G,COUNTA(生物种群!$G:$G)),),),IF($A391&lt;&gt;0,INDEX(生物种群!$B$2:INDEX(生物种群!$B:$B,COUNTA(生物种群!$B:$B)),MATCH($A391,生物种群!$C$2:INDEX(生物种群!$C:$C,COUNTA(生物种群!$C:$C)),),),INDEX(生物种群!$B$2:INDEX(生物种群!$B:$B,COUNTA(生物种群!$B:$B)),MATCH($B391,生物种群!$D$2:INDEX(生物种群!$D:$D,COUNTA(生物种群!$D:$D)),),))))</f>
        <v/>
      </c>
      <c r="J391" s="37" t="str">
        <f>IF(A391&amp;B391&amp;C391="","",INDEX(生物种群!$J$2:INDEX(生物种群!$J:$J,COUNTA(生物种群!$J:$J)),MATCH($I391,生物种群!$B$2:INDEX(生物种群!$B:$B,COUNTA(生物种群!$B:$B)),),))</f>
        <v/>
      </c>
      <c r="K391" s="37" t="str">
        <f>IF(A391&amp;B391&amp;C391="","",INDEX(生物种群!$E$2:INDEX(生物种群!$E:$E,COUNTA(生物种群!$E:$E)),MATCH($I391,生物种群!$B$2:INDEX(生物种群!$B:$B,COUNTA(生物种群!$B:$B)),),))</f>
        <v/>
      </c>
      <c r="L391" s="37" t="str">
        <f>IF(A391&amp;B391&amp;C391="","",INDEX(生物种群!$F$3:INDEX(生物种群!$F:$F,COUNTA(生物种群!$F:$F)),MATCH($I391,生物种群!$B$3:INDEX(生物种群!$B:$B,COUNTA(生物种群!$B:$B)),),))</f>
        <v/>
      </c>
      <c r="M391" s="37" t="str">
        <f t="shared" si="12"/>
        <v/>
      </c>
      <c r="N391" s="37" t="str">
        <f t="shared" si="13"/>
        <v/>
      </c>
      <c r="O391" s="9"/>
      <c r="P391" s="10"/>
    </row>
    <row r="392" spans="1:16" ht="20.1" customHeight="1">
      <c r="A392" s="9"/>
      <c r="B392" s="9"/>
      <c r="C392" s="9"/>
      <c r="D392" s="43"/>
      <c r="E392" s="9"/>
      <c r="F392" s="9"/>
      <c r="G392" s="47" t="str">
        <f>IF(F392="","",INDEX(站位样品信息!$B$3:INDEX(站位样品信息!$B:$B,COUNTA(站位样品信息!$B:$B)+1),MATCH($F392,站位样品信息!$A$3:INDEX(站位样品信息!$A:$A,COUNTA(站位样品信息!$A:$A)+1),),))</f>
        <v/>
      </c>
      <c r="H392" s="37" t="str">
        <f>IF(A392&amp;B392&amp;C392="","",INDEX(生物种群!$A$2:INDEX(生物种群!$A:$A,COUNTA(生物种群!$A:$A)),MATCH($I392,生物种群!$B$2:INDEX(生物种群!$B:$B,COUNTA(生物种群!$B:$B)),),))</f>
        <v/>
      </c>
      <c r="I392" s="37" t="str">
        <f>IF(A392&amp;B392&amp;C392="","",IF($C392&lt;&gt;0,INDEX(生物种群!$B$2:INDEX(生物种群!$B:$B,COUNTA(生物种群!$B:$B)),MATCH($C392,生物种群!$G$2:INDEX(生物种群!$G:$G,COUNTA(生物种群!$G:$G)),),),IF($A392&lt;&gt;0,INDEX(生物种群!$B$2:INDEX(生物种群!$B:$B,COUNTA(生物种群!$B:$B)),MATCH($A392,生物种群!$C$2:INDEX(生物种群!$C:$C,COUNTA(生物种群!$C:$C)),),),INDEX(生物种群!$B$2:INDEX(生物种群!$B:$B,COUNTA(生物种群!$B:$B)),MATCH($B392,生物种群!$D$2:INDEX(生物种群!$D:$D,COUNTA(生物种群!$D:$D)),),))))</f>
        <v/>
      </c>
      <c r="J392" s="37" t="str">
        <f>IF(A392&amp;B392&amp;C392="","",INDEX(生物种群!$J$2:INDEX(生物种群!$J:$J,COUNTA(生物种群!$J:$J)),MATCH($I392,生物种群!$B$2:INDEX(生物种群!$B:$B,COUNTA(生物种群!$B:$B)),),))</f>
        <v/>
      </c>
      <c r="K392" s="37" t="str">
        <f>IF(A392&amp;B392&amp;C392="","",INDEX(生物种群!$E$2:INDEX(生物种群!$E:$E,COUNTA(生物种群!$E:$E)),MATCH($I392,生物种群!$B$2:INDEX(生物种群!$B:$B,COUNTA(生物种群!$B:$B)),),))</f>
        <v/>
      </c>
      <c r="L392" s="37" t="str">
        <f>IF(A392&amp;B392&amp;C392="","",INDEX(生物种群!$F$3:INDEX(生物种群!$F:$F,COUNTA(生物种群!$F:$F)),MATCH($I392,生物种群!$B$3:INDEX(生物种群!$B:$B,COUNTA(生物种群!$B:$B)),),))</f>
        <v/>
      </c>
      <c r="M392" s="37" t="str">
        <f t="shared" si="12"/>
        <v/>
      </c>
      <c r="N392" s="37" t="str">
        <f t="shared" si="13"/>
        <v/>
      </c>
      <c r="O392" s="9"/>
      <c r="P392" s="10"/>
    </row>
    <row r="393" spans="1:16" ht="20.1" customHeight="1">
      <c r="A393" s="9"/>
      <c r="B393" s="9"/>
      <c r="C393" s="9"/>
      <c r="D393" s="43"/>
      <c r="E393" s="9"/>
      <c r="F393" s="9"/>
      <c r="G393" s="47" t="str">
        <f>IF(F393="","",INDEX(站位样品信息!$B$3:INDEX(站位样品信息!$B:$B,COUNTA(站位样品信息!$B:$B)+1),MATCH($F393,站位样品信息!$A$3:INDEX(站位样品信息!$A:$A,COUNTA(站位样品信息!$A:$A)+1),),))</f>
        <v/>
      </c>
      <c r="H393" s="37" t="str">
        <f>IF(A393&amp;B393&amp;C393="","",INDEX(生物种群!$A$2:INDEX(生物种群!$A:$A,COUNTA(生物种群!$A:$A)),MATCH($I393,生物种群!$B$2:INDEX(生物种群!$B:$B,COUNTA(生物种群!$B:$B)),),))</f>
        <v/>
      </c>
      <c r="I393" s="37" t="str">
        <f>IF(A393&amp;B393&amp;C393="","",IF($C393&lt;&gt;0,INDEX(生物种群!$B$2:INDEX(生物种群!$B:$B,COUNTA(生物种群!$B:$B)),MATCH($C393,生物种群!$G$2:INDEX(生物种群!$G:$G,COUNTA(生物种群!$G:$G)),),),IF($A393&lt;&gt;0,INDEX(生物种群!$B$2:INDEX(生物种群!$B:$B,COUNTA(生物种群!$B:$B)),MATCH($A393,生物种群!$C$2:INDEX(生物种群!$C:$C,COUNTA(生物种群!$C:$C)),),),INDEX(生物种群!$B$2:INDEX(生物种群!$B:$B,COUNTA(生物种群!$B:$B)),MATCH($B393,生物种群!$D$2:INDEX(生物种群!$D:$D,COUNTA(生物种群!$D:$D)),),))))</f>
        <v/>
      </c>
      <c r="J393" s="37" t="str">
        <f>IF(A393&amp;B393&amp;C393="","",INDEX(生物种群!$J$2:INDEX(生物种群!$J:$J,COUNTA(生物种群!$J:$J)),MATCH($I393,生物种群!$B$2:INDEX(生物种群!$B:$B,COUNTA(生物种群!$B:$B)),),))</f>
        <v/>
      </c>
      <c r="K393" s="37" t="str">
        <f>IF(A393&amp;B393&amp;C393="","",INDEX(生物种群!$E$2:INDEX(生物种群!$E:$E,COUNTA(生物种群!$E:$E)),MATCH($I393,生物种群!$B$2:INDEX(生物种群!$B:$B,COUNTA(生物种群!$B:$B)),),))</f>
        <v/>
      </c>
      <c r="L393" s="37" t="str">
        <f>IF(A393&amp;B393&amp;C393="","",INDEX(生物种群!$F$3:INDEX(生物种群!$F:$F,COUNTA(生物种群!$F:$F)),MATCH($I393,生物种群!$B$3:INDEX(生物种群!$B:$B,COUNTA(生物种群!$B:$B)),),))</f>
        <v/>
      </c>
      <c r="M393" s="37" t="str">
        <f t="shared" si="12"/>
        <v/>
      </c>
      <c r="N393" s="37" t="str">
        <f t="shared" si="13"/>
        <v/>
      </c>
      <c r="O393" s="9"/>
      <c r="P393" s="10"/>
    </row>
    <row r="394" spans="1:16" ht="20.1" customHeight="1">
      <c r="A394" s="9"/>
      <c r="B394" s="9"/>
      <c r="C394" s="9"/>
      <c r="D394" s="43"/>
      <c r="E394" s="9"/>
      <c r="F394" s="9"/>
      <c r="G394" s="47" t="str">
        <f>IF(F394="","",INDEX(站位样品信息!$B$3:INDEX(站位样品信息!$B:$B,COUNTA(站位样品信息!$B:$B)+1),MATCH($F394,站位样品信息!$A$3:INDEX(站位样品信息!$A:$A,COUNTA(站位样品信息!$A:$A)+1),),))</f>
        <v/>
      </c>
      <c r="H394" s="37" t="str">
        <f>IF(A394&amp;B394&amp;C394="","",INDEX(生物种群!$A$2:INDEX(生物种群!$A:$A,COUNTA(生物种群!$A:$A)),MATCH($I394,生物种群!$B$2:INDEX(生物种群!$B:$B,COUNTA(生物种群!$B:$B)),),))</f>
        <v/>
      </c>
      <c r="I394" s="37" t="str">
        <f>IF(A394&amp;B394&amp;C394="","",IF($C394&lt;&gt;0,INDEX(生物种群!$B$2:INDEX(生物种群!$B:$B,COUNTA(生物种群!$B:$B)),MATCH($C394,生物种群!$G$2:INDEX(生物种群!$G:$G,COUNTA(生物种群!$G:$G)),),),IF($A394&lt;&gt;0,INDEX(生物种群!$B$2:INDEX(生物种群!$B:$B,COUNTA(生物种群!$B:$B)),MATCH($A394,生物种群!$C$2:INDEX(生物种群!$C:$C,COUNTA(生物种群!$C:$C)),),),INDEX(生物种群!$B$2:INDEX(生物种群!$B:$B,COUNTA(生物种群!$B:$B)),MATCH($B394,生物种群!$D$2:INDEX(生物种群!$D:$D,COUNTA(生物种群!$D:$D)),),))))</f>
        <v/>
      </c>
      <c r="J394" s="37" t="str">
        <f>IF(A394&amp;B394&amp;C394="","",INDEX(生物种群!$J$2:INDEX(生物种群!$J:$J,COUNTA(生物种群!$J:$J)),MATCH($I394,生物种群!$B$2:INDEX(生物种群!$B:$B,COUNTA(生物种群!$B:$B)),),))</f>
        <v/>
      </c>
      <c r="K394" s="37" t="str">
        <f>IF(A394&amp;B394&amp;C394="","",INDEX(生物种群!$E$2:INDEX(生物种群!$E:$E,COUNTA(生物种群!$E:$E)),MATCH($I394,生物种群!$B$2:INDEX(生物种群!$B:$B,COUNTA(生物种群!$B:$B)),),))</f>
        <v/>
      </c>
      <c r="L394" s="37" t="str">
        <f>IF(A394&amp;B394&amp;C394="","",INDEX(生物种群!$F$3:INDEX(生物种群!$F:$F,COUNTA(生物种群!$F:$F)),MATCH($I394,生物种群!$B$3:INDEX(生物种群!$B:$B,COUNTA(生物种群!$B:$B)),),))</f>
        <v/>
      </c>
      <c r="M394" s="37" t="str">
        <f t="shared" si="12"/>
        <v/>
      </c>
      <c r="N394" s="37" t="str">
        <f t="shared" si="13"/>
        <v/>
      </c>
      <c r="O394" s="9"/>
      <c r="P394" s="10"/>
    </row>
    <row r="395" spans="1:16" ht="20.1" customHeight="1">
      <c r="A395" s="9"/>
      <c r="B395" s="9"/>
      <c r="C395" s="9"/>
      <c r="D395" s="43"/>
      <c r="E395" s="9"/>
      <c r="F395" s="9"/>
      <c r="G395" s="47" t="str">
        <f>IF(F395="","",INDEX(站位样品信息!$B$3:INDEX(站位样品信息!$B:$B,COUNTA(站位样品信息!$B:$B)+1),MATCH($F395,站位样品信息!$A$3:INDEX(站位样品信息!$A:$A,COUNTA(站位样品信息!$A:$A)+1),),))</f>
        <v/>
      </c>
      <c r="H395" s="37" t="str">
        <f>IF(A395&amp;B395&amp;C395="","",INDEX(生物种群!$A$2:INDEX(生物种群!$A:$A,COUNTA(生物种群!$A:$A)),MATCH($I395,生物种群!$B$2:INDEX(生物种群!$B:$B,COUNTA(生物种群!$B:$B)),),))</f>
        <v/>
      </c>
      <c r="I395" s="37" t="str">
        <f>IF(A395&amp;B395&amp;C395="","",IF($C395&lt;&gt;0,INDEX(生物种群!$B$2:INDEX(生物种群!$B:$B,COUNTA(生物种群!$B:$B)),MATCH($C395,生物种群!$G$2:INDEX(生物种群!$G:$G,COUNTA(生物种群!$G:$G)),),),IF($A395&lt;&gt;0,INDEX(生物种群!$B$2:INDEX(生物种群!$B:$B,COUNTA(生物种群!$B:$B)),MATCH($A395,生物种群!$C$2:INDEX(生物种群!$C:$C,COUNTA(生物种群!$C:$C)),),),INDEX(生物种群!$B$2:INDEX(生物种群!$B:$B,COUNTA(生物种群!$B:$B)),MATCH($B395,生物种群!$D$2:INDEX(生物种群!$D:$D,COUNTA(生物种群!$D:$D)),),))))</f>
        <v/>
      </c>
      <c r="J395" s="37" t="str">
        <f>IF(A395&amp;B395&amp;C395="","",INDEX(生物种群!$J$2:INDEX(生物种群!$J:$J,COUNTA(生物种群!$J:$J)),MATCH($I395,生物种群!$B$2:INDEX(生物种群!$B:$B,COUNTA(生物种群!$B:$B)),),))</f>
        <v/>
      </c>
      <c r="K395" s="37" t="str">
        <f>IF(A395&amp;B395&amp;C395="","",INDEX(生物种群!$E$2:INDEX(生物种群!$E:$E,COUNTA(生物种群!$E:$E)),MATCH($I395,生物种群!$B$2:INDEX(生物种群!$B:$B,COUNTA(生物种群!$B:$B)),),))</f>
        <v/>
      </c>
      <c r="L395" s="37" t="str">
        <f>IF(A395&amp;B395&amp;C395="","",INDEX(生物种群!$F$3:INDEX(生物种群!$F:$F,COUNTA(生物种群!$F:$F)),MATCH($I395,生物种群!$B$3:INDEX(生物种群!$B:$B,COUNTA(生物种群!$B:$B)),),))</f>
        <v/>
      </c>
      <c r="M395" s="37" t="str">
        <f t="shared" si="12"/>
        <v/>
      </c>
      <c r="N395" s="37" t="str">
        <f t="shared" si="13"/>
        <v/>
      </c>
      <c r="O395" s="9"/>
      <c r="P395" s="10"/>
    </row>
    <row r="396" spans="1:16" ht="20.1" customHeight="1">
      <c r="A396" s="9"/>
      <c r="B396" s="9"/>
      <c r="C396" s="9"/>
      <c r="D396" s="43"/>
      <c r="E396" s="9"/>
      <c r="F396" s="9"/>
      <c r="G396" s="47" t="str">
        <f>IF(F396="","",INDEX(站位样品信息!$B$3:INDEX(站位样品信息!$B:$B,COUNTA(站位样品信息!$B:$B)+1),MATCH($F396,站位样品信息!$A$3:INDEX(站位样品信息!$A:$A,COUNTA(站位样品信息!$A:$A)+1),),))</f>
        <v/>
      </c>
      <c r="H396" s="37" t="str">
        <f>IF(A396&amp;B396&amp;C396="","",INDEX(生物种群!$A$2:INDEX(生物种群!$A:$A,COUNTA(生物种群!$A:$A)),MATCH($I396,生物种群!$B$2:INDEX(生物种群!$B:$B,COUNTA(生物种群!$B:$B)),),))</f>
        <v/>
      </c>
      <c r="I396" s="37" t="str">
        <f>IF(A396&amp;B396&amp;C396="","",IF($C396&lt;&gt;0,INDEX(生物种群!$B$2:INDEX(生物种群!$B:$B,COUNTA(生物种群!$B:$B)),MATCH($C396,生物种群!$G$2:INDEX(生物种群!$G:$G,COUNTA(生物种群!$G:$G)),),),IF($A396&lt;&gt;0,INDEX(生物种群!$B$2:INDEX(生物种群!$B:$B,COUNTA(生物种群!$B:$B)),MATCH($A396,生物种群!$C$2:INDEX(生物种群!$C:$C,COUNTA(生物种群!$C:$C)),),),INDEX(生物种群!$B$2:INDEX(生物种群!$B:$B,COUNTA(生物种群!$B:$B)),MATCH($B396,生物种群!$D$2:INDEX(生物种群!$D:$D,COUNTA(生物种群!$D:$D)),),))))</f>
        <v/>
      </c>
      <c r="J396" s="37" t="str">
        <f>IF(A396&amp;B396&amp;C396="","",INDEX(生物种群!$J$2:INDEX(生物种群!$J:$J,COUNTA(生物种群!$J:$J)),MATCH($I396,生物种群!$B$2:INDEX(生物种群!$B:$B,COUNTA(生物种群!$B:$B)),),))</f>
        <v/>
      </c>
      <c r="K396" s="37" t="str">
        <f>IF(A396&amp;B396&amp;C396="","",INDEX(生物种群!$E$2:INDEX(生物种群!$E:$E,COUNTA(生物种群!$E:$E)),MATCH($I396,生物种群!$B$2:INDEX(生物种群!$B:$B,COUNTA(生物种群!$B:$B)),),))</f>
        <v/>
      </c>
      <c r="L396" s="37" t="str">
        <f>IF(A396&amp;B396&amp;C396="","",INDEX(生物种群!$F$3:INDEX(生物种群!$F:$F,COUNTA(生物种群!$F:$F)),MATCH($I396,生物种群!$B$3:INDEX(生物种群!$B:$B,COUNTA(生物种群!$B:$B)),),))</f>
        <v/>
      </c>
      <c r="M396" s="37" t="str">
        <f t="shared" si="12"/>
        <v/>
      </c>
      <c r="N396" s="37" t="str">
        <f t="shared" si="13"/>
        <v/>
      </c>
      <c r="O396" s="9"/>
      <c r="P396" s="10"/>
    </row>
    <row r="397" spans="1:16" ht="20.1" customHeight="1">
      <c r="A397" s="9"/>
      <c r="B397" s="9"/>
      <c r="C397" s="9"/>
      <c r="D397" s="43"/>
      <c r="E397" s="9"/>
      <c r="F397" s="9"/>
      <c r="G397" s="47" t="str">
        <f>IF(F397="","",INDEX(站位样品信息!$B$3:INDEX(站位样品信息!$B:$B,COUNTA(站位样品信息!$B:$B)+1),MATCH($F397,站位样品信息!$A$3:INDEX(站位样品信息!$A:$A,COUNTA(站位样品信息!$A:$A)+1),),))</f>
        <v/>
      </c>
      <c r="H397" s="37" t="str">
        <f>IF(A397&amp;B397&amp;C397="","",INDEX(生物种群!$A$2:INDEX(生物种群!$A:$A,COUNTA(生物种群!$A:$A)),MATCH($I397,生物种群!$B$2:INDEX(生物种群!$B:$B,COUNTA(生物种群!$B:$B)),),))</f>
        <v/>
      </c>
      <c r="I397" s="37" t="str">
        <f>IF(A397&amp;B397&amp;C397="","",IF($C397&lt;&gt;0,INDEX(生物种群!$B$2:INDEX(生物种群!$B:$B,COUNTA(生物种群!$B:$B)),MATCH($C397,生物种群!$G$2:INDEX(生物种群!$G:$G,COUNTA(生物种群!$G:$G)),),),IF($A397&lt;&gt;0,INDEX(生物种群!$B$2:INDEX(生物种群!$B:$B,COUNTA(生物种群!$B:$B)),MATCH($A397,生物种群!$C$2:INDEX(生物种群!$C:$C,COUNTA(生物种群!$C:$C)),),),INDEX(生物种群!$B$2:INDEX(生物种群!$B:$B,COUNTA(生物种群!$B:$B)),MATCH($B397,生物种群!$D$2:INDEX(生物种群!$D:$D,COUNTA(生物种群!$D:$D)),),))))</f>
        <v/>
      </c>
      <c r="J397" s="37" t="str">
        <f>IF(A397&amp;B397&amp;C397="","",INDEX(生物种群!$J$2:INDEX(生物种群!$J:$J,COUNTA(生物种群!$J:$J)),MATCH($I397,生物种群!$B$2:INDEX(生物种群!$B:$B,COUNTA(生物种群!$B:$B)),),))</f>
        <v/>
      </c>
      <c r="K397" s="37" t="str">
        <f>IF(A397&amp;B397&amp;C397="","",INDEX(生物种群!$E$2:INDEX(生物种群!$E:$E,COUNTA(生物种群!$E:$E)),MATCH($I397,生物种群!$B$2:INDEX(生物种群!$B:$B,COUNTA(生物种群!$B:$B)),),))</f>
        <v/>
      </c>
      <c r="L397" s="37" t="str">
        <f>IF(A397&amp;B397&amp;C397="","",INDEX(生物种群!$F$3:INDEX(生物种群!$F:$F,COUNTA(生物种群!$F:$F)),MATCH($I397,生物种群!$B$3:INDEX(生物种群!$B:$B,COUNTA(生物种群!$B:$B)),),))</f>
        <v/>
      </c>
      <c r="M397" s="37" t="str">
        <f t="shared" si="12"/>
        <v/>
      </c>
      <c r="N397" s="37" t="str">
        <f t="shared" si="13"/>
        <v/>
      </c>
      <c r="O397" s="9"/>
      <c r="P397" s="10"/>
    </row>
    <row r="398" spans="1:16" ht="20.1" customHeight="1">
      <c r="A398" s="9"/>
      <c r="B398" s="9"/>
      <c r="C398" s="9"/>
      <c r="D398" s="43"/>
      <c r="E398" s="9"/>
      <c r="F398" s="9"/>
      <c r="G398" s="47" t="str">
        <f>IF(F398="","",INDEX(站位样品信息!$B$3:INDEX(站位样品信息!$B:$B,COUNTA(站位样品信息!$B:$B)+1),MATCH($F398,站位样品信息!$A$3:INDEX(站位样品信息!$A:$A,COUNTA(站位样品信息!$A:$A)+1),),))</f>
        <v/>
      </c>
      <c r="H398" s="37" t="str">
        <f>IF(A398&amp;B398&amp;C398="","",INDEX(生物种群!$A$2:INDEX(生物种群!$A:$A,COUNTA(生物种群!$A:$A)),MATCH($I398,生物种群!$B$2:INDEX(生物种群!$B:$B,COUNTA(生物种群!$B:$B)),),))</f>
        <v/>
      </c>
      <c r="I398" s="37" t="str">
        <f>IF(A398&amp;B398&amp;C398="","",IF($C398&lt;&gt;0,INDEX(生物种群!$B$2:INDEX(生物种群!$B:$B,COUNTA(生物种群!$B:$B)),MATCH($C398,生物种群!$G$2:INDEX(生物种群!$G:$G,COUNTA(生物种群!$G:$G)),),),IF($A398&lt;&gt;0,INDEX(生物种群!$B$2:INDEX(生物种群!$B:$B,COUNTA(生物种群!$B:$B)),MATCH($A398,生物种群!$C$2:INDEX(生物种群!$C:$C,COUNTA(生物种群!$C:$C)),),),INDEX(生物种群!$B$2:INDEX(生物种群!$B:$B,COUNTA(生物种群!$B:$B)),MATCH($B398,生物种群!$D$2:INDEX(生物种群!$D:$D,COUNTA(生物种群!$D:$D)),),))))</f>
        <v/>
      </c>
      <c r="J398" s="37" t="str">
        <f>IF(A398&amp;B398&amp;C398="","",INDEX(生物种群!$J$2:INDEX(生物种群!$J:$J,COUNTA(生物种群!$J:$J)),MATCH($I398,生物种群!$B$2:INDEX(生物种群!$B:$B,COUNTA(生物种群!$B:$B)),),))</f>
        <v/>
      </c>
      <c r="K398" s="37" t="str">
        <f>IF(A398&amp;B398&amp;C398="","",INDEX(生物种群!$E$2:INDEX(生物种群!$E:$E,COUNTA(生物种群!$E:$E)),MATCH($I398,生物种群!$B$2:INDEX(生物种群!$B:$B,COUNTA(生物种群!$B:$B)),),))</f>
        <v/>
      </c>
      <c r="L398" s="37" t="str">
        <f>IF(A398&amp;B398&amp;C398="","",INDEX(生物种群!$F$3:INDEX(生物种群!$F:$F,COUNTA(生物种群!$F:$F)),MATCH($I398,生物种群!$B$3:INDEX(生物种群!$B:$B,COUNTA(生物种群!$B:$B)),),))</f>
        <v/>
      </c>
      <c r="M398" s="37" t="str">
        <f t="shared" si="12"/>
        <v/>
      </c>
      <c r="N398" s="37" t="str">
        <f t="shared" si="13"/>
        <v/>
      </c>
      <c r="O398" s="9"/>
      <c r="P398" s="10"/>
    </row>
    <row r="399" spans="1:16" ht="20.1" customHeight="1">
      <c r="A399" s="9"/>
      <c r="B399" s="9"/>
      <c r="C399" s="9"/>
      <c r="D399" s="43"/>
      <c r="E399" s="9"/>
      <c r="F399" s="9"/>
      <c r="G399" s="47" t="str">
        <f>IF(F399="","",INDEX(站位样品信息!$B$3:INDEX(站位样品信息!$B:$B,COUNTA(站位样品信息!$B:$B)+1),MATCH($F399,站位样品信息!$A$3:INDEX(站位样品信息!$A:$A,COUNTA(站位样品信息!$A:$A)+1),),))</f>
        <v/>
      </c>
      <c r="H399" s="37" t="str">
        <f>IF(A399&amp;B399&amp;C399="","",INDEX(生物种群!$A$2:INDEX(生物种群!$A:$A,COUNTA(生物种群!$A:$A)),MATCH($I399,生物种群!$B$2:INDEX(生物种群!$B:$B,COUNTA(生物种群!$B:$B)),),))</f>
        <v/>
      </c>
      <c r="I399" s="37" t="str">
        <f>IF(A399&amp;B399&amp;C399="","",IF($C399&lt;&gt;0,INDEX(生物种群!$B$2:INDEX(生物种群!$B:$B,COUNTA(生物种群!$B:$B)),MATCH($C399,生物种群!$G$2:INDEX(生物种群!$G:$G,COUNTA(生物种群!$G:$G)),),),IF($A399&lt;&gt;0,INDEX(生物种群!$B$2:INDEX(生物种群!$B:$B,COUNTA(生物种群!$B:$B)),MATCH($A399,生物种群!$C$2:INDEX(生物种群!$C:$C,COUNTA(生物种群!$C:$C)),),),INDEX(生物种群!$B$2:INDEX(生物种群!$B:$B,COUNTA(生物种群!$B:$B)),MATCH($B399,生物种群!$D$2:INDEX(生物种群!$D:$D,COUNTA(生物种群!$D:$D)),),))))</f>
        <v/>
      </c>
      <c r="J399" s="37" t="str">
        <f>IF(A399&amp;B399&amp;C399="","",INDEX(生物种群!$J$2:INDEX(生物种群!$J:$J,COUNTA(生物种群!$J:$J)),MATCH($I399,生物种群!$B$2:INDEX(生物种群!$B:$B,COUNTA(生物种群!$B:$B)),),))</f>
        <v/>
      </c>
      <c r="K399" s="37" t="str">
        <f>IF(A399&amp;B399&amp;C399="","",INDEX(生物种群!$E$2:INDEX(生物种群!$E:$E,COUNTA(生物种群!$E:$E)),MATCH($I399,生物种群!$B$2:INDEX(生物种群!$B:$B,COUNTA(生物种群!$B:$B)),),))</f>
        <v/>
      </c>
      <c r="L399" s="37" t="str">
        <f>IF(A399&amp;B399&amp;C399="","",INDEX(生物种群!$F$3:INDEX(生物种群!$F:$F,COUNTA(生物种群!$F:$F)),MATCH($I399,生物种群!$B$3:INDEX(生物种群!$B:$B,COUNTA(生物种群!$B:$B)),),))</f>
        <v/>
      </c>
      <c r="M399" s="37" t="str">
        <f t="shared" si="12"/>
        <v/>
      </c>
      <c r="N399" s="37" t="str">
        <f t="shared" si="13"/>
        <v/>
      </c>
      <c r="O399" s="9"/>
      <c r="P399" s="10"/>
    </row>
    <row r="400" spans="1:16" ht="20.1" customHeight="1">
      <c r="A400" s="9"/>
      <c r="B400" s="9"/>
      <c r="C400" s="9"/>
      <c r="D400" s="43"/>
      <c r="E400" s="9"/>
      <c r="F400" s="9"/>
      <c r="G400" s="47" t="str">
        <f>IF(F400="","",INDEX(站位样品信息!$B$3:INDEX(站位样品信息!$B:$B,COUNTA(站位样品信息!$B:$B)+1),MATCH($F400,站位样品信息!$A$3:INDEX(站位样品信息!$A:$A,COUNTA(站位样品信息!$A:$A)+1),),))</f>
        <v/>
      </c>
      <c r="H400" s="37" t="str">
        <f>IF(A400&amp;B400&amp;C400="","",INDEX(生物种群!$A$2:INDEX(生物种群!$A:$A,COUNTA(生物种群!$A:$A)),MATCH($I400,生物种群!$B$2:INDEX(生物种群!$B:$B,COUNTA(生物种群!$B:$B)),),))</f>
        <v/>
      </c>
      <c r="I400" s="37" t="str">
        <f>IF(A400&amp;B400&amp;C400="","",IF($C400&lt;&gt;0,INDEX(生物种群!$B$2:INDEX(生物种群!$B:$B,COUNTA(生物种群!$B:$B)),MATCH($C400,生物种群!$G$2:INDEX(生物种群!$G:$G,COUNTA(生物种群!$G:$G)),),),IF($A400&lt;&gt;0,INDEX(生物种群!$B$2:INDEX(生物种群!$B:$B,COUNTA(生物种群!$B:$B)),MATCH($A400,生物种群!$C$2:INDEX(生物种群!$C:$C,COUNTA(生物种群!$C:$C)),),),INDEX(生物种群!$B$2:INDEX(生物种群!$B:$B,COUNTA(生物种群!$B:$B)),MATCH($B400,生物种群!$D$2:INDEX(生物种群!$D:$D,COUNTA(生物种群!$D:$D)),),))))</f>
        <v/>
      </c>
      <c r="J400" s="37" t="str">
        <f>IF(A400&amp;B400&amp;C400="","",INDEX(生物种群!$J$2:INDEX(生物种群!$J:$J,COUNTA(生物种群!$J:$J)),MATCH($I400,生物种群!$B$2:INDEX(生物种群!$B:$B,COUNTA(生物种群!$B:$B)),),))</f>
        <v/>
      </c>
      <c r="K400" s="37" t="str">
        <f>IF(A400&amp;B400&amp;C400="","",INDEX(生物种群!$E$2:INDEX(生物种群!$E:$E,COUNTA(生物种群!$E:$E)),MATCH($I400,生物种群!$B$2:INDEX(生物种群!$B:$B,COUNTA(生物种群!$B:$B)),),))</f>
        <v/>
      </c>
      <c r="L400" s="37" t="str">
        <f>IF(A400&amp;B400&amp;C400="","",INDEX(生物种群!$F$3:INDEX(生物种群!$F:$F,COUNTA(生物种群!$F:$F)),MATCH($I400,生物种群!$B$3:INDEX(生物种群!$B:$B,COUNTA(生物种群!$B:$B)),),))</f>
        <v/>
      </c>
      <c r="M400" s="37" t="str">
        <f t="shared" si="12"/>
        <v/>
      </c>
      <c r="N400" s="37" t="str">
        <f t="shared" si="13"/>
        <v/>
      </c>
      <c r="O400" s="9"/>
      <c r="P400" s="10"/>
    </row>
    <row r="401" spans="1:16" ht="20.1" customHeight="1">
      <c r="A401" s="9"/>
      <c r="B401" s="9"/>
      <c r="C401" s="9"/>
      <c r="D401" s="43"/>
      <c r="E401" s="9"/>
      <c r="F401" s="9"/>
      <c r="G401" s="47" t="str">
        <f>IF(F401="","",INDEX(站位样品信息!$B$3:INDEX(站位样品信息!$B:$B,COUNTA(站位样品信息!$B:$B)+1),MATCH($F401,站位样品信息!$A$3:INDEX(站位样品信息!$A:$A,COUNTA(站位样品信息!$A:$A)+1),),))</f>
        <v/>
      </c>
      <c r="H401" s="37" t="str">
        <f>IF(A401&amp;B401&amp;C401="","",INDEX(生物种群!$A$2:INDEX(生物种群!$A:$A,COUNTA(生物种群!$A:$A)),MATCH($I401,生物种群!$B$2:INDEX(生物种群!$B:$B,COUNTA(生物种群!$B:$B)),),))</f>
        <v/>
      </c>
      <c r="I401" s="37" t="str">
        <f>IF(A401&amp;B401&amp;C401="","",IF($C401&lt;&gt;0,INDEX(生物种群!$B$2:INDEX(生物种群!$B:$B,COUNTA(生物种群!$B:$B)),MATCH($C401,生物种群!$G$2:INDEX(生物种群!$G:$G,COUNTA(生物种群!$G:$G)),),),IF($A401&lt;&gt;0,INDEX(生物种群!$B$2:INDEX(生物种群!$B:$B,COUNTA(生物种群!$B:$B)),MATCH($A401,生物种群!$C$2:INDEX(生物种群!$C:$C,COUNTA(生物种群!$C:$C)),),),INDEX(生物种群!$B$2:INDEX(生物种群!$B:$B,COUNTA(生物种群!$B:$B)),MATCH($B401,生物种群!$D$2:INDEX(生物种群!$D:$D,COUNTA(生物种群!$D:$D)),),))))</f>
        <v/>
      </c>
      <c r="J401" s="37" t="str">
        <f>IF(A401&amp;B401&amp;C401="","",INDEX(生物种群!$J$2:INDEX(生物种群!$J:$J,COUNTA(生物种群!$J:$J)),MATCH($I401,生物种群!$B$2:INDEX(生物种群!$B:$B,COUNTA(生物种群!$B:$B)),),))</f>
        <v/>
      </c>
      <c r="K401" s="37" t="str">
        <f>IF(A401&amp;B401&amp;C401="","",INDEX(生物种群!$E$2:INDEX(生物种群!$E:$E,COUNTA(生物种群!$E:$E)),MATCH($I401,生物种群!$B$2:INDEX(生物种群!$B:$B,COUNTA(生物种群!$B:$B)),),))</f>
        <v/>
      </c>
      <c r="L401" s="37" t="str">
        <f>IF(A401&amp;B401&amp;C401="","",INDEX(生物种群!$F$3:INDEX(生物种群!$F:$F,COUNTA(生物种群!$F:$F)),MATCH($I401,生物种群!$B$3:INDEX(生物种群!$B:$B,COUNTA(生物种群!$B:$B)),),))</f>
        <v/>
      </c>
      <c r="M401" s="37" t="str">
        <f t="shared" si="12"/>
        <v/>
      </c>
      <c r="N401" s="37" t="str">
        <f t="shared" si="13"/>
        <v/>
      </c>
      <c r="O401" s="9"/>
      <c r="P401" s="10"/>
    </row>
    <row r="402" spans="1:16" ht="20.1" customHeight="1">
      <c r="A402" s="9"/>
      <c r="B402" s="9"/>
      <c r="C402" s="9"/>
      <c r="D402" s="43"/>
      <c r="E402" s="9"/>
      <c r="F402" s="9"/>
      <c r="G402" s="47" t="str">
        <f>IF(F402="","",INDEX(站位样品信息!$B$3:INDEX(站位样品信息!$B:$B,COUNTA(站位样品信息!$B:$B)+1),MATCH($F402,站位样品信息!$A$3:INDEX(站位样品信息!$A:$A,COUNTA(站位样品信息!$A:$A)+1),),))</f>
        <v/>
      </c>
      <c r="H402" s="37" t="str">
        <f>IF(A402&amp;B402&amp;C402="","",INDEX(生物种群!$A$2:INDEX(生物种群!$A:$A,COUNTA(生物种群!$A:$A)),MATCH($I402,生物种群!$B$2:INDEX(生物种群!$B:$B,COUNTA(生物种群!$B:$B)),),))</f>
        <v/>
      </c>
      <c r="I402" s="37" t="str">
        <f>IF(A402&amp;B402&amp;C402="","",IF($C402&lt;&gt;0,INDEX(生物种群!$B$2:INDEX(生物种群!$B:$B,COUNTA(生物种群!$B:$B)),MATCH($C402,生物种群!$G$2:INDEX(生物种群!$G:$G,COUNTA(生物种群!$G:$G)),),),IF($A402&lt;&gt;0,INDEX(生物种群!$B$2:INDEX(生物种群!$B:$B,COUNTA(生物种群!$B:$B)),MATCH($A402,生物种群!$C$2:INDEX(生物种群!$C:$C,COUNTA(生物种群!$C:$C)),),),INDEX(生物种群!$B$2:INDEX(生物种群!$B:$B,COUNTA(生物种群!$B:$B)),MATCH($B402,生物种群!$D$2:INDEX(生物种群!$D:$D,COUNTA(生物种群!$D:$D)),),))))</f>
        <v/>
      </c>
      <c r="J402" s="37" t="str">
        <f>IF(A402&amp;B402&amp;C402="","",INDEX(生物种群!$J$2:INDEX(生物种群!$J:$J,COUNTA(生物种群!$J:$J)),MATCH($I402,生物种群!$B$2:INDEX(生物种群!$B:$B,COUNTA(生物种群!$B:$B)),),))</f>
        <v/>
      </c>
      <c r="K402" s="37" t="str">
        <f>IF(A402&amp;B402&amp;C402="","",INDEX(生物种群!$E$2:INDEX(生物种群!$E:$E,COUNTA(生物种群!$E:$E)),MATCH($I402,生物种群!$B$2:INDEX(生物种群!$B:$B,COUNTA(生物种群!$B:$B)),),))</f>
        <v/>
      </c>
      <c r="L402" s="37" t="str">
        <f>IF(A402&amp;B402&amp;C402="","",INDEX(生物种群!$F$3:INDEX(生物种群!$F:$F,COUNTA(生物种群!$F:$F)),MATCH($I402,生物种群!$B$3:INDEX(生物种群!$B:$B,COUNTA(生物种群!$B:$B)),),))</f>
        <v/>
      </c>
      <c r="M402" s="37" t="str">
        <f t="shared" si="12"/>
        <v/>
      </c>
      <c r="N402" s="37" t="str">
        <f t="shared" si="13"/>
        <v/>
      </c>
      <c r="O402" s="9"/>
      <c r="P402" s="10"/>
    </row>
    <row r="403" spans="1:16" ht="20.1" customHeight="1">
      <c r="A403" s="9"/>
      <c r="B403" s="9"/>
      <c r="C403" s="9"/>
      <c r="D403" s="43"/>
      <c r="E403" s="9"/>
      <c r="F403" s="9"/>
      <c r="G403" s="47" t="str">
        <f>IF(F403="","",INDEX(站位样品信息!$B$3:INDEX(站位样品信息!$B:$B,COUNTA(站位样品信息!$B:$B)+1),MATCH($F403,站位样品信息!$A$3:INDEX(站位样品信息!$A:$A,COUNTA(站位样品信息!$A:$A)+1),),))</f>
        <v/>
      </c>
      <c r="H403" s="37" t="str">
        <f>IF(A403&amp;B403&amp;C403="","",INDEX(生物种群!$A$2:INDEX(生物种群!$A:$A,COUNTA(生物种群!$A:$A)),MATCH($I403,生物种群!$B$2:INDEX(生物种群!$B:$B,COUNTA(生物种群!$B:$B)),),))</f>
        <v/>
      </c>
      <c r="I403" s="37" t="str">
        <f>IF(A403&amp;B403&amp;C403="","",IF($C403&lt;&gt;0,INDEX(生物种群!$B$2:INDEX(生物种群!$B:$B,COUNTA(生物种群!$B:$B)),MATCH($C403,生物种群!$G$2:INDEX(生物种群!$G:$G,COUNTA(生物种群!$G:$G)),),),IF($A403&lt;&gt;0,INDEX(生物种群!$B$2:INDEX(生物种群!$B:$B,COUNTA(生物种群!$B:$B)),MATCH($A403,生物种群!$C$2:INDEX(生物种群!$C:$C,COUNTA(生物种群!$C:$C)),),),INDEX(生物种群!$B$2:INDEX(生物种群!$B:$B,COUNTA(生物种群!$B:$B)),MATCH($B403,生物种群!$D$2:INDEX(生物种群!$D:$D,COUNTA(生物种群!$D:$D)),),))))</f>
        <v/>
      </c>
      <c r="J403" s="37" t="str">
        <f>IF(A403&amp;B403&amp;C403="","",INDEX(生物种群!$J$2:INDEX(生物种群!$J:$J,COUNTA(生物种群!$J:$J)),MATCH($I403,生物种群!$B$2:INDEX(生物种群!$B:$B,COUNTA(生物种群!$B:$B)),),))</f>
        <v/>
      </c>
      <c r="K403" s="37" t="str">
        <f>IF(A403&amp;B403&amp;C403="","",INDEX(生物种群!$E$2:INDEX(生物种群!$E:$E,COUNTA(生物种群!$E:$E)),MATCH($I403,生物种群!$B$2:INDEX(生物种群!$B:$B,COUNTA(生物种群!$B:$B)),),))</f>
        <v/>
      </c>
      <c r="L403" s="37" t="str">
        <f>IF(A403&amp;B403&amp;C403="","",INDEX(生物种群!$F$3:INDEX(生物种群!$F:$F,COUNTA(生物种群!$F:$F)),MATCH($I403,生物种群!$B$3:INDEX(生物种群!$B:$B,COUNTA(生物种群!$B:$B)),),))</f>
        <v/>
      </c>
      <c r="M403" s="37" t="str">
        <f t="shared" si="12"/>
        <v/>
      </c>
      <c r="N403" s="37" t="str">
        <f t="shared" si="13"/>
        <v/>
      </c>
      <c r="O403" s="9"/>
      <c r="P403" s="10"/>
    </row>
    <row r="404" spans="1:16" ht="20.1" customHeight="1">
      <c r="A404" s="9"/>
      <c r="B404" s="9"/>
      <c r="C404" s="9"/>
      <c r="D404" s="43"/>
      <c r="E404" s="9"/>
      <c r="F404" s="9"/>
      <c r="G404" s="47" t="str">
        <f>IF(F404="","",INDEX(站位样品信息!$B$3:INDEX(站位样品信息!$B:$B,COUNTA(站位样品信息!$B:$B)+1),MATCH($F404,站位样品信息!$A$3:INDEX(站位样品信息!$A:$A,COUNTA(站位样品信息!$A:$A)+1),),))</f>
        <v/>
      </c>
      <c r="H404" s="37" t="str">
        <f>IF(A404&amp;B404&amp;C404="","",INDEX(生物种群!$A$2:INDEX(生物种群!$A:$A,COUNTA(生物种群!$A:$A)),MATCH($I404,生物种群!$B$2:INDEX(生物种群!$B:$B,COUNTA(生物种群!$B:$B)),),))</f>
        <v/>
      </c>
      <c r="I404" s="37" t="str">
        <f>IF(A404&amp;B404&amp;C404="","",IF($C404&lt;&gt;0,INDEX(生物种群!$B$2:INDEX(生物种群!$B:$B,COUNTA(生物种群!$B:$B)),MATCH($C404,生物种群!$G$2:INDEX(生物种群!$G:$G,COUNTA(生物种群!$G:$G)),),),IF($A404&lt;&gt;0,INDEX(生物种群!$B$2:INDEX(生物种群!$B:$B,COUNTA(生物种群!$B:$B)),MATCH($A404,生物种群!$C$2:INDEX(生物种群!$C:$C,COUNTA(生物种群!$C:$C)),),),INDEX(生物种群!$B$2:INDEX(生物种群!$B:$B,COUNTA(生物种群!$B:$B)),MATCH($B404,生物种群!$D$2:INDEX(生物种群!$D:$D,COUNTA(生物种群!$D:$D)),),))))</f>
        <v/>
      </c>
      <c r="J404" s="37" t="str">
        <f>IF(A404&amp;B404&amp;C404="","",INDEX(生物种群!$J$2:INDEX(生物种群!$J:$J,COUNTA(生物种群!$J:$J)),MATCH($I404,生物种群!$B$2:INDEX(生物种群!$B:$B,COUNTA(生物种群!$B:$B)),),))</f>
        <v/>
      </c>
      <c r="K404" s="37" t="str">
        <f>IF(A404&amp;B404&amp;C404="","",INDEX(生物种群!$E$2:INDEX(生物种群!$E:$E,COUNTA(生物种群!$E:$E)),MATCH($I404,生物种群!$B$2:INDEX(生物种群!$B:$B,COUNTA(生物种群!$B:$B)),),))</f>
        <v/>
      </c>
      <c r="L404" s="37" t="str">
        <f>IF(A404&amp;B404&amp;C404="","",INDEX(生物种群!$F$3:INDEX(生物种群!$F:$F,COUNTA(生物种群!$F:$F)),MATCH($I404,生物种群!$B$3:INDEX(生物种群!$B:$B,COUNTA(生物种群!$B:$B)),),))</f>
        <v/>
      </c>
      <c r="M404" s="37" t="str">
        <f t="shared" si="12"/>
        <v/>
      </c>
      <c r="N404" s="37" t="str">
        <f t="shared" si="13"/>
        <v/>
      </c>
      <c r="O404" s="9"/>
      <c r="P404" s="10"/>
    </row>
    <row r="405" spans="1:16" ht="20.1" customHeight="1">
      <c r="A405" s="9"/>
      <c r="B405" s="9"/>
      <c r="C405" s="9"/>
      <c r="D405" s="43"/>
      <c r="E405" s="9"/>
      <c r="F405" s="9"/>
      <c r="G405" s="47" t="str">
        <f>IF(F405="","",INDEX(站位样品信息!$B$3:INDEX(站位样品信息!$B:$B,COUNTA(站位样品信息!$B:$B)+1),MATCH($F405,站位样品信息!$A$3:INDEX(站位样品信息!$A:$A,COUNTA(站位样品信息!$A:$A)+1),),))</f>
        <v/>
      </c>
      <c r="H405" s="37" t="str">
        <f>IF(A405&amp;B405&amp;C405="","",INDEX(生物种群!$A$2:INDEX(生物种群!$A:$A,COUNTA(生物种群!$A:$A)),MATCH($I405,生物种群!$B$2:INDEX(生物种群!$B:$B,COUNTA(生物种群!$B:$B)),),))</f>
        <v/>
      </c>
      <c r="I405" s="37" t="str">
        <f>IF(A405&amp;B405&amp;C405="","",IF($C405&lt;&gt;0,INDEX(生物种群!$B$2:INDEX(生物种群!$B:$B,COUNTA(生物种群!$B:$B)),MATCH($C405,生物种群!$G$2:INDEX(生物种群!$G:$G,COUNTA(生物种群!$G:$G)),),),IF($A405&lt;&gt;0,INDEX(生物种群!$B$2:INDEX(生物种群!$B:$B,COUNTA(生物种群!$B:$B)),MATCH($A405,生物种群!$C$2:INDEX(生物种群!$C:$C,COUNTA(生物种群!$C:$C)),),),INDEX(生物种群!$B$2:INDEX(生物种群!$B:$B,COUNTA(生物种群!$B:$B)),MATCH($B405,生物种群!$D$2:INDEX(生物种群!$D:$D,COUNTA(生物种群!$D:$D)),),))))</f>
        <v/>
      </c>
      <c r="J405" s="37" t="str">
        <f>IF(A405&amp;B405&amp;C405="","",INDEX(生物种群!$J$2:INDEX(生物种群!$J:$J,COUNTA(生物种群!$J:$J)),MATCH($I405,生物种群!$B$2:INDEX(生物种群!$B:$B,COUNTA(生物种群!$B:$B)),),))</f>
        <v/>
      </c>
      <c r="K405" s="37" t="str">
        <f>IF(A405&amp;B405&amp;C405="","",INDEX(生物种群!$E$2:INDEX(生物种群!$E:$E,COUNTA(生物种群!$E:$E)),MATCH($I405,生物种群!$B$2:INDEX(生物种群!$B:$B,COUNTA(生物种群!$B:$B)),),))</f>
        <v/>
      </c>
      <c r="L405" s="37" t="str">
        <f>IF(A405&amp;B405&amp;C405="","",INDEX(生物种群!$F$3:INDEX(生物种群!$F:$F,COUNTA(生物种群!$F:$F)),MATCH($I405,生物种群!$B$3:INDEX(生物种群!$B:$B,COUNTA(生物种群!$B:$B)),),))</f>
        <v/>
      </c>
      <c r="M405" s="37" t="str">
        <f t="shared" si="12"/>
        <v/>
      </c>
      <c r="N405" s="37" t="str">
        <f t="shared" si="13"/>
        <v/>
      </c>
      <c r="O405" s="9"/>
      <c r="P405" s="10"/>
    </row>
    <row r="406" spans="1:16" ht="20.1" customHeight="1">
      <c r="A406" s="9"/>
      <c r="B406" s="9"/>
      <c r="C406" s="9"/>
      <c r="D406" s="43"/>
      <c r="E406" s="9"/>
      <c r="F406" s="9"/>
      <c r="G406" s="47" t="str">
        <f>IF(F406="","",INDEX(站位样品信息!$B$3:INDEX(站位样品信息!$B:$B,COUNTA(站位样品信息!$B:$B)+1),MATCH($F406,站位样品信息!$A$3:INDEX(站位样品信息!$A:$A,COUNTA(站位样品信息!$A:$A)+1),),))</f>
        <v/>
      </c>
      <c r="H406" s="37" t="str">
        <f>IF(A406&amp;B406&amp;C406="","",INDEX(生物种群!$A$2:INDEX(生物种群!$A:$A,COUNTA(生物种群!$A:$A)),MATCH($I406,生物种群!$B$2:INDEX(生物种群!$B:$B,COUNTA(生物种群!$B:$B)),),))</f>
        <v/>
      </c>
      <c r="I406" s="37" t="str">
        <f>IF(A406&amp;B406&amp;C406="","",IF($C406&lt;&gt;0,INDEX(生物种群!$B$2:INDEX(生物种群!$B:$B,COUNTA(生物种群!$B:$B)),MATCH($C406,生物种群!$G$2:INDEX(生物种群!$G:$G,COUNTA(生物种群!$G:$G)),),),IF($A406&lt;&gt;0,INDEX(生物种群!$B$2:INDEX(生物种群!$B:$B,COUNTA(生物种群!$B:$B)),MATCH($A406,生物种群!$C$2:INDEX(生物种群!$C:$C,COUNTA(生物种群!$C:$C)),),),INDEX(生物种群!$B$2:INDEX(生物种群!$B:$B,COUNTA(生物种群!$B:$B)),MATCH($B406,生物种群!$D$2:INDEX(生物种群!$D:$D,COUNTA(生物种群!$D:$D)),),))))</f>
        <v/>
      </c>
      <c r="J406" s="37" t="str">
        <f>IF(A406&amp;B406&amp;C406="","",INDEX(生物种群!$J$2:INDEX(生物种群!$J:$J,COUNTA(生物种群!$J:$J)),MATCH($I406,生物种群!$B$2:INDEX(生物种群!$B:$B,COUNTA(生物种群!$B:$B)),),))</f>
        <v/>
      </c>
      <c r="K406" s="37" t="str">
        <f>IF(A406&amp;B406&amp;C406="","",INDEX(生物种群!$E$2:INDEX(生物种群!$E:$E,COUNTA(生物种群!$E:$E)),MATCH($I406,生物种群!$B$2:INDEX(生物种群!$B:$B,COUNTA(生物种群!$B:$B)),),))</f>
        <v/>
      </c>
      <c r="L406" s="37" t="str">
        <f>IF(A406&amp;B406&amp;C406="","",INDEX(生物种群!$F$3:INDEX(生物种群!$F:$F,COUNTA(生物种群!$F:$F)),MATCH($I406,生物种群!$B$3:INDEX(生物种群!$B:$B,COUNTA(生物种群!$B:$B)),),))</f>
        <v/>
      </c>
      <c r="M406" s="37" t="str">
        <f t="shared" si="12"/>
        <v/>
      </c>
      <c r="N406" s="37" t="str">
        <f t="shared" si="13"/>
        <v/>
      </c>
      <c r="O406" s="9"/>
      <c r="P406" s="10"/>
    </row>
    <row r="407" spans="1:16" ht="20.1" customHeight="1">
      <c r="A407" s="9"/>
      <c r="B407" s="9"/>
      <c r="C407" s="9"/>
      <c r="D407" s="43"/>
      <c r="E407" s="9"/>
      <c r="F407" s="9"/>
      <c r="G407" s="47" t="str">
        <f>IF(F407="","",INDEX(站位样品信息!$B$3:INDEX(站位样品信息!$B:$B,COUNTA(站位样品信息!$B:$B)+1),MATCH($F407,站位样品信息!$A$3:INDEX(站位样品信息!$A:$A,COUNTA(站位样品信息!$A:$A)+1),),))</f>
        <v/>
      </c>
      <c r="H407" s="37" t="str">
        <f>IF(A407&amp;B407&amp;C407="","",INDEX(生物种群!$A$2:INDEX(生物种群!$A:$A,COUNTA(生物种群!$A:$A)),MATCH($I407,生物种群!$B$2:INDEX(生物种群!$B:$B,COUNTA(生物种群!$B:$B)),),))</f>
        <v/>
      </c>
      <c r="I407" s="37" t="str">
        <f>IF(A407&amp;B407&amp;C407="","",IF($C407&lt;&gt;0,INDEX(生物种群!$B$2:INDEX(生物种群!$B:$B,COUNTA(生物种群!$B:$B)),MATCH($C407,生物种群!$G$2:INDEX(生物种群!$G:$G,COUNTA(生物种群!$G:$G)),),),IF($A407&lt;&gt;0,INDEX(生物种群!$B$2:INDEX(生物种群!$B:$B,COUNTA(生物种群!$B:$B)),MATCH($A407,生物种群!$C$2:INDEX(生物种群!$C:$C,COUNTA(生物种群!$C:$C)),),),INDEX(生物种群!$B$2:INDEX(生物种群!$B:$B,COUNTA(生物种群!$B:$B)),MATCH($B407,生物种群!$D$2:INDEX(生物种群!$D:$D,COUNTA(生物种群!$D:$D)),),))))</f>
        <v/>
      </c>
      <c r="J407" s="37" t="str">
        <f>IF(A407&amp;B407&amp;C407="","",INDEX(生物种群!$J$2:INDEX(生物种群!$J:$J,COUNTA(生物种群!$J:$J)),MATCH($I407,生物种群!$B$2:INDEX(生物种群!$B:$B,COUNTA(生物种群!$B:$B)),),))</f>
        <v/>
      </c>
      <c r="K407" s="37" t="str">
        <f>IF(A407&amp;B407&amp;C407="","",INDEX(生物种群!$E$2:INDEX(生物种群!$E:$E,COUNTA(生物种群!$E:$E)),MATCH($I407,生物种群!$B$2:INDEX(生物种群!$B:$B,COUNTA(生物种群!$B:$B)),),))</f>
        <v/>
      </c>
      <c r="L407" s="37" t="str">
        <f>IF(A407&amp;B407&amp;C407="","",INDEX(生物种群!$F$3:INDEX(生物种群!$F:$F,COUNTA(生物种群!$F:$F)),MATCH($I407,生物种群!$B$3:INDEX(生物种群!$B:$B,COUNTA(生物种群!$B:$B)),),))</f>
        <v/>
      </c>
      <c r="M407" s="37" t="str">
        <f t="shared" si="12"/>
        <v/>
      </c>
      <c r="N407" s="37" t="str">
        <f t="shared" si="13"/>
        <v/>
      </c>
      <c r="O407" s="9"/>
      <c r="P407" s="10"/>
    </row>
    <row r="408" spans="1:16" ht="20.1" customHeight="1">
      <c r="A408" s="9"/>
      <c r="B408" s="9"/>
      <c r="C408" s="9"/>
      <c r="D408" s="43"/>
      <c r="E408" s="9"/>
      <c r="F408" s="9"/>
      <c r="G408" s="47" t="str">
        <f>IF(F408="","",INDEX(站位样品信息!$B$3:INDEX(站位样品信息!$B:$B,COUNTA(站位样品信息!$B:$B)+1),MATCH($F408,站位样品信息!$A$3:INDEX(站位样品信息!$A:$A,COUNTA(站位样品信息!$A:$A)+1),),))</f>
        <v/>
      </c>
      <c r="H408" s="37" t="str">
        <f>IF(A408&amp;B408&amp;C408="","",INDEX(生物种群!$A$2:INDEX(生物种群!$A:$A,COUNTA(生物种群!$A:$A)),MATCH($I408,生物种群!$B$2:INDEX(生物种群!$B:$B,COUNTA(生物种群!$B:$B)),),))</f>
        <v/>
      </c>
      <c r="I408" s="37" t="str">
        <f>IF(A408&amp;B408&amp;C408="","",IF($C408&lt;&gt;0,INDEX(生物种群!$B$2:INDEX(生物种群!$B:$B,COUNTA(生物种群!$B:$B)),MATCH($C408,生物种群!$G$2:INDEX(生物种群!$G:$G,COUNTA(生物种群!$G:$G)),),),IF($A408&lt;&gt;0,INDEX(生物种群!$B$2:INDEX(生物种群!$B:$B,COUNTA(生物种群!$B:$B)),MATCH($A408,生物种群!$C$2:INDEX(生物种群!$C:$C,COUNTA(生物种群!$C:$C)),),),INDEX(生物种群!$B$2:INDEX(生物种群!$B:$B,COUNTA(生物种群!$B:$B)),MATCH($B408,生物种群!$D$2:INDEX(生物种群!$D:$D,COUNTA(生物种群!$D:$D)),),))))</f>
        <v/>
      </c>
      <c r="J408" s="37" t="str">
        <f>IF(A408&amp;B408&amp;C408="","",INDEX(生物种群!$J$2:INDEX(生物种群!$J:$J,COUNTA(生物种群!$J:$J)),MATCH($I408,生物种群!$B$2:INDEX(生物种群!$B:$B,COUNTA(生物种群!$B:$B)),),))</f>
        <v/>
      </c>
      <c r="K408" s="37" t="str">
        <f>IF(A408&amp;B408&amp;C408="","",INDEX(生物种群!$E$2:INDEX(生物种群!$E:$E,COUNTA(生物种群!$E:$E)),MATCH($I408,生物种群!$B$2:INDEX(生物种群!$B:$B,COUNTA(生物种群!$B:$B)),),))</f>
        <v/>
      </c>
      <c r="L408" s="37" t="str">
        <f>IF(A408&amp;B408&amp;C408="","",INDEX(生物种群!$F$3:INDEX(生物种群!$F:$F,COUNTA(生物种群!$F:$F)),MATCH($I408,生物种群!$B$3:INDEX(生物种群!$B:$B,COUNTA(生物种群!$B:$B)),),))</f>
        <v/>
      </c>
      <c r="M408" s="37" t="str">
        <f t="shared" si="12"/>
        <v/>
      </c>
      <c r="N408" s="37" t="str">
        <f t="shared" si="13"/>
        <v/>
      </c>
      <c r="O408" s="9"/>
      <c r="P408" s="10"/>
    </row>
    <row r="409" spans="1:16" ht="20.1" customHeight="1">
      <c r="A409" s="9"/>
      <c r="B409" s="9"/>
      <c r="C409" s="9"/>
      <c r="D409" s="43"/>
      <c r="E409" s="9"/>
      <c r="F409" s="9"/>
      <c r="G409" s="47" t="str">
        <f>IF(F409="","",INDEX(站位样品信息!$B$3:INDEX(站位样品信息!$B:$B,COUNTA(站位样品信息!$B:$B)+1),MATCH($F409,站位样品信息!$A$3:INDEX(站位样品信息!$A:$A,COUNTA(站位样品信息!$A:$A)+1),),))</f>
        <v/>
      </c>
      <c r="H409" s="37" t="str">
        <f>IF(A409&amp;B409&amp;C409="","",INDEX(生物种群!$A$2:INDEX(生物种群!$A:$A,COUNTA(生物种群!$A:$A)),MATCH($I409,生物种群!$B$2:INDEX(生物种群!$B:$B,COUNTA(生物种群!$B:$B)),),))</f>
        <v/>
      </c>
      <c r="I409" s="37" t="str">
        <f>IF(A409&amp;B409&amp;C409="","",IF($C409&lt;&gt;0,INDEX(生物种群!$B$2:INDEX(生物种群!$B:$B,COUNTA(生物种群!$B:$B)),MATCH($C409,生物种群!$G$2:INDEX(生物种群!$G:$G,COUNTA(生物种群!$G:$G)),),),IF($A409&lt;&gt;0,INDEX(生物种群!$B$2:INDEX(生物种群!$B:$B,COUNTA(生物种群!$B:$B)),MATCH($A409,生物种群!$C$2:INDEX(生物种群!$C:$C,COUNTA(生物种群!$C:$C)),),),INDEX(生物种群!$B$2:INDEX(生物种群!$B:$B,COUNTA(生物种群!$B:$B)),MATCH($B409,生物种群!$D$2:INDEX(生物种群!$D:$D,COUNTA(生物种群!$D:$D)),),))))</f>
        <v/>
      </c>
      <c r="J409" s="37" t="str">
        <f>IF(A409&amp;B409&amp;C409="","",INDEX(生物种群!$J$2:INDEX(生物种群!$J:$J,COUNTA(生物种群!$J:$J)),MATCH($I409,生物种群!$B$2:INDEX(生物种群!$B:$B,COUNTA(生物种群!$B:$B)),),))</f>
        <v/>
      </c>
      <c r="K409" s="37" t="str">
        <f>IF(A409&amp;B409&amp;C409="","",INDEX(生物种群!$E$2:INDEX(生物种群!$E:$E,COUNTA(生物种群!$E:$E)),MATCH($I409,生物种群!$B$2:INDEX(生物种群!$B:$B,COUNTA(生物种群!$B:$B)),),))</f>
        <v/>
      </c>
      <c r="L409" s="37" t="str">
        <f>IF(A409&amp;B409&amp;C409="","",INDEX(生物种群!$F$3:INDEX(生物种群!$F:$F,COUNTA(生物种群!$F:$F)),MATCH($I409,生物种群!$B$3:INDEX(生物种群!$B:$B,COUNTA(生物种群!$B:$B)),),))</f>
        <v/>
      </c>
      <c r="M409" s="37" t="str">
        <f t="shared" si="12"/>
        <v/>
      </c>
      <c r="N409" s="37" t="str">
        <f t="shared" si="13"/>
        <v/>
      </c>
      <c r="O409" s="9"/>
      <c r="P409" s="10"/>
    </row>
    <row r="410" spans="1:16" ht="20.1" customHeight="1">
      <c r="A410" s="9"/>
      <c r="B410" s="9"/>
      <c r="C410" s="9"/>
      <c r="D410" s="43"/>
      <c r="E410" s="9"/>
      <c r="F410" s="9"/>
      <c r="G410" s="47" t="str">
        <f>IF(F410="","",INDEX(站位样品信息!$B$3:INDEX(站位样品信息!$B:$B,COUNTA(站位样品信息!$B:$B)+1),MATCH($F410,站位样品信息!$A$3:INDEX(站位样品信息!$A:$A,COUNTA(站位样品信息!$A:$A)+1),),))</f>
        <v/>
      </c>
      <c r="H410" s="37" t="str">
        <f>IF(A410&amp;B410&amp;C410="","",INDEX(生物种群!$A$2:INDEX(生物种群!$A:$A,COUNTA(生物种群!$A:$A)),MATCH($I410,生物种群!$B$2:INDEX(生物种群!$B:$B,COUNTA(生物种群!$B:$B)),),))</f>
        <v/>
      </c>
      <c r="I410" s="37" t="str">
        <f>IF(A410&amp;B410&amp;C410="","",IF($C410&lt;&gt;0,INDEX(生物种群!$B$2:INDEX(生物种群!$B:$B,COUNTA(生物种群!$B:$B)),MATCH($C410,生物种群!$G$2:INDEX(生物种群!$G:$G,COUNTA(生物种群!$G:$G)),),),IF($A410&lt;&gt;0,INDEX(生物种群!$B$2:INDEX(生物种群!$B:$B,COUNTA(生物种群!$B:$B)),MATCH($A410,生物种群!$C$2:INDEX(生物种群!$C:$C,COUNTA(生物种群!$C:$C)),),),INDEX(生物种群!$B$2:INDEX(生物种群!$B:$B,COUNTA(生物种群!$B:$B)),MATCH($B410,生物种群!$D$2:INDEX(生物种群!$D:$D,COUNTA(生物种群!$D:$D)),),))))</f>
        <v/>
      </c>
      <c r="J410" s="37" t="str">
        <f>IF(A410&amp;B410&amp;C410="","",INDEX(生物种群!$J$2:INDEX(生物种群!$J:$J,COUNTA(生物种群!$J:$J)),MATCH($I410,生物种群!$B$2:INDEX(生物种群!$B:$B,COUNTA(生物种群!$B:$B)),),))</f>
        <v/>
      </c>
      <c r="K410" s="37" t="str">
        <f>IF(A410&amp;B410&amp;C410="","",INDEX(生物种群!$E$2:INDEX(生物种群!$E:$E,COUNTA(生物种群!$E:$E)),MATCH($I410,生物种群!$B$2:INDEX(生物种群!$B:$B,COUNTA(生物种群!$B:$B)),),))</f>
        <v/>
      </c>
      <c r="L410" s="37" t="str">
        <f>IF(A410&amp;B410&amp;C410="","",INDEX(生物种群!$F$3:INDEX(生物种群!$F:$F,COUNTA(生物种群!$F:$F)),MATCH($I410,生物种群!$B$3:INDEX(生物种群!$B:$B,COUNTA(生物种群!$B:$B)),),))</f>
        <v/>
      </c>
      <c r="M410" s="37" t="str">
        <f t="shared" si="12"/>
        <v/>
      </c>
      <c r="N410" s="37" t="str">
        <f t="shared" si="13"/>
        <v/>
      </c>
      <c r="O410" s="9"/>
      <c r="P410" s="10"/>
    </row>
    <row r="411" spans="1:16" ht="20.1" customHeight="1">
      <c r="A411" s="9"/>
      <c r="B411" s="9"/>
      <c r="C411" s="9"/>
      <c r="D411" s="43"/>
      <c r="E411" s="9"/>
      <c r="F411" s="9"/>
      <c r="G411" s="47" t="str">
        <f>IF(F411="","",INDEX(站位样品信息!$B$3:INDEX(站位样品信息!$B:$B,COUNTA(站位样品信息!$B:$B)+1),MATCH($F411,站位样品信息!$A$3:INDEX(站位样品信息!$A:$A,COUNTA(站位样品信息!$A:$A)+1),),))</f>
        <v/>
      </c>
      <c r="H411" s="37" t="str">
        <f>IF(A411&amp;B411&amp;C411="","",INDEX(生物种群!$A$2:INDEX(生物种群!$A:$A,COUNTA(生物种群!$A:$A)),MATCH($I411,生物种群!$B$2:INDEX(生物种群!$B:$B,COUNTA(生物种群!$B:$B)),),))</f>
        <v/>
      </c>
      <c r="I411" s="37" t="str">
        <f>IF(A411&amp;B411&amp;C411="","",IF($C411&lt;&gt;0,INDEX(生物种群!$B$2:INDEX(生物种群!$B:$B,COUNTA(生物种群!$B:$B)),MATCH($C411,生物种群!$G$2:INDEX(生物种群!$G:$G,COUNTA(生物种群!$G:$G)),),),IF($A411&lt;&gt;0,INDEX(生物种群!$B$2:INDEX(生物种群!$B:$B,COUNTA(生物种群!$B:$B)),MATCH($A411,生物种群!$C$2:INDEX(生物种群!$C:$C,COUNTA(生物种群!$C:$C)),),),INDEX(生物种群!$B$2:INDEX(生物种群!$B:$B,COUNTA(生物种群!$B:$B)),MATCH($B411,生物种群!$D$2:INDEX(生物种群!$D:$D,COUNTA(生物种群!$D:$D)),),))))</f>
        <v/>
      </c>
      <c r="J411" s="37" t="str">
        <f>IF(A411&amp;B411&amp;C411="","",INDEX(生物种群!$J$2:INDEX(生物种群!$J:$J,COUNTA(生物种群!$J:$J)),MATCH($I411,生物种群!$B$2:INDEX(生物种群!$B:$B,COUNTA(生物种群!$B:$B)),),))</f>
        <v/>
      </c>
      <c r="K411" s="37" t="str">
        <f>IF(A411&amp;B411&amp;C411="","",INDEX(生物种群!$E$2:INDEX(生物种群!$E:$E,COUNTA(生物种群!$E:$E)),MATCH($I411,生物种群!$B$2:INDEX(生物种群!$B:$B,COUNTA(生物种群!$B:$B)),),))</f>
        <v/>
      </c>
      <c r="L411" s="37" t="str">
        <f>IF(A411&amp;B411&amp;C411="","",INDEX(生物种群!$F$3:INDEX(生物种群!$F:$F,COUNTA(生物种群!$F:$F)),MATCH($I411,生物种群!$B$3:INDEX(生物种群!$B:$B,COUNTA(生物种群!$B:$B)),),))</f>
        <v/>
      </c>
      <c r="M411" s="37" t="str">
        <f t="shared" si="12"/>
        <v/>
      </c>
      <c r="N411" s="37" t="str">
        <f t="shared" si="13"/>
        <v/>
      </c>
      <c r="O411" s="9"/>
      <c r="P411" s="10"/>
    </row>
    <row r="412" spans="1:16" ht="20.1" customHeight="1">
      <c r="A412" s="9"/>
      <c r="B412" s="9"/>
      <c r="C412" s="9"/>
      <c r="D412" s="43"/>
      <c r="E412" s="9"/>
      <c r="F412" s="9"/>
      <c r="G412" s="47" t="str">
        <f>IF(F412="","",INDEX(站位样品信息!$B$3:INDEX(站位样品信息!$B:$B,COUNTA(站位样品信息!$B:$B)+1),MATCH($F412,站位样品信息!$A$3:INDEX(站位样品信息!$A:$A,COUNTA(站位样品信息!$A:$A)+1),),))</f>
        <v/>
      </c>
      <c r="H412" s="37" t="str">
        <f>IF(A412&amp;B412&amp;C412="","",INDEX(生物种群!$A$2:INDEX(生物种群!$A:$A,COUNTA(生物种群!$A:$A)),MATCH($I412,生物种群!$B$2:INDEX(生物种群!$B:$B,COUNTA(生物种群!$B:$B)),),))</f>
        <v/>
      </c>
      <c r="I412" s="37" t="str">
        <f>IF(A412&amp;B412&amp;C412="","",IF($C412&lt;&gt;0,INDEX(生物种群!$B$2:INDEX(生物种群!$B:$B,COUNTA(生物种群!$B:$B)),MATCH($C412,生物种群!$G$2:INDEX(生物种群!$G:$G,COUNTA(生物种群!$G:$G)),),),IF($A412&lt;&gt;0,INDEX(生物种群!$B$2:INDEX(生物种群!$B:$B,COUNTA(生物种群!$B:$B)),MATCH($A412,生物种群!$C$2:INDEX(生物种群!$C:$C,COUNTA(生物种群!$C:$C)),),),INDEX(生物种群!$B$2:INDEX(生物种群!$B:$B,COUNTA(生物种群!$B:$B)),MATCH($B412,生物种群!$D$2:INDEX(生物种群!$D:$D,COUNTA(生物种群!$D:$D)),),))))</f>
        <v/>
      </c>
      <c r="J412" s="37" t="str">
        <f>IF(A412&amp;B412&amp;C412="","",INDEX(生物种群!$J$2:INDEX(生物种群!$J:$J,COUNTA(生物种群!$J:$J)),MATCH($I412,生物种群!$B$2:INDEX(生物种群!$B:$B,COUNTA(生物种群!$B:$B)),),))</f>
        <v/>
      </c>
      <c r="K412" s="37" t="str">
        <f>IF(A412&amp;B412&amp;C412="","",INDEX(生物种群!$E$2:INDEX(生物种群!$E:$E,COUNTA(生物种群!$E:$E)),MATCH($I412,生物种群!$B$2:INDEX(生物种群!$B:$B,COUNTA(生物种群!$B:$B)),),))</f>
        <v/>
      </c>
      <c r="L412" s="37" t="str">
        <f>IF(A412&amp;B412&amp;C412="","",INDEX(生物种群!$F$3:INDEX(生物种群!$F:$F,COUNTA(生物种群!$F:$F)),MATCH($I412,生物种群!$B$3:INDEX(生物种群!$B:$B,COUNTA(生物种群!$B:$B)),),))</f>
        <v/>
      </c>
      <c r="M412" s="37" t="str">
        <f t="shared" si="12"/>
        <v/>
      </c>
      <c r="N412" s="37" t="str">
        <f t="shared" si="13"/>
        <v/>
      </c>
      <c r="O412" s="9"/>
      <c r="P412" s="10"/>
    </row>
    <row r="413" spans="1:16" ht="20.1" customHeight="1">
      <c r="A413" s="9"/>
      <c r="B413" s="9"/>
      <c r="C413" s="9"/>
      <c r="D413" s="43"/>
      <c r="E413" s="9"/>
      <c r="F413" s="9"/>
      <c r="G413" s="47" t="str">
        <f>IF(F413="","",INDEX(站位样品信息!$B$3:INDEX(站位样品信息!$B:$B,COUNTA(站位样品信息!$B:$B)+1),MATCH($F413,站位样品信息!$A$3:INDEX(站位样品信息!$A:$A,COUNTA(站位样品信息!$A:$A)+1),),))</f>
        <v/>
      </c>
      <c r="H413" s="37" t="str">
        <f>IF(A413&amp;B413&amp;C413="","",INDEX(生物种群!$A$2:INDEX(生物种群!$A:$A,COUNTA(生物种群!$A:$A)),MATCH($I413,生物种群!$B$2:INDEX(生物种群!$B:$B,COUNTA(生物种群!$B:$B)),),))</f>
        <v/>
      </c>
      <c r="I413" s="37" t="str">
        <f>IF(A413&amp;B413&amp;C413="","",IF($C413&lt;&gt;0,INDEX(生物种群!$B$2:INDEX(生物种群!$B:$B,COUNTA(生物种群!$B:$B)),MATCH($C413,生物种群!$G$2:INDEX(生物种群!$G:$G,COUNTA(生物种群!$G:$G)),),),IF($A413&lt;&gt;0,INDEX(生物种群!$B$2:INDEX(生物种群!$B:$B,COUNTA(生物种群!$B:$B)),MATCH($A413,生物种群!$C$2:INDEX(生物种群!$C:$C,COUNTA(生物种群!$C:$C)),),),INDEX(生物种群!$B$2:INDEX(生物种群!$B:$B,COUNTA(生物种群!$B:$B)),MATCH($B413,生物种群!$D$2:INDEX(生物种群!$D:$D,COUNTA(生物种群!$D:$D)),),))))</f>
        <v/>
      </c>
      <c r="J413" s="37" t="str">
        <f>IF(A413&amp;B413&amp;C413="","",INDEX(生物种群!$J$2:INDEX(生物种群!$J:$J,COUNTA(生物种群!$J:$J)),MATCH($I413,生物种群!$B$2:INDEX(生物种群!$B:$B,COUNTA(生物种群!$B:$B)),),))</f>
        <v/>
      </c>
      <c r="K413" s="37" t="str">
        <f>IF(A413&amp;B413&amp;C413="","",INDEX(生物种群!$E$2:INDEX(生物种群!$E:$E,COUNTA(生物种群!$E:$E)),MATCH($I413,生物种群!$B$2:INDEX(生物种群!$B:$B,COUNTA(生物种群!$B:$B)),),))</f>
        <v/>
      </c>
      <c r="L413" s="37" t="str">
        <f>IF(A413&amp;B413&amp;C413="","",INDEX(生物种群!$F$3:INDEX(生物种群!$F:$F,COUNTA(生物种群!$F:$F)),MATCH($I413,生物种群!$B$3:INDEX(生物种群!$B:$B,COUNTA(生物种群!$B:$B)),),))</f>
        <v/>
      </c>
      <c r="M413" s="37" t="str">
        <f t="shared" si="12"/>
        <v/>
      </c>
      <c r="N413" s="37" t="str">
        <f t="shared" si="13"/>
        <v/>
      </c>
      <c r="O413" s="9"/>
      <c r="P413" s="10"/>
    </row>
    <row r="414" spans="1:16" ht="20.1" customHeight="1">
      <c r="A414" s="9"/>
      <c r="B414" s="9"/>
      <c r="C414" s="9"/>
      <c r="D414" s="43"/>
      <c r="E414" s="9"/>
      <c r="F414" s="9"/>
      <c r="G414" s="47" t="str">
        <f>IF(F414="","",INDEX(站位样品信息!$B$3:INDEX(站位样品信息!$B:$B,COUNTA(站位样品信息!$B:$B)+1),MATCH($F414,站位样品信息!$A$3:INDEX(站位样品信息!$A:$A,COUNTA(站位样品信息!$A:$A)+1),),))</f>
        <v/>
      </c>
      <c r="H414" s="37" t="str">
        <f>IF(A414&amp;B414&amp;C414="","",INDEX(生物种群!$A$2:INDEX(生物种群!$A:$A,COUNTA(生物种群!$A:$A)),MATCH($I414,生物种群!$B$2:INDEX(生物种群!$B:$B,COUNTA(生物种群!$B:$B)),),))</f>
        <v/>
      </c>
      <c r="I414" s="37" t="str">
        <f>IF(A414&amp;B414&amp;C414="","",IF($C414&lt;&gt;0,INDEX(生物种群!$B$2:INDEX(生物种群!$B:$B,COUNTA(生物种群!$B:$B)),MATCH($C414,生物种群!$G$2:INDEX(生物种群!$G:$G,COUNTA(生物种群!$G:$G)),),),IF($A414&lt;&gt;0,INDEX(生物种群!$B$2:INDEX(生物种群!$B:$B,COUNTA(生物种群!$B:$B)),MATCH($A414,生物种群!$C$2:INDEX(生物种群!$C:$C,COUNTA(生物种群!$C:$C)),),),INDEX(生物种群!$B$2:INDEX(生物种群!$B:$B,COUNTA(生物种群!$B:$B)),MATCH($B414,生物种群!$D$2:INDEX(生物种群!$D:$D,COUNTA(生物种群!$D:$D)),),))))</f>
        <v/>
      </c>
      <c r="J414" s="37" t="str">
        <f>IF(A414&amp;B414&amp;C414="","",INDEX(生物种群!$J$2:INDEX(生物种群!$J:$J,COUNTA(生物种群!$J:$J)),MATCH($I414,生物种群!$B$2:INDEX(生物种群!$B:$B,COUNTA(生物种群!$B:$B)),),))</f>
        <v/>
      </c>
      <c r="K414" s="37" t="str">
        <f>IF(A414&amp;B414&amp;C414="","",INDEX(生物种群!$E$2:INDEX(生物种群!$E:$E,COUNTA(生物种群!$E:$E)),MATCH($I414,生物种群!$B$2:INDEX(生物种群!$B:$B,COUNTA(生物种群!$B:$B)),),))</f>
        <v/>
      </c>
      <c r="L414" s="37" t="str">
        <f>IF(A414&amp;B414&amp;C414="","",INDEX(生物种群!$F$3:INDEX(生物种群!$F:$F,COUNTA(生物种群!$F:$F)),MATCH($I414,生物种群!$B$3:INDEX(生物种群!$B:$B,COUNTA(生物种群!$B:$B)),),))</f>
        <v/>
      </c>
      <c r="M414" s="37" t="str">
        <f t="shared" si="12"/>
        <v/>
      </c>
      <c r="N414" s="37" t="str">
        <f t="shared" si="13"/>
        <v/>
      </c>
      <c r="O414" s="9"/>
      <c r="P414" s="10"/>
    </row>
    <row r="415" spans="1:16" ht="20.1" customHeight="1">
      <c r="A415" s="9"/>
      <c r="B415" s="9"/>
      <c r="C415" s="9"/>
      <c r="D415" s="43"/>
      <c r="E415" s="9"/>
      <c r="F415" s="9"/>
      <c r="G415" s="47" t="str">
        <f>IF(F415="","",INDEX(站位样品信息!$B$3:INDEX(站位样品信息!$B:$B,COUNTA(站位样品信息!$B:$B)+1),MATCH($F415,站位样品信息!$A$3:INDEX(站位样品信息!$A:$A,COUNTA(站位样品信息!$A:$A)+1),),))</f>
        <v/>
      </c>
      <c r="H415" s="37" t="str">
        <f>IF(A415&amp;B415&amp;C415="","",INDEX(生物种群!$A$2:INDEX(生物种群!$A:$A,COUNTA(生物种群!$A:$A)),MATCH($I415,生物种群!$B$2:INDEX(生物种群!$B:$B,COUNTA(生物种群!$B:$B)),),))</f>
        <v/>
      </c>
      <c r="I415" s="37" t="str">
        <f>IF(A415&amp;B415&amp;C415="","",IF($C415&lt;&gt;0,INDEX(生物种群!$B$2:INDEX(生物种群!$B:$B,COUNTA(生物种群!$B:$B)),MATCH($C415,生物种群!$G$2:INDEX(生物种群!$G:$G,COUNTA(生物种群!$G:$G)),),),IF($A415&lt;&gt;0,INDEX(生物种群!$B$2:INDEX(生物种群!$B:$B,COUNTA(生物种群!$B:$B)),MATCH($A415,生物种群!$C$2:INDEX(生物种群!$C:$C,COUNTA(生物种群!$C:$C)),),),INDEX(生物种群!$B$2:INDEX(生物种群!$B:$B,COUNTA(生物种群!$B:$B)),MATCH($B415,生物种群!$D$2:INDEX(生物种群!$D:$D,COUNTA(生物种群!$D:$D)),),))))</f>
        <v/>
      </c>
      <c r="J415" s="37" t="str">
        <f>IF(A415&amp;B415&amp;C415="","",INDEX(生物种群!$J$2:INDEX(生物种群!$J:$J,COUNTA(生物种群!$J:$J)),MATCH($I415,生物种群!$B$2:INDEX(生物种群!$B:$B,COUNTA(生物种群!$B:$B)),),))</f>
        <v/>
      </c>
      <c r="K415" s="37" t="str">
        <f>IF(A415&amp;B415&amp;C415="","",INDEX(生物种群!$E$2:INDEX(生物种群!$E:$E,COUNTA(生物种群!$E:$E)),MATCH($I415,生物种群!$B$2:INDEX(生物种群!$B:$B,COUNTA(生物种群!$B:$B)),),))</f>
        <v/>
      </c>
      <c r="L415" s="37" t="str">
        <f>IF(A415&amp;B415&amp;C415="","",INDEX(生物种群!$F$3:INDEX(生物种群!$F:$F,COUNTA(生物种群!$F:$F)),MATCH($I415,生物种群!$B$3:INDEX(生物种群!$B:$B,COUNTA(生物种群!$B:$B)),),))</f>
        <v/>
      </c>
      <c r="M415" s="37" t="str">
        <f t="shared" si="12"/>
        <v/>
      </c>
      <c r="N415" s="37" t="str">
        <f t="shared" si="13"/>
        <v/>
      </c>
      <c r="O415" s="9"/>
      <c r="P415" s="10"/>
    </row>
    <row r="416" spans="1:16" ht="20.1" customHeight="1">
      <c r="A416" s="9"/>
      <c r="B416" s="9"/>
      <c r="C416" s="9"/>
      <c r="D416" s="43"/>
      <c r="E416" s="9"/>
      <c r="F416" s="9"/>
      <c r="G416" s="47" t="str">
        <f>IF(F416="","",INDEX(站位样品信息!$B$3:INDEX(站位样品信息!$B:$B,COUNTA(站位样品信息!$B:$B)+1),MATCH($F416,站位样品信息!$A$3:INDEX(站位样品信息!$A:$A,COUNTA(站位样品信息!$A:$A)+1),),))</f>
        <v/>
      </c>
      <c r="H416" s="37" t="str">
        <f>IF(A416&amp;B416&amp;C416="","",INDEX(生物种群!$A$2:INDEX(生物种群!$A:$A,COUNTA(生物种群!$A:$A)),MATCH($I416,生物种群!$B$2:INDEX(生物种群!$B:$B,COUNTA(生物种群!$B:$B)),),))</f>
        <v/>
      </c>
      <c r="I416" s="37" t="str">
        <f>IF(A416&amp;B416&amp;C416="","",IF($C416&lt;&gt;0,INDEX(生物种群!$B$2:INDEX(生物种群!$B:$B,COUNTA(生物种群!$B:$B)),MATCH($C416,生物种群!$G$2:INDEX(生物种群!$G:$G,COUNTA(生物种群!$G:$G)),),),IF($A416&lt;&gt;0,INDEX(生物种群!$B$2:INDEX(生物种群!$B:$B,COUNTA(生物种群!$B:$B)),MATCH($A416,生物种群!$C$2:INDEX(生物种群!$C:$C,COUNTA(生物种群!$C:$C)),),),INDEX(生物种群!$B$2:INDEX(生物种群!$B:$B,COUNTA(生物种群!$B:$B)),MATCH($B416,生物种群!$D$2:INDEX(生物种群!$D:$D,COUNTA(生物种群!$D:$D)),),))))</f>
        <v/>
      </c>
      <c r="J416" s="37" t="str">
        <f>IF(A416&amp;B416&amp;C416="","",INDEX(生物种群!$J$2:INDEX(生物种群!$J:$J,COUNTA(生物种群!$J:$J)),MATCH($I416,生物种群!$B$2:INDEX(生物种群!$B:$B,COUNTA(生物种群!$B:$B)),),))</f>
        <v/>
      </c>
      <c r="K416" s="37" t="str">
        <f>IF(A416&amp;B416&amp;C416="","",INDEX(生物种群!$E$2:INDEX(生物种群!$E:$E,COUNTA(生物种群!$E:$E)),MATCH($I416,生物种群!$B$2:INDEX(生物种群!$B:$B,COUNTA(生物种群!$B:$B)),),))</f>
        <v/>
      </c>
      <c r="L416" s="37" t="str">
        <f>IF(A416&amp;B416&amp;C416="","",INDEX(生物种群!$F$3:INDEX(生物种群!$F:$F,COUNTA(生物种群!$F:$F)),MATCH($I416,生物种群!$B$3:INDEX(生物种群!$B:$B,COUNTA(生物种群!$B:$B)),),))</f>
        <v/>
      </c>
      <c r="M416" s="37" t="str">
        <f t="shared" si="12"/>
        <v/>
      </c>
      <c r="N416" s="37" t="str">
        <f t="shared" si="13"/>
        <v/>
      </c>
      <c r="O416" s="9"/>
      <c r="P416" s="10"/>
    </row>
    <row r="417" spans="1:16" ht="20.1" customHeight="1">
      <c r="A417" s="9"/>
      <c r="B417" s="9"/>
      <c r="C417" s="9"/>
      <c r="D417" s="43"/>
      <c r="E417" s="9"/>
      <c r="F417" s="9"/>
      <c r="G417" s="47" t="str">
        <f>IF(F417="","",INDEX(站位样品信息!$B$3:INDEX(站位样品信息!$B:$B,COUNTA(站位样品信息!$B:$B)+1),MATCH($F417,站位样品信息!$A$3:INDEX(站位样品信息!$A:$A,COUNTA(站位样品信息!$A:$A)+1),),))</f>
        <v/>
      </c>
      <c r="H417" s="37" t="str">
        <f>IF(A417&amp;B417&amp;C417="","",INDEX(生物种群!$A$2:INDEX(生物种群!$A:$A,COUNTA(生物种群!$A:$A)),MATCH($I417,生物种群!$B$2:INDEX(生物种群!$B:$B,COUNTA(生物种群!$B:$B)),),))</f>
        <v/>
      </c>
      <c r="I417" s="37" t="str">
        <f>IF(A417&amp;B417&amp;C417="","",IF($C417&lt;&gt;0,INDEX(生物种群!$B$2:INDEX(生物种群!$B:$B,COUNTA(生物种群!$B:$B)),MATCH($C417,生物种群!$G$2:INDEX(生物种群!$G:$G,COUNTA(生物种群!$G:$G)),),),IF($A417&lt;&gt;0,INDEX(生物种群!$B$2:INDEX(生物种群!$B:$B,COUNTA(生物种群!$B:$B)),MATCH($A417,生物种群!$C$2:INDEX(生物种群!$C:$C,COUNTA(生物种群!$C:$C)),),),INDEX(生物种群!$B$2:INDEX(生物种群!$B:$B,COUNTA(生物种群!$B:$B)),MATCH($B417,生物种群!$D$2:INDEX(生物种群!$D:$D,COUNTA(生物种群!$D:$D)),),))))</f>
        <v/>
      </c>
      <c r="J417" s="37" t="str">
        <f>IF(A417&amp;B417&amp;C417="","",INDEX(生物种群!$J$2:INDEX(生物种群!$J:$J,COUNTA(生物种群!$J:$J)),MATCH($I417,生物种群!$B$2:INDEX(生物种群!$B:$B,COUNTA(生物种群!$B:$B)),),))</f>
        <v/>
      </c>
      <c r="K417" s="37" t="str">
        <f>IF(A417&amp;B417&amp;C417="","",INDEX(生物种群!$E$2:INDEX(生物种群!$E:$E,COUNTA(生物种群!$E:$E)),MATCH($I417,生物种群!$B$2:INDEX(生物种群!$B:$B,COUNTA(生物种群!$B:$B)),),))</f>
        <v/>
      </c>
      <c r="L417" s="37" t="str">
        <f>IF(A417&amp;B417&amp;C417="","",INDEX(生物种群!$F$3:INDEX(生物种群!$F:$F,COUNTA(生物种群!$F:$F)),MATCH($I417,生物种群!$B$3:INDEX(生物种群!$B:$B,COUNTA(生物种群!$B:$B)),),))</f>
        <v/>
      </c>
      <c r="M417" s="37" t="str">
        <f t="shared" si="12"/>
        <v/>
      </c>
      <c r="N417" s="37" t="str">
        <f t="shared" si="13"/>
        <v/>
      </c>
      <c r="O417" s="9"/>
      <c r="P417" s="10"/>
    </row>
    <row r="418" spans="1:16" ht="20.1" customHeight="1">
      <c r="A418" s="9"/>
      <c r="B418" s="9"/>
      <c r="C418" s="9"/>
      <c r="D418" s="43"/>
      <c r="E418" s="9"/>
      <c r="F418" s="9"/>
      <c r="G418" s="47" t="str">
        <f>IF(F418="","",INDEX(站位样品信息!$B$3:INDEX(站位样品信息!$B:$B,COUNTA(站位样品信息!$B:$B)+1),MATCH($F418,站位样品信息!$A$3:INDEX(站位样品信息!$A:$A,COUNTA(站位样品信息!$A:$A)+1),),))</f>
        <v/>
      </c>
      <c r="H418" s="37" t="str">
        <f>IF(A418&amp;B418&amp;C418="","",INDEX(生物种群!$A$2:INDEX(生物种群!$A:$A,COUNTA(生物种群!$A:$A)),MATCH($I418,生物种群!$B$2:INDEX(生物种群!$B:$B,COUNTA(生物种群!$B:$B)),),))</f>
        <v/>
      </c>
      <c r="I418" s="37" t="str">
        <f>IF(A418&amp;B418&amp;C418="","",IF($C418&lt;&gt;0,INDEX(生物种群!$B$2:INDEX(生物种群!$B:$B,COUNTA(生物种群!$B:$B)),MATCH($C418,生物种群!$G$2:INDEX(生物种群!$G:$G,COUNTA(生物种群!$G:$G)),),),IF($A418&lt;&gt;0,INDEX(生物种群!$B$2:INDEX(生物种群!$B:$B,COUNTA(生物种群!$B:$B)),MATCH($A418,生物种群!$C$2:INDEX(生物种群!$C:$C,COUNTA(生物种群!$C:$C)),),),INDEX(生物种群!$B$2:INDEX(生物种群!$B:$B,COUNTA(生物种群!$B:$B)),MATCH($B418,生物种群!$D$2:INDEX(生物种群!$D:$D,COUNTA(生物种群!$D:$D)),),))))</f>
        <v/>
      </c>
      <c r="J418" s="37" t="str">
        <f>IF(A418&amp;B418&amp;C418="","",INDEX(生物种群!$J$2:INDEX(生物种群!$J:$J,COUNTA(生物种群!$J:$J)),MATCH($I418,生物种群!$B$2:INDEX(生物种群!$B:$B,COUNTA(生物种群!$B:$B)),),))</f>
        <v/>
      </c>
      <c r="K418" s="37" t="str">
        <f>IF(A418&amp;B418&amp;C418="","",INDEX(生物种群!$E$2:INDEX(生物种群!$E:$E,COUNTA(生物种群!$E:$E)),MATCH($I418,生物种群!$B$2:INDEX(生物种群!$B:$B,COUNTA(生物种群!$B:$B)),),))</f>
        <v/>
      </c>
      <c r="L418" s="37" t="str">
        <f>IF(A418&amp;B418&amp;C418="","",INDEX(生物种群!$F$3:INDEX(生物种群!$F:$F,COUNTA(生物种群!$F:$F)),MATCH($I418,生物种群!$B$3:INDEX(生物种群!$B:$B,COUNTA(生物种群!$B:$B)),),))</f>
        <v/>
      </c>
      <c r="M418" s="37" t="str">
        <f t="shared" si="12"/>
        <v/>
      </c>
      <c r="N418" s="37" t="str">
        <f t="shared" si="13"/>
        <v/>
      </c>
      <c r="O418" s="9"/>
      <c r="P418" s="10"/>
    </row>
    <row r="419" spans="1:16" ht="20.1" customHeight="1">
      <c r="A419" s="9"/>
      <c r="B419" s="9"/>
      <c r="C419" s="9"/>
      <c r="D419" s="43"/>
      <c r="E419" s="9"/>
      <c r="F419" s="9"/>
      <c r="G419" s="47" t="str">
        <f>IF(F419="","",INDEX(站位样品信息!$B$3:INDEX(站位样品信息!$B:$B,COUNTA(站位样品信息!$B:$B)+1),MATCH($F419,站位样品信息!$A$3:INDEX(站位样品信息!$A:$A,COUNTA(站位样品信息!$A:$A)+1),),))</f>
        <v/>
      </c>
      <c r="H419" s="37" t="str">
        <f>IF(A419&amp;B419&amp;C419="","",INDEX(生物种群!$A$2:INDEX(生物种群!$A:$A,COUNTA(生物种群!$A:$A)),MATCH($I419,生物种群!$B$2:INDEX(生物种群!$B:$B,COUNTA(生物种群!$B:$B)),),))</f>
        <v/>
      </c>
      <c r="I419" s="37" t="str">
        <f>IF(A419&amp;B419&amp;C419="","",IF($C419&lt;&gt;0,INDEX(生物种群!$B$2:INDEX(生物种群!$B:$B,COUNTA(生物种群!$B:$B)),MATCH($C419,生物种群!$G$2:INDEX(生物种群!$G:$G,COUNTA(生物种群!$G:$G)),),),IF($A419&lt;&gt;0,INDEX(生物种群!$B$2:INDEX(生物种群!$B:$B,COUNTA(生物种群!$B:$B)),MATCH($A419,生物种群!$C$2:INDEX(生物种群!$C:$C,COUNTA(生物种群!$C:$C)),),),INDEX(生物种群!$B$2:INDEX(生物种群!$B:$B,COUNTA(生物种群!$B:$B)),MATCH($B419,生物种群!$D$2:INDEX(生物种群!$D:$D,COUNTA(生物种群!$D:$D)),),))))</f>
        <v/>
      </c>
      <c r="J419" s="37" t="str">
        <f>IF(A419&amp;B419&amp;C419="","",INDEX(生物种群!$J$2:INDEX(生物种群!$J:$J,COUNTA(生物种群!$J:$J)),MATCH($I419,生物种群!$B$2:INDEX(生物种群!$B:$B,COUNTA(生物种群!$B:$B)),),))</f>
        <v/>
      </c>
      <c r="K419" s="37" t="str">
        <f>IF(A419&amp;B419&amp;C419="","",INDEX(生物种群!$E$2:INDEX(生物种群!$E:$E,COUNTA(生物种群!$E:$E)),MATCH($I419,生物种群!$B$2:INDEX(生物种群!$B:$B,COUNTA(生物种群!$B:$B)),),))</f>
        <v/>
      </c>
      <c r="L419" s="37" t="str">
        <f>IF(A419&amp;B419&amp;C419="","",INDEX(生物种群!$F$3:INDEX(生物种群!$F:$F,COUNTA(生物种群!$F:$F)),MATCH($I419,生物种群!$B$3:INDEX(生物种群!$B:$B,COUNTA(生物种群!$B:$B)),),))</f>
        <v/>
      </c>
      <c r="M419" s="37" t="str">
        <f t="shared" si="12"/>
        <v/>
      </c>
      <c r="N419" s="37" t="str">
        <f t="shared" si="13"/>
        <v/>
      </c>
      <c r="O419" s="9"/>
      <c r="P419" s="10"/>
    </row>
    <row r="420" spans="1:16" ht="20.1" customHeight="1">
      <c r="A420" s="9"/>
      <c r="B420" s="9"/>
      <c r="C420" s="9"/>
      <c r="D420" s="43"/>
      <c r="E420" s="9"/>
      <c r="F420" s="9"/>
      <c r="G420" s="47" t="str">
        <f>IF(F420="","",INDEX(站位样品信息!$B$3:INDEX(站位样品信息!$B:$B,COUNTA(站位样品信息!$B:$B)+1),MATCH($F420,站位样品信息!$A$3:INDEX(站位样品信息!$A:$A,COUNTA(站位样品信息!$A:$A)+1),),))</f>
        <v/>
      </c>
      <c r="H420" s="37" t="str">
        <f>IF(A420&amp;B420&amp;C420="","",INDEX(生物种群!$A$2:INDEX(生物种群!$A:$A,COUNTA(生物种群!$A:$A)),MATCH($I420,生物种群!$B$2:INDEX(生物种群!$B:$B,COUNTA(生物种群!$B:$B)),),))</f>
        <v/>
      </c>
      <c r="I420" s="37" t="str">
        <f>IF(A420&amp;B420&amp;C420="","",IF($C420&lt;&gt;0,INDEX(生物种群!$B$2:INDEX(生物种群!$B:$B,COUNTA(生物种群!$B:$B)),MATCH($C420,生物种群!$G$2:INDEX(生物种群!$G:$G,COUNTA(生物种群!$G:$G)),),),IF($A420&lt;&gt;0,INDEX(生物种群!$B$2:INDEX(生物种群!$B:$B,COUNTA(生物种群!$B:$B)),MATCH($A420,生物种群!$C$2:INDEX(生物种群!$C:$C,COUNTA(生物种群!$C:$C)),),),INDEX(生物种群!$B$2:INDEX(生物种群!$B:$B,COUNTA(生物种群!$B:$B)),MATCH($B420,生物种群!$D$2:INDEX(生物种群!$D:$D,COUNTA(生物种群!$D:$D)),),))))</f>
        <v/>
      </c>
      <c r="J420" s="37" t="str">
        <f>IF(A420&amp;B420&amp;C420="","",INDEX(生物种群!$J$2:INDEX(生物种群!$J:$J,COUNTA(生物种群!$J:$J)),MATCH($I420,生物种群!$B$2:INDEX(生物种群!$B:$B,COUNTA(生物种群!$B:$B)),),))</f>
        <v/>
      </c>
      <c r="K420" s="37" t="str">
        <f>IF(A420&amp;B420&amp;C420="","",INDEX(生物种群!$E$2:INDEX(生物种群!$E:$E,COUNTA(生物种群!$E:$E)),MATCH($I420,生物种群!$B$2:INDEX(生物种群!$B:$B,COUNTA(生物种群!$B:$B)),),))</f>
        <v/>
      </c>
      <c r="L420" s="37" t="str">
        <f>IF(A420&amp;B420&amp;C420="","",INDEX(生物种群!$F$3:INDEX(生物种群!$F:$F,COUNTA(生物种群!$F:$F)),MATCH($I420,生物种群!$B$3:INDEX(生物种群!$B:$B,COUNTA(生物种群!$B:$B)),),))</f>
        <v/>
      </c>
      <c r="M420" s="37" t="str">
        <f t="shared" si="12"/>
        <v/>
      </c>
      <c r="N420" s="37" t="str">
        <f t="shared" si="13"/>
        <v/>
      </c>
      <c r="O420" s="9"/>
      <c r="P420" s="10"/>
    </row>
    <row r="421" spans="1:16" ht="20.1" customHeight="1">
      <c r="A421" s="9"/>
      <c r="B421" s="9"/>
      <c r="C421" s="9"/>
      <c r="D421" s="43"/>
      <c r="E421" s="9"/>
      <c r="F421" s="9"/>
      <c r="G421" s="47" t="str">
        <f>IF(F421="","",INDEX(站位样品信息!$B$3:INDEX(站位样品信息!$B:$B,COUNTA(站位样品信息!$B:$B)+1),MATCH($F421,站位样品信息!$A$3:INDEX(站位样品信息!$A:$A,COUNTA(站位样品信息!$A:$A)+1),),))</f>
        <v/>
      </c>
      <c r="H421" s="37" t="str">
        <f>IF(A421&amp;B421&amp;C421="","",INDEX(生物种群!$A$2:INDEX(生物种群!$A:$A,COUNTA(生物种群!$A:$A)),MATCH($I421,生物种群!$B$2:INDEX(生物种群!$B:$B,COUNTA(生物种群!$B:$B)),),))</f>
        <v/>
      </c>
      <c r="I421" s="37" t="str">
        <f>IF(A421&amp;B421&amp;C421="","",IF($C421&lt;&gt;0,INDEX(生物种群!$B$2:INDEX(生物种群!$B:$B,COUNTA(生物种群!$B:$B)),MATCH($C421,生物种群!$G$2:INDEX(生物种群!$G:$G,COUNTA(生物种群!$G:$G)),),),IF($A421&lt;&gt;0,INDEX(生物种群!$B$2:INDEX(生物种群!$B:$B,COUNTA(生物种群!$B:$B)),MATCH($A421,生物种群!$C$2:INDEX(生物种群!$C:$C,COUNTA(生物种群!$C:$C)),),),INDEX(生物种群!$B$2:INDEX(生物种群!$B:$B,COUNTA(生物种群!$B:$B)),MATCH($B421,生物种群!$D$2:INDEX(生物种群!$D:$D,COUNTA(生物种群!$D:$D)),),))))</f>
        <v/>
      </c>
      <c r="J421" s="37" t="str">
        <f>IF(A421&amp;B421&amp;C421="","",INDEX(生物种群!$J$2:INDEX(生物种群!$J:$J,COUNTA(生物种群!$J:$J)),MATCH($I421,生物种群!$B$2:INDEX(生物种群!$B:$B,COUNTA(生物种群!$B:$B)),),))</f>
        <v/>
      </c>
      <c r="K421" s="37" t="str">
        <f>IF(A421&amp;B421&amp;C421="","",INDEX(生物种群!$E$2:INDEX(生物种群!$E:$E,COUNTA(生物种群!$E:$E)),MATCH($I421,生物种群!$B$2:INDEX(生物种群!$B:$B,COUNTA(生物种群!$B:$B)),),))</f>
        <v/>
      </c>
      <c r="L421" s="37" t="str">
        <f>IF(A421&amp;B421&amp;C421="","",INDEX(生物种群!$F$3:INDEX(生物种群!$F:$F,COUNTA(生物种群!$F:$F)),MATCH($I421,生物种群!$B$3:INDEX(生物种群!$B:$B,COUNTA(生物种群!$B:$B)),),))</f>
        <v/>
      </c>
      <c r="M421" s="37" t="str">
        <f t="shared" si="12"/>
        <v/>
      </c>
      <c r="N421" s="37" t="str">
        <f t="shared" si="13"/>
        <v/>
      </c>
      <c r="O421" s="9"/>
      <c r="P421" s="10"/>
    </row>
    <row r="422" spans="1:16" ht="20.1" customHeight="1">
      <c r="A422" s="9"/>
      <c r="B422" s="9"/>
      <c r="C422" s="9"/>
      <c r="D422" s="43"/>
      <c r="E422" s="9"/>
      <c r="F422" s="9"/>
      <c r="G422" s="47" t="str">
        <f>IF(F422="","",INDEX(站位样品信息!$B$3:INDEX(站位样品信息!$B:$B,COUNTA(站位样品信息!$B:$B)+1),MATCH($F422,站位样品信息!$A$3:INDEX(站位样品信息!$A:$A,COUNTA(站位样品信息!$A:$A)+1),),))</f>
        <v/>
      </c>
      <c r="H422" s="37" t="str">
        <f>IF(A422&amp;B422&amp;C422="","",INDEX(生物种群!$A$2:INDEX(生物种群!$A:$A,COUNTA(生物种群!$A:$A)),MATCH($I422,生物种群!$B$2:INDEX(生物种群!$B:$B,COUNTA(生物种群!$B:$B)),),))</f>
        <v/>
      </c>
      <c r="I422" s="37" t="str">
        <f>IF(A422&amp;B422&amp;C422="","",IF($C422&lt;&gt;0,INDEX(生物种群!$B$2:INDEX(生物种群!$B:$B,COUNTA(生物种群!$B:$B)),MATCH($C422,生物种群!$G$2:INDEX(生物种群!$G:$G,COUNTA(生物种群!$G:$G)),),),IF($A422&lt;&gt;0,INDEX(生物种群!$B$2:INDEX(生物种群!$B:$B,COUNTA(生物种群!$B:$B)),MATCH($A422,生物种群!$C$2:INDEX(生物种群!$C:$C,COUNTA(生物种群!$C:$C)),),),INDEX(生物种群!$B$2:INDEX(生物种群!$B:$B,COUNTA(生物种群!$B:$B)),MATCH($B422,生物种群!$D$2:INDEX(生物种群!$D:$D,COUNTA(生物种群!$D:$D)),),))))</f>
        <v/>
      </c>
      <c r="J422" s="37" t="str">
        <f>IF(A422&amp;B422&amp;C422="","",INDEX(生物种群!$J$2:INDEX(生物种群!$J:$J,COUNTA(生物种群!$J:$J)),MATCH($I422,生物种群!$B$2:INDEX(生物种群!$B:$B,COUNTA(生物种群!$B:$B)),),))</f>
        <v/>
      </c>
      <c r="K422" s="37" t="str">
        <f>IF(A422&amp;B422&amp;C422="","",INDEX(生物种群!$E$2:INDEX(生物种群!$E:$E,COUNTA(生物种群!$E:$E)),MATCH($I422,生物种群!$B$2:INDEX(生物种群!$B:$B,COUNTA(生物种群!$B:$B)),),))</f>
        <v/>
      </c>
      <c r="L422" s="37" t="str">
        <f>IF(A422&amp;B422&amp;C422="","",INDEX(生物种群!$F$3:INDEX(生物种群!$F:$F,COUNTA(生物种群!$F:$F)),MATCH($I422,生物种群!$B$3:INDEX(生物种群!$B:$B,COUNTA(生物种群!$B:$B)),),))</f>
        <v/>
      </c>
      <c r="M422" s="37" t="str">
        <f t="shared" si="12"/>
        <v/>
      </c>
      <c r="N422" s="37" t="str">
        <f t="shared" si="13"/>
        <v/>
      </c>
      <c r="O422" s="9"/>
      <c r="P422" s="10"/>
    </row>
    <row r="423" spans="1:16" ht="20.1" customHeight="1">
      <c r="A423" s="9"/>
      <c r="B423" s="9"/>
      <c r="C423" s="9"/>
      <c r="D423" s="43"/>
      <c r="E423" s="9"/>
      <c r="F423" s="9"/>
      <c r="G423" s="47" t="str">
        <f>IF(F423="","",INDEX(站位样品信息!$B$3:INDEX(站位样品信息!$B:$B,COUNTA(站位样品信息!$B:$B)+1),MATCH($F423,站位样品信息!$A$3:INDEX(站位样品信息!$A:$A,COUNTA(站位样品信息!$A:$A)+1),),))</f>
        <v/>
      </c>
      <c r="H423" s="37" t="str">
        <f>IF(A423&amp;B423&amp;C423="","",INDEX(生物种群!$A$2:INDEX(生物种群!$A:$A,COUNTA(生物种群!$A:$A)),MATCH($I423,生物种群!$B$2:INDEX(生物种群!$B:$B,COUNTA(生物种群!$B:$B)),),))</f>
        <v/>
      </c>
      <c r="I423" s="37" t="str">
        <f>IF(A423&amp;B423&amp;C423="","",IF($C423&lt;&gt;0,INDEX(生物种群!$B$2:INDEX(生物种群!$B:$B,COUNTA(生物种群!$B:$B)),MATCH($C423,生物种群!$G$2:INDEX(生物种群!$G:$G,COUNTA(生物种群!$G:$G)),),),IF($A423&lt;&gt;0,INDEX(生物种群!$B$2:INDEX(生物种群!$B:$B,COUNTA(生物种群!$B:$B)),MATCH($A423,生物种群!$C$2:INDEX(生物种群!$C:$C,COUNTA(生物种群!$C:$C)),),),INDEX(生物种群!$B$2:INDEX(生物种群!$B:$B,COUNTA(生物种群!$B:$B)),MATCH($B423,生物种群!$D$2:INDEX(生物种群!$D:$D,COUNTA(生物种群!$D:$D)),),))))</f>
        <v/>
      </c>
      <c r="J423" s="37" t="str">
        <f>IF(A423&amp;B423&amp;C423="","",INDEX(生物种群!$J$2:INDEX(生物种群!$J:$J,COUNTA(生物种群!$J:$J)),MATCH($I423,生物种群!$B$2:INDEX(生物种群!$B:$B,COUNTA(生物种群!$B:$B)),),))</f>
        <v/>
      </c>
      <c r="K423" s="37" t="str">
        <f>IF(A423&amp;B423&amp;C423="","",INDEX(生物种群!$E$2:INDEX(生物种群!$E:$E,COUNTA(生物种群!$E:$E)),MATCH($I423,生物种群!$B$2:INDEX(生物种群!$B:$B,COUNTA(生物种群!$B:$B)),),))</f>
        <v/>
      </c>
      <c r="L423" s="37" t="str">
        <f>IF(A423&amp;B423&amp;C423="","",INDEX(生物种群!$F$3:INDEX(生物种群!$F:$F,COUNTA(生物种群!$F:$F)),MATCH($I423,生物种群!$B$3:INDEX(生物种群!$B:$B,COUNTA(生物种群!$B:$B)),),))</f>
        <v/>
      </c>
      <c r="M423" s="37" t="str">
        <f t="shared" si="12"/>
        <v/>
      </c>
      <c r="N423" s="37" t="str">
        <f t="shared" si="13"/>
        <v/>
      </c>
      <c r="O423" s="9"/>
      <c r="P423" s="10"/>
    </row>
    <row r="424" spans="1:16" ht="20.1" customHeight="1">
      <c r="A424" s="9"/>
      <c r="B424" s="9"/>
      <c r="C424" s="9"/>
      <c r="D424" s="43"/>
      <c r="E424" s="9"/>
      <c r="F424" s="9"/>
      <c r="G424" s="47" t="str">
        <f>IF(F424="","",INDEX(站位样品信息!$B$3:INDEX(站位样品信息!$B:$B,COUNTA(站位样品信息!$B:$B)+1),MATCH($F424,站位样品信息!$A$3:INDEX(站位样品信息!$A:$A,COUNTA(站位样品信息!$A:$A)+1),),))</f>
        <v/>
      </c>
      <c r="H424" s="37" t="str">
        <f>IF(A424&amp;B424&amp;C424="","",INDEX(生物种群!$A$2:INDEX(生物种群!$A:$A,COUNTA(生物种群!$A:$A)),MATCH($I424,生物种群!$B$2:INDEX(生物种群!$B:$B,COUNTA(生物种群!$B:$B)),),))</f>
        <v/>
      </c>
      <c r="I424" s="37" t="str">
        <f>IF(A424&amp;B424&amp;C424="","",IF($C424&lt;&gt;0,INDEX(生物种群!$B$2:INDEX(生物种群!$B:$B,COUNTA(生物种群!$B:$B)),MATCH($C424,生物种群!$G$2:INDEX(生物种群!$G:$G,COUNTA(生物种群!$G:$G)),),),IF($A424&lt;&gt;0,INDEX(生物种群!$B$2:INDEX(生物种群!$B:$B,COUNTA(生物种群!$B:$B)),MATCH($A424,生物种群!$C$2:INDEX(生物种群!$C:$C,COUNTA(生物种群!$C:$C)),),),INDEX(生物种群!$B$2:INDEX(生物种群!$B:$B,COUNTA(生物种群!$B:$B)),MATCH($B424,生物种群!$D$2:INDEX(生物种群!$D:$D,COUNTA(生物种群!$D:$D)),),))))</f>
        <v/>
      </c>
      <c r="J424" s="37" t="str">
        <f>IF(A424&amp;B424&amp;C424="","",INDEX(生物种群!$J$2:INDEX(生物种群!$J:$J,COUNTA(生物种群!$J:$J)),MATCH($I424,生物种群!$B$2:INDEX(生物种群!$B:$B,COUNTA(生物种群!$B:$B)),),))</f>
        <v/>
      </c>
      <c r="K424" s="37" t="str">
        <f>IF(A424&amp;B424&amp;C424="","",INDEX(生物种群!$E$2:INDEX(生物种群!$E:$E,COUNTA(生物种群!$E:$E)),MATCH($I424,生物种群!$B$2:INDEX(生物种群!$B:$B,COUNTA(生物种群!$B:$B)),),))</f>
        <v/>
      </c>
      <c r="L424" s="37" t="str">
        <f>IF(A424&amp;B424&amp;C424="","",INDEX(生物种群!$F$3:INDEX(生物种群!$F:$F,COUNTA(生物种群!$F:$F)),MATCH($I424,生物种群!$B$3:INDEX(生物种群!$B:$B,COUNTA(生物种群!$B:$B)),),))</f>
        <v/>
      </c>
      <c r="M424" s="37" t="str">
        <f t="shared" si="12"/>
        <v/>
      </c>
      <c r="N424" s="37" t="str">
        <f t="shared" si="13"/>
        <v/>
      </c>
      <c r="O424" s="9"/>
      <c r="P424" s="10"/>
    </row>
    <row r="425" spans="1:16" ht="20.1" customHeight="1">
      <c r="A425" s="9"/>
      <c r="B425" s="9"/>
      <c r="C425" s="9"/>
      <c r="D425" s="43"/>
      <c r="E425" s="9"/>
      <c r="F425" s="9"/>
      <c r="G425" s="47" t="str">
        <f>IF(F425="","",INDEX(站位样品信息!$B$3:INDEX(站位样品信息!$B:$B,COUNTA(站位样品信息!$B:$B)+1),MATCH($F425,站位样品信息!$A$3:INDEX(站位样品信息!$A:$A,COUNTA(站位样品信息!$A:$A)+1),),))</f>
        <v/>
      </c>
      <c r="H425" s="37" t="str">
        <f>IF(A425&amp;B425&amp;C425="","",INDEX(生物种群!$A$2:INDEX(生物种群!$A:$A,COUNTA(生物种群!$A:$A)),MATCH($I425,生物种群!$B$2:INDEX(生物种群!$B:$B,COUNTA(生物种群!$B:$B)),),))</f>
        <v/>
      </c>
      <c r="I425" s="37" t="str">
        <f>IF(A425&amp;B425&amp;C425="","",IF($C425&lt;&gt;0,INDEX(生物种群!$B$2:INDEX(生物种群!$B:$B,COUNTA(生物种群!$B:$B)),MATCH($C425,生物种群!$G$2:INDEX(生物种群!$G:$G,COUNTA(生物种群!$G:$G)),),),IF($A425&lt;&gt;0,INDEX(生物种群!$B$2:INDEX(生物种群!$B:$B,COUNTA(生物种群!$B:$B)),MATCH($A425,生物种群!$C$2:INDEX(生物种群!$C:$C,COUNTA(生物种群!$C:$C)),),),INDEX(生物种群!$B$2:INDEX(生物种群!$B:$B,COUNTA(生物种群!$B:$B)),MATCH($B425,生物种群!$D$2:INDEX(生物种群!$D:$D,COUNTA(生物种群!$D:$D)),),))))</f>
        <v/>
      </c>
      <c r="J425" s="37" t="str">
        <f>IF(A425&amp;B425&amp;C425="","",INDEX(生物种群!$J$2:INDEX(生物种群!$J:$J,COUNTA(生物种群!$J:$J)),MATCH($I425,生物种群!$B$2:INDEX(生物种群!$B:$B,COUNTA(生物种群!$B:$B)),),))</f>
        <v/>
      </c>
      <c r="K425" s="37" t="str">
        <f>IF(A425&amp;B425&amp;C425="","",INDEX(生物种群!$E$2:INDEX(生物种群!$E:$E,COUNTA(生物种群!$E:$E)),MATCH($I425,生物种群!$B$2:INDEX(生物种群!$B:$B,COUNTA(生物种群!$B:$B)),),))</f>
        <v/>
      </c>
      <c r="L425" s="37" t="str">
        <f>IF(A425&amp;B425&amp;C425="","",INDEX(生物种群!$F$3:INDEX(生物种群!$F:$F,COUNTA(生物种群!$F:$F)),MATCH($I425,生物种群!$B$3:INDEX(生物种群!$B:$B,COUNTA(生物种群!$B:$B)),),))</f>
        <v/>
      </c>
      <c r="M425" s="37" t="str">
        <f t="shared" si="12"/>
        <v/>
      </c>
      <c r="N425" s="37" t="str">
        <f t="shared" si="13"/>
        <v/>
      </c>
      <c r="O425" s="9"/>
      <c r="P425" s="10"/>
    </row>
    <row r="426" spans="1:16" ht="20.1" customHeight="1">
      <c r="A426" s="9"/>
      <c r="B426" s="9"/>
      <c r="C426" s="9"/>
      <c r="D426" s="43"/>
      <c r="E426" s="9"/>
      <c r="F426" s="9"/>
      <c r="G426" s="47" t="str">
        <f>IF(F426="","",INDEX(站位样品信息!$B$3:INDEX(站位样品信息!$B:$B,COUNTA(站位样品信息!$B:$B)+1),MATCH($F426,站位样品信息!$A$3:INDEX(站位样品信息!$A:$A,COUNTA(站位样品信息!$A:$A)+1),),))</f>
        <v/>
      </c>
      <c r="H426" s="37" t="str">
        <f>IF(A426&amp;B426&amp;C426="","",INDEX(生物种群!$A$2:INDEX(生物种群!$A:$A,COUNTA(生物种群!$A:$A)),MATCH($I426,生物种群!$B$2:INDEX(生物种群!$B:$B,COUNTA(生物种群!$B:$B)),),))</f>
        <v/>
      </c>
      <c r="I426" s="37" t="str">
        <f>IF(A426&amp;B426&amp;C426="","",IF($C426&lt;&gt;0,INDEX(生物种群!$B$2:INDEX(生物种群!$B:$B,COUNTA(生物种群!$B:$B)),MATCH($C426,生物种群!$G$2:INDEX(生物种群!$G:$G,COUNTA(生物种群!$G:$G)),),),IF($A426&lt;&gt;0,INDEX(生物种群!$B$2:INDEX(生物种群!$B:$B,COUNTA(生物种群!$B:$B)),MATCH($A426,生物种群!$C$2:INDEX(生物种群!$C:$C,COUNTA(生物种群!$C:$C)),),),INDEX(生物种群!$B$2:INDEX(生物种群!$B:$B,COUNTA(生物种群!$B:$B)),MATCH($B426,生物种群!$D$2:INDEX(生物种群!$D:$D,COUNTA(生物种群!$D:$D)),),))))</f>
        <v/>
      </c>
      <c r="J426" s="37" t="str">
        <f>IF(A426&amp;B426&amp;C426="","",INDEX(生物种群!$J$2:INDEX(生物种群!$J:$J,COUNTA(生物种群!$J:$J)),MATCH($I426,生物种群!$B$2:INDEX(生物种群!$B:$B,COUNTA(生物种群!$B:$B)),),))</f>
        <v/>
      </c>
      <c r="K426" s="37" t="str">
        <f>IF(A426&amp;B426&amp;C426="","",INDEX(生物种群!$E$2:INDEX(生物种群!$E:$E,COUNTA(生物种群!$E:$E)),MATCH($I426,生物种群!$B$2:INDEX(生物种群!$B:$B,COUNTA(生物种群!$B:$B)),),))</f>
        <v/>
      </c>
      <c r="L426" s="37" t="str">
        <f>IF(A426&amp;B426&amp;C426="","",INDEX(生物种群!$F$3:INDEX(生物种群!$F:$F,COUNTA(生物种群!$F:$F)),MATCH($I426,生物种群!$B$3:INDEX(生物种群!$B:$B,COUNTA(生物种群!$B:$B)),),))</f>
        <v/>
      </c>
      <c r="M426" s="37" t="str">
        <f t="shared" si="12"/>
        <v/>
      </c>
      <c r="N426" s="37" t="str">
        <f t="shared" si="13"/>
        <v/>
      </c>
      <c r="O426" s="9"/>
      <c r="P426" s="10"/>
    </row>
    <row r="427" spans="1:16" ht="20.1" customHeight="1">
      <c r="A427" s="9"/>
      <c r="B427" s="9"/>
      <c r="C427" s="9"/>
      <c r="D427" s="43"/>
      <c r="E427" s="9"/>
      <c r="F427" s="9"/>
      <c r="G427" s="47" t="str">
        <f>IF(F427="","",INDEX(站位样品信息!$B$3:INDEX(站位样品信息!$B:$B,COUNTA(站位样品信息!$B:$B)+1),MATCH($F427,站位样品信息!$A$3:INDEX(站位样品信息!$A:$A,COUNTA(站位样品信息!$A:$A)+1),),))</f>
        <v/>
      </c>
      <c r="H427" s="37" t="str">
        <f>IF(A427&amp;B427&amp;C427="","",INDEX(生物种群!$A$2:INDEX(生物种群!$A:$A,COUNTA(生物种群!$A:$A)),MATCH($I427,生物种群!$B$2:INDEX(生物种群!$B:$B,COUNTA(生物种群!$B:$B)),),))</f>
        <v/>
      </c>
      <c r="I427" s="37" t="str">
        <f>IF(A427&amp;B427&amp;C427="","",IF($C427&lt;&gt;0,INDEX(生物种群!$B$2:INDEX(生物种群!$B:$B,COUNTA(生物种群!$B:$B)),MATCH($C427,生物种群!$G$2:INDEX(生物种群!$G:$G,COUNTA(生物种群!$G:$G)),),),IF($A427&lt;&gt;0,INDEX(生物种群!$B$2:INDEX(生物种群!$B:$B,COUNTA(生物种群!$B:$B)),MATCH($A427,生物种群!$C$2:INDEX(生物种群!$C:$C,COUNTA(生物种群!$C:$C)),),),INDEX(生物种群!$B$2:INDEX(生物种群!$B:$B,COUNTA(生物种群!$B:$B)),MATCH($B427,生物种群!$D$2:INDEX(生物种群!$D:$D,COUNTA(生物种群!$D:$D)),),))))</f>
        <v/>
      </c>
      <c r="J427" s="37" t="str">
        <f>IF(A427&amp;B427&amp;C427="","",INDEX(生物种群!$J$2:INDEX(生物种群!$J:$J,COUNTA(生物种群!$J:$J)),MATCH($I427,生物种群!$B$2:INDEX(生物种群!$B:$B,COUNTA(生物种群!$B:$B)),),))</f>
        <v/>
      </c>
      <c r="K427" s="37" t="str">
        <f>IF(A427&amp;B427&amp;C427="","",INDEX(生物种群!$E$2:INDEX(生物种群!$E:$E,COUNTA(生物种群!$E:$E)),MATCH($I427,生物种群!$B$2:INDEX(生物种群!$B:$B,COUNTA(生物种群!$B:$B)),),))</f>
        <v/>
      </c>
      <c r="L427" s="37" t="str">
        <f>IF(A427&amp;B427&amp;C427="","",INDEX(生物种群!$F$3:INDEX(生物种群!$F:$F,COUNTA(生物种群!$F:$F)),MATCH($I427,生物种群!$B$3:INDEX(生物种群!$B:$B,COUNTA(生物种群!$B:$B)),),))</f>
        <v/>
      </c>
      <c r="M427" s="37" t="str">
        <f t="shared" si="12"/>
        <v/>
      </c>
      <c r="N427" s="37" t="str">
        <f t="shared" si="13"/>
        <v/>
      </c>
      <c r="O427" s="9"/>
      <c r="P427" s="10"/>
    </row>
    <row r="428" spans="1:16" ht="20.1" customHeight="1">
      <c r="A428" s="9"/>
      <c r="B428" s="9"/>
      <c r="C428" s="9"/>
      <c r="D428" s="43"/>
      <c r="E428" s="9"/>
      <c r="F428" s="9"/>
      <c r="G428" s="47" t="str">
        <f>IF(F428="","",INDEX(站位样品信息!$B$3:INDEX(站位样品信息!$B:$B,COUNTA(站位样品信息!$B:$B)+1),MATCH($F428,站位样品信息!$A$3:INDEX(站位样品信息!$A:$A,COUNTA(站位样品信息!$A:$A)+1),),))</f>
        <v/>
      </c>
      <c r="H428" s="37" t="str">
        <f>IF(A428&amp;B428&amp;C428="","",INDEX(生物种群!$A$2:INDEX(生物种群!$A:$A,COUNTA(生物种群!$A:$A)),MATCH($I428,生物种群!$B$2:INDEX(生物种群!$B:$B,COUNTA(生物种群!$B:$B)),),))</f>
        <v/>
      </c>
      <c r="I428" s="37" t="str">
        <f>IF(A428&amp;B428&amp;C428="","",IF($C428&lt;&gt;0,INDEX(生物种群!$B$2:INDEX(生物种群!$B:$B,COUNTA(生物种群!$B:$B)),MATCH($C428,生物种群!$G$2:INDEX(生物种群!$G:$G,COUNTA(生物种群!$G:$G)),),),IF($A428&lt;&gt;0,INDEX(生物种群!$B$2:INDEX(生物种群!$B:$B,COUNTA(生物种群!$B:$B)),MATCH($A428,生物种群!$C$2:INDEX(生物种群!$C:$C,COUNTA(生物种群!$C:$C)),),),INDEX(生物种群!$B$2:INDEX(生物种群!$B:$B,COUNTA(生物种群!$B:$B)),MATCH($B428,生物种群!$D$2:INDEX(生物种群!$D:$D,COUNTA(生物种群!$D:$D)),),))))</f>
        <v/>
      </c>
      <c r="J428" s="37" t="str">
        <f>IF(A428&amp;B428&amp;C428="","",INDEX(生物种群!$J$2:INDEX(生物种群!$J:$J,COUNTA(生物种群!$J:$J)),MATCH($I428,生物种群!$B$2:INDEX(生物种群!$B:$B,COUNTA(生物种群!$B:$B)),),))</f>
        <v/>
      </c>
      <c r="K428" s="37" t="str">
        <f>IF(A428&amp;B428&amp;C428="","",INDEX(生物种群!$E$2:INDEX(生物种群!$E:$E,COUNTA(生物种群!$E:$E)),MATCH($I428,生物种群!$B$2:INDEX(生物种群!$B:$B,COUNTA(生物种群!$B:$B)),),))</f>
        <v/>
      </c>
      <c r="L428" s="37" t="str">
        <f>IF(A428&amp;B428&amp;C428="","",INDEX(生物种群!$F$3:INDEX(生物种群!$F:$F,COUNTA(生物种群!$F:$F)),MATCH($I428,生物种群!$B$3:INDEX(生物种群!$B:$B,COUNTA(生物种群!$B:$B)),),))</f>
        <v/>
      </c>
      <c r="M428" s="37" t="str">
        <f t="shared" si="12"/>
        <v/>
      </c>
      <c r="N428" s="37" t="str">
        <f t="shared" si="13"/>
        <v/>
      </c>
      <c r="O428" s="9"/>
      <c r="P428" s="10"/>
    </row>
    <row r="429" spans="1:16" ht="20.1" customHeight="1">
      <c r="A429" s="9"/>
      <c r="B429" s="9"/>
      <c r="C429" s="9"/>
      <c r="D429" s="43"/>
      <c r="E429" s="9"/>
      <c r="F429" s="9"/>
      <c r="G429" s="47" t="str">
        <f>IF(F429="","",INDEX(站位样品信息!$B$3:INDEX(站位样品信息!$B:$B,COUNTA(站位样品信息!$B:$B)+1),MATCH($F429,站位样品信息!$A$3:INDEX(站位样品信息!$A:$A,COUNTA(站位样品信息!$A:$A)+1),),))</f>
        <v/>
      </c>
      <c r="H429" s="37" t="str">
        <f>IF(A429&amp;B429&amp;C429="","",INDEX(生物种群!$A$2:INDEX(生物种群!$A:$A,COUNTA(生物种群!$A:$A)),MATCH($I429,生物种群!$B$2:INDEX(生物种群!$B:$B,COUNTA(生物种群!$B:$B)),),))</f>
        <v/>
      </c>
      <c r="I429" s="37" t="str">
        <f>IF(A429&amp;B429&amp;C429="","",IF($C429&lt;&gt;0,INDEX(生物种群!$B$2:INDEX(生物种群!$B:$B,COUNTA(生物种群!$B:$B)),MATCH($C429,生物种群!$G$2:INDEX(生物种群!$G:$G,COUNTA(生物种群!$G:$G)),),),IF($A429&lt;&gt;0,INDEX(生物种群!$B$2:INDEX(生物种群!$B:$B,COUNTA(生物种群!$B:$B)),MATCH($A429,生物种群!$C$2:INDEX(生物种群!$C:$C,COUNTA(生物种群!$C:$C)),),),INDEX(生物种群!$B$2:INDEX(生物种群!$B:$B,COUNTA(生物种群!$B:$B)),MATCH($B429,生物种群!$D$2:INDEX(生物种群!$D:$D,COUNTA(生物种群!$D:$D)),),))))</f>
        <v/>
      </c>
      <c r="J429" s="37" t="str">
        <f>IF(A429&amp;B429&amp;C429="","",INDEX(生物种群!$J$2:INDEX(生物种群!$J:$J,COUNTA(生物种群!$J:$J)),MATCH($I429,生物种群!$B$2:INDEX(生物种群!$B:$B,COUNTA(生物种群!$B:$B)),),))</f>
        <v/>
      </c>
      <c r="K429" s="37" t="str">
        <f>IF(A429&amp;B429&amp;C429="","",INDEX(生物种群!$E$2:INDEX(生物种群!$E:$E,COUNTA(生物种群!$E:$E)),MATCH($I429,生物种群!$B$2:INDEX(生物种群!$B:$B,COUNTA(生物种群!$B:$B)),),))</f>
        <v/>
      </c>
      <c r="L429" s="37" t="str">
        <f>IF(A429&amp;B429&amp;C429="","",INDEX(生物种群!$F$3:INDEX(生物种群!$F:$F,COUNTA(生物种群!$F:$F)),MATCH($I429,生物种群!$B$3:INDEX(生物种群!$B:$B,COUNTA(生物种群!$B:$B)),),))</f>
        <v/>
      </c>
      <c r="M429" s="37" t="str">
        <f t="shared" si="12"/>
        <v/>
      </c>
      <c r="N429" s="37" t="str">
        <f t="shared" si="13"/>
        <v/>
      </c>
      <c r="O429" s="9"/>
      <c r="P429" s="10"/>
    </row>
    <row r="430" spans="1:16" ht="20.1" customHeight="1">
      <c r="A430" s="9"/>
      <c r="B430" s="9"/>
      <c r="C430" s="9"/>
      <c r="D430" s="43"/>
      <c r="E430" s="9"/>
      <c r="F430" s="9"/>
      <c r="G430" s="47" t="str">
        <f>IF(F430="","",INDEX(站位样品信息!$B$3:INDEX(站位样品信息!$B:$B,COUNTA(站位样品信息!$B:$B)+1),MATCH($F430,站位样品信息!$A$3:INDEX(站位样品信息!$A:$A,COUNTA(站位样品信息!$A:$A)+1),),))</f>
        <v/>
      </c>
      <c r="H430" s="37" t="str">
        <f>IF(A430&amp;B430&amp;C430="","",INDEX(生物种群!$A$2:INDEX(生物种群!$A:$A,COUNTA(生物种群!$A:$A)),MATCH($I430,生物种群!$B$2:INDEX(生物种群!$B:$B,COUNTA(生物种群!$B:$B)),),))</f>
        <v/>
      </c>
      <c r="I430" s="37" t="str">
        <f>IF(A430&amp;B430&amp;C430="","",IF($C430&lt;&gt;0,INDEX(生物种群!$B$2:INDEX(生物种群!$B:$B,COUNTA(生物种群!$B:$B)),MATCH($C430,生物种群!$G$2:INDEX(生物种群!$G:$G,COUNTA(生物种群!$G:$G)),),),IF($A430&lt;&gt;0,INDEX(生物种群!$B$2:INDEX(生物种群!$B:$B,COUNTA(生物种群!$B:$B)),MATCH($A430,生物种群!$C$2:INDEX(生物种群!$C:$C,COUNTA(生物种群!$C:$C)),),),INDEX(生物种群!$B$2:INDEX(生物种群!$B:$B,COUNTA(生物种群!$B:$B)),MATCH($B430,生物种群!$D$2:INDEX(生物种群!$D:$D,COUNTA(生物种群!$D:$D)),),))))</f>
        <v/>
      </c>
      <c r="J430" s="37" t="str">
        <f>IF(A430&amp;B430&amp;C430="","",INDEX(生物种群!$J$2:INDEX(生物种群!$J:$J,COUNTA(生物种群!$J:$J)),MATCH($I430,生物种群!$B$2:INDEX(生物种群!$B:$B,COUNTA(生物种群!$B:$B)),),))</f>
        <v/>
      </c>
      <c r="K430" s="37" t="str">
        <f>IF(A430&amp;B430&amp;C430="","",INDEX(生物种群!$E$2:INDEX(生物种群!$E:$E,COUNTA(生物种群!$E:$E)),MATCH($I430,生物种群!$B$2:INDEX(生物种群!$B:$B,COUNTA(生物种群!$B:$B)),),))</f>
        <v/>
      </c>
      <c r="L430" s="37" t="str">
        <f>IF(A430&amp;B430&amp;C430="","",INDEX(生物种群!$F$3:INDEX(生物种群!$F:$F,COUNTA(生物种群!$F:$F)),MATCH($I430,生物种群!$B$3:INDEX(生物种群!$B:$B,COUNTA(生物种群!$B:$B)),),))</f>
        <v/>
      </c>
      <c r="M430" s="37" t="str">
        <f t="shared" si="12"/>
        <v/>
      </c>
      <c r="N430" s="37" t="str">
        <f t="shared" si="13"/>
        <v/>
      </c>
      <c r="O430" s="9"/>
      <c r="P430" s="10"/>
    </row>
    <row r="431" spans="1:16" ht="20.1" customHeight="1">
      <c r="A431" s="9"/>
      <c r="B431" s="9"/>
      <c r="C431" s="9"/>
      <c r="D431" s="43"/>
      <c r="E431" s="9"/>
      <c r="F431" s="9"/>
      <c r="G431" s="47" t="str">
        <f>IF(F431="","",INDEX(站位样品信息!$B$3:INDEX(站位样品信息!$B:$B,COUNTA(站位样品信息!$B:$B)+1),MATCH($F431,站位样品信息!$A$3:INDEX(站位样品信息!$A:$A,COUNTA(站位样品信息!$A:$A)+1),),))</f>
        <v/>
      </c>
      <c r="H431" s="37" t="str">
        <f>IF(A431&amp;B431&amp;C431="","",INDEX(生物种群!$A$2:INDEX(生物种群!$A:$A,COUNTA(生物种群!$A:$A)),MATCH($I431,生物种群!$B$2:INDEX(生物种群!$B:$B,COUNTA(生物种群!$B:$B)),),))</f>
        <v/>
      </c>
      <c r="I431" s="37" t="str">
        <f>IF(A431&amp;B431&amp;C431="","",IF($C431&lt;&gt;0,INDEX(生物种群!$B$2:INDEX(生物种群!$B:$B,COUNTA(生物种群!$B:$B)),MATCH($C431,生物种群!$G$2:INDEX(生物种群!$G:$G,COUNTA(生物种群!$G:$G)),),),IF($A431&lt;&gt;0,INDEX(生物种群!$B$2:INDEX(生物种群!$B:$B,COUNTA(生物种群!$B:$B)),MATCH($A431,生物种群!$C$2:INDEX(生物种群!$C:$C,COUNTA(生物种群!$C:$C)),),),INDEX(生物种群!$B$2:INDEX(生物种群!$B:$B,COUNTA(生物种群!$B:$B)),MATCH($B431,生物种群!$D$2:INDEX(生物种群!$D:$D,COUNTA(生物种群!$D:$D)),),))))</f>
        <v/>
      </c>
      <c r="J431" s="37" t="str">
        <f>IF(A431&amp;B431&amp;C431="","",INDEX(生物种群!$J$2:INDEX(生物种群!$J:$J,COUNTA(生物种群!$J:$J)),MATCH($I431,生物种群!$B$2:INDEX(生物种群!$B:$B,COUNTA(生物种群!$B:$B)),),))</f>
        <v/>
      </c>
      <c r="K431" s="37" t="str">
        <f>IF(A431&amp;B431&amp;C431="","",INDEX(生物种群!$E$2:INDEX(生物种群!$E:$E,COUNTA(生物种群!$E:$E)),MATCH($I431,生物种群!$B$2:INDEX(生物种群!$B:$B,COUNTA(生物种群!$B:$B)),),))</f>
        <v/>
      </c>
      <c r="L431" s="37" t="str">
        <f>IF(A431&amp;B431&amp;C431="","",INDEX(生物种群!$F$3:INDEX(生物种群!$F:$F,COUNTA(生物种群!$F:$F)),MATCH($I431,生物种群!$B$3:INDEX(生物种群!$B:$B,COUNTA(生物种群!$B:$B)),),))</f>
        <v/>
      </c>
      <c r="M431" s="37" t="str">
        <f t="shared" si="12"/>
        <v/>
      </c>
      <c r="N431" s="37" t="str">
        <f t="shared" si="13"/>
        <v/>
      </c>
      <c r="O431" s="9"/>
      <c r="P431" s="10"/>
    </row>
    <row r="432" spans="1:16" ht="20.1" customHeight="1">
      <c r="A432" s="9"/>
      <c r="B432" s="9"/>
      <c r="C432" s="9"/>
      <c r="D432" s="43"/>
      <c r="E432" s="9"/>
      <c r="F432" s="9"/>
      <c r="G432" s="47" t="str">
        <f>IF(F432="","",INDEX(站位样品信息!$B$3:INDEX(站位样品信息!$B:$B,COUNTA(站位样品信息!$B:$B)+1),MATCH($F432,站位样品信息!$A$3:INDEX(站位样品信息!$A:$A,COUNTA(站位样品信息!$A:$A)+1),),))</f>
        <v/>
      </c>
      <c r="H432" s="37" t="str">
        <f>IF(A432&amp;B432&amp;C432="","",INDEX(生物种群!$A$2:INDEX(生物种群!$A:$A,COUNTA(生物种群!$A:$A)),MATCH($I432,生物种群!$B$2:INDEX(生物种群!$B:$B,COUNTA(生物种群!$B:$B)),),))</f>
        <v/>
      </c>
      <c r="I432" s="37" t="str">
        <f>IF(A432&amp;B432&amp;C432="","",IF($C432&lt;&gt;0,INDEX(生物种群!$B$2:INDEX(生物种群!$B:$B,COUNTA(生物种群!$B:$B)),MATCH($C432,生物种群!$G$2:INDEX(生物种群!$G:$G,COUNTA(生物种群!$G:$G)),),),IF($A432&lt;&gt;0,INDEX(生物种群!$B$2:INDEX(生物种群!$B:$B,COUNTA(生物种群!$B:$B)),MATCH($A432,生物种群!$C$2:INDEX(生物种群!$C:$C,COUNTA(生物种群!$C:$C)),),),INDEX(生物种群!$B$2:INDEX(生物种群!$B:$B,COUNTA(生物种群!$B:$B)),MATCH($B432,生物种群!$D$2:INDEX(生物种群!$D:$D,COUNTA(生物种群!$D:$D)),),))))</f>
        <v/>
      </c>
      <c r="J432" s="37" t="str">
        <f>IF(A432&amp;B432&amp;C432="","",INDEX(生物种群!$J$2:INDEX(生物种群!$J:$J,COUNTA(生物种群!$J:$J)),MATCH($I432,生物种群!$B$2:INDEX(生物种群!$B:$B,COUNTA(生物种群!$B:$B)),),))</f>
        <v/>
      </c>
      <c r="K432" s="37" t="str">
        <f>IF(A432&amp;B432&amp;C432="","",INDEX(生物种群!$E$2:INDEX(生物种群!$E:$E,COUNTA(生物种群!$E:$E)),MATCH($I432,生物种群!$B$2:INDEX(生物种群!$B:$B,COUNTA(生物种群!$B:$B)),),))</f>
        <v/>
      </c>
      <c r="L432" s="37" t="str">
        <f>IF(A432&amp;B432&amp;C432="","",INDEX(生物种群!$F$3:INDEX(生物种群!$F:$F,COUNTA(生物种群!$F:$F)),MATCH($I432,生物种群!$B$3:INDEX(生物种群!$B:$B,COUNTA(生物种群!$B:$B)),),))</f>
        <v/>
      </c>
      <c r="M432" s="37" t="str">
        <f t="shared" si="12"/>
        <v/>
      </c>
      <c r="N432" s="37" t="str">
        <f t="shared" si="13"/>
        <v/>
      </c>
      <c r="O432" s="9"/>
      <c r="P432" s="10"/>
    </row>
    <row r="433" spans="1:16" ht="20.1" customHeight="1">
      <c r="A433" s="9"/>
      <c r="B433" s="9"/>
      <c r="C433" s="9"/>
      <c r="D433" s="43"/>
      <c r="E433" s="9"/>
      <c r="F433" s="9"/>
      <c r="G433" s="47" t="str">
        <f>IF(F433="","",INDEX(站位样品信息!$B$3:INDEX(站位样品信息!$B:$B,COUNTA(站位样品信息!$B:$B)+1),MATCH($F433,站位样品信息!$A$3:INDEX(站位样品信息!$A:$A,COUNTA(站位样品信息!$A:$A)+1),),))</f>
        <v/>
      </c>
      <c r="H433" s="37" t="str">
        <f>IF(A433&amp;B433&amp;C433="","",INDEX(生物种群!$A$2:INDEX(生物种群!$A:$A,COUNTA(生物种群!$A:$A)),MATCH($I433,生物种群!$B$2:INDEX(生物种群!$B:$B,COUNTA(生物种群!$B:$B)),),))</f>
        <v/>
      </c>
      <c r="I433" s="37" t="str">
        <f>IF(A433&amp;B433&amp;C433="","",IF($C433&lt;&gt;0,INDEX(生物种群!$B$2:INDEX(生物种群!$B:$B,COUNTA(生物种群!$B:$B)),MATCH($C433,生物种群!$G$2:INDEX(生物种群!$G:$G,COUNTA(生物种群!$G:$G)),),),IF($A433&lt;&gt;0,INDEX(生物种群!$B$2:INDEX(生物种群!$B:$B,COUNTA(生物种群!$B:$B)),MATCH($A433,生物种群!$C$2:INDEX(生物种群!$C:$C,COUNTA(生物种群!$C:$C)),),),INDEX(生物种群!$B$2:INDEX(生物种群!$B:$B,COUNTA(生物种群!$B:$B)),MATCH($B433,生物种群!$D$2:INDEX(生物种群!$D:$D,COUNTA(生物种群!$D:$D)),),))))</f>
        <v/>
      </c>
      <c r="J433" s="37" t="str">
        <f>IF(A433&amp;B433&amp;C433="","",INDEX(生物种群!$J$2:INDEX(生物种群!$J:$J,COUNTA(生物种群!$J:$J)),MATCH($I433,生物种群!$B$2:INDEX(生物种群!$B:$B,COUNTA(生物种群!$B:$B)),),))</f>
        <v/>
      </c>
      <c r="K433" s="37" t="str">
        <f>IF(A433&amp;B433&amp;C433="","",INDEX(生物种群!$E$2:INDEX(生物种群!$E:$E,COUNTA(生物种群!$E:$E)),MATCH($I433,生物种群!$B$2:INDEX(生物种群!$B:$B,COUNTA(生物种群!$B:$B)),),))</f>
        <v/>
      </c>
      <c r="L433" s="37" t="str">
        <f>IF(A433&amp;B433&amp;C433="","",INDEX(生物种群!$F$3:INDEX(生物种群!$F:$F,COUNTA(生物种群!$F:$F)),MATCH($I433,生物种群!$B$3:INDEX(生物种群!$B:$B,COUNTA(生物种群!$B:$B)),),))</f>
        <v/>
      </c>
      <c r="M433" s="37" t="str">
        <f t="shared" si="12"/>
        <v/>
      </c>
      <c r="N433" s="37" t="str">
        <f t="shared" si="13"/>
        <v/>
      </c>
      <c r="O433" s="9"/>
      <c r="P433" s="10"/>
    </row>
    <row r="434" spans="1:16" ht="20.1" customHeight="1">
      <c r="A434" s="9"/>
      <c r="B434" s="9"/>
      <c r="C434" s="9"/>
      <c r="D434" s="43"/>
      <c r="E434" s="9"/>
      <c r="F434" s="9"/>
      <c r="G434" s="47" t="str">
        <f>IF(F434="","",INDEX(站位样品信息!$B$3:INDEX(站位样品信息!$B:$B,COUNTA(站位样品信息!$B:$B)+1),MATCH($F434,站位样品信息!$A$3:INDEX(站位样品信息!$A:$A,COUNTA(站位样品信息!$A:$A)+1),),))</f>
        <v/>
      </c>
      <c r="H434" s="37" t="str">
        <f>IF(A434&amp;B434&amp;C434="","",INDEX(生物种群!$A$2:INDEX(生物种群!$A:$A,COUNTA(生物种群!$A:$A)),MATCH($I434,生物种群!$B$2:INDEX(生物种群!$B:$B,COUNTA(生物种群!$B:$B)),),))</f>
        <v/>
      </c>
      <c r="I434" s="37" t="str">
        <f>IF(A434&amp;B434&amp;C434="","",IF($C434&lt;&gt;0,INDEX(生物种群!$B$2:INDEX(生物种群!$B:$B,COUNTA(生物种群!$B:$B)),MATCH($C434,生物种群!$G$2:INDEX(生物种群!$G:$G,COUNTA(生物种群!$G:$G)),),),IF($A434&lt;&gt;0,INDEX(生物种群!$B$2:INDEX(生物种群!$B:$B,COUNTA(生物种群!$B:$B)),MATCH($A434,生物种群!$C$2:INDEX(生物种群!$C:$C,COUNTA(生物种群!$C:$C)),),),INDEX(生物种群!$B$2:INDEX(生物种群!$B:$B,COUNTA(生物种群!$B:$B)),MATCH($B434,生物种群!$D$2:INDEX(生物种群!$D:$D,COUNTA(生物种群!$D:$D)),),))))</f>
        <v/>
      </c>
      <c r="J434" s="37" t="str">
        <f>IF(A434&amp;B434&amp;C434="","",INDEX(生物种群!$J$2:INDEX(生物种群!$J:$J,COUNTA(生物种群!$J:$J)),MATCH($I434,生物种群!$B$2:INDEX(生物种群!$B:$B,COUNTA(生物种群!$B:$B)),),))</f>
        <v/>
      </c>
      <c r="K434" s="37" t="str">
        <f>IF(A434&amp;B434&amp;C434="","",INDEX(生物种群!$E$2:INDEX(生物种群!$E:$E,COUNTA(生物种群!$E:$E)),MATCH($I434,生物种群!$B$2:INDEX(生物种群!$B:$B,COUNTA(生物种群!$B:$B)),),))</f>
        <v/>
      </c>
      <c r="L434" s="37" t="str">
        <f>IF(A434&amp;B434&amp;C434="","",INDEX(生物种群!$F$3:INDEX(生物种群!$F:$F,COUNTA(生物种群!$F:$F)),MATCH($I434,生物种群!$B$3:INDEX(生物种群!$B:$B,COUNTA(生物种群!$B:$B)),),))</f>
        <v/>
      </c>
      <c r="M434" s="37" t="str">
        <f t="shared" si="12"/>
        <v/>
      </c>
      <c r="N434" s="37" t="str">
        <f t="shared" si="13"/>
        <v/>
      </c>
      <c r="O434" s="9"/>
      <c r="P434" s="10"/>
    </row>
    <row r="435" spans="1:16" ht="20.1" customHeight="1">
      <c r="A435" s="9"/>
      <c r="B435" s="9"/>
      <c r="C435" s="9"/>
      <c r="D435" s="43"/>
      <c r="E435" s="9"/>
      <c r="F435" s="9"/>
      <c r="G435" s="47" t="str">
        <f>IF(F435="","",INDEX(站位样品信息!$B$3:INDEX(站位样品信息!$B:$B,COUNTA(站位样品信息!$B:$B)+1),MATCH($F435,站位样品信息!$A$3:INDEX(站位样品信息!$A:$A,COUNTA(站位样品信息!$A:$A)+1),),))</f>
        <v/>
      </c>
      <c r="H435" s="37" t="str">
        <f>IF(A435&amp;B435&amp;C435="","",INDEX(生物种群!$A$2:INDEX(生物种群!$A:$A,COUNTA(生物种群!$A:$A)),MATCH($I435,生物种群!$B$2:INDEX(生物种群!$B:$B,COUNTA(生物种群!$B:$B)),),))</f>
        <v/>
      </c>
      <c r="I435" s="37" t="str">
        <f>IF(A435&amp;B435&amp;C435="","",IF($C435&lt;&gt;0,INDEX(生物种群!$B$2:INDEX(生物种群!$B:$B,COUNTA(生物种群!$B:$B)),MATCH($C435,生物种群!$G$2:INDEX(生物种群!$G:$G,COUNTA(生物种群!$G:$G)),),),IF($A435&lt;&gt;0,INDEX(生物种群!$B$2:INDEX(生物种群!$B:$B,COUNTA(生物种群!$B:$B)),MATCH($A435,生物种群!$C$2:INDEX(生物种群!$C:$C,COUNTA(生物种群!$C:$C)),),),INDEX(生物种群!$B$2:INDEX(生物种群!$B:$B,COUNTA(生物种群!$B:$B)),MATCH($B435,生物种群!$D$2:INDEX(生物种群!$D:$D,COUNTA(生物种群!$D:$D)),),))))</f>
        <v/>
      </c>
      <c r="J435" s="37" t="str">
        <f>IF(A435&amp;B435&amp;C435="","",INDEX(生物种群!$J$2:INDEX(生物种群!$J:$J,COUNTA(生物种群!$J:$J)),MATCH($I435,生物种群!$B$2:INDEX(生物种群!$B:$B,COUNTA(生物种群!$B:$B)),),))</f>
        <v/>
      </c>
      <c r="K435" s="37" t="str">
        <f>IF(A435&amp;B435&amp;C435="","",INDEX(生物种群!$E$2:INDEX(生物种群!$E:$E,COUNTA(生物种群!$E:$E)),MATCH($I435,生物种群!$B$2:INDEX(生物种群!$B:$B,COUNTA(生物种群!$B:$B)),),))</f>
        <v/>
      </c>
      <c r="L435" s="37" t="str">
        <f>IF(A435&amp;B435&amp;C435="","",INDEX(生物种群!$F$3:INDEX(生物种群!$F:$F,COUNTA(生物种群!$F:$F)),MATCH($I435,生物种群!$B$3:INDEX(生物种群!$B:$B,COUNTA(生物种群!$B:$B)),),))</f>
        <v/>
      </c>
      <c r="M435" s="37" t="str">
        <f t="shared" si="12"/>
        <v/>
      </c>
      <c r="N435" s="37" t="str">
        <f t="shared" si="13"/>
        <v/>
      </c>
      <c r="O435" s="9"/>
      <c r="P435" s="10"/>
    </row>
    <row r="436" spans="1:16" ht="20.1" customHeight="1">
      <c r="A436" s="9"/>
      <c r="B436" s="9"/>
      <c r="C436" s="9"/>
      <c r="D436" s="43"/>
      <c r="E436" s="9"/>
      <c r="F436" s="9"/>
      <c r="G436" s="47" t="str">
        <f>IF(F436="","",INDEX(站位样品信息!$B$3:INDEX(站位样品信息!$B:$B,COUNTA(站位样品信息!$B:$B)+1),MATCH($F436,站位样品信息!$A$3:INDEX(站位样品信息!$A:$A,COUNTA(站位样品信息!$A:$A)+1),),))</f>
        <v/>
      </c>
      <c r="H436" s="37" t="str">
        <f>IF(A436&amp;B436&amp;C436="","",INDEX(生物种群!$A$2:INDEX(生物种群!$A:$A,COUNTA(生物种群!$A:$A)),MATCH($I436,生物种群!$B$2:INDEX(生物种群!$B:$B,COUNTA(生物种群!$B:$B)),),))</f>
        <v/>
      </c>
      <c r="I436" s="37" t="str">
        <f>IF(A436&amp;B436&amp;C436="","",IF($C436&lt;&gt;0,INDEX(生物种群!$B$2:INDEX(生物种群!$B:$B,COUNTA(生物种群!$B:$B)),MATCH($C436,生物种群!$G$2:INDEX(生物种群!$G:$G,COUNTA(生物种群!$G:$G)),),),IF($A436&lt;&gt;0,INDEX(生物种群!$B$2:INDEX(生物种群!$B:$B,COUNTA(生物种群!$B:$B)),MATCH($A436,生物种群!$C$2:INDEX(生物种群!$C:$C,COUNTA(生物种群!$C:$C)),),),INDEX(生物种群!$B$2:INDEX(生物种群!$B:$B,COUNTA(生物种群!$B:$B)),MATCH($B436,生物种群!$D$2:INDEX(生物种群!$D:$D,COUNTA(生物种群!$D:$D)),),))))</f>
        <v/>
      </c>
      <c r="J436" s="37" t="str">
        <f>IF(A436&amp;B436&amp;C436="","",INDEX(生物种群!$J$2:INDEX(生物种群!$J:$J,COUNTA(生物种群!$J:$J)),MATCH($I436,生物种群!$B$2:INDEX(生物种群!$B:$B,COUNTA(生物种群!$B:$B)),),))</f>
        <v/>
      </c>
      <c r="K436" s="37" t="str">
        <f>IF(A436&amp;B436&amp;C436="","",INDEX(生物种群!$E$2:INDEX(生物种群!$E:$E,COUNTA(生物种群!$E:$E)),MATCH($I436,生物种群!$B$2:INDEX(生物种群!$B:$B,COUNTA(生物种群!$B:$B)),),))</f>
        <v/>
      </c>
      <c r="L436" s="37" t="str">
        <f>IF(A436&amp;B436&amp;C436="","",INDEX(生物种群!$F$3:INDEX(生物种群!$F:$F,COUNTA(生物种群!$F:$F)),MATCH($I436,生物种群!$B$3:INDEX(生物种群!$B:$B,COUNTA(生物种群!$B:$B)),),))</f>
        <v/>
      </c>
      <c r="M436" s="37" t="str">
        <f t="shared" si="12"/>
        <v/>
      </c>
      <c r="N436" s="37" t="str">
        <f t="shared" si="13"/>
        <v/>
      </c>
      <c r="O436" s="9"/>
      <c r="P436" s="10"/>
    </row>
    <row r="437" spans="1:16" ht="20.1" customHeight="1">
      <c r="A437" s="9"/>
      <c r="B437" s="9"/>
      <c r="C437" s="9"/>
      <c r="D437" s="43"/>
      <c r="E437" s="9"/>
      <c r="F437" s="9"/>
      <c r="G437" s="47" t="str">
        <f>IF(F437="","",INDEX(站位样品信息!$B$3:INDEX(站位样品信息!$B:$B,COUNTA(站位样品信息!$B:$B)+1),MATCH($F437,站位样品信息!$A$3:INDEX(站位样品信息!$A:$A,COUNTA(站位样品信息!$A:$A)+1),),))</f>
        <v/>
      </c>
      <c r="H437" s="37" t="str">
        <f>IF(A437&amp;B437&amp;C437="","",INDEX(生物种群!$A$2:INDEX(生物种群!$A:$A,COUNTA(生物种群!$A:$A)),MATCH($I437,生物种群!$B$2:INDEX(生物种群!$B:$B,COUNTA(生物种群!$B:$B)),),))</f>
        <v/>
      </c>
      <c r="I437" s="37" t="str">
        <f>IF(A437&amp;B437&amp;C437="","",IF($C437&lt;&gt;0,INDEX(生物种群!$B$2:INDEX(生物种群!$B:$B,COUNTA(生物种群!$B:$B)),MATCH($C437,生物种群!$G$2:INDEX(生物种群!$G:$G,COUNTA(生物种群!$G:$G)),),),IF($A437&lt;&gt;0,INDEX(生物种群!$B$2:INDEX(生物种群!$B:$B,COUNTA(生物种群!$B:$B)),MATCH($A437,生物种群!$C$2:INDEX(生物种群!$C:$C,COUNTA(生物种群!$C:$C)),),),INDEX(生物种群!$B$2:INDEX(生物种群!$B:$B,COUNTA(生物种群!$B:$B)),MATCH($B437,生物种群!$D$2:INDEX(生物种群!$D:$D,COUNTA(生物种群!$D:$D)),),))))</f>
        <v/>
      </c>
      <c r="J437" s="37" t="str">
        <f>IF(A437&amp;B437&amp;C437="","",INDEX(生物种群!$J$2:INDEX(生物种群!$J:$J,COUNTA(生物种群!$J:$J)),MATCH($I437,生物种群!$B$2:INDEX(生物种群!$B:$B,COUNTA(生物种群!$B:$B)),),))</f>
        <v/>
      </c>
      <c r="K437" s="37" t="str">
        <f>IF(A437&amp;B437&amp;C437="","",INDEX(生物种群!$E$2:INDEX(生物种群!$E:$E,COUNTA(生物种群!$E:$E)),MATCH($I437,生物种群!$B$2:INDEX(生物种群!$B:$B,COUNTA(生物种群!$B:$B)),),))</f>
        <v/>
      </c>
      <c r="L437" s="37" t="str">
        <f>IF(A437&amp;B437&amp;C437="","",INDEX(生物种群!$F$3:INDEX(生物种群!$F:$F,COUNTA(生物种群!$F:$F)),MATCH($I437,生物种群!$B$3:INDEX(生物种群!$B:$B,COUNTA(生物种群!$B:$B)),),))</f>
        <v/>
      </c>
      <c r="M437" s="37" t="str">
        <f t="shared" si="12"/>
        <v/>
      </c>
      <c r="N437" s="37" t="str">
        <f t="shared" si="13"/>
        <v/>
      </c>
      <c r="O437" s="9"/>
      <c r="P437" s="10"/>
    </row>
    <row r="438" spans="1:16" ht="20.1" customHeight="1">
      <c r="A438" s="9"/>
      <c r="B438" s="9"/>
      <c r="C438" s="9"/>
      <c r="D438" s="43"/>
      <c r="E438" s="9"/>
      <c r="F438" s="9"/>
      <c r="G438" s="47" t="str">
        <f>IF(F438="","",INDEX(站位样品信息!$B$3:INDEX(站位样品信息!$B:$B,COUNTA(站位样品信息!$B:$B)+1),MATCH($F438,站位样品信息!$A$3:INDEX(站位样品信息!$A:$A,COUNTA(站位样品信息!$A:$A)+1),),))</f>
        <v/>
      </c>
      <c r="H438" s="37" t="str">
        <f>IF(A438&amp;B438&amp;C438="","",INDEX(生物种群!$A$2:INDEX(生物种群!$A:$A,COUNTA(生物种群!$A:$A)),MATCH($I438,生物种群!$B$2:INDEX(生物种群!$B:$B,COUNTA(生物种群!$B:$B)),),))</f>
        <v/>
      </c>
      <c r="I438" s="37" t="str">
        <f>IF(A438&amp;B438&amp;C438="","",IF($C438&lt;&gt;0,INDEX(生物种群!$B$2:INDEX(生物种群!$B:$B,COUNTA(生物种群!$B:$B)),MATCH($C438,生物种群!$G$2:INDEX(生物种群!$G:$G,COUNTA(生物种群!$G:$G)),),),IF($A438&lt;&gt;0,INDEX(生物种群!$B$2:INDEX(生物种群!$B:$B,COUNTA(生物种群!$B:$B)),MATCH($A438,生物种群!$C$2:INDEX(生物种群!$C:$C,COUNTA(生物种群!$C:$C)),),),INDEX(生物种群!$B$2:INDEX(生物种群!$B:$B,COUNTA(生物种群!$B:$B)),MATCH($B438,生物种群!$D$2:INDEX(生物种群!$D:$D,COUNTA(生物种群!$D:$D)),),))))</f>
        <v/>
      </c>
      <c r="J438" s="37" t="str">
        <f>IF(A438&amp;B438&amp;C438="","",INDEX(生物种群!$J$2:INDEX(生物种群!$J:$J,COUNTA(生物种群!$J:$J)),MATCH($I438,生物种群!$B$2:INDEX(生物种群!$B:$B,COUNTA(生物种群!$B:$B)),),))</f>
        <v/>
      </c>
      <c r="K438" s="37" t="str">
        <f>IF(A438&amp;B438&amp;C438="","",INDEX(生物种群!$E$2:INDEX(生物种群!$E:$E,COUNTA(生物种群!$E:$E)),MATCH($I438,生物种群!$B$2:INDEX(生物种群!$B:$B,COUNTA(生物种群!$B:$B)),),))</f>
        <v/>
      </c>
      <c r="L438" s="37" t="str">
        <f>IF(A438&amp;B438&amp;C438="","",INDEX(生物种群!$F$3:INDEX(生物种群!$F:$F,COUNTA(生物种群!$F:$F)),MATCH($I438,生物种群!$B$3:INDEX(生物种群!$B:$B,COUNTA(生物种群!$B:$B)),),))</f>
        <v/>
      </c>
      <c r="M438" s="37" t="str">
        <f t="shared" si="12"/>
        <v/>
      </c>
      <c r="N438" s="37" t="str">
        <f t="shared" si="13"/>
        <v/>
      </c>
      <c r="O438" s="9"/>
      <c r="P438" s="10"/>
    </row>
    <row r="439" spans="1:16" ht="20.1" customHeight="1">
      <c r="A439" s="9"/>
      <c r="B439" s="9"/>
      <c r="C439" s="9"/>
      <c r="D439" s="43"/>
      <c r="E439" s="9"/>
      <c r="F439" s="9"/>
      <c r="G439" s="47" t="str">
        <f>IF(F439="","",INDEX(站位样品信息!$B$3:INDEX(站位样品信息!$B:$B,COUNTA(站位样品信息!$B:$B)+1),MATCH($F439,站位样品信息!$A$3:INDEX(站位样品信息!$A:$A,COUNTA(站位样品信息!$A:$A)+1),),))</f>
        <v/>
      </c>
      <c r="H439" s="37" t="str">
        <f>IF(A439&amp;B439&amp;C439="","",INDEX(生物种群!$A$2:INDEX(生物种群!$A:$A,COUNTA(生物种群!$A:$A)),MATCH($I439,生物种群!$B$2:INDEX(生物种群!$B:$B,COUNTA(生物种群!$B:$B)),),))</f>
        <v/>
      </c>
      <c r="I439" s="37" t="str">
        <f>IF(A439&amp;B439&amp;C439="","",IF($C439&lt;&gt;0,INDEX(生物种群!$B$2:INDEX(生物种群!$B:$B,COUNTA(生物种群!$B:$B)),MATCH($C439,生物种群!$G$2:INDEX(生物种群!$G:$G,COUNTA(生物种群!$G:$G)),),),IF($A439&lt;&gt;0,INDEX(生物种群!$B$2:INDEX(生物种群!$B:$B,COUNTA(生物种群!$B:$B)),MATCH($A439,生物种群!$C$2:INDEX(生物种群!$C:$C,COUNTA(生物种群!$C:$C)),),),INDEX(生物种群!$B$2:INDEX(生物种群!$B:$B,COUNTA(生物种群!$B:$B)),MATCH($B439,生物种群!$D$2:INDEX(生物种群!$D:$D,COUNTA(生物种群!$D:$D)),),))))</f>
        <v/>
      </c>
      <c r="J439" s="37" t="str">
        <f>IF(A439&amp;B439&amp;C439="","",INDEX(生物种群!$J$2:INDEX(生物种群!$J:$J,COUNTA(生物种群!$J:$J)),MATCH($I439,生物种群!$B$2:INDEX(生物种群!$B:$B,COUNTA(生物种群!$B:$B)),),))</f>
        <v/>
      </c>
      <c r="K439" s="37" t="str">
        <f>IF(A439&amp;B439&amp;C439="","",INDEX(生物种群!$E$2:INDEX(生物种群!$E:$E,COUNTA(生物种群!$E:$E)),MATCH($I439,生物种群!$B$2:INDEX(生物种群!$B:$B,COUNTA(生物种群!$B:$B)),),))</f>
        <v/>
      </c>
      <c r="L439" s="37" t="str">
        <f>IF(A439&amp;B439&amp;C439="","",INDEX(生物种群!$F$3:INDEX(生物种群!$F:$F,COUNTA(生物种群!$F:$F)),MATCH($I439,生物种群!$B$3:INDEX(生物种群!$B:$B,COUNTA(生物种群!$B:$B)),),))</f>
        <v/>
      </c>
      <c r="M439" s="37" t="str">
        <f t="shared" si="12"/>
        <v/>
      </c>
      <c r="N439" s="37" t="str">
        <f t="shared" si="13"/>
        <v/>
      </c>
      <c r="O439" s="9"/>
      <c r="P439" s="10"/>
    </row>
    <row r="440" spans="1:16" ht="20.1" customHeight="1">
      <c r="A440" s="9"/>
      <c r="B440" s="9"/>
      <c r="C440" s="9"/>
      <c r="D440" s="43"/>
      <c r="E440" s="9"/>
      <c r="F440" s="9"/>
      <c r="G440" s="47" t="str">
        <f>IF(F440="","",INDEX(站位样品信息!$B$3:INDEX(站位样品信息!$B:$B,COUNTA(站位样品信息!$B:$B)+1),MATCH($F440,站位样品信息!$A$3:INDEX(站位样品信息!$A:$A,COUNTA(站位样品信息!$A:$A)+1),),))</f>
        <v/>
      </c>
      <c r="H440" s="37" t="str">
        <f>IF(A440&amp;B440&amp;C440="","",INDEX(生物种群!$A$2:INDEX(生物种群!$A:$A,COUNTA(生物种群!$A:$A)),MATCH($I440,生物种群!$B$2:INDEX(生物种群!$B:$B,COUNTA(生物种群!$B:$B)),),))</f>
        <v/>
      </c>
      <c r="I440" s="37" t="str">
        <f>IF(A440&amp;B440&amp;C440="","",IF($C440&lt;&gt;0,INDEX(生物种群!$B$2:INDEX(生物种群!$B:$B,COUNTA(生物种群!$B:$B)),MATCH($C440,生物种群!$G$2:INDEX(生物种群!$G:$G,COUNTA(生物种群!$G:$G)),),),IF($A440&lt;&gt;0,INDEX(生物种群!$B$2:INDEX(生物种群!$B:$B,COUNTA(生物种群!$B:$B)),MATCH($A440,生物种群!$C$2:INDEX(生物种群!$C:$C,COUNTA(生物种群!$C:$C)),),),INDEX(生物种群!$B$2:INDEX(生物种群!$B:$B,COUNTA(生物种群!$B:$B)),MATCH($B440,生物种群!$D$2:INDEX(生物种群!$D:$D,COUNTA(生物种群!$D:$D)),),))))</f>
        <v/>
      </c>
      <c r="J440" s="37" t="str">
        <f>IF(A440&amp;B440&amp;C440="","",INDEX(生物种群!$J$2:INDEX(生物种群!$J:$J,COUNTA(生物种群!$J:$J)),MATCH($I440,生物种群!$B$2:INDEX(生物种群!$B:$B,COUNTA(生物种群!$B:$B)),),))</f>
        <v/>
      </c>
      <c r="K440" s="37" t="str">
        <f>IF(A440&amp;B440&amp;C440="","",INDEX(生物种群!$E$2:INDEX(生物种群!$E:$E,COUNTA(生物种群!$E:$E)),MATCH($I440,生物种群!$B$2:INDEX(生物种群!$B:$B,COUNTA(生物种群!$B:$B)),),))</f>
        <v/>
      </c>
      <c r="L440" s="37" t="str">
        <f>IF(A440&amp;B440&amp;C440="","",INDEX(生物种群!$F$3:INDEX(生物种群!$F:$F,COUNTA(生物种群!$F:$F)),MATCH($I440,生物种群!$B$3:INDEX(生物种群!$B:$B,COUNTA(生物种群!$B:$B)),),))</f>
        <v/>
      </c>
      <c r="M440" s="37" t="str">
        <f t="shared" si="12"/>
        <v/>
      </c>
      <c r="N440" s="37" t="str">
        <f t="shared" si="13"/>
        <v/>
      </c>
      <c r="O440" s="9"/>
      <c r="P440" s="10"/>
    </row>
    <row r="441" spans="1:16" ht="20.1" customHeight="1">
      <c r="A441" s="9"/>
      <c r="B441" s="9"/>
      <c r="C441" s="9"/>
      <c r="D441" s="43"/>
      <c r="E441" s="9"/>
      <c r="F441" s="9"/>
      <c r="G441" s="47" t="str">
        <f>IF(F441="","",INDEX(站位样品信息!$B$3:INDEX(站位样品信息!$B:$B,COUNTA(站位样品信息!$B:$B)+1),MATCH($F441,站位样品信息!$A$3:INDEX(站位样品信息!$A:$A,COUNTA(站位样品信息!$A:$A)+1),),))</f>
        <v/>
      </c>
      <c r="H441" s="37" t="str">
        <f>IF(A441&amp;B441&amp;C441="","",INDEX(生物种群!$A$2:INDEX(生物种群!$A:$A,COUNTA(生物种群!$A:$A)),MATCH($I441,生物种群!$B$2:INDEX(生物种群!$B:$B,COUNTA(生物种群!$B:$B)),),))</f>
        <v/>
      </c>
      <c r="I441" s="37" t="str">
        <f>IF(A441&amp;B441&amp;C441="","",IF($C441&lt;&gt;0,INDEX(生物种群!$B$2:INDEX(生物种群!$B:$B,COUNTA(生物种群!$B:$B)),MATCH($C441,生物种群!$G$2:INDEX(生物种群!$G:$G,COUNTA(生物种群!$G:$G)),),),IF($A441&lt;&gt;0,INDEX(生物种群!$B$2:INDEX(生物种群!$B:$B,COUNTA(生物种群!$B:$B)),MATCH($A441,生物种群!$C$2:INDEX(生物种群!$C:$C,COUNTA(生物种群!$C:$C)),),),INDEX(生物种群!$B$2:INDEX(生物种群!$B:$B,COUNTA(生物种群!$B:$B)),MATCH($B441,生物种群!$D$2:INDEX(生物种群!$D:$D,COUNTA(生物种群!$D:$D)),),))))</f>
        <v/>
      </c>
      <c r="J441" s="37" t="str">
        <f>IF(A441&amp;B441&amp;C441="","",INDEX(生物种群!$J$2:INDEX(生物种群!$J:$J,COUNTA(生物种群!$J:$J)),MATCH($I441,生物种群!$B$2:INDEX(生物种群!$B:$B,COUNTA(生物种群!$B:$B)),),))</f>
        <v/>
      </c>
      <c r="K441" s="37" t="str">
        <f>IF(A441&amp;B441&amp;C441="","",INDEX(生物种群!$E$2:INDEX(生物种群!$E:$E,COUNTA(生物种群!$E:$E)),MATCH($I441,生物种群!$B$2:INDEX(生物种群!$B:$B,COUNTA(生物种群!$B:$B)),),))</f>
        <v/>
      </c>
      <c r="L441" s="37" t="str">
        <f>IF(A441&amp;B441&amp;C441="","",INDEX(生物种群!$F$3:INDEX(生物种群!$F:$F,COUNTA(生物种群!$F:$F)),MATCH($I441,生物种群!$B$3:INDEX(生物种群!$B:$B,COUNTA(生物种群!$B:$B)),),))</f>
        <v/>
      </c>
      <c r="M441" s="37" t="str">
        <f t="shared" si="12"/>
        <v/>
      </c>
      <c r="N441" s="37" t="str">
        <f t="shared" si="13"/>
        <v/>
      </c>
      <c r="O441" s="9"/>
      <c r="P441" s="10"/>
    </row>
    <row r="442" spans="1:16" ht="20.1" customHeight="1">
      <c r="A442" s="9"/>
      <c r="B442" s="9"/>
      <c r="C442" s="9"/>
      <c r="D442" s="43"/>
      <c r="E442" s="9"/>
      <c r="F442" s="9"/>
      <c r="G442" s="47" t="str">
        <f>IF(F442="","",INDEX(站位样品信息!$B$3:INDEX(站位样品信息!$B:$B,COUNTA(站位样品信息!$B:$B)+1),MATCH($F442,站位样品信息!$A$3:INDEX(站位样品信息!$A:$A,COUNTA(站位样品信息!$A:$A)+1),),))</f>
        <v/>
      </c>
      <c r="H442" s="37" t="str">
        <f>IF(A442&amp;B442&amp;C442="","",INDEX(生物种群!$A$2:INDEX(生物种群!$A:$A,COUNTA(生物种群!$A:$A)),MATCH($I442,生物种群!$B$2:INDEX(生物种群!$B:$B,COUNTA(生物种群!$B:$B)),),))</f>
        <v/>
      </c>
      <c r="I442" s="37" t="str">
        <f>IF(A442&amp;B442&amp;C442="","",IF($C442&lt;&gt;0,INDEX(生物种群!$B$2:INDEX(生物种群!$B:$B,COUNTA(生物种群!$B:$B)),MATCH($C442,生物种群!$G$2:INDEX(生物种群!$G:$G,COUNTA(生物种群!$G:$G)),),),IF($A442&lt;&gt;0,INDEX(生物种群!$B$2:INDEX(生物种群!$B:$B,COUNTA(生物种群!$B:$B)),MATCH($A442,生物种群!$C$2:INDEX(生物种群!$C:$C,COUNTA(生物种群!$C:$C)),),),INDEX(生物种群!$B$2:INDEX(生物种群!$B:$B,COUNTA(生物种群!$B:$B)),MATCH($B442,生物种群!$D$2:INDEX(生物种群!$D:$D,COUNTA(生物种群!$D:$D)),),))))</f>
        <v/>
      </c>
      <c r="J442" s="37" t="str">
        <f>IF(A442&amp;B442&amp;C442="","",INDEX(生物种群!$J$2:INDEX(生物种群!$J:$J,COUNTA(生物种群!$J:$J)),MATCH($I442,生物种群!$B$2:INDEX(生物种群!$B:$B,COUNTA(生物种群!$B:$B)),),))</f>
        <v/>
      </c>
      <c r="K442" s="37" t="str">
        <f>IF(A442&amp;B442&amp;C442="","",INDEX(生物种群!$E$2:INDEX(生物种群!$E:$E,COUNTA(生物种群!$E:$E)),MATCH($I442,生物种群!$B$2:INDEX(生物种群!$B:$B,COUNTA(生物种群!$B:$B)),),))</f>
        <v/>
      </c>
      <c r="L442" s="37" t="str">
        <f>IF(A442&amp;B442&amp;C442="","",INDEX(生物种群!$F$3:INDEX(生物种群!$F:$F,COUNTA(生物种群!$F:$F)),MATCH($I442,生物种群!$B$3:INDEX(生物种群!$B:$B,COUNTA(生物种群!$B:$B)),),))</f>
        <v/>
      </c>
      <c r="M442" s="37" t="str">
        <f t="shared" si="12"/>
        <v/>
      </c>
      <c r="N442" s="37" t="str">
        <f t="shared" si="13"/>
        <v/>
      </c>
      <c r="O442" s="9"/>
      <c r="P442" s="10"/>
    </row>
    <row r="443" spans="1:16" ht="20.1" customHeight="1">
      <c r="A443" s="9"/>
      <c r="B443" s="9"/>
      <c r="C443" s="9"/>
      <c r="D443" s="43"/>
      <c r="E443" s="9"/>
      <c r="F443" s="9"/>
      <c r="G443" s="47" t="str">
        <f>IF(F443="","",INDEX(站位样品信息!$B$3:INDEX(站位样品信息!$B:$B,COUNTA(站位样品信息!$B:$B)+1),MATCH($F443,站位样品信息!$A$3:INDEX(站位样品信息!$A:$A,COUNTA(站位样品信息!$A:$A)+1),),))</f>
        <v/>
      </c>
      <c r="H443" s="37" t="str">
        <f>IF(A443&amp;B443&amp;C443="","",INDEX(生物种群!$A$2:INDEX(生物种群!$A:$A,COUNTA(生物种群!$A:$A)),MATCH($I443,生物种群!$B$2:INDEX(生物种群!$B:$B,COUNTA(生物种群!$B:$B)),),))</f>
        <v/>
      </c>
      <c r="I443" s="37" t="str">
        <f>IF(A443&amp;B443&amp;C443="","",IF($C443&lt;&gt;0,INDEX(生物种群!$B$2:INDEX(生物种群!$B:$B,COUNTA(生物种群!$B:$B)),MATCH($C443,生物种群!$G$2:INDEX(生物种群!$G:$G,COUNTA(生物种群!$G:$G)),),),IF($A443&lt;&gt;0,INDEX(生物种群!$B$2:INDEX(生物种群!$B:$B,COUNTA(生物种群!$B:$B)),MATCH($A443,生物种群!$C$2:INDEX(生物种群!$C:$C,COUNTA(生物种群!$C:$C)),),),INDEX(生物种群!$B$2:INDEX(生物种群!$B:$B,COUNTA(生物种群!$B:$B)),MATCH($B443,生物种群!$D$2:INDEX(生物种群!$D:$D,COUNTA(生物种群!$D:$D)),),))))</f>
        <v/>
      </c>
      <c r="J443" s="37" t="str">
        <f>IF(A443&amp;B443&amp;C443="","",INDEX(生物种群!$J$2:INDEX(生物种群!$J:$J,COUNTA(生物种群!$J:$J)),MATCH($I443,生物种群!$B$2:INDEX(生物种群!$B:$B,COUNTA(生物种群!$B:$B)),),))</f>
        <v/>
      </c>
      <c r="K443" s="37" t="str">
        <f>IF(A443&amp;B443&amp;C443="","",INDEX(生物种群!$E$2:INDEX(生物种群!$E:$E,COUNTA(生物种群!$E:$E)),MATCH($I443,生物种群!$B$2:INDEX(生物种群!$B:$B,COUNTA(生物种群!$B:$B)),),))</f>
        <v/>
      </c>
      <c r="L443" s="37" t="str">
        <f>IF(A443&amp;B443&amp;C443="","",INDEX(生物种群!$F$3:INDEX(生物种群!$F:$F,COUNTA(生物种群!$F:$F)),MATCH($I443,生物种群!$B$3:INDEX(生物种群!$B:$B,COUNTA(生物种群!$B:$B)),),))</f>
        <v/>
      </c>
      <c r="M443" s="37" t="str">
        <f t="shared" si="12"/>
        <v/>
      </c>
      <c r="N443" s="37" t="str">
        <f t="shared" si="13"/>
        <v/>
      </c>
      <c r="O443" s="9"/>
      <c r="P443" s="10"/>
    </row>
    <row r="444" spans="1:16" ht="20.1" customHeight="1">
      <c r="A444" s="9"/>
      <c r="B444" s="9"/>
      <c r="C444" s="9"/>
      <c r="D444" s="43"/>
      <c r="E444" s="9"/>
      <c r="F444" s="9"/>
      <c r="G444" s="47" t="str">
        <f>IF(F444="","",INDEX(站位样品信息!$B$3:INDEX(站位样品信息!$B:$B,COUNTA(站位样品信息!$B:$B)+1),MATCH($F444,站位样品信息!$A$3:INDEX(站位样品信息!$A:$A,COUNTA(站位样品信息!$A:$A)+1),),))</f>
        <v/>
      </c>
      <c r="H444" s="37" t="str">
        <f>IF(A444&amp;B444&amp;C444="","",INDEX(生物种群!$A$2:INDEX(生物种群!$A:$A,COUNTA(生物种群!$A:$A)),MATCH($I444,生物种群!$B$2:INDEX(生物种群!$B:$B,COUNTA(生物种群!$B:$B)),),))</f>
        <v/>
      </c>
      <c r="I444" s="37" t="str">
        <f>IF(A444&amp;B444&amp;C444="","",IF($C444&lt;&gt;0,INDEX(生物种群!$B$2:INDEX(生物种群!$B:$B,COUNTA(生物种群!$B:$B)),MATCH($C444,生物种群!$G$2:INDEX(生物种群!$G:$G,COUNTA(生物种群!$G:$G)),),),IF($A444&lt;&gt;0,INDEX(生物种群!$B$2:INDEX(生物种群!$B:$B,COUNTA(生物种群!$B:$B)),MATCH($A444,生物种群!$C$2:INDEX(生物种群!$C:$C,COUNTA(生物种群!$C:$C)),),),INDEX(生物种群!$B$2:INDEX(生物种群!$B:$B,COUNTA(生物种群!$B:$B)),MATCH($B444,生物种群!$D$2:INDEX(生物种群!$D:$D,COUNTA(生物种群!$D:$D)),),))))</f>
        <v/>
      </c>
      <c r="J444" s="37" t="str">
        <f>IF(A444&amp;B444&amp;C444="","",INDEX(生物种群!$J$2:INDEX(生物种群!$J:$J,COUNTA(生物种群!$J:$J)),MATCH($I444,生物种群!$B$2:INDEX(生物种群!$B:$B,COUNTA(生物种群!$B:$B)),),))</f>
        <v/>
      </c>
      <c r="K444" s="37" t="str">
        <f>IF(A444&amp;B444&amp;C444="","",INDEX(生物种群!$E$2:INDEX(生物种群!$E:$E,COUNTA(生物种群!$E:$E)),MATCH($I444,生物种群!$B$2:INDEX(生物种群!$B:$B,COUNTA(生物种群!$B:$B)),),))</f>
        <v/>
      </c>
      <c r="L444" s="37" t="str">
        <f>IF(A444&amp;B444&amp;C444="","",INDEX(生物种群!$F$3:INDEX(生物种群!$F:$F,COUNTA(生物种群!$F:$F)),MATCH($I444,生物种群!$B$3:INDEX(生物种群!$B:$B,COUNTA(生物种群!$B:$B)),),))</f>
        <v/>
      </c>
      <c r="M444" s="37" t="str">
        <f t="shared" si="12"/>
        <v/>
      </c>
      <c r="N444" s="37" t="str">
        <f t="shared" si="13"/>
        <v/>
      </c>
      <c r="O444" s="9"/>
      <c r="P444" s="10"/>
    </row>
    <row r="445" spans="1:16" ht="20.1" customHeight="1">
      <c r="A445" s="9"/>
      <c r="B445" s="9"/>
      <c r="C445" s="9"/>
      <c r="D445" s="43"/>
      <c r="E445" s="9"/>
      <c r="F445" s="9"/>
      <c r="G445" s="47" t="str">
        <f>IF(F445="","",INDEX(站位样品信息!$B$3:INDEX(站位样品信息!$B:$B,COUNTA(站位样品信息!$B:$B)+1),MATCH($F445,站位样品信息!$A$3:INDEX(站位样品信息!$A:$A,COUNTA(站位样品信息!$A:$A)+1),),))</f>
        <v/>
      </c>
      <c r="H445" s="37" t="str">
        <f>IF(A445&amp;B445&amp;C445="","",INDEX(生物种群!$A$2:INDEX(生物种群!$A:$A,COUNTA(生物种群!$A:$A)),MATCH($I445,生物种群!$B$2:INDEX(生物种群!$B:$B,COUNTA(生物种群!$B:$B)),),))</f>
        <v/>
      </c>
      <c r="I445" s="37" t="str">
        <f>IF(A445&amp;B445&amp;C445="","",IF($C445&lt;&gt;0,INDEX(生物种群!$B$2:INDEX(生物种群!$B:$B,COUNTA(生物种群!$B:$B)),MATCH($C445,生物种群!$G$2:INDEX(生物种群!$G:$G,COUNTA(生物种群!$G:$G)),),),IF($A445&lt;&gt;0,INDEX(生物种群!$B$2:INDEX(生物种群!$B:$B,COUNTA(生物种群!$B:$B)),MATCH($A445,生物种群!$C$2:INDEX(生物种群!$C:$C,COUNTA(生物种群!$C:$C)),),),INDEX(生物种群!$B$2:INDEX(生物种群!$B:$B,COUNTA(生物种群!$B:$B)),MATCH($B445,生物种群!$D$2:INDEX(生物种群!$D:$D,COUNTA(生物种群!$D:$D)),),))))</f>
        <v/>
      </c>
      <c r="J445" s="37" t="str">
        <f>IF(A445&amp;B445&amp;C445="","",INDEX(生物种群!$J$2:INDEX(生物种群!$J:$J,COUNTA(生物种群!$J:$J)),MATCH($I445,生物种群!$B$2:INDEX(生物种群!$B:$B,COUNTA(生物种群!$B:$B)),),))</f>
        <v/>
      </c>
      <c r="K445" s="37" t="str">
        <f>IF(A445&amp;B445&amp;C445="","",INDEX(生物种群!$E$2:INDEX(生物种群!$E:$E,COUNTA(生物种群!$E:$E)),MATCH($I445,生物种群!$B$2:INDEX(生物种群!$B:$B,COUNTA(生物种群!$B:$B)),),))</f>
        <v/>
      </c>
      <c r="L445" s="37" t="str">
        <f>IF(A445&amp;B445&amp;C445="","",INDEX(生物种群!$F$3:INDEX(生物种群!$F:$F,COUNTA(生物种群!$F:$F)),MATCH($I445,生物种群!$B$3:INDEX(生物种群!$B:$B,COUNTA(生物种群!$B:$B)),),))</f>
        <v/>
      </c>
      <c r="M445" s="37" t="str">
        <f t="shared" si="12"/>
        <v/>
      </c>
      <c r="N445" s="37" t="str">
        <f t="shared" si="13"/>
        <v/>
      </c>
      <c r="O445" s="9"/>
      <c r="P445" s="10"/>
    </row>
    <row r="446" spans="1:16" ht="20.1" customHeight="1">
      <c r="A446" s="9"/>
      <c r="B446" s="9"/>
      <c r="C446" s="9"/>
      <c r="D446" s="43"/>
      <c r="E446" s="9"/>
      <c r="F446" s="9"/>
      <c r="G446" s="47" t="str">
        <f>IF(F446="","",INDEX(站位样品信息!$B$3:INDEX(站位样品信息!$B:$B,COUNTA(站位样品信息!$B:$B)+1),MATCH($F446,站位样品信息!$A$3:INDEX(站位样品信息!$A:$A,COUNTA(站位样品信息!$A:$A)+1),),))</f>
        <v/>
      </c>
      <c r="H446" s="37" t="str">
        <f>IF(A446&amp;B446&amp;C446="","",INDEX(生物种群!$A$2:INDEX(生物种群!$A:$A,COUNTA(生物种群!$A:$A)),MATCH($I446,生物种群!$B$2:INDEX(生物种群!$B:$B,COUNTA(生物种群!$B:$B)),),))</f>
        <v/>
      </c>
      <c r="I446" s="37" t="str">
        <f>IF(A446&amp;B446&amp;C446="","",IF($C446&lt;&gt;0,INDEX(生物种群!$B$2:INDEX(生物种群!$B:$B,COUNTA(生物种群!$B:$B)),MATCH($C446,生物种群!$G$2:INDEX(生物种群!$G:$G,COUNTA(生物种群!$G:$G)),),),IF($A446&lt;&gt;0,INDEX(生物种群!$B$2:INDEX(生物种群!$B:$B,COUNTA(生物种群!$B:$B)),MATCH($A446,生物种群!$C$2:INDEX(生物种群!$C:$C,COUNTA(生物种群!$C:$C)),),),INDEX(生物种群!$B$2:INDEX(生物种群!$B:$B,COUNTA(生物种群!$B:$B)),MATCH($B446,生物种群!$D$2:INDEX(生物种群!$D:$D,COUNTA(生物种群!$D:$D)),),))))</f>
        <v/>
      </c>
      <c r="J446" s="37" t="str">
        <f>IF(A446&amp;B446&amp;C446="","",INDEX(生物种群!$J$2:INDEX(生物种群!$J:$J,COUNTA(生物种群!$J:$J)),MATCH($I446,生物种群!$B$2:INDEX(生物种群!$B:$B,COUNTA(生物种群!$B:$B)),),))</f>
        <v/>
      </c>
      <c r="K446" s="37" t="str">
        <f>IF(A446&amp;B446&amp;C446="","",INDEX(生物种群!$E$2:INDEX(生物种群!$E:$E,COUNTA(生物种群!$E:$E)),MATCH($I446,生物种群!$B$2:INDEX(生物种群!$B:$B,COUNTA(生物种群!$B:$B)),),))</f>
        <v/>
      </c>
      <c r="L446" s="37" t="str">
        <f>IF(A446&amp;B446&amp;C446="","",INDEX(生物种群!$F$3:INDEX(生物种群!$F:$F,COUNTA(生物种群!$F:$F)),MATCH($I446,生物种群!$B$3:INDEX(生物种群!$B:$B,COUNTA(生物种群!$B:$B)),),))</f>
        <v/>
      </c>
      <c r="M446" s="37" t="str">
        <f t="shared" si="12"/>
        <v/>
      </c>
      <c r="N446" s="37" t="str">
        <f t="shared" si="13"/>
        <v/>
      </c>
      <c r="O446" s="9"/>
      <c r="P446" s="10"/>
    </row>
    <row r="447" spans="1:16" ht="20.1" customHeight="1">
      <c r="A447" s="9"/>
      <c r="B447" s="9"/>
      <c r="C447" s="9"/>
      <c r="D447" s="43"/>
      <c r="E447" s="9"/>
      <c r="F447" s="9"/>
      <c r="G447" s="47" t="str">
        <f>IF(F447="","",INDEX(站位样品信息!$B$3:INDEX(站位样品信息!$B:$B,COUNTA(站位样品信息!$B:$B)+1),MATCH($F447,站位样品信息!$A$3:INDEX(站位样品信息!$A:$A,COUNTA(站位样品信息!$A:$A)+1),),))</f>
        <v/>
      </c>
      <c r="H447" s="37" t="str">
        <f>IF(A447&amp;B447&amp;C447="","",INDEX(生物种群!$A$2:INDEX(生物种群!$A:$A,COUNTA(生物种群!$A:$A)),MATCH($I447,生物种群!$B$2:INDEX(生物种群!$B:$B,COUNTA(生物种群!$B:$B)),),))</f>
        <v/>
      </c>
      <c r="I447" s="37" t="str">
        <f>IF(A447&amp;B447&amp;C447="","",IF($C447&lt;&gt;0,INDEX(生物种群!$B$2:INDEX(生物种群!$B:$B,COUNTA(生物种群!$B:$B)),MATCH($C447,生物种群!$G$2:INDEX(生物种群!$G:$G,COUNTA(生物种群!$G:$G)),),),IF($A447&lt;&gt;0,INDEX(生物种群!$B$2:INDEX(生物种群!$B:$B,COUNTA(生物种群!$B:$B)),MATCH($A447,生物种群!$C$2:INDEX(生物种群!$C:$C,COUNTA(生物种群!$C:$C)),),),INDEX(生物种群!$B$2:INDEX(生物种群!$B:$B,COUNTA(生物种群!$B:$B)),MATCH($B447,生物种群!$D$2:INDEX(生物种群!$D:$D,COUNTA(生物种群!$D:$D)),),))))</f>
        <v/>
      </c>
      <c r="J447" s="37" t="str">
        <f>IF(A447&amp;B447&amp;C447="","",INDEX(生物种群!$J$2:INDEX(生物种群!$J:$J,COUNTA(生物种群!$J:$J)),MATCH($I447,生物种群!$B$2:INDEX(生物种群!$B:$B,COUNTA(生物种群!$B:$B)),),))</f>
        <v/>
      </c>
      <c r="K447" s="37" t="str">
        <f>IF(A447&amp;B447&amp;C447="","",INDEX(生物种群!$E$2:INDEX(生物种群!$E:$E,COUNTA(生物种群!$E:$E)),MATCH($I447,生物种群!$B$2:INDEX(生物种群!$B:$B,COUNTA(生物种群!$B:$B)),),))</f>
        <v/>
      </c>
      <c r="L447" s="37" t="str">
        <f>IF(A447&amp;B447&amp;C447="","",INDEX(生物种群!$F$3:INDEX(生物种群!$F:$F,COUNTA(生物种群!$F:$F)),MATCH($I447,生物种群!$B$3:INDEX(生物种群!$B:$B,COUNTA(生物种群!$B:$B)),),))</f>
        <v/>
      </c>
      <c r="M447" s="37" t="str">
        <f t="shared" si="12"/>
        <v/>
      </c>
      <c r="N447" s="37" t="str">
        <f t="shared" si="13"/>
        <v/>
      </c>
      <c r="O447" s="9"/>
      <c r="P447" s="10"/>
    </row>
    <row r="448" spans="1:16" ht="20.1" customHeight="1">
      <c r="A448" s="9"/>
      <c r="B448" s="9"/>
      <c r="C448" s="9"/>
      <c r="D448" s="43"/>
      <c r="E448" s="9"/>
      <c r="F448" s="9"/>
      <c r="G448" s="47" t="str">
        <f>IF(F448="","",INDEX(站位样品信息!$B$3:INDEX(站位样品信息!$B:$B,COUNTA(站位样品信息!$B:$B)+1),MATCH($F448,站位样品信息!$A$3:INDEX(站位样品信息!$A:$A,COUNTA(站位样品信息!$A:$A)+1),),))</f>
        <v/>
      </c>
      <c r="H448" s="37" t="str">
        <f>IF(A448&amp;B448&amp;C448="","",INDEX(生物种群!$A$2:INDEX(生物种群!$A:$A,COUNTA(生物种群!$A:$A)),MATCH($I448,生物种群!$B$2:INDEX(生物种群!$B:$B,COUNTA(生物种群!$B:$B)),),))</f>
        <v/>
      </c>
      <c r="I448" s="37" t="str">
        <f>IF(A448&amp;B448&amp;C448="","",IF($C448&lt;&gt;0,INDEX(生物种群!$B$2:INDEX(生物种群!$B:$B,COUNTA(生物种群!$B:$B)),MATCH($C448,生物种群!$G$2:INDEX(生物种群!$G:$G,COUNTA(生物种群!$G:$G)),),),IF($A448&lt;&gt;0,INDEX(生物种群!$B$2:INDEX(生物种群!$B:$B,COUNTA(生物种群!$B:$B)),MATCH($A448,生物种群!$C$2:INDEX(生物种群!$C:$C,COUNTA(生物种群!$C:$C)),),),INDEX(生物种群!$B$2:INDEX(生物种群!$B:$B,COUNTA(生物种群!$B:$B)),MATCH($B448,生物种群!$D$2:INDEX(生物种群!$D:$D,COUNTA(生物种群!$D:$D)),),))))</f>
        <v/>
      </c>
      <c r="J448" s="37" t="str">
        <f>IF(A448&amp;B448&amp;C448="","",INDEX(生物种群!$J$2:INDEX(生物种群!$J:$J,COUNTA(生物种群!$J:$J)),MATCH($I448,生物种群!$B$2:INDEX(生物种群!$B:$B,COUNTA(生物种群!$B:$B)),),))</f>
        <v/>
      </c>
      <c r="K448" s="37" t="str">
        <f>IF(A448&amp;B448&amp;C448="","",INDEX(生物种群!$E$2:INDEX(生物种群!$E:$E,COUNTA(生物种群!$E:$E)),MATCH($I448,生物种群!$B$2:INDEX(生物种群!$B:$B,COUNTA(生物种群!$B:$B)),),))</f>
        <v/>
      </c>
      <c r="L448" s="37" t="str">
        <f>IF(A448&amp;B448&amp;C448="","",INDEX(生物种群!$F$3:INDEX(生物种群!$F:$F,COUNTA(生物种群!$F:$F)),MATCH($I448,生物种群!$B$3:INDEX(生物种群!$B:$B,COUNTA(生物种群!$B:$B)),),))</f>
        <v/>
      </c>
      <c r="M448" s="37" t="str">
        <f t="shared" si="12"/>
        <v/>
      </c>
      <c r="N448" s="37" t="str">
        <f t="shared" si="13"/>
        <v/>
      </c>
      <c r="O448" s="9"/>
      <c r="P448" s="10"/>
    </row>
    <row r="449" spans="1:16" ht="20.1" customHeight="1">
      <c r="A449" s="9"/>
      <c r="B449" s="9"/>
      <c r="C449" s="9"/>
      <c r="D449" s="43"/>
      <c r="E449" s="9"/>
      <c r="F449" s="9"/>
      <c r="G449" s="47" t="str">
        <f>IF(F449="","",INDEX(站位样品信息!$B$3:INDEX(站位样品信息!$B:$B,COUNTA(站位样品信息!$B:$B)+1),MATCH($F449,站位样品信息!$A$3:INDEX(站位样品信息!$A:$A,COUNTA(站位样品信息!$A:$A)+1),),))</f>
        <v/>
      </c>
      <c r="H449" s="37" t="str">
        <f>IF(A449&amp;B449&amp;C449="","",INDEX(生物种群!$A$2:INDEX(生物种群!$A:$A,COUNTA(生物种群!$A:$A)),MATCH($I449,生物种群!$B$2:INDEX(生物种群!$B:$B,COUNTA(生物种群!$B:$B)),),))</f>
        <v/>
      </c>
      <c r="I449" s="37" t="str">
        <f>IF(A449&amp;B449&amp;C449="","",IF($C449&lt;&gt;0,INDEX(生物种群!$B$2:INDEX(生物种群!$B:$B,COUNTA(生物种群!$B:$B)),MATCH($C449,生物种群!$G$2:INDEX(生物种群!$G:$G,COUNTA(生物种群!$G:$G)),),),IF($A449&lt;&gt;0,INDEX(生物种群!$B$2:INDEX(生物种群!$B:$B,COUNTA(生物种群!$B:$B)),MATCH($A449,生物种群!$C$2:INDEX(生物种群!$C:$C,COUNTA(生物种群!$C:$C)),),),INDEX(生物种群!$B$2:INDEX(生物种群!$B:$B,COUNTA(生物种群!$B:$B)),MATCH($B449,生物种群!$D$2:INDEX(生物种群!$D:$D,COUNTA(生物种群!$D:$D)),),))))</f>
        <v/>
      </c>
      <c r="J449" s="37" t="str">
        <f>IF(A449&amp;B449&amp;C449="","",INDEX(生物种群!$J$2:INDEX(生物种群!$J:$J,COUNTA(生物种群!$J:$J)),MATCH($I449,生物种群!$B$2:INDEX(生物种群!$B:$B,COUNTA(生物种群!$B:$B)),),))</f>
        <v/>
      </c>
      <c r="K449" s="37" t="str">
        <f>IF(A449&amp;B449&amp;C449="","",INDEX(生物种群!$E$2:INDEX(生物种群!$E:$E,COUNTA(生物种群!$E:$E)),MATCH($I449,生物种群!$B$2:INDEX(生物种群!$B:$B,COUNTA(生物种群!$B:$B)),),))</f>
        <v/>
      </c>
      <c r="L449" s="37" t="str">
        <f>IF(A449&amp;B449&amp;C449="","",INDEX(生物种群!$F$3:INDEX(生物种群!$F:$F,COUNTA(生物种群!$F:$F)),MATCH($I449,生物种群!$B$3:INDEX(生物种群!$B:$B,COUNTA(生物种群!$B:$B)),),))</f>
        <v/>
      </c>
      <c r="M449" s="37" t="str">
        <f t="shared" si="12"/>
        <v/>
      </c>
      <c r="N449" s="37" t="str">
        <f t="shared" si="13"/>
        <v/>
      </c>
      <c r="O449" s="9"/>
      <c r="P449" s="10"/>
    </row>
    <row r="450" spans="1:16" ht="20.1" customHeight="1">
      <c r="A450" s="9"/>
      <c r="B450" s="9"/>
      <c r="C450" s="9"/>
      <c r="D450" s="43"/>
      <c r="E450" s="9"/>
      <c r="F450" s="9"/>
      <c r="G450" s="47" t="str">
        <f>IF(F450="","",INDEX(站位样品信息!$B$3:INDEX(站位样品信息!$B:$B,COUNTA(站位样品信息!$B:$B)+1),MATCH($F450,站位样品信息!$A$3:INDEX(站位样品信息!$A:$A,COUNTA(站位样品信息!$A:$A)+1),),))</f>
        <v/>
      </c>
      <c r="H450" s="37" t="str">
        <f>IF(A450&amp;B450&amp;C450="","",INDEX(生物种群!$A$2:INDEX(生物种群!$A:$A,COUNTA(生物种群!$A:$A)),MATCH($I450,生物种群!$B$2:INDEX(生物种群!$B:$B,COUNTA(生物种群!$B:$B)),),))</f>
        <v/>
      </c>
      <c r="I450" s="37" t="str">
        <f>IF(A450&amp;B450&amp;C450="","",IF($C450&lt;&gt;0,INDEX(生物种群!$B$2:INDEX(生物种群!$B:$B,COUNTA(生物种群!$B:$B)),MATCH($C450,生物种群!$G$2:INDEX(生物种群!$G:$G,COUNTA(生物种群!$G:$G)),),),IF($A450&lt;&gt;0,INDEX(生物种群!$B$2:INDEX(生物种群!$B:$B,COUNTA(生物种群!$B:$B)),MATCH($A450,生物种群!$C$2:INDEX(生物种群!$C:$C,COUNTA(生物种群!$C:$C)),),),INDEX(生物种群!$B$2:INDEX(生物种群!$B:$B,COUNTA(生物种群!$B:$B)),MATCH($B450,生物种群!$D$2:INDEX(生物种群!$D:$D,COUNTA(生物种群!$D:$D)),),))))</f>
        <v/>
      </c>
      <c r="J450" s="37" t="str">
        <f>IF(A450&amp;B450&amp;C450="","",INDEX(生物种群!$J$2:INDEX(生物种群!$J:$J,COUNTA(生物种群!$J:$J)),MATCH($I450,生物种群!$B$2:INDEX(生物种群!$B:$B,COUNTA(生物种群!$B:$B)),),))</f>
        <v/>
      </c>
      <c r="K450" s="37" t="str">
        <f>IF(A450&amp;B450&amp;C450="","",INDEX(生物种群!$E$2:INDEX(生物种群!$E:$E,COUNTA(生物种群!$E:$E)),MATCH($I450,生物种群!$B$2:INDEX(生物种群!$B:$B,COUNTA(生物种群!$B:$B)),),))</f>
        <v/>
      </c>
      <c r="L450" s="37" t="str">
        <f>IF(A450&amp;B450&amp;C450="","",INDEX(生物种群!$F$3:INDEX(生物种群!$F:$F,COUNTA(生物种群!$F:$F)),MATCH($I450,生物种群!$B$3:INDEX(生物种群!$B:$B,COUNTA(生物种群!$B:$B)),),))</f>
        <v/>
      </c>
      <c r="M450" s="37" t="str">
        <f t="shared" si="12"/>
        <v/>
      </c>
      <c r="N450" s="37" t="str">
        <f t="shared" si="13"/>
        <v/>
      </c>
      <c r="O450" s="9"/>
      <c r="P450" s="10"/>
    </row>
    <row r="451" spans="1:16" ht="20.1" customHeight="1">
      <c r="A451" s="9"/>
      <c r="B451" s="9"/>
      <c r="C451" s="9"/>
      <c r="D451" s="43"/>
      <c r="E451" s="9"/>
      <c r="F451" s="9"/>
      <c r="G451" s="47" t="str">
        <f>IF(F451="","",INDEX(站位样品信息!$B$3:INDEX(站位样品信息!$B:$B,COUNTA(站位样品信息!$B:$B)+1),MATCH($F451,站位样品信息!$A$3:INDEX(站位样品信息!$A:$A,COUNTA(站位样品信息!$A:$A)+1),),))</f>
        <v/>
      </c>
      <c r="H451" s="37" t="str">
        <f>IF(A451&amp;B451&amp;C451="","",INDEX(生物种群!$A$2:INDEX(生物种群!$A:$A,COUNTA(生物种群!$A:$A)),MATCH($I451,生物种群!$B$2:INDEX(生物种群!$B:$B,COUNTA(生物种群!$B:$B)),),))</f>
        <v/>
      </c>
      <c r="I451" s="37" t="str">
        <f>IF(A451&amp;B451&amp;C451="","",IF($C451&lt;&gt;0,INDEX(生物种群!$B$2:INDEX(生物种群!$B:$B,COUNTA(生物种群!$B:$B)),MATCH($C451,生物种群!$G$2:INDEX(生物种群!$G:$G,COUNTA(生物种群!$G:$G)),),),IF($A451&lt;&gt;0,INDEX(生物种群!$B$2:INDEX(生物种群!$B:$B,COUNTA(生物种群!$B:$B)),MATCH($A451,生物种群!$C$2:INDEX(生物种群!$C:$C,COUNTA(生物种群!$C:$C)),),),INDEX(生物种群!$B$2:INDEX(生物种群!$B:$B,COUNTA(生物种群!$B:$B)),MATCH($B451,生物种群!$D$2:INDEX(生物种群!$D:$D,COUNTA(生物种群!$D:$D)),),))))</f>
        <v/>
      </c>
      <c r="J451" s="37" t="str">
        <f>IF(A451&amp;B451&amp;C451="","",INDEX(生物种群!$J$2:INDEX(生物种群!$J:$J,COUNTA(生物种群!$J:$J)),MATCH($I451,生物种群!$B$2:INDEX(生物种群!$B:$B,COUNTA(生物种群!$B:$B)),),))</f>
        <v/>
      </c>
      <c r="K451" s="37" t="str">
        <f>IF(A451&amp;B451&amp;C451="","",INDEX(生物种群!$E$2:INDEX(生物种群!$E:$E,COUNTA(生物种群!$E:$E)),MATCH($I451,生物种群!$B$2:INDEX(生物种群!$B:$B,COUNTA(生物种群!$B:$B)),),))</f>
        <v/>
      </c>
      <c r="L451" s="37" t="str">
        <f>IF(A451&amp;B451&amp;C451="","",INDEX(生物种群!$F$3:INDEX(生物种群!$F:$F,COUNTA(生物种群!$F:$F)),MATCH($I451,生物种群!$B$3:INDEX(生物种群!$B:$B,COUNTA(生物种群!$B:$B)),),))</f>
        <v/>
      </c>
      <c r="M451" s="37" t="str">
        <f t="shared" si="14" ref="M451:M514">IF(F451&gt;0,F451&amp;I451&amp;E451,"")</f>
        <v/>
      </c>
      <c r="N451" s="37" t="str">
        <f t="shared" si="15" ref="N451:N514">IF(COUNTIF($M:$M,M451)=1,"",IF(A451&amp;B451&amp;C451="","","重复"))</f>
        <v/>
      </c>
      <c r="O451" s="9"/>
      <c r="P451" s="10"/>
    </row>
    <row r="452" spans="1:16" ht="20.1" customHeight="1">
      <c r="A452" s="9"/>
      <c r="B452" s="9"/>
      <c r="C452" s="9"/>
      <c r="D452" s="43"/>
      <c r="E452" s="9"/>
      <c r="F452" s="9"/>
      <c r="G452" s="47" t="str">
        <f>IF(F452="","",INDEX(站位样品信息!$B$3:INDEX(站位样品信息!$B:$B,COUNTA(站位样品信息!$B:$B)+1),MATCH($F452,站位样品信息!$A$3:INDEX(站位样品信息!$A:$A,COUNTA(站位样品信息!$A:$A)+1),),))</f>
        <v/>
      </c>
      <c r="H452" s="37" t="str">
        <f>IF(A452&amp;B452&amp;C452="","",INDEX(生物种群!$A$2:INDEX(生物种群!$A:$A,COUNTA(生物种群!$A:$A)),MATCH($I452,生物种群!$B$2:INDEX(生物种群!$B:$B,COUNTA(生物种群!$B:$B)),),))</f>
        <v/>
      </c>
      <c r="I452" s="37" t="str">
        <f>IF(A452&amp;B452&amp;C452="","",IF($C452&lt;&gt;0,INDEX(生物种群!$B$2:INDEX(生物种群!$B:$B,COUNTA(生物种群!$B:$B)),MATCH($C452,生物种群!$G$2:INDEX(生物种群!$G:$G,COUNTA(生物种群!$G:$G)),),),IF($A452&lt;&gt;0,INDEX(生物种群!$B$2:INDEX(生物种群!$B:$B,COUNTA(生物种群!$B:$B)),MATCH($A452,生物种群!$C$2:INDEX(生物种群!$C:$C,COUNTA(生物种群!$C:$C)),),),INDEX(生物种群!$B$2:INDEX(生物种群!$B:$B,COUNTA(生物种群!$B:$B)),MATCH($B452,生物种群!$D$2:INDEX(生物种群!$D:$D,COUNTA(生物种群!$D:$D)),),))))</f>
        <v/>
      </c>
      <c r="J452" s="37" t="str">
        <f>IF(A452&amp;B452&amp;C452="","",INDEX(生物种群!$J$2:INDEX(生物种群!$J:$J,COUNTA(生物种群!$J:$J)),MATCH($I452,生物种群!$B$2:INDEX(生物种群!$B:$B,COUNTA(生物种群!$B:$B)),),))</f>
        <v/>
      </c>
      <c r="K452" s="37" t="str">
        <f>IF(A452&amp;B452&amp;C452="","",INDEX(生物种群!$E$2:INDEX(生物种群!$E:$E,COUNTA(生物种群!$E:$E)),MATCH($I452,生物种群!$B$2:INDEX(生物种群!$B:$B,COUNTA(生物种群!$B:$B)),),))</f>
        <v/>
      </c>
      <c r="L452" s="37" t="str">
        <f>IF(A452&amp;B452&amp;C452="","",INDEX(生物种群!$F$3:INDEX(生物种群!$F:$F,COUNTA(生物种群!$F:$F)),MATCH($I452,生物种群!$B$3:INDEX(生物种群!$B:$B,COUNTA(生物种群!$B:$B)),),))</f>
        <v/>
      </c>
      <c r="M452" s="37" t="str">
        <f t="shared" si="14"/>
        <v/>
      </c>
      <c r="N452" s="37" t="str">
        <f t="shared" si="15"/>
        <v/>
      </c>
      <c r="O452" s="9"/>
      <c r="P452" s="10"/>
    </row>
    <row r="453" spans="1:16" ht="20.1" customHeight="1">
      <c r="A453" s="9"/>
      <c r="B453" s="9"/>
      <c r="C453" s="9"/>
      <c r="D453" s="43"/>
      <c r="E453" s="9"/>
      <c r="F453" s="9"/>
      <c r="G453" s="47" t="str">
        <f>IF(F453="","",INDEX(站位样品信息!$B$3:INDEX(站位样品信息!$B:$B,COUNTA(站位样品信息!$B:$B)+1),MATCH($F453,站位样品信息!$A$3:INDEX(站位样品信息!$A:$A,COUNTA(站位样品信息!$A:$A)+1),),))</f>
        <v/>
      </c>
      <c r="H453" s="37" t="str">
        <f>IF(A453&amp;B453&amp;C453="","",INDEX(生物种群!$A$2:INDEX(生物种群!$A:$A,COUNTA(生物种群!$A:$A)),MATCH($I453,生物种群!$B$2:INDEX(生物种群!$B:$B,COUNTA(生物种群!$B:$B)),),))</f>
        <v/>
      </c>
      <c r="I453" s="37" t="str">
        <f>IF(A453&amp;B453&amp;C453="","",IF($C453&lt;&gt;0,INDEX(生物种群!$B$2:INDEX(生物种群!$B:$B,COUNTA(生物种群!$B:$B)),MATCH($C453,生物种群!$G$2:INDEX(生物种群!$G:$G,COUNTA(生物种群!$G:$G)),),),IF($A453&lt;&gt;0,INDEX(生物种群!$B$2:INDEX(生物种群!$B:$B,COUNTA(生物种群!$B:$B)),MATCH($A453,生物种群!$C$2:INDEX(生物种群!$C:$C,COUNTA(生物种群!$C:$C)),),),INDEX(生物种群!$B$2:INDEX(生物种群!$B:$B,COUNTA(生物种群!$B:$B)),MATCH($B453,生物种群!$D$2:INDEX(生物种群!$D:$D,COUNTA(生物种群!$D:$D)),),))))</f>
        <v/>
      </c>
      <c r="J453" s="37" t="str">
        <f>IF(A453&amp;B453&amp;C453="","",INDEX(生物种群!$J$2:INDEX(生物种群!$J:$J,COUNTA(生物种群!$J:$J)),MATCH($I453,生物种群!$B$2:INDEX(生物种群!$B:$B,COUNTA(生物种群!$B:$B)),),))</f>
        <v/>
      </c>
      <c r="K453" s="37" t="str">
        <f>IF(A453&amp;B453&amp;C453="","",INDEX(生物种群!$E$2:INDEX(生物种群!$E:$E,COUNTA(生物种群!$E:$E)),MATCH($I453,生物种群!$B$2:INDEX(生物种群!$B:$B,COUNTA(生物种群!$B:$B)),),))</f>
        <v/>
      </c>
      <c r="L453" s="37" t="str">
        <f>IF(A453&amp;B453&amp;C453="","",INDEX(生物种群!$F$3:INDEX(生物种群!$F:$F,COUNTA(生物种群!$F:$F)),MATCH($I453,生物种群!$B$3:INDEX(生物种群!$B:$B,COUNTA(生物种群!$B:$B)),),))</f>
        <v/>
      </c>
      <c r="M453" s="37" t="str">
        <f t="shared" si="14"/>
        <v/>
      </c>
      <c r="N453" s="37" t="str">
        <f t="shared" si="15"/>
        <v/>
      </c>
      <c r="O453" s="9"/>
      <c r="P453" s="10"/>
    </row>
    <row r="454" spans="1:16" ht="20.1" customHeight="1">
      <c r="A454" s="9"/>
      <c r="B454" s="9"/>
      <c r="C454" s="9"/>
      <c r="D454" s="43"/>
      <c r="E454" s="9"/>
      <c r="F454" s="9"/>
      <c r="G454" s="47" t="str">
        <f>IF(F454="","",INDEX(站位样品信息!$B$3:INDEX(站位样品信息!$B:$B,COUNTA(站位样品信息!$B:$B)+1),MATCH($F454,站位样品信息!$A$3:INDEX(站位样品信息!$A:$A,COUNTA(站位样品信息!$A:$A)+1),),))</f>
        <v/>
      </c>
      <c r="H454" s="37" t="str">
        <f>IF(A454&amp;B454&amp;C454="","",INDEX(生物种群!$A$2:INDEX(生物种群!$A:$A,COUNTA(生物种群!$A:$A)),MATCH($I454,生物种群!$B$2:INDEX(生物种群!$B:$B,COUNTA(生物种群!$B:$B)),),))</f>
        <v/>
      </c>
      <c r="I454" s="37" t="str">
        <f>IF(A454&amp;B454&amp;C454="","",IF($C454&lt;&gt;0,INDEX(生物种群!$B$2:INDEX(生物种群!$B:$B,COUNTA(生物种群!$B:$B)),MATCH($C454,生物种群!$G$2:INDEX(生物种群!$G:$G,COUNTA(生物种群!$G:$G)),),),IF($A454&lt;&gt;0,INDEX(生物种群!$B$2:INDEX(生物种群!$B:$B,COUNTA(生物种群!$B:$B)),MATCH($A454,生物种群!$C$2:INDEX(生物种群!$C:$C,COUNTA(生物种群!$C:$C)),),),INDEX(生物种群!$B$2:INDEX(生物种群!$B:$B,COUNTA(生物种群!$B:$B)),MATCH($B454,生物种群!$D$2:INDEX(生物种群!$D:$D,COUNTA(生物种群!$D:$D)),),))))</f>
        <v/>
      </c>
      <c r="J454" s="37" t="str">
        <f>IF(A454&amp;B454&amp;C454="","",INDEX(生物种群!$J$2:INDEX(生物种群!$J:$J,COUNTA(生物种群!$J:$J)),MATCH($I454,生物种群!$B$2:INDEX(生物种群!$B:$B,COUNTA(生物种群!$B:$B)),),))</f>
        <v/>
      </c>
      <c r="K454" s="37" t="str">
        <f>IF(A454&amp;B454&amp;C454="","",INDEX(生物种群!$E$2:INDEX(生物种群!$E:$E,COUNTA(生物种群!$E:$E)),MATCH($I454,生物种群!$B$2:INDEX(生物种群!$B:$B,COUNTA(生物种群!$B:$B)),),))</f>
        <v/>
      </c>
      <c r="L454" s="37" t="str">
        <f>IF(A454&amp;B454&amp;C454="","",INDEX(生物种群!$F$3:INDEX(生物种群!$F:$F,COUNTA(生物种群!$F:$F)),MATCH($I454,生物种群!$B$3:INDEX(生物种群!$B:$B,COUNTA(生物种群!$B:$B)),),))</f>
        <v/>
      </c>
      <c r="M454" s="37" t="str">
        <f t="shared" si="14"/>
        <v/>
      </c>
      <c r="N454" s="37" t="str">
        <f t="shared" si="15"/>
        <v/>
      </c>
      <c r="O454" s="9"/>
      <c r="P454" s="10"/>
    </row>
    <row r="455" spans="1:16" ht="20.1" customHeight="1">
      <c r="A455" s="9"/>
      <c r="B455" s="9"/>
      <c r="C455" s="9"/>
      <c r="D455" s="43"/>
      <c r="E455" s="9"/>
      <c r="F455" s="9"/>
      <c r="G455" s="47" t="str">
        <f>IF(F455="","",INDEX(站位样品信息!$B$3:INDEX(站位样品信息!$B:$B,COUNTA(站位样品信息!$B:$B)+1),MATCH($F455,站位样品信息!$A$3:INDEX(站位样品信息!$A:$A,COUNTA(站位样品信息!$A:$A)+1),),))</f>
        <v/>
      </c>
      <c r="H455" s="37" t="str">
        <f>IF(A455&amp;B455&amp;C455="","",INDEX(生物种群!$A$2:INDEX(生物种群!$A:$A,COUNTA(生物种群!$A:$A)),MATCH($I455,生物种群!$B$2:INDEX(生物种群!$B:$B,COUNTA(生物种群!$B:$B)),),))</f>
        <v/>
      </c>
      <c r="I455" s="37" t="str">
        <f>IF(A455&amp;B455&amp;C455="","",IF($C455&lt;&gt;0,INDEX(生物种群!$B$2:INDEX(生物种群!$B:$B,COUNTA(生物种群!$B:$B)),MATCH($C455,生物种群!$G$2:INDEX(生物种群!$G:$G,COUNTA(生物种群!$G:$G)),),),IF($A455&lt;&gt;0,INDEX(生物种群!$B$2:INDEX(生物种群!$B:$B,COUNTA(生物种群!$B:$B)),MATCH($A455,生物种群!$C$2:INDEX(生物种群!$C:$C,COUNTA(生物种群!$C:$C)),),),INDEX(生物种群!$B$2:INDEX(生物种群!$B:$B,COUNTA(生物种群!$B:$B)),MATCH($B455,生物种群!$D$2:INDEX(生物种群!$D:$D,COUNTA(生物种群!$D:$D)),),))))</f>
        <v/>
      </c>
      <c r="J455" s="37" t="str">
        <f>IF(A455&amp;B455&amp;C455="","",INDEX(生物种群!$J$2:INDEX(生物种群!$J:$J,COUNTA(生物种群!$J:$J)),MATCH($I455,生物种群!$B$2:INDEX(生物种群!$B:$B,COUNTA(生物种群!$B:$B)),),))</f>
        <v/>
      </c>
      <c r="K455" s="37" t="str">
        <f>IF(A455&amp;B455&amp;C455="","",INDEX(生物种群!$E$2:INDEX(生物种群!$E:$E,COUNTA(生物种群!$E:$E)),MATCH($I455,生物种群!$B$2:INDEX(生物种群!$B:$B,COUNTA(生物种群!$B:$B)),),))</f>
        <v/>
      </c>
      <c r="L455" s="37" t="str">
        <f>IF(A455&amp;B455&amp;C455="","",INDEX(生物种群!$F$3:INDEX(生物种群!$F:$F,COUNTA(生物种群!$F:$F)),MATCH($I455,生物种群!$B$3:INDEX(生物种群!$B:$B,COUNTA(生物种群!$B:$B)),),))</f>
        <v/>
      </c>
      <c r="M455" s="37" t="str">
        <f t="shared" si="14"/>
        <v/>
      </c>
      <c r="N455" s="37" t="str">
        <f t="shared" si="15"/>
        <v/>
      </c>
      <c r="O455" s="9"/>
      <c r="P455" s="10"/>
    </row>
    <row r="456" spans="1:16" ht="20.1" customHeight="1">
      <c r="A456" s="9"/>
      <c r="B456" s="9"/>
      <c r="C456" s="9"/>
      <c r="D456" s="43"/>
      <c r="E456" s="9"/>
      <c r="F456" s="9"/>
      <c r="G456" s="47" t="str">
        <f>IF(F456="","",INDEX(站位样品信息!$B$3:INDEX(站位样品信息!$B:$B,COUNTA(站位样品信息!$B:$B)+1),MATCH($F456,站位样品信息!$A$3:INDEX(站位样品信息!$A:$A,COUNTA(站位样品信息!$A:$A)+1),),))</f>
        <v/>
      </c>
      <c r="H456" s="37" t="str">
        <f>IF(A456&amp;B456&amp;C456="","",INDEX(生物种群!$A$2:INDEX(生物种群!$A:$A,COUNTA(生物种群!$A:$A)),MATCH($I456,生物种群!$B$2:INDEX(生物种群!$B:$B,COUNTA(生物种群!$B:$B)),),))</f>
        <v/>
      </c>
      <c r="I456" s="37" t="str">
        <f>IF(A456&amp;B456&amp;C456="","",IF($C456&lt;&gt;0,INDEX(生物种群!$B$2:INDEX(生物种群!$B:$B,COUNTA(生物种群!$B:$B)),MATCH($C456,生物种群!$G$2:INDEX(生物种群!$G:$G,COUNTA(生物种群!$G:$G)),),),IF($A456&lt;&gt;0,INDEX(生物种群!$B$2:INDEX(生物种群!$B:$B,COUNTA(生物种群!$B:$B)),MATCH($A456,生物种群!$C$2:INDEX(生物种群!$C:$C,COUNTA(生物种群!$C:$C)),),),INDEX(生物种群!$B$2:INDEX(生物种群!$B:$B,COUNTA(生物种群!$B:$B)),MATCH($B456,生物种群!$D$2:INDEX(生物种群!$D:$D,COUNTA(生物种群!$D:$D)),),))))</f>
        <v/>
      </c>
      <c r="J456" s="37" t="str">
        <f>IF(A456&amp;B456&amp;C456="","",INDEX(生物种群!$J$2:INDEX(生物种群!$J:$J,COUNTA(生物种群!$J:$J)),MATCH($I456,生物种群!$B$2:INDEX(生物种群!$B:$B,COUNTA(生物种群!$B:$B)),),))</f>
        <v/>
      </c>
      <c r="K456" s="37" t="str">
        <f>IF(A456&amp;B456&amp;C456="","",INDEX(生物种群!$E$2:INDEX(生物种群!$E:$E,COUNTA(生物种群!$E:$E)),MATCH($I456,生物种群!$B$2:INDEX(生物种群!$B:$B,COUNTA(生物种群!$B:$B)),),))</f>
        <v/>
      </c>
      <c r="L456" s="37" t="str">
        <f>IF(A456&amp;B456&amp;C456="","",INDEX(生物种群!$F$3:INDEX(生物种群!$F:$F,COUNTA(生物种群!$F:$F)),MATCH($I456,生物种群!$B$3:INDEX(生物种群!$B:$B,COUNTA(生物种群!$B:$B)),),))</f>
        <v/>
      </c>
      <c r="M456" s="37" t="str">
        <f t="shared" si="14"/>
        <v/>
      </c>
      <c r="N456" s="37" t="str">
        <f t="shared" si="15"/>
        <v/>
      </c>
      <c r="O456" s="9"/>
      <c r="P456" s="10"/>
    </row>
    <row r="457" spans="1:16" ht="20.1" customHeight="1">
      <c r="A457" s="9"/>
      <c r="B457" s="9"/>
      <c r="C457" s="9"/>
      <c r="D457" s="43"/>
      <c r="E457" s="9"/>
      <c r="F457" s="9"/>
      <c r="G457" s="47" t="str">
        <f>IF(F457="","",INDEX(站位样品信息!$B$3:INDEX(站位样品信息!$B:$B,COUNTA(站位样品信息!$B:$B)+1),MATCH($F457,站位样品信息!$A$3:INDEX(站位样品信息!$A:$A,COUNTA(站位样品信息!$A:$A)+1),),))</f>
        <v/>
      </c>
      <c r="H457" s="37" t="str">
        <f>IF(A457&amp;B457&amp;C457="","",INDEX(生物种群!$A$2:INDEX(生物种群!$A:$A,COUNTA(生物种群!$A:$A)),MATCH($I457,生物种群!$B$2:INDEX(生物种群!$B:$B,COUNTA(生物种群!$B:$B)),),))</f>
        <v/>
      </c>
      <c r="I457" s="37" t="str">
        <f>IF(A457&amp;B457&amp;C457="","",IF($C457&lt;&gt;0,INDEX(生物种群!$B$2:INDEX(生物种群!$B:$B,COUNTA(生物种群!$B:$B)),MATCH($C457,生物种群!$G$2:INDEX(生物种群!$G:$G,COUNTA(生物种群!$G:$G)),),),IF($A457&lt;&gt;0,INDEX(生物种群!$B$2:INDEX(生物种群!$B:$B,COUNTA(生物种群!$B:$B)),MATCH($A457,生物种群!$C$2:INDEX(生物种群!$C:$C,COUNTA(生物种群!$C:$C)),),),INDEX(生物种群!$B$2:INDEX(生物种群!$B:$B,COUNTA(生物种群!$B:$B)),MATCH($B457,生物种群!$D$2:INDEX(生物种群!$D:$D,COUNTA(生物种群!$D:$D)),),))))</f>
        <v/>
      </c>
      <c r="J457" s="37" t="str">
        <f>IF(A457&amp;B457&amp;C457="","",INDEX(生物种群!$J$2:INDEX(生物种群!$J:$J,COUNTA(生物种群!$J:$J)),MATCH($I457,生物种群!$B$2:INDEX(生物种群!$B:$B,COUNTA(生物种群!$B:$B)),),))</f>
        <v/>
      </c>
      <c r="K457" s="37" t="str">
        <f>IF(A457&amp;B457&amp;C457="","",INDEX(生物种群!$E$2:INDEX(生物种群!$E:$E,COUNTA(生物种群!$E:$E)),MATCH($I457,生物种群!$B$2:INDEX(生物种群!$B:$B,COUNTA(生物种群!$B:$B)),),))</f>
        <v/>
      </c>
      <c r="L457" s="37" t="str">
        <f>IF(A457&amp;B457&amp;C457="","",INDEX(生物种群!$F$3:INDEX(生物种群!$F:$F,COUNTA(生物种群!$F:$F)),MATCH($I457,生物种群!$B$3:INDEX(生物种群!$B:$B,COUNTA(生物种群!$B:$B)),),))</f>
        <v/>
      </c>
      <c r="M457" s="37" t="str">
        <f t="shared" si="14"/>
        <v/>
      </c>
      <c r="N457" s="37" t="str">
        <f t="shared" si="15"/>
        <v/>
      </c>
      <c r="O457" s="9"/>
      <c r="P457" s="10"/>
    </row>
    <row r="458" spans="1:16" ht="20.1" customHeight="1">
      <c r="A458" s="9"/>
      <c r="B458" s="9"/>
      <c r="C458" s="9"/>
      <c r="D458" s="43"/>
      <c r="E458" s="9"/>
      <c r="F458" s="9"/>
      <c r="G458" s="47" t="str">
        <f>IF(F458="","",INDEX(站位样品信息!$B$3:INDEX(站位样品信息!$B:$B,COUNTA(站位样品信息!$B:$B)+1),MATCH($F458,站位样品信息!$A$3:INDEX(站位样品信息!$A:$A,COUNTA(站位样品信息!$A:$A)+1),),))</f>
        <v/>
      </c>
      <c r="H458" s="37" t="str">
        <f>IF(A458&amp;B458&amp;C458="","",INDEX(生物种群!$A$2:INDEX(生物种群!$A:$A,COUNTA(生物种群!$A:$A)),MATCH($I458,生物种群!$B$2:INDEX(生物种群!$B:$B,COUNTA(生物种群!$B:$B)),),))</f>
        <v/>
      </c>
      <c r="I458" s="37" t="str">
        <f>IF(A458&amp;B458&amp;C458="","",IF($C458&lt;&gt;0,INDEX(生物种群!$B$2:INDEX(生物种群!$B:$B,COUNTA(生物种群!$B:$B)),MATCH($C458,生物种群!$G$2:INDEX(生物种群!$G:$G,COUNTA(生物种群!$G:$G)),),),IF($A458&lt;&gt;0,INDEX(生物种群!$B$2:INDEX(生物种群!$B:$B,COUNTA(生物种群!$B:$B)),MATCH($A458,生物种群!$C$2:INDEX(生物种群!$C:$C,COUNTA(生物种群!$C:$C)),),),INDEX(生物种群!$B$2:INDEX(生物种群!$B:$B,COUNTA(生物种群!$B:$B)),MATCH($B458,生物种群!$D$2:INDEX(生物种群!$D:$D,COUNTA(生物种群!$D:$D)),),))))</f>
        <v/>
      </c>
      <c r="J458" s="37" t="str">
        <f>IF(A458&amp;B458&amp;C458="","",INDEX(生物种群!$J$2:INDEX(生物种群!$J:$J,COUNTA(生物种群!$J:$J)),MATCH($I458,生物种群!$B$2:INDEX(生物种群!$B:$B,COUNTA(生物种群!$B:$B)),),))</f>
        <v/>
      </c>
      <c r="K458" s="37" t="str">
        <f>IF(A458&amp;B458&amp;C458="","",INDEX(生物种群!$E$2:INDEX(生物种群!$E:$E,COUNTA(生物种群!$E:$E)),MATCH($I458,生物种群!$B$2:INDEX(生物种群!$B:$B,COUNTA(生物种群!$B:$B)),),))</f>
        <v/>
      </c>
      <c r="L458" s="37" t="str">
        <f>IF(A458&amp;B458&amp;C458="","",INDEX(生物种群!$F$3:INDEX(生物种群!$F:$F,COUNTA(生物种群!$F:$F)),MATCH($I458,生物种群!$B$3:INDEX(生物种群!$B:$B,COUNTA(生物种群!$B:$B)),),))</f>
        <v/>
      </c>
      <c r="M458" s="37" t="str">
        <f t="shared" si="14"/>
        <v/>
      </c>
      <c r="N458" s="37" t="str">
        <f t="shared" si="15"/>
        <v/>
      </c>
      <c r="O458" s="9"/>
      <c r="P458" s="10"/>
    </row>
    <row r="459" spans="1:16" ht="20.1" customHeight="1">
      <c r="A459" s="9"/>
      <c r="B459" s="9"/>
      <c r="C459" s="9"/>
      <c r="D459" s="43"/>
      <c r="E459" s="9"/>
      <c r="F459" s="9"/>
      <c r="G459" s="47" t="str">
        <f>IF(F459="","",INDEX(站位样品信息!$B$3:INDEX(站位样品信息!$B:$B,COUNTA(站位样品信息!$B:$B)+1),MATCH($F459,站位样品信息!$A$3:INDEX(站位样品信息!$A:$A,COUNTA(站位样品信息!$A:$A)+1),),))</f>
        <v/>
      </c>
      <c r="H459" s="37" t="str">
        <f>IF(A459&amp;B459&amp;C459="","",INDEX(生物种群!$A$2:INDEX(生物种群!$A:$A,COUNTA(生物种群!$A:$A)),MATCH($I459,生物种群!$B$2:INDEX(生物种群!$B:$B,COUNTA(生物种群!$B:$B)),),))</f>
        <v/>
      </c>
      <c r="I459" s="37" t="str">
        <f>IF(A459&amp;B459&amp;C459="","",IF($C459&lt;&gt;0,INDEX(生物种群!$B$2:INDEX(生物种群!$B:$B,COUNTA(生物种群!$B:$B)),MATCH($C459,生物种群!$G$2:INDEX(生物种群!$G:$G,COUNTA(生物种群!$G:$G)),),),IF($A459&lt;&gt;0,INDEX(生物种群!$B$2:INDEX(生物种群!$B:$B,COUNTA(生物种群!$B:$B)),MATCH($A459,生物种群!$C$2:INDEX(生物种群!$C:$C,COUNTA(生物种群!$C:$C)),),),INDEX(生物种群!$B$2:INDEX(生物种群!$B:$B,COUNTA(生物种群!$B:$B)),MATCH($B459,生物种群!$D$2:INDEX(生物种群!$D:$D,COUNTA(生物种群!$D:$D)),),))))</f>
        <v/>
      </c>
      <c r="J459" s="37" t="str">
        <f>IF(A459&amp;B459&amp;C459="","",INDEX(生物种群!$J$2:INDEX(生物种群!$J:$J,COUNTA(生物种群!$J:$J)),MATCH($I459,生物种群!$B$2:INDEX(生物种群!$B:$B,COUNTA(生物种群!$B:$B)),),))</f>
        <v/>
      </c>
      <c r="K459" s="37" t="str">
        <f>IF(A459&amp;B459&amp;C459="","",INDEX(生物种群!$E$2:INDEX(生物种群!$E:$E,COUNTA(生物种群!$E:$E)),MATCH($I459,生物种群!$B$2:INDEX(生物种群!$B:$B,COUNTA(生物种群!$B:$B)),),))</f>
        <v/>
      </c>
      <c r="L459" s="37" t="str">
        <f>IF(A459&amp;B459&amp;C459="","",INDEX(生物种群!$F$3:INDEX(生物种群!$F:$F,COUNTA(生物种群!$F:$F)),MATCH($I459,生物种群!$B$3:INDEX(生物种群!$B:$B,COUNTA(生物种群!$B:$B)),),))</f>
        <v/>
      </c>
      <c r="M459" s="37" t="str">
        <f t="shared" si="14"/>
        <v/>
      </c>
      <c r="N459" s="37" t="str">
        <f t="shared" si="15"/>
        <v/>
      </c>
      <c r="O459" s="9"/>
      <c r="P459" s="10"/>
    </row>
    <row r="460" spans="1:16" ht="20.1" customHeight="1">
      <c r="A460" s="9"/>
      <c r="B460" s="9"/>
      <c r="C460" s="9"/>
      <c r="D460" s="43"/>
      <c r="E460" s="9"/>
      <c r="F460" s="9"/>
      <c r="G460" s="47" t="str">
        <f>IF(F460="","",INDEX(站位样品信息!$B$3:INDEX(站位样品信息!$B:$B,COUNTA(站位样品信息!$B:$B)+1),MATCH($F460,站位样品信息!$A$3:INDEX(站位样品信息!$A:$A,COUNTA(站位样品信息!$A:$A)+1),),))</f>
        <v/>
      </c>
      <c r="H460" s="37" t="str">
        <f>IF(A460&amp;B460&amp;C460="","",INDEX(生物种群!$A$2:INDEX(生物种群!$A:$A,COUNTA(生物种群!$A:$A)),MATCH($I460,生物种群!$B$2:INDEX(生物种群!$B:$B,COUNTA(生物种群!$B:$B)),),))</f>
        <v/>
      </c>
      <c r="I460" s="37" t="str">
        <f>IF(A460&amp;B460&amp;C460="","",IF($C460&lt;&gt;0,INDEX(生物种群!$B$2:INDEX(生物种群!$B:$B,COUNTA(生物种群!$B:$B)),MATCH($C460,生物种群!$G$2:INDEX(生物种群!$G:$G,COUNTA(生物种群!$G:$G)),),),IF($A460&lt;&gt;0,INDEX(生物种群!$B$2:INDEX(生物种群!$B:$B,COUNTA(生物种群!$B:$B)),MATCH($A460,生物种群!$C$2:INDEX(生物种群!$C:$C,COUNTA(生物种群!$C:$C)),),),INDEX(生物种群!$B$2:INDEX(生物种群!$B:$B,COUNTA(生物种群!$B:$B)),MATCH($B460,生物种群!$D$2:INDEX(生物种群!$D:$D,COUNTA(生物种群!$D:$D)),),))))</f>
        <v/>
      </c>
      <c r="J460" s="37" t="str">
        <f>IF(A460&amp;B460&amp;C460="","",INDEX(生物种群!$J$2:INDEX(生物种群!$J:$J,COUNTA(生物种群!$J:$J)),MATCH($I460,生物种群!$B$2:INDEX(生物种群!$B:$B,COUNTA(生物种群!$B:$B)),),))</f>
        <v/>
      </c>
      <c r="K460" s="37" t="str">
        <f>IF(A460&amp;B460&amp;C460="","",INDEX(生物种群!$E$2:INDEX(生物种群!$E:$E,COUNTA(生物种群!$E:$E)),MATCH($I460,生物种群!$B$2:INDEX(生物种群!$B:$B,COUNTA(生物种群!$B:$B)),),))</f>
        <v/>
      </c>
      <c r="L460" s="37" t="str">
        <f>IF(A460&amp;B460&amp;C460="","",INDEX(生物种群!$F$3:INDEX(生物种群!$F:$F,COUNTA(生物种群!$F:$F)),MATCH($I460,生物种群!$B$3:INDEX(生物种群!$B:$B,COUNTA(生物种群!$B:$B)),),))</f>
        <v/>
      </c>
      <c r="M460" s="37" t="str">
        <f t="shared" si="14"/>
        <v/>
      </c>
      <c r="N460" s="37" t="str">
        <f t="shared" si="15"/>
        <v/>
      </c>
      <c r="O460" s="9"/>
      <c r="P460" s="10"/>
    </row>
    <row r="461" spans="1:16" ht="20.1" customHeight="1">
      <c r="A461" s="9"/>
      <c r="B461" s="9"/>
      <c r="C461" s="9"/>
      <c r="D461" s="43"/>
      <c r="E461" s="9"/>
      <c r="F461" s="9"/>
      <c r="G461" s="47" t="str">
        <f>IF(F461="","",INDEX(站位样品信息!$B$3:INDEX(站位样品信息!$B:$B,COUNTA(站位样品信息!$B:$B)+1),MATCH($F461,站位样品信息!$A$3:INDEX(站位样品信息!$A:$A,COUNTA(站位样品信息!$A:$A)+1),),))</f>
        <v/>
      </c>
      <c r="H461" s="37" t="str">
        <f>IF(A461&amp;B461&amp;C461="","",INDEX(生物种群!$A$2:INDEX(生物种群!$A:$A,COUNTA(生物种群!$A:$A)),MATCH($I461,生物种群!$B$2:INDEX(生物种群!$B:$B,COUNTA(生物种群!$B:$B)),),))</f>
        <v/>
      </c>
      <c r="I461" s="37" t="str">
        <f>IF(A461&amp;B461&amp;C461="","",IF($C461&lt;&gt;0,INDEX(生物种群!$B$2:INDEX(生物种群!$B:$B,COUNTA(生物种群!$B:$B)),MATCH($C461,生物种群!$G$2:INDEX(生物种群!$G:$G,COUNTA(生物种群!$G:$G)),),),IF($A461&lt;&gt;0,INDEX(生物种群!$B$2:INDEX(生物种群!$B:$B,COUNTA(生物种群!$B:$B)),MATCH($A461,生物种群!$C$2:INDEX(生物种群!$C:$C,COUNTA(生物种群!$C:$C)),),),INDEX(生物种群!$B$2:INDEX(生物种群!$B:$B,COUNTA(生物种群!$B:$B)),MATCH($B461,生物种群!$D$2:INDEX(生物种群!$D:$D,COUNTA(生物种群!$D:$D)),),))))</f>
        <v/>
      </c>
      <c r="J461" s="37" t="str">
        <f>IF(A461&amp;B461&amp;C461="","",INDEX(生物种群!$J$2:INDEX(生物种群!$J:$J,COUNTA(生物种群!$J:$J)),MATCH($I461,生物种群!$B$2:INDEX(生物种群!$B:$B,COUNTA(生物种群!$B:$B)),),))</f>
        <v/>
      </c>
      <c r="K461" s="37" t="str">
        <f>IF(A461&amp;B461&amp;C461="","",INDEX(生物种群!$E$2:INDEX(生物种群!$E:$E,COUNTA(生物种群!$E:$E)),MATCH($I461,生物种群!$B$2:INDEX(生物种群!$B:$B,COUNTA(生物种群!$B:$B)),),))</f>
        <v/>
      </c>
      <c r="L461" s="37" t="str">
        <f>IF(A461&amp;B461&amp;C461="","",INDEX(生物种群!$F$3:INDEX(生物种群!$F:$F,COUNTA(生物种群!$F:$F)),MATCH($I461,生物种群!$B$3:INDEX(生物种群!$B:$B,COUNTA(生物种群!$B:$B)),),))</f>
        <v/>
      </c>
      <c r="M461" s="37" t="str">
        <f t="shared" si="14"/>
        <v/>
      </c>
      <c r="N461" s="37" t="str">
        <f t="shared" si="15"/>
        <v/>
      </c>
      <c r="O461" s="9"/>
      <c r="P461" s="10"/>
    </row>
    <row r="462" spans="1:16" ht="20.1" customHeight="1">
      <c r="A462" s="9"/>
      <c r="B462" s="9"/>
      <c r="C462" s="9"/>
      <c r="D462" s="43"/>
      <c r="E462" s="9"/>
      <c r="F462" s="9"/>
      <c r="G462" s="47" t="str">
        <f>IF(F462="","",INDEX(站位样品信息!$B$3:INDEX(站位样品信息!$B:$B,COUNTA(站位样品信息!$B:$B)+1),MATCH($F462,站位样品信息!$A$3:INDEX(站位样品信息!$A:$A,COUNTA(站位样品信息!$A:$A)+1),),))</f>
        <v/>
      </c>
      <c r="H462" s="37" t="str">
        <f>IF(A462&amp;B462&amp;C462="","",INDEX(生物种群!$A$2:INDEX(生物种群!$A:$A,COUNTA(生物种群!$A:$A)),MATCH($I462,生物种群!$B$2:INDEX(生物种群!$B:$B,COUNTA(生物种群!$B:$B)),),))</f>
        <v/>
      </c>
      <c r="I462" s="37" t="str">
        <f>IF(A462&amp;B462&amp;C462="","",IF($C462&lt;&gt;0,INDEX(生物种群!$B$2:INDEX(生物种群!$B:$B,COUNTA(生物种群!$B:$B)),MATCH($C462,生物种群!$G$2:INDEX(生物种群!$G:$G,COUNTA(生物种群!$G:$G)),),),IF($A462&lt;&gt;0,INDEX(生物种群!$B$2:INDEX(生物种群!$B:$B,COUNTA(生物种群!$B:$B)),MATCH($A462,生物种群!$C$2:INDEX(生物种群!$C:$C,COUNTA(生物种群!$C:$C)),),),INDEX(生物种群!$B$2:INDEX(生物种群!$B:$B,COUNTA(生物种群!$B:$B)),MATCH($B462,生物种群!$D$2:INDEX(生物种群!$D:$D,COUNTA(生物种群!$D:$D)),),))))</f>
        <v/>
      </c>
      <c r="J462" s="37" t="str">
        <f>IF(A462&amp;B462&amp;C462="","",INDEX(生物种群!$J$2:INDEX(生物种群!$J:$J,COUNTA(生物种群!$J:$J)),MATCH($I462,生物种群!$B$2:INDEX(生物种群!$B:$B,COUNTA(生物种群!$B:$B)),),))</f>
        <v/>
      </c>
      <c r="K462" s="37" t="str">
        <f>IF(A462&amp;B462&amp;C462="","",INDEX(生物种群!$E$2:INDEX(生物种群!$E:$E,COUNTA(生物种群!$E:$E)),MATCH($I462,生物种群!$B$2:INDEX(生物种群!$B:$B,COUNTA(生物种群!$B:$B)),),))</f>
        <v/>
      </c>
      <c r="L462" s="37" t="str">
        <f>IF(A462&amp;B462&amp;C462="","",INDEX(生物种群!$F$3:INDEX(生物种群!$F:$F,COUNTA(生物种群!$F:$F)),MATCH($I462,生物种群!$B$3:INDEX(生物种群!$B:$B,COUNTA(生物种群!$B:$B)),),))</f>
        <v/>
      </c>
      <c r="M462" s="37" t="str">
        <f t="shared" si="14"/>
        <v/>
      </c>
      <c r="N462" s="37" t="str">
        <f t="shared" si="15"/>
        <v/>
      </c>
      <c r="O462" s="9"/>
      <c r="P462" s="10"/>
    </row>
    <row r="463" spans="1:16" ht="20.1" customHeight="1">
      <c r="A463" s="9"/>
      <c r="B463" s="9"/>
      <c r="C463" s="9"/>
      <c r="D463" s="43"/>
      <c r="E463" s="9"/>
      <c r="F463" s="9"/>
      <c r="G463" s="47" t="str">
        <f>IF(F463="","",INDEX(站位样品信息!$B$3:INDEX(站位样品信息!$B:$B,COUNTA(站位样品信息!$B:$B)+1),MATCH($F463,站位样品信息!$A$3:INDEX(站位样品信息!$A:$A,COUNTA(站位样品信息!$A:$A)+1),),))</f>
        <v/>
      </c>
      <c r="H463" s="37" t="str">
        <f>IF(A463&amp;B463&amp;C463="","",INDEX(生物种群!$A$2:INDEX(生物种群!$A:$A,COUNTA(生物种群!$A:$A)),MATCH($I463,生物种群!$B$2:INDEX(生物种群!$B:$B,COUNTA(生物种群!$B:$B)),),))</f>
        <v/>
      </c>
      <c r="I463" s="37" t="str">
        <f>IF(A463&amp;B463&amp;C463="","",IF($C463&lt;&gt;0,INDEX(生物种群!$B$2:INDEX(生物种群!$B:$B,COUNTA(生物种群!$B:$B)),MATCH($C463,生物种群!$G$2:INDEX(生物种群!$G:$G,COUNTA(生物种群!$G:$G)),),),IF($A463&lt;&gt;0,INDEX(生物种群!$B$2:INDEX(生物种群!$B:$B,COUNTA(生物种群!$B:$B)),MATCH($A463,生物种群!$C$2:INDEX(生物种群!$C:$C,COUNTA(生物种群!$C:$C)),),),INDEX(生物种群!$B$2:INDEX(生物种群!$B:$B,COUNTA(生物种群!$B:$B)),MATCH($B463,生物种群!$D$2:INDEX(生物种群!$D:$D,COUNTA(生物种群!$D:$D)),),))))</f>
        <v/>
      </c>
      <c r="J463" s="37" t="str">
        <f>IF(A463&amp;B463&amp;C463="","",INDEX(生物种群!$J$2:INDEX(生物种群!$J:$J,COUNTA(生物种群!$J:$J)),MATCH($I463,生物种群!$B$2:INDEX(生物种群!$B:$B,COUNTA(生物种群!$B:$B)),),))</f>
        <v/>
      </c>
      <c r="K463" s="37" t="str">
        <f>IF(A463&amp;B463&amp;C463="","",INDEX(生物种群!$E$2:INDEX(生物种群!$E:$E,COUNTA(生物种群!$E:$E)),MATCH($I463,生物种群!$B$2:INDEX(生物种群!$B:$B,COUNTA(生物种群!$B:$B)),),))</f>
        <v/>
      </c>
      <c r="L463" s="37" t="str">
        <f>IF(A463&amp;B463&amp;C463="","",INDEX(生物种群!$F$3:INDEX(生物种群!$F:$F,COUNTA(生物种群!$F:$F)),MATCH($I463,生物种群!$B$3:INDEX(生物种群!$B:$B,COUNTA(生物种群!$B:$B)),),))</f>
        <v/>
      </c>
      <c r="M463" s="37" t="str">
        <f t="shared" si="14"/>
        <v/>
      </c>
      <c r="N463" s="37" t="str">
        <f t="shared" si="15"/>
        <v/>
      </c>
      <c r="O463" s="9"/>
      <c r="P463" s="10"/>
    </row>
    <row r="464" spans="1:16" ht="20.1" customHeight="1">
      <c r="A464" s="9"/>
      <c r="B464" s="9"/>
      <c r="C464" s="9"/>
      <c r="D464" s="43"/>
      <c r="E464" s="9"/>
      <c r="F464" s="9"/>
      <c r="G464" s="47" t="str">
        <f>IF(F464="","",INDEX(站位样品信息!$B$3:INDEX(站位样品信息!$B:$B,COUNTA(站位样品信息!$B:$B)+1),MATCH($F464,站位样品信息!$A$3:INDEX(站位样品信息!$A:$A,COUNTA(站位样品信息!$A:$A)+1),),))</f>
        <v/>
      </c>
      <c r="H464" s="37" t="str">
        <f>IF(A464&amp;B464&amp;C464="","",INDEX(生物种群!$A$2:INDEX(生物种群!$A:$A,COUNTA(生物种群!$A:$A)),MATCH($I464,生物种群!$B$2:INDEX(生物种群!$B:$B,COUNTA(生物种群!$B:$B)),),))</f>
        <v/>
      </c>
      <c r="I464" s="37" t="str">
        <f>IF(A464&amp;B464&amp;C464="","",IF($C464&lt;&gt;0,INDEX(生物种群!$B$2:INDEX(生物种群!$B:$B,COUNTA(生物种群!$B:$B)),MATCH($C464,生物种群!$G$2:INDEX(生物种群!$G:$G,COUNTA(生物种群!$G:$G)),),),IF($A464&lt;&gt;0,INDEX(生物种群!$B$2:INDEX(生物种群!$B:$B,COUNTA(生物种群!$B:$B)),MATCH($A464,生物种群!$C$2:INDEX(生物种群!$C:$C,COUNTA(生物种群!$C:$C)),),),INDEX(生物种群!$B$2:INDEX(生物种群!$B:$B,COUNTA(生物种群!$B:$B)),MATCH($B464,生物种群!$D$2:INDEX(生物种群!$D:$D,COUNTA(生物种群!$D:$D)),),))))</f>
        <v/>
      </c>
      <c r="J464" s="37" t="str">
        <f>IF(A464&amp;B464&amp;C464="","",INDEX(生物种群!$J$2:INDEX(生物种群!$J:$J,COUNTA(生物种群!$J:$J)),MATCH($I464,生物种群!$B$2:INDEX(生物种群!$B:$B,COUNTA(生物种群!$B:$B)),),))</f>
        <v/>
      </c>
      <c r="K464" s="37" t="str">
        <f>IF(A464&amp;B464&amp;C464="","",INDEX(生物种群!$E$2:INDEX(生物种群!$E:$E,COUNTA(生物种群!$E:$E)),MATCH($I464,生物种群!$B$2:INDEX(生物种群!$B:$B,COUNTA(生物种群!$B:$B)),),))</f>
        <v/>
      </c>
      <c r="L464" s="37" t="str">
        <f>IF(A464&amp;B464&amp;C464="","",INDEX(生物种群!$F$3:INDEX(生物种群!$F:$F,COUNTA(生物种群!$F:$F)),MATCH($I464,生物种群!$B$3:INDEX(生物种群!$B:$B,COUNTA(生物种群!$B:$B)),),))</f>
        <v/>
      </c>
      <c r="M464" s="37" t="str">
        <f t="shared" si="14"/>
        <v/>
      </c>
      <c r="N464" s="37" t="str">
        <f t="shared" si="15"/>
        <v/>
      </c>
      <c r="O464" s="9"/>
      <c r="P464" s="10"/>
    </row>
    <row r="465" spans="1:16" ht="20.1" customHeight="1">
      <c r="A465" s="9"/>
      <c r="B465" s="9"/>
      <c r="C465" s="9"/>
      <c r="D465" s="43"/>
      <c r="E465" s="9"/>
      <c r="F465" s="9"/>
      <c r="G465" s="47" t="str">
        <f>IF(F465="","",INDEX(站位样品信息!$B$3:INDEX(站位样品信息!$B:$B,COUNTA(站位样品信息!$B:$B)+1),MATCH($F465,站位样品信息!$A$3:INDEX(站位样品信息!$A:$A,COUNTA(站位样品信息!$A:$A)+1),),))</f>
        <v/>
      </c>
      <c r="H465" s="37" t="str">
        <f>IF(A465&amp;B465&amp;C465="","",INDEX(生物种群!$A$2:INDEX(生物种群!$A:$A,COUNTA(生物种群!$A:$A)),MATCH($I465,生物种群!$B$2:INDEX(生物种群!$B:$B,COUNTA(生物种群!$B:$B)),),))</f>
        <v/>
      </c>
      <c r="I465" s="37" t="str">
        <f>IF(A465&amp;B465&amp;C465="","",IF($C465&lt;&gt;0,INDEX(生物种群!$B$2:INDEX(生物种群!$B:$B,COUNTA(生物种群!$B:$B)),MATCH($C465,生物种群!$G$2:INDEX(生物种群!$G:$G,COUNTA(生物种群!$G:$G)),),),IF($A465&lt;&gt;0,INDEX(生物种群!$B$2:INDEX(生物种群!$B:$B,COUNTA(生物种群!$B:$B)),MATCH($A465,生物种群!$C$2:INDEX(生物种群!$C:$C,COUNTA(生物种群!$C:$C)),),),INDEX(生物种群!$B$2:INDEX(生物种群!$B:$B,COUNTA(生物种群!$B:$B)),MATCH($B465,生物种群!$D$2:INDEX(生物种群!$D:$D,COUNTA(生物种群!$D:$D)),),))))</f>
        <v/>
      </c>
      <c r="J465" s="37" t="str">
        <f>IF(A465&amp;B465&amp;C465="","",INDEX(生物种群!$J$2:INDEX(生物种群!$J:$J,COUNTA(生物种群!$J:$J)),MATCH($I465,生物种群!$B$2:INDEX(生物种群!$B:$B,COUNTA(生物种群!$B:$B)),),))</f>
        <v/>
      </c>
      <c r="K465" s="37" t="str">
        <f>IF(A465&amp;B465&amp;C465="","",INDEX(生物种群!$E$2:INDEX(生物种群!$E:$E,COUNTA(生物种群!$E:$E)),MATCH($I465,生物种群!$B$2:INDEX(生物种群!$B:$B,COUNTA(生物种群!$B:$B)),),))</f>
        <v/>
      </c>
      <c r="L465" s="37" t="str">
        <f>IF(A465&amp;B465&amp;C465="","",INDEX(生物种群!$F$3:INDEX(生物种群!$F:$F,COUNTA(生物种群!$F:$F)),MATCH($I465,生物种群!$B$3:INDEX(生物种群!$B:$B,COUNTA(生物种群!$B:$B)),),))</f>
        <v/>
      </c>
      <c r="M465" s="37" t="str">
        <f t="shared" si="14"/>
        <v/>
      </c>
      <c r="N465" s="37" t="str">
        <f t="shared" si="15"/>
        <v/>
      </c>
      <c r="O465" s="9"/>
      <c r="P465" s="10"/>
    </row>
    <row r="466" spans="1:16" ht="20.1" customHeight="1">
      <c r="A466" s="9"/>
      <c r="B466" s="9"/>
      <c r="C466" s="9"/>
      <c r="D466" s="43"/>
      <c r="E466" s="9"/>
      <c r="F466" s="9"/>
      <c r="G466" s="47" t="str">
        <f>IF(F466="","",INDEX(站位样品信息!$B$3:INDEX(站位样品信息!$B:$B,COUNTA(站位样品信息!$B:$B)+1),MATCH($F466,站位样品信息!$A$3:INDEX(站位样品信息!$A:$A,COUNTA(站位样品信息!$A:$A)+1),),))</f>
        <v/>
      </c>
      <c r="H466" s="37" t="str">
        <f>IF(A466&amp;B466&amp;C466="","",INDEX(生物种群!$A$2:INDEX(生物种群!$A:$A,COUNTA(生物种群!$A:$A)),MATCH($I466,生物种群!$B$2:INDEX(生物种群!$B:$B,COUNTA(生物种群!$B:$B)),),))</f>
        <v/>
      </c>
      <c r="I466" s="37" t="str">
        <f>IF(A466&amp;B466&amp;C466="","",IF($C466&lt;&gt;0,INDEX(生物种群!$B$2:INDEX(生物种群!$B:$B,COUNTA(生物种群!$B:$B)),MATCH($C466,生物种群!$G$2:INDEX(生物种群!$G:$G,COUNTA(生物种群!$G:$G)),),),IF($A466&lt;&gt;0,INDEX(生物种群!$B$2:INDEX(生物种群!$B:$B,COUNTA(生物种群!$B:$B)),MATCH($A466,生物种群!$C$2:INDEX(生物种群!$C:$C,COUNTA(生物种群!$C:$C)),),),INDEX(生物种群!$B$2:INDEX(生物种群!$B:$B,COUNTA(生物种群!$B:$B)),MATCH($B466,生物种群!$D$2:INDEX(生物种群!$D:$D,COUNTA(生物种群!$D:$D)),),))))</f>
        <v/>
      </c>
      <c r="J466" s="37" t="str">
        <f>IF(A466&amp;B466&amp;C466="","",INDEX(生物种群!$J$2:INDEX(生物种群!$J:$J,COUNTA(生物种群!$J:$J)),MATCH($I466,生物种群!$B$2:INDEX(生物种群!$B:$B,COUNTA(生物种群!$B:$B)),),))</f>
        <v/>
      </c>
      <c r="K466" s="37" t="str">
        <f>IF(A466&amp;B466&amp;C466="","",INDEX(生物种群!$E$2:INDEX(生物种群!$E:$E,COUNTA(生物种群!$E:$E)),MATCH($I466,生物种群!$B$2:INDEX(生物种群!$B:$B,COUNTA(生物种群!$B:$B)),),))</f>
        <v/>
      </c>
      <c r="L466" s="37" t="str">
        <f>IF(A466&amp;B466&amp;C466="","",INDEX(生物种群!$F$3:INDEX(生物种群!$F:$F,COUNTA(生物种群!$F:$F)),MATCH($I466,生物种群!$B$3:INDEX(生物种群!$B:$B,COUNTA(生物种群!$B:$B)),),))</f>
        <v/>
      </c>
      <c r="M466" s="37" t="str">
        <f t="shared" si="14"/>
        <v/>
      </c>
      <c r="N466" s="37" t="str">
        <f t="shared" si="15"/>
        <v/>
      </c>
      <c r="O466" s="9"/>
      <c r="P466" s="10"/>
    </row>
    <row r="467" spans="1:16" ht="20.1" customHeight="1">
      <c r="A467" s="9"/>
      <c r="B467" s="9"/>
      <c r="C467" s="9"/>
      <c r="D467" s="43"/>
      <c r="E467" s="9"/>
      <c r="F467" s="9"/>
      <c r="G467" s="47" t="str">
        <f>IF(F467="","",INDEX(站位样品信息!$B$3:INDEX(站位样品信息!$B:$B,COUNTA(站位样品信息!$B:$B)+1),MATCH($F467,站位样品信息!$A$3:INDEX(站位样品信息!$A:$A,COUNTA(站位样品信息!$A:$A)+1),),))</f>
        <v/>
      </c>
      <c r="H467" s="37" t="str">
        <f>IF(A467&amp;B467&amp;C467="","",INDEX(生物种群!$A$2:INDEX(生物种群!$A:$A,COUNTA(生物种群!$A:$A)),MATCH($I467,生物种群!$B$2:INDEX(生物种群!$B:$B,COUNTA(生物种群!$B:$B)),),))</f>
        <v/>
      </c>
      <c r="I467" s="37" t="str">
        <f>IF(A467&amp;B467&amp;C467="","",IF($C467&lt;&gt;0,INDEX(生物种群!$B$2:INDEX(生物种群!$B:$B,COUNTA(生物种群!$B:$B)),MATCH($C467,生物种群!$G$2:INDEX(生物种群!$G:$G,COUNTA(生物种群!$G:$G)),),),IF($A467&lt;&gt;0,INDEX(生物种群!$B$2:INDEX(生物种群!$B:$B,COUNTA(生物种群!$B:$B)),MATCH($A467,生物种群!$C$2:INDEX(生物种群!$C:$C,COUNTA(生物种群!$C:$C)),),),INDEX(生物种群!$B$2:INDEX(生物种群!$B:$B,COUNTA(生物种群!$B:$B)),MATCH($B467,生物种群!$D$2:INDEX(生物种群!$D:$D,COUNTA(生物种群!$D:$D)),),))))</f>
        <v/>
      </c>
      <c r="J467" s="37" t="str">
        <f>IF(A467&amp;B467&amp;C467="","",INDEX(生物种群!$J$2:INDEX(生物种群!$J:$J,COUNTA(生物种群!$J:$J)),MATCH($I467,生物种群!$B$2:INDEX(生物种群!$B:$B,COUNTA(生物种群!$B:$B)),),))</f>
        <v/>
      </c>
      <c r="K467" s="37" t="str">
        <f>IF(A467&amp;B467&amp;C467="","",INDEX(生物种群!$E$2:INDEX(生物种群!$E:$E,COUNTA(生物种群!$E:$E)),MATCH($I467,生物种群!$B$2:INDEX(生物种群!$B:$B,COUNTA(生物种群!$B:$B)),),))</f>
        <v/>
      </c>
      <c r="L467" s="37" t="str">
        <f>IF(A467&amp;B467&amp;C467="","",INDEX(生物种群!$F$3:INDEX(生物种群!$F:$F,COUNTA(生物种群!$F:$F)),MATCH($I467,生物种群!$B$3:INDEX(生物种群!$B:$B,COUNTA(生物种群!$B:$B)),),))</f>
        <v/>
      </c>
      <c r="M467" s="37" t="str">
        <f t="shared" si="14"/>
        <v/>
      </c>
      <c r="N467" s="37" t="str">
        <f t="shared" si="15"/>
        <v/>
      </c>
      <c r="O467" s="9"/>
      <c r="P467" s="10"/>
    </row>
    <row r="468" spans="1:16" ht="20.1" customHeight="1">
      <c r="A468" s="9"/>
      <c r="B468" s="9"/>
      <c r="C468" s="9"/>
      <c r="D468" s="43"/>
      <c r="E468" s="9"/>
      <c r="F468" s="9"/>
      <c r="G468" s="47" t="str">
        <f>IF(F468="","",INDEX(站位样品信息!$B$3:INDEX(站位样品信息!$B:$B,COUNTA(站位样品信息!$B:$B)+1),MATCH($F468,站位样品信息!$A$3:INDEX(站位样品信息!$A:$A,COUNTA(站位样品信息!$A:$A)+1),),))</f>
        <v/>
      </c>
      <c r="H468" s="37" t="str">
        <f>IF(A468&amp;B468&amp;C468="","",INDEX(生物种群!$A$2:INDEX(生物种群!$A:$A,COUNTA(生物种群!$A:$A)),MATCH($I468,生物种群!$B$2:INDEX(生物种群!$B:$B,COUNTA(生物种群!$B:$B)),),))</f>
        <v/>
      </c>
      <c r="I468" s="37" t="str">
        <f>IF(A468&amp;B468&amp;C468="","",IF($C468&lt;&gt;0,INDEX(生物种群!$B$2:INDEX(生物种群!$B:$B,COUNTA(生物种群!$B:$B)),MATCH($C468,生物种群!$G$2:INDEX(生物种群!$G:$G,COUNTA(生物种群!$G:$G)),),),IF($A468&lt;&gt;0,INDEX(生物种群!$B$2:INDEX(生物种群!$B:$B,COUNTA(生物种群!$B:$B)),MATCH($A468,生物种群!$C$2:INDEX(生物种群!$C:$C,COUNTA(生物种群!$C:$C)),),),INDEX(生物种群!$B$2:INDEX(生物种群!$B:$B,COUNTA(生物种群!$B:$B)),MATCH($B468,生物种群!$D$2:INDEX(生物种群!$D:$D,COUNTA(生物种群!$D:$D)),),))))</f>
        <v/>
      </c>
      <c r="J468" s="37" t="str">
        <f>IF(A468&amp;B468&amp;C468="","",INDEX(生物种群!$J$2:INDEX(生物种群!$J:$J,COUNTA(生物种群!$J:$J)),MATCH($I468,生物种群!$B$2:INDEX(生物种群!$B:$B,COUNTA(生物种群!$B:$B)),),))</f>
        <v/>
      </c>
      <c r="K468" s="37" t="str">
        <f>IF(A468&amp;B468&amp;C468="","",INDEX(生物种群!$E$2:INDEX(生物种群!$E:$E,COUNTA(生物种群!$E:$E)),MATCH($I468,生物种群!$B$2:INDEX(生物种群!$B:$B,COUNTA(生物种群!$B:$B)),),))</f>
        <v/>
      </c>
      <c r="L468" s="37" t="str">
        <f>IF(A468&amp;B468&amp;C468="","",INDEX(生物种群!$F$3:INDEX(生物种群!$F:$F,COUNTA(生物种群!$F:$F)),MATCH($I468,生物种群!$B$3:INDEX(生物种群!$B:$B,COUNTA(生物种群!$B:$B)),),))</f>
        <v/>
      </c>
      <c r="M468" s="37" t="str">
        <f t="shared" si="14"/>
        <v/>
      </c>
      <c r="N468" s="37" t="str">
        <f t="shared" si="15"/>
        <v/>
      </c>
      <c r="O468" s="9"/>
      <c r="P468" s="10"/>
    </row>
    <row r="469" spans="1:16" ht="20.1" customHeight="1">
      <c r="A469" s="9"/>
      <c r="B469" s="9"/>
      <c r="C469" s="9"/>
      <c r="D469" s="43"/>
      <c r="E469" s="9"/>
      <c r="F469" s="9"/>
      <c r="G469" s="47" t="str">
        <f>IF(F469="","",INDEX(站位样品信息!$B$3:INDEX(站位样品信息!$B:$B,COUNTA(站位样品信息!$B:$B)+1),MATCH($F469,站位样品信息!$A$3:INDEX(站位样品信息!$A:$A,COUNTA(站位样品信息!$A:$A)+1),),))</f>
        <v/>
      </c>
      <c r="H469" s="37" t="str">
        <f>IF(A469&amp;B469&amp;C469="","",INDEX(生物种群!$A$2:INDEX(生物种群!$A:$A,COUNTA(生物种群!$A:$A)),MATCH($I469,生物种群!$B$2:INDEX(生物种群!$B:$B,COUNTA(生物种群!$B:$B)),),))</f>
        <v/>
      </c>
      <c r="I469" s="37" t="str">
        <f>IF(A469&amp;B469&amp;C469="","",IF($C469&lt;&gt;0,INDEX(生物种群!$B$2:INDEX(生物种群!$B:$B,COUNTA(生物种群!$B:$B)),MATCH($C469,生物种群!$G$2:INDEX(生物种群!$G:$G,COUNTA(生物种群!$G:$G)),),),IF($A469&lt;&gt;0,INDEX(生物种群!$B$2:INDEX(生物种群!$B:$B,COUNTA(生物种群!$B:$B)),MATCH($A469,生物种群!$C$2:INDEX(生物种群!$C:$C,COUNTA(生物种群!$C:$C)),),),INDEX(生物种群!$B$2:INDEX(生物种群!$B:$B,COUNTA(生物种群!$B:$B)),MATCH($B469,生物种群!$D$2:INDEX(生物种群!$D:$D,COUNTA(生物种群!$D:$D)),),))))</f>
        <v/>
      </c>
      <c r="J469" s="37" t="str">
        <f>IF(A469&amp;B469&amp;C469="","",INDEX(生物种群!$J$2:INDEX(生物种群!$J:$J,COUNTA(生物种群!$J:$J)),MATCH($I469,生物种群!$B$2:INDEX(生物种群!$B:$B,COUNTA(生物种群!$B:$B)),),))</f>
        <v/>
      </c>
      <c r="K469" s="37" t="str">
        <f>IF(A469&amp;B469&amp;C469="","",INDEX(生物种群!$E$2:INDEX(生物种群!$E:$E,COUNTA(生物种群!$E:$E)),MATCH($I469,生物种群!$B$2:INDEX(生物种群!$B:$B,COUNTA(生物种群!$B:$B)),),))</f>
        <v/>
      </c>
      <c r="L469" s="37" t="str">
        <f>IF(A469&amp;B469&amp;C469="","",INDEX(生物种群!$F$3:INDEX(生物种群!$F:$F,COUNTA(生物种群!$F:$F)),MATCH($I469,生物种群!$B$3:INDEX(生物种群!$B:$B,COUNTA(生物种群!$B:$B)),),))</f>
        <v/>
      </c>
      <c r="M469" s="37" t="str">
        <f t="shared" si="14"/>
        <v/>
      </c>
      <c r="N469" s="37" t="str">
        <f t="shared" si="15"/>
        <v/>
      </c>
      <c r="O469" s="9"/>
      <c r="P469" s="10"/>
    </row>
    <row r="470" spans="1:16" ht="20.1" customHeight="1">
      <c r="A470" s="9"/>
      <c r="B470" s="9"/>
      <c r="C470" s="9"/>
      <c r="D470" s="43"/>
      <c r="E470" s="9"/>
      <c r="F470" s="9"/>
      <c r="G470" s="47" t="str">
        <f>IF(F470="","",INDEX(站位样品信息!$B$3:INDEX(站位样品信息!$B:$B,COUNTA(站位样品信息!$B:$B)+1),MATCH($F470,站位样品信息!$A$3:INDEX(站位样品信息!$A:$A,COUNTA(站位样品信息!$A:$A)+1),),))</f>
        <v/>
      </c>
      <c r="H470" s="37" t="str">
        <f>IF(A470&amp;B470&amp;C470="","",INDEX(生物种群!$A$2:INDEX(生物种群!$A:$A,COUNTA(生物种群!$A:$A)),MATCH($I470,生物种群!$B$2:INDEX(生物种群!$B:$B,COUNTA(生物种群!$B:$B)),),))</f>
        <v/>
      </c>
      <c r="I470" s="37" t="str">
        <f>IF(A470&amp;B470&amp;C470="","",IF($C470&lt;&gt;0,INDEX(生物种群!$B$2:INDEX(生物种群!$B:$B,COUNTA(生物种群!$B:$B)),MATCH($C470,生物种群!$G$2:INDEX(生物种群!$G:$G,COUNTA(生物种群!$G:$G)),),),IF($A470&lt;&gt;0,INDEX(生物种群!$B$2:INDEX(生物种群!$B:$B,COUNTA(生物种群!$B:$B)),MATCH($A470,生物种群!$C$2:INDEX(生物种群!$C:$C,COUNTA(生物种群!$C:$C)),),),INDEX(生物种群!$B$2:INDEX(生物种群!$B:$B,COUNTA(生物种群!$B:$B)),MATCH($B470,生物种群!$D$2:INDEX(生物种群!$D:$D,COUNTA(生物种群!$D:$D)),),))))</f>
        <v/>
      </c>
      <c r="J470" s="37" t="str">
        <f>IF(A470&amp;B470&amp;C470="","",INDEX(生物种群!$J$2:INDEX(生物种群!$J:$J,COUNTA(生物种群!$J:$J)),MATCH($I470,生物种群!$B$2:INDEX(生物种群!$B:$B,COUNTA(生物种群!$B:$B)),),))</f>
        <v/>
      </c>
      <c r="K470" s="37" t="str">
        <f>IF(A470&amp;B470&amp;C470="","",INDEX(生物种群!$E$2:INDEX(生物种群!$E:$E,COUNTA(生物种群!$E:$E)),MATCH($I470,生物种群!$B$2:INDEX(生物种群!$B:$B,COUNTA(生物种群!$B:$B)),),))</f>
        <v/>
      </c>
      <c r="L470" s="37" t="str">
        <f>IF(A470&amp;B470&amp;C470="","",INDEX(生物种群!$F$3:INDEX(生物种群!$F:$F,COUNTA(生物种群!$F:$F)),MATCH($I470,生物种群!$B$3:INDEX(生物种群!$B:$B,COUNTA(生物种群!$B:$B)),),))</f>
        <v/>
      </c>
      <c r="M470" s="37" t="str">
        <f t="shared" si="14"/>
        <v/>
      </c>
      <c r="N470" s="37" t="str">
        <f t="shared" si="15"/>
        <v/>
      </c>
      <c r="O470" s="9"/>
      <c r="P470" s="10"/>
    </row>
    <row r="471" spans="1:16" ht="20.1" customHeight="1">
      <c r="A471" s="9"/>
      <c r="B471" s="9"/>
      <c r="C471" s="9"/>
      <c r="D471" s="43"/>
      <c r="E471" s="9"/>
      <c r="F471" s="9"/>
      <c r="G471" s="47" t="str">
        <f>IF(F471="","",INDEX(站位样品信息!$B$3:INDEX(站位样品信息!$B:$B,COUNTA(站位样品信息!$B:$B)+1),MATCH($F471,站位样品信息!$A$3:INDEX(站位样品信息!$A:$A,COUNTA(站位样品信息!$A:$A)+1),),))</f>
        <v/>
      </c>
      <c r="H471" s="37" t="str">
        <f>IF(A471&amp;B471&amp;C471="","",INDEX(生物种群!$A$2:INDEX(生物种群!$A:$A,COUNTA(生物种群!$A:$A)),MATCH($I471,生物种群!$B$2:INDEX(生物种群!$B:$B,COUNTA(生物种群!$B:$B)),),))</f>
        <v/>
      </c>
      <c r="I471" s="37" t="str">
        <f>IF(A471&amp;B471&amp;C471="","",IF($C471&lt;&gt;0,INDEX(生物种群!$B$2:INDEX(生物种群!$B:$B,COUNTA(生物种群!$B:$B)),MATCH($C471,生物种群!$G$2:INDEX(生物种群!$G:$G,COUNTA(生物种群!$G:$G)),),),IF($A471&lt;&gt;0,INDEX(生物种群!$B$2:INDEX(生物种群!$B:$B,COUNTA(生物种群!$B:$B)),MATCH($A471,生物种群!$C$2:INDEX(生物种群!$C:$C,COUNTA(生物种群!$C:$C)),),),INDEX(生物种群!$B$2:INDEX(生物种群!$B:$B,COUNTA(生物种群!$B:$B)),MATCH($B471,生物种群!$D$2:INDEX(生物种群!$D:$D,COUNTA(生物种群!$D:$D)),),))))</f>
        <v/>
      </c>
      <c r="J471" s="37" t="str">
        <f>IF(A471&amp;B471&amp;C471="","",INDEX(生物种群!$J$2:INDEX(生物种群!$J:$J,COUNTA(生物种群!$J:$J)),MATCH($I471,生物种群!$B$2:INDEX(生物种群!$B:$B,COUNTA(生物种群!$B:$B)),),))</f>
        <v/>
      </c>
      <c r="K471" s="37" t="str">
        <f>IF(A471&amp;B471&amp;C471="","",INDEX(生物种群!$E$2:INDEX(生物种群!$E:$E,COUNTA(生物种群!$E:$E)),MATCH($I471,生物种群!$B$2:INDEX(生物种群!$B:$B,COUNTA(生物种群!$B:$B)),),))</f>
        <v/>
      </c>
      <c r="L471" s="37" t="str">
        <f>IF(A471&amp;B471&amp;C471="","",INDEX(生物种群!$F$3:INDEX(生物种群!$F:$F,COUNTA(生物种群!$F:$F)),MATCH($I471,生物种群!$B$3:INDEX(生物种群!$B:$B,COUNTA(生物种群!$B:$B)),),))</f>
        <v/>
      </c>
      <c r="M471" s="37" t="str">
        <f t="shared" si="14"/>
        <v/>
      </c>
      <c r="N471" s="37" t="str">
        <f t="shared" si="15"/>
        <v/>
      </c>
      <c r="O471" s="9"/>
      <c r="P471" s="10"/>
    </row>
    <row r="472" spans="1:16" ht="20.1" customHeight="1">
      <c r="A472" s="9"/>
      <c r="B472" s="9"/>
      <c r="C472" s="9"/>
      <c r="D472" s="43"/>
      <c r="E472" s="9"/>
      <c r="F472" s="9"/>
      <c r="G472" s="47" t="str">
        <f>IF(F472="","",INDEX(站位样品信息!$B$3:INDEX(站位样品信息!$B:$B,COUNTA(站位样品信息!$B:$B)+1),MATCH($F472,站位样品信息!$A$3:INDEX(站位样品信息!$A:$A,COUNTA(站位样品信息!$A:$A)+1),),))</f>
        <v/>
      </c>
      <c r="H472" s="37" t="str">
        <f>IF(A472&amp;B472&amp;C472="","",INDEX(生物种群!$A$2:INDEX(生物种群!$A:$A,COUNTA(生物种群!$A:$A)),MATCH($I472,生物种群!$B$2:INDEX(生物种群!$B:$B,COUNTA(生物种群!$B:$B)),),))</f>
        <v/>
      </c>
      <c r="I472" s="37" t="str">
        <f>IF(A472&amp;B472&amp;C472="","",IF($C472&lt;&gt;0,INDEX(生物种群!$B$2:INDEX(生物种群!$B:$B,COUNTA(生物种群!$B:$B)),MATCH($C472,生物种群!$G$2:INDEX(生物种群!$G:$G,COUNTA(生物种群!$G:$G)),),),IF($A472&lt;&gt;0,INDEX(生物种群!$B$2:INDEX(生物种群!$B:$B,COUNTA(生物种群!$B:$B)),MATCH($A472,生物种群!$C$2:INDEX(生物种群!$C:$C,COUNTA(生物种群!$C:$C)),),),INDEX(生物种群!$B$2:INDEX(生物种群!$B:$B,COUNTA(生物种群!$B:$B)),MATCH($B472,生物种群!$D$2:INDEX(生物种群!$D:$D,COUNTA(生物种群!$D:$D)),),))))</f>
        <v/>
      </c>
      <c r="J472" s="37" t="str">
        <f>IF(A472&amp;B472&amp;C472="","",INDEX(生物种群!$J$2:INDEX(生物种群!$J:$J,COUNTA(生物种群!$J:$J)),MATCH($I472,生物种群!$B$2:INDEX(生物种群!$B:$B,COUNTA(生物种群!$B:$B)),),))</f>
        <v/>
      </c>
      <c r="K472" s="37" t="str">
        <f>IF(A472&amp;B472&amp;C472="","",INDEX(生物种群!$E$2:INDEX(生物种群!$E:$E,COUNTA(生物种群!$E:$E)),MATCH($I472,生物种群!$B$2:INDEX(生物种群!$B:$B,COUNTA(生物种群!$B:$B)),),))</f>
        <v/>
      </c>
      <c r="L472" s="37" t="str">
        <f>IF(A472&amp;B472&amp;C472="","",INDEX(生物种群!$F$3:INDEX(生物种群!$F:$F,COUNTA(生物种群!$F:$F)),MATCH($I472,生物种群!$B$3:INDEX(生物种群!$B:$B,COUNTA(生物种群!$B:$B)),),))</f>
        <v/>
      </c>
      <c r="M472" s="37" t="str">
        <f t="shared" si="14"/>
        <v/>
      </c>
      <c r="N472" s="37" t="str">
        <f t="shared" si="15"/>
        <v/>
      </c>
      <c r="O472" s="9"/>
      <c r="P472" s="10"/>
    </row>
    <row r="473" spans="1:16" ht="20.1" customHeight="1">
      <c r="A473" s="9"/>
      <c r="B473" s="9"/>
      <c r="C473" s="9"/>
      <c r="D473" s="43"/>
      <c r="E473" s="9"/>
      <c r="F473" s="9"/>
      <c r="G473" s="47" t="str">
        <f>IF(F473="","",INDEX(站位样品信息!$B$3:INDEX(站位样品信息!$B:$B,COUNTA(站位样品信息!$B:$B)+1),MATCH($F473,站位样品信息!$A$3:INDEX(站位样品信息!$A:$A,COUNTA(站位样品信息!$A:$A)+1),),))</f>
        <v/>
      </c>
      <c r="H473" s="37" t="str">
        <f>IF(A473&amp;B473&amp;C473="","",INDEX(生物种群!$A$2:INDEX(生物种群!$A:$A,COUNTA(生物种群!$A:$A)),MATCH($I473,生物种群!$B$2:INDEX(生物种群!$B:$B,COUNTA(生物种群!$B:$B)),),))</f>
        <v/>
      </c>
      <c r="I473" s="37" t="str">
        <f>IF(A473&amp;B473&amp;C473="","",IF($C473&lt;&gt;0,INDEX(生物种群!$B$2:INDEX(生物种群!$B:$B,COUNTA(生物种群!$B:$B)),MATCH($C473,生物种群!$G$2:INDEX(生物种群!$G:$G,COUNTA(生物种群!$G:$G)),),),IF($A473&lt;&gt;0,INDEX(生物种群!$B$2:INDEX(生物种群!$B:$B,COUNTA(生物种群!$B:$B)),MATCH($A473,生物种群!$C$2:INDEX(生物种群!$C:$C,COUNTA(生物种群!$C:$C)),),),INDEX(生物种群!$B$2:INDEX(生物种群!$B:$B,COUNTA(生物种群!$B:$B)),MATCH($B473,生物种群!$D$2:INDEX(生物种群!$D:$D,COUNTA(生物种群!$D:$D)),),))))</f>
        <v/>
      </c>
      <c r="J473" s="37" t="str">
        <f>IF(A473&amp;B473&amp;C473="","",INDEX(生物种群!$J$2:INDEX(生物种群!$J:$J,COUNTA(生物种群!$J:$J)),MATCH($I473,生物种群!$B$2:INDEX(生物种群!$B:$B,COUNTA(生物种群!$B:$B)),),))</f>
        <v/>
      </c>
      <c r="K473" s="37" t="str">
        <f>IF(A473&amp;B473&amp;C473="","",INDEX(生物种群!$E$2:INDEX(生物种群!$E:$E,COUNTA(生物种群!$E:$E)),MATCH($I473,生物种群!$B$2:INDEX(生物种群!$B:$B,COUNTA(生物种群!$B:$B)),),))</f>
        <v/>
      </c>
      <c r="L473" s="37" t="str">
        <f>IF(A473&amp;B473&amp;C473="","",INDEX(生物种群!$F$3:INDEX(生物种群!$F:$F,COUNTA(生物种群!$F:$F)),MATCH($I473,生物种群!$B$3:INDEX(生物种群!$B:$B,COUNTA(生物种群!$B:$B)),),))</f>
        <v/>
      </c>
      <c r="M473" s="37" t="str">
        <f t="shared" si="14"/>
        <v/>
      </c>
      <c r="N473" s="37" t="str">
        <f t="shared" si="15"/>
        <v/>
      </c>
      <c r="O473" s="9"/>
      <c r="P473" s="10"/>
    </row>
    <row r="474" spans="1:16" ht="20.1" customHeight="1">
      <c r="A474" s="9"/>
      <c r="B474" s="9"/>
      <c r="C474" s="9"/>
      <c r="D474" s="43"/>
      <c r="E474" s="9"/>
      <c r="F474" s="9"/>
      <c r="G474" s="47" t="str">
        <f>IF(F474="","",INDEX(站位样品信息!$B$3:INDEX(站位样品信息!$B:$B,COUNTA(站位样品信息!$B:$B)+1),MATCH($F474,站位样品信息!$A$3:INDEX(站位样品信息!$A:$A,COUNTA(站位样品信息!$A:$A)+1),),))</f>
        <v/>
      </c>
      <c r="H474" s="37" t="str">
        <f>IF(A474&amp;B474&amp;C474="","",INDEX(生物种群!$A$2:INDEX(生物种群!$A:$A,COUNTA(生物种群!$A:$A)),MATCH($I474,生物种群!$B$2:INDEX(生物种群!$B:$B,COUNTA(生物种群!$B:$B)),),))</f>
        <v/>
      </c>
      <c r="I474" s="37" t="str">
        <f>IF(A474&amp;B474&amp;C474="","",IF($C474&lt;&gt;0,INDEX(生物种群!$B$2:INDEX(生物种群!$B:$B,COUNTA(生物种群!$B:$B)),MATCH($C474,生物种群!$G$2:INDEX(生物种群!$G:$G,COUNTA(生物种群!$G:$G)),),),IF($A474&lt;&gt;0,INDEX(生物种群!$B$2:INDEX(生物种群!$B:$B,COUNTA(生物种群!$B:$B)),MATCH($A474,生物种群!$C$2:INDEX(生物种群!$C:$C,COUNTA(生物种群!$C:$C)),),),INDEX(生物种群!$B$2:INDEX(生物种群!$B:$B,COUNTA(生物种群!$B:$B)),MATCH($B474,生物种群!$D$2:INDEX(生物种群!$D:$D,COUNTA(生物种群!$D:$D)),),))))</f>
        <v/>
      </c>
      <c r="J474" s="37" t="str">
        <f>IF(A474&amp;B474&amp;C474="","",INDEX(生物种群!$J$2:INDEX(生物种群!$J:$J,COUNTA(生物种群!$J:$J)),MATCH($I474,生物种群!$B$2:INDEX(生物种群!$B:$B,COUNTA(生物种群!$B:$B)),),))</f>
        <v/>
      </c>
      <c r="K474" s="37" t="str">
        <f>IF(A474&amp;B474&amp;C474="","",INDEX(生物种群!$E$2:INDEX(生物种群!$E:$E,COUNTA(生物种群!$E:$E)),MATCH($I474,生物种群!$B$2:INDEX(生物种群!$B:$B,COUNTA(生物种群!$B:$B)),),))</f>
        <v/>
      </c>
      <c r="L474" s="37" t="str">
        <f>IF(A474&amp;B474&amp;C474="","",INDEX(生物种群!$F$3:INDEX(生物种群!$F:$F,COUNTA(生物种群!$F:$F)),MATCH($I474,生物种群!$B$3:INDEX(生物种群!$B:$B,COUNTA(生物种群!$B:$B)),),))</f>
        <v/>
      </c>
      <c r="M474" s="37" t="str">
        <f t="shared" si="14"/>
        <v/>
      </c>
      <c r="N474" s="37" t="str">
        <f t="shared" si="15"/>
        <v/>
      </c>
      <c r="O474" s="9"/>
      <c r="P474" s="10"/>
    </row>
    <row r="475" spans="1:16" ht="20.1" customHeight="1">
      <c r="A475" s="9"/>
      <c r="B475" s="9"/>
      <c r="C475" s="9"/>
      <c r="D475" s="43"/>
      <c r="E475" s="9"/>
      <c r="F475" s="9"/>
      <c r="G475" s="47" t="str">
        <f>IF(F475="","",INDEX(站位样品信息!$B$3:INDEX(站位样品信息!$B:$B,COUNTA(站位样品信息!$B:$B)+1),MATCH($F475,站位样品信息!$A$3:INDEX(站位样品信息!$A:$A,COUNTA(站位样品信息!$A:$A)+1),),))</f>
        <v/>
      </c>
      <c r="H475" s="37" t="str">
        <f>IF(A475&amp;B475&amp;C475="","",INDEX(生物种群!$A$2:INDEX(生物种群!$A:$A,COUNTA(生物种群!$A:$A)),MATCH($I475,生物种群!$B$2:INDEX(生物种群!$B:$B,COUNTA(生物种群!$B:$B)),),))</f>
        <v/>
      </c>
      <c r="I475" s="37" t="str">
        <f>IF(A475&amp;B475&amp;C475="","",IF($C475&lt;&gt;0,INDEX(生物种群!$B$2:INDEX(生物种群!$B:$B,COUNTA(生物种群!$B:$B)),MATCH($C475,生物种群!$G$2:INDEX(生物种群!$G:$G,COUNTA(生物种群!$G:$G)),),),IF($A475&lt;&gt;0,INDEX(生物种群!$B$2:INDEX(生物种群!$B:$B,COUNTA(生物种群!$B:$B)),MATCH($A475,生物种群!$C$2:INDEX(生物种群!$C:$C,COUNTA(生物种群!$C:$C)),),),INDEX(生物种群!$B$2:INDEX(生物种群!$B:$B,COUNTA(生物种群!$B:$B)),MATCH($B475,生物种群!$D$2:INDEX(生物种群!$D:$D,COUNTA(生物种群!$D:$D)),),))))</f>
        <v/>
      </c>
      <c r="J475" s="37" t="str">
        <f>IF(A475&amp;B475&amp;C475="","",INDEX(生物种群!$J$2:INDEX(生物种群!$J:$J,COUNTA(生物种群!$J:$J)),MATCH($I475,生物种群!$B$2:INDEX(生物种群!$B:$B,COUNTA(生物种群!$B:$B)),),))</f>
        <v/>
      </c>
      <c r="K475" s="37" t="str">
        <f>IF(A475&amp;B475&amp;C475="","",INDEX(生物种群!$E$2:INDEX(生物种群!$E:$E,COUNTA(生物种群!$E:$E)),MATCH($I475,生物种群!$B$2:INDEX(生物种群!$B:$B,COUNTA(生物种群!$B:$B)),),))</f>
        <v/>
      </c>
      <c r="L475" s="37" t="str">
        <f>IF(A475&amp;B475&amp;C475="","",INDEX(生物种群!$F$3:INDEX(生物种群!$F:$F,COUNTA(生物种群!$F:$F)),MATCH($I475,生物种群!$B$3:INDEX(生物种群!$B:$B,COUNTA(生物种群!$B:$B)),),))</f>
        <v/>
      </c>
      <c r="M475" s="37" t="str">
        <f t="shared" si="14"/>
        <v/>
      </c>
      <c r="N475" s="37" t="str">
        <f t="shared" si="15"/>
        <v/>
      </c>
      <c r="O475" s="9"/>
      <c r="P475" s="10"/>
    </row>
    <row r="476" spans="1:16" ht="20.1" customHeight="1">
      <c r="A476" s="9"/>
      <c r="B476" s="9"/>
      <c r="C476" s="9"/>
      <c r="D476" s="43"/>
      <c r="E476" s="9"/>
      <c r="F476" s="9"/>
      <c r="G476" s="47" t="str">
        <f>IF(F476="","",INDEX(站位样品信息!$B$3:INDEX(站位样品信息!$B:$B,COUNTA(站位样品信息!$B:$B)+1),MATCH($F476,站位样品信息!$A$3:INDEX(站位样品信息!$A:$A,COUNTA(站位样品信息!$A:$A)+1),),))</f>
        <v/>
      </c>
      <c r="H476" s="37" t="str">
        <f>IF(A476&amp;B476&amp;C476="","",INDEX(生物种群!$A$2:INDEX(生物种群!$A:$A,COUNTA(生物种群!$A:$A)),MATCH($I476,生物种群!$B$2:INDEX(生物种群!$B:$B,COUNTA(生物种群!$B:$B)),),))</f>
        <v/>
      </c>
      <c r="I476" s="37" t="str">
        <f>IF(A476&amp;B476&amp;C476="","",IF($C476&lt;&gt;0,INDEX(生物种群!$B$2:INDEX(生物种群!$B:$B,COUNTA(生物种群!$B:$B)),MATCH($C476,生物种群!$G$2:INDEX(生物种群!$G:$G,COUNTA(生物种群!$G:$G)),),),IF($A476&lt;&gt;0,INDEX(生物种群!$B$2:INDEX(生物种群!$B:$B,COUNTA(生物种群!$B:$B)),MATCH($A476,生物种群!$C$2:INDEX(生物种群!$C:$C,COUNTA(生物种群!$C:$C)),),),INDEX(生物种群!$B$2:INDEX(生物种群!$B:$B,COUNTA(生物种群!$B:$B)),MATCH($B476,生物种群!$D$2:INDEX(生物种群!$D:$D,COUNTA(生物种群!$D:$D)),),))))</f>
        <v/>
      </c>
      <c r="J476" s="37" t="str">
        <f>IF(A476&amp;B476&amp;C476="","",INDEX(生物种群!$J$2:INDEX(生物种群!$J:$J,COUNTA(生物种群!$J:$J)),MATCH($I476,生物种群!$B$2:INDEX(生物种群!$B:$B,COUNTA(生物种群!$B:$B)),),))</f>
        <v/>
      </c>
      <c r="K476" s="37" t="str">
        <f>IF(A476&amp;B476&amp;C476="","",INDEX(生物种群!$E$2:INDEX(生物种群!$E:$E,COUNTA(生物种群!$E:$E)),MATCH($I476,生物种群!$B$2:INDEX(生物种群!$B:$B,COUNTA(生物种群!$B:$B)),),))</f>
        <v/>
      </c>
      <c r="L476" s="37" t="str">
        <f>IF(A476&amp;B476&amp;C476="","",INDEX(生物种群!$F$3:INDEX(生物种群!$F:$F,COUNTA(生物种群!$F:$F)),MATCH($I476,生物种群!$B$3:INDEX(生物种群!$B:$B,COUNTA(生物种群!$B:$B)),),))</f>
        <v/>
      </c>
      <c r="M476" s="37" t="str">
        <f t="shared" si="14"/>
        <v/>
      </c>
      <c r="N476" s="37" t="str">
        <f t="shared" si="15"/>
        <v/>
      </c>
      <c r="O476" s="9"/>
      <c r="P476" s="10"/>
    </row>
    <row r="477" spans="1:16" ht="20.1" customHeight="1">
      <c r="A477" s="9"/>
      <c r="B477" s="9"/>
      <c r="C477" s="9"/>
      <c r="D477" s="43"/>
      <c r="E477" s="9"/>
      <c r="F477" s="9"/>
      <c r="G477" s="47" t="str">
        <f>IF(F477="","",INDEX(站位样品信息!$B$3:INDEX(站位样品信息!$B:$B,COUNTA(站位样品信息!$B:$B)+1),MATCH($F477,站位样品信息!$A$3:INDEX(站位样品信息!$A:$A,COUNTA(站位样品信息!$A:$A)+1),),))</f>
        <v/>
      </c>
      <c r="H477" s="37" t="str">
        <f>IF(A477&amp;B477&amp;C477="","",INDEX(生物种群!$A$2:INDEX(生物种群!$A:$A,COUNTA(生物种群!$A:$A)),MATCH($I477,生物种群!$B$2:INDEX(生物种群!$B:$B,COUNTA(生物种群!$B:$B)),),))</f>
        <v/>
      </c>
      <c r="I477" s="37" t="str">
        <f>IF(A477&amp;B477&amp;C477="","",IF($C477&lt;&gt;0,INDEX(生物种群!$B$2:INDEX(生物种群!$B:$B,COUNTA(生物种群!$B:$B)),MATCH($C477,生物种群!$G$2:INDEX(生物种群!$G:$G,COUNTA(生物种群!$G:$G)),),),IF($A477&lt;&gt;0,INDEX(生物种群!$B$2:INDEX(生物种群!$B:$B,COUNTA(生物种群!$B:$B)),MATCH($A477,生物种群!$C$2:INDEX(生物种群!$C:$C,COUNTA(生物种群!$C:$C)),),),INDEX(生物种群!$B$2:INDEX(生物种群!$B:$B,COUNTA(生物种群!$B:$B)),MATCH($B477,生物种群!$D$2:INDEX(生物种群!$D:$D,COUNTA(生物种群!$D:$D)),),))))</f>
        <v/>
      </c>
      <c r="J477" s="37" t="str">
        <f>IF(A477&amp;B477&amp;C477="","",INDEX(生物种群!$J$2:INDEX(生物种群!$J:$J,COUNTA(生物种群!$J:$J)),MATCH($I477,生物种群!$B$2:INDEX(生物种群!$B:$B,COUNTA(生物种群!$B:$B)),),))</f>
        <v/>
      </c>
      <c r="K477" s="37" t="str">
        <f>IF(A477&amp;B477&amp;C477="","",INDEX(生物种群!$E$2:INDEX(生物种群!$E:$E,COUNTA(生物种群!$E:$E)),MATCH($I477,生物种群!$B$2:INDEX(生物种群!$B:$B,COUNTA(生物种群!$B:$B)),),))</f>
        <v/>
      </c>
      <c r="L477" s="37" t="str">
        <f>IF(A477&amp;B477&amp;C477="","",INDEX(生物种群!$F$3:INDEX(生物种群!$F:$F,COUNTA(生物种群!$F:$F)),MATCH($I477,生物种群!$B$3:INDEX(生物种群!$B:$B,COUNTA(生物种群!$B:$B)),),))</f>
        <v/>
      </c>
      <c r="M477" s="37" t="str">
        <f t="shared" si="14"/>
        <v/>
      </c>
      <c r="N477" s="37" t="str">
        <f t="shared" si="15"/>
        <v/>
      </c>
      <c r="O477" s="9"/>
      <c r="P477" s="10"/>
    </row>
    <row r="478" spans="1:16" ht="20.1" customHeight="1">
      <c r="A478" s="9"/>
      <c r="B478" s="9"/>
      <c r="C478" s="9"/>
      <c r="D478" s="43"/>
      <c r="E478" s="9"/>
      <c r="F478" s="9"/>
      <c r="G478" s="47" t="str">
        <f>IF(F478="","",INDEX(站位样品信息!$B$3:INDEX(站位样品信息!$B:$B,COUNTA(站位样品信息!$B:$B)+1),MATCH($F478,站位样品信息!$A$3:INDEX(站位样品信息!$A:$A,COUNTA(站位样品信息!$A:$A)+1),),))</f>
        <v/>
      </c>
      <c r="H478" s="37" t="str">
        <f>IF(A478&amp;B478&amp;C478="","",INDEX(生物种群!$A$2:INDEX(生物种群!$A:$A,COUNTA(生物种群!$A:$A)),MATCH($I478,生物种群!$B$2:INDEX(生物种群!$B:$B,COUNTA(生物种群!$B:$B)),),))</f>
        <v/>
      </c>
      <c r="I478" s="37" t="str">
        <f>IF(A478&amp;B478&amp;C478="","",IF($C478&lt;&gt;0,INDEX(生物种群!$B$2:INDEX(生物种群!$B:$B,COUNTA(生物种群!$B:$B)),MATCH($C478,生物种群!$G$2:INDEX(生物种群!$G:$G,COUNTA(生物种群!$G:$G)),),),IF($A478&lt;&gt;0,INDEX(生物种群!$B$2:INDEX(生物种群!$B:$B,COUNTA(生物种群!$B:$B)),MATCH($A478,生物种群!$C$2:INDEX(生物种群!$C:$C,COUNTA(生物种群!$C:$C)),),),INDEX(生物种群!$B$2:INDEX(生物种群!$B:$B,COUNTA(生物种群!$B:$B)),MATCH($B478,生物种群!$D$2:INDEX(生物种群!$D:$D,COUNTA(生物种群!$D:$D)),),))))</f>
        <v/>
      </c>
      <c r="J478" s="37" t="str">
        <f>IF(A478&amp;B478&amp;C478="","",INDEX(生物种群!$J$2:INDEX(生物种群!$J:$J,COUNTA(生物种群!$J:$J)),MATCH($I478,生物种群!$B$2:INDEX(生物种群!$B:$B,COUNTA(生物种群!$B:$B)),),))</f>
        <v/>
      </c>
      <c r="K478" s="37" t="str">
        <f>IF(A478&amp;B478&amp;C478="","",INDEX(生物种群!$E$2:INDEX(生物种群!$E:$E,COUNTA(生物种群!$E:$E)),MATCH($I478,生物种群!$B$2:INDEX(生物种群!$B:$B,COUNTA(生物种群!$B:$B)),),))</f>
        <v/>
      </c>
      <c r="L478" s="37" t="str">
        <f>IF(A478&amp;B478&amp;C478="","",INDEX(生物种群!$F$3:INDEX(生物种群!$F:$F,COUNTA(生物种群!$F:$F)),MATCH($I478,生物种群!$B$3:INDEX(生物种群!$B:$B,COUNTA(生物种群!$B:$B)),),))</f>
        <v/>
      </c>
      <c r="M478" s="37" t="str">
        <f t="shared" si="14"/>
        <v/>
      </c>
      <c r="N478" s="37" t="str">
        <f t="shared" si="15"/>
        <v/>
      </c>
      <c r="O478" s="9"/>
      <c r="P478" s="10"/>
    </row>
    <row r="479" spans="1:16" ht="20.1" customHeight="1">
      <c r="A479" s="9"/>
      <c r="B479" s="9"/>
      <c r="C479" s="9"/>
      <c r="D479" s="43"/>
      <c r="E479" s="9"/>
      <c r="F479" s="9"/>
      <c r="G479" s="47" t="str">
        <f>IF(F479="","",INDEX(站位样品信息!$B$3:INDEX(站位样品信息!$B:$B,COUNTA(站位样品信息!$B:$B)+1),MATCH($F479,站位样品信息!$A$3:INDEX(站位样品信息!$A:$A,COUNTA(站位样品信息!$A:$A)+1),),))</f>
        <v/>
      </c>
      <c r="H479" s="37" t="str">
        <f>IF(A479&amp;B479&amp;C479="","",INDEX(生物种群!$A$2:INDEX(生物种群!$A:$A,COUNTA(生物种群!$A:$A)),MATCH($I479,生物种群!$B$2:INDEX(生物种群!$B:$B,COUNTA(生物种群!$B:$B)),),))</f>
        <v/>
      </c>
      <c r="I479" s="37" t="str">
        <f>IF(A479&amp;B479&amp;C479="","",IF($C479&lt;&gt;0,INDEX(生物种群!$B$2:INDEX(生物种群!$B:$B,COUNTA(生物种群!$B:$B)),MATCH($C479,生物种群!$G$2:INDEX(生物种群!$G:$G,COUNTA(生物种群!$G:$G)),),),IF($A479&lt;&gt;0,INDEX(生物种群!$B$2:INDEX(生物种群!$B:$B,COUNTA(生物种群!$B:$B)),MATCH($A479,生物种群!$C$2:INDEX(生物种群!$C:$C,COUNTA(生物种群!$C:$C)),),),INDEX(生物种群!$B$2:INDEX(生物种群!$B:$B,COUNTA(生物种群!$B:$B)),MATCH($B479,生物种群!$D$2:INDEX(生物种群!$D:$D,COUNTA(生物种群!$D:$D)),),))))</f>
        <v/>
      </c>
      <c r="J479" s="37" t="str">
        <f>IF(A479&amp;B479&amp;C479="","",INDEX(生物种群!$J$2:INDEX(生物种群!$J:$J,COUNTA(生物种群!$J:$J)),MATCH($I479,生物种群!$B$2:INDEX(生物种群!$B:$B,COUNTA(生物种群!$B:$B)),),))</f>
        <v/>
      </c>
      <c r="K479" s="37" t="str">
        <f>IF(A479&amp;B479&amp;C479="","",INDEX(生物种群!$E$2:INDEX(生物种群!$E:$E,COUNTA(生物种群!$E:$E)),MATCH($I479,生物种群!$B$2:INDEX(生物种群!$B:$B,COUNTA(生物种群!$B:$B)),),))</f>
        <v/>
      </c>
      <c r="L479" s="37" t="str">
        <f>IF(A479&amp;B479&amp;C479="","",INDEX(生物种群!$F$3:INDEX(生物种群!$F:$F,COUNTA(生物种群!$F:$F)),MATCH($I479,生物种群!$B$3:INDEX(生物种群!$B:$B,COUNTA(生物种群!$B:$B)),),))</f>
        <v/>
      </c>
      <c r="M479" s="37" t="str">
        <f t="shared" si="14"/>
        <v/>
      </c>
      <c r="N479" s="37" t="str">
        <f t="shared" si="15"/>
        <v/>
      </c>
      <c r="O479" s="9"/>
      <c r="P479" s="10"/>
    </row>
    <row r="480" spans="1:16" ht="20.1" customHeight="1">
      <c r="A480" s="9"/>
      <c r="B480" s="9"/>
      <c r="C480" s="9"/>
      <c r="D480" s="43"/>
      <c r="E480" s="9"/>
      <c r="F480" s="9"/>
      <c r="G480" s="47" t="str">
        <f>IF(F480="","",INDEX(站位样品信息!$B$3:INDEX(站位样品信息!$B:$B,COUNTA(站位样品信息!$B:$B)+1),MATCH($F480,站位样品信息!$A$3:INDEX(站位样品信息!$A:$A,COUNTA(站位样品信息!$A:$A)+1),),))</f>
        <v/>
      </c>
      <c r="H480" s="37" t="str">
        <f>IF(A480&amp;B480&amp;C480="","",INDEX(生物种群!$A$2:INDEX(生物种群!$A:$A,COUNTA(生物种群!$A:$A)),MATCH($I480,生物种群!$B$2:INDEX(生物种群!$B:$B,COUNTA(生物种群!$B:$B)),),))</f>
        <v/>
      </c>
      <c r="I480" s="37" t="str">
        <f>IF(A480&amp;B480&amp;C480="","",IF($C480&lt;&gt;0,INDEX(生物种群!$B$2:INDEX(生物种群!$B:$B,COUNTA(生物种群!$B:$B)),MATCH($C480,生物种群!$G$2:INDEX(生物种群!$G:$G,COUNTA(生物种群!$G:$G)),),),IF($A480&lt;&gt;0,INDEX(生物种群!$B$2:INDEX(生物种群!$B:$B,COUNTA(生物种群!$B:$B)),MATCH($A480,生物种群!$C$2:INDEX(生物种群!$C:$C,COUNTA(生物种群!$C:$C)),),),INDEX(生物种群!$B$2:INDEX(生物种群!$B:$B,COUNTA(生物种群!$B:$B)),MATCH($B480,生物种群!$D$2:INDEX(生物种群!$D:$D,COUNTA(生物种群!$D:$D)),),))))</f>
        <v/>
      </c>
      <c r="J480" s="37" t="str">
        <f>IF(A480&amp;B480&amp;C480="","",INDEX(生物种群!$J$2:INDEX(生物种群!$J:$J,COUNTA(生物种群!$J:$J)),MATCH($I480,生物种群!$B$2:INDEX(生物种群!$B:$B,COUNTA(生物种群!$B:$B)),),))</f>
        <v/>
      </c>
      <c r="K480" s="37" t="str">
        <f>IF(A480&amp;B480&amp;C480="","",INDEX(生物种群!$E$2:INDEX(生物种群!$E:$E,COUNTA(生物种群!$E:$E)),MATCH($I480,生物种群!$B$2:INDEX(生物种群!$B:$B,COUNTA(生物种群!$B:$B)),),))</f>
        <v/>
      </c>
      <c r="L480" s="37" t="str">
        <f>IF(A480&amp;B480&amp;C480="","",INDEX(生物种群!$F$3:INDEX(生物种群!$F:$F,COUNTA(生物种群!$F:$F)),MATCH($I480,生物种群!$B$3:INDEX(生物种群!$B:$B,COUNTA(生物种群!$B:$B)),),))</f>
        <v/>
      </c>
      <c r="M480" s="37" t="str">
        <f t="shared" si="14"/>
        <v/>
      </c>
      <c r="N480" s="37" t="str">
        <f t="shared" si="15"/>
        <v/>
      </c>
      <c r="O480" s="9"/>
      <c r="P480" s="10"/>
    </row>
    <row r="481" spans="1:16" ht="20.1" customHeight="1">
      <c r="A481" s="9"/>
      <c r="B481" s="9"/>
      <c r="C481" s="9"/>
      <c r="D481" s="43"/>
      <c r="E481" s="9"/>
      <c r="F481" s="9"/>
      <c r="G481" s="47" t="str">
        <f>IF(F481="","",INDEX(站位样品信息!$B$3:INDEX(站位样品信息!$B:$B,COUNTA(站位样品信息!$B:$B)+1),MATCH($F481,站位样品信息!$A$3:INDEX(站位样品信息!$A:$A,COUNTA(站位样品信息!$A:$A)+1),),))</f>
        <v/>
      </c>
      <c r="H481" s="37" t="str">
        <f>IF(A481&amp;B481&amp;C481="","",INDEX(生物种群!$A$2:INDEX(生物种群!$A:$A,COUNTA(生物种群!$A:$A)),MATCH($I481,生物种群!$B$2:INDEX(生物种群!$B:$B,COUNTA(生物种群!$B:$B)),),))</f>
        <v/>
      </c>
      <c r="I481" s="37" t="str">
        <f>IF(A481&amp;B481&amp;C481="","",IF($C481&lt;&gt;0,INDEX(生物种群!$B$2:INDEX(生物种群!$B:$B,COUNTA(生物种群!$B:$B)),MATCH($C481,生物种群!$G$2:INDEX(生物种群!$G:$G,COUNTA(生物种群!$G:$G)),),),IF($A481&lt;&gt;0,INDEX(生物种群!$B$2:INDEX(生物种群!$B:$B,COUNTA(生物种群!$B:$B)),MATCH($A481,生物种群!$C$2:INDEX(生物种群!$C:$C,COUNTA(生物种群!$C:$C)),),),INDEX(生物种群!$B$2:INDEX(生物种群!$B:$B,COUNTA(生物种群!$B:$B)),MATCH($B481,生物种群!$D$2:INDEX(生物种群!$D:$D,COUNTA(生物种群!$D:$D)),),))))</f>
        <v/>
      </c>
      <c r="J481" s="37" t="str">
        <f>IF(A481&amp;B481&amp;C481="","",INDEX(生物种群!$J$2:INDEX(生物种群!$J:$J,COUNTA(生物种群!$J:$J)),MATCH($I481,生物种群!$B$2:INDEX(生物种群!$B:$B,COUNTA(生物种群!$B:$B)),),))</f>
        <v/>
      </c>
      <c r="K481" s="37" t="str">
        <f>IF(A481&amp;B481&amp;C481="","",INDEX(生物种群!$E$2:INDEX(生物种群!$E:$E,COUNTA(生物种群!$E:$E)),MATCH($I481,生物种群!$B$2:INDEX(生物种群!$B:$B,COUNTA(生物种群!$B:$B)),),))</f>
        <v/>
      </c>
      <c r="L481" s="37" t="str">
        <f>IF(A481&amp;B481&amp;C481="","",INDEX(生物种群!$F$3:INDEX(生物种群!$F:$F,COUNTA(生物种群!$F:$F)),MATCH($I481,生物种群!$B$3:INDEX(生物种群!$B:$B,COUNTA(生物种群!$B:$B)),),))</f>
        <v/>
      </c>
      <c r="M481" s="37" t="str">
        <f t="shared" si="14"/>
        <v/>
      </c>
      <c r="N481" s="37" t="str">
        <f t="shared" si="15"/>
        <v/>
      </c>
      <c r="O481" s="9"/>
      <c r="P481" s="10"/>
    </row>
    <row r="482" spans="1:16" ht="20.1" customHeight="1">
      <c r="A482" s="9"/>
      <c r="B482" s="9"/>
      <c r="C482" s="9"/>
      <c r="D482" s="43"/>
      <c r="E482" s="9"/>
      <c r="F482" s="9"/>
      <c r="G482" s="47" t="str">
        <f>IF(F482="","",INDEX(站位样品信息!$B$3:INDEX(站位样品信息!$B:$B,COUNTA(站位样品信息!$B:$B)+1),MATCH($F482,站位样品信息!$A$3:INDEX(站位样品信息!$A:$A,COUNTA(站位样品信息!$A:$A)+1),),))</f>
        <v/>
      </c>
      <c r="H482" s="37" t="str">
        <f>IF(A482&amp;B482&amp;C482="","",INDEX(生物种群!$A$2:INDEX(生物种群!$A:$A,COUNTA(生物种群!$A:$A)),MATCH($I482,生物种群!$B$2:INDEX(生物种群!$B:$B,COUNTA(生物种群!$B:$B)),),))</f>
        <v/>
      </c>
      <c r="I482" s="37" t="str">
        <f>IF(A482&amp;B482&amp;C482="","",IF($C482&lt;&gt;0,INDEX(生物种群!$B$2:INDEX(生物种群!$B:$B,COUNTA(生物种群!$B:$B)),MATCH($C482,生物种群!$G$2:INDEX(生物种群!$G:$G,COUNTA(生物种群!$G:$G)),),),IF($A482&lt;&gt;0,INDEX(生物种群!$B$2:INDEX(生物种群!$B:$B,COUNTA(生物种群!$B:$B)),MATCH($A482,生物种群!$C$2:INDEX(生物种群!$C:$C,COUNTA(生物种群!$C:$C)),),),INDEX(生物种群!$B$2:INDEX(生物种群!$B:$B,COUNTA(生物种群!$B:$B)),MATCH($B482,生物种群!$D$2:INDEX(生物种群!$D:$D,COUNTA(生物种群!$D:$D)),),))))</f>
        <v/>
      </c>
      <c r="J482" s="37" t="str">
        <f>IF(A482&amp;B482&amp;C482="","",INDEX(生物种群!$J$2:INDEX(生物种群!$J:$J,COUNTA(生物种群!$J:$J)),MATCH($I482,生物种群!$B$2:INDEX(生物种群!$B:$B,COUNTA(生物种群!$B:$B)),),))</f>
        <v/>
      </c>
      <c r="K482" s="37" t="str">
        <f>IF(A482&amp;B482&amp;C482="","",INDEX(生物种群!$E$2:INDEX(生物种群!$E:$E,COUNTA(生物种群!$E:$E)),MATCH($I482,生物种群!$B$2:INDEX(生物种群!$B:$B,COUNTA(生物种群!$B:$B)),),))</f>
        <v/>
      </c>
      <c r="L482" s="37" t="str">
        <f>IF(A482&amp;B482&amp;C482="","",INDEX(生物种群!$F$3:INDEX(生物种群!$F:$F,COUNTA(生物种群!$F:$F)),MATCH($I482,生物种群!$B$3:INDEX(生物种群!$B:$B,COUNTA(生物种群!$B:$B)),),))</f>
        <v/>
      </c>
      <c r="M482" s="37" t="str">
        <f t="shared" si="14"/>
        <v/>
      </c>
      <c r="N482" s="37" t="str">
        <f t="shared" si="15"/>
        <v/>
      </c>
      <c r="O482" s="9"/>
      <c r="P482" s="10"/>
    </row>
    <row r="483" spans="1:16" ht="20.1" customHeight="1">
      <c r="A483" s="9"/>
      <c r="B483" s="9"/>
      <c r="C483" s="9"/>
      <c r="D483" s="43"/>
      <c r="E483" s="9"/>
      <c r="F483" s="9"/>
      <c r="G483" s="47" t="str">
        <f>IF(F483="","",INDEX(站位样品信息!$B$3:INDEX(站位样品信息!$B:$B,COUNTA(站位样品信息!$B:$B)+1),MATCH($F483,站位样品信息!$A$3:INDEX(站位样品信息!$A:$A,COUNTA(站位样品信息!$A:$A)+1),),))</f>
        <v/>
      </c>
      <c r="H483" s="37" t="str">
        <f>IF(A483&amp;B483&amp;C483="","",INDEX(生物种群!$A$2:INDEX(生物种群!$A:$A,COUNTA(生物种群!$A:$A)),MATCH($I483,生物种群!$B$2:INDEX(生物种群!$B:$B,COUNTA(生物种群!$B:$B)),),))</f>
        <v/>
      </c>
      <c r="I483" s="37" t="str">
        <f>IF(A483&amp;B483&amp;C483="","",IF($C483&lt;&gt;0,INDEX(生物种群!$B$2:INDEX(生物种群!$B:$B,COUNTA(生物种群!$B:$B)),MATCH($C483,生物种群!$G$2:INDEX(生物种群!$G:$G,COUNTA(生物种群!$G:$G)),),),IF($A483&lt;&gt;0,INDEX(生物种群!$B$2:INDEX(生物种群!$B:$B,COUNTA(生物种群!$B:$B)),MATCH($A483,生物种群!$C$2:INDEX(生物种群!$C:$C,COUNTA(生物种群!$C:$C)),),),INDEX(生物种群!$B$2:INDEX(生物种群!$B:$B,COUNTA(生物种群!$B:$B)),MATCH($B483,生物种群!$D$2:INDEX(生物种群!$D:$D,COUNTA(生物种群!$D:$D)),),))))</f>
        <v/>
      </c>
      <c r="J483" s="37" t="str">
        <f>IF(A483&amp;B483&amp;C483="","",INDEX(生物种群!$J$2:INDEX(生物种群!$J:$J,COUNTA(生物种群!$J:$J)),MATCH($I483,生物种群!$B$2:INDEX(生物种群!$B:$B,COUNTA(生物种群!$B:$B)),),))</f>
        <v/>
      </c>
      <c r="K483" s="37" t="str">
        <f>IF(A483&amp;B483&amp;C483="","",INDEX(生物种群!$E$2:INDEX(生物种群!$E:$E,COUNTA(生物种群!$E:$E)),MATCH($I483,生物种群!$B$2:INDEX(生物种群!$B:$B,COUNTA(生物种群!$B:$B)),),))</f>
        <v/>
      </c>
      <c r="L483" s="37" t="str">
        <f>IF(A483&amp;B483&amp;C483="","",INDEX(生物种群!$F$3:INDEX(生物种群!$F:$F,COUNTA(生物种群!$F:$F)),MATCH($I483,生物种群!$B$3:INDEX(生物种群!$B:$B,COUNTA(生物种群!$B:$B)),),))</f>
        <v/>
      </c>
      <c r="M483" s="37" t="str">
        <f t="shared" si="14"/>
        <v/>
      </c>
      <c r="N483" s="37" t="str">
        <f t="shared" si="15"/>
        <v/>
      </c>
      <c r="O483" s="9"/>
      <c r="P483" s="10"/>
    </row>
    <row r="484" spans="1:16" ht="20.1" customHeight="1">
      <c r="A484" s="9"/>
      <c r="B484" s="9"/>
      <c r="C484" s="9"/>
      <c r="D484" s="43"/>
      <c r="E484" s="9"/>
      <c r="F484" s="9"/>
      <c r="G484" s="47" t="str">
        <f>IF(F484="","",INDEX(站位样品信息!$B$3:INDEX(站位样品信息!$B:$B,COUNTA(站位样品信息!$B:$B)+1),MATCH($F484,站位样品信息!$A$3:INDEX(站位样品信息!$A:$A,COUNTA(站位样品信息!$A:$A)+1),),))</f>
        <v/>
      </c>
      <c r="H484" s="37" t="str">
        <f>IF(A484&amp;B484&amp;C484="","",INDEX(生物种群!$A$2:INDEX(生物种群!$A:$A,COUNTA(生物种群!$A:$A)),MATCH($I484,生物种群!$B$2:INDEX(生物种群!$B:$B,COUNTA(生物种群!$B:$B)),),))</f>
        <v/>
      </c>
      <c r="I484" s="37" t="str">
        <f>IF(A484&amp;B484&amp;C484="","",IF($C484&lt;&gt;0,INDEX(生物种群!$B$2:INDEX(生物种群!$B:$B,COUNTA(生物种群!$B:$B)),MATCH($C484,生物种群!$G$2:INDEX(生物种群!$G:$G,COUNTA(生物种群!$G:$G)),),),IF($A484&lt;&gt;0,INDEX(生物种群!$B$2:INDEX(生物种群!$B:$B,COUNTA(生物种群!$B:$B)),MATCH($A484,生物种群!$C$2:INDEX(生物种群!$C:$C,COUNTA(生物种群!$C:$C)),),),INDEX(生物种群!$B$2:INDEX(生物种群!$B:$B,COUNTA(生物种群!$B:$B)),MATCH($B484,生物种群!$D$2:INDEX(生物种群!$D:$D,COUNTA(生物种群!$D:$D)),),))))</f>
        <v/>
      </c>
      <c r="J484" s="37" t="str">
        <f>IF(A484&amp;B484&amp;C484="","",INDEX(生物种群!$J$2:INDEX(生物种群!$J:$J,COUNTA(生物种群!$J:$J)),MATCH($I484,生物种群!$B$2:INDEX(生物种群!$B:$B,COUNTA(生物种群!$B:$B)),),))</f>
        <v/>
      </c>
      <c r="K484" s="37" t="str">
        <f>IF(A484&amp;B484&amp;C484="","",INDEX(生物种群!$E$2:INDEX(生物种群!$E:$E,COUNTA(生物种群!$E:$E)),MATCH($I484,生物种群!$B$2:INDEX(生物种群!$B:$B,COUNTA(生物种群!$B:$B)),),))</f>
        <v/>
      </c>
      <c r="L484" s="37" t="str">
        <f>IF(A484&amp;B484&amp;C484="","",INDEX(生物种群!$F$3:INDEX(生物种群!$F:$F,COUNTA(生物种群!$F:$F)),MATCH($I484,生物种群!$B$3:INDEX(生物种群!$B:$B,COUNTA(生物种群!$B:$B)),),))</f>
        <v/>
      </c>
      <c r="M484" s="37" t="str">
        <f t="shared" si="14"/>
        <v/>
      </c>
      <c r="N484" s="37" t="str">
        <f t="shared" si="15"/>
        <v/>
      </c>
      <c r="O484" s="9"/>
      <c r="P484" s="10"/>
    </row>
    <row r="485" spans="1:16" ht="20.1" customHeight="1">
      <c r="A485" s="9"/>
      <c r="B485" s="9"/>
      <c r="C485" s="9"/>
      <c r="D485" s="43"/>
      <c r="E485" s="9"/>
      <c r="F485" s="9"/>
      <c r="G485" s="47" t="str">
        <f>IF(F485="","",INDEX(站位样品信息!$B$3:INDEX(站位样品信息!$B:$B,COUNTA(站位样品信息!$B:$B)+1),MATCH($F485,站位样品信息!$A$3:INDEX(站位样品信息!$A:$A,COUNTA(站位样品信息!$A:$A)+1),),))</f>
        <v/>
      </c>
      <c r="H485" s="37" t="str">
        <f>IF(A485&amp;B485&amp;C485="","",INDEX(生物种群!$A$2:INDEX(生物种群!$A:$A,COUNTA(生物种群!$A:$A)),MATCH($I485,生物种群!$B$2:INDEX(生物种群!$B:$B,COUNTA(生物种群!$B:$B)),),))</f>
        <v/>
      </c>
      <c r="I485" s="37" t="str">
        <f>IF(A485&amp;B485&amp;C485="","",IF($C485&lt;&gt;0,INDEX(生物种群!$B$2:INDEX(生物种群!$B:$B,COUNTA(生物种群!$B:$B)),MATCH($C485,生物种群!$G$2:INDEX(生物种群!$G:$G,COUNTA(生物种群!$G:$G)),),),IF($A485&lt;&gt;0,INDEX(生物种群!$B$2:INDEX(生物种群!$B:$B,COUNTA(生物种群!$B:$B)),MATCH($A485,生物种群!$C$2:INDEX(生物种群!$C:$C,COUNTA(生物种群!$C:$C)),),),INDEX(生物种群!$B$2:INDEX(生物种群!$B:$B,COUNTA(生物种群!$B:$B)),MATCH($B485,生物种群!$D$2:INDEX(生物种群!$D:$D,COUNTA(生物种群!$D:$D)),),))))</f>
        <v/>
      </c>
      <c r="J485" s="37" t="str">
        <f>IF(A485&amp;B485&amp;C485="","",INDEX(生物种群!$J$2:INDEX(生物种群!$J:$J,COUNTA(生物种群!$J:$J)),MATCH($I485,生物种群!$B$2:INDEX(生物种群!$B:$B,COUNTA(生物种群!$B:$B)),),))</f>
        <v/>
      </c>
      <c r="K485" s="37" t="str">
        <f>IF(A485&amp;B485&amp;C485="","",INDEX(生物种群!$E$2:INDEX(生物种群!$E:$E,COUNTA(生物种群!$E:$E)),MATCH($I485,生物种群!$B$2:INDEX(生物种群!$B:$B,COUNTA(生物种群!$B:$B)),),))</f>
        <v/>
      </c>
      <c r="L485" s="37" t="str">
        <f>IF(A485&amp;B485&amp;C485="","",INDEX(生物种群!$F$3:INDEX(生物种群!$F:$F,COUNTA(生物种群!$F:$F)),MATCH($I485,生物种群!$B$3:INDEX(生物种群!$B:$B,COUNTA(生物种群!$B:$B)),),))</f>
        <v/>
      </c>
      <c r="M485" s="37" t="str">
        <f t="shared" si="14"/>
        <v/>
      </c>
      <c r="N485" s="37" t="str">
        <f t="shared" si="15"/>
        <v/>
      </c>
      <c r="O485" s="9"/>
      <c r="P485" s="10"/>
    </row>
    <row r="486" spans="1:16" ht="20.1" customHeight="1">
      <c r="A486" s="9"/>
      <c r="B486" s="9"/>
      <c r="C486" s="9"/>
      <c r="D486" s="43"/>
      <c r="E486" s="9"/>
      <c r="F486" s="9"/>
      <c r="G486" s="47" t="str">
        <f>IF(F486="","",INDEX(站位样品信息!$B$3:INDEX(站位样品信息!$B:$B,COUNTA(站位样品信息!$B:$B)+1),MATCH($F486,站位样品信息!$A$3:INDEX(站位样品信息!$A:$A,COUNTA(站位样品信息!$A:$A)+1),),))</f>
        <v/>
      </c>
      <c r="H486" s="37" t="str">
        <f>IF(A486&amp;B486&amp;C486="","",INDEX(生物种群!$A$2:INDEX(生物种群!$A:$A,COUNTA(生物种群!$A:$A)),MATCH($I486,生物种群!$B$2:INDEX(生物种群!$B:$B,COUNTA(生物种群!$B:$B)),),))</f>
        <v/>
      </c>
      <c r="I486" s="37" t="str">
        <f>IF(A486&amp;B486&amp;C486="","",IF($C486&lt;&gt;0,INDEX(生物种群!$B$2:INDEX(生物种群!$B:$B,COUNTA(生物种群!$B:$B)),MATCH($C486,生物种群!$G$2:INDEX(生物种群!$G:$G,COUNTA(生物种群!$G:$G)),),),IF($A486&lt;&gt;0,INDEX(生物种群!$B$2:INDEX(生物种群!$B:$B,COUNTA(生物种群!$B:$B)),MATCH($A486,生物种群!$C$2:INDEX(生物种群!$C:$C,COUNTA(生物种群!$C:$C)),),),INDEX(生物种群!$B$2:INDEX(生物种群!$B:$B,COUNTA(生物种群!$B:$B)),MATCH($B486,生物种群!$D$2:INDEX(生物种群!$D:$D,COUNTA(生物种群!$D:$D)),),))))</f>
        <v/>
      </c>
      <c r="J486" s="37" t="str">
        <f>IF(A486&amp;B486&amp;C486="","",INDEX(生物种群!$J$2:INDEX(生物种群!$J:$J,COUNTA(生物种群!$J:$J)),MATCH($I486,生物种群!$B$2:INDEX(生物种群!$B:$B,COUNTA(生物种群!$B:$B)),),))</f>
        <v/>
      </c>
      <c r="K486" s="37" t="str">
        <f>IF(A486&amp;B486&amp;C486="","",INDEX(生物种群!$E$2:INDEX(生物种群!$E:$E,COUNTA(生物种群!$E:$E)),MATCH($I486,生物种群!$B$2:INDEX(生物种群!$B:$B,COUNTA(生物种群!$B:$B)),),))</f>
        <v/>
      </c>
      <c r="L486" s="37" t="str">
        <f>IF(A486&amp;B486&amp;C486="","",INDEX(生物种群!$F$3:INDEX(生物种群!$F:$F,COUNTA(生物种群!$F:$F)),MATCH($I486,生物种群!$B$3:INDEX(生物种群!$B:$B,COUNTA(生物种群!$B:$B)),),))</f>
        <v/>
      </c>
      <c r="M486" s="37" t="str">
        <f t="shared" si="14"/>
        <v/>
      </c>
      <c r="N486" s="37" t="str">
        <f t="shared" si="15"/>
        <v/>
      </c>
      <c r="O486" s="9"/>
      <c r="P486" s="10"/>
    </row>
    <row r="487" spans="1:16" ht="20.1" customHeight="1">
      <c r="A487" s="9"/>
      <c r="B487" s="9"/>
      <c r="C487" s="9"/>
      <c r="D487" s="43"/>
      <c r="E487" s="9"/>
      <c r="F487" s="9"/>
      <c r="G487" s="47" t="str">
        <f>IF(F487="","",INDEX(站位样品信息!$B$3:INDEX(站位样品信息!$B:$B,COUNTA(站位样品信息!$B:$B)+1),MATCH($F487,站位样品信息!$A$3:INDEX(站位样品信息!$A:$A,COUNTA(站位样品信息!$A:$A)+1),),))</f>
        <v/>
      </c>
      <c r="H487" s="37" t="str">
        <f>IF(A487&amp;B487&amp;C487="","",INDEX(生物种群!$A$2:INDEX(生物种群!$A:$A,COUNTA(生物种群!$A:$A)),MATCH($I487,生物种群!$B$2:INDEX(生物种群!$B:$B,COUNTA(生物种群!$B:$B)),),))</f>
        <v/>
      </c>
      <c r="I487" s="37" t="str">
        <f>IF(A487&amp;B487&amp;C487="","",IF($C487&lt;&gt;0,INDEX(生物种群!$B$2:INDEX(生物种群!$B:$B,COUNTA(生物种群!$B:$B)),MATCH($C487,生物种群!$G$2:INDEX(生物种群!$G:$G,COUNTA(生物种群!$G:$G)),),),IF($A487&lt;&gt;0,INDEX(生物种群!$B$2:INDEX(生物种群!$B:$B,COUNTA(生物种群!$B:$B)),MATCH($A487,生物种群!$C$2:INDEX(生物种群!$C:$C,COUNTA(生物种群!$C:$C)),),),INDEX(生物种群!$B$2:INDEX(生物种群!$B:$B,COUNTA(生物种群!$B:$B)),MATCH($B487,生物种群!$D$2:INDEX(生物种群!$D:$D,COUNTA(生物种群!$D:$D)),),))))</f>
        <v/>
      </c>
      <c r="J487" s="37" t="str">
        <f>IF(A487&amp;B487&amp;C487="","",INDEX(生物种群!$J$2:INDEX(生物种群!$J:$J,COUNTA(生物种群!$J:$J)),MATCH($I487,生物种群!$B$2:INDEX(生物种群!$B:$B,COUNTA(生物种群!$B:$B)),),))</f>
        <v/>
      </c>
      <c r="K487" s="37" t="str">
        <f>IF(A487&amp;B487&amp;C487="","",INDEX(生物种群!$E$2:INDEX(生物种群!$E:$E,COUNTA(生物种群!$E:$E)),MATCH($I487,生物种群!$B$2:INDEX(生物种群!$B:$B,COUNTA(生物种群!$B:$B)),),))</f>
        <v/>
      </c>
      <c r="L487" s="37" t="str">
        <f>IF(A487&amp;B487&amp;C487="","",INDEX(生物种群!$F$3:INDEX(生物种群!$F:$F,COUNTA(生物种群!$F:$F)),MATCH($I487,生物种群!$B$3:INDEX(生物种群!$B:$B,COUNTA(生物种群!$B:$B)),),))</f>
        <v/>
      </c>
      <c r="M487" s="37" t="str">
        <f t="shared" si="14"/>
        <v/>
      </c>
      <c r="N487" s="37" t="str">
        <f t="shared" si="15"/>
        <v/>
      </c>
      <c r="O487" s="9"/>
      <c r="P487" s="10"/>
    </row>
    <row r="488" spans="1:16" ht="20.1" customHeight="1">
      <c r="A488" s="9"/>
      <c r="B488" s="9"/>
      <c r="C488" s="9"/>
      <c r="D488" s="43"/>
      <c r="E488" s="9"/>
      <c r="F488" s="9"/>
      <c r="G488" s="47" t="str">
        <f>IF(F488="","",INDEX(站位样品信息!$B$3:INDEX(站位样品信息!$B:$B,COUNTA(站位样品信息!$B:$B)+1),MATCH($F488,站位样品信息!$A$3:INDEX(站位样品信息!$A:$A,COUNTA(站位样品信息!$A:$A)+1),),))</f>
        <v/>
      </c>
      <c r="H488" s="37" t="str">
        <f>IF(A488&amp;B488&amp;C488="","",INDEX(生物种群!$A$2:INDEX(生物种群!$A:$A,COUNTA(生物种群!$A:$A)),MATCH($I488,生物种群!$B$2:INDEX(生物种群!$B:$B,COUNTA(生物种群!$B:$B)),),))</f>
        <v/>
      </c>
      <c r="I488" s="37" t="str">
        <f>IF(A488&amp;B488&amp;C488="","",IF($C488&lt;&gt;0,INDEX(生物种群!$B$2:INDEX(生物种群!$B:$B,COUNTA(生物种群!$B:$B)),MATCH($C488,生物种群!$G$2:INDEX(生物种群!$G:$G,COUNTA(生物种群!$G:$G)),),),IF($A488&lt;&gt;0,INDEX(生物种群!$B$2:INDEX(生物种群!$B:$B,COUNTA(生物种群!$B:$B)),MATCH($A488,生物种群!$C$2:INDEX(生物种群!$C:$C,COUNTA(生物种群!$C:$C)),),),INDEX(生物种群!$B$2:INDEX(生物种群!$B:$B,COUNTA(生物种群!$B:$B)),MATCH($B488,生物种群!$D$2:INDEX(生物种群!$D:$D,COUNTA(生物种群!$D:$D)),),))))</f>
        <v/>
      </c>
      <c r="J488" s="37" t="str">
        <f>IF(A488&amp;B488&amp;C488="","",INDEX(生物种群!$J$2:INDEX(生物种群!$J:$J,COUNTA(生物种群!$J:$J)),MATCH($I488,生物种群!$B$2:INDEX(生物种群!$B:$B,COUNTA(生物种群!$B:$B)),),))</f>
        <v/>
      </c>
      <c r="K488" s="37" t="str">
        <f>IF(A488&amp;B488&amp;C488="","",INDEX(生物种群!$E$2:INDEX(生物种群!$E:$E,COUNTA(生物种群!$E:$E)),MATCH($I488,生物种群!$B$2:INDEX(生物种群!$B:$B,COUNTA(生物种群!$B:$B)),),))</f>
        <v/>
      </c>
      <c r="L488" s="37" t="str">
        <f>IF(A488&amp;B488&amp;C488="","",INDEX(生物种群!$F$3:INDEX(生物种群!$F:$F,COUNTA(生物种群!$F:$F)),MATCH($I488,生物种群!$B$3:INDEX(生物种群!$B:$B,COUNTA(生物种群!$B:$B)),),))</f>
        <v/>
      </c>
      <c r="M488" s="37" t="str">
        <f t="shared" si="14"/>
        <v/>
      </c>
      <c r="N488" s="37" t="str">
        <f t="shared" si="15"/>
        <v/>
      </c>
      <c r="O488" s="9"/>
      <c r="P488" s="10"/>
    </row>
    <row r="489" spans="1:16" ht="20.1" customHeight="1">
      <c r="A489" s="9"/>
      <c r="B489" s="9"/>
      <c r="C489" s="9"/>
      <c r="D489" s="43"/>
      <c r="E489" s="9"/>
      <c r="F489" s="9"/>
      <c r="G489" s="47" t="str">
        <f>IF(F489="","",INDEX(站位样品信息!$B$3:INDEX(站位样品信息!$B:$B,COUNTA(站位样品信息!$B:$B)+1),MATCH($F489,站位样品信息!$A$3:INDEX(站位样品信息!$A:$A,COUNTA(站位样品信息!$A:$A)+1),),))</f>
        <v/>
      </c>
      <c r="H489" s="37" t="str">
        <f>IF(A489&amp;B489&amp;C489="","",INDEX(生物种群!$A$2:INDEX(生物种群!$A:$A,COUNTA(生物种群!$A:$A)),MATCH($I489,生物种群!$B$2:INDEX(生物种群!$B:$B,COUNTA(生物种群!$B:$B)),),))</f>
        <v/>
      </c>
      <c r="I489" s="37" t="str">
        <f>IF(A489&amp;B489&amp;C489="","",IF($C489&lt;&gt;0,INDEX(生物种群!$B$2:INDEX(生物种群!$B:$B,COUNTA(生物种群!$B:$B)),MATCH($C489,生物种群!$G$2:INDEX(生物种群!$G:$G,COUNTA(生物种群!$G:$G)),),),IF($A489&lt;&gt;0,INDEX(生物种群!$B$2:INDEX(生物种群!$B:$B,COUNTA(生物种群!$B:$B)),MATCH($A489,生物种群!$C$2:INDEX(生物种群!$C:$C,COUNTA(生物种群!$C:$C)),),),INDEX(生物种群!$B$2:INDEX(生物种群!$B:$B,COUNTA(生物种群!$B:$B)),MATCH($B489,生物种群!$D$2:INDEX(生物种群!$D:$D,COUNTA(生物种群!$D:$D)),),))))</f>
        <v/>
      </c>
      <c r="J489" s="37" t="str">
        <f>IF(A489&amp;B489&amp;C489="","",INDEX(生物种群!$J$2:INDEX(生物种群!$J:$J,COUNTA(生物种群!$J:$J)),MATCH($I489,生物种群!$B$2:INDEX(生物种群!$B:$B,COUNTA(生物种群!$B:$B)),),))</f>
        <v/>
      </c>
      <c r="K489" s="37" t="str">
        <f>IF(A489&amp;B489&amp;C489="","",INDEX(生物种群!$E$2:INDEX(生物种群!$E:$E,COUNTA(生物种群!$E:$E)),MATCH($I489,生物种群!$B$2:INDEX(生物种群!$B:$B,COUNTA(生物种群!$B:$B)),),))</f>
        <v/>
      </c>
      <c r="L489" s="37" t="str">
        <f>IF(A489&amp;B489&amp;C489="","",INDEX(生物种群!$F$3:INDEX(生物种群!$F:$F,COUNTA(生物种群!$F:$F)),MATCH($I489,生物种群!$B$3:INDEX(生物种群!$B:$B,COUNTA(生物种群!$B:$B)),),))</f>
        <v/>
      </c>
      <c r="M489" s="37" t="str">
        <f t="shared" si="14"/>
        <v/>
      </c>
      <c r="N489" s="37" t="str">
        <f t="shared" si="15"/>
        <v/>
      </c>
      <c r="O489" s="9"/>
      <c r="P489" s="10"/>
    </row>
    <row r="490" spans="1:16" ht="20.1" customHeight="1">
      <c r="A490" s="9"/>
      <c r="B490" s="9"/>
      <c r="C490" s="9"/>
      <c r="D490" s="43"/>
      <c r="E490" s="9"/>
      <c r="F490" s="9"/>
      <c r="G490" s="47" t="str">
        <f>IF(F490="","",INDEX(站位样品信息!$B$3:INDEX(站位样品信息!$B:$B,COUNTA(站位样品信息!$B:$B)+1),MATCH($F490,站位样品信息!$A$3:INDEX(站位样品信息!$A:$A,COUNTA(站位样品信息!$A:$A)+1),),))</f>
        <v/>
      </c>
      <c r="H490" s="37" t="str">
        <f>IF(A490&amp;B490&amp;C490="","",INDEX(生物种群!$A$2:INDEX(生物种群!$A:$A,COUNTA(生物种群!$A:$A)),MATCH($I490,生物种群!$B$2:INDEX(生物种群!$B:$B,COUNTA(生物种群!$B:$B)),),))</f>
        <v/>
      </c>
      <c r="I490" s="37" t="str">
        <f>IF(A490&amp;B490&amp;C490="","",IF($C490&lt;&gt;0,INDEX(生物种群!$B$2:INDEX(生物种群!$B:$B,COUNTA(生物种群!$B:$B)),MATCH($C490,生物种群!$G$2:INDEX(生物种群!$G:$G,COUNTA(生物种群!$G:$G)),),),IF($A490&lt;&gt;0,INDEX(生物种群!$B$2:INDEX(生物种群!$B:$B,COUNTA(生物种群!$B:$B)),MATCH($A490,生物种群!$C$2:INDEX(生物种群!$C:$C,COUNTA(生物种群!$C:$C)),),),INDEX(生物种群!$B$2:INDEX(生物种群!$B:$B,COUNTA(生物种群!$B:$B)),MATCH($B490,生物种群!$D$2:INDEX(生物种群!$D:$D,COUNTA(生物种群!$D:$D)),),))))</f>
        <v/>
      </c>
      <c r="J490" s="37" t="str">
        <f>IF(A490&amp;B490&amp;C490="","",INDEX(生物种群!$J$2:INDEX(生物种群!$J:$J,COUNTA(生物种群!$J:$J)),MATCH($I490,生物种群!$B$2:INDEX(生物种群!$B:$B,COUNTA(生物种群!$B:$B)),),))</f>
        <v/>
      </c>
      <c r="K490" s="37" t="str">
        <f>IF(A490&amp;B490&amp;C490="","",INDEX(生物种群!$E$2:INDEX(生物种群!$E:$E,COUNTA(生物种群!$E:$E)),MATCH($I490,生物种群!$B$2:INDEX(生物种群!$B:$B,COUNTA(生物种群!$B:$B)),),))</f>
        <v/>
      </c>
      <c r="L490" s="37" t="str">
        <f>IF(A490&amp;B490&amp;C490="","",INDEX(生物种群!$F$3:INDEX(生物种群!$F:$F,COUNTA(生物种群!$F:$F)),MATCH($I490,生物种群!$B$3:INDEX(生物种群!$B:$B,COUNTA(生物种群!$B:$B)),),))</f>
        <v/>
      </c>
      <c r="M490" s="37" t="str">
        <f t="shared" si="14"/>
        <v/>
      </c>
      <c r="N490" s="37" t="str">
        <f t="shared" si="15"/>
        <v/>
      </c>
      <c r="O490" s="9"/>
      <c r="P490" s="10"/>
    </row>
    <row r="491" spans="1:16" ht="20.1" customHeight="1">
      <c r="A491" s="9"/>
      <c r="B491" s="9"/>
      <c r="C491" s="9"/>
      <c r="D491" s="43"/>
      <c r="E491" s="9"/>
      <c r="F491" s="9"/>
      <c r="G491" s="47" t="str">
        <f>IF(F491="","",INDEX(站位样品信息!$B$3:INDEX(站位样品信息!$B:$B,COUNTA(站位样品信息!$B:$B)+1),MATCH($F491,站位样品信息!$A$3:INDEX(站位样品信息!$A:$A,COUNTA(站位样品信息!$A:$A)+1),),))</f>
        <v/>
      </c>
      <c r="H491" s="37" t="str">
        <f>IF(A491&amp;B491&amp;C491="","",INDEX(生物种群!$A$2:INDEX(生物种群!$A:$A,COUNTA(生物种群!$A:$A)),MATCH($I491,生物种群!$B$2:INDEX(生物种群!$B:$B,COUNTA(生物种群!$B:$B)),),))</f>
        <v/>
      </c>
      <c r="I491" s="37" t="str">
        <f>IF(A491&amp;B491&amp;C491="","",IF($C491&lt;&gt;0,INDEX(生物种群!$B$2:INDEX(生物种群!$B:$B,COUNTA(生物种群!$B:$B)),MATCH($C491,生物种群!$G$2:INDEX(生物种群!$G:$G,COUNTA(生物种群!$G:$G)),),),IF($A491&lt;&gt;0,INDEX(生物种群!$B$2:INDEX(生物种群!$B:$B,COUNTA(生物种群!$B:$B)),MATCH($A491,生物种群!$C$2:INDEX(生物种群!$C:$C,COUNTA(生物种群!$C:$C)),),),INDEX(生物种群!$B$2:INDEX(生物种群!$B:$B,COUNTA(生物种群!$B:$B)),MATCH($B491,生物种群!$D$2:INDEX(生物种群!$D:$D,COUNTA(生物种群!$D:$D)),),))))</f>
        <v/>
      </c>
      <c r="J491" s="37" t="str">
        <f>IF(A491&amp;B491&amp;C491="","",INDEX(生物种群!$J$2:INDEX(生物种群!$J:$J,COUNTA(生物种群!$J:$J)),MATCH($I491,生物种群!$B$2:INDEX(生物种群!$B:$B,COUNTA(生物种群!$B:$B)),),))</f>
        <v/>
      </c>
      <c r="K491" s="37" t="str">
        <f>IF(A491&amp;B491&amp;C491="","",INDEX(生物种群!$E$2:INDEX(生物种群!$E:$E,COUNTA(生物种群!$E:$E)),MATCH($I491,生物种群!$B$2:INDEX(生物种群!$B:$B,COUNTA(生物种群!$B:$B)),),))</f>
        <v/>
      </c>
      <c r="L491" s="37" t="str">
        <f>IF(A491&amp;B491&amp;C491="","",INDEX(生物种群!$F$3:INDEX(生物种群!$F:$F,COUNTA(生物种群!$F:$F)),MATCH($I491,生物种群!$B$3:INDEX(生物种群!$B:$B,COUNTA(生物种群!$B:$B)),),))</f>
        <v/>
      </c>
      <c r="M491" s="37" t="str">
        <f t="shared" si="14"/>
        <v/>
      </c>
      <c r="N491" s="37" t="str">
        <f t="shared" si="15"/>
        <v/>
      </c>
      <c r="O491" s="9"/>
      <c r="P491" s="10"/>
    </row>
    <row r="492" spans="1:16" ht="20.1" customHeight="1">
      <c r="A492" s="9"/>
      <c r="B492" s="9"/>
      <c r="C492" s="9"/>
      <c r="D492" s="43"/>
      <c r="E492" s="9"/>
      <c r="F492" s="9"/>
      <c r="G492" s="47" t="str">
        <f>IF(F492="","",INDEX(站位样品信息!$B$3:INDEX(站位样品信息!$B:$B,COUNTA(站位样品信息!$B:$B)+1),MATCH($F492,站位样品信息!$A$3:INDEX(站位样品信息!$A:$A,COUNTA(站位样品信息!$A:$A)+1),),))</f>
        <v/>
      </c>
      <c r="H492" s="37" t="str">
        <f>IF(A492&amp;B492&amp;C492="","",INDEX(生物种群!$A$2:INDEX(生物种群!$A:$A,COUNTA(生物种群!$A:$A)),MATCH($I492,生物种群!$B$2:INDEX(生物种群!$B:$B,COUNTA(生物种群!$B:$B)),),))</f>
        <v/>
      </c>
      <c r="I492" s="37" t="str">
        <f>IF(A492&amp;B492&amp;C492="","",IF($C492&lt;&gt;0,INDEX(生物种群!$B$2:INDEX(生物种群!$B:$B,COUNTA(生物种群!$B:$B)),MATCH($C492,生物种群!$G$2:INDEX(生物种群!$G:$G,COUNTA(生物种群!$G:$G)),),),IF($A492&lt;&gt;0,INDEX(生物种群!$B$2:INDEX(生物种群!$B:$B,COUNTA(生物种群!$B:$B)),MATCH($A492,生物种群!$C$2:INDEX(生物种群!$C:$C,COUNTA(生物种群!$C:$C)),),),INDEX(生物种群!$B$2:INDEX(生物种群!$B:$B,COUNTA(生物种群!$B:$B)),MATCH($B492,生物种群!$D$2:INDEX(生物种群!$D:$D,COUNTA(生物种群!$D:$D)),),))))</f>
        <v/>
      </c>
      <c r="J492" s="37" t="str">
        <f>IF(A492&amp;B492&amp;C492="","",INDEX(生物种群!$J$2:INDEX(生物种群!$J:$J,COUNTA(生物种群!$J:$J)),MATCH($I492,生物种群!$B$2:INDEX(生物种群!$B:$B,COUNTA(生物种群!$B:$B)),),))</f>
        <v/>
      </c>
      <c r="K492" s="37" t="str">
        <f>IF(A492&amp;B492&amp;C492="","",INDEX(生物种群!$E$2:INDEX(生物种群!$E:$E,COUNTA(生物种群!$E:$E)),MATCH($I492,生物种群!$B$2:INDEX(生物种群!$B:$B,COUNTA(生物种群!$B:$B)),),))</f>
        <v/>
      </c>
      <c r="L492" s="37" t="str">
        <f>IF(A492&amp;B492&amp;C492="","",INDEX(生物种群!$F$3:INDEX(生物种群!$F:$F,COUNTA(生物种群!$F:$F)),MATCH($I492,生物种群!$B$3:INDEX(生物种群!$B:$B,COUNTA(生物种群!$B:$B)),),))</f>
        <v/>
      </c>
      <c r="M492" s="37" t="str">
        <f t="shared" si="14"/>
        <v/>
      </c>
      <c r="N492" s="37" t="str">
        <f t="shared" si="15"/>
        <v/>
      </c>
      <c r="O492" s="9"/>
      <c r="P492" s="10"/>
    </row>
    <row r="493" spans="1:16" ht="20.1" customHeight="1">
      <c r="A493" s="9"/>
      <c r="B493" s="9"/>
      <c r="C493" s="9"/>
      <c r="D493" s="43"/>
      <c r="E493" s="9"/>
      <c r="F493" s="9"/>
      <c r="G493" s="47" t="str">
        <f>IF(F493="","",INDEX(站位样品信息!$B$3:INDEX(站位样品信息!$B:$B,COUNTA(站位样品信息!$B:$B)+1),MATCH($F493,站位样品信息!$A$3:INDEX(站位样品信息!$A:$A,COUNTA(站位样品信息!$A:$A)+1),),))</f>
        <v/>
      </c>
      <c r="H493" s="37" t="str">
        <f>IF(A493&amp;B493&amp;C493="","",INDEX(生物种群!$A$2:INDEX(生物种群!$A:$A,COUNTA(生物种群!$A:$A)),MATCH($I493,生物种群!$B$2:INDEX(生物种群!$B:$B,COUNTA(生物种群!$B:$B)),),))</f>
        <v/>
      </c>
      <c r="I493" s="37" t="str">
        <f>IF(A493&amp;B493&amp;C493="","",IF($C493&lt;&gt;0,INDEX(生物种群!$B$2:INDEX(生物种群!$B:$B,COUNTA(生物种群!$B:$B)),MATCH($C493,生物种群!$G$2:INDEX(生物种群!$G:$G,COUNTA(生物种群!$G:$G)),),),IF($A493&lt;&gt;0,INDEX(生物种群!$B$2:INDEX(生物种群!$B:$B,COUNTA(生物种群!$B:$B)),MATCH($A493,生物种群!$C$2:INDEX(生物种群!$C:$C,COUNTA(生物种群!$C:$C)),),),INDEX(生物种群!$B$2:INDEX(生物种群!$B:$B,COUNTA(生物种群!$B:$B)),MATCH($B493,生物种群!$D$2:INDEX(生物种群!$D:$D,COUNTA(生物种群!$D:$D)),),))))</f>
        <v/>
      </c>
      <c r="J493" s="37" t="str">
        <f>IF(A493&amp;B493&amp;C493="","",INDEX(生物种群!$J$2:INDEX(生物种群!$J:$J,COUNTA(生物种群!$J:$J)),MATCH($I493,生物种群!$B$2:INDEX(生物种群!$B:$B,COUNTA(生物种群!$B:$B)),),))</f>
        <v/>
      </c>
      <c r="K493" s="37" t="str">
        <f>IF(A493&amp;B493&amp;C493="","",INDEX(生物种群!$E$2:INDEX(生物种群!$E:$E,COUNTA(生物种群!$E:$E)),MATCH($I493,生物种群!$B$2:INDEX(生物种群!$B:$B,COUNTA(生物种群!$B:$B)),),))</f>
        <v/>
      </c>
      <c r="L493" s="37" t="str">
        <f>IF(A493&amp;B493&amp;C493="","",INDEX(生物种群!$F$3:INDEX(生物种群!$F:$F,COUNTA(生物种群!$F:$F)),MATCH($I493,生物种群!$B$3:INDEX(生物种群!$B:$B,COUNTA(生物种群!$B:$B)),),))</f>
        <v/>
      </c>
      <c r="M493" s="37" t="str">
        <f t="shared" si="14"/>
        <v/>
      </c>
      <c r="N493" s="37" t="str">
        <f t="shared" si="15"/>
        <v/>
      </c>
      <c r="O493" s="9"/>
      <c r="P493" s="10"/>
    </row>
    <row r="494" spans="1:16" ht="20.1" customHeight="1">
      <c r="A494" s="9"/>
      <c r="B494" s="9"/>
      <c r="C494" s="9"/>
      <c r="D494" s="43"/>
      <c r="E494" s="9"/>
      <c r="F494" s="9"/>
      <c r="G494" s="47" t="str">
        <f>IF(F494="","",INDEX(站位样品信息!$B$3:INDEX(站位样品信息!$B:$B,COUNTA(站位样品信息!$B:$B)+1),MATCH($F494,站位样品信息!$A$3:INDEX(站位样品信息!$A:$A,COUNTA(站位样品信息!$A:$A)+1),),))</f>
        <v/>
      </c>
      <c r="H494" s="37" t="str">
        <f>IF(A494&amp;B494&amp;C494="","",INDEX(生物种群!$A$2:INDEX(生物种群!$A:$A,COUNTA(生物种群!$A:$A)),MATCH($I494,生物种群!$B$2:INDEX(生物种群!$B:$B,COUNTA(生物种群!$B:$B)),),))</f>
        <v/>
      </c>
      <c r="I494" s="37" t="str">
        <f>IF(A494&amp;B494&amp;C494="","",IF($C494&lt;&gt;0,INDEX(生物种群!$B$2:INDEX(生物种群!$B:$B,COUNTA(生物种群!$B:$B)),MATCH($C494,生物种群!$G$2:INDEX(生物种群!$G:$G,COUNTA(生物种群!$G:$G)),),),IF($A494&lt;&gt;0,INDEX(生物种群!$B$2:INDEX(生物种群!$B:$B,COUNTA(生物种群!$B:$B)),MATCH($A494,生物种群!$C$2:INDEX(生物种群!$C:$C,COUNTA(生物种群!$C:$C)),),),INDEX(生物种群!$B$2:INDEX(生物种群!$B:$B,COUNTA(生物种群!$B:$B)),MATCH($B494,生物种群!$D$2:INDEX(生物种群!$D:$D,COUNTA(生物种群!$D:$D)),),))))</f>
        <v/>
      </c>
      <c r="J494" s="37" t="str">
        <f>IF(A494&amp;B494&amp;C494="","",INDEX(生物种群!$J$2:INDEX(生物种群!$J:$J,COUNTA(生物种群!$J:$J)),MATCH($I494,生物种群!$B$2:INDEX(生物种群!$B:$B,COUNTA(生物种群!$B:$B)),),))</f>
        <v/>
      </c>
      <c r="K494" s="37" t="str">
        <f>IF(A494&amp;B494&amp;C494="","",INDEX(生物种群!$E$2:INDEX(生物种群!$E:$E,COUNTA(生物种群!$E:$E)),MATCH($I494,生物种群!$B$2:INDEX(生物种群!$B:$B,COUNTA(生物种群!$B:$B)),),))</f>
        <v/>
      </c>
      <c r="L494" s="37" t="str">
        <f>IF(A494&amp;B494&amp;C494="","",INDEX(生物种群!$F$3:INDEX(生物种群!$F:$F,COUNTA(生物种群!$F:$F)),MATCH($I494,生物种群!$B$3:INDEX(生物种群!$B:$B,COUNTA(生物种群!$B:$B)),),))</f>
        <v/>
      </c>
      <c r="M494" s="37" t="str">
        <f t="shared" si="14"/>
        <v/>
      </c>
      <c r="N494" s="37" t="str">
        <f t="shared" si="15"/>
        <v/>
      </c>
      <c r="O494" s="9"/>
      <c r="P494" s="10"/>
    </row>
    <row r="495" spans="1:16" ht="20.1" customHeight="1">
      <c r="A495" s="9"/>
      <c r="B495" s="9"/>
      <c r="C495" s="9"/>
      <c r="D495" s="43"/>
      <c r="E495" s="9"/>
      <c r="F495" s="9"/>
      <c r="G495" s="47" t="str">
        <f>IF(F495="","",INDEX(站位样品信息!$B$3:INDEX(站位样品信息!$B:$B,COUNTA(站位样品信息!$B:$B)+1),MATCH($F495,站位样品信息!$A$3:INDEX(站位样品信息!$A:$A,COUNTA(站位样品信息!$A:$A)+1),),))</f>
        <v/>
      </c>
      <c r="H495" s="37" t="str">
        <f>IF(A495&amp;B495&amp;C495="","",INDEX(生物种群!$A$2:INDEX(生物种群!$A:$A,COUNTA(生物种群!$A:$A)),MATCH($I495,生物种群!$B$2:INDEX(生物种群!$B:$B,COUNTA(生物种群!$B:$B)),),))</f>
        <v/>
      </c>
      <c r="I495" s="37" t="str">
        <f>IF(A495&amp;B495&amp;C495="","",IF($C495&lt;&gt;0,INDEX(生物种群!$B$2:INDEX(生物种群!$B:$B,COUNTA(生物种群!$B:$B)),MATCH($C495,生物种群!$G$2:INDEX(生物种群!$G:$G,COUNTA(生物种群!$G:$G)),),),IF($A495&lt;&gt;0,INDEX(生物种群!$B$2:INDEX(生物种群!$B:$B,COUNTA(生物种群!$B:$B)),MATCH($A495,生物种群!$C$2:INDEX(生物种群!$C:$C,COUNTA(生物种群!$C:$C)),),),INDEX(生物种群!$B$2:INDEX(生物种群!$B:$B,COUNTA(生物种群!$B:$B)),MATCH($B495,生物种群!$D$2:INDEX(生物种群!$D:$D,COUNTA(生物种群!$D:$D)),),))))</f>
        <v/>
      </c>
      <c r="J495" s="37" t="str">
        <f>IF(A495&amp;B495&amp;C495="","",INDEX(生物种群!$J$2:INDEX(生物种群!$J:$J,COUNTA(生物种群!$J:$J)),MATCH($I495,生物种群!$B$2:INDEX(生物种群!$B:$B,COUNTA(生物种群!$B:$B)),),))</f>
        <v/>
      </c>
      <c r="K495" s="37" t="str">
        <f>IF(A495&amp;B495&amp;C495="","",INDEX(生物种群!$E$2:INDEX(生物种群!$E:$E,COUNTA(生物种群!$E:$E)),MATCH($I495,生物种群!$B$2:INDEX(生物种群!$B:$B,COUNTA(生物种群!$B:$B)),),))</f>
        <v/>
      </c>
      <c r="L495" s="37" t="str">
        <f>IF(A495&amp;B495&amp;C495="","",INDEX(生物种群!$F$3:INDEX(生物种群!$F:$F,COUNTA(生物种群!$F:$F)),MATCH($I495,生物种群!$B$3:INDEX(生物种群!$B:$B,COUNTA(生物种群!$B:$B)),),))</f>
        <v/>
      </c>
      <c r="M495" s="37" t="str">
        <f t="shared" si="14"/>
        <v/>
      </c>
      <c r="N495" s="37" t="str">
        <f t="shared" si="15"/>
        <v/>
      </c>
      <c r="O495" s="9"/>
      <c r="P495" s="10"/>
    </row>
    <row r="496" spans="1:16" ht="20.1" customHeight="1">
      <c r="A496" s="9"/>
      <c r="B496" s="9"/>
      <c r="C496" s="9"/>
      <c r="D496" s="43"/>
      <c r="E496" s="9"/>
      <c r="F496" s="9"/>
      <c r="G496" s="47" t="str">
        <f>IF(F496="","",INDEX(站位样品信息!$B$3:INDEX(站位样品信息!$B:$B,COUNTA(站位样品信息!$B:$B)+1),MATCH($F496,站位样品信息!$A$3:INDEX(站位样品信息!$A:$A,COUNTA(站位样品信息!$A:$A)+1),),))</f>
        <v/>
      </c>
      <c r="H496" s="37" t="str">
        <f>IF(A496&amp;B496&amp;C496="","",INDEX(生物种群!$A$2:INDEX(生物种群!$A:$A,COUNTA(生物种群!$A:$A)),MATCH($I496,生物种群!$B$2:INDEX(生物种群!$B:$B,COUNTA(生物种群!$B:$B)),),))</f>
        <v/>
      </c>
      <c r="I496" s="37" t="str">
        <f>IF(A496&amp;B496&amp;C496="","",IF($C496&lt;&gt;0,INDEX(生物种群!$B$2:INDEX(生物种群!$B:$B,COUNTA(生物种群!$B:$B)),MATCH($C496,生物种群!$G$2:INDEX(生物种群!$G:$G,COUNTA(生物种群!$G:$G)),),),IF($A496&lt;&gt;0,INDEX(生物种群!$B$2:INDEX(生物种群!$B:$B,COUNTA(生物种群!$B:$B)),MATCH($A496,生物种群!$C$2:INDEX(生物种群!$C:$C,COUNTA(生物种群!$C:$C)),),),INDEX(生物种群!$B$2:INDEX(生物种群!$B:$B,COUNTA(生物种群!$B:$B)),MATCH($B496,生物种群!$D$2:INDEX(生物种群!$D:$D,COUNTA(生物种群!$D:$D)),),))))</f>
        <v/>
      </c>
      <c r="J496" s="37" t="str">
        <f>IF(A496&amp;B496&amp;C496="","",INDEX(生物种群!$J$2:INDEX(生物种群!$J:$J,COUNTA(生物种群!$J:$J)),MATCH($I496,生物种群!$B$2:INDEX(生物种群!$B:$B,COUNTA(生物种群!$B:$B)),),))</f>
        <v/>
      </c>
      <c r="K496" s="37" t="str">
        <f>IF(A496&amp;B496&amp;C496="","",INDEX(生物种群!$E$2:INDEX(生物种群!$E:$E,COUNTA(生物种群!$E:$E)),MATCH($I496,生物种群!$B$2:INDEX(生物种群!$B:$B,COUNTA(生物种群!$B:$B)),),))</f>
        <v/>
      </c>
      <c r="L496" s="37" t="str">
        <f>IF(A496&amp;B496&amp;C496="","",INDEX(生物种群!$F$3:INDEX(生物种群!$F:$F,COUNTA(生物种群!$F:$F)),MATCH($I496,生物种群!$B$3:INDEX(生物种群!$B:$B,COUNTA(生物种群!$B:$B)),),))</f>
        <v/>
      </c>
      <c r="M496" s="37" t="str">
        <f t="shared" si="14"/>
        <v/>
      </c>
      <c r="N496" s="37" t="str">
        <f t="shared" si="15"/>
        <v/>
      </c>
      <c r="O496" s="9"/>
      <c r="P496" s="10"/>
    </row>
    <row r="497" spans="1:16" ht="20.1" customHeight="1">
      <c r="A497" s="9"/>
      <c r="B497" s="9"/>
      <c r="C497" s="9"/>
      <c r="D497" s="43"/>
      <c r="E497" s="9"/>
      <c r="F497" s="9"/>
      <c r="G497" s="47" t="str">
        <f>IF(F497="","",INDEX(站位样品信息!$B$3:INDEX(站位样品信息!$B:$B,COUNTA(站位样品信息!$B:$B)+1),MATCH($F497,站位样品信息!$A$3:INDEX(站位样品信息!$A:$A,COUNTA(站位样品信息!$A:$A)+1),),))</f>
        <v/>
      </c>
      <c r="H497" s="37" t="str">
        <f>IF(A497&amp;B497&amp;C497="","",INDEX(生物种群!$A$2:INDEX(生物种群!$A:$A,COUNTA(生物种群!$A:$A)),MATCH($I497,生物种群!$B$2:INDEX(生物种群!$B:$B,COUNTA(生物种群!$B:$B)),),))</f>
        <v/>
      </c>
      <c r="I497" s="37" t="str">
        <f>IF(A497&amp;B497&amp;C497="","",IF($C497&lt;&gt;0,INDEX(生物种群!$B$2:INDEX(生物种群!$B:$B,COUNTA(生物种群!$B:$B)),MATCH($C497,生物种群!$G$2:INDEX(生物种群!$G:$G,COUNTA(生物种群!$G:$G)),),),IF($A497&lt;&gt;0,INDEX(生物种群!$B$2:INDEX(生物种群!$B:$B,COUNTA(生物种群!$B:$B)),MATCH($A497,生物种群!$C$2:INDEX(生物种群!$C:$C,COUNTA(生物种群!$C:$C)),),),INDEX(生物种群!$B$2:INDEX(生物种群!$B:$B,COUNTA(生物种群!$B:$B)),MATCH($B497,生物种群!$D$2:INDEX(生物种群!$D:$D,COUNTA(生物种群!$D:$D)),),))))</f>
        <v/>
      </c>
      <c r="J497" s="37" t="str">
        <f>IF(A497&amp;B497&amp;C497="","",INDEX(生物种群!$J$2:INDEX(生物种群!$J:$J,COUNTA(生物种群!$J:$J)),MATCH($I497,生物种群!$B$2:INDEX(生物种群!$B:$B,COUNTA(生物种群!$B:$B)),),))</f>
        <v/>
      </c>
      <c r="K497" s="37" t="str">
        <f>IF(A497&amp;B497&amp;C497="","",INDEX(生物种群!$E$2:INDEX(生物种群!$E:$E,COUNTA(生物种群!$E:$E)),MATCH($I497,生物种群!$B$2:INDEX(生物种群!$B:$B,COUNTA(生物种群!$B:$B)),),))</f>
        <v/>
      </c>
      <c r="L497" s="37" t="str">
        <f>IF(A497&amp;B497&amp;C497="","",INDEX(生物种群!$F$3:INDEX(生物种群!$F:$F,COUNTA(生物种群!$F:$F)),MATCH($I497,生物种群!$B$3:INDEX(生物种群!$B:$B,COUNTA(生物种群!$B:$B)),),))</f>
        <v/>
      </c>
      <c r="M497" s="37" t="str">
        <f t="shared" si="14"/>
        <v/>
      </c>
      <c r="N497" s="37" t="str">
        <f t="shared" si="15"/>
        <v/>
      </c>
      <c r="O497" s="9"/>
      <c r="P497" s="10"/>
    </row>
    <row r="498" spans="1:16" ht="20.1" customHeight="1">
      <c r="A498" s="9"/>
      <c r="B498" s="9"/>
      <c r="C498" s="9"/>
      <c r="D498" s="43"/>
      <c r="E498" s="9"/>
      <c r="F498" s="9"/>
      <c r="G498" s="47" t="str">
        <f>IF(F498="","",INDEX(站位样品信息!$B$3:INDEX(站位样品信息!$B:$B,COUNTA(站位样品信息!$B:$B)+1),MATCH($F498,站位样品信息!$A$3:INDEX(站位样品信息!$A:$A,COUNTA(站位样品信息!$A:$A)+1),),))</f>
        <v/>
      </c>
      <c r="H498" s="37" t="str">
        <f>IF(A498&amp;B498&amp;C498="","",INDEX(生物种群!$A$2:INDEX(生物种群!$A:$A,COUNTA(生物种群!$A:$A)),MATCH($I498,生物种群!$B$2:INDEX(生物种群!$B:$B,COUNTA(生物种群!$B:$B)),),))</f>
        <v/>
      </c>
      <c r="I498" s="37" t="str">
        <f>IF(A498&amp;B498&amp;C498="","",IF($C498&lt;&gt;0,INDEX(生物种群!$B$2:INDEX(生物种群!$B:$B,COUNTA(生物种群!$B:$B)),MATCH($C498,生物种群!$G$2:INDEX(生物种群!$G:$G,COUNTA(生物种群!$G:$G)),),),IF($A498&lt;&gt;0,INDEX(生物种群!$B$2:INDEX(生物种群!$B:$B,COUNTA(生物种群!$B:$B)),MATCH($A498,生物种群!$C$2:INDEX(生物种群!$C:$C,COUNTA(生物种群!$C:$C)),),),INDEX(生物种群!$B$2:INDEX(生物种群!$B:$B,COUNTA(生物种群!$B:$B)),MATCH($B498,生物种群!$D$2:INDEX(生物种群!$D:$D,COUNTA(生物种群!$D:$D)),),))))</f>
        <v/>
      </c>
      <c r="J498" s="37" t="str">
        <f>IF(A498&amp;B498&amp;C498="","",INDEX(生物种群!$J$2:INDEX(生物种群!$J:$J,COUNTA(生物种群!$J:$J)),MATCH($I498,生物种群!$B$2:INDEX(生物种群!$B:$B,COUNTA(生物种群!$B:$B)),),))</f>
        <v/>
      </c>
      <c r="K498" s="37" t="str">
        <f>IF(A498&amp;B498&amp;C498="","",INDEX(生物种群!$E$2:INDEX(生物种群!$E:$E,COUNTA(生物种群!$E:$E)),MATCH($I498,生物种群!$B$2:INDEX(生物种群!$B:$B,COUNTA(生物种群!$B:$B)),),))</f>
        <v/>
      </c>
      <c r="L498" s="37" t="str">
        <f>IF(A498&amp;B498&amp;C498="","",INDEX(生物种群!$F$3:INDEX(生物种群!$F:$F,COUNTA(生物种群!$F:$F)),MATCH($I498,生物种群!$B$3:INDEX(生物种群!$B:$B,COUNTA(生物种群!$B:$B)),),))</f>
        <v/>
      </c>
      <c r="M498" s="37" t="str">
        <f t="shared" si="14"/>
        <v/>
      </c>
      <c r="N498" s="37" t="str">
        <f t="shared" si="15"/>
        <v/>
      </c>
      <c r="O498" s="9"/>
      <c r="P498" s="10"/>
    </row>
    <row r="499" spans="1:16" ht="20.1" customHeight="1">
      <c r="A499" s="9"/>
      <c r="B499" s="9"/>
      <c r="C499" s="9"/>
      <c r="D499" s="43"/>
      <c r="E499" s="9"/>
      <c r="F499" s="9"/>
      <c r="G499" s="47" t="str">
        <f>IF(F499="","",INDEX(站位样品信息!$B$3:INDEX(站位样品信息!$B:$B,COUNTA(站位样品信息!$B:$B)+1),MATCH($F499,站位样品信息!$A$3:INDEX(站位样品信息!$A:$A,COUNTA(站位样品信息!$A:$A)+1),),))</f>
        <v/>
      </c>
      <c r="H499" s="37" t="str">
        <f>IF(A499&amp;B499&amp;C499="","",INDEX(生物种群!$A$2:INDEX(生物种群!$A:$A,COUNTA(生物种群!$A:$A)),MATCH($I499,生物种群!$B$2:INDEX(生物种群!$B:$B,COUNTA(生物种群!$B:$B)),),))</f>
        <v/>
      </c>
      <c r="I499" s="37" t="str">
        <f>IF(A499&amp;B499&amp;C499="","",IF($C499&lt;&gt;0,INDEX(生物种群!$B$2:INDEX(生物种群!$B:$B,COUNTA(生物种群!$B:$B)),MATCH($C499,生物种群!$G$2:INDEX(生物种群!$G:$G,COUNTA(生物种群!$G:$G)),),),IF($A499&lt;&gt;0,INDEX(生物种群!$B$2:INDEX(生物种群!$B:$B,COUNTA(生物种群!$B:$B)),MATCH($A499,生物种群!$C$2:INDEX(生物种群!$C:$C,COUNTA(生物种群!$C:$C)),),),INDEX(生物种群!$B$2:INDEX(生物种群!$B:$B,COUNTA(生物种群!$B:$B)),MATCH($B499,生物种群!$D$2:INDEX(生物种群!$D:$D,COUNTA(生物种群!$D:$D)),),))))</f>
        <v/>
      </c>
      <c r="J499" s="37" t="str">
        <f>IF(A499&amp;B499&amp;C499="","",INDEX(生物种群!$J$2:INDEX(生物种群!$J:$J,COUNTA(生物种群!$J:$J)),MATCH($I499,生物种群!$B$2:INDEX(生物种群!$B:$B,COUNTA(生物种群!$B:$B)),),))</f>
        <v/>
      </c>
      <c r="K499" s="37" t="str">
        <f>IF(A499&amp;B499&amp;C499="","",INDEX(生物种群!$E$2:INDEX(生物种群!$E:$E,COUNTA(生物种群!$E:$E)),MATCH($I499,生物种群!$B$2:INDEX(生物种群!$B:$B,COUNTA(生物种群!$B:$B)),),))</f>
        <v/>
      </c>
      <c r="L499" s="37" t="str">
        <f>IF(A499&amp;B499&amp;C499="","",INDEX(生物种群!$F$3:INDEX(生物种群!$F:$F,COUNTA(生物种群!$F:$F)),MATCH($I499,生物种群!$B$3:INDEX(生物种群!$B:$B,COUNTA(生物种群!$B:$B)),),))</f>
        <v/>
      </c>
      <c r="M499" s="37" t="str">
        <f t="shared" si="14"/>
        <v/>
      </c>
      <c r="N499" s="37" t="str">
        <f t="shared" si="15"/>
        <v/>
      </c>
      <c r="O499" s="9"/>
      <c r="P499" s="10"/>
    </row>
    <row r="500" spans="1:16" ht="20.1" customHeight="1">
      <c r="A500" s="9"/>
      <c r="B500" s="9"/>
      <c r="C500" s="9"/>
      <c r="D500" s="43"/>
      <c r="E500" s="9"/>
      <c r="F500" s="9"/>
      <c r="G500" s="47" t="str">
        <f>IF(F500="","",INDEX(站位样品信息!$B$3:INDEX(站位样品信息!$B:$B,COUNTA(站位样品信息!$B:$B)+1),MATCH($F500,站位样品信息!$A$3:INDEX(站位样品信息!$A:$A,COUNTA(站位样品信息!$A:$A)+1),),))</f>
        <v/>
      </c>
      <c r="H500" s="37" t="str">
        <f>IF(A500&amp;B500&amp;C500="","",INDEX(生物种群!$A$2:INDEX(生物种群!$A:$A,COUNTA(生物种群!$A:$A)),MATCH($I500,生物种群!$B$2:INDEX(生物种群!$B:$B,COUNTA(生物种群!$B:$B)),),))</f>
        <v/>
      </c>
      <c r="I500" s="37" t="str">
        <f>IF(A500&amp;B500&amp;C500="","",IF($C500&lt;&gt;0,INDEX(生物种群!$B$2:INDEX(生物种群!$B:$B,COUNTA(生物种群!$B:$B)),MATCH($C500,生物种群!$G$2:INDEX(生物种群!$G:$G,COUNTA(生物种群!$G:$G)),),),IF($A500&lt;&gt;0,INDEX(生物种群!$B$2:INDEX(生物种群!$B:$B,COUNTA(生物种群!$B:$B)),MATCH($A500,生物种群!$C$2:INDEX(生物种群!$C:$C,COUNTA(生物种群!$C:$C)),),),INDEX(生物种群!$B$2:INDEX(生物种群!$B:$B,COUNTA(生物种群!$B:$B)),MATCH($B500,生物种群!$D$2:INDEX(生物种群!$D:$D,COUNTA(生物种群!$D:$D)),),))))</f>
        <v/>
      </c>
      <c r="J500" s="37" t="str">
        <f>IF(A500&amp;B500&amp;C500="","",INDEX(生物种群!$J$2:INDEX(生物种群!$J:$J,COUNTA(生物种群!$J:$J)),MATCH($I500,生物种群!$B$2:INDEX(生物种群!$B:$B,COUNTA(生物种群!$B:$B)),),))</f>
        <v/>
      </c>
      <c r="K500" s="37" t="str">
        <f>IF(A500&amp;B500&amp;C500="","",INDEX(生物种群!$E$2:INDEX(生物种群!$E:$E,COUNTA(生物种群!$E:$E)),MATCH($I500,生物种群!$B$2:INDEX(生物种群!$B:$B,COUNTA(生物种群!$B:$B)),),))</f>
        <v/>
      </c>
      <c r="L500" s="37" t="str">
        <f>IF(A500&amp;B500&amp;C500="","",INDEX(生物种群!$F$3:INDEX(生物种群!$F:$F,COUNTA(生物种群!$F:$F)),MATCH($I500,生物种群!$B$3:INDEX(生物种群!$B:$B,COUNTA(生物种群!$B:$B)),),))</f>
        <v/>
      </c>
      <c r="M500" s="37" t="str">
        <f t="shared" si="14"/>
        <v/>
      </c>
      <c r="N500" s="37" t="str">
        <f t="shared" si="15"/>
        <v/>
      </c>
      <c r="O500" s="9"/>
      <c r="P500" s="10"/>
    </row>
    <row r="501" spans="1:16" ht="20.1" customHeight="1">
      <c r="A501" s="9"/>
      <c r="B501" s="9"/>
      <c r="C501" s="9"/>
      <c r="D501" s="43"/>
      <c r="E501" s="9"/>
      <c r="F501" s="9"/>
      <c r="G501" s="47" t="str">
        <f>IF(F501="","",INDEX(站位样品信息!$B$3:INDEX(站位样品信息!$B:$B,COUNTA(站位样品信息!$B:$B)+1),MATCH($F501,站位样品信息!$A$3:INDEX(站位样品信息!$A:$A,COUNTA(站位样品信息!$A:$A)+1),),))</f>
        <v/>
      </c>
      <c r="H501" s="37" t="str">
        <f>IF(A501&amp;B501&amp;C501="","",INDEX(生物种群!$A$2:INDEX(生物种群!$A:$A,COUNTA(生物种群!$A:$A)),MATCH($I501,生物种群!$B$2:INDEX(生物种群!$B:$B,COUNTA(生物种群!$B:$B)),),))</f>
        <v/>
      </c>
      <c r="I501" s="37" t="str">
        <f>IF(A501&amp;B501&amp;C501="","",IF($C501&lt;&gt;0,INDEX(生物种群!$B$2:INDEX(生物种群!$B:$B,COUNTA(生物种群!$B:$B)),MATCH($C501,生物种群!$G$2:INDEX(生物种群!$G:$G,COUNTA(生物种群!$G:$G)),),),IF($A501&lt;&gt;0,INDEX(生物种群!$B$2:INDEX(生物种群!$B:$B,COUNTA(生物种群!$B:$B)),MATCH($A501,生物种群!$C$2:INDEX(生物种群!$C:$C,COUNTA(生物种群!$C:$C)),),),INDEX(生物种群!$B$2:INDEX(生物种群!$B:$B,COUNTA(生物种群!$B:$B)),MATCH($B501,生物种群!$D$2:INDEX(生物种群!$D:$D,COUNTA(生物种群!$D:$D)),),))))</f>
        <v/>
      </c>
      <c r="J501" s="37" t="str">
        <f>IF(A501&amp;B501&amp;C501="","",INDEX(生物种群!$J$2:INDEX(生物种群!$J:$J,COUNTA(生物种群!$J:$J)),MATCH($I501,生物种群!$B$2:INDEX(生物种群!$B:$B,COUNTA(生物种群!$B:$B)),),))</f>
        <v/>
      </c>
      <c r="K501" s="37" t="str">
        <f>IF(A501&amp;B501&amp;C501="","",INDEX(生物种群!$E$2:INDEX(生物种群!$E:$E,COUNTA(生物种群!$E:$E)),MATCH($I501,生物种群!$B$2:INDEX(生物种群!$B:$B,COUNTA(生物种群!$B:$B)),),))</f>
        <v/>
      </c>
      <c r="L501" s="37" t="str">
        <f>IF(A501&amp;B501&amp;C501="","",INDEX(生物种群!$F$3:INDEX(生物种群!$F:$F,COUNTA(生物种群!$F:$F)),MATCH($I501,生物种群!$B$3:INDEX(生物种群!$B:$B,COUNTA(生物种群!$B:$B)),),))</f>
        <v/>
      </c>
      <c r="M501" s="37" t="str">
        <f t="shared" si="14"/>
        <v/>
      </c>
      <c r="N501" s="37" t="str">
        <f t="shared" si="15"/>
        <v/>
      </c>
      <c r="O501" s="9"/>
      <c r="P501" s="10"/>
    </row>
    <row r="502" spans="1:16" ht="20.1" customHeight="1">
      <c r="A502" s="9"/>
      <c r="B502" s="9"/>
      <c r="C502" s="9"/>
      <c r="D502" s="43"/>
      <c r="E502" s="9"/>
      <c r="F502" s="9"/>
      <c r="G502" s="47" t="str">
        <f>IF(F502="","",INDEX(站位样品信息!$B$3:INDEX(站位样品信息!$B:$B,COUNTA(站位样品信息!$B:$B)+1),MATCH($F502,站位样品信息!$A$3:INDEX(站位样品信息!$A:$A,COUNTA(站位样品信息!$A:$A)+1),),))</f>
        <v/>
      </c>
      <c r="H502" s="37" t="str">
        <f>IF(A502&amp;B502&amp;C502="","",INDEX(生物种群!$A$2:INDEX(生物种群!$A:$A,COUNTA(生物种群!$A:$A)),MATCH($I502,生物种群!$B$2:INDEX(生物种群!$B:$B,COUNTA(生物种群!$B:$B)),),))</f>
        <v/>
      </c>
      <c r="I502" s="37" t="str">
        <f>IF(A502&amp;B502&amp;C502="","",IF($C502&lt;&gt;0,INDEX(生物种群!$B$2:INDEX(生物种群!$B:$B,COUNTA(生物种群!$B:$B)),MATCH($C502,生物种群!$G$2:INDEX(生物种群!$G:$G,COUNTA(生物种群!$G:$G)),),),IF($A502&lt;&gt;0,INDEX(生物种群!$B$2:INDEX(生物种群!$B:$B,COUNTA(生物种群!$B:$B)),MATCH($A502,生物种群!$C$2:INDEX(生物种群!$C:$C,COUNTA(生物种群!$C:$C)),),),INDEX(生物种群!$B$2:INDEX(生物种群!$B:$B,COUNTA(生物种群!$B:$B)),MATCH($B502,生物种群!$D$2:INDEX(生物种群!$D:$D,COUNTA(生物种群!$D:$D)),),))))</f>
        <v/>
      </c>
      <c r="J502" s="37" t="str">
        <f>IF(A502&amp;B502&amp;C502="","",INDEX(生物种群!$J$2:INDEX(生物种群!$J:$J,COUNTA(生物种群!$J:$J)),MATCH($I502,生物种群!$B$2:INDEX(生物种群!$B:$B,COUNTA(生物种群!$B:$B)),),))</f>
        <v/>
      </c>
      <c r="K502" s="37" t="str">
        <f>IF(A502&amp;B502&amp;C502="","",INDEX(生物种群!$E$2:INDEX(生物种群!$E:$E,COUNTA(生物种群!$E:$E)),MATCH($I502,生物种群!$B$2:INDEX(生物种群!$B:$B,COUNTA(生物种群!$B:$B)),),))</f>
        <v/>
      </c>
      <c r="L502" s="37" t="str">
        <f>IF(A502&amp;B502&amp;C502="","",INDEX(生物种群!$F$3:INDEX(生物种群!$F:$F,COUNTA(生物种群!$F:$F)),MATCH($I502,生物种群!$B$3:INDEX(生物种群!$B:$B,COUNTA(生物种群!$B:$B)),),))</f>
        <v/>
      </c>
      <c r="M502" s="37" t="str">
        <f t="shared" si="14"/>
        <v/>
      </c>
      <c r="N502" s="37" t="str">
        <f t="shared" si="15"/>
        <v/>
      </c>
      <c r="O502" s="9"/>
      <c r="P502" s="10"/>
    </row>
    <row r="503" spans="1:16" ht="20.1" customHeight="1">
      <c r="A503" s="9"/>
      <c r="B503" s="9"/>
      <c r="C503" s="9"/>
      <c r="D503" s="43"/>
      <c r="E503" s="9"/>
      <c r="F503" s="9"/>
      <c r="G503" s="47" t="str">
        <f>IF(F503="","",INDEX(站位样品信息!$B$3:INDEX(站位样品信息!$B:$B,COUNTA(站位样品信息!$B:$B)+1),MATCH($F503,站位样品信息!$A$3:INDEX(站位样品信息!$A:$A,COUNTA(站位样品信息!$A:$A)+1),),))</f>
        <v/>
      </c>
      <c r="H503" s="37" t="str">
        <f>IF(A503&amp;B503&amp;C503="","",INDEX(生物种群!$A$2:INDEX(生物种群!$A:$A,COUNTA(生物种群!$A:$A)),MATCH($I503,生物种群!$B$2:INDEX(生物种群!$B:$B,COUNTA(生物种群!$B:$B)),),))</f>
        <v/>
      </c>
      <c r="I503" s="37" t="str">
        <f>IF(A503&amp;B503&amp;C503="","",IF($C503&lt;&gt;0,INDEX(生物种群!$B$2:INDEX(生物种群!$B:$B,COUNTA(生物种群!$B:$B)),MATCH($C503,生物种群!$G$2:INDEX(生物种群!$G:$G,COUNTA(生物种群!$G:$G)),),),IF($A503&lt;&gt;0,INDEX(生物种群!$B$2:INDEX(生物种群!$B:$B,COUNTA(生物种群!$B:$B)),MATCH($A503,生物种群!$C$2:INDEX(生物种群!$C:$C,COUNTA(生物种群!$C:$C)),),),INDEX(生物种群!$B$2:INDEX(生物种群!$B:$B,COUNTA(生物种群!$B:$B)),MATCH($B503,生物种群!$D$2:INDEX(生物种群!$D:$D,COUNTA(生物种群!$D:$D)),),))))</f>
        <v/>
      </c>
      <c r="J503" s="37" t="str">
        <f>IF(A503&amp;B503&amp;C503="","",INDEX(生物种群!$J$2:INDEX(生物种群!$J:$J,COUNTA(生物种群!$J:$J)),MATCH($I503,生物种群!$B$2:INDEX(生物种群!$B:$B,COUNTA(生物种群!$B:$B)),),))</f>
        <v/>
      </c>
      <c r="K503" s="37" t="str">
        <f>IF(A503&amp;B503&amp;C503="","",INDEX(生物种群!$E$2:INDEX(生物种群!$E:$E,COUNTA(生物种群!$E:$E)),MATCH($I503,生物种群!$B$2:INDEX(生物种群!$B:$B,COUNTA(生物种群!$B:$B)),),))</f>
        <v/>
      </c>
      <c r="L503" s="37" t="str">
        <f>IF(A503&amp;B503&amp;C503="","",INDEX(生物种群!$F$3:INDEX(生物种群!$F:$F,COUNTA(生物种群!$F:$F)),MATCH($I503,生物种群!$B$3:INDEX(生物种群!$B:$B,COUNTA(生物种群!$B:$B)),),))</f>
        <v/>
      </c>
      <c r="M503" s="37" t="str">
        <f t="shared" si="14"/>
        <v/>
      </c>
      <c r="N503" s="37" t="str">
        <f t="shared" si="15"/>
        <v/>
      </c>
      <c r="O503" s="9"/>
      <c r="P503" s="10"/>
    </row>
    <row r="504" spans="1:16" ht="20.1" customHeight="1">
      <c r="A504" s="9"/>
      <c r="B504" s="9"/>
      <c r="C504" s="9"/>
      <c r="D504" s="43"/>
      <c r="E504" s="9"/>
      <c r="F504" s="9"/>
      <c r="G504" s="47" t="str">
        <f>IF(F504="","",INDEX(站位样品信息!$B$3:INDEX(站位样品信息!$B:$B,COUNTA(站位样品信息!$B:$B)+1),MATCH($F504,站位样品信息!$A$3:INDEX(站位样品信息!$A:$A,COUNTA(站位样品信息!$A:$A)+1),),))</f>
        <v/>
      </c>
      <c r="H504" s="37" t="str">
        <f>IF(A504&amp;B504&amp;C504="","",INDEX(生物种群!$A$2:INDEX(生物种群!$A:$A,COUNTA(生物种群!$A:$A)),MATCH($I504,生物种群!$B$2:INDEX(生物种群!$B:$B,COUNTA(生物种群!$B:$B)),),))</f>
        <v/>
      </c>
      <c r="I504" s="37" t="str">
        <f>IF(A504&amp;B504&amp;C504="","",IF($C504&lt;&gt;0,INDEX(生物种群!$B$2:INDEX(生物种群!$B:$B,COUNTA(生物种群!$B:$B)),MATCH($C504,生物种群!$G$2:INDEX(生物种群!$G:$G,COUNTA(生物种群!$G:$G)),),),IF($A504&lt;&gt;0,INDEX(生物种群!$B$2:INDEX(生物种群!$B:$B,COUNTA(生物种群!$B:$B)),MATCH($A504,生物种群!$C$2:INDEX(生物种群!$C:$C,COUNTA(生物种群!$C:$C)),),),INDEX(生物种群!$B$2:INDEX(生物种群!$B:$B,COUNTA(生物种群!$B:$B)),MATCH($B504,生物种群!$D$2:INDEX(生物种群!$D:$D,COUNTA(生物种群!$D:$D)),),))))</f>
        <v/>
      </c>
      <c r="J504" s="37" t="str">
        <f>IF(A504&amp;B504&amp;C504="","",INDEX(生物种群!$J$2:INDEX(生物种群!$J:$J,COUNTA(生物种群!$J:$J)),MATCH($I504,生物种群!$B$2:INDEX(生物种群!$B:$B,COUNTA(生物种群!$B:$B)),),))</f>
        <v/>
      </c>
      <c r="K504" s="37" t="str">
        <f>IF(A504&amp;B504&amp;C504="","",INDEX(生物种群!$E$2:INDEX(生物种群!$E:$E,COUNTA(生物种群!$E:$E)),MATCH($I504,生物种群!$B$2:INDEX(生物种群!$B:$B,COUNTA(生物种群!$B:$B)),),))</f>
        <v/>
      </c>
      <c r="L504" s="37" t="str">
        <f>IF(A504&amp;B504&amp;C504="","",INDEX(生物种群!$F$3:INDEX(生物种群!$F:$F,COUNTA(生物种群!$F:$F)),MATCH($I504,生物种群!$B$3:INDEX(生物种群!$B:$B,COUNTA(生物种群!$B:$B)),),))</f>
        <v/>
      </c>
      <c r="M504" s="37" t="str">
        <f t="shared" si="14"/>
        <v/>
      </c>
      <c r="N504" s="37" t="str">
        <f t="shared" si="15"/>
        <v/>
      </c>
      <c r="O504" s="9"/>
      <c r="P504" s="10"/>
    </row>
    <row r="505" spans="1:16" ht="20.1" customHeight="1">
      <c r="A505" s="9"/>
      <c r="B505" s="9"/>
      <c r="C505" s="9"/>
      <c r="D505" s="43"/>
      <c r="E505" s="9"/>
      <c r="F505" s="9"/>
      <c r="G505" s="47" t="str">
        <f>IF(F505="","",INDEX(站位样品信息!$B$3:INDEX(站位样品信息!$B:$B,COUNTA(站位样品信息!$B:$B)+1),MATCH($F505,站位样品信息!$A$3:INDEX(站位样品信息!$A:$A,COUNTA(站位样品信息!$A:$A)+1),),))</f>
        <v/>
      </c>
      <c r="H505" s="37" t="str">
        <f>IF(A505&amp;B505&amp;C505="","",INDEX(生物种群!$A$2:INDEX(生物种群!$A:$A,COUNTA(生物种群!$A:$A)),MATCH($I505,生物种群!$B$2:INDEX(生物种群!$B:$B,COUNTA(生物种群!$B:$B)),),))</f>
        <v/>
      </c>
      <c r="I505" s="37" t="str">
        <f>IF(A505&amp;B505&amp;C505="","",IF($C505&lt;&gt;0,INDEX(生物种群!$B$2:INDEX(生物种群!$B:$B,COUNTA(生物种群!$B:$B)),MATCH($C505,生物种群!$G$2:INDEX(生物种群!$G:$G,COUNTA(生物种群!$G:$G)),),),IF($A505&lt;&gt;0,INDEX(生物种群!$B$2:INDEX(生物种群!$B:$B,COUNTA(生物种群!$B:$B)),MATCH($A505,生物种群!$C$2:INDEX(生物种群!$C:$C,COUNTA(生物种群!$C:$C)),),),INDEX(生物种群!$B$2:INDEX(生物种群!$B:$B,COUNTA(生物种群!$B:$B)),MATCH($B505,生物种群!$D$2:INDEX(生物种群!$D:$D,COUNTA(生物种群!$D:$D)),),))))</f>
        <v/>
      </c>
      <c r="J505" s="37" t="str">
        <f>IF(A505&amp;B505&amp;C505="","",INDEX(生物种群!$J$2:INDEX(生物种群!$J:$J,COUNTA(生物种群!$J:$J)),MATCH($I505,生物种群!$B$2:INDEX(生物种群!$B:$B,COUNTA(生物种群!$B:$B)),),))</f>
        <v/>
      </c>
      <c r="K505" s="37" t="str">
        <f>IF(A505&amp;B505&amp;C505="","",INDEX(生物种群!$E$2:INDEX(生物种群!$E:$E,COUNTA(生物种群!$E:$E)),MATCH($I505,生物种群!$B$2:INDEX(生物种群!$B:$B,COUNTA(生物种群!$B:$B)),),))</f>
        <v/>
      </c>
      <c r="L505" s="37" t="str">
        <f>IF(A505&amp;B505&amp;C505="","",INDEX(生物种群!$F$3:INDEX(生物种群!$F:$F,COUNTA(生物种群!$F:$F)),MATCH($I505,生物种群!$B$3:INDEX(生物种群!$B:$B,COUNTA(生物种群!$B:$B)),),))</f>
        <v/>
      </c>
      <c r="M505" s="37" t="str">
        <f t="shared" si="14"/>
        <v/>
      </c>
      <c r="N505" s="37" t="str">
        <f t="shared" si="15"/>
        <v/>
      </c>
      <c r="O505" s="9"/>
      <c r="P505" s="10"/>
    </row>
    <row r="506" spans="1:16" ht="20.1" customHeight="1">
      <c r="A506" s="9"/>
      <c r="B506" s="9"/>
      <c r="C506" s="9"/>
      <c r="D506" s="43"/>
      <c r="E506" s="9"/>
      <c r="F506" s="9"/>
      <c r="G506" s="47" t="str">
        <f>IF(F506="","",INDEX(站位样品信息!$B$3:INDEX(站位样品信息!$B:$B,COUNTA(站位样品信息!$B:$B)+1),MATCH($F506,站位样品信息!$A$3:INDEX(站位样品信息!$A:$A,COUNTA(站位样品信息!$A:$A)+1),),))</f>
        <v/>
      </c>
      <c r="H506" s="37" t="str">
        <f>IF(A506&amp;B506&amp;C506="","",INDEX(生物种群!$A$2:INDEX(生物种群!$A:$A,COUNTA(生物种群!$A:$A)),MATCH($I506,生物种群!$B$2:INDEX(生物种群!$B:$B,COUNTA(生物种群!$B:$B)),),))</f>
        <v/>
      </c>
      <c r="I506" s="37" t="str">
        <f>IF(A506&amp;B506&amp;C506="","",IF($C506&lt;&gt;0,INDEX(生物种群!$B$2:INDEX(生物种群!$B:$B,COUNTA(生物种群!$B:$B)),MATCH($C506,生物种群!$G$2:INDEX(生物种群!$G:$G,COUNTA(生物种群!$G:$G)),),),IF($A506&lt;&gt;0,INDEX(生物种群!$B$2:INDEX(生物种群!$B:$B,COUNTA(生物种群!$B:$B)),MATCH($A506,生物种群!$C$2:INDEX(生物种群!$C:$C,COUNTA(生物种群!$C:$C)),),),INDEX(生物种群!$B$2:INDEX(生物种群!$B:$B,COUNTA(生物种群!$B:$B)),MATCH($B506,生物种群!$D$2:INDEX(生物种群!$D:$D,COUNTA(生物种群!$D:$D)),),))))</f>
        <v/>
      </c>
      <c r="J506" s="37" t="str">
        <f>IF(A506&amp;B506&amp;C506="","",INDEX(生物种群!$J$2:INDEX(生物种群!$J:$J,COUNTA(生物种群!$J:$J)),MATCH($I506,生物种群!$B$2:INDEX(生物种群!$B:$B,COUNTA(生物种群!$B:$B)),),))</f>
        <v/>
      </c>
      <c r="K506" s="37" t="str">
        <f>IF(A506&amp;B506&amp;C506="","",INDEX(生物种群!$E$2:INDEX(生物种群!$E:$E,COUNTA(生物种群!$E:$E)),MATCH($I506,生物种群!$B$2:INDEX(生物种群!$B:$B,COUNTA(生物种群!$B:$B)),),))</f>
        <v/>
      </c>
      <c r="L506" s="37" t="str">
        <f>IF(A506&amp;B506&amp;C506="","",INDEX(生物种群!$F$3:INDEX(生物种群!$F:$F,COUNTA(生物种群!$F:$F)),MATCH($I506,生物种群!$B$3:INDEX(生物种群!$B:$B,COUNTA(生物种群!$B:$B)),),))</f>
        <v/>
      </c>
      <c r="M506" s="37" t="str">
        <f t="shared" si="14"/>
        <v/>
      </c>
      <c r="N506" s="37" t="str">
        <f t="shared" si="15"/>
        <v/>
      </c>
      <c r="O506" s="9"/>
      <c r="P506" s="10"/>
    </row>
    <row r="507" spans="1:16" ht="20.1" customHeight="1">
      <c r="A507" s="9"/>
      <c r="B507" s="9"/>
      <c r="C507" s="9"/>
      <c r="D507" s="43"/>
      <c r="E507" s="9"/>
      <c r="F507" s="9"/>
      <c r="G507" s="47" t="str">
        <f>IF(F507="","",INDEX(站位样品信息!$B$3:INDEX(站位样品信息!$B:$B,COUNTA(站位样品信息!$B:$B)+1),MATCH($F507,站位样品信息!$A$3:INDEX(站位样品信息!$A:$A,COUNTA(站位样品信息!$A:$A)+1),),))</f>
        <v/>
      </c>
      <c r="H507" s="37" t="str">
        <f>IF(A507&amp;B507&amp;C507="","",INDEX(生物种群!$A$2:INDEX(生物种群!$A:$A,COUNTA(生物种群!$A:$A)),MATCH($I507,生物种群!$B$2:INDEX(生物种群!$B:$B,COUNTA(生物种群!$B:$B)),),))</f>
        <v/>
      </c>
      <c r="I507" s="37" t="str">
        <f>IF(A507&amp;B507&amp;C507="","",IF($C507&lt;&gt;0,INDEX(生物种群!$B$2:INDEX(生物种群!$B:$B,COUNTA(生物种群!$B:$B)),MATCH($C507,生物种群!$G$2:INDEX(生物种群!$G:$G,COUNTA(生物种群!$G:$G)),),),IF($A507&lt;&gt;0,INDEX(生物种群!$B$2:INDEX(生物种群!$B:$B,COUNTA(生物种群!$B:$B)),MATCH($A507,生物种群!$C$2:INDEX(生物种群!$C:$C,COUNTA(生物种群!$C:$C)),),),INDEX(生物种群!$B$2:INDEX(生物种群!$B:$B,COUNTA(生物种群!$B:$B)),MATCH($B507,生物种群!$D$2:INDEX(生物种群!$D:$D,COUNTA(生物种群!$D:$D)),),))))</f>
        <v/>
      </c>
      <c r="J507" s="37" t="str">
        <f>IF(A507&amp;B507&amp;C507="","",INDEX(生物种群!$J$2:INDEX(生物种群!$J:$J,COUNTA(生物种群!$J:$J)),MATCH($I507,生物种群!$B$2:INDEX(生物种群!$B:$B,COUNTA(生物种群!$B:$B)),),))</f>
        <v/>
      </c>
      <c r="K507" s="37" t="str">
        <f>IF(A507&amp;B507&amp;C507="","",INDEX(生物种群!$E$2:INDEX(生物种群!$E:$E,COUNTA(生物种群!$E:$E)),MATCH($I507,生物种群!$B$2:INDEX(生物种群!$B:$B,COUNTA(生物种群!$B:$B)),),))</f>
        <v/>
      </c>
      <c r="L507" s="37" t="str">
        <f>IF(A507&amp;B507&amp;C507="","",INDEX(生物种群!$F$3:INDEX(生物种群!$F:$F,COUNTA(生物种群!$F:$F)),MATCH($I507,生物种群!$B$3:INDEX(生物种群!$B:$B,COUNTA(生物种群!$B:$B)),),))</f>
        <v/>
      </c>
      <c r="M507" s="37" t="str">
        <f t="shared" si="14"/>
        <v/>
      </c>
      <c r="N507" s="37" t="str">
        <f t="shared" si="15"/>
        <v/>
      </c>
      <c r="O507" s="9"/>
      <c r="P507" s="10"/>
    </row>
    <row r="508" spans="1:16" ht="20.1" customHeight="1">
      <c r="A508" s="9"/>
      <c r="B508" s="9"/>
      <c r="C508" s="9"/>
      <c r="D508" s="43"/>
      <c r="E508" s="9"/>
      <c r="F508" s="9"/>
      <c r="G508" s="47" t="str">
        <f>IF(F508="","",INDEX(站位样品信息!$B$3:INDEX(站位样品信息!$B:$B,COUNTA(站位样品信息!$B:$B)+1),MATCH($F508,站位样品信息!$A$3:INDEX(站位样品信息!$A:$A,COUNTA(站位样品信息!$A:$A)+1),),))</f>
        <v/>
      </c>
      <c r="H508" s="37" t="str">
        <f>IF(A508&amp;B508&amp;C508="","",INDEX(生物种群!$A$2:INDEX(生物种群!$A:$A,COUNTA(生物种群!$A:$A)),MATCH($I508,生物种群!$B$2:INDEX(生物种群!$B:$B,COUNTA(生物种群!$B:$B)),),))</f>
        <v/>
      </c>
      <c r="I508" s="37" t="str">
        <f>IF(A508&amp;B508&amp;C508="","",IF($C508&lt;&gt;0,INDEX(生物种群!$B$2:INDEX(生物种群!$B:$B,COUNTA(生物种群!$B:$B)),MATCH($C508,生物种群!$G$2:INDEX(生物种群!$G:$G,COUNTA(生物种群!$G:$G)),),),IF($A508&lt;&gt;0,INDEX(生物种群!$B$2:INDEX(生物种群!$B:$B,COUNTA(生物种群!$B:$B)),MATCH($A508,生物种群!$C$2:INDEX(生物种群!$C:$C,COUNTA(生物种群!$C:$C)),),),INDEX(生物种群!$B$2:INDEX(生物种群!$B:$B,COUNTA(生物种群!$B:$B)),MATCH($B508,生物种群!$D$2:INDEX(生物种群!$D:$D,COUNTA(生物种群!$D:$D)),),))))</f>
        <v/>
      </c>
      <c r="J508" s="37" t="str">
        <f>IF(A508&amp;B508&amp;C508="","",INDEX(生物种群!$J$2:INDEX(生物种群!$J:$J,COUNTA(生物种群!$J:$J)),MATCH($I508,生物种群!$B$2:INDEX(生物种群!$B:$B,COUNTA(生物种群!$B:$B)),),))</f>
        <v/>
      </c>
      <c r="K508" s="37" t="str">
        <f>IF(A508&amp;B508&amp;C508="","",INDEX(生物种群!$E$2:INDEX(生物种群!$E:$E,COUNTA(生物种群!$E:$E)),MATCH($I508,生物种群!$B$2:INDEX(生物种群!$B:$B,COUNTA(生物种群!$B:$B)),),))</f>
        <v/>
      </c>
      <c r="L508" s="37" t="str">
        <f>IF(A508&amp;B508&amp;C508="","",INDEX(生物种群!$F$3:INDEX(生物种群!$F:$F,COUNTA(生物种群!$F:$F)),MATCH($I508,生物种群!$B$3:INDEX(生物种群!$B:$B,COUNTA(生物种群!$B:$B)),),))</f>
        <v/>
      </c>
      <c r="M508" s="37" t="str">
        <f t="shared" si="14"/>
        <v/>
      </c>
      <c r="N508" s="37" t="str">
        <f t="shared" si="15"/>
        <v/>
      </c>
      <c r="O508" s="9"/>
      <c r="P508" s="10"/>
    </row>
    <row r="509" spans="1:16" ht="20.1" customHeight="1">
      <c r="A509" s="9"/>
      <c r="B509" s="9"/>
      <c r="C509" s="9"/>
      <c r="D509" s="43"/>
      <c r="E509" s="9"/>
      <c r="F509" s="9"/>
      <c r="G509" s="47" t="str">
        <f>IF(F509="","",INDEX(站位样品信息!$B$3:INDEX(站位样品信息!$B:$B,COUNTA(站位样品信息!$B:$B)+1),MATCH($F509,站位样品信息!$A$3:INDEX(站位样品信息!$A:$A,COUNTA(站位样品信息!$A:$A)+1),),))</f>
        <v/>
      </c>
      <c r="H509" s="37" t="str">
        <f>IF(A509&amp;B509&amp;C509="","",INDEX(生物种群!$A$2:INDEX(生物种群!$A:$A,COUNTA(生物种群!$A:$A)),MATCH($I509,生物种群!$B$2:INDEX(生物种群!$B:$B,COUNTA(生物种群!$B:$B)),),))</f>
        <v/>
      </c>
      <c r="I509" s="37" t="str">
        <f>IF(A509&amp;B509&amp;C509="","",IF($C509&lt;&gt;0,INDEX(生物种群!$B$2:INDEX(生物种群!$B:$B,COUNTA(生物种群!$B:$B)),MATCH($C509,生物种群!$G$2:INDEX(生物种群!$G:$G,COUNTA(生物种群!$G:$G)),),),IF($A509&lt;&gt;0,INDEX(生物种群!$B$2:INDEX(生物种群!$B:$B,COUNTA(生物种群!$B:$B)),MATCH($A509,生物种群!$C$2:INDEX(生物种群!$C:$C,COUNTA(生物种群!$C:$C)),),),INDEX(生物种群!$B$2:INDEX(生物种群!$B:$B,COUNTA(生物种群!$B:$B)),MATCH($B509,生物种群!$D$2:INDEX(生物种群!$D:$D,COUNTA(生物种群!$D:$D)),),))))</f>
        <v/>
      </c>
      <c r="J509" s="37" t="str">
        <f>IF(A509&amp;B509&amp;C509="","",INDEX(生物种群!$J$2:INDEX(生物种群!$J:$J,COUNTA(生物种群!$J:$J)),MATCH($I509,生物种群!$B$2:INDEX(生物种群!$B:$B,COUNTA(生物种群!$B:$B)),),))</f>
        <v/>
      </c>
      <c r="K509" s="37" t="str">
        <f>IF(A509&amp;B509&amp;C509="","",INDEX(生物种群!$E$2:INDEX(生物种群!$E:$E,COUNTA(生物种群!$E:$E)),MATCH($I509,生物种群!$B$2:INDEX(生物种群!$B:$B,COUNTA(生物种群!$B:$B)),),))</f>
        <v/>
      </c>
      <c r="L509" s="37" t="str">
        <f>IF(A509&amp;B509&amp;C509="","",INDEX(生物种群!$F$3:INDEX(生物种群!$F:$F,COUNTA(生物种群!$F:$F)),MATCH($I509,生物种群!$B$3:INDEX(生物种群!$B:$B,COUNTA(生物种群!$B:$B)),),))</f>
        <v/>
      </c>
      <c r="M509" s="37" t="str">
        <f t="shared" si="14"/>
        <v/>
      </c>
      <c r="N509" s="37" t="str">
        <f t="shared" si="15"/>
        <v/>
      </c>
      <c r="O509" s="9"/>
      <c r="P509" s="10"/>
    </row>
    <row r="510" spans="1:16" ht="20.1" customHeight="1">
      <c r="A510" s="9"/>
      <c r="B510" s="9"/>
      <c r="C510" s="9"/>
      <c r="D510" s="43"/>
      <c r="E510" s="9"/>
      <c r="F510" s="9"/>
      <c r="G510" s="47" t="str">
        <f>IF(F510="","",INDEX(站位样品信息!$B$3:INDEX(站位样品信息!$B:$B,COUNTA(站位样品信息!$B:$B)+1),MATCH($F510,站位样品信息!$A$3:INDEX(站位样品信息!$A:$A,COUNTA(站位样品信息!$A:$A)+1),),))</f>
        <v/>
      </c>
      <c r="H510" s="37" t="str">
        <f>IF(A510&amp;B510&amp;C510="","",INDEX(生物种群!$A$2:INDEX(生物种群!$A:$A,COUNTA(生物种群!$A:$A)),MATCH($I510,生物种群!$B$2:INDEX(生物种群!$B:$B,COUNTA(生物种群!$B:$B)),),))</f>
        <v/>
      </c>
      <c r="I510" s="37" t="str">
        <f>IF(A510&amp;B510&amp;C510="","",IF($C510&lt;&gt;0,INDEX(生物种群!$B$2:INDEX(生物种群!$B:$B,COUNTA(生物种群!$B:$B)),MATCH($C510,生物种群!$G$2:INDEX(生物种群!$G:$G,COUNTA(生物种群!$G:$G)),),),IF($A510&lt;&gt;0,INDEX(生物种群!$B$2:INDEX(生物种群!$B:$B,COUNTA(生物种群!$B:$B)),MATCH($A510,生物种群!$C$2:INDEX(生物种群!$C:$C,COUNTA(生物种群!$C:$C)),),),INDEX(生物种群!$B$2:INDEX(生物种群!$B:$B,COUNTA(生物种群!$B:$B)),MATCH($B510,生物种群!$D$2:INDEX(生物种群!$D:$D,COUNTA(生物种群!$D:$D)),),))))</f>
        <v/>
      </c>
      <c r="J510" s="37" t="str">
        <f>IF(A510&amp;B510&amp;C510="","",INDEX(生物种群!$J$2:INDEX(生物种群!$J:$J,COUNTA(生物种群!$J:$J)),MATCH($I510,生物种群!$B$2:INDEX(生物种群!$B:$B,COUNTA(生物种群!$B:$B)),),))</f>
        <v/>
      </c>
      <c r="K510" s="37" t="str">
        <f>IF(A510&amp;B510&amp;C510="","",INDEX(生物种群!$E$2:INDEX(生物种群!$E:$E,COUNTA(生物种群!$E:$E)),MATCH($I510,生物种群!$B$2:INDEX(生物种群!$B:$B,COUNTA(生物种群!$B:$B)),),))</f>
        <v/>
      </c>
      <c r="L510" s="37" t="str">
        <f>IF(A510&amp;B510&amp;C510="","",INDEX(生物种群!$F$3:INDEX(生物种群!$F:$F,COUNTA(生物种群!$F:$F)),MATCH($I510,生物种群!$B$3:INDEX(生物种群!$B:$B,COUNTA(生物种群!$B:$B)),),))</f>
        <v/>
      </c>
      <c r="M510" s="37" t="str">
        <f t="shared" si="14"/>
        <v/>
      </c>
      <c r="N510" s="37" t="str">
        <f t="shared" si="15"/>
        <v/>
      </c>
      <c r="O510" s="9"/>
      <c r="P510" s="10"/>
    </row>
    <row r="511" spans="1:16" ht="20.1" customHeight="1">
      <c r="A511" s="9"/>
      <c r="B511" s="9"/>
      <c r="C511" s="9"/>
      <c r="D511" s="43"/>
      <c r="E511" s="9"/>
      <c r="F511" s="9"/>
      <c r="G511" s="47" t="str">
        <f>IF(F511="","",INDEX(站位样品信息!$B$3:INDEX(站位样品信息!$B:$B,COUNTA(站位样品信息!$B:$B)+1),MATCH($F511,站位样品信息!$A$3:INDEX(站位样品信息!$A:$A,COUNTA(站位样品信息!$A:$A)+1),),))</f>
        <v/>
      </c>
      <c r="H511" s="37" t="str">
        <f>IF(A511&amp;B511&amp;C511="","",INDEX(生物种群!$A$2:INDEX(生物种群!$A:$A,COUNTA(生物种群!$A:$A)),MATCH($I511,生物种群!$B$2:INDEX(生物种群!$B:$B,COUNTA(生物种群!$B:$B)),),))</f>
        <v/>
      </c>
      <c r="I511" s="37" t="str">
        <f>IF(A511&amp;B511&amp;C511="","",IF($C511&lt;&gt;0,INDEX(生物种群!$B$2:INDEX(生物种群!$B:$B,COUNTA(生物种群!$B:$B)),MATCH($C511,生物种群!$G$2:INDEX(生物种群!$G:$G,COUNTA(生物种群!$G:$G)),),),IF($A511&lt;&gt;0,INDEX(生物种群!$B$2:INDEX(生物种群!$B:$B,COUNTA(生物种群!$B:$B)),MATCH($A511,生物种群!$C$2:INDEX(生物种群!$C:$C,COUNTA(生物种群!$C:$C)),),),INDEX(生物种群!$B$2:INDEX(生物种群!$B:$B,COUNTA(生物种群!$B:$B)),MATCH($B511,生物种群!$D$2:INDEX(生物种群!$D:$D,COUNTA(生物种群!$D:$D)),),))))</f>
        <v/>
      </c>
      <c r="J511" s="37" t="str">
        <f>IF(A511&amp;B511&amp;C511="","",INDEX(生物种群!$J$2:INDEX(生物种群!$J:$J,COUNTA(生物种群!$J:$J)),MATCH($I511,生物种群!$B$2:INDEX(生物种群!$B:$B,COUNTA(生物种群!$B:$B)),),))</f>
        <v/>
      </c>
      <c r="K511" s="37" t="str">
        <f>IF(A511&amp;B511&amp;C511="","",INDEX(生物种群!$E$2:INDEX(生物种群!$E:$E,COUNTA(生物种群!$E:$E)),MATCH($I511,生物种群!$B$2:INDEX(生物种群!$B:$B,COUNTA(生物种群!$B:$B)),),))</f>
        <v/>
      </c>
      <c r="L511" s="37" t="str">
        <f>IF(A511&amp;B511&amp;C511="","",INDEX(生物种群!$F$3:INDEX(生物种群!$F:$F,COUNTA(生物种群!$F:$F)),MATCH($I511,生物种群!$B$3:INDEX(生物种群!$B:$B,COUNTA(生物种群!$B:$B)),),))</f>
        <v/>
      </c>
      <c r="M511" s="37" t="str">
        <f t="shared" si="14"/>
        <v/>
      </c>
      <c r="N511" s="37" t="str">
        <f t="shared" si="15"/>
        <v/>
      </c>
      <c r="O511" s="9"/>
      <c r="P511" s="10"/>
    </row>
    <row r="512" spans="1:16" ht="20.1" customHeight="1">
      <c r="A512" s="9"/>
      <c r="B512" s="9"/>
      <c r="C512" s="9"/>
      <c r="D512" s="43"/>
      <c r="E512" s="9"/>
      <c r="F512" s="9"/>
      <c r="G512" s="47" t="str">
        <f>IF(F512="","",INDEX(站位样品信息!$B$3:INDEX(站位样品信息!$B:$B,COUNTA(站位样品信息!$B:$B)+1),MATCH($F512,站位样品信息!$A$3:INDEX(站位样品信息!$A:$A,COUNTA(站位样品信息!$A:$A)+1),),))</f>
        <v/>
      </c>
      <c r="H512" s="37" t="str">
        <f>IF(A512&amp;B512&amp;C512="","",INDEX(生物种群!$A$2:INDEX(生物种群!$A:$A,COUNTA(生物种群!$A:$A)),MATCH($I512,生物种群!$B$2:INDEX(生物种群!$B:$B,COUNTA(生物种群!$B:$B)),),))</f>
        <v/>
      </c>
      <c r="I512" s="37" t="str">
        <f>IF(A512&amp;B512&amp;C512="","",IF($C512&lt;&gt;0,INDEX(生物种群!$B$2:INDEX(生物种群!$B:$B,COUNTA(生物种群!$B:$B)),MATCH($C512,生物种群!$G$2:INDEX(生物种群!$G:$G,COUNTA(生物种群!$G:$G)),),),IF($A512&lt;&gt;0,INDEX(生物种群!$B$2:INDEX(生物种群!$B:$B,COUNTA(生物种群!$B:$B)),MATCH($A512,生物种群!$C$2:INDEX(生物种群!$C:$C,COUNTA(生物种群!$C:$C)),),),INDEX(生物种群!$B$2:INDEX(生物种群!$B:$B,COUNTA(生物种群!$B:$B)),MATCH($B512,生物种群!$D$2:INDEX(生物种群!$D:$D,COUNTA(生物种群!$D:$D)),),))))</f>
        <v/>
      </c>
      <c r="J512" s="37" t="str">
        <f>IF(A512&amp;B512&amp;C512="","",INDEX(生物种群!$J$2:INDEX(生物种群!$J:$J,COUNTA(生物种群!$J:$J)),MATCH($I512,生物种群!$B$2:INDEX(生物种群!$B:$B,COUNTA(生物种群!$B:$B)),),))</f>
        <v/>
      </c>
      <c r="K512" s="37" t="str">
        <f>IF(A512&amp;B512&amp;C512="","",INDEX(生物种群!$E$2:INDEX(生物种群!$E:$E,COUNTA(生物种群!$E:$E)),MATCH($I512,生物种群!$B$2:INDEX(生物种群!$B:$B,COUNTA(生物种群!$B:$B)),),))</f>
        <v/>
      </c>
      <c r="L512" s="37" t="str">
        <f>IF(A512&amp;B512&amp;C512="","",INDEX(生物种群!$F$3:INDEX(生物种群!$F:$F,COUNTA(生物种群!$F:$F)),MATCH($I512,生物种群!$B$3:INDEX(生物种群!$B:$B,COUNTA(生物种群!$B:$B)),),))</f>
        <v/>
      </c>
      <c r="M512" s="37" t="str">
        <f t="shared" si="14"/>
        <v/>
      </c>
      <c r="N512" s="37" t="str">
        <f t="shared" si="15"/>
        <v/>
      </c>
      <c r="O512" s="9"/>
      <c r="P512" s="10"/>
    </row>
    <row r="513" spans="1:16" ht="20.1" customHeight="1">
      <c r="A513" s="9"/>
      <c r="B513" s="9"/>
      <c r="C513" s="9"/>
      <c r="D513" s="43"/>
      <c r="E513" s="9"/>
      <c r="F513" s="9"/>
      <c r="G513" s="47" t="str">
        <f>IF(F513="","",INDEX(站位样品信息!$B$3:INDEX(站位样品信息!$B:$B,COUNTA(站位样品信息!$B:$B)+1),MATCH($F513,站位样品信息!$A$3:INDEX(站位样品信息!$A:$A,COUNTA(站位样品信息!$A:$A)+1),),))</f>
        <v/>
      </c>
      <c r="H513" s="37" t="str">
        <f>IF(A513&amp;B513&amp;C513="","",INDEX(生物种群!$A$2:INDEX(生物种群!$A:$A,COUNTA(生物种群!$A:$A)),MATCH($I513,生物种群!$B$2:INDEX(生物种群!$B:$B,COUNTA(生物种群!$B:$B)),),))</f>
        <v/>
      </c>
      <c r="I513" s="37" t="str">
        <f>IF(A513&amp;B513&amp;C513="","",IF($C513&lt;&gt;0,INDEX(生物种群!$B$2:INDEX(生物种群!$B:$B,COUNTA(生物种群!$B:$B)),MATCH($C513,生物种群!$G$2:INDEX(生物种群!$G:$G,COUNTA(生物种群!$G:$G)),),),IF($A513&lt;&gt;0,INDEX(生物种群!$B$2:INDEX(生物种群!$B:$B,COUNTA(生物种群!$B:$B)),MATCH($A513,生物种群!$C$2:INDEX(生物种群!$C:$C,COUNTA(生物种群!$C:$C)),),),INDEX(生物种群!$B$2:INDEX(生物种群!$B:$B,COUNTA(生物种群!$B:$B)),MATCH($B513,生物种群!$D$2:INDEX(生物种群!$D:$D,COUNTA(生物种群!$D:$D)),),))))</f>
        <v/>
      </c>
      <c r="J513" s="37" t="str">
        <f>IF(A513&amp;B513&amp;C513="","",INDEX(生物种群!$J$2:INDEX(生物种群!$J:$J,COUNTA(生物种群!$J:$J)),MATCH($I513,生物种群!$B$2:INDEX(生物种群!$B:$B,COUNTA(生物种群!$B:$B)),),))</f>
        <v/>
      </c>
      <c r="K513" s="37" t="str">
        <f>IF(A513&amp;B513&amp;C513="","",INDEX(生物种群!$E$2:INDEX(生物种群!$E:$E,COUNTA(生物种群!$E:$E)),MATCH($I513,生物种群!$B$2:INDEX(生物种群!$B:$B,COUNTA(生物种群!$B:$B)),),))</f>
        <v/>
      </c>
      <c r="L513" s="37" t="str">
        <f>IF(A513&amp;B513&amp;C513="","",INDEX(生物种群!$F$3:INDEX(生物种群!$F:$F,COUNTA(生物种群!$F:$F)),MATCH($I513,生物种群!$B$3:INDEX(生物种群!$B:$B,COUNTA(生物种群!$B:$B)),),))</f>
        <v/>
      </c>
      <c r="M513" s="37" t="str">
        <f t="shared" si="14"/>
        <v/>
      </c>
      <c r="N513" s="37" t="str">
        <f t="shared" si="15"/>
        <v/>
      </c>
      <c r="O513" s="9"/>
      <c r="P513" s="10"/>
    </row>
    <row r="514" spans="1:16" ht="20.1" customHeight="1">
      <c r="A514" s="9"/>
      <c r="B514" s="9"/>
      <c r="C514" s="9"/>
      <c r="D514" s="43"/>
      <c r="E514" s="9"/>
      <c r="F514" s="9"/>
      <c r="G514" s="47" t="str">
        <f>IF(F514="","",INDEX(站位样品信息!$B$3:INDEX(站位样品信息!$B:$B,COUNTA(站位样品信息!$B:$B)+1),MATCH($F514,站位样品信息!$A$3:INDEX(站位样品信息!$A:$A,COUNTA(站位样品信息!$A:$A)+1),),))</f>
        <v/>
      </c>
      <c r="H514" s="37" t="str">
        <f>IF(A514&amp;B514&amp;C514="","",INDEX(生物种群!$A$2:INDEX(生物种群!$A:$A,COUNTA(生物种群!$A:$A)),MATCH($I514,生物种群!$B$2:INDEX(生物种群!$B:$B,COUNTA(生物种群!$B:$B)),),))</f>
        <v/>
      </c>
      <c r="I514" s="37" t="str">
        <f>IF(A514&amp;B514&amp;C514="","",IF($C514&lt;&gt;0,INDEX(生物种群!$B$2:INDEX(生物种群!$B:$B,COUNTA(生物种群!$B:$B)),MATCH($C514,生物种群!$G$2:INDEX(生物种群!$G:$G,COUNTA(生物种群!$G:$G)),),),IF($A514&lt;&gt;0,INDEX(生物种群!$B$2:INDEX(生物种群!$B:$B,COUNTA(生物种群!$B:$B)),MATCH($A514,生物种群!$C$2:INDEX(生物种群!$C:$C,COUNTA(生物种群!$C:$C)),),),INDEX(生物种群!$B$2:INDEX(生物种群!$B:$B,COUNTA(生物种群!$B:$B)),MATCH($B514,生物种群!$D$2:INDEX(生物种群!$D:$D,COUNTA(生物种群!$D:$D)),),))))</f>
        <v/>
      </c>
      <c r="J514" s="37" t="str">
        <f>IF(A514&amp;B514&amp;C514="","",INDEX(生物种群!$J$2:INDEX(生物种群!$J:$J,COUNTA(生物种群!$J:$J)),MATCH($I514,生物种群!$B$2:INDEX(生物种群!$B:$B,COUNTA(生物种群!$B:$B)),),))</f>
        <v/>
      </c>
      <c r="K514" s="37" t="str">
        <f>IF(A514&amp;B514&amp;C514="","",INDEX(生物种群!$E$2:INDEX(生物种群!$E:$E,COUNTA(生物种群!$E:$E)),MATCH($I514,生物种群!$B$2:INDEX(生物种群!$B:$B,COUNTA(生物种群!$B:$B)),),))</f>
        <v/>
      </c>
      <c r="L514" s="37" t="str">
        <f>IF(A514&amp;B514&amp;C514="","",INDEX(生物种群!$F$3:INDEX(生物种群!$F:$F,COUNTA(生物种群!$F:$F)),MATCH($I514,生物种群!$B$3:INDEX(生物种群!$B:$B,COUNTA(生物种群!$B:$B)),),))</f>
        <v/>
      </c>
      <c r="M514" s="37" t="str">
        <f t="shared" si="14"/>
        <v/>
      </c>
      <c r="N514" s="37" t="str">
        <f t="shared" si="15"/>
        <v/>
      </c>
      <c r="O514" s="9"/>
      <c r="P514" s="10"/>
    </row>
    <row r="515" spans="1:16" ht="20.1" customHeight="1">
      <c r="A515" s="9"/>
      <c r="B515" s="9"/>
      <c r="C515" s="9"/>
      <c r="D515" s="43"/>
      <c r="E515" s="9"/>
      <c r="F515" s="9"/>
      <c r="G515" s="47" t="str">
        <f>IF(F515="","",INDEX(站位样品信息!$B$3:INDEX(站位样品信息!$B:$B,COUNTA(站位样品信息!$B:$B)+1),MATCH($F515,站位样品信息!$A$3:INDEX(站位样品信息!$A:$A,COUNTA(站位样品信息!$A:$A)+1),),))</f>
        <v/>
      </c>
      <c r="H515" s="37" t="str">
        <f>IF(A515&amp;B515&amp;C515="","",INDEX(生物种群!$A$2:INDEX(生物种群!$A:$A,COUNTA(生物种群!$A:$A)),MATCH($I515,生物种群!$B$2:INDEX(生物种群!$B:$B,COUNTA(生物种群!$B:$B)),),))</f>
        <v/>
      </c>
      <c r="I515" s="37" t="str">
        <f>IF(A515&amp;B515&amp;C515="","",IF($C515&lt;&gt;0,INDEX(生物种群!$B$2:INDEX(生物种群!$B:$B,COUNTA(生物种群!$B:$B)),MATCH($C515,生物种群!$G$2:INDEX(生物种群!$G:$G,COUNTA(生物种群!$G:$G)),),),IF($A515&lt;&gt;0,INDEX(生物种群!$B$2:INDEX(生物种群!$B:$B,COUNTA(生物种群!$B:$B)),MATCH($A515,生物种群!$C$2:INDEX(生物种群!$C:$C,COUNTA(生物种群!$C:$C)),),),INDEX(生物种群!$B$2:INDEX(生物种群!$B:$B,COUNTA(生物种群!$B:$B)),MATCH($B515,生物种群!$D$2:INDEX(生物种群!$D:$D,COUNTA(生物种群!$D:$D)),),))))</f>
        <v/>
      </c>
      <c r="J515" s="37" t="str">
        <f>IF(A515&amp;B515&amp;C515="","",INDEX(生物种群!$J$2:INDEX(生物种群!$J:$J,COUNTA(生物种群!$J:$J)),MATCH($I515,生物种群!$B$2:INDEX(生物种群!$B:$B,COUNTA(生物种群!$B:$B)),),))</f>
        <v/>
      </c>
      <c r="K515" s="37" t="str">
        <f>IF(A515&amp;B515&amp;C515="","",INDEX(生物种群!$E$2:INDEX(生物种群!$E:$E,COUNTA(生物种群!$E:$E)),MATCH($I515,生物种群!$B$2:INDEX(生物种群!$B:$B,COUNTA(生物种群!$B:$B)),),))</f>
        <v/>
      </c>
      <c r="L515" s="37" t="str">
        <f>IF(A515&amp;B515&amp;C515="","",INDEX(生物种群!$F$3:INDEX(生物种群!$F:$F,COUNTA(生物种群!$F:$F)),MATCH($I515,生物种群!$B$3:INDEX(生物种群!$B:$B,COUNTA(生物种群!$B:$B)),),))</f>
        <v/>
      </c>
      <c r="M515" s="37" t="str">
        <f t="shared" si="16" ref="M515:M578">IF(F515&gt;0,F515&amp;I515&amp;E515,"")</f>
        <v/>
      </c>
      <c r="N515" s="37" t="str">
        <f t="shared" si="17" ref="N515:N578">IF(COUNTIF($M:$M,M515)=1,"",IF(A515&amp;B515&amp;C515="","","重复"))</f>
        <v/>
      </c>
      <c r="O515" s="9"/>
      <c r="P515" s="10"/>
    </row>
    <row r="516" spans="1:16" ht="20.1" customHeight="1">
      <c r="A516" s="9"/>
      <c r="B516" s="9"/>
      <c r="C516" s="9"/>
      <c r="D516" s="43"/>
      <c r="E516" s="9"/>
      <c r="F516" s="9"/>
      <c r="G516" s="47" t="str">
        <f>IF(F516="","",INDEX(站位样品信息!$B$3:INDEX(站位样品信息!$B:$B,COUNTA(站位样品信息!$B:$B)+1),MATCH($F516,站位样品信息!$A$3:INDEX(站位样品信息!$A:$A,COUNTA(站位样品信息!$A:$A)+1),),))</f>
        <v/>
      </c>
      <c r="H516" s="37" t="str">
        <f>IF(A516&amp;B516&amp;C516="","",INDEX(生物种群!$A$2:INDEX(生物种群!$A:$A,COUNTA(生物种群!$A:$A)),MATCH($I516,生物种群!$B$2:INDEX(生物种群!$B:$B,COUNTA(生物种群!$B:$B)),),))</f>
        <v/>
      </c>
      <c r="I516" s="37" t="str">
        <f>IF(A516&amp;B516&amp;C516="","",IF($C516&lt;&gt;0,INDEX(生物种群!$B$2:INDEX(生物种群!$B:$B,COUNTA(生物种群!$B:$B)),MATCH($C516,生物种群!$G$2:INDEX(生物种群!$G:$G,COUNTA(生物种群!$G:$G)),),),IF($A516&lt;&gt;0,INDEX(生物种群!$B$2:INDEX(生物种群!$B:$B,COUNTA(生物种群!$B:$B)),MATCH($A516,生物种群!$C$2:INDEX(生物种群!$C:$C,COUNTA(生物种群!$C:$C)),),),INDEX(生物种群!$B$2:INDEX(生物种群!$B:$B,COUNTA(生物种群!$B:$B)),MATCH($B516,生物种群!$D$2:INDEX(生物种群!$D:$D,COUNTA(生物种群!$D:$D)),),))))</f>
        <v/>
      </c>
      <c r="J516" s="37" t="str">
        <f>IF(A516&amp;B516&amp;C516="","",INDEX(生物种群!$J$2:INDEX(生物种群!$J:$J,COUNTA(生物种群!$J:$J)),MATCH($I516,生物种群!$B$2:INDEX(生物种群!$B:$B,COUNTA(生物种群!$B:$B)),),))</f>
        <v/>
      </c>
      <c r="K516" s="37" t="str">
        <f>IF(A516&amp;B516&amp;C516="","",INDEX(生物种群!$E$2:INDEX(生物种群!$E:$E,COUNTA(生物种群!$E:$E)),MATCH($I516,生物种群!$B$2:INDEX(生物种群!$B:$B,COUNTA(生物种群!$B:$B)),),))</f>
        <v/>
      </c>
      <c r="L516" s="37" t="str">
        <f>IF(A516&amp;B516&amp;C516="","",INDEX(生物种群!$F$3:INDEX(生物种群!$F:$F,COUNTA(生物种群!$F:$F)),MATCH($I516,生物种群!$B$3:INDEX(生物种群!$B:$B,COUNTA(生物种群!$B:$B)),),))</f>
        <v/>
      </c>
      <c r="M516" s="37" t="str">
        <f t="shared" si="16"/>
        <v/>
      </c>
      <c r="N516" s="37" t="str">
        <f t="shared" si="17"/>
        <v/>
      </c>
      <c r="O516" s="9"/>
      <c r="P516" s="10"/>
    </row>
    <row r="517" spans="1:16" ht="20.1" customHeight="1">
      <c r="A517" s="9"/>
      <c r="B517" s="9"/>
      <c r="C517" s="9"/>
      <c r="D517" s="43"/>
      <c r="E517" s="9"/>
      <c r="F517" s="9"/>
      <c r="G517" s="47" t="str">
        <f>IF(F517="","",INDEX(站位样品信息!$B$3:INDEX(站位样品信息!$B:$B,COUNTA(站位样品信息!$B:$B)+1),MATCH($F517,站位样品信息!$A$3:INDEX(站位样品信息!$A:$A,COUNTA(站位样品信息!$A:$A)+1),),))</f>
        <v/>
      </c>
      <c r="H517" s="37" t="str">
        <f>IF(A517&amp;B517&amp;C517="","",INDEX(生物种群!$A$2:INDEX(生物种群!$A:$A,COUNTA(生物种群!$A:$A)),MATCH($I517,生物种群!$B$2:INDEX(生物种群!$B:$B,COUNTA(生物种群!$B:$B)),),))</f>
        <v/>
      </c>
      <c r="I517" s="37" t="str">
        <f>IF(A517&amp;B517&amp;C517="","",IF($C517&lt;&gt;0,INDEX(生物种群!$B$2:INDEX(生物种群!$B:$B,COUNTA(生物种群!$B:$B)),MATCH($C517,生物种群!$G$2:INDEX(生物种群!$G:$G,COUNTA(生物种群!$G:$G)),),),IF($A517&lt;&gt;0,INDEX(生物种群!$B$2:INDEX(生物种群!$B:$B,COUNTA(生物种群!$B:$B)),MATCH($A517,生物种群!$C$2:INDEX(生物种群!$C:$C,COUNTA(生物种群!$C:$C)),),),INDEX(生物种群!$B$2:INDEX(生物种群!$B:$B,COUNTA(生物种群!$B:$B)),MATCH($B517,生物种群!$D$2:INDEX(生物种群!$D:$D,COUNTA(生物种群!$D:$D)),),))))</f>
        <v/>
      </c>
      <c r="J517" s="37" t="str">
        <f>IF(A517&amp;B517&amp;C517="","",INDEX(生物种群!$J$2:INDEX(生物种群!$J:$J,COUNTA(生物种群!$J:$J)),MATCH($I517,生物种群!$B$2:INDEX(生物种群!$B:$B,COUNTA(生物种群!$B:$B)),),))</f>
        <v/>
      </c>
      <c r="K517" s="37" t="str">
        <f>IF(A517&amp;B517&amp;C517="","",INDEX(生物种群!$E$2:INDEX(生物种群!$E:$E,COUNTA(生物种群!$E:$E)),MATCH($I517,生物种群!$B$2:INDEX(生物种群!$B:$B,COUNTA(生物种群!$B:$B)),),))</f>
        <v/>
      </c>
      <c r="L517" s="37" t="str">
        <f>IF(A517&amp;B517&amp;C517="","",INDEX(生物种群!$F$3:INDEX(生物种群!$F:$F,COUNTA(生物种群!$F:$F)),MATCH($I517,生物种群!$B$3:INDEX(生物种群!$B:$B,COUNTA(生物种群!$B:$B)),),))</f>
        <v/>
      </c>
      <c r="M517" s="37" t="str">
        <f t="shared" si="16"/>
        <v/>
      </c>
      <c r="N517" s="37" t="str">
        <f t="shared" si="17"/>
        <v/>
      </c>
      <c r="O517" s="9"/>
      <c r="P517" s="10"/>
    </row>
    <row r="518" spans="1:16" ht="20.1" customHeight="1">
      <c r="A518" s="9"/>
      <c r="B518" s="9"/>
      <c r="C518" s="9"/>
      <c r="D518" s="43"/>
      <c r="E518" s="9"/>
      <c r="F518" s="9"/>
      <c r="G518" s="47" t="str">
        <f>IF(F518="","",INDEX(站位样品信息!$B$3:INDEX(站位样品信息!$B:$B,COUNTA(站位样品信息!$B:$B)+1),MATCH($F518,站位样品信息!$A$3:INDEX(站位样品信息!$A:$A,COUNTA(站位样品信息!$A:$A)+1),),))</f>
        <v/>
      </c>
      <c r="H518" s="37" t="str">
        <f>IF(A518&amp;B518&amp;C518="","",INDEX(生物种群!$A$2:INDEX(生物种群!$A:$A,COUNTA(生物种群!$A:$A)),MATCH($I518,生物种群!$B$2:INDEX(生物种群!$B:$B,COUNTA(生物种群!$B:$B)),),))</f>
        <v/>
      </c>
      <c r="I518" s="37" t="str">
        <f>IF(A518&amp;B518&amp;C518="","",IF($C518&lt;&gt;0,INDEX(生物种群!$B$2:INDEX(生物种群!$B:$B,COUNTA(生物种群!$B:$B)),MATCH($C518,生物种群!$G$2:INDEX(生物种群!$G:$G,COUNTA(生物种群!$G:$G)),),),IF($A518&lt;&gt;0,INDEX(生物种群!$B$2:INDEX(生物种群!$B:$B,COUNTA(生物种群!$B:$B)),MATCH($A518,生物种群!$C$2:INDEX(生物种群!$C:$C,COUNTA(生物种群!$C:$C)),),),INDEX(生物种群!$B$2:INDEX(生物种群!$B:$B,COUNTA(生物种群!$B:$B)),MATCH($B518,生物种群!$D$2:INDEX(生物种群!$D:$D,COUNTA(生物种群!$D:$D)),),))))</f>
        <v/>
      </c>
      <c r="J518" s="37" t="str">
        <f>IF(A518&amp;B518&amp;C518="","",INDEX(生物种群!$J$2:INDEX(生物种群!$J:$J,COUNTA(生物种群!$J:$J)),MATCH($I518,生物种群!$B$2:INDEX(生物种群!$B:$B,COUNTA(生物种群!$B:$B)),),))</f>
        <v/>
      </c>
      <c r="K518" s="37" t="str">
        <f>IF(A518&amp;B518&amp;C518="","",INDEX(生物种群!$E$2:INDEX(生物种群!$E:$E,COUNTA(生物种群!$E:$E)),MATCH($I518,生物种群!$B$2:INDEX(生物种群!$B:$B,COUNTA(生物种群!$B:$B)),),))</f>
        <v/>
      </c>
      <c r="L518" s="37" t="str">
        <f>IF(A518&amp;B518&amp;C518="","",INDEX(生物种群!$F$3:INDEX(生物种群!$F:$F,COUNTA(生物种群!$F:$F)),MATCH($I518,生物种群!$B$3:INDEX(生物种群!$B:$B,COUNTA(生物种群!$B:$B)),),))</f>
        <v/>
      </c>
      <c r="M518" s="37" t="str">
        <f t="shared" si="16"/>
        <v/>
      </c>
      <c r="N518" s="37" t="str">
        <f t="shared" si="17"/>
        <v/>
      </c>
      <c r="O518" s="9"/>
      <c r="P518" s="10"/>
    </row>
    <row r="519" spans="1:16" ht="20.1" customHeight="1">
      <c r="A519" s="9"/>
      <c r="B519" s="9"/>
      <c r="C519" s="9"/>
      <c r="D519" s="43"/>
      <c r="E519" s="9"/>
      <c r="F519" s="9"/>
      <c r="G519" s="47" t="str">
        <f>IF(F519="","",INDEX(站位样品信息!$B$3:INDEX(站位样品信息!$B:$B,COUNTA(站位样品信息!$B:$B)+1),MATCH($F519,站位样品信息!$A$3:INDEX(站位样品信息!$A:$A,COUNTA(站位样品信息!$A:$A)+1),),))</f>
        <v/>
      </c>
      <c r="H519" s="37" t="str">
        <f>IF(A519&amp;B519&amp;C519="","",INDEX(生物种群!$A$2:INDEX(生物种群!$A:$A,COUNTA(生物种群!$A:$A)),MATCH($I519,生物种群!$B$2:INDEX(生物种群!$B:$B,COUNTA(生物种群!$B:$B)),),))</f>
        <v/>
      </c>
      <c r="I519" s="37" t="str">
        <f>IF(A519&amp;B519&amp;C519="","",IF($C519&lt;&gt;0,INDEX(生物种群!$B$2:INDEX(生物种群!$B:$B,COUNTA(生物种群!$B:$B)),MATCH($C519,生物种群!$G$2:INDEX(生物种群!$G:$G,COUNTA(生物种群!$G:$G)),),),IF($A519&lt;&gt;0,INDEX(生物种群!$B$2:INDEX(生物种群!$B:$B,COUNTA(生物种群!$B:$B)),MATCH($A519,生物种群!$C$2:INDEX(生物种群!$C:$C,COUNTA(生物种群!$C:$C)),),),INDEX(生物种群!$B$2:INDEX(生物种群!$B:$B,COUNTA(生物种群!$B:$B)),MATCH($B519,生物种群!$D$2:INDEX(生物种群!$D:$D,COUNTA(生物种群!$D:$D)),),))))</f>
        <v/>
      </c>
      <c r="J519" s="37" t="str">
        <f>IF(A519&amp;B519&amp;C519="","",INDEX(生物种群!$J$2:INDEX(生物种群!$J:$J,COUNTA(生物种群!$J:$J)),MATCH($I519,生物种群!$B$2:INDEX(生物种群!$B:$B,COUNTA(生物种群!$B:$B)),),))</f>
        <v/>
      </c>
      <c r="K519" s="37" t="str">
        <f>IF(A519&amp;B519&amp;C519="","",INDEX(生物种群!$E$2:INDEX(生物种群!$E:$E,COUNTA(生物种群!$E:$E)),MATCH($I519,生物种群!$B$2:INDEX(生物种群!$B:$B,COUNTA(生物种群!$B:$B)),),))</f>
        <v/>
      </c>
      <c r="L519" s="37" t="str">
        <f>IF(A519&amp;B519&amp;C519="","",INDEX(生物种群!$F$3:INDEX(生物种群!$F:$F,COUNTA(生物种群!$F:$F)),MATCH($I519,生物种群!$B$3:INDEX(生物种群!$B:$B,COUNTA(生物种群!$B:$B)),),))</f>
        <v/>
      </c>
      <c r="M519" s="37" t="str">
        <f t="shared" si="16"/>
        <v/>
      </c>
      <c r="N519" s="37" t="str">
        <f t="shared" si="17"/>
        <v/>
      </c>
      <c r="O519" s="9"/>
      <c r="P519" s="10"/>
    </row>
    <row r="520" spans="1:16" ht="20.1" customHeight="1">
      <c r="A520" s="9"/>
      <c r="B520" s="9"/>
      <c r="C520" s="9"/>
      <c r="D520" s="43"/>
      <c r="E520" s="9"/>
      <c r="F520" s="9"/>
      <c r="G520" s="47" t="str">
        <f>IF(F520="","",INDEX(站位样品信息!$B$3:INDEX(站位样品信息!$B:$B,COUNTA(站位样品信息!$B:$B)+1),MATCH($F520,站位样品信息!$A$3:INDEX(站位样品信息!$A:$A,COUNTA(站位样品信息!$A:$A)+1),),))</f>
        <v/>
      </c>
      <c r="H520" s="37" t="str">
        <f>IF(A520&amp;B520&amp;C520="","",INDEX(生物种群!$A$2:INDEX(生物种群!$A:$A,COUNTA(生物种群!$A:$A)),MATCH($I520,生物种群!$B$2:INDEX(生物种群!$B:$B,COUNTA(生物种群!$B:$B)),),))</f>
        <v/>
      </c>
      <c r="I520" s="37" t="str">
        <f>IF(A520&amp;B520&amp;C520="","",IF($C520&lt;&gt;0,INDEX(生物种群!$B$2:INDEX(生物种群!$B:$B,COUNTA(生物种群!$B:$B)),MATCH($C520,生物种群!$G$2:INDEX(生物种群!$G:$G,COUNTA(生物种群!$G:$G)),),),IF($A520&lt;&gt;0,INDEX(生物种群!$B$2:INDEX(生物种群!$B:$B,COUNTA(生物种群!$B:$B)),MATCH($A520,生物种群!$C$2:INDEX(生物种群!$C:$C,COUNTA(生物种群!$C:$C)),),),INDEX(生物种群!$B$2:INDEX(生物种群!$B:$B,COUNTA(生物种群!$B:$B)),MATCH($B520,生物种群!$D$2:INDEX(生物种群!$D:$D,COUNTA(生物种群!$D:$D)),),))))</f>
        <v/>
      </c>
      <c r="J520" s="37" t="str">
        <f>IF(A520&amp;B520&amp;C520="","",INDEX(生物种群!$J$2:INDEX(生物种群!$J:$J,COUNTA(生物种群!$J:$J)),MATCH($I520,生物种群!$B$2:INDEX(生物种群!$B:$B,COUNTA(生物种群!$B:$B)),),))</f>
        <v/>
      </c>
      <c r="K520" s="37" t="str">
        <f>IF(A520&amp;B520&amp;C520="","",INDEX(生物种群!$E$2:INDEX(生物种群!$E:$E,COUNTA(生物种群!$E:$E)),MATCH($I520,生物种群!$B$2:INDEX(生物种群!$B:$B,COUNTA(生物种群!$B:$B)),),))</f>
        <v/>
      </c>
      <c r="L520" s="37" t="str">
        <f>IF(A520&amp;B520&amp;C520="","",INDEX(生物种群!$F$3:INDEX(生物种群!$F:$F,COUNTA(生物种群!$F:$F)),MATCH($I520,生物种群!$B$3:INDEX(生物种群!$B:$B,COUNTA(生物种群!$B:$B)),),))</f>
        <v/>
      </c>
      <c r="M520" s="37" t="str">
        <f t="shared" si="16"/>
        <v/>
      </c>
      <c r="N520" s="37" t="str">
        <f t="shared" si="17"/>
        <v/>
      </c>
      <c r="O520" s="9"/>
      <c r="P520" s="10"/>
    </row>
    <row r="521" spans="1:16" ht="20.1" customHeight="1">
      <c r="A521" s="9"/>
      <c r="B521" s="9"/>
      <c r="C521" s="9"/>
      <c r="D521" s="43"/>
      <c r="E521" s="9"/>
      <c r="F521" s="9"/>
      <c r="G521" s="47" t="str">
        <f>IF(F521="","",INDEX(站位样品信息!$B$3:INDEX(站位样品信息!$B:$B,COUNTA(站位样品信息!$B:$B)+1),MATCH($F521,站位样品信息!$A$3:INDEX(站位样品信息!$A:$A,COUNTA(站位样品信息!$A:$A)+1),),))</f>
        <v/>
      </c>
      <c r="H521" s="37" t="str">
        <f>IF(A521&amp;B521&amp;C521="","",INDEX(生物种群!$A$2:INDEX(生物种群!$A:$A,COUNTA(生物种群!$A:$A)),MATCH($I521,生物种群!$B$2:INDEX(生物种群!$B:$B,COUNTA(生物种群!$B:$B)),),))</f>
        <v/>
      </c>
      <c r="I521" s="37" t="str">
        <f>IF(A521&amp;B521&amp;C521="","",IF($C521&lt;&gt;0,INDEX(生物种群!$B$2:INDEX(生物种群!$B:$B,COUNTA(生物种群!$B:$B)),MATCH($C521,生物种群!$G$2:INDEX(生物种群!$G:$G,COUNTA(生物种群!$G:$G)),),),IF($A521&lt;&gt;0,INDEX(生物种群!$B$2:INDEX(生物种群!$B:$B,COUNTA(生物种群!$B:$B)),MATCH($A521,生物种群!$C$2:INDEX(生物种群!$C:$C,COUNTA(生物种群!$C:$C)),),),INDEX(生物种群!$B$2:INDEX(生物种群!$B:$B,COUNTA(生物种群!$B:$B)),MATCH($B521,生物种群!$D$2:INDEX(生物种群!$D:$D,COUNTA(生物种群!$D:$D)),),))))</f>
        <v/>
      </c>
      <c r="J521" s="37" t="str">
        <f>IF(A521&amp;B521&amp;C521="","",INDEX(生物种群!$J$2:INDEX(生物种群!$J:$J,COUNTA(生物种群!$J:$J)),MATCH($I521,生物种群!$B$2:INDEX(生物种群!$B:$B,COUNTA(生物种群!$B:$B)),),))</f>
        <v/>
      </c>
      <c r="K521" s="37" t="str">
        <f>IF(A521&amp;B521&amp;C521="","",INDEX(生物种群!$E$2:INDEX(生物种群!$E:$E,COUNTA(生物种群!$E:$E)),MATCH($I521,生物种群!$B$2:INDEX(生物种群!$B:$B,COUNTA(生物种群!$B:$B)),),))</f>
        <v/>
      </c>
      <c r="L521" s="37" t="str">
        <f>IF(A521&amp;B521&amp;C521="","",INDEX(生物种群!$F$3:INDEX(生物种群!$F:$F,COUNTA(生物种群!$F:$F)),MATCH($I521,生物种群!$B$3:INDEX(生物种群!$B:$B,COUNTA(生物种群!$B:$B)),),))</f>
        <v/>
      </c>
      <c r="M521" s="37" t="str">
        <f t="shared" si="16"/>
        <v/>
      </c>
      <c r="N521" s="37" t="str">
        <f t="shared" si="17"/>
        <v/>
      </c>
      <c r="O521" s="9"/>
      <c r="P521" s="10"/>
    </row>
    <row r="522" spans="1:16" ht="20.1" customHeight="1">
      <c r="A522" s="9"/>
      <c r="B522" s="9"/>
      <c r="C522" s="9"/>
      <c r="D522" s="43"/>
      <c r="E522" s="9"/>
      <c r="F522" s="9"/>
      <c r="G522" s="47" t="str">
        <f>IF(F522="","",INDEX(站位样品信息!$B$3:INDEX(站位样品信息!$B:$B,COUNTA(站位样品信息!$B:$B)+1),MATCH($F522,站位样品信息!$A$3:INDEX(站位样品信息!$A:$A,COUNTA(站位样品信息!$A:$A)+1),),))</f>
        <v/>
      </c>
      <c r="H522" s="37" t="str">
        <f>IF(A522&amp;B522&amp;C522="","",INDEX(生物种群!$A$2:INDEX(生物种群!$A:$A,COUNTA(生物种群!$A:$A)),MATCH($I522,生物种群!$B$2:INDEX(生物种群!$B:$B,COUNTA(生物种群!$B:$B)),),))</f>
        <v/>
      </c>
      <c r="I522" s="37" t="str">
        <f>IF(A522&amp;B522&amp;C522="","",IF($C522&lt;&gt;0,INDEX(生物种群!$B$2:INDEX(生物种群!$B:$B,COUNTA(生物种群!$B:$B)),MATCH($C522,生物种群!$G$2:INDEX(生物种群!$G:$G,COUNTA(生物种群!$G:$G)),),),IF($A522&lt;&gt;0,INDEX(生物种群!$B$2:INDEX(生物种群!$B:$B,COUNTA(生物种群!$B:$B)),MATCH($A522,生物种群!$C$2:INDEX(生物种群!$C:$C,COUNTA(生物种群!$C:$C)),),),INDEX(生物种群!$B$2:INDEX(生物种群!$B:$B,COUNTA(生物种群!$B:$B)),MATCH($B522,生物种群!$D$2:INDEX(生物种群!$D:$D,COUNTA(生物种群!$D:$D)),),))))</f>
        <v/>
      </c>
      <c r="J522" s="37" t="str">
        <f>IF(A522&amp;B522&amp;C522="","",INDEX(生物种群!$J$2:INDEX(生物种群!$J:$J,COUNTA(生物种群!$J:$J)),MATCH($I522,生物种群!$B$2:INDEX(生物种群!$B:$B,COUNTA(生物种群!$B:$B)),),))</f>
        <v/>
      </c>
      <c r="K522" s="37" t="str">
        <f>IF(A522&amp;B522&amp;C522="","",INDEX(生物种群!$E$2:INDEX(生物种群!$E:$E,COUNTA(生物种群!$E:$E)),MATCH($I522,生物种群!$B$2:INDEX(生物种群!$B:$B,COUNTA(生物种群!$B:$B)),),))</f>
        <v/>
      </c>
      <c r="L522" s="37" t="str">
        <f>IF(A522&amp;B522&amp;C522="","",INDEX(生物种群!$F$3:INDEX(生物种群!$F:$F,COUNTA(生物种群!$F:$F)),MATCH($I522,生物种群!$B$3:INDEX(生物种群!$B:$B,COUNTA(生物种群!$B:$B)),),))</f>
        <v/>
      </c>
      <c r="M522" s="37" t="str">
        <f t="shared" si="16"/>
        <v/>
      </c>
      <c r="N522" s="37" t="str">
        <f t="shared" si="17"/>
        <v/>
      </c>
      <c r="O522" s="9"/>
      <c r="P522" s="10"/>
    </row>
    <row r="523" spans="1:16" ht="20.1" customHeight="1">
      <c r="A523" s="9"/>
      <c r="B523" s="9"/>
      <c r="C523" s="9"/>
      <c r="D523" s="43"/>
      <c r="E523" s="9"/>
      <c r="F523" s="9"/>
      <c r="G523" s="47" t="str">
        <f>IF(F523="","",INDEX(站位样品信息!$B$3:INDEX(站位样品信息!$B:$B,COUNTA(站位样品信息!$B:$B)+1),MATCH($F523,站位样品信息!$A$3:INDEX(站位样品信息!$A:$A,COUNTA(站位样品信息!$A:$A)+1),),))</f>
        <v/>
      </c>
      <c r="H523" s="37" t="str">
        <f>IF(A523&amp;B523&amp;C523="","",INDEX(生物种群!$A$2:INDEX(生物种群!$A:$A,COUNTA(生物种群!$A:$A)),MATCH($I523,生物种群!$B$2:INDEX(生物种群!$B:$B,COUNTA(生物种群!$B:$B)),),))</f>
        <v/>
      </c>
      <c r="I523" s="37" t="str">
        <f>IF(A523&amp;B523&amp;C523="","",IF($C523&lt;&gt;0,INDEX(生物种群!$B$2:INDEX(生物种群!$B:$B,COUNTA(生物种群!$B:$B)),MATCH($C523,生物种群!$G$2:INDEX(生物种群!$G:$G,COUNTA(生物种群!$G:$G)),),),IF($A523&lt;&gt;0,INDEX(生物种群!$B$2:INDEX(生物种群!$B:$B,COUNTA(生物种群!$B:$B)),MATCH($A523,生物种群!$C$2:INDEX(生物种群!$C:$C,COUNTA(生物种群!$C:$C)),),),INDEX(生物种群!$B$2:INDEX(生物种群!$B:$B,COUNTA(生物种群!$B:$B)),MATCH($B523,生物种群!$D$2:INDEX(生物种群!$D:$D,COUNTA(生物种群!$D:$D)),),))))</f>
        <v/>
      </c>
      <c r="J523" s="37" t="str">
        <f>IF(A523&amp;B523&amp;C523="","",INDEX(生物种群!$J$2:INDEX(生物种群!$J:$J,COUNTA(生物种群!$J:$J)),MATCH($I523,生物种群!$B$2:INDEX(生物种群!$B:$B,COUNTA(生物种群!$B:$B)),),))</f>
        <v/>
      </c>
      <c r="K523" s="37" t="str">
        <f>IF(A523&amp;B523&amp;C523="","",INDEX(生物种群!$E$2:INDEX(生物种群!$E:$E,COUNTA(生物种群!$E:$E)),MATCH($I523,生物种群!$B$2:INDEX(生物种群!$B:$B,COUNTA(生物种群!$B:$B)),),))</f>
        <v/>
      </c>
      <c r="L523" s="37" t="str">
        <f>IF(A523&amp;B523&amp;C523="","",INDEX(生物种群!$F$3:INDEX(生物种群!$F:$F,COUNTA(生物种群!$F:$F)),MATCH($I523,生物种群!$B$3:INDEX(生物种群!$B:$B,COUNTA(生物种群!$B:$B)),),))</f>
        <v/>
      </c>
      <c r="M523" s="37" t="str">
        <f t="shared" si="16"/>
        <v/>
      </c>
      <c r="N523" s="37" t="str">
        <f t="shared" si="17"/>
        <v/>
      </c>
      <c r="O523" s="9"/>
      <c r="P523" s="10"/>
    </row>
    <row r="524" spans="1:16" ht="20.1" customHeight="1">
      <c r="A524" s="9"/>
      <c r="B524" s="9"/>
      <c r="C524" s="9"/>
      <c r="D524" s="43"/>
      <c r="E524" s="9"/>
      <c r="F524" s="9"/>
      <c r="G524" s="47" t="str">
        <f>IF(F524="","",INDEX(站位样品信息!$B$3:INDEX(站位样品信息!$B:$B,COUNTA(站位样品信息!$B:$B)+1),MATCH($F524,站位样品信息!$A$3:INDEX(站位样品信息!$A:$A,COUNTA(站位样品信息!$A:$A)+1),),))</f>
        <v/>
      </c>
      <c r="H524" s="37" t="str">
        <f>IF(A524&amp;B524&amp;C524="","",INDEX(生物种群!$A$2:INDEX(生物种群!$A:$A,COUNTA(生物种群!$A:$A)),MATCH($I524,生物种群!$B$2:INDEX(生物种群!$B:$B,COUNTA(生物种群!$B:$B)),),))</f>
        <v/>
      </c>
      <c r="I524" s="37" t="str">
        <f>IF(A524&amp;B524&amp;C524="","",IF($C524&lt;&gt;0,INDEX(生物种群!$B$2:INDEX(生物种群!$B:$B,COUNTA(生物种群!$B:$B)),MATCH($C524,生物种群!$G$2:INDEX(生物种群!$G:$G,COUNTA(生物种群!$G:$G)),),),IF($A524&lt;&gt;0,INDEX(生物种群!$B$2:INDEX(生物种群!$B:$B,COUNTA(生物种群!$B:$B)),MATCH($A524,生物种群!$C$2:INDEX(生物种群!$C:$C,COUNTA(生物种群!$C:$C)),),),INDEX(生物种群!$B$2:INDEX(生物种群!$B:$B,COUNTA(生物种群!$B:$B)),MATCH($B524,生物种群!$D$2:INDEX(生物种群!$D:$D,COUNTA(生物种群!$D:$D)),),))))</f>
        <v/>
      </c>
      <c r="J524" s="37" t="str">
        <f>IF(A524&amp;B524&amp;C524="","",INDEX(生物种群!$J$2:INDEX(生物种群!$J:$J,COUNTA(生物种群!$J:$J)),MATCH($I524,生物种群!$B$2:INDEX(生物种群!$B:$B,COUNTA(生物种群!$B:$B)),),))</f>
        <v/>
      </c>
      <c r="K524" s="37" t="str">
        <f>IF(A524&amp;B524&amp;C524="","",INDEX(生物种群!$E$2:INDEX(生物种群!$E:$E,COUNTA(生物种群!$E:$E)),MATCH($I524,生物种群!$B$2:INDEX(生物种群!$B:$B,COUNTA(生物种群!$B:$B)),),))</f>
        <v/>
      </c>
      <c r="L524" s="37" t="str">
        <f>IF(A524&amp;B524&amp;C524="","",INDEX(生物种群!$F$3:INDEX(生物种群!$F:$F,COUNTA(生物种群!$F:$F)),MATCH($I524,生物种群!$B$3:INDEX(生物种群!$B:$B,COUNTA(生物种群!$B:$B)),),))</f>
        <v/>
      </c>
      <c r="M524" s="37" t="str">
        <f t="shared" si="16"/>
        <v/>
      </c>
      <c r="N524" s="37" t="str">
        <f t="shared" si="17"/>
        <v/>
      </c>
      <c r="O524" s="9"/>
      <c r="P524" s="10"/>
    </row>
    <row r="525" spans="1:16" ht="20.1" customHeight="1">
      <c r="A525" s="9"/>
      <c r="B525" s="9"/>
      <c r="C525" s="9"/>
      <c r="D525" s="43"/>
      <c r="E525" s="9"/>
      <c r="F525" s="9"/>
      <c r="G525" s="47" t="str">
        <f>IF(F525="","",INDEX(站位样品信息!$B$3:INDEX(站位样品信息!$B:$B,COUNTA(站位样品信息!$B:$B)+1),MATCH($F525,站位样品信息!$A$3:INDEX(站位样品信息!$A:$A,COUNTA(站位样品信息!$A:$A)+1),),))</f>
        <v/>
      </c>
      <c r="H525" s="37" t="str">
        <f>IF(A525&amp;B525&amp;C525="","",INDEX(生物种群!$A$2:INDEX(生物种群!$A:$A,COUNTA(生物种群!$A:$A)),MATCH($I525,生物种群!$B$2:INDEX(生物种群!$B:$B,COUNTA(生物种群!$B:$B)),),))</f>
        <v/>
      </c>
      <c r="I525" s="37" t="str">
        <f>IF(A525&amp;B525&amp;C525="","",IF($C525&lt;&gt;0,INDEX(生物种群!$B$2:INDEX(生物种群!$B:$B,COUNTA(生物种群!$B:$B)),MATCH($C525,生物种群!$G$2:INDEX(生物种群!$G:$G,COUNTA(生物种群!$G:$G)),),),IF($A525&lt;&gt;0,INDEX(生物种群!$B$2:INDEX(生物种群!$B:$B,COUNTA(生物种群!$B:$B)),MATCH($A525,生物种群!$C$2:INDEX(生物种群!$C:$C,COUNTA(生物种群!$C:$C)),),),INDEX(生物种群!$B$2:INDEX(生物种群!$B:$B,COUNTA(生物种群!$B:$B)),MATCH($B525,生物种群!$D$2:INDEX(生物种群!$D:$D,COUNTA(生物种群!$D:$D)),),))))</f>
        <v/>
      </c>
      <c r="J525" s="37" t="str">
        <f>IF(A525&amp;B525&amp;C525="","",INDEX(生物种群!$J$2:INDEX(生物种群!$J:$J,COUNTA(生物种群!$J:$J)),MATCH($I525,生物种群!$B$2:INDEX(生物种群!$B:$B,COUNTA(生物种群!$B:$B)),),))</f>
        <v/>
      </c>
      <c r="K525" s="37" t="str">
        <f>IF(A525&amp;B525&amp;C525="","",INDEX(生物种群!$E$2:INDEX(生物种群!$E:$E,COUNTA(生物种群!$E:$E)),MATCH($I525,生物种群!$B$2:INDEX(生物种群!$B:$B,COUNTA(生物种群!$B:$B)),),))</f>
        <v/>
      </c>
      <c r="L525" s="37" t="str">
        <f>IF(A525&amp;B525&amp;C525="","",INDEX(生物种群!$F$3:INDEX(生物种群!$F:$F,COUNTA(生物种群!$F:$F)),MATCH($I525,生物种群!$B$3:INDEX(生物种群!$B:$B,COUNTA(生物种群!$B:$B)),),))</f>
        <v/>
      </c>
      <c r="M525" s="37" t="str">
        <f t="shared" si="16"/>
        <v/>
      </c>
      <c r="N525" s="37" t="str">
        <f t="shared" si="17"/>
        <v/>
      </c>
      <c r="O525" s="9"/>
      <c r="P525" s="10"/>
    </row>
    <row r="526" spans="1:16" ht="20.1" customHeight="1">
      <c r="A526" s="9"/>
      <c r="B526" s="9"/>
      <c r="C526" s="9"/>
      <c r="D526" s="43"/>
      <c r="E526" s="9"/>
      <c r="F526" s="9"/>
      <c r="G526" s="47" t="str">
        <f>IF(F526="","",INDEX(站位样品信息!$B$3:INDEX(站位样品信息!$B:$B,COUNTA(站位样品信息!$B:$B)+1),MATCH($F526,站位样品信息!$A$3:INDEX(站位样品信息!$A:$A,COUNTA(站位样品信息!$A:$A)+1),),))</f>
        <v/>
      </c>
      <c r="H526" s="37" t="str">
        <f>IF(A526&amp;B526&amp;C526="","",INDEX(生物种群!$A$2:INDEX(生物种群!$A:$A,COUNTA(生物种群!$A:$A)),MATCH($I526,生物种群!$B$2:INDEX(生物种群!$B:$B,COUNTA(生物种群!$B:$B)),),))</f>
        <v/>
      </c>
      <c r="I526" s="37" t="str">
        <f>IF(A526&amp;B526&amp;C526="","",IF($C526&lt;&gt;0,INDEX(生物种群!$B$2:INDEX(生物种群!$B:$B,COUNTA(生物种群!$B:$B)),MATCH($C526,生物种群!$G$2:INDEX(生物种群!$G:$G,COUNTA(生物种群!$G:$G)),),),IF($A526&lt;&gt;0,INDEX(生物种群!$B$2:INDEX(生物种群!$B:$B,COUNTA(生物种群!$B:$B)),MATCH($A526,生物种群!$C$2:INDEX(生物种群!$C:$C,COUNTA(生物种群!$C:$C)),),),INDEX(生物种群!$B$2:INDEX(生物种群!$B:$B,COUNTA(生物种群!$B:$B)),MATCH($B526,生物种群!$D$2:INDEX(生物种群!$D:$D,COUNTA(生物种群!$D:$D)),),))))</f>
        <v/>
      </c>
      <c r="J526" s="37" t="str">
        <f>IF(A526&amp;B526&amp;C526="","",INDEX(生物种群!$J$2:INDEX(生物种群!$J:$J,COUNTA(生物种群!$J:$J)),MATCH($I526,生物种群!$B$2:INDEX(生物种群!$B:$B,COUNTA(生物种群!$B:$B)),),))</f>
        <v/>
      </c>
      <c r="K526" s="37" t="str">
        <f>IF(A526&amp;B526&amp;C526="","",INDEX(生物种群!$E$2:INDEX(生物种群!$E:$E,COUNTA(生物种群!$E:$E)),MATCH($I526,生物种群!$B$2:INDEX(生物种群!$B:$B,COUNTA(生物种群!$B:$B)),),))</f>
        <v/>
      </c>
      <c r="L526" s="37" t="str">
        <f>IF(A526&amp;B526&amp;C526="","",INDEX(生物种群!$F$3:INDEX(生物种群!$F:$F,COUNTA(生物种群!$F:$F)),MATCH($I526,生物种群!$B$3:INDEX(生物种群!$B:$B,COUNTA(生物种群!$B:$B)),),))</f>
        <v/>
      </c>
      <c r="M526" s="37" t="str">
        <f t="shared" si="16"/>
        <v/>
      </c>
      <c r="N526" s="37" t="str">
        <f t="shared" si="17"/>
        <v/>
      </c>
      <c r="O526" s="9"/>
      <c r="P526" s="10"/>
    </row>
    <row r="527" spans="1:16" ht="20.1" customHeight="1">
      <c r="A527" s="9"/>
      <c r="B527" s="9"/>
      <c r="C527" s="9"/>
      <c r="D527" s="43"/>
      <c r="E527" s="9"/>
      <c r="F527" s="9"/>
      <c r="G527" s="47" t="str">
        <f>IF(F527="","",INDEX(站位样品信息!$B$3:INDEX(站位样品信息!$B:$B,COUNTA(站位样品信息!$B:$B)+1),MATCH($F527,站位样品信息!$A$3:INDEX(站位样品信息!$A:$A,COUNTA(站位样品信息!$A:$A)+1),),))</f>
        <v/>
      </c>
      <c r="H527" s="37" t="str">
        <f>IF(A527&amp;B527&amp;C527="","",INDEX(生物种群!$A$2:INDEX(生物种群!$A:$A,COUNTA(生物种群!$A:$A)),MATCH($I527,生物种群!$B$2:INDEX(生物种群!$B:$B,COUNTA(生物种群!$B:$B)),),))</f>
        <v/>
      </c>
      <c r="I527" s="37" t="str">
        <f>IF(A527&amp;B527&amp;C527="","",IF($C527&lt;&gt;0,INDEX(生物种群!$B$2:INDEX(生物种群!$B:$B,COUNTA(生物种群!$B:$B)),MATCH($C527,生物种群!$G$2:INDEX(生物种群!$G:$G,COUNTA(生物种群!$G:$G)),),),IF($A527&lt;&gt;0,INDEX(生物种群!$B$2:INDEX(生物种群!$B:$B,COUNTA(生物种群!$B:$B)),MATCH($A527,生物种群!$C$2:INDEX(生物种群!$C:$C,COUNTA(生物种群!$C:$C)),),),INDEX(生物种群!$B$2:INDEX(生物种群!$B:$B,COUNTA(生物种群!$B:$B)),MATCH($B527,生物种群!$D$2:INDEX(生物种群!$D:$D,COUNTA(生物种群!$D:$D)),),))))</f>
        <v/>
      </c>
      <c r="J527" s="37" t="str">
        <f>IF(A527&amp;B527&amp;C527="","",INDEX(生物种群!$J$2:INDEX(生物种群!$J:$J,COUNTA(生物种群!$J:$J)),MATCH($I527,生物种群!$B$2:INDEX(生物种群!$B:$B,COUNTA(生物种群!$B:$B)),),))</f>
        <v/>
      </c>
      <c r="K527" s="37" t="str">
        <f>IF(A527&amp;B527&amp;C527="","",INDEX(生物种群!$E$2:INDEX(生物种群!$E:$E,COUNTA(生物种群!$E:$E)),MATCH($I527,生物种群!$B$2:INDEX(生物种群!$B:$B,COUNTA(生物种群!$B:$B)),),))</f>
        <v/>
      </c>
      <c r="L527" s="37" t="str">
        <f>IF(A527&amp;B527&amp;C527="","",INDEX(生物种群!$F$3:INDEX(生物种群!$F:$F,COUNTA(生物种群!$F:$F)),MATCH($I527,生物种群!$B$3:INDEX(生物种群!$B:$B,COUNTA(生物种群!$B:$B)),),))</f>
        <v/>
      </c>
      <c r="M527" s="37" t="str">
        <f t="shared" si="16"/>
        <v/>
      </c>
      <c r="N527" s="37" t="str">
        <f t="shared" si="17"/>
        <v/>
      </c>
      <c r="O527" s="9"/>
      <c r="P527" s="10"/>
    </row>
    <row r="528" spans="1:16" ht="20.1" customHeight="1">
      <c r="A528" s="9"/>
      <c r="B528" s="9"/>
      <c r="C528" s="9"/>
      <c r="D528" s="43"/>
      <c r="E528" s="9"/>
      <c r="F528" s="9"/>
      <c r="G528" s="47" t="str">
        <f>IF(F528="","",INDEX(站位样品信息!$B$3:INDEX(站位样品信息!$B:$B,COUNTA(站位样品信息!$B:$B)+1),MATCH($F528,站位样品信息!$A$3:INDEX(站位样品信息!$A:$A,COUNTA(站位样品信息!$A:$A)+1),),))</f>
        <v/>
      </c>
      <c r="H528" s="37" t="str">
        <f>IF(A528&amp;B528&amp;C528="","",INDEX(生物种群!$A$2:INDEX(生物种群!$A:$A,COUNTA(生物种群!$A:$A)),MATCH($I528,生物种群!$B$2:INDEX(生物种群!$B:$B,COUNTA(生物种群!$B:$B)),),))</f>
        <v/>
      </c>
      <c r="I528" s="37" t="str">
        <f>IF(A528&amp;B528&amp;C528="","",IF($C528&lt;&gt;0,INDEX(生物种群!$B$2:INDEX(生物种群!$B:$B,COUNTA(生物种群!$B:$B)),MATCH($C528,生物种群!$G$2:INDEX(生物种群!$G:$G,COUNTA(生物种群!$G:$G)),),),IF($A528&lt;&gt;0,INDEX(生物种群!$B$2:INDEX(生物种群!$B:$B,COUNTA(生物种群!$B:$B)),MATCH($A528,生物种群!$C$2:INDEX(生物种群!$C:$C,COUNTA(生物种群!$C:$C)),),),INDEX(生物种群!$B$2:INDEX(生物种群!$B:$B,COUNTA(生物种群!$B:$B)),MATCH($B528,生物种群!$D$2:INDEX(生物种群!$D:$D,COUNTA(生物种群!$D:$D)),),))))</f>
        <v/>
      </c>
      <c r="J528" s="37" t="str">
        <f>IF(A528&amp;B528&amp;C528="","",INDEX(生物种群!$J$2:INDEX(生物种群!$J:$J,COUNTA(生物种群!$J:$J)),MATCH($I528,生物种群!$B$2:INDEX(生物种群!$B:$B,COUNTA(生物种群!$B:$B)),),))</f>
        <v/>
      </c>
      <c r="K528" s="37" t="str">
        <f>IF(A528&amp;B528&amp;C528="","",INDEX(生物种群!$E$2:INDEX(生物种群!$E:$E,COUNTA(生物种群!$E:$E)),MATCH($I528,生物种群!$B$2:INDEX(生物种群!$B:$B,COUNTA(生物种群!$B:$B)),),))</f>
        <v/>
      </c>
      <c r="L528" s="37" t="str">
        <f>IF(A528&amp;B528&amp;C528="","",INDEX(生物种群!$F$3:INDEX(生物种群!$F:$F,COUNTA(生物种群!$F:$F)),MATCH($I528,生物种群!$B$3:INDEX(生物种群!$B:$B,COUNTA(生物种群!$B:$B)),),))</f>
        <v/>
      </c>
      <c r="M528" s="37" t="str">
        <f t="shared" si="16"/>
        <v/>
      </c>
      <c r="N528" s="37" t="str">
        <f t="shared" si="17"/>
        <v/>
      </c>
      <c r="O528" s="9"/>
      <c r="P528" s="10"/>
    </row>
    <row r="529" spans="1:16" ht="20.1" customHeight="1">
      <c r="A529" s="9"/>
      <c r="B529" s="9"/>
      <c r="C529" s="9"/>
      <c r="D529" s="43"/>
      <c r="E529" s="9"/>
      <c r="F529" s="9"/>
      <c r="G529" s="47" t="str">
        <f>IF(F529="","",INDEX(站位样品信息!$B$3:INDEX(站位样品信息!$B:$B,COUNTA(站位样品信息!$B:$B)+1),MATCH($F529,站位样品信息!$A$3:INDEX(站位样品信息!$A:$A,COUNTA(站位样品信息!$A:$A)+1),),))</f>
        <v/>
      </c>
      <c r="H529" s="37" t="str">
        <f>IF(A529&amp;B529&amp;C529="","",INDEX(生物种群!$A$2:INDEX(生物种群!$A:$A,COUNTA(生物种群!$A:$A)),MATCH($I529,生物种群!$B$2:INDEX(生物种群!$B:$B,COUNTA(生物种群!$B:$B)),),))</f>
        <v/>
      </c>
      <c r="I529" s="37" t="str">
        <f>IF(A529&amp;B529&amp;C529="","",IF($C529&lt;&gt;0,INDEX(生物种群!$B$2:INDEX(生物种群!$B:$B,COUNTA(生物种群!$B:$B)),MATCH($C529,生物种群!$G$2:INDEX(生物种群!$G:$G,COUNTA(生物种群!$G:$G)),),),IF($A529&lt;&gt;0,INDEX(生物种群!$B$2:INDEX(生物种群!$B:$B,COUNTA(生物种群!$B:$B)),MATCH($A529,生物种群!$C$2:INDEX(生物种群!$C:$C,COUNTA(生物种群!$C:$C)),),),INDEX(生物种群!$B$2:INDEX(生物种群!$B:$B,COUNTA(生物种群!$B:$B)),MATCH($B529,生物种群!$D$2:INDEX(生物种群!$D:$D,COUNTA(生物种群!$D:$D)),),))))</f>
        <v/>
      </c>
      <c r="J529" s="37" t="str">
        <f>IF(A529&amp;B529&amp;C529="","",INDEX(生物种群!$J$2:INDEX(生物种群!$J:$J,COUNTA(生物种群!$J:$J)),MATCH($I529,生物种群!$B$2:INDEX(生物种群!$B:$B,COUNTA(生物种群!$B:$B)),),))</f>
        <v/>
      </c>
      <c r="K529" s="37" t="str">
        <f>IF(A529&amp;B529&amp;C529="","",INDEX(生物种群!$E$2:INDEX(生物种群!$E:$E,COUNTA(生物种群!$E:$E)),MATCH($I529,生物种群!$B$2:INDEX(生物种群!$B:$B,COUNTA(生物种群!$B:$B)),),))</f>
        <v/>
      </c>
      <c r="L529" s="37" t="str">
        <f>IF(A529&amp;B529&amp;C529="","",INDEX(生物种群!$F$3:INDEX(生物种群!$F:$F,COUNTA(生物种群!$F:$F)),MATCH($I529,生物种群!$B$3:INDEX(生物种群!$B:$B,COUNTA(生物种群!$B:$B)),),))</f>
        <v/>
      </c>
      <c r="M529" s="37" t="str">
        <f t="shared" si="16"/>
        <v/>
      </c>
      <c r="N529" s="37" t="str">
        <f t="shared" si="17"/>
        <v/>
      </c>
      <c r="O529" s="9"/>
      <c r="P529" s="10"/>
    </row>
    <row r="530" spans="1:16" ht="20.1" customHeight="1">
      <c r="A530" s="9"/>
      <c r="B530" s="9"/>
      <c r="C530" s="9"/>
      <c r="D530" s="43"/>
      <c r="E530" s="9"/>
      <c r="F530" s="9"/>
      <c r="G530" s="47" t="str">
        <f>IF(F530="","",INDEX(站位样品信息!$B$3:INDEX(站位样品信息!$B:$B,COUNTA(站位样品信息!$B:$B)+1),MATCH($F530,站位样品信息!$A$3:INDEX(站位样品信息!$A:$A,COUNTA(站位样品信息!$A:$A)+1),),))</f>
        <v/>
      </c>
      <c r="H530" s="37" t="str">
        <f>IF(A530&amp;B530&amp;C530="","",INDEX(生物种群!$A$2:INDEX(生物种群!$A:$A,COUNTA(生物种群!$A:$A)),MATCH($I530,生物种群!$B$2:INDEX(生物种群!$B:$B,COUNTA(生物种群!$B:$B)),),))</f>
        <v/>
      </c>
      <c r="I530" s="37" t="str">
        <f>IF(A530&amp;B530&amp;C530="","",IF($C530&lt;&gt;0,INDEX(生物种群!$B$2:INDEX(生物种群!$B:$B,COUNTA(生物种群!$B:$B)),MATCH($C530,生物种群!$G$2:INDEX(生物种群!$G:$G,COUNTA(生物种群!$G:$G)),),),IF($A530&lt;&gt;0,INDEX(生物种群!$B$2:INDEX(生物种群!$B:$B,COUNTA(生物种群!$B:$B)),MATCH($A530,生物种群!$C$2:INDEX(生物种群!$C:$C,COUNTA(生物种群!$C:$C)),),),INDEX(生物种群!$B$2:INDEX(生物种群!$B:$B,COUNTA(生物种群!$B:$B)),MATCH($B530,生物种群!$D$2:INDEX(生物种群!$D:$D,COUNTA(生物种群!$D:$D)),),))))</f>
        <v/>
      </c>
      <c r="J530" s="37" t="str">
        <f>IF(A530&amp;B530&amp;C530="","",INDEX(生物种群!$J$2:INDEX(生物种群!$J:$J,COUNTA(生物种群!$J:$J)),MATCH($I530,生物种群!$B$2:INDEX(生物种群!$B:$B,COUNTA(生物种群!$B:$B)),),))</f>
        <v/>
      </c>
      <c r="K530" s="37" t="str">
        <f>IF(A530&amp;B530&amp;C530="","",INDEX(生物种群!$E$2:INDEX(生物种群!$E:$E,COUNTA(生物种群!$E:$E)),MATCH($I530,生物种群!$B$2:INDEX(生物种群!$B:$B,COUNTA(生物种群!$B:$B)),),))</f>
        <v/>
      </c>
      <c r="L530" s="37" t="str">
        <f>IF(A530&amp;B530&amp;C530="","",INDEX(生物种群!$F$3:INDEX(生物种群!$F:$F,COUNTA(生物种群!$F:$F)),MATCH($I530,生物种群!$B$3:INDEX(生物种群!$B:$B,COUNTA(生物种群!$B:$B)),),))</f>
        <v/>
      </c>
      <c r="M530" s="37" t="str">
        <f t="shared" si="16"/>
        <v/>
      </c>
      <c r="N530" s="37" t="str">
        <f t="shared" si="17"/>
        <v/>
      </c>
      <c r="O530" s="9"/>
      <c r="P530" s="10"/>
    </row>
    <row r="531" spans="1:16" ht="20.1" customHeight="1">
      <c r="A531" s="9"/>
      <c r="B531" s="9"/>
      <c r="C531" s="9"/>
      <c r="D531" s="43"/>
      <c r="E531" s="9"/>
      <c r="F531" s="9"/>
      <c r="G531" s="47" t="str">
        <f>IF(F531="","",INDEX(站位样品信息!$B$3:INDEX(站位样品信息!$B:$B,COUNTA(站位样品信息!$B:$B)+1),MATCH($F531,站位样品信息!$A$3:INDEX(站位样品信息!$A:$A,COUNTA(站位样品信息!$A:$A)+1),),))</f>
        <v/>
      </c>
      <c r="H531" s="37" t="str">
        <f>IF(A531&amp;B531&amp;C531="","",INDEX(生物种群!$A$2:INDEX(生物种群!$A:$A,COUNTA(生物种群!$A:$A)),MATCH($I531,生物种群!$B$2:INDEX(生物种群!$B:$B,COUNTA(生物种群!$B:$B)),),))</f>
        <v/>
      </c>
      <c r="I531" s="37" t="str">
        <f>IF(A531&amp;B531&amp;C531="","",IF($C531&lt;&gt;0,INDEX(生物种群!$B$2:INDEX(生物种群!$B:$B,COUNTA(生物种群!$B:$B)),MATCH($C531,生物种群!$G$2:INDEX(生物种群!$G:$G,COUNTA(生物种群!$G:$G)),),),IF($A531&lt;&gt;0,INDEX(生物种群!$B$2:INDEX(生物种群!$B:$B,COUNTA(生物种群!$B:$B)),MATCH($A531,生物种群!$C$2:INDEX(生物种群!$C:$C,COUNTA(生物种群!$C:$C)),),),INDEX(生物种群!$B$2:INDEX(生物种群!$B:$B,COUNTA(生物种群!$B:$B)),MATCH($B531,生物种群!$D$2:INDEX(生物种群!$D:$D,COUNTA(生物种群!$D:$D)),),))))</f>
        <v/>
      </c>
      <c r="J531" s="37" t="str">
        <f>IF(A531&amp;B531&amp;C531="","",INDEX(生物种群!$J$2:INDEX(生物种群!$J:$J,COUNTA(生物种群!$J:$J)),MATCH($I531,生物种群!$B$2:INDEX(生物种群!$B:$B,COUNTA(生物种群!$B:$B)),),))</f>
        <v/>
      </c>
      <c r="K531" s="37" t="str">
        <f>IF(A531&amp;B531&amp;C531="","",INDEX(生物种群!$E$2:INDEX(生物种群!$E:$E,COUNTA(生物种群!$E:$E)),MATCH($I531,生物种群!$B$2:INDEX(生物种群!$B:$B,COUNTA(生物种群!$B:$B)),),))</f>
        <v/>
      </c>
      <c r="L531" s="37" t="str">
        <f>IF(A531&amp;B531&amp;C531="","",INDEX(生物种群!$F$3:INDEX(生物种群!$F:$F,COUNTA(生物种群!$F:$F)),MATCH($I531,生物种群!$B$3:INDEX(生物种群!$B:$B,COUNTA(生物种群!$B:$B)),),))</f>
        <v/>
      </c>
      <c r="M531" s="37" t="str">
        <f t="shared" si="16"/>
        <v/>
      </c>
      <c r="N531" s="37" t="str">
        <f t="shared" si="17"/>
        <v/>
      </c>
      <c r="O531" s="9"/>
      <c r="P531" s="10"/>
    </row>
    <row r="532" spans="1:16" ht="20.1" customHeight="1">
      <c r="A532" s="9"/>
      <c r="B532" s="9"/>
      <c r="C532" s="9"/>
      <c r="D532" s="43"/>
      <c r="E532" s="9"/>
      <c r="F532" s="9"/>
      <c r="G532" s="47" t="str">
        <f>IF(F532="","",INDEX(站位样品信息!$B$3:INDEX(站位样品信息!$B:$B,COUNTA(站位样品信息!$B:$B)+1),MATCH($F532,站位样品信息!$A$3:INDEX(站位样品信息!$A:$A,COUNTA(站位样品信息!$A:$A)+1),),))</f>
        <v/>
      </c>
      <c r="H532" s="37" t="str">
        <f>IF(A532&amp;B532&amp;C532="","",INDEX(生物种群!$A$2:INDEX(生物种群!$A:$A,COUNTA(生物种群!$A:$A)),MATCH($I532,生物种群!$B$2:INDEX(生物种群!$B:$B,COUNTA(生物种群!$B:$B)),),))</f>
        <v/>
      </c>
      <c r="I532" s="37" t="str">
        <f>IF(A532&amp;B532&amp;C532="","",IF($C532&lt;&gt;0,INDEX(生物种群!$B$2:INDEX(生物种群!$B:$B,COUNTA(生物种群!$B:$B)),MATCH($C532,生物种群!$G$2:INDEX(生物种群!$G:$G,COUNTA(生物种群!$G:$G)),),),IF($A532&lt;&gt;0,INDEX(生物种群!$B$2:INDEX(生物种群!$B:$B,COUNTA(生物种群!$B:$B)),MATCH($A532,生物种群!$C$2:INDEX(生物种群!$C:$C,COUNTA(生物种群!$C:$C)),),),INDEX(生物种群!$B$2:INDEX(生物种群!$B:$B,COUNTA(生物种群!$B:$B)),MATCH($B532,生物种群!$D$2:INDEX(生物种群!$D:$D,COUNTA(生物种群!$D:$D)),),))))</f>
        <v/>
      </c>
      <c r="J532" s="37" t="str">
        <f>IF(A532&amp;B532&amp;C532="","",INDEX(生物种群!$J$2:INDEX(生物种群!$J:$J,COUNTA(生物种群!$J:$J)),MATCH($I532,生物种群!$B$2:INDEX(生物种群!$B:$B,COUNTA(生物种群!$B:$B)),),))</f>
        <v/>
      </c>
      <c r="K532" s="37" t="str">
        <f>IF(A532&amp;B532&amp;C532="","",INDEX(生物种群!$E$2:INDEX(生物种群!$E:$E,COUNTA(生物种群!$E:$E)),MATCH($I532,生物种群!$B$2:INDEX(生物种群!$B:$B,COUNTA(生物种群!$B:$B)),),))</f>
        <v/>
      </c>
      <c r="L532" s="37" t="str">
        <f>IF(A532&amp;B532&amp;C532="","",INDEX(生物种群!$F$3:INDEX(生物种群!$F:$F,COUNTA(生物种群!$F:$F)),MATCH($I532,生物种群!$B$3:INDEX(生物种群!$B:$B,COUNTA(生物种群!$B:$B)),),))</f>
        <v/>
      </c>
      <c r="M532" s="37" t="str">
        <f t="shared" si="16"/>
        <v/>
      </c>
      <c r="N532" s="37" t="str">
        <f t="shared" si="17"/>
        <v/>
      </c>
      <c r="O532" s="9"/>
      <c r="P532" s="10"/>
    </row>
    <row r="533" spans="1:16" ht="20.1" customHeight="1">
      <c r="A533" s="9"/>
      <c r="B533" s="9"/>
      <c r="C533" s="9"/>
      <c r="D533" s="43"/>
      <c r="E533" s="9"/>
      <c r="F533" s="9"/>
      <c r="G533" s="47" t="str">
        <f>IF(F533="","",INDEX(站位样品信息!$B$3:INDEX(站位样品信息!$B:$B,COUNTA(站位样品信息!$B:$B)+1),MATCH($F533,站位样品信息!$A$3:INDEX(站位样品信息!$A:$A,COUNTA(站位样品信息!$A:$A)+1),),))</f>
        <v/>
      </c>
      <c r="H533" s="37" t="str">
        <f>IF(A533&amp;B533&amp;C533="","",INDEX(生物种群!$A$2:INDEX(生物种群!$A:$A,COUNTA(生物种群!$A:$A)),MATCH($I533,生物种群!$B$2:INDEX(生物种群!$B:$B,COUNTA(生物种群!$B:$B)),),))</f>
        <v/>
      </c>
      <c r="I533" s="37" t="str">
        <f>IF(A533&amp;B533&amp;C533="","",IF($C533&lt;&gt;0,INDEX(生物种群!$B$2:INDEX(生物种群!$B:$B,COUNTA(生物种群!$B:$B)),MATCH($C533,生物种群!$G$2:INDEX(生物种群!$G:$G,COUNTA(生物种群!$G:$G)),),),IF($A533&lt;&gt;0,INDEX(生物种群!$B$2:INDEX(生物种群!$B:$B,COUNTA(生物种群!$B:$B)),MATCH($A533,生物种群!$C$2:INDEX(生物种群!$C:$C,COUNTA(生物种群!$C:$C)),),),INDEX(生物种群!$B$2:INDEX(生物种群!$B:$B,COUNTA(生物种群!$B:$B)),MATCH($B533,生物种群!$D$2:INDEX(生物种群!$D:$D,COUNTA(生物种群!$D:$D)),),))))</f>
        <v/>
      </c>
      <c r="J533" s="37" t="str">
        <f>IF(A533&amp;B533&amp;C533="","",INDEX(生物种群!$J$2:INDEX(生物种群!$J:$J,COUNTA(生物种群!$J:$J)),MATCH($I533,生物种群!$B$2:INDEX(生物种群!$B:$B,COUNTA(生物种群!$B:$B)),),))</f>
        <v/>
      </c>
      <c r="K533" s="37" t="str">
        <f>IF(A533&amp;B533&amp;C533="","",INDEX(生物种群!$E$2:INDEX(生物种群!$E:$E,COUNTA(生物种群!$E:$E)),MATCH($I533,生物种群!$B$2:INDEX(生物种群!$B:$B,COUNTA(生物种群!$B:$B)),),))</f>
        <v/>
      </c>
      <c r="L533" s="37" t="str">
        <f>IF(A533&amp;B533&amp;C533="","",INDEX(生物种群!$F$3:INDEX(生物种群!$F:$F,COUNTA(生物种群!$F:$F)),MATCH($I533,生物种群!$B$3:INDEX(生物种群!$B:$B,COUNTA(生物种群!$B:$B)),),))</f>
        <v/>
      </c>
      <c r="M533" s="37" t="str">
        <f t="shared" si="16"/>
        <v/>
      </c>
      <c r="N533" s="37" t="str">
        <f t="shared" si="17"/>
        <v/>
      </c>
      <c r="O533" s="9"/>
      <c r="P533" s="10"/>
    </row>
    <row r="534" spans="1:16" ht="20.1" customHeight="1">
      <c r="A534" s="9"/>
      <c r="B534" s="9"/>
      <c r="C534" s="9"/>
      <c r="D534" s="43"/>
      <c r="E534" s="9"/>
      <c r="F534" s="9"/>
      <c r="G534" s="47" t="str">
        <f>IF(F534="","",INDEX(站位样品信息!$B$3:INDEX(站位样品信息!$B:$B,COUNTA(站位样品信息!$B:$B)+1),MATCH($F534,站位样品信息!$A$3:INDEX(站位样品信息!$A:$A,COUNTA(站位样品信息!$A:$A)+1),),))</f>
        <v/>
      </c>
      <c r="H534" s="37" t="str">
        <f>IF(A534&amp;B534&amp;C534="","",INDEX(生物种群!$A$2:INDEX(生物种群!$A:$A,COUNTA(生物种群!$A:$A)),MATCH($I534,生物种群!$B$2:INDEX(生物种群!$B:$B,COUNTA(生物种群!$B:$B)),),))</f>
        <v/>
      </c>
      <c r="I534" s="37" t="str">
        <f>IF(A534&amp;B534&amp;C534="","",IF($C534&lt;&gt;0,INDEX(生物种群!$B$2:INDEX(生物种群!$B:$B,COUNTA(生物种群!$B:$B)),MATCH($C534,生物种群!$G$2:INDEX(生物种群!$G:$G,COUNTA(生物种群!$G:$G)),),),IF($A534&lt;&gt;0,INDEX(生物种群!$B$2:INDEX(生物种群!$B:$B,COUNTA(生物种群!$B:$B)),MATCH($A534,生物种群!$C$2:INDEX(生物种群!$C:$C,COUNTA(生物种群!$C:$C)),),),INDEX(生物种群!$B$2:INDEX(生物种群!$B:$B,COUNTA(生物种群!$B:$B)),MATCH($B534,生物种群!$D$2:INDEX(生物种群!$D:$D,COUNTA(生物种群!$D:$D)),),))))</f>
        <v/>
      </c>
      <c r="J534" s="37" t="str">
        <f>IF(A534&amp;B534&amp;C534="","",INDEX(生物种群!$J$2:INDEX(生物种群!$J:$J,COUNTA(生物种群!$J:$J)),MATCH($I534,生物种群!$B$2:INDEX(生物种群!$B:$B,COUNTA(生物种群!$B:$B)),),))</f>
        <v/>
      </c>
      <c r="K534" s="37" t="str">
        <f>IF(A534&amp;B534&amp;C534="","",INDEX(生物种群!$E$2:INDEX(生物种群!$E:$E,COUNTA(生物种群!$E:$E)),MATCH($I534,生物种群!$B$2:INDEX(生物种群!$B:$B,COUNTA(生物种群!$B:$B)),),))</f>
        <v/>
      </c>
      <c r="L534" s="37" t="str">
        <f>IF(A534&amp;B534&amp;C534="","",INDEX(生物种群!$F$3:INDEX(生物种群!$F:$F,COUNTA(生物种群!$F:$F)),MATCH($I534,生物种群!$B$3:INDEX(生物种群!$B:$B,COUNTA(生物种群!$B:$B)),),))</f>
        <v/>
      </c>
      <c r="M534" s="37" t="str">
        <f t="shared" si="16"/>
        <v/>
      </c>
      <c r="N534" s="37" t="str">
        <f t="shared" si="17"/>
        <v/>
      </c>
      <c r="O534" s="9"/>
      <c r="P534" s="10"/>
    </row>
    <row r="535" spans="1:16" ht="20.1" customHeight="1">
      <c r="A535" s="9"/>
      <c r="B535" s="9"/>
      <c r="C535" s="9"/>
      <c r="D535" s="43"/>
      <c r="E535" s="9"/>
      <c r="F535" s="9"/>
      <c r="G535" s="47" t="str">
        <f>IF(F535="","",INDEX(站位样品信息!$B$3:INDEX(站位样品信息!$B:$B,COUNTA(站位样品信息!$B:$B)+1),MATCH($F535,站位样品信息!$A$3:INDEX(站位样品信息!$A:$A,COUNTA(站位样品信息!$A:$A)+1),),))</f>
        <v/>
      </c>
      <c r="H535" s="37" t="str">
        <f>IF(A535&amp;B535&amp;C535="","",INDEX(生物种群!$A$2:INDEX(生物种群!$A:$A,COUNTA(生物种群!$A:$A)),MATCH($I535,生物种群!$B$2:INDEX(生物种群!$B:$B,COUNTA(生物种群!$B:$B)),),))</f>
        <v/>
      </c>
      <c r="I535" s="37" t="str">
        <f>IF(A535&amp;B535&amp;C535="","",IF($C535&lt;&gt;0,INDEX(生物种群!$B$2:INDEX(生物种群!$B:$B,COUNTA(生物种群!$B:$B)),MATCH($C535,生物种群!$G$2:INDEX(生物种群!$G:$G,COUNTA(生物种群!$G:$G)),),),IF($A535&lt;&gt;0,INDEX(生物种群!$B$2:INDEX(生物种群!$B:$B,COUNTA(生物种群!$B:$B)),MATCH($A535,生物种群!$C$2:INDEX(生物种群!$C:$C,COUNTA(生物种群!$C:$C)),),),INDEX(生物种群!$B$2:INDEX(生物种群!$B:$B,COUNTA(生物种群!$B:$B)),MATCH($B535,生物种群!$D$2:INDEX(生物种群!$D:$D,COUNTA(生物种群!$D:$D)),),))))</f>
        <v/>
      </c>
      <c r="J535" s="37" t="str">
        <f>IF(A535&amp;B535&amp;C535="","",INDEX(生物种群!$J$2:INDEX(生物种群!$J:$J,COUNTA(生物种群!$J:$J)),MATCH($I535,生物种群!$B$2:INDEX(生物种群!$B:$B,COUNTA(生物种群!$B:$B)),),))</f>
        <v/>
      </c>
      <c r="K535" s="37" t="str">
        <f>IF(A535&amp;B535&amp;C535="","",INDEX(生物种群!$E$2:INDEX(生物种群!$E:$E,COUNTA(生物种群!$E:$E)),MATCH($I535,生物种群!$B$2:INDEX(生物种群!$B:$B,COUNTA(生物种群!$B:$B)),),))</f>
        <v/>
      </c>
      <c r="L535" s="37" t="str">
        <f>IF(A535&amp;B535&amp;C535="","",INDEX(生物种群!$F$3:INDEX(生物种群!$F:$F,COUNTA(生物种群!$F:$F)),MATCH($I535,生物种群!$B$3:INDEX(生物种群!$B:$B,COUNTA(生物种群!$B:$B)),),))</f>
        <v/>
      </c>
      <c r="M535" s="37" t="str">
        <f t="shared" si="16"/>
        <v/>
      </c>
      <c r="N535" s="37" t="str">
        <f t="shared" si="17"/>
        <v/>
      </c>
      <c r="O535" s="9"/>
      <c r="P535" s="10"/>
    </row>
    <row r="536" spans="1:16" ht="20.1" customHeight="1">
      <c r="A536" s="9"/>
      <c r="B536" s="9"/>
      <c r="C536" s="9"/>
      <c r="D536" s="43"/>
      <c r="E536" s="9"/>
      <c r="F536" s="9"/>
      <c r="G536" s="47" t="str">
        <f>IF(F536="","",INDEX(站位样品信息!$B$3:INDEX(站位样品信息!$B:$B,COUNTA(站位样品信息!$B:$B)+1),MATCH($F536,站位样品信息!$A$3:INDEX(站位样品信息!$A:$A,COUNTA(站位样品信息!$A:$A)+1),),))</f>
        <v/>
      </c>
      <c r="H536" s="37" t="str">
        <f>IF(A536&amp;B536&amp;C536="","",INDEX(生物种群!$A$2:INDEX(生物种群!$A:$A,COUNTA(生物种群!$A:$A)),MATCH($I536,生物种群!$B$2:INDEX(生物种群!$B:$B,COUNTA(生物种群!$B:$B)),),))</f>
        <v/>
      </c>
      <c r="I536" s="37" t="str">
        <f>IF(A536&amp;B536&amp;C536="","",IF($C536&lt;&gt;0,INDEX(生物种群!$B$2:INDEX(生物种群!$B:$B,COUNTA(生物种群!$B:$B)),MATCH($C536,生物种群!$G$2:INDEX(生物种群!$G:$G,COUNTA(生物种群!$G:$G)),),),IF($A536&lt;&gt;0,INDEX(生物种群!$B$2:INDEX(生物种群!$B:$B,COUNTA(生物种群!$B:$B)),MATCH($A536,生物种群!$C$2:INDEX(生物种群!$C:$C,COUNTA(生物种群!$C:$C)),),),INDEX(生物种群!$B$2:INDEX(生物种群!$B:$B,COUNTA(生物种群!$B:$B)),MATCH($B536,生物种群!$D$2:INDEX(生物种群!$D:$D,COUNTA(生物种群!$D:$D)),),))))</f>
        <v/>
      </c>
      <c r="J536" s="37" t="str">
        <f>IF(A536&amp;B536&amp;C536="","",INDEX(生物种群!$J$2:INDEX(生物种群!$J:$J,COUNTA(生物种群!$J:$J)),MATCH($I536,生物种群!$B$2:INDEX(生物种群!$B:$B,COUNTA(生物种群!$B:$B)),),))</f>
        <v/>
      </c>
      <c r="K536" s="37" t="str">
        <f>IF(A536&amp;B536&amp;C536="","",INDEX(生物种群!$E$2:INDEX(生物种群!$E:$E,COUNTA(生物种群!$E:$E)),MATCH($I536,生物种群!$B$2:INDEX(生物种群!$B:$B,COUNTA(生物种群!$B:$B)),),))</f>
        <v/>
      </c>
      <c r="L536" s="37" t="str">
        <f>IF(A536&amp;B536&amp;C536="","",INDEX(生物种群!$F$3:INDEX(生物种群!$F:$F,COUNTA(生物种群!$F:$F)),MATCH($I536,生物种群!$B$3:INDEX(生物种群!$B:$B,COUNTA(生物种群!$B:$B)),),))</f>
        <v/>
      </c>
      <c r="M536" s="37" t="str">
        <f t="shared" si="16"/>
        <v/>
      </c>
      <c r="N536" s="37" t="str">
        <f t="shared" si="17"/>
        <v/>
      </c>
      <c r="O536" s="9"/>
      <c r="P536" s="10"/>
    </row>
    <row r="537" spans="1:16" ht="20.1" customHeight="1">
      <c r="A537" s="9"/>
      <c r="B537" s="9"/>
      <c r="C537" s="9"/>
      <c r="D537" s="43"/>
      <c r="E537" s="9"/>
      <c r="F537" s="9"/>
      <c r="G537" s="47" t="str">
        <f>IF(F537="","",INDEX(站位样品信息!$B$3:INDEX(站位样品信息!$B:$B,COUNTA(站位样品信息!$B:$B)+1),MATCH($F537,站位样品信息!$A$3:INDEX(站位样品信息!$A:$A,COUNTA(站位样品信息!$A:$A)+1),),))</f>
        <v/>
      </c>
      <c r="H537" s="37" t="str">
        <f>IF(A537&amp;B537&amp;C537="","",INDEX(生物种群!$A$2:INDEX(生物种群!$A:$A,COUNTA(生物种群!$A:$A)),MATCH($I537,生物种群!$B$2:INDEX(生物种群!$B:$B,COUNTA(生物种群!$B:$B)),),))</f>
        <v/>
      </c>
      <c r="I537" s="37" t="str">
        <f>IF(A537&amp;B537&amp;C537="","",IF($C537&lt;&gt;0,INDEX(生物种群!$B$2:INDEX(生物种群!$B:$B,COUNTA(生物种群!$B:$B)),MATCH($C537,生物种群!$G$2:INDEX(生物种群!$G:$G,COUNTA(生物种群!$G:$G)),),),IF($A537&lt;&gt;0,INDEX(生物种群!$B$2:INDEX(生物种群!$B:$B,COUNTA(生物种群!$B:$B)),MATCH($A537,生物种群!$C$2:INDEX(生物种群!$C:$C,COUNTA(生物种群!$C:$C)),),),INDEX(生物种群!$B$2:INDEX(生物种群!$B:$B,COUNTA(生物种群!$B:$B)),MATCH($B537,生物种群!$D$2:INDEX(生物种群!$D:$D,COUNTA(生物种群!$D:$D)),),))))</f>
        <v/>
      </c>
      <c r="J537" s="37" t="str">
        <f>IF(A537&amp;B537&amp;C537="","",INDEX(生物种群!$J$2:INDEX(生物种群!$J:$J,COUNTA(生物种群!$J:$J)),MATCH($I537,生物种群!$B$2:INDEX(生物种群!$B:$B,COUNTA(生物种群!$B:$B)),),))</f>
        <v/>
      </c>
      <c r="K537" s="37" t="str">
        <f>IF(A537&amp;B537&amp;C537="","",INDEX(生物种群!$E$2:INDEX(生物种群!$E:$E,COUNTA(生物种群!$E:$E)),MATCH($I537,生物种群!$B$2:INDEX(生物种群!$B:$B,COUNTA(生物种群!$B:$B)),),))</f>
        <v/>
      </c>
      <c r="L537" s="37" t="str">
        <f>IF(A537&amp;B537&amp;C537="","",INDEX(生物种群!$F$3:INDEX(生物种群!$F:$F,COUNTA(生物种群!$F:$F)),MATCH($I537,生物种群!$B$3:INDEX(生物种群!$B:$B,COUNTA(生物种群!$B:$B)),),))</f>
        <v/>
      </c>
      <c r="M537" s="37" t="str">
        <f t="shared" si="16"/>
        <v/>
      </c>
      <c r="N537" s="37" t="str">
        <f t="shared" si="17"/>
        <v/>
      </c>
      <c r="O537" s="9"/>
      <c r="P537" s="10"/>
    </row>
    <row r="538" spans="1:16" ht="20.1" customHeight="1">
      <c r="A538" s="9"/>
      <c r="B538" s="9"/>
      <c r="C538" s="9"/>
      <c r="D538" s="43"/>
      <c r="E538" s="9"/>
      <c r="F538" s="9"/>
      <c r="G538" s="47" t="str">
        <f>IF(F538="","",INDEX(站位样品信息!$B$3:INDEX(站位样品信息!$B:$B,COUNTA(站位样品信息!$B:$B)+1),MATCH($F538,站位样品信息!$A$3:INDEX(站位样品信息!$A:$A,COUNTA(站位样品信息!$A:$A)+1),),))</f>
        <v/>
      </c>
      <c r="H538" s="37" t="str">
        <f>IF(A538&amp;B538&amp;C538="","",INDEX(生物种群!$A$2:INDEX(生物种群!$A:$A,COUNTA(生物种群!$A:$A)),MATCH($I538,生物种群!$B$2:INDEX(生物种群!$B:$B,COUNTA(生物种群!$B:$B)),),))</f>
        <v/>
      </c>
      <c r="I538" s="37" t="str">
        <f>IF(A538&amp;B538&amp;C538="","",IF($C538&lt;&gt;0,INDEX(生物种群!$B$2:INDEX(生物种群!$B:$B,COUNTA(生物种群!$B:$B)),MATCH($C538,生物种群!$G$2:INDEX(生物种群!$G:$G,COUNTA(生物种群!$G:$G)),),),IF($A538&lt;&gt;0,INDEX(生物种群!$B$2:INDEX(生物种群!$B:$B,COUNTA(生物种群!$B:$B)),MATCH($A538,生物种群!$C$2:INDEX(生物种群!$C:$C,COUNTA(生物种群!$C:$C)),),),INDEX(生物种群!$B$2:INDEX(生物种群!$B:$B,COUNTA(生物种群!$B:$B)),MATCH($B538,生物种群!$D$2:INDEX(生物种群!$D:$D,COUNTA(生物种群!$D:$D)),),))))</f>
        <v/>
      </c>
      <c r="J538" s="37" t="str">
        <f>IF(A538&amp;B538&amp;C538="","",INDEX(生物种群!$J$2:INDEX(生物种群!$J:$J,COUNTA(生物种群!$J:$J)),MATCH($I538,生物种群!$B$2:INDEX(生物种群!$B:$B,COUNTA(生物种群!$B:$B)),),))</f>
        <v/>
      </c>
      <c r="K538" s="37" t="str">
        <f>IF(A538&amp;B538&amp;C538="","",INDEX(生物种群!$E$2:INDEX(生物种群!$E:$E,COUNTA(生物种群!$E:$E)),MATCH($I538,生物种群!$B$2:INDEX(生物种群!$B:$B,COUNTA(生物种群!$B:$B)),),))</f>
        <v/>
      </c>
      <c r="L538" s="37" t="str">
        <f>IF(A538&amp;B538&amp;C538="","",INDEX(生物种群!$F$3:INDEX(生物种群!$F:$F,COUNTA(生物种群!$F:$F)),MATCH($I538,生物种群!$B$3:INDEX(生物种群!$B:$B,COUNTA(生物种群!$B:$B)),),))</f>
        <v/>
      </c>
      <c r="M538" s="37" t="str">
        <f t="shared" si="16"/>
        <v/>
      </c>
      <c r="N538" s="37" t="str">
        <f t="shared" si="17"/>
        <v/>
      </c>
      <c r="O538" s="9"/>
      <c r="P538" s="10"/>
    </row>
    <row r="539" spans="1:16" ht="20.1" customHeight="1">
      <c r="A539" s="9"/>
      <c r="B539" s="9"/>
      <c r="C539" s="9"/>
      <c r="D539" s="43"/>
      <c r="E539" s="9"/>
      <c r="F539" s="9"/>
      <c r="G539" s="47" t="str">
        <f>IF(F539="","",INDEX(站位样品信息!$B$3:INDEX(站位样品信息!$B:$B,COUNTA(站位样品信息!$B:$B)+1),MATCH($F539,站位样品信息!$A$3:INDEX(站位样品信息!$A:$A,COUNTA(站位样品信息!$A:$A)+1),),))</f>
        <v/>
      </c>
      <c r="H539" s="37" t="str">
        <f>IF(A539&amp;B539&amp;C539="","",INDEX(生物种群!$A$2:INDEX(生物种群!$A:$A,COUNTA(生物种群!$A:$A)),MATCH($I539,生物种群!$B$2:INDEX(生物种群!$B:$B,COUNTA(生物种群!$B:$B)),),))</f>
        <v/>
      </c>
      <c r="I539" s="37" t="str">
        <f>IF(A539&amp;B539&amp;C539="","",IF($C539&lt;&gt;0,INDEX(生物种群!$B$2:INDEX(生物种群!$B:$B,COUNTA(生物种群!$B:$B)),MATCH($C539,生物种群!$G$2:INDEX(生物种群!$G:$G,COUNTA(生物种群!$G:$G)),),),IF($A539&lt;&gt;0,INDEX(生物种群!$B$2:INDEX(生物种群!$B:$B,COUNTA(生物种群!$B:$B)),MATCH($A539,生物种群!$C$2:INDEX(生物种群!$C:$C,COUNTA(生物种群!$C:$C)),),),INDEX(生物种群!$B$2:INDEX(生物种群!$B:$B,COUNTA(生物种群!$B:$B)),MATCH($B539,生物种群!$D$2:INDEX(生物种群!$D:$D,COUNTA(生物种群!$D:$D)),),))))</f>
        <v/>
      </c>
      <c r="J539" s="37" t="str">
        <f>IF(A539&amp;B539&amp;C539="","",INDEX(生物种群!$J$2:INDEX(生物种群!$J:$J,COUNTA(生物种群!$J:$J)),MATCH($I539,生物种群!$B$2:INDEX(生物种群!$B:$B,COUNTA(生物种群!$B:$B)),),))</f>
        <v/>
      </c>
      <c r="K539" s="37" t="str">
        <f>IF(A539&amp;B539&amp;C539="","",INDEX(生物种群!$E$2:INDEX(生物种群!$E:$E,COUNTA(生物种群!$E:$E)),MATCH($I539,生物种群!$B$2:INDEX(生物种群!$B:$B,COUNTA(生物种群!$B:$B)),),))</f>
        <v/>
      </c>
      <c r="L539" s="37" t="str">
        <f>IF(A539&amp;B539&amp;C539="","",INDEX(生物种群!$F$3:INDEX(生物种群!$F:$F,COUNTA(生物种群!$F:$F)),MATCH($I539,生物种群!$B$3:INDEX(生物种群!$B:$B,COUNTA(生物种群!$B:$B)),),))</f>
        <v/>
      </c>
      <c r="M539" s="37" t="str">
        <f t="shared" si="16"/>
        <v/>
      </c>
      <c r="N539" s="37" t="str">
        <f t="shared" si="17"/>
        <v/>
      </c>
      <c r="O539" s="9"/>
      <c r="P539" s="10"/>
    </row>
    <row r="540" spans="1:16" ht="20.1" customHeight="1">
      <c r="A540" s="9"/>
      <c r="B540" s="9"/>
      <c r="C540" s="9"/>
      <c r="D540" s="43"/>
      <c r="E540" s="9"/>
      <c r="F540" s="9"/>
      <c r="G540" s="47" t="str">
        <f>IF(F540="","",INDEX(站位样品信息!$B$3:INDEX(站位样品信息!$B:$B,COUNTA(站位样品信息!$B:$B)+1),MATCH($F540,站位样品信息!$A$3:INDEX(站位样品信息!$A:$A,COUNTA(站位样品信息!$A:$A)+1),),))</f>
        <v/>
      </c>
      <c r="H540" s="37" t="str">
        <f>IF(A540&amp;B540&amp;C540="","",INDEX(生物种群!$A$2:INDEX(生物种群!$A:$A,COUNTA(生物种群!$A:$A)),MATCH($I540,生物种群!$B$2:INDEX(生物种群!$B:$B,COUNTA(生物种群!$B:$B)),),))</f>
        <v/>
      </c>
      <c r="I540" s="37" t="str">
        <f>IF(A540&amp;B540&amp;C540="","",IF($C540&lt;&gt;0,INDEX(生物种群!$B$2:INDEX(生物种群!$B:$B,COUNTA(生物种群!$B:$B)),MATCH($C540,生物种群!$G$2:INDEX(生物种群!$G:$G,COUNTA(生物种群!$G:$G)),),),IF($A540&lt;&gt;0,INDEX(生物种群!$B$2:INDEX(生物种群!$B:$B,COUNTA(生物种群!$B:$B)),MATCH($A540,生物种群!$C$2:INDEX(生物种群!$C:$C,COUNTA(生物种群!$C:$C)),),),INDEX(生物种群!$B$2:INDEX(生物种群!$B:$B,COUNTA(生物种群!$B:$B)),MATCH($B540,生物种群!$D$2:INDEX(生物种群!$D:$D,COUNTA(生物种群!$D:$D)),),))))</f>
        <v/>
      </c>
      <c r="J540" s="37" t="str">
        <f>IF(A540&amp;B540&amp;C540="","",INDEX(生物种群!$J$2:INDEX(生物种群!$J:$J,COUNTA(生物种群!$J:$J)),MATCH($I540,生物种群!$B$2:INDEX(生物种群!$B:$B,COUNTA(生物种群!$B:$B)),),))</f>
        <v/>
      </c>
      <c r="K540" s="37" t="str">
        <f>IF(A540&amp;B540&amp;C540="","",INDEX(生物种群!$E$2:INDEX(生物种群!$E:$E,COUNTA(生物种群!$E:$E)),MATCH($I540,生物种群!$B$2:INDEX(生物种群!$B:$B,COUNTA(生物种群!$B:$B)),),))</f>
        <v/>
      </c>
      <c r="L540" s="37" t="str">
        <f>IF(A540&amp;B540&amp;C540="","",INDEX(生物种群!$F$3:INDEX(生物种群!$F:$F,COUNTA(生物种群!$F:$F)),MATCH($I540,生物种群!$B$3:INDEX(生物种群!$B:$B,COUNTA(生物种群!$B:$B)),),))</f>
        <v/>
      </c>
      <c r="M540" s="37" t="str">
        <f t="shared" si="16"/>
        <v/>
      </c>
      <c r="N540" s="37" t="str">
        <f t="shared" si="17"/>
        <v/>
      </c>
      <c r="O540" s="9"/>
      <c r="P540" s="10"/>
    </row>
    <row r="541" spans="1:16" ht="20.1" customHeight="1">
      <c r="A541" s="9"/>
      <c r="B541" s="9"/>
      <c r="C541" s="9"/>
      <c r="D541" s="43"/>
      <c r="E541" s="9"/>
      <c r="F541" s="9"/>
      <c r="G541" s="47" t="str">
        <f>IF(F541="","",INDEX(站位样品信息!$B$3:INDEX(站位样品信息!$B:$B,COUNTA(站位样品信息!$B:$B)+1),MATCH($F541,站位样品信息!$A$3:INDEX(站位样品信息!$A:$A,COUNTA(站位样品信息!$A:$A)+1),),))</f>
        <v/>
      </c>
      <c r="H541" s="37" t="str">
        <f>IF(A541&amp;B541&amp;C541="","",INDEX(生物种群!$A$2:INDEX(生物种群!$A:$A,COUNTA(生物种群!$A:$A)),MATCH($I541,生物种群!$B$2:INDEX(生物种群!$B:$B,COUNTA(生物种群!$B:$B)),),))</f>
        <v/>
      </c>
      <c r="I541" s="37" t="str">
        <f>IF(A541&amp;B541&amp;C541="","",IF($C541&lt;&gt;0,INDEX(生物种群!$B$2:INDEX(生物种群!$B:$B,COUNTA(生物种群!$B:$B)),MATCH($C541,生物种群!$G$2:INDEX(生物种群!$G:$G,COUNTA(生物种群!$G:$G)),),),IF($A541&lt;&gt;0,INDEX(生物种群!$B$2:INDEX(生物种群!$B:$B,COUNTA(生物种群!$B:$B)),MATCH($A541,生物种群!$C$2:INDEX(生物种群!$C:$C,COUNTA(生物种群!$C:$C)),),),INDEX(生物种群!$B$2:INDEX(生物种群!$B:$B,COUNTA(生物种群!$B:$B)),MATCH($B541,生物种群!$D$2:INDEX(生物种群!$D:$D,COUNTA(生物种群!$D:$D)),),))))</f>
        <v/>
      </c>
      <c r="J541" s="37" t="str">
        <f>IF(A541&amp;B541&amp;C541="","",INDEX(生物种群!$J$2:INDEX(生物种群!$J:$J,COUNTA(生物种群!$J:$J)),MATCH($I541,生物种群!$B$2:INDEX(生物种群!$B:$B,COUNTA(生物种群!$B:$B)),),))</f>
        <v/>
      </c>
      <c r="K541" s="37" t="str">
        <f>IF(A541&amp;B541&amp;C541="","",INDEX(生物种群!$E$2:INDEX(生物种群!$E:$E,COUNTA(生物种群!$E:$E)),MATCH($I541,生物种群!$B$2:INDEX(生物种群!$B:$B,COUNTA(生物种群!$B:$B)),),))</f>
        <v/>
      </c>
      <c r="L541" s="37" t="str">
        <f>IF(A541&amp;B541&amp;C541="","",INDEX(生物种群!$F$3:INDEX(生物种群!$F:$F,COUNTA(生物种群!$F:$F)),MATCH($I541,生物种群!$B$3:INDEX(生物种群!$B:$B,COUNTA(生物种群!$B:$B)),),))</f>
        <v/>
      </c>
      <c r="M541" s="37" t="str">
        <f t="shared" si="16"/>
        <v/>
      </c>
      <c r="N541" s="37" t="str">
        <f t="shared" si="17"/>
        <v/>
      </c>
      <c r="O541" s="9"/>
      <c r="P541" s="10"/>
    </row>
    <row r="542" spans="1:16" ht="20.1" customHeight="1">
      <c r="A542" s="9"/>
      <c r="B542" s="9"/>
      <c r="C542" s="9"/>
      <c r="D542" s="43"/>
      <c r="E542" s="9"/>
      <c r="F542" s="9"/>
      <c r="G542" s="47" t="str">
        <f>IF(F542="","",INDEX(站位样品信息!$B$3:INDEX(站位样品信息!$B:$B,COUNTA(站位样品信息!$B:$B)+1),MATCH($F542,站位样品信息!$A$3:INDEX(站位样品信息!$A:$A,COUNTA(站位样品信息!$A:$A)+1),),))</f>
        <v/>
      </c>
      <c r="H542" s="37" t="str">
        <f>IF(A542&amp;B542&amp;C542="","",INDEX(生物种群!$A$2:INDEX(生物种群!$A:$A,COUNTA(生物种群!$A:$A)),MATCH($I542,生物种群!$B$2:INDEX(生物种群!$B:$B,COUNTA(生物种群!$B:$B)),),))</f>
        <v/>
      </c>
      <c r="I542" s="37" t="str">
        <f>IF(A542&amp;B542&amp;C542="","",IF($C542&lt;&gt;0,INDEX(生物种群!$B$2:INDEX(生物种群!$B:$B,COUNTA(生物种群!$B:$B)),MATCH($C542,生物种群!$G$2:INDEX(生物种群!$G:$G,COUNTA(生物种群!$G:$G)),),),IF($A542&lt;&gt;0,INDEX(生物种群!$B$2:INDEX(生物种群!$B:$B,COUNTA(生物种群!$B:$B)),MATCH($A542,生物种群!$C$2:INDEX(生物种群!$C:$C,COUNTA(生物种群!$C:$C)),),),INDEX(生物种群!$B$2:INDEX(生物种群!$B:$B,COUNTA(生物种群!$B:$B)),MATCH($B542,生物种群!$D$2:INDEX(生物种群!$D:$D,COUNTA(生物种群!$D:$D)),),))))</f>
        <v/>
      </c>
      <c r="J542" s="37" t="str">
        <f>IF(A542&amp;B542&amp;C542="","",INDEX(生物种群!$J$2:INDEX(生物种群!$J:$J,COUNTA(生物种群!$J:$J)),MATCH($I542,生物种群!$B$2:INDEX(生物种群!$B:$B,COUNTA(生物种群!$B:$B)),),))</f>
        <v/>
      </c>
      <c r="K542" s="37" t="str">
        <f>IF(A542&amp;B542&amp;C542="","",INDEX(生物种群!$E$2:INDEX(生物种群!$E:$E,COUNTA(生物种群!$E:$E)),MATCH($I542,生物种群!$B$2:INDEX(生物种群!$B:$B,COUNTA(生物种群!$B:$B)),),))</f>
        <v/>
      </c>
      <c r="L542" s="37" t="str">
        <f>IF(A542&amp;B542&amp;C542="","",INDEX(生物种群!$F$3:INDEX(生物种群!$F:$F,COUNTA(生物种群!$F:$F)),MATCH($I542,生物种群!$B$3:INDEX(生物种群!$B:$B,COUNTA(生物种群!$B:$B)),),))</f>
        <v/>
      </c>
      <c r="M542" s="37" t="str">
        <f t="shared" si="16"/>
        <v/>
      </c>
      <c r="N542" s="37" t="str">
        <f t="shared" si="17"/>
        <v/>
      </c>
      <c r="O542" s="9"/>
      <c r="P542" s="10"/>
    </row>
    <row r="543" spans="1:16" ht="20.1" customHeight="1">
      <c r="A543" s="9"/>
      <c r="B543" s="9"/>
      <c r="C543" s="9"/>
      <c r="D543" s="43"/>
      <c r="E543" s="9"/>
      <c r="F543" s="9"/>
      <c r="G543" s="47" t="str">
        <f>IF(F543="","",INDEX(站位样品信息!$B$3:INDEX(站位样品信息!$B:$B,COUNTA(站位样品信息!$B:$B)+1),MATCH($F543,站位样品信息!$A$3:INDEX(站位样品信息!$A:$A,COUNTA(站位样品信息!$A:$A)+1),),))</f>
        <v/>
      </c>
      <c r="H543" s="37" t="str">
        <f>IF(A543&amp;B543&amp;C543="","",INDEX(生物种群!$A$2:INDEX(生物种群!$A:$A,COUNTA(生物种群!$A:$A)),MATCH($I543,生物种群!$B$2:INDEX(生物种群!$B:$B,COUNTA(生物种群!$B:$B)),),))</f>
        <v/>
      </c>
      <c r="I543" s="37" t="str">
        <f>IF(A543&amp;B543&amp;C543="","",IF($C543&lt;&gt;0,INDEX(生物种群!$B$2:INDEX(生物种群!$B:$B,COUNTA(生物种群!$B:$B)),MATCH($C543,生物种群!$G$2:INDEX(生物种群!$G:$G,COUNTA(生物种群!$G:$G)),),),IF($A543&lt;&gt;0,INDEX(生物种群!$B$2:INDEX(生物种群!$B:$B,COUNTA(生物种群!$B:$B)),MATCH($A543,生物种群!$C$2:INDEX(生物种群!$C:$C,COUNTA(生物种群!$C:$C)),),),INDEX(生物种群!$B$2:INDEX(生物种群!$B:$B,COUNTA(生物种群!$B:$B)),MATCH($B543,生物种群!$D$2:INDEX(生物种群!$D:$D,COUNTA(生物种群!$D:$D)),),))))</f>
        <v/>
      </c>
      <c r="J543" s="37" t="str">
        <f>IF(A543&amp;B543&amp;C543="","",INDEX(生物种群!$J$2:INDEX(生物种群!$J:$J,COUNTA(生物种群!$J:$J)),MATCH($I543,生物种群!$B$2:INDEX(生物种群!$B:$B,COUNTA(生物种群!$B:$B)),),))</f>
        <v/>
      </c>
      <c r="K543" s="37" t="str">
        <f>IF(A543&amp;B543&amp;C543="","",INDEX(生物种群!$E$2:INDEX(生物种群!$E:$E,COUNTA(生物种群!$E:$E)),MATCH($I543,生物种群!$B$2:INDEX(生物种群!$B:$B,COUNTA(生物种群!$B:$B)),),))</f>
        <v/>
      </c>
      <c r="L543" s="37" t="str">
        <f>IF(A543&amp;B543&amp;C543="","",INDEX(生物种群!$F$3:INDEX(生物种群!$F:$F,COUNTA(生物种群!$F:$F)),MATCH($I543,生物种群!$B$3:INDEX(生物种群!$B:$B,COUNTA(生物种群!$B:$B)),),))</f>
        <v/>
      </c>
      <c r="M543" s="37" t="str">
        <f t="shared" si="16"/>
        <v/>
      </c>
      <c r="N543" s="37" t="str">
        <f t="shared" si="17"/>
        <v/>
      </c>
      <c r="O543" s="9"/>
      <c r="P543" s="10"/>
    </row>
    <row r="544" spans="1:16" ht="20.1" customHeight="1">
      <c r="A544" s="9"/>
      <c r="B544" s="9"/>
      <c r="C544" s="9"/>
      <c r="D544" s="43"/>
      <c r="E544" s="9"/>
      <c r="F544" s="9"/>
      <c r="G544" s="47" t="str">
        <f>IF(F544="","",INDEX(站位样品信息!$B$3:INDEX(站位样品信息!$B:$B,COUNTA(站位样品信息!$B:$B)+1),MATCH($F544,站位样品信息!$A$3:INDEX(站位样品信息!$A:$A,COUNTA(站位样品信息!$A:$A)+1),),))</f>
        <v/>
      </c>
      <c r="H544" s="37" t="str">
        <f>IF(A544&amp;B544&amp;C544="","",INDEX(生物种群!$A$2:INDEX(生物种群!$A:$A,COUNTA(生物种群!$A:$A)),MATCH($I544,生物种群!$B$2:INDEX(生物种群!$B:$B,COUNTA(生物种群!$B:$B)),),))</f>
        <v/>
      </c>
      <c r="I544" s="37" t="str">
        <f>IF(A544&amp;B544&amp;C544="","",IF($C544&lt;&gt;0,INDEX(生物种群!$B$2:INDEX(生物种群!$B:$B,COUNTA(生物种群!$B:$B)),MATCH($C544,生物种群!$G$2:INDEX(生物种群!$G:$G,COUNTA(生物种群!$G:$G)),),),IF($A544&lt;&gt;0,INDEX(生物种群!$B$2:INDEX(生物种群!$B:$B,COUNTA(生物种群!$B:$B)),MATCH($A544,生物种群!$C$2:INDEX(生物种群!$C:$C,COUNTA(生物种群!$C:$C)),),),INDEX(生物种群!$B$2:INDEX(生物种群!$B:$B,COUNTA(生物种群!$B:$B)),MATCH($B544,生物种群!$D$2:INDEX(生物种群!$D:$D,COUNTA(生物种群!$D:$D)),),))))</f>
        <v/>
      </c>
      <c r="J544" s="37" t="str">
        <f>IF(A544&amp;B544&amp;C544="","",INDEX(生物种群!$J$2:INDEX(生物种群!$J:$J,COUNTA(生物种群!$J:$J)),MATCH($I544,生物种群!$B$2:INDEX(生物种群!$B:$B,COUNTA(生物种群!$B:$B)),),))</f>
        <v/>
      </c>
      <c r="K544" s="37" t="str">
        <f>IF(A544&amp;B544&amp;C544="","",INDEX(生物种群!$E$2:INDEX(生物种群!$E:$E,COUNTA(生物种群!$E:$E)),MATCH($I544,生物种群!$B$2:INDEX(生物种群!$B:$B,COUNTA(生物种群!$B:$B)),),))</f>
        <v/>
      </c>
      <c r="L544" s="37" t="str">
        <f>IF(A544&amp;B544&amp;C544="","",INDEX(生物种群!$F$3:INDEX(生物种群!$F:$F,COUNTA(生物种群!$F:$F)),MATCH($I544,生物种群!$B$3:INDEX(生物种群!$B:$B,COUNTA(生物种群!$B:$B)),),))</f>
        <v/>
      </c>
      <c r="M544" s="37" t="str">
        <f t="shared" si="16"/>
        <v/>
      </c>
      <c r="N544" s="37" t="str">
        <f t="shared" si="17"/>
        <v/>
      </c>
      <c r="O544" s="9"/>
      <c r="P544" s="10"/>
    </row>
    <row r="545" spans="1:16" ht="20.1" customHeight="1">
      <c r="A545" s="9"/>
      <c r="B545" s="9"/>
      <c r="C545" s="9"/>
      <c r="D545" s="43"/>
      <c r="E545" s="9"/>
      <c r="F545" s="9"/>
      <c r="G545" s="47" t="str">
        <f>IF(F545="","",INDEX(站位样品信息!$B$3:INDEX(站位样品信息!$B:$B,COUNTA(站位样品信息!$B:$B)+1),MATCH($F545,站位样品信息!$A$3:INDEX(站位样品信息!$A:$A,COUNTA(站位样品信息!$A:$A)+1),),))</f>
        <v/>
      </c>
      <c r="H545" s="37" t="str">
        <f>IF(A545&amp;B545&amp;C545="","",INDEX(生物种群!$A$2:INDEX(生物种群!$A:$A,COUNTA(生物种群!$A:$A)),MATCH($I545,生物种群!$B$2:INDEX(生物种群!$B:$B,COUNTA(生物种群!$B:$B)),),))</f>
        <v/>
      </c>
      <c r="I545" s="37" t="str">
        <f>IF(A545&amp;B545&amp;C545="","",IF($C545&lt;&gt;0,INDEX(生物种群!$B$2:INDEX(生物种群!$B:$B,COUNTA(生物种群!$B:$B)),MATCH($C545,生物种群!$G$2:INDEX(生物种群!$G:$G,COUNTA(生物种群!$G:$G)),),),IF($A545&lt;&gt;0,INDEX(生物种群!$B$2:INDEX(生物种群!$B:$B,COUNTA(生物种群!$B:$B)),MATCH($A545,生物种群!$C$2:INDEX(生物种群!$C:$C,COUNTA(生物种群!$C:$C)),),),INDEX(生物种群!$B$2:INDEX(生物种群!$B:$B,COUNTA(生物种群!$B:$B)),MATCH($B545,生物种群!$D$2:INDEX(生物种群!$D:$D,COUNTA(生物种群!$D:$D)),),))))</f>
        <v/>
      </c>
      <c r="J545" s="37" t="str">
        <f>IF(A545&amp;B545&amp;C545="","",INDEX(生物种群!$J$2:INDEX(生物种群!$J:$J,COUNTA(生物种群!$J:$J)),MATCH($I545,生物种群!$B$2:INDEX(生物种群!$B:$B,COUNTA(生物种群!$B:$B)),),))</f>
        <v/>
      </c>
      <c r="K545" s="37" t="str">
        <f>IF(A545&amp;B545&amp;C545="","",INDEX(生物种群!$E$2:INDEX(生物种群!$E:$E,COUNTA(生物种群!$E:$E)),MATCH($I545,生物种群!$B$2:INDEX(生物种群!$B:$B,COUNTA(生物种群!$B:$B)),),))</f>
        <v/>
      </c>
      <c r="L545" s="37" t="str">
        <f>IF(A545&amp;B545&amp;C545="","",INDEX(生物种群!$F$3:INDEX(生物种群!$F:$F,COUNTA(生物种群!$F:$F)),MATCH($I545,生物种群!$B$3:INDEX(生物种群!$B:$B,COUNTA(生物种群!$B:$B)),),))</f>
        <v/>
      </c>
      <c r="M545" s="37" t="str">
        <f t="shared" si="16"/>
        <v/>
      </c>
      <c r="N545" s="37" t="str">
        <f t="shared" si="17"/>
        <v/>
      </c>
      <c r="O545" s="9"/>
      <c r="P545" s="10"/>
    </row>
    <row r="546" spans="1:16" ht="20.1" customHeight="1">
      <c r="A546" s="9"/>
      <c r="B546" s="9"/>
      <c r="C546" s="9"/>
      <c r="D546" s="43"/>
      <c r="E546" s="9"/>
      <c r="F546" s="9"/>
      <c r="G546" s="47" t="str">
        <f>IF(F546="","",INDEX(站位样品信息!$B$3:INDEX(站位样品信息!$B:$B,COUNTA(站位样品信息!$B:$B)+1),MATCH($F546,站位样品信息!$A$3:INDEX(站位样品信息!$A:$A,COUNTA(站位样品信息!$A:$A)+1),),))</f>
        <v/>
      </c>
      <c r="H546" s="37" t="str">
        <f>IF(A546&amp;B546&amp;C546="","",INDEX(生物种群!$A$2:INDEX(生物种群!$A:$A,COUNTA(生物种群!$A:$A)),MATCH($I546,生物种群!$B$2:INDEX(生物种群!$B:$B,COUNTA(生物种群!$B:$B)),),))</f>
        <v/>
      </c>
      <c r="I546" s="37" t="str">
        <f>IF(A546&amp;B546&amp;C546="","",IF($C546&lt;&gt;0,INDEX(生物种群!$B$2:INDEX(生物种群!$B:$B,COUNTA(生物种群!$B:$B)),MATCH($C546,生物种群!$G$2:INDEX(生物种群!$G:$G,COUNTA(生物种群!$G:$G)),),),IF($A546&lt;&gt;0,INDEX(生物种群!$B$2:INDEX(生物种群!$B:$B,COUNTA(生物种群!$B:$B)),MATCH($A546,生物种群!$C$2:INDEX(生物种群!$C:$C,COUNTA(生物种群!$C:$C)),),),INDEX(生物种群!$B$2:INDEX(生物种群!$B:$B,COUNTA(生物种群!$B:$B)),MATCH($B546,生物种群!$D$2:INDEX(生物种群!$D:$D,COUNTA(生物种群!$D:$D)),),))))</f>
        <v/>
      </c>
      <c r="J546" s="37" t="str">
        <f>IF(A546&amp;B546&amp;C546="","",INDEX(生物种群!$J$2:INDEX(生物种群!$J:$J,COUNTA(生物种群!$J:$J)),MATCH($I546,生物种群!$B$2:INDEX(生物种群!$B:$B,COUNTA(生物种群!$B:$B)),),))</f>
        <v/>
      </c>
      <c r="K546" s="37" t="str">
        <f>IF(A546&amp;B546&amp;C546="","",INDEX(生物种群!$E$2:INDEX(生物种群!$E:$E,COUNTA(生物种群!$E:$E)),MATCH($I546,生物种群!$B$2:INDEX(生物种群!$B:$B,COUNTA(生物种群!$B:$B)),),))</f>
        <v/>
      </c>
      <c r="L546" s="37" t="str">
        <f>IF(A546&amp;B546&amp;C546="","",INDEX(生物种群!$F$3:INDEX(生物种群!$F:$F,COUNTA(生物种群!$F:$F)),MATCH($I546,生物种群!$B$3:INDEX(生物种群!$B:$B,COUNTA(生物种群!$B:$B)),),))</f>
        <v/>
      </c>
      <c r="M546" s="37" t="str">
        <f t="shared" si="16"/>
        <v/>
      </c>
      <c r="N546" s="37" t="str">
        <f t="shared" si="17"/>
        <v/>
      </c>
      <c r="O546" s="9"/>
      <c r="P546" s="10"/>
    </row>
    <row r="547" spans="1:16" ht="20.1" customHeight="1">
      <c r="A547" s="9"/>
      <c r="B547" s="9"/>
      <c r="C547" s="9"/>
      <c r="D547" s="43"/>
      <c r="E547" s="9"/>
      <c r="F547" s="9"/>
      <c r="G547" s="47" t="str">
        <f>IF(F547="","",INDEX(站位样品信息!$B$3:INDEX(站位样品信息!$B:$B,COUNTA(站位样品信息!$B:$B)+1),MATCH($F547,站位样品信息!$A$3:INDEX(站位样品信息!$A:$A,COUNTA(站位样品信息!$A:$A)+1),),))</f>
        <v/>
      </c>
      <c r="H547" s="37" t="str">
        <f>IF(A547&amp;B547&amp;C547="","",INDEX(生物种群!$A$2:INDEX(生物种群!$A:$A,COUNTA(生物种群!$A:$A)),MATCH($I547,生物种群!$B$2:INDEX(生物种群!$B:$B,COUNTA(生物种群!$B:$B)),),))</f>
        <v/>
      </c>
      <c r="I547" s="37" t="str">
        <f>IF(A547&amp;B547&amp;C547="","",IF($C547&lt;&gt;0,INDEX(生物种群!$B$2:INDEX(生物种群!$B:$B,COUNTA(生物种群!$B:$B)),MATCH($C547,生物种群!$G$2:INDEX(生物种群!$G:$G,COUNTA(生物种群!$G:$G)),),),IF($A547&lt;&gt;0,INDEX(生物种群!$B$2:INDEX(生物种群!$B:$B,COUNTA(生物种群!$B:$B)),MATCH($A547,生物种群!$C$2:INDEX(生物种群!$C:$C,COUNTA(生物种群!$C:$C)),),),INDEX(生物种群!$B$2:INDEX(生物种群!$B:$B,COUNTA(生物种群!$B:$B)),MATCH($B547,生物种群!$D$2:INDEX(生物种群!$D:$D,COUNTA(生物种群!$D:$D)),),))))</f>
        <v/>
      </c>
      <c r="J547" s="37" t="str">
        <f>IF(A547&amp;B547&amp;C547="","",INDEX(生物种群!$J$2:INDEX(生物种群!$J:$J,COUNTA(生物种群!$J:$J)),MATCH($I547,生物种群!$B$2:INDEX(生物种群!$B:$B,COUNTA(生物种群!$B:$B)),),))</f>
        <v/>
      </c>
      <c r="K547" s="37" t="str">
        <f>IF(A547&amp;B547&amp;C547="","",INDEX(生物种群!$E$2:INDEX(生物种群!$E:$E,COUNTA(生物种群!$E:$E)),MATCH($I547,生物种群!$B$2:INDEX(生物种群!$B:$B,COUNTA(生物种群!$B:$B)),),))</f>
        <v/>
      </c>
      <c r="L547" s="37" t="str">
        <f>IF(A547&amp;B547&amp;C547="","",INDEX(生物种群!$F$3:INDEX(生物种群!$F:$F,COUNTA(生物种群!$F:$F)),MATCH($I547,生物种群!$B$3:INDEX(生物种群!$B:$B,COUNTA(生物种群!$B:$B)),),))</f>
        <v/>
      </c>
      <c r="M547" s="37" t="str">
        <f t="shared" si="16"/>
        <v/>
      </c>
      <c r="N547" s="37" t="str">
        <f t="shared" si="17"/>
        <v/>
      </c>
      <c r="O547" s="9"/>
      <c r="P547" s="10"/>
    </row>
    <row r="548" spans="1:16" ht="20.1" customHeight="1">
      <c r="A548" s="9"/>
      <c r="B548" s="9"/>
      <c r="C548" s="9"/>
      <c r="D548" s="43"/>
      <c r="E548" s="9"/>
      <c r="F548" s="9"/>
      <c r="G548" s="47" t="str">
        <f>IF(F548="","",INDEX(站位样品信息!$B$3:INDEX(站位样品信息!$B:$B,COUNTA(站位样品信息!$B:$B)+1),MATCH($F548,站位样品信息!$A$3:INDEX(站位样品信息!$A:$A,COUNTA(站位样品信息!$A:$A)+1),),))</f>
        <v/>
      </c>
      <c r="H548" s="37" t="str">
        <f>IF(A548&amp;B548&amp;C548="","",INDEX(生物种群!$A$2:INDEX(生物种群!$A:$A,COUNTA(生物种群!$A:$A)),MATCH($I548,生物种群!$B$2:INDEX(生物种群!$B:$B,COUNTA(生物种群!$B:$B)),),))</f>
        <v/>
      </c>
      <c r="I548" s="37" t="str">
        <f>IF(A548&amp;B548&amp;C548="","",IF($C548&lt;&gt;0,INDEX(生物种群!$B$2:INDEX(生物种群!$B:$B,COUNTA(生物种群!$B:$B)),MATCH($C548,生物种群!$G$2:INDEX(生物种群!$G:$G,COUNTA(生物种群!$G:$G)),),),IF($A548&lt;&gt;0,INDEX(生物种群!$B$2:INDEX(生物种群!$B:$B,COUNTA(生物种群!$B:$B)),MATCH($A548,生物种群!$C$2:INDEX(生物种群!$C:$C,COUNTA(生物种群!$C:$C)),),),INDEX(生物种群!$B$2:INDEX(生物种群!$B:$B,COUNTA(生物种群!$B:$B)),MATCH($B548,生物种群!$D$2:INDEX(生物种群!$D:$D,COUNTA(生物种群!$D:$D)),),))))</f>
        <v/>
      </c>
      <c r="J548" s="37" t="str">
        <f>IF(A548&amp;B548&amp;C548="","",INDEX(生物种群!$J$2:INDEX(生物种群!$J:$J,COUNTA(生物种群!$J:$J)),MATCH($I548,生物种群!$B$2:INDEX(生物种群!$B:$B,COUNTA(生物种群!$B:$B)),),))</f>
        <v/>
      </c>
      <c r="K548" s="37" t="str">
        <f>IF(A548&amp;B548&amp;C548="","",INDEX(生物种群!$E$2:INDEX(生物种群!$E:$E,COUNTA(生物种群!$E:$E)),MATCH($I548,生物种群!$B$2:INDEX(生物种群!$B:$B,COUNTA(生物种群!$B:$B)),),))</f>
        <v/>
      </c>
      <c r="L548" s="37" t="str">
        <f>IF(A548&amp;B548&amp;C548="","",INDEX(生物种群!$F$3:INDEX(生物种群!$F:$F,COUNTA(生物种群!$F:$F)),MATCH($I548,生物种群!$B$3:INDEX(生物种群!$B:$B,COUNTA(生物种群!$B:$B)),),))</f>
        <v/>
      </c>
      <c r="M548" s="37" t="str">
        <f t="shared" si="16"/>
        <v/>
      </c>
      <c r="N548" s="37" t="str">
        <f t="shared" si="17"/>
        <v/>
      </c>
      <c r="O548" s="9"/>
      <c r="P548" s="10"/>
    </row>
    <row r="549" spans="1:16" ht="20.1" customHeight="1">
      <c r="A549" s="9"/>
      <c r="B549" s="9"/>
      <c r="C549" s="9"/>
      <c r="D549" s="43"/>
      <c r="E549" s="9"/>
      <c r="F549" s="9"/>
      <c r="G549" s="47" t="str">
        <f>IF(F549="","",INDEX(站位样品信息!$B$3:INDEX(站位样品信息!$B:$B,COUNTA(站位样品信息!$B:$B)+1),MATCH($F549,站位样品信息!$A$3:INDEX(站位样品信息!$A:$A,COUNTA(站位样品信息!$A:$A)+1),),))</f>
        <v/>
      </c>
      <c r="H549" s="37" t="str">
        <f>IF(A549&amp;B549&amp;C549="","",INDEX(生物种群!$A$2:INDEX(生物种群!$A:$A,COUNTA(生物种群!$A:$A)),MATCH($I549,生物种群!$B$2:INDEX(生物种群!$B:$B,COUNTA(生物种群!$B:$B)),),))</f>
        <v/>
      </c>
      <c r="I549" s="37" t="str">
        <f>IF(A549&amp;B549&amp;C549="","",IF($C549&lt;&gt;0,INDEX(生物种群!$B$2:INDEX(生物种群!$B:$B,COUNTA(生物种群!$B:$B)),MATCH($C549,生物种群!$G$2:INDEX(生物种群!$G:$G,COUNTA(生物种群!$G:$G)),),),IF($A549&lt;&gt;0,INDEX(生物种群!$B$2:INDEX(生物种群!$B:$B,COUNTA(生物种群!$B:$B)),MATCH($A549,生物种群!$C$2:INDEX(生物种群!$C:$C,COUNTA(生物种群!$C:$C)),),),INDEX(生物种群!$B$2:INDEX(生物种群!$B:$B,COUNTA(生物种群!$B:$B)),MATCH($B549,生物种群!$D$2:INDEX(生物种群!$D:$D,COUNTA(生物种群!$D:$D)),),))))</f>
        <v/>
      </c>
      <c r="J549" s="37" t="str">
        <f>IF(A549&amp;B549&amp;C549="","",INDEX(生物种群!$J$2:INDEX(生物种群!$J:$J,COUNTA(生物种群!$J:$J)),MATCH($I549,生物种群!$B$2:INDEX(生物种群!$B:$B,COUNTA(生物种群!$B:$B)),),))</f>
        <v/>
      </c>
      <c r="K549" s="37" t="str">
        <f>IF(A549&amp;B549&amp;C549="","",INDEX(生物种群!$E$2:INDEX(生物种群!$E:$E,COUNTA(生物种群!$E:$E)),MATCH($I549,生物种群!$B$2:INDEX(生物种群!$B:$B,COUNTA(生物种群!$B:$B)),),))</f>
        <v/>
      </c>
      <c r="L549" s="37" t="str">
        <f>IF(A549&amp;B549&amp;C549="","",INDEX(生物种群!$F$3:INDEX(生物种群!$F:$F,COUNTA(生物种群!$F:$F)),MATCH($I549,生物种群!$B$3:INDEX(生物种群!$B:$B,COUNTA(生物种群!$B:$B)),),))</f>
        <v/>
      </c>
      <c r="M549" s="37" t="str">
        <f t="shared" si="16"/>
        <v/>
      </c>
      <c r="N549" s="37" t="str">
        <f t="shared" si="17"/>
        <v/>
      </c>
      <c r="O549" s="9"/>
      <c r="P549" s="10"/>
    </row>
    <row r="550" spans="1:16" ht="20.1" customHeight="1">
      <c r="A550" s="9"/>
      <c r="B550" s="9"/>
      <c r="C550" s="9"/>
      <c r="D550" s="43"/>
      <c r="E550" s="9"/>
      <c r="F550" s="9"/>
      <c r="G550" s="47" t="str">
        <f>IF(F550="","",INDEX(站位样品信息!$B$3:INDEX(站位样品信息!$B:$B,COUNTA(站位样品信息!$B:$B)+1),MATCH($F550,站位样品信息!$A$3:INDEX(站位样品信息!$A:$A,COUNTA(站位样品信息!$A:$A)+1),),))</f>
        <v/>
      </c>
      <c r="H550" s="37" t="str">
        <f>IF(A550&amp;B550&amp;C550="","",INDEX(生物种群!$A$2:INDEX(生物种群!$A:$A,COUNTA(生物种群!$A:$A)),MATCH($I550,生物种群!$B$2:INDEX(生物种群!$B:$B,COUNTA(生物种群!$B:$B)),),))</f>
        <v/>
      </c>
      <c r="I550" s="37" t="str">
        <f>IF(A550&amp;B550&amp;C550="","",IF($C550&lt;&gt;0,INDEX(生物种群!$B$2:INDEX(生物种群!$B:$B,COUNTA(生物种群!$B:$B)),MATCH($C550,生物种群!$G$2:INDEX(生物种群!$G:$G,COUNTA(生物种群!$G:$G)),),),IF($A550&lt;&gt;0,INDEX(生物种群!$B$2:INDEX(生物种群!$B:$B,COUNTA(生物种群!$B:$B)),MATCH($A550,生物种群!$C$2:INDEX(生物种群!$C:$C,COUNTA(生物种群!$C:$C)),),),INDEX(生物种群!$B$2:INDEX(生物种群!$B:$B,COUNTA(生物种群!$B:$B)),MATCH($B550,生物种群!$D$2:INDEX(生物种群!$D:$D,COUNTA(生物种群!$D:$D)),),))))</f>
        <v/>
      </c>
      <c r="J550" s="37" t="str">
        <f>IF(A550&amp;B550&amp;C550="","",INDEX(生物种群!$J$2:INDEX(生物种群!$J:$J,COUNTA(生物种群!$J:$J)),MATCH($I550,生物种群!$B$2:INDEX(生物种群!$B:$B,COUNTA(生物种群!$B:$B)),),))</f>
        <v/>
      </c>
      <c r="K550" s="37" t="str">
        <f>IF(A550&amp;B550&amp;C550="","",INDEX(生物种群!$E$2:INDEX(生物种群!$E:$E,COUNTA(生物种群!$E:$E)),MATCH($I550,生物种群!$B$2:INDEX(生物种群!$B:$B,COUNTA(生物种群!$B:$B)),),))</f>
        <v/>
      </c>
      <c r="L550" s="37" t="str">
        <f>IF(A550&amp;B550&amp;C550="","",INDEX(生物种群!$F$3:INDEX(生物种群!$F:$F,COUNTA(生物种群!$F:$F)),MATCH($I550,生物种群!$B$3:INDEX(生物种群!$B:$B,COUNTA(生物种群!$B:$B)),),))</f>
        <v/>
      </c>
      <c r="M550" s="37" t="str">
        <f t="shared" si="16"/>
        <v/>
      </c>
      <c r="N550" s="37" t="str">
        <f t="shared" si="17"/>
        <v/>
      </c>
      <c r="O550" s="9"/>
      <c r="P550" s="10"/>
    </row>
    <row r="551" spans="1:16" ht="20.1" customHeight="1">
      <c r="A551" s="9"/>
      <c r="B551" s="9"/>
      <c r="C551" s="9"/>
      <c r="D551" s="43"/>
      <c r="E551" s="9"/>
      <c r="F551" s="9"/>
      <c r="G551" s="47" t="str">
        <f>IF(F551="","",INDEX(站位样品信息!$B$3:INDEX(站位样品信息!$B:$B,COUNTA(站位样品信息!$B:$B)+1),MATCH($F551,站位样品信息!$A$3:INDEX(站位样品信息!$A:$A,COUNTA(站位样品信息!$A:$A)+1),),))</f>
        <v/>
      </c>
      <c r="H551" s="37" t="str">
        <f>IF(A551&amp;B551&amp;C551="","",INDEX(生物种群!$A$2:INDEX(生物种群!$A:$A,COUNTA(生物种群!$A:$A)),MATCH($I551,生物种群!$B$2:INDEX(生物种群!$B:$B,COUNTA(生物种群!$B:$B)),),))</f>
        <v/>
      </c>
      <c r="I551" s="37" t="str">
        <f>IF(A551&amp;B551&amp;C551="","",IF($C551&lt;&gt;0,INDEX(生物种群!$B$2:INDEX(生物种群!$B:$B,COUNTA(生物种群!$B:$B)),MATCH($C551,生物种群!$G$2:INDEX(生物种群!$G:$G,COUNTA(生物种群!$G:$G)),),),IF($A551&lt;&gt;0,INDEX(生物种群!$B$2:INDEX(生物种群!$B:$B,COUNTA(生物种群!$B:$B)),MATCH($A551,生物种群!$C$2:INDEX(生物种群!$C:$C,COUNTA(生物种群!$C:$C)),),),INDEX(生物种群!$B$2:INDEX(生物种群!$B:$B,COUNTA(生物种群!$B:$B)),MATCH($B551,生物种群!$D$2:INDEX(生物种群!$D:$D,COUNTA(生物种群!$D:$D)),),))))</f>
        <v/>
      </c>
      <c r="J551" s="37" t="str">
        <f>IF(A551&amp;B551&amp;C551="","",INDEX(生物种群!$J$2:INDEX(生物种群!$J:$J,COUNTA(生物种群!$J:$J)),MATCH($I551,生物种群!$B$2:INDEX(生物种群!$B:$B,COUNTA(生物种群!$B:$B)),),))</f>
        <v/>
      </c>
      <c r="K551" s="37" t="str">
        <f>IF(A551&amp;B551&amp;C551="","",INDEX(生物种群!$E$2:INDEX(生物种群!$E:$E,COUNTA(生物种群!$E:$E)),MATCH($I551,生物种群!$B$2:INDEX(生物种群!$B:$B,COUNTA(生物种群!$B:$B)),),))</f>
        <v/>
      </c>
      <c r="L551" s="37" t="str">
        <f>IF(A551&amp;B551&amp;C551="","",INDEX(生物种群!$F$3:INDEX(生物种群!$F:$F,COUNTA(生物种群!$F:$F)),MATCH($I551,生物种群!$B$3:INDEX(生物种群!$B:$B,COUNTA(生物种群!$B:$B)),),))</f>
        <v/>
      </c>
      <c r="M551" s="37" t="str">
        <f t="shared" si="16"/>
        <v/>
      </c>
      <c r="N551" s="37" t="str">
        <f t="shared" si="17"/>
        <v/>
      </c>
      <c r="O551" s="9"/>
      <c r="P551" s="10"/>
    </row>
    <row r="552" spans="1:16" ht="20.1" customHeight="1">
      <c r="A552" s="9"/>
      <c r="B552" s="9"/>
      <c r="C552" s="9"/>
      <c r="D552" s="43"/>
      <c r="E552" s="9"/>
      <c r="F552" s="9"/>
      <c r="G552" s="47" t="str">
        <f>IF(F552="","",INDEX(站位样品信息!$B$3:INDEX(站位样品信息!$B:$B,COUNTA(站位样品信息!$B:$B)+1),MATCH($F552,站位样品信息!$A$3:INDEX(站位样品信息!$A:$A,COUNTA(站位样品信息!$A:$A)+1),),))</f>
        <v/>
      </c>
      <c r="H552" s="37" t="str">
        <f>IF(A552&amp;B552&amp;C552="","",INDEX(生物种群!$A$2:INDEX(生物种群!$A:$A,COUNTA(生物种群!$A:$A)),MATCH($I552,生物种群!$B$2:INDEX(生物种群!$B:$B,COUNTA(生物种群!$B:$B)),),))</f>
        <v/>
      </c>
      <c r="I552" s="37" t="str">
        <f>IF(A552&amp;B552&amp;C552="","",IF($C552&lt;&gt;0,INDEX(生物种群!$B$2:INDEX(生物种群!$B:$B,COUNTA(生物种群!$B:$B)),MATCH($C552,生物种群!$G$2:INDEX(生物种群!$G:$G,COUNTA(生物种群!$G:$G)),),),IF($A552&lt;&gt;0,INDEX(生物种群!$B$2:INDEX(生物种群!$B:$B,COUNTA(生物种群!$B:$B)),MATCH($A552,生物种群!$C$2:INDEX(生物种群!$C:$C,COUNTA(生物种群!$C:$C)),),),INDEX(生物种群!$B$2:INDEX(生物种群!$B:$B,COUNTA(生物种群!$B:$B)),MATCH($B552,生物种群!$D$2:INDEX(生物种群!$D:$D,COUNTA(生物种群!$D:$D)),),))))</f>
        <v/>
      </c>
      <c r="J552" s="37" t="str">
        <f>IF(A552&amp;B552&amp;C552="","",INDEX(生物种群!$J$2:INDEX(生物种群!$J:$J,COUNTA(生物种群!$J:$J)),MATCH($I552,生物种群!$B$2:INDEX(生物种群!$B:$B,COUNTA(生物种群!$B:$B)),),))</f>
        <v/>
      </c>
      <c r="K552" s="37" t="str">
        <f>IF(A552&amp;B552&amp;C552="","",INDEX(生物种群!$E$2:INDEX(生物种群!$E:$E,COUNTA(生物种群!$E:$E)),MATCH($I552,生物种群!$B$2:INDEX(生物种群!$B:$B,COUNTA(生物种群!$B:$B)),),))</f>
        <v/>
      </c>
      <c r="L552" s="37" t="str">
        <f>IF(A552&amp;B552&amp;C552="","",INDEX(生物种群!$F$3:INDEX(生物种群!$F:$F,COUNTA(生物种群!$F:$F)),MATCH($I552,生物种群!$B$3:INDEX(生物种群!$B:$B,COUNTA(生物种群!$B:$B)),),))</f>
        <v/>
      </c>
      <c r="M552" s="37" t="str">
        <f t="shared" si="16"/>
        <v/>
      </c>
      <c r="N552" s="37" t="str">
        <f t="shared" si="17"/>
        <v/>
      </c>
      <c r="O552" s="9"/>
      <c r="P552" s="10"/>
    </row>
    <row r="553" spans="1:16" ht="20.1" customHeight="1">
      <c r="A553" s="9"/>
      <c r="B553" s="9"/>
      <c r="C553" s="9"/>
      <c r="D553" s="43"/>
      <c r="E553" s="9"/>
      <c r="F553" s="9"/>
      <c r="G553" s="47" t="str">
        <f>IF(F553="","",INDEX(站位样品信息!$B$3:INDEX(站位样品信息!$B:$B,COUNTA(站位样品信息!$B:$B)+1),MATCH($F553,站位样品信息!$A$3:INDEX(站位样品信息!$A:$A,COUNTA(站位样品信息!$A:$A)+1),),))</f>
        <v/>
      </c>
      <c r="H553" s="37" t="str">
        <f>IF(A553&amp;B553&amp;C553="","",INDEX(生物种群!$A$2:INDEX(生物种群!$A:$A,COUNTA(生物种群!$A:$A)),MATCH($I553,生物种群!$B$2:INDEX(生物种群!$B:$B,COUNTA(生物种群!$B:$B)),),))</f>
        <v/>
      </c>
      <c r="I553" s="37" t="str">
        <f>IF(A553&amp;B553&amp;C553="","",IF($C553&lt;&gt;0,INDEX(生物种群!$B$2:INDEX(生物种群!$B:$B,COUNTA(生物种群!$B:$B)),MATCH($C553,生物种群!$G$2:INDEX(生物种群!$G:$G,COUNTA(生物种群!$G:$G)),),),IF($A553&lt;&gt;0,INDEX(生物种群!$B$2:INDEX(生物种群!$B:$B,COUNTA(生物种群!$B:$B)),MATCH($A553,生物种群!$C$2:INDEX(生物种群!$C:$C,COUNTA(生物种群!$C:$C)),),),INDEX(生物种群!$B$2:INDEX(生物种群!$B:$B,COUNTA(生物种群!$B:$B)),MATCH($B553,生物种群!$D$2:INDEX(生物种群!$D:$D,COUNTA(生物种群!$D:$D)),),))))</f>
        <v/>
      </c>
      <c r="J553" s="37" t="str">
        <f>IF(A553&amp;B553&amp;C553="","",INDEX(生物种群!$J$2:INDEX(生物种群!$J:$J,COUNTA(生物种群!$J:$J)),MATCH($I553,生物种群!$B$2:INDEX(生物种群!$B:$B,COUNTA(生物种群!$B:$B)),),))</f>
        <v/>
      </c>
      <c r="K553" s="37" t="str">
        <f>IF(A553&amp;B553&amp;C553="","",INDEX(生物种群!$E$2:INDEX(生物种群!$E:$E,COUNTA(生物种群!$E:$E)),MATCH($I553,生物种群!$B$2:INDEX(生物种群!$B:$B,COUNTA(生物种群!$B:$B)),),))</f>
        <v/>
      </c>
      <c r="L553" s="37" t="str">
        <f>IF(A553&amp;B553&amp;C553="","",INDEX(生物种群!$F$3:INDEX(生物种群!$F:$F,COUNTA(生物种群!$F:$F)),MATCH($I553,生物种群!$B$3:INDEX(生物种群!$B:$B,COUNTA(生物种群!$B:$B)),),))</f>
        <v/>
      </c>
      <c r="M553" s="37" t="str">
        <f t="shared" si="16"/>
        <v/>
      </c>
      <c r="N553" s="37" t="str">
        <f t="shared" si="17"/>
        <v/>
      </c>
      <c r="O553" s="9"/>
      <c r="P553" s="10"/>
    </row>
    <row r="554" spans="1:16" ht="20.1" customHeight="1">
      <c r="A554" s="9"/>
      <c r="B554" s="9"/>
      <c r="C554" s="9"/>
      <c r="D554" s="43"/>
      <c r="E554" s="9"/>
      <c r="F554" s="9"/>
      <c r="G554" s="47" t="str">
        <f>IF(F554="","",INDEX(站位样品信息!$B$3:INDEX(站位样品信息!$B:$B,COUNTA(站位样品信息!$B:$B)+1),MATCH($F554,站位样品信息!$A$3:INDEX(站位样品信息!$A:$A,COUNTA(站位样品信息!$A:$A)+1),),))</f>
        <v/>
      </c>
      <c r="H554" s="37" t="str">
        <f>IF(A554&amp;B554&amp;C554="","",INDEX(生物种群!$A$2:INDEX(生物种群!$A:$A,COUNTA(生物种群!$A:$A)),MATCH($I554,生物种群!$B$2:INDEX(生物种群!$B:$B,COUNTA(生物种群!$B:$B)),),))</f>
        <v/>
      </c>
      <c r="I554" s="37" t="str">
        <f>IF(A554&amp;B554&amp;C554="","",IF($C554&lt;&gt;0,INDEX(生物种群!$B$2:INDEX(生物种群!$B:$B,COUNTA(生物种群!$B:$B)),MATCH($C554,生物种群!$G$2:INDEX(生物种群!$G:$G,COUNTA(生物种群!$G:$G)),),),IF($A554&lt;&gt;0,INDEX(生物种群!$B$2:INDEX(生物种群!$B:$B,COUNTA(生物种群!$B:$B)),MATCH($A554,生物种群!$C$2:INDEX(生物种群!$C:$C,COUNTA(生物种群!$C:$C)),),),INDEX(生物种群!$B$2:INDEX(生物种群!$B:$B,COUNTA(生物种群!$B:$B)),MATCH($B554,生物种群!$D$2:INDEX(生物种群!$D:$D,COUNTA(生物种群!$D:$D)),),))))</f>
        <v/>
      </c>
      <c r="J554" s="37" t="str">
        <f>IF(A554&amp;B554&amp;C554="","",INDEX(生物种群!$J$2:INDEX(生物种群!$J:$J,COUNTA(生物种群!$J:$J)),MATCH($I554,生物种群!$B$2:INDEX(生物种群!$B:$B,COUNTA(生物种群!$B:$B)),),))</f>
        <v/>
      </c>
      <c r="K554" s="37" t="str">
        <f>IF(A554&amp;B554&amp;C554="","",INDEX(生物种群!$E$2:INDEX(生物种群!$E:$E,COUNTA(生物种群!$E:$E)),MATCH($I554,生物种群!$B$2:INDEX(生物种群!$B:$B,COUNTA(生物种群!$B:$B)),),))</f>
        <v/>
      </c>
      <c r="L554" s="37" t="str">
        <f>IF(A554&amp;B554&amp;C554="","",INDEX(生物种群!$F$3:INDEX(生物种群!$F:$F,COUNTA(生物种群!$F:$F)),MATCH($I554,生物种群!$B$3:INDEX(生物种群!$B:$B,COUNTA(生物种群!$B:$B)),),))</f>
        <v/>
      </c>
      <c r="M554" s="37" t="str">
        <f t="shared" si="16"/>
        <v/>
      </c>
      <c r="N554" s="37" t="str">
        <f t="shared" si="17"/>
        <v/>
      </c>
      <c r="O554" s="9"/>
      <c r="P554" s="10"/>
    </row>
    <row r="555" spans="1:16" ht="20.1" customHeight="1">
      <c r="A555" s="9"/>
      <c r="B555" s="9"/>
      <c r="C555" s="9"/>
      <c r="D555" s="43"/>
      <c r="E555" s="9"/>
      <c r="F555" s="9"/>
      <c r="G555" s="47" t="str">
        <f>IF(F555="","",INDEX(站位样品信息!$B$3:INDEX(站位样品信息!$B:$B,COUNTA(站位样品信息!$B:$B)+1),MATCH($F555,站位样品信息!$A$3:INDEX(站位样品信息!$A:$A,COUNTA(站位样品信息!$A:$A)+1),),))</f>
        <v/>
      </c>
      <c r="H555" s="37" t="str">
        <f>IF(A555&amp;B555&amp;C555="","",INDEX(生物种群!$A$2:INDEX(生物种群!$A:$A,COUNTA(生物种群!$A:$A)),MATCH($I555,生物种群!$B$2:INDEX(生物种群!$B:$B,COUNTA(生物种群!$B:$B)),),))</f>
        <v/>
      </c>
      <c r="I555" s="37" t="str">
        <f>IF(A555&amp;B555&amp;C555="","",IF($C555&lt;&gt;0,INDEX(生物种群!$B$2:INDEX(生物种群!$B:$B,COUNTA(生物种群!$B:$B)),MATCH($C555,生物种群!$G$2:INDEX(生物种群!$G:$G,COUNTA(生物种群!$G:$G)),),),IF($A555&lt;&gt;0,INDEX(生物种群!$B$2:INDEX(生物种群!$B:$B,COUNTA(生物种群!$B:$B)),MATCH($A555,生物种群!$C$2:INDEX(生物种群!$C:$C,COUNTA(生物种群!$C:$C)),),),INDEX(生物种群!$B$2:INDEX(生物种群!$B:$B,COUNTA(生物种群!$B:$B)),MATCH($B555,生物种群!$D$2:INDEX(生物种群!$D:$D,COUNTA(生物种群!$D:$D)),),))))</f>
        <v/>
      </c>
      <c r="J555" s="37" t="str">
        <f>IF(A555&amp;B555&amp;C555="","",INDEX(生物种群!$J$2:INDEX(生物种群!$J:$J,COUNTA(生物种群!$J:$J)),MATCH($I555,生物种群!$B$2:INDEX(生物种群!$B:$B,COUNTA(生物种群!$B:$B)),),))</f>
        <v/>
      </c>
      <c r="K555" s="37" t="str">
        <f>IF(A555&amp;B555&amp;C555="","",INDEX(生物种群!$E$2:INDEX(生物种群!$E:$E,COUNTA(生物种群!$E:$E)),MATCH($I555,生物种群!$B$2:INDEX(生物种群!$B:$B,COUNTA(生物种群!$B:$B)),),))</f>
        <v/>
      </c>
      <c r="L555" s="37" t="str">
        <f>IF(A555&amp;B555&amp;C555="","",INDEX(生物种群!$F$3:INDEX(生物种群!$F:$F,COUNTA(生物种群!$F:$F)),MATCH($I555,生物种群!$B$3:INDEX(生物种群!$B:$B,COUNTA(生物种群!$B:$B)),),))</f>
        <v/>
      </c>
      <c r="M555" s="37" t="str">
        <f t="shared" si="16"/>
        <v/>
      </c>
      <c r="N555" s="37" t="str">
        <f t="shared" si="17"/>
        <v/>
      </c>
      <c r="O555" s="9"/>
      <c r="P555" s="10"/>
    </row>
    <row r="556" spans="1:16" ht="20.1" customHeight="1">
      <c r="A556" s="9"/>
      <c r="B556" s="9"/>
      <c r="C556" s="9"/>
      <c r="D556" s="43"/>
      <c r="E556" s="9"/>
      <c r="F556" s="9"/>
      <c r="G556" s="47" t="str">
        <f>IF(F556="","",INDEX(站位样品信息!$B$3:INDEX(站位样品信息!$B:$B,COUNTA(站位样品信息!$B:$B)+1),MATCH($F556,站位样品信息!$A$3:INDEX(站位样品信息!$A:$A,COUNTA(站位样品信息!$A:$A)+1),),))</f>
        <v/>
      </c>
      <c r="H556" s="37" t="str">
        <f>IF(A556&amp;B556&amp;C556="","",INDEX(生物种群!$A$2:INDEX(生物种群!$A:$A,COUNTA(生物种群!$A:$A)),MATCH($I556,生物种群!$B$2:INDEX(生物种群!$B:$B,COUNTA(生物种群!$B:$B)),),))</f>
        <v/>
      </c>
      <c r="I556" s="37" t="str">
        <f>IF(A556&amp;B556&amp;C556="","",IF($C556&lt;&gt;0,INDEX(生物种群!$B$2:INDEX(生物种群!$B:$B,COUNTA(生物种群!$B:$B)),MATCH($C556,生物种群!$G$2:INDEX(生物种群!$G:$G,COUNTA(生物种群!$G:$G)),),),IF($A556&lt;&gt;0,INDEX(生物种群!$B$2:INDEX(生物种群!$B:$B,COUNTA(生物种群!$B:$B)),MATCH($A556,生物种群!$C$2:INDEX(生物种群!$C:$C,COUNTA(生物种群!$C:$C)),),),INDEX(生物种群!$B$2:INDEX(生物种群!$B:$B,COUNTA(生物种群!$B:$B)),MATCH($B556,生物种群!$D$2:INDEX(生物种群!$D:$D,COUNTA(生物种群!$D:$D)),),))))</f>
        <v/>
      </c>
      <c r="J556" s="37" t="str">
        <f>IF(A556&amp;B556&amp;C556="","",INDEX(生物种群!$J$2:INDEX(生物种群!$J:$J,COUNTA(生物种群!$J:$J)),MATCH($I556,生物种群!$B$2:INDEX(生物种群!$B:$B,COUNTA(生物种群!$B:$B)),),))</f>
        <v/>
      </c>
      <c r="K556" s="37" t="str">
        <f>IF(A556&amp;B556&amp;C556="","",INDEX(生物种群!$E$2:INDEX(生物种群!$E:$E,COUNTA(生物种群!$E:$E)),MATCH($I556,生物种群!$B$2:INDEX(生物种群!$B:$B,COUNTA(生物种群!$B:$B)),),))</f>
        <v/>
      </c>
      <c r="L556" s="37" t="str">
        <f>IF(A556&amp;B556&amp;C556="","",INDEX(生物种群!$F$3:INDEX(生物种群!$F:$F,COUNTA(生物种群!$F:$F)),MATCH($I556,生物种群!$B$3:INDEX(生物种群!$B:$B,COUNTA(生物种群!$B:$B)),),))</f>
        <v/>
      </c>
      <c r="M556" s="37" t="str">
        <f t="shared" si="16"/>
        <v/>
      </c>
      <c r="N556" s="37" t="str">
        <f t="shared" si="17"/>
        <v/>
      </c>
      <c r="O556" s="9"/>
      <c r="P556" s="10"/>
    </row>
    <row r="557" spans="1:16" ht="20.1" customHeight="1">
      <c r="A557" s="9"/>
      <c r="B557" s="9"/>
      <c r="C557" s="9"/>
      <c r="D557" s="43"/>
      <c r="E557" s="9"/>
      <c r="F557" s="9"/>
      <c r="G557" s="47" t="str">
        <f>IF(F557="","",INDEX(站位样品信息!$B$3:INDEX(站位样品信息!$B:$B,COUNTA(站位样品信息!$B:$B)+1),MATCH($F557,站位样品信息!$A$3:INDEX(站位样品信息!$A:$A,COUNTA(站位样品信息!$A:$A)+1),),))</f>
        <v/>
      </c>
      <c r="H557" s="37" t="str">
        <f>IF(A557&amp;B557&amp;C557="","",INDEX(生物种群!$A$2:INDEX(生物种群!$A:$A,COUNTA(生物种群!$A:$A)),MATCH($I557,生物种群!$B$2:INDEX(生物种群!$B:$B,COUNTA(生物种群!$B:$B)),),))</f>
        <v/>
      </c>
      <c r="I557" s="37" t="str">
        <f>IF(A557&amp;B557&amp;C557="","",IF($C557&lt;&gt;0,INDEX(生物种群!$B$2:INDEX(生物种群!$B:$B,COUNTA(生物种群!$B:$B)),MATCH($C557,生物种群!$G$2:INDEX(生物种群!$G:$G,COUNTA(生物种群!$G:$G)),),),IF($A557&lt;&gt;0,INDEX(生物种群!$B$2:INDEX(生物种群!$B:$B,COUNTA(生物种群!$B:$B)),MATCH($A557,生物种群!$C$2:INDEX(生物种群!$C:$C,COUNTA(生物种群!$C:$C)),),),INDEX(生物种群!$B$2:INDEX(生物种群!$B:$B,COUNTA(生物种群!$B:$B)),MATCH($B557,生物种群!$D$2:INDEX(生物种群!$D:$D,COUNTA(生物种群!$D:$D)),),))))</f>
        <v/>
      </c>
      <c r="J557" s="37" t="str">
        <f>IF(A557&amp;B557&amp;C557="","",INDEX(生物种群!$J$2:INDEX(生物种群!$J:$J,COUNTA(生物种群!$J:$J)),MATCH($I557,生物种群!$B$2:INDEX(生物种群!$B:$B,COUNTA(生物种群!$B:$B)),),))</f>
        <v/>
      </c>
      <c r="K557" s="37" t="str">
        <f>IF(A557&amp;B557&amp;C557="","",INDEX(生物种群!$E$2:INDEX(生物种群!$E:$E,COUNTA(生物种群!$E:$E)),MATCH($I557,生物种群!$B$2:INDEX(生物种群!$B:$B,COUNTA(生物种群!$B:$B)),),))</f>
        <v/>
      </c>
      <c r="L557" s="37" t="str">
        <f>IF(A557&amp;B557&amp;C557="","",INDEX(生物种群!$F$3:INDEX(生物种群!$F:$F,COUNTA(生物种群!$F:$F)),MATCH($I557,生物种群!$B$3:INDEX(生物种群!$B:$B,COUNTA(生物种群!$B:$B)),),))</f>
        <v/>
      </c>
      <c r="M557" s="37" t="str">
        <f t="shared" si="16"/>
        <v/>
      </c>
      <c r="N557" s="37" t="str">
        <f t="shared" si="17"/>
        <v/>
      </c>
      <c r="O557" s="9"/>
      <c r="P557" s="10"/>
    </row>
    <row r="558" spans="1:16" ht="20.1" customHeight="1">
      <c r="A558" s="9"/>
      <c r="B558" s="9"/>
      <c r="C558" s="9"/>
      <c r="D558" s="43"/>
      <c r="E558" s="9"/>
      <c r="F558" s="9"/>
      <c r="G558" s="47" t="str">
        <f>IF(F558="","",INDEX(站位样品信息!$B$3:INDEX(站位样品信息!$B:$B,COUNTA(站位样品信息!$B:$B)+1),MATCH($F558,站位样品信息!$A$3:INDEX(站位样品信息!$A:$A,COUNTA(站位样品信息!$A:$A)+1),),))</f>
        <v/>
      </c>
      <c r="H558" s="37" t="str">
        <f>IF(A558&amp;B558&amp;C558="","",INDEX(生物种群!$A$2:INDEX(生物种群!$A:$A,COUNTA(生物种群!$A:$A)),MATCH($I558,生物种群!$B$2:INDEX(生物种群!$B:$B,COUNTA(生物种群!$B:$B)),),))</f>
        <v/>
      </c>
      <c r="I558" s="37" t="str">
        <f>IF(A558&amp;B558&amp;C558="","",IF($C558&lt;&gt;0,INDEX(生物种群!$B$2:INDEX(生物种群!$B:$B,COUNTA(生物种群!$B:$B)),MATCH($C558,生物种群!$G$2:INDEX(生物种群!$G:$G,COUNTA(生物种群!$G:$G)),),),IF($A558&lt;&gt;0,INDEX(生物种群!$B$2:INDEX(生物种群!$B:$B,COUNTA(生物种群!$B:$B)),MATCH($A558,生物种群!$C$2:INDEX(生物种群!$C:$C,COUNTA(生物种群!$C:$C)),),),INDEX(生物种群!$B$2:INDEX(生物种群!$B:$B,COUNTA(生物种群!$B:$B)),MATCH($B558,生物种群!$D$2:INDEX(生物种群!$D:$D,COUNTA(生物种群!$D:$D)),),))))</f>
        <v/>
      </c>
      <c r="J558" s="37" t="str">
        <f>IF(A558&amp;B558&amp;C558="","",INDEX(生物种群!$J$2:INDEX(生物种群!$J:$J,COUNTA(生物种群!$J:$J)),MATCH($I558,生物种群!$B$2:INDEX(生物种群!$B:$B,COUNTA(生物种群!$B:$B)),),))</f>
        <v/>
      </c>
      <c r="K558" s="37" t="str">
        <f>IF(A558&amp;B558&amp;C558="","",INDEX(生物种群!$E$2:INDEX(生物种群!$E:$E,COUNTA(生物种群!$E:$E)),MATCH($I558,生物种群!$B$2:INDEX(生物种群!$B:$B,COUNTA(生物种群!$B:$B)),),))</f>
        <v/>
      </c>
      <c r="L558" s="37" t="str">
        <f>IF(A558&amp;B558&amp;C558="","",INDEX(生物种群!$F$3:INDEX(生物种群!$F:$F,COUNTA(生物种群!$F:$F)),MATCH($I558,生物种群!$B$3:INDEX(生物种群!$B:$B,COUNTA(生物种群!$B:$B)),),))</f>
        <v/>
      </c>
      <c r="M558" s="37" t="str">
        <f t="shared" si="16"/>
        <v/>
      </c>
      <c r="N558" s="37" t="str">
        <f t="shared" si="17"/>
        <v/>
      </c>
      <c r="O558" s="9"/>
      <c r="P558" s="10"/>
    </row>
    <row r="559" spans="1:16" ht="20.1" customHeight="1">
      <c r="A559" s="9"/>
      <c r="B559" s="9"/>
      <c r="C559" s="9"/>
      <c r="D559" s="43"/>
      <c r="E559" s="9"/>
      <c r="F559" s="9"/>
      <c r="G559" s="47" t="str">
        <f>IF(F559="","",INDEX(站位样品信息!$B$3:INDEX(站位样品信息!$B:$B,COUNTA(站位样品信息!$B:$B)+1),MATCH($F559,站位样品信息!$A$3:INDEX(站位样品信息!$A:$A,COUNTA(站位样品信息!$A:$A)+1),),))</f>
        <v/>
      </c>
      <c r="H559" s="37" t="str">
        <f>IF(A559&amp;B559&amp;C559="","",INDEX(生物种群!$A$2:INDEX(生物种群!$A:$A,COUNTA(生物种群!$A:$A)),MATCH($I559,生物种群!$B$2:INDEX(生物种群!$B:$B,COUNTA(生物种群!$B:$B)),),))</f>
        <v/>
      </c>
      <c r="I559" s="37" t="str">
        <f>IF(A559&amp;B559&amp;C559="","",IF($C559&lt;&gt;0,INDEX(生物种群!$B$2:INDEX(生物种群!$B:$B,COUNTA(生物种群!$B:$B)),MATCH($C559,生物种群!$G$2:INDEX(生物种群!$G:$G,COUNTA(生物种群!$G:$G)),),),IF($A559&lt;&gt;0,INDEX(生物种群!$B$2:INDEX(生物种群!$B:$B,COUNTA(生物种群!$B:$B)),MATCH($A559,生物种群!$C$2:INDEX(生物种群!$C:$C,COUNTA(生物种群!$C:$C)),),),INDEX(生物种群!$B$2:INDEX(生物种群!$B:$B,COUNTA(生物种群!$B:$B)),MATCH($B559,生物种群!$D$2:INDEX(生物种群!$D:$D,COUNTA(生物种群!$D:$D)),),))))</f>
        <v/>
      </c>
      <c r="J559" s="37" t="str">
        <f>IF(A559&amp;B559&amp;C559="","",INDEX(生物种群!$J$2:INDEX(生物种群!$J:$J,COUNTA(生物种群!$J:$J)),MATCH($I559,生物种群!$B$2:INDEX(生物种群!$B:$B,COUNTA(生物种群!$B:$B)),),))</f>
        <v/>
      </c>
      <c r="K559" s="37" t="str">
        <f>IF(A559&amp;B559&amp;C559="","",INDEX(生物种群!$E$2:INDEX(生物种群!$E:$E,COUNTA(生物种群!$E:$E)),MATCH($I559,生物种群!$B$2:INDEX(生物种群!$B:$B,COUNTA(生物种群!$B:$B)),),))</f>
        <v/>
      </c>
      <c r="L559" s="37" t="str">
        <f>IF(A559&amp;B559&amp;C559="","",INDEX(生物种群!$F$3:INDEX(生物种群!$F:$F,COUNTA(生物种群!$F:$F)),MATCH($I559,生物种群!$B$3:INDEX(生物种群!$B:$B,COUNTA(生物种群!$B:$B)),),))</f>
        <v/>
      </c>
      <c r="M559" s="37" t="str">
        <f t="shared" si="16"/>
        <v/>
      </c>
      <c r="N559" s="37" t="str">
        <f t="shared" si="17"/>
        <v/>
      </c>
      <c r="O559" s="9"/>
      <c r="P559" s="10"/>
    </row>
    <row r="560" spans="1:16" ht="20.1" customHeight="1">
      <c r="A560" s="9"/>
      <c r="B560" s="9"/>
      <c r="C560" s="9"/>
      <c r="D560" s="43"/>
      <c r="E560" s="9"/>
      <c r="F560" s="9"/>
      <c r="G560" s="47" t="str">
        <f>IF(F560="","",INDEX(站位样品信息!$B$3:INDEX(站位样品信息!$B:$B,COUNTA(站位样品信息!$B:$B)+1),MATCH($F560,站位样品信息!$A$3:INDEX(站位样品信息!$A:$A,COUNTA(站位样品信息!$A:$A)+1),),))</f>
        <v/>
      </c>
      <c r="H560" s="37" t="str">
        <f>IF(A560&amp;B560&amp;C560="","",INDEX(生物种群!$A$2:INDEX(生物种群!$A:$A,COUNTA(生物种群!$A:$A)),MATCH($I560,生物种群!$B$2:INDEX(生物种群!$B:$B,COUNTA(生物种群!$B:$B)),),))</f>
        <v/>
      </c>
      <c r="I560" s="37" t="str">
        <f>IF(A560&amp;B560&amp;C560="","",IF($C560&lt;&gt;0,INDEX(生物种群!$B$2:INDEX(生物种群!$B:$B,COUNTA(生物种群!$B:$B)),MATCH($C560,生物种群!$G$2:INDEX(生物种群!$G:$G,COUNTA(生物种群!$G:$G)),),),IF($A560&lt;&gt;0,INDEX(生物种群!$B$2:INDEX(生物种群!$B:$B,COUNTA(生物种群!$B:$B)),MATCH($A560,生物种群!$C$2:INDEX(生物种群!$C:$C,COUNTA(生物种群!$C:$C)),),),INDEX(生物种群!$B$2:INDEX(生物种群!$B:$B,COUNTA(生物种群!$B:$B)),MATCH($B560,生物种群!$D$2:INDEX(生物种群!$D:$D,COUNTA(生物种群!$D:$D)),),))))</f>
        <v/>
      </c>
      <c r="J560" s="37" t="str">
        <f>IF(A560&amp;B560&amp;C560="","",INDEX(生物种群!$J$2:INDEX(生物种群!$J:$J,COUNTA(生物种群!$J:$J)),MATCH($I560,生物种群!$B$2:INDEX(生物种群!$B:$B,COUNTA(生物种群!$B:$B)),),))</f>
        <v/>
      </c>
      <c r="K560" s="37" t="str">
        <f>IF(A560&amp;B560&amp;C560="","",INDEX(生物种群!$E$2:INDEX(生物种群!$E:$E,COUNTA(生物种群!$E:$E)),MATCH($I560,生物种群!$B$2:INDEX(生物种群!$B:$B,COUNTA(生物种群!$B:$B)),),))</f>
        <v/>
      </c>
      <c r="L560" s="37" t="str">
        <f>IF(A560&amp;B560&amp;C560="","",INDEX(生物种群!$F$3:INDEX(生物种群!$F:$F,COUNTA(生物种群!$F:$F)),MATCH($I560,生物种群!$B$3:INDEX(生物种群!$B:$B,COUNTA(生物种群!$B:$B)),),))</f>
        <v/>
      </c>
      <c r="M560" s="37" t="str">
        <f t="shared" si="16"/>
        <v/>
      </c>
      <c r="N560" s="37" t="str">
        <f t="shared" si="17"/>
        <v/>
      </c>
      <c r="O560" s="9"/>
      <c r="P560" s="10"/>
    </row>
    <row r="561" spans="1:16" ht="20.1" customHeight="1">
      <c r="A561" s="9"/>
      <c r="B561" s="9"/>
      <c r="C561" s="9"/>
      <c r="D561" s="43"/>
      <c r="E561" s="9"/>
      <c r="F561" s="9"/>
      <c r="G561" s="47" t="str">
        <f>IF(F561="","",INDEX(站位样品信息!$B$3:INDEX(站位样品信息!$B:$B,COUNTA(站位样品信息!$B:$B)+1),MATCH($F561,站位样品信息!$A$3:INDEX(站位样品信息!$A:$A,COUNTA(站位样品信息!$A:$A)+1),),))</f>
        <v/>
      </c>
      <c r="H561" s="37" t="str">
        <f>IF(A561&amp;B561&amp;C561="","",INDEX(生物种群!$A$2:INDEX(生物种群!$A:$A,COUNTA(生物种群!$A:$A)),MATCH($I561,生物种群!$B$2:INDEX(生物种群!$B:$B,COUNTA(生物种群!$B:$B)),),))</f>
        <v/>
      </c>
      <c r="I561" s="37" t="str">
        <f>IF(A561&amp;B561&amp;C561="","",IF($C561&lt;&gt;0,INDEX(生物种群!$B$2:INDEX(生物种群!$B:$B,COUNTA(生物种群!$B:$B)),MATCH($C561,生物种群!$G$2:INDEX(生物种群!$G:$G,COUNTA(生物种群!$G:$G)),),),IF($A561&lt;&gt;0,INDEX(生物种群!$B$2:INDEX(生物种群!$B:$B,COUNTA(生物种群!$B:$B)),MATCH($A561,生物种群!$C$2:INDEX(生物种群!$C:$C,COUNTA(生物种群!$C:$C)),),),INDEX(生物种群!$B$2:INDEX(生物种群!$B:$B,COUNTA(生物种群!$B:$B)),MATCH($B561,生物种群!$D$2:INDEX(生物种群!$D:$D,COUNTA(生物种群!$D:$D)),),))))</f>
        <v/>
      </c>
      <c r="J561" s="37" t="str">
        <f>IF(A561&amp;B561&amp;C561="","",INDEX(生物种群!$J$2:INDEX(生物种群!$J:$J,COUNTA(生物种群!$J:$J)),MATCH($I561,生物种群!$B$2:INDEX(生物种群!$B:$B,COUNTA(生物种群!$B:$B)),),))</f>
        <v/>
      </c>
      <c r="K561" s="37" t="str">
        <f>IF(A561&amp;B561&amp;C561="","",INDEX(生物种群!$E$2:INDEX(生物种群!$E:$E,COUNTA(生物种群!$E:$E)),MATCH($I561,生物种群!$B$2:INDEX(生物种群!$B:$B,COUNTA(生物种群!$B:$B)),),))</f>
        <v/>
      </c>
      <c r="L561" s="37" t="str">
        <f>IF(A561&amp;B561&amp;C561="","",INDEX(生物种群!$F$3:INDEX(生物种群!$F:$F,COUNTA(生物种群!$F:$F)),MATCH($I561,生物种群!$B$3:INDEX(生物种群!$B:$B,COUNTA(生物种群!$B:$B)),),))</f>
        <v/>
      </c>
      <c r="M561" s="37" t="str">
        <f t="shared" si="16"/>
        <v/>
      </c>
      <c r="N561" s="37" t="str">
        <f t="shared" si="17"/>
        <v/>
      </c>
      <c r="O561" s="9"/>
      <c r="P561" s="10"/>
    </row>
    <row r="562" spans="1:16" ht="20.1" customHeight="1">
      <c r="A562" s="9"/>
      <c r="B562" s="9"/>
      <c r="C562" s="9"/>
      <c r="D562" s="43"/>
      <c r="E562" s="9"/>
      <c r="F562" s="9"/>
      <c r="G562" s="47" t="str">
        <f>IF(F562="","",INDEX(站位样品信息!$B$3:INDEX(站位样品信息!$B:$B,COUNTA(站位样品信息!$B:$B)+1),MATCH($F562,站位样品信息!$A$3:INDEX(站位样品信息!$A:$A,COUNTA(站位样品信息!$A:$A)+1),),))</f>
        <v/>
      </c>
      <c r="H562" s="37" t="str">
        <f>IF(A562&amp;B562&amp;C562="","",INDEX(生物种群!$A$2:INDEX(生物种群!$A:$A,COUNTA(生物种群!$A:$A)),MATCH($I562,生物种群!$B$2:INDEX(生物种群!$B:$B,COUNTA(生物种群!$B:$B)),),))</f>
        <v/>
      </c>
      <c r="I562" s="37" t="str">
        <f>IF(A562&amp;B562&amp;C562="","",IF($C562&lt;&gt;0,INDEX(生物种群!$B$2:INDEX(生物种群!$B:$B,COUNTA(生物种群!$B:$B)),MATCH($C562,生物种群!$G$2:INDEX(生物种群!$G:$G,COUNTA(生物种群!$G:$G)),),),IF($A562&lt;&gt;0,INDEX(生物种群!$B$2:INDEX(生物种群!$B:$B,COUNTA(生物种群!$B:$B)),MATCH($A562,生物种群!$C$2:INDEX(生物种群!$C:$C,COUNTA(生物种群!$C:$C)),),),INDEX(生物种群!$B$2:INDEX(生物种群!$B:$B,COUNTA(生物种群!$B:$B)),MATCH($B562,生物种群!$D$2:INDEX(生物种群!$D:$D,COUNTA(生物种群!$D:$D)),),))))</f>
        <v/>
      </c>
      <c r="J562" s="37" t="str">
        <f>IF(A562&amp;B562&amp;C562="","",INDEX(生物种群!$J$2:INDEX(生物种群!$J:$J,COUNTA(生物种群!$J:$J)),MATCH($I562,生物种群!$B$2:INDEX(生物种群!$B:$B,COUNTA(生物种群!$B:$B)),),))</f>
        <v/>
      </c>
      <c r="K562" s="37" t="str">
        <f>IF(A562&amp;B562&amp;C562="","",INDEX(生物种群!$E$2:INDEX(生物种群!$E:$E,COUNTA(生物种群!$E:$E)),MATCH($I562,生物种群!$B$2:INDEX(生物种群!$B:$B,COUNTA(生物种群!$B:$B)),),))</f>
        <v/>
      </c>
      <c r="L562" s="37" t="str">
        <f>IF(A562&amp;B562&amp;C562="","",INDEX(生物种群!$F$3:INDEX(生物种群!$F:$F,COUNTA(生物种群!$F:$F)),MATCH($I562,生物种群!$B$3:INDEX(生物种群!$B:$B,COUNTA(生物种群!$B:$B)),),))</f>
        <v/>
      </c>
      <c r="M562" s="37" t="str">
        <f t="shared" si="16"/>
        <v/>
      </c>
      <c r="N562" s="37" t="str">
        <f t="shared" si="17"/>
        <v/>
      </c>
      <c r="O562" s="9"/>
      <c r="P562" s="10"/>
    </row>
    <row r="563" spans="1:16" ht="20.1" customHeight="1">
      <c r="A563" s="9"/>
      <c r="B563" s="9"/>
      <c r="C563" s="9"/>
      <c r="D563" s="43"/>
      <c r="E563" s="9"/>
      <c r="F563" s="9"/>
      <c r="G563" s="47" t="str">
        <f>IF(F563="","",INDEX(站位样品信息!$B$3:INDEX(站位样品信息!$B:$B,COUNTA(站位样品信息!$B:$B)+1),MATCH($F563,站位样品信息!$A$3:INDEX(站位样品信息!$A:$A,COUNTA(站位样品信息!$A:$A)+1),),))</f>
        <v/>
      </c>
      <c r="H563" s="37" t="str">
        <f>IF(A563&amp;B563&amp;C563="","",INDEX(生物种群!$A$2:INDEX(生物种群!$A:$A,COUNTA(生物种群!$A:$A)),MATCH($I563,生物种群!$B$2:INDEX(生物种群!$B:$B,COUNTA(生物种群!$B:$B)),),))</f>
        <v/>
      </c>
      <c r="I563" s="37" t="str">
        <f>IF(A563&amp;B563&amp;C563="","",IF($C563&lt;&gt;0,INDEX(生物种群!$B$2:INDEX(生物种群!$B:$B,COUNTA(生物种群!$B:$B)),MATCH($C563,生物种群!$G$2:INDEX(生物种群!$G:$G,COUNTA(生物种群!$G:$G)),),),IF($A563&lt;&gt;0,INDEX(生物种群!$B$2:INDEX(生物种群!$B:$B,COUNTA(生物种群!$B:$B)),MATCH($A563,生物种群!$C$2:INDEX(生物种群!$C:$C,COUNTA(生物种群!$C:$C)),),),INDEX(生物种群!$B$2:INDEX(生物种群!$B:$B,COUNTA(生物种群!$B:$B)),MATCH($B563,生物种群!$D$2:INDEX(生物种群!$D:$D,COUNTA(生物种群!$D:$D)),),))))</f>
        <v/>
      </c>
      <c r="J563" s="37" t="str">
        <f>IF(A563&amp;B563&amp;C563="","",INDEX(生物种群!$J$2:INDEX(生物种群!$J:$J,COUNTA(生物种群!$J:$J)),MATCH($I563,生物种群!$B$2:INDEX(生物种群!$B:$B,COUNTA(生物种群!$B:$B)),),))</f>
        <v/>
      </c>
      <c r="K563" s="37" t="str">
        <f>IF(A563&amp;B563&amp;C563="","",INDEX(生物种群!$E$2:INDEX(生物种群!$E:$E,COUNTA(生物种群!$E:$E)),MATCH($I563,生物种群!$B$2:INDEX(生物种群!$B:$B,COUNTA(生物种群!$B:$B)),),))</f>
        <v/>
      </c>
      <c r="L563" s="37" t="str">
        <f>IF(A563&amp;B563&amp;C563="","",INDEX(生物种群!$F$3:INDEX(生物种群!$F:$F,COUNTA(生物种群!$F:$F)),MATCH($I563,生物种群!$B$3:INDEX(生物种群!$B:$B,COUNTA(生物种群!$B:$B)),),))</f>
        <v/>
      </c>
      <c r="M563" s="37" t="str">
        <f t="shared" si="16"/>
        <v/>
      </c>
      <c r="N563" s="37" t="str">
        <f t="shared" si="17"/>
        <v/>
      </c>
      <c r="O563" s="9"/>
      <c r="P563" s="10"/>
    </row>
    <row r="564" spans="1:16" ht="20.1" customHeight="1">
      <c r="A564" s="9"/>
      <c r="B564" s="9"/>
      <c r="C564" s="9"/>
      <c r="D564" s="43"/>
      <c r="E564" s="9"/>
      <c r="F564" s="9"/>
      <c r="G564" s="47" t="str">
        <f>IF(F564="","",INDEX(站位样品信息!$B$3:INDEX(站位样品信息!$B:$B,COUNTA(站位样品信息!$B:$B)+1),MATCH($F564,站位样品信息!$A$3:INDEX(站位样品信息!$A:$A,COUNTA(站位样品信息!$A:$A)+1),),))</f>
        <v/>
      </c>
      <c r="H564" s="37" t="str">
        <f>IF(A564&amp;B564&amp;C564="","",INDEX(生物种群!$A$2:INDEX(生物种群!$A:$A,COUNTA(生物种群!$A:$A)),MATCH($I564,生物种群!$B$2:INDEX(生物种群!$B:$B,COUNTA(生物种群!$B:$B)),),))</f>
        <v/>
      </c>
      <c r="I564" s="37" t="str">
        <f>IF(A564&amp;B564&amp;C564="","",IF($C564&lt;&gt;0,INDEX(生物种群!$B$2:INDEX(生物种群!$B:$B,COUNTA(生物种群!$B:$B)),MATCH($C564,生物种群!$G$2:INDEX(生物种群!$G:$G,COUNTA(生物种群!$G:$G)),),),IF($A564&lt;&gt;0,INDEX(生物种群!$B$2:INDEX(生物种群!$B:$B,COUNTA(生物种群!$B:$B)),MATCH($A564,生物种群!$C$2:INDEX(生物种群!$C:$C,COUNTA(生物种群!$C:$C)),),),INDEX(生物种群!$B$2:INDEX(生物种群!$B:$B,COUNTA(生物种群!$B:$B)),MATCH($B564,生物种群!$D$2:INDEX(生物种群!$D:$D,COUNTA(生物种群!$D:$D)),),))))</f>
        <v/>
      </c>
      <c r="J564" s="37" t="str">
        <f>IF(A564&amp;B564&amp;C564="","",INDEX(生物种群!$J$2:INDEX(生物种群!$J:$J,COUNTA(生物种群!$J:$J)),MATCH($I564,生物种群!$B$2:INDEX(生物种群!$B:$B,COUNTA(生物种群!$B:$B)),),))</f>
        <v/>
      </c>
      <c r="K564" s="37" t="str">
        <f>IF(A564&amp;B564&amp;C564="","",INDEX(生物种群!$E$2:INDEX(生物种群!$E:$E,COUNTA(生物种群!$E:$E)),MATCH($I564,生物种群!$B$2:INDEX(生物种群!$B:$B,COUNTA(生物种群!$B:$B)),),))</f>
        <v/>
      </c>
      <c r="L564" s="37" t="str">
        <f>IF(A564&amp;B564&amp;C564="","",INDEX(生物种群!$F$3:INDEX(生物种群!$F:$F,COUNTA(生物种群!$F:$F)),MATCH($I564,生物种群!$B$3:INDEX(生物种群!$B:$B,COUNTA(生物种群!$B:$B)),),))</f>
        <v/>
      </c>
      <c r="M564" s="37" t="str">
        <f t="shared" si="16"/>
        <v/>
      </c>
      <c r="N564" s="37" t="str">
        <f t="shared" si="17"/>
        <v/>
      </c>
      <c r="O564" s="9"/>
      <c r="P564" s="10"/>
    </row>
    <row r="565" spans="1:16" ht="20.1" customHeight="1">
      <c r="A565" s="9"/>
      <c r="B565" s="9"/>
      <c r="C565" s="9"/>
      <c r="D565" s="43"/>
      <c r="E565" s="9"/>
      <c r="F565" s="9"/>
      <c r="G565" s="47" t="str">
        <f>IF(F565="","",INDEX(站位样品信息!$B$3:INDEX(站位样品信息!$B:$B,COUNTA(站位样品信息!$B:$B)+1),MATCH($F565,站位样品信息!$A$3:INDEX(站位样品信息!$A:$A,COUNTA(站位样品信息!$A:$A)+1),),))</f>
        <v/>
      </c>
      <c r="H565" s="37" t="str">
        <f>IF(A565&amp;B565&amp;C565="","",INDEX(生物种群!$A$2:INDEX(生物种群!$A:$A,COUNTA(生物种群!$A:$A)),MATCH($I565,生物种群!$B$2:INDEX(生物种群!$B:$B,COUNTA(生物种群!$B:$B)),),))</f>
        <v/>
      </c>
      <c r="I565" s="37" t="str">
        <f>IF(A565&amp;B565&amp;C565="","",IF($C565&lt;&gt;0,INDEX(生物种群!$B$2:INDEX(生物种群!$B:$B,COUNTA(生物种群!$B:$B)),MATCH($C565,生物种群!$G$2:INDEX(生物种群!$G:$G,COUNTA(生物种群!$G:$G)),),),IF($A565&lt;&gt;0,INDEX(生物种群!$B$2:INDEX(生物种群!$B:$B,COUNTA(生物种群!$B:$B)),MATCH($A565,生物种群!$C$2:INDEX(生物种群!$C:$C,COUNTA(生物种群!$C:$C)),),),INDEX(生物种群!$B$2:INDEX(生物种群!$B:$B,COUNTA(生物种群!$B:$B)),MATCH($B565,生物种群!$D$2:INDEX(生物种群!$D:$D,COUNTA(生物种群!$D:$D)),),))))</f>
        <v/>
      </c>
      <c r="J565" s="37" t="str">
        <f>IF(A565&amp;B565&amp;C565="","",INDEX(生物种群!$J$2:INDEX(生物种群!$J:$J,COUNTA(生物种群!$J:$J)),MATCH($I565,生物种群!$B$2:INDEX(生物种群!$B:$B,COUNTA(生物种群!$B:$B)),),))</f>
        <v/>
      </c>
      <c r="K565" s="37" t="str">
        <f>IF(A565&amp;B565&amp;C565="","",INDEX(生物种群!$E$2:INDEX(生物种群!$E:$E,COUNTA(生物种群!$E:$E)),MATCH($I565,生物种群!$B$2:INDEX(生物种群!$B:$B,COUNTA(生物种群!$B:$B)),),))</f>
        <v/>
      </c>
      <c r="L565" s="37" t="str">
        <f>IF(A565&amp;B565&amp;C565="","",INDEX(生物种群!$F$3:INDEX(生物种群!$F:$F,COUNTA(生物种群!$F:$F)),MATCH($I565,生物种群!$B$3:INDEX(生物种群!$B:$B,COUNTA(生物种群!$B:$B)),),))</f>
        <v/>
      </c>
      <c r="M565" s="37" t="str">
        <f t="shared" si="16"/>
        <v/>
      </c>
      <c r="N565" s="37" t="str">
        <f t="shared" si="17"/>
        <v/>
      </c>
      <c r="O565" s="9"/>
      <c r="P565" s="10"/>
    </row>
    <row r="566" spans="1:16" ht="20.1" customHeight="1">
      <c r="A566" s="9"/>
      <c r="B566" s="9"/>
      <c r="C566" s="9"/>
      <c r="D566" s="43"/>
      <c r="E566" s="9"/>
      <c r="F566" s="9"/>
      <c r="G566" s="47" t="str">
        <f>IF(F566="","",INDEX(站位样品信息!$B$3:INDEX(站位样品信息!$B:$B,COUNTA(站位样品信息!$B:$B)+1),MATCH($F566,站位样品信息!$A$3:INDEX(站位样品信息!$A:$A,COUNTA(站位样品信息!$A:$A)+1),),))</f>
        <v/>
      </c>
      <c r="H566" s="37" t="str">
        <f>IF(A566&amp;B566&amp;C566="","",INDEX(生物种群!$A$2:INDEX(生物种群!$A:$A,COUNTA(生物种群!$A:$A)),MATCH($I566,生物种群!$B$2:INDEX(生物种群!$B:$B,COUNTA(生物种群!$B:$B)),),))</f>
        <v/>
      </c>
      <c r="I566" s="37" t="str">
        <f>IF(A566&amp;B566&amp;C566="","",IF($C566&lt;&gt;0,INDEX(生物种群!$B$2:INDEX(生物种群!$B:$B,COUNTA(生物种群!$B:$B)),MATCH($C566,生物种群!$G$2:INDEX(生物种群!$G:$G,COUNTA(生物种群!$G:$G)),),),IF($A566&lt;&gt;0,INDEX(生物种群!$B$2:INDEX(生物种群!$B:$B,COUNTA(生物种群!$B:$B)),MATCH($A566,生物种群!$C$2:INDEX(生物种群!$C:$C,COUNTA(生物种群!$C:$C)),),),INDEX(生物种群!$B$2:INDEX(生物种群!$B:$B,COUNTA(生物种群!$B:$B)),MATCH($B566,生物种群!$D$2:INDEX(生物种群!$D:$D,COUNTA(生物种群!$D:$D)),),))))</f>
        <v/>
      </c>
      <c r="J566" s="37" t="str">
        <f>IF(A566&amp;B566&amp;C566="","",INDEX(生物种群!$J$2:INDEX(生物种群!$J:$J,COUNTA(生物种群!$J:$J)),MATCH($I566,生物种群!$B$2:INDEX(生物种群!$B:$B,COUNTA(生物种群!$B:$B)),),))</f>
        <v/>
      </c>
      <c r="K566" s="37" t="str">
        <f>IF(A566&amp;B566&amp;C566="","",INDEX(生物种群!$E$2:INDEX(生物种群!$E:$E,COUNTA(生物种群!$E:$E)),MATCH($I566,生物种群!$B$2:INDEX(生物种群!$B:$B,COUNTA(生物种群!$B:$B)),),))</f>
        <v/>
      </c>
      <c r="L566" s="37" t="str">
        <f>IF(A566&amp;B566&amp;C566="","",INDEX(生物种群!$F$3:INDEX(生物种群!$F:$F,COUNTA(生物种群!$F:$F)),MATCH($I566,生物种群!$B$3:INDEX(生物种群!$B:$B,COUNTA(生物种群!$B:$B)),),))</f>
        <v/>
      </c>
      <c r="M566" s="37" t="str">
        <f t="shared" si="16"/>
        <v/>
      </c>
      <c r="N566" s="37" t="str">
        <f t="shared" si="17"/>
        <v/>
      </c>
      <c r="O566" s="9"/>
      <c r="P566" s="10"/>
    </row>
    <row r="567" spans="1:16" ht="20.1" customHeight="1">
      <c r="A567" s="9"/>
      <c r="B567" s="9"/>
      <c r="C567" s="9"/>
      <c r="D567" s="43"/>
      <c r="E567" s="9"/>
      <c r="F567" s="9"/>
      <c r="G567" s="47" t="str">
        <f>IF(F567="","",INDEX(站位样品信息!$B$3:INDEX(站位样品信息!$B:$B,COUNTA(站位样品信息!$B:$B)+1),MATCH($F567,站位样品信息!$A$3:INDEX(站位样品信息!$A:$A,COUNTA(站位样品信息!$A:$A)+1),),))</f>
        <v/>
      </c>
      <c r="H567" s="37" t="str">
        <f>IF(A567&amp;B567&amp;C567="","",INDEX(生物种群!$A$2:INDEX(生物种群!$A:$A,COUNTA(生物种群!$A:$A)),MATCH($I567,生物种群!$B$2:INDEX(生物种群!$B:$B,COUNTA(生物种群!$B:$B)),),))</f>
        <v/>
      </c>
      <c r="I567" s="37" t="str">
        <f>IF(A567&amp;B567&amp;C567="","",IF($C567&lt;&gt;0,INDEX(生物种群!$B$2:INDEX(生物种群!$B:$B,COUNTA(生物种群!$B:$B)),MATCH($C567,生物种群!$G$2:INDEX(生物种群!$G:$G,COUNTA(生物种群!$G:$G)),),),IF($A567&lt;&gt;0,INDEX(生物种群!$B$2:INDEX(生物种群!$B:$B,COUNTA(生物种群!$B:$B)),MATCH($A567,生物种群!$C$2:INDEX(生物种群!$C:$C,COUNTA(生物种群!$C:$C)),),),INDEX(生物种群!$B$2:INDEX(生物种群!$B:$B,COUNTA(生物种群!$B:$B)),MATCH($B567,生物种群!$D$2:INDEX(生物种群!$D:$D,COUNTA(生物种群!$D:$D)),),))))</f>
        <v/>
      </c>
      <c r="J567" s="37" t="str">
        <f>IF(A567&amp;B567&amp;C567="","",INDEX(生物种群!$J$2:INDEX(生物种群!$J:$J,COUNTA(生物种群!$J:$J)),MATCH($I567,生物种群!$B$2:INDEX(生物种群!$B:$B,COUNTA(生物种群!$B:$B)),),))</f>
        <v/>
      </c>
      <c r="K567" s="37" t="str">
        <f>IF(A567&amp;B567&amp;C567="","",INDEX(生物种群!$E$2:INDEX(生物种群!$E:$E,COUNTA(生物种群!$E:$E)),MATCH($I567,生物种群!$B$2:INDEX(生物种群!$B:$B,COUNTA(生物种群!$B:$B)),),))</f>
        <v/>
      </c>
      <c r="L567" s="37" t="str">
        <f>IF(A567&amp;B567&amp;C567="","",INDEX(生物种群!$F$3:INDEX(生物种群!$F:$F,COUNTA(生物种群!$F:$F)),MATCH($I567,生物种群!$B$3:INDEX(生物种群!$B:$B,COUNTA(生物种群!$B:$B)),),))</f>
        <v/>
      </c>
      <c r="M567" s="37" t="str">
        <f t="shared" si="16"/>
        <v/>
      </c>
      <c r="N567" s="37" t="str">
        <f t="shared" si="17"/>
        <v/>
      </c>
      <c r="O567" s="9"/>
      <c r="P567" s="10"/>
    </row>
    <row r="568" spans="1:16" ht="20.1" customHeight="1">
      <c r="A568" s="9"/>
      <c r="B568" s="9"/>
      <c r="C568" s="9"/>
      <c r="D568" s="43"/>
      <c r="E568" s="9"/>
      <c r="F568" s="9"/>
      <c r="G568" s="47" t="str">
        <f>IF(F568="","",INDEX(站位样品信息!$B$3:INDEX(站位样品信息!$B:$B,COUNTA(站位样品信息!$B:$B)+1),MATCH($F568,站位样品信息!$A$3:INDEX(站位样品信息!$A:$A,COUNTA(站位样品信息!$A:$A)+1),),))</f>
        <v/>
      </c>
      <c r="H568" s="37" t="str">
        <f>IF(A568&amp;B568&amp;C568="","",INDEX(生物种群!$A$2:INDEX(生物种群!$A:$A,COUNTA(生物种群!$A:$A)),MATCH($I568,生物种群!$B$2:INDEX(生物种群!$B:$B,COUNTA(生物种群!$B:$B)),),))</f>
        <v/>
      </c>
      <c r="I568" s="37" t="str">
        <f>IF(A568&amp;B568&amp;C568="","",IF($C568&lt;&gt;0,INDEX(生物种群!$B$2:INDEX(生物种群!$B:$B,COUNTA(生物种群!$B:$B)),MATCH($C568,生物种群!$G$2:INDEX(生物种群!$G:$G,COUNTA(生物种群!$G:$G)),),),IF($A568&lt;&gt;0,INDEX(生物种群!$B$2:INDEX(生物种群!$B:$B,COUNTA(生物种群!$B:$B)),MATCH($A568,生物种群!$C$2:INDEX(生物种群!$C:$C,COUNTA(生物种群!$C:$C)),),),INDEX(生物种群!$B$2:INDEX(生物种群!$B:$B,COUNTA(生物种群!$B:$B)),MATCH($B568,生物种群!$D$2:INDEX(生物种群!$D:$D,COUNTA(生物种群!$D:$D)),),))))</f>
        <v/>
      </c>
      <c r="J568" s="37" t="str">
        <f>IF(A568&amp;B568&amp;C568="","",INDEX(生物种群!$J$2:INDEX(生物种群!$J:$J,COUNTA(生物种群!$J:$J)),MATCH($I568,生物种群!$B$2:INDEX(生物种群!$B:$B,COUNTA(生物种群!$B:$B)),),))</f>
        <v/>
      </c>
      <c r="K568" s="37" t="str">
        <f>IF(A568&amp;B568&amp;C568="","",INDEX(生物种群!$E$2:INDEX(生物种群!$E:$E,COUNTA(生物种群!$E:$E)),MATCH($I568,生物种群!$B$2:INDEX(生物种群!$B:$B,COUNTA(生物种群!$B:$B)),),))</f>
        <v/>
      </c>
      <c r="L568" s="37" t="str">
        <f>IF(A568&amp;B568&amp;C568="","",INDEX(生物种群!$F$3:INDEX(生物种群!$F:$F,COUNTA(生物种群!$F:$F)),MATCH($I568,生物种群!$B$3:INDEX(生物种群!$B:$B,COUNTA(生物种群!$B:$B)),),))</f>
        <v/>
      </c>
      <c r="M568" s="37" t="str">
        <f t="shared" si="16"/>
        <v/>
      </c>
      <c r="N568" s="37" t="str">
        <f t="shared" si="17"/>
        <v/>
      </c>
      <c r="O568" s="9"/>
      <c r="P568" s="10"/>
    </row>
    <row r="569" spans="1:16" ht="20.1" customHeight="1">
      <c r="A569" s="9"/>
      <c r="B569" s="9"/>
      <c r="C569" s="9"/>
      <c r="D569" s="43"/>
      <c r="E569" s="9"/>
      <c r="F569" s="9"/>
      <c r="G569" s="47" t="str">
        <f>IF(F569="","",INDEX(站位样品信息!$B$3:INDEX(站位样品信息!$B:$B,COUNTA(站位样品信息!$B:$B)+1),MATCH($F569,站位样品信息!$A$3:INDEX(站位样品信息!$A:$A,COUNTA(站位样品信息!$A:$A)+1),),))</f>
        <v/>
      </c>
      <c r="H569" s="37" t="str">
        <f>IF(A569&amp;B569&amp;C569="","",INDEX(生物种群!$A$2:INDEX(生物种群!$A:$A,COUNTA(生物种群!$A:$A)),MATCH($I569,生物种群!$B$2:INDEX(生物种群!$B:$B,COUNTA(生物种群!$B:$B)),),))</f>
        <v/>
      </c>
      <c r="I569" s="37" t="str">
        <f>IF(A569&amp;B569&amp;C569="","",IF($C569&lt;&gt;0,INDEX(生物种群!$B$2:INDEX(生物种群!$B:$B,COUNTA(生物种群!$B:$B)),MATCH($C569,生物种群!$G$2:INDEX(生物种群!$G:$G,COUNTA(生物种群!$G:$G)),),),IF($A569&lt;&gt;0,INDEX(生物种群!$B$2:INDEX(生物种群!$B:$B,COUNTA(生物种群!$B:$B)),MATCH($A569,生物种群!$C$2:INDEX(生物种群!$C:$C,COUNTA(生物种群!$C:$C)),),),INDEX(生物种群!$B$2:INDEX(生物种群!$B:$B,COUNTA(生物种群!$B:$B)),MATCH($B569,生物种群!$D$2:INDEX(生物种群!$D:$D,COUNTA(生物种群!$D:$D)),),))))</f>
        <v/>
      </c>
      <c r="J569" s="37" t="str">
        <f>IF(A569&amp;B569&amp;C569="","",INDEX(生物种群!$J$2:INDEX(生物种群!$J:$J,COUNTA(生物种群!$J:$J)),MATCH($I569,生物种群!$B$2:INDEX(生物种群!$B:$B,COUNTA(生物种群!$B:$B)),),))</f>
        <v/>
      </c>
      <c r="K569" s="37" t="str">
        <f>IF(A569&amp;B569&amp;C569="","",INDEX(生物种群!$E$2:INDEX(生物种群!$E:$E,COUNTA(生物种群!$E:$E)),MATCH($I569,生物种群!$B$2:INDEX(生物种群!$B:$B,COUNTA(生物种群!$B:$B)),),))</f>
        <v/>
      </c>
      <c r="L569" s="37" t="str">
        <f>IF(A569&amp;B569&amp;C569="","",INDEX(生物种群!$F$3:INDEX(生物种群!$F:$F,COUNTA(生物种群!$F:$F)),MATCH($I569,生物种群!$B$3:INDEX(生物种群!$B:$B,COUNTA(生物种群!$B:$B)),),))</f>
        <v/>
      </c>
      <c r="M569" s="37" t="str">
        <f t="shared" si="16"/>
        <v/>
      </c>
      <c r="N569" s="37" t="str">
        <f t="shared" si="17"/>
        <v/>
      </c>
      <c r="O569" s="9"/>
      <c r="P569" s="10"/>
    </row>
    <row r="570" spans="1:16" ht="20.1" customHeight="1">
      <c r="A570" s="9"/>
      <c r="B570" s="9"/>
      <c r="C570" s="9"/>
      <c r="D570" s="43"/>
      <c r="E570" s="9"/>
      <c r="F570" s="9"/>
      <c r="G570" s="47" t="str">
        <f>IF(F570="","",INDEX(站位样品信息!$B$3:INDEX(站位样品信息!$B:$B,COUNTA(站位样品信息!$B:$B)+1),MATCH($F570,站位样品信息!$A$3:INDEX(站位样品信息!$A:$A,COUNTA(站位样品信息!$A:$A)+1),),))</f>
        <v/>
      </c>
      <c r="H570" s="37" t="str">
        <f>IF(A570&amp;B570&amp;C570="","",INDEX(生物种群!$A$2:INDEX(生物种群!$A:$A,COUNTA(生物种群!$A:$A)),MATCH($I570,生物种群!$B$2:INDEX(生物种群!$B:$B,COUNTA(生物种群!$B:$B)),),))</f>
        <v/>
      </c>
      <c r="I570" s="37" t="str">
        <f>IF(A570&amp;B570&amp;C570="","",IF($C570&lt;&gt;0,INDEX(生物种群!$B$2:INDEX(生物种群!$B:$B,COUNTA(生物种群!$B:$B)),MATCH($C570,生物种群!$G$2:INDEX(生物种群!$G:$G,COUNTA(生物种群!$G:$G)),),),IF($A570&lt;&gt;0,INDEX(生物种群!$B$2:INDEX(生物种群!$B:$B,COUNTA(生物种群!$B:$B)),MATCH($A570,生物种群!$C$2:INDEX(生物种群!$C:$C,COUNTA(生物种群!$C:$C)),),),INDEX(生物种群!$B$2:INDEX(生物种群!$B:$B,COUNTA(生物种群!$B:$B)),MATCH($B570,生物种群!$D$2:INDEX(生物种群!$D:$D,COUNTA(生物种群!$D:$D)),),))))</f>
        <v/>
      </c>
      <c r="J570" s="37" t="str">
        <f>IF(A570&amp;B570&amp;C570="","",INDEX(生物种群!$J$2:INDEX(生物种群!$J:$J,COUNTA(生物种群!$J:$J)),MATCH($I570,生物种群!$B$2:INDEX(生物种群!$B:$B,COUNTA(生物种群!$B:$B)),),))</f>
        <v/>
      </c>
      <c r="K570" s="37" t="str">
        <f>IF(A570&amp;B570&amp;C570="","",INDEX(生物种群!$E$2:INDEX(生物种群!$E:$E,COUNTA(生物种群!$E:$E)),MATCH($I570,生物种群!$B$2:INDEX(生物种群!$B:$B,COUNTA(生物种群!$B:$B)),),))</f>
        <v/>
      </c>
      <c r="L570" s="37" t="str">
        <f>IF(A570&amp;B570&amp;C570="","",INDEX(生物种群!$F$3:INDEX(生物种群!$F:$F,COUNTA(生物种群!$F:$F)),MATCH($I570,生物种群!$B$3:INDEX(生物种群!$B:$B,COUNTA(生物种群!$B:$B)),),))</f>
        <v/>
      </c>
      <c r="M570" s="37" t="str">
        <f t="shared" si="16"/>
        <v/>
      </c>
      <c r="N570" s="37" t="str">
        <f t="shared" si="17"/>
        <v/>
      </c>
      <c r="O570" s="9"/>
      <c r="P570" s="10"/>
    </row>
    <row r="571" spans="1:16" ht="20.1" customHeight="1">
      <c r="A571" s="9"/>
      <c r="B571" s="9"/>
      <c r="C571" s="9"/>
      <c r="D571" s="43"/>
      <c r="E571" s="9"/>
      <c r="F571" s="9"/>
      <c r="G571" s="47" t="str">
        <f>IF(F571="","",INDEX(站位样品信息!$B$3:INDEX(站位样品信息!$B:$B,COUNTA(站位样品信息!$B:$B)+1),MATCH($F571,站位样品信息!$A$3:INDEX(站位样品信息!$A:$A,COUNTA(站位样品信息!$A:$A)+1),),))</f>
        <v/>
      </c>
      <c r="H571" s="37" t="str">
        <f>IF(A571&amp;B571&amp;C571="","",INDEX(生物种群!$A$2:INDEX(生物种群!$A:$A,COUNTA(生物种群!$A:$A)),MATCH($I571,生物种群!$B$2:INDEX(生物种群!$B:$B,COUNTA(生物种群!$B:$B)),),))</f>
        <v/>
      </c>
      <c r="I571" s="37" t="str">
        <f>IF(A571&amp;B571&amp;C571="","",IF($C571&lt;&gt;0,INDEX(生物种群!$B$2:INDEX(生物种群!$B:$B,COUNTA(生物种群!$B:$B)),MATCH($C571,生物种群!$G$2:INDEX(生物种群!$G:$G,COUNTA(生物种群!$G:$G)),),),IF($A571&lt;&gt;0,INDEX(生物种群!$B$2:INDEX(生物种群!$B:$B,COUNTA(生物种群!$B:$B)),MATCH($A571,生物种群!$C$2:INDEX(生物种群!$C:$C,COUNTA(生物种群!$C:$C)),),),INDEX(生物种群!$B$2:INDEX(生物种群!$B:$B,COUNTA(生物种群!$B:$B)),MATCH($B571,生物种群!$D$2:INDEX(生物种群!$D:$D,COUNTA(生物种群!$D:$D)),),))))</f>
        <v/>
      </c>
      <c r="J571" s="37" t="str">
        <f>IF(A571&amp;B571&amp;C571="","",INDEX(生物种群!$J$2:INDEX(生物种群!$J:$J,COUNTA(生物种群!$J:$J)),MATCH($I571,生物种群!$B$2:INDEX(生物种群!$B:$B,COUNTA(生物种群!$B:$B)),),))</f>
        <v/>
      </c>
      <c r="K571" s="37" t="str">
        <f>IF(A571&amp;B571&amp;C571="","",INDEX(生物种群!$E$2:INDEX(生物种群!$E:$E,COUNTA(生物种群!$E:$E)),MATCH($I571,生物种群!$B$2:INDEX(生物种群!$B:$B,COUNTA(生物种群!$B:$B)),),))</f>
        <v/>
      </c>
      <c r="L571" s="37" t="str">
        <f>IF(A571&amp;B571&amp;C571="","",INDEX(生物种群!$F$3:INDEX(生物种群!$F:$F,COUNTA(生物种群!$F:$F)),MATCH($I571,生物种群!$B$3:INDEX(生物种群!$B:$B,COUNTA(生物种群!$B:$B)),),))</f>
        <v/>
      </c>
      <c r="M571" s="37" t="str">
        <f t="shared" si="16"/>
        <v/>
      </c>
      <c r="N571" s="37" t="str">
        <f t="shared" si="17"/>
        <v/>
      </c>
      <c r="O571" s="9"/>
      <c r="P571" s="10"/>
    </row>
    <row r="572" spans="1:16" ht="20.1" customHeight="1">
      <c r="A572" s="9"/>
      <c r="B572" s="9"/>
      <c r="C572" s="9"/>
      <c r="D572" s="43"/>
      <c r="E572" s="9"/>
      <c r="F572" s="9"/>
      <c r="G572" s="47" t="str">
        <f>IF(F572="","",INDEX(站位样品信息!$B$3:INDEX(站位样品信息!$B:$B,COUNTA(站位样品信息!$B:$B)+1),MATCH($F572,站位样品信息!$A$3:INDEX(站位样品信息!$A:$A,COUNTA(站位样品信息!$A:$A)+1),),))</f>
        <v/>
      </c>
      <c r="H572" s="37" t="str">
        <f>IF(A572&amp;B572&amp;C572="","",INDEX(生物种群!$A$2:INDEX(生物种群!$A:$A,COUNTA(生物种群!$A:$A)),MATCH($I572,生物种群!$B$2:INDEX(生物种群!$B:$B,COUNTA(生物种群!$B:$B)),),))</f>
        <v/>
      </c>
      <c r="I572" s="37" t="str">
        <f>IF(A572&amp;B572&amp;C572="","",IF($C572&lt;&gt;0,INDEX(生物种群!$B$2:INDEX(生物种群!$B:$B,COUNTA(生物种群!$B:$B)),MATCH($C572,生物种群!$G$2:INDEX(生物种群!$G:$G,COUNTA(生物种群!$G:$G)),),),IF($A572&lt;&gt;0,INDEX(生物种群!$B$2:INDEX(生物种群!$B:$B,COUNTA(生物种群!$B:$B)),MATCH($A572,生物种群!$C$2:INDEX(生物种群!$C:$C,COUNTA(生物种群!$C:$C)),),),INDEX(生物种群!$B$2:INDEX(生物种群!$B:$B,COUNTA(生物种群!$B:$B)),MATCH($B572,生物种群!$D$2:INDEX(生物种群!$D:$D,COUNTA(生物种群!$D:$D)),),))))</f>
        <v/>
      </c>
      <c r="J572" s="37" t="str">
        <f>IF(A572&amp;B572&amp;C572="","",INDEX(生物种群!$J$2:INDEX(生物种群!$J:$J,COUNTA(生物种群!$J:$J)),MATCH($I572,生物种群!$B$2:INDEX(生物种群!$B:$B,COUNTA(生物种群!$B:$B)),),))</f>
        <v/>
      </c>
      <c r="K572" s="37" t="str">
        <f>IF(A572&amp;B572&amp;C572="","",INDEX(生物种群!$E$2:INDEX(生物种群!$E:$E,COUNTA(生物种群!$E:$E)),MATCH($I572,生物种群!$B$2:INDEX(生物种群!$B:$B,COUNTA(生物种群!$B:$B)),),))</f>
        <v/>
      </c>
      <c r="L572" s="37" t="str">
        <f>IF(A572&amp;B572&amp;C572="","",INDEX(生物种群!$F$3:INDEX(生物种群!$F:$F,COUNTA(生物种群!$F:$F)),MATCH($I572,生物种群!$B$3:INDEX(生物种群!$B:$B,COUNTA(生物种群!$B:$B)),),))</f>
        <v/>
      </c>
      <c r="M572" s="37" t="str">
        <f t="shared" si="16"/>
        <v/>
      </c>
      <c r="N572" s="37" t="str">
        <f t="shared" si="17"/>
        <v/>
      </c>
      <c r="O572" s="9"/>
      <c r="P572" s="10"/>
    </row>
    <row r="573" spans="1:16" ht="20.1" customHeight="1">
      <c r="A573" s="9"/>
      <c r="B573" s="9"/>
      <c r="C573" s="9"/>
      <c r="D573" s="43"/>
      <c r="E573" s="9"/>
      <c r="F573" s="9"/>
      <c r="G573" s="47" t="str">
        <f>IF(F573="","",INDEX(站位样品信息!$B$3:INDEX(站位样品信息!$B:$B,COUNTA(站位样品信息!$B:$B)+1),MATCH($F573,站位样品信息!$A$3:INDEX(站位样品信息!$A:$A,COUNTA(站位样品信息!$A:$A)+1),),))</f>
        <v/>
      </c>
      <c r="H573" s="37" t="str">
        <f>IF(A573&amp;B573&amp;C573="","",INDEX(生物种群!$A$2:INDEX(生物种群!$A:$A,COUNTA(生物种群!$A:$A)),MATCH($I573,生物种群!$B$2:INDEX(生物种群!$B:$B,COUNTA(生物种群!$B:$B)),),))</f>
        <v/>
      </c>
      <c r="I573" s="37" t="str">
        <f>IF(A573&amp;B573&amp;C573="","",IF($C573&lt;&gt;0,INDEX(生物种群!$B$2:INDEX(生物种群!$B:$B,COUNTA(生物种群!$B:$B)),MATCH($C573,生物种群!$G$2:INDEX(生物种群!$G:$G,COUNTA(生物种群!$G:$G)),),),IF($A573&lt;&gt;0,INDEX(生物种群!$B$2:INDEX(生物种群!$B:$B,COUNTA(生物种群!$B:$B)),MATCH($A573,生物种群!$C$2:INDEX(生物种群!$C:$C,COUNTA(生物种群!$C:$C)),),),INDEX(生物种群!$B$2:INDEX(生物种群!$B:$B,COUNTA(生物种群!$B:$B)),MATCH($B573,生物种群!$D$2:INDEX(生物种群!$D:$D,COUNTA(生物种群!$D:$D)),),))))</f>
        <v/>
      </c>
      <c r="J573" s="37" t="str">
        <f>IF(A573&amp;B573&amp;C573="","",INDEX(生物种群!$J$2:INDEX(生物种群!$J:$J,COUNTA(生物种群!$J:$J)),MATCH($I573,生物种群!$B$2:INDEX(生物种群!$B:$B,COUNTA(生物种群!$B:$B)),),))</f>
        <v/>
      </c>
      <c r="K573" s="37" t="str">
        <f>IF(A573&amp;B573&amp;C573="","",INDEX(生物种群!$E$2:INDEX(生物种群!$E:$E,COUNTA(生物种群!$E:$E)),MATCH($I573,生物种群!$B$2:INDEX(生物种群!$B:$B,COUNTA(生物种群!$B:$B)),),))</f>
        <v/>
      </c>
      <c r="L573" s="37" t="str">
        <f>IF(A573&amp;B573&amp;C573="","",INDEX(生物种群!$F$3:INDEX(生物种群!$F:$F,COUNTA(生物种群!$F:$F)),MATCH($I573,生物种群!$B$3:INDEX(生物种群!$B:$B,COUNTA(生物种群!$B:$B)),),))</f>
        <v/>
      </c>
      <c r="M573" s="37" t="str">
        <f t="shared" si="16"/>
        <v/>
      </c>
      <c r="N573" s="37" t="str">
        <f t="shared" si="17"/>
        <v/>
      </c>
      <c r="O573" s="9"/>
      <c r="P573" s="10"/>
    </row>
    <row r="574" spans="1:16" ht="20.1" customHeight="1">
      <c r="A574" s="9"/>
      <c r="B574" s="9"/>
      <c r="C574" s="9"/>
      <c r="D574" s="43"/>
      <c r="E574" s="9"/>
      <c r="F574" s="9"/>
      <c r="G574" s="47" t="str">
        <f>IF(F574="","",INDEX(站位样品信息!$B$3:INDEX(站位样品信息!$B:$B,COUNTA(站位样品信息!$B:$B)+1),MATCH($F574,站位样品信息!$A$3:INDEX(站位样品信息!$A:$A,COUNTA(站位样品信息!$A:$A)+1),),))</f>
        <v/>
      </c>
      <c r="H574" s="37" t="str">
        <f>IF(A574&amp;B574&amp;C574="","",INDEX(生物种群!$A$2:INDEX(生物种群!$A:$A,COUNTA(生物种群!$A:$A)),MATCH($I574,生物种群!$B$2:INDEX(生物种群!$B:$B,COUNTA(生物种群!$B:$B)),),))</f>
        <v/>
      </c>
      <c r="I574" s="37" t="str">
        <f>IF(A574&amp;B574&amp;C574="","",IF($C574&lt;&gt;0,INDEX(生物种群!$B$2:INDEX(生物种群!$B:$B,COUNTA(生物种群!$B:$B)),MATCH($C574,生物种群!$G$2:INDEX(生物种群!$G:$G,COUNTA(生物种群!$G:$G)),),),IF($A574&lt;&gt;0,INDEX(生物种群!$B$2:INDEX(生物种群!$B:$B,COUNTA(生物种群!$B:$B)),MATCH($A574,生物种群!$C$2:INDEX(生物种群!$C:$C,COUNTA(生物种群!$C:$C)),),),INDEX(生物种群!$B$2:INDEX(生物种群!$B:$B,COUNTA(生物种群!$B:$B)),MATCH($B574,生物种群!$D$2:INDEX(生物种群!$D:$D,COUNTA(生物种群!$D:$D)),),))))</f>
        <v/>
      </c>
      <c r="J574" s="37" t="str">
        <f>IF(A574&amp;B574&amp;C574="","",INDEX(生物种群!$J$2:INDEX(生物种群!$J:$J,COUNTA(生物种群!$J:$J)),MATCH($I574,生物种群!$B$2:INDEX(生物种群!$B:$B,COUNTA(生物种群!$B:$B)),),))</f>
        <v/>
      </c>
      <c r="K574" s="37" t="str">
        <f>IF(A574&amp;B574&amp;C574="","",INDEX(生物种群!$E$2:INDEX(生物种群!$E:$E,COUNTA(生物种群!$E:$E)),MATCH($I574,生物种群!$B$2:INDEX(生物种群!$B:$B,COUNTA(生物种群!$B:$B)),),))</f>
        <v/>
      </c>
      <c r="L574" s="37" t="str">
        <f>IF(A574&amp;B574&amp;C574="","",INDEX(生物种群!$F$3:INDEX(生物种群!$F:$F,COUNTA(生物种群!$F:$F)),MATCH($I574,生物种群!$B$3:INDEX(生物种群!$B:$B,COUNTA(生物种群!$B:$B)),),))</f>
        <v/>
      </c>
      <c r="M574" s="37" t="str">
        <f t="shared" si="16"/>
        <v/>
      </c>
      <c r="N574" s="37" t="str">
        <f t="shared" si="17"/>
        <v/>
      </c>
      <c r="O574" s="9"/>
      <c r="P574" s="10"/>
    </row>
    <row r="575" spans="1:16" ht="20.1" customHeight="1">
      <c r="A575" s="9"/>
      <c r="B575" s="9"/>
      <c r="C575" s="9"/>
      <c r="D575" s="43"/>
      <c r="E575" s="9"/>
      <c r="F575" s="9"/>
      <c r="G575" s="47" t="str">
        <f>IF(F575="","",INDEX(站位样品信息!$B$3:INDEX(站位样品信息!$B:$B,COUNTA(站位样品信息!$B:$B)+1),MATCH($F575,站位样品信息!$A$3:INDEX(站位样品信息!$A:$A,COUNTA(站位样品信息!$A:$A)+1),),))</f>
        <v/>
      </c>
      <c r="H575" s="37" t="str">
        <f>IF(A575&amp;B575&amp;C575="","",INDEX(生物种群!$A$2:INDEX(生物种群!$A:$A,COUNTA(生物种群!$A:$A)),MATCH($I575,生物种群!$B$2:INDEX(生物种群!$B:$B,COUNTA(生物种群!$B:$B)),),))</f>
        <v/>
      </c>
      <c r="I575" s="37" t="str">
        <f>IF(A575&amp;B575&amp;C575="","",IF($C575&lt;&gt;0,INDEX(生物种群!$B$2:INDEX(生物种群!$B:$B,COUNTA(生物种群!$B:$B)),MATCH($C575,生物种群!$G$2:INDEX(生物种群!$G:$G,COUNTA(生物种群!$G:$G)),),),IF($A575&lt;&gt;0,INDEX(生物种群!$B$2:INDEX(生物种群!$B:$B,COUNTA(生物种群!$B:$B)),MATCH($A575,生物种群!$C$2:INDEX(生物种群!$C:$C,COUNTA(生物种群!$C:$C)),),),INDEX(生物种群!$B$2:INDEX(生物种群!$B:$B,COUNTA(生物种群!$B:$B)),MATCH($B575,生物种群!$D$2:INDEX(生物种群!$D:$D,COUNTA(生物种群!$D:$D)),),))))</f>
        <v/>
      </c>
      <c r="J575" s="37" t="str">
        <f>IF(A575&amp;B575&amp;C575="","",INDEX(生物种群!$J$2:INDEX(生物种群!$J:$J,COUNTA(生物种群!$J:$J)),MATCH($I575,生物种群!$B$2:INDEX(生物种群!$B:$B,COUNTA(生物种群!$B:$B)),),))</f>
        <v/>
      </c>
      <c r="K575" s="37" t="str">
        <f>IF(A575&amp;B575&amp;C575="","",INDEX(生物种群!$E$2:INDEX(生物种群!$E:$E,COUNTA(生物种群!$E:$E)),MATCH($I575,生物种群!$B$2:INDEX(生物种群!$B:$B,COUNTA(生物种群!$B:$B)),),))</f>
        <v/>
      </c>
      <c r="L575" s="37" t="str">
        <f>IF(A575&amp;B575&amp;C575="","",INDEX(生物种群!$F$3:INDEX(生物种群!$F:$F,COUNTA(生物种群!$F:$F)),MATCH($I575,生物种群!$B$3:INDEX(生物种群!$B:$B,COUNTA(生物种群!$B:$B)),),))</f>
        <v/>
      </c>
      <c r="M575" s="37" t="str">
        <f t="shared" si="16"/>
        <v/>
      </c>
      <c r="N575" s="37" t="str">
        <f t="shared" si="17"/>
        <v/>
      </c>
      <c r="O575" s="9"/>
      <c r="P575" s="10"/>
    </row>
    <row r="576" spans="1:16" ht="20.1" customHeight="1">
      <c r="A576" s="9"/>
      <c r="B576" s="9"/>
      <c r="C576" s="9"/>
      <c r="D576" s="43"/>
      <c r="E576" s="9"/>
      <c r="F576" s="9"/>
      <c r="G576" s="47" t="str">
        <f>IF(F576="","",INDEX(站位样品信息!$B$3:INDEX(站位样品信息!$B:$B,COUNTA(站位样品信息!$B:$B)+1),MATCH($F576,站位样品信息!$A$3:INDEX(站位样品信息!$A:$A,COUNTA(站位样品信息!$A:$A)+1),),))</f>
        <v/>
      </c>
      <c r="H576" s="37" t="str">
        <f>IF(A576&amp;B576&amp;C576="","",INDEX(生物种群!$A$2:INDEX(生物种群!$A:$A,COUNTA(生物种群!$A:$A)),MATCH($I576,生物种群!$B$2:INDEX(生物种群!$B:$B,COUNTA(生物种群!$B:$B)),),))</f>
        <v/>
      </c>
      <c r="I576" s="37" t="str">
        <f>IF(A576&amp;B576&amp;C576="","",IF($C576&lt;&gt;0,INDEX(生物种群!$B$2:INDEX(生物种群!$B:$B,COUNTA(生物种群!$B:$B)),MATCH($C576,生物种群!$G$2:INDEX(生物种群!$G:$G,COUNTA(生物种群!$G:$G)),),),IF($A576&lt;&gt;0,INDEX(生物种群!$B$2:INDEX(生物种群!$B:$B,COUNTA(生物种群!$B:$B)),MATCH($A576,生物种群!$C$2:INDEX(生物种群!$C:$C,COUNTA(生物种群!$C:$C)),),),INDEX(生物种群!$B$2:INDEX(生物种群!$B:$B,COUNTA(生物种群!$B:$B)),MATCH($B576,生物种群!$D$2:INDEX(生物种群!$D:$D,COUNTA(生物种群!$D:$D)),),))))</f>
        <v/>
      </c>
      <c r="J576" s="37" t="str">
        <f>IF(A576&amp;B576&amp;C576="","",INDEX(生物种群!$J$2:INDEX(生物种群!$J:$J,COUNTA(生物种群!$J:$J)),MATCH($I576,生物种群!$B$2:INDEX(生物种群!$B:$B,COUNTA(生物种群!$B:$B)),),))</f>
        <v/>
      </c>
      <c r="K576" s="37" t="str">
        <f>IF(A576&amp;B576&amp;C576="","",INDEX(生物种群!$E$2:INDEX(生物种群!$E:$E,COUNTA(生物种群!$E:$E)),MATCH($I576,生物种群!$B$2:INDEX(生物种群!$B:$B,COUNTA(生物种群!$B:$B)),),))</f>
        <v/>
      </c>
      <c r="L576" s="37" t="str">
        <f>IF(A576&amp;B576&amp;C576="","",INDEX(生物种群!$F$3:INDEX(生物种群!$F:$F,COUNTA(生物种群!$F:$F)),MATCH($I576,生物种群!$B$3:INDEX(生物种群!$B:$B,COUNTA(生物种群!$B:$B)),),))</f>
        <v/>
      </c>
      <c r="M576" s="37" t="str">
        <f t="shared" si="16"/>
        <v/>
      </c>
      <c r="N576" s="37" t="str">
        <f t="shared" si="17"/>
        <v/>
      </c>
      <c r="O576" s="9"/>
      <c r="P576" s="10"/>
    </row>
    <row r="577" spans="1:16" ht="20.1" customHeight="1">
      <c r="A577" s="9"/>
      <c r="B577" s="9"/>
      <c r="C577" s="9"/>
      <c r="D577" s="43"/>
      <c r="E577" s="9"/>
      <c r="F577" s="9"/>
      <c r="G577" s="47" t="str">
        <f>IF(F577="","",INDEX(站位样品信息!$B$3:INDEX(站位样品信息!$B:$B,COUNTA(站位样品信息!$B:$B)+1),MATCH($F577,站位样品信息!$A$3:INDEX(站位样品信息!$A:$A,COUNTA(站位样品信息!$A:$A)+1),),))</f>
        <v/>
      </c>
      <c r="H577" s="37" t="str">
        <f>IF(A577&amp;B577&amp;C577="","",INDEX(生物种群!$A$2:INDEX(生物种群!$A:$A,COUNTA(生物种群!$A:$A)),MATCH($I577,生物种群!$B$2:INDEX(生物种群!$B:$B,COUNTA(生物种群!$B:$B)),),))</f>
        <v/>
      </c>
      <c r="I577" s="37" t="str">
        <f>IF(A577&amp;B577&amp;C577="","",IF($C577&lt;&gt;0,INDEX(生物种群!$B$2:INDEX(生物种群!$B:$B,COUNTA(生物种群!$B:$B)),MATCH($C577,生物种群!$G$2:INDEX(生物种群!$G:$G,COUNTA(生物种群!$G:$G)),),),IF($A577&lt;&gt;0,INDEX(生物种群!$B$2:INDEX(生物种群!$B:$B,COUNTA(生物种群!$B:$B)),MATCH($A577,生物种群!$C$2:INDEX(生物种群!$C:$C,COUNTA(生物种群!$C:$C)),),),INDEX(生物种群!$B$2:INDEX(生物种群!$B:$B,COUNTA(生物种群!$B:$B)),MATCH($B577,生物种群!$D$2:INDEX(生物种群!$D:$D,COUNTA(生物种群!$D:$D)),),))))</f>
        <v/>
      </c>
      <c r="J577" s="37" t="str">
        <f>IF(A577&amp;B577&amp;C577="","",INDEX(生物种群!$J$2:INDEX(生物种群!$J:$J,COUNTA(生物种群!$J:$J)),MATCH($I577,生物种群!$B$2:INDEX(生物种群!$B:$B,COUNTA(生物种群!$B:$B)),),))</f>
        <v/>
      </c>
      <c r="K577" s="37" t="str">
        <f>IF(A577&amp;B577&amp;C577="","",INDEX(生物种群!$E$2:INDEX(生物种群!$E:$E,COUNTA(生物种群!$E:$E)),MATCH($I577,生物种群!$B$2:INDEX(生物种群!$B:$B,COUNTA(生物种群!$B:$B)),),))</f>
        <v/>
      </c>
      <c r="L577" s="37" t="str">
        <f>IF(A577&amp;B577&amp;C577="","",INDEX(生物种群!$F$3:INDEX(生物种群!$F:$F,COUNTA(生物种群!$F:$F)),MATCH($I577,生物种群!$B$3:INDEX(生物种群!$B:$B,COUNTA(生物种群!$B:$B)),),))</f>
        <v/>
      </c>
      <c r="M577" s="37" t="str">
        <f t="shared" si="16"/>
        <v/>
      </c>
      <c r="N577" s="37" t="str">
        <f t="shared" si="17"/>
        <v/>
      </c>
      <c r="O577" s="9"/>
      <c r="P577" s="10"/>
    </row>
    <row r="578" spans="1:16" ht="20.1" customHeight="1">
      <c r="A578" s="9"/>
      <c r="B578" s="9"/>
      <c r="C578" s="9"/>
      <c r="D578" s="43"/>
      <c r="E578" s="9"/>
      <c r="F578" s="9"/>
      <c r="G578" s="47" t="str">
        <f>IF(F578="","",INDEX(站位样品信息!$B$3:INDEX(站位样品信息!$B:$B,COUNTA(站位样品信息!$B:$B)+1),MATCH($F578,站位样品信息!$A$3:INDEX(站位样品信息!$A:$A,COUNTA(站位样品信息!$A:$A)+1),),))</f>
        <v/>
      </c>
      <c r="H578" s="37" t="str">
        <f>IF(A578&amp;B578&amp;C578="","",INDEX(生物种群!$A$2:INDEX(生物种群!$A:$A,COUNTA(生物种群!$A:$A)),MATCH($I578,生物种群!$B$2:INDEX(生物种群!$B:$B,COUNTA(生物种群!$B:$B)),),))</f>
        <v/>
      </c>
      <c r="I578" s="37" t="str">
        <f>IF(A578&amp;B578&amp;C578="","",IF($C578&lt;&gt;0,INDEX(生物种群!$B$2:INDEX(生物种群!$B:$B,COUNTA(生物种群!$B:$B)),MATCH($C578,生物种群!$G$2:INDEX(生物种群!$G:$G,COUNTA(生物种群!$G:$G)),),),IF($A578&lt;&gt;0,INDEX(生物种群!$B$2:INDEX(生物种群!$B:$B,COUNTA(生物种群!$B:$B)),MATCH($A578,生物种群!$C$2:INDEX(生物种群!$C:$C,COUNTA(生物种群!$C:$C)),),),INDEX(生物种群!$B$2:INDEX(生物种群!$B:$B,COUNTA(生物种群!$B:$B)),MATCH($B578,生物种群!$D$2:INDEX(生物种群!$D:$D,COUNTA(生物种群!$D:$D)),),))))</f>
        <v/>
      </c>
      <c r="J578" s="37" t="str">
        <f>IF(A578&amp;B578&amp;C578="","",INDEX(生物种群!$J$2:INDEX(生物种群!$J:$J,COUNTA(生物种群!$J:$J)),MATCH($I578,生物种群!$B$2:INDEX(生物种群!$B:$B,COUNTA(生物种群!$B:$B)),),))</f>
        <v/>
      </c>
      <c r="K578" s="37" t="str">
        <f>IF(A578&amp;B578&amp;C578="","",INDEX(生物种群!$E$2:INDEX(生物种群!$E:$E,COUNTA(生物种群!$E:$E)),MATCH($I578,生物种群!$B$2:INDEX(生物种群!$B:$B,COUNTA(生物种群!$B:$B)),),))</f>
        <v/>
      </c>
      <c r="L578" s="37" t="str">
        <f>IF(A578&amp;B578&amp;C578="","",INDEX(生物种群!$F$3:INDEX(生物种群!$F:$F,COUNTA(生物种群!$F:$F)),MATCH($I578,生物种群!$B$3:INDEX(生物种群!$B:$B,COUNTA(生物种群!$B:$B)),),))</f>
        <v/>
      </c>
      <c r="M578" s="37" t="str">
        <f t="shared" si="16"/>
        <v/>
      </c>
      <c r="N578" s="37" t="str">
        <f t="shared" si="17"/>
        <v/>
      </c>
      <c r="O578" s="9"/>
      <c r="P578" s="10"/>
    </row>
    <row r="579" spans="1:16" ht="20.1" customHeight="1">
      <c r="A579" s="9"/>
      <c r="B579" s="9"/>
      <c r="C579" s="9"/>
      <c r="D579" s="43"/>
      <c r="E579" s="9"/>
      <c r="F579" s="9"/>
      <c r="G579" s="47" t="str">
        <f>IF(F579="","",INDEX(站位样品信息!$B$3:INDEX(站位样品信息!$B:$B,COUNTA(站位样品信息!$B:$B)+1),MATCH($F579,站位样品信息!$A$3:INDEX(站位样品信息!$A:$A,COUNTA(站位样品信息!$A:$A)+1),),))</f>
        <v/>
      </c>
      <c r="H579" s="37" t="str">
        <f>IF(A579&amp;B579&amp;C579="","",INDEX(生物种群!$A$2:INDEX(生物种群!$A:$A,COUNTA(生物种群!$A:$A)),MATCH($I579,生物种群!$B$2:INDEX(生物种群!$B:$B,COUNTA(生物种群!$B:$B)),),))</f>
        <v/>
      </c>
      <c r="I579" s="37" t="str">
        <f>IF(A579&amp;B579&amp;C579="","",IF($C579&lt;&gt;0,INDEX(生物种群!$B$2:INDEX(生物种群!$B:$B,COUNTA(生物种群!$B:$B)),MATCH($C579,生物种群!$G$2:INDEX(生物种群!$G:$G,COUNTA(生物种群!$G:$G)),),),IF($A579&lt;&gt;0,INDEX(生物种群!$B$2:INDEX(生物种群!$B:$B,COUNTA(生物种群!$B:$B)),MATCH($A579,生物种群!$C$2:INDEX(生物种群!$C:$C,COUNTA(生物种群!$C:$C)),),),INDEX(生物种群!$B$2:INDEX(生物种群!$B:$B,COUNTA(生物种群!$B:$B)),MATCH($B579,生物种群!$D$2:INDEX(生物种群!$D:$D,COUNTA(生物种群!$D:$D)),),))))</f>
        <v/>
      </c>
      <c r="J579" s="37" t="str">
        <f>IF(A579&amp;B579&amp;C579="","",INDEX(生物种群!$J$2:INDEX(生物种群!$J:$J,COUNTA(生物种群!$J:$J)),MATCH($I579,生物种群!$B$2:INDEX(生物种群!$B:$B,COUNTA(生物种群!$B:$B)),),))</f>
        <v/>
      </c>
      <c r="K579" s="37" t="str">
        <f>IF(A579&amp;B579&amp;C579="","",INDEX(生物种群!$E$2:INDEX(生物种群!$E:$E,COUNTA(生物种群!$E:$E)),MATCH($I579,生物种群!$B$2:INDEX(生物种群!$B:$B,COUNTA(生物种群!$B:$B)),),))</f>
        <v/>
      </c>
      <c r="L579" s="37" t="str">
        <f>IF(A579&amp;B579&amp;C579="","",INDEX(生物种群!$F$3:INDEX(生物种群!$F:$F,COUNTA(生物种群!$F:$F)),MATCH($I579,生物种群!$B$3:INDEX(生物种群!$B:$B,COUNTA(生物种群!$B:$B)),),))</f>
        <v/>
      </c>
      <c r="M579" s="37" t="str">
        <f t="shared" si="18" ref="M579:M642">IF(F579&gt;0,F579&amp;I579&amp;E579,"")</f>
        <v/>
      </c>
      <c r="N579" s="37" t="str">
        <f t="shared" si="19" ref="N579:N642">IF(COUNTIF($M:$M,M579)=1,"",IF(A579&amp;B579&amp;C579="","","重复"))</f>
        <v/>
      </c>
      <c r="O579" s="9"/>
      <c r="P579" s="10"/>
    </row>
    <row r="580" spans="1:16" ht="20.1" customHeight="1">
      <c r="A580" s="9"/>
      <c r="B580" s="9"/>
      <c r="C580" s="9"/>
      <c r="D580" s="43"/>
      <c r="E580" s="9"/>
      <c r="F580" s="9"/>
      <c r="G580" s="47" t="str">
        <f>IF(F580="","",INDEX(站位样品信息!$B$3:INDEX(站位样品信息!$B:$B,COUNTA(站位样品信息!$B:$B)+1),MATCH($F580,站位样品信息!$A$3:INDEX(站位样品信息!$A:$A,COUNTA(站位样品信息!$A:$A)+1),),))</f>
        <v/>
      </c>
      <c r="H580" s="37" t="str">
        <f>IF(A580&amp;B580&amp;C580="","",INDEX(生物种群!$A$2:INDEX(生物种群!$A:$A,COUNTA(生物种群!$A:$A)),MATCH($I580,生物种群!$B$2:INDEX(生物种群!$B:$B,COUNTA(生物种群!$B:$B)),),))</f>
        <v/>
      </c>
      <c r="I580" s="37" t="str">
        <f>IF(A580&amp;B580&amp;C580="","",IF($C580&lt;&gt;0,INDEX(生物种群!$B$2:INDEX(生物种群!$B:$B,COUNTA(生物种群!$B:$B)),MATCH($C580,生物种群!$G$2:INDEX(生物种群!$G:$G,COUNTA(生物种群!$G:$G)),),),IF($A580&lt;&gt;0,INDEX(生物种群!$B$2:INDEX(生物种群!$B:$B,COUNTA(生物种群!$B:$B)),MATCH($A580,生物种群!$C$2:INDEX(生物种群!$C:$C,COUNTA(生物种群!$C:$C)),),),INDEX(生物种群!$B$2:INDEX(生物种群!$B:$B,COUNTA(生物种群!$B:$B)),MATCH($B580,生物种群!$D$2:INDEX(生物种群!$D:$D,COUNTA(生物种群!$D:$D)),),))))</f>
        <v/>
      </c>
      <c r="J580" s="37" t="str">
        <f>IF(A580&amp;B580&amp;C580="","",INDEX(生物种群!$J$2:INDEX(生物种群!$J:$J,COUNTA(生物种群!$J:$J)),MATCH($I580,生物种群!$B$2:INDEX(生物种群!$B:$B,COUNTA(生物种群!$B:$B)),),))</f>
        <v/>
      </c>
      <c r="K580" s="37" t="str">
        <f>IF(A580&amp;B580&amp;C580="","",INDEX(生物种群!$E$2:INDEX(生物种群!$E:$E,COUNTA(生物种群!$E:$E)),MATCH($I580,生物种群!$B$2:INDEX(生物种群!$B:$B,COUNTA(生物种群!$B:$B)),),))</f>
        <v/>
      </c>
      <c r="L580" s="37" t="str">
        <f>IF(A580&amp;B580&amp;C580="","",INDEX(生物种群!$F$3:INDEX(生物种群!$F:$F,COUNTA(生物种群!$F:$F)),MATCH($I580,生物种群!$B$3:INDEX(生物种群!$B:$B,COUNTA(生物种群!$B:$B)),),))</f>
        <v/>
      </c>
      <c r="M580" s="37" t="str">
        <f t="shared" si="18"/>
        <v/>
      </c>
      <c r="N580" s="37" t="str">
        <f t="shared" si="19"/>
        <v/>
      </c>
      <c r="O580" s="9"/>
      <c r="P580" s="10"/>
    </row>
    <row r="581" spans="1:16" ht="20.1" customHeight="1">
      <c r="A581" s="9"/>
      <c r="B581" s="9"/>
      <c r="C581" s="9"/>
      <c r="D581" s="43"/>
      <c r="E581" s="9"/>
      <c r="F581" s="9"/>
      <c r="G581" s="47" t="str">
        <f>IF(F581="","",INDEX(站位样品信息!$B$3:INDEX(站位样品信息!$B:$B,COUNTA(站位样品信息!$B:$B)+1),MATCH($F581,站位样品信息!$A$3:INDEX(站位样品信息!$A:$A,COUNTA(站位样品信息!$A:$A)+1),),))</f>
        <v/>
      </c>
      <c r="H581" s="37" t="str">
        <f>IF(A581&amp;B581&amp;C581="","",INDEX(生物种群!$A$2:INDEX(生物种群!$A:$A,COUNTA(生物种群!$A:$A)),MATCH($I581,生物种群!$B$2:INDEX(生物种群!$B:$B,COUNTA(生物种群!$B:$B)),),))</f>
        <v/>
      </c>
      <c r="I581" s="37" t="str">
        <f>IF(A581&amp;B581&amp;C581="","",IF($C581&lt;&gt;0,INDEX(生物种群!$B$2:INDEX(生物种群!$B:$B,COUNTA(生物种群!$B:$B)),MATCH($C581,生物种群!$G$2:INDEX(生物种群!$G:$G,COUNTA(生物种群!$G:$G)),),),IF($A581&lt;&gt;0,INDEX(生物种群!$B$2:INDEX(生物种群!$B:$B,COUNTA(生物种群!$B:$B)),MATCH($A581,生物种群!$C$2:INDEX(生物种群!$C:$C,COUNTA(生物种群!$C:$C)),),),INDEX(生物种群!$B$2:INDEX(生物种群!$B:$B,COUNTA(生物种群!$B:$B)),MATCH($B581,生物种群!$D$2:INDEX(生物种群!$D:$D,COUNTA(生物种群!$D:$D)),),))))</f>
        <v/>
      </c>
      <c r="J581" s="37" t="str">
        <f>IF(A581&amp;B581&amp;C581="","",INDEX(生物种群!$J$2:INDEX(生物种群!$J:$J,COUNTA(生物种群!$J:$J)),MATCH($I581,生物种群!$B$2:INDEX(生物种群!$B:$B,COUNTA(生物种群!$B:$B)),),))</f>
        <v/>
      </c>
      <c r="K581" s="37" t="str">
        <f>IF(A581&amp;B581&amp;C581="","",INDEX(生物种群!$E$2:INDEX(生物种群!$E:$E,COUNTA(生物种群!$E:$E)),MATCH($I581,生物种群!$B$2:INDEX(生物种群!$B:$B,COUNTA(生物种群!$B:$B)),),))</f>
        <v/>
      </c>
      <c r="L581" s="37" t="str">
        <f>IF(A581&amp;B581&amp;C581="","",INDEX(生物种群!$F$3:INDEX(生物种群!$F:$F,COUNTA(生物种群!$F:$F)),MATCH($I581,生物种群!$B$3:INDEX(生物种群!$B:$B,COUNTA(生物种群!$B:$B)),),))</f>
        <v/>
      </c>
      <c r="M581" s="37" t="str">
        <f t="shared" si="18"/>
        <v/>
      </c>
      <c r="N581" s="37" t="str">
        <f t="shared" si="19"/>
        <v/>
      </c>
      <c r="O581" s="9"/>
      <c r="P581" s="10"/>
    </row>
    <row r="582" spans="1:16" ht="20.1" customHeight="1">
      <c r="A582" s="9"/>
      <c r="B582" s="9"/>
      <c r="C582" s="9"/>
      <c r="D582" s="43"/>
      <c r="E582" s="9"/>
      <c r="F582" s="9"/>
      <c r="G582" s="47" t="str">
        <f>IF(F582="","",INDEX(站位样品信息!$B$3:INDEX(站位样品信息!$B:$B,COUNTA(站位样品信息!$B:$B)+1),MATCH($F582,站位样品信息!$A$3:INDEX(站位样品信息!$A:$A,COUNTA(站位样品信息!$A:$A)+1),),))</f>
        <v/>
      </c>
      <c r="H582" s="37" t="str">
        <f>IF(A582&amp;B582&amp;C582="","",INDEX(生物种群!$A$2:INDEX(生物种群!$A:$A,COUNTA(生物种群!$A:$A)),MATCH($I582,生物种群!$B$2:INDEX(生物种群!$B:$B,COUNTA(生物种群!$B:$B)),),))</f>
        <v/>
      </c>
      <c r="I582" s="37" t="str">
        <f>IF(A582&amp;B582&amp;C582="","",IF($C582&lt;&gt;0,INDEX(生物种群!$B$2:INDEX(生物种群!$B:$B,COUNTA(生物种群!$B:$B)),MATCH($C582,生物种群!$G$2:INDEX(生物种群!$G:$G,COUNTA(生物种群!$G:$G)),),),IF($A582&lt;&gt;0,INDEX(生物种群!$B$2:INDEX(生物种群!$B:$B,COUNTA(生物种群!$B:$B)),MATCH($A582,生物种群!$C$2:INDEX(生物种群!$C:$C,COUNTA(生物种群!$C:$C)),),),INDEX(生物种群!$B$2:INDEX(生物种群!$B:$B,COUNTA(生物种群!$B:$B)),MATCH($B582,生物种群!$D$2:INDEX(生物种群!$D:$D,COUNTA(生物种群!$D:$D)),),))))</f>
        <v/>
      </c>
      <c r="J582" s="37" t="str">
        <f>IF(A582&amp;B582&amp;C582="","",INDEX(生物种群!$J$2:INDEX(生物种群!$J:$J,COUNTA(生物种群!$J:$J)),MATCH($I582,生物种群!$B$2:INDEX(生物种群!$B:$B,COUNTA(生物种群!$B:$B)),),))</f>
        <v/>
      </c>
      <c r="K582" s="37" t="str">
        <f>IF(A582&amp;B582&amp;C582="","",INDEX(生物种群!$E$2:INDEX(生物种群!$E:$E,COUNTA(生物种群!$E:$E)),MATCH($I582,生物种群!$B$2:INDEX(生物种群!$B:$B,COUNTA(生物种群!$B:$B)),),))</f>
        <v/>
      </c>
      <c r="L582" s="37" t="str">
        <f>IF(A582&amp;B582&amp;C582="","",INDEX(生物种群!$F$3:INDEX(生物种群!$F:$F,COUNTA(生物种群!$F:$F)),MATCH($I582,生物种群!$B$3:INDEX(生物种群!$B:$B,COUNTA(生物种群!$B:$B)),),))</f>
        <v/>
      </c>
      <c r="M582" s="37" t="str">
        <f t="shared" si="18"/>
        <v/>
      </c>
      <c r="N582" s="37" t="str">
        <f t="shared" si="19"/>
        <v/>
      </c>
      <c r="O582" s="9"/>
      <c r="P582" s="10"/>
    </row>
    <row r="583" spans="1:16" ht="20.1" customHeight="1">
      <c r="A583" s="9"/>
      <c r="B583" s="9"/>
      <c r="C583" s="9"/>
      <c r="D583" s="43"/>
      <c r="E583" s="9"/>
      <c r="F583" s="9"/>
      <c r="G583" s="47" t="str">
        <f>IF(F583="","",INDEX(站位样品信息!$B$3:INDEX(站位样品信息!$B:$B,COUNTA(站位样品信息!$B:$B)+1),MATCH($F583,站位样品信息!$A$3:INDEX(站位样品信息!$A:$A,COUNTA(站位样品信息!$A:$A)+1),),))</f>
        <v/>
      </c>
      <c r="H583" s="37" t="str">
        <f>IF(A583&amp;B583&amp;C583="","",INDEX(生物种群!$A$2:INDEX(生物种群!$A:$A,COUNTA(生物种群!$A:$A)),MATCH($I583,生物种群!$B$2:INDEX(生物种群!$B:$B,COUNTA(生物种群!$B:$B)),),))</f>
        <v/>
      </c>
      <c r="I583" s="37" t="str">
        <f>IF(A583&amp;B583&amp;C583="","",IF($C583&lt;&gt;0,INDEX(生物种群!$B$2:INDEX(生物种群!$B:$B,COUNTA(生物种群!$B:$B)),MATCH($C583,生物种群!$G$2:INDEX(生物种群!$G:$G,COUNTA(生物种群!$G:$G)),),),IF($A583&lt;&gt;0,INDEX(生物种群!$B$2:INDEX(生物种群!$B:$B,COUNTA(生物种群!$B:$B)),MATCH($A583,生物种群!$C$2:INDEX(生物种群!$C:$C,COUNTA(生物种群!$C:$C)),),),INDEX(生物种群!$B$2:INDEX(生物种群!$B:$B,COUNTA(生物种群!$B:$B)),MATCH($B583,生物种群!$D$2:INDEX(生物种群!$D:$D,COUNTA(生物种群!$D:$D)),),))))</f>
        <v/>
      </c>
      <c r="J583" s="37" t="str">
        <f>IF(A583&amp;B583&amp;C583="","",INDEX(生物种群!$J$2:INDEX(生物种群!$J:$J,COUNTA(生物种群!$J:$J)),MATCH($I583,生物种群!$B$2:INDEX(生物种群!$B:$B,COUNTA(生物种群!$B:$B)),),))</f>
        <v/>
      </c>
      <c r="K583" s="37" t="str">
        <f>IF(A583&amp;B583&amp;C583="","",INDEX(生物种群!$E$2:INDEX(生物种群!$E:$E,COUNTA(生物种群!$E:$E)),MATCH($I583,生物种群!$B$2:INDEX(生物种群!$B:$B,COUNTA(生物种群!$B:$B)),),))</f>
        <v/>
      </c>
      <c r="L583" s="37" t="str">
        <f>IF(A583&amp;B583&amp;C583="","",INDEX(生物种群!$F$3:INDEX(生物种群!$F:$F,COUNTA(生物种群!$F:$F)),MATCH($I583,生物种群!$B$3:INDEX(生物种群!$B:$B,COUNTA(生物种群!$B:$B)),),))</f>
        <v/>
      </c>
      <c r="M583" s="37" t="str">
        <f t="shared" si="18"/>
        <v/>
      </c>
      <c r="N583" s="37" t="str">
        <f t="shared" si="19"/>
        <v/>
      </c>
      <c r="O583" s="9"/>
      <c r="P583" s="10"/>
    </row>
    <row r="584" spans="1:16" ht="20.1" customHeight="1">
      <c r="A584" s="9"/>
      <c r="B584" s="9"/>
      <c r="C584" s="9"/>
      <c r="D584" s="43"/>
      <c r="E584" s="9"/>
      <c r="F584" s="9"/>
      <c r="G584" s="47" t="str">
        <f>IF(F584="","",INDEX(站位样品信息!$B$3:INDEX(站位样品信息!$B:$B,COUNTA(站位样品信息!$B:$B)+1),MATCH($F584,站位样品信息!$A$3:INDEX(站位样品信息!$A:$A,COUNTA(站位样品信息!$A:$A)+1),),))</f>
        <v/>
      </c>
      <c r="H584" s="37" t="str">
        <f>IF(A584&amp;B584&amp;C584="","",INDEX(生物种群!$A$2:INDEX(生物种群!$A:$A,COUNTA(生物种群!$A:$A)),MATCH($I584,生物种群!$B$2:INDEX(生物种群!$B:$B,COUNTA(生物种群!$B:$B)),),))</f>
        <v/>
      </c>
      <c r="I584" s="37" t="str">
        <f>IF(A584&amp;B584&amp;C584="","",IF($C584&lt;&gt;0,INDEX(生物种群!$B$2:INDEX(生物种群!$B:$B,COUNTA(生物种群!$B:$B)),MATCH($C584,生物种群!$G$2:INDEX(生物种群!$G:$G,COUNTA(生物种群!$G:$G)),),),IF($A584&lt;&gt;0,INDEX(生物种群!$B$2:INDEX(生物种群!$B:$B,COUNTA(生物种群!$B:$B)),MATCH($A584,生物种群!$C$2:INDEX(生物种群!$C:$C,COUNTA(生物种群!$C:$C)),),),INDEX(生物种群!$B$2:INDEX(生物种群!$B:$B,COUNTA(生物种群!$B:$B)),MATCH($B584,生物种群!$D$2:INDEX(生物种群!$D:$D,COUNTA(生物种群!$D:$D)),),))))</f>
        <v/>
      </c>
      <c r="J584" s="37" t="str">
        <f>IF(A584&amp;B584&amp;C584="","",INDEX(生物种群!$J$2:INDEX(生物种群!$J:$J,COUNTA(生物种群!$J:$J)),MATCH($I584,生物种群!$B$2:INDEX(生物种群!$B:$B,COUNTA(生物种群!$B:$B)),),))</f>
        <v/>
      </c>
      <c r="K584" s="37" t="str">
        <f>IF(A584&amp;B584&amp;C584="","",INDEX(生物种群!$E$2:INDEX(生物种群!$E:$E,COUNTA(生物种群!$E:$E)),MATCH($I584,生物种群!$B$2:INDEX(生物种群!$B:$B,COUNTA(生物种群!$B:$B)),),))</f>
        <v/>
      </c>
      <c r="L584" s="37" t="str">
        <f>IF(A584&amp;B584&amp;C584="","",INDEX(生物种群!$F$3:INDEX(生物种群!$F:$F,COUNTA(生物种群!$F:$F)),MATCH($I584,生物种群!$B$3:INDEX(生物种群!$B:$B,COUNTA(生物种群!$B:$B)),),))</f>
        <v/>
      </c>
      <c r="M584" s="37" t="str">
        <f t="shared" si="18"/>
        <v/>
      </c>
      <c r="N584" s="37" t="str">
        <f t="shared" si="19"/>
        <v/>
      </c>
      <c r="O584" s="9"/>
      <c r="P584" s="10"/>
    </row>
    <row r="585" spans="1:16" ht="20.1" customHeight="1">
      <c r="A585" s="9"/>
      <c r="B585" s="9"/>
      <c r="C585" s="9"/>
      <c r="D585" s="43"/>
      <c r="E585" s="9"/>
      <c r="F585" s="9"/>
      <c r="G585" s="47" t="str">
        <f>IF(F585="","",INDEX(站位样品信息!$B$3:INDEX(站位样品信息!$B:$B,COUNTA(站位样品信息!$B:$B)+1),MATCH($F585,站位样品信息!$A$3:INDEX(站位样品信息!$A:$A,COUNTA(站位样品信息!$A:$A)+1),),))</f>
        <v/>
      </c>
      <c r="H585" s="37" t="str">
        <f>IF(A585&amp;B585&amp;C585="","",INDEX(生物种群!$A$2:INDEX(生物种群!$A:$A,COUNTA(生物种群!$A:$A)),MATCH($I585,生物种群!$B$2:INDEX(生物种群!$B:$B,COUNTA(生物种群!$B:$B)),),))</f>
        <v/>
      </c>
      <c r="I585" s="37" t="str">
        <f>IF(A585&amp;B585&amp;C585="","",IF($C585&lt;&gt;0,INDEX(生物种群!$B$2:INDEX(生物种群!$B:$B,COUNTA(生物种群!$B:$B)),MATCH($C585,生物种群!$G$2:INDEX(生物种群!$G:$G,COUNTA(生物种群!$G:$G)),),),IF($A585&lt;&gt;0,INDEX(生物种群!$B$2:INDEX(生物种群!$B:$B,COUNTA(生物种群!$B:$B)),MATCH($A585,生物种群!$C$2:INDEX(生物种群!$C:$C,COUNTA(生物种群!$C:$C)),),),INDEX(生物种群!$B$2:INDEX(生物种群!$B:$B,COUNTA(生物种群!$B:$B)),MATCH($B585,生物种群!$D$2:INDEX(生物种群!$D:$D,COUNTA(生物种群!$D:$D)),),))))</f>
        <v/>
      </c>
      <c r="J585" s="37" t="str">
        <f>IF(A585&amp;B585&amp;C585="","",INDEX(生物种群!$J$2:INDEX(生物种群!$J:$J,COUNTA(生物种群!$J:$J)),MATCH($I585,生物种群!$B$2:INDEX(生物种群!$B:$B,COUNTA(生物种群!$B:$B)),),))</f>
        <v/>
      </c>
      <c r="K585" s="37" t="str">
        <f>IF(A585&amp;B585&amp;C585="","",INDEX(生物种群!$E$2:INDEX(生物种群!$E:$E,COUNTA(生物种群!$E:$E)),MATCH($I585,生物种群!$B$2:INDEX(生物种群!$B:$B,COUNTA(生物种群!$B:$B)),),))</f>
        <v/>
      </c>
      <c r="L585" s="37" t="str">
        <f>IF(A585&amp;B585&amp;C585="","",INDEX(生物种群!$F$3:INDEX(生物种群!$F:$F,COUNTA(生物种群!$F:$F)),MATCH($I585,生物种群!$B$3:INDEX(生物种群!$B:$B,COUNTA(生物种群!$B:$B)),),))</f>
        <v/>
      </c>
      <c r="M585" s="37" t="str">
        <f t="shared" si="18"/>
        <v/>
      </c>
      <c r="N585" s="37" t="str">
        <f t="shared" si="19"/>
        <v/>
      </c>
      <c r="O585" s="9"/>
      <c r="P585" s="10"/>
    </row>
    <row r="586" spans="1:16" ht="20.1" customHeight="1">
      <c r="A586" s="9"/>
      <c r="B586" s="9"/>
      <c r="C586" s="9"/>
      <c r="D586" s="43"/>
      <c r="E586" s="9"/>
      <c r="F586" s="9"/>
      <c r="G586" s="47" t="str">
        <f>IF(F586="","",INDEX(站位样品信息!$B$3:INDEX(站位样品信息!$B:$B,COUNTA(站位样品信息!$B:$B)+1),MATCH($F586,站位样品信息!$A$3:INDEX(站位样品信息!$A:$A,COUNTA(站位样品信息!$A:$A)+1),),))</f>
        <v/>
      </c>
      <c r="H586" s="37" t="str">
        <f>IF(A586&amp;B586&amp;C586="","",INDEX(生物种群!$A$2:INDEX(生物种群!$A:$A,COUNTA(生物种群!$A:$A)),MATCH($I586,生物种群!$B$2:INDEX(生物种群!$B:$B,COUNTA(生物种群!$B:$B)),),))</f>
        <v/>
      </c>
      <c r="I586" s="37" t="str">
        <f>IF(A586&amp;B586&amp;C586="","",IF($C586&lt;&gt;0,INDEX(生物种群!$B$2:INDEX(生物种群!$B:$B,COUNTA(生物种群!$B:$B)),MATCH($C586,生物种群!$G$2:INDEX(生物种群!$G:$G,COUNTA(生物种群!$G:$G)),),),IF($A586&lt;&gt;0,INDEX(生物种群!$B$2:INDEX(生物种群!$B:$B,COUNTA(生物种群!$B:$B)),MATCH($A586,生物种群!$C$2:INDEX(生物种群!$C:$C,COUNTA(生物种群!$C:$C)),),),INDEX(生物种群!$B$2:INDEX(生物种群!$B:$B,COUNTA(生物种群!$B:$B)),MATCH($B586,生物种群!$D$2:INDEX(生物种群!$D:$D,COUNTA(生物种群!$D:$D)),),))))</f>
        <v/>
      </c>
      <c r="J586" s="37" t="str">
        <f>IF(A586&amp;B586&amp;C586="","",INDEX(生物种群!$J$2:INDEX(生物种群!$J:$J,COUNTA(生物种群!$J:$J)),MATCH($I586,生物种群!$B$2:INDEX(生物种群!$B:$B,COUNTA(生物种群!$B:$B)),),))</f>
        <v/>
      </c>
      <c r="K586" s="37" t="str">
        <f>IF(A586&amp;B586&amp;C586="","",INDEX(生物种群!$E$2:INDEX(生物种群!$E:$E,COUNTA(生物种群!$E:$E)),MATCH($I586,生物种群!$B$2:INDEX(生物种群!$B:$B,COUNTA(生物种群!$B:$B)),),))</f>
        <v/>
      </c>
      <c r="L586" s="37" t="str">
        <f>IF(A586&amp;B586&amp;C586="","",INDEX(生物种群!$F$3:INDEX(生物种群!$F:$F,COUNTA(生物种群!$F:$F)),MATCH($I586,生物种群!$B$3:INDEX(生物种群!$B:$B,COUNTA(生物种群!$B:$B)),),))</f>
        <v/>
      </c>
      <c r="M586" s="37" t="str">
        <f t="shared" si="18"/>
        <v/>
      </c>
      <c r="N586" s="37" t="str">
        <f t="shared" si="19"/>
        <v/>
      </c>
      <c r="O586" s="9"/>
      <c r="P586" s="10"/>
    </row>
    <row r="587" spans="1:16" ht="20.1" customHeight="1">
      <c r="A587" s="9"/>
      <c r="B587" s="9"/>
      <c r="C587" s="9"/>
      <c r="D587" s="43"/>
      <c r="E587" s="9"/>
      <c r="F587" s="9"/>
      <c r="G587" s="47" t="str">
        <f>IF(F587="","",INDEX(站位样品信息!$B$3:INDEX(站位样品信息!$B:$B,COUNTA(站位样品信息!$B:$B)+1),MATCH($F587,站位样品信息!$A$3:INDEX(站位样品信息!$A:$A,COUNTA(站位样品信息!$A:$A)+1),),))</f>
        <v/>
      </c>
      <c r="H587" s="37" t="str">
        <f>IF(A587&amp;B587&amp;C587="","",INDEX(生物种群!$A$2:INDEX(生物种群!$A:$A,COUNTA(生物种群!$A:$A)),MATCH($I587,生物种群!$B$2:INDEX(生物种群!$B:$B,COUNTA(生物种群!$B:$B)),),))</f>
        <v/>
      </c>
      <c r="I587" s="37" t="str">
        <f>IF(A587&amp;B587&amp;C587="","",IF($C587&lt;&gt;0,INDEX(生物种群!$B$2:INDEX(生物种群!$B:$B,COUNTA(生物种群!$B:$B)),MATCH($C587,生物种群!$G$2:INDEX(生物种群!$G:$G,COUNTA(生物种群!$G:$G)),),),IF($A587&lt;&gt;0,INDEX(生物种群!$B$2:INDEX(生物种群!$B:$B,COUNTA(生物种群!$B:$B)),MATCH($A587,生物种群!$C$2:INDEX(生物种群!$C:$C,COUNTA(生物种群!$C:$C)),),),INDEX(生物种群!$B$2:INDEX(生物种群!$B:$B,COUNTA(生物种群!$B:$B)),MATCH($B587,生物种群!$D$2:INDEX(生物种群!$D:$D,COUNTA(生物种群!$D:$D)),),))))</f>
        <v/>
      </c>
      <c r="J587" s="37" t="str">
        <f>IF(A587&amp;B587&amp;C587="","",INDEX(生物种群!$J$2:INDEX(生物种群!$J:$J,COUNTA(生物种群!$J:$J)),MATCH($I587,生物种群!$B$2:INDEX(生物种群!$B:$B,COUNTA(生物种群!$B:$B)),),))</f>
        <v/>
      </c>
      <c r="K587" s="37" t="str">
        <f>IF(A587&amp;B587&amp;C587="","",INDEX(生物种群!$E$2:INDEX(生物种群!$E:$E,COUNTA(生物种群!$E:$E)),MATCH($I587,生物种群!$B$2:INDEX(生物种群!$B:$B,COUNTA(生物种群!$B:$B)),),))</f>
        <v/>
      </c>
      <c r="L587" s="37" t="str">
        <f>IF(A587&amp;B587&amp;C587="","",INDEX(生物种群!$F$3:INDEX(生物种群!$F:$F,COUNTA(生物种群!$F:$F)),MATCH($I587,生物种群!$B$3:INDEX(生物种群!$B:$B,COUNTA(生物种群!$B:$B)),),))</f>
        <v/>
      </c>
      <c r="M587" s="37" t="str">
        <f t="shared" si="18"/>
        <v/>
      </c>
      <c r="N587" s="37" t="str">
        <f t="shared" si="19"/>
        <v/>
      </c>
      <c r="O587" s="9"/>
      <c r="P587" s="10"/>
    </row>
    <row r="588" spans="1:16" ht="20.1" customHeight="1">
      <c r="A588" s="9"/>
      <c r="B588" s="9"/>
      <c r="C588" s="9"/>
      <c r="D588" s="43"/>
      <c r="E588" s="9"/>
      <c r="F588" s="9"/>
      <c r="G588" s="47" t="str">
        <f>IF(F588="","",INDEX(站位样品信息!$B$3:INDEX(站位样品信息!$B:$B,COUNTA(站位样品信息!$B:$B)+1),MATCH($F588,站位样品信息!$A$3:INDEX(站位样品信息!$A:$A,COUNTA(站位样品信息!$A:$A)+1),),))</f>
        <v/>
      </c>
      <c r="H588" s="37" t="str">
        <f>IF(A588&amp;B588&amp;C588="","",INDEX(生物种群!$A$2:INDEX(生物种群!$A:$A,COUNTA(生物种群!$A:$A)),MATCH($I588,生物种群!$B$2:INDEX(生物种群!$B:$B,COUNTA(生物种群!$B:$B)),),))</f>
        <v/>
      </c>
      <c r="I588" s="37" t="str">
        <f>IF(A588&amp;B588&amp;C588="","",IF($C588&lt;&gt;0,INDEX(生物种群!$B$2:INDEX(生物种群!$B:$B,COUNTA(生物种群!$B:$B)),MATCH($C588,生物种群!$G$2:INDEX(生物种群!$G:$G,COUNTA(生物种群!$G:$G)),),),IF($A588&lt;&gt;0,INDEX(生物种群!$B$2:INDEX(生物种群!$B:$B,COUNTA(生物种群!$B:$B)),MATCH($A588,生物种群!$C$2:INDEX(生物种群!$C:$C,COUNTA(生物种群!$C:$C)),),),INDEX(生物种群!$B$2:INDEX(生物种群!$B:$B,COUNTA(生物种群!$B:$B)),MATCH($B588,生物种群!$D$2:INDEX(生物种群!$D:$D,COUNTA(生物种群!$D:$D)),),))))</f>
        <v/>
      </c>
      <c r="J588" s="37" t="str">
        <f>IF(A588&amp;B588&amp;C588="","",INDEX(生物种群!$J$2:INDEX(生物种群!$J:$J,COUNTA(生物种群!$J:$J)),MATCH($I588,生物种群!$B$2:INDEX(生物种群!$B:$B,COUNTA(生物种群!$B:$B)),),))</f>
        <v/>
      </c>
      <c r="K588" s="37" t="str">
        <f>IF(A588&amp;B588&amp;C588="","",INDEX(生物种群!$E$2:INDEX(生物种群!$E:$E,COUNTA(生物种群!$E:$E)),MATCH($I588,生物种群!$B$2:INDEX(生物种群!$B:$B,COUNTA(生物种群!$B:$B)),),))</f>
        <v/>
      </c>
      <c r="L588" s="37" t="str">
        <f>IF(A588&amp;B588&amp;C588="","",INDEX(生物种群!$F$3:INDEX(生物种群!$F:$F,COUNTA(生物种群!$F:$F)),MATCH($I588,生物种群!$B$3:INDEX(生物种群!$B:$B,COUNTA(生物种群!$B:$B)),),))</f>
        <v/>
      </c>
      <c r="M588" s="37" t="str">
        <f t="shared" si="18"/>
        <v/>
      </c>
      <c r="N588" s="37" t="str">
        <f t="shared" si="19"/>
        <v/>
      </c>
      <c r="O588" s="9"/>
      <c r="P588" s="10"/>
    </row>
    <row r="589" spans="1:16" ht="20.1" customHeight="1">
      <c r="A589" s="9"/>
      <c r="B589" s="9"/>
      <c r="C589" s="9"/>
      <c r="D589" s="43"/>
      <c r="E589" s="9"/>
      <c r="F589" s="9"/>
      <c r="G589" s="47" t="str">
        <f>IF(F589="","",INDEX(站位样品信息!$B$3:INDEX(站位样品信息!$B:$B,COUNTA(站位样品信息!$B:$B)+1),MATCH($F589,站位样品信息!$A$3:INDEX(站位样品信息!$A:$A,COUNTA(站位样品信息!$A:$A)+1),),))</f>
        <v/>
      </c>
      <c r="H589" s="37" t="str">
        <f>IF(A589&amp;B589&amp;C589="","",INDEX(生物种群!$A$2:INDEX(生物种群!$A:$A,COUNTA(生物种群!$A:$A)),MATCH($I589,生物种群!$B$2:INDEX(生物种群!$B:$B,COUNTA(生物种群!$B:$B)),),))</f>
        <v/>
      </c>
      <c r="I589" s="37" t="str">
        <f>IF(A589&amp;B589&amp;C589="","",IF($C589&lt;&gt;0,INDEX(生物种群!$B$2:INDEX(生物种群!$B:$B,COUNTA(生物种群!$B:$B)),MATCH($C589,生物种群!$G$2:INDEX(生物种群!$G:$G,COUNTA(生物种群!$G:$G)),),),IF($A589&lt;&gt;0,INDEX(生物种群!$B$2:INDEX(生物种群!$B:$B,COUNTA(生物种群!$B:$B)),MATCH($A589,生物种群!$C$2:INDEX(生物种群!$C:$C,COUNTA(生物种群!$C:$C)),),),INDEX(生物种群!$B$2:INDEX(生物种群!$B:$B,COUNTA(生物种群!$B:$B)),MATCH($B589,生物种群!$D$2:INDEX(生物种群!$D:$D,COUNTA(生物种群!$D:$D)),),))))</f>
        <v/>
      </c>
      <c r="J589" s="37" t="str">
        <f>IF(A589&amp;B589&amp;C589="","",INDEX(生物种群!$J$2:INDEX(生物种群!$J:$J,COUNTA(生物种群!$J:$J)),MATCH($I589,生物种群!$B$2:INDEX(生物种群!$B:$B,COUNTA(生物种群!$B:$B)),),))</f>
        <v/>
      </c>
      <c r="K589" s="37" t="str">
        <f>IF(A589&amp;B589&amp;C589="","",INDEX(生物种群!$E$2:INDEX(生物种群!$E:$E,COUNTA(生物种群!$E:$E)),MATCH($I589,生物种群!$B$2:INDEX(生物种群!$B:$B,COUNTA(生物种群!$B:$B)),),))</f>
        <v/>
      </c>
      <c r="L589" s="37" t="str">
        <f>IF(A589&amp;B589&amp;C589="","",INDEX(生物种群!$F$3:INDEX(生物种群!$F:$F,COUNTA(生物种群!$F:$F)),MATCH($I589,生物种群!$B$3:INDEX(生物种群!$B:$B,COUNTA(生物种群!$B:$B)),),))</f>
        <v/>
      </c>
      <c r="M589" s="37" t="str">
        <f t="shared" si="18"/>
        <v/>
      </c>
      <c r="N589" s="37" t="str">
        <f t="shared" si="19"/>
        <v/>
      </c>
      <c r="O589" s="9"/>
      <c r="P589" s="10"/>
    </row>
    <row r="590" spans="1:16" ht="20.1" customHeight="1">
      <c r="A590" s="9"/>
      <c r="B590" s="9"/>
      <c r="C590" s="9"/>
      <c r="D590" s="43"/>
      <c r="E590" s="9"/>
      <c r="F590" s="9"/>
      <c r="G590" s="47" t="str">
        <f>IF(F590="","",INDEX(站位样品信息!$B$3:INDEX(站位样品信息!$B:$B,COUNTA(站位样品信息!$B:$B)+1),MATCH($F590,站位样品信息!$A$3:INDEX(站位样品信息!$A:$A,COUNTA(站位样品信息!$A:$A)+1),),))</f>
        <v/>
      </c>
      <c r="H590" s="37" t="str">
        <f>IF(A590&amp;B590&amp;C590="","",INDEX(生物种群!$A$2:INDEX(生物种群!$A:$A,COUNTA(生物种群!$A:$A)),MATCH($I590,生物种群!$B$2:INDEX(生物种群!$B:$B,COUNTA(生物种群!$B:$B)),),))</f>
        <v/>
      </c>
      <c r="I590" s="37" t="str">
        <f>IF(A590&amp;B590&amp;C590="","",IF($C590&lt;&gt;0,INDEX(生物种群!$B$2:INDEX(生物种群!$B:$B,COUNTA(生物种群!$B:$B)),MATCH($C590,生物种群!$G$2:INDEX(生物种群!$G:$G,COUNTA(生物种群!$G:$G)),),),IF($A590&lt;&gt;0,INDEX(生物种群!$B$2:INDEX(生物种群!$B:$B,COUNTA(生物种群!$B:$B)),MATCH($A590,生物种群!$C$2:INDEX(生物种群!$C:$C,COUNTA(生物种群!$C:$C)),),),INDEX(生物种群!$B$2:INDEX(生物种群!$B:$B,COUNTA(生物种群!$B:$B)),MATCH($B590,生物种群!$D$2:INDEX(生物种群!$D:$D,COUNTA(生物种群!$D:$D)),),))))</f>
        <v/>
      </c>
      <c r="J590" s="37" t="str">
        <f>IF(A590&amp;B590&amp;C590="","",INDEX(生物种群!$J$2:INDEX(生物种群!$J:$J,COUNTA(生物种群!$J:$J)),MATCH($I590,生物种群!$B$2:INDEX(生物种群!$B:$B,COUNTA(生物种群!$B:$B)),),))</f>
        <v/>
      </c>
      <c r="K590" s="37" t="str">
        <f>IF(A590&amp;B590&amp;C590="","",INDEX(生物种群!$E$2:INDEX(生物种群!$E:$E,COUNTA(生物种群!$E:$E)),MATCH($I590,生物种群!$B$2:INDEX(生物种群!$B:$B,COUNTA(生物种群!$B:$B)),),))</f>
        <v/>
      </c>
      <c r="L590" s="37" t="str">
        <f>IF(A590&amp;B590&amp;C590="","",INDEX(生物种群!$F$3:INDEX(生物种群!$F:$F,COUNTA(生物种群!$F:$F)),MATCH($I590,生物种群!$B$3:INDEX(生物种群!$B:$B,COUNTA(生物种群!$B:$B)),),))</f>
        <v/>
      </c>
      <c r="M590" s="37" t="str">
        <f t="shared" si="18"/>
        <v/>
      </c>
      <c r="N590" s="37" t="str">
        <f t="shared" si="19"/>
        <v/>
      </c>
      <c r="O590" s="9"/>
      <c r="P590" s="10"/>
    </row>
    <row r="591" spans="1:16" ht="20.1" customHeight="1">
      <c r="A591" s="9"/>
      <c r="B591" s="9"/>
      <c r="C591" s="9"/>
      <c r="D591" s="43"/>
      <c r="E591" s="9"/>
      <c r="F591" s="9"/>
      <c r="G591" s="47" t="str">
        <f>IF(F591="","",INDEX(站位样品信息!$B$3:INDEX(站位样品信息!$B:$B,COUNTA(站位样品信息!$B:$B)+1),MATCH($F591,站位样品信息!$A$3:INDEX(站位样品信息!$A:$A,COUNTA(站位样品信息!$A:$A)+1),),))</f>
        <v/>
      </c>
      <c r="H591" s="37" t="str">
        <f>IF(A591&amp;B591&amp;C591="","",INDEX(生物种群!$A$2:INDEX(生物种群!$A:$A,COUNTA(生物种群!$A:$A)),MATCH($I591,生物种群!$B$2:INDEX(生物种群!$B:$B,COUNTA(生物种群!$B:$B)),),))</f>
        <v/>
      </c>
      <c r="I591" s="37" t="str">
        <f>IF(A591&amp;B591&amp;C591="","",IF($C591&lt;&gt;0,INDEX(生物种群!$B$2:INDEX(生物种群!$B:$B,COUNTA(生物种群!$B:$B)),MATCH($C591,生物种群!$G$2:INDEX(生物种群!$G:$G,COUNTA(生物种群!$G:$G)),),),IF($A591&lt;&gt;0,INDEX(生物种群!$B$2:INDEX(生物种群!$B:$B,COUNTA(生物种群!$B:$B)),MATCH($A591,生物种群!$C$2:INDEX(生物种群!$C:$C,COUNTA(生物种群!$C:$C)),),),INDEX(生物种群!$B$2:INDEX(生物种群!$B:$B,COUNTA(生物种群!$B:$B)),MATCH($B591,生物种群!$D$2:INDEX(生物种群!$D:$D,COUNTA(生物种群!$D:$D)),),))))</f>
        <v/>
      </c>
      <c r="J591" s="37" t="str">
        <f>IF(A591&amp;B591&amp;C591="","",INDEX(生物种群!$J$2:INDEX(生物种群!$J:$J,COUNTA(生物种群!$J:$J)),MATCH($I591,生物种群!$B$2:INDEX(生物种群!$B:$B,COUNTA(生物种群!$B:$B)),),))</f>
        <v/>
      </c>
      <c r="K591" s="37" t="str">
        <f>IF(A591&amp;B591&amp;C591="","",INDEX(生物种群!$E$2:INDEX(生物种群!$E:$E,COUNTA(生物种群!$E:$E)),MATCH($I591,生物种群!$B$2:INDEX(生物种群!$B:$B,COUNTA(生物种群!$B:$B)),),))</f>
        <v/>
      </c>
      <c r="L591" s="37" t="str">
        <f>IF(A591&amp;B591&amp;C591="","",INDEX(生物种群!$F$3:INDEX(生物种群!$F:$F,COUNTA(生物种群!$F:$F)),MATCH($I591,生物种群!$B$3:INDEX(生物种群!$B:$B,COUNTA(生物种群!$B:$B)),),))</f>
        <v/>
      </c>
      <c r="M591" s="37" t="str">
        <f t="shared" si="18"/>
        <v/>
      </c>
      <c r="N591" s="37" t="str">
        <f t="shared" si="19"/>
        <v/>
      </c>
      <c r="O591" s="9"/>
      <c r="P591" s="10"/>
    </row>
    <row r="592" spans="1:16" ht="20.1" customHeight="1">
      <c r="A592" s="9"/>
      <c r="B592" s="9"/>
      <c r="C592" s="9"/>
      <c r="D592" s="43"/>
      <c r="E592" s="9"/>
      <c r="F592" s="9"/>
      <c r="G592" s="47" t="str">
        <f>IF(F592="","",INDEX(站位样品信息!$B$3:INDEX(站位样品信息!$B:$B,COUNTA(站位样品信息!$B:$B)+1),MATCH($F592,站位样品信息!$A$3:INDEX(站位样品信息!$A:$A,COUNTA(站位样品信息!$A:$A)+1),),))</f>
        <v/>
      </c>
      <c r="H592" s="37" t="str">
        <f>IF(A592&amp;B592&amp;C592="","",INDEX(生物种群!$A$2:INDEX(生物种群!$A:$A,COUNTA(生物种群!$A:$A)),MATCH($I592,生物种群!$B$2:INDEX(生物种群!$B:$B,COUNTA(生物种群!$B:$B)),),))</f>
        <v/>
      </c>
      <c r="I592" s="37" t="str">
        <f>IF(A592&amp;B592&amp;C592="","",IF($C592&lt;&gt;0,INDEX(生物种群!$B$2:INDEX(生物种群!$B:$B,COUNTA(生物种群!$B:$B)),MATCH($C592,生物种群!$G$2:INDEX(生物种群!$G:$G,COUNTA(生物种群!$G:$G)),),),IF($A592&lt;&gt;0,INDEX(生物种群!$B$2:INDEX(生物种群!$B:$B,COUNTA(生物种群!$B:$B)),MATCH($A592,生物种群!$C$2:INDEX(生物种群!$C:$C,COUNTA(生物种群!$C:$C)),),),INDEX(生物种群!$B$2:INDEX(生物种群!$B:$B,COUNTA(生物种群!$B:$B)),MATCH($B592,生物种群!$D$2:INDEX(生物种群!$D:$D,COUNTA(生物种群!$D:$D)),),))))</f>
        <v/>
      </c>
      <c r="J592" s="37" t="str">
        <f>IF(A592&amp;B592&amp;C592="","",INDEX(生物种群!$J$2:INDEX(生物种群!$J:$J,COUNTA(生物种群!$J:$J)),MATCH($I592,生物种群!$B$2:INDEX(生物种群!$B:$B,COUNTA(生物种群!$B:$B)),),))</f>
        <v/>
      </c>
      <c r="K592" s="37" t="str">
        <f>IF(A592&amp;B592&amp;C592="","",INDEX(生物种群!$E$2:INDEX(生物种群!$E:$E,COUNTA(生物种群!$E:$E)),MATCH($I592,生物种群!$B$2:INDEX(生物种群!$B:$B,COUNTA(生物种群!$B:$B)),),))</f>
        <v/>
      </c>
      <c r="L592" s="37" t="str">
        <f>IF(A592&amp;B592&amp;C592="","",INDEX(生物种群!$F$3:INDEX(生物种群!$F:$F,COUNTA(生物种群!$F:$F)),MATCH($I592,生物种群!$B$3:INDEX(生物种群!$B:$B,COUNTA(生物种群!$B:$B)),),))</f>
        <v/>
      </c>
      <c r="M592" s="37" t="str">
        <f t="shared" si="18"/>
        <v/>
      </c>
      <c r="N592" s="37" t="str">
        <f t="shared" si="19"/>
        <v/>
      </c>
      <c r="O592" s="9"/>
      <c r="P592" s="10"/>
    </row>
    <row r="593" spans="1:16" ht="20.1" customHeight="1">
      <c r="A593" s="9"/>
      <c r="B593" s="9"/>
      <c r="C593" s="9"/>
      <c r="D593" s="43"/>
      <c r="E593" s="9"/>
      <c r="F593" s="9"/>
      <c r="G593" s="47" t="str">
        <f>IF(F593="","",INDEX(站位样品信息!$B$3:INDEX(站位样品信息!$B:$B,COUNTA(站位样品信息!$B:$B)+1),MATCH($F593,站位样品信息!$A$3:INDEX(站位样品信息!$A:$A,COUNTA(站位样品信息!$A:$A)+1),),))</f>
        <v/>
      </c>
      <c r="H593" s="37" t="str">
        <f>IF(A593&amp;B593&amp;C593="","",INDEX(生物种群!$A$2:INDEX(生物种群!$A:$A,COUNTA(生物种群!$A:$A)),MATCH($I593,生物种群!$B$2:INDEX(生物种群!$B:$B,COUNTA(生物种群!$B:$B)),),))</f>
        <v/>
      </c>
      <c r="I593" s="37" t="str">
        <f>IF(A593&amp;B593&amp;C593="","",IF($C593&lt;&gt;0,INDEX(生物种群!$B$2:INDEX(生物种群!$B:$B,COUNTA(生物种群!$B:$B)),MATCH($C593,生物种群!$G$2:INDEX(生物种群!$G:$G,COUNTA(生物种群!$G:$G)),),),IF($A593&lt;&gt;0,INDEX(生物种群!$B$2:INDEX(生物种群!$B:$B,COUNTA(生物种群!$B:$B)),MATCH($A593,生物种群!$C$2:INDEX(生物种群!$C:$C,COUNTA(生物种群!$C:$C)),),),INDEX(生物种群!$B$2:INDEX(生物种群!$B:$B,COUNTA(生物种群!$B:$B)),MATCH($B593,生物种群!$D$2:INDEX(生物种群!$D:$D,COUNTA(生物种群!$D:$D)),),))))</f>
        <v/>
      </c>
      <c r="J593" s="37" t="str">
        <f>IF(A593&amp;B593&amp;C593="","",INDEX(生物种群!$J$2:INDEX(生物种群!$J:$J,COUNTA(生物种群!$J:$J)),MATCH($I593,生物种群!$B$2:INDEX(生物种群!$B:$B,COUNTA(生物种群!$B:$B)),),))</f>
        <v/>
      </c>
      <c r="K593" s="37" t="str">
        <f>IF(A593&amp;B593&amp;C593="","",INDEX(生物种群!$E$2:INDEX(生物种群!$E:$E,COUNTA(生物种群!$E:$E)),MATCH($I593,生物种群!$B$2:INDEX(生物种群!$B:$B,COUNTA(生物种群!$B:$B)),),))</f>
        <v/>
      </c>
      <c r="L593" s="37" t="str">
        <f>IF(A593&amp;B593&amp;C593="","",INDEX(生物种群!$F$3:INDEX(生物种群!$F:$F,COUNTA(生物种群!$F:$F)),MATCH($I593,生物种群!$B$3:INDEX(生物种群!$B:$B,COUNTA(生物种群!$B:$B)),),))</f>
        <v/>
      </c>
      <c r="M593" s="37" t="str">
        <f t="shared" si="18"/>
        <v/>
      </c>
      <c r="N593" s="37" t="str">
        <f t="shared" si="19"/>
        <v/>
      </c>
      <c r="O593" s="9"/>
      <c r="P593" s="10"/>
    </row>
    <row r="594" spans="1:16" ht="20.1" customHeight="1">
      <c r="A594" s="9"/>
      <c r="B594" s="9"/>
      <c r="C594" s="9"/>
      <c r="D594" s="43"/>
      <c r="E594" s="9"/>
      <c r="F594" s="9"/>
      <c r="G594" s="47" t="str">
        <f>IF(F594="","",INDEX(站位样品信息!$B$3:INDEX(站位样品信息!$B:$B,COUNTA(站位样品信息!$B:$B)+1),MATCH($F594,站位样品信息!$A$3:INDEX(站位样品信息!$A:$A,COUNTA(站位样品信息!$A:$A)+1),),))</f>
        <v/>
      </c>
      <c r="H594" s="37" t="str">
        <f>IF(A594&amp;B594&amp;C594="","",INDEX(生物种群!$A$2:INDEX(生物种群!$A:$A,COUNTA(生物种群!$A:$A)),MATCH($I594,生物种群!$B$2:INDEX(生物种群!$B:$B,COUNTA(生物种群!$B:$B)),),))</f>
        <v/>
      </c>
      <c r="I594" s="37" t="str">
        <f>IF(A594&amp;B594&amp;C594="","",IF($C594&lt;&gt;0,INDEX(生物种群!$B$2:INDEX(生物种群!$B:$B,COUNTA(生物种群!$B:$B)),MATCH($C594,生物种群!$G$2:INDEX(生物种群!$G:$G,COUNTA(生物种群!$G:$G)),),),IF($A594&lt;&gt;0,INDEX(生物种群!$B$2:INDEX(生物种群!$B:$B,COUNTA(生物种群!$B:$B)),MATCH($A594,生物种群!$C$2:INDEX(生物种群!$C:$C,COUNTA(生物种群!$C:$C)),),),INDEX(生物种群!$B$2:INDEX(生物种群!$B:$B,COUNTA(生物种群!$B:$B)),MATCH($B594,生物种群!$D$2:INDEX(生物种群!$D:$D,COUNTA(生物种群!$D:$D)),),))))</f>
        <v/>
      </c>
      <c r="J594" s="37" t="str">
        <f>IF(A594&amp;B594&amp;C594="","",INDEX(生物种群!$J$2:INDEX(生物种群!$J:$J,COUNTA(生物种群!$J:$J)),MATCH($I594,生物种群!$B$2:INDEX(生物种群!$B:$B,COUNTA(生物种群!$B:$B)),),))</f>
        <v/>
      </c>
      <c r="K594" s="37" t="str">
        <f>IF(A594&amp;B594&amp;C594="","",INDEX(生物种群!$E$2:INDEX(生物种群!$E:$E,COUNTA(生物种群!$E:$E)),MATCH($I594,生物种群!$B$2:INDEX(生物种群!$B:$B,COUNTA(生物种群!$B:$B)),),))</f>
        <v/>
      </c>
      <c r="L594" s="37" t="str">
        <f>IF(A594&amp;B594&amp;C594="","",INDEX(生物种群!$F$3:INDEX(生物种群!$F:$F,COUNTA(生物种群!$F:$F)),MATCH($I594,生物种群!$B$3:INDEX(生物种群!$B:$B,COUNTA(生物种群!$B:$B)),),))</f>
        <v/>
      </c>
      <c r="M594" s="37" t="str">
        <f t="shared" si="18"/>
        <v/>
      </c>
      <c r="N594" s="37" t="str">
        <f t="shared" si="19"/>
        <v/>
      </c>
      <c r="O594" s="9"/>
      <c r="P594" s="10"/>
    </row>
    <row r="595" spans="1:16" ht="20.1" customHeight="1">
      <c r="A595" s="9"/>
      <c r="B595" s="9"/>
      <c r="C595" s="9"/>
      <c r="D595" s="43"/>
      <c r="E595" s="9"/>
      <c r="F595" s="9"/>
      <c r="G595" s="47" t="str">
        <f>IF(F595="","",INDEX(站位样品信息!$B$3:INDEX(站位样品信息!$B:$B,COUNTA(站位样品信息!$B:$B)+1),MATCH($F595,站位样品信息!$A$3:INDEX(站位样品信息!$A:$A,COUNTA(站位样品信息!$A:$A)+1),),))</f>
        <v/>
      </c>
      <c r="H595" s="37" t="str">
        <f>IF(A595&amp;B595&amp;C595="","",INDEX(生物种群!$A$2:INDEX(生物种群!$A:$A,COUNTA(生物种群!$A:$A)),MATCH($I595,生物种群!$B$2:INDEX(生物种群!$B:$B,COUNTA(生物种群!$B:$B)),),))</f>
        <v/>
      </c>
      <c r="I595" s="37" t="str">
        <f>IF(A595&amp;B595&amp;C595="","",IF($C595&lt;&gt;0,INDEX(生物种群!$B$2:INDEX(生物种群!$B:$B,COUNTA(生物种群!$B:$B)),MATCH($C595,生物种群!$G$2:INDEX(生物种群!$G:$G,COUNTA(生物种群!$G:$G)),),),IF($A595&lt;&gt;0,INDEX(生物种群!$B$2:INDEX(生物种群!$B:$B,COUNTA(生物种群!$B:$B)),MATCH($A595,生物种群!$C$2:INDEX(生物种群!$C:$C,COUNTA(生物种群!$C:$C)),),),INDEX(生物种群!$B$2:INDEX(生物种群!$B:$B,COUNTA(生物种群!$B:$B)),MATCH($B595,生物种群!$D$2:INDEX(生物种群!$D:$D,COUNTA(生物种群!$D:$D)),),))))</f>
        <v/>
      </c>
      <c r="J595" s="37" t="str">
        <f>IF(A595&amp;B595&amp;C595="","",INDEX(生物种群!$J$2:INDEX(生物种群!$J:$J,COUNTA(生物种群!$J:$J)),MATCH($I595,生物种群!$B$2:INDEX(生物种群!$B:$B,COUNTA(生物种群!$B:$B)),),))</f>
        <v/>
      </c>
      <c r="K595" s="37" t="str">
        <f>IF(A595&amp;B595&amp;C595="","",INDEX(生物种群!$E$2:INDEX(生物种群!$E:$E,COUNTA(生物种群!$E:$E)),MATCH($I595,生物种群!$B$2:INDEX(生物种群!$B:$B,COUNTA(生物种群!$B:$B)),),))</f>
        <v/>
      </c>
      <c r="L595" s="37" t="str">
        <f>IF(A595&amp;B595&amp;C595="","",INDEX(生物种群!$F$3:INDEX(生物种群!$F:$F,COUNTA(生物种群!$F:$F)),MATCH($I595,生物种群!$B$3:INDEX(生物种群!$B:$B,COUNTA(生物种群!$B:$B)),),))</f>
        <v/>
      </c>
      <c r="M595" s="37" t="str">
        <f t="shared" si="18"/>
        <v/>
      </c>
      <c r="N595" s="37" t="str">
        <f t="shared" si="19"/>
        <v/>
      </c>
      <c r="O595" s="9"/>
      <c r="P595" s="10"/>
    </row>
    <row r="596" spans="1:16" ht="20.1" customHeight="1">
      <c r="A596" s="9"/>
      <c r="B596" s="9"/>
      <c r="C596" s="9"/>
      <c r="D596" s="43"/>
      <c r="E596" s="9"/>
      <c r="F596" s="9"/>
      <c r="G596" s="47" t="str">
        <f>IF(F596="","",INDEX(站位样品信息!$B$3:INDEX(站位样品信息!$B:$B,COUNTA(站位样品信息!$B:$B)+1),MATCH($F596,站位样品信息!$A$3:INDEX(站位样品信息!$A:$A,COUNTA(站位样品信息!$A:$A)+1),),))</f>
        <v/>
      </c>
      <c r="H596" s="37" t="str">
        <f>IF(A596&amp;B596&amp;C596="","",INDEX(生物种群!$A$2:INDEX(生物种群!$A:$A,COUNTA(生物种群!$A:$A)),MATCH($I596,生物种群!$B$2:INDEX(生物种群!$B:$B,COUNTA(生物种群!$B:$B)),),))</f>
        <v/>
      </c>
      <c r="I596" s="37" t="str">
        <f>IF(A596&amp;B596&amp;C596="","",IF($C596&lt;&gt;0,INDEX(生物种群!$B$2:INDEX(生物种群!$B:$B,COUNTA(生物种群!$B:$B)),MATCH($C596,生物种群!$G$2:INDEX(生物种群!$G:$G,COUNTA(生物种群!$G:$G)),),),IF($A596&lt;&gt;0,INDEX(生物种群!$B$2:INDEX(生物种群!$B:$B,COUNTA(生物种群!$B:$B)),MATCH($A596,生物种群!$C$2:INDEX(生物种群!$C:$C,COUNTA(生物种群!$C:$C)),),),INDEX(生物种群!$B$2:INDEX(生物种群!$B:$B,COUNTA(生物种群!$B:$B)),MATCH($B596,生物种群!$D$2:INDEX(生物种群!$D:$D,COUNTA(生物种群!$D:$D)),),))))</f>
        <v/>
      </c>
      <c r="J596" s="37" t="str">
        <f>IF(A596&amp;B596&amp;C596="","",INDEX(生物种群!$J$2:INDEX(生物种群!$J:$J,COUNTA(生物种群!$J:$J)),MATCH($I596,生物种群!$B$2:INDEX(生物种群!$B:$B,COUNTA(生物种群!$B:$B)),),))</f>
        <v/>
      </c>
      <c r="K596" s="37" t="str">
        <f>IF(A596&amp;B596&amp;C596="","",INDEX(生物种群!$E$2:INDEX(生物种群!$E:$E,COUNTA(生物种群!$E:$E)),MATCH($I596,生物种群!$B$2:INDEX(生物种群!$B:$B,COUNTA(生物种群!$B:$B)),),))</f>
        <v/>
      </c>
      <c r="L596" s="37" t="str">
        <f>IF(A596&amp;B596&amp;C596="","",INDEX(生物种群!$F$3:INDEX(生物种群!$F:$F,COUNTA(生物种群!$F:$F)),MATCH($I596,生物种群!$B$3:INDEX(生物种群!$B:$B,COUNTA(生物种群!$B:$B)),),))</f>
        <v/>
      </c>
      <c r="M596" s="37" t="str">
        <f t="shared" si="18"/>
        <v/>
      </c>
      <c r="N596" s="37" t="str">
        <f t="shared" si="19"/>
        <v/>
      </c>
      <c r="O596" s="9"/>
      <c r="P596" s="10"/>
    </row>
    <row r="597" spans="1:16" ht="20.1" customHeight="1">
      <c r="A597" s="9"/>
      <c r="B597" s="9"/>
      <c r="C597" s="9"/>
      <c r="D597" s="43"/>
      <c r="E597" s="9"/>
      <c r="F597" s="9"/>
      <c r="G597" s="47" t="str">
        <f>IF(F597="","",INDEX(站位样品信息!$B$3:INDEX(站位样品信息!$B:$B,COUNTA(站位样品信息!$B:$B)+1),MATCH($F597,站位样品信息!$A$3:INDEX(站位样品信息!$A:$A,COUNTA(站位样品信息!$A:$A)+1),),))</f>
        <v/>
      </c>
      <c r="H597" s="37" t="str">
        <f>IF(A597&amp;B597&amp;C597="","",INDEX(生物种群!$A$2:INDEX(生物种群!$A:$A,COUNTA(生物种群!$A:$A)),MATCH($I597,生物种群!$B$2:INDEX(生物种群!$B:$B,COUNTA(生物种群!$B:$B)),),))</f>
        <v/>
      </c>
      <c r="I597" s="37" t="str">
        <f>IF(A597&amp;B597&amp;C597="","",IF($C597&lt;&gt;0,INDEX(生物种群!$B$2:INDEX(生物种群!$B:$B,COUNTA(生物种群!$B:$B)),MATCH($C597,生物种群!$G$2:INDEX(生物种群!$G:$G,COUNTA(生物种群!$G:$G)),),),IF($A597&lt;&gt;0,INDEX(生物种群!$B$2:INDEX(生物种群!$B:$B,COUNTA(生物种群!$B:$B)),MATCH($A597,生物种群!$C$2:INDEX(生物种群!$C:$C,COUNTA(生物种群!$C:$C)),),),INDEX(生物种群!$B$2:INDEX(生物种群!$B:$B,COUNTA(生物种群!$B:$B)),MATCH($B597,生物种群!$D$2:INDEX(生物种群!$D:$D,COUNTA(生物种群!$D:$D)),),))))</f>
        <v/>
      </c>
      <c r="J597" s="37" t="str">
        <f>IF(A597&amp;B597&amp;C597="","",INDEX(生物种群!$J$2:INDEX(生物种群!$J:$J,COUNTA(生物种群!$J:$J)),MATCH($I597,生物种群!$B$2:INDEX(生物种群!$B:$B,COUNTA(生物种群!$B:$B)),),))</f>
        <v/>
      </c>
      <c r="K597" s="37" t="str">
        <f>IF(A597&amp;B597&amp;C597="","",INDEX(生物种群!$E$2:INDEX(生物种群!$E:$E,COUNTA(生物种群!$E:$E)),MATCH($I597,生物种群!$B$2:INDEX(生物种群!$B:$B,COUNTA(生物种群!$B:$B)),),))</f>
        <v/>
      </c>
      <c r="L597" s="37" t="str">
        <f>IF(A597&amp;B597&amp;C597="","",INDEX(生物种群!$F$3:INDEX(生物种群!$F:$F,COUNTA(生物种群!$F:$F)),MATCH($I597,生物种群!$B$3:INDEX(生物种群!$B:$B,COUNTA(生物种群!$B:$B)),),))</f>
        <v/>
      </c>
      <c r="M597" s="37" t="str">
        <f t="shared" si="18"/>
        <v/>
      </c>
      <c r="N597" s="37" t="str">
        <f t="shared" si="19"/>
        <v/>
      </c>
      <c r="O597" s="9"/>
      <c r="P597" s="10"/>
    </row>
    <row r="598" spans="1:16" ht="20.1" customHeight="1">
      <c r="A598" s="9"/>
      <c r="B598" s="9"/>
      <c r="C598" s="9"/>
      <c r="D598" s="43"/>
      <c r="E598" s="9"/>
      <c r="F598" s="9"/>
      <c r="G598" s="47" t="str">
        <f>IF(F598="","",INDEX(站位样品信息!$B$3:INDEX(站位样品信息!$B:$B,COUNTA(站位样品信息!$B:$B)+1),MATCH($F598,站位样品信息!$A$3:INDEX(站位样品信息!$A:$A,COUNTA(站位样品信息!$A:$A)+1),),))</f>
        <v/>
      </c>
      <c r="H598" s="37" t="str">
        <f>IF(A598&amp;B598&amp;C598="","",INDEX(生物种群!$A$2:INDEX(生物种群!$A:$A,COUNTA(生物种群!$A:$A)),MATCH($I598,生物种群!$B$2:INDEX(生物种群!$B:$B,COUNTA(生物种群!$B:$B)),),))</f>
        <v/>
      </c>
      <c r="I598" s="37" t="str">
        <f>IF(A598&amp;B598&amp;C598="","",IF($C598&lt;&gt;0,INDEX(生物种群!$B$2:INDEX(生物种群!$B:$B,COUNTA(生物种群!$B:$B)),MATCH($C598,生物种群!$G$2:INDEX(生物种群!$G:$G,COUNTA(生物种群!$G:$G)),),),IF($A598&lt;&gt;0,INDEX(生物种群!$B$2:INDEX(生物种群!$B:$B,COUNTA(生物种群!$B:$B)),MATCH($A598,生物种群!$C$2:INDEX(生物种群!$C:$C,COUNTA(生物种群!$C:$C)),),),INDEX(生物种群!$B$2:INDEX(生物种群!$B:$B,COUNTA(生物种群!$B:$B)),MATCH($B598,生物种群!$D$2:INDEX(生物种群!$D:$D,COUNTA(生物种群!$D:$D)),),))))</f>
        <v/>
      </c>
      <c r="J598" s="37" t="str">
        <f>IF(A598&amp;B598&amp;C598="","",INDEX(生物种群!$J$2:INDEX(生物种群!$J:$J,COUNTA(生物种群!$J:$J)),MATCH($I598,生物种群!$B$2:INDEX(生物种群!$B:$B,COUNTA(生物种群!$B:$B)),),))</f>
        <v/>
      </c>
      <c r="K598" s="37" t="str">
        <f>IF(A598&amp;B598&amp;C598="","",INDEX(生物种群!$E$2:INDEX(生物种群!$E:$E,COUNTA(生物种群!$E:$E)),MATCH($I598,生物种群!$B$2:INDEX(生物种群!$B:$B,COUNTA(生物种群!$B:$B)),),))</f>
        <v/>
      </c>
      <c r="L598" s="37" t="str">
        <f>IF(A598&amp;B598&amp;C598="","",INDEX(生物种群!$F$3:INDEX(生物种群!$F:$F,COUNTA(生物种群!$F:$F)),MATCH($I598,生物种群!$B$3:INDEX(生物种群!$B:$B,COUNTA(生物种群!$B:$B)),),))</f>
        <v/>
      </c>
      <c r="M598" s="37" t="str">
        <f t="shared" si="18"/>
        <v/>
      </c>
      <c r="N598" s="37" t="str">
        <f t="shared" si="19"/>
        <v/>
      </c>
      <c r="O598" s="9"/>
      <c r="P598" s="10"/>
    </row>
    <row r="599" spans="1:16" ht="20.1" customHeight="1">
      <c r="A599" s="9"/>
      <c r="B599" s="9"/>
      <c r="C599" s="9"/>
      <c r="D599" s="43"/>
      <c r="E599" s="9"/>
      <c r="F599" s="9"/>
      <c r="G599" s="47" t="str">
        <f>IF(F599="","",INDEX(站位样品信息!$B$3:INDEX(站位样品信息!$B:$B,COUNTA(站位样品信息!$B:$B)+1),MATCH($F599,站位样品信息!$A$3:INDEX(站位样品信息!$A:$A,COUNTA(站位样品信息!$A:$A)+1),),))</f>
        <v/>
      </c>
      <c r="H599" s="37" t="str">
        <f>IF(A599&amp;B599&amp;C599="","",INDEX(生物种群!$A$2:INDEX(生物种群!$A:$A,COUNTA(生物种群!$A:$A)),MATCH($I599,生物种群!$B$2:INDEX(生物种群!$B:$B,COUNTA(生物种群!$B:$B)),),))</f>
        <v/>
      </c>
      <c r="I599" s="37" t="str">
        <f>IF(A599&amp;B599&amp;C599="","",IF($C599&lt;&gt;0,INDEX(生物种群!$B$2:INDEX(生物种群!$B:$B,COUNTA(生物种群!$B:$B)),MATCH($C599,生物种群!$G$2:INDEX(生物种群!$G:$G,COUNTA(生物种群!$G:$G)),),),IF($A599&lt;&gt;0,INDEX(生物种群!$B$2:INDEX(生物种群!$B:$B,COUNTA(生物种群!$B:$B)),MATCH($A599,生物种群!$C$2:INDEX(生物种群!$C:$C,COUNTA(生物种群!$C:$C)),),),INDEX(生物种群!$B$2:INDEX(生物种群!$B:$B,COUNTA(生物种群!$B:$B)),MATCH($B599,生物种群!$D$2:INDEX(生物种群!$D:$D,COUNTA(生物种群!$D:$D)),),))))</f>
        <v/>
      </c>
      <c r="J599" s="37" t="str">
        <f>IF(A599&amp;B599&amp;C599="","",INDEX(生物种群!$J$2:INDEX(生物种群!$J:$J,COUNTA(生物种群!$J:$J)),MATCH($I599,生物种群!$B$2:INDEX(生物种群!$B:$B,COUNTA(生物种群!$B:$B)),),))</f>
        <v/>
      </c>
      <c r="K599" s="37" t="str">
        <f>IF(A599&amp;B599&amp;C599="","",INDEX(生物种群!$E$2:INDEX(生物种群!$E:$E,COUNTA(生物种群!$E:$E)),MATCH($I599,生物种群!$B$2:INDEX(生物种群!$B:$B,COUNTA(生物种群!$B:$B)),),))</f>
        <v/>
      </c>
      <c r="L599" s="37" t="str">
        <f>IF(A599&amp;B599&amp;C599="","",INDEX(生物种群!$F$3:INDEX(生物种群!$F:$F,COUNTA(生物种群!$F:$F)),MATCH($I599,生物种群!$B$3:INDEX(生物种群!$B:$B,COUNTA(生物种群!$B:$B)),),))</f>
        <v/>
      </c>
      <c r="M599" s="37" t="str">
        <f t="shared" si="18"/>
        <v/>
      </c>
      <c r="N599" s="37" t="str">
        <f t="shared" si="19"/>
        <v/>
      </c>
      <c r="O599" s="9"/>
      <c r="P599" s="10"/>
    </row>
    <row r="600" spans="1:16" ht="20.1" customHeight="1">
      <c r="A600" s="9"/>
      <c r="B600" s="9"/>
      <c r="C600" s="9"/>
      <c r="D600" s="43"/>
      <c r="E600" s="9"/>
      <c r="F600" s="9"/>
      <c r="G600" s="47" t="str">
        <f>IF(F600="","",INDEX(站位样品信息!$B$3:INDEX(站位样品信息!$B:$B,COUNTA(站位样品信息!$B:$B)+1),MATCH($F600,站位样品信息!$A$3:INDEX(站位样品信息!$A:$A,COUNTA(站位样品信息!$A:$A)+1),),))</f>
        <v/>
      </c>
      <c r="H600" s="37" t="str">
        <f>IF(A600&amp;B600&amp;C600="","",INDEX(生物种群!$A$2:INDEX(生物种群!$A:$A,COUNTA(生物种群!$A:$A)),MATCH($I600,生物种群!$B$2:INDEX(生物种群!$B:$B,COUNTA(生物种群!$B:$B)),),))</f>
        <v/>
      </c>
      <c r="I600" s="37" t="str">
        <f>IF(A600&amp;B600&amp;C600="","",IF($C600&lt;&gt;0,INDEX(生物种群!$B$2:INDEX(生物种群!$B:$B,COUNTA(生物种群!$B:$B)),MATCH($C600,生物种群!$G$2:INDEX(生物种群!$G:$G,COUNTA(生物种群!$G:$G)),),),IF($A600&lt;&gt;0,INDEX(生物种群!$B$2:INDEX(生物种群!$B:$B,COUNTA(生物种群!$B:$B)),MATCH($A600,生物种群!$C$2:INDEX(生物种群!$C:$C,COUNTA(生物种群!$C:$C)),),),INDEX(生物种群!$B$2:INDEX(生物种群!$B:$B,COUNTA(生物种群!$B:$B)),MATCH($B600,生物种群!$D$2:INDEX(生物种群!$D:$D,COUNTA(生物种群!$D:$D)),),))))</f>
        <v/>
      </c>
      <c r="J600" s="37" t="str">
        <f>IF(A600&amp;B600&amp;C600="","",INDEX(生物种群!$J$2:INDEX(生物种群!$J:$J,COUNTA(生物种群!$J:$J)),MATCH($I600,生物种群!$B$2:INDEX(生物种群!$B:$B,COUNTA(生物种群!$B:$B)),),))</f>
        <v/>
      </c>
      <c r="K600" s="37" t="str">
        <f>IF(A600&amp;B600&amp;C600="","",INDEX(生物种群!$E$2:INDEX(生物种群!$E:$E,COUNTA(生物种群!$E:$E)),MATCH($I600,生物种群!$B$2:INDEX(生物种群!$B:$B,COUNTA(生物种群!$B:$B)),),))</f>
        <v/>
      </c>
      <c r="L600" s="37" t="str">
        <f>IF(A600&amp;B600&amp;C600="","",INDEX(生物种群!$F$3:INDEX(生物种群!$F:$F,COUNTA(生物种群!$F:$F)),MATCH($I600,生物种群!$B$3:INDEX(生物种群!$B:$B,COUNTA(生物种群!$B:$B)),),))</f>
        <v/>
      </c>
      <c r="M600" s="37" t="str">
        <f t="shared" si="18"/>
        <v/>
      </c>
      <c r="N600" s="37" t="str">
        <f t="shared" si="19"/>
        <v/>
      </c>
      <c r="O600" s="9"/>
      <c r="P600" s="10"/>
    </row>
    <row r="601" spans="1:16" ht="20.1" customHeight="1">
      <c r="A601" s="9"/>
      <c r="B601" s="9"/>
      <c r="C601" s="9"/>
      <c r="D601" s="43"/>
      <c r="E601" s="9"/>
      <c r="F601" s="9"/>
      <c r="G601" s="47" t="str">
        <f>IF(F601="","",INDEX(站位样品信息!$B$3:INDEX(站位样品信息!$B:$B,COUNTA(站位样品信息!$B:$B)+1),MATCH($F601,站位样品信息!$A$3:INDEX(站位样品信息!$A:$A,COUNTA(站位样品信息!$A:$A)+1),),))</f>
        <v/>
      </c>
      <c r="H601" s="37" t="str">
        <f>IF(A601&amp;B601&amp;C601="","",INDEX(生物种群!$A$2:INDEX(生物种群!$A:$A,COUNTA(生物种群!$A:$A)),MATCH($I601,生物种群!$B$2:INDEX(生物种群!$B:$B,COUNTA(生物种群!$B:$B)),),))</f>
        <v/>
      </c>
      <c r="I601" s="37" t="str">
        <f>IF(A601&amp;B601&amp;C601="","",IF($C601&lt;&gt;0,INDEX(生物种群!$B$2:INDEX(生物种群!$B:$B,COUNTA(生物种群!$B:$B)),MATCH($C601,生物种群!$G$2:INDEX(生物种群!$G:$G,COUNTA(生物种群!$G:$G)),),),IF($A601&lt;&gt;0,INDEX(生物种群!$B$2:INDEX(生物种群!$B:$B,COUNTA(生物种群!$B:$B)),MATCH($A601,生物种群!$C$2:INDEX(生物种群!$C:$C,COUNTA(生物种群!$C:$C)),),),INDEX(生物种群!$B$2:INDEX(生物种群!$B:$B,COUNTA(生物种群!$B:$B)),MATCH($B601,生物种群!$D$2:INDEX(生物种群!$D:$D,COUNTA(生物种群!$D:$D)),),))))</f>
        <v/>
      </c>
      <c r="J601" s="37" t="str">
        <f>IF(A601&amp;B601&amp;C601="","",INDEX(生物种群!$J$2:INDEX(生物种群!$J:$J,COUNTA(生物种群!$J:$J)),MATCH($I601,生物种群!$B$2:INDEX(生物种群!$B:$B,COUNTA(生物种群!$B:$B)),),))</f>
        <v/>
      </c>
      <c r="K601" s="37" t="str">
        <f>IF(A601&amp;B601&amp;C601="","",INDEX(生物种群!$E$2:INDEX(生物种群!$E:$E,COUNTA(生物种群!$E:$E)),MATCH($I601,生物种群!$B$2:INDEX(生物种群!$B:$B,COUNTA(生物种群!$B:$B)),),))</f>
        <v/>
      </c>
      <c r="L601" s="37" t="str">
        <f>IF(A601&amp;B601&amp;C601="","",INDEX(生物种群!$F$3:INDEX(生物种群!$F:$F,COUNTA(生物种群!$F:$F)),MATCH($I601,生物种群!$B$3:INDEX(生物种群!$B:$B,COUNTA(生物种群!$B:$B)),),))</f>
        <v/>
      </c>
      <c r="M601" s="37" t="str">
        <f t="shared" si="18"/>
        <v/>
      </c>
      <c r="N601" s="37" t="str">
        <f t="shared" si="19"/>
        <v/>
      </c>
      <c r="O601" s="9"/>
      <c r="P601" s="10"/>
    </row>
    <row r="602" spans="1:16" ht="20.1" customHeight="1">
      <c r="A602" s="9"/>
      <c r="B602" s="9"/>
      <c r="C602" s="9"/>
      <c r="D602" s="43"/>
      <c r="E602" s="9"/>
      <c r="F602" s="9"/>
      <c r="G602" s="47" t="str">
        <f>IF(F602="","",INDEX(站位样品信息!$B$3:INDEX(站位样品信息!$B:$B,COUNTA(站位样品信息!$B:$B)+1),MATCH($F602,站位样品信息!$A$3:INDEX(站位样品信息!$A:$A,COUNTA(站位样品信息!$A:$A)+1),),))</f>
        <v/>
      </c>
      <c r="H602" s="37" t="str">
        <f>IF(A602&amp;B602&amp;C602="","",INDEX(生物种群!$A$2:INDEX(生物种群!$A:$A,COUNTA(生物种群!$A:$A)),MATCH($I602,生物种群!$B$2:INDEX(生物种群!$B:$B,COUNTA(生物种群!$B:$B)),),))</f>
        <v/>
      </c>
      <c r="I602" s="37" t="str">
        <f>IF(A602&amp;B602&amp;C602="","",IF($C602&lt;&gt;0,INDEX(生物种群!$B$2:INDEX(生物种群!$B:$B,COUNTA(生物种群!$B:$B)),MATCH($C602,生物种群!$G$2:INDEX(生物种群!$G:$G,COUNTA(生物种群!$G:$G)),),),IF($A602&lt;&gt;0,INDEX(生物种群!$B$2:INDEX(生物种群!$B:$B,COUNTA(生物种群!$B:$B)),MATCH($A602,生物种群!$C$2:INDEX(生物种群!$C:$C,COUNTA(生物种群!$C:$C)),),),INDEX(生物种群!$B$2:INDEX(生物种群!$B:$B,COUNTA(生物种群!$B:$B)),MATCH($B602,生物种群!$D$2:INDEX(生物种群!$D:$D,COUNTA(生物种群!$D:$D)),),))))</f>
        <v/>
      </c>
      <c r="J602" s="37" t="str">
        <f>IF(A602&amp;B602&amp;C602="","",INDEX(生物种群!$J$2:INDEX(生物种群!$J:$J,COUNTA(生物种群!$J:$J)),MATCH($I602,生物种群!$B$2:INDEX(生物种群!$B:$B,COUNTA(生物种群!$B:$B)),),))</f>
        <v/>
      </c>
      <c r="K602" s="37" t="str">
        <f>IF(A602&amp;B602&amp;C602="","",INDEX(生物种群!$E$2:INDEX(生物种群!$E:$E,COUNTA(生物种群!$E:$E)),MATCH($I602,生物种群!$B$2:INDEX(生物种群!$B:$B,COUNTA(生物种群!$B:$B)),),))</f>
        <v/>
      </c>
      <c r="L602" s="37" t="str">
        <f>IF(A602&amp;B602&amp;C602="","",INDEX(生物种群!$F$3:INDEX(生物种群!$F:$F,COUNTA(生物种群!$F:$F)),MATCH($I602,生物种群!$B$3:INDEX(生物种群!$B:$B,COUNTA(生物种群!$B:$B)),),))</f>
        <v/>
      </c>
      <c r="M602" s="37" t="str">
        <f t="shared" si="18"/>
        <v/>
      </c>
      <c r="N602" s="37" t="str">
        <f t="shared" si="19"/>
        <v/>
      </c>
      <c r="O602" s="9"/>
      <c r="P602" s="10"/>
    </row>
    <row r="603" spans="1:16" ht="20.1" customHeight="1">
      <c r="A603" s="9"/>
      <c r="B603" s="9"/>
      <c r="C603" s="9"/>
      <c r="D603" s="43"/>
      <c r="E603" s="9"/>
      <c r="F603" s="9"/>
      <c r="G603" s="47" t="str">
        <f>IF(F603="","",INDEX(站位样品信息!$B$3:INDEX(站位样品信息!$B:$B,COUNTA(站位样品信息!$B:$B)+1),MATCH($F603,站位样品信息!$A$3:INDEX(站位样品信息!$A:$A,COUNTA(站位样品信息!$A:$A)+1),),))</f>
        <v/>
      </c>
      <c r="H603" s="37" t="str">
        <f>IF(A603&amp;B603&amp;C603="","",INDEX(生物种群!$A$2:INDEX(生物种群!$A:$A,COUNTA(生物种群!$A:$A)),MATCH($I603,生物种群!$B$2:INDEX(生物种群!$B:$B,COUNTA(生物种群!$B:$B)),),))</f>
        <v/>
      </c>
      <c r="I603" s="37" t="str">
        <f>IF(A603&amp;B603&amp;C603="","",IF($C603&lt;&gt;0,INDEX(生物种群!$B$2:INDEX(生物种群!$B:$B,COUNTA(生物种群!$B:$B)),MATCH($C603,生物种群!$G$2:INDEX(生物种群!$G:$G,COUNTA(生物种群!$G:$G)),),),IF($A603&lt;&gt;0,INDEX(生物种群!$B$2:INDEX(生物种群!$B:$B,COUNTA(生物种群!$B:$B)),MATCH($A603,生物种群!$C$2:INDEX(生物种群!$C:$C,COUNTA(生物种群!$C:$C)),),),INDEX(生物种群!$B$2:INDEX(生物种群!$B:$B,COUNTA(生物种群!$B:$B)),MATCH($B603,生物种群!$D$2:INDEX(生物种群!$D:$D,COUNTA(生物种群!$D:$D)),),))))</f>
        <v/>
      </c>
      <c r="J603" s="37" t="str">
        <f>IF(A603&amp;B603&amp;C603="","",INDEX(生物种群!$J$2:INDEX(生物种群!$J:$J,COUNTA(生物种群!$J:$J)),MATCH($I603,生物种群!$B$2:INDEX(生物种群!$B:$B,COUNTA(生物种群!$B:$B)),),))</f>
        <v/>
      </c>
      <c r="K603" s="37" t="str">
        <f>IF(A603&amp;B603&amp;C603="","",INDEX(生物种群!$E$2:INDEX(生物种群!$E:$E,COUNTA(生物种群!$E:$E)),MATCH($I603,生物种群!$B$2:INDEX(生物种群!$B:$B,COUNTA(生物种群!$B:$B)),),))</f>
        <v/>
      </c>
      <c r="L603" s="37" t="str">
        <f>IF(A603&amp;B603&amp;C603="","",INDEX(生物种群!$F$3:INDEX(生物种群!$F:$F,COUNTA(生物种群!$F:$F)),MATCH($I603,生物种群!$B$3:INDEX(生物种群!$B:$B,COUNTA(生物种群!$B:$B)),),))</f>
        <v/>
      </c>
      <c r="M603" s="37" t="str">
        <f t="shared" si="18"/>
        <v/>
      </c>
      <c r="N603" s="37" t="str">
        <f t="shared" si="19"/>
        <v/>
      </c>
      <c r="O603" s="9"/>
      <c r="P603" s="10"/>
    </row>
    <row r="604" spans="1:16" ht="20.1" customHeight="1">
      <c r="A604" s="9"/>
      <c r="B604" s="9"/>
      <c r="C604" s="9"/>
      <c r="D604" s="43"/>
      <c r="E604" s="9"/>
      <c r="F604" s="9"/>
      <c r="G604" s="47" t="str">
        <f>IF(F604="","",INDEX(站位样品信息!$B$3:INDEX(站位样品信息!$B:$B,COUNTA(站位样品信息!$B:$B)+1),MATCH($F604,站位样品信息!$A$3:INDEX(站位样品信息!$A:$A,COUNTA(站位样品信息!$A:$A)+1),),))</f>
        <v/>
      </c>
      <c r="H604" s="37" t="str">
        <f>IF(A604&amp;B604&amp;C604="","",INDEX(生物种群!$A$2:INDEX(生物种群!$A:$A,COUNTA(生物种群!$A:$A)),MATCH($I604,生物种群!$B$2:INDEX(生物种群!$B:$B,COUNTA(生物种群!$B:$B)),),))</f>
        <v/>
      </c>
      <c r="I604" s="37" t="str">
        <f>IF(A604&amp;B604&amp;C604="","",IF($C604&lt;&gt;0,INDEX(生物种群!$B$2:INDEX(生物种群!$B:$B,COUNTA(生物种群!$B:$B)),MATCH($C604,生物种群!$G$2:INDEX(生物种群!$G:$G,COUNTA(生物种群!$G:$G)),),),IF($A604&lt;&gt;0,INDEX(生物种群!$B$2:INDEX(生物种群!$B:$B,COUNTA(生物种群!$B:$B)),MATCH($A604,生物种群!$C$2:INDEX(生物种群!$C:$C,COUNTA(生物种群!$C:$C)),),),INDEX(生物种群!$B$2:INDEX(生物种群!$B:$B,COUNTA(生物种群!$B:$B)),MATCH($B604,生物种群!$D$2:INDEX(生物种群!$D:$D,COUNTA(生物种群!$D:$D)),),))))</f>
        <v/>
      </c>
      <c r="J604" s="37" t="str">
        <f>IF(A604&amp;B604&amp;C604="","",INDEX(生物种群!$J$2:INDEX(生物种群!$J:$J,COUNTA(生物种群!$J:$J)),MATCH($I604,生物种群!$B$2:INDEX(生物种群!$B:$B,COUNTA(生物种群!$B:$B)),),))</f>
        <v/>
      </c>
      <c r="K604" s="37" t="str">
        <f>IF(A604&amp;B604&amp;C604="","",INDEX(生物种群!$E$2:INDEX(生物种群!$E:$E,COUNTA(生物种群!$E:$E)),MATCH($I604,生物种群!$B$2:INDEX(生物种群!$B:$B,COUNTA(生物种群!$B:$B)),),))</f>
        <v/>
      </c>
      <c r="L604" s="37" t="str">
        <f>IF(A604&amp;B604&amp;C604="","",INDEX(生物种群!$F$3:INDEX(生物种群!$F:$F,COUNTA(生物种群!$F:$F)),MATCH($I604,生物种群!$B$3:INDEX(生物种群!$B:$B,COUNTA(生物种群!$B:$B)),),))</f>
        <v/>
      </c>
      <c r="M604" s="37" t="str">
        <f t="shared" si="18"/>
        <v/>
      </c>
      <c r="N604" s="37" t="str">
        <f t="shared" si="19"/>
        <v/>
      </c>
      <c r="O604" s="9"/>
      <c r="P604" s="10"/>
    </row>
    <row r="605" spans="1:16" ht="20.1" customHeight="1">
      <c r="A605" s="9"/>
      <c r="B605" s="9"/>
      <c r="C605" s="9"/>
      <c r="D605" s="43"/>
      <c r="E605" s="9"/>
      <c r="F605" s="9"/>
      <c r="G605" s="47" t="str">
        <f>IF(F605="","",INDEX(站位样品信息!$B$3:INDEX(站位样品信息!$B:$B,COUNTA(站位样品信息!$B:$B)+1),MATCH($F605,站位样品信息!$A$3:INDEX(站位样品信息!$A:$A,COUNTA(站位样品信息!$A:$A)+1),),))</f>
        <v/>
      </c>
      <c r="H605" s="37" t="str">
        <f>IF(A605&amp;B605&amp;C605="","",INDEX(生物种群!$A$2:INDEX(生物种群!$A:$A,COUNTA(生物种群!$A:$A)),MATCH($I605,生物种群!$B$2:INDEX(生物种群!$B:$B,COUNTA(生物种群!$B:$B)),),))</f>
        <v/>
      </c>
      <c r="I605" s="37" t="str">
        <f>IF(A605&amp;B605&amp;C605="","",IF($C605&lt;&gt;0,INDEX(生物种群!$B$2:INDEX(生物种群!$B:$B,COUNTA(生物种群!$B:$B)),MATCH($C605,生物种群!$G$2:INDEX(生物种群!$G:$G,COUNTA(生物种群!$G:$G)),),),IF($A605&lt;&gt;0,INDEX(生物种群!$B$2:INDEX(生物种群!$B:$B,COUNTA(生物种群!$B:$B)),MATCH($A605,生物种群!$C$2:INDEX(生物种群!$C:$C,COUNTA(生物种群!$C:$C)),),),INDEX(生物种群!$B$2:INDEX(生物种群!$B:$B,COUNTA(生物种群!$B:$B)),MATCH($B605,生物种群!$D$2:INDEX(生物种群!$D:$D,COUNTA(生物种群!$D:$D)),),))))</f>
        <v/>
      </c>
      <c r="J605" s="37" t="str">
        <f>IF(A605&amp;B605&amp;C605="","",INDEX(生物种群!$J$2:INDEX(生物种群!$J:$J,COUNTA(生物种群!$J:$J)),MATCH($I605,生物种群!$B$2:INDEX(生物种群!$B:$B,COUNTA(生物种群!$B:$B)),),))</f>
        <v/>
      </c>
      <c r="K605" s="37" t="str">
        <f>IF(A605&amp;B605&amp;C605="","",INDEX(生物种群!$E$2:INDEX(生物种群!$E:$E,COUNTA(生物种群!$E:$E)),MATCH($I605,生物种群!$B$2:INDEX(生物种群!$B:$B,COUNTA(生物种群!$B:$B)),),))</f>
        <v/>
      </c>
      <c r="L605" s="37" t="str">
        <f>IF(A605&amp;B605&amp;C605="","",INDEX(生物种群!$F$3:INDEX(生物种群!$F:$F,COUNTA(生物种群!$F:$F)),MATCH($I605,生物种群!$B$3:INDEX(生物种群!$B:$B,COUNTA(生物种群!$B:$B)),),))</f>
        <v/>
      </c>
      <c r="M605" s="37" t="str">
        <f t="shared" si="18"/>
        <v/>
      </c>
      <c r="N605" s="37" t="str">
        <f t="shared" si="19"/>
        <v/>
      </c>
      <c r="O605" s="9"/>
      <c r="P605" s="10"/>
    </row>
    <row r="606" spans="1:16" ht="20.1" customHeight="1">
      <c r="A606" s="9"/>
      <c r="B606" s="9"/>
      <c r="C606" s="9"/>
      <c r="D606" s="43"/>
      <c r="E606" s="9"/>
      <c r="F606" s="9"/>
      <c r="G606" s="47" t="str">
        <f>IF(F606="","",INDEX(站位样品信息!$B$3:INDEX(站位样品信息!$B:$B,COUNTA(站位样品信息!$B:$B)+1),MATCH($F606,站位样品信息!$A$3:INDEX(站位样品信息!$A:$A,COUNTA(站位样品信息!$A:$A)+1),),))</f>
        <v/>
      </c>
      <c r="H606" s="37" t="str">
        <f>IF(A606&amp;B606&amp;C606="","",INDEX(生物种群!$A$2:INDEX(生物种群!$A:$A,COUNTA(生物种群!$A:$A)),MATCH($I606,生物种群!$B$2:INDEX(生物种群!$B:$B,COUNTA(生物种群!$B:$B)),),))</f>
        <v/>
      </c>
      <c r="I606" s="37" t="str">
        <f>IF(A606&amp;B606&amp;C606="","",IF($C606&lt;&gt;0,INDEX(生物种群!$B$2:INDEX(生物种群!$B:$B,COUNTA(生物种群!$B:$B)),MATCH($C606,生物种群!$G$2:INDEX(生物种群!$G:$G,COUNTA(生物种群!$G:$G)),),),IF($A606&lt;&gt;0,INDEX(生物种群!$B$2:INDEX(生物种群!$B:$B,COUNTA(生物种群!$B:$B)),MATCH($A606,生物种群!$C$2:INDEX(生物种群!$C:$C,COUNTA(生物种群!$C:$C)),),),INDEX(生物种群!$B$2:INDEX(生物种群!$B:$B,COUNTA(生物种群!$B:$B)),MATCH($B606,生物种群!$D$2:INDEX(生物种群!$D:$D,COUNTA(生物种群!$D:$D)),),))))</f>
        <v/>
      </c>
      <c r="J606" s="37" t="str">
        <f>IF(A606&amp;B606&amp;C606="","",INDEX(生物种群!$J$2:INDEX(生物种群!$J:$J,COUNTA(生物种群!$J:$J)),MATCH($I606,生物种群!$B$2:INDEX(生物种群!$B:$B,COUNTA(生物种群!$B:$B)),),))</f>
        <v/>
      </c>
      <c r="K606" s="37" t="str">
        <f>IF(A606&amp;B606&amp;C606="","",INDEX(生物种群!$E$2:INDEX(生物种群!$E:$E,COUNTA(生物种群!$E:$E)),MATCH($I606,生物种群!$B$2:INDEX(生物种群!$B:$B,COUNTA(生物种群!$B:$B)),),))</f>
        <v/>
      </c>
      <c r="L606" s="37" t="str">
        <f>IF(A606&amp;B606&amp;C606="","",INDEX(生物种群!$F$3:INDEX(生物种群!$F:$F,COUNTA(生物种群!$F:$F)),MATCH($I606,生物种群!$B$3:INDEX(生物种群!$B:$B,COUNTA(生物种群!$B:$B)),),))</f>
        <v/>
      </c>
      <c r="M606" s="37" t="str">
        <f t="shared" si="18"/>
        <v/>
      </c>
      <c r="N606" s="37" t="str">
        <f t="shared" si="19"/>
        <v/>
      </c>
      <c r="O606" s="9"/>
      <c r="P606" s="10"/>
    </row>
    <row r="607" spans="1:16" ht="20.1" customHeight="1">
      <c r="A607" s="9"/>
      <c r="B607" s="9"/>
      <c r="C607" s="9"/>
      <c r="D607" s="43"/>
      <c r="E607" s="9"/>
      <c r="F607" s="9"/>
      <c r="G607" s="47" t="str">
        <f>IF(F607="","",INDEX(站位样品信息!$B$3:INDEX(站位样品信息!$B:$B,COUNTA(站位样品信息!$B:$B)+1),MATCH($F607,站位样品信息!$A$3:INDEX(站位样品信息!$A:$A,COUNTA(站位样品信息!$A:$A)+1),),))</f>
        <v/>
      </c>
      <c r="H607" s="37" t="str">
        <f>IF(A607&amp;B607&amp;C607="","",INDEX(生物种群!$A$2:INDEX(生物种群!$A:$A,COUNTA(生物种群!$A:$A)),MATCH($I607,生物种群!$B$2:INDEX(生物种群!$B:$B,COUNTA(生物种群!$B:$B)),),))</f>
        <v/>
      </c>
      <c r="I607" s="37" t="str">
        <f>IF(A607&amp;B607&amp;C607="","",IF($C607&lt;&gt;0,INDEX(生物种群!$B$2:INDEX(生物种群!$B:$B,COUNTA(生物种群!$B:$B)),MATCH($C607,生物种群!$G$2:INDEX(生物种群!$G:$G,COUNTA(生物种群!$G:$G)),),),IF($A607&lt;&gt;0,INDEX(生物种群!$B$2:INDEX(生物种群!$B:$B,COUNTA(生物种群!$B:$B)),MATCH($A607,生物种群!$C$2:INDEX(生物种群!$C:$C,COUNTA(生物种群!$C:$C)),),),INDEX(生物种群!$B$2:INDEX(生物种群!$B:$B,COUNTA(生物种群!$B:$B)),MATCH($B607,生物种群!$D$2:INDEX(生物种群!$D:$D,COUNTA(生物种群!$D:$D)),),))))</f>
        <v/>
      </c>
      <c r="J607" s="37" t="str">
        <f>IF(A607&amp;B607&amp;C607="","",INDEX(生物种群!$J$2:INDEX(生物种群!$J:$J,COUNTA(生物种群!$J:$J)),MATCH($I607,生物种群!$B$2:INDEX(生物种群!$B:$B,COUNTA(生物种群!$B:$B)),),))</f>
        <v/>
      </c>
      <c r="K607" s="37" t="str">
        <f>IF(A607&amp;B607&amp;C607="","",INDEX(生物种群!$E$2:INDEX(生物种群!$E:$E,COUNTA(生物种群!$E:$E)),MATCH($I607,生物种群!$B$2:INDEX(生物种群!$B:$B,COUNTA(生物种群!$B:$B)),),))</f>
        <v/>
      </c>
      <c r="L607" s="37" t="str">
        <f>IF(A607&amp;B607&amp;C607="","",INDEX(生物种群!$F$3:INDEX(生物种群!$F:$F,COUNTA(生物种群!$F:$F)),MATCH($I607,生物种群!$B$3:INDEX(生物种群!$B:$B,COUNTA(生物种群!$B:$B)),),))</f>
        <v/>
      </c>
      <c r="M607" s="37" t="str">
        <f t="shared" si="18"/>
        <v/>
      </c>
      <c r="N607" s="37" t="str">
        <f t="shared" si="19"/>
        <v/>
      </c>
      <c r="O607" s="9"/>
      <c r="P607" s="10"/>
    </row>
    <row r="608" spans="1:16" ht="20.1" customHeight="1">
      <c r="A608" s="9"/>
      <c r="B608" s="9"/>
      <c r="C608" s="9"/>
      <c r="D608" s="43"/>
      <c r="E608" s="9"/>
      <c r="F608" s="9"/>
      <c r="G608" s="47" t="str">
        <f>IF(F608="","",INDEX(站位样品信息!$B$3:INDEX(站位样品信息!$B:$B,COUNTA(站位样品信息!$B:$B)+1),MATCH($F608,站位样品信息!$A$3:INDEX(站位样品信息!$A:$A,COUNTA(站位样品信息!$A:$A)+1),),))</f>
        <v/>
      </c>
      <c r="H608" s="37" t="str">
        <f>IF(A608&amp;B608&amp;C608="","",INDEX(生物种群!$A$2:INDEX(生物种群!$A:$A,COUNTA(生物种群!$A:$A)),MATCH($I608,生物种群!$B$2:INDEX(生物种群!$B:$B,COUNTA(生物种群!$B:$B)),),))</f>
        <v/>
      </c>
      <c r="I608" s="37" t="str">
        <f>IF(A608&amp;B608&amp;C608="","",IF($C608&lt;&gt;0,INDEX(生物种群!$B$2:INDEX(生物种群!$B:$B,COUNTA(生物种群!$B:$B)),MATCH($C608,生物种群!$G$2:INDEX(生物种群!$G:$G,COUNTA(生物种群!$G:$G)),),),IF($A608&lt;&gt;0,INDEX(生物种群!$B$2:INDEX(生物种群!$B:$B,COUNTA(生物种群!$B:$B)),MATCH($A608,生物种群!$C$2:INDEX(生物种群!$C:$C,COUNTA(生物种群!$C:$C)),),),INDEX(生物种群!$B$2:INDEX(生物种群!$B:$B,COUNTA(生物种群!$B:$B)),MATCH($B608,生物种群!$D$2:INDEX(生物种群!$D:$D,COUNTA(生物种群!$D:$D)),),))))</f>
        <v/>
      </c>
      <c r="J608" s="37" t="str">
        <f>IF(A608&amp;B608&amp;C608="","",INDEX(生物种群!$J$2:INDEX(生物种群!$J:$J,COUNTA(生物种群!$J:$J)),MATCH($I608,生物种群!$B$2:INDEX(生物种群!$B:$B,COUNTA(生物种群!$B:$B)),),))</f>
        <v/>
      </c>
      <c r="K608" s="37" t="str">
        <f>IF(A608&amp;B608&amp;C608="","",INDEX(生物种群!$E$2:INDEX(生物种群!$E:$E,COUNTA(生物种群!$E:$E)),MATCH($I608,生物种群!$B$2:INDEX(生物种群!$B:$B,COUNTA(生物种群!$B:$B)),),))</f>
        <v/>
      </c>
      <c r="L608" s="37" t="str">
        <f>IF(A608&amp;B608&amp;C608="","",INDEX(生物种群!$F$3:INDEX(生物种群!$F:$F,COUNTA(生物种群!$F:$F)),MATCH($I608,生物种群!$B$3:INDEX(生物种群!$B:$B,COUNTA(生物种群!$B:$B)),),))</f>
        <v/>
      </c>
      <c r="M608" s="37" t="str">
        <f t="shared" si="18"/>
        <v/>
      </c>
      <c r="N608" s="37" t="str">
        <f t="shared" si="19"/>
        <v/>
      </c>
      <c r="O608" s="9"/>
      <c r="P608" s="10"/>
    </row>
    <row r="609" spans="1:16" ht="20.1" customHeight="1">
      <c r="A609" s="9"/>
      <c r="B609" s="9"/>
      <c r="C609" s="9"/>
      <c r="D609" s="43"/>
      <c r="E609" s="9"/>
      <c r="F609" s="9"/>
      <c r="G609" s="47" t="str">
        <f>IF(F609="","",INDEX(站位样品信息!$B$3:INDEX(站位样品信息!$B:$B,COUNTA(站位样品信息!$B:$B)+1),MATCH($F609,站位样品信息!$A$3:INDEX(站位样品信息!$A:$A,COUNTA(站位样品信息!$A:$A)+1),),))</f>
        <v/>
      </c>
      <c r="H609" s="37" t="str">
        <f>IF(A609&amp;B609&amp;C609="","",INDEX(生物种群!$A$2:INDEX(生物种群!$A:$A,COUNTA(生物种群!$A:$A)),MATCH($I609,生物种群!$B$2:INDEX(生物种群!$B:$B,COUNTA(生物种群!$B:$B)),),))</f>
        <v/>
      </c>
      <c r="I609" s="37" t="str">
        <f>IF(A609&amp;B609&amp;C609="","",IF($C609&lt;&gt;0,INDEX(生物种群!$B$2:INDEX(生物种群!$B:$B,COUNTA(生物种群!$B:$B)),MATCH($C609,生物种群!$G$2:INDEX(生物种群!$G:$G,COUNTA(生物种群!$G:$G)),),),IF($A609&lt;&gt;0,INDEX(生物种群!$B$2:INDEX(生物种群!$B:$B,COUNTA(生物种群!$B:$B)),MATCH($A609,生物种群!$C$2:INDEX(生物种群!$C:$C,COUNTA(生物种群!$C:$C)),),),INDEX(生物种群!$B$2:INDEX(生物种群!$B:$B,COUNTA(生物种群!$B:$B)),MATCH($B609,生物种群!$D$2:INDEX(生物种群!$D:$D,COUNTA(生物种群!$D:$D)),),))))</f>
        <v/>
      </c>
      <c r="J609" s="37" t="str">
        <f>IF(A609&amp;B609&amp;C609="","",INDEX(生物种群!$J$2:INDEX(生物种群!$J:$J,COUNTA(生物种群!$J:$J)),MATCH($I609,生物种群!$B$2:INDEX(生物种群!$B:$B,COUNTA(生物种群!$B:$B)),),))</f>
        <v/>
      </c>
      <c r="K609" s="37" t="str">
        <f>IF(A609&amp;B609&amp;C609="","",INDEX(生物种群!$E$2:INDEX(生物种群!$E:$E,COUNTA(生物种群!$E:$E)),MATCH($I609,生物种群!$B$2:INDEX(生物种群!$B:$B,COUNTA(生物种群!$B:$B)),),))</f>
        <v/>
      </c>
      <c r="L609" s="37" t="str">
        <f>IF(A609&amp;B609&amp;C609="","",INDEX(生物种群!$F$3:INDEX(生物种群!$F:$F,COUNTA(生物种群!$F:$F)),MATCH($I609,生物种群!$B$3:INDEX(生物种群!$B:$B,COUNTA(生物种群!$B:$B)),),))</f>
        <v/>
      </c>
      <c r="M609" s="37" t="str">
        <f t="shared" si="18"/>
        <v/>
      </c>
      <c r="N609" s="37" t="str">
        <f t="shared" si="19"/>
        <v/>
      </c>
      <c r="O609" s="9"/>
      <c r="P609" s="10"/>
    </row>
    <row r="610" spans="1:16" ht="20.1" customHeight="1">
      <c r="A610" s="9"/>
      <c r="B610" s="9"/>
      <c r="C610" s="9"/>
      <c r="D610" s="43"/>
      <c r="E610" s="9"/>
      <c r="F610" s="9"/>
      <c r="G610" s="47" t="str">
        <f>IF(F610="","",INDEX(站位样品信息!$B$3:INDEX(站位样品信息!$B:$B,COUNTA(站位样品信息!$B:$B)+1),MATCH($F610,站位样品信息!$A$3:INDEX(站位样品信息!$A:$A,COUNTA(站位样品信息!$A:$A)+1),),))</f>
        <v/>
      </c>
      <c r="H610" s="37" t="str">
        <f>IF(A610&amp;B610&amp;C610="","",INDEX(生物种群!$A$2:INDEX(生物种群!$A:$A,COUNTA(生物种群!$A:$A)),MATCH($I610,生物种群!$B$2:INDEX(生物种群!$B:$B,COUNTA(生物种群!$B:$B)),),))</f>
        <v/>
      </c>
      <c r="I610" s="37" t="str">
        <f>IF(A610&amp;B610&amp;C610="","",IF($C610&lt;&gt;0,INDEX(生物种群!$B$2:INDEX(生物种群!$B:$B,COUNTA(生物种群!$B:$B)),MATCH($C610,生物种群!$G$2:INDEX(生物种群!$G:$G,COUNTA(生物种群!$G:$G)),),),IF($A610&lt;&gt;0,INDEX(生物种群!$B$2:INDEX(生物种群!$B:$B,COUNTA(生物种群!$B:$B)),MATCH($A610,生物种群!$C$2:INDEX(生物种群!$C:$C,COUNTA(生物种群!$C:$C)),),),INDEX(生物种群!$B$2:INDEX(生物种群!$B:$B,COUNTA(生物种群!$B:$B)),MATCH($B610,生物种群!$D$2:INDEX(生物种群!$D:$D,COUNTA(生物种群!$D:$D)),),))))</f>
        <v/>
      </c>
      <c r="J610" s="37" t="str">
        <f>IF(A610&amp;B610&amp;C610="","",INDEX(生物种群!$J$2:INDEX(生物种群!$J:$J,COUNTA(生物种群!$J:$J)),MATCH($I610,生物种群!$B$2:INDEX(生物种群!$B:$B,COUNTA(生物种群!$B:$B)),),))</f>
        <v/>
      </c>
      <c r="K610" s="37" t="str">
        <f>IF(A610&amp;B610&amp;C610="","",INDEX(生物种群!$E$2:INDEX(生物种群!$E:$E,COUNTA(生物种群!$E:$E)),MATCH($I610,生物种群!$B$2:INDEX(生物种群!$B:$B,COUNTA(生物种群!$B:$B)),),))</f>
        <v/>
      </c>
      <c r="L610" s="37" t="str">
        <f>IF(A610&amp;B610&amp;C610="","",INDEX(生物种群!$F$3:INDEX(生物种群!$F:$F,COUNTA(生物种群!$F:$F)),MATCH($I610,生物种群!$B$3:INDEX(生物种群!$B:$B,COUNTA(生物种群!$B:$B)),),))</f>
        <v/>
      </c>
      <c r="M610" s="37" t="str">
        <f t="shared" si="18"/>
        <v/>
      </c>
      <c r="N610" s="37" t="str">
        <f t="shared" si="19"/>
        <v/>
      </c>
      <c r="O610" s="9"/>
      <c r="P610" s="10"/>
    </row>
    <row r="611" spans="1:16" ht="20.1" customHeight="1">
      <c r="A611" s="9"/>
      <c r="B611" s="9"/>
      <c r="C611" s="9"/>
      <c r="D611" s="43"/>
      <c r="E611" s="9"/>
      <c r="F611" s="9"/>
      <c r="G611" s="47" t="str">
        <f>IF(F611="","",INDEX(站位样品信息!$B$3:INDEX(站位样品信息!$B:$B,COUNTA(站位样品信息!$B:$B)+1),MATCH($F611,站位样品信息!$A$3:INDEX(站位样品信息!$A:$A,COUNTA(站位样品信息!$A:$A)+1),),))</f>
        <v/>
      </c>
      <c r="H611" s="37" t="str">
        <f>IF(A611&amp;B611&amp;C611="","",INDEX(生物种群!$A$2:INDEX(生物种群!$A:$A,COUNTA(生物种群!$A:$A)),MATCH($I611,生物种群!$B$2:INDEX(生物种群!$B:$B,COUNTA(生物种群!$B:$B)),),))</f>
        <v/>
      </c>
      <c r="I611" s="37" t="str">
        <f>IF(A611&amp;B611&amp;C611="","",IF($C611&lt;&gt;0,INDEX(生物种群!$B$2:INDEX(生物种群!$B:$B,COUNTA(生物种群!$B:$B)),MATCH($C611,生物种群!$G$2:INDEX(生物种群!$G:$G,COUNTA(生物种群!$G:$G)),),),IF($A611&lt;&gt;0,INDEX(生物种群!$B$2:INDEX(生物种群!$B:$B,COUNTA(生物种群!$B:$B)),MATCH($A611,生物种群!$C$2:INDEX(生物种群!$C:$C,COUNTA(生物种群!$C:$C)),),),INDEX(生物种群!$B$2:INDEX(生物种群!$B:$B,COUNTA(生物种群!$B:$B)),MATCH($B611,生物种群!$D$2:INDEX(生物种群!$D:$D,COUNTA(生物种群!$D:$D)),),))))</f>
        <v/>
      </c>
      <c r="J611" s="37" t="str">
        <f>IF(A611&amp;B611&amp;C611="","",INDEX(生物种群!$J$2:INDEX(生物种群!$J:$J,COUNTA(生物种群!$J:$J)),MATCH($I611,生物种群!$B$2:INDEX(生物种群!$B:$B,COUNTA(生物种群!$B:$B)),),))</f>
        <v/>
      </c>
      <c r="K611" s="37" t="str">
        <f>IF(A611&amp;B611&amp;C611="","",INDEX(生物种群!$E$2:INDEX(生物种群!$E:$E,COUNTA(生物种群!$E:$E)),MATCH($I611,生物种群!$B$2:INDEX(生物种群!$B:$B,COUNTA(生物种群!$B:$B)),),))</f>
        <v/>
      </c>
      <c r="L611" s="37" t="str">
        <f>IF(A611&amp;B611&amp;C611="","",INDEX(生物种群!$F$3:INDEX(生物种群!$F:$F,COUNTA(生物种群!$F:$F)),MATCH($I611,生物种群!$B$3:INDEX(生物种群!$B:$B,COUNTA(生物种群!$B:$B)),),))</f>
        <v/>
      </c>
      <c r="M611" s="37" t="str">
        <f t="shared" si="18"/>
        <v/>
      </c>
      <c r="N611" s="37" t="str">
        <f t="shared" si="19"/>
        <v/>
      </c>
      <c r="O611" s="9"/>
      <c r="P611" s="10"/>
    </row>
    <row r="612" spans="1:16" ht="20.1" customHeight="1">
      <c r="A612" s="9"/>
      <c r="B612" s="9"/>
      <c r="C612" s="9"/>
      <c r="D612" s="43"/>
      <c r="E612" s="9"/>
      <c r="F612" s="9"/>
      <c r="G612" s="47" t="str">
        <f>IF(F612="","",INDEX(站位样品信息!$B$3:INDEX(站位样品信息!$B:$B,COUNTA(站位样品信息!$B:$B)+1),MATCH($F612,站位样品信息!$A$3:INDEX(站位样品信息!$A:$A,COUNTA(站位样品信息!$A:$A)+1),),))</f>
        <v/>
      </c>
      <c r="H612" s="37" t="str">
        <f>IF(A612&amp;B612&amp;C612="","",INDEX(生物种群!$A$2:INDEX(生物种群!$A:$A,COUNTA(生物种群!$A:$A)),MATCH($I612,生物种群!$B$2:INDEX(生物种群!$B:$B,COUNTA(生物种群!$B:$B)),),))</f>
        <v/>
      </c>
      <c r="I612" s="37" t="str">
        <f>IF(A612&amp;B612&amp;C612="","",IF($C612&lt;&gt;0,INDEX(生物种群!$B$2:INDEX(生物种群!$B:$B,COUNTA(生物种群!$B:$B)),MATCH($C612,生物种群!$G$2:INDEX(生物种群!$G:$G,COUNTA(生物种群!$G:$G)),),),IF($A612&lt;&gt;0,INDEX(生物种群!$B$2:INDEX(生物种群!$B:$B,COUNTA(生物种群!$B:$B)),MATCH($A612,生物种群!$C$2:INDEX(生物种群!$C:$C,COUNTA(生物种群!$C:$C)),),),INDEX(生物种群!$B$2:INDEX(生物种群!$B:$B,COUNTA(生物种群!$B:$B)),MATCH($B612,生物种群!$D$2:INDEX(生物种群!$D:$D,COUNTA(生物种群!$D:$D)),),))))</f>
        <v/>
      </c>
      <c r="J612" s="37" t="str">
        <f>IF(A612&amp;B612&amp;C612="","",INDEX(生物种群!$J$2:INDEX(生物种群!$J:$J,COUNTA(生物种群!$J:$J)),MATCH($I612,生物种群!$B$2:INDEX(生物种群!$B:$B,COUNTA(生物种群!$B:$B)),),))</f>
        <v/>
      </c>
      <c r="K612" s="37" t="str">
        <f>IF(A612&amp;B612&amp;C612="","",INDEX(生物种群!$E$2:INDEX(生物种群!$E:$E,COUNTA(生物种群!$E:$E)),MATCH($I612,生物种群!$B$2:INDEX(生物种群!$B:$B,COUNTA(生物种群!$B:$B)),),))</f>
        <v/>
      </c>
      <c r="L612" s="37" t="str">
        <f>IF(A612&amp;B612&amp;C612="","",INDEX(生物种群!$F$3:INDEX(生物种群!$F:$F,COUNTA(生物种群!$F:$F)),MATCH($I612,生物种群!$B$3:INDEX(生物种群!$B:$B,COUNTA(生物种群!$B:$B)),),))</f>
        <v/>
      </c>
      <c r="M612" s="37" t="str">
        <f t="shared" si="18"/>
        <v/>
      </c>
      <c r="N612" s="37" t="str">
        <f t="shared" si="19"/>
        <v/>
      </c>
      <c r="O612" s="9"/>
      <c r="P612" s="10"/>
    </row>
    <row r="613" spans="1:16" ht="20.1" customHeight="1">
      <c r="A613" s="9"/>
      <c r="B613" s="9"/>
      <c r="C613" s="9"/>
      <c r="D613" s="43"/>
      <c r="E613" s="9"/>
      <c r="F613" s="9"/>
      <c r="G613" s="47" t="str">
        <f>IF(F613="","",INDEX(站位样品信息!$B$3:INDEX(站位样品信息!$B:$B,COUNTA(站位样品信息!$B:$B)+1),MATCH($F613,站位样品信息!$A$3:INDEX(站位样品信息!$A:$A,COUNTA(站位样品信息!$A:$A)+1),),))</f>
        <v/>
      </c>
      <c r="H613" s="37" t="str">
        <f>IF(A613&amp;B613&amp;C613="","",INDEX(生物种群!$A$2:INDEX(生物种群!$A:$A,COUNTA(生物种群!$A:$A)),MATCH($I613,生物种群!$B$2:INDEX(生物种群!$B:$B,COUNTA(生物种群!$B:$B)),),))</f>
        <v/>
      </c>
      <c r="I613" s="37" t="str">
        <f>IF(A613&amp;B613&amp;C613="","",IF($C613&lt;&gt;0,INDEX(生物种群!$B$2:INDEX(生物种群!$B:$B,COUNTA(生物种群!$B:$B)),MATCH($C613,生物种群!$G$2:INDEX(生物种群!$G:$G,COUNTA(生物种群!$G:$G)),),),IF($A613&lt;&gt;0,INDEX(生物种群!$B$2:INDEX(生物种群!$B:$B,COUNTA(生物种群!$B:$B)),MATCH($A613,生物种群!$C$2:INDEX(生物种群!$C:$C,COUNTA(生物种群!$C:$C)),),),INDEX(生物种群!$B$2:INDEX(生物种群!$B:$B,COUNTA(生物种群!$B:$B)),MATCH($B613,生物种群!$D$2:INDEX(生物种群!$D:$D,COUNTA(生物种群!$D:$D)),),))))</f>
        <v/>
      </c>
      <c r="J613" s="37" t="str">
        <f>IF(A613&amp;B613&amp;C613="","",INDEX(生物种群!$J$2:INDEX(生物种群!$J:$J,COUNTA(生物种群!$J:$J)),MATCH($I613,生物种群!$B$2:INDEX(生物种群!$B:$B,COUNTA(生物种群!$B:$B)),),))</f>
        <v/>
      </c>
      <c r="K613" s="37" t="str">
        <f>IF(A613&amp;B613&amp;C613="","",INDEX(生物种群!$E$2:INDEX(生物种群!$E:$E,COUNTA(生物种群!$E:$E)),MATCH($I613,生物种群!$B$2:INDEX(生物种群!$B:$B,COUNTA(生物种群!$B:$B)),),))</f>
        <v/>
      </c>
      <c r="L613" s="37" t="str">
        <f>IF(A613&amp;B613&amp;C613="","",INDEX(生物种群!$F$3:INDEX(生物种群!$F:$F,COUNTA(生物种群!$F:$F)),MATCH($I613,生物种群!$B$3:INDEX(生物种群!$B:$B,COUNTA(生物种群!$B:$B)),),))</f>
        <v/>
      </c>
      <c r="M613" s="37" t="str">
        <f t="shared" si="18"/>
        <v/>
      </c>
      <c r="N613" s="37" t="str">
        <f t="shared" si="19"/>
        <v/>
      </c>
      <c r="O613" s="9"/>
      <c r="P613" s="10"/>
    </row>
    <row r="614" spans="1:16" ht="20.1" customHeight="1">
      <c r="A614" s="9"/>
      <c r="B614" s="9"/>
      <c r="C614" s="9"/>
      <c r="D614" s="43"/>
      <c r="E614" s="9"/>
      <c r="F614" s="9"/>
      <c r="G614" s="47" t="str">
        <f>IF(F614="","",INDEX(站位样品信息!$B$3:INDEX(站位样品信息!$B:$B,COUNTA(站位样品信息!$B:$B)+1),MATCH($F614,站位样品信息!$A$3:INDEX(站位样品信息!$A:$A,COUNTA(站位样品信息!$A:$A)+1),),))</f>
        <v/>
      </c>
      <c r="H614" s="37" t="str">
        <f>IF(A614&amp;B614&amp;C614="","",INDEX(生物种群!$A$2:INDEX(生物种群!$A:$A,COUNTA(生物种群!$A:$A)),MATCH($I614,生物种群!$B$2:INDEX(生物种群!$B:$B,COUNTA(生物种群!$B:$B)),),))</f>
        <v/>
      </c>
      <c r="I614" s="37" t="str">
        <f>IF(A614&amp;B614&amp;C614="","",IF($C614&lt;&gt;0,INDEX(生物种群!$B$2:INDEX(生物种群!$B:$B,COUNTA(生物种群!$B:$B)),MATCH($C614,生物种群!$G$2:INDEX(生物种群!$G:$G,COUNTA(生物种群!$G:$G)),),),IF($A614&lt;&gt;0,INDEX(生物种群!$B$2:INDEX(生物种群!$B:$B,COUNTA(生物种群!$B:$B)),MATCH($A614,生物种群!$C$2:INDEX(生物种群!$C:$C,COUNTA(生物种群!$C:$C)),),),INDEX(生物种群!$B$2:INDEX(生物种群!$B:$B,COUNTA(生物种群!$B:$B)),MATCH($B614,生物种群!$D$2:INDEX(生物种群!$D:$D,COUNTA(生物种群!$D:$D)),),))))</f>
        <v/>
      </c>
      <c r="J614" s="37" t="str">
        <f>IF(A614&amp;B614&amp;C614="","",INDEX(生物种群!$J$2:INDEX(生物种群!$J:$J,COUNTA(生物种群!$J:$J)),MATCH($I614,生物种群!$B$2:INDEX(生物种群!$B:$B,COUNTA(生物种群!$B:$B)),),))</f>
        <v/>
      </c>
      <c r="K614" s="37" t="str">
        <f>IF(A614&amp;B614&amp;C614="","",INDEX(生物种群!$E$2:INDEX(生物种群!$E:$E,COUNTA(生物种群!$E:$E)),MATCH($I614,生物种群!$B$2:INDEX(生物种群!$B:$B,COUNTA(生物种群!$B:$B)),),))</f>
        <v/>
      </c>
      <c r="L614" s="37" t="str">
        <f>IF(A614&amp;B614&amp;C614="","",INDEX(生物种群!$F$3:INDEX(生物种群!$F:$F,COUNTA(生物种群!$F:$F)),MATCH($I614,生物种群!$B$3:INDEX(生物种群!$B:$B,COUNTA(生物种群!$B:$B)),),))</f>
        <v/>
      </c>
      <c r="M614" s="37" t="str">
        <f t="shared" si="18"/>
        <v/>
      </c>
      <c r="N614" s="37" t="str">
        <f t="shared" si="19"/>
        <v/>
      </c>
      <c r="O614" s="9"/>
      <c r="P614" s="10"/>
    </row>
    <row r="615" spans="1:16" ht="20.1" customHeight="1">
      <c r="A615" s="9"/>
      <c r="B615" s="9"/>
      <c r="C615" s="9"/>
      <c r="D615" s="43"/>
      <c r="E615" s="9"/>
      <c r="F615" s="9"/>
      <c r="G615" s="47" t="str">
        <f>IF(F615="","",INDEX(站位样品信息!$B$3:INDEX(站位样品信息!$B:$B,COUNTA(站位样品信息!$B:$B)+1),MATCH($F615,站位样品信息!$A$3:INDEX(站位样品信息!$A:$A,COUNTA(站位样品信息!$A:$A)+1),),))</f>
        <v/>
      </c>
      <c r="H615" s="37" t="str">
        <f>IF(A615&amp;B615&amp;C615="","",INDEX(生物种群!$A$2:INDEX(生物种群!$A:$A,COUNTA(生物种群!$A:$A)),MATCH($I615,生物种群!$B$2:INDEX(生物种群!$B:$B,COUNTA(生物种群!$B:$B)),),))</f>
        <v/>
      </c>
      <c r="I615" s="37" t="str">
        <f>IF(A615&amp;B615&amp;C615="","",IF($C615&lt;&gt;0,INDEX(生物种群!$B$2:INDEX(生物种群!$B:$B,COUNTA(生物种群!$B:$B)),MATCH($C615,生物种群!$G$2:INDEX(生物种群!$G:$G,COUNTA(生物种群!$G:$G)),),),IF($A615&lt;&gt;0,INDEX(生物种群!$B$2:INDEX(生物种群!$B:$B,COUNTA(生物种群!$B:$B)),MATCH($A615,生物种群!$C$2:INDEX(生物种群!$C:$C,COUNTA(生物种群!$C:$C)),),),INDEX(生物种群!$B$2:INDEX(生物种群!$B:$B,COUNTA(生物种群!$B:$B)),MATCH($B615,生物种群!$D$2:INDEX(生物种群!$D:$D,COUNTA(生物种群!$D:$D)),),))))</f>
        <v/>
      </c>
      <c r="J615" s="37" t="str">
        <f>IF(A615&amp;B615&amp;C615="","",INDEX(生物种群!$J$2:INDEX(生物种群!$J:$J,COUNTA(生物种群!$J:$J)),MATCH($I615,生物种群!$B$2:INDEX(生物种群!$B:$B,COUNTA(生物种群!$B:$B)),),))</f>
        <v/>
      </c>
      <c r="K615" s="37" t="str">
        <f>IF(A615&amp;B615&amp;C615="","",INDEX(生物种群!$E$2:INDEX(生物种群!$E:$E,COUNTA(生物种群!$E:$E)),MATCH($I615,生物种群!$B$2:INDEX(生物种群!$B:$B,COUNTA(生物种群!$B:$B)),),))</f>
        <v/>
      </c>
      <c r="L615" s="37" t="str">
        <f>IF(A615&amp;B615&amp;C615="","",INDEX(生物种群!$F$3:INDEX(生物种群!$F:$F,COUNTA(生物种群!$F:$F)),MATCH($I615,生物种群!$B$3:INDEX(生物种群!$B:$B,COUNTA(生物种群!$B:$B)),),))</f>
        <v/>
      </c>
      <c r="M615" s="37" t="str">
        <f t="shared" si="18"/>
        <v/>
      </c>
      <c r="N615" s="37" t="str">
        <f t="shared" si="19"/>
        <v/>
      </c>
      <c r="O615" s="9"/>
      <c r="P615" s="10"/>
    </row>
    <row r="616" spans="1:16" ht="20.1" customHeight="1">
      <c r="A616" s="9"/>
      <c r="B616" s="9"/>
      <c r="C616" s="9"/>
      <c r="D616" s="43"/>
      <c r="E616" s="9"/>
      <c r="F616" s="9"/>
      <c r="G616" s="47" t="str">
        <f>IF(F616="","",INDEX(站位样品信息!$B$3:INDEX(站位样品信息!$B:$B,COUNTA(站位样品信息!$B:$B)+1),MATCH($F616,站位样品信息!$A$3:INDEX(站位样品信息!$A:$A,COUNTA(站位样品信息!$A:$A)+1),),))</f>
        <v/>
      </c>
      <c r="H616" s="37" t="str">
        <f>IF(A616&amp;B616&amp;C616="","",INDEX(生物种群!$A$2:INDEX(生物种群!$A:$A,COUNTA(生物种群!$A:$A)),MATCH($I616,生物种群!$B$2:INDEX(生物种群!$B:$B,COUNTA(生物种群!$B:$B)),),))</f>
        <v/>
      </c>
      <c r="I616" s="37" t="str">
        <f>IF(A616&amp;B616&amp;C616="","",IF($C616&lt;&gt;0,INDEX(生物种群!$B$2:INDEX(生物种群!$B:$B,COUNTA(生物种群!$B:$B)),MATCH($C616,生物种群!$G$2:INDEX(生物种群!$G:$G,COUNTA(生物种群!$G:$G)),),),IF($A616&lt;&gt;0,INDEX(生物种群!$B$2:INDEX(生物种群!$B:$B,COUNTA(生物种群!$B:$B)),MATCH($A616,生物种群!$C$2:INDEX(生物种群!$C:$C,COUNTA(生物种群!$C:$C)),),),INDEX(生物种群!$B$2:INDEX(生物种群!$B:$B,COUNTA(生物种群!$B:$B)),MATCH($B616,生物种群!$D$2:INDEX(生物种群!$D:$D,COUNTA(生物种群!$D:$D)),),))))</f>
        <v/>
      </c>
      <c r="J616" s="37" t="str">
        <f>IF(A616&amp;B616&amp;C616="","",INDEX(生物种群!$J$2:INDEX(生物种群!$J:$J,COUNTA(生物种群!$J:$J)),MATCH($I616,生物种群!$B$2:INDEX(生物种群!$B:$B,COUNTA(生物种群!$B:$B)),),))</f>
        <v/>
      </c>
      <c r="K616" s="37" t="str">
        <f>IF(A616&amp;B616&amp;C616="","",INDEX(生物种群!$E$2:INDEX(生物种群!$E:$E,COUNTA(生物种群!$E:$E)),MATCH($I616,生物种群!$B$2:INDEX(生物种群!$B:$B,COUNTA(生物种群!$B:$B)),),))</f>
        <v/>
      </c>
      <c r="L616" s="37" t="str">
        <f>IF(A616&amp;B616&amp;C616="","",INDEX(生物种群!$F$3:INDEX(生物种群!$F:$F,COUNTA(生物种群!$F:$F)),MATCH($I616,生物种群!$B$3:INDEX(生物种群!$B:$B,COUNTA(生物种群!$B:$B)),),))</f>
        <v/>
      </c>
      <c r="M616" s="37" t="str">
        <f t="shared" si="18"/>
        <v/>
      </c>
      <c r="N616" s="37" t="str">
        <f t="shared" si="19"/>
        <v/>
      </c>
      <c r="O616" s="9"/>
      <c r="P616" s="10"/>
    </row>
    <row r="617" spans="1:16" ht="20.1" customHeight="1">
      <c r="A617" s="9"/>
      <c r="B617" s="9"/>
      <c r="C617" s="9"/>
      <c r="D617" s="43"/>
      <c r="E617" s="9"/>
      <c r="F617" s="9"/>
      <c r="G617" s="47" t="str">
        <f>IF(F617="","",INDEX(站位样品信息!$B$3:INDEX(站位样品信息!$B:$B,COUNTA(站位样品信息!$B:$B)+1),MATCH($F617,站位样品信息!$A$3:INDEX(站位样品信息!$A:$A,COUNTA(站位样品信息!$A:$A)+1),),))</f>
        <v/>
      </c>
      <c r="H617" s="37" t="str">
        <f>IF(A617&amp;B617&amp;C617="","",INDEX(生物种群!$A$2:INDEX(生物种群!$A:$A,COUNTA(生物种群!$A:$A)),MATCH($I617,生物种群!$B$2:INDEX(生物种群!$B:$B,COUNTA(生物种群!$B:$B)),),))</f>
        <v/>
      </c>
      <c r="I617" s="37" t="str">
        <f>IF(A617&amp;B617&amp;C617="","",IF($C617&lt;&gt;0,INDEX(生物种群!$B$2:INDEX(生物种群!$B:$B,COUNTA(生物种群!$B:$B)),MATCH($C617,生物种群!$G$2:INDEX(生物种群!$G:$G,COUNTA(生物种群!$G:$G)),),),IF($A617&lt;&gt;0,INDEX(生物种群!$B$2:INDEX(生物种群!$B:$B,COUNTA(生物种群!$B:$B)),MATCH($A617,生物种群!$C$2:INDEX(生物种群!$C:$C,COUNTA(生物种群!$C:$C)),),),INDEX(生物种群!$B$2:INDEX(生物种群!$B:$B,COUNTA(生物种群!$B:$B)),MATCH($B617,生物种群!$D$2:INDEX(生物种群!$D:$D,COUNTA(生物种群!$D:$D)),),))))</f>
        <v/>
      </c>
      <c r="J617" s="37" t="str">
        <f>IF(A617&amp;B617&amp;C617="","",INDEX(生物种群!$J$2:INDEX(生物种群!$J:$J,COUNTA(生物种群!$J:$J)),MATCH($I617,生物种群!$B$2:INDEX(生物种群!$B:$B,COUNTA(生物种群!$B:$B)),),))</f>
        <v/>
      </c>
      <c r="K617" s="37" t="str">
        <f>IF(A617&amp;B617&amp;C617="","",INDEX(生物种群!$E$2:INDEX(生物种群!$E:$E,COUNTA(生物种群!$E:$E)),MATCH($I617,生物种群!$B$2:INDEX(生物种群!$B:$B,COUNTA(生物种群!$B:$B)),),))</f>
        <v/>
      </c>
      <c r="L617" s="37" t="str">
        <f>IF(A617&amp;B617&amp;C617="","",INDEX(生物种群!$F$3:INDEX(生物种群!$F:$F,COUNTA(生物种群!$F:$F)),MATCH($I617,生物种群!$B$3:INDEX(生物种群!$B:$B,COUNTA(生物种群!$B:$B)),),))</f>
        <v/>
      </c>
      <c r="M617" s="37" t="str">
        <f t="shared" si="18"/>
        <v/>
      </c>
      <c r="N617" s="37" t="str">
        <f t="shared" si="19"/>
        <v/>
      </c>
      <c r="O617" s="9"/>
      <c r="P617" s="10"/>
    </row>
    <row r="618" spans="1:16" ht="20.1" customHeight="1">
      <c r="A618" s="9"/>
      <c r="B618" s="9"/>
      <c r="C618" s="9"/>
      <c r="D618" s="43"/>
      <c r="E618" s="9"/>
      <c r="F618" s="9"/>
      <c r="G618" s="47" t="str">
        <f>IF(F618="","",INDEX(站位样品信息!$B$3:INDEX(站位样品信息!$B:$B,COUNTA(站位样品信息!$B:$B)+1),MATCH($F618,站位样品信息!$A$3:INDEX(站位样品信息!$A:$A,COUNTA(站位样品信息!$A:$A)+1),),))</f>
        <v/>
      </c>
      <c r="H618" s="37" t="str">
        <f>IF(A618&amp;B618&amp;C618="","",INDEX(生物种群!$A$2:INDEX(生物种群!$A:$A,COUNTA(生物种群!$A:$A)),MATCH($I618,生物种群!$B$2:INDEX(生物种群!$B:$B,COUNTA(生物种群!$B:$B)),),))</f>
        <v/>
      </c>
      <c r="I618" s="37" t="str">
        <f>IF(A618&amp;B618&amp;C618="","",IF($C618&lt;&gt;0,INDEX(生物种群!$B$2:INDEX(生物种群!$B:$B,COUNTA(生物种群!$B:$B)),MATCH($C618,生物种群!$G$2:INDEX(生物种群!$G:$G,COUNTA(生物种群!$G:$G)),),),IF($A618&lt;&gt;0,INDEX(生物种群!$B$2:INDEX(生物种群!$B:$B,COUNTA(生物种群!$B:$B)),MATCH($A618,生物种群!$C$2:INDEX(生物种群!$C:$C,COUNTA(生物种群!$C:$C)),),),INDEX(生物种群!$B$2:INDEX(生物种群!$B:$B,COUNTA(生物种群!$B:$B)),MATCH($B618,生物种群!$D$2:INDEX(生物种群!$D:$D,COUNTA(生物种群!$D:$D)),),))))</f>
        <v/>
      </c>
      <c r="J618" s="37" t="str">
        <f>IF(A618&amp;B618&amp;C618="","",INDEX(生物种群!$J$2:INDEX(生物种群!$J:$J,COUNTA(生物种群!$J:$J)),MATCH($I618,生物种群!$B$2:INDEX(生物种群!$B:$B,COUNTA(生物种群!$B:$B)),),))</f>
        <v/>
      </c>
      <c r="K618" s="37" t="str">
        <f>IF(A618&amp;B618&amp;C618="","",INDEX(生物种群!$E$2:INDEX(生物种群!$E:$E,COUNTA(生物种群!$E:$E)),MATCH($I618,生物种群!$B$2:INDEX(生物种群!$B:$B,COUNTA(生物种群!$B:$B)),),))</f>
        <v/>
      </c>
      <c r="L618" s="37" t="str">
        <f>IF(A618&amp;B618&amp;C618="","",INDEX(生物种群!$F$3:INDEX(生物种群!$F:$F,COUNTA(生物种群!$F:$F)),MATCH($I618,生物种群!$B$3:INDEX(生物种群!$B:$B,COUNTA(生物种群!$B:$B)),),))</f>
        <v/>
      </c>
      <c r="M618" s="37" t="str">
        <f t="shared" si="18"/>
        <v/>
      </c>
      <c r="N618" s="37" t="str">
        <f t="shared" si="19"/>
        <v/>
      </c>
      <c r="O618" s="9"/>
      <c r="P618" s="10"/>
    </row>
    <row r="619" spans="1:16" ht="20.1" customHeight="1">
      <c r="A619" s="9"/>
      <c r="B619" s="9"/>
      <c r="C619" s="9"/>
      <c r="D619" s="43"/>
      <c r="E619" s="9"/>
      <c r="F619" s="9"/>
      <c r="G619" s="47" t="str">
        <f>IF(F619="","",INDEX(站位样品信息!$B$3:INDEX(站位样品信息!$B:$B,COUNTA(站位样品信息!$B:$B)+1),MATCH($F619,站位样品信息!$A$3:INDEX(站位样品信息!$A:$A,COUNTA(站位样品信息!$A:$A)+1),),))</f>
        <v/>
      </c>
      <c r="H619" s="37" t="str">
        <f>IF(A619&amp;B619&amp;C619="","",INDEX(生物种群!$A$2:INDEX(生物种群!$A:$A,COUNTA(生物种群!$A:$A)),MATCH($I619,生物种群!$B$2:INDEX(生物种群!$B:$B,COUNTA(生物种群!$B:$B)),),))</f>
        <v/>
      </c>
      <c r="I619" s="37" t="str">
        <f>IF(A619&amp;B619&amp;C619="","",IF($C619&lt;&gt;0,INDEX(生物种群!$B$2:INDEX(生物种群!$B:$B,COUNTA(生物种群!$B:$B)),MATCH($C619,生物种群!$G$2:INDEX(生物种群!$G:$G,COUNTA(生物种群!$G:$G)),),),IF($A619&lt;&gt;0,INDEX(生物种群!$B$2:INDEX(生物种群!$B:$B,COUNTA(生物种群!$B:$B)),MATCH($A619,生物种群!$C$2:INDEX(生物种群!$C:$C,COUNTA(生物种群!$C:$C)),),),INDEX(生物种群!$B$2:INDEX(生物种群!$B:$B,COUNTA(生物种群!$B:$B)),MATCH($B619,生物种群!$D$2:INDEX(生物种群!$D:$D,COUNTA(生物种群!$D:$D)),),))))</f>
        <v/>
      </c>
      <c r="J619" s="37" t="str">
        <f>IF(A619&amp;B619&amp;C619="","",INDEX(生物种群!$J$2:INDEX(生物种群!$J:$J,COUNTA(生物种群!$J:$J)),MATCH($I619,生物种群!$B$2:INDEX(生物种群!$B:$B,COUNTA(生物种群!$B:$B)),),))</f>
        <v/>
      </c>
      <c r="K619" s="37" t="str">
        <f>IF(A619&amp;B619&amp;C619="","",INDEX(生物种群!$E$2:INDEX(生物种群!$E:$E,COUNTA(生物种群!$E:$E)),MATCH($I619,生物种群!$B$2:INDEX(生物种群!$B:$B,COUNTA(生物种群!$B:$B)),),))</f>
        <v/>
      </c>
      <c r="L619" s="37" t="str">
        <f>IF(A619&amp;B619&amp;C619="","",INDEX(生物种群!$F$3:INDEX(生物种群!$F:$F,COUNTA(生物种群!$F:$F)),MATCH($I619,生物种群!$B$3:INDEX(生物种群!$B:$B,COUNTA(生物种群!$B:$B)),),))</f>
        <v/>
      </c>
      <c r="M619" s="37" t="str">
        <f t="shared" si="18"/>
        <v/>
      </c>
      <c r="N619" s="37" t="str">
        <f t="shared" si="19"/>
        <v/>
      </c>
      <c r="O619" s="9"/>
      <c r="P619" s="10"/>
    </row>
    <row r="620" spans="1:16" ht="20.1" customHeight="1">
      <c r="A620" s="9"/>
      <c r="B620" s="9"/>
      <c r="C620" s="9"/>
      <c r="D620" s="43"/>
      <c r="E620" s="9"/>
      <c r="F620" s="9"/>
      <c r="G620" s="47" t="str">
        <f>IF(F620="","",INDEX(站位样品信息!$B$3:INDEX(站位样品信息!$B:$B,COUNTA(站位样品信息!$B:$B)+1),MATCH($F620,站位样品信息!$A$3:INDEX(站位样品信息!$A:$A,COUNTA(站位样品信息!$A:$A)+1),),))</f>
        <v/>
      </c>
      <c r="H620" s="37" t="str">
        <f>IF(A620&amp;B620&amp;C620="","",INDEX(生物种群!$A$2:INDEX(生物种群!$A:$A,COUNTA(生物种群!$A:$A)),MATCH($I620,生物种群!$B$2:INDEX(生物种群!$B:$B,COUNTA(生物种群!$B:$B)),),))</f>
        <v/>
      </c>
      <c r="I620" s="37" t="str">
        <f>IF(A620&amp;B620&amp;C620="","",IF($C620&lt;&gt;0,INDEX(生物种群!$B$2:INDEX(生物种群!$B:$B,COUNTA(生物种群!$B:$B)),MATCH($C620,生物种群!$G$2:INDEX(生物种群!$G:$G,COUNTA(生物种群!$G:$G)),),),IF($A620&lt;&gt;0,INDEX(生物种群!$B$2:INDEX(生物种群!$B:$B,COUNTA(生物种群!$B:$B)),MATCH($A620,生物种群!$C$2:INDEX(生物种群!$C:$C,COUNTA(生物种群!$C:$C)),),),INDEX(生物种群!$B$2:INDEX(生物种群!$B:$B,COUNTA(生物种群!$B:$B)),MATCH($B620,生物种群!$D$2:INDEX(生物种群!$D:$D,COUNTA(生物种群!$D:$D)),),))))</f>
        <v/>
      </c>
      <c r="J620" s="37" t="str">
        <f>IF(A620&amp;B620&amp;C620="","",INDEX(生物种群!$J$2:INDEX(生物种群!$J:$J,COUNTA(生物种群!$J:$J)),MATCH($I620,生物种群!$B$2:INDEX(生物种群!$B:$B,COUNTA(生物种群!$B:$B)),),))</f>
        <v/>
      </c>
      <c r="K620" s="37" t="str">
        <f>IF(A620&amp;B620&amp;C620="","",INDEX(生物种群!$E$2:INDEX(生物种群!$E:$E,COUNTA(生物种群!$E:$E)),MATCH($I620,生物种群!$B$2:INDEX(生物种群!$B:$B,COUNTA(生物种群!$B:$B)),),))</f>
        <v/>
      </c>
      <c r="L620" s="37" t="str">
        <f>IF(A620&amp;B620&amp;C620="","",INDEX(生物种群!$F$3:INDEX(生物种群!$F:$F,COUNTA(生物种群!$F:$F)),MATCH($I620,生物种群!$B$3:INDEX(生物种群!$B:$B,COUNTA(生物种群!$B:$B)),),))</f>
        <v/>
      </c>
      <c r="M620" s="37" t="str">
        <f t="shared" si="18"/>
        <v/>
      </c>
      <c r="N620" s="37" t="str">
        <f t="shared" si="19"/>
        <v/>
      </c>
      <c r="O620" s="9"/>
      <c r="P620" s="10"/>
    </row>
    <row r="621" spans="1:16" ht="20.1" customHeight="1">
      <c r="A621" s="9"/>
      <c r="B621" s="9"/>
      <c r="C621" s="9"/>
      <c r="D621" s="43"/>
      <c r="E621" s="9"/>
      <c r="F621" s="9"/>
      <c r="G621" s="47" t="str">
        <f>IF(F621="","",INDEX(站位样品信息!$B$3:INDEX(站位样品信息!$B:$B,COUNTA(站位样品信息!$B:$B)+1),MATCH($F621,站位样品信息!$A$3:INDEX(站位样品信息!$A:$A,COUNTA(站位样品信息!$A:$A)+1),),))</f>
        <v/>
      </c>
      <c r="H621" s="37" t="str">
        <f>IF(A621&amp;B621&amp;C621="","",INDEX(生物种群!$A$2:INDEX(生物种群!$A:$A,COUNTA(生物种群!$A:$A)),MATCH($I621,生物种群!$B$2:INDEX(生物种群!$B:$B,COUNTA(生物种群!$B:$B)),),))</f>
        <v/>
      </c>
      <c r="I621" s="37" t="str">
        <f>IF(A621&amp;B621&amp;C621="","",IF($C621&lt;&gt;0,INDEX(生物种群!$B$2:INDEX(生物种群!$B:$B,COUNTA(生物种群!$B:$B)),MATCH($C621,生物种群!$G$2:INDEX(生物种群!$G:$G,COUNTA(生物种群!$G:$G)),),),IF($A621&lt;&gt;0,INDEX(生物种群!$B$2:INDEX(生物种群!$B:$B,COUNTA(生物种群!$B:$B)),MATCH($A621,生物种群!$C$2:INDEX(生物种群!$C:$C,COUNTA(生物种群!$C:$C)),),),INDEX(生物种群!$B$2:INDEX(生物种群!$B:$B,COUNTA(生物种群!$B:$B)),MATCH($B621,生物种群!$D$2:INDEX(生物种群!$D:$D,COUNTA(生物种群!$D:$D)),),))))</f>
        <v/>
      </c>
      <c r="J621" s="37" t="str">
        <f>IF(A621&amp;B621&amp;C621="","",INDEX(生物种群!$J$2:INDEX(生物种群!$J:$J,COUNTA(生物种群!$J:$J)),MATCH($I621,生物种群!$B$2:INDEX(生物种群!$B:$B,COUNTA(生物种群!$B:$B)),),))</f>
        <v/>
      </c>
      <c r="K621" s="37" t="str">
        <f>IF(A621&amp;B621&amp;C621="","",INDEX(生物种群!$E$2:INDEX(生物种群!$E:$E,COUNTA(生物种群!$E:$E)),MATCH($I621,生物种群!$B$2:INDEX(生物种群!$B:$B,COUNTA(生物种群!$B:$B)),),))</f>
        <v/>
      </c>
      <c r="L621" s="37" t="str">
        <f>IF(A621&amp;B621&amp;C621="","",INDEX(生物种群!$F$3:INDEX(生物种群!$F:$F,COUNTA(生物种群!$F:$F)),MATCH($I621,生物种群!$B$3:INDEX(生物种群!$B:$B,COUNTA(生物种群!$B:$B)),),))</f>
        <v/>
      </c>
      <c r="M621" s="37" t="str">
        <f t="shared" si="18"/>
        <v/>
      </c>
      <c r="N621" s="37" t="str">
        <f t="shared" si="19"/>
        <v/>
      </c>
      <c r="O621" s="9"/>
      <c r="P621" s="10"/>
    </row>
    <row r="622" spans="1:16" ht="20.1" customHeight="1">
      <c r="A622" s="9"/>
      <c r="B622" s="9"/>
      <c r="C622" s="9"/>
      <c r="D622" s="43"/>
      <c r="E622" s="9"/>
      <c r="F622" s="9"/>
      <c r="G622" s="47" t="str">
        <f>IF(F622="","",INDEX(站位样品信息!$B$3:INDEX(站位样品信息!$B:$B,COUNTA(站位样品信息!$B:$B)+1),MATCH($F622,站位样品信息!$A$3:INDEX(站位样品信息!$A:$A,COUNTA(站位样品信息!$A:$A)+1),),))</f>
        <v/>
      </c>
      <c r="H622" s="37" t="str">
        <f>IF(A622&amp;B622&amp;C622="","",INDEX(生物种群!$A$2:INDEX(生物种群!$A:$A,COUNTA(生物种群!$A:$A)),MATCH($I622,生物种群!$B$2:INDEX(生物种群!$B:$B,COUNTA(生物种群!$B:$B)),),))</f>
        <v/>
      </c>
      <c r="I622" s="37" t="str">
        <f>IF(A622&amp;B622&amp;C622="","",IF($C622&lt;&gt;0,INDEX(生物种群!$B$2:INDEX(生物种群!$B:$B,COUNTA(生物种群!$B:$B)),MATCH($C622,生物种群!$G$2:INDEX(生物种群!$G:$G,COUNTA(生物种群!$G:$G)),),),IF($A622&lt;&gt;0,INDEX(生物种群!$B$2:INDEX(生物种群!$B:$B,COUNTA(生物种群!$B:$B)),MATCH($A622,生物种群!$C$2:INDEX(生物种群!$C:$C,COUNTA(生物种群!$C:$C)),),),INDEX(生物种群!$B$2:INDEX(生物种群!$B:$B,COUNTA(生物种群!$B:$B)),MATCH($B622,生物种群!$D$2:INDEX(生物种群!$D:$D,COUNTA(生物种群!$D:$D)),),))))</f>
        <v/>
      </c>
      <c r="J622" s="37" t="str">
        <f>IF(A622&amp;B622&amp;C622="","",INDEX(生物种群!$J$2:INDEX(生物种群!$J:$J,COUNTA(生物种群!$J:$J)),MATCH($I622,生物种群!$B$2:INDEX(生物种群!$B:$B,COUNTA(生物种群!$B:$B)),),))</f>
        <v/>
      </c>
      <c r="K622" s="37" t="str">
        <f>IF(A622&amp;B622&amp;C622="","",INDEX(生物种群!$E$2:INDEX(生物种群!$E:$E,COUNTA(生物种群!$E:$E)),MATCH($I622,生物种群!$B$2:INDEX(生物种群!$B:$B,COUNTA(生物种群!$B:$B)),),))</f>
        <v/>
      </c>
      <c r="L622" s="37" t="str">
        <f>IF(A622&amp;B622&amp;C622="","",INDEX(生物种群!$F$3:INDEX(生物种群!$F:$F,COUNTA(生物种群!$F:$F)),MATCH($I622,生物种群!$B$3:INDEX(生物种群!$B:$B,COUNTA(生物种群!$B:$B)),),))</f>
        <v/>
      </c>
      <c r="M622" s="37" t="str">
        <f t="shared" si="18"/>
        <v/>
      </c>
      <c r="N622" s="37" t="str">
        <f t="shared" si="19"/>
        <v/>
      </c>
      <c r="O622" s="9"/>
      <c r="P622" s="10"/>
    </row>
    <row r="623" spans="1:16" ht="20.1" customHeight="1">
      <c r="A623" s="9"/>
      <c r="B623" s="9"/>
      <c r="C623" s="9"/>
      <c r="D623" s="43"/>
      <c r="E623" s="9"/>
      <c r="F623" s="9"/>
      <c r="G623" s="47" t="str">
        <f>IF(F623="","",INDEX(站位样品信息!$B$3:INDEX(站位样品信息!$B:$B,COUNTA(站位样品信息!$B:$B)+1),MATCH($F623,站位样品信息!$A$3:INDEX(站位样品信息!$A:$A,COUNTA(站位样品信息!$A:$A)+1),),))</f>
        <v/>
      </c>
      <c r="H623" s="37" t="str">
        <f>IF(A623&amp;B623&amp;C623="","",INDEX(生物种群!$A$2:INDEX(生物种群!$A:$A,COUNTA(生物种群!$A:$A)),MATCH($I623,生物种群!$B$2:INDEX(生物种群!$B:$B,COUNTA(生物种群!$B:$B)),),))</f>
        <v/>
      </c>
      <c r="I623" s="37" t="str">
        <f>IF(A623&amp;B623&amp;C623="","",IF($C623&lt;&gt;0,INDEX(生物种群!$B$2:INDEX(生物种群!$B:$B,COUNTA(生物种群!$B:$B)),MATCH($C623,生物种群!$G$2:INDEX(生物种群!$G:$G,COUNTA(生物种群!$G:$G)),),),IF($A623&lt;&gt;0,INDEX(生物种群!$B$2:INDEX(生物种群!$B:$B,COUNTA(生物种群!$B:$B)),MATCH($A623,生物种群!$C$2:INDEX(生物种群!$C:$C,COUNTA(生物种群!$C:$C)),),),INDEX(生物种群!$B$2:INDEX(生物种群!$B:$B,COUNTA(生物种群!$B:$B)),MATCH($B623,生物种群!$D$2:INDEX(生物种群!$D:$D,COUNTA(生物种群!$D:$D)),),))))</f>
        <v/>
      </c>
      <c r="J623" s="37" t="str">
        <f>IF(A623&amp;B623&amp;C623="","",INDEX(生物种群!$J$2:INDEX(生物种群!$J:$J,COUNTA(生物种群!$J:$J)),MATCH($I623,生物种群!$B$2:INDEX(生物种群!$B:$B,COUNTA(生物种群!$B:$B)),),))</f>
        <v/>
      </c>
      <c r="K623" s="37" t="str">
        <f>IF(A623&amp;B623&amp;C623="","",INDEX(生物种群!$E$2:INDEX(生物种群!$E:$E,COUNTA(生物种群!$E:$E)),MATCH($I623,生物种群!$B$2:INDEX(生物种群!$B:$B,COUNTA(生物种群!$B:$B)),),))</f>
        <v/>
      </c>
      <c r="L623" s="37" t="str">
        <f>IF(A623&amp;B623&amp;C623="","",INDEX(生物种群!$F$3:INDEX(生物种群!$F:$F,COUNTA(生物种群!$F:$F)),MATCH($I623,生物种群!$B$3:INDEX(生物种群!$B:$B,COUNTA(生物种群!$B:$B)),),))</f>
        <v/>
      </c>
      <c r="M623" s="37" t="str">
        <f t="shared" si="18"/>
        <v/>
      </c>
      <c r="N623" s="37" t="str">
        <f t="shared" si="19"/>
        <v/>
      </c>
      <c r="O623" s="9"/>
      <c r="P623" s="10"/>
    </row>
    <row r="624" spans="1:16" ht="20.1" customHeight="1">
      <c r="A624" s="9"/>
      <c r="B624" s="9"/>
      <c r="C624" s="9"/>
      <c r="D624" s="43"/>
      <c r="E624" s="9"/>
      <c r="F624" s="9"/>
      <c r="G624" s="47" t="str">
        <f>IF(F624="","",INDEX(站位样品信息!$B$3:INDEX(站位样品信息!$B:$B,COUNTA(站位样品信息!$B:$B)+1),MATCH($F624,站位样品信息!$A$3:INDEX(站位样品信息!$A:$A,COUNTA(站位样品信息!$A:$A)+1),),))</f>
        <v/>
      </c>
      <c r="H624" s="37" t="str">
        <f>IF(A624&amp;B624&amp;C624="","",INDEX(生物种群!$A$2:INDEX(生物种群!$A:$A,COUNTA(生物种群!$A:$A)),MATCH($I624,生物种群!$B$2:INDEX(生物种群!$B:$B,COUNTA(生物种群!$B:$B)),),))</f>
        <v/>
      </c>
      <c r="I624" s="37" t="str">
        <f>IF(A624&amp;B624&amp;C624="","",IF($C624&lt;&gt;0,INDEX(生物种群!$B$2:INDEX(生物种群!$B:$B,COUNTA(生物种群!$B:$B)),MATCH($C624,生物种群!$G$2:INDEX(生物种群!$G:$G,COUNTA(生物种群!$G:$G)),),),IF($A624&lt;&gt;0,INDEX(生物种群!$B$2:INDEX(生物种群!$B:$B,COUNTA(生物种群!$B:$B)),MATCH($A624,生物种群!$C$2:INDEX(生物种群!$C:$C,COUNTA(生物种群!$C:$C)),),),INDEX(生物种群!$B$2:INDEX(生物种群!$B:$B,COUNTA(生物种群!$B:$B)),MATCH($B624,生物种群!$D$2:INDEX(生物种群!$D:$D,COUNTA(生物种群!$D:$D)),),))))</f>
        <v/>
      </c>
      <c r="J624" s="37" t="str">
        <f>IF(A624&amp;B624&amp;C624="","",INDEX(生物种群!$J$2:INDEX(生物种群!$J:$J,COUNTA(生物种群!$J:$J)),MATCH($I624,生物种群!$B$2:INDEX(生物种群!$B:$B,COUNTA(生物种群!$B:$B)),),))</f>
        <v/>
      </c>
      <c r="K624" s="37" t="str">
        <f>IF(A624&amp;B624&amp;C624="","",INDEX(生物种群!$E$2:INDEX(生物种群!$E:$E,COUNTA(生物种群!$E:$E)),MATCH($I624,生物种群!$B$2:INDEX(生物种群!$B:$B,COUNTA(生物种群!$B:$B)),),))</f>
        <v/>
      </c>
      <c r="L624" s="37" t="str">
        <f>IF(A624&amp;B624&amp;C624="","",INDEX(生物种群!$F$3:INDEX(生物种群!$F:$F,COUNTA(生物种群!$F:$F)),MATCH($I624,生物种群!$B$3:INDEX(生物种群!$B:$B,COUNTA(生物种群!$B:$B)),),))</f>
        <v/>
      </c>
      <c r="M624" s="37" t="str">
        <f t="shared" si="18"/>
        <v/>
      </c>
      <c r="N624" s="37" t="str">
        <f t="shared" si="19"/>
        <v/>
      </c>
      <c r="O624" s="9"/>
      <c r="P624" s="10"/>
    </row>
    <row r="625" spans="1:16" ht="20.1" customHeight="1">
      <c r="A625" s="9"/>
      <c r="B625" s="9"/>
      <c r="C625" s="9"/>
      <c r="D625" s="43"/>
      <c r="E625" s="9"/>
      <c r="F625" s="9"/>
      <c r="G625" s="47" t="str">
        <f>IF(F625="","",INDEX(站位样品信息!$B$3:INDEX(站位样品信息!$B:$B,COUNTA(站位样品信息!$B:$B)+1),MATCH($F625,站位样品信息!$A$3:INDEX(站位样品信息!$A:$A,COUNTA(站位样品信息!$A:$A)+1),),))</f>
        <v/>
      </c>
      <c r="H625" s="37" t="str">
        <f>IF(A625&amp;B625&amp;C625="","",INDEX(生物种群!$A$2:INDEX(生物种群!$A:$A,COUNTA(生物种群!$A:$A)),MATCH($I625,生物种群!$B$2:INDEX(生物种群!$B:$B,COUNTA(生物种群!$B:$B)),),))</f>
        <v/>
      </c>
      <c r="I625" s="37" t="str">
        <f>IF(A625&amp;B625&amp;C625="","",IF($C625&lt;&gt;0,INDEX(生物种群!$B$2:INDEX(生物种群!$B:$B,COUNTA(生物种群!$B:$B)),MATCH($C625,生物种群!$G$2:INDEX(生物种群!$G:$G,COUNTA(生物种群!$G:$G)),),),IF($A625&lt;&gt;0,INDEX(生物种群!$B$2:INDEX(生物种群!$B:$B,COUNTA(生物种群!$B:$B)),MATCH($A625,生物种群!$C$2:INDEX(生物种群!$C:$C,COUNTA(生物种群!$C:$C)),),),INDEX(生物种群!$B$2:INDEX(生物种群!$B:$B,COUNTA(生物种群!$B:$B)),MATCH($B625,生物种群!$D$2:INDEX(生物种群!$D:$D,COUNTA(生物种群!$D:$D)),),))))</f>
        <v/>
      </c>
      <c r="J625" s="37" t="str">
        <f>IF(A625&amp;B625&amp;C625="","",INDEX(生物种群!$J$2:INDEX(生物种群!$J:$J,COUNTA(生物种群!$J:$J)),MATCH($I625,生物种群!$B$2:INDEX(生物种群!$B:$B,COUNTA(生物种群!$B:$B)),),))</f>
        <v/>
      </c>
      <c r="K625" s="37" t="str">
        <f>IF(A625&amp;B625&amp;C625="","",INDEX(生物种群!$E$2:INDEX(生物种群!$E:$E,COUNTA(生物种群!$E:$E)),MATCH($I625,生物种群!$B$2:INDEX(生物种群!$B:$B,COUNTA(生物种群!$B:$B)),),))</f>
        <v/>
      </c>
      <c r="L625" s="37" t="str">
        <f>IF(A625&amp;B625&amp;C625="","",INDEX(生物种群!$F$3:INDEX(生物种群!$F:$F,COUNTA(生物种群!$F:$F)),MATCH($I625,生物种群!$B$3:INDEX(生物种群!$B:$B,COUNTA(生物种群!$B:$B)),),))</f>
        <v/>
      </c>
      <c r="M625" s="37" t="str">
        <f t="shared" si="18"/>
        <v/>
      </c>
      <c r="N625" s="37" t="str">
        <f t="shared" si="19"/>
        <v/>
      </c>
      <c r="O625" s="9"/>
      <c r="P625" s="10"/>
    </row>
    <row r="626" spans="1:16" ht="20.1" customHeight="1">
      <c r="A626" s="9"/>
      <c r="B626" s="9"/>
      <c r="C626" s="9"/>
      <c r="D626" s="43"/>
      <c r="E626" s="9"/>
      <c r="F626" s="9"/>
      <c r="G626" s="47" t="str">
        <f>IF(F626="","",INDEX(站位样品信息!$B$3:INDEX(站位样品信息!$B:$B,COUNTA(站位样品信息!$B:$B)+1),MATCH($F626,站位样品信息!$A$3:INDEX(站位样品信息!$A:$A,COUNTA(站位样品信息!$A:$A)+1),),))</f>
        <v/>
      </c>
      <c r="H626" s="37" t="str">
        <f>IF(A626&amp;B626&amp;C626="","",INDEX(生物种群!$A$2:INDEX(生物种群!$A:$A,COUNTA(生物种群!$A:$A)),MATCH($I626,生物种群!$B$2:INDEX(生物种群!$B:$B,COUNTA(生物种群!$B:$B)),),))</f>
        <v/>
      </c>
      <c r="I626" s="37" t="str">
        <f>IF(A626&amp;B626&amp;C626="","",IF($C626&lt;&gt;0,INDEX(生物种群!$B$2:INDEX(生物种群!$B:$B,COUNTA(生物种群!$B:$B)),MATCH($C626,生物种群!$G$2:INDEX(生物种群!$G:$G,COUNTA(生物种群!$G:$G)),),),IF($A626&lt;&gt;0,INDEX(生物种群!$B$2:INDEX(生物种群!$B:$B,COUNTA(生物种群!$B:$B)),MATCH($A626,生物种群!$C$2:INDEX(生物种群!$C:$C,COUNTA(生物种群!$C:$C)),),),INDEX(生物种群!$B$2:INDEX(生物种群!$B:$B,COUNTA(生物种群!$B:$B)),MATCH($B626,生物种群!$D$2:INDEX(生物种群!$D:$D,COUNTA(生物种群!$D:$D)),),))))</f>
        <v/>
      </c>
      <c r="J626" s="37" t="str">
        <f>IF(A626&amp;B626&amp;C626="","",INDEX(生物种群!$J$2:INDEX(生物种群!$J:$J,COUNTA(生物种群!$J:$J)),MATCH($I626,生物种群!$B$2:INDEX(生物种群!$B:$B,COUNTA(生物种群!$B:$B)),),))</f>
        <v/>
      </c>
      <c r="K626" s="37" t="str">
        <f>IF(A626&amp;B626&amp;C626="","",INDEX(生物种群!$E$2:INDEX(生物种群!$E:$E,COUNTA(生物种群!$E:$E)),MATCH($I626,生物种群!$B$2:INDEX(生物种群!$B:$B,COUNTA(生物种群!$B:$B)),),))</f>
        <v/>
      </c>
      <c r="L626" s="37" t="str">
        <f>IF(A626&amp;B626&amp;C626="","",INDEX(生物种群!$F$3:INDEX(生物种群!$F:$F,COUNTA(生物种群!$F:$F)),MATCH($I626,生物种群!$B$3:INDEX(生物种群!$B:$B,COUNTA(生物种群!$B:$B)),),))</f>
        <v/>
      </c>
      <c r="M626" s="37" t="str">
        <f t="shared" si="18"/>
        <v/>
      </c>
      <c r="N626" s="37" t="str">
        <f t="shared" si="19"/>
        <v/>
      </c>
      <c r="O626" s="9"/>
      <c r="P626" s="10"/>
    </row>
    <row r="627" spans="1:16" ht="20.1" customHeight="1">
      <c r="A627" s="9"/>
      <c r="B627" s="9"/>
      <c r="C627" s="9"/>
      <c r="D627" s="43"/>
      <c r="E627" s="9"/>
      <c r="F627" s="9"/>
      <c r="G627" s="47" t="str">
        <f>IF(F627="","",INDEX(站位样品信息!$B$3:INDEX(站位样品信息!$B:$B,COUNTA(站位样品信息!$B:$B)+1),MATCH($F627,站位样品信息!$A$3:INDEX(站位样品信息!$A:$A,COUNTA(站位样品信息!$A:$A)+1),),))</f>
        <v/>
      </c>
      <c r="H627" s="37" t="str">
        <f>IF(A627&amp;B627&amp;C627="","",INDEX(生物种群!$A$2:INDEX(生物种群!$A:$A,COUNTA(生物种群!$A:$A)),MATCH($I627,生物种群!$B$2:INDEX(生物种群!$B:$B,COUNTA(生物种群!$B:$B)),),))</f>
        <v/>
      </c>
      <c r="I627" s="37" t="str">
        <f>IF(A627&amp;B627&amp;C627="","",IF($C627&lt;&gt;0,INDEX(生物种群!$B$2:INDEX(生物种群!$B:$B,COUNTA(生物种群!$B:$B)),MATCH($C627,生物种群!$G$2:INDEX(生物种群!$G:$G,COUNTA(生物种群!$G:$G)),),),IF($A627&lt;&gt;0,INDEX(生物种群!$B$2:INDEX(生物种群!$B:$B,COUNTA(生物种群!$B:$B)),MATCH($A627,生物种群!$C$2:INDEX(生物种群!$C:$C,COUNTA(生物种群!$C:$C)),),),INDEX(生物种群!$B$2:INDEX(生物种群!$B:$B,COUNTA(生物种群!$B:$B)),MATCH($B627,生物种群!$D$2:INDEX(生物种群!$D:$D,COUNTA(生物种群!$D:$D)),),))))</f>
        <v/>
      </c>
      <c r="J627" s="37" t="str">
        <f>IF(A627&amp;B627&amp;C627="","",INDEX(生物种群!$J$2:INDEX(生物种群!$J:$J,COUNTA(生物种群!$J:$J)),MATCH($I627,生物种群!$B$2:INDEX(生物种群!$B:$B,COUNTA(生物种群!$B:$B)),),))</f>
        <v/>
      </c>
      <c r="K627" s="37" t="str">
        <f>IF(A627&amp;B627&amp;C627="","",INDEX(生物种群!$E$2:INDEX(生物种群!$E:$E,COUNTA(生物种群!$E:$E)),MATCH($I627,生物种群!$B$2:INDEX(生物种群!$B:$B,COUNTA(生物种群!$B:$B)),),))</f>
        <v/>
      </c>
      <c r="L627" s="37" t="str">
        <f>IF(A627&amp;B627&amp;C627="","",INDEX(生物种群!$F$3:INDEX(生物种群!$F:$F,COUNTA(生物种群!$F:$F)),MATCH($I627,生物种群!$B$3:INDEX(生物种群!$B:$B,COUNTA(生物种群!$B:$B)),),))</f>
        <v/>
      </c>
      <c r="M627" s="37" t="str">
        <f t="shared" si="18"/>
        <v/>
      </c>
      <c r="N627" s="37" t="str">
        <f t="shared" si="19"/>
        <v/>
      </c>
      <c r="O627" s="9"/>
      <c r="P627" s="10"/>
    </row>
    <row r="628" spans="1:16" ht="20.1" customHeight="1">
      <c r="A628" s="9"/>
      <c r="B628" s="9"/>
      <c r="C628" s="9"/>
      <c r="D628" s="43"/>
      <c r="E628" s="9"/>
      <c r="F628" s="9"/>
      <c r="G628" s="47" t="str">
        <f>IF(F628="","",INDEX(站位样品信息!$B$3:INDEX(站位样品信息!$B:$B,COUNTA(站位样品信息!$B:$B)+1),MATCH($F628,站位样品信息!$A$3:INDEX(站位样品信息!$A:$A,COUNTA(站位样品信息!$A:$A)+1),),))</f>
        <v/>
      </c>
      <c r="H628" s="37" t="str">
        <f>IF(A628&amp;B628&amp;C628="","",INDEX(生物种群!$A$2:INDEX(生物种群!$A:$A,COUNTA(生物种群!$A:$A)),MATCH($I628,生物种群!$B$2:INDEX(生物种群!$B:$B,COUNTA(生物种群!$B:$B)),),))</f>
        <v/>
      </c>
      <c r="I628" s="37" t="str">
        <f>IF(A628&amp;B628&amp;C628="","",IF($C628&lt;&gt;0,INDEX(生物种群!$B$2:INDEX(生物种群!$B:$B,COUNTA(生物种群!$B:$B)),MATCH($C628,生物种群!$G$2:INDEX(生物种群!$G:$G,COUNTA(生物种群!$G:$G)),),),IF($A628&lt;&gt;0,INDEX(生物种群!$B$2:INDEX(生物种群!$B:$B,COUNTA(生物种群!$B:$B)),MATCH($A628,生物种群!$C$2:INDEX(生物种群!$C:$C,COUNTA(生物种群!$C:$C)),),),INDEX(生物种群!$B$2:INDEX(生物种群!$B:$B,COUNTA(生物种群!$B:$B)),MATCH($B628,生物种群!$D$2:INDEX(生物种群!$D:$D,COUNTA(生物种群!$D:$D)),),))))</f>
        <v/>
      </c>
      <c r="J628" s="37" t="str">
        <f>IF(A628&amp;B628&amp;C628="","",INDEX(生物种群!$J$2:INDEX(生物种群!$J:$J,COUNTA(生物种群!$J:$J)),MATCH($I628,生物种群!$B$2:INDEX(生物种群!$B:$B,COUNTA(生物种群!$B:$B)),),))</f>
        <v/>
      </c>
      <c r="K628" s="37" t="str">
        <f>IF(A628&amp;B628&amp;C628="","",INDEX(生物种群!$E$2:INDEX(生物种群!$E:$E,COUNTA(生物种群!$E:$E)),MATCH($I628,生物种群!$B$2:INDEX(生物种群!$B:$B,COUNTA(生物种群!$B:$B)),),))</f>
        <v/>
      </c>
      <c r="L628" s="37" t="str">
        <f>IF(A628&amp;B628&amp;C628="","",INDEX(生物种群!$F$3:INDEX(生物种群!$F:$F,COUNTA(生物种群!$F:$F)),MATCH($I628,生物种群!$B$3:INDEX(生物种群!$B:$B,COUNTA(生物种群!$B:$B)),),))</f>
        <v/>
      </c>
      <c r="M628" s="37" t="str">
        <f t="shared" si="18"/>
        <v/>
      </c>
      <c r="N628" s="37" t="str">
        <f t="shared" si="19"/>
        <v/>
      </c>
      <c r="O628" s="9"/>
      <c r="P628" s="10"/>
    </row>
    <row r="629" spans="1:16" ht="20.1" customHeight="1">
      <c r="A629" s="9"/>
      <c r="B629" s="9"/>
      <c r="C629" s="9"/>
      <c r="D629" s="43"/>
      <c r="E629" s="9"/>
      <c r="F629" s="9"/>
      <c r="G629" s="47" t="str">
        <f>IF(F629="","",INDEX(站位样品信息!$B$3:INDEX(站位样品信息!$B:$B,COUNTA(站位样品信息!$B:$B)+1),MATCH($F629,站位样品信息!$A$3:INDEX(站位样品信息!$A:$A,COUNTA(站位样品信息!$A:$A)+1),),))</f>
        <v/>
      </c>
      <c r="H629" s="37" t="str">
        <f>IF(A629&amp;B629&amp;C629="","",INDEX(生物种群!$A$2:INDEX(生物种群!$A:$A,COUNTA(生物种群!$A:$A)),MATCH($I629,生物种群!$B$2:INDEX(生物种群!$B:$B,COUNTA(生物种群!$B:$B)),),))</f>
        <v/>
      </c>
      <c r="I629" s="37" t="str">
        <f>IF(A629&amp;B629&amp;C629="","",IF($C629&lt;&gt;0,INDEX(生物种群!$B$2:INDEX(生物种群!$B:$B,COUNTA(生物种群!$B:$B)),MATCH($C629,生物种群!$G$2:INDEX(生物种群!$G:$G,COUNTA(生物种群!$G:$G)),),),IF($A629&lt;&gt;0,INDEX(生物种群!$B$2:INDEX(生物种群!$B:$B,COUNTA(生物种群!$B:$B)),MATCH($A629,生物种群!$C$2:INDEX(生物种群!$C:$C,COUNTA(生物种群!$C:$C)),),),INDEX(生物种群!$B$2:INDEX(生物种群!$B:$B,COUNTA(生物种群!$B:$B)),MATCH($B629,生物种群!$D$2:INDEX(生物种群!$D:$D,COUNTA(生物种群!$D:$D)),),))))</f>
        <v/>
      </c>
      <c r="J629" s="37" t="str">
        <f>IF(A629&amp;B629&amp;C629="","",INDEX(生物种群!$J$2:INDEX(生物种群!$J:$J,COUNTA(生物种群!$J:$J)),MATCH($I629,生物种群!$B$2:INDEX(生物种群!$B:$B,COUNTA(生物种群!$B:$B)),),))</f>
        <v/>
      </c>
      <c r="K629" s="37" t="str">
        <f>IF(A629&amp;B629&amp;C629="","",INDEX(生物种群!$E$2:INDEX(生物种群!$E:$E,COUNTA(生物种群!$E:$E)),MATCH($I629,生物种群!$B$2:INDEX(生物种群!$B:$B,COUNTA(生物种群!$B:$B)),),))</f>
        <v/>
      </c>
      <c r="L629" s="37" t="str">
        <f>IF(A629&amp;B629&amp;C629="","",INDEX(生物种群!$F$3:INDEX(生物种群!$F:$F,COUNTA(生物种群!$F:$F)),MATCH($I629,生物种群!$B$3:INDEX(生物种群!$B:$B,COUNTA(生物种群!$B:$B)),),))</f>
        <v/>
      </c>
      <c r="M629" s="37" t="str">
        <f t="shared" si="18"/>
        <v/>
      </c>
      <c r="N629" s="37" t="str">
        <f t="shared" si="19"/>
        <v/>
      </c>
      <c r="O629" s="9"/>
      <c r="P629" s="10"/>
    </row>
    <row r="630" spans="1:16" ht="20.1" customHeight="1">
      <c r="A630" s="9"/>
      <c r="B630" s="9"/>
      <c r="C630" s="9"/>
      <c r="D630" s="43"/>
      <c r="E630" s="9"/>
      <c r="F630" s="9"/>
      <c r="G630" s="47" t="str">
        <f>IF(F630="","",INDEX(站位样品信息!$B$3:INDEX(站位样品信息!$B:$B,COUNTA(站位样品信息!$B:$B)+1),MATCH($F630,站位样品信息!$A$3:INDEX(站位样品信息!$A:$A,COUNTA(站位样品信息!$A:$A)+1),),))</f>
        <v/>
      </c>
      <c r="H630" s="37" t="str">
        <f>IF(A630&amp;B630&amp;C630="","",INDEX(生物种群!$A$2:INDEX(生物种群!$A:$A,COUNTA(生物种群!$A:$A)),MATCH($I630,生物种群!$B$2:INDEX(生物种群!$B:$B,COUNTA(生物种群!$B:$B)),),))</f>
        <v/>
      </c>
      <c r="I630" s="37" t="str">
        <f>IF(A630&amp;B630&amp;C630="","",IF($C630&lt;&gt;0,INDEX(生物种群!$B$2:INDEX(生物种群!$B:$B,COUNTA(生物种群!$B:$B)),MATCH($C630,生物种群!$G$2:INDEX(生物种群!$G:$G,COUNTA(生物种群!$G:$G)),),),IF($A630&lt;&gt;0,INDEX(生物种群!$B$2:INDEX(生物种群!$B:$B,COUNTA(生物种群!$B:$B)),MATCH($A630,生物种群!$C$2:INDEX(生物种群!$C:$C,COUNTA(生物种群!$C:$C)),),),INDEX(生物种群!$B$2:INDEX(生物种群!$B:$B,COUNTA(生物种群!$B:$B)),MATCH($B630,生物种群!$D$2:INDEX(生物种群!$D:$D,COUNTA(生物种群!$D:$D)),),))))</f>
        <v/>
      </c>
      <c r="J630" s="37" t="str">
        <f>IF(A630&amp;B630&amp;C630="","",INDEX(生物种群!$J$2:INDEX(生物种群!$J:$J,COUNTA(生物种群!$J:$J)),MATCH($I630,生物种群!$B$2:INDEX(生物种群!$B:$B,COUNTA(生物种群!$B:$B)),),))</f>
        <v/>
      </c>
      <c r="K630" s="37" t="str">
        <f>IF(A630&amp;B630&amp;C630="","",INDEX(生物种群!$E$2:INDEX(生物种群!$E:$E,COUNTA(生物种群!$E:$E)),MATCH($I630,生物种群!$B$2:INDEX(生物种群!$B:$B,COUNTA(生物种群!$B:$B)),),))</f>
        <v/>
      </c>
      <c r="L630" s="37" t="str">
        <f>IF(A630&amp;B630&amp;C630="","",INDEX(生物种群!$F$3:INDEX(生物种群!$F:$F,COUNTA(生物种群!$F:$F)),MATCH($I630,生物种群!$B$3:INDEX(生物种群!$B:$B,COUNTA(生物种群!$B:$B)),),))</f>
        <v/>
      </c>
      <c r="M630" s="37" t="str">
        <f t="shared" si="18"/>
        <v/>
      </c>
      <c r="N630" s="37" t="str">
        <f t="shared" si="19"/>
        <v/>
      </c>
      <c r="O630" s="9"/>
      <c r="P630" s="10"/>
    </row>
    <row r="631" spans="1:16" ht="20.1" customHeight="1">
      <c r="A631" s="9"/>
      <c r="B631" s="9"/>
      <c r="C631" s="9"/>
      <c r="D631" s="43"/>
      <c r="E631" s="9"/>
      <c r="F631" s="9"/>
      <c r="G631" s="47" t="str">
        <f>IF(F631="","",INDEX(站位样品信息!$B$3:INDEX(站位样品信息!$B:$B,COUNTA(站位样品信息!$B:$B)+1),MATCH($F631,站位样品信息!$A$3:INDEX(站位样品信息!$A:$A,COUNTA(站位样品信息!$A:$A)+1),),))</f>
        <v/>
      </c>
      <c r="H631" s="37" t="str">
        <f>IF(A631&amp;B631&amp;C631="","",INDEX(生物种群!$A$2:INDEX(生物种群!$A:$A,COUNTA(生物种群!$A:$A)),MATCH($I631,生物种群!$B$2:INDEX(生物种群!$B:$B,COUNTA(生物种群!$B:$B)),),))</f>
        <v/>
      </c>
      <c r="I631" s="37" t="str">
        <f>IF(A631&amp;B631&amp;C631="","",IF($C631&lt;&gt;0,INDEX(生物种群!$B$2:INDEX(生物种群!$B:$B,COUNTA(生物种群!$B:$B)),MATCH($C631,生物种群!$G$2:INDEX(生物种群!$G:$G,COUNTA(生物种群!$G:$G)),),),IF($A631&lt;&gt;0,INDEX(生物种群!$B$2:INDEX(生物种群!$B:$B,COUNTA(生物种群!$B:$B)),MATCH($A631,生物种群!$C$2:INDEX(生物种群!$C:$C,COUNTA(生物种群!$C:$C)),),),INDEX(生物种群!$B$2:INDEX(生物种群!$B:$B,COUNTA(生物种群!$B:$B)),MATCH($B631,生物种群!$D$2:INDEX(生物种群!$D:$D,COUNTA(生物种群!$D:$D)),),))))</f>
        <v/>
      </c>
      <c r="J631" s="37" t="str">
        <f>IF(A631&amp;B631&amp;C631="","",INDEX(生物种群!$J$2:INDEX(生物种群!$J:$J,COUNTA(生物种群!$J:$J)),MATCH($I631,生物种群!$B$2:INDEX(生物种群!$B:$B,COUNTA(生物种群!$B:$B)),),))</f>
        <v/>
      </c>
      <c r="K631" s="37" t="str">
        <f>IF(A631&amp;B631&amp;C631="","",INDEX(生物种群!$E$2:INDEX(生物种群!$E:$E,COUNTA(生物种群!$E:$E)),MATCH($I631,生物种群!$B$2:INDEX(生物种群!$B:$B,COUNTA(生物种群!$B:$B)),),))</f>
        <v/>
      </c>
      <c r="L631" s="37" t="str">
        <f>IF(A631&amp;B631&amp;C631="","",INDEX(生物种群!$F$3:INDEX(生物种群!$F:$F,COUNTA(生物种群!$F:$F)),MATCH($I631,生物种群!$B$3:INDEX(生物种群!$B:$B,COUNTA(生物种群!$B:$B)),),))</f>
        <v/>
      </c>
      <c r="M631" s="37" t="str">
        <f t="shared" si="18"/>
        <v/>
      </c>
      <c r="N631" s="37" t="str">
        <f t="shared" si="19"/>
        <v/>
      </c>
      <c r="O631" s="9"/>
      <c r="P631" s="10"/>
    </row>
    <row r="632" spans="1:16" ht="20.1" customHeight="1">
      <c r="A632" s="9"/>
      <c r="B632" s="9"/>
      <c r="C632" s="9"/>
      <c r="D632" s="43"/>
      <c r="E632" s="9"/>
      <c r="F632" s="9"/>
      <c r="G632" s="47" t="str">
        <f>IF(F632="","",INDEX(站位样品信息!$B$3:INDEX(站位样品信息!$B:$B,COUNTA(站位样品信息!$B:$B)+1),MATCH($F632,站位样品信息!$A$3:INDEX(站位样品信息!$A:$A,COUNTA(站位样品信息!$A:$A)+1),),))</f>
        <v/>
      </c>
      <c r="H632" s="37" t="str">
        <f>IF(A632&amp;B632&amp;C632="","",INDEX(生物种群!$A$2:INDEX(生物种群!$A:$A,COUNTA(生物种群!$A:$A)),MATCH($I632,生物种群!$B$2:INDEX(生物种群!$B:$B,COUNTA(生物种群!$B:$B)),),))</f>
        <v/>
      </c>
      <c r="I632" s="37" t="str">
        <f>IF(A632&amp;B632&amp;C632="","",IF($C632&lt;&gt;0,INDEX(生物种群!$B$2:INDEX(生物种群!$B:$B,COUNTA(生物种群!$B:$B)),MATCH($C632,生物种群!$G$2:INDEX(生物种群!$G:$G,COUNTA(生物种群!$G:$G)),),),IF($A632&lt;&gt;0,INDEX(生物种群!$B$2:INDEX(生物种群!$B:$B,COUNTA(生物种群!$B:$B)),MATCH($A632,生物种群!$C$2:INDEX(生物种群!$C:$C,COUNTA(生物种群!$C:$C)),),),INDEX(生物种群!$B$2:INDEX(生物种群!$B:$B,COUNTA(生物种群!$B:$B)),MATCH($B632,生物种群!$D$2:INDEX(生物种群!$D:$D,COUNTA(生物种群!$D:$D)),),))))</f>
        <v/>
      </c>
      <c r="J632" s="37" t="str">
        <f>IF(A632&amp;B632&amp;C632="","",INDEX(生物种群!$J$2:INDEX(生物种群!$J:$J,COUNTA(生物种群!$J:$J)),MATCH($I632,生物种群!$B$2:INDEX(生物种群!$B:$B,COUNTA(生物种群!$B:$B)),),))</f>
        <v/>
      </c>
      <c r="K632" s="37" t="str">
        <f>IF(A632&amp;B632&amp;C632="","",INDEX(生物种群!$E$2:INDEX(生物种群!$E:$E,COUNTA(生物种群!$E:$E)),MATCH($I632,生物种群!$B$2:INDEX(生物种群!$B:$B,COUNTA(生物种群!$B:$B)),),))</f>
        <v/>
      </c>
      <c r="L632" s="37" t="str">
        <f>IF(A632&amp;B632&amp;C632="","",INDEX(生物种群!$F$3:INDEX(生物种群!$F:$F,COUNTA(生物种群!$F:$F)),MATCH($I632,生物种群!$B$3:INDEX(生物种群!$B:$B,COUNTA(生物种群!$B:$B)),),))</f>
        <v/>
      </c>
      <c r="M632" s="37" t="str">
        <f t="shared" si="18"/>
        <v/>
      </c>
      <c r="N632" s="37" t="str">
        <f t="shared" si="19"/>
        <v/>
      </c>
      <c r="O632" s="9"/>
      <c r="P632" s="10"/>
    </row>
    <row r="633" spans="1:16" ht="20.1" customHeight="1">
      <c r="A633" s="9"/>
      <c r="B633" s="9"/>
      <c r="C633" s="9"/>
      <c r="D633" s="43"/>
      <c r="E633" s="9"/>
      <c r="F633" s="9"/>
      <c r="G633" s="47" t="str">
        <f>IF(F633="","",INDEX(站位样品信息!$B$3:INDEX(站位样品信息!$B:$B,COUNTA(站位样品信息!$B:$B)+1),MATCH($F633,站位样品信息!$A$3:INDEX(站位样品信息!$A:$A,COUNTA(站位样品信息!$A:$A)+1),),))</f>
        <v/>
      </c>
      <c r="H633" s="37" t="str">
        <f>IF(A633&amp;B633&amp;C633="","",INDEX(生物种群!$A$2:INDEX(生物种群!$A:$A,COUNTA(生物种群!$A:$A)),MATCH($I633,生物种群!$B$2:INDEX(生物种群!$B:$B,COUNTA(生物种群!$B:$B)),),))</f>
        <v/>
      </c>
      <c r="I633" s="37" t="str">
        <f>IF(A633&amp;B633&amp;C633="","",IF($C633&lt;&gt;0,INDEX(生物种群!$B$2:INDEX(生物种群!$B:$B,COUNTA(生物种群!$B:$B)),MATCH($C633,生物种群!$G$2:INDEX(生物种群!$G:$G,COUNTA(生物种群!$G:$G)),),),IF($A633&lt;&gt;0,INDEX(生物种群!$B$2:INDEX(生物种群!$B:$B,COUNTA(生物种群!$B:$B)),MATCH($A633,生物种群!$C$2:INDEX(生物种群!$C:$C,COUNTA(生物种群!$C:$C)),),),INDEX(生物种群!$B$2:INDEX(生物种群!$B:$B,COUNTA(生物种群!$B:$B)),MATCH($B633,生物种群!$D$2:INDEX(生物种群!$D:$D,COUNTA(生物种群!$D:$D)),),))))</f>
        <v/>
      </c>
      <c r="J633" s="37" t="str">
        <f>IF(A633&amp;B633&amp;C633="","",INDEX(生物种群!$J$2:INDEX(生物种群!$J:$J,COUNTA(生物种群!$J:$J)),MATCH($I633,生物种群!$B$2:INDEX(生物种群!$B:$B,COUNTA(生物种群!$B:$B)),),))</f>
        <v/>
      </c>
      <c r="K633" s="37" t="str">
        <f>IF(A633&amp;B633&amp;C633="","",INDEX(生物种群!$E$2:INDEX(生物种群!$E:$E,COUNTA(生物种群!$E:$E)),MATCH($I633,生物种群!$B$2:INDEX(生物种群!$B:$B,COUNTA(生物种群!$B:$B)),),))</f>
        <v/>
      </c>
      <c r="L633" s="37" t="str">
        <f>IF(A633&amp;B633&amp;C633="","",INDEX(生物种群!$F$3:INDEX(生物种群!$F:$F,COUNTA(生物种群!$F:$F)),MATCH($I633,生物种群!$B$3:INDEX(生物种群!$B:$B,COUNTA(生物种群!$B:$B)),),))</f>
        <v/>
      </c>
      <c r="M633" s="37" t="str">
        <f t="shared" si="18"/>
        <v/>
      </c>
      <c r="N633" s="37" t="str">
        <f t="shared" si="19"/>
        <v/>
      </c>
      <c r="O633" s="9"/>
      <c r="P633" s="10"/>
    </row>
    <row r="634" spans="1:16" ht="20.1" customHeight="1">
      <c r="A634" s="9"/>
      <c r="B634" s="9"/>
      <c r="C634" s="9"/>
      <c r="D634" s="43"/>
      <c r="E634" s="9"/>
      <c r="F634" s="9"/>
      <c r="G634" s="47" t="str">
        <f>IF(F634="","",INDEX(站位样品信息!$B$3:INDEX(站位样品信息!$B:$B,COUNTA(站位样品信息!$B:$B)+1),MATCH($F634,站位样品信息!$A$3:INDEX(站位样品信息!$A:$A,COUNTA(站位样品信息!$A:$A)+1),),))</f>
        <v/>
      </c>
      <c r="H634" s="37" t="str">
        <f>IF(A634&amp;B634&amp;C634="","",INDEX(生物种群!$A$2:INDEX(生物种群!$A:$A,COUNTA(生物种群!$A:$A)),MATCH($I634,生物种群!$B$2:INDEX(生物种群!$B:$B,COUNTA(生物种群!$B:$B)),),))</f>
        <v/>
      </c>
      <c r="I634" s="37" t="str">
        <f>IF(A634&amp;B634&amp;C634="","",IF($C634&lt;&gt;0,INDEX(生物种群!$B$2:INDEX(生物种群!$B:$B,COUNTA(生物种群!$B:$B)),MATCH($C634,生物种群!$G$2:INDEX(生物种群!$G:$G,COUNTA(生物种群!$G:$G)),),),IF($A634&lt;&gt;0,INDEX(生物种群!$B$2:INDEX(生物种群!$B:$B,COUNTA(生物种群!$B:$B)),MATCH($A634,生物种群!$C$2:INDEX(生物种群!$C:$C,COUNTA(生物种群!$C:$C)),),),INDEX(生物种群!$B$2:INDEX(生物种群!$B:$B,COUNTA(生物种群!$B:$B)),MATCH($B634,生物种群!$D$2:INDEX(生物种群!$D:$D,COUNTA(生物种群!$D:$D)),),))))</f>
        <v/>
      </c>
      <c r="J634" s="37" t="str">
        <f>IF(A634&amp;B634&amp;C634="","",INDEX(生物种群!$J$2:INDEX(生物种群!$J:$J,COUNTA(生物种群!$J:$J)),MATCH($I634,生物种群!$B$2:INDEX(生物种群!$B:$B,COUNTA(生物种群!$B:$B)),),))</f>
        <v/>
      </c>
      <c r="K634" s="37" t="str">
        <f>IF(A634&amp;B634&amp;C634="","",INDEX(生物种群!$E$2:INDEX(生物种群!$E:$E,COUNTA(生物种群!$E:$E)),MATCH($I634,生物种群!$B$2:INDEX(生物种群!$B:$B,COUNTA(生物种群!$B:$B)),),))</f>
        <v/>
      </c>
      <c r="L634" s="37" t="str">
        <f>IF(A634&amp;B634&amp;C634="","",INDEX(生物种群!$F$3:INDEX(生物种群!$F:$F,COUNTA(生物种群!$F:$F)),MATCH($I634,生物种群!$B$3:INDEX(生物种群!$B:$B,COUNTA(生物种群!$B:$B)),),))</f>
        <v/>
      </c>
      <c r="M634" s="37" t="str">
        <f t="shared" si="18"/>
        <v/>
      </c>
      <c r="N634" s="37" t="str">
        <f t="shared" si="19"/>
        <v/>
      </c>
      <c r="O634" s="9"/>
      <c r="P634" s="10"/>
    </row>
    <row r="635" spans="1:16" ht="20.1" customHeight="1">
      <c r="A635" s="9"/>
      <c r="B635" s="9"/>
      <c r="C635" s="9"/>
      <c r="D635" s="43"/>
      <c r="E635" s="9"/>
      <c r="F635" s="9"/>
      <c r="G635" s="47" t="str">
        <f>IF(F635="","",INDEX(站位样品信息!$B$3:INDEX(站位样品信息!$B:$B,COUNTA(站位样品信息!$B:$B)+1),MATCH($F635,站位样品信息!$A$3:INDEX(站位样品信息!$A:$A,COUNTA(站位样品信息!$A:$A)+1),),))</f>
        <v/>
      </c>
      <c r="H635" s="37" t="str">
        <f>IF(A635&amp;B635&amp;C635="","",INDEX(生物种群!$A$2:INDEX(生物种群!$A:$A,COUNTA(生物种群!$A:$A)),MATCH($I635,生物种群!$B$2:INDEX(生物种群!$B:$B,COUNTA(生物种群!$B:$B)),),))</f>
        <v/>
      </c>
      <c r="I635" s="37" t="str">
        <f>IF(A635&amp;B635&amp;C635="","",IF($C635&lt;&gt;0,INDEX(生物种群!$B$2:INDEX(生物种群!$B:$B,COUNTA(生物种群!$B:$B)),MATCH($C635,生物种群!$G$2:INDEX(生物种群!$G:$G,COUNTA(生物种群!$G:$G)),),),IF($A635&lt;&gt;0,INDEX(生物种群!$B$2:INDEX(生物种群!$B:$B,COUNTA(生物种群!$B:$B)),MATCH($A635,生物种群!$C$2:INDEX(生物种群!$C:$C,COUNTA(生物种群!$C:$C)),),),INDEX(生物种群!$B$2:INDEX(生物种群!$B:$B,COUNTA(生物种群!$B:$B)),MATCH($B635,生物种群!$D$2:INDEX(生物种群!$D:$D,COUNTA(生物种群!$D:$D)),),))))</f>
        <v/>
      </c>
      <c r="J635" s="37" t="str">
        <f>IF(A635&amp;B635&amp;C635="","",INDEX(生物种群!$J$2:INDEX(生物种群!$J:$J,COUNTA(生物种群!$J:$J)),MATCH($I635,生物种群!$B$2:INDEX(生物种群!$B:$B,COUNTA(生物种群!$B:$B)),),))</f>
        <v/>
      </c>
      <c r="K635" s="37" t="str">
        <f>IF(A635&amp;B635&amp;C635="","",INDEX(生物种群!$E$2:INDEX(生物种群!$E:$E,COUNTA(生物种群!$E:$E)),MATCH($I635,生物种群!$B$2:INDEX(生物种群!$B:$B,COUNTA(生物种群!$B:$B)),),))</f>
        <v/>
      </c>
      <c r="L635" s="37" t="str">
        <f>IF(A635&amp;B635&amp;C635="","",INDEX(生物种群!$F$3:INDEX(生物种群!$F:$F,COUNTA(生物种群!$F:$F)),MATCH($I635,生物种群!$B$3:INDEX(生物种群!$B:$B,COUNTA(生物种群!$B:$B)),),))</f>
        <v/>
      </c>
      <c r="M635" s="37" t="str">
        <f t="shared" si="18"/>
        <v/>
      </c>
      <c r="N635" s="37" t="str">
        <f t="shared" si="19"/>
        <v/>
      </c>
      <c r="O635" s="9"/>
      <c r="P635" s="10"/>
    </row>
    <row r="636" spans="1:16" ht="20.1" customHeight="1">
      <c r="A636" s="9"/>
      <c r="B636" s="9"/>
      <c r="C636" s="9"/>
      <c r="D636" s="43"/>
      <c r="E636" s="9"/>
      <c r="F636" s="9"/>
      <c r="G636" s="47" t="str">
        <f>IF(F636="","",INDEX(站位样品信息!$B$3:INDEX(站位样品信息!$B:$B,COUNTA(站位样品信息!$B:$B)+1),MATCH($F636,站位样品信息!$A$3:INDEX(站位样品信息!$A:$A,COUNTA(站位样品信息!$A:$A)+1),),))</f>
        <v/>
      </c>
      <c r="H636" s="37" t="str">
        <f>IF(A636&amp;B636&amp;C636="","",INDEX(生物种群!$A$2:INDEX(生物种群!$A:$A,COUNTA(生物种群!$A:$A)),MATCH($I636,生物种群!$B$2:INDEX(生物种群!$B:$B,COUNTA(生物种群!$B:$B)),),))</f>
        <v/>
      </c>
      <c r="I636" s="37" t="str">
        <f>IF(A636&amp;B636&amp;C636="","",IF($C636&lt;&gt;0,INDEX(生物种群!$B$2:INDEX(生物种群!$B:$B,COUNTA(生物种群!$B:$B)),MATCH($C636,生物种群!$G$2:INDEX(生物种群!$G:$G,COUNTA(生物种群!$G:$G)),),),IF($A636&lt;&gt;0,INDEX(生物种群!$B$2:INDEX(生物种群!$B:$B,COUNTA(生物种群!$B:$B)),MATCH($A636,生物种群!$C$2:INDEX(生物种群!$C:$C,COUNTA(生物种群!$C:$C)),),),INDEX(生物种群!$B$2:INDEX(生物种群!$B:$B,COUNTA(生物种群!$B:$B)),MATCH($B636,生物种群!$D$2:INDEX(生物种群!$D:$D,COUNTA(生物种群!$D:$D)),),))))</f>
        <v/>
      </c>
      <c r="J636" s="37" t="str">
        <f>IF(A636&amp;B636&amp;C636="","",INDEX(生物种群!$J$2:INDEX(生物种群!$J:$J,COUNTA(生物种群!$J:$J)),MATCH($I636,生物种群!$B$2:INDEX(生物种群!$B:$B,COUNTA(生物种群!$B:$B)),),))</f>
        <v/>
      </c>
      <c r="K636" s="37" t="str">
        <f>IF(A636&amp;B636&amp;C636="","",INDEX(生物种群!$E$2:INDEX(生物种群!$E:$E,COUNTA(生物种群!$E:$E)),MATCH($I636,生物种群!$B$2:INDEX(生物种群!$B:$B,COUNTA(生物种群!$B:$B)),),))</f>
        <v/>
      </c>
      <c r="L636" s="37" t="str">
        <f>IF(A636&amp;B636&amp;C636="","",INDEX(生物种群!$F$3:INDEX(生物种群!$F:$F,COUNTA(生物种群!$F:$F)),MATCH($I636,生物种群!$B$3:INDEX(生物种群!$B:$B,COUNTA(生物种群!$B:$B)),),))</f>
        <v/>
      </c>
      <c r="M636" s="37" t="str">
        <f t="shared" si="18"/>
        <v/>
      </c>
      <c r="N636" s="37" t="str">
        <f t="shared" si="19"/>
        <v/>
      </c>
      <c r="O636" s="9"/>
      <c r="P636" s="10"/>
    </row>
    <row r="637" spans="1:16" ht="20.1" customHeight="1">
      <c r="A637" s="9"/>
      <c r="B637" s="9"/>
      <c r="C637" s="9"/>
      <c r="D637" s="43"/>
      <c r="E637" s="9"/>
      <c r="F637" s="9"/>
      <c r="G637" s="47" t="str">
        <f>IF(F637="","",INDEX(站位样品信息!$B$3:INDEX(站位样品信息!$B:$B,COUNTA(站位样品信息!$B:$B)+1),MATCH($F637,站位样品信息!$A$3:INDEX(站位样品信息!$A:$A,COUNTA(站位样品信息!$A:$A)+1),),))</f>
        <v/>
      </c>
      <c r="H637" s="37" t="str">
        <f>IF(A637&amp;B637&amp;C637="","",INDEX(生物种群!$A$2:INDEX(生物种群!$A:$A,COUNTA(生物种群!$A:$A)),MATCH($I637,生物种群!$B$2:INDEX(生物种群!$B:$B,COUNTA(生物种群!$B:$B)),),))</f>
        <v/>
      </c>
      <c r="I637" s="37" t="str">
        <f>IF(A637&amp;B637&amp;C637="","",IF($C637&lt;&gt;0,INDEX(生物种群!$B$2:INDEX(生物种群!$B:$B,COUNTA(生物种群!$B:$B)),MATCH($C637,生物种群!$G$2:INDEX(生物种群!$G:$G,COUNTA(生物种群!$G:$G)),),),IF($A637&lt;&gt;0,INDEX(生物种群!$B$2:INDEX(生物种群!$B:$B,COUNTA(生物种群!$B:$B)),MATCH($A637,生物种群!$C$2:INDEX(生物种群!$C:$C,COUNTA(生物种群!$C:$C)),),),INDEX(生物种群!$B$2:INDEX(生物种群!$B:$B,COUNTA(生物种群!$B:$B)),MATCH($B637,生物种群!$D$2:INDEX(生物种群!$D:$D,COUNTA(生物种群!$D:$D)),),))))</f>
        <v/>
      </c>
      <c r="J637" s="37" t="str">
        <f>IF(A637&amp;B637&amp;C637="","",INDEX(生物种群!$J$2:INDEX(生物种群!$J:$J,COUNTA(生物种群!$J:$J)),MATCH($I637,生物种群!$B$2:INDEX(生物种群!$B:$B,COUNTA(生物种群!$B:$B)),),))</f>
        <v/>
      </c>
      <c r="K637" s="37" t="str">
        <f>IF(A637&amp;B637&amp;C637="","",INDEX(生物种群!$E$2:INDEX(生物种群!$E:$E,COUNTA(生物种群!$E:$E)),MATCH($I637,生物种群!$B$2:INDEX(生物种群!$B:$B,COUNTA(生物种群!$B:$B)),),))</f>
        <v/>
      </c>
      <c r="L637" s="37" t="str">
        <f>IF(A637&amp;B637&amp;C637="","",INDEX(生物种群!$F$3:INDEX(生物种群!$F:$F,COUNTA(生物种群!$F:$F)),MATCH($I637,生物种群!$B$3:INDEX(生物种群!$B:$B,COUNTA(生物种群!$B:$B)),),))</f>
        <v/>
      </c>
      <c r="M637" s="37" t="str">
        <f t="shared" si="18"/>
        <v/>
      </c>
      <c r="N637" s="37" t="str">
        <f t="shared" si="19"/>
        <v/>
      </c>
      <c r="O637" s="9"/>
      <c r="P637" s="10"/>
    </row>
    <row r="638" spans="1:16" ht="20.1" customHeight="1">
      <c r="A638" s="9"/>
      <c r="B638" s="9"/>
      <c r="C638" s="9"/>
      <c r="D638" s="43"/>
      <c r="E638" s="9"/>
      <c r="F638" s="9"/>
      <c r="G638" s="47" t="str">
        <f>IF(F638="","",INDEX(站位样品信息!$B$3:INDEX(站位样品信息!$B:$B,COUNTA(站位样品信息!$B:$B)+1),MATCH($F638,站位样品信息!$A$3:INDEX(站位样品信息!$A:$A,COUNTA(站位样品信息!$A:$A)+1),),))</f>
        <v/>
      </c>
      <c r="H638" s="37" t="str">
        <f>IF(A638&amp;B638&amp;C638="","",INDEX(生物种群!$A$2:INDEX(生物种群!$A:$A,COUNTA(生物种群!$A:$A)),MATCH($I638,生物种群!$B$2:INDEX(生物种群!$B:$B,COUNTA(生物种群!$B:$B)),),))</f>
        <v/>
      </c>
      <c r="I638" s="37" t="str">
        <f>IF(A638&amp;B638&amp;C638="","",IF($C638&lt;&gt;0,INDEX(生物种群!$B$2:INDEX(生物种群!$B:$B,COUNTA(生物种群!$B:$B)),MATCH($C638,生物种群!$G$2:INDEX(生物种群!$G:$G,COUNTA(生物种群!$G:$G)),),),IF($A638&lt;&gt;0,INDEX(生物种群!$B$2:INDEX(生物种群!$B:$B,COUNTA(生物种群!$B:$B)),MATCH($A638,生物种群!$C$2:INDEX(生物种群!$C:$C,COUNTA(生物种群!$C:$C)),),),INDEX(生物种群!$B$2:INDEX(生物种群!$B:$B,COUNTA(生物种群!$B:$B)),MATCH($B638,生物种群!$D$2:INDEX(生物种群!$D:$D,COUNTA(生物种群!$D:$D)),),))))</f>
        <v/>
      </c>
      <c r="J638" s="37" t="str">
        <f>IF(A638&amp;B638&amp;C638="","",INDEX(生物种群!$J$2:INDEX(生物种群!$J:$J,COUNTA(生物种群!$J:$J)),MATCH($I638,生物种群!$B$2:INDEX(生物种群!$B:$B,COUNTA(生物种群!$B:$B)),),))</f>
        <v/>
      </c>
      <c r="K638" s="37" t="str">
        <f>IF(A638&amp;B638&amp;C638="","",INDEX(生物种群!$E$2:INDEX(生物种群!$E:$E,COUNTA(生物种群!$E:$E)),MATCH($I638,生物种群!$B$2:INDEX(生物种群!$B:$B,COUNTA(生物种群!$B:$B)),),))</f>
        <v/>
      </c>
      <c r="L638" s="37" t="str">
        <f>IF(A638&amp;B638&amp;C638="","",INDEX(生物种群!$F$3:INDEX(生物种群!$F:$F,COUNTA(生物种群!$F:$F)),MATCH($I638,生物种群!$B$3:INDEX(生物种群!$B:$B,COUNTA(生物种群!$B:$B)),),))</f>
        <v/>
      </c>
      <c r="M638" s="37" t="str">
        <f t="shared" si="18"/>
        <v/>
      </c>
      <c r="N638" s="37" t="str">
        <f t="shared" si="19"/>
        <v/>
      </c>
      <c r="O638" s="9"/>
      <c r="P638" s="10"/>
    </row>
    <row r="639" spans="1:16" ht="20.1" customHeight="1">
      <c r="A639" s="9"/>
      <c r="B639" s="9"/>
      <c r="C639" s="9"/>
      <c r="D639" s="43"/>
      <c r="E639" s="9"/>
      <c r="F639" s="9"/>
      <c r="G639" s="47" t="str">
        <f>IF(F639="","",INDEX(站位样品信息!$B$3:INDEX(站位样品信息!$B:$B,COUNTA(站位样品信息!$B:$B)+1),MATCH($F639,站位样品信息!$A$3:INDEX(站位样品信息!$A:$A,COUNTA(站位样品信息!$A:$A)+1),),))</f>
        <v/>
      </c>
      <c r="H639" s="37" t="str">
        <f>IF(A639&amp;B639&amp;C639="","",INDEX(生物种群!$A$2:INDEX(生物种群!$A:$A,COUNTA(生物种群!$A:$A)),MATCH($I639,生物种群!$B$2:INDEX(生物种群!$B:$B,COUNTA(生物种群!$B:$B)),),))</f>
        <v/>
      </c>
      <c r="I639" s="37" t="str">
        <f>IF(A639&amp;B639&amp;C639="","",IF($C639&lt;&gt;0,INDEX(生物种群!$B$2:INDEX(生物种群!$B:$B,COUNTA(生物种群!$B:$B)),MATCH($C639,生物种群!$G$2:INDEX(生物种群!$G:$G,COUNTA(生物种群!$G:$G)),),),IF($A639&lt;&gt;0,INDEX(生物种群!$B$2:INDEX(生物种群!$B:$B,COUNTA(生物种群!$B:$B)),MATCH($A639,生物种群!$C$2:INDEX(生物种群!$C:$C,COUNTA(生物种群!$C:$C)),),),INDEX(生物种群!$B$2:INDEX(生物种群!$B:$B,COUNTA(生物种群!$B:$B)),MATCH($B639,生物种群!$D$2:INDEX(生物种群!$D:$D,COUNTA(生物种群!$D:$D)),),))))</f>
        <v/>
      </c>
      <c r="J639" s="37" t="str">
        <f>IF(A639&amp;B639&amp;C639="","",INDEX(生物种群!$J$2:INDEX(生物种群!$J:$J,COUNTA(生物种群!$J:$J)),MATCH($I639,生物种群!$B$2:INDEX(生物种群!$B:$B,COUNTA(生物种群!$B:$B)),),))</f>
        <v/>
      </c>
      <c r="K639" s="37" t="str">
        <f>IF(A639&amp;B639&amp;C639="","",INDEX(生物种群!$E$2:INDEX(生物种群!$E:$E,COUNTA(生物种群!$E:$E)),MATCH($I639,生物种群!$B$2:INDEX(生物种群!$B:$B,COUNTA(生物种群!$B:$B)),),))</f>
        <v/>
      </c>
      <c r="L639" s="37" t="str">
        <f>IF(A639&amp;B639&amp;C639="","",INDEX(生物种群!$F$3:INDEX(生物种群!$F:$F,COUNTA(生物种群!$F:$F)),MATCH($I639,生物种群!$B$3:INDEX(生物种群!$B:$B,COUNTA(生物种群!$B:$B)),),))</f>
        <v/>
      </c>
      <c r="M639" s="37" t="str">
        <f t="shared" si="18"/>
        <v/>
      </c>
      <c r="N639" s="37" t="str">
        <f t="shared" si="19"/>
        <v/>
      </c>
      <c r="O639" s="9"/>
      <c r="P639" s="10"/>
    </row>
    <row r="640" spans="1:16" ht="20.1" customHeight="1">
      <c r="A640" s="9"/>
      <c r="B640" s="9"/>
      <c r="C640" s="9"/>
      <c r="D640" s="43"/>
      <c r="E640" s="9"/>
      <c r="F640" s="9"/>
      <c r="G640" s="47" t="str">
        <f>IF(F640="","",INDEX(站位样品信息!$B$3:INDEX(站位样品信息!$B:$B,COUNTA(站位样品信息!$B:$B)+1),MATCH($F640,站位样品信息!$A$3:INDEX(站位样品信息!$A:$A,COUNTA(站位样品信息!$A:$A)+1),),))</f>
        <v/>
      </c>
      <c r="H640" s="37" t="str">
        <f>IF(A640&amp;B640&amp;C640="","",INDEX(生物种群!$A$2:INDEX(生物种群!$A:$A,COUNTA(生物种群!$A:$A)),MATCH($I640,生物种群!$B$2:INDEX(生物种群!$B:$B,COUNTA(生物种群!$B:$B)),),))</f>
        <v/>
      </c>
      <c r="I640" s="37" t="str">
        <f>IF(A640&amp;B640&amp;C640="","",IF($C640&lt;&gt;0,INDEX(生物种群!$B$2:INDEX(生物种群!$B:$B,COUNTA(生物种群!$B:$B)),MATCH($C640,生物种群!$G$2:INDEX(生物种群!$G:$G,COUNTA(生物种群!$G:$G)),),),IF($A640&lt;&gt;0,INDEX(生物种群!$B$2:INDEX(生物种群!$B:$B,COUNTA(生物种群!$B:$B)),MATCH($A640,生物种群!$C$2:INDEX(生物种群!$C:$C,COUNTA(生物种群!$C:$C)),),),INDEX(生物种群!$B$2:INDEX(生物种群!$B:$B,COUNTA(生物种群!$B:$B)),MATCH($B640,生物种群!$D$2:INDEX(生物种群!$D:$D,COUNTA(生物种群!$D:$D)),),))))</f>
        <v/>
      </c>
      <c r="J640" s="37" t="str">
        <f>IF(A640&amp;B640&amp;C640="","",INDEX(生物种群!$J$2:INDEX(生物种群!$J:$J,COUNTA(生物种群!$J:$J)),MATCH($I640,生物种群!$B$2:INDEX(生物种群!$B:$B,COUNTA(生物种群!$B:$B)),),))</f>
        <v/>
      </c>
      <c r="K640" s="37" t="str">
        <f>IF(A640&amp;B640&amp;C640="","",INDEX(生物种群!$E$2:INDEX(生物种群!$E:$E,COUNTA(生物种群!$E:$E)),MATCH($I640,生物种群!$B$2:INDEX(生物种群!$B:$B,COUNTA(生物种群!$B:$B)),),))</f>
        <v/>
      </c>
      <c r="L640" s="37" t="str">
        <f>IF(A640&amp;B640&amp;C640="","",INDEX(生物种群!$F$3:INDEX(生物种群!$F:$F,COUNTA(生物种群!$F:$F)),MATCH($I640,生物种群!$B$3:INDEX(生物种群!$B:$B,COUNTA(生物种群!$B:$B)),),))</f>
        <v/>
      </c>
      <c r="M640" s="37" t="str">
        <f t="shared" si="18"/>
        <v/>
      </c>
      <c r="N640" s="37" t="str">
        <f t="shared" si="19"/>
        <v/>
      </c>
      <c r="O640" s="9"/>
      <c r="P640" s="10"/>
    </row>
    <row r="641" spans="1:16" ht="20.1" customHeight="1">
      <c r="A641" s="9"/>
      <c r="B641" s="9"/>
      <c r="C641" s="9"/>
      <c r="D641" s="43"/>
      <c r="E641" s="9"/>
      <c r="F641" s="9"/>
      <c r="G641" s="47" t="str">
        <f>IF(F641="","",INDEX(站位样品信息!$B$3:INDEX(站位样品信息!$B:$B,COUNTA(站位样品信息!$B:$B)+1),MATCH($F641,站位样品信息!$A$3:INDEX(站位样品信息!$A:$A,COUNTA(站位样品信息!$A:$A)+1),),))</f>
        <v/>
      </c>
      <c r="H641" s="37" t="str">
        <f>IF(A641&amp;B641&amp;C641="","",INDEX(生物种群!$A$2:INDEX(生物种群!$A:$A,COUNTA(生物种群!$A:$A)),MATCH($I641,生物种群!$B$2:INDEX(生物种群!$B:$B,COUNTA(生物种群!$B:$B)),),))</f>
        <v/>
      </c>
      <c r="I641" s="37" t="str">
        <f>IF(A641&amp;B641&amp;C641="","",IF($C641&lt;&gt;0,INDEX(生物种群!$B$2:INDEX(生物种群!$B:$B,COUNTA(生物种群!$B:$B)),MATCH($C641,生物种群!$G$2:INDEX(生物种群!$G:$G,COUNTA(生物种群!$G:$G)),),),IF($A641&lt;&gt;0,INDEX(生物种群!$B$2:INDEX(生物种群!$B:$B,COUNTA(生物种群!$B:$B)),MATCH($A641,生物种群!$C$2:INDEX(生物种群!$C:$C,COUNTA(生物种群!$C:$C)),),),INDEX(生物种群!$B$2:INDEX(生物种群!$B:$B,COUNTA(生物种群!$B:$B)),MATCH($B641,生物种群!$D$2:INDEX(生物种群!$D:$D,COUNTA(生物种群!$D:$D)),),))))</f>
        <v/>
      </c>
      <c r="J641" s="37" t="str">
        <f>IF(A641&amp;B641&amp;C641="","",INDEX(生物种群!$J$2:INDEX(生物种群!$J:$J,COUNTA(生物种群!$J:$J)),MATCH($I641,生物种群!$B$2:INDEX(生物种群!$B:$B,COUNTA(生物种群!$B:$B)),),))</f>
        <v/>
      </c>
      <c r="K641" s="37" t="str">
        <f>IF(A641&amp;B641&amp;C641="","",INDEX(生物种群!$E$2:INDEX(生物种群!$E:$E,COUNTA(生物种群!$E:$E)),MATCH($I641,生物种群!$B$2:INDEX(生物种群!$B:$B,COUNTA(生物种群!$B:$B)),),))</f>
        <v/>
      </c>
      <c r="L641" s="37" t="str">
        <f>IF(A641&amp;B641&amp;C641="","",INDEX(生物种群!$F$3:INDEX(生物种群!$F:$F,COUNTA(生物种群!$F:$F)),MATCH($I641,生物种群!$B$3:INDEX(生物种群!$B:$B,COUNTA(生物种群!$B:$B)),),))</f>
        <v/>
      </c>
      <c r="M641" s="37" t="str">
        <f t="shared" si="18"/>
        <v/>
      </c>
      <c r="N641" s="37" t="str">
        <f t="shared" si="19"/>
        <v/>
      </c>
      <c r="O641" s="9"/>
      <c r="P641" s="10"/>
    </row>
    <row r="642" spans="1:16" ht="20.1" customHeight="1">
      <c r="A642" s="9"/>
      <c r="B642" s="9"/>
      <c r="C642" s="9"/>
      <c r="D642" s="43"/>
      <c r="E642" s="9"/>
      <c r="F642" s="9"/>
      <c r="G642" s="47" t="str">
        <f>IF(F642="","",INDEX(站位样品信息!$B$3:INDEX(站位样品信息!$B:$B,COUNTA(站位样品信息!$B:$B)+1),MATCH($F642,站位样品信息!$A$3:INDEX(站位样品信息!$A:$A,COUNTA(站位样品信息!$A:$A)+1),),))</f>
        <v/>
      </c>
      <c r="H642" s="37" t="str">
        <f>IF(A642&amp;B642&amp;C642="","",INDEX(生物种群!$A$2:INDEX(生物种群!$A:$A,COUNTA(生物种群!$A:$A)),MATCH($I642,生物种群!$B$2:INDEX(生物种群!$B:$B,COUNTA(生物种群!$B:$B)),),))</f>
        <v/>
      </c>
      <c r="I642" s="37" t="str">
        <f>IF(A642&amp;B642&amp;C642="","",IF($C642&lt;&gt;0,INDEX(生物种群!$B$2:INDEX(生物种群!$B:$B,COUNTA(生物种群!$B:$B)),MATCH($C642,生物种群!$G$2:INDEX(生物种群!$G:$G,COUNTA(生物种群!$G:$G)),),),IF($A642&lt;&gt;0,INDEX(生物种群!$B$2:INDEX(生物种群!$B:$B,COUNTA(生物种群!$B:$B)),MATCH($A642,生物种群!$C$2:INDEX(生物种群!$C:$C,COUNTA(生物种群!$C:$C)),),),INDEX(生物种群!$B$2:INDEX(生物种群!$B:$B,COUNTA(生物种群!$B:$B)),MATCH($B642,生物种群!$D$2:INDEX(生物种群!$D:$D,COUNTA(生物种群!$D:$D)),),))))</f>
        <v/>
      </c>
      <c r="J642" s="37" t="str">
        <f>IF(A642&amp;B642&amp;C642="","",INDEX(生物种群!$J$2:INDEX(生物种群!$J:$J,COUNTA(生物种群!$J:$J)),MATCH($I642,生物种群!$B$2:INDEX(生物种群!$B:$B,COUNTA(生物种群!$B:$B)),),))</f>
        <v/>
      </c>
      <c r="K642" s="37" t="str">
        <f>IF(A642&amp;B642&amp;C642="","",INDEX(生物种群!$E$2:INDEX(生物种群!$E:$E,COUNTA(生物种群!$E:$E)),MATCH($I642,生物种群!$B$2:INDEX(生物种群!$B:$B,COUNTA(生物种群!$B:$B)),),))</f>
        <v/>
      </c>
      <c r="L642" s="37" t="str">
        <f>IF(A642&amp;B642&amp;C642="","",INDEX(生物种群!$F$3:INDEX(生物种群!$F:$F,COUNTA(生物种群!$F:$F)),MATCH($I642,生物种群!$B$3:INDEX(生物种群!$B:$B,COUNTA(生物种群!$B:$B)),),))</f>
        <v/>
      </c>
      <c r="M642" s="37" t="str">
        <f t="shared" si="18"/>
        <v/>
      </c>
      <c r="N642" s="37" t="str">
        <f t="shared" si="19"/>
        <v/>
      </c>
      <c r="O642" s="9"/>
      <c r="P642" s="10"/>
    </row>
    <row r="643" spans="1:16" ht="20.1" customHeight="1">
      <c r="A643" s="9"/>
      <c r="B643" s="9"/>
      <c r="C643" s="9"/>
      <c r="D643" s="43"/>
      <c r="E643" s="9"/>
      <c r="F643" s="9"/>
      <c r="G643" s="47" t="str">
        <f>IF(F643="","",INDEX(站位样品信息!$B$3:INDEX(站位样品信息!$B:$B,COUNTA(站位样品信息!$B:$B)+1),MATCH($F643,站位样品信息!$A$3:INDEX(站位样品信息!$A:$A,COUNTA(站位样品信息!$A:$A)+1),),))</f>
        <v/>
      </c>
      <c r="H643" s="37" t="str">
        <f>IF(A643&amp;B643&amp;C643="","",INDEX(生物种群!$A$2:INDEX(生物种群!$A:$A,COUNTA(生物种群!$A:$A)),MATCH($I643,生物种群!$B$2:INDEX(生物种群!$B:$B,COUNTA(生物种群!$B:$B)),),))</f>
        <v/>
      </c>
      <c r="I643" s="37" t="str">
        <f>IF(A643&amp;B643&amp;C643="","",IF($C643&lt;&gt;0,INDEX(生物种群!$B$2:INDEX(生物种群!$B:$B,COUNTA(生物种群!$B:$B)),MATCH($C643,生物种群!$G$2:INDEX(生物种群!$G:$G,COUNTA(生物种群!$G:$G)),),),IF($A643&lt;&gt;0,INDEX(生物种群!$B$2:INDEX(生物种群!$B:$B,COUNTA(生物种群!$B:$B)),MATCH($A643,生物种群!$C$2:INDEX(生物种群!$C:$C,COUNTA(生物种群!$C:$C)),),),INDEX(生物种群!$B$2:INDEX(生物种群!$B:$B,COUNTA(生物种群!$B:$B)),MATCH($B643,生物种群!$D$2:INDEX(生物种群!$D:$D,COUNTA(生物种群!$D:$D)),),))))</f>
        <v/>
      </c>
      <c r="J643" s="37" t="str">
        <f>IF(A643&amp;B643&amp;C643="","",INDEX(生物种群!$J$2:INDEX(生物种群!$J:$J,COUNTA(生物种群!$J:$J)),MATCH($I643,生物种群!$B$2:INDEX(生物种群!$B:$B,COUNTA(生物种群!$B:$B)),),))</f>
        <v/>
      </c>
      <c r="K643" s="37" t="str">
        <f>IF(A643&amp;B643&amp;C643="","",INDEX(生物种群!$E$2:INDEX(生物种群!$E:$E,COUNTA(生物种群!$E:$E)),MATCH($I643,生物种群!$B$2:INDEX(生物种群!$B:$B,COUNTA(生物种群!$B:$B)),),))</f>
        <v/>
      </c>
      <c r="L643" s="37" t="str">
        <f>IF(A643&amp;B643&amp;C643="","",INDEX(生物种群!$F$3:INDEX(生物种群!$F:$F,COUNTA(生物种群!$F:$F)),MATCH($I643,生物种群!$B$3:INDEX(生物种群!$B:$B,COUNTA(生物种群!$B:$B)),),))</f>
        <v/>
      </c>
      <c r="M643" s="37" t="str">
        <f t="shared" si="20" ref="M643:M706">IF(F643&gt;0,F643&amp;I643&amp;E643,"")</f>
        <v/>
      </c>
      <c r="N643" s="37" t="str">
        <f t="shared" si="21" ref="N643:N706">IF(COUNTIF($M:$M,M643)=1,"",IF(A643&amp;B643&amp;C643="","","重复"))</f>
        <v/>
      </c>
      <c r="O643" s="9"/>
      <c r="P643" s="10"/>
    </row>
    <row r="644" spans="1:16" ht="20.1" customHeight="1">
      <c r="A644" s="9"/>
      <c r="B644" s="9"/>
      <c r="C644" s="9"/>
      <c r="D644" s="43"/>
      <c r="E644" s="9"/>
      <c r="F644" s="9"/>
      <c r="G644" s="47" t="str">
        <f>IF(F644="","",INDEX(站位样品信息!$B$3:INDEX(站位样品信息!$B:$B,COUNTA(站位样品信息!$B:$B)+1),MATCH($F644,站位样品信息!$A$3:INDEX(站位样品信息!$A:$A,COUNTA(站位样品信息!$A:$A)+1),),))</f>
        <v/>
      </c>
      <c r="H644" s="37" t="str">
        <f>IF(A644&amp;B644&amp;C644="","",INDEX(生物种群!$A$2:INDEX(生物种群!$A:$A,COUNTA(生物种群!$A:$A)),MATCH($I644,生物种群!$B$2:INDEX(生物种群!$B:$B,COUNTA(生物种群!$B:$B)),),))</f>
        <v/>
      </c>
      <c r="I644" s="37" t="str">
        <f>IF(A644&amp;B644&amp;C644="","",IF($C644&lt;&gt;0,INDEX(生物种群!$B$2:INDEX(生物种群!$B:$B,COUNTA(生物种群!$B:$B)),MATCH($C644,生物种群!$G$2:INDEX(生物种群!$G:$G,COUNTA(生物种群!$G:$G)),),),IF($A644&lt;&gt;0,INDEX(生物种群!$B$2:INDEX(生物种群!$B:$B,COUNTA(生物种群!$B:$B)),MATCH($A644,生物种群!$C$2:INDEX(生物种群!$C:$C,COUNTA(生物种群!$C:$C)),),),INDEX(生物种群!$B$2:INDEX(生物种群!$B:$B,COUNTA(生物种群!$B:$B)),MATCH($B644,生物种群!$D$2:INDEX(生物种群!$D:$D,COUNTA(生物种群!$D:$D)),),))))</f>
        <v/>
      </c>
      <c r="J644" s="37" t="str">
        <f>IF(A644&amp;B644&amp;C644="","",INDEX(生物种群!$J$2:INDEX(生物种群!$J:$J,COUNTA(生物种群!$J:$J)),MATCH($I644,生物种群!$B$2:INDEX(生物种群!$B:$B,COUNTA(生物种群!$B:$B)),),))</f>
        <v/>
      </c>
      <c r="K644" s="37" t="str">
        <f>IF(A644&amp;B644&amp;C644="","",INDEX(生物种群!$E$2:INDEX(生物种群!$E:$E,COUNTA(生物种群!$E:$E)),MATCH($I644,生物种群!$B$2:INDEX(生物种群!$B:$B,COUNTA(生物种群!$B:$B)),),))</f>
        <v/>
      </c>
      <c r="L644" s="37" t="str">
        <f>IF(A644&amp;B644&amp;C644="","",INDEX(生物种群!$F$3:INDEX(生物种群!$F:$F,COUNTA(生物种群!$F:$F)),MATCH($I644,生物种群!$B$3:INDEX(生物种群!$B:$B,COUNTA(生物种群!$B:$B)),),))</f>
        <v/>
      </c>
      <c r="M644" s="37" t="str">
        <f t="shared" si="20"/>
        <v/>
      </c>
      <c r="N644" s="37" t="str">
        <f t="shared" si="21"/>
        <v/>
      </c>
      <c r="O644" s="9"/>
      <c r="P644" s="10"/>
    </row>
    <row r="645" spans="1:16" ht="20.1" customHeight="1">
      <c r="A645" s="9"/>
      <c r="B645" s="9"/>
      <c r="C645" s="9"/>
      <c r="D645" s="43"/>
      <c r="E645" s="9"/>
      <c r="F645" s="9"/>
      <c r="G645" s="47" t="str">
        <f>IF(F645="","",INDEX(站位样品信息!$B$3:INDEX(站位样品信息!$B:$B,COUNTA(站位样品信息!$B:$B)+1),MATCH($F645,站位样品信息!$A$3:INDEX(站位样品信息!$A:$A,COUNTA(站位样品信息!$A:$A)+1),),))</f>
        <v/>
      </c>
      <c r="H645" s="37" t="str">
        <f>IF(A645&amp;B645&amp;C645="","",INDEX(生物种群!$A$2:INDEX(生物种群!$A:$A,COUNTA(生物种群!$A:$A)),MATCH($I645,生物种群!$B$2:INDEX(生物种群!$B:$B,COUNTA(生物种群!$B:$B)),),))</f>
        <v/>
      </c>
      <c r="I645" s="37" t="str">
        <f>IF(A645&amp;B645&amp;C645="","",IF($C645&lt;&gt;0,INDEX(生物种群!$B$2:INDEX(生物种群!$B:$B,COUNTA(生物种群!$B:$B)),MATCH($C645,生物种群!$G$2:INDEX(生物种群!$G:$G,COUNTA(生物种群!$G:$G)),),),IF($A645&lt;&gt;0,INDEX(生物种群!$B$2:INDEX(生物种群!$B:$B,COUNTA(生物种群!$B:$B)),MATCH($A645,生物种群!$C$2:INDEX(生物种群!$C:$C,COUNTA(生物种群!$C:$C)),),),INDEX(生物种群!$B$2:INDEX(生物种群!$B:$B,COUNTA(生物种群!$B:$B)),MATCH($B645,生物种群!$D$2:INDEX(生物种群!$D:$D,COUNTA(生物种群!$D:$D)),),))))</f>
        <v/>
      </c>
      <c r="J645" s="37" t="str">
        <f>IF(A645&amp;B645&amp;C645="","",INDEX(生物种群!$J$2:INDEX(生物种群!$J:$J,COUNTA(生物种群!$J:$J)),MATCH($I645,生物种群!$B$2:INDEX(生物种群!$B:$B,COUNTA(生物种群!$B:$B)),),))</f>
        <v/>
      </c>
      <c r="K645" s="37" t="str">
        <f>IF(A645&amp;B645&amp;C645="","",INDEX(生物种群!$E$2:INDEX(生物种群!$E:$E,COUNTA(生物种群!$E:$E)),MATCH($I645,生物种群!$B$2:INDEX(生物种群!$B:$B,COUNTA(生物种群!$B:$B)),),))</f>
        <v/>
      </c>
      <c r="L645" s="37" t="str">
        <f>IF(A645&amp;B645&amp;C645="","",INDEX(生物种群!$F$3:INDEX(生物种群!$F:$F,COUNTA(生物种群!$F:$F)),MATCH($I645,生物种群!$B$3:INDEX(生物种群!$B:$B,COUNTA(生物种群!$B:$B)),),))</f>
        <v/>
      </c>
      <c r="M645" s="37" t="str">
        <f t="shared" si="20"/>
        <v/>
      </c>
      <c r="N645" s="37" t="str">
        <f t="shared" si="21"/>
        <v/>
      </c>
      <c r="O645" s="9"/>
      <c r="P645" s="10"/>
    </row>
    <row r="646" spans="1:16" ht="20.1" customHeight="1">
      <c r="A646" s="9"/>
      <c r="B646" s="9"/>
      <c r="C646" s="9"/>
      <c r="D646" s="43"/>
      <c r="E646" s="9"/>
      <c r="F646" s="9"/>
      <c r="G646" s="47" t="str">
        <f>IF(F646="","",INDEX(站位样品信息!$B$3:INDEX(站位样品信息!$B:$B,COUNTA(站位样品信息!$B:$B)+1),MATCH($F646,站位样品信息!$A$3:INDEX(站位样品信息!$A:$A,COUNTA(站位样品信息!$A:$A)+1),),))</f>
        <v/>
      </c>
      <c r="H646" s="37" t="str">
        <f>IF(A646&amp;B646&amp;C646="","",INDEX(生物种群!$A$2:INDEX(生物种群!$A:$A,COUNTA(生物种群!$A:$A)),MATCH($I646,生物种群!$B$2:INDEX(生物种群!$B:$B,COUNTA(生物种群!$B:$B)),),))</f>
        <v/>
      </c>
      <c r="I646" s="37" t="str">
        <f>IF(A646&amp;B646&amp;C646="","",IF($C646&lt;&gt;0,INDEX(生物种群!$B$2:INDEX(生物种群!$B:$B,COUNTA(生物种群!$B:$B)),MATCH($C646,生物种群!$G$2:INDEX(生物种群!$G:$G,COUNTA(生物种群!$G:$G)),),),IF($A646&lt;&gt;0,INDEX(生物种群!$B$2:INDEX(生物种群!$B:$B,COUNTA(生物种群!$B:$B)),MATCH($A646,生物种群!$C$2:INDEX(生物种群!$C:$C,COUNTA(生物种群!$C:$C)),),),INDEX(生物种群!$B$2:INDEX(生物种群!$B:$B,COUNTA(生物种群!$B:$B)),MATCH($B646,生物种群!$D$2:INDEX(生物种群!$D:$D,COUNTA(生物种群!$D:$D)),),))))</f>
        <v/>
      </c>
      <c r="J646" s="37" t="str">
        <f>IF(A646&amp;B646&amp;C646="","",INDEX(生物种群!$J$2:INDEX(生物种群!$J:$J,COUNTA(生物种群!$J:$J)),MATCH($I646,生物种群!$B$2:INDEX(生物种群!$B:$B,COUNTA(生物种群!$B:$B)),),))</f>
        <v/>
      </c>
      <c r="K646" s="37" t="str">
        <f>IF(A646&amp;B646&amp;C646="","",INDEX(生物种群!$E$2:INDEX(生物种群!$E:$E,COUNTA(生物种群!$E:$E)),MATCH($I646,生物种群!$B$2:INDEX(生物种群!$B:$B,COUNTA(生物种群!$B:$B)),),))</f>
        <v/>
      </c>
      <c r="L646" s="37" t="str">
        <f>IF(A646&amp;B646&amp;C646="","",INDEX(生物种群!$F$3:INDEX(生物种群!$F:$F,COUNTA(生物种群!$F:$F)),MATCH($I646,生物种群!$B$3:INDEX(生物种群!$B:$B,COUNTA(生物种群!$B:$B)),),))</f>
        <v/>
      </c>
      <c r="M646" s="37" t="str">
        <f t="shared" si="20"/>
        <v/>
      </c>
      <c r="N646" s="37" t="str">
        <f t="shared" si="21"/>
        <v/>
      </c>
      <c r="O646" s="9"/>
      <c r="P646" s="10"/>
    </row>
    <row r="647" spans="1:16" ht="20.1" customHeight="1">
      <c r="A647" s="9"/>
      <c r="B647" s="9"/>
      <c r="C647" s="9"/>
      <c r="D647" s="43"/>
      <c r="E647" s="9"/>
      <c r="F647" s="9"/>
      <c r="G647" s="47" t="str">
        <f>IF(F647="","",INDEX(站位样品信息!$B$3:INDEX(站位样品信息!$B:$B,COUNTA(站位样品信息!$B:$B)+1),MATCH($F647,站位样品信息!$A$3:INDEX(站位样品信息!$A:$A,COUNTA(站位样品信息!$A:$A)+1),),))</f>
        <v/>
      </c>
      <c r="H647" s="37" t="str">
        <f>IF(A647&amp;B647&amp;C647="","",INDEX(生物种群!$A$2:INDEX(生物种群!$A:$A,COUNTA(生物种群!$A:$A)),MATCH($I647,生物种群!$B$2:INDEX(生物种群!$B:$B,COUNTA(生物种群!$B:$B)),),))</f>
        <v/>
      </c>
      <c r="I647" s="37" t="str">
        <f>IF(A647&amp;B647&amp;C647="","",IF($C647&lt;&gt;0,INDEX(生物种群!$B$2:INDEX(生物种群!$B:$B,COUNTA(生物种群!$B:$B)),MATCH($C647,生物种群!$G$2:INDEX(生物种群!$G:$G,COUNTA(生物种群!$G:$G)),),),IF($A647&lt;&gt;0,INDEX(生物种群!$B$2:INDEX(生物种群!$B:$B,COUNTA(生物种群!$B:$B)),MATCH($A647,生物种群!$C$2:INDEX(生物种群!$C:$C,COUNTA(生物种群!$C:$C)),),),INDEX(生物种群!$B$2:INDEX(生物种群!$B:$B,COUNTA(生物种群!$B:$B)),MATCH($B647,生物种群!$D$2:INDEX(生物种群!$D:$D,COUNTA(生物种群!$D:$D)),),))))</f>
        <v/>
      </c>
      <c r="J647" s="37" t="str">
        <f>IF(A647&amp;B647&amp;C647="","",INDEX(生物种群!$J$2:INDEX(生物种群!$J:$J,COUNTA(生物种群!$J:$J)),MATCH($I647,生物种群!$B$2:INDEX(生物种群!$B:$B,COUNTA(生物种群!$B:$B)),),))</f>
        <v/>
      </c>
      <c r="K647" s="37" t="str">
        <f>IF(A647&amp;B647&amp;C647="","",INDEX(生物种群!$E$2:INDEX(生物种群!$E:$E,COUNTA(生物种群!$E:$E)),MATCH($I647,生物种群!$B$2:INDEX(生物种群!$B:$B,COUNTA(生物种群!$B:$B)),),))</f>
        <v/>
      </c>
      <c r="L647" s="37" t="str">
        <f>IF(A647&amp;B647&amp;C647="","",INDEX(生物种群!$F$3:INDEX(生物种群!$F:$F,COUNTA(生物种群!$F:$F)),MATCH($I647,生物种群!$B$3:INDEX(生物种群!$B:$B,COUNTA(生物种群!$B:$B)),),))</f>
        <v/>
      </c>
      <c r="M647" s="37" t="str">
        <f t="shared" si="20"/>
        <v/>
      </c>
      <c r="N647" s="37" t="str">
        <f t="shared" si="21"/>
        <v/>
      </c>
      <c r="O647" s="9"/>
      <c r="P647" s="10"/>
    </row>
    <row r="648" spans="1:16" ht="20.1" customHeight="1">
      <c r="A648" s="9"/>
      <c r="B648" s="9"/>
      <c r="C648" s="9"/>
      <c r="D648" s="43"/>
      <c r="E648" s="9"/>
      <c r="F648" s="9"/>
      <c r="G648" s="47" t="str">
        <f>IF(F648="","",INDEX(站位样品信息!$B$3:INDEX(站位样品信息!$B:$B,COUNTA(站位样品信息!$B:$B)+1),MATCH($F648,站位样品信息!$A$3:INDEX(站位样品信息!$A:$A,COUNTA(站位样品信息!$A:$A)+1),),))</f>
        <v/>
      </c>
      <c r="H648" s="37" t="str">
        <f>IF(A648&amp;B648&amp;C648="","",INDEX(生物种群!$A$2:INDEX(生物种群!$A:$A,COUNTA(生物种群!$A:$A)),MATCH($I648,生物种群!$B$2:INDEX(生物种群!$B:$B,COUNTA(生物种群!$B:$B)),),))</f>
        <v/>
      </c>
      <c r="I648" s="37" t="str">
        <f>IF(A648&amp;B648&amp;C648="","",IF($C648&lt;&gt;0,INDEX(生物种群!$B$2:INDEX(生物种群!$B:$B,COUNTA(生物种群!$B:$B)),MATCH($C648,生物种群!$G$2:INDEX(生物种群!$G:$G,COUNTA(生物种群!$G:$G)),),),IF($A648&lt;&gt;0,INDEX(生物种群!$B$2:INDEX(生物种群!$B:$B,COUNTA(生物种群!$B:$B)),MATCH($A648,生物种群!$C$2:INDEX(生物种群!$C:$C,COUNTA(生物种群!$C:$C)),),),INDEX(生物种群!$B$2:INDEX(生物种群!$B:$B,COUNTA(生物种群!$B:$B)),MATCH($B648,生物种群!$D$2:INDEX(生物种群!$D:$D,COUNTA(生物种群!$D:$D)),),))))</f>
        <v/>
      </c>
      <c r="J648" s="37" t="str">
        <f>IF(A648&amp;B648&amp;C648="","",INDEX(生物种群!$J$2:INDEX(生物种群!$J:$J,COUNTA(生物种群!$J:$J)),MATCH($I648,生物种群!$B$2:INDEX(生物种群!$B:$B,COUNTA(生物种群!$B:$B)),),))</f>
        <v/>
      </c>
      <c r="K648" s="37" t="str">
        <f>IF(A648&amp;B648&amp;C648="","",INDEX(生物种群!$E$2:INDEX(生物种群!$E:$E,COUNTA(生物种群!$E:$E)),MATCH($I648,生物种群!$B$2:INDEX(生物种群!$B:$B,COUNTA(生物种群!$B:$B)),),))</f>
        <v/>
      </c>
      <c r="L648" s="37" t="str">
        <f>IF(A648&amp;B648&amp;C648="","",INDEX(生物种群!$F$3:INDEX(生物种群!$F:$F,COUNTA(生物种群!$F:$F)),MATCH($I648,生物种群!$B$3:INDEX(生物种群!$B:$B,COUNTA(生物种群!$B:$B)),),))</f>
        <v/>
      </c>
      <c r="M648" s="37" t="str">
        <f t="shared" si="20"/>
        <v/>
      </c>
      <c r="N648" s="37" t="str">
        <f t="shared" si="21"/>
        <v/>
      </c>
      <c r="O648" s="9"/>
      <c r="P648" s="10"/>
    </row>
    <row r="649" spans="1:16" ht="20.1" customHeight="1">
      <c r="A649" s="9"/>
      <c r="B649" s="9"/>
      <c r="C649" s="9"/>
      <c r="D649" s="43"/>
      <c r="E649" s="9"/>
      <c r="F649" s="9"/>
      <c r="G649" s="47" t="str">
        <f>IF(F649="","",INDEX(站位样品信息!$B$3:INDEX(站位样品信息!$B:$B,COUNTA(站位样品信息!$B:$B)+1),MATCH($F649,站位样品信息!$A$3:INDEX(站位样品信息!$A:$A,COUNTA(站位样品信息!$A:$A)+1),),))</f>
        <v/>
      </c>
      <c r="H649" s="37" t="str">
        <f>IF(A649&amp;B649&amp;C649="","",INDEX(生物种群!$A$2:INDEX(生物种群!$A:$A,COUNTA(生物种群!$A:$A)),MATCH($I649,生物种群!$B$2:INDEX(生物种群!$B:$B,COUNTA(生物种群!$B:$B)),),))</f>
        <v/>
      </c>
      <c r="I649" s="37" t="str">
        <f>IF(A649&amp;B649&amp;C649="","",IF($C649&lt;&gt;0,INDEX(生物种群!$B$2:INDEX(生物种群!$B:$B,COUNTA(生物种群!$B:$B)),MATCH($C649,生物种群!$G$2:INDEX(生物种群!$G:$G,COUNTA(生物种群!$G:$G)),),),IF($A649&lt;&gt;0,INDEX(生物种群!$B$2:INDEX(生物种群!$B:$B,COUNTA(生物种群!$B:$B)),MATCH($A649,生物种群!$C$2:INDEX(生物种群!$C:$C,COUNTA(生物种群!$C:$C)),),),INDEX(生物种群!$B$2:INDEX(生物种群!$B:$B,COUNTA(生物种群!$B:$B)),MATCH($B649,生物种群!$D$2:INDEX(生物种群!$D:$D,COUNTA(生物种群!$D:$D)),),))))</f>
        <v/>
      </c>
      <c r="J649" s="37" t="str">
        <f>IF(A649&amp;B649&amp;C649="","",INDEX(生物种群!$J$2:INDEX(生物种群!$J:$J,COUNTA(生物种群!$J:$J)),MATCH($I649,生物种群!$B$2:INDEX(生物种群!$B:$B,COUNTA(生物种群!$B:$B)),),))</f>
        <v/>
      </c>
      <c r="K649" s="37" t="str">
        <f>IF(A649&amp;B649&amp;C649="","",INDEX(生物种群!$E$2:INDEX(生物种群!$E:$E,COUNTA(生物种群!$E:$E)),MATCH($I649,生物种群!$B$2:INDEX(生物种群!$B:$B,COUNTA(生物种群!$B:$B)),),))</f>
        <v/>
      </c>
      <c r="L649" s="37" t="str">
        <f>IF(A649&amp;B649&amp;C649="","",INDEX(生物种群!$F$3:INDEX(生物种群!$F:$F,COUNTA(生物种群!$F:$F)),MATCH($I649,生物种群!$B$3:INDEX(生物种群!$B:$B,COUNTA(生物种群!$B:$B)),),))</f>
        <v/>
      </c>
      <c r="M649" s="37" t="str">
        <f t="shared" si="20"/>
        <v/>
      </c>
      <c r="N649" s="37" t="str">
        <f t="shared" si="21"/>
        <v/>
      </c>
      <c r="O649" s="9"/>
      <c r="P649" s="10"/>
    </row>
    <row r="650" spans="1:16" ht="20.1" customHeight="1">
      <c r="A650" s="9"/>
      <c r="B650" s="9"/>
      <c r="C650" s="9"/>
      <c r="D650" s="43"/>
      <c r="E650" s="9"/>
      <c r="F650" s="9"/>
      <c r="G650" s="47" t="str">
        <f>IF(F650="","",INDEX(站位样品信息!$B$3:INDEX(站位样品信息!$B:$B,COUNTA(站位样品信息!$B:$B)+1),MATCH($F650,站位样品信息!$A$3:INDEX(站位样品信息!$A:$A,COUNTA(站位样品信息!$A:$A)+1),),))</f>
        <v/>
      </c>
      <c r="H650" s="37" t="str">
        <f>IF(A650&amp;B650&amp;C650="","",INDEX(生物种群!$A$2:INDEX(生物种群!$A:$A,COUNTA(生物种群!$A:$A)),MATCH($I650,生物种群!$B$2:INDEX(生物种群!$B:$B,COUNTA(生物种群!$B:$B)),),))</f>
        <v/>
      </c>
      <c r="I650" s="37" t="str">
        <f>IF(A650&amp;B650&amp;C650="","",IF($C650&lt;&gt;0,INDEX(生物种群!$B$2:INDEX(生物种群!$B:$B,COUNTA(生物种群!$B:$B)),MATCH($C650,生物种群!$G$2:INDEX(生物种群!$G:$G,COUNTA(生物种群!$G:$G)),),),IF($A650&lt;&gt;0,INDEX(生物种群!$B$2:INDEX(生物种群!$B:$B,COUNTA(生物种群!$B:$B)),MATCH($A650,生物种群!$C$2:INDEX(生物种群!$C:$C,COUNTA(生物种群!$C:$C)),),),INDEX(生物种群!$B$2:INDEX(生物种群!$B:$B,COUNTA(生物种群!$B:$B)),MATCH($B650,生物种群!$D$2:INDEX(生物种群!$D:$D,COUNTA(生物种群!$D:$D)),),))))</f>
        <v/>
      </c>
      <c r="J650" s="37" t="str">
        <f>IF(A650&amp;B650&amp;C650="","",INDEX(生物种群!$J$2:INDEX(生物种群!$J:$J,COUNTA(生物种群!$J:$J)),MATCH($I650,生物种群!$B$2:INDEX(生物种群!$B:$B,COUNTA(生物种群!$B:$B)),),))</f>
        <v/>
      </c>
      <c r="K650" s="37" t="str">
        <f>IF(A650&amp;B650&amp;C650="","",INDEX(生物种群!$E$2:INDEX(生物种群!$E:$E,COUNTA(生物种群!$E:$E)),MATCH($I650,生物种群!$B$2:INDEX(生物种群!$B:$B,COUNTA(生物种群!$B:$B)),),))</f>
        <v/>
      </c>
      <c r="L650" s="37" t="str">
        <f>IF(A650&amp;B650&amp;C650="","",INDEX(生物种群!$F$3:INDEX(生物种群!$F:$F,COUNTA(生物种群!$F:$F)),MATCH($I650,生物种群!$B$3:INDEX(生物种群!$B:$B,COUNTA(生物种群!$B:$B)),),))</f>
        <v/>
      </c>
      <c r="M650" s="37" t="str">
        <f t="shared" si="20"/>
        <v/>
      </c>
      <c r="N650" s="37" t="str">
        <f t="shared" si="21"/>
        <v/>
      </c>
      <c r="O650" s="9"/>
      <c r="P650" s="10"/>
    </row>
    <row r="651" spans="1:16" ht="20.1" customHeight="1">
      <c r="A651" s="9"/>
      <c r="B651" s="9"/>
      <c r="C651" s="9"/>
      <c r="D651" s="43"/>
      <c r="E651" s="9"/>
      <c r="F651" s="9"/>
      <c r="G651" s="47" t="str">
        <f>IF(F651="","",INDEX(站位样品信息!$B$3:INDEX(站位样品信息!$B:$B,COUNTA(站位样品信息!$B:$B)+1),MATCH($F651,站位样品信息!$A$3:INDEX(站位样品信息!$A:$A,COUNTA(站位样品信息!$A:$A)+1),),))</f>
        <v/>
      </c>
      <c r="H651" s="37" t="str">
        <f>IF(A651&amp;B651&amp;C651="","",INDEX(生物种群!$A$2:INDEX(生物种群!$A:$A,COUNTA(生物种群!$A:$A)),MATCH($I651,生物种群!$B$2:INDEX(生物种群!$B:$B,COUNTA(生物种群!$B:$B)),),))</f>
        <v/>
      </c>
      <c r="I651" s="37" t="str">
        <f>IF(A651&amp;B651&amp;C651="","",IF($C651&lt;&gt;0,INDEX(生物种群!$B$2:INDEX(生物种群!$B:$B,COUNTA(生物种群!$B:$B)),MATCH($C651,生物种群!$G$2:INDEX(生物种群!$G:$G,COUNTA(生物种群!$G:$G)),),),IF($A651&lt;&gt;0,INDEX(生物种群!$B$2:INDEX(生物种群!$B:$B,COUNTA(生物种群!$B:$B)),MATCH($A651,生物种群!$C$2:INDEX(生物种群!$C:$C,COUNTA(生物种群!$C:$C)),),),INDEX(生物种群!$B$2:INDEX(生物种群!$B:$B,COUNTA(生物种群!$B:$B)),MATCH($B651,生物种群!$D$2:INDEX(生物种群!$D:$D,COUNTA(生物种群!$D:$D)),),))))</f>
        <v/>
      </c>
      <c r="J651" s="37" t="str">
        <f>IF(A651&amp;B651&amp;C651="","",INDEX(生物种群!$J$2:INDEX(生物种群!$J:$J,COUNTA(生物种群!$J:$J)),MATCH($I651,生物种群!$B$2:INDEX(生物种群!$B:$B,COUNTA(生物种群!$B:$B)),),))</f>
        <v/>
      </c>
      <c r="K651" s="37" t="str">
        <f>IF(A651&amp;B651&amp;C651="","",INDEX(生物种群!$E$2:INDEX(生物种群!$E:$E,COUNTA(生物种群!$E:$E)),MATCH($I651,生物种群!$B$2:INDEX(生物种群!$B:$B,COUNTA(生物种群!$B:$B)),),))</f>
        <v/>
      </c>
      <c r="L651" s="37" t="str">
        <f>IF(A651&amp;B651&amp;C651="","",INDEX(生物种群!$F$3:INDEX(生物种群!$F:$F,COUNTA(生物种群!$F:$F)),MATCH($I651,生物种群!$B$3:INDEX(生物种群!$B:$B,COUNTA(生物种群!$B:$B)),),))</f>
        <v/>
      </c>
      <c r="M651" s="37" t="str">
        <f t="shared" si="20"/>
        <v/>
      </c>
      <c r="N651" s="37" t="str">
        <f t="shared" si="21"/>
        <v/>
      </c>
      <c r="O651" s="9"/>
      <c r="P651" s="10"/>
    </row>
    <row r="652" spans="1:16" ht="20.1" customHeight="1">
      <c r="A652" s="9"/>
      <c r="B652" s="9"/>
      <c r="C652" s="9"/>
      <c r="D652" s="43"/>
      <c r="E652" s="9"/>
      <c r="F652" s="9"/>
      <c r="G652" s="47" t="str">
        <f>IF(F652="","",INDEX(站位样品信息!$B$3:INDEX(站位样品信息!$B:$B,COUNTA(站位样品信息!$B:$B)+1),MATCH($F652,站位样品信息!$A$3:INDEX(站位样品信息!$A:$A,COUNTA(站位样品信息!$A:$A)+1),),))</f>
        <v/>
      </c>
      <c r="H652" s="37" t="str">
        <f>IF(A652&amp;B652&amp;C652="","",INDEX(生物种群!$A$2:INDEX(生物种群!$A:$A,COUNTA(生物种群!$A:$A)),MATCH($I652,生物种群!$B$2:INDEX(生物种群!$B:$B,COUNTA(生物种群!$B:$B)),),))</f>
        <v/>
      </c>
      <c r="I652" s="37" t="str">
        <f>IF(A652&amp;B652&amp;C652="","",IF($C652&lt;&gt;0,INDEX(生物种群!$B$2:INDEX(生物种群!$B:$B,COUNTA(生物种群!$B:$B)),MATCH($C652,生物种群!$G$2:INDEX(生物种群!$G:$G,COUNTA(生物种群!$G:$G)),),),IF($A652&lt;&gt;0,INDEX(生物种群!$B$2:INDEX(生物种群!$B:$B,COUNTA(生物种群!$B:$B)),MATCH($A652,生物种群!$C$2:INDEX(生物种群!$C:$C,COUNTA(生物种群!$C:$C)),),),INDEX(生物种群!$B$2:INDEX(生物种群!$B:$B,COUNTA(生物种群!$B:$B)),MATCH($B652,生物种群!$D$2:INDEX(生物种群!$D:$D,COUNTA(生物种群!$D:$D)),),))))</f>
        <v/>
      </c>
      <c r="J652" s="37" t="str">
        <f>IF(A652&amp;B652&amp;C652="","",INDEX(生物种群!$J$2:INDEX(生物种群!$J:$J,COUNTA(生物种群!$J:$J)),MATCH($I652,生物种群!$B$2:INDEX(生物种群!$B:$B,COUNTA(生物种群!$B:$B)),),))</f>
        <v/>
      </c>
      <c r="K652" s="37" t="str">
        <f>IF(A652&amp;B652&amp;C652="","",INDEX(生物种群!$E$2:INDEX(生物种群!$E:$E,COUNTA(生物种群!$E:$E)),MATCH($I652,生物种群!$B$2:INDEX(生物种群!$B:$B,COUNTA(生物种群!$B:$B)),),))</f>
        <v/>
      </c>
      <c r="L652" s="37" t="str">
        <f>IF(A652&amp;B652&amp;C652="","",INDEX(生物种群!$F$3:INDEX(生物种群!$F:$F,COUNTA(生物种群!$F:$F)),MATCH($I652,生物种群!$B$3:INDEX(生物种群!$B:$B,COUNTA(生物种群!$B:$B)),),))</f>
        <v/>
      </c>
      <c r="M652" s="37" t="str">
        <f t="shared" si="20"/>
        <v/>
      </c>
      <c r="N652" s="37" t="str">
        <f t="shared" si="21"/>
        <v/>
      </c>
      <c r="O652" s="9"/>
      <c r="P652" s="10"/>
    </row>
    <row r="653" spans="1:16" ht="20.1" customHeight="1">
      <c r="A653" s="9"/>
      <c r="B653" s="9"/>
      <c r="C653" s="9"/>
      <c r="D653" s="43"/>
      <c r="E653" s="9"/>
      <c r="F653" s="9"/>
      <c r="G653" s="47" t="str">
        <f>IF(F653="","",INDEX(站位样品信息!$B$3:INDEX(站位样品信息!$B:$B,COUNTA(站位样品信息!$B:$B)+1),MATCH($F653,站位样品信息!$A$3:INDEX(站位样品信息!$A:$A,COUNTA(站位样品信息!$A:$A)+1),),))</f>
        <v/>
      </c>
      <c r="H653" s="37" t="str">
        <f>IF(A653&amp;B653&amp;C653="","",INDEX(生物种群!$A$2:INDEX(生物种群!$A:$A,COUNTA(生物种群!$A:$A)),MATCH($I653,生物种群!$B$2:INDEX(生物种群!$B:$B,COUNTA(生物种群!$B:$B)),),))</f>
        <v/>
      </c>
      <c r="I653" s="37" t="str">
        <f>IF(A653&amp;B653&amp;C653="","",IF($C653&lt;&gt;0,INDEX(生物种群!$B$2:INDEX(生物种群!$B:$B,COUNTA(生物种群!$B:$B)),MATCH($C653,生物种群!$G$2:INDEX(生物种群!$G:$G,COUNTA(生物种群!$G:$G)),),),IF($A653&lt;&gt;0,INDEX(生物种群!$B$2:INDEX(生物种群!$B:$B,COUNTA(生物种群!$B:$B)),MATCH($A653,生物种群!$C$2:INDEX(生物种群!$C:$C,COUNTA(生物种群!$C:$C)),),),INDEX(生物种群!$B$2:INDEX(生物种群!$B:$B,COUNTA(生物种群!$B:$B)),MATCH($B653,生物种群!$D$2:INDEX(生物种群!$D:$D,COUNTA(生物种群!$D:$D)),),))))</f>
        <v/>
      </c>
      <c r="J653" s="37" t="str">
        <f>IF(A653&amp;B653&amp;C653="","",INDEX(生物种群!$J$2:INDEX(生物种群!$J:$J,COUNTA(生物种群!$J:$J)),MATCH($I653,生物种群!$B$2:INDEX(生物种群!$B:$B,COUNTA(生物种群!$B:$B)),),))</f>
        <v/>
      </c>
      <c r="K653" s="37" t="str">
        <f>IF(A653&amp;B653&amp;C653="","",INDEX(生物种群!$E$2:INDEX(生物种群!$E:$E,COUNTA(生物种群!$E:$E)),MATCH($I653,生物种群!$B$2:INDEX(生物种群!$B:$B,COUNTA(生物种群!$B:$B)),),))</f>
        <v/>
      </c>
      <c r="L653" s="37" t="str">
        <f>IF(A653&amp;B653&amp;C653="","",INDEX(生物种群!$F$3:INDEX(生物种群!$F:$F,COUNTA(生物种群!$F:$F)),MATCH($I653,生物种群!$B$3:INDEX(生物种群!$B:$B,COUNTA(生物种群!$B:$B)),),))</f>
        <v/>
      </c>
      <c r="M653" s="37" t="str">
        <f t="shared" si="20"/>
        <v/>
      </c>
      <c r="N653" s="37" t="str">
        <f t="shared" si="21"/>
        <v/>
      </c>
      <c r="O653" s="9"/>
      <c r="P653" s="10"/>
    </row>
    <row r="654" spans="1:16" ht="20.1" customHeight="1">
      <c r="A654" s="9"/>
      <c r="B654" s="9"/>
      <c r="C654" s="9"/>
      <c r="D654" s="43"/>
      <c r="E654" s="9"/>
      <c r="F654" s="9"/>
      <c r="G654" s="47" t="str">
        <f>IF(F654="","",INDEX(站位样品信息!$B$3:INDEX(站位样品信息!$B:$B,COUNTA(站位样品信息!$B:$B)+1),MATCH($F654,站位样品信息!$A$3:INDEX(站位样品信息!$A:$A,COUNTA(站位样品信息!$A:$A)+1),),))</f>
        <v/>
      </c>
      <c r="H654" s="37" t="str">
        <f>IF(A654&amp;B654&amp;C654="","",INDEX(生物种群!$A$2:INDEX(生物种群!$A:$A,COUNTA(生物种群!$A:$A)),MATCH($I654,生物种群!$B$2:INDEX(生物种群!$B:$B,COUNTA(生物种群!$B:$B)),),))</f>
        <v/>
      </c>
      <c r="I654" s="37" t="str">
        <f>IF(A654&amp;B654&amp;C654="","",IF($C654&lt;&gt;0,INDEX(生物种群!$B$2:INDEX(生物种群!$B:$B,COUNTA(生物种群!$B:$B)),MATCH($C654,生物种群!$G$2:INDEX(生物种群!$G:$G,COUNTA(生物种群!$G:$G)),),),IF($A654&lt;&gt;0,INDEX(生物种群!$B$2:INDEX(生物种群!$B:$B,COUNTA(生物种群!$B:$B)),MATCH($A654,生物种群!$C$2:INDEX(生物种群!$C:$C,COUNTA(生物种群!$C:$C)),),),INDEX(生物种群!$B$2:INDEX(生物种群!$B:$B,COUNTA(生物种群!$B:$B)),MATCH($B654,生物种群!$D$2:INDEX(生物种群!$D:$D,COUNTA(生物种群!$D:$D)),),))))</f>
        <v/>
      </c>
      <c r="J654" s="37" t="str">
        <f>IF(A654&amp;B654&amp;C654="","",INDEX(生物种群!$J$2:INDEX(生物种群!$J:$J,COUNTA(生物种群!$J:$J)),MATCH($I654,生物种群!$B$2:INDEX(生物种群!$B:$B,COUNTA(生物种群!$B:$B)),),))</f>
        <v/>
      </c>
      <c r="K654" s="37" t="str">
        <f>IF(A654&amp;B654&amp;C654="","",INDEX(生物种群!$E$2:INDEX(生物种群!$E:$E,COUNTA(生物种群!$E:$E)),MATCH($I654,生物种群!$B$2:INDEX(生物种群!$B:$B,COUNTA(生物种群!$B:$B)),),))</f>
        <v/>
      </c>
      <c r="L654" s="37" t="str">
        <f>IF(A654&amp;B654&amp;C654="","",INDEX(生物种群!$F$3:INDEX(生物种群!$F:$F,COUNTA(生物种群!$F:$F)),MATCH($I654,生物种群!$B$3:INDEX(生物种群!$B:$B,COUNTA(生物种群!$B:$B)),),))</f>
        <v/>
      </c>
      <c r="M654" s="37" t="str">
        <f t="shared" si="20"/>
        <v/>
      </c>
      <c r="N654" s="37" t="str">
        <f t="shared" si="21"/>
        <v/>
      </c>
      <c r="O654" s="9"/>
      <c r="P654" s="10"/>
    </row>
    <row r="655" spans="1:16" ht="20.1" customHeight="1">
      <c r="A655" s="9"/>
      <c r="B655" s="9"/>
      <c r="C655" s="9"/>
      <c r="D655" s="43"/>
      <c r="E655" s="9"/>
      <c r="F655" s="9"/>
      <c r="G655" s="47" t="str">
        <f>IF(F655="","",INDEX(站位样品信息!$B$3:INDEX(站位样品信息!$B:$B,COUNTA(站位样品信息!$B:$B)+1),MATCH($F655,站位样品信息!$A$3:INDEX(站位样品信息!$A:$A,COUNTA(站位样品信息!$A:$A)+1),),))</f>
        <v/>
      </c>
      <c r="H655" s="37" t="str">
        <f>IF(A655&amp;B655&amp;C655="","",INDEX(生物种群!$A$2:INDEX(生物种群!$A:$A,COUNTA(生物种群!$A:$A)),MATCH($I655,生物种群!$B$2:INDEX(生物种群!$B:$B,COUNTA(生物种群!$B:$B)),),))</f>
        <v/>
      </c>
      <c r="I655" s="37" t="str">
        <f>IF(A655&amp;B655&amp;C655="","",IF($C655&lt;&gt;0,INDEX(生物种群!$B$2:INDEX(生物种群!$B:$B,COUNTA(生物种群!$B:$B)),MATCH($C655,生物种群!$G$2:INDEX(生物种群!$G:$G,COUNTA(生物种群!$G:$G)),),),IF($A655&lt;&gt;0,INDEX(生物种群!$B$2:INDEX(生物种群!$B:$B,COUNTA(生物种群!$B:$B)),MATCH($A655,生物种群!$C$2:INDEX(生物种群!$C:$C,COUNTA(生物种群!$C:$C)),),),INDEX(生物种群!$B$2:INDEX(生物种群!$B:$B,COUNTA(生物种群!$B:$B)),MATCH($B655,生物种群!$D$2:INDEX(生物种群!$D:$D,COUNTA(生物种群!$D:$D)),),))))</f>
        <v/>
      </c>
      <c r="J655" s="37" t="str">
        <f>IF(A655&amp;B655&amp;C655="","",INDEX(生物种群!$J$2:INDEX(生物种群!$J:$J,COUNTA(生物种群!$J:$J)),MATCH($I655,生物种群!$B$2:INDEX(生物种群!$B:$B,COUNTA(生物种群!$B:$B)),),))</f>
        <v/>
      </c>
      <c r="K655" s="37" t="str">
        <f>IF(A655&amp;B655&amp;C655="","",INDEX(生物种群!$E$2:INDEX(生物种群!$E:$E,COUNTA(生物种群!$E:$E)),MATCH($I655,生物种群!$B$2:INDEX(生物种群!$B:$B,COUNTA(生物种群!$B:$B)),),))</f>
        <v/>
      </c>
      <c r="L655" s="37" t="str">
        <f>IF(A655&amp;B655&amp;C655="","",INDEX(生物种群!$F$3:INDEX(生物种群!$F:$F,COUNTA(生物种群!$F:$F)),MATCH($I655,生物种群!$B$3:INDEX(生物种群!$B:$B,COUNTA(生物种群!$B:$B)),),))</f>
        <v/>
      </c>
      <c r="M655" s="37" t="str">
        <f t="shared" si="20"/>
        <v/>
      </c>
      <c r="N655" s="37" t="str">
        <f t="shared" si="21"/>
        <v/>
      </c>
      <c r="O655" s="9"/>
      <c r="P655" s="10"/>
    </row>
    <row r="656" spans="1:16" ht="20.1" customHeight="1">
      <c r="A656" s="9"/>
      <c r="B656" s="9"/>
      <c r="C656" s="9"/>
      <c r="D656" s="43"/>
      <c r="E656" s="9"/>
      <c r="F656" s="9"/>
      <c r="G656" s="47" t="str">
        <f>IF(F656="","",INDEX(站位样品信息!$B$3:INDEX(站位样品信息!$B:$B,COUNTA(站位样品信息!$B:$B)+1),MATCH($F656,站位样品信息!$A$3:INDEX(站位样品信息!$A:$A,COUNTA(站位样品信息!$A:$A)+1),),))</f>
        <v/>
      </c>
      <c r="H656" s="37" t="str">
        <f>IF(A656&amp;B656&amp;C656="","",INDEX(生物种群!$A$2:INDEX(生物种群!$A:$A,COUNTA(生物种群!$A:$A)),MATCH($I656,生物种群!$B$2:INDEX(生物种群!$B:$B,COUNTA(生物种群!$B:$B)),),))</f>
        <v/>
      </c>
      <c r="I656" s="37" t="str">
        <f>IF(A656&amp;B656&amp;C656="","",IF($C656&lt;&gt;0,INDEX(生物种群!$B$2:INDEX(生物种群!$B:$B,COUNTA(生物种群!$B:$B)),MATCH($C656,生物种群!$G$2:INDEX(生物种群!$G:$G,COUNTA(生物种群!$G:$G)),),),IF($A656&lt;&gt;0,INDEX(生物种群!$B$2:INDEX(生物种群!$B:$B,COUNTA(生物种群!$B:$B)),MATCH($A656,生物种群!$C$2:INDEX(生物种群!$C:$C,COUNTA(生物种群!$C:$C)),),),INDEX(生物种群!$B$2:INDEX(生物种群!$B:$B,COUNTA(生物种群!$B:$B)),MATCH($B656,生物种群!$D$2:INDEX(生物种群!$D:$D,COUNTA(生物种群!$D:$D)),),))))</f>
        <v/>
      </c>
      <c r="J656" s="37" t="str">
        <f>IF(A656&amp;B656&amp;C656="","",INDEX(生物种群!$J$2:INDEX(生物种群!$J:$J,COUNTA(生物种群!$J:$J)),MATCH($I656,生物种群!$B$2:INDEX(生物种群!$B:$B,COUNTA(生物种群!$B:$B)),),))</f>
        <v/>
      </c>
      <c r="K656" s="37" t="str">
        <f>IF(A656&amp;B656&amp;C656="","",INDEX(生物种群!$E$2:INDEX(生物种群!$E:$E,COUNTA(生物种群!$E:$E)),MATCH($I656,生物种群!$B$2:INDEX(生物种群!$B:$B,COUNTA(生物种群!$B:$B)),),))</f>
        <v/>
      </c>
      <c r="L656" s="37" t="str">
        <f>IF(A656&amp;B656&amp;C656="","",INDEX(生物种群!$F$3:INDEX(生物种群!$F:$F,COUNTA(生物种群!$F:$F)),MATCH($I656,生物种群!$B$3:INDEX(生物种群!$B:$B,COUNTA(生物种群!$B:$B)),),))</f>
        <v/>
      </c>
      <c r="M656" s="37" t="str">
        <f t="shared" si="20"/>
        <v/>
      </c>
      <c r="N656" s="37" t="str">
        <f t="shared" si="21"/>
        <v/>
      </c>
      <c r="O656" s="9"/>
      <c r="P656" s="10"/>
    </row>
    <row r="657" spans="1:16" ht="20.1" customHeight="1">
      <c r="A657" s="9"/>
      <c r="B657" s="9"/>
      <c r="C657" s="9"/>
      <c r="D657" s="43"/>
      <c r="E657" s="9"/>
      <c r="F657" s="9"/>
      <c r="G657" s="47" t="str">
        <f>IF(F657="","",INDEX(站位样品信息!$B$3:INDEX(站位样品信息!$B:$B,COUNTA(站位样品信息!$B:$B)+1),MATCH($F657,站位样品信息!$A$3:INDEX(站位样品信息!$A:$A,COUNTA(站位样品信息!$A:$A)+1),),))</f>
        <v/>
      </c>
      <c r="H657" s="37" t="str">
        <f>IF(A657&amp;B657&amp;C657="","",INDEX(生物种群!$A$2:INDEX(生物种群!$A:$A,COUNTA(生物种群!$A:$A)),MATCH($I657,生物种群!$B$2:INDEX(生物种群!$B:$B,COUNTA(生物种群!$B:$B)),),))</f>
        <v/>
      </c>
      <c r="I657" s="37" t="str">
        <f>IF(A657&amp;B657&amp;C657="","",IF($C657&lt;&gt;0,INDEX(生物种群!$B$2:INDEX(生物种群!$B:$B,COUNTA(生物种群!$B:$B)),MATCH($C657,生物种群!$G$2:INDEX(生物种群!$G:$G,COUNTA(生物种群!$G:$G)),),),IF($A657&lt;&gt;0,INDEX(生物种群!$B$2:INDEX(生物种群!$B:$B,COUNTA(生物种群!$B:$B)),MATCH($A657,生物种群!$C$2:INDEX(生物种群!$C:$C,COUNTA(生物种群!$C:$C)),),),INDEX(生物种群!$B$2:INDEX(生物种群!$B:$B,COUNTA(生物种群!$B:$B)),MATCH($B657,生物种群!$D$2:INDEX(生物种群!$D:$D,COUNTA(生物种群!$D:$D)),),))))</f>
        <v/>
      </c>
      <c r="J657" s="37" t="str">
        <f>IF(A657&amp;B657&amp;C657="","",INDEX(生物种群!$J$2:INDEX(生物种群!$J:$J,COUNTA(生物种群!$J:$J)),MATCH($I657,生物种群!$B$2:INDEX(生物种群!$B:$B,COUNTA(生物种群!$B:$B)),),))</f>
        <v/>
      </c>
      <c r="K657" s="37" t="str">
        <f>IF(A657&amp;B657&amp;C657="","",INDEX(生物种群!$E$2:INDEX(生物种群!$E:$E,COUNTA(生物种群!$E:$E)),MATCH($I657,生物种群!$B$2:INDEX(生物种群!$B:$B,COUNTA(生物种群!$B:$B)),),))</f>
        <v/>
      </c>
      <c r="L657" s="37" t="str">
        <f>IF(A657&amp;B657&amp;C657="","",INDEX(生物种群!$F$3:INDEX(生物种群!$F:$F,COUNTA(生物种群!$F:$F)),MATCH($I657,生物种群!$B$3:INDEX(生物种群!$B:$B,COUNTA(生物种群!$B:$B)),),))</f>
        <v/>
      </c>
      <c r="M657" s="37" t="str">
        <f t="shared" si="20"/>
        <v/>
      </c>
      <c r="N657" s="37" t="str">
        <f t="shared" si="21"/>
        <v/>
      </c>
      <c r="O657" s="9"/>
      <c r="P657" s="10"/>
    </row>
    <row r="658" spans="1:16" ht="20.1" customHeight="1">
      <c r="A658" s="9"/>
      <c r="B658" s="9"/>
      <c r="C658" s="9"/>
      <c r="D658" s="43"/>
      <c r="E658" s="9"/>
      <c r="F658" s="9"/>
      <c r="G658" s="47" t="str">
        <f>IF(F658="","",INDEX(站位样品信息!$B$3:INDEX(站位样品信息!$B:$B,COUNTA(站位样品信息!$B:$B)+1),MATCH($F658,站位样品信息!$A$3:INDEX(站位样品信息!$A:$A,COUNTA(站位样品信息!$A:$A)+1),),))</f>
        <v/>
      </c>
      <c r="H658" s="37" t="str">
        <f>IF(A658&amp;B658&amp;C658="","",INDEX(生物种群!$A$2:INDEX(生物种群!$A:$A,COUNTA(生物种群!$A:$A)),MATCH($I658,生物种群!$B$2:INDEX(生物种群!$B:$B,COUNTA(生物种群!$B:$B)),),))</f>
        <v/>
      </c>
      <c r="I658" s="37" t="str">
        <f>IF(A658&amp;B658&amp;C658="","",IF($C658&lt;&gt;0,INDEX(生物种群!$B$2:INDEX(生物种群!$B:$B,COUNTA(生物种群!$B:$B)),MATCH($C658,生物种群!$G$2:INDEX(生物种群!$G:$G,COUNTA(生物种群!$G:$G)),),),IF($A658&lt;&gt;0,INDEX(生物种群!$B$2:INDEX(生物种群!$B:$B,COUNTA(生物种群!$B:$B)),MATCH($A658,生物种群!$C$2:INDEX(生物种群!$C:$C,COUNTA(生物种群!$C:$C)),),),INDEX(生物种群!$B$2:INDEX(生物种群!$B:$B,COUNTA(生物种群!$B:$B)),MATCH($B658,生物种群!$D$2:INDEX(生物种群!$D:$D,COUNTA(生物种群!$D:$D)),),))))</f>
        <v/>
      </c>
      <c r="J658" s="37" t="str">
        <f>IF(A658&amp;B658&amp;C658="","",INDEX(生物种群!$J$2:INDEX(生物种群!$J:$J,COUNTA(生物种群!$J:$J)),MATCH($I658,生物种群!$B$2:INDEX(生物种群!$B:$B,COUNTA(生物种群!$B:$B)),),))</f>
        <v/>
      </c>
      <c r="K658" s="37" t="str">
        <f>IF(A658&amp;B658&amp;C658="","",INDEX(生物种群!$E$2:INDEX(生物种群!$E:$E,COUNTA(生物种群!$E:$E)),MATCH($I658,生物种群!$B$2:INDEX(生物种群!$B:$B,COUNTA(生物种群!$B:$B)),),))</f>
        <v/>
      </c>
      <c r="L658" s="37" t="str">
        <f>IF(A658&amp;B658&amp;C658="","",INDEX(生物种群!$F$3:INDEX(生物种群!$F:$F,COUNTA(生物种群!$F:$F)),MATCH($I658,生物种群!$B$3:INDEX(生物种群!$B:$B,COUNTA(生物种群!$B:$B)),),))</f>
        <v/>
      </c>
      <c r="M658" s="37" t="str">
        <f t="shared" si="20"/>
        <v/>
      </c>
      <c r="N658" s="37" t="str">
        <f t="shared" si="21"/>
        <v/>
      </c>
      <c r="O658" s="9"/>
      <c r="P658" s="10"/>
    </row>
    <row r="659" spans="1:16" ht="20.1" customHeight="1">
      <c r="A659" s="9"/>
      <c r="B659" s="9"/>
      <c r="C659" s="9"/>
      <c r="D659" s="43"/>
      <c r="E659" s="9"/>
      <c r="F659" s="9"/>
      <c r="G659" s="47" t="str">
        <f>IF(F659="","",INDEX(站位样品信息!$B$3:INDEX(站位样品信息!$B:$B,COUNTA(站位样品信息!$B:$B)+1),MATCH($F659,站位样品信息!$A$3:INDEX(站位样品信息!$A:$A,COUNTA(站位样品信息!$A:$A)+1),),))</f>
        <v/>
      </c>
      <c r="H659" s="37" t="str">
        <f>IF(A659&amp;B659&amp;C659="","",INDEX(生物种群!$A$2:INDEX(生物种群!$A:$A,COUNTA(生物种群!$A:$A)),MATCH($I659,生物种群!$B$2:INDEX(生物种群!$B:$B,COUNTA(生物种群!$B:$B)),),))</f>
        <v/>
      </c>
      <c r="I659" s="37" t="str">
        <f>IF(A659&amp;B659&amp;C659="","",IF($C659&lt;&gt;0,INDEX(生物种群!$B$2:INDEX(生物种群!$B:$B,COUNTA(生物种群!$B:$B)),MATCH($C659,生物种群!$G$2:INDEX(生物种群!$G:$G,COUNTA(生物种群!$G:$G)),),),IF($A659&lt;&gt;0,INDEX(生物种群!$B$2:INDEX(生物种群!$B:$B,COUNTA(生物种群!$B:$B)),MATCH($A659,生物种群!$C$2:INDEX(生物种群!$C:$C,COUNTA(生物种群!$C:$C)),),),INDEX(生物种群!$B$2:INDEX(生物种群!$B:$B,COUNTA(生物种群!$B:$B)),MATCH($B659,生物种群!$D$2:INDEX(生物种群!$D:$D,COUNTA(生物种群!$D:$D)),),))))</f>
        <v/>
      </c>
      <c r="J659" s="37" t="str">
        <f>IF(A659&amp;B659&amp;C659="","",INDEX(生物种群!$J$2:INDEX(生物种群!$J:$J,COUNTA(生物种群!$J:$J)),MATCH($I659,生物种群!$B$2:INDEX(生物种群!$B:$B,COUNTA(生物种群!$B:$B)),),))</f>
        <v/>
      </c>
      <c r="K659" s="37" t="str">
        <f>IF(A659&amp;B659&amp;C659="","",INDEX(生物种群!$E$2:INDEX(生物种群!$E:$E,COUNTA(生物种群!$E:$E)),MATCH($I659,生物种群!$B$2:INDEX(生物种群!$B:$B,COUNTA(生物种群!$B:$B)),),))</f>
        <v/>
      </c>
      <c r="L659" s="37" t="str">
        <f>IF(A659&amp;B659&amp;C659="","",INDEX(生物种群!$F$3:INDEX(生物种群!$F:$F,COUNTA(生物种群!$F:$F)),MATCH($I659,生物种群!$B$3:INDEX(生物种群!$B:$B,COUNTA(生物种群!$B:$B)),),))</f>
        <v/>
      </c>
      <c r="M659" s="37" t="str">
        <f t="shared" si="20"/>
        <v/>
      </c>
      <c r="N659" s="37" t="str">
        <f t="shared" si="21"/>
        <v/>
      </c>
      <c r="O659" s="9"/>
      <c r="P659" s="10"/>
    </row>
    <row r="660" spans="1:16" ht="20.1" customHeight="1">
      <c r="A660" s="9"/>
      <c r="B660" s="9"/>
      <c r="C660" s="9"/>
      <c r="D660" s="43"/>
      <c r="E660" s="9"/>
      <c r="F660" s="9"/>
      <c r="G660" s="47" t="str">
        <f>IF(F660="","",INDEX(站位样品信息!$B$3:INDEX(站位样品信息!$B:$B,COUNTA(站位样品信息!$B:$B)+1),MATCH($F660,站位样品信息!$A$3:INDEX(站位样品信息!$A:$A,COUNTA(站位样品信息!$A:$A)+1),),))</f>
        <v/>
      </c>
      <c r="H660" s="37" t="str">
        <f>IF(A660&amp;B660&amp;C660="","",INDEX(生物种群!$A$2:INDEX(生物种群!$A:$A,COUNTA(生物种群!$A:$A)),MATCH($I660,生物种群!$B$2:INDEX(生物种群!$B:$B,COUNTA(生物种群!$B:$B)),),))</f>
        <v/>
      </c>
      <c r="I660" s="37" t="str">
        <f>IF(A660&amp;B660&amp;C660="","",IF($C660&lt;&gt;0,INDEX(生物种群!$B$2:INDEX(生物种群!$B:$B,COUNTA(生物种群!$B:$B)),MATCH($C660,生物种群!$G$2:INDEX(生物种群!$G:$G,COUNTA(生物种群!$G:$G)),),),IF($A660&lt;&gt;0,INDEX(生物种群!$B$2:INDEX(生物种群!$B:$B,COUNTA(生物种群!$B:$B)),MATCH($A660,生物种群!$C$2:INDEX(生物种群!$C:$C,COUNTA(生物种群!$C:$C)),),),INDEX(生物种群!$B$2:INDEX(生物种群!$B:$B,COUNTA(生物种群!$B:$B)),MATCH($B660,生物种群!$D$2:INDEX(生物种群!$D:$D,COUNTA(生物种群!$D:$D)),),))))</f>
        <v/>
      </c>
      <c r="J660" s="37" t="str">
        <f>IF(A660&amp;B660&amp;C660="","",INDEX(生物种群!$J$2:INDEX(生物种群!$J:$J,COUNTA(生物种群!$J:$J)),MATCH($I660,生物种群!$B$2:INDEX(生物种群!$B:$B,COUNTA(生物种群!$B:$B)),),))</f>
        <v/>
      </c>
      <c r="K660" s="37" t="str">
        <f>IF(A660&amp;B660&amp;C660="","",INDEX(生物种群!$E$2:INDEX(生物种群!$E:$E,COUNTA(生物种群!$E:$E)),MATCH($I660,生物种群!$B$2:INDEX(生物种群!$B:$B,COUNTA(生物种群!$B:$B)),),))</f>
        <v/>
      </c>
      <c r="L660" s="37" t="str">
        <f>IF(A660&amp;B660&amp;C660="","",INDEX(生物种群!$F$3:INDEX(生物种群!$F:$F,COUNTA(生物种群!$F:$F)),MATCH($I660,生物种群!$B$3:INDEX(生物种群!$B:$B,COUNTA(生物种群!$B:$B)),),))</f>
        <v/>
      </c>
      <c r="M660" s="37" t="str">
        <f t="shared" si="20"/>
        <v/>
      </c>
      <c r="N660" s="37" t="str">
        <f t="shared" si="21"/>
        <v/>
      </c>
      <c r="O660" s="9"/>
      <c r="P660" s="10"/>
    </row>
    <row r="661" spans="1:16" ht="20.1" customHeight="1">
      <c r="A661" s="9"/>
      <c r="B661" s="9"/>
      <c r="C661" s="9"/>
      <c r="D661" s="43"/>
      <c r="E661" s="9"/>
      <c r="F661" s="9"/>
      <c r="G661" s="47" t="str">
        <f>IF(F661="","",INDEX(站位样品信息!$B$3:INDEX(站位样品信息!$B:$B,COUNTA(站位样品信息!$B:$B)+1),MATCH($F661,站位样品信息!$A$3:INDEX(站位样品信息!$A:$A,COUNTA(站位样品信息!$A:$A)+1),),))</f>
        <v/>
      </c>
      <c r="H661" s="37" t="str">
        <f>IF(A661&amp;B661&amp;C661="","",INDEX(生物种群!$A$2:INDEX(生物种群!$A:$A,COUNTA(生物种群!$A:$A)),MATCH($I661,生物种群!$B$2:INDEX(生物种群!$B:$B,COUNTA(生物种群!$B:$B)),),))</f>
        <v/>
      </c>
      <c r="I661" s="37" t="str">
        <f>IF(A661&amp;B661&amp;C661="","",IF($C661&lt;&gt;0,INDEX(生物种群!$B$2:INDEX(生物种群!$B:$B,COUNTA(生物种群!$B:$B)),MATCH($C661,生物种群!$G$2:INDEX(生物种群!$G:$G,COUNTA(生物种群!$G:$G)),),),IF($A661&lt;&gt;0,INDEX(生物种群!$B$2:INDEX(生物种群!$B:$B,COUNTA(生物种群!$B:$B)),MATCH($A661,生物种群!$C$2:INDEX(生物种群!$C:$C,COUNTA(生物种群!$C:$C)),),),INDEX(生物种群!$B$2:INDEX(生物种群!$B:$B,COUNTA(生物种群!$B:$B)),MATCH($B661,生物种群!$D$2:INDEX(生物种群!$D:$D,COUNTA(生物种群!$D:$D)),),))))</f>
        <v/>
      </c>
      <c r="J661" s="37" t="str">
        <f>IF(A661&amp;B661&amp;C661="","",INDEX(生物种群!$J$2:INDEX(生物种群!$J:$J,COUNTA(生物种群!$J:$J)),MATCH($I661,生物种群!$B$2:INDEX(生物种群!$B:$B,COUNTA(生物种群!$B:$B)),),))</f>
        <v/>
      </c>
      <c r="K661" s="37" t="str">
        <f>IF(A661&amp;B661&amp;C661="","",INDEX(生物种群!$E$2:INDEX(生物种群!$E:$E,COUNTA(生物种群!$E:$E)),MATCH($I661,生物种群!$B$2:INDEX(生物种群!$B:$B,COUNTA(生物种群!$B:$B)),),))</f>
        <v/>
      </c>
      <c r="L661" s="37" t="str">
        <f>IF(A661&amp;B661&amp;C661="","",INDEX(生物种群!$F$3:INDEX(生物种群!$F:$F,COUNTA(生物种群!$F:$F)),MATCH($I661,生物种群!$B$3:INDEX(生物种群!$B:$B,COUNTA(生物种群!$B:$B)),),))</f>
        <v/>
      </c>
      <c r="M661" s="37" t="str">
        <f t="shared" si="20"/>
        <v/>
      </c>
      <c r="N661" s="37" t="str">
        <f t="shared" si="21"/>
        <v/>
      </c>
      <c r="O661" s="9"/>
      <c r="P661" s="10"/>
    </row>
    <row r="662" spans="1:16" ht="20.1" customHeight="1">
      <c r="A662" s="9"/>
      <c r="B662" s="9"/>
      <c r="C662" s="9"/>
      <c r="D662" s="43"/>
      <c r="E662" s="9"/>
      <c r="F662" s="9"/>
      <c r="G662" s="47" t="str">
        <f>IF(F662="","",INDEX(站位样品信息!$B$3:INDEX(站位样品信息!$B:$B,COUNTA(站位样品信息!$B:$B)+1),MATCH($F662,站位样品信息!$A$3:INDEX(站位样品信息!$A:$A,COUNTA(站位样品信息!$A:$A)+1),),))</f>
        <v/>
      </c>
      <c r="H662" s="37" t="str">
        <f>IF(A662&amp;B662&amp;C662="","",INDEX(生物种群!$A$2:INDEX(生物种群!$A:$A,COUNTA(生物种群!$A:$A)),MATCH($I662,生物种群!$B$2:INDEX(生物种群!$B:$B,COUNTA(生物种群!$B:$B)),),))</f>
        <v/>
      </c>
      <c r="I662" s="37" t="str">
        <f>IF(A662&amp;B662&amp;C662="","",IF($C662&lt;&gt;0,INDEX(生物种群!$B$2:INDEX(生物种群!$B:$B,COUNTA(生物种群!$B:$B)),MATCH($C662,生物种群!$G$2:INDEX(生物种群!$G:$G,COUNTA(生物种群!$G:$G)),),),IF($A662&lt;&gt;0,INDEX(生物种群!$B$2:INDEX(生物种群!$B:$B,COUNTA(生物种群!$B:$B)),MATCH($A662,生物种群!$C$2:INDEX(生物种群!$C:$C,COUNTA(生物种群!$C:$C)),),),INDEX(生物种群!$B$2:INDEX(生物种群!$B:$B,COUNTA(生物种群!$B:$B)),MATCH($B662,生物种群!$D$2:INDEX(生物种群!$D:$D,COUNTA(生物种群!$D:$D)),),))))</f>
        <v/>
      </c>
      <c r="J662" s="37" t="str">
        <f>IF(A662&amp;B662&amp;C662="","",INDEX(生物种群!$J$2:INDEX(生物种群!$J:$J,COUNTA(生物种群!$J:$J)),MATCH($I662,生物种群!$B$2:INDEX(生物种群!$B:$B,COUNTA(生物种群!$B:$B)),),))</f>
        <v/>
      </c>
      <c r="K662" s="37" t="str">
        <f>IF(A662&amp;B662&amp;C662="","",INDEX(生物种群!$E$2:INDEX(生物种群!$E:$E,COUNTA(生物种群!$E:$E)),MATCH($I662,生物种群!$B$2:INDEX(生物种群!$B:$B,COUNTA(生物种群!$B:$B)),),))</f>
        <v/>
      </c>
      <c r="L662" s="37" t="str">
        <f>IF(A662&amp;B662&amp;C662="","",INDEX(生物种群!$F$3:INDEX(生物种群!$F:$F,COUNTA(生物种群!$F:$F)),MATCH($I662,生物种群!$B$3:INDEX(生物种群!$B:$B,COUNTA(生物种群!$B:$B)),),))</f>
        <v/>
      </c>
      <c r="M662" s="37" t="str">
        <f t="shared" si="20"/>
        <v/>
      </c>
      <c r="N662" s="37" t="str">
        <f t="shared" si="21"/>
        <v/>
      </c>
      <c r="O662" s="9"/>
      <c r="P662" s="10"/>
    </row>
    <row r="663" spans="1:16" ht="20.1" customHeight="1">
      <c r="A663" s="9"/>
      <c r="B663" s="9"/>
      <c r="C663" s="9"/>
      <c r="D663" s="43"/>
      <c r="E663" s="9"/>
      <c r="F663" s="9"/>
      <c r="G663" s="47" t="str">
        <f>IF(F663="","",INDEX(站位样品信息!$B$3:INDEX(站位样品信息!$B:$B,COUNTA(站位样品信息!$B:$B)+1),MATCH($F663,站位样品信息!$A$3:INDEX(站位样品信息!$A:$A,COUNTA(站位样品信息!$A:$A)+1),),))</f>
        <v/>
      </c>
      <c r="H663" s="37" t="str">
        <f>IF(A663&amp;B663&amp;C663="","",INDEX(生物种群!$A$2:INDEX(生物种群!$A:$A,COUNTA(生物种群!$A:$A)),MATCH($I663,生物种群!$B$2:INDEX(生物种群!$B:$B,COUNTA(生物种群!$B:$B)),),))</f>
        <v/>
      </c>
      <c r="I663" s="37" t="str">
        <f>IF(A663&amp;B663&amp;C663="","",IF($C663&lt;&gt;0,INDEX(生物种群!$B$2:INDEX(生物种群!$B:$B,COUNTA(生物种群!$B:$B)),MATCH($C663,生物种群!$G$2:INDEX(生物种群!$G:$G,COUNTA(生物种群!$G:$G)),),),IF($A663&lt;&gt;0,INDEX(生物种群!$B$2:INDEX(生物种群!$B:$B,COUNTA(生物种群!$B:$B)),MATCH($A663,生物种群!$C$2:INDEX(生物种群!$C:$C,COUNTA(生物种群!$C:$C)),),),INDEX(生物种群!$B$2:INDEX(生物种群!$B:$B,COUNTA(生物种群!$B:$B)),MATCH($B663,生物种群!$D$2:INDEX(生物种群!$D:$D,COUNTA(生物种群!$D:$D)),),))))</f>
        <v/>
      </c>
      <c r="J663" s="37" t="str">
        <f>IF(A663&amp;B663&amp;C663="","",INDEX(生物种群!$J$2:INDEX(生物种群!$J:$J,COUNTA(生物种群!$J:$J)),MATCH($I663,生物种群!$B$2:INDEX(生物种群!$B:$B,COUNTA(生物种群!$B:$B)),),))</f>
        <v/>
      </c>
      <c r="K663" s="37" t="str">
        <f>IF(A663&amp;B663&amp;C663="","",INDEX(生物种群!$E$2:INDEX(生物种群!$E:$E,COUNTA(生物种群!$E:$E)),MATCH($I663,生物种群!$B$2:INDEX(生物种群!$B:$B,COUNTA(生物种群!$B:$B)),),))</f>
        <v/>
      </c>
      <c r="L663" s="37" t="str">
        <f>IF(A663&amp;B663&amp;C663="","",INDEX(生物种群!$F$3:INDEX(生物种群!$F:$F,COUNTA(生物种群!$F:$F)),MATCH($I663,生物种群!$B$3:INDEX(生物种群!$B:$B,COUNTA(生物种群!$B:$B)),),))</f>
        <v/>
      </c>
      <c r="M663" s="37" t="str">
        <f t="shared" si="20"/>
        <v/>
      </c>
      <c r="N663" s="37" t="str">
        <f t="shared" si="21"/>
        <v/>
      </c>
      <c r="O663" s="9"/>
      <c r="P663" s="10"/>
    </row>
    <row r="664" spans="1:16" ht="20.1" customHeight="1">
      <c r="A664" s="9"/>
      <c r="B664" s="9"/>
      <c r="C664" s="9"/>
      <c r="D664" s="43"/>
      <c r="E664" s="9"/>
      <c r="F664" s="9"/>
      <c r="G664" s="47" t="str">
        <f>IF(F664="","",INDEX(站位样品信息!$B$3:INDEX(站位样品信息!$B:$B,COUNTA(站位样品信息!$B:$B)+1),MATCH($F664,站位样品信息!$A$3:INDEX(站位样品信息!$A:$A,COUNTA(站位样品信息!$A:$A)+1),),))</f>
        <v/>
      </c>
      <c r="H664" s="37" t="str">
        <f>IF(A664&amp;B664&amp;C664="","",INDEX(生物种群!$A$2:INDEX(生物种群!$A:$A,COUNTA(生物种群!$A:$A)),MATCH($I664,生物种群!$B$2:INDEX(生物种群!$B:$B,COUNTA(生物种群!$B:$B)),),))</f>
        <v/>
      </c>
      <c r="I664" s="37" t="str">
        <f>IF(A664&amp;B664&amp;C664="","",IF($C664&lt;&gt;0,INDEX(生物种群!$B$2:INDEX(生物种群!$B:$B,COUNTA(生物种群!$B:$B)),MATCH($C664,生物种群!$G$2:INDEX(生物种群!$G:$G,COUNTA(生物种群!$G:$G)),),),IF($A664&lt;&gt;0,INDEX(生物种群!$B$2:INDEX(生物种群!$B:$B,COUNTA(生物种群!$B:$B)),MATCH($A664,生物种群!$C$2:INDEX(生物种群!$C:$C,COUNTA(生物种群!$C:$C)),),),INDEX(生物种群!$B$2:INDEX(生物种群!$B:$B,COUNTA(生物种群!$B:$B)),MATCH($B664,生物种群!$D$2:INDEX(生物种群!$D:$D,COUNTA(生物种群!$D:$D)),),))))</f>
        <v/>
      </c>
      <c r="J664" s="37" t="str">
        <f>IF(A664&amp;B664&amp;C664="","",INDEX(生物种群!$J$2:INDEX(生物种群!$J:$J,COUNTA(生物种群!$J:$J)),MATCH($I664,生物种群!$B$2:INDEX(生物种群!$B:$B,COUNTA(生物种群!$B:$B)),),))</f>
        <v/>
      </c>
      <c r="K664" s="37" t="str">
        <f>IF(A664&amp;B664&amp;C664="","",INDEX(生物种群!$E$2:INDEX(生物种群!$E:$E,COUNTA(生物种群!$E:$E)),MATCH($I664,生物种群!$B$2:INDEX(生物种群!$B:$B,COUNTA(生物种群!$B:$B)),),))</f>
        <v/>
      </c>
      <c r="L664" s="37" t="str">
        <f>IF(A664&amp;B664&amp;C664="","",INDEX(生物种群!$F$3:INDEX(生物种群!$F:$F,COUNTA(生物种群!$F:$F)),MATCH($I664,生物种群!$B$3:INDEX(生物种群!$B:$B,COUNTA(生物种群!$B:$B)),),))</f>
        <v/>
      </c>
      <c r="M664" s="37" t="str">
        <f t="shared" si="20"/>
        <v/>
      </c>
      <c r="N664" s="37" t="str">
        <f t="shared" si="21"/>
        <v/>
      </c>
      <c r="O664" s="9"/>
      <c r="P664" s="10"/>
    </row>
    <row r="665" spans="1:16" ht="20.1" customHeight="1">
      <c r="A665" s="9"/>
      <c r="B665" s="9"/>
      <c r="C665" s="9"/>
      <c r="D665" s="43"/>
      <c r="E665" s="9"/>
      <c r="F665" s="9"/>
      <c r="G665" s="47" t="str">
        <f>IF(F665="","",INDEX(站位样品信息!$B$3:INDEX(站位样品信息!$B:$B,COUNTA(站位样品信息!$B:$B)+1),MATCH($F665,站位样品信息!$A$3:INDEX(站位样品信息!$A:$A,COUNTA(站位样品信息!$A:$A)+1),),))</f>
        <v/>
      </c>
      <c r="H665" s="37" t="str">
        <f>IF(A665&amp;B665&amp;C665="","",INDEX(生物种群!$A$2:INDEX(生物种群!$A:$A,COUNTA(生物种群!$A:$A)),MATCH($I665,生物种群!$B$2:INDEX(生物种群!$B:$B,COUNTA(生物种群!$B:$B)),),))</f>
        <v/>
      </c>
      <c r="I665" s="37" t="str">
        <f>IF(A665&amp;B665&amp;C665="","",IF($C665&lt;&gt;0,INDEX(生物种群!$B$2:INDEX(生物种群!$B:$B,COUNTA(生物种群!$B:$B)),MATCH($C665,生物种群!$G$2:INDEX(生物种群!$G:$G,COUNTA(生物种群!$G:$G)),),),IF($A665&lt;&gt;0,INDEX(生物种群!$B$2:INDEX(生物种群!$B:$B,COUNTA(生物种群!$B:$B)),MATCH($A665,生物种群!$C$2:INDEX(生物种群!$C:$C,COUNTA(生物种群!$C:$C)),),),INDEX(生物种群!$B$2:INDEX(生物种群!$B:$B,COUNTA(生物种群!$B:$B)),MATCH($B665,生物种群!$D$2:INDEX(生物种群!$D:$D,COUNTA(生物种群!$D:$D)),),))))</f>
        <v/>
      </c>
      <c r="J665" s="37" t="str">
        <f>IF(A665&amp;B665&amp;C665="","",INDEX(生物种群!$J$2:INDEX(生物种群!$J:$J,COUNTA(生物种群!$J:$J)),MATCH($I665,生物种群!$B$2:INDEX(生物种群!$B:$B,COUNTA(生物种群!$B:$B)),),))</f>
        <v/>
      </c>
      <c r="K665" s="37" t="str">
        <f>IF(A665&amp;B665&amp;C665="","",INDEX(生物种群!$E$2:INDEX(生物种群!$E:$E,COUNTA(生物种群!$E:$E)),MATCH($I665,生物种群!$B$2:INDEX(生物种群!$B:$B,COUNTA(生物种群!$B:$B)),),))</f>
        <v/>
      </c>
      <c r="L665" s="37" t="str">
        <f>IF(A665&amp;B665&amp;C665="","",INDEX(生物种群!$F$3:INDEX(生物种群!$F:$F,COUNTA(生物种群!$F:$F)),MATCH($I665,生物种群!$B$3:INDEX(生物种群!$B:$B,COUNTA(生物种群!$B:$B)),),))</f>
        <v/>
      </c>
      <c r="M665" s="37" t="str">
        <f t="shared" si="20"/>
        <v/>
      </c>
      <c r="N665" s="37" t="str">
        <f t="shared" si="21"/>
        <v/>
      </c>
      <c r="O665" s="9"/>
      <c r="P665" s="10"/>
    </row>
    <row r="666" spans="1:16" ht="20.1" customHeight="1">
      <c r="A666" s="9"/>
      <c r="B666" s="9"/>
      <c r="C666" s="9"/>
      <c r="D666" s="43"/>
      <c r="E666" s="9"/>
      <c r="F666" s="9"/>
      <c r="G666" s="47" t="str">
        <f>IF(F666="","",INDEX(站位样品信息!$B$3:INDEX(站位样品信息!$B:$B,COUNTA(站位样品信息!$B:$B)+1),MATCH($F666,站位样品信息!$A$3:INDEX(站位样品信息!$A:$A,COUNTA(站位样品信息!$A:$A)+1),),))</f>
        <v/>
      </c>
      <c r="H666" s="37" t="str">
        <f>IF(A666&amp;B666&amp;C666="","",INDEX(生物种群!$A$2:INDEX(生物种群!$A:$A,COUNTA(生物种群!$A:$A)),MATCH($I666,生物种群!$B$2:INDEX(生物种群!$B:$B,COUNTA(生物种群!$B:$B)),),))</f>
        <v/>
      </c>
      <c r="I666" s="37" t="str">
        <f>IF(A666&amp;B666&amp;C666="","",IF($C666&lt;&gt;0,INDEX(生物种群!$B$2:INDEX(生物种群!$B:$B,COUNTA(生物种群!$B:$B)),MATCH($C666,生物种群!$G$2:INDEX(生物种群!$G:$G,COUNTA(生物种群!$G:$G)),),),IF($A666&lt;&gt;0,INDEX(生物种群!$B$2:INDEX(生物种群!$B:$B,COUNTA(生物种群!$B:$B)),MATCH($A666,生物种群!$C$2:INDEX(生物种群!$C:$C,COUNTA(生物种群!$C:$C)),),),INDEX(生物种群!$B$2:INDEX(生物种群!$B:$B,COUNTA(生物种群!$B:$B)),MATCH($B666,生物种群!$D$2:INDEX(生物种群!$D:$D,COUNTA(生物种群!$D:$D)),),))))</f>
        <v/>
      </c>
      <c r="J666" s="37" t="str">
        <f>IF(A666&amp;B666&amp;C666="","",INDEX(生物种群!$J$2:INDEX(生物种群!$J:$J,COUNTA(生物种群!$J:$J)),MATCH($I666,生物种群!$B$2:INDEX(生物种群!$B:$B,COUNTA(生物种群!$B:$B)),),))</f>
        <v/>
      </c>
      <c r="K666" s="37" t="str">
        <f>IF(A666&amp;B666&amp;C666="","",INDEX(生物种群!$E$2:INDEX(生物种群!$E:$E,COUNTA(生物种群!$E:$E)),MATCH($I666,生物种群!$B$2:INDEX(生物种群!$B:$B,COUNTA(生物种群!$B:$B)),),))</f>
        <v/>
      </c>
      <c r="L666" s="37" t="str">
        <f>IF(A666&amp;B666&amp;C666="","",INDEX(生物种群!$F$3:INDEX(生物种群!$F:$F,COUNTA(生物种群!$F:$F)),MATCH($I666,生物种群!$B$3:INDEX(生物种群!$B:$B,COUNTA(生物种群!$B:$B)),),))</f>
        <v/>
      </c>
      <c r="M666" s="37" t="str">
        <f t="shared" si="20"/>
        <v/>
      </c>
      <c r="N666" s="37" t="str">
        <f t="shared" si="21"/>
        <v/>
      </c>
      <c r="O666" s="9"/>
      <c r="P666" s="10"/>
    </row>
    <row r="667" spans="1:16" ht="20.1" customHeight="1">
      <c r="A667" s="9"/>
      <c r="B667" s="9"/>
      <c r="C667" s="9"/>
      <c r="D667" s="43"/>
      <c r="E667" s="9"/>
      <c r="F667" s="9"/>
      <c r="G667" s="47" t="str">
        <f>IF(F667="","",INDEX(站位样品信息!$B$3:INDEX(站位样品信息!$B:$B,COUNTA(站位样品信息!$B:$B)+1),MATCH($F667,站位样品信息!$A$3:INDEX(站位样品信息!$A:$A,COUNTA(站位样品信息!$A:$A)+1),),))</f>
        <v/>
      </c>
      <c r="H667" s="37" t="str">
        <f>IF(A667&amp;B667&amp;C667="","",INDEX(生物种群!$A$2:INDEX(生物种群!$A:$A,COUNTA(生物种群!$A:$A)),MATCH($I667,生物种群!$B$2:INDEX(生物种群!$B:$B,COUNTA(生物种群!$B:$B)),),))</f>
        <v/>
      </c>
      <c r="I667" s="37" t="str">
        <f>IF(A667&amp;B667&amp;C667="","",IF($C667&lt;&gt;0,INDEX(生物种群!$B$2:INDEX(生物种群!$B:$B,COUNTA(生物种群!$B:$B)),MATCH($C667,生物种群!$G$2:INDEX(生物种群!$G:$G,COUNTA(生物种群!$G:$G)),),),IF($A667&lt;&gt;0,INDEX(生物种群!$B$2:INDEX(生物种群!$B:$B,COUNTA(生物种群!$B:$B)),MATCH($A667,生物种群!$C$2:INDEX(生物种群!$C:$C,COUNTA(生物种群!$C:$C)),),),INDEX(生物种群!$B$2:INDEX(生物种群!$B:$B,COUNTA(生物种群!$B:$B)),MATCH($B667,生物种群!$D$2:INDEX(生物种群!$D:$D,COUNTA(生物种群!$D:$D)),),))))</f>
        <v/>
      </c>
      <c r="J667" s="37" t="str">
        <f>IF(A667&amp;B667&amp;C667="","",INDEX(生物种群!$J$2:INDEX(生物种群!$J:$J,COUNTA(生物种群!$J:$J)),MATCH($I667,生物种群!$B$2:INDEX(生物种群!$B:$B,COUNTA(生物种群!$B:$B)),),))</f>
        <v/>
      </c>
      <c r="K667" s="37" t="str">
        <f>IF(A667&amp;B667&amp;C667="","",INDEX(生物种群!$E$2:INDEX(生物种群!$E:$E,COUNTA(生物种群!$E:$E)),MATCH($I667,生物种群!$B$2:INDEX(生物种群!$B:$B,COUNTA(生物种群!$B:$B)),),))</f>
        <v/>
      </c>
      <c r="L667" s="37" t="str">
        <f>IF(A667&amp;B667&amp;C667="","",INDEX(生物种群!$F$3:INDEX(生物种群!$F:$F,COUNTA(生物种群!$F:$F)),MATCH($I667,生物种群!$B$3:INDEX(生物种群!$B:$B,COUNTA(生物种群!$B:$B)),),))</f>
        <v/>
      </c>
      <c r="M667" s="37" t="str">
        <f t="shared" si="20"/>
        <v/>
      </c>
      <c r="N667" s="37" t="str">
        <f t="shared" si="21"/>
        <v/>
      </c>
      <c r="O667" s="9"/>
      <c r="P667" s="10"/>
    </row>
    <row r="668" spans="1:16" ht="20.1" customHeight="1">
      <c r="A668" s="9"/>
      <c r="B668" s="9"/>
      <c r="C668" s="9"/>
      <c r="D668" s="43"/>
      <c r="E668" s="9"/>
      <c r="F668" s="9"/>
      <c r="G668" s="47" t="str">
        <f>IF(F668="","",INDEX(站位样品信息!$B$3:INDEX(站位样品信息!$B:$B,COUNTA(站位样品信息!$B:$B)+1),MATCH($F668,站位样品信息!$A$3:INDEX(站位样品信息!$A:$A,COUNTA(站位样品信息!$A:$A)+1),),))</f>
        <v/>
      </c>
      <c r="H668" s="37" t="str">
        <f>IF(A668&amp;B668&amp;C668="","",INDEX(生物种群!$A$2:INDEX(生物种群!$A:$A,COUNTA(生物种群!$A:$A)),MATCH($I668,生物种群!$B$2:INDEX(生物种群!$B:$B,COUNTA(生物种群!$B:$B)),),))</f>
        <v/>
      </c>
      <c r="I668" s="37" t="str">
        <f>IF(A668&amp;B668&amp;C668="","",IF($C668&lt;&gt;0,INDEX(生物种群!$B$2:INDEX(生物种群!$B:$B,COUNTA(生物种群!$B:$B)),MATCH($C668,生物种群!$G$2:INDEX(生物种群!$G:$G,COUNTA(生物种群!$G:$G)),),),IF($A668&lt;&gt;0,INDEX(生物种群!$B$2:INDEX(生物种群!$B:$B,COUNTA(生物种群!$B:$B)),MATCH($A668,生物种群!$C$2:INDEX(生物种群!$C:$C,COUNTA(生物种群!$C:$C)),),),INDEX(生物种群!$B$2:INDEX(生物种群!$B:$B,COUNTA(生物种群!$B:$B)),MATCH($B668,生物种群!$D$2:INDEX(生物种群!$D:$D,COUNTA(生物种群!$D:$D)),),))))</f>
        <v/>
      </c>
      <c r="J668" s="37" t="str">
        <f>IF(A668&amp;B668&amp;C668="","",INDEX(生物种群!$J$2:INDEX(生物种群!$J:$J,COUNTA(生物种群!$J:$J)),MATCH($I668,生物种群!$B$2:INDEX(生物种群!$B:$B,COUNTA(生物种群!$B:$B)),),))</f>
        <v/>
      </c>
      <c r="K668" s="37" t="str">
        <f>IF(A668&amp;B668&amp;C668="","",INDEX(生物种群!$E$2:INDEX(生物种群!$E:$E,COUNTA(生物种群!$E:$E)),MATCH($I668,生物种群!$B$2:INDEX(生物种群!$B:$B,COUNTA(生物种群!$B:$B)),),))</f>
        <v/>
      </c>
      <c r="L668" s="37" t="str">
        <f>IF(A668&amp;B668&amp;C668="","",INDEX(生物种群!$F$3:INDEX(生物种群!$F:$F,COUNTA(生物种群!$F:$F)),MATCH($I668,生物种群!$B$3:INDEX(生物种群!$B:$B,COUNTA(生物种群!$B:$B)),),))</f>
        <v/>
      </c>
      <c r="M668" s="37" t="str">
        <f t="shared" si="20"/>
        <v/>
      </c>
      <c r="N668" s="37" t="str">
        <f t="shared" si="21"/>
        <v/>
      </c>
      <c r="O668" s="9"/>
      <c r="P668" s="10"/>
    </row>
    <row r="669" spans="1:16" ht="20.1" customHeight="1">
      <c r="A669" s="9"/>
      <c r="B669" s="9"/>
      <c r="C669" s="9"/>
      <c r="D669" s="43"/>
      <c r="E669" s="9"/>
      <c r="F669" s="9"/>
      <c r="G669" s="47" t="str">
        <f>IF(F669="","",INDEX(站位样品信息!$B$3:INDEX(站位样品信息!$B:$B,COUNTA(站位样品信息!$B:$B)+1),MATCH($F669,站位样品信息!$A$3:INDEX(站位样品信息!$A:$A,COUNTA(站位样品信息!$A:$A)+1),),))</f>
        <v/>
      </c>
      <c r="H669" s="37" t="str">
        <f>IF(A669&amp;B669&amp;C669="","",INDEX(生物种群!$A$2:INDEX(生物种群!$A:$A,COUNTA(生物种群!$A:$A)),MATCH($I669,生物种群!$B$2:INDEX(生物种群!$B:$B,COUNTA(生物种群!$B:$B)),),))</f>
        <v/>
      </c>
      <c r="I669" s="37" t="str">
        <f>IF(A669&amp;B669&amp;C669="","",IF($C669&lt;&gt;0,INDEX(生物种群!$B$2:INDEX(生物种群!$B:$B,COUNTA(生物种群!$B:$B)),MATCH($C669,生物种群!$G$2:INDEX(生物种群!$G:$G,COUNTA(生物种群!$G:$G)),),),IF($A669&lt;&gt;0,INDEX(生物种群!$B$2:INDEX(生物种群!$B:$B,COUNTA(生物种群!$B:$B)),MATCH($A669,生物种群!$C$2:INDEX(生物种群!$C:$C,COUNTA(生物种群!$C:$C)),),),INDEX(生物种群!$B$2:INDEX(生物种群!$B:$B,COUNTA(生物种群!$B:$B)),MATCH($B669,生物种群!$D$2:INDEX(生物种群!$D:$D,COUNTA(生物种群!$D:$D)),),))))</f>
        <v/>
      </c>
      <c r="J669" s="37" t="str">
        <f>IF(A669&amp;B669&amp;C669="","",INDEX(生物种群!$J$2:INDEX(生物种群!$J:$J,COUNTA(生物种群!$J:$J)),MATCH($I669,生物种群!$B$2:INDEX(生物种群!$B:$B,COUNTA(生物种群!$B:$B)),),))</f>
        <v/>
      </c>
      <c r="K669" s="37" t="str">
        <f>IF(A669&amp;B669&amp;C669="","",INDEX(生物种群!$E$2:INDEX(生物种群!$E:$E,COUNTA(生物种群!$E:$E)),MATCH($I669,生物种群!$B$2:INDEX(生物种群!$B:$B,COUNTA(生物种群!$B:$B)),),))</f>
        <v/>
      </c>
      <c r="L669" s="37" t="str">
        <f>IF(A669&amp;B669&amp;C669="","",INDEX(生物种群!$F$3:INDEX(生物种群!$F:$F,COUNTA(生物种群!$F:$F)),MATCH($I669,生物种群!$B$3:INDEX(生物种群!$B:$B,COUNTA(生物种群!$B:$B)),),))</f>
        <v/>
      </c>
      <c r="M669" s="37" t="str">
        <f t="shared" si="20"/>
        <v/>
      </c>
      <c r="N669" s="37" t="str">
        <f t="shared" si="21"/>
        <v/>
      </c>
      <c r="O669" s="9"/>
      <c r="P669" s="10"/>
    </row>
    <row r="670" spans="1:16" ht="20.1" customHeight="1">
      <c r="A670" s="9"/>
      <c r="B670" s="9"/>
      <c r="C670" s="9"/>
      <c r="D670" s="43"/>
      <c r="E670" s="9"/>
      <c r="F670" s="9"/>
      <c r="G670" s="47" t="str">
        <f>IF(F670="","",INDEX(站位样品信息!$B$3:INDEX(站位样品信息!$B:$B,COUNTA(站位样品信息!$B:$B)+1),MATCH($F670,站位样品信息!$A$3:INDEX(站位样品信息!$A:$A,COUNTA(站位样品信息!$A:$A)+1),),))</f>
        <v/>
      </c>
      <c r="H670" s="37" t="str">
        <f>IF(A670&amp;B670&amp;C670="","",INDEX(生物种群!$A$2:INDEX(生物种群!$A:$A,COUNTA(生物种群!$A:$A)),MATCH($I670,生物种群!$B$2:INDEX(生物种群!$B:$B,COUNTA(生物种群!$B:$B)),),))</f>
        <v/>
      </c>
      <c r="I670" s="37" t="str">
        <f>IF(A670&amp;B670&amp;C670="","",IF($C670&lt;&gt;0,INDEX(生物种群!$B$2:INDEX(生物种群!$B:$B,COUNTA(生物种群!$B:$B)),MATCH($C670,生物种群!$G$2:INDEX(生物种群!$G:$G,COUNTA(生物种群!$G:$G)),),),IF($A670&lt;&gt;0,INDEX(生物种群!$B$2:INDEX(生物种群!$B:$B,COUNTA(生物种群!$B:$B)),MATCH($A670,生物种群!$C$2:INDEX(生物种群!$C:$C,COUNTA(生物种群!$C:$C)),),),INDEX(生物种群!$B$2:INDEX(生物种群!$B:$B,COUNTA(生物种群!$B:$B)),MATCH($B670,生物种群!$D$2:INDEX(生物种群!$D:$D,COUNTA(生物种群!$D:$D)),),))))</f>
        <v/>
      </c>
      <c r="J670" s="37" t="str">
        <f>IF(A670&amp;B670&amp;C670="","",INDEX(生物种群!$J$2:INDEX(生物种群!$J:$J,COUNTA(生物种群!$J:$J)),MATCH($I670,生物种群!$B$2:INDEX(生物种群!$B:$B,COUNTA(生物种群!$B:$B)),),))</f>
        <v/>
      </c>
      <c r="K670" s="37" t="str">
        <f>IF(A670&amp;B670&amp;C670="","",INDEX(生物种群!$E$2:INDEX(生物种群!$E:$E,COUNTA(生物种群!$E:$E)),MATCH($I670,生物种群!$B$2:INDEX(生物种群!$B:$B,COUNTA(生物种群!$B:$B)),),))</f>
        <v/>
      </c>
      <c r="L670" s="37" t="str">
        <f>IF(A670&amp;B670&amp;C670="","",INDEX(生物种群!$F$3:INDEX(生物种群!$F:$F,COUNTA(生物种群!$F:$F)),MATCH($I670,生物种群!$B$3:INDEX(生物种群!$B:$B,COUNTA(生物种群!$B:$B)),),))</f>
        <v/>
      </c>
      <c r="M670" s="37" t="str">
        <f t="shared" si="20"/>
        <v/>
      </c>
      <c r="N670" s="37" t="str">
        <f t="shared" si="21"/>
        <v/>
      </c>
      <c r="O670" s="9"/>
      <c r="P670" s="10"/>
    </row>
    <row r="671" spans="1:16" ht="20.1" customHeight="1">
      <c r="A671" s="9"/>
      <c r="B671" s="9"/>
      <c r="C671" s="9"/>
      <c r="D671" s="43"/>
      <c r="E671" s="9"/>
      <c r="F671" s="9"/>
      <c r="G671" s="47" t="str">
        <f>IF(F671="","",INDEX(站位样品信息!$B$3:INDEX(站位样品信息!$B:$B,COUNTA(站位样品信息!$B:$B)+1),MATCH($F671,站位样品信息!$A$3:INDEX(站位样品信息!$A:$A,COUNTA(站位样品信息!$A:$A)+1),),))</f>
        <v/>
      </c>
      <c r="H671" s="37" t="str">
        <f>IF(A671&amp;B671&amp;C671="","",INDEX(生物种群!$A$2:INDEX(生物种群!$A:$A,COUNTA(生物种群!$A:$A)),MATCH($I671,生物种群!$B$2:INDEX(生物种群!$B:$B,COUNTA(生物种群!$B:$B)),),))</f>
        <v/>
      </c>
      <c r="I671" s="37" t="str">
        <f>IF(A671&amp;B671&amp;C671="","",IF($C671&lt;&gt;0,INDEX(生物种群!$B$2:INDEX(生物种群!$B:$B,COUNTA(生物种群!$B:$B)),MATCH($C671,生物种群!$G$2:INDEX(生物种群!$G:$G,COUNTA(生物种群!$G:$G)),),),IF($A671&lt;&gt;0,INDEX(生物种群!$B$2:INDEX(生物种群!$B:$B,COUNTA(生物种群!$B:$B)),MATCH($A671,生物种群!$C$2:INDEX(生物种群!$C:$C,COUNTA(生物种群!$C:$C)),),),INDEX(生物种群!$B$2:INDEX(生物种群!$B:$B,COUNTA(生物种群!$B:$B)),MATCH($B671,生物种群!$D$2:INDEX(生物种群!$D:$D,COUNTA(生物种群!$D:$D)),),))))</f>
        <v/>
      </c>
      <c r="J671" s="37" t="str">
        <f>IF(A671&amp;B671&amp;C671="","",INDEX(生物种群!$J$2:INDEX(生物种群!$J:$J,COUNTA(生物种群!$J:$J)),MATCH($I671,生物种群!$B$2:INDEX(生物种群!$B:$B,COUNTA(生物种群!$B:$B)),),))</f>
        <v/>
      </c>
      <c r="K671" s="37" t="str">
        <f>IF(A671&amp;B671&amp;C671="","",INDEX(生物种群!$E$2:INDEX(生物种群!$E:$E,COUNTA(生物种群!$E:$E)),MATCH($I671,生物种群!$B$2:INDEX(生物种群!$B:$B,COUNTA(生物种群!$B:$B)),),))</f>
        <v/>
      </c>
      <c r="L671" s="37" t="str">
        <f>IF(A671&amp;B671&amp;C671="","",INDEX(生物种群!$F$3:INDEX(生物种群!$F:$F,COUNTA(生物种群!$F:$F)),MATCH($I671,生物种群!$B$3:INDEX(生物种群!$B:$B,COUNTA(生物种群!$B:$B)),),))</f>
        <v/>
      </c>
      <c r="M671" s="37" t="str">
        <f t="shared" si="20"/>
        <v/>
      </c>
      <c r="N671" s="37" t="str">
        <f t="shared" si="21"/>
        <v/>
      </c>
      <c r="O671" s="9"/>
      <c r="P671" s="10"/>
    </row>
    <row r="672" spans="1:16" ht="20.1" customHeight="1">
      <c r="A672" s="9"/>
      <c r="B672" s="9"/>
      <c r="C672" s="9"/>
      <c r="D672" s="43"/>
      <c r="E672" s="9"/>
      <c r="F672" s="9"/>
      <c r="G672" s="47" t="str">
        <f>IF(F672="","",INDEX(站位样品信息!$B$3:INDEX(站位样品信息!$B:$B,COUNTA(站位样品信息!$B:$B)+1),MATCH($F672,站位样品信息!$A$3:INDEX(站位样品信息!$A:$A,COUNTA(站位样品信息!$A:$A)+1),),))</f>
        <v/>
      </c>
      <c r="H672" s="37" t="str">
        <f>IF(A672&amp;B672&amp;C672="","",INDEX(生物种群!$A$2:INDEX(生物种群!$A:$A,COUNTA(生物种群!$A:$A)),MATCH($I672,生物种群!$B$2:INDEX(生物种群!$B:$B,COUNTA(生物种群!$B:$B)),),))</f>
        <v/>
      </c>
      <c r="I672" s="37" t="str">
        <f>IF(A672&amp;B672&amp;C672="","",IF($C672&lt;&gt;0,INDEX(生物种群!$B$2:INDEX(生物种群!$B:$B,COUNTA(生物种群!$B:$B)),MATCH($C672,生物种群!$G$2:INDEX(生物种群!$G:$G,COUNTA(生物种群!$G:$G)),),),IF($A672&lt;&gt;0,INDEX(生物种群!$B$2:INDEX(生物种群!$B:$B,COUNTA(生物种群!$B:$B)),MATCH($A672,生物种群!$C$2:INDEX(生物种群!$C:$C,COUNTA(生物种群!$C:$C)),),),INDEX(生物种群!$B$2:INDEX(生物种群!$B:$B,COUNTA(生物种群!$B:$B)),MATCH($B672,生物种群!$D$2:INDEX(生物种群!$D:$D,COUNTA(生物种群!$D:$D)),),))))</f>
        <v/>
      </c>
      <c r="J672" s="37" t="str">
        <f>IF(A672&amp;B672&amp;C672="","",INDEX(生物种群!$J$2:INDEX(生物种群!$J:$J,COUNTA(生物种群!$J:$J)),MATCH($I672,生物种群!$B$2:INDEX(生物种群!$B:$B,COUNTA(生物种群!$B:$B)),),))</f>
        <v/>
      </c>
      <c r="K672" s="37" t="str">
        <f>IF(A672&amp;B672&amp;C672="","",INDEX(生物种群!$E$2:INDEX(生物种群!$E:$E,COUNTA(生物种群!$E:$E)),MATCH($I672,生物种群!$B$2:INDEX(生物种群!$B:$B,COUNTA(生物种群!$B:$B)),),))</f>
        <v/>
      </c>
      <c r="L672" s="37" t="str">
        <f>IF(A672&amp;B672&amp;C672="","",INDEX(生物种群!$F$3:INDEX(生物种群!$F:$F,COUNTA(生物种群!$F:$F)),MATCH($I672,生物种群!$B$3:INDEX(生物种群!$B:$B,COUNTA(生物种群!$B:$B)),),))</f>
        <v/>
      </c>
      <c r="M672" s="37" t="str">
        <f t="shared" si="20"/>
        <v/>
      </c>
      <c r="N672" s="37" t="str">
        <f t="shared" si="21"/>
        <v/>
      </c>
      <c r="O672" s="9"/>
      <c r="P672" s="10"/>
    </row>
    <row r="673" spans="1:16" ht="20.1" customHeight="1">
      <c r="A673" s="9"/>
      <c r="B673" s="9"/>
      <c r="C673" s="9"/>
      <c r="D673" s="43"/>
      <c r="E673" s="9"/>
      <c r="F673" s="9"/>
      <c r="G673" s="47" t="str">
        <f>IF(F673="","",INDEX(站位样品信息!$B$3:INDEX(站位样品信息!$B:$B,COUNTA(站位样品信息!$B:$B)+1),MATCH($F673,站位样品信息!$A$3:INDEX(站位样品信息!$A:$A,COUNTA(站位样品信息!$A:$A)+1),),))</f>
        <v/>
      </c>
      <c r="H673" s="37" t="str">
        <f>IF(A673&amp;B673&amp;C673="","",INDEX(生物种群!$A$2:INDEX(生物种群!$A:$A,COUNTA(生物种群!$A:$A)),MATCH($I673,生物种群!$B$2:INDEX(生物种群!$B:$B,COUNTA(生物种群!$B:$B)),),))</f>
        <v/>
      </c>
      <c r="I673" s="37" t="str">
        <f>IF(A673&amp;B673&amp;C673="","",IF($C673&lt;&gt;0,INDEX(生物种群!$B$2:INDEX(生物种群!$B:$B,COUNTA(生物种群!$B:$B)),MATCH($C673,生物种群!$G$2:INDEX(生物种群!$G:$G,COUNTA(生物种群!$G:$G)),),),IF($A673&lt;&gt;0,INDEX(生物种群!$B$2:INDEX(生物种群!$B:$B,COUNTA(生物种群!$B:$B)),MATCH($A673,生物种群!$C$2:INDEX(生物种群!$C:$C,COUNTA(生物种群!$C:$C)),),),INDEX(生物种群!$B$2:INDEX(生物种群!$B:$B,COUNTA(生物种群!$B:$B)),MATCH($B673,生物种群!$D$2:INDEX(生物种群!$D:$D,COUNTA(生物种群!$D:$D)),),))))</f>
        <v/>
      </c>
      <c r="J673" s="37" t="str">
        <f>IF(A673&amp;B673&amp;C673="","",INDEX(生物种群!$J$2:INDEX(生物种群!$J:$J,COUNTA(生物种群!$J:$J)),MATCH($I673,生物种群!$B$2:INDEX(生物种群!$B:$B,COUNTA(生物种群!$B:$B)),),))</f>
        <v/>
      </c>
      <c r="K673" s="37" t="str">
        <f>IF(A673&amp;B673&amp;C673="","",INDEX(生物种群!$E$2:INDEX(生物种群!$E:$E,COUNTA(生物种群!$E:$E)),MATCH($I673,生物种群!$B$2:INDEX(生物种群!$B:$B,COUNTA(生物种群!$B:$B)),),))</f>
        <v/>
      </c>
      <c r="L673" s="37" t="str">
        <f>IF(A673&amp;B673&amp;C673="","",INDEX(生物种群!$F$3:INDEX(生物种群!$F:$F,COUNTA(生物种群!$F:$F)),MATCH($I673,生物种群!$B$3:INDEX(生物种群!$B:$B,COUNTA(生物种群!$B:$B)),),))</f>
        <v/>
      </c>
      <c r="M673" s="37" t="str">
        <f t="shared" si="20"/>
        <v/>
      </c>
      <c r="N673" s="37" t="str">
        <f t="shared" si="21"/>
        <v/>
      </c>
      <c r="O673" s="9"/>
      <c r="P673" s="10"/>
    </row>
    <row r="674" spans="1:16" ht="20.1" customHeight="1">
      <c r="A674" s="9"/>
      <c r="B674" s="9"/>
      <c r="C674" s="9"/>
      <c r="D674" s="43"/>
      <c r="E674" s="9"/>
      <c r="F674" s="9"/>
      <c r="G674" s="47" t="str">
        <f>IF(F674="","",INDEX(站位样品信息!$B$3:INDEX(站位样品信息!$B:$B,COUNTA(站位样品信息!$B:$B)+1),MATCH($F674,站位样品信息!$A$3:INDEX(站位样品信息!$A:$A,COUNTA(站位样品信息!$A:$A)+1),),))</f>
        <v/>
      </c>
      <c r="H674" s="37" t="str">
        <f>IF(A674&amp;B674&amp;C674="","",INDEX(生物种群!$A$2:INDEX(生物种群!$A:$A,COUNTA(生物种群!$A:$A)),MATCH($I674,生物种群!$B$2:INDEX(生物种群!$B:$B,COUNTA(生物种群!$B:$B)),),))</f>
        <v/>
      </c>
      <c r="I674" s="37" t="str">
        <f>IF(A674&amp;B674&amp;C674="","",IF($C674&lt;&gt;0,INDEX(生物种群!$B$2:INDEX(生物种群!$B:$B,COUNTA(生物种群!$B:$B)),MATCH($C674,生物种群!$G$2:INDEX(生物种群!$G:$G,COUNTA(生物种群!$G:$G)),),),IF($A674&lt;&gt;0,INDEX(生物种群!$B$2:INDEX(生物种群!$B:$B,COUNTA(生物种群!$B:$B)),MATCH($A674,生物种群!$C$2:INDEX(生物种群!$C:$C,COUNTA(生物种群!$C:$C)),),),INDEX(生物种群!$B$2:INDEX(生物种群!$B:$B,COUNTA(生物种群!$B:$B)),MATCH($B674,生物种群!$D$2:INDEX(生物种群!$D:$D,COUNTA(生物种群!$D:$D)),),))))</f>
        <v/>
      </c>
      <c r="J674" s="37" t="str">
        <f>IF(A674&amp;B674&amp;C674="","",INDEX(生物种群!$J$2:INDEX(生物种群!$J:$J,COUNTA(生物种群!$J:$J)),MATCH($I674,生物种群!$B$2:INDEX(生物种群!$B:$B,COUNTA(生物种群!$B:$B)),),))</f>
        <v/>
      </c>
      <c r="K674" s="37" t="str">
        <f>IF(A674&amp;B674&amp;C674="","",INDEX(生物种群!$E$2:INDEX(生物种群!$E:$E,COUNTA(生物种群!$E:$E)),MATCH($I674,生物种群!$B$2:INDEX(生物种群!$B:$B,COUNTA(生物种群!$B:$B)),),))</f>
        <v/>
      </c>
      <c r="L674" s="37" t="str">
        <f>IF(A674&amp;B674&amp;C674="","",INDEX(生物种群!$F$3:INDEX(生物种群!$F:$F,COUNTA(生物种群!$F:$F)),MATCH($I674,生物种群!$B$3:INDEX(生物种群!$B:$B,COUNTA(生物种群!$B:$B)),),))</f>
        <v/>
      </c>
      <c r="M674" s="37" t="str">
        <f t="shared" si="20"/>
        <v/>
      </c>
      <c r="N674" s="37" t="str">
        <f t="shared" si="21"/>
        <v/>
      </c>
      <c r="O674" s="9"/>
      <c r="P674" s="10"/>
    </row>
    <row r="675" spans="1:16" ht="20.1" customHeight="1">
      <c r="A675" s="9"/>
      <c r="B675" s="9"/>
      <c r="C675" s="9"/>
      <c r="D675" s="43"/>
      <c r="E675" s="9"/>
      <c r="F675" s="9"/>
      <c r="G675" s="47" t="str">
        <f>IF(F675="","",INDEX(站位样品信息!$B$3:INDEX(站位样品信息!$B:$B,COUNTA(站位样品信息!$B:$B)+1),MATCH($F675,站位样品信息!$A$3:INDEX(站位样品信息!$A:$A,COUNTA(站位样品信息!$A:$A)+1),),))</f>
        <v/>
      </c>
      <c r="H675" s="37" t="str">
        <f>IF(A675&amp;B675&amp;C675="","",INDEX(生物种群!$A$2:INDEX(生物种群!$A:$A,COUNTA(生物种群!$A:$A)),MATCH($I675,生物种群!$B$2:INDEX(生物种群!$B:$B,COUNTA(生物种群!$B:$B)),),))</f>
        <v/>
      </c>
      <c r="I675" s="37" t="str">
        <f>IF(A675&amp;B675&amp;C675="","",IF($C675&lt;&gt;0,INDEX(生物种群!$B$2:INDEX(生物种群!$B:$B,COUNTA(生物种群!$B:$B)),MATCH($C675,生物种群!$G$2:INDEX(生物种群!$G:$G,COUNTA(生物种群!$G:$G)),),),IF($A675&lt;&gt;0,INDEX(生物种群!$B$2:INDEX(生物种群!$B:$B,COUNTA(生物种群!$B:$B)),MATCH($A675,生物种群!$C$2:INDEX(生物种群!$C:$C,COUNTA(生物种群!$C:$C)),),),INDEX(生物种群!$B$2:INDEX(生物种群!$B:$B,COUNTA(生物种群!$B:$B)),MATCH($B675,生物种群!$D$2:INDEX(生物种群!$D:$D,COUNTA(生物种群!$D:$D)),),))))</f>
        <v/>
      </c>
      <c r="J675" s="37" t="str">
        <f>IF(A675&amp;B675&amp;C675="","",INDEX(生物种群!$J$2:INDEX(生物种群!$J:$J,COUNTA(生物种群!$J:$J)),MATCH($I675,生物种群!$B$2:INDEX(生物种群!$B:$B,COUNTA(生物种群!$B:$B)),),))</f>
        <v/>
      </c>
      <c r="K675" s="37" t="str">
        <f>IF(A675&amp;B675&amp;C675="","",INDEX(生物种群!$E$2:INDEX(生物种群!$E:$E,COUNTA(生物种群!$E:$E)),MATCH($I675,生物种群!$B$2:INDEX(生物种群!$B:$B,COUNTA(生物种群!$B:$B)),),))</f>
        <v/>
      </c>
      <c r="L675" s="37" t="str">
        <f>IF(A675&amp;B675&amp;C675="","",INDEX(生物种群!$F$3:INDEX(生物种群!$F:$F,COUNTA(生物种群!$F:$F)),MATCH($I675,生物种群!$B$3:INDEX(生物种群!$B:$B,COUNTA(生物种群!$B:$B)),),))</f>
        <v/>
      </c>
      <c r="M675" s="37" t="str">
        <f t="shared" si="20"/>
        <v/>
      </c>
      <c r="N675" s="37" t="str">
        <f t="shared" si="21"/>
        <v/>
      </c>
      <c r="O675" s="9"/>
      <c r="P675" s="10"/>
    </row>
    <row r="676" spans="1:16" ht="20.1" customHeight="1">
      <c r="A676" s="9"/>
      <c r="B676" s="9"/>
      <c r="C676" s="9"/>
      <c r="D676" s="43"/>
      <c r="E676" s="9"/>
      <c r="F676" s="9"/>
      <c r="G676" s="47" t="str">
        <f>IF(F676="","",INDEX(站位样品信息!$B$3:INDEX(站位样品信息!$B:$B,COUNTA(站位样品信息!$B:$B)+1),MATCH($F676,站位样品信息!$A$3:INDEX(站位样品信息!$A:$A,COUNTA(站位样品信息!$A:$A)+1),),))</f>
        <v/>
      </c>
      <c r="H676" s="37" t="str">
        <f>IF(A676&amp;B676&amp;C676="","",INDEX(生物种群!$A$2:INDEX(生物种群!$A:$A,COUNTA(生物种群!$A:$A)),MATCH($I676,生物种群!$B$2:INDEX(生物种群!$B:$B,COUNTA(生物种群!$B:$B)),),))</f>
        <v/>
      </c>
      <c r="I676" s="37" t="str">
        <f>IF(A676&amp;B676&amp;C676="","",IF($C676&lt;&gt;0,INDEX(生物种群!$B$2:INDEX(生物种群!$B:$B,COUNTA(生物种群!$B:$B)),MATCH($C676,生物种群!$G$2:INDEX(生物种群!$G:$G,COUNTA(生物种群!$G:$G)),),),IF($A676&lt;&gt;0,INDEX(生物种群!$B$2:INDEX(生物种群!$B:$B,COUNTA(生物种群!$B:$B)),MATCH($A676,生物种群!$C$2:INDEX(生物种群!$C:$C,COUNTA(生物种群!$C:$C)),),),INDEX(生物种群!$B$2:INDEX(生物种群!$B:$B,COUNTA(生物种群!$B:$B)),MATCH($B676,生物种群!$D$2:INDEX(生物种群!$D:$D,COUNTA(生物种群!$D:$D)),),))))</f>
        <v/>
      </c>
      <c r="J676" s="37" t="str">
        <f>IF(A676&amp;B676&amp;C676="","",INDEX(生物种群!$J$2:INDEX(生物种群!$J:$J,COUNTA(生物种群!$J:$J)),MATCH($I676,生物种群!$B$2:INDEX(生物种群!$B:$B,COUNTA(生物种群!$B:$B)),),))</f>
        <v/>
      </c>
      <c r="K676" s="37" t="str">
        <f>IF(A676&amp;B676&amp;C676="","",INDEX(生物种群!$E$2:INDEX(生物种群!$E:$E,COUNTA(生物种群!$E:$E)),MATCH($I676,生物种群!$B$2:INDEX(生物种群!$B:$B,COUNTA(生物种群!$B:$B)),),))</f>
        <v/>
      </c>
      <c r="L676" s="37" t="str">
        <f>IF(A676&amp;B676&amp;C676="","",INDEX(生物种群!$F$3:INDEX(生物种群!$F:$F,COUNTA(生物种群!$F:$F)),MATCH($I676,生物种群!$B$3:INDEX(生物种群!$B:$B,COUNTA(生物种群!$B:$B)),),))</f>
        <v/>
      </c>
      <c r="M676" s="37" t="str">
        <f t="shared" si="20"/>
        <v/>
      </c>
      <c r="N676" s="37" t="str">
        <f t="shared" si="21"/>
        <v/>
      </c>
      <c r="O676" s="9"/>
      <c r="P676" s="10"/>
    </row>
    <row r="677" spans="1:16" ht="20.1" customHeight="1">
      <c r="A677" s="9"/>
      <c r="B677" s="9"/>
      <c r="C677" s="9"/>
      <c r="D677" s="43"/>
      <c r="E677" s="9"/>
      <c r="F677" s="9"/>
      <c r="G677" s="47" t="str">
        <f>IF(F677="","",INDEX(站位样品信息!$B$3:INDEX(站位样品信息!$B:$B,COUNTA(站位样品信息!$B:$B)+1),MATCH($F677,站位样品信息!$A$3:INDEX(站位样品信息!$A:$A,COUNTA(站位样品信息!$A:$A)+1),),))</f>
        <v/>
      </c>
      <c r="H677" s="37" t="str">
        <f>IF(A677&amp;B677&amp;C677="","",INDEX(生物种群!$A$2:INDEX(生物种群!$A:$A,COUNTA(生物种群!$A:$A)),MATCH($I677,生物种群!$B$2:INDEX(生物种群!$B:$B,COUNTA(生物种群!$B:$B)),),))</f>
        <v/>
      </c>
      <c r="I677" s="37" t="str">
        <f>IF(A677&amp;B677&amp;C677="","",IF($C677&lt;&gt;0,INDEX(生物种群!$B$2:INDEX(生物种群!$B:$B,COUNTA(生物种群!$B:$B)),MATCH($C677,生物种群!$G$2:INDEX(生物种群!$G:$G,COUNTA(生物种群!$G:$G)),),),IF($A677&lt;&gt;0,INDEX(生物种群!$B$2:INDEX(生物种群!$B:$B,COUNTA(生物种群!$B:$B)),MATCH($A677,生物种群!$C$2:INDEX(生物种群!$C:$C,COUNTA(生物种群!$C:$C)),),),INDEX(生物种群!$B$2:INDEX(生物种群!$B:$B,COUNTA(生物种群!$B:$B)),MATCH($B677,生物种群!$D$2:INDEX(生物种群!$D:$D,COUNTA(生物种群!$D:$D)),),))))</f>
        <v/>
      </c>
      <c r="J677" s="37" t="str">
        <f>IF(A677&amp;B677&amp;C677="","",INDEX(生物种群!$J$2:INDEX(生物种群!$J:$J,COUNTA(生物种群!$J:$J)),MATCH($I677,生物种群!$B$2:INDEX(生物种群!$B:$B,COUNTA(生物种群!$B:$B)),),))</f>
        <v/>
      </c>
      <c r="K677" s="37" t="str">
        <f>IF(A677&amp;B677&amp;C677="","",INDEX(生物种群!$E$2:INDEX(生物种群!$E:$E,COUNTA(生物种群!$E:$E)),MATCH($I677,生物种群!$B$2:INDEX(生物种群!$B:$B,COUNTA(生物种群!$B:$B)),),))</f>
        <v/>
      </c>
      <c r="L677" s="37" t="str">
        <f>IF(A677&amp;B677&amp;C677="","",INDEX(生物种群!$F$3:INDEX(生物种群!$F:$F,COUNTA(生物种群!$F:$F)),MATCH($I677,生物种群!$B$3:INDEX(生物种群!$B:$B,COUNTA(生物种群!$B:$B)),),))</f>
        <v/>
      </c>
      <c r="M677" s="37" t="str">
        <f t="shared" si="20"/>
        <v/>
      </c>
      <c r="N677" s="37" t="str">
        <f t="shared" si="21"/>
        <v/>
      </c>
      <c r="O677" s="9"/>
      <c r="P677" s="10"/>
    </row>
    <row r="678" spans="1:16" ht="20.1" customHeight="1">
      <c r="A678" s="9"/>
      <c r="B678" s="9"/>
      <c r="C678" s="9"/>
      <c r="D678" s="43"/>
      <c r="E678" s="9"/>
      <c r="F678" s="9"/>
      <c r="G678" s="47" t="str">
        <f>IF(F678="","",INDEX(站位样品信息!$B$3:INDEX(站位样品信息!$B:$B,COUNTA(站位样品信息!$B:$B)+1),MATCH($F678,站位样品信息!$A$3:INDEX(站位样品信息!$A:$A,COUNTA(站位样品信息!$A:$A)+1),),))</f>
        <v/>
      </c>
      <c r="H678" s="37" t="str">
        <f>IF(A678&amp;B678&amp;C678="","",INDEX(生物种群!$A$2:INDEX(生物种群!$A:$A,COUNTA(生物种群!$A:$A)),MATCH($I678,生物种群!$B$2:INDEX(生物种群!$B:$B,COUNTA(生物种群!$B:$B)),),))</f>
        <v/>
      </c>
      <c r="I678" s="37" t="str">
        <f>IF(A678&amp;B678&amp;C678="","",IF($C678&lt;&gt;0,INDEX(生物种群!$B$2:INDEX(生物种群!$B:$B,COUNTA(生物种群!$B:$B)),MATCH($C678,生物种群!$G$2:INDEX(生物种群!$G:$G,COUNTA(生物种群!$G:$G)),),),IF($A678&lt;&gt;0,INDEX(生物种群!$B$2:INDEX(生物种群!$B:$B,COUNTA(生物种群!$B:$B)),MATCH($A678,生物种群!$C$2:INDEX(生物种群!$C:$C,COUNTA(生物种群!$C:$C)),),),INDEX(生物种群!$B$2:INDEX(生物种群!$B:$B,COUNTA(生物种群!$B:$B)),MATCH($B678,生物种群!$D$2:INDEX(生物种群!$D:$D,COUNTA(生物种群!$D:$D)),),))))</f>
        <v/>
      </c>
      <c r="J678" s="37" t="str">
        <f>IF(A678&amp;B678&amp;C678="","",INDEX(生物种群!$J$2:INDEX(生物种群!$J:$J,COUNTA(生物种群!$J:$J)),MATCH($I678,生物种群!$B$2:INDEX(生物种群!$B:$B,COUNTA(生物种群!$B:$B)),),))</f>
        <v/>
      </c>
      <c r="K678" s="37" t="str">
        <f>IF(A678&amp;B678&amp;C678="","",INDEX(生物种群!$E$2:INDEX(生物种群!$E:$E,COUNTA(生物种群!$E:$E)),MATCH($I678,生物种群!$B$2:INDEX(生物种群!$B:$B,COUNTA(生物种群!$B:$B)),),))</f>
        <v/>
      </c>
      <c r="L678" s="37" t="str">
        <f>IF(A678&amp;B678&amp;C678="","",INDEX(生物种群!$F$3:INDEX(生物种群!$F:$F,COUNTA(生物种群!$F:$F)),MATCH($I678,生物种群!$B$3:INDEX(生物种群!$B:$B,COUNTA(生物种群!$B:$B)),),))</f>
        <v/>
      </c>
      <c r="M678" s="37" t="str">
        <f t="shared" si="20"/>
        <v/>
      </c>
      <c r="N678" s="37" t="str">
        <f t="shared" si="21"/>
        <v/>
      </c>
      <c r="O678" s="9"/>
      <c r="P678" s="10"/>
    </row>
    <row r="679" spans="1:16" ht="20.1" customHeight="1">
      <c r="A679" s="9"/>
      <c r="B679" s="9"/>
      <c r="C679" s="9"/>
      <c r="D679" s="43"/>
      <c r="E679" s="9"/>
      <c r="F679" s="9"/>
      <c r="G679" s="47" t="str">
        <f>IF(F679="","",INDEX(站位样品信息!$B$3:INDEX(站位样品信息!$B:$B,COUNTA(站位样品信息!$B:$B)+1),MATCH($F679,站位样品信息!$A$3:INDEX(站位样品信息!$A:$A,COUNTA(站位样品信息!$A:$A)+1),),))</f>
        <v/>
      </c>
      <c r="H679" s="37" t="str">
        <f>IF(A679&amp;B679&amp;C679="","",INDEX(生物种群!$A$2:INDEX(生物种群!$A:$A,COUNTA(生物种群!$A:$A)),MATCH($I679,生物种群!$B$2:INDEX(生物种群!$B:$B,COUNTA(生物种群!$B:$B)),),))</f>
        <v/>
      </c>
      <c r="I679" s="37" t="str">
        <f>IF(A679&amp;B679&amp;C679="","",IF($C679&lt;&gt;0,INDEX(生物种群!$B$2:INDEX(生物种群!$B:$B,COUNTA(生物种群!$B:$B)),MATCH($C679,生物种群!$G$2:INDEX(生物种群!$G:$G,COUNTA(生物种群!$G:$G)),),),IF($A679&lt;&gt;0,INDEX(生物种群!$B$2:INDEX(生物种群!$B:$B,COUNTA(生物种群!$B:$B)),MATCH($A679,生物种群!$C$2:INDEX(生物种群!$C:$C,COUNTA(生物种群!$C:$C)),),),INDEX(生物种群!$B$2:INDEX(生物种群!$B:$B,COUNTA(生物种群!$B:$B)),MATCH($B679,生物种群!$D$2:INDEX(生物种群!$D:$D,COUNTA(生物种群!$D:$D)),),))))</f>
        <v/>
      </c>
      <c r="J679" s="37" t="str">
        <f>IF(A679&amp;B679&amp;C679="","",INDEX(生物种群!$J$2:INDEX(生物种群!$J:$J,COUNTA(生物种群!$J:$J)),MATCH($I679,生物种群!$B$2:INDEX(生物种群!$B:$B,COUNTA(生物种群!$B:$B)),),))</f>
        <v/>
      </c>
      <c r="K679" s="37" t="str">
        <f>IF(A679&amp;B679&amp;C679="","",INDEX(生物种群!$E$2:INDEX(生物种群!$E:$E,COUNTA(生物种群!$E:$E)),MATCH($I679,生物种群!$B$2:INDEX(生物种群!$B:$B,COUNTA(生物种群!$B:$B)),),))</f>
        <v/>
      </c>
      <c r="L679" s="37" t="str">
        <f>IF(A679&amp;B679&amp;C679="","",INDEX(生物种群!$F$3:INDEX(生物种群!$F:$F,COUNTA(生物种群!$F:$F)),MATCH($I679,生物种群!$B$3:INDEX(生物种群!$B:$B,COUNTA(生物种群!$B:$B)),),))</f>
        <v/>
      </c>
      <c r="M679" s="37" t="str">
        <f t="shared" si="20"/>
        <v/>
      </c>
      <c r="N679" s="37" t="str">
        <f t="shared" si="21"/>
        <v/>
      </c>
      <c r="O679" s="9"/>
      <c r="P679" s="10"/>
    </row>
    <row r="680" spans="1:16" ht="20.1" customHeight="1">
      <c r="A680" s="9"/>
      <c r="B680" s="9"/>
      <c r="C680" s="9"/>
      <c r="D680" s="43"/>
      <c r="E680" s="9"/>
      <c r="F680" s="9"/>
      <c r="G680" s="47" t="str">
        <f>IF(F680="","",INDEX(站位样品信息!$B$3:INDEX(站位样品信息!$B:$B,COUNTA(站位样品信息!$B:$B)+1),MATCH($F680,站位样品信息!$A$3:INDEX(站位样品信息!$A:$A,COUNTA(站位样品信息!$A:$A)+1),),))</f>
        <v/>
      </c>
      <c r="H680" s="37" t="str">
        <f>IF(A680&amp;B680&amp;C680="","",INDEX(生物种群!$A$2:INDEX(生物种群!$A:$A,COUNTA(生物种群!$A:$A)),MATCH($I680,生物种群!$B$2:INDEX(生物种群!$B:$B,COUNTA(生物种群!$B:$B)),),))</f>
        <v/>
      </c>
      <c r="I680" s="37" t="str">
        <f>IF(A680&amp;B680&amp;C680="","",IF($C680&lt;&gt;0,INDEX(生物种群!$B$2:INDEX(生物种群!$B:$B,COUNTA(生物种群!$B:$B)),MATCH($C680,生物种群!$G$2:INDEX(生物种群!$G:$G,COUNTA(生物种群!$G:$G)),),),IF($A680&lt;&gt;0,INDEX(生物种群!$B$2:INDEX(生物种群!$B:$B,COUNTA(生物种群!$B:$B)),MATCH($A680,生物种群!$C$2:INDEX(生物种群!$C:$C,COUNTA(生物种群!$C:$C)),),),INDEX(生物种群!$B$2:INDEX(生物种群!$B:$B,COUNTA(生物种群!$B:$B)),MATCH($B680,生物种群!$D$2:INDEX(生物种群!$D:$D,COUNTA(生物种群!$D:$D)),),))))</f>
        <v/>
      </c>
      <c r="J680" s="37" t="str">
        <f>IF(A680&amp;B680&amp;C680="","",INDEX(生物种群!$J$2:INDEX(生物种群!$J:$J,COUNTA(生物种群!$J:$J)),MATCH($I680,生物种群!$B$2:INDEX(生物种群!$B:$B,COUNTA(生物种群!$B:$B)),),))</f>
        <v/>
      </c>
      <c r="K680" s="37" t="str">
        <f>IF(A680&amp;B680&amp;C680="","",INDEX(生物种群!$E$2:INDEX(生物种群!$E:$E,COUNTA(生物种群!$E:$E)),MATCH($I680,生物种群!$B$2:INDEX(生物种群!$B:$B,COUNTA(生物种群!$B:$B)),),))</f>
        <v/>
      </c>
      <c r="L680" s="37" t="str">
        <f>IF(A680&amp;B680&amp;C680="","",INDEX(生物种群!$F$3:INDEX(生物种群!$F:$F,COUNTA(生物种群!$F:$F)),MATCH($I680,生物种群!$B$3:INDEX(生物种群!$B:$B,COUNTA(生物种群!$B:$B)),),))</f>
        <v/>
      </c>
      <c r="M680" s="37" t="str">
        <f t="shared" si="20"/>
        <v/>
      </c>
      <c r="N680" s="37" t="str">
        <f t="shared" si="21"/>
        <v/>
      </c>
      <c r="O680" s="9"/>
      <c r="P680" s="10"/>
    </row>
    <row r="681" spans="1:16" ht="20.1" customHeight="1">
      <c r="A681" s="9"/>
      <c r="B681" s="9"/>
      <c r="C681" s="9"/>
      <c r="D681" s="43"/>
      <c r="E681" s="9"/>
      <c r="F681" s="9"/>
      <c r="G681" s="47" t="str">
        <f>IF(F681="","",INDEX(站位样品信息!$B$3:INDEX(站位样品信息!$B:$B,COUNTA(站位样品信息!$B:$B)+1),MATCH($F681,站位样品信息!$A$3:INDEX(站位样品信息!$A:$A,COUNTA(站位样品信息!$A:$A)+1),),))</f>
        <v/>
      </c>
      <c r="H681" s="37" t="str">
        <f>IF(A681&amp;B681&amp;C681="","",INDEX(生物种群!$A$2:INDEX(生物种群!$A:$A,COUNTA(生物种群!$A:$A)),MATCH($I681,生物种群!$B$2:INDEX(生物种群!$B:$B,COUNTA(生物种群!$B:$B)),),))</f>
        <v/>
      </c>
      <c r="I681" s="37" t="str">
        <f>IF(A681&amp;B681&amp;C681="","",IF($C681&lt;&gt;0,INDEX(生物种群!$B$2:INDEX(生物种群!$B:$B,COUNTA(生物种群!$B:$B)),MATCH($C681,生物种群!$G$2:INDEX(生物种群!$G:$G,COUNTA(生物种群!$G:$G)),),),IF($A681&lt;&gt;0,INDEX(生物种群!$B$2:INDEX(生物种群!$B:$B,COUNTA(生物种群!$B:$B)),MATCH($A681,生物种群!$C$2:INDEX(生物种群!$C:$C,COUNTA(生物种群!$C:$C)),),),INDEX(生物种群!$B$2:INDEX(生物种群!$B:$B,COUNTA(生物种群!$B:$B)),MATCH($B681,生物种群!$D$2:INDEX(生物种群!$D:$D,COUNTA(生物种群!$D:$D)),),))))</f>
        <v/>
      </c>
      <c r="J681" s="37" t="str">
        <f>IF(A681&amp;B681&amp;C681="","",INDEX(生物种群!$J$2:INDEX(生物种群!$J:$J,COUNTA(生物种群!$J:$J)),MATCH($I681,生物种群!$B$2:INDEX(生物种群!$B:$B,COUNTA(生物种群!$B:$B)),),))</f>
        <v/>
      </c>
      <c r="K681" s="37" t="str">
        <f>IF(A681&amp;B681&amp;C681="","",INDEX(生物种群!$E$2:INDEX(生物种群!$E:$E,COUNTA(生物种群!$E:$E)),MATCH($I681,生物种群!$B$2:INDEX(生物种群!$B:$B,COUNTA(生物种群!$B:$B)),),))</f>
        <v/>
      </c>
      <c r="L681" s="37" t="str">
        <f>IF(A681&amp;B681&amp;C681="","",INDEX(生物种群!$F$3:INDEX(生物种群!$F:$F,COUNTA(生物种群!$F:$F)),MATCH($I681,生物种群!$B$3:INDEX(生物种群!$B:$B,COUNTA(生物种群!$B:$B)),),))</f>
        <v/>
      </c>
      <c r="M681" s="37" t="str">
        <f t="shared" si="20"/>
        <v/>
      </c>
      <c r="N681" s="37" t="str">
        <f t="shared" si="21"/>
        <v/>
      </c>
      <c r="O681" s="9"/>
      <c r="P681" s="10"/>
    </row>
    <row r="682" spans="1:16" ht="20.1" customHeight="1">
      <c r="A682" s="9"/>
      <c r="B682" s="9"/>
      <c r="C682" s="9"/>
      <c r="D682" s="43"/>
      <c r="E682" s="9"/>
      <c r="F682" s="9"/>
      <c r="G682" s="47" t="str">
        <f>IF(F682="","",INDEX(站位样品信息!$B$3:INDEX(站位样品信息!$B:$B,COUNTA(站位样品信息!$B:$B)+1),MATCH($F682,站位样品信息!$A$3:INDEX(站位样品信息!$A:$A,COUNTA(站位样品信息!$A:$A)+1),),))</f>
        <v/>
      </c>
      <c r="H682" s="37" t="str">
        <f>IF(A682&amp;B682&amp;C682="","",INDEX(生物种群!$A$2:INDEX(生物种群!$A:$A,COUNTA(生物种群!$A:$A)),MATCH($I682,生物种群!$B$2:INDEX(生物种群!$B:$B,COUNTA(生物种群!$B:$B)),),))</f>
        <v/>
      </c>
      <c r="I682" s="37" t="str">
        <f>IF(A682&amp;B682&amp;C682="","",IF($C682&lt;&gt;0,INDEX(生物种群!$B$2:INDEX(生物种群!$B:$B,COUNTA(生物种群!$B:$B)),MATCH($C682,生物种群!$G$2:INDEX(生物种群!$G:$G,COUNTA(生物种群!$G:$G)),),),IF($A682&lt;&gt;0,INDEX(生物种群!$B$2:INDEX(生物种群!$B:$B,COUNTA(生物种群!$B:$B)),MATCH($A682,生物种群!$C$2:INDEX(生物种群!$C:$C,COUNTA(生物种群!$C:$C)),),),INDEX(生物种群!$B$2:INDEX(生物种群!$B:$B,COUNTA(生物种群!$B:$B)),MATCH($B682,生物种群!$D$2:INDEX(生物种群!$D:$D,COUNTA(生物种群!$D:$D)),),))))</f>
        <v/>
      </c>
      <c r="J682" s="37" t="str">
        <f>IF(A682&amp;B682&amp;C682="","",INDEX(生物种群!$J$2:INDEX(生物种群!$J:$J,COUNTA(生物种群!$J:$J)),MATCH($I682,生物种群!$B$2:INDEX(生物种群!$B:$B,COUNTA(生物种群!$B:$B)),),))</f>
        <v/>
      </c>
      <c r="K682" s="37" t="str">
        <f>IF(A682&amp;B682&amp;C682="","",INDEX(生物种群!$E$2:INDEX(生物种群!$E:$E,COUNTA(生物种群!$E:$E)),MATCH($I682,生物种群!$B$2:INDEX(生物种群!$B:$B,COUNTA(生物种群!$B:$B)),),))</f>
        <v/>
      </c>
      <c r="L682" s="37" t="str">
        <f>IF(A682&amp;B682&amp;C682="","",INDEX(生物种群!$F$3:INDEX(生物种群!$F:$F,COUNTA(生物种群!$F:$F)),MATCH($I682,生物种群!$B$3:INDEX(生物种群!$B:$B,COUNTA(生物种群!$B:$B)),),))</f>
        <v/>
      </c>
      <c r="M682" s="37" t="str">
        <f t="shared" si="20"/>
        <v/>
      </c>
      <c r="N682" s="37" t="str">
        <f t="shared" si="21"/>
        <v/>
      </c>
      <c r="O682" s="9"/>
      <c r="P682" s="10"/>
    </row>
    <row r="683" spans="1:16" ht="20.1" customHeight="1">
      <c r="A683" s="9"/>
      <c r="B683" s="9"/>
      <c r="C683" s="9"/>
      <c r="D683" s="43"/>
      <c r="E683" s="9"/>
      <c r="F683" s="9"/>
      <c r="G683" s="47" t="str">
        <f>IF(F683="","",INDEX(站位样品信息!$B$3:INDEX(站位样品信息!$B:$B,COUNTA(站位样品信息!$B:$B)+1),MATCH($F683,站位样品信息!$A$3:INDEX(站位样品信息!$A:$A,COUNTA(站位样品信息!$A:$A)+1),),))</f>
        <v/>
      </c>
      <c r="H683" s="37" t="str">
        <f>IF(A683&amp;B683&amp;C683="","",INDEX(生物种群!$A$2:INDEX(生物种群!$A:$A,COUNTA(生物种群!$A:$A)),MATCH($I683,生物种群!$B$2:INDEX(生物种群!$B:$B,COUNTA(生物种群!$B:$B)),),))</f>
        <v/>
      </c>
      <c r="I683" s="37" t="str">
        <f>IF(A683&amp;B683&amp;C683="","",IF($C683&lt;&gt;0,INDEX(生物种群!$B$2:INDEX(生物种群!$B:$B,COUNTA(生物种群!$B:$B)),MATCH($C683,生物种群!$G$2:INDEX(生物种群!$G:$G,COUNTA(生物种群!$G:$G)),),),IF($A683&lt;&gt;0,INDEX(生物种群!$B$2:INDEX(生物种群!$B:$B,COUNTA(生物种群!$B:$B)),MATCH($A683,生物种群!$C$2:INDEX(生物种群!$C:$C,COUNTA(生物种群!$C:$C)),),),INDEX(生物种群!$B$2:INDEX(生物种群!$B:$B,COUNTA(生物种群!$B:$B)),MATCH($B683,生物种群!$D$2:INDEX(生物种群!$D:$D,COUNTA(生物种群!$D:$D)),),))))</f>
        <v/>
      </c>
      <c r="J683" s="37" t="str">
        <f>IF(A683&amp;B683&amp;C683="","",INDEX(生物种群!$J$2:INDEX(生物种群!$J:$J,COUNTA(生物种群!$J:$J)),MATCH($I683,生物种群!$B$2:INDEX(生物种群!$B:$B,COUNTA(生物种群!$B:$B)),),))</f>
        <v/>
      </c>
      <c r="K683" s="37" t="str">
        <f>IF(A683&amp;B683&amp;C683="","",INDEX(生物种群!$E$2:INDEX(生物种群!$E:$E,COUNTA(生物种群!$E:$E)),MATCH($I683,生物种群!$B$2:INDEX(生物种群!$B:$B,COUNTA(生物种群!$B:$B)),),))</f>
        <v/>
      </c>
      <c r="L683" s="37" t="str">
        <f>IF(A683&amp;B683&amp;C683="","",INDEX(生物种群!$F$3:INDEX(生物种群!$F:$F,COUNTA(生物种群!$F:$F)),MATCH($I683,生物种群!$B$3:INDEX(生物种群!$B:$B,COUNTA(生物种群!$B:$B)),),))</f>
        <v/>
      </c>
      <c r="M683" s="37" t="str">
        <f t="shared" si="20"/>
        <v/>
      </c>
      <c r="N683" s="37" t="str">
        <f t="shared" si="21"/>
        <v/>
      </c>
      <c r="O683" s="9"/>
      <c r="P683" s="10"/>
    </row>
    <row r="684" spans="1:16" ht="20.1" customHeight="1">
      <c r="A684" s="9"/>
      <c r="B684" s="9"/>
      <c r="C684" s="9"/>
      <c r="D684" s="43"/>
      <c r="E684" s="9"/>
      <c r="F684" s="9"/>
      <c r="G684" s="47" t="str">
        <f>IF(F684="","",INDEX(站位样品信息!$B$3:INDEX(站位样品信息!$B:$B,COUNTA(站位样品信息!$B:$B)+1),MATCH($F684,站位样品信息!$A$3:INDEX(站位样品信息!$A:$A,COUNTA(站位样品信息!$A:$A)+1),),))</f>
        <v/>
      </c>
      <c r="H684" s="37" t="str">
        <f>IF(A684&amp;B684&amp;C684="","",INDEX(生物种群!$A$2:INDEX(生物种群!$A:$A,COUNTA(生物种群!$A:$A)),MATCH($I684,生物种群!$B$2:INDEX(生物种群!$B:$B,COUNTA(生物种群!$B:$B)),),))</f>
        <v/>
      </c>
      <c r="I684" s="37" t="str">
        <f>IF(A684&amp;B684&amp;C684="","",IF($C684&lt;&gt;0,INDEX(生物种群!$B$2:INDEX(生物种群!$B:$B,COUNTA(生物种群!$B:$B)),MATCH($C684,生物种群!$G$2:INDEX(生物种群!$G:$G,COUNTA(生物种群!$G:$G)),),),IF($A684&lt;&gt;0,INDEX(生物种群!$B$2:INDEX(生物种群!$B:$B,COUNTA(生物种群!$B:$B)),MATCH($A684,生物种群!$C$2:INDEX(生物种群!$C:$C,COUNTA(生物种群!$C:$C)),),),INDEX(生物种群!$B$2:INDEX(生物种群!$B:$B,COUNTA(生物种群!$B:$B)),MATCH($B684,生物种群!$D$2:INDEX(生物种群!$D:$D,COUNTA(生物种群!$D:$D)),),))))</f>
        <v/>
      </c>
      <c r="J684" s="37" t="str">
        <f>IF(A684&amp;B684&amp;C684="","",INDEX(生物种群!$J$2:INDEX(生物种群!$J:$J,COUNTA(生物种群!$J:$J)),MATCH($I684,生物种群!$B$2:INDEX(生物种群!$B:$B,COUNTA(生物种群!$B:$B)),),))</f>
        <v/>
      </c>
      <c r="K684" s="37" t="str">
        <f>IF(A684&amp;B684&amp;C684="","",INDEX(生物种群!$E$2:INDEX(生物种群!$E:$E,COUNTA(生物种群!$E:$E)),MATCH($I684,生物种群!$B$2:INDEX(生物种群!$B:$B,COUNTA(生物种群!$B:$B)),),))</f>
        <v/>
      </c>
      <c r="L684" s="37" t="str">
        <f>IF(A684&amp;B684&amp;C684="","",INDEX(生物种群!$F$3:INDEX(生物种群!$F:$F,COUNTA(生物种群!$F:$F)),MATCH($I684,生物种群!$B$3:INDEX(生物种群!$B:$B,COUNTA(生物种群!$B:$B)),),))</f>
        <v/>
      </c>
      <c r="M684" s="37" t="str">
        <f t="shared" si="20"/>
        <v/>
      </c>
      <c r="N684" s="37" t="str">
        <f t="shared" si="21"/>
        <v/>
      </c>
      <c r="O684" s="9"/>
      <c r="P684" s="10"/>
    </row>
    <row r="685" spans="1:16" ht="20.1" customHeight="1">
      <c r="A685" s="9"/>
      <c r="B685" s="9"/>
      <c r="C685" s="9"/>
      <c r="D685" s="43"/>
      <c r="E685" s="9"/>
      <c r="F685" s="9"/>
      <c r="G685" s="47" t="str">
        <f>IF(F685="","",INDEX(站位样品信息!$B$3:INDEX(站位样品信息!$B:$B,COUNTA(站位样品信息!$B:$B)+1),MATCH($F685,站位样品信息!$A$3:INDEX(站位样品信息!$A:$A,COUNTA(站位样品信息!$A:$A)+1),),))</f>
        <v/>
      </c>
      <c r="H685" s="37" t="str">
        <f>IF(A685&amp;B685&amp;C685="","",INDEX(生物种群!$A$2:INDEX(生物种群!$A:$A,COUNTA(生物种群!$A:$A)),MATCH($I685,生物种群!$B$2:INDEX(生物种群!$B:$B,COUNTA(生物种群!$B:$B)),),))</f>
        <v/>
      </c>
      <c r="I685" s="37" t="str">
        <f>IF(A685&amp;B685&amp;C685="","",IF($C685&lt;&gt;0,INDEX(生物种群!$B$2:INDEX(生物种群!$B:$B,COUNTA(生物种群!$B:$B)),MATCH($C685,生物种群!$G$2:INDEX(生物种群!$G:$G,COUNTA(生物种群!$G:$G)),),),IF($A685&lt;&gt;0,INDEX(生物种群!$B$2:INDEX(生物种群!$B:$B,COUNTA(生物种群!$B:$B)),MATCH($A685,生物种群!$C$2:INDEX(生物种群!$C:$C,COUNTA(生物种群!$C:$C)),),),INDEX(生物种群!$B$2:INDEX(生物种群!$B:$B,COUNTA(生物种群!$B:$B)),MATCH($B685,生物种群!$D$2:INDEX(生物种群!$D:$D,COUNTA(生物种群!$D:$D)),),))))</f>
        <v/>
      </c>
      <c r="J685" s="37" t="str">
        <f>IF(A685&amp;B685&amp;C685="","",INDEX(生物种群!$J$2:INDEX(生物种群!$J:$J,COUNTA(生物种群!$J:$J)),MATCH($I685,生物种群!$B$2:INDEX(生物种群!$B:$B,COUNTA(生物种群!$B:$B)),),))</f>
        <v/>
      </c>
      <c r="K685" s="37" t="str">
        <f>IF(A685&amp;B685&amp;C685="","",INDEX(生物种群!$E$2:INDEX(生物种群!$E:$E,COUNTA(生物种群!$E:$E)),MATCH($I685,生物种群!$B$2:INDEX(生物种群!$B:$B,COUNTA(生物种群!$B:$B)),),))</f>
        <v/>
      </c>
      <c r="L685" s="37" t="str">
        <f>IF(A685&amp;B685&amp;C685="","",INDEX(生物种群!$F$3:INDEX(生物种群!$F:$F,COUNTA(生物种群!$F:$F)),MATCH($I685,生物种群!$B$3:INDEX(生物种群!$B:$B,COUNTA(生物种群!$B:$B)),),))</f>
        <v/>
      </c>
      <c r="M685" s="37" t="str">
        <f t="shared" si="20"/>
        <v/>
      </c>
      <c r="N685" s="37" t="str">
        <f t="shared" si="21"/>
        <v/>
      </c>
      <c r="O685" s="9"/>
      <c r="P685" s="10"/>
    </row>
    <row r="686" spans="1:16" ht="20.1" customHeight="1">
      <c r="A686" s="9"/>
      <c r="B686" s="9"/>
      <c r="C686" s="9"/>
      <c r="D686" s="43"/>
      <c r="E686" s="9"/>
      <c r="F686" s="9"/>
      <c r="G686" s="47" t="str">
        <f>IF(F686="","",INDEX(站位样品信息!$B$3:INDEX(站位样品信息!$B:$B,COUNTA(站位样品信息!$B:$B)+1),MATCH($F686,站位样品信息!$A$3:INDEX(站位样品信息!$A:$A,COUNTA(站位样品信息!$A:$A)+1),),))</f>
        <v/>
      </c>
      <c r="H686" s="37" t="str">
        <f>IF(A686&amp;B686&amp;C686="","",INDEX(生物种群!$A$2:INDEX(生物种群!$A:$A,COUNTA(生物种群!$A:$A)),MATCH($I686,生物种群!$B$2:INDEX(生物种群!$B:$B,COUNTA(生物种群!$B:$B)),),))</f>
        <v/>
      </c>
      <c r="I686" s="37" t="str">
        <f>IF(A686&amp;B686&amp;C686="","",IF($C686&lt;&gt;0,INDEX(生物种群!$B$2:INDEX(生物种群!$B:$B,COUNTA(生物种群!$B:$B)),MATCH($C686,生物种群!$G$2:INDEX(生物种群!$G:$G,COUNTA(生物种群!$G:$G)),),),IF($A686&lt;&gt;0,INDEX(生物种群!$B$2:INDEX(生物种群!$B:$B,COUNTA(生物种群!$B:$B)),MATCH($A686,生物种群!$C$2:INDEX(生物种群!$C:$C,COUNTA(生物种群!$C:$C)),),),INDEX(生物种群!$B$2:INDEX(生物种群!$B:$B,COUNTA(生物种群!$B:$B)),MATCH($B686,生物种群!$D$2:INDEX(生物种群!$D:$D,COUNTA(生物种群!$D:$D)),),))))</f>
        <v/>
      </c>
      <c r="J686" s="37" t="str">
        <f>IF(A686&amp;B686&amp;C686="","",INDEX(生物种群!$J$2:INDEX(生物种群!$J:$J,COUNTA(生物种群!$J:$J)),MATCH($I686,生物种群!$B$2:INDEX(生物种群!$B:$B,COUNTA(生物种群!$B:$B)),),))</f>
        <v/>
      </c>
      <c r="K686" s="37" t="str">
        <f>IF(A686&amp;B686&amp;C686="","",INDEX(生物种群!$E$2:INDEX(生物种群!$E:$E,COUNTA(生物种群!$E:$E)),MATCH($I686,生物种群!$B$2:INDEX(生物种群!$B:$B,COUNTA(生物种群!$B:$B)),),))</f>
        <v/>
      </c>
      <c r="L686" s="37" t="str">
        <f>IF(A686&amp;B686&amp;C686="","",INDEX(生物种群!$F$3:INDEX(生物种群!$F:$F,COUNTA(生物种群!$F:$F)),MATCH($I686,生物种群!$B$3:INDEX(生物种群!$B:$B,COUNTA(生物种群!$B:$B)),),))</f>
        <v/>
      </c>
      <c r="M686" s="37" t="str">
        <f t="shared" si="20"/>
        <v/>
      </c>
      <c r="N686" s="37" t="str">
        <f t="shared" si="21"/>
        <v/>
      </c>
      <c r="O686" s="9"/>
      <c r="P686" s="10"/>
    </row>
    <row r="687" spans="1:16" ht="20.1" customHeight="1">
      <c r="A687" s="9"/>
      <c r="B687" s="9"/>
      <c r="C687" s="9"/>
      <c r="D687" s="43"/>
      <c r="E687" s="9"/>
      <c r="F687" s="9"/>
      <c r="G687" s="47" t="str">
        <f>IF(F687="","",INDEX(站位样品信息!$B$3:INDEX(站位样品信息!$B:$B,COUNTA(站位样品信息!$B:$B)+1),MATCH($F687,站位样品信息!$A$3:INDEX(站位样品信息!$A:$A,COUNTA(站位样品信息!$A:$A)+1),),))</f>
        <v/>
      </c>
      <c r="H687" s="37" t="str">
        <f>IF(A687&amp;B687&amp;C687="","",INDEX(生物种群!$A$2:INDEX(生物种群!$A:$A,COUNTA(生物种群!$A:$A)),MATCH($I687,生物种群!$B$2:INDEX(生物种群!$B:$B,COUNTA(生物种群!$B:$B)),),))</f>
        <v/>
      </c>
      <c r="I687" s="37" t="str">
        <f>IF(A687&amp;B687&amp;C687="","",IF($C687&lt;&gt;0,INDEX(生物种群!$B$2:INDEX(生物种群!$B:$B,COUNTA(生物种群!$B:$B)),MATCH($C687,生物种群!$G$2:INDEX(生物种群!$G:$G,COUNTA(生物种群!$G:$G)),),),IF($A687&lt;&gt;0,INDEX(生物种群!$B$2:INDEX(生物种群!$B:$B,COUNTA(生物种群!$B:$B)),MATCH($A687,生物种群!$C$2:INDEX(生物种群!$C:$C,COUNTA(生物种群!$C:$C)),),),INDEX(生物种群!$B$2:INDEX(生物种群!$B:$B,COUNTA(生物种群!$B:$B)),MATCH($B687,生物种群!$D$2:INDEX(生物种群!$D:$D,COUNTA(生物种群!$D:$D)),),))))</f>
        <v/>
      </c>
      <c r="J687" s="37" t="str">
        <f>IF(A687&amp;B687&amp;C687="","",INDEX(生物种群!$J$2:INDEX(生物种群!$J:$J,COUNTA(生物种群!$J:$J)),MATCH($I687,生物种群!$B$2:INDEX(生物种群!$B:$B,COUNTA(生物种群!$B:$B)),),))</f>
        <v/>
      </c>
      <c r="K687" s="37" t="str">
        <f>IF(A687&amp;B687&amp;C687="","",INDEX(生物种群!$E$2:INDEX(生物种群!$E:$E,COUNTA(生物种群!$E:$E)),MATCH($I687,生物种群!$B$2:INDEX(生物种群!$B:$B,COUNTA(生物种群!$B:$B)),),))</f>
        <v/>
      </c>
      <c r="L687" s="37" t="str">
        <f>IF(A687&amp;B687&amp;C687="","",INDEX(生物种群!$F$3:INDEX(生物种群!$F:$F,COUNTA(生物种群!$F:$F)),MATCH($I687,生物种群!$B$3:INDEX(生物种群!$B:$B,COUNTA(生物种群!$B:$B)),),))</f>
        <v/>
      </c>
      <c r="M687" s="37" t="str">
        <f t="shared" si="20"/>
        <v/>
      </c>
      <c r="N687" s="37" t="str">
        <f t="shared" si="21"/>
        <v/>
      </c>
      <c r="O687" s="9"/>
      <c r="P687" s="10"/>
    </row>
    <row r="688" spans="1:16" ht="20.1" customHeight="1">
      <c r="A688" s="9"/>
      <c r="B688" s="9"/>
      <c r="C688" s="9"/>
      <c r="D688" s="43"/>
      <c r="E688" s="9"/>
      <c r="F688" s="9"/>
      <c r="G688" s="47" t="str">
        <f>IF(F688="","",INDEX(站位样品信息!$B$3:INDEX(站位样品信息!$B:$B,COUNTA(站位样品信息!$B:$B)+1),MATCH($F688,站位样品信息!$A$3:INDEX(站位样品信息!$A:$A,COUNTA(站位样品信息!$A:$A)+1),),))</f>
        <v/>
      </c>
      <c r="H688" s="37" t="str">
        <f>IF(A688&amp;B688&amp;C688="","",INDEX(生物种群!$A$2:INDEX(生物种群!$A:$A,COUNTA(生物种群!$A:$A)),MATCH($I688,生物种群!$B$2:INDEX(生物种群!$B:$B,COUNTA(生物种群!$B:$B)),),))</f>
        <v/>
      </c>
      <c r="I688" s="37" t="str">
        <f>IF(A688&amp;B688&amp;C688="","",IF($C688&lt;&gt;0,INDEX(生物种群!$B$2:INDEX(生物种群!$B:$B,COUNTA(生物种群!$B:$B)),MATCH($C688,生物种群!$G$2:INDEX(生物种群!$G:$G,COUNTA(生物种群!$G:$G)),),),IF($A688&lt;&gt;0,INDEX(生物种群!$B$2:INDEX(生物种群!$B:$B,COUNTA(生物种群!$B:$B)),MATCH($A688,生物种群!$C$2:INDEX(生物种群!$C:$C,COUNTA(生物种群!$C:$C)),),),INDEX(生物种群!$B$2:INDEX(生物种群!$B:$B,COUNTA(生物种群!$B:$B)),MATCH($B688,生物种群!$D$2:INDEX(生物种群!$D:$D,COUNTA(生物种群!$D:$D)),),))))</f>
        <v/>
      </c>
      <c r="J688" s="37" t="str">
        <f>IF(A688&amp;B688&amp;C688="","",INDEX(生物种群!$J$2:INDEX(生物种群!$J:$J,COUNTA(生物种群!$J:$J)),MATCH($I688,生物种群!$B$2:INDEX(生物种群!$B:$B,COUNTA(生物种群!$B:$B)),),))</f>
        <v/>
      </c>
      <c r="K688" s="37" t="str">
        <f>IF(A688&amp;B688&amp;C688="","",INDEX(生物种群!$E$2:INDEX(生物种群!$E:$E,COUNTA(生物种群!$E:$E)),MATCH($I688,生物种群!$B$2:INDEX(生物种群!$B:$B,COUNTA(生物种群!$B:$B)),),))</f>
        <v/>
      </c>
      <c r="L688" s="37" t="str">
        <f>IF(A688&amp;B688&amp;C688="","",INDEX(生物种群!$F$3:INDEX(生物种群!$F:$F,COUNTA(生物种群!$F:$F)),MATCH($I688,生物种群!$B$3:INDEX(生物种群!$B:$B,COUNTA(生物种群!$B:$B)),),))</f>
        <v/>
      </c>
      <c r="M688" s="37" t="str">
        <f t="shared" si="20"/>
        <v/>
      </c>
      <c r="N688" s="37" t="str">
        <f t="shared" si="21"/>
        <v/>
      </c>
      <c r="O688" s="9"/>
      <c r="P688" s="10"/>
    </row>
    <row r="689" spans="1:16" ht="20.1" customHeight="1">
      <c r="A689" s="9"/>
      <c r="B689" s="9"/>
      <c r="C689" s="9"/>
      <c r="D689" s="43"/>
      <c r="E689" s="9"/>
      <c r="F689" s="9"/>
      <c r="G689" s="47" t="str">
        <f>IF(F689="","",INDEX(站位样品信息!$B$3:INDEX(站位样品信息!$B:$B,COUNTA(站位样品信息!$B:$B)+1),MATCH($F689,站位样品信息!$A$3:INDEX(站位样品信息!$A:$A,COUNTA(站位样品信息!$A:$A)+1),),))</f>
        <v/>
      </c>
      <c r="H689" s="37" t="str">
        <f>IF(A689&amp;B689&amp;C689="","",INDEX(生物种群!$A$2:INDEX(生物种群!$A:$A,COUNTA(生物种群!$A:$A)),MATCH($I689,生物种群!$B$2:INDEX(生物种群!$B:$B,COUNTA(生物种群!$B:$B)),),))</f>
        <v/>
      </c>
      <c r="I689" s="37" t="str">
        <f>IF(A689&amp;B689&amp;C689="","",IF($C689&lt;&gt;0,INDEX(生物种群!$B$2:INDEX(生物种群!$B:$B,COUNTA(生物种群!$B:$B)),MATCH($C689,生物种群!$G$2:INDEX(生物种群!$G:$G,COUNTA(生物种群!$G:$G)),),),IF($A689&lt;&gt;0,INDEX(生物种群!$B$2:INDEX(生物种群!$B:$B,COUNTA(生物种群!$B:$B)),MATCH($A689,生物种群!$C$2:INDEX(生物种群!$C:$C,COUNTA(生物种群!$C:$C)),),),INDEX(生物种群!$B$2:INDEX(生物种群!$B:$B,COUNTA(生物种群!$B:$B)),MATCH($B689,生物种群!$D$2:INDEX(生物种群!$D:$D,COUNTA(生物种群!$D:$D)),),))))</f>
        <v/>
      </c>
      <c r="J689" s="37" t="str">
        <f>IF(A689&amp;B689&amp;C689="","",INDEX(生物种群!$J$2:INDEX(生物种群!$J:$J,COUNTA(生物种群!$J:$J)),MATCH($I689,生物种群!$B$2:INDEX(生物种群!$B:$B,COUNTA(生物种群!$B:$B)),),))</f>
        <v/>
      </c>
      <c r="K689" s="37" t="str">
        <f>IF(A689&amp;B689&amp;C689="","",INDEX(生物种群!$E$2:INDEX(生物种群!$E:$E,COUNTA(生物种群!$E:$E)),MATCH($I689,生物种群!$B$2:INDEX(生物种群!$B:$B,COUNTA(生物种群!$B:$B)),),))</f>
        <v/>
      </c>
      <c r="L689" s="37" t="str">
        <f>IF(A689&amp;B689&amp;C689="","",INDEX(生物种群!$F$3:INDEX(生物种群!$F:$F,COUNTA(生物种群!$F:$F)),MATCH($I689,生物种群!$B$3:INDEX(生物种群!$B:$B,COUNTA(生物种群!$B:$B)),),))</f>
        <v/>
      </c>
      <c r="M689" s="37" t="str">
        <f t="shared" si="20"/>
        <v/>
      </c>
      <c r="N689" s="37" t="str">
        <f t="shared" si="21"/>
        <v/>
      </c>
      <c r="O689" s="9"/>
      <c r="P689" s="10"/>
    </row>
    <row r="690" spans="1:16" ht="20.1" customHeight="1">
      <c r="A690" s="9"/>
      <c r="B690" s="9"/>
      <c r="C690" s="9"/>
      <c r="D690" s="43"/>
      <c r="E690" s="9"/>
      <c r="F690" s="9"/>
      <c r="G690" s="47" t="str">
        <f>IF(F690="","",INDEX(站位样品信息!$B$3:INDEX(站位样品信息!$B:$B,COUNTA(站位样品信息!$B:$B)+1),MATCH($F690,站位样品信息!$A$3:INDEX(站位样品信息!$A:$A,COUNTA(站位样品信息!$A:$A)+1),),))</f>
        <v/>
      </c>
      <c r="H690" s="37" t="str">
        <f>IF(A690&amp;B690&amp;C690="","",INDEX(生物种群!$A$2:INDEX(生物种群!$A:$A,COUNTA(生物种群!$A:$A)),MATCH($I690,生物种群!$B$2:INDEX(生物种群!$B:$B,COUNTA(生物种群!$B:$B)),),))</f>
        <v/>
      </c>
      <c r="I690" s="37" t="str">
        <f>IF(A690&amp;B690&amp;C690="","",IF($C690&lt;&gt;0,INDEX(生物种群!$B$2:INDEX(生物种群!$B:$B,COUNTA(生物种群!$B:$B)),MATCH($C690,生物种群!$G$2:INDEX(生物种群!$G:$G,COUNTA(生物种群!$G:$G)),),),IF($A690&lt;&gt;0,INDEX(生物种群!$B$2:INDEX(生物种群!$B:$B,COUNTA(生物种群!$B:$B)),MATCH($A690,生物种群!$C$2:INDEX(生物种群!$C:$C,COUNTA(生物种群!$C:$C)),),),INDEX(生物种群!$B$2:INDEX(生物种群!$B:$B,COUNTA(生物种群!$B:$B)),MATCH($B690,生物种群!$D$2:INDEX(生物种群!$D:$D,COUNTA(生物种群!$D:$D)),),))))</f>
        <v/>
      </c>
      <c r="J690" s="37" t="str">
        <f>IF(A690&amp;B690&amp;C690="","",INDEX(生物种群!$J$2:INDEX(生物种群!$J:$J,COUNTA(生物种群!$J:$J)),MATCH($I690,生物种群!$B$2:INDEX(生物种群!$B:$B,COUNTA(生物种群!$B:$B)),),))</f>
        <v/>
      </c>
      <c r="K690" s="37" t="str">
        <f>IF(A690&amp;B690&amp;C690="","",INDEX(生物种群!$E$2:INDEX(生物种群!$E:$E,COUNTA(生物种群!$E:$E)),MATCH($I690,生物种群!$B$2:INDEX(生物种群!$B:$B,COUNTA(生物种群!$B:$B)),),))</f>
        <v/>
      </c>
      <c r="L690" s="37" t="str">
        <f>IF(A690&amp;B690&amp;C690="","",INDEX(生物种群!$F$3:INDEX(生物种群!$F:$F,COUNTA(生物种群!$F:$F)),MATCH($I690,生物种群!$B$3:INDEX(生物种群!$B:$B,COUNTA(生物种群!$B:$B)),),))</f>
        <v/>
      </c>
      <c r="M690" s="37" t="str">
        <f t="shared" si="20"/>
        <v/>
      </c>
      <c r="N690" s="37" t="str">
        <f t="shared" si="21"/>
        <v/>
      </c>
      <c r="O690" s="9"/>
      <c r="P690" s="10"/>
    </row>
    <row r="691" spans="1:16" ht="20.1" customHeight="1">
      <c r="A691" s="9"/>
      <c r="B691" s="9"/>
      <c r="C691" s="9"/>
      <c r="D691" s="43"/>
      <c r="E691" s="9"/>
      <c r="F691" s="9"/>
      <c r="G691" s="47" t="str">
        <f>IF(F691="","",INDEX(站位样品信息!$B$3:INDEX(站位样品信息!$B:$B,COUNTA(站位样品信息!$B:$B)+1),MATCH($F691,站位样品信息!$A$3:INDEX(站位样品信息!$A:$A,COUNTA(站位样品信息!$A:$A)+1),),))</f>
        <v/>
      </c>
      <c r="H691" s="37" t="str">
        <f>IF(A691&amp;B691&amp;C691="","",INDEX(生物种群!$A$2:INDEX(生物种群!$A:$A,COUNTA(生物种群!$A:$A)),MATCH($I691,生物种群!$B$2:INDEX(生物种群!$B:$B,COUNTA(生物种群!$B:$B)),),))</f>
        <v/>
      </c>
      <c r="I691" s="37" t="str">
        <f>IF(A691&amp;B691&amp;C691="","",IF($C691&lt;&gt;0,INDEX(生物种群!$B$2:INDEX(生物种群!$B:$B,COUNTA(生物种群!$B:$B)),MATCH($C691,生物种群!$G$2:INDEX(生物种群!$G:$G,COUNTA(生物种群!$G:$G)),),),IF($A691&lt;&gt;0,INDEX(生物种群!$B$2:INDEX(生物种群!$B:$B,COUNTA(生物种群!$B:$B)),MATCH($A691,生物种群!$C$2:INDEX(生物种群!$C:$C,COUNTA(生物种群!$C:$C)),),),INDEX(生物种群!$B$2:INDEX(生物种群!$B:$B,COUNTA(生物种群!$B:$B)),MATCH($B691,生物种群!$D$2:INDEX(生物种群!$D:$D,COUNTA(生物种群!$D:$D)),),))))</f>
        <v/>
      </c>
      <c r="J691" s="37" t="str">
        <f>IF(A691&amp;B691&amp;C691="","",INDEX(生物种群!$J$2:INDEX(生物种群!$J:$J,COUNTA(生物种群!$J:$J)),MATCH($I691,生物种群!$B$2:INDEX(生物种群!$B:$B,COUNTA(生物种群!$B:$B)),),))</f>
        <v/>
      </c>
      <c r="K691" s="37" t="str">
        <f>IF(A691&amp;B691&amp;C691="","",INDEX(生物种群!$E$2:INDEX(生物种群!$E:$E,COUNTA(生物种群!$E:$E)),MATCH($I691,生物种群!$B$2:INDEX(生物种群!$B:$B,COUNTA(生物种群!$B:$B)),),))</f>
        <v/>
      </c>
      <c r="L691" s="37" t="str">
        <f>IF(A691&amp;B691&amp;C691="","",INDEX(生物种群!$F$3:INDEX(生物种群!$F:$F,COUNTA(生物种群!$F:$F)),MATCH($I691,生物种群!$B$3:INDEX(生物种群!$B:$B,COUNTA(生物种群!$B:$B)),),))</f>
        <v/>
      </c>
      <c r="M691" s="37" t="str">
        <f t="shared" si="20"/>
        <v/>
      </c>
      <c r="N691" s="37" t="str">
        <f t="shared" si="21"/>
        <v/>
      </c>
      <c r="O691" s="9"/>
      <c r="P691" s="10"/>
    </row>
    <row r="692" spans="1:16" ht="20.1" customHeight="1">
      <c r="A692" s="9"/>
      <c r="B692" s="9"/>
      <c r="C692" s="9"/>
      <c r="D692" s="43"/>
      <c r="E692" s="9"/>
      <c r="F692" s="9"/>
      <c r="G692" s="47" t="str">
        <f>IF(F692="","",INDEX(站位样品信息!$B$3:INDEX(站位样品信息!$B:$B,COUNTA(站位样品信息!$B:$B)+1),MATCH($F692,站位样品信息!$A$3:INDEX(站位样品信息!$A:$A,COUNTA(站位样品信息!$A:$A)+1),),))</f>
        <v/>
      </c>
      <c r="H692" s="37" t="str">
        <f>IF(A692&amp;B692&amp;C692="","",INDEX(生物种群!$A$2:INDEX(生物种群!$A:$A,COUNTA(生物种群!$A:$A)),MATCH($I692,生物种群!$B$2:INDEX(生物种群!$B:$B,COUNTA(生物种群!$B:$B)),),))</f>
        <v/>
      </c>
      <c r="I692" s="37" t="str">
        <f>IF(A692&amp;B692&amp;C692="","",IF($C692&lt;&gt;0,INDEX(生物种群!$B$2:INDEX(生物种群!$B:$B,COUNTA(生物种群!$B:$B)),MATCH($C692,生物种群!$G$2:INDEX(生物种群!$G:$G,COUNTA(生物种群!$G:$G)),),),IF($A692&lt;&gt;0,INDEX(生物种群!$B$2:INDEX(生物种群!$B:$B,COUNTA(生物种群!$B:$B)),MATCH($A692,生物种群!$C$2:INDEX(生物种群!$C:$C,COUNTA(生物种群!$C:$C)),),),INDEX(生物种群!$B$2:INDEX(生物种群!$B:$B,COUNTA(生物种群!$B:$B)),MATCH($B692,生物种群!$D$2:INDEX(生物种群!$D:$D,COUNTA(生物种群!$D:$D)),),))))</f>
        <v/>
      </c>
      <c r="J692" s="37" t="str">
        <f>IF(A692&amp;B692&amp;C692="","",INDEX(生物种群!$J$2:INDEX(生物种群!$J:$J,COUNTA(生物种群!$J:$J)),MATCH($I692,生物种群!$B$2:INDEX(生物种群!$B:$B,COUNTA(生物种群!$B:$B)),),))</f>
        <v/>
      </c>
      <c r="K692" s="37" t="str">
        <f>IF(A692&amp;B692&amp;C692="","",INDEX(生物种群!$E$2:INDEX(生物种群!$E:$E,COUNTA(生物种群!$E:$E)),MATCH($I692,生物种群!$B$2:INDEX(生物种群!$B:$B,COUNTA(生物种群!$B:$B)),),))</f>
        <v/>
      </c>
      <c r="L692" s="37" t="str">
        <f>IF(A692&amp;B692&amp;C692="","",INDEX(生物种群!$F$3:INDEX(生物种群!$F:$F,COUNTA(生物种群!$F:$F)),MATCH($I692,生物种群!$B$3:INDEX(生物种群!$B:$B,COUNTA(生物种群!$B:$B)),),))</f>
        <v/>
      </c>
      <c r="M692" s="37" t="str">
        <f t="shared" si="20"/>
        <v/>
      </c>
      <c r="N692" s="37" t="str">
        <f t="shared" si="21"/>
        <v/>
      </c>
      <c r="O692" s="9"/>
      <c r="P692" s="10"/>
    </row>
    <row r="693" spans="1:16" ht="20.1" customHeight="1">
      <c r="A693" s="9"/>
      <c r="B693" s="9"/>
      <c r="C693" s="9"/>
      <c r="D693" s="43"/>
      <c r="E693" s="9"/>
      <c r="F693" s="9"/>
      <c r="G693" s="47" t="str">
        <f>IF(F693="","",INDEX(站位样品信息!$B$3:INDEX(站位样品信息!$B:$B,COUNTA(站位样品信息!$B:$B)+1),MATCH($F693,站位样品信息!$A$3:INDEX(站位样品信息!$A:$A,COUNTA(站位样品信息!$A:$A)+1),),))</f>
        <v/>
      </c>
      <c r="H693" s="37" t="str">
        <f>IF(A693&amp;B693&amp;C693="","",INDEX(生物种群!$A$2:INDEX(生物种群!$A:$A,COUNTA(生物种群!$A:$A)),MATCH($I693,生物种群!$B$2:INDEX(生物种群!$B:$B,COUNTA(生物种群!$B:$B)),),))</f>
        <v/>
      </c>
      <c r="I693" s="37" t="str">
        <f>IF(A693&amp;B693&amp;C693="","",IF($C693&lt;&gt;0,INDEX(生物种群!$B$2:INDEX(生物种群!$B:$B,COUNTA(生物种群!$B:$B)),MATCH($C693,生物种群!$G$2:INDEX(生物种群!$G:$G,COUNTA(生物种群!$G:$G)),),),IF($A693&lt;&gt;0,INDEX(生物种群!$B$2:INDEX(生物种群!$B:$B,COUNTA(生物种群!$B:$B)),MATCH($A693,生物种群!$C$2:INDEX(生物种群!$C:$C,COUNTA(生物种群!$C:$C)),),),INDEX(生物种群!$B$2:INDEX(生物种群!$B:$B,COUNTA(生物种群!$B:$B)),MATCH($B693,生物种群!$D$2:INDEX(生物种群!$D:$D,COUNTA(生物种群!$D:$D)),),))))</f>
        <v/>
      </c>
      <c r="J693" s="37" t="str">
        <f>IF(A693&amp;B693&amp;C693="","",INDEX(生物种群!$J$2:INDEX(生物种群!$J:$J,COUNTA(生物种群!$J:$J)),MATCH($I693,生物种群!$B$2:INDEX(生物种群!$B:$B,COUNTA(生物种群!$B:$B)),),))</f>
        <v/>
      </c>
      <c r="K693" s="37" t="str">
        <f>IF(A693&amp;B693&amp;C693="","",INDEX(生物种群!$E$2:INDEX(生物种群!$E:$E,COUNTA(生物种群!$E:$E)),MATCH($I693,生物种群!$B$2:INDEX(生物种群!$B:$B,COUNTA(生物种群!$B:$B)),),))</f>
        <v/>
      </c>
      <c r="L693" s="37" t="str">
        <f>IF(A693&amp;B693&amp;C693="","",INDEX(生物种群!$F$3:INDEX(生物种群!$F:$F,COUNTA(生物种群!$F:$F)),MATCH($I693,生物种群!$B$3:INDEX(生物种群!$B:$B,COUNTA(生物种群!$B:$B)),),))</f>
        <v/>
      </c>
      <c r="M693" s="37" t="str">
        <f t="shared" si="20"/>
        <v/>
      </c>
      <c r="N693" s="37" t="str">
        <f t="shared" si="21"/>
        <v/>
      </c>
      <c r="O693" s="9"/>
      <c r="P693" s="10"/>
    </row>
    <row r="694" spans="1:16" ht="20.1" customHeight="1">
      <c r="A694" s="9"/>
      <c r="B694" s="9"/>
      <c r="C694" s="9"/>
      <c r="D694" s="43"/>
      <c r="E694" s="9"/>
      <c r="F694" s="9"/>
      <c r="G694" s="47" t="str">
        <f>IF(F694="","",INDEX(站位样品信息!$B$3:INDEX(站位样品信息!$B:$B,COUNTA(站位样品信息!$B:$B)+1),MATCH($F694,站位样品信息!$A$3:INDEX(站位样品信息!$A:$A,COUNTA(站位样品信息!$A:$A)+1),),))</f>
        <v/>
      </c>
      <c r="H694" s="37" t="str">
        <f>IF(A694&amp;B694&amp;C694="","",INDEX(生物种群!$A$2:INDEX(生物种群!$A:$A,COUNTA(生物种群!$A:$A)),MATCH($I694,生物种群!$B$2:INDEX(生物种群!$B:$B,COUNTA(生物种群!$B:$B)),),))</f>
        <v/>
      </c>
      <c r="I694" s="37" t="str">
        <f>IF(A694&amp;B694&amp;C694="","",IF($C694&lt;&gt;0,INDEX(生物种群!$B$2:INDEX(生物种群!$B:$B,COUNTA(生物种群!$B:$B)),MATCH($C694,生物种群!$G$2:INDEX(生物种群!$G:$G,COUNTA(生物种群!$G:$G)),),),IF($A694&lt;&gt;0,INDEX(生物种群!$B$2:INDEX(生物种群!$B:$B,COUNTA(生物种群!$B:$B)),MATCH($A694,生物种群!$C$2:INDEX(生物种群!$C:$C,COUNTA(生物种群!$C:$C)),),),INDEX(生物种群!$B$2:INDEX(生物种群!$B:$B,COUNTA(生物种群!$B:$B)),MATCH($B694,生物种群!$D$2:INDEX(生物种群!$D:$D,COUNTA(生物种群!$D:$D)),),))))</f>
        <v/>
      </c>
      <c r="J694" s="37" t="str">
        <f>IF(A694&amp;B694&amp;C694="","",INDEX(生物种群!$J$2:INDEX(生物种群!$J:$J,COUNTA(生物种群!$J:$J)),MATCH($I694,生物种群!$B$2:INDEX(生物种群!$B:$B,COUNTA(生物种群!$B:$B)),),))</f>
        <v/>
      </c>
      <c r="K694" s="37" t="str">
        <f>IF(A694&amp;B694&amp;C694="","",INDEX(生物种群!$E$2:INDEX(生物种群!$E:$E,COUNTA(生物种群!$E:$E)),MATCH($I694,生物种群!$B$2:INDEX(生物种群!$B:$B,COUNTA(生物种群!$B:$B)),),))</f>
        <v/>
      </c>
      <c r="L694" s="37" t="str">
        <f>IF(A694&amp;B694&amp;C694="","",INDEX(生物种群!$F$3:INDEX(生物种群!$F:$F,COUNTA(生物种群!$F:$F)),MATCH($I694,生物种群!$B$3:INDEX(生物种群!$B:$B,COUNTA(生物种群!$B:$B)),),))</f>
        <v/>
      </c>
      <c r="M694" s="37" t="str">
        <f t="shared" si="20"/>
        <v/>
      </c>
      <c r="N694" s="37" t="str">
        <f t="shared" si="21"/>
        <v/>
      </c>
      <c r="O694" s="9"/>
      <c r="P694" s="10"/>
    </row>
    <row r="695" spans="1:16" ht="20.1" customHeight="1">
      <c r="A695" s="9"/>
      <c r="B695" s="9"/>
      <c r="C695" s="9"/>
      <c r="D695" s="43"/>
      <c r="E695" s="9"/>
      <c r="F695" s="9"/>
      <c r="G695" s="47" t="str">
        <f>IF(F695="","",INDEX(站位样品信息!$B$3:INDEX(站位样品信息!$B:$B,COUNTA(站位样品信息!$B:$B)+1),MATCH($F695,站位样品信息!$A$3:INDEX(站位样品信息!$A:$A,COUNTA(站位样品信息!$A:$A)+1),),))</f>
        <v/>
      </c>
      <c r="H695" s="37" t="str">
        <f>IF(A695&amp;B695&amp;C695="","",INDEX(生物种群!$A$2:INDEX(生物种群!$A:$A,COUNTA(生物种群!$A:$A)),MATCH($I695,生物种群!$B$2:INDEX(生物种群!$B:$B,COUNTA(生物种群!$B:$B)),),))</f>
        <v/>
      </c>
      <c r="I695" s="37" t="str">
        <f>IF(A695&amp;B695&amp;C695="","",IF($C695&lt;&gt;0,INDEX(生物种群!$B$2:INDEX(生物种群!$B:$B,COUNTA(生物种群!$B:$B)),MATCH($C695,生物种群!$G$2:INDEX(生物种群!$G:$G,COUNTA(生物种群!$G:$G)),),),IF($A695&lt;&gt;0,INDEX(生物种群!$B$2:INDEX(生物种群!$B:$B,COUNTA(生物种群!$B:$B)),MATCH($A695,生物种群!$C$2:INDEX(生物种群!$C:$C,COUNTA(生物种群!$C:$C)),),),INDEX(生物种群!$B$2:INDEX(生物种群!$B:$B,COUNTA(生物种群!$B:$B)),MATCH($B695,生物种群!$D$2:INDEX(生物种群!$D:$D,COUNTA(生物种群!$D:$D)),),))))</f>
        <v/>
      </c>
      <c r="J695" s="37" t="str">
        <f>IF(A695&amp;B695&amp;C695="","",INDEX(生物种群!$J$2:INDEX(生物种群!$J:$J,COUNTA(生物种群!$J:$J)),MATCH($I695,生物种群!$B$2:INDEX(生物种群!$B:$B,COUNTA(生物种群!$B:$B)),),))</f>
        <v/>
      </c>
      <c r="K695" s="37" t="str">
        <f>IF(A695&amp;B695&amp;C695="","",INDEX(生物种群!$E$2:INDEX(生物种群!$E:$E,COUNTA(生物种群!$E:$E)),MATCH($I695,生物种群!$B$2:INDEX(生物种群!$B:$B,COUNTA(生物种群!$B:$B)),),))</f>
        <v/>
      </c>
      <c r="L695" s="37" t="str">
        <f>IF(A695&amp;B695&amp;C695="","",INDEX(生物种群!$F$3:INDEX(生物种群!$F:$F,COUNTA(生物种群!$F:$F)),MATCH($I695,生物种群!$B$3:INDEX(生物种群!$B:$B,COUNTA(生物种群!$B:$B)),),))</f>
        <v/>
      </c>
      <c r="M695" s="37" t="str">
        <f t="shared" si="20"/>
        <v/>
      </c>
      <c r="N695" s="37" t="str">
        <f t="shared" si="21"/>
        <v/>
      </c>
      <c r="O695" s="9"/>
      <c r="P695" s="10"/>
    </row>
    <row r="696" spans="1:16" ht="20.1" customHeight="1">
      <c r="A696" s="9"/>
      <c r="B696" s="9"/>
      <c r="C696" s="9"/>
      <c r="D696" s="43"/>
      <c r="E696" s="9"/>
      <c r="F696" s="9"/>
      <c r="G696" s="47" t="str">
        <f>IF(F696="","",INDEX(站位样品信息!$B$3:INDEX(站位样品信息!$B:$B,COUNTA(站位样品信息!$B:$B)+1),MATCH($F696,站位样品信息!$A$3:INDEX(站位样品信息!$A:$A,COUNTA(站位样品信息!$A:$A)+1),),))</f>
        <v/>
      </c>
      <c r="H696" s="37" t="str">
        <f>IF(A696&amp;B696&amp;C696="","",INDEX(生物种群!$A$2:INDEX(生物种群!$A:$A,COUNTA(生物种群!$A:$A)),MATCH($I696,生物种群!$B$2:INDEX(生物种群!$B:$B,COUNTA(生物种群!$B:$B)),),))</f>
        <v/>
      </c>
      <c r="I696" s="37" t="str">
        <f>IF(A696&amp;B696&amp;C696="","",IF($C696&lt;&gt;0,INDEX(生物种群!$B$2:INDEX(生物种群!$B:$B,COUNTA(生物种群!$B:$B)),MATCH($C696,生物种群!$G$2:INDEX(生物种群!$G:$G,COUNTA(生物种群!$G:$G)),),),IF($A696&lt;&gt;0,INDEX(生物种群!$B$2:INDEX(生物种群!$B:$B,COUNTA(生物种群!$B:$B)),MATCH($A696,生物种群!$C$2:INDEX(生物种群!$C:$C,COUNTA(生物种群!$C:$C)),),),INDEX(生物种群!$B$2:INDEX(生物种群!$B:$B,COUNTA(生物种群!$B:$B)),MATCH($B696,生物种群!$D$2:INDEX(生物种群!$D:$D,COUNTA(生物种群!$D:$D)),),))))</f>
        <v/>
      </c>
      <c r="J696" s="37" t="str">
        <f>IF(A696&amp;B696&amp;C696="","",INDEX(生物种群!$J$2:INDEX(生物种群!$J:$J,COUNTA(生物种群!$J:$J)),MATCH($I696,生物种群!$B$2:INDEX(生物种群!$B:$B,COUNTA(生物种群!$B:$B)),),))</f>
        <v/>
      </c>
      <c r="K696" s="37" t="str">
        <f>IF(A696&amp;B696&amp;C696="","",INDEX(生物种群!$E$2:INDEX(生物种群!$E:$E,COUNTA(生物种群!$E:$E)),MATCH($I696,生物种群!$B$2:INDEX(生物种群!$B:$B,COUNTA(生物种群!$B:$B)),),))</f>
        <v/>
      </c>
      <c r="L696" s="37" t="str">
        <f>IF(A696&amp;B696&amp;C696="","",INDEX(生物种群!$F$3:INDEX(生物种群!$F:$F,COUNTA(生物种群!$F:$F)),MATCH($I696,生物种群!$B$3:INDEX(生物种群!$B:$B,COUNTA(生物种群!$B:$B)),),))</f>
        <v/>
      </c>
      <c r="M696" s="37" t="str">
        <f t="shared" si="20"/>
        <v/>
      </c>
      <c r="N696" s="37" t="str">
        <f t="shared" si="21"/>
        <v/>
      </c>
      <c r="O696" s="9"/>
      <c r="P696" s="10"/>
    </row>
    <row r="697" spans="1:16" ht="20.1" customHeight="1">
      <c r="A697" s="9"/>
      <c r="B697" s="9"/>
      <c r="C697" s="9"/>
      <c r="D697" s="43"/>
      <c r="E697" s="9"/>
      <c r="F697" s="9"/>
      <c r="G697" s="47" t="str">
        <f>IF(F697="","",INDEX(站位样品信息!$B$3:INDEX(站位样品信息!$B:$B,COUNTA(站位样品信息!$B:$B)+1),MATCH($F697,站位样品信息!$A$3:INDEX(站位样品信息!$A:$A,COUNTA(站位样品信息!$A:$A)+1),),))</f>
        <v/>
      </c>
      <c r="H697" s="37" t="str">
        <f>IF(A697&amp;B697&amp;C697="","",INDEX(生物种群!$A$2:INDEX(生物种群!$A:$A,COUNTA(生物种群!$A:$A)),MATCH($I697,生物种群!$B$2:INDEX(生物种群!$B:$B,COUNTA(生物种群!$B:$B)),),))</f>
        <v/>
      </c>
      <c r="I697" s="37" t="str">
        <f>IF(A697&amp;B697&amp;C697="","",IF($C697&lt;&gt;0,INDEX(生物种群!$B$2:INDEX(生物种群!$B:$B,COUNTA(生物种群!$B:$B)),MATCH($C697,生物种群!$G$2:INDEX(生物种群!$G:$G,COUNTA(生物种群!$G:$G)),),),IF($A697&lt;&gt;0,INDEX(生物种群!$B$2:INDEX(生物种群!$B:$B,COUNTA(生物种群!$B:$B)),MATCH($A697,生物种群!$C$2:INDEX(生物种群!$C:$C,COUNTA(生物种群!$C:$C)),),),INDEX(生物种群!$B$2:INDEX(生物种群!$B:$B,COUNTA(生物种群!$B:$B)),MATCH($B697,生物种群!$D$2:INDEX(生物种群!$D:$D,COUNTA(生物种群!$D:$D)),),))))</f>
        <v/>
      </c>
      <c r="J697" s="37" t="str">
        <f>IF(A697&amp;B697&amp;C697="","",INDEX(生物种群!$J$2:INDEX(生物种群!$J:$J,COUNTA(生物种群!$J:$J)),MATCH($I697,生物种群!$B$2:INDEX(生物种群!$B:$B,COUNTA(生物种群!$B:$B)),),))</f>
        <v/>
      </c>
      <c r="K697" s="37" t="str">
        <f>IF(A697&amp;B697&amp;C697="","",INDEX(生物种群!$E$2:INDEX(生物种群!$E:$E,COUNTA(生物种群!$E:$E)),MATCH($I697,生物种群!$B$2:INDEX(生物种群!$B:$B,COUNTA(生物种群!$B:$B)),),))</f>
        <v/>
      </c>
      <c r="L697" s="37" t="str">
        <f>IF(A697&amp;B697&amp;C697="","",INDEX(生物种群!$F$3:INDEX(生物种群!$F:$F,COUNTA(生物种群!$F:$F)),MATCH($I697,生物种群!$B$3:INDEX(生物种群!$B:$B,COUNTA(生物种群!$B:$B)),),))</f>
        <v/>
      </c>
      <c r="M697" s="37" t="str">
        <f t="shared" si="20"/>
        <v/>
      </c>
      <c r="N697" s="37" t="str">
        <f t="shared" si="21"/>
        <v/>
      </c>
      <c r="O697" s="9"/>
      <c r="P697" s="10"/>
    </row>
    <row r="698" spans="1:16" ht="20.1" customHeight="1">
      <c r="A698" s="9"/>
      <c r="B698" s="9"/>
      <c r="C698" s="9"/>
      <c r="D698" s="43"/>
      <c r="E698" s="9"/>
      <c r="F698" s="9"/>
      <c r="G698" s="47" t="str">
        <f>IF(F698="","",INDEX(站位样品信息!$B$3:INDEX(站位样品信息!$B:$B,COUNTA(站位样品信息!$B:$B)+1),MATCH($F698,站位样品信息!$A$3:INDEX(站位样品信息!$A:$A,COUNTA(站位样品信息!$A:$A)+1),),))</f>
        <v/>
      </c>
      <c r="H698" s="37" t="str">
        <f>IF(A698&amp;B698&amp;C698="","",INDEX(生物种群!$A$2:INDEX(生物种群!$A:$A,COUNTA(生物种群!$A:$A)),MATCH($I698,生物种群!$B$2:INDEX(生物种群!$B:$B,COUNTA(生物种群!$B:$B)),),))</f>
        <v/>
      </c>
      <c r="I698" s="37" t="str">
        <f>IF(A698&amp;B698&amp;C698="","",IF($C698&lt;&gt;0,INDEX(生物种群!$B$2:INDEX(生物种群!$B:$B,COUNTA(生物种群!$B:$B)),MATCH($C698,生物种群!$G$2:INDEX(生物种群!$G:$G,COUNTA(生物种群!$G:$G)),),),IF($A698&lt;&gt;0,INDEX(生物种群!$B$2:INDEX(生物种群!$B:$B,COUNTA(生物种群!$B:$B)),MATCH($A698,生物种群!$C$2:INDEX(生物种群!$C:$C,COUNTA(生物种群!$C:$C)),),),INDEX(生物种群!$B$2:INDEX(生物种群!$B:$B,COUNTA(生物种群!$B:$B)),MATCH($B698,生物种群!$D$2:INDEX(生物种群!$D:$D,COUNTA(生物种群!$D:$D)),),))))</f>
        <v/>
      </c>
      <c r="J698" s="37" t="str">
        <f>IF(A698&amp;B698&amp;C698="","",INDEX(生物种群!$J$2:INDEX(生物种群!$J:$J,COUNTA(生物种群!$J:$J)),MATCH($I698,生物种群!$B$2:INDEX(生物种群!$B:$B,COUNTA(生物种群!$B:$B)),),))</f>
        <v/>
      </c>
      <c r="K698" s="37" t="str">
        <f>IF(A698&amp;B698&amp;C698="","",INDEX(生物种群!$E$2:INDEX(生物种群!$E:$E,COUNTA(生物种群!$E:$E)),MATCH($I698,生物种群!$B$2:INDEX(生物种群!$B:$B,COUNTA(生物种群!$B:$B)),),))</f>
        <v/>
      </c>
      <c r="L698" s="37" t="str">
        <f>IF(A698&amp;B698&amp;C698="","",INDEX(生物种群!$F$3:INDEX(生物种群!$F:$F,COUNTA(生物种群!$F:$F)),MATCH($I698,生物种群!$B$3:INDEX(生物种群!$B:$B,COUNTA(生物种群!$B:$B)),),))</f>
        <v/>
      </c>
      <c r="M698" s="37" t="str">
        <f t="shared" si="20"/>
        <v/>
      </c>
      <c r="N698" s="37" t="str">
        <f t="shared" si="21"/>
        <v/>
      </c>
      <c r="O698" s="9"/>
      <c r="P698" s="10"/>
    </row>
    <row r="699" spans="1:16" ht="20.1" customHeight="1">
      <c r="A699" s="9"/>
      <c r="B699" s="9"/>
      <c r="C699" s="9"/>
      <c r="D699" s="43"/>
      <c r="E699" s="9"/>
      <c r="F699" s="9"/>
      <c r="G699" s="47" t="str">
        <f>IF(F699="","",INDEX(站位样品信息!$B$3:INDEX(站位样品信息!$B:$B,COUNTA(站位样品信息!$B:$B)+1),MATCH($F699,站位样品信息!$A$3:INDEX(站位样品信息!$A:$A,COUNTA(站位样品信息!$A:$A)+1),),))</f>
        <v/>
      </c>
      <c r="H699" s="37" t="str">
        <f>IF(A699&amp;B699&amp;C699="","",INDEX(生物种群!$A$2:INDEX(生物种群!$A:$A,COUNTA(生物种群!$A:$A)),MATCH($I699,生物种群!$B$2:INDEX(生物种群!$B:$B,COUNTA(生物种群!$B:$B)),),))</f>
        <v/>
      </c>
      <c r="I699" s="37" t="str">
        <f>IF(A699&amp;B699&amp;C699="","",IF($C699&lt;&gt;0,INDEX(生物种群!$B$2:INDEX(生物种群!$B:$B,COUNTA(生物种群!$B:$B)),MATCH($C699,生物种群!$G$2:INDEX(生物种群!$G:$G,COUNTA(生物种群!$G:$G)),),),IF($A699&lt;&gt;0,INDEX(生物种群!$B$2:INDEX(生物种群!$B:$B,COUNTA(生物种群!$B:$B)),MATCH($A699,生物种群!$C$2:INDEX(生物种群!$C:$C,COUNTA(生物种群!$C:$C)),),),INDEX(生物种群!$B$2:INDEX(生物种群!$B:$B,COUNTA(生物种群!$B:$B)),MATCH($B699,生物种群!$D$2:INDEX(生物种群!$D:$D,COUNTA(生物种群!$D:$D)),),))))</f>
        <v/>
      </c>
      <c r="J699" s="37" t="str">
        <f>IF(A699&amp;B699&amp;C699="","",INDEX(生物种群!$J$2:INDEX(生物种群!$J:$J,COUNTA(生物种群!$J:$J)),MATCH($I699,生物种群!$B$2:INDEX(生物种群!$B:$B,COUNTA(生物种群!$B:$B)),),))</f>
        <v/>
      </c>
      <c r="K699" s="37" t="str">
        <f>IF(A699&amp;B699&amp;C699="","",INDEX(生物种群!$E$2:INDEX(生物种群!$E:$E,COUNTA(生物种群!$E:$E)),MATCH($I699,生物种群!$B$2:INDEX(生物种群!$B:$B,COUNTA(生物种群!$B:$B)),),))</f>
        <v/>
      </c>
      <c r="L699" s="37" t="str">
        <f>IF(A699&amp;B699&amp;C699="","",INDEX(生物种群!$F$3:INDEX(生物种群!$F:$F,COUNTA(生物种群!$F:$F)),MATCH($I699,生物种群!$B$3:INDEX(生物种群!$B:$B,COUNTA(生物种群!$B:$B)),),))</f>
        <v/>
      </c>
      <c r="M699" s="37" t="str">
        <f t="shared" si="20"/>
        <v/>
      </c>
      <c r="N699" s="37" t="str">
        <f t="shared" si="21"/>
        <v/>
      </c>
      <c r="O699" s="9"/>
      <c r="P699" s="10"/>
    </row>
    <row r="700" spans="1:16" ht="20.1" customHeight="1">
      <c r="A700" s="9"/>
      <c r="B700" s="9"/>
      <c r="C700" s="9"/>
      <c r="D700" s="43"/>
      <c r="E700" s="9"/>
      <c r="F700" s="9"/>
      <c r="G700" s="47" t="str">
        <f>IF(F700="","",INDEX(站位样品信息!$B$3:INDEX(站位样品信息!$B:$B,COUNTA(站位样品信息!$B:$B)+1),MATCH($F700,站位样品信息!$A$3:INDEX(站位样品信息!$A:$A,COUNTA(站位样品信息!$A:$A)+1),),))</f>
        <v/>
      </c>
      <c r="H700" s="37" t="str">
        <f>IF(A700&amp;B700&amp;C700="","",INDEX(生物种群!$A$2:INDEX(生物种群!$A:$A,COUNTA(生物种群!$A:$A)),MATCH($I700,生物种群!$B$2:INDEX(生物种群!$B:$B,COUNTA(生物种群!$B:$B)),),))</f>
        <v/>
      </c>
      <c r="I700" s="37" t="str">
        <f>IF(A700&amp;B700&amp;C700="","",IF($C700&lt;&gt;0,INDEX(生物种群!$B$2:INDEX(生物种群!$B:$B,COUNTA(生物种群!$B:$B)),MATCH($C700,生物种群!$G$2:INDEX(生物种群!$G:$G,COUNTA(生物种群!$G:$G)),),),IF($A700&lt;&gt;0,INDEX(生物种群!$B$2:INDEX(生物种群!$B:$B,COUNTA(生物种群!$B:$B)),MATCH($A700,生物种群!$C$2:INDEX(生物种群!$C:$C,COUNTA(生物种群!$C:$C)),),),INDEX(生物种群!$B$2:INDEX(生物种群!$B:$B,COUNTA(生物种群!$B:$B)),MATCH($B700,生物种群!$D$2:INDEX(生物种群!$D:$D,COUNTA(生物种群!$D:$D)),),))))</f>
        <v/>
      </c>
      <c r="J700" s="37" t="str">
        <f>IF(A700&amp;B700&amp;C700="","",INDEX(生物种群!$J$2:INDEX(生物种群!$J:$J,COUNTA(生物种群!$J:$J)),MATCH($I700,生物种群!$B$2:INDEX(生物种群!$B:$B,COUNTA(生物种群!$B:$B)),),))</f>
        <v/>
      </c>
      <c r="K700" s="37" t="str">
        <f>IF(A700&amp;B700&amp;C700="","",INDEX(生物种群!$E$2:INDEX(生物种群!$E:$E,COUNTA(生物种群!$E:$E)),MATCH($I700,生物种群!$B$2:INDEX(生物种群!$B:$B,COUNTA(生物种群!$B:$B)),),))</f>
        <v/>
      </c>
      <c r="L700" s="37" t="str">
        <f>IF(A700&amp;B700&amp;C700="","",INDEX(生物种群!$F$3:INDEX(生物种群!$F:$F,COUNTA(生物种群!$F:$F)),MATCH($I700,生物种群!$B$3:INDEX(生物种群!$B:$B,COUNTA(生物种群!$B:$B)),),))</f>
        <v/>
      </c>
      <c r="M700" s="37" t="str">
        <f t="shared" si="20"/>
        <v/>
      </c>
      <c r="N700" s="37" t="str">
        <f t="shared" si="21"/>
        <v/>
      </c>
      <c r="O700" s="9"/>
      <c r="P700" s="10"/>
    </row>
    <row r="701" spans="1:16" ht="20.1" customHeight="1">
      <c r="A701" s="9"/>
      <c r="B701" s="9"/>
      <c r="C701" s="9"/>
      <c r="D701" s="43"/>
      <c r="E701" s="9"/>
      <c r="F701" s="9"/>
      <c r="G701" s="47" t="str">
        <f>IF(F701="","",INDEX(站位样品信息!$B$3:INDEX(站位样品信息!$B:$B,COUNTA(站位样品信息!$B:$B)+1),MATCH($F701,站位样品信息!$A$3:INDEX(站位样品信息!$A:$A,COUNTA(站位样品信息!$A:$A)+1),),))</f>
        <v/>
      </c>
      <c r="H701" s="37" t="str">
        <f>IF(A701&amp;B701&amp;C701="","",INDEX(生物种群!$A$2:INDEX(生物种群!$A:$A,COUNTA(生物种群!$A:$A)),MATCH($I701,生物种群!$B$2:INDEX(生物种群!$B:$B,COUNTA(生物种群!$B:$B)),),))</f>
        <v/>
      </c>
      <c r="I701" s="37" t="str">
        <f>IF(A701&amp;B701&amp;C701="","",IF($C701&lt;&gt;0,INDEX(生物种群!$B$2:INDEX(生物种群!$B:$B,COUNTA(生物种群!$B:$B)),MATCH($C701,生物种群!$G$2:INDEX(生物种群!$G:$G,COUNTA(生物种群!$G:$G)),),),IF($A701&lt;&gt;0,INDEX(生物种群!$B$2:INDEX(生物种群!$B:$B,COUNTA(生物种群!$B:$B)),MATCH($A701,生物种群!$C$2:INDEX(生物种群!$C:$C,COUNTA(生物种群!$C:$C)),),),INDEX(生物种群!$B$2:INDEX(生物种群!$B:$B,COUNTA(生物种群!$B:$B)),MATCH($B701,生物种群!$D$2:INDEX(生物种群!$D:$D,COUNTA(生物种群!$D:$D)),),))))</f>
        <v/>
      </c>
      <c r="J701" s="37" t="str">
        <f>IF(A701&amp;B701&amp;C701="","",INDEX(生物种群!$J$2:INDEX(生物种群!$J:$J,COUNTA(生物种群!$J:$J)),MATCH($I701,生物种群!$B$2:INDEX(生物种群!$B:$B,COUNTA(生物种群!$B:$B)),),))</f>
        <v/>
      </c>
      <c r="K701" s="37" t="str">
        <f>IF(A701&amp;B701&amp;C701="","",INDEX(生物种群!$E$2:INDEX(生物种群!$E:$E,COUNTA(生物种群!$E:$E)),MATCH($I701,生物种群!$B$2:INDEX(生物种群!$B:$B,COUNTA(生物种群!$B:$B)),),))</f>
        <v/>
      </c>
      <c r="L701" s="37" t="str">
        <f>IF(A701&amp;B701&amp;C701="","",INDEX(生物种群!$F$3:INDEX(生物种群!$F:$F,COUNTA(生物种群!$F:$F)),MATCH($I701,生物种群!$B$3:INDEX(生物种群!$B:$B,COUNTA(生物种群!$B:$B)),),))</f>
        <v/>
      </c>
      <c r="M701" s="37" t="str">
        <f t="shared" si="20"/>
        <v/>
      </c>
      <c r="N701" s="37" t="str">
        <f t="shared" si="21"/>
        <v/>
      </c>
      <c r="O701" s="9"/>
      <c r="P701" s="10"/>
    </row>
    <row r="702" spans="1:16" ht="20.1" customHeight="1">
      <c r="A702" s="9"/>
      <c r="B702" s="9"/>
      <c r="C702" s="9"/>
      <c r="D702" s="43"/>
      <c r="E702" s="9"/>
      <c r="F702" s="9"/>
      <c r="G702" s="47" t="str">
        <f>IF(F702="","",INDEX(站位样品信息!$B$3:INDEX(站位样品信息!$B:$B,COUNTA(站位样品信息!$B:$B)+1),MATCH($F702,站位样品信息!$A$3:INDEX(站位样品信息!$A:$A,COUNTA(站位样品信息!$A:$A)+1),),))</f>
        <v/>
      </c>
      <c r="H702" s="37" t="str">
        <f>IF(A702&amp;B702&amp;C702="","",INDEX(生物种群!$A$2:INDEX(生物种群!$A:$A,COUNTA(生物种群!$A:$A)),MATCH($I702,生物种群!$B$2:INDEX(生物种群!$B:$B,COUNTA(生物种群!$B:$B)),),))</f>
        <v/>
      </c>
      <c r="I702" s="37" t="str">
        <f>IF(A702&amp;B702&amp;C702="","",IF($C702&lt;&gt;0,INDEX(生物种群!$B$2:INDEX(生物种群!$B:$B,COUNTA(生物种群!$B:$B)),MATCH($C702,生物种群!$G$2:INDEX(生物种群!$G:$G,COUNTA(生物种群!$G:$G)),),),IF($A702&lt;&gt;0,INDEX(生物种群!$B$2:INDEX(生物种群!$B:$B,COUNTA(生物种群!$B:$B)),MATCH($A702,生物种群!$C$2:INDEX(生物种群!$C:$C,COUNTA(生物种群!$C:$C)),),),INDEX(生物种群!$B$2:INDEX(生物种群!$B:$B,COUNTA(生物种群!$B:$B)),MATCH($B702,生物种群!$D$2:INDEX(生物种群!$D:$D,COUNTA(生物种群!$D:$D)),),))))</f>
        <v/>
      </c>
      <c r="J702" s="37" t="str">
        <f>IF(A702&amp;B702&amp;C702="","",INDEX(生物种群!$J$2:INDEX(生物种群!$J:$J,COUNTA(生物种群!$J:$J)),MATCH($I702,生物种群!$B$2:INDEX(生物种群!$B:$B,COUNTA(生物种群!$B:$B)),),))</f>
        <v/>
      </c>
      <c r="K702" s="37" t="str">
        <f>IF(A702&amp;B702&amp;C702="","",INDEX(生物种群!$E$2:INDEX(生物种群!$E:$E,COUNTA(生物种群!$E:$E)),MATCH($I702,生物种群!$B$2:INDEX(生物种群!$B:$B,COUNTA(生物种群!$B:$B)),),))</f>
        <v/>
      </c>
      <c r="L702" s="37" t="str">
        <f>IF(A702&amp;B702&amp;C702="","",INDEX(生物种群!$F$3:INDEX(生物种群!$F:$F,COUNTA(生物种群!$F:$F)),MATCH($I702,生物种群!$B$3:INDEX(生物种群!$B:$B,COUNTA(生物种群!$B:$B)),),))</f>
        <v/>
      </c>
      <c r="M702" s="37" t="str">
        <f t="shared" si="20"/>
        <v/>
      </c>
      <c r="N702" s="37" t="str">
        <f t="shared" si="21"/>
        <v/>
      </c>
      <c r="O702" s="9"/>
      <c r="P702" s="10"/>
    </row>
    <row r="703" spans="1:16" ht="20.1" customHeight="1">
      <c r="A703" s="9"/>
      <c r="B703" s="9"/>
      <c r="C703" s="9"/>
      <c r="D703" s="43"/>
      <c r="E703" s="9"/>
      <c r="F703" s="9"/>
      <c r="G703" s="47" t="str">
        <f>IF(F703="","",INDEX(站位样品信息!$B$3:INDEX(站位样品信息!$B:$B,COUNTA(站位样品信息!$B:$B)+1),MATCH($F703,站位样品信息!$A$3:INDEX(站位样品信息!$A:$A,COUNTA(站位样品信息!$A:$A)+1),),))</f>
        <v/>
      </c>
      <c r="H703" s="37" t="str">
        <f>IF(A703&amp;B703&amp;C703="","",INDEX(生物种群!$A$2:INDEX(生物种群!$A:$A,COUNTA(生物种群!$A:$A)),MATCH($I703,生物种群!$B$2:INDEX(生物种群!$B:$B,COUNTA(生物种群!$B:$B)),),))</f>
        <v/>
      </c>
      <c r="I703" s="37" t="str">
        <f>IF(A703&amp;B703&amp;C703="","",IF($C703&lt;&gt;0,INDEX(生物种群!$B$2:INDEX(生物种群!$B:$B,COUNTA(生物种群!$B:$B)),MATCH($C703,生物种群!$G$2:INDEX(生物种群!$G:$G,COUNTA(生物种群!$G:$G)),),),IF($A703&lt;&gt;0,INDEX(生物种群!$B$2:INDEX(生物种群!$B:$B,COUNTA(生物种群!$B:$B)),MATCH($A703,生物种群!$C$2:INDEX(生物种群!$C:$C,COUNTA(生物种群!$C:$C)),),),INDEX(生物种群!$B$2:INDEX(生物种群!$B:$B,COUNTA(生物种群!$B:$B)),MATCH($B703,生物种群!$D$2:INDEX(生物种群!$D:$D,COUNTA(生物种群!$D:$D)),),))))</f>
        <v/>
      </c>
      <c r="J703" s="37" t="str">
        <f>IF(A703&amp;B703&amp;C703="","",INDEX(生物种群!$J$2:INDEX(生物种群!$J:$J,COUNTA(生物种群!$J:$J)),MATCH($I703,生物种群!$B$2:INDEX(生物种群!$B:$B,COUNTA(生物种群!$B:$B)),),))</f>
        <v/>
      </c>
      <c r="K703" s="37" t="str">
        <f>IF(A703&amp;B703&amp;C703="","",INDEX(生物种群!$E$2:INDEX(生物种群!$E:$E,COUNTA(生物种群!$E:$E)),MATCH($I703,生物种群!$B$2:INDEX(生物种群!$B:$B,COUNTA(生物种群!$B:$B)),),))</f>
        <v/>
      </c>
      <c r="L703" s="37" t="str">
        <f>IF(A703&amp;B703&amp;C703="","",INDEX(生物种群!$F$3:INDEX(生物种群!$F:$F,COUNTA(生物种群!$F:$F)),MATCH($I703,生物种群!$B$3:INDEX(生物种群!$B:$B,COUNTA(生物种群!$B:$B)),),))</f>
        <v/>
      </c>
      <c r="M703" s="37" t="str">
        <f t="shared" si="20"/>
        <v/>
      </c>
      <c r="N703" s="37" t="str">
        <f t="shared" si="21"/>
        <v/>
      </c>
      <c r="O703" s="9"/>
      <c r="P703" s="10"/>
    </row>
    <row r="704" spans="1:16" ht="20.1" customHeight="1">
      <c r="A704" s="9"/>
      <c r="B704" s="9"/>
      <c r="C704" s="9"/>
      <c r="D704" s="43"/>
      <c r="E704" s="9"/>
      <c r="F704" s="9"/>
      <c r="G704" s="47" t="str">
        <f>IF(F704="","",INDEX(站位样品信息!$B$3:INDEX(站位样品信息!$B:$B,COUNTA(站位样品信息!$B:$B)+1),MATCH($F704,站位样品信息!$A$3:INDEX(站位样品信息!$A:$A,COUNTA(站位样品信息!$A:$A)+1),),))</f>
        <v/>
      </c>
      <c r="H704" s="37" t="str">
        <f>IF(A704&amp;B704&amp;C704="","",INDEX(生物种群!$A$2:INDEX(生物种群!$A:$A,COUNTA(生物种群!$A:$A)),MATCH($I704,生物种群!$B$2:INDEX(生物种群!$B:$B,COUNTA(生物种群!$B:$B)),),))</f>
        <v/>
      </c>
      <c r="I704" s="37" t="str">
        <f>IF(A704&amp;B704&amp;C704="","",IF($C704&lt;&gt;0,INDEX(生物种群!$B$2:INDEX(生物种群!$B:$B,COUNTA(生物种群!$B:$B)),MATCH($C704,生物种群!$G$2:INDEX(生物种群!$G:$G,COUNTA(生物种群!$G:$G)),),),IF($A704&lt;&gt;0,INDEX(生物种群!$B$2:INDEX(生物种群!$B:$B,COUNTA(生物种群!$B:$B)),MATCH($A704,生物种群!$C$2:INDEX(生物种群!$C:$C,COUNTA(生物种群!$C:$C)),),),INDEX(生物种群!$B$2:INDEX(生物种群!$B:$B,COUNTA(生物种群!$B:$B)),MATCH($B704,生物种群!$D$2:INDEX(生物种群!$D:$D,COUNTA(生物种群!$D:$D)),),))))</f>
        <v/>
      </c>
      <c r="J704" s="37" t="str">
        <f>IF(A704&amp;B704&amp;C704="","",INDEX(生物种群!$J$2:INDEX(生物种群!$J:$J,COUNTA(生物种群!$J:$J)),MATCH($I704,生物种群!$B$2:INDEX(生物种群!$B:$B,COUNTA(生物种群!$B:$B)),),))</f>
        <v/>
      </c>
      <c r="K704" s="37" t="str">
        <f>IF(A704&amp;B704&amp;C704="","",INDEX(生物种群!$E$2:INDEX(生物种群!$E:$E,COUNTA(生物种群!$E:$E)),MATCH($I704,生物种群!$B$2:INDEX(生物种群!$B:$B,COUNTA(生物种群!$B:$B)),),))</f>
        <v/>
      </c>
      <c r="L704" s="37" t="str">
        <f>IF(A704&amp;B704&amp;C704="","",INDEX(生物种群!$F$3:INDEX(生物种群!$F:$F,COUNTA(生物种群!$F:$F)),MATCH($I704,生物种群!$B$3:INDEX(生物种群!$B:$B,COUNTA(生物种群!$B:$B)),),))</f>
        <v/>
      </c>
      <c r="M704" s="37" t="str">
        <f t="shared" si="20"/>
        <v/>
      </c>
      <c r="N704" s="37" t="str">
        <f t="shared" si="21"/>
        <v/>
      </c>
      <c r="O704" s="9"/>
      <c r="P704" s="10"/>
    </row>
    <row r="705" spans="1:16" ht="20.1" customHeight="1">
      <c r="A705" s="9"/>
      <c r="B705" s="9"/>
      <c r="C705" s="9"/>
      <c r="D705" s="43"/>
      <c r="E705" s="9"/>
      <c r="F705" s="9"/>
      <c r="G705" s="47" t="str">
        <f>IF(F705="","",INDEX(站位样品信息!$B$3:INDEX(站位样品信息!$B:$B,COUNTA(站位样品信息!$B:$B)+1),MATCH($F705,站位样品信息!$A$3:INDEX(站位样品信息!$A:$A,COUNTA(站位样品信息!$A:$A)+1),),))</f>
        <v/>
      </c>
      <c r="H705" s="37" t="str">
        <f>IF(A705&amp;B705&amp;C705="","",INDEX(生物种群!$A$2:INDEX(生物种群!$A:$A,COUNTA(生物种群!$A:$A)),MATCH($I705,生物种群!$B$2:INDEX(生物种群!$B:$B,COUNTA(生物种群!$B:$B)),),))</f>
        <v/>
      </c>
      <c r="I705" s="37" t="str">
        <f>IF(A705&amp;B705&amp;C705="","",IF($C705&lt;&gt;0,INDEX(生物种群!$B$2:INDEX(生物种群!$B:$B,COUNTA(生物种群!$B:$B)),MATCH($C705,生物种群!$G$2:INDEX(生物种群!$G:$G,COUNTA(生物种群!$G:$G)),),),IF($A705&lt;&gt;0,INDEX(生物种群!$B$2:INDEX(生物种群!$B:$B,COUNTA(生物种群!$B:$B)),MATCH($A705,生物种群!$C$2:INDEX(生物种群!$C:$C,COUNTA(生物种群!$C:$C)),),),INDEX(生物种群!$B$2:INDEX(生物种群!$B:$B,COUNTA(生物种群!$B:$B)),MATCH($B705,生物种群!$D$2:INDEX(生物种群!$D:$D,COUNTA(生物种群!$D:$D)),),))))</f>
        <v/>
      </c>
      <c r="J705" s="37" t="str">
        <f>IF(A705&amp;B705&amp;C705="","",INDEX(生物种群!$J$2:INDEX(生物种群!$J:$J,COUNTA(生物种群!$J:$J)),MATCH($I705,生物种群!$B$2:INDEX(生物种群!$B:$B,COUNTA(生物种群!$B:$B)),),))</f>
        <v/>
      </c>
      <c r="K705" s="37" t="str">
        <f>IF(A705&amp;B705&amp;C705="","",INDEX(生物种群!$E$2:INDEX(生物种群!$E:$E,COUNTA(生物种群!$E:$E)),MATCH($I705,生物种群!$B$2:INDEX(生物种群!$B:$B,COUNTA(生物种群!$B:$B)),),))</f>
        <v/>
      </c>
      <c r="L705" s="37" t="str">
        <f>IF(A705&amp;B705&amp;C705="","",INDEX(生物种群!$F$3:INDEX(生物种群!$F:$F,COUNTA(生物种群!$F:$F)),MATCH($I705,生物种群!$B$3:INDEX(生物种群!$B:$B,COUNTA(生物种群!$B:$B)),),))</f>
        <v/>
      </c>
      <c r="M705" s="37" t="str">
        <f t="shared" si="20"/>
        <v/>
      </c>
      <c r="N705" s="37" t="str">
        <f t="shared" si="21"/>
        <v/>
      </c>
      <c r="O705" s="9"/>
      <c r="P705" s="10"/>
    </row>
    <row r="706" spans="1:16" ht="20.1" customHeight="1">
      <c r="A706" s="9"/>
      <c r="B706" s="9"/>
      <c r="C706" s="9"/>
      <c r="D706" s="43"/>
      <c r="E706" s="9"/>
      <c r="F706" s="9"/>
      <c r="G706" s="47" t="str">
        <f>IF(F706="","",INDEX(站位样品信息!$B$3:INDEX(站位样品信息!$B:$B,COUNTA(站位样品信息!$B:$B)+1),MATCH($F706,站位样品信息!$A$3:INDEX(站位样品信息!$A:$A,COUNTA(站位样品信息!$A:$A)+1),),))</f>
        <v/>
      </c>
      <c r="H706" s="37" t="str">
        <f>IF(A706&amp;B706&amp;C706="","",INDEX(生物种群!$A$2:INDEX(生物种群!$A:$A,COUNTA(生物种群!$A:$A)),MATCH($I706,生物种群!$B$2:INDEX(生物种群!$B:$B,COUNTA(生物种群!$B:$B)),),))</f>
        <v/>
      </c>
      <c r="I706" s="37" t="str">
        <f>IF(A706&amp;B706&amp;C706="","",IF($C706&lt;&gt;0,INDEX(生物种群!$B$2:INDEX(生物种群!$B:$B,COUNTA(生物种群!$B:$B)),MATCH($C706,生物种群!$G$2:INDEX(生物种群!$G:$G,COUNTA(生物种群!$G:$G)),),),IF($A706&lt;&gt;0,INDEX(生物种群!$B$2:INDEX(生物种群!$B:$B,COUNTA(生物种群!$B:$B)),MATCH($A706,生物种群!$C$2:INDEX(生物种群!$C:$C,COUNTA(生物种群!$C:$C)),),),INDEX(生物种群!$B$2:INDEX(生物种群!$B:$B,COUNTA(生物种群!$B:$B)),MATCH($B706,生物种群!$D$2:INDEX(生物种群!$D:$D,COUNTA(生物种群!$D:$D)),),))))</f>
        <v/>
      </c>
      <c r="J706" s="37" t="str">
        <f>IF(A706&amp;B706&amp;C706="","",INDEX(生物种群!$J$2:INDEX(生物种群!$J:$J,COUNTA(生物种群!$J:$J)),MATCH($I706,生物种群!$B$2:INDEX(生物种群!$B:$B,COUNTA(生物种群!$B:$B)),),))</f>
        <v/>
      </c>
      <c r="K706" s="37" t="str">
        <f>IF(A706&amp;B706&amp;C706="","",INDEX(生物种群!$E$2:INDEX(生物种群!$E:$E,COUNTA(生物种群!$E:$E)),MATCH($I706,生物种群!$B$2:INDEX(生物种群!$B:$B,COUNTA(生物种群!$B:$B)),),))</f>
        <v/>
      </c>
      <c r="L706" s="37" t="str">
        <f>IF(A706&amp;B706&amp;C706="","",INDEX(生物种群!$F$3:INDEX(生物种群!$F:$F,COUNTA(生物种群!$F:$F)),MATCH($I706,生物种群!$B$3:INDEX(生物种群!$B:$B,COUNTA(生物种群!$B:$B)),),))</f>
        <v/>
      </c>
      <c r="M706" s="37" t="str">
        <f t="shared" si="20"/>
        <v/>
      </c>
      <c r="N706" s="37" t="str">
        <f t="shared" si="21"/>
        <v/>
      </c>
      <c r="O706" s="9"/>
      <c r="P706" s="10"/>
    </row>
    <row r="707" spans="1:16" ht="20.1" customHeight="1">
      <c r="A707" s="9"/>
      <c r="B707" s="9"/>
      <c r="C707" s="9"/>
      <c r="D707" s="43"/>
      <c r="E707" s="9"/>
      <c r="F707" s="9"/>
      <c r="G707" s="47" t="str">
        <f>IF(F707="","",INDEX(站位样品信息!$B$3:INDEX(站位样品信息!$B:$B,COUNTA(站位样品信息!$B:$B)+1),MATCH($F707,站位样品信息!$A$3:INDEX(站位样品信息!$A:$A,COUNTA(站位样品信息!$A:$A)+1),),))</f>
        <v/>
      </c>
      <c r="H707" s="37" t="str">
        <f>IF(A707&amp;B707&amp;C707="","",INDEX(生物种群!$A$2:INDEX(生物种群!$A:$A,COUNTA(生物种群!$A:$A)),MATCH($I707,生物种群!$B$2:INDEX(生物种群!$B:$B,COUNTA(生物种群!$B:$B)),),))</f>
        <v/>
      </c>
      <c r="I707" s="37" t="str">
        <f>IF(A707&amp;B707&amp;C707="","",IF($C707&lt;&gt;0,INDEX(生物种群!$B$2:INDEX(生物种群!$B:$B,COUNTA(生物种群!$B:$B)),MATCH($C707,生物种群!$G$2:INDEX(生物种群!$G:$G,COUNTA(生物种群!$G:$G)),),),IF($A707&lt;&gt;0,INDEX(生物种群!$B$2:INDEX(生物种群!$B:$B,COUNTA(生物种群!$B:$B)),MATCH($A707,生物种群!$C$2:INDEX(生物种群!$C:$C,COUNTA(生物种群!$C:$C)),),),INDEX(生物种群!$B$2:INDEX(生物种群!$B:$B,COUNTA(生物种群!$B:$B)),MATCH($B707,生物种群!$D$2:INDEX(生物种群!$D:$D,COUNTA(生物种群!$D:$D)),),))))</f>
        <v/>
      </c>
      <c r="J707" s="37" t="str">
        <f>IF(A707&amp;B707&amp;C707="","",INDEX(生物种群!$J$2:INDEX(生物种群!$J:$J,COUNTA(生物种群!$J:$J)),MATCH($I707,生物种群!$B$2:INDEX(生物种群!$B:$B,COUNTA(生物种群!$B:$B)),),))</f>
        <v/>
      </c>
      <c r="K707" s="37" t="str">
        <f>IF(A707&amp;B707&amp;C707="","",INDEX(生物种群!$E$2:INDEX(生物种群!$E:$E,COUNTA(生物种群!$E:$E)),MATCH($I707,生物种群!$B$2:INDEX(生物种群!$B:$B,COUNTA(生物种群!$B:$B)),),))</f>
        <v/>
      </c>
      <c r="L707" s="37" t="str">
        <f>IF(A707&amp;B707&amp;C707="","",INDEX(生物种群!$F$3:INDEX(生物种群!$F:$F,COUNTA(生物种群!$F:$F)),MATCH($I707,生物种群!$B$3:INDEX(生物种群!$B:$B,COUNTA(生物种群!$B:$B)),),))</f>
        <v/>
      </c>
      <c r="M707" s="37" t="str">
        <f t="shared" si="22" ref="M707:M770">IF(F707&gt;0,F707&amp;I707&amp;E707,"")</f>
        <v/>
      </c>
      <c r="N707" s="37" t="str">
        <f t="shared" si="23" ref="N707:N770">IF(COUNTIF($M:$M,M707)=1,"",IF(A707&amp;B707&amp;C707="","","重复"))</f>
        <v/>
      </c>
      <c r="O707" s="9"/>
      <c r="P707" s="10"/>
    </row>
    <row r="708" spans="1:16" ht="20.1" customHeight="1">
      <c r="A708" s="9"/>
      <c r="B708" s="9"/>
      <c r="C708" s="9"/>
      <c r="D708" s="43"/>
      <c r="E708" s="9"/>
      <c r="F708" s="9"/>
      <c r="G708" s="47" t="str">
        <f>IF(F708="","",INDEX(站位样品信息!$B$3:INDEX(站位样品信息!$B:$B,COUNTA(站位样品信息!$B:$B)+1),MATCH($F708,站位样品信息!$A$3:INDEX(站位样品信息!$A:$A,COUNTA(站位样品信息!$A:$A)+1),),))</f>
        <v/>
      </c>
      <c r="H708" s="37" t="str">
        <f>IF(A708&amp;B708&amp;C708="","",INDEX(生物种群!$A$2:INDEX(生物种群!$A:$A,COUNTA(生物种群!$A:$A)),MATCH($I708,生物种群!$B$2:INDEX(生物种群!$B:$B,COUNTA(生物种群!$B:$B)),),))</f>
        <v/>
      </c>
      <c r="I708" s="37" t="str">
        <f>IF(A708&amp;B708&amp;C708="","",IF($C708&lt;&gt;0,INDEX(生物种群!$B$2:INDEX(生物种群!$B:$B,COUNTA(生物种群!$B:$B)),MATCH($C708,生物种群!$G$2:INDEX(生物种群!$G:$G,COUNTA(生物种群!$G:$G)),),),IF($A708&lt;&gt;0,INDEX(生物种群!$B$2:INDEX(生物种群!$B:$B,COUNTA(生物种群!$B:$B)),MATCH($A708,生物种群!$C$2:INDEX(生物种群!$C:$C,COUNTA(生物种群!$C:$C)),),),INDEX(生物种群!$B$2:INDEX(生物种群!$B:$B,COUNTA(生物种群!$B:$B)),MATCH($B708,生物种群!$D$2:INDEX(生物种群!$D:$D,COUNTA(生物种群!$D:$D)),),))))</f>
        <v/>
      </c>
      <c r="J708" s="37" t="str">
        <f>IF(A708&amp;B708&amp;C708="","",INDEX(生物种群!$J$2:INDEX(生物种群!$J:$J,COUNTA(生物种群!$J:$J)),MATCH($I708,生物种群!$B$2:INDEX(生物种群!$B:$B,COUNTA(生物种群!$B:$B)),),))</f>
        <v/>
      </c>
      <c r="K708" s="37" t="str">
        <f>IF(A708&amp;B708&amp;C708="","",INDEX(生物种群!$E$2:INDEX(生物种群!$E:$E,COUNTA(生物种群!$E:$E)),MATCH($I708,生物种群!$B$2:INDEX(生物种群!$B:$B,COUNTA(生物种群!$B:$B)),),))</f>
        <v/>
      </c>
      <c r="L708" s="37" t="str">
        <f>IF(A708&amp;B708&amp;C708="","",INDEX(生物种群!$F$3:INDEX(生物种群!$F:$F,COUNTA(生物种群!$F:$F)),MATCH($I708,生物种群!$B$3:INDEX(生物种群!$B:$B,COUNTA(生物种群!$B:$B)),),))</f>
        <v/>
      </c>
      <c r="M708" s="37" t="str">
        <f t="shared" si="22"/>
        <v/>
      </c>
      <c r="N708" s="37" t="str">
        <f t="shared" si="23"/>
        <v/>
      </c>
      <c r="O708" s="9"/>
      <c r="P708" s="10"/>
    </row>
    <row r="709" spans="1:16" ht="20.1" customHeight="1">
      <c r="A709" s="9"/>
      <c r="B709" s="9"/>
      <c r="C709" s="9"/>
      <c r="D709" s="43"/>
      <c r="E709" s="9"/>
      <c r="F709" s="9"/>
      <c r="G709" s="47" t="str">
        <f>IF(F709="","",INDEX(站位样品信息!$B$3:INDEX(站位样品信息!$B:$B,COUNTA(站位样品信息!$B:$B)+1),MATCH($F709,站位样品信息!$A$3:INDEX(站位样品信息!$A:$A,COUNTA(站位样品信息!$A:$A)+1),),))</f>
        <v/>
      </c>
      <c r="H709" s="37" t="str">
        <f>IF(A709&amp;B709&amp;C709="","",INDEX(生物种群!$A$2:INDEX(生物种群!$A:$A,COUNTA(生物种群!$A:$A)),MATCH($I709,生物种群!$B$2:INDEX(生物种群!$B:$B,COUNTA(生物种群!$B:$B)),),))</f>
        <v/>
      </c>
      <c r="I709" s="37" t="str">
        <f>IF(A709&amp;B709&amp;C709="","",IF($C709&lt;&gt;0,INDEX(生物种群!$B$2:INDEX(生物种群!$B:$B,COUNTA(生物种群!$B:$B)),MATCH($C709,生物种群!$G$2:INDEX(生物种群!$G:$G,COUNTA(生物种群!$G:$G)),),),IF($A709&lt;&gt;0,INDEX(生物种群!$B$2:INDEX(生物种群!$B:$B,COUNTA(生物种群!$B:$B)),MATCH($A709,生物种群!$C$2:INDEX(生物种群!$C:$C,COUNTA(生物种群!$C:$C)),),),INDEX(生物种群!$B$2:INDEX(生物种群!$B:$B,COUNTA(生物种群!$B:$B)),MATCH($B709,生物种群!$D$2:INDEX(生物种群!$D:$D,COUNTA(生物种群!$D:$D)),),))))</f>
        <v/>
      </c>
      <c r="J709" s="37" t="str">
        <f>IF(A709&amp;B709&amp;C709="","",INDEX(生物种群!$J$2:INDEX(生物种群!$J:$J,COUNTA(生物种群!$J:$J)),MATCH($I709,生物种群!$B$2:INDEX(生物种群!$B:$B,COUNTA(生物种群!$B:$B)),),))</f>
        <v/>
      </c>
      <c r="K709" s="37" t="str">
        <f>IF(A709&amp;B709&amp;C709="","",INDEX(生物种群!$E$2:INDEX(生物种群!$E:$E,COUNTA(生物种群!$E:$E)),MATCH($I709,生物种群!$B$2:INDEX(生物种群!$B:$B,COUNTA(生物种群!$B:$B)),),))</f>
        <v/>
      </c>
      <c r="L709" s="37" t="str">
        <f>IF(A709&amp;B709&amp;C709="","",INDEX(生物种群!$F$3:INDEX(生物种群!$F:$F,COUNTA(生物种群!$F:$F)),MATCH($I709,生物种群!$B$3:INDEX(生物种群!$B:$B,COUNTA(生物种群!$B:$B)),),))</f>
        <v/>
      </c>
      <c r="M709" s="37" t="str">
        <f t="shared" si="22"/>
        <v/>
      </c>
      <c r="N709" s="37" t="str">
        <f t="shared" si="23"/>
        <v/>
      </c>
      <c r="O709" s="9"/>
      <c r="P709" s="10"/>
    </row>
    <row r="710" spans="1:16" ht="20.1" customHeight="1">
      <c r="A710" s="9"/>
      <c r="B710" s="9"/>
      <c r="C710" s="9"/>
      <c r="D710" s="43"/>
      <c r="E710" s="9"/>
      <c r="F710" s="9"/>
      <c r="G710" s="47" t="str">
        <f>IF(F710="","",INDEX(站位样品信息!$B$3:INDEX(站位样品信息!$B:$B,COUNTA(站位样品信息!$B:$B)+1),MATCH($F710,站位样品信息!$A$3:INDEX(站位样品信息!$A:$A,COUNTA(站位样品信息!$A:$A)+1),),))</f>
        <v/>
      </c>
      <c r="H710" s="37" t="str">
        <f>IF(A710&amp;B710&amp;C710="","",INDEX(生物种群!$A$2:INDEX(生物种群!$A:$A,COUNTA(生物种群!$A:$A)),MATCH($I710,生物种群!$B$2:INDEX(生物种群!$B:$B,COUNTA(生物种群!$B:$B)),),))</f>
        <v/>
      </c>
      <c r="I710" s="37" t="str">
        <f>IF(A710&amp;B710&amp;C710="","",IF($C710&lt;&gt;0,INDEX(生物种群!$B$2:INDEX(生物种群!$B:$B,COUNTA(生物种群!$B:$B)),MATCH($C710,生物种群!$G$2:INDEX(生物种群!$G:$G,COUNTA(生物种群!$G:$G)),),),IF($A710&lt;&gt;0,INDEX(生物种群!$B$2:INDEX(生物种群!$B:$B,COUNTA(生物种群!$B:$B)),MATCH($A710,生物种群!$C$2:INDEX(生物种群!$C:$C,COUNTA(生物种群!$C:$C)),),),INDEX(生物种群!$B$2:INDEX(生物种群!$B:$B,COUNTA(生物种群!$B:$B)),MATCH($B710,生物种群!$D$2:INDEX(生物种群!$D:$D,COUNTA(生物种群!$D:$D)),),))))</f>
        <v/>
      </c>
      <c r="J710" s="37" t="str">
        <f>IF(A710&amp;B710&amp;C710="","",INDEX(生物种群!$J$2:INDEX(生物种群!$J:$J,COUNTA(生物种群!$J:$J)),MATCH($I710,生物种群!$B$2:INDEX(生物种群!$B:$B,COUNTA(生物种群!$B:$B)),),))</f>
        <v/>
      </c>
      <c r="K710" s="37" t="str">
        <f>IF(A710&amp;B710&amp;C710="","",INDEX(生物种群!$E$2:INDEX(生物种群!$E:$E,COUNTA(生物种群!$E:$E)),MATCH($I710,生物种群!$B$2:INDEX(生物种群!$B:$B,COUNTA(生物种群!$B:$B)),),))</f>
        <v/>
      </c>
      <c r="L710" s="37" t="str">
        <f>IF(A710&amp;B710&amp;C710="","",INDEX(生物种群!$F$3:INDEX(生物种群!$F:$F,COUNTA(生物种群!$F:$F)),MATCH($I710,生物种群!$B$3:INDEX(生物种群!$B:$B,COUNTA(生物种群!$B:$B)),),))</f>
        <v/>
      </c>
      <c r="M710" s="37" t="str">
        <f t="shared" si="22"/>
        <v/>
      </c>
      <c r="N710" s="37" t="str">
        <f t="shared" si="23"/>
        <v/>
      </c>
      <c r="O710" s="9"/>
      <c r="P710" s="10"/>
    </row>
    <row r="711" spans="1:16" ht="20.1" customHeight="1">
      <c r="A711" s="9"/>
      <c r="B711" s="9"/>
      <c r="C711" s="9"/>
      <c r="D711" s="43"/>
      <c r="E711" s="9"/>
      <c r="F711" s="9"/>
      <c r="G711" s="47" t="str">
        <f>IF(F711="","",INDEX(站位样品信息!$B$3:INDEX(站位样品信息!$B:$B,COUNTA(站位样品信息!$B:$B)+1),MATCH($F711,站位样品信息!$A$3:INDEX(站位样品信息!$A:$A,COUNTA(站位样品信息!$A:$A)+1),),))</f>
        <v/>
      </c>
      <c r="H711" s="37" t="str">
        <f>IF(A711&amp;B711&amp;C711="","",INDEX(生物种群!$A$2:INDEX(生物种群!$A:$A,COUNTA(生物种群!$A:$A)),MATCH($I711,生物种群!$B$2:INDEX(生物种群!$B:$B,COUNTA(生物种群!$B:$B)),),))</f>
        <v/>
      </c>
      <c r="I711" s="37" t="str">
        <f>IF(A711&amp;B711&amp;C711="","",IF($C711&lt;&gt;0,INDEX(生物种群!$B$2:INDEX(生物种群!$B:$B,COUNTA(生物种群!$B:$B)),MATCH($C711,生物种群!$G$2:INDEX(生物种群!$G:$G,COUNTA(生物种群!$G:$G)),),),IF($A711&lt;&gt;0,INDEX(生物种群!$B$2:INDEX(生物种群!$B:$B,COUNTA(生物种群!$B:$B)),MATCH($A711,生物种群!$C$2:INDEX(生物种群!$C:$C,COUNTA(生物种群!$C:$C)),),),INDEX(生物种群!$B$2:INDEX(生物种群!$B:$B,COUNTA(生物种群!$B:$B)),MATCH($B711,生物种群!$D$2:INDEX(生物种群!$D:$D,COUNTA(生物种群!$D:$D)),),))))</f>
        <v/>
      </c>
      <c r="J711" s="37" t="str">
        <f>IF(A711&amp;B711&amp;C711="","",INDEX(生物种群!$J$2:INDEX(生物种群!$J:$J,COUNTA(生物种群!$J:$J)),MATCH($I711,生物种群!$B$2:INDEX(生物种群!$B:$B,COUNTA(生物种群!$B:$B)),),))</f>
        <v/>
      </c>
      <c r="K711" s="37" t="str">
        <f>IF(A711&amp;B711&amp;C711="","",INDEX(生物种群!$E$2:INDEX(生物种群!$E:$E,COUNTA(生物种群!$E:$E)),MATCH($I711,生物种群!$B$2:INDEX(生物种群!$B:$B,COUNTA(生物种群!$B:$B)),),))</f>
        <v/>
      </c>
      <c r="L711" s="37" t="str">
        <f>IF(A711&amp;B711&amp;C711="","",INDEX(生物种群!$F$3:INDEX(生物种群!$F:$F,COUNTA(生物种群!$F:$F)),MATCH($I711,生物种群!$B$3:INDEX(生物种群!$B:$B,COUNTA(生物种群!$B:$B)),),))</f>
        <v/>
      </c>
      <c r="M711" s="37" t="str">
        <f t="shared" si="22"/>
        <v/>
      </c>
      <c r="N711" s="37" t="str">
        <f t="shared" si="23"/>
        <v/>
      </c>
      <c r="O711" s="9"/>
      <c r="P711" s="10"/>
    </row>
    <row r="712" spans="1:16" ht="20.1" customHeight="1">
      <c r="A712" s="9"/>
      <c r="B712" s="9"/>
      <c r="C712" s="9"/>
      <c r="D712" s="43"/>
      <c r="E712" s="9"/>
      <c r="F712" s="9"/>
      <c r="G712" s="47" t="str">
        <f>IF(F712="","",INDEX(站位样品信息!$B$3:INDEX(站位样品信息!$B:$B,COUNTA(站位样品信息!$B:$B)+1),MATCH($F712,站位样品信息!$A$3:INDEX(站位样品信息!$A:$A,COUNTA(站位样品信息!$A:$A)+1),),))</f>
        <v/>
      </c>
      <c r="H712" s="37" t="str">
        <f>IF(A712&amp;B712&amp;C712="","",INDEX(生物种群!$A$2:INDEX(生物种群!$A:$A,COUNTA(生物种群!$A:$A)),MATCH($I712,生物种群!$B$2:INDEX(生物种群!$B:$B,COUNTA(生物种群!$B:$B)),),))</f>
        <v/>
      </c>
      <c r="I712" s="37" t="str">
        <f>IF(A712&amp;B712&amp;C712="","",IF($C712&lt;&gt;0,INDEX(生物种群!$B$2:INDEX(生物种群!$B:$B,COUNTA(生物种群!$B:$B)),MATCH($C712,生物种群!$G$2:INDEX(生物种群!$G:$G,COUNTA(生物种群!$G:$G)),),),IF($A712&lt;&gt;0,INDEX(生物种群!$B$2:INDEX(生物种群!$B:$B,COUNTA(生物种群!$B:$B)),MATCH($A712,生物种群!$C$2:INDEX(生物种群!$C:$C,COUNTA(生物种群!$C:$C)),),),INDEX(生物种群!$B$2:INDEX(生物种群!$B:$B,COUNTA(生物种群!$B:$B)),MATCH($B712,生物种群!$D$2:INDEX(生物种群!$D:$D,COUNTA(生物种群!$D:$D)),),))))</f>
        <v/>
      </c>
      <c r="J712" s="37" t="str">
        <f>IF(A712&amp;B712&amp;C712="","",INDEX(生物种群!$J$2:INDEX(生物种群!$J:$J,COUNTA(生物种群!$J:$J)),MATCH($I712,生物种群!$B$2:INDEX(生物种群!$B:$B,COUNTA(生物种群!$B:$B)),),))</f>
        <v/>
      </c>
      <c r="K712" s="37" t="str">
        <f>IF(A712&amp;B712&amp;C712="","",INDEX(生物种群!$E$2:INDEX(生物种群!$E:$E,COUNTA(生物种群!$E:$E)),MATCH($I712,生物种群!$B$2:INDEX(生物种群!$B:$B,COUNTA(生物种群!$B:$B)),),))</f>
        <v/>
      </c>
      <c r="L712" s="37" t="str">
        <f>IF(A712&amp;B712&amp;C712="","",INDEX(生物种群!$F$3:INDEX(生物种群!$F:$F,COUNTA(生物种群!$F:$F)),MATCH($I712,生物种群!$B$3:INDEX(生物种群!$B:$B,COUNTA(生物种群!$B:$B)),),))</f>
        <v/>
      </c>
      <c r="M712" s="37" t="str">
        <f t="shared" si="22"/>
        <v/>
      </c>
      <c r="N712" s="37" t="str">
        <f t="shared" si="23"/>
        <v/>
      </c>
      <c r="O712" s="9"/>
      <c r="P712" s="10"/>
    </row>
    <row r="713" spans="1:16" ht="20.1" customHeight="1">
      <c r="A713" s="9"/>
      <c r="B713" s="9"/>
      <c r="C713" s="9"/>
      <c r="D713" s="43"/>
      <c r="E713" s="9"/>
      <c r="F713" s="9"/>
      <c r="G713" s="47" t="str">
        <f>IF(F713="","",INDEX(站位样品信息!$B$3:INDEX(站位样品信息!$B:$B,COUNTA(站位样品信息!$B:$B)+1),MATCH($F713,站位样品信息!$A$3:INDEX(站位样品信息!$A:$A,COUNTA(站位样品信息!$A:$A)+1),),))</f>
        <v/>
      </c>
      <c r="H713" s="37" t="str">
        <f>IF(A713&amp;B713&amp;C713="","",INDEX(生物种群!$A$2:INDEX(生物种群!$A:$A,COUNTA(生物种群!$A:$A)),MATCH($I713,生物种群!$B$2:INDEX(生物种群!$B:$B,COUNTA(生物种群!$B:$B)),),))</f>
        <v/>
      </c>
      <c r="I713" s="37" t="str">
        <f>IF(A713&amp;B713&amp;C713="","",IF($C713&lt;&gt;0,INDEX(生物种群!$B$2:INDEX(生物种群!$B:$B,COUNTA(生物种群!$B:$B)),MATCH($C713,生物种群!$G$2:INDEX(生物种群!$G:$G,COUNTA(生物种群!$G:$G)),),),IF($A713&lt;&gt;0,INDEX(生物种群!$B$2:INDEX(生物种群!$B:$B,COUNTA(生物种群!$B:$B)),MATCH($A713,生物种群!$C$2:INDEX(生物种群!$C:$C,COUNTA(生物种群!$C:$C)),),),INDEX(生物种群!$B$2:INDEX(生物种群!$B:$B,COUNTA(生物种群!$B:$B)),MATCH($B713,生物种群!$D$2:INDEX(生物种群!$D:$D,COUNTA(生物种群!$D:$D)),),))))</f>
        <v/>
      </c>
      <c r="J713" s="37" t="str">
        <f>IF(A713&amp;B713&amp;C713="","",INDEX(生物种群!$J$2:INDEX(生物种群!$J:$J,COUNTA(生物种群!$J:$J)),MATCH($I713,生物种群!$B$2:INDEX(生物种群!$B:$B,COUNTA(生物种群!$B:$B)),),))</f>
        <v/>
      </c>
      <c r="K713" s="37" t="str">
        <f>IF(A713&amp;B713&amp;C713="","",INDEX(生物种群!$E$2:INDEX(生物种群!$E:$E,COUNTA(生物种群!$E:$E)),MATCH($I713,生物种群!$B$2:INDEX(生物种群!$B:$B,COUNTA(生物种群!$B:$B)),),))</f>
        <v/>
      </c>
      <c r="L713" s="37" t="str">
        <f>IF(A713&amp;B713&amp;C713="","",INDEX(生物种群!$F$3:INDEX(生物种群!$F:$F,COUNTA(生物种群!$F:$F)),MATCH($I713,生物种群!$B$3:INDEX(生物种群!$B:$B,COUNTA(生物种群!$B:$B)),),))</f>
        <v/>
      </c>
      <c r="M713" s="37" t="str">
        <f t="shared" si="22"/>
        <v/>
      </c>
      <c r="N713" s="37" t="str">
        <f t="shared" si="23"/>
        <v/>
      </c>
      <c r="O713" s="9"/>
      <c r="P713" s="10"/>
    </row>
    <row r="714" spans="1:16" ht="20.1" customHeight="1">
      <c r="A714" s="9"/>
      <c r="B714" s="9"/>
      <c r="C714" s="9"/>
      <c r="D714" s="43"/>
      <c r="E714" s="9"/>
      <c r="F714" s="9"/>
      <c r="G714" s="47" t="str">
        <f>IF(F714="","",INDEX(站位样品信息!$B$3:INDEX(站位样品信息!$B:$B,COUNTA(站位样品信息!$B:$B)+1),MATCH($F714,站位样品信息!$A$3:INDEX(站位样品信息!$A:$A,COUNTA(站位样品信息!$A:$A)+1),),))</f>
        <v/>
      </c>
      <c r="H714" s="37" t="str">
        <f>IF(A714&amp;B714&amp;C714="","",INDEX(生物种群!$A$2:INDEX(生物种群!$A:$A,COUNTA(生物种群!$A:$A)),MATCH($I714,生物种群!$B$2:INDEX(生物种群!$B:$B,COUNTA(生物种群!$B:$B)),),))</f>
        <v/>
      </c>
      <c r="I714" s="37" t="str">
        <f>IF(A714&amp;B714&amp;C714="","",IF($C714&lt;&gt;0,INDEX(生物种群!$B$2:INDEX(生物种群!$B:$B,COUNTA(生物种群!$B:$B)),MATCH($C714,生物种群!$G$2:INDEX(生物种群!$G:$G,COUNTA(生物种群!$G:$G)),),),IF($A714&lt;&gt;0,INDEX(生物种群!$B$2:INDEX(生物种群!$B:$B,COUNTA(生物种群!$B:$B)),MATCH($A714,生物种群!$C$2:INDEX(生物种群!$C:$C,COUNTA(生物种群!$C:$C)),),),INDEX(生物种群!$B$2:INDEX(生物种群!$B:$B,COUNTA(生物种群!$B:$B)),MATCH($B714,生物种群!$D$2:INDEX(生物种群!$D:$D,COUNTA(生物种群!$D:$D)),),))))</f>
        <v/>
      </c>
      <c r="J714" s="37" t="str">
        <f>IF(A714&amp;B714&amp;C714="","",INDEX(生物种群!$J$2:INDEX(生物种群!$J:$J,COUNTA(生物种群!$J:$J)),MATCH($I714,生物种群!$B$2:INDEX(生物种群!$B:$B,COUNTA(生物种群!$B:$B)),),))</f>
        <v/>
      </c>
      <c r="K714" s="37" t="str">
        <f>IF(A714&amp;B714&amp;C714="","",INDEX(生物种群!$E$2:INDEX(生物种群!$E:$E,COUNTA(生物种群!$E:$E)),MATCH($I714,生物种群!$B$2:INDEX(生物种群!$B:$B,COUNTA(生物种群!$B:$B)),),))</f>
        <v/>
      </c>
      <c r="L714" s="37" t="str">
        <f>IF(A714&amp;B714&amp;C714="","",INDEX(生物种群!$F$3:INDEX(生物种群!$F:$F,COUNTA(生物种群!$F:$F)),MATCH($I714,生物种群!$B$3:INDEX(生物种群!$B:$B,COUNTA(生物种群!$B:$B)),),))</f>
        <v/>
      </c>
      <c r="M714" s="37" t="str">
        <f t="shared" si="22"/>
        <v/>
      </c>
      <c r="N714" s="37" t="str">
        <f t="shared" si="23"/>
        <v/>
      </c>
      <c r="O714" s="9"/>
      <c r="P714" s="10"/>
    </row>
    <row r="715" spans="1:16" ht="20.1" customHeight="1">
      <c r="A715" s="9"/>
      <c r="B715" s="9"/>
      <c r="C715" s="9"/>
      <c r="D715" s="43"/>
      <c r="E715" s="9"/>
      <c r="F715" s="9"/>
      <c r="G715" s="47" t="str">
        <f>IF(F715="","",INDEX(站位样品信息!$B$3:INDEX(站位样品信息!$B:$B,COUNTA(站位样品信息!$B:$B)+1),MATCH($F715,站位样品信息!$A$3:INDEX(站位样品信息!$A:$A,COUNTA(站位样品信息!$A:$A)+1),),))</f>
        <v/>
      </c>
      <c r="H715" s="37" t="str">
        <f>IF(A715&amp;B715&amp;C715="","",INDEX(生物种群!$A$2:INDEX(生物种群!$A:$A,COUNTA(生物种群!$A:$A)),MATCH($I715,生物种群!$B$2:INDEX(生物种群!$B:$B,COUNTA(生物种群!$B:$B)),),))</f>
        <v/>
      </c>
      <c r="I715" s="37" t="str">
        <f>IF(A715&amp;B715&amp;C715="","",IF($C715&lt;&gt;0,INDEX(生物种群!$B$2:INDEX(生物种群!$B:$B,COUNTA(生物种群!$B:$B)),MATCH($C715,生物种群!$G$2:INDEX(生物种群!$G:$G,COUNTA(生物种群!$G:$G)),),),IF($A715&lt;&gt;0,INDEX(生物种群!$B$2:INDEX(生物种群!$B:$B,COUNTA(生物种群!$B:$B)),MATCH($A715,生物种群!$C$2:INDEX(生物种群!$C:$C,COUNTA(生物种群!$C:$C)),),),INDEX(生物种群!$B$2:INDEX(生物种群!$B:$B,COUNTA(生物种群!$B:$B)),MATCH($B715,生物种群!$D$2:INDEX(生物种群!$D:$D,COUNTA(生物种群!$D:$D)),),))))</f>
        <v/>
      </c>
      <c r="J715" s="37" t="str">
        <f>IF(A715&amp;B715&amp;C715="","",INDEX(生物种群!$J$2:INDEX(生物种群!$J:$J,COUNTA(生物种群!$J:$J)),MATCH($I715,生物种群!$B$2:INDEX(生物种群!$B:$B,COUNTA(生物种群!$B:$B)),),))</f>
        <v/>
      </c>
      <c r="K715" s="37" t="str">
        <f>IF(A715&amp;B715&amp;C715="","",INDEX(生物种群!$E$2:INDEX(生物种群!$E:$E,COUNTA(生物种群!$E:$E)),MATCH($I715,生物种群!$B$2:INDEX(生物种群!$B:$B,COUNTA(生物种群!$B:$B)),),))</f>
        <v/>
      </c>
      <c r="L715" s="37" t="str">
        <f>IF(A715&amp;B715&amp;C715="","",INDEX(生物种群!$F$3:INDEX(生物种群!$F:$F,COUNTA(生物种群!$F:$F)),MATCH($I715,生物种群!$B$3:INDEX(生物种群!$B:$B,COUNTA(生物种群!$B:$B)),),))</f>
        <v/>
      </c>
      <c r="M715" s="37" t="str">
        <f t="shared" si="22"/>
        <v/>
      </c>
      <c r="N715" s="37" t="str">
        <f t="shared" si="23"/>
        <v/>
      </c>
      <c r="O715" s="9"/>
      <c r="P715" s="10"/>
    </row>
    <row r="716" spans="1:16" ht="20.1" customHeight="1">
      <c r="A716" s="9"/>
      <c r="B716" s="9"/>
      <c r="C716" s="9"/>
      <c r="D716" s="43"/>
      <c r="E716" s="9"/>
      <c r="F716" s="9"/>
      <c r="G716" s="47" t="str">
        <f>IF(F716="","",INDEX(站位样品信息!$B$3:INDEX(站位样品信息!$B:$B,COUNTA(站位样品信息!$B:$B)+1),MATCH($F716,站位样品信息!$A$3:INDEX(站位样品信息!$A:$A,COUNTA(站位样品信息!$A:$A)+1),),))</f>
        <v/>
      </c>
      <c r="H716" s="37" t="str">
        <f>IF(A716&amp;B716&amp;C716="","",INDEX(生物种群!$A$2:INDEX(生物种群!$A:$A,COUNTA(生物种群!$A:$A)),MATCH($I716,生物种群!$B$2:INDEX(生物种群!$B:$B,COUNTA(生物种群!$B:$B)),),))</f>
        <v/>
      </c>
      <c r="I716" s="37" t="str">
        <f>IF(A716&amp;B716&amp;C716="","",IF($C716&lt;&gt;0,INDEX(生物种群!$B$2:INDEX(生物种群!$B:$B,COUNTA(生物种群!$B:$B)),MATCH($C716,生物种群!$G$2:INDEX(生物种群!$G:$G,COUNTA(生物种群!$G:$G)),),),IF($A716&lt;&gt;0,INDEX(生物种群!$B$2:INDEX(生物种群!$B:$B,COUNTA(生物种群!$B:$B)),MATCH($A716,生物种群!$C$2:INDEX(生物种群!$C:$C,COUNTA(生物种群!$C:$C)),),),INDEX(生物种群!$B$2:INDEX(生物种群!$B:$B,COUNTA(生物种群!$B:$B)),MATCH($B716,生物种群!$D$2:INDEX(生物种群!$D:$D,COUNTA(生物种群!$D:$D)),),))))</f>
        <v/>
      </c>
      <c r="J716" s="37" t="str">
        <f>IF(A716&amp;B716&amp;C716="","",INDEX(生物种群!$J$2:INDEX(生物种群!$J:$J,COUNTA(生物种群!$J:$J)),MATCH($I716,生物种群!$B$2:INDEX(生物种群!$B:$B,COUNTA(生物种群!$B:$B)),),))</f>
        <v/>
      </c>
      <c r="K716" s="37" t="str">
        <f>IF(A716&amp;B716&amp;C716="","",INDEX(生物种群!$E$2:INDEX(生物种群!$E:$E,COUNTA(生物种群!$E:$E)),MATCH($I716,生物种群!$B$2:INDEX(生物种群!$B:$B,COUNTA(生物种群!$B:$B)),),))</f>
        <v/>
      </c>
      <c r="L716" s="37" t="str">
        <f>IF(A716&amp;B716&amp;C716="","",INDEX(生物种群!$F$3:INDEX(生物种群!$F:$F,COUNTA(生物种群!$F:$F)),MATCH($I716,生物种群!$B$3:INDEX(生物种群!$B:$B,COUNTA(生物种群!$B:$B)),),))</f>
        <v/>
      </c>
      <c r="M716" s="37" t="str">
        <f t="shared" si="22"/>
        <v/>
      </c>
      <c r="N716" s="37" t="str">
        <f t="shared" si="23"/>
        <v/>
      </c>
      <c r="O716" s="9"/>
      <c r="P716" s="10"/>
    </row>
    <row r="717" spans="1:16" ht="20.1" customHeight="1">
      <c r="A717" s="9"/>
      <c r="B717" s="9"/>
      <c r="C717" s="9"/>
      <c r="D717" s="43"/>
      <c r="E717" s="9"/>
      <c r="F717" s="9"/>
      <c r="G717" s="47" t="str">
        <f>IF(F717="","",INDEX(站位样品信息!$B$3:INDEX(站位样品信息!$B:$B,COUNTA(站位样品信息!$B:$B)+1),MATCH($F717,站位样品信息!$A$3:INDEX(站位样品信息!$A:$A,COUNTA(站位样品信息!$A:$A)+1),),))</f>
        <v/>
      </c>
      <c r="H717" s="37" t="str">
        <f>IF(A717&amp;B717&amp;C717="","",INDEX(生物种群!$A$2:INDEX(生物种群!$A:$A,COUNTA(生物种群!$A:$A)),MATCH($I717,生物种群!$B$2:INDEX(生物种群!$B:$B,COUNTA(生物种群!$B:$B)),),))</f>
        <v/>
      </c>
      <c r="I717" s="37" t="str">
        <f>IF(A717&amp;B717&amp;C717="","",IF($C717&lt;&gt;0,INDEX(生物种群!$B$2:INDEX(生物种群!$B:$B,COUNTA(生物种群!$B:$B)),MATCH($C717,生物种群!$G$2:INDEX(生物种群!$G:$G,COUNTA(生物种群!$G:$G)),),),IF($A717&lt;&gt;0,INDEX(生物种群!$B$2:INDEX(生物种群!$B:$B,COUNTA(生物种群!$B:$B)),MATCH($A717,生物种群!$C$2:INDEX(生物种群!$C:$C,COUNTA(生物种群!$C:$C)),),),INDEX(生物种群!$B$2:INDEX(生物种群!$B:$B,COUNTA(生物种群!$B:$B)),MATCH($B717,生物种群!$D$2:INDEX(生物种群!$D:$D,COUNTA(生物种群!$D:$D)),),))))</f>
        <v/>
      </c>
      <c r="J717" s="37" t="str">
        <f>IF(A717&amp;B717&amp;C717="","",INDEX(生物种群!$J$2:INDEX(生物种群!$J:$J,COUNTA(生物种群!$J:$J)),MATCH($I717,生物种群!$B$2:INDEX(生物种群!$B:$B,COUNTA(生物种群!$B:$B)),),))</f>
        <v/>
      </c>
      <c r="K717" s="37" t="str">
        <f>IF(A717&amp;B717&amp;C717="","",INDEX(生物种群!$E$2:INDEX(生物种群!$E:$E,COUNTA(生物种群!$E:$E)),MATCH($I717,生物种群!$B$2:INDEX(生物种群!$B:$B,COUNTA(生物种群!$B:$B)),),))</f>
        <v/>
      </c>
      <c r="L717" s="37" t="str">
        <f>IF(A717&amp;B717&amp;C717="","",INDEX(生物种群!$F$3:INDEX(生物种群!$F:$F,COUNTA(生物种群!$F:$F)),MATCH($I717,生物种群!$B$3:INDEX(生物种群!$B:$B,COUNTA(生物种群!$B:$B)),),))</f>
        <v/>
      </c>
      <c r="M717" s="37" t="str">
        <f t="shared" si="22"/>
        <v/>
      </c>
      <c r="N717" s="37" t="str">
        <f t="shared" si="23"/>
        <v/>
      </c>
      <c r="O717" s="9"/>
      <c r="P717" s="10"/>
    </row>
    <row r="718" spans="1:16" ht="20.1" customHeight="1">
      <c r="A718" s="9"/>
      <c r="B718" s="9"/>
      <c r="C718" s="9"/>
      <c r="D718" s="43"/>
      <c r="E718" s="9"/>
      <c r="F718" s="9"/>
      <c r="G718" s="47" t="str">
        <f>IF(F718="","",INDEX(站位样品信息!$B$3:INDEX(站位样品信息!$B:$B,COUNTA(站位样品信息!$B:$B)+1),MATCH($F718,站位样品信息!$A$3:INDEX(站位样品信息!$A:$A,COUNTA(站位样品信息!$A:$A)+1),),))</f>
        <v/>
      </c>
      <c r="H718" s="37" t="str">
        <f>IF(A718&amp;B718&amp;C718="","",INDEX(生物种群!$A$2:INDEX(生物种群!$A:$A,COUNTA(生物种群!$A:$A)),MATCH($I718,生物种群!$B$2:INDEX(生物种群!$B:$B,COUNTA(生物种群!$B:$B)),),))</f>
        <v/>
      </c>
      <c r="I718" s="37" t="str">
        <f>IF(A718&amp;B718&amp;C718="","",IF($C718&lt;&gt;0,INDEX(生物种群!$B$2:INDEX(生物种群!$B:$B,COUNTA(生物种群!$B:$B)),MATCH($C718,生物种群!$G$2:INDEX(生物种群!$G:$G,COUNTA(生物种群!$G:$G)),),),IF($A718&lt;&gt;0,INDEX(生物种群!$B$2:INDEX(生物种群!$B:$B,COUNTA(生物种群!$B:$B)),MATCH($A718,生物种群!$C$2:INDEX(生物种群!$C:$C,COUNTA(生物种群!$C:$C)),),),INDEX(生物种群!$B$2:INDEX(生物种群!$B:$B,COUNTA(生物种群!$B:$B)),MATCH($B718,生物种群!$D$2:INDEX(生物种群!$D:$D,COUNTA(生物种群!$D:$D)),),))))</f>
        <v/>
      </c>
      <c r="J718" s="37" t="str">
        <f>IF(A718&amp;B718&amp;C718="","",INDEX(生物种群!$J$2:INDEX(生物种群!$J:$J,COUNTA(生物种群!$J:$J)),MATCH($I718,生物种群!$B$2:INDEX(生物种群!$B:$B,COUNTA(生物种群!$B:$B)),),))</f>
        <v/>
      </c>
      <c r="K718" s="37" t="str">
        <f>IF(A718&amp;B718&amp;C718="","",INDEX(生物种群!$E$2:INDEX(生物种群!$E:$E,COUNTA(生物种群!$E:$E)),MATCH($I718,生物种群!$B$2:INDEX(生物种群!$B:$B,COUNTA(生物种群!$B:$B)),),))</f>
        <v/>
      </c>
      <c r="L718" s="37" t="str">
        <f>IF(A718&amp;B718&amp;C718="","",INDEX(生物种群!$F$3:INDEX(生物种群!$F:$F,COUNTA(生物种群!$F:$F)),MATCH($I718,生物种群!$B$3:INDEX(生物种群!$B:$B,COUNTA(生物种群!$B:$B)),),))</f>
        <v/>
      </c>
      <c r="M718" s="37" t="str">
        <f t="shared" si="22"/>
        <v/>
      </c>
      <c r="N718" s="37" t="str">
        <f t="shared" si="23"/>
        <v/>
      </c>
      <c r="O718" s="9"/>
      <c r="P718" s="10"/>
    </row>
    <row r="719" spans="1:16" ht="20.1" customHeight="1">
      <c r="A719" s="9"/>
      <c r="B719" s="9"/>
      <c r="C719" s="9"/>
      <c r="D719" s="43"/>
      <c r="E719" s="9"/>
      <c r="F719" s="9"/>
      <c r="G719" s="47" t="str">
        <f>IF(F719="","",INDEX(站位样品信息!$B$3:INDEX(站位样品信息!$B:$B,COUNTA(站位样品信息!$B:$B)+1),MATCH($F719,站位样品信息!$A$3:INDEX(站位样品信息!$A:$A,COUNTA(站位样品信息!$A:$A)+1),),))</f>
        <v/>
      </c>
      <c r="H719" s="37" t="str">
        <f>IF(A719&amp;B719&amp;C719="","",INDEX(生物种群!$A$2:INDEX(生物种群!$A:$A,COUNTA(生物种群!$A:$A)),MATCH($I719,生物种群!$B$2:INDEX(生物种群!$B:$B,COUNTA(生物种群!$B:$B)),),))</f>
        <v/>
      </c>
      <c r="I719" s="37" t="str">
        <f>IF(A719&amp;B719&amp;C719="","",IF($C719&lt;&gt;0,INDEX(生物种群!$B$2:INDEX(生物种群!$B:$B,COUNTA(生物种群!$B:$B)),MATCH($C719,生物种群!$G$2:INDEX(生物种群!$G:$G,COUNTA(生物种群!$G:$G)),),),IF($A719&lt;&gt;0,INDEX(生物种群!$B$2:INDEX(生物种群!$B:$B,COUNTA(生物种群!$B:$B)),MATCH($A719,生物种群!$C$2:INDEX(生物种群!$C:$C,COUNTA(生物种群!$C:$C)),),),INDEX(生物种群!$B$2:INDEX(生物种群!$B:$B,COUNTA(生物种群!$B:$B)),MATCH($B719,生物种群!$D$2:INDEX(生物种群!$D:$D,COUNTA(生物种群!$D:$D)),),))))</f>
        <v/>
      </c>
      <c r="J719" s="37" t="str">
        <f>IF(A719&amp;B719&amp;C719="","",INDEX(生物种群!$J$2:INDEX(生物种群!$J:$J,COUNTA(生物种群!$J:$J)),MATCH($I719,生物种群!$B$2:INDEX(生物种群!$B:$B,COUNTA(生物种群!$B:$B)),),))</f>
        <v/>
      </c>
      <c r="K719" s="37" t="str">
        <f>IF(A719&amp;B719&amp;C719="","",INDEX(生物种群!$E$2:INDEX(生物种群!$E:$E,COUNTA(生物种群!$E:$E)),MATCH($I719,生物种群!$B$2:INDEX(生物种群!$B:$B,COUNTA(生物种群!$B:$B)),),))</f>
        <v/>
      </c>
      <c r="L719" s="37" t="str">
        <f>IF(A719&amp;B719&amp;C719="","",INDEX(生物种群!$F$3:INDEX(生物种群!$F:$F,COUNTA(生物种群!$F:$F)),MATCH($I719,生物种群!$B$3:INDEX(生物种群!$B:$B,COUNTA(生物种群!$B:$B)),),))</f>
        <v/>
      </c>
      <c r="M719" s="37" t="str">
        <f t="shared" si="22"/>
        <v/>
      </c>
      <c r="N719" s="37" t="str">
        <f t="shared" si="23"/>
        <v/>
      </c>
      <c r="O719" s="9"/>
      <c r="P719" s="10"/>
    </row>
    <row r="720" spans="1:16" ht="20.1" customHeight="1">
      <c r="A720" s="9"/>
      <c r="B720" s="9"/>
      <c r="C720" s="9"/>
      <c r="D720" s="43"/>
      <c r="E720" s="9"/>
      <c r="F720" s="9"/>
      <c r="G720" s="47" t="str">
        <f>IF(F720="","",INDEX(站位样品信息!$B$3:INDEX(站位样品信息!$B:$B,COUNTA(站位样品信息!$B:$B)+1),MATCH($F720,站位样品信息!$A$3:INDEX(站位样品信息!$A:$A,COUNTA(站位样品信息!$A:$A)+1),),))</f>
        <v/>
      </c>
      <c r="H720" s="37" t="str">
        <f>IF(A720&amp;B720&amp;C720="","",INDEX(生物种群!$A$2:INDEX(生物种群!$A:$A,COUNTA(生物种群!$A:$A)),MATCH($I720,生物种群!$B$2:INDEX(生物种群!$B:$B,COUNTA(生物种群!$B:$B)),),))</f>
        <v/>
      </c>
      <c r="I720" s="37" t="str">
        <f>IF(A720&amp;B720&amp;C720="","",IF($C720&lt;&gt;0,INDEX(生物种群!$B$2:INDEX(生物种群!$B:$B,COUNTA(生物种群!$B:$B)),MATCH($C720,生物种群!$G$2:INDEX(生物种群!$G:$G,COUNTA(生物种群!$G:$G)),),),IF($A720&lt;&gt;0,INDEX(生物种群!$B$2:INDEX(生物种群!$B:$B,COUNTA(生物种群!$B:$B)),MATCH($A720,生物种群!$C$2:INDEX(生物种群!$C:$C,COUNTA(生物种群!$C:$C)),),),INDEX(生物种群!$B$2:INDEX(生物种群!$B:$B,COUNTA(生物种群!$B:$B)),MATCH($B720,生物种群!$D$2:INDEX(生物种群!$D:$D,COUNTA(生物种群!$D:$D)),),))))</f>
        <v/>
      </c>
      <c r="J720" s="37" t="str">
        <f>IF(A720&amp;B720&amp;C720="","",INDEX(生物种群!$J$2:INDEX(生物种群!$J:$J,COUNTA(生物种群!$J:$J)),MATCH($I720,生物种群!$B$2:INDEX(生物种群!$B:$B,COUNTA(生物种群!$B:$B)),),))</f>
        <v/>
      </c>
      <c r="K720" s="37" t="str">
        <f>IF(A720&amp;B720&amp;C720="","",INDEX(生物种群!$E$2:INDEX(生物种群!$E:$E,COUNTA(生物种群!$E:$E)),MATCH($I720,生物种群!$B$2:INDEX(生物种群!$B:$B,COUNTA(生物种群!$B:$B)),),))</f>
        <v/>
      </c>
      <c r="L720" s="37" t="str">
        <f>IF(A720&amp;B720&amp;C720="","",INDEX(生物种群!$F$3:INDEX(生物种群!$F:$F,COUNTA(生物种群!$F:$F)),MATCH($I720,生物种群!$B$3:INDEX(生物种群!$B:$B,COUNTA(生物种群!$B:$B)),),))</f>
        <v/>
      </c>
      <c r="M720" s="37" t="str">
        <f t="shared" si="22"/>
        <v/>
      </c>
      <c r="N720" s="37" t="str">
        <f t="shared" si="23"/>
        <v/>
      </c>
      <c r="O720" s="9"/>
      <c r="P720" s="10"/>
    </row>
    <row r="721" spans="1:16" ht="20.1" customHeight="1">
      <c r="A721" s="9"/>
      <c r="B721" s="9"/>
      <c r="C721" s="9"/>
      <c r="D721" s="43"/>
      <c r="E721" s="9"/>
      <c r="F721" s="9"/>
      <c r="G721" s="47" t="str">
        <f>IF(F721="","",INDEX(站位样品信息!$B$3:INDEX(站位样品信息!$B:$B,COUNTA(站位样品信息!$B:$B)+1),MATCH($F721,站位样品信息!$A$3:INDEX(站位样品信息!$A:$A,COUNTA(站位样品信息!$A:$A)+1),),))</f>
        <v/>
      </c>
      <c r="H721" s="37" t="str">
        <f>IF(A721&amp;B721&amp;C721="","",INDEX(生物种群!$A$2:INDEX(生物种群!$A:$A,COUNTA(生物种群!$A:$A)),MATCH($I721,生物种群!$B$2:INDEX(生物种群!$B:$B,COUNTA(生物种群!$B:$B)),),))</f>
        <v/>
      </c>
      <c r="I721" s="37" t="str">
        <f>IF(A721&amp;B721&amp;C721="","",IF($C721&lt;&gt;0,INDEX(生物种群!$B$2:INDEX(生物种群!$B:$B,COUNTA(生物种群!$B:$B)),MATCH($C721,生物种群!$G$2:INDEX(生物种群!$G:$G,COUNTA(生物种群!$G:$G)),),),IF($A721&lt;&gt;0,INDEX(生物种群!$B$2:INDEX(生物种群!$B:$B,COUNTA(生物种群!$B:$B)),MATCH($A721,生物种群!$C$2:INDEX(生物种群!$C:$C,COUNTA(生物种群!$C:$C)),),),INDEX(生物种群!$B$2:INDEX(生物种群!$B:$B,COUNTA(生物种群!$B:$B)),MATCH($B721,生物种群!$D$2:INDEX(生物种群!$D:$D,COUNTA(生物种群!$D:$D)),),))))</f>
        <v/>
      </c>
      <c r="J721" s="37" t="str">
        <f>IF(A721&amp;B721&amp;C721="","",INDEX(生物种群!$J$2:INDEX(生物种群!$J:$J,COUNTA(生物种群!$J:$J)),MATCH($I721,生物种群!$B$2:INDEX(生物种群!$B:$B,COUNTA(生物种群!$B:$B)),),))</f>
        <v/>
      </c>
      <c r="K721" s="37" t="str">
        <f>IF(A721&amp;B721&amp;C721="","",INDEX(生物种群!$E$2:INDEX(生物种群!$E:$E,COUNTA(生物种群!$E:$E)),MATCH($I721,生物种群!$B$2:INDEX(生物种群!$B:$B,COUNTA(生物种群!$B:$B)),),))</f>
        <v/>
      </c>
      <c r="L721" s="37" t="str">
        <f>IF(A721&amp;B721&amp;C721="","",INDEX(生物种群!$F$3:INDEX(生物种群!$F:$F,COUNTA(生物种群!$F:$F)),MATCH($I721,生物种群!$B$3:INDEX(生物种群!$B:$B,COUNTA(生物种群!$B:$B)),),))</f>
        <v/>
      </c>
      <c r="M721" s="37" t="str">
        <f t="shared" si="22"/>
        <v/>
      </c>
      <c r="N721" s="37" t="str">
        <f t="shared" si="23"/>
        <v/>
      </c>
      <c r="O721" s="9"/>
      <c r="P721" s="10"/>
    </row>
    <row r="722" spans="1:16" ht="20.1" customHeight="1">
      <c r="A722" s="9"/>
      <c r="B722" s="9"/>
      <c r="C722" s="9"/>
      <c r="D722" s="43"/>
      <c r="E722" s="9"/>
      <c r="F722" s="9"/>
      <c r="G722" s="47" t="str">
        <f>IF(F722="","",INDEX(站位样品信息!$B$3:INDEX(站位样品信息!$B:$B,COUNTA(站位样品信息!$B:$B)+1),MATCH($F722,站位样品信息!$A$3:INDEX(站位样品信息!$A:$A,COUNTA(站位样品信息!$A:$A)+1),),))</f>
        <v/>
      </c>
      <c r="H722" s="37" t="str">
        <f>IF(A722&amp;B722&amp;C722="","",INDEX(生物种群!$A$2:INDEX(生物种群!$A:$A,COUNTA(生物种群!$A:$A)),MATCH($I722,生物种群!$B$2:INDEX(生物种群!$B:$B,COUNTA(生物种群!$B:$B)),),))</f>
        <v/>
      </c>
      <c r="I722" s="37" t="str">
        <f>IF(A722&amp;B722&amp;C722="","",IF($C722&lt;&gt;0,INDEX(生物种群!$B$2:INDEX(生物种群!$B:$B,COUNTA(生物种群!$B:$B)),MATCH($C722,生物种群!$G$2:INDEX(生物种群!$G:$G,COUNTA(生物种群!$G:$G)),),),IF($A722&lt;&gt;0,INDEX(生物种群!$B$2:INDEX(生物种群!$B:$B,COUNTA(生物种群!$B:$B)),MATCH($A722,生物种群!$C$2:INDEX(生物种群!$C:$C,COUNTA(生物种群!$C:$C)),),),INDEX(生物种群!$B$2:INDEX(生物种群!$B:$B,COUNTA(生物种群!$B:$B)),MATCH($B722,生物种群!$D$2:INDEX(生物种群!$D:$D,COUNTA(生物种群!$D:$D)),),))))</f>
        <v/>
      </c>
      <c r="J722" s="37" t="str">
        <f>IF(A722&amp;B722&amp;C722="","",INDEX(生物种群!$J$2:INDEX(生物种群!$J:$J,COUNTA(生物种群!$J:$J)),MATCH($I722,生物种群!$B$2:INDEX(生物种群!$B:$B,COUNTA(生物种群!$B:$B)),),))</f>
        <v/>
      </c>
      <c r="K722" s="37" t="str">
        <f>IF(A722&amp;B722&amp;C722="","",INDEX(生物种群!$E$2:INDEX(生物种群!$E:$E,COUNTA(生物种群!$E:$E)),MATCH($I722,生物种群!$B$2:INDEX(生物种群!$B:$B,COUNTA(生物种群!$B:$B)),),))</f>
        <v/>
      </c>
      <c r="L722" s="37" t="str">
        <f>IF(A722&amp;B722&amp;C722="","",INDEX(生物种群!$F$3:INDEX(生物种群!$F:$F,COUNTA(生物种群!$F:$F)),MATCH($I722,生物种群!$B$3:INDEX(生物种群!$B:$B,COUNTA(生物种群!$B:$B)),),))</f>
        <v/>
      </c>
      <c r="M722" s="37" t="str">
        <f t="shared" si="22"/>
        <v/>
      </c>
      <c r="N722" s="37" t="str">
        <f t="shared" si="23"/>
        <v/>
      </c>
      <c r="O722" s="9"/>
      <c r="P722" s="10"/>
    </row>
    <row r="723" spans="1:16" ht="20.1" customHeight="1">
      <c r="A723" s="9"/>
      <c r="B723" s="9"/>
      <c r="C723" s="9"/>
      <c r="D723" s="43"/>
      <c r="E723" s="9"/>
      <c r="F723" s="9"/>
      <c r="G723" s="47" t="str">
        <f>IF(F723="","",INDEX(站位样品信息!$B$3:INDEX(站位样品信息!$B:$B,COUNTA(站位样品信息!$B:$B)+1),MATCH($F723,站位样品信息!$A$3:INDEX(站位样品信息!$A:$A,COUNTA(站位样品信息!$A:$A)+1),),))</f>
        <v/>
      </c>
      <c r="H723" s="37" t="str">
        <f>IF(A723&amp;B723&amp;C723="","",INDEX(生物种群!$A$2:INDEX(生物种群!$A:$A,COUNTA(生物种群!$A:$A)),MATCH($I723,生物种群!$B$2:INDEX(生物种群!$B:$B,COUNTA(生物种群!$B:$B)),),))</f>
        <v/>
      </c>
      <c r="I723" s="37" t="str">
        <f>IF(A723&amp;B723&amp;C723="","",IF($C723&lt;&gt;0,INDEX(生物种群!$B$2:INDEX(生物种群!$B:$B,COUNTA(生物种群!$B:$B)),MATCH($C723,生物种群!$G$2:INDEX(生物种群!$G:$G,COUNTA(生物种群!$G:$G)),),),IF($A723&lt;&gt;0,INDEX(生物种群!$B$2:INDEX(生物种群!$B:$B,COUNTA(生物种群!$B:$B)),MATCH($A723,生物种群!$C$2:INDEX(生物种群!$C:$C,COUNTA(生物种群!$C:$C)),),),INDEX(生物种群!$B$2:INDEX(生物种群!$B:$B,COUNTA(生物种群!$B:$B)),MATCH($B723,生物种群!$D$2:INDEX(生物种群!$D:$D,COUNTA(生物种群!$D:$D)),),))))</f>
        <v/>
      </c>
      <c r="J723" s="37" t="str">
        <f>IF(A723&amp;B723&amp;C723="","",INDEX(生物种群!$J$2:INDEX(生物种群!$J:$J,COUNTA(生物种群!$J:$J)),MATCH($I723,生物种群!$B$2:INDEX(生物种群!$B:$B,COUNTA(生物种群!$B:$B)),),))</f>
        <v/>
      </c>
      <c r="K723" s="37" t="str">
        <f>IF(A723&amp;B723&amp;C723="","",INDEX(生物种群!$E$2:INDEX(生物种群!$E:$E,COUNTA(生物种群!$E:$E)),MATCH($I723,生物种群!$B$2:INDEX(生物种群!$B:$B,COUNTA(生物种群!$B:$B)),),))</f>
        <v/>
      </c>
      <c r="L723" s="37" t="str">
        <f>IF(A723&amp;B723&amp;C723="","",INDEX(生物种群!$F$3:INDEX(生物种群!$F:$F,COUNTA(生物种群!$F:$F)),MATCH($I723,生物种群!$B$3:INDEX(生物种群!$B:$B,COUNTA(生物种群!$B:$B)),),))</f>
        <v/>
      </c>
      <c r="M723" s="37" t="str">
        <f t="shared" si="22"/>
        <v/>
      </c>
      <c r="N723" s="37" t="str">
        <f t="shared" si="23"/>
        <v/>
      </c>
      <c r="O723" s="9"/>
      <c r="P723" s="10"/>
    </row>
    <row r="724" spans="1:16" ht="20.1" customHeight="1">
      <c r="A724" s="9"/>
      <c r="B724" s="9"/>
      <c r="C724" s="9"/>
      <c r="D724" s="43"/>
      <c r="E724" s="9"/>
      <c r="F724" s="9"/>
      <c r="G724" s="47" t="str">
        <f>IF(F724="","",INDEX(站位样品信息!$B$3:INDEX(站位样品信息!$B:$B,COUNTA(站位样品信息!$B:$B)+1),MATCH($F724,站位样品信息!$A$3:INDEX(站位样品信息!$A:$A,COUNTA(站位样品信息!$A:$A)+1),),))</f>
        <v/>
      </c>
      <c r="H724" s="37" t="str">
        <f>IF(A724&amp;B724&amp;C724="","",INDEX(生物种群!$A$2:INDEX(生物种群!$A:$A,COUNTA(生物种群!$A:$A)),MATCH($I724,生物种群!$B$2:INDEX(生物种群!$B:$B,COUNTA(生物种群!$B:$B)),),))</f>
        <v/>
      </c>
      <c r="I724" s="37" t="str">
        <f>IF(A724&amp;B724&amp;C724="","",IF($C724&lt;&gt;0,INDEX(生物种群!$B$2:INDEX(生物种群!$B:$B,COUNTA(生物种群!$B:$B)),MATCH($C724,生物种群!$G$2:INDEX(生物种群!$G:$G,COUNTA(生物种群!$G:$G)),),),IF($A724&lt;&gt;0,INDEX(生物种群!$B$2:INDEX(生物种群!$B:$B,COUNTA(生物种群!$B:$B)),MATCH($A724,生物种群!$C$2:INDEX(生物种群!$C:$C,COUNTA(生物种群!$C:$C)),),),INDEX(生物种群!$B$2:INDEX(生物种群!$B:$B,COUNTA(生物种群!$B:$B)),MATCH($B724,生物种群!$D$2:INDEX(生物种群!$D:$D,COUNTA(生物种群!$D:$D)),),))))</f>
        <v/>
      </c>
      <c r="J724" s="37" t="str">
        <f>IF(A724&amp;B724&amp;C724="","",INDEX(生物种群!$J$2:INDEX(生物种群!$J:$J,COUNTA(生物种群!$J:$J)),MATCH($I724,生物种群!$B$2:INDEX(生物种群!$B:$B,COUNTA(生物种群!$B:$B)),),))</f>
        <v/>
      </c>
      <c r="K724" s="37" t="str">
        <f>IF(A724&amp;B724&amp;C724="","",INDEX(生物种群!$E$2:INDEX(生物种群!$E:$E,COUNTA(生物种群!$E:$E)),MATCH($I724,生物种群!$B$2:INDEX(生物种群!$B:$B,COUNTA(生物种群!$B:$B)),),))</f>
        <v/>
      </c>
      <c r="L724" s="37" t="str">
        <f>IF(A724&amp;B724&amp;C724="","",INDEX(生物种群!$F$3:INDEX(生物种群!$F:$F,COUNTA(生物种群!$F:$F)),MATCH($I724,生物种群!$B$3:INDEX(生物种群!$B:$B,COUNTA(生物种群!$B:$B)),),))</f>
        <v/>
      </c>
      <c r="M724" s="37" t="str">
        <f t="shared" si="22"/>
        <v/>
      </c>
      <c r="N724" s="37" t="str">
        <f t="shared" si="23"/>
        <v/>
      </c>
      <c r="O724" s="9"/>
      <c r="P724" s="10"/>
    </row>
    <row r="725" spans="1:16" ht="20.1" customHeight="1">
      <c r="A725" s="9"/>
      <c r="B725" s="9"/>
      <c r="C725" s="9"/>
      <c r="D725" s="43"/>
      <c r="E725" s="9"/>
      <c r="F725" s="9"/>
      <c r="G725" s="47" t="str">
        <f>IF(F725="","",INDEX(站位样品信息!$B$3:INDEX(站位样品信息!$B:$B,COUNTA(站位样品信息!$B:$B)+1),MATCH($F725,站位样品信息!$A$3:INDEX(站位样品信息!$A:$A,COUNTA(站位样品信息!$A:$A)+1),),))</f>
        <v/>
      </c>
      <c r="H725" s="37" t="str">
        <f>IF(A725&amp;B725&amp;C725="","",INDEX(生物种群!$A$2:INDEX(生物种群!$A:$A,COUNTA(生物种群!$A:$A)),MATCH($I725,生物种群!$B$2:INDEX(生物种群!$B:$B,COUNTA(生物种群!$B:$B)),),))</f>
        <v/>
      </c>
      <c r="I725" s="37" t="str">
        <f>IF(A725&amp;B725&amp;C725="","",IF($C725&lt;&gt;0,INDEX(生物种群!$B$2:INDEX(生物种群!$B:$B,COUNTA(生物种群!$B:$B)),MATCH($C725,生物种群!$G$2:INDEX(生物种群!$G:$G,COUNTA(生物种群!$G:$G)),),),IF($A725&lt;&gt;0,INDEX(生物种群!$B$2:INDEX(生物种群!$B:$B,COUNTA(生物种群!$B:$B)),MATCH($A725,生物种群!$C$2:INDEX(生物种群!$C:$C,COUNTA(生物种群!$C:$C)),),),INDEX(生物种群!$B$2:INDEX(生物种群!$B:$B,COUNTA(生物种群!$B:$B)),MATCH($B725,生物种群!$D$2:INDEX(生物种群!$D:$D,COUNTA(生物种群!$D:$D)),),))))</f>
        <v/>
      </c>
      <c r="J725" s="37" t="str">
        <f>IF(A725&amp;B725&amp;C725="","",INDEX(生物种群!$J$2:INDEX(生物种群!$J:$J,COUNTA(生物种群!$J:$J)),MATCH($I725,生物种群!$B$2:INDEX(生物种群!$B:$B,COUNTA(生物种群!$B:$B)),),))</f>
        <v/>
      </c>
      <c r="K725" s="37" t="str">
        <f>IF(A725&amp;B725&amp;C725="","",INDEX(生物种群!$E$2:INDEX(生物种群!$E:$E,COUNTA(生物种群!$E:$E)),MATCH($I725,生物种群!$B$2:INDEX(生物种群!$B:$B,COUNTA(生物种群!$B:$B)),),))</f>
        <v/>
      </c>
      <c r="L725" s="37" t="str">
        <f>IF(A725&amp;B725&amp;C725="","",INDEX(生物种群!$F$3:INDEX(生物种群!$F:$F,COUNTA(生物种群!$F:$F)),MATCH($I725,生物种群!$B$3:INDEX(生物种群!$B:$B,COUNTA(生物种群!$B:$B)),),))</f>
        <v/>
      </c>
      <c r="M725" s="37" t="str">
        <f t="shared" si="22"/>
        <v/>
      </c>
      <c r="N725" s="37" t="str">
        <f t="shared" si="23"/>
        <v/>
      </c>
      <c r="O725" s="9"/>
      <c r="P725" s="10"/>
    </row>
    <row r="726" spans="1:16" ht="20.1" customHeight="1">
      <c r="A726" s="9"/>
      <c r="B726" s="9"/>
      <c r="C726" s="9"/>
      <c r="D726" s="43"/>
      <c r="E726" s="9"/>
      <c r="F726" s="9"/>
      <c r="G726" s="47" t="str">
        <f>IF(F726="","",INDEX(站位样品信息!$B$3:INDEX(站位样品信息!$B:$B,COUNTA(站位样品信息!$B:$B)+1),MATCH($F726,站位样品信息!$A$3:INDEX(站位样品信息!$A:$A,COUNTA(站位样品信息!$A:$A)+1),),))</f>
        <v/>
      </c>
      <c r="H726" s="37" t="str">
        <f>IF(A726&amp;B726&amp;C726="","",INDEX(生物种群!$A$2:INDEX(生物种群!$A:$A,COUNTA(生物种群!$A:$A)),MATCH($I726,生物种群!$B$2:INDEX(生物种群!$B:$B,COUNTA(生物种群!$B:$B)),),))</f>
        <v/>
      </c>
      <c r="I726" s="37" t="str">
        <f>IF(A726&amp;B726&amp;C726="","",IF($C726&lt;&gt;0,INDEX(生物种群!$B$2:INDEX(生物种群!$B:$B,COUNTA(生物种群!$B:$B)),MATCH($C726,生物种群!$G$2:INDEX(生物种群!$G:$G,COUNTA(生物种群!$G:$G)),),),IF($A726&lt;&gt;0,INDEX(生物种群!$B$2:INDEX(生物种群!$B:$B,COUNTA(生物种群!$B:$B)),MATCH($A726,生物种群!$C$2:INDEX(生物种群!$C:$C,COUNTA(生物种群!$C:$C)),),),INDEX(生物种群!$B$2:INDEX(生物种群!$B:$B,COUNTA(生物种群!$B:$B)),MATCH($B726,生物种群!$D$2:INDEX(生物种群!$D:$D,COUNTA(生物种群!$D:$D)),),))))</f>
        <v/>
      </c>
      <c r="J726" s="37" t="str">
        <f>IF(A726&amp;B726&amp;C726="","",INDEX(生物种群!$J$2:INDEX(生物种群!$J:$J,COUNTA(生物种群!$J:$J)),MATCH($I726,生物种群!$B$2:INDEX(生物种群!$B:$B,COUNTA(生物种群!$B:$B)),),))</f>
        <v/>
      </c>
      <c r="K726" s="37" t="str">
        <f>IF(A726&amp;B726&amp;C726="","",INDEX(生物种群!$E$2:INDEX(生物种群!$E:$E,COUNTA(生物种群!$E:$E)),MATCH($I726,生物种群!$B$2:INDEX(生物种群!$B:$B,COUNTA(生物种群!$B:$B)),),))</f>
        <v/>
      </c>
      <c r="L726" s="37" t="str">
        <f>IF(A726&amp;B726&amp;C726="","",INDEX(生物种群!$F$3:INDEX(生物种群!$F:$F,COUNTA(生物种群!$F:$F)),MATCH($I726,生物种群!$B$3:INDEX(生物种群!$B:$B,COUNTA(生物种群!$B:$B)),),))</f>
        <v/>
      </c>
      <c r="M726" s="37" t="str">
        <f t="shared" si="22"/>
        <v/>
      </c>
      <c r="N726" s="37" t="str">
        <f t="shared" si="23"/>
        <v/>
      </c>
      <c r="O726" s="9"/>
      <c r="P726" s="10"/>
    </row>
    <row r="727" spans="1:16" ht="20.1" customHeight="1">
      <c r="A727" s="9"/>
      <c r="B727" s="9"/>
      <c r="C727" s="9"/>
      <c r="D727" s="43"/>
      <c r="E727" s="9"/>
      <c r="F727" s="9"/>
      <c r="G727" s="47" t="str">
        <f>IF(F727="","",INDEX(站位样品信息!$B$3:INDEX(站位样品信息!$B:$B,COUNTA(站位样品信息!$B:$B)+1),MATCH($F727,站位样品信息!$A$3:INDEX(站位样品信息!$A:$A,COUNTA(站位样品信息!$A:$A)+1),),))</f>
        <v/>
      </c>
      <c r="H727" s="37" t="str">
        <f>IF(A727&amp;B727&amp;C727="","",INDEX(生物种群!$A$2:INDEX(生物种群!$A:$A,COUNTA(生物种群!$A:$A)),MATCH($I727,生物种群!$B$2:INDEX(生物种群!$B:$B,COUNTA(生物种群!$B:$B)),),))</f>
        <v/>
      </c>
      <c r="I727" s="37" t="str">
        <f>IF(A727&amp;B727&amp;C727="","",IF($C727&lt;&gt;0,INDEX(生物种群!$B$2:INDEX(生物种群!$B:$B,COUNTA(生物种群!$B:$B)),MATCH($C727,生物种群!$G$2:INDEX(生物种群!$G:$G,COUNTA(生物种群!$G:$G)),),),IF($A727&lt;&gt;0,INDEX(生物种群!$B$2:INDEX(生物种群!$B:$B,COUNTA(生物种群!$B:$B)),MATCH($A727,生物种群!$C$2:INDEX(生物种群!$C:$C,COUNTA(生物种群!$C:$C)),),),INDEX(生物种群!$B$2:INDEX(生物种群!$B:$B,COUNTA(生物种群!$B:$B)),MATCH($B727,生物种群!$D$2:INDEX(生物种群!$D:$D,COUNTA(生物种群!$D:$D)),),))))</f>
        <v/>
      </c>
      <c r="J727" s="37" t="str">
        <f>IF(A727&amp;B727&amp;C727="","",INDEX(生物种群!$J$2:INDEX(生物种群!$J:$J,COUNTA(生物种群!$J:$J)),MATCH($I727,生物种群!$B$2:INDEX(生物种群!$B:$B,COUNTA(生物种群!$B:$B)),),))</f>
        <v/>
      </c>
      <c r="K727" s="37" t="str">
        <f>IF(A727&amp;B727&amp;C727="","",INDEX(生物种群!$E$2:INDEX(生物种群!$E:$E,COUNTA(生物种群!$E:$E)),MATCH($I727,生物种群!$B$2:INDEX(生物种群!$B:$B,COUNTA(生物种群!$B:$B)),),))</f>
        <v/>
      </c>
      <c r="L727" s="37" t="str">
        <f>IF(A727&amp;B727&amp;C727="","",INDEX(生物种群!$F$3:INDEX(生物种群!$F:$F,COUNTA(生物种群!$F:$F)),MATCH($I727,生物种群!$B$3:INDEX(生物种群!$B:$B,COUNTA(生物种群!$B:$B)),),))</f>
        <v/>
      </c>
      <c r="M727" s="37" t="str">
        <f t="shared" si="22"/>
        <v/>
      </c>
      <c r="N727" s="37" t="str">
        <f t="shared" si="23"/>
        <v/>
      </c>
      <c r="O727" s="9"/>
      <c r="P727" s="10"/>
    </row>
    <row r="728" spans="1:16" ht="20.1" customHeight="1">
      <c r="A728" s="9"/>
      <c r="B728" s="9"/>
      <c r="C728" s="9"/>
      <c r="D728" s="43"/>
      <c r="E728" s="9"/>
      <c r="F728" s="9"/>
      <c r="G728" s="47" t="str">
        <f>IF(F728="","",INDEX(站位样品信息!$B$3:INDEX(站位样品信息!$B:$B,COUNTA(站位样品信息!$B:$B)+1),MATCH($F728,站位样品信息!$A$3:INDEX(站位样品信息!$A:$A,COUNTA(站位样品信息!$A:$A)+1),),))</f>
        <v/>
      </c>
      <c r="H728" s="37" t="str">
        <f>IF(A728&amp;B728&amp;C728="","",INDEX(生物种群!$A$2:INDEX(生物种群!$A:$A,COUNTA(生物种群!$A:$A)),MATCH($I728,生物种群!$B$2:INDEX(生物种群!$B:$B,COUNTA(生物种群!$B:$B)),),))</f>
        <v/>
      </c>
      <c r="I728" s="37" t="str">
        <f>IF(A728&amp;B728&amp;C728="","",IF($C728&lt;&gt;0,INDEX(生物种群!$B$2:INDEX(生物种群!$B:$B,COUNTA(生物种群!$B:$B)),MATCH($C728,生物种群!$G$2:INDEX(生物种群!$G:$G,COUNTA(生物种群!$G:$G)),),),IF($A728&lt;&gt;0,INDEX(生物种群!$B$2:INDEX(生物种群!$B:$B,COUNTA(生物种群!$B:$B)),MATCH($A728,生物种群!$C$2:INDEX(生物种群!$C:$C,COUNTA(生物种群!$C:$C)),),),INDEX(生物种群!$B$2:INDEX(生物种群!$B:$B,COUNTA(生物种群!$B:$B)),MATCH($B728,生物种群!$D$2:INDEX(生物种群!$D:$D,COUNTA(生物种群!$D:$D)),),))))</f>
        <v/>
      </c>
      <c r="J728" s="37" t="str">
        <f>IF(A728&amp;B728&amp;C728="","",INDEX(生物种群!$J$2:INDEX(生物种群!$J:$J,COUNTA(生物种群!$J:$J)),MATCH($I728,生物种群!$B$2:INDEX(生物种群!$B:$B,COUNTA(生物种群!$B:$B)),),))</f>
        <v/>
      </c>
      <c r="K728" s="37" t="str">
        <f>IF(A728&amp;B728&amp;C728="","",INDEX(生物种群!$E$2:INDEX(生物种群!$E:$E,COUNTA(生物种群!$E:$E)),MATCH($I728,生物种群!$B$2:INDEX(生物种群!$B:$B,COUNTA(生物种群!$B:$B)),),))</f>
        <v/>
      </c>
      <c r="L728" s="37" t="str">
        <f>IF(A728&amp;B728&amp;C728="","",INDEX(生物种群!$F$3:INDEX(生物种群!$F:$F,COUNTA(生物种群!$F:$F)),MATCH($I728,生物种群!$B$3:INDEX(生物种群!$B:$B,COUNTA(生物种群!$B:$B)),),))</f>
        <v/>
      </c>
      <c r="M728" s="37" t="str">
        <f t="shared" si="22"/>
        <v/>
      </c>
      <c r="N728" s="37" t="str">
        <f t="shared" si="23"/>
        <v/>
      </c>
      <c r="O728" s="9"/>
      <c r="P728" s="10"/>
    </row>
    <row r="729" spans="1:16" ht="20.1" customHeight="1">
      <c r="A729" s="9"/>
      <c r="B729" s="9"/>
      <c r="C729" s="9"/>
      <c r="D729" s="43"/>
      <c r="E729" s="9"/>
      <c r="F729" s="9"/>
      <c r="G729" s="47" t="str">
        <f>IF(F729="","",INDEX(站位样品信息!$B$3:INDEX(站位样品信息!$B:$B,COUNTA(站位样品信息!$B:$B)+1),MATCH($F729,站位样品信息!$A$3:INDEX(站位样品信息!$A:$A,COUNTA(站位样品信息!$A:$A)+1),),))</f>
        <v/>
      </c>
      <c r="H729" s="37" t="str">
        <f>IF(A729&amp;B729&amp;C729="","",INDEX(生物种群!$A$2:INDEX(生物种群!$A:$A,COUNTA(生物种群!$A:$A)),MATCH($I729,生物种群!$B$2:INDEX(生物种群!$B:$B,COUNTA(生物种群!$B:$B)),),))</f>
        <v/>
      </c>
      <c r="I729" s="37" t="str">
        <f>IF(A729&amp;B729&amp;C729="","",IF($C729&lt;&gt;0,INDEX(生物种群!$B$2:INDEX(生物种群!$B:$B,COUNTA(生物种群!$B:$B)),MATCH($C729,生物种群!$G$2:INDEX(生物种群!$G:$G,COUNTA(生物种群!$G:$G)),),),IF($A729&lt;&gt;0,INDEX(生物种群!$B$2:INDEX(生物种群!$B:$B,COUNTA(生物种群!$B:$B)),MATCH($A729,生物种群!$C$2:INDEX(生物种群!$C:$C,COUNTA(生物种群!$C:$C)),),),INDEX(生物种群!$B$2:INDEX(生物种群!$B:$B,COUNTA(生物种群!$B:$B)),MATCH($B729,生物种群!$D$2:INDEX(生物种群!$D:$D,COUNTA(生物种群!$D:$D)),),))))</f>
        <v/>
      </c>
      <c r="J729" s="37" t="str">
        <f>IF(A729&amp;B729&amp;C729="","",INDEX(生物种群!$J$2:INDEX(生物种群!$J:$J,COUNTA(生物种群!$J:$J)),MATCH($I729,生物种群!$B$2:INDEX(生物种群!$B:$B,COUNTA(生物种群!$B:$B)),),))</f>
        <v/>
      </c>
      <c r="K729" s="37" t="str">
        <f>IF(A729&amp;B729&amp;C729="","",INDEX(生物种群!$E$2:INDEX(生物种群!$E:$E,COUNTA(生物种群!$E:$E)),MATCH($I729,生物种群!$B$2:INDEX(生物种群!$B:$B,COUNTA(生物种群!$B:$B)),),))</f>
        <v/>
      </c>
      <c r="L729" s="37" t="str">
        <f>IF(A729&amp;B729&amp;C729="","",INDEX(生物种群!$F$3:INDEX(生物种群!$F:$F,COUNTA(生物种群!$F:$F)),MATCH($I729,生物种群!$B$3:INDEX(生物种群!$B:$B,COUNTA(生物种群!$B:$B)),),))</f>
        <v/>
      </c>
      <c r="M729" s="37" t="str">
        <f t="shared" si="22"/>
        <v/>
      </c>
      <c r="N729" s="37" t="str">
        <f t="shared" si="23"/>
        <v/>
      </c>
      <c r="O729" s="9"/>
      <c r="P729" s="10"/>
    </row>
    <row r="730" spans="1:16" ht="20.1" customHeight="1">
      <c r="A730" s="9"/>
      <c r="B730" s="9"/>
      <c r="C730" s="9"/>
      <c r="D730" s="43"/>
      <c r="E730" s="9"/>
      <c r="F730" s="9"/>
      <c r="G730" s="47" t="str">
        <f>IF(F730="","",INDEX(站位样品信息!$B$3:INDEX(站位样品信息!$B:$B,COUNTA(站位样品信息!$B:$B)+1),MATCH($F730,站位样品信息!$A$3:INDEX(站位样品信息!$A:$A,COUNTA(站位样品信息!$A:$A)+1),),))</f>
        <v/>
      </c>
      <c r="H730" s="37" t="str">
        <f>IF(A730&amp;B730&amp;C730="","",INDEX(生物种群!$A$2:INDEX(生物种群!$A:$A,COUNTA(生物种群!$A:$A)),MATCH($I730,生物种群!$B$2:INDEX(生物种群!$B:$B,COUNTA(生物种群!$B:$B)),),))</f>
        <v/>
      </c>
      <c r="I730" s="37" t="str">
        <f>IF(A730&amp;B730&amp;C730="","",IF($C730&lt;&gt;0,INDEX(生物种群!$B$2:INDEX(生物种群!$B:$B,COUNTA(生物种群!$B:$B)),MATCH($C730,生物种群!$G$2:INDEX(生物种群!$G:$G,COUNTA(生物种群!$G:$G)),),),IF($A730&lt;&gt;0,INDEX(生物种群!$B$2:INDEX(生物种群!$B:$B,COUNTA(生物种群!$B:$B)),MATCH($A730,生物种群!$C$2:INDEX(生物种群!$C:$C,COUNTA(生物种群!$C:$C)),),),INDEX(生物种群!$B$2:INDEX(生物种群!$B:$B,COUNTA(生物种群!$B:$B)),MATCH($B730,生物种群!$D$2:INDEX(生物种群!$D:$D,COUNTA(生物种群!$D:$D)),),))))</f>
        <v/>
      </c>
      <c r="J730" s="37" t="str">
        <f>IF(A730&amp;B730&amp;C730="","",INDEX(生物种群!$J$2:INDEX(生物种群!$J:$J,COUNTA(生物种群!$J:$J)),MATCH($I730,生物种群!$B$2:INDEX(生物种群!$B:$B,COUNTA(生物种群!$B:$B)),),))</f>
        <v/>
      </c>
      <c r="K730" s="37" t="str">
        <f>IF(A730&amp;B730&amp;C730="","",INDEX(生物种群!$E$2:INDEX(生物种群!$E:$E,COUNTA(生物种群!$E:$E)),MATCH($I730,生物种群!$B$2:INDEX(生物种群!$B:$B,COUNTA(生物种群!$B:$B)),),))</f>
        <v/>
      </c>
      <c r="L730" s="37" t="str">
        <f>IF(A730&amp;B730&amp;C730="","",INDEX(生物种群!$F$3:INDEX(生物种群!$F:$F,COUNTA(生物种群!$F:$F)),MATCH($I730,生物种群!$B$3:INDEX(生物种群!$B:$B,COUNTA(生物种群!$B:$B)),),))</f>
        <v/>
      </c>
      <c r="M730" s="37" t="str">
        <f t="shared" si="22"/>
        <v/>
      </c>
      <c r="N730" s="37" t="str">
        <f t="shared" si="23"/>
        <v/>
      </c>
      <c r="O730" s="9"/>
      <c r="P730" s="10"/>
    </row>
    <row r="731" spans="1:16" ht="20.1" customHeight="1">
      <c r="A731" s="9"/>
      <c r="B731" s="9"/>
      <c r="C731" s="9"/>
      <c r="D731" s="43"/>
      <c r="E731" s="9"/>
      <c r="F731" s="9"/>
      <c r="G731" s="47" t="str">
        <f>IF(F731="","",INDEX(站位样品信息!$B$3:INDEX(站位样品信息!$B:$B,COUNTA(站位样品信息!$B:$B)+1),MATCH($F731,站位样品信息!$A$3:INDEX(站位样品信息!$A:$A,COUNTA(站位样品信息!$A:$A)+1),),))</f>
        <v/>
      </c>
      <c r="H731" s="37" t="str">
        <f>IF(A731&amp;B731&amp;C731="","",INDEX(生物种群!$A$2:INDEX(生物种群!$A:$A,COUNTA(生物种群!$A:$A)),MATCH($I731,生物种群!$B$2:INDEX(生物种群!$B:$B,COUNTA(生物种群!$B:$B)),),))</f>
        <v/>
      </c>
      <c r="I731" s="37" t="str">
        <f>IF(A731&amp;B731&amp;C731="","",IF($C731&lt;&gt;0,INDEX(生物种群!$B$2:INDEX(生物种群!$B:$B,COUNTA(生物种群!$B:$B)),MATCH($C731,生物种群!$G$2:INDEX(生物种群!$G:$G,COUNTA(生物种群!$G:$G)),),),IF($A731&lt;&gt;0,INDEX(生物种群!$B$2:INDEX(生物种群!$B:$B,COUNTA(生物种群!$B:$B)),MATCH($A731,生物种群!$C$2:INDEX(生物种群!$C:$C,COUNTA(生物种群!$C:$C)),),),INDEX(生物种群!$B$2:INDEX(生物种群!$B:$B,COUNTA(生物种群!$B:$B)),MATCH($B731,生物种群!$D$2:INDEX(生物种群!$D:$D,COUNTA(生物种群!$D:$D)),),))))</f>
        <v/>
      </c>
      <c r="J731" s="37" t="str">
        <f>IF(A731&amp;B731&amp;C731="","",INDEX(生物种群!$J$2:INDEX(生物种群!$J:$J,COUNTA(生物种群!$J:$J)),MATCH($I731,生物种群!$B$2:INDEX(生物种群!$B:$B,COUNTA(生物种群!$B:$B)),),))</f>
        <v/>
      </c>
      <c r="K731" s="37" t="str">
        <f>IF(A731&amp;B731&amp;C731="","",INDEX(生物种群!$E$2:INDEX(生物种群!$E:$E,COUNTA(生物种群!$E:$E)),MATCH($I731,生物种群!$B$2:INDEX(生物种群!$B:$B,COUNTA(生物种群!$B:$B)),),))</f>
        <v/>
      </c>
      <c r="L731" s="37" t="str">
        <f>IF(A731&amp;B731&amp;C731="","",INDEX(生物种群!$F$3:INDEX(生物种群!$F:$F,COUNTA(生物种群!$F:$F)),MATCH($I731,生物种群!$B$3:INDEX(生物种群!$B:$B,COUNTA(生物种群!$B:$B)),),))</f>
        <v/>
      </c>
      <c r="M731" s="37" t="str">
        <f t="shared" si="22"/>
        <v/>
      </c>
      <c r="N731" s="37" t="str">
        <f t="shared" si="23"/>
        <v/>
      </c>
      <c r="O731" s="9"/>
      <c r="P731" s="10"/>
    </row>
    <row r="732" spans="1:16" ht="20.1" customHeight="1">
      <c r="A732" s="9"/>
      <c r="B732" s="9"/>
      <c r="C732" s="9"/>
      <c r="D732" s="43"/>
      <c r="E732" s="9"/>
      <c r="F732" s="9"/>
      <c r="G732" s="47" t="str">
        <f>IF(F732="","",INDEX(站位样品信息!$B$3:INDEX(站位样品信息!$B:$B,COUNTA(站位样品信息!$B:$B)+1),MATCH($F732,站位样品信息!$A$3:INDEX(站位样品信息!$A:$A,COUNTA(站位样品信息!$A:$A)+1),),))</f>
        <v/>
      </c>
      <c r="H732" s="37" t="str">
        <f>IF(A732&amp;B732&amp;C732="","",INDEX(生物种群!$A$2:INDEX(生物种群!$A:$A,COUNTA(生物种群!$A:$A)),MATCH($I732,生物种群!$B$2:INDEX(生物种群!$B:$B,COUNTA(生物种群!$B:$B)),),))</f>
        <v/>
      </c>
      <c r="I732" s="37" t="str">
        <f>IF(A732&amp;B732&amp;C732="","",IF($C732&lt;&gt;0,INDEX(生物种群!$B$2:INDEX(生物种群!$B:$B,COUNTA(生物种群!$B:$B)),MATCH($C732,生物种群!$G$2:INDEX(生物种群!$G:$G,COUNTA(生物种群!$G:$G)),),),IF($A732&lt;&gt;0,INDEX(生物种群!$B$2:INDEX(生物种群!$B:$B,COUNTA(生物种群!$B:$B)),MATCH($A732,生物种群!$C$2:INDEX(生物种群!$C:$C,COUNTA(生物种群!$C:$C)),),),INDEX(生物种群!$B$2:INDEX(生物种群!$B:$B,COUNTA(生物种群!$B:$B)),MATCH($B732,生物种群!$D$2:INDEX(生物种群!$D:$D,COUNTA(生物种群!$D:$D)),),))))</f>
        <v/>
      </c>
      <c r="J732" s="37" t="str">
        <f>IF(A732&amp;B732&amp;C732="","",INDEX(生物种群!$J$2:INDEX(生物种群!$J:$J,COUNTA(生物种群!$J:$J)),MATCH($I732,生物种群!$B$2:INDEX(生物种群!$B:$B,COUNTA(生物种群!$B:$B)),),))</f>
        <v/>
      </c>
      <c r="K732" s="37" t="str">
        <f>IF(A732&amp;B732&amp;C732="","",INDEX(生物种群!$E$2:INDEX(生物种群!$E:$E,COUNTA(生物种群!$E:$E)),MATCH($I732,生物种群!$B$2:INDEX(生物种群!$B:$B,COUNTA(生物种群!$B:$B)),),))</f>
        <v/>
      </c>
      <c r="L732" s="37" t="str">
        <f>IF(A732&amp;B732&amp;C732="","",INDEX(生物种群!$F$3:INDEX(生物种群!$F:$F,COUNTA(生物种群!$F:$F)),MATCH($I732,生物种群!$B$3:INDEX(生物种群!$B:$B,COUNTA(生物种群!$B:$B)),),))</f>
        <v/>
      </c>
      <c r="M732" s="37" t="str">
        <f t="shared" si="22"/>
        <v/>
      </c>
      <c r="N732" s="37" t="str">
        <f t="shared" si="23"/>
        <v/>
      </c>
      <c r="O732" s="9"/>
      <c r="P732" s="10"/>
    </row>
    <row r="733" spans="1:16" ht="20.1" customHeight="1">
      <c r="A733" s="9"/>
      <c r="B733" s="9"/>
      <c r="C733" s="9"/>
      <c r="D733" s="43"/>
      <c r="E733" s="9"/>
      <c r="F733" s="9"/>
      <c r="G733" s="47" t="str">
        <f>IF(F733="","",INDEX(站位样品信息!$B$3:INDEX(站位样品信息!$B:$B,COUNTA(站位样品信息!$B:$B)+1),MATCH($F733,站位样品信息!$A$3:INDEX(站位样品信息!$A:$A,COUNTA(站位样品信息!$A:$A)+1),),))</f>
        <v/>
      </c>
      <c r="H733" s="37" t="str">
        <f>IF(A733&amp;B733&amp;C733="","",INDEX(生物种群!$A$2:INDEX(生物种群!$A:$A,COUNTA(生物种群!$A:$A)),MATCH($I733,生物种群!$B$2:INDEX(生物种群!$B:$B,COUNTA(生物种群!$B:$B)),),))</f>
        <v/>
      </c>
      <c r="I733" s="37" t="str">
        <f>IF(A733&amp;B733&amp;C733="","",IF($C733&lt;&gt;0,INDEX(生物种群!$B$2:INDEX(生物种群!$B:$B,COUNTA(生物种群!$B:$B)),MATCH($C733,生物种群!$G$2:INDEX(生物种群!$G:$G,COUNTA(生物种群!$G:$G)),),),IF($A733&lt;&gt;0,INDEX(生物种群!$B$2:INDEX(生物种群!$B:$B,COUNTA(生物种群!$B:$B)),MATCH($A733,生物种群!$C$2:INDEX(生物种群!$C:$C,COUNTA(生物种群!$C:$C)),),),INDEX(生物种群!$B$2:INDEX(生物种群!$B:$B,COUNTA(生物种群!$B:$B)),MATCH($B733,生物种群!$D$2:INDEX(生物种群!$D:$D,COUNTA(生物种群!$D:$D)),),))))</f>
        <v/>
      </c>
      <c r="J733" s="37" t="str">
        <f>IF(A733&amp;B733&amp;C733="","",INDEX(生物种群!$J$2:INDEX(生物种群!$J:$J,COUNTA(生物种群!$J:$J)),MATCH($I733,生物种群!$B$2:INDEX(生物种群!$B:$B,COUNTA(生物种群!$B:$B)),),))</f>
        <v/>
      </c>
      <c r="K733" s="37" t="str">
        <f>IF(A733&amp;B733&amp;C733="","",INDEX(生物种群!$E$2:INDEX(生物种群!$E:$E,COUNTA(生物种群!$E:$E)),MATCH($I733,生物种群!$B$2:INDEX(生物种群!$B:$B,COUNTA(生物种群!$B:$B)),),))</f>
        <v/>
      </c>
      <c r="L733" s="37" t="str">
        <f>IF(A733&amp;B733&amp;C733="","",INDEX(生物种群!$F$3:INDEX(生物种群!$F:$F,COUNTA(生物种群!$F:$F)),MATCH($I733,生物种群!$B$3:INDEX(生物种群!$B:$B,COUNTA(生物种群!$B:$B)),),))</f>
        <v/>
      </c>
      <c r="M733" s="37" t="str">
        <f t="shared" si="22"/>
        <v/>
      </c>
      <c r="N733" s="37" t="str">
        <f t="shared" si="23"/>
        <v/>
      </c>
      <c r="O733" s="9"/>
      <c r="P733" s="10"/>
    </row>
    <row r="734" spans="1:16" ht="20.1" customHeight="1">
      <c r="A734" s="9"/>
      <c r="B734" s="9"/>
      <c r="C734" s="9"/>
      <c r="D734" s="43"/>
      <c r="E734" s="9"/>
      <c r="F734" s="9"/>
      <c r="G734" s="47" t="str">
        <f>IF(F734="","",INDEX(站位样品信息!$B$3:INDEX(站位样品信息!$B:$B,COUNTA(站位样品信息!$B:$B)+1),MATCH($F734,站位样品信息!$A$3:INDEX(站位样品信息!$A:$A,COUNTA(站位样品信息!$A:$A)+1),),))</f>
        <v/>
      </c>
      <c r="H734" s="37" t="str">
        <f>IF(A734&amp;B734&amp;C734="","",INDEX(生物种群!$A$2:INDEX(生物种群!$A:$A,COUNTA(生物种群!$A:$A)),MATCH($I734,生物种群!$B$2:INDEX(生物种群!$B:$B,COUNTA(生物种群!$B:$B)),),))</f>
        <v/>
      </c>
      <c r="I734" s="37" t="str">
        <f>IF(A734&amp;B734&amp;C734="","",IF($C734&lt;&gt;0,INDEX(生物种群!$B$2:INDEX(生物种群!$B:$B,COUNTA(生物种群!$B:$B)),MATCH($C734,生物种群!$G$2:INDEX(生物种群!$G:$G,COUNTA(生物种群!$G:$G)),),),IF($A734&lt;&gt;0,INDEX(生物种群!$B$2:INDEX(生物种群!$B:$B,COUNTA(生物种群!$B:$B)),MATCH($A734,生物种群!$C$2:INDEX(生物种群!$C:$C,COUNTA(生物种群!$C:$C)),),),INDEX(生物种群!$B$2:INDEX(生物种群!$B:$B,COUNTA(生物种群!$B:$B)),MATCH($B734,生物种群!$D$2:INDEX(生物种群!$D:$D,COUNTA(生物种群!$D:$D)),),))))</f>
        <v/>
      </c>
      <c r="J734" s="37" t="str">
        <f>IF(A734&amp;B734&amp;C734="","",INDEX(生物种群!$J$2:INDEX(生物种群!$J:$J,COUNTA(生物种群!$J:$J)),MATCH($I734,生物种群!$B$2:INDEX(生物种群!$B:$B,COUNTA(生物种群!$B:$B)),),))</f>
        <v/>
      </c>
      <c r="K734" s="37" t="str">
        <f>IF(A734&amp;B734&amp;C734="","",INDEX(生物种群!$E$2:INDEX(生物种群!$E:$E,COUNTA(生物种群!$E:$E)),MATCH($I734,生物种群!$B$2:INDEX(生物种群!$B:$B,COUNTA(生物种群!$B:$B)),),))</f>
        <v/>
      </c>
      <c r="L734" s="37" t="str">
        <f>IF(A734&amp;B734&amp;C734="","",INDEX(生物种群!$F$3:INDEX(生物种群!$F:$F,COUNTA(生物种群!$F:$F)),MATCH($I734,生物种群!$B$3:INDEX(生物种群!$B:$B,COUNTA(生物种群!$B:$B)),),))</f>
        <v/>
      </c>
      <c r="M734" s="37" t="str">
        <f t="shared" si="22"/>
        <v/>
      </c>
      <c r="N734" s="37" t="str">
        <f t="shared" si="23"/>
        <v/>
      </c>
      <c r="O734" s="9"/>
      <c r="P734" s="10"/>
    </row>
    <row r="735" spans="1:16" ht="20.1" customHeight="1">
      <c r="A735" s="9"/>
      <c r="B735" s="9"/>
      <c r="C735" s="9"/>
      <c r="D735" s="43"/>
      <c r="E735" s="9"/>
      <c r="F735" s="9"/>
      <c r="G735" s="47" t="str">
        <f>IF(F735="","",INDEX(站位样品信息!$B$3:INDEX(站位样品信息!$B:$B,COUNTA(站位样品信息!$B:$B)+1),MATCH($F735,站位样品信息!$A$3:INDEX(站位样品信息!$A:$A,COUNTA(站位样品信息!$A:$A)+1),),))</f>
        <v/>
      </c>
      <c r="H735" s="37" t="str">
        <f>IF(A735&amp;B735&amp;C735="","",INDEX(生物种群!$A$2:INDEX(生物种群!$A:$A,COUNTA(生物种群!$A:$A)),MATCH($I735,生物种群!$B$2:INDEX(生物种群!$B:$B,COUNTA(生物种群!$B:$B)),),))</f>
        <v/>
      </c>
      <c r="I735" s="37" t="str">
        <f>IF(A735&amp;B735&amp;C735="","",IF($C735&lt;&gt;0,INDEX(生物种群!$B$2:INDEX(生物种群!$B:$B,COUNTA(生物种群!$B:$B)),MATCH($C735,生物种群!$G$2:INDEX(生物种群!$G:$G,COUNTA(生物种群!$G:$G)),),),IF($A735&lt;&gt;0,INDEX(生物种群!$B$2:INDEX(生物种群!$B:$B,COUNTA(生物种群!$B:$B)),MATCH($A735,生物种群!$C$2:INDEX(生物种群!$C:$C,COUNTA(生物种群!$C:$C)),),),INDEX(生物种群!$B$2:INDEX(生物种群!$B:$B,COUNTA(生物种群!$B:$B)),MATCH($B735,生物种群!$D$2:INDEX(生物种群!$D:$D,COUNTA(生物种群!$D:$D)),),))))</f>
        <v/>
      </c>
      <c r="J735" s="37" t="str">
        <f>IF(A735&amp;B735&amp;C735="","",INDEX(生物种群!$J$2:INDEX(生物种群!$J:$J,COUNTA(生物种群!$J:$J)),MATCH($I735,生物种群!$B$2:INDEX(生物种群!$B:$B,COUNTA(生物种群!$B:$B)),),))</f>
        <v/>
      </c>
      <c r="K735" s="37" t="str">
        <f>IF(A735&amp;B735&amp;C735="","",INDEX(生物种群!$E$2:INDEX(生物种群!$E:$E,COUNTA(生物种群!$E:$E)),MATCH($I735,生物种群!$B$2:INDEX(生物种群!$B:$B,COUNTA(生物种群!$B:$B)),),))</f>
        <v/>
      </c>
      <c r="L735" s="37" t="str">
        <f>IF(A735&amp;B735&amp;C735="","",INDEX(生物种群!$F$3:INDEX(生物种群!$F:$F,COUNTA(生物种群!$F:$F)),MATCH($I735,生物种群!$B$3:INDEX(生物种群!$B:$B,COUNTA(生物种群!$B:$B)),),))</f>
        <v/>
      </c>
      <c r="M735" s="37" t="str">
        <f t="shared" si="22"/>
        <v/>
      </c>
      <c r="N735" s="37" t="str">
        <f t="shared" si="23"/>
        <v/>
      </c>
      <c r="O735" s="9"/>
      <c r="P735" s="10"/>
    </row>
    <row r="736" spans="1:16" ht="20.1" customHeight="1">
      <c r="A736" s="9"/>
      <c r="B736" s="9"/>
      <c r="C736" s="9"/>
      <c r="D736" s="43"/>
      <c r="E736" s="9"/>
      <c r="F736" s="9"/>
      <c r="G736" s="47" t="str">
        <f>IF(F736="","",INDEX(站位样品信息!$B$3:INDEX(站位样品信息!$B:$B,COUNTA(站位样品信息!$B:$B)+1),MATCH($F736,站位样品信息!$A$3:INDEX(站位样品信息!$A:$A,COUNTA(站位样品信息!$A:$A)+1),),))</f>
        <v/>
      </c>
      <c r="H736" s="37" t="str">
        <f>IF(A736&amp;B736&amp;C736="","",INDEX(生物种群!$A$2:INDEX(生物种群!$A:$A,COUNTA(生物种群!$A:$A)),MATCH($I736,生物种群!$B$2:INDEX(生物种群!$B:$B,COUNTA(生物种群!$B:$B)),),))</f>
        <v/>
      </c>
      <c r="I736" s="37" t="str">
        <f>IF(A736&amp;B736&amp;C736="","",IF($C736&lt;&gt;0,INDEX(生物种群!$B$2:INDEX(生物种群!$B:$B,COUNTA(生物种群!$B:$B)),MATCH($C736,生物种群!$G$2:INDEX(生物种群!$G:$G,COUNTA(生物种群!$G:$G)),),),IF($A736&lt;&gt;0,INDEX(生物种群!$B$2:INDEX(生物种群!$B:$B,COUNTA(生物种群!$B:$B)),MATCH($A736,生物种群!$C$2:INDEX(生物种群!$C:$C,COUNTA(生物种群!$C:$C)),),),INDEX(生物种群!$B$2:INDEX(生物种群!$B:$B,COUNTA(生物种群!$B:$B)),MATCH($B736,生物种群!$D$2:INDEX(生物种群!$D:$D,COUNTA(生物种群!$D:$D)),),))))</f>
        <v/>
      </c>
      <c r="J736" s="37" t="str">
        <f>IF(A736&amp;B736&amp;C736="","",INDEX(生物种群!$J$2:INDEX(生物种群!$J:$J,COUNTA(生物种群!$J:$J)),MATCH($I736,生物种群!$B$2:INDEX(生物种群!$B:$B,COUNTA(生物种群!$B:$B)),),))</f>
        <v/>
      </c>
      <c r="K736" s="37" t="str">
        <f>IF(A736&amp;B736&amp;C736="","",INDEX(生物种群!$E$2:INDEX(生物种群!$E:$E,COUNTA(生物种群!$E:$E)),MATCH($I736,生物种群!$B$2:INDEX(生物种群!$B:$B,COUNTA(生物种群!$B:$B)),),))</f>
        <v/>
      </c>
      <c r="L736" s="37" t="str">
        <f>IF(A736&amp;B736&amp;C736="","",INDEX(生物种群!$F$3:INDEX(生物种群!$F:$F,COUNTA(生物种群!$F:$F)),MATCH($I736,生物种群!$B$3:INDEX(生物种群!$B:$B,COUNTA(生物种群!$B:$B)),),))</f>
        <v/>
      </c>
      <c r="M736" s="37" t="str">
        <f t="shared" si="22"/>
        <v/>
      </c>
      <c r="N736" s="37" t="str">
        <f t="shared" si="23"/>
        <v/>
      </c>
      <c r="O736" s="9"/>
      <c r="P736" s="10"/>
    </row>
    <row r="737" spans="1:16" ht="20.1" customHeight="1">
      <c r="A737" s="9"/>
      <c r="B737" s="9"/>
      <c r="C737" s="9"/>
      <c r="D737" s="43"/>
      <c r="E737" s="9"/>
      <c r="F737" s="9"/>
      <c r="G737" s="47" t="str">
        <f>IF(F737="","",INDEX(站位样品信息!$B$3:INDEX(站位样品信息!$B:$B,COUNTA(站位样品信息!$B:$B)+1),MATCH($F737,站位样品信息!$A$3:INDEX(站位样品信息!$A:$A,COUNTA(站位样品信息!$A:$A)+1),),))</f>
        <v/>
      </c>
      <c r="H737" s="37" t="str">
        <f>IF(A737&amp;B737&amp;C737="","",INDEX(生物种群!$A$2:INDEX(生物种群!$A:$A,COUNTA(生物种群!$A:$A)),MATCH($I737,生物种群!$B$2:INDEX(生物种群!$B:$B,COUNTA(生物种群!$B:$B)),),))</f>
        <v/>
      </c>
      <c r="I737" s="37" t="str">
        <f>IF(A737&amp;B737&amp;C737="","",IF($C737&lt;&gt;0,INDEX(生物种群!$B$2:INDEX(生物种群!$B:$B,COUNTA(生物种群!$B:$B)),MATCH($C737,生物种群!$G$2:INDEX(生物种群!$G:$G,COUNTA(生物种群!$G:$G)),),),IF($A737&lt;&gt;0,INDEX(生物种群!$B$2:INDEX(生物种群!$B:$B,COUNTA(生物种群!$B:$B)),MATCH($A737,生物种群!$C$2:INDEX(生物种群!$C:$C,COUNTA(生物种群!$C:$C)),),),INDEX(生物种群!$B$2:INDEX(生物种群!$B:$B,COUNTA(生物种群!$B:$B)),MATCH($B737,生物种群!$D$2:INDEX(生物种群!$D:$D,COUNTA(生物种群!$D:$D)),),))))</f>
        <v/>
      </c>
      <c r="J737" s="37" t="str">
        <f>IF(A737&amp;B737&amp;C737="","",INDEX(生物种群!$J$2:INDEX(生物种群!$J:$J,COUNTA(生物种群!$J:$J)),MATCH($I737,生物种群!$B$2:INDEX(生物种群!$B:$B,COUNTA(生物种群!$B:$B)),),))</f>
        <v/>
      </c>
      <c r="K737" s="37" t="str">
        <f>IF(A737&amp;B737&amp;C737="","",INDEX(生物种群!$E$2:INDEX(生物种群!$E:$E,COUNTA(生物种群!$E:$E)),MATCH($I737,生物种群!$B$2:INDEX(生物种群!$B:$B,COUNTA(生物种群!$B:$B)),),))</f>
        <v/>
      </c>
      <c r="L737" s="37" t="str">
        <f>IF(A737&amp;B737&amp;C737="","",INDEX(生物种群!$F$3:INDEX(生物种群!$F:$F,COUNTA(生物种群!$F:$F)),MATCH($I737,生物种群!$B$3:INDEX(生物种群!$B:$B,COUNTA(生物种群!$B:$B)),),))</f>
        <v/>
      </c>
      <c r="M737" s="37" t="str">
        <f t="shared" si="22"/>
        <v/>
      </c>
      <c r="N737" s="37" t="str">
        <f t="shared" si="23"/>
        <v/>
      </c>
      <c r="O737" s="9"/>
      <c r="P737" s="10"/>
    </row>
    <row r="738" spans="1:16" ht="20.1" customHeight="1">
      <c r="A738" s="9"/>
      <c r="B738" s="9"/>
      <c r="C738" s="9"/>
      <c r="D738" s="43"/>
      <c r="E738" s="9"/>
      <c r="F738" s="9"/>
      <c r="G738" s="47" t="str">
        <f>IF(F738="","",INDEX(站位样品信息!$B$3:INDEX(站位样品信息!$B:$B,COUNTA(站位样品信息!$B:$B)+1),MATCH($F738,站位样品信息!$A$3:INDEX(站位样品信息!$A:$A,COUNTA(站位样品信息!$A:$A)+1),),))</f>
        <v/>
      </c>
      <c r="H738" s="37" t="str">
        <f>IF(A738&amp;B738&amp;C738="","",INDEX(生物种群!$A$2:INDEX(生物种群!$A:$A,COUNTA(生物种群!$A:$A)),MATCH($I738,生物种群!$B$2:INDEX(生物种群!$B:$B,COUNTA(生物种群!$B:$B)),),))</f>
        <v/>
      </c>
      <c r="I738" s="37" t="str">
        <f>IF(A738&amp;B738&amp;C738="","",IF($C738&lt;&gt;0,INDEX(生物种群!$B$2:INDEX(生物种群!$B:$B,COUNTA(生物种群!$B:$B)),MATCH($C738,生物种群!$G$2:INDEX(生物种群!$G:$G,COUNTA(生物种群!$G:$G)),),),IF($A738&lt;&gt;0,INDEX(生物种群!$B$2:INDEX(生物种群!$B:$B,COUNTA(生物种群!$B:$B)),MATCH($A738,生物种群!$C$2:INDEX(生物种群!$C:$C,COUNTA(生物种群!$C:$C)),),),INDEX(生物种群!$B$2:INDEX(生物种群!$B:$B,COUNTA(生物种群!$B:$B)),MATCH($B738,生物种群!$D$2:INDEX(生物种群!$D:$D,COUNTA(生物种群!$D:$D)),),))))</f>
        <v/>
      </c>
      <c r="J738" s="37" t="str">
        <f>IF(A738&amp;B738&amp;C738="","",INDEX(生物种群!$J$2:INDEX(生物种群!$J:$J,COUNTA(生物种群!$J:$J)),MATCH($I738,生物种群!$B$2:INDEX(生物种群!$B:$B,COUNTA(生物种群!$B:$B)),),))</f>
        <v/>
      </c>
      <c r="K738" s="37" t="str">
        <f>IF(A738&amp;B738&amp;C738="","",INDEX(生物种群!$E$2:INDEX(生物种群!$E:$E,COUNTA(生物种群!$E:$E)),MATCH($I738,生物种群!$B$2:INDEX(生物种群!$B:$B,COUNTA(生物种群!$B:$B)),),))</f>
        <v/>
      </c>
      <c r="L738" s="37" t="str">
        <f>IF(A738&amp;B738&amp;C738="","",INDEX(生物种群!$F$3:INDEX(生物种群!$F:$F,COUNTA(生物种群!$F:$F)),MATCH($I738,生物种群!$B$3:INDEX(生物种群!$B:$B,COUNTA(生物种群!$B:$B)),),))</f>
        <v/>
      </c>
      <c r="M738" s="37" t="str">
        <f t="shared" si="22"/>
        <v/>
      </c>
      <c r="N738" s="37" t="str">
        <f t="shared" si="23"/>
        <v/>
      </c>
      <c r="O738" s="9"/>
      <c r="P738" s="10"/>
    </row>
    <row r="739" spans="1:16" ht="20.1" customHeight="1">
      <c r="A739" s="9"/>
      <c r="B739" s="9"/>
      <c r="C739" s="9"/>
      <c r="D739" s="43"/>
      <c r="E739" s="9"/>
      <c r="F739" s="9"/>
      <c r="G739" s="47" t="str">
        <f>IF(F739="","",INDEX(站位样品信息!$B$3:INDEX(站位样品信息!$B:$B,COUNTA(站位样品信息!$B:$B)+1),MATCH($F739,站位样品信息!$A$3:INDEX(站位样品信息!$A:$A,COUNTA(站位样品信息!$A:$A)+1),),))</f>
        <v/>
      </c>
      <c r="H739" s="37" t="str">
        <f>IF(A739&amp;B739&amp;C739="","",INDEX(生物种群!$A$2:INDEX(生物种群!$A:$A,COUNTA(生物种群!$A:$A)),MATCH($I739,生物种群!$B$2:INDEX(生物种群!$B:$B,COUNTA(生物种群!$B:$B)),),))</f>
        <v/>
      </c>
      <c r="I739" s="37" t="str">
        <f>IF(A739&amp;B739&amp;C739="","",IF($C739&lt;&gt;0,INDEX(生物种群!$B$2:INDEX(生物种群!$B:$B,COUNTA(生物种群!$B:$B)),MATCH($C739,生物种群!$G$2:INDEX(生物种群!$G:$G,COUNTA(生物种群!$G:$G)),),),IF($A739&lt;&gt;0,INDEX(生物种群!$B$2:INDEX(生物种群!$B:$B,COUNTA(生物种群!$B:$B)),MATCH($A739,生物种群!$C$2:INDEX(生物种群!$C:$C,COUNTA(生物种群!$C:$C)),),),INDEX(生物种群!$B$2:INDEX(生物种群!$B:$B,COUNTA(生物种群!$B:$B)),MATCH($B739,生物种群!$D$2:INDEX(生物种群!$D:$D,COUNTA(生物种群!$D:$D)),),))))</f>
        <v/>
      </c>
      <c r="J739" s="37" t="str">
        <f>IF(A739&amp;B739&amp;C739="","",INDEX(生物种群!$J$2:INDEX(生物种群!$J:$J,COUNTA(生物种群!$J:$J)),MATCH($I739,生物种群!$B$2:INDEX(生物种群!$B:$B,COUNTA(生物种群!$B:$B)),),))</f>
        <v/>
      </c>
      <c r="K739" s="37" t="str">
        <f>IF(A739&amp;B739&amp;C739="","",INDEX(生物种群!$E$2:INDEX(生物种群!$E:$E,COUNTA(生物种群!$E:$E)),MATCH($I739,生物种群!$B$2:INDEX(生物种群!$B:$B,COUNTA(生物种群!$B:$B)),),))</f>
        <v/>
      </c>
      <c r="L739" s="37" t="str">
        <f>IF(A739&amp;B739&amp;C739="","",INDEX(生物种群!$F$3:INDEX(生物种群!$F:$F,COUNTA(生物种群!$F:$F)),MATCH($I739,生物种群!$B$3:INDEX(生物种群!$B:$B,COUNTA(生物种群!$B:$B)),),))</f>
        <v/>
      </c>
      <c r="M739" s="37" t="str">
        <f t="shared" si="22"/>
        <v/>
      </c>
      <c r="N739" s="37" t="str">
        <f t="shared" si="23"/>
        <v/>
      </c>
      <c r="O739" s="9"/>
      <c r="P739" s="10"/>
    </row>
    <row r="740" spans="1:16" ht="20.1" customHeight="1">
      <c r="A740" s="9"/>
      <c r="B740" s="9"/>
      <c r="C740" s="9"/>
      <c r="D740" s="43"/>
      <c r="E740" s="9"/>
      <c r="F740" s="9"/>
      <c r="G740" s="47" t="str">
        <f>IF(F740="","",INDEX(站位样品信息!$B$3:INDEX(站位样品信息!$B:$B,COUNTA(站位样品信息!$B:$B)+1),MATCH($F740,站位样品信息!$A$3:INDEX(站位样品信息!$A:$A,COUNTA(站位样品信息!$A:$A)+1),),))</f>
        <v/>
      </c>
      <c r="H740" s="37" t="str">
        <f>IF(A740&amp;B740&amp;C740="","",INDEX(生物种群!$A$2:INDEX(生物种群!$A:$A,COUNTA(生物种群!$A:$A)),MATCH($I740,生物种群!$B$2:INDEX(生物种群!$B:$B,COUNTA(生物种群!$B:$B)),),))</f>
        <v/>
      </c>
      <c r="I740" s="37" t="str">
        <f>IF(A740&amp;B740&amp;C740="","",IF($C740&lt;&gt;0,INDEX(生物种群!$B$2:INDEX(生物种群!$B:$B,COUNTA(生物种群!$B:$B)),MATCH($C740,生物种群!$G$2:INDEX(生物种群!$G:$G,COUNTA(生物种群!$G:$G)),),),IF($A740&lt;&gt;0,INDEX(生物种群!$B$2:INDEX(生物种群!$B:$B,COUNTA(生物种群!$B:$B)),MATCH($A740,生物种群!$C$2:INDEX(生物种群!$C:$C,COUNTA(生物种群!$C:$C)),),),INDEX(生物种群!$B$2:INDEX(生物种群!$B:$B,COUNTA(生物种群!$B:$B)),MATCH($B740,生物种群!$D$2:INDEX(生物种群!$D:$D,COUNTA(生物种群!$D:$D)),),))))</f>
        <v/>
      </c>
      <c r="J740" s="37" t="str">
        <f>IF(A740&amp;B740&amp;C740="","",INDEX(生物种群!$J$2:INDEX(生物种群!$J:$J,COUNTA(生物种群!$J:$J)),MATCH($I740,生物种群!$B$2:INDEX(生物种群!$B:$B,COUNTA(生物种群!$B:$B)),),))</f>
        <v/>
      </c>
      <c r="K740" s="37" t="str">
        <f>IF(A740&amp;B740&amp;C740="","",INDEX(生物种群!$E$2:INDEX(生物种群!$E:$E,COUNTA(生物种群!$E:$E)),MATCH($I740,生物种群!$B$2:INDEX(生物种群!$B:$B,COUNTA(生物种群!$B:$B)),),))</f>
        <v/>
      </c>
      <c r="L740" s="37" t="str">
        <f>IF(A740&amp;B740&amp;C740="","",INDEX(生物种群!$F$3:INDEX(生物种群!$F:$F,COUNTA(生物种群!$F:$F)),MATCH($I740,生物种群!$B$3:INDEX(生物种群!$B:$B,COUNTA(生物种群!$B:$B)),),))</f>
        <v/>
      </c>
      <c r="M740" s="37" t="str">
        <f t="shared" si="22"/>
        <v/>
      </c>
      <c r="N740" s="37" t="str">
        <f t="shared" si="23"/>
        <v/>
      </c>
      <c r="O740" s="9"/>
      <c r="P740" s="10"/>
    </row>
    <row r="741" spans="1:16" ht="20.1" customHeight="1">
      <c r="A741" s="9"/>
      <c r="B741" s="9"/>
      <c r="C741" s="9"/>
      <c r="D741" s="43"/>
      <c r="E741" s="9"/>
      <c r="F741" s="9"/>
      <c r="G741" s="47" t="str">
        <f>IF(F741="","",INDEX(站位样品信息!$B$3:INDEX(站位样品信息!$B:$B,COUNTA(站位样品信息!$B:$B)+1),MATCH($F741,站位样品信息!$A$3:INDEX(站位样品信息!$A:$A,COUNTA(站位样品信息!$A:$A)+1),),))</f>
        <v/>
      </c>
      <c r="H741" s="37" t="str">
        <f>IF(A741&amp;B741&amp;C741="","",INDEX(生物种群!$A$2:INDEX(生物种群!$A:$A,COUNTA(生物种群!$A:$A)),MATCH($I741,生物种群!$B$2:INDEX(生物种群!$B:$B,COUNTA(生物种群!$B:$B)),),))</f>
        <v/>
      </c>
      <c r="I741" s="37" t="str">
        <f>IF(A741&amp;B741&amp;C741="","",IF($C741&lt;&gt;0,INDEX(生物种群!$B$2:INDEX(生物种群!$B:$B,COUNTA(生物种群!$B:$B)),MATCH($C741,生物种群!$G$2:INDEX(生物种群!$G:$G,COUNTA(生物种群!$G:$G)),),),IF($A741&lt;&gt;0,INDEX(生物种群!$B$2:INDEX(生物种群!$B:$B,COUNTA(生物种群!$B:$B)),MATCH($A741,生物种群!$C$2:INDEX(生物种群!$C:$C,COUNTA(生物种群!$C:$C)),),),INDEX(生物种群!$B$2:INDEX(生物种群!$B:$B,COUNTA(生物种群!$B:$B)),MATCH($B741,生物种群!$D$2:INDEX(生物种群!$D:$D,COUNTA(生物种群!$D:$D)),),))))</f>
        <v/>
      </c>
      <c r="J741" s="37" t="str">
        <f>IF(A741&amp;B741&amp;C741="","",INDEX(生物种群!$J$2:INDEX(生物种群!$J:$J,COUNTA(生物种群!$J:$J)),MATCH($I741,生物种群!$B$2:INDEX(生物种群!$B:$B,COUNTA(生物种群!$B:$B)),),))</f>
        <v/>
      </c>
      <c r="K741" s="37" t="str">
        <f>IF(A741&amp;B741&amp;C741="","",INDEX(生物种群!$E$2:INDEX(生物种群!$E:$E,COUNTA(生物种群!$E:$E)),MATCH($I741,生物种群!$B$2:INDEX(生物种群!$B:$B,COUNTA(生物种群!$B:$B)),),))</f>
        <v/>
      </c>
      <c r="L741" s="37" t="str">
        <f>IF(A741&amp;B741&amp;C741="","",INDEX(生物种群!$F$3:INDEX(生物种群!$F:$F,COUNTA(生物种群!$F:$F)),MATCH($I741,生物种群!$B$3:INDEX(生物种群!$B:$B,COUNTA(生物种群!$B:$B)),),))</f>
        <v/>
      </c>
      <c r="M741" s="37" t="str">
        <f t="shared" si="22"/>
        <v/>
      </c>
      <c r="N741" s="37" t="str">
        <f t="shared" si="23"/>
        <v/>
      </c>
      <c r="O741" s="9"/>
      <c r="P741" s="10"/>
    </row>
    <row r="742" spans="1:16" ht="20.1" customHeight="1">
      <c r="A742" s="9"/>
      <c r="B742" s="9"/>
      <c r="C742" s="9"/>
      <c r="D742" s="43"/>
      <c r="E742" s="9"/>
      <c r="F742" s="9"/>
      <c r="G742" s="47" t="str">
        <f>IF(F742="","",INDEX(站位样品信息!$B$3:INDEX(站位样品信息!$B:$B,COUNTA(站位样品信息!$B:$B)+1),MATCH($F742,站位样品信息!$A$3:INDEX(站位样品信息!$A:$A,COUNTA(站位样品信息!$A:$A)+1),),))</f>
        <v/>
      </c>
      <c r="H742" s="37" t="str">
        <f>IF(A742&amp;B742&amp;C742="","",INDEX(生物种群!$A$2:INDEX(生物种群!$A:$A,COUNTA(生物种群!$A:$A)),MATCH($I742,生物种群!$B$2:INDEX(生物种群!$B:$B,COUNTA(生物种群!$B:$B)),),))</f>
        <v/>
      </c>
      <c r="I742" s="37" t="str">
        <f>IF(A742&amp;B742&amp;C742="","",IF($C742&lt;&gt;0,INDEX(生物种群!$B$2:INDEX(生物种群!$B:$B,COUNTA(生物种群!$B:$B)),MATCH($C742,生物种群!$G$2:INDEX(生物种群!$G:$G,COUNTA(生物种群!$G:$G)),),),IF($A742&lt;&gt;0,INDEX(生物种群!$B$2:INDEX(生物种群!$B:$B,COUNTA(生物种群!$B:$B)),MATCH($A742,生物种群!$C$2:INDEX(生物种群!$C:$C,COUNTA(生物种群!$C:$C)),),),INDEX(生物种群!$B$2:INDEX(生物种群!$B:$B,COUNTA(生物种群!$B:$B)),MATCH($B742,生物种群!$D$2:INDEX(生物种群!$D:$D,COUNTA(生物种群!$D:$D)),),))))</f>
        <v/>
      </c>
      <c r="J742" s="37" t="str">
        <f>IF(A742&amp;B742&amp;C742="","",INDEX(生物种群!$J$2:INDEX(生物种群!$J:$J,COUNTA(生物种群!$J:$J)),MATCH($I742,生物种群!$B$2:INDEX(生物种群!$B:$B,COUNTA(生物种群!$B:$B)),),))</f>
        <v/>
      </c>
      <c r="K742" s="37" t="str">
        <f>IF(A742&amp;B742&amp;C742="","",INDEX(生物种群!$E$2:INDEX(生物种群!$E:$E,COUNTA(生物种群!$E:$E)),MATCH($I742,生物种群!$B$2:INDEX(生物种群!$B:$B,COUNTA(生物种群!$B:$B)),),))</f>
        <v/>
      </c>
      <c r="L742" s="37" t="str">
        <f>IF(A742&amp;B742&amp;C742="","",INDEX(生物种群!$F$3:INDEX(生物种群!$F:$F,COUNTA(生物种群!$F:$F)),MATCH($I742,生物种群!$B$3:INDEX(生物种群!$B:$B,COUNTA(生物种群!$B:$B)),),))</f>
        <v/>
      </c>
      <c r="M742" s="37" t="str">
        <f t="shared" si="22"/>
        <v/>
      </c>
      <c r="N742" s="37" t="str">
        <f t="shared" si="23"/>
        <v/>
      </c>
      <c r="O742" s="9"/>
      <c r="P742" s="10"/>
    </row>
    <row r="743" spans="1:16" ht="20.1" customHeight="1">
      <c r="A743" s="9"/>
      <c r="B743" s="9"/>
      <c r="C743" s="9"/>
      <c r="D743" s="43"/>
      <c r="E743" s="9"/>
      <c r="F743" s="9"/>
      <c r="G743" s="47" t="str">
        <f>IF(F743="","",INDEX(站位样品信息!$B$3:INDEX(站位样品信息!$B:$B,COUNTA(站位样品信息!$B:$B)+1),MATCH($F743,站位样品信息!$A$3:INDEX(站位样品信息!$A:$A,COUNTA(站位样品信息!$A:$A)+1),),))</f>
        <v/>
      </c>
      <c r="H743" s="37" t="str">
        <f>IF(A743&amp;B743&amp;C743="","",INDEX(生物种群!$A$2:INDEX(生物种群!$A:$A,COUNTA(生物种群!$A:$A)),MATCH($I743,生物种群!$B$2:INDEX(生物种群!$B:$B,COUNTA(生物种群!$B:$B)),),))</f>
        <v/>
      </c>
      <c r="I743" s="37" t="str">
        <f>IF(A743&amp;B743&amp;C743="","",IF($C743&lt;&gt;0,INDEX(生物种群!$B$2:INDEX(生物种群!$B:$B,COUNTA(生物种群!$B:$B)),MATCH($C743,生物种群!$G$2:INDEX(生物种群!$G:$G,COUNTA(生物种群!$G:$G)),),),IF($A743&lt;&gt;0,INDEX(生物种群!$B$2:INDEX(生物种群!$B:$B,COUNTA(生物种群!$B:$B)),MATCH($A743,生物种群!$C$2:INDEX(生物种群!$C:$C,COUNTA(生物种群!$C:$C)),),),INDEX(生物种群!$B$2:INDEX(生物种群!$B:$B,COUNTA(生物种群!$B:$B)),MATCH($B743,生物种群!$D$2:INDEX(生物种群!$D:$D,COUNTA(生物种群!$D:$D)),),))))</f>
        <v/>
      </c>
      <c r="J743" s="37" t="str">
        <f>IF(A743&amp;B743&amp;C743="","",INDEX(生物种群!$J$2:INDEX(生物种群!$J:$J,COUNTA(生物种群!$J:$J)),MATCH($I743,生物种群!$B$2:INDEX(生物种群!$B:$B,COUNTA(生物种群!$B:$B)),),))</f>
        <v/>
      </c>
      <c r="K743" s="37" t="str">
        <f>IF(A743&amp;B743&amp;C743="","",INDEX(生物种群!$E$2:INDEX(生物种群!$E:$E,COUNTA(生物种群!$E:$E)),MATCH($I743,生物种群!$B$2:INDEX(生物种群!$B:$B,COUNTA(生物种群!$B:$B)),),))</f>
        <v/>
      </c>
      <c r="L743" s="37" t="str">
        <f>IF(A743&amp;B743&amp;C743="","",INDEX(生物种群!$F$3:INDEX(生物种群!$F:$F,COUNTA(生物种群!$F:$F)),MATCH($I743,生物种群!$B$3:INDEX(生物种群!$B:$B,COUNTA(生物种群!$B:$B)),),))</f>
        <v/>
      </c>
      <c r="M743" s="37" t="str">
        <f t="shared" si="22"/>
        <v/>
      </c>
      <c r="N743" s="37" t="str">
        <f t="shared" si="23"/>
        <v/>
      </c>
      <c r="O743" s="9"/>
      <c r="P743" s="10"/>
    </row>
    <row r="744" spans="1:16" ht="20.1" customHeight="1">
      <c r="A744" s="9"/>
      <c r="B744" s="9"/>
      <c r="C744" s="9"/>
      <c r="D744" s="43"/>
      <c r="E744" s="9"/>
      <c r="F744" s="9"/>
      <c r="G744" s="47" t="str">
        <f>IF(F744="","",INDEX(站位样品信息!$B$3:INDEX(站位样品信息!$B:$B,COUNTA(站位样品信息!$B:$B)+1),MATCH($F744,站位样品信息!$A$3:INDEX(站位样品信息!$A:$A,COUNTA(站位样品信息!$A:$A)+1),),))</f>
        <v/>
      </c>
      <c r="H744" s="37" t="str">
        <f>IF(A744&amp;B744&amp;C744="","",INDEX(生物种群!$A$2:INDEX(生物种群!$A:$A,COUNTA(生物种群!$A:$A)),MATCH($I744,生物种群!$B$2:INDEX(生物种群!$B:$B,COUNTA(生物种群!$B:$B)),),))</f>
        <v/>
      </c>
      <c r="I744" s="37" t="str">
        <f>IF(A744&amp;B744&amp;C744="","",IF($C744&lt;&gt;0,INDEX(生物种群!$B$2:INDEX(生物种群!$B:$B,COUNTA(生物种群!$B:$B)),MATCH($C744,生物种群!$G$2:INDEX(生物种群!$G:$G,COUNTA(生物种群!$G:$G)),),),IF($A744&lt;&gt;0,INDEX(生物种群!$B$2:INDEX(生物种群!$B:$B,COUNTA(生物种群!$B:$B)),MATCH($A744,生物种群!$C$2:INDEX(生物种群!$C:$C,COUNTA(生物种群!$C:$C)),),),INDEX(生物种群!$B$2:INDEX(生物种群!$B:$B,COUNTA(生物种群!$B:$B)),MATCH($B744,生物种群!$D$2:INDEX(生物种群!$D:$D,COUNTA(生物种群!$D:$D)),),))))</f>
        <v/>
      </c>
      <c r="J744" s="37" t="str">
        <f>IF(A744&amp;B744&amp;C744="","",INDEX(生物种群!$J$2:INDEX(生物种群!$J:$J,COUNTA(生物种群!$J:$J)),MATCH($I744,生物种群!$B$2:INDEX(生物种群!$B:$B,COUNTA(生物种群!$B:$B)),),))</f>
        <v/>
      </c>
      <c r="K744" s="37" t="str">
        <f>IF(A744&amp;B744&amp;C744="","",INDEX(生物种群!$E$2:INDEX(生物种群!$E:$E,COUNTA(生物种群!$E:$E)),MATCH($I744,生物种群!$B$2:INDEX(生物种群!$B:$B,COUNTA(生物种群!$B:$B)),),))</f>
        <v/>
      </c>
      <c r="L744" s="37" t="str">
        <f>IF(A744&amp;B744&amp;C744="","",INDEX(生物种群!$F$3:INDEX(生物种群!$F:$F,COUNTA(生物种群!$F:$F)),MATCH($I744,生物种群!$B$3:INDEX(生物种群!$B:$B,COUNTA(生物种群!$B:$B)),),))</f>
        <v/>
      </c>
      <c r="M744" s="37" t="str">
        <f t="shared" si="22"/>
        <v/>
      </c>
      <c r="N744" s="37" t="str">
        <f t="shared" si="23"/>
        <v/>
      </c>
      <c r="O744" s="9"/>
      <c r="P744" s="10"/>
    </row>
    <row r="745" spans="1:16" ht="20.1" customHeight="1">
      <c r="A745" s="9"/>
      <c r="B745" s="9"/>
      <c r="C745" s="9"/>
      <c r="D745" s="43"/>
      <c r="E745" s="9"/>
      <c r="F745" s="9"/>
      <c r="G745" s="47" t="str">
        <f>IF(F745="","",INDEX(站位样品信息!$B$3:INDEX(站位样品信息!$B:$B,COUNTA(站位样品信息!$B:$B)+1),MATCH($F745,站位样品信息!$A$3:INDEX(站位样品信息!$A:$A,COUNTA(站位样品信息!$A:$A)+1),),))</f>
        <v/>
      </c>
      <c r="H745" s="37" t="str">
        <f>IF(A745&amp;B745&amp;C745="","",INDEX(生物种群!$A$2:INDEX(生物种群!$A:$A,COUNTA(生物种群!$A:$A)),MATCH($I745,生物种群!$B$2:INDEX(生物种群!$B:$B,COUNTA(生物种群!$B:$B)),),))</f>
        <v/>
      </c>
      <c r="I745" s="37" t="str">
        <f>IF(A745&amp;B745&amp;C745="","",IF($C745&lt;&gt;0,INDEX(生物种群!$B$2:INDEX(生物种群!$B:$B,COUNTA(生物种群!$B:$B)),MATCH($C745,生物种群!$G$2:INDEX(生物种群!$G:$G,COUNTA(生物种群!$G:$G)),),),IF($A745&lt;&gt;0,INDEX(生物种群!$B$2:INDEX(生物种群!$B:$B,COUNTA(生物种群!$B:$B)),MATCH($A745,生物种群!$C$2:INDEX(生物种群!$C:$C,COUNTA(生物种群!$C:$C)),),),INDEX(生物种群!$B$2:INDEX(生物种群!$B:$B,COUNTA(生物种群!$B:$B)),MATCH($B745,生物种群!$D$2:INDEX(生物种群!$D:$D,COUNTA(生物种群!$D:$D)),),))))</f>
        <v/>
      </c>
      <c r="J745" s="37" t="str">
        <f>IF(A745&amp;B745&amp;C745="","",INDEX(生物种群!$J$2:INDEX(生物种群!$J:$J,COUNTA(生物种群!$J:$J)),MATCH($I745,生物种群!$B$2:INDEX(生物种群!$B:$B,COUNTA(生物种群!$B:$B)),),))</f>
        <v/>
      </c>
      <c r="K745" s="37" t="str">
        <f>IF(A745&amp;B745&amp;C745="","",INDEX(生物种群!$E$2:INDEX(生物种群!$E:$E,COUNTA(生物种群!$E:$E)),MATCH($I745,生物种群!$B$2:INDEX(生物种群!$B:$B,COUNTA(生物种群!$B:$B)),),))</f>
        <v/>
      </c>
      <c r="L745" s="37" t="str">
        <f>IF(A745&amp;B745&amp;C745="","",INDEX(生物种群!$F$3:INDEX(生物种群!$F:$F,COUNTA(生物种群!$F:$F)),MATCH($I745,生物种群!$B$3:INDEX(生物种群!$B:$B,COUNTA(生物种群!$B:$B)),),))</f>
        <v/>
      </c>
      <c r="M745" s="37" t="str">
        <f t="shared" si="22"/>
        <v/>
      </c>
      <c r="N745" s="37" t="str">
        <f t="shared" si="23"/>
        <v/>
      </c>
      <c r="O745" s="9"/>
      <c r="P745" s="10"/>
    </row>
    <row r="746" spans="1:16" ht="20.1" customHeight="1">
      <c r="A746" s="9"/>
      <c r="B746" s="9"/>
      <c r="C746" s="9"/>
      <c r="D746" s="43"/>
      <c r="E746" s="9"/>
      <c r="F746" s="9"/>
      <c r="G746" s="47" t="str">
        <f>IF(F746="","",INDEX(站位样品信息!$B$3:INDEX(站位样品信息!$B:$B,COUNTA(站位样品信息!$B:$B)+1),MATCH($F746,站位样品信息!$A$3:INDEX(站位样品信息!$A:$A,COUNTA(站位样品信息!$A:$A)+1),),))</f>
        <v/>
      </c>
      <c r="H746" s="37" t="str">
        <f>IF(A746&amp;B746&amp;C746="","",INDEX(生物种群!$A$2:INDEX(生物种群!$A:$A,COUNTA(生物种群!$A:$A)),MATCH($I746,生物种群!$B$2:INDEX(生物种群!$B:$B,COUNTA(生物种群!$B:$B)),),))</f>
        <v/>
      </c>
      <c r="I746" s="37" t="str">
        <f>IF(A746&amp;B746&amp;C746="","",IF($C746&lt;&gt;0,INDEX(生物种群!$B$2:INDEX(生物种群!$B:$B,COUNTA(生物种群!$B:$B)),MATCH($C746,生物种群!$G$2:INDEX(生物种群!$G:$G,COUNTA(生物种群!$G:$G)),),),IF($A746&lt;&gt;0,INDEX(生物种群!$B$2:INDEX(生物种群!$B:$B,COUNTA(生物种群!$B:$B)),MATCH($A746,生物种群!$C$2:INDEX(生物种群!$C:$C,COUNTA(生物种群!$C:$C)),),),INDEX(生物种群!$B$2:INDEX(生物种群!$B:$B,COUNTA(生物种群!$B:$B)),MATCH($B746,生物种群!$D$2:INDEX(生物种群!$D:$D,COUNTA(生物种群!$D:$D)),),))))</f>
        <v/>
      </c>
      <c r="J746" s="37" t="str">
        <f>IF(A746&amp;B746&amp;C746="","",INDEX(生物种群!$J$2:INDEX(生物种群!$J:$J,COUNTA(生物种群!$J:$J)),MATCH($I746,生物种群!$B$2:INDEX(生物种群!$B:$B,COUNTA(生物种群!$B:$B)),),))</f>
        <v/>
      </c>
      <c r="K746" s="37" t="str">
        <f>IF(A746&amp;B746&amp;C746="","",INDEX(生物种群!$E$2:INDEX(生物种群!$E:$E,COUNTA(生物种群!$E:$E)),MATCH($I746,生物种群!$B$2:INDEX(生物种群!$B:$B,COUNTA(生物种群!$B:$B)),),))</f>
        <v/>
      </c>
      <c r="L746" s="37" t="str">
        <f>IF(A746&amp;B746&amp;C746="","",INDEX(生物种群!$F$3:INDEX(生物种群!$F:$F,COUNTA(生物种群!$F:$F)),MATCH($I746,生物种群!$B$3:INDEX(生物种群!$B:$B,COUNTA(生物种群!$B:$B)),),))</f>
        <v/>
      </c>
      <c r="M746" s="37" t="str">
        <f t="shared" si="22"/>
        <v/>
      </c>
      <c r="N746" s="37" t="str">
        <f t="shared" si="23"/>
        <v/>
      </c>
      <c r="O746" s="9"/>
      <c r="P746" s="10"/>
    </row>
    <row r="747" spans="1:16" ht="20.1" customHeight="1">
      <c r="A747" s="9"/>
      <c r="B747" s="9"/>
      <c r="C747" s="9"/>
      <c r="D747" s="43"/>
      <c r="E747" s="9"/>
      <c r="F747" s="9"/>
      <c r="G747" s="47" t="str">
        <f>IF(F747="","",INDEX(站位样品信息!$B$3:INDEX(站位样品信息!$B:$B,COUNTA(站位样品信息!$B:$B)+1),MATCH($F747,站位样品信息!$A$3:INDEX(站位样品信息!$A:$A,COUNTA(站位样品信息!$A:$A)+1),),))</f>
        <v/>
      </c>
      <c r="H747" s="37" t="str">
        <f>IF(A747&amp;B747&amp;C747="","",INDEX(生物种群!$A$2:INDEX(生物种群!$A:$A,COUNTA(生物种群!$A:$A)),MATCH($I747,生物种群!$B$2:INDEX(生物种群!$B:$B,COUNTA(生物种群!$B:$B)),),))</f>
        <v/>
      </c>
      <c r="I747" s="37" t="str">
        <f>IF(A747&amp;B747&amp;C747="","",IF($C747&lt;&gt;0,INDEX(生物种群!$B$2:INDEX(生物种群!$B:$B,COUNTA(生物种群!$B:$B)),MATCH($C747,生物种群!$G$2:INDEX(生物种群!$G:$G,COUNTA(生物种群!$G:$G)),),),IF($A747&lt;&gt;0,INDEX(生物种群!$B$2:INDEX(生物种群!$B:$B,COUNTA(生物种群!$B:$B)),MATCH($A747,生物种群!$C$2:INDEX(生物种群!$C:$C,COUNTA(生物种群!$C:$C)),),),INDEX(生物种群!$B$2:INDEX(生物种群!$B:$B,COUNTA(生物种群!$B:$B)),MATCH($B747,生物种群!$D$2:INDEX(生物种群!$D:$D,COUNTA(生物种群!$D:$D)),),))))</f>
        <v/>
      </c>
      <c r="J747" s="37" t="str">
        <f>IF(A747&amp;B747&amp;C747="","",INDEX(生物种群!$J$2:INDEX(生物种群!$J:$J,COUNTA(生物种群!$J:$J)),MATCH($I747,生物种群!$B$2:INDEX(生物种群!$B:$B,COUNTA(生物种群!$B:$B)),),))</f>
        <v/>
      </c>
      <c r="K747" s="37" t="str">
        <f>IF(A747&amp;B747&amp;C747="","",INDEX(生物种群!$E$2:INDEX(生物种群!$E:$E,COUNTA(生物种群!$E:$E)),MATCH($I747,生物种群!$B$2:INDEX(生物种群!$B:$B,COUNTA(生物种群!$B:$B)),),))</f>
        <v/>
      </c>
      <c r="L747" s="37" t="str">
        <f>IF(A747&amp;B747&amp;C747="","",INDEX(生物种群!$F$3:INDEX(生物种群!$F:$F,COUNTA(生物种群!$F:$F)),MATCH($I747,生物种群!$B$3:INDEX(生物种群!$B:$B,COUNTA(生物种群!$B:$B)),),))</f>
        <v/>
      </c>
      <c r="M747" s="37" t="str">
        <f t="shared" si="22"/>
        <v/>
      </c>
      <c r="N747" s="37" t="str">
        <f t="shared" si="23"/>
        <v/>
      </c>
      <c r="O747" s="9"/>
      <c r="P747" s="10"/>
    </row>
    <row r="748" spans="1:16" ht="20.1" customHeight="1">
      <c r="A748" s="9"/>
      <c r="B748" s="9"/>
      <c r="C748" s="9"/>
      <c r="D748" s="43"/>
      <c r="E748" s="9"/>
      <c r="F748" s="9"/>
      <c r="G748" s="47" t="str">
        <f>IF(F748="","",INDEX(站位样品信息!$B$3:INDEX(站位样品信息!$B:$B,COUNTA(站位样品信息!$B:$B)+1),MATCH($F748,站位样品信息!$A$3:INDEX(站位样品信息!$A:$A,COUNTA(站位样品信息!$A:$A)+1),),))</f>
        <v/>
      </c>
      <c r="H748" s="37" t="str">
        <f>IF(A748&amp;B748&amp;C748="","",INDEX(生物种群!$A$2:INDEX(生物种群!$A:$A,COUNTA(生物种群!$A:$A)),MATCH($I748,生物种群!$B$2:INDEX(生物种群!$B:$B,COUNTA(生物种群!$B:$B)),),))</f>
        <v/>
      </c>
      <c r="I748" s="37" t="str">
        <f>IF(A748&amp;B748&amp;C748="","",IF($C748&lt;&gt;0,INDEX(生物种群!$B$2:INDEX(生物种群!$B:$B,COUNTA(生物种群!$B:$B)),MATCH($C748,生物种群!$G$2:INDEX(生物种群!$G:$G,COUNTA(生物种群!$G:$G)),),),IF($A748&lt;&gt;0,INDEX(生物种群!$B$2:INDEX(生物种群!$B:$B,COUNTA(生物种群!$B:$B)),MATCH($A748,生物种群!$C$2:INDEX(生物种群!$C:$C,COUNTA(生物种群!$C:$C)),),),INDEX(生物种群!$B$2:INDEX(生物种群!$B:$B,COUNTA(生物种群!$B:$B)),MATCH($B748,生物种群!$D$2:INDEX(生物种群!$D:$D,COUNTA(生物种群!$D:$D)),),))))</f>
        <v/>
      </c>
      <c r="J748" s="37" t="str">
        <f>IF(A748&amp;B748&amp;C748="","",INDEX(生物种群!$J$2:INDEX(生物种群!$J:$J,COUNTA(生物种群!$J:$J)),MATCH($I748,生物种群!$B$2:INDEX(生物种群!$B:$B,COUNTA(生物种群!$B:$B)),),))</f>
        <v/>
      </c>
      <c r="K748" s="37" t="str">
        <f>IF(A748&amp;B748&amp;C748="","",INDEX(生物种群!$E$2:INDEX(生物种群!$E:$E,COUNTA(生物种群!$E:$E)),MATCH($I748,生物种群!$B$2:INDEX(生物种群!$B:$B,COUNTA(生物种群!$B:$B)),),))</f>
        <v/>
      </c>
      <c r="L748" s="37" t="str">
        <f>IF(A748&amp;B748&amp;C748="","",INDEX(生物种群!$F$3:INDEX(生物种群!$F:$F,COUNTA(生物种群!$F:$F)),MATCH($I748,生物种群!$B$3:INDEX(生物种群!$B:$B,COUNTA(生物种群!$B:$B)),),))</f>
        <v/>
      </c>
      <c r="M748" s="37" t="str">
        <f t="shared" si="22"/>
        <v/>
      </c>
      <c r="N748" s="37" t="str">
        <f t="shared" si="23"/>
        <v/>
      </c>
      <c r="O748" s="9"/>
      <c r="P748" s="10"/>
    </row>
    <row r="749" spans="1:16" ht="20.1" customHeight="1">
      <c r="A749" s="9"/>
      <c r="B749" s="9"/>
      <c r="C749" s="9"/>
      <c r="D749" s="43"/>
      <c r="E749" s="9"/>
      <c r="F749" s="9"/>
      <c r="G749" s="47" t="str">
        <f>IF(F749="","",INDEX(站位样品信息!$B$3:INDEX(站位样品信息!$B:$B,COUNTA(站位样品信息!$B:$B)+1),MATCH($F749,站位样品信息!$A$3:INDEX(站位样品信息!$A:$A,COUNTA(站位样品信息!$A:$A)+1),),))</f>
        <v/>
      </c>
      <c r="H749" s="37" t="str">
        <f>IF(A749&amp;B749&amp;C749="","",INDEX(生物种群!$A$2:INDEX(生物种群!$A:$A,COUNTA(生物种群!$A:$A)),MATCH($I749,生物种群!$B$2:INDEX(生物种群!$B:$B,COUNTA(生物种群!$B:$B)),),))</f>
        <v/>
      </c>
      <c r="I749" s="37" t="str">
        <f>IF(A749&amp;B749&amp;C749="","",IF($C749&lt;&gt;0,INDEX(生物种群!$B$2:INDEX(生物种群!$B:$B,COUNTA(生物种群!$B:$B)),MATCH($C749,生物种群!$G$2:INDEX(生物种群!$G:$G,COUNTA(生物种群!$G:$G)),),),IF($A749&lt;&gt;0,INDEX(生物种群!$B$2:INDEX(生物种群!$B:$B,COUNTA(生物种群!$B:$B)),MATCH($A749,生物种群!$C$2:INDEX(生物种群!$C:$C,COUNTA(生物种群!$C:$C)),),),INDEX(生物种群!$B$2:INDEX(生物种群!$B:$B,COUNTA(生物种群!$B:$B)),MATCH($B749,生物种群!$D$2:INDEX(生物种群!$D:$D,COUNTA(生物种群!$D:$D)),),))))</f>
        <v/>
      </c>
      <c r="J749" s="37" t="str">
        <f>IF(A749&amp;B749&amp;C749="","",INDEX(生物种群!$J$2:INDEX(生物种群!$J:$J,COUNTA(生物种群!$J:$J)),MATCH($I749,生物种群!$B$2:INDEX(生物种群!$B:$B,COUNTA(生物种群!$B:$B)),),))</f>
        <v/>
      </c>
      <c r="K749" s="37" t="str">
        <f>IF(A749&amp;B749&amp;C749="","",INDEX(生物种群!$E$2:INDEX(生物种群!$E:$E,COUNTA(生物种群!$E:$E)),MATCH($I749,生物种群!$B$2:INDEX(生物种群!$B:$B,COUNTA(生物种群!$B:$B)),),))</f>
        <v/>
      </c>
      <c r="L749" s="37" t="str">
        <f>IF(A749&amp;B749&amp;C749="","",INDEX(生物种群!$F$3:INDEX(生物种群!$F:$F,COUNTA(生物种群!$F:$F)),MATCH($I749,生物种群!$B$3:INDEX(生物种群!$B:$B,COUNTA(生物种群!$B:$B)),),))</f>
        <v/>
      </c>
      <c r="M749" s="37" t="str">
        <f t="shared" si="22"/>
        <v/>
      </c>
      <c r="N749" s="37" t="str">
        <f t="shared" si="23"/>
        <v/>
      </c>
      <c r="O749" s="9"/>
      <c r="P749" s="10"/>
    </row>
    <row r="750" spans="1:16" ht="20.1" customHeight="1">
      <c r="A750" s="9"/>
      <c r="B750" s="9"/>
      <c r="C750" s="9"/>
      <c r="D750" s="43"/>
      <c r="E750" s="9"/>
      <c r="F750" s="9"/>
      <c r="G750" s="47" t="str">
        <f>IF(F750="","",INDEX(站位样品信息!$B$3:INDEX(站位样品信息!$B:$B,COUNTA(站位样品信息!$B:$B)+1),MATCH($F750,站位样品信息!$A$3:INDEX(站位样品信息!$A:$A,COUNTA(站位样品信息!$A:$A)+1),),))</f>
        <v/>
      </c>
      <c r="H750" s="37" t="str">
        <f>IF(A750&amp;B750&amp;C750="","",INDEX(生物种群!$A$2:INDEX(生物种群!$A:$A,COUNTA(生物种群!$A:$A)),MATCH($I750,生物种群!$B$2:INDEX(生物种群!$B:$B,COUNTA(生物种群!$B:$B)),),))</f>
        <v/>
      </c>
      <c r="I750" s="37" t="str">
        <f>IF(A750&amp;B750&amp;C750="","",IF($C750&lt;&gt;0,INDEX(生物种群!$B$2:INDEX(生物种群!$B:$B,COUNTA(生物种群!$B:$B)),MATCH($C750,生物种群!$G$2:INDEX(生物种群!$G:$G,COUNTA(生物种群!$G:$G)),),),IF($A750&lt;&gt;0,INDEX(生物种群!$B$2:INDEX(生物种群!$B:$B,COUNTA(生物种群!$B:$B)),MATCH($A750,生物种群!$C$2:INDEX(生物种群!$C:$C,COUNTA(生物种群!$C:$C)),),),INDEX(生物种群!$B$2:INDEX(生物种群!$B:$B,COUNTA(生物种群!$B:$B)),MATCH($B750,生物种群!$D$2:INDEX(生物种群!$D:$D,COUNTA(生物种群!$D:$D)),),))))</f>
        <v/>
      </c>
      <c r="J750" s="37" t="str">
        <f>IF(A750&amp;B750&amp;C750="","",INDEX(生物种群!$J$2:INDEX(生物种群!$J:$J,COUNTA(生物种群!$J:$J)),MATCH($I750,生物种群!$B$2:INDEX(生物种群!$B:$B,COUNTA(生物种群!$B:$B)),),))</f>
        <v/>
      </c>
      <c r="K750" s="37" t="str">
        <f>IF(A750&amp;B750&amp;C750="","",INDEX(生物种群!$E$2:INDEX(生物种群!$E:$E,COUNTA(生物种群!$E:$E)),MATCH($I750,生物种群!$B$2:INDEX(生物种群!$B:$B,COUNTA(生物种群!$B:$B)),),))</f>
        <v/>
      </c>
      <c r="L750" s="37" t="str">
        <f>IF(A750&amp;B750&amp;C750="","",INDEX(生物种群!$F$3:INDEX(生物种群!$F:$F,COUNTA(生物种群!$F:$F)),MATCH($I750,生物种群!$B$3:INDEX(生物种群!$B:$B,COUNTA(生物种群!$B:$B)),),))</f>
        <v/>
      </c>
      <c r="M750" s="37" t="str">
        <f t="shared" si="22"/>
        <v/>
      </c>
      <c r="N750" s="37" t="str">
        <f t="shared" si="23"/>
        <v/>
      </c>
      <c r="O750" s="9"/>
      <c r="P750" s="10"/>
    </row>
    <row r="751" spans="1:16" ht="20.1" customHeight="1">
      <c r="A751" s="9"/>
      <c r="B751" s="9"/>
      <c r="C751" s="9"/>
      <c r="D751" s="43"/>
      <c r="E751" s="9"/>
      <c r="F751" s="9"/>
      <c r="G751" s="47" t="str">
        <f>IF(F751="","",INDEX(站位样品信息!$B$3:INDEX(站位样品信息!$B:$B,COUNTA(站位样品信息!$B:$B)+1),MATCH($F751,站位样品信息!$A$3:INDEX(站位样品信息!$A:$A,COUNTA(站位样品信息!$A:$A)+1),),))</f>
        <v/>
      </c>
      <c r="H751" s="37" t="str">
        <f>IF(A751&amp;B751&amp;C751="","",INDEX(生物种群!$A$2:INDEX(生物种群!$A:$A,COUNTA(生物种群!$A:$A)),MATCH($I751,生物种群!$B$2:INDEX(生物种群!$B:$B,COUNTA(生物种群!$B:$B)),),))</f>
        <v/>
      </c>
      <c r="I751" s="37" t="str">
        <f>IF(A751&amp;B751&amp;C751="","",IF($C751&lt;&gt;0,INDEX(生物种群!$B$2:INDEX(生物种群!$B:$B,COUNTA(生物种群!$B:$B)),MATCH($C751,生物种群!$G$2:INDEX(生物种群!$G:$G,COUNTA(生物种群!$G:$G)),),),IF($A751&lt;&gt;0,INDEX(生物种群!$B$2:INDEX(生物种群!$B:$B,COUNTA(生物种群!$B:$B)),MATCH($A751,生物种群!$C$2:INDEX(生物种群!$C:$C,COUNTA(生物种群!$C:$C)),),),INDEX(生物种群!$B$2:INDEX(生物种群!$B:$B,COUNTA(生物种群!$B:$B)),MATCH($B751,生物种群!$D$2:INDEX(生物种群!$D:$D,COUNTA(生物种群!$D:$D)),),))))</f>
        <v/>
      </c>
      <c r="J751" s="37" t="str">
        <f>IF(A751&amp;B751&amp;C751="","",INDEX(生物种群!$J$2:INDEX(生物种群!$J:$J,COUNTA(生物种群!$J:$J)),MATCH($I751,生物种群!$B$2:INDEX(生物种群!$B:$B,COUNTA(生物种群!$B:$B)),),))</f>
        <v/>
      </c>
      <c r="K751" s="37" t="str">
        <f>IF(A751&amp;B751&amp;C751="","",INDEX(生物种群!$E$2:INDEX(生物种群!$E:$E,COUNTA(生物种群!$E:$E)),MATCH($I751,生物种群!$B$2:INDEX(生物种群!$B:$B,COUNTA(生物种群!$B:$B)),),))</f>
        <v/>
      </c>
      <c r="L751" s="37" t="str">
        <f>IF(A751&amp;B751&amp;C751="","",INDEX(生物种群!$F$3:INDEX(生物种群!$F:$F,COUNTA(生物种群!$F:$F)),MATCH($I751,生物种群!$B$3:INDEX(生物种群!$B:$B,COUNTA(生物种群!$B:$B)),),))</f>
        <v/>
      </c>
      <c r="M751" s="37" t="str">
        <f t="shared" si="22"/>
        <v/>
      </c>
      <c r="N751" s="37" t="str">
        <f t="shared" si="23"/>
        <v/>
      </c>
      <c r="O751" s="9"/>
      <c r="P751" s="10"/>
    </row>
    <row r="752" spans="1:16" ht="20.1" customHeight="1">
      <c r="A752" s="9"/>
      <c r="B752" s="9"/>
      <c r="C752" s="9"/>
      <c r="D752" s="43"/>
      <c r="E752" s="9"/>
      <c r="F752" s="9"/>
      <c r="G752" s="47" t="str">
        <f>IF(F752="","",INDEX(站位样品信息!$B$3:INDEX(站位样品信息!$B:$B,COUNTA(站位样品信息!$B:$B)+1),MATCH($F752,站位样品信息!$A$3:INDEX(站位样品信息!$A:$A,COUNTA(站位样品信息!$A:$A)+1),),))</f>
        <v/>
      </c>
      <c r="H752" s="37" t="str">
        <f>IF(A752&amp;B752&amp;C752="","",INDEX(生物种群!$A$2:INDEX(生物种群!$A:$A,COUNTA(生物种群!$A:$A)),MATCH($I752,生物种群!$B$2:INDEX(生物种群!$B:$B,COUNTA(生物种群!$B:$B)),),))</f>
        <v/>
      </c>
      <c r="I752" s="37" t="str">
        <f>IF(A752&amp;B752&amp;C752="","",IF($C752&lt;&gt;0,INDEX(生物种群!$B$2:INDEX(生物种群!$B:$B,COUNTA(生物种群!$B:$B)),MATCH($C752,生物种群!$G$2:INDEX(生物种群!$G:$G,COUNTA(生物种群!$G:$G)),),),IF($A752&lt;&gt;0,INDEX(生物种群!$B$2:INDEX(生物种群!$B:$B,COUNTA(生物种群!$B:$B)),MATCH($A752,生物种群!$C$2:INDEX(生物种群!$C:$C,COUNTA(生物种群!$C:$C)),),),INDEX(生物种群!$B$2:INDEX(生物种群!$B:$B,COUNTA(生物种群!$B:$B)),MATCH($B752,生物种群!$D$2:INDEX(生物种群!$D:$D,COUNTA(生物种群!$D:$D)),),))))</f>
        <v/>
      </c>
      <c r="J752" s="37" t="str">
        <f>IF(A752&amp;B752&amp;C752="","",INDEX(生物种群!$J$2:INDEX(生物种群!$J:$J,COUNTA(生物种群!$J:$J)),MATCH($I752,生物种群!$B$2:INDEX(生物种群!$B:$B,COUNTA(生物种群!$B:$B)),),))</f>
        <v/>
      </c>
      <c r="K752" s="37" t="str">
        <f>IF(A752&amp;B752&amp;C752="","",INDEX(生物种群!$E$2:INDEX(生物种群!$E:$E,COUNTA(生物种群!$E:$E)),MATCH($I752,生物种群!$B$2:INDEX(生物种群!$B:$B,COUNTA(生物种群!$B:$B)),),))</f>
        <v/>
      </c>
      <c r="L752" s="37" t="str">
        <f>IF(A752&amp;B752&amp;C752="","",INDEX(生物种群!$F$3:INDEX(生物种群!$F:$F,COUNTA(生物种群!$F:$F)),MATCH($I752,生物种群!$B$3:INDEX(生物种群!$B:$B,COUNTA(生物种群!$B:$B)),),))</f>
        <v/>
      </c>
      <c r="M752" s="37" t="str">
        <f t="shared" si="22"/>
        <v/>
      </c>
      <c r="N752" s="37" t="str">
        <f t="shared" si="23"/>
        <v/>
      </c>
      <c r="O752" s="9"/>
      <c r="P752" s="10"/>
    </row>
    <row r="753" spans="1:16" ht="20.1" customHeight="1">
      <c r="A753" s="9"/>
      <c r="B753" s="9"/>
      <c r="C753" s="9"/>
      <c r="D753" s="43"/>
      <c r="E753" s="9"/>
      <c r="F753" s="9"/>
      <c r="G753" s="47" t="str">
        <f>IF(F753="","",INDEX(站位样品信息!$B$3:INDEX(站位样品信息!$B:$B,COUNTA(站位样品信息!$B:$B)+1),MATCH($F753,站位样品信息!$A$3:INDEX(站位样品信息!$A:$A,COUNTA(站位样品信息!$A:$A)+1),),))</f>
        <v/>
      </c>
      <c r="H753" s="37" t="str">
        <f>IF(A753&amp;B753&amp;C753="","",INDEX(生物种群!$A$2:INDEX(生物种群!$A:$A,COUNTA(生物种群!$A:$A)),MATCH($I753,生物种群!$B$2:INDEX(生物种群!$B:$B,COUNTA(生物种群!$B:$B)),),))</f>
        <v/>
      </c>
      <c r="I753" s="37" t="str">
        <f>IF(A753&amp;B753&amp;C753="","",IF($C753&lt;&gt;0,INDEX(生物种群!$B$2:INDEX(生物种群!$B:$B,COUNTA(生物种群!$B:$B)),MATCH($C753,生物种群!$G$2:INDEX(生物种群!$G:$G,COUNTA(生物种群!$G:$G)),),),IF($A753&lt;&gt;0,INDEX(生物种群!$B$2:INDEX(生物种群!$B:$B,COUNTA(生物种群!$B:$B)),MATCH($A753,生物种群!$C$2:INDEX(生物种群!$C:$C,COUNTA(生物种群!$C:$C)),),),INDEX(生物种群!$B$2:INDEX(生物种群!$B:$B,COUNTA(生物种群!$B:$B)),MATCH($B753,生物种群!$D$2:INDEX(生物种群!$D:$D,COUNTA(生物种群!$D:$D)),),))))</f>
        <v/>
      </c>
      <c r="J753" s="37" t="str">
        <f>IF(A753&amp;B753&amp;C753="","",INDEX(生物种群!$J$2:INDEX(生物种群!$J:$J,COUNTA(生物种群!$J:$J)),MATCH($I753,生物种群!$B$2:INDEX(生物种群!$B:$B,COUNTA(生物种群!$B:$B)),),))</f>
        <v/>
      </c>
      <c r="K753" s="37" t="str">
        <f>IF(A753&amp;B753&amp;C753="","",INDEX(生物种群!$E$2:INDEX(生物种群!$E:$E,COUNTA(生物种群!$E:$E)),MATCH($I753,生物种群!$B$2:INDEX(生物种群!$B:$B,COUNTA(生物种群!$B:$B)),),))</f>
        <v/>
      </c>
      <c r="L753" s="37" t="str">
        <f>IF(A753&amp;B753&amp;C753="","",INDEX(生物种群!$F$3:INDEX(生物种群!$F:$F,COUNTA(生物种群!$F:$F)),MATCH($I753,生物种群!$B$3:INDEX(生物种群!$B:$B,COUNTA(生物种群!$B:$B)),),))</f>
        <v/>
      </c>
      <c r="M753" s="37" t="str">
        <f t="shared" si="22"/>
        <v/>
      </c>
      <c r="N753" s="37" t="str">
        <f t="shared" si="23"/>
        <v/>
      </c>
      <c r="O753" s="9"/>
      <c r="P753" s="10"/>
    </row>
    <row r="754" spans="1:16" ht="20.1" customHeight="1">
      <c r="A754" s="9"/>
      <c r="B754" s="9"/>
      <c r="C754" s="9"/>
      <c r="D754" s="43"/>
      <c r="E754" s="9"/>
      <c r="F754" s="9"/>
      <c r="G754" s="47" t="str">
        <f>IF(F754="","",INDEX(站位样品信息!$B$3:INDEX(站位样品信息!$B:$B,COUNTA(站位样品信息!$B:$B)+1),MATCH($F754,站位样品信息!$A$3:INDEX(站位样品信息!$A:$A,COUNTA(站位样品信息!$A:$A)+1),),))</f>
        <v/>
      </c>
      <c r="H754" s="37" t="str">
        <f>IF(A754&amp;B754&amp;C754="","",INDEX(生物种群!$A$2:INDEX(生物种群!$A:$A,COUNTA(生物种群!$A:$A)),MATCH($I754,生物种群!$B$2:INDEX(生物种群!$B:$B,COUNTA(生物种群!$B:$B)),),))</f>
        <v/>
      </c>
      <c r="I754" s="37" t="str">
        <f>IF(A754&amp;B754&amp;C754="","",IF($C754&lt;&gt;0,INDEX(生物种群!$B$2:INDEX(生物种群!$B:$B,COUNTA(生物种群!$B:$B)),MATCH($C754,生物种群!$G$2:INDEX(生物种群!$G:$G,COUNTA(生物种群!$G:$G)),),),IF($A754&lt;&gt;0,INDEX(生物种群!$B$2:INDEX(生物种群!$B:$B,COUNTA(生物种群!$B:$B)),MATCH($A754,生物种群!$C$2:INDEX(生物种群!$C:$C,COUNTA(生物种群!$C:$C)),),),INDEX(生物种群!$B$2:INDEX(生物种群!$B:$B,COUNTA(生物种群!$B:$B)),MATCH($B754,生物种群!$D$2:INDEX(生物种群!$D:$D,COUNTA(生物种群!$D:$D)),),))))</f>
        <v/>
      </c>
      <c r="J754" s="37" t="str">
        <f>IF(A754&amp;B754&amp;C754="","",INDEX(生物种群!$J$2:INDEX(生物种群!$J:$J,COUNTA(生物种群!$J:$J)),MATCH($I754,生物种群!$B$2:INDEX(生物种群!$B:$B,COUNTA(生物种群!$B:$B)),),))</f>
        <v/>
      </c>
      <c r="K754" s="37" t="str">
        <f>IF(A754&amp;B754&amp;C754="","",INDEX(生物种群!$E$2:INDEX(生物种群!$E:$E,COUNTA(生物种群!$E:$E)),MATCH($I754,生物种群!$B$2:INDEX(生物种群!$B:$B,COUNTA(生物种群!$B:$B)),),))</f>
        <v/>
      </c>
      <c r="L754" s="37" t="str">
        <f>IF(A754&amp;B754&amp;C754="","",INDEX(生物种群!$F$3:INDEX(生物种群!$F:$F,COUNTA(生物种群!$F:$F)),MATCH($I754,生物种群!$B$3:INDEX(生物种群!$B:$B,COUNTA(生物种群!$B:$B)),),))</f>
        <v/>
      </c>
      <c r="M754" s="37" t="str">
        <f t="shared" si="22"/>
        <v/>
      </c>
      <c r="N754" s="37" t="str">
        <f t="shared" si="23"/>
        <v/>
      </c>
      <c r="O754" s="9"/>
      <c r="P754" s="10"/>
    </row>
    <row r="755" spans="1:16" ht="20.1" customHeight="1">
      <c r="A755" s="9"/>
      <c r="B755" s="9"/>
      <c r="C755" s="9"/>
      <c r="D755" s="43"/>
      <c r="E755" s="9"/>
      <c r="F755" s="9"/>
      <c r="G755" s="47" t="str">
        <f>IF(F755="","",INDEX(站位样品信息!$B$3:INDEX(站位样品信息!$B:$B,COUNTA(站位样品信息!$B:$B)+1),MATCH($F755,站位样品信息!$A$3:INDEX(站位样品信息!$A:$A,COUNTA(站位样品信息!$A:$A)+1),),))</f>
        <v/>
      </c>
      <c r="H755" s="37" t="str">
        <f>IF(A755&amp;B755&amp;C755="","",INDEX(生物种群!$A$2:INDEX(生物种群!$A:$A,COUNTA(生物种群!$A:$A)),MATCH($I755,生物种群!$B$2:INDEX(生物种群!$B:$B,COUNTA(生物种群!$B:$B)),),))</f>
        <v/>
      </c>
      <c r="I755" s="37" t="str">
        <f>IF(A755&amp;B755&amp;C755="","",IF($C755&lt;&gt;0,INDEX(生物种群!$B$2:INDEX(生物种群!$B:$B,COUNTA(生物种群!$B:$B)),MATCH($C755,生物种群!$G$2:INDEX(生物种群!$G:$G,COUNTA(生物种群!$G:$G)),),),IF($A755&lt;&gt;0,INDEX(生物种群!$B$2:INDEX(生物种群!$B:$B,COUNTA(生物种群!$B:$B)),MATCH($A755,生物种群!$C$2:INDEX(生物种群!$C:$C,COUNTA(生物种群!$C:$C)),),),INDEX(生物种群!$B$2:INDEX(生物种群!$B:$B,COUNTA(生物种群!$B:$B)),MATCH($B755,生物种群!$D$2:INDEX(生物种群!$D:$D,COUNTA(生物种群!$D:$D)),),))))</f>
        <v/>
      </c>
      <c r="J755" s="37" t="str">
        <f>IF(A755&amp;B755&amp;C755="","",INDEX(生物种群!$J$2:INDEX(生物种群!$J:$J,COUNTA(生物种群!$J:$J)),MATCH($I755,生物种群!$B$2:INDEX(生物种群!$B:$B,COUNTA(生物种群!$B:$B)),),))</f>
        <v/>
      </c>
      <c r="K755" s="37" t="str">
        <f>IF(A755&amp;B755&amp;C755="","",INDEX(生物种群!$E$2:INDEX(生物种群!$E:$E,COUNTA(生物种群!$E:$E)),MATCH($I755,生物种群!$B$2:INDEX(生物种群!$B:$B,COUNTA(生物种群!$B:$B)),),))</f>
        <v/>
      </c>
      <c r="L755" s="37" t="str">
        <f>IF(A755&amp;B755&amp;C755="","",INDEX(生物种群!$F$3:INDEX(生物种群!$F:$F,COUNTA(生物种群!$F:$F)),MATCH($I755,生物种群!$B$3:INDEX(生物种群!$B:$B,COUNTA(生物种群!$B:$B)),),))</f>
        <v/>
      </c>
      <c r="M755" s="37" t="str">
        <f t="shared" si="22"/>
        <v/>
      </c>
      <c r="N755" s="37" t="str">
        <f t="shared" si="23"/>
        <v/>
      </c>
      <c r="O755" s="9"/>
      <c r="P755" s="10"/>
    </row>
    <row r="756" spans="1:16" ht="20.1" customHeight="1">
      <c r="A756" s="9"/>
      <c r="B756" s="9"/>
      <c r="C756" s="9"/>
      <c r="D756" s="43"/>
      <c r="E756" s="9"/>
      <c r="F756" s="9"/>
      <c r="G756" s="47" t="str">
        <f>IF(F756="","",INDEX(站位样品信息!$B$3:INDEX(站位样品信息!$B:$B,COUNTA(站位样品信息!$B:$B)+1),MATCH($F756,站位样品信息!$A$3:INDEX(站位样品信息!$A:$A,COUNTA(站位样品信息!$A:$A)+1),),))</f>
        <v/>
      </c>
      <c r="H756" s="37" t="str">
        <f>IF(A756&amp;B756&amp;C756="","",INDEX(生物种群!$A$2:INDEX(生物种群!$A:$A,COUNTA(生物种群!$A:$A)),MATCH($I756,生物种群!$B$2:INDEX(生物种群!$B:$B,COUNTA(生物种群!$B:$B)),),))</f>
        <v/>
      </c>
      <c r="I756" s="37" t="str">
        <f>IF(A756&amp;B756&amp;C756="","",IF($C756&lt;&gt;0,INDEX(生物种群!$B$2:INDEX(生物种群!$B:$B,COUNTA(生物种群!$B:$B)),MATCH($C756,生物种群!$G$2:INDEX(生物种群!$G:$G,COUNTA(生物种群!$G:$G)),),),IF($A756&lt;&gt;0,INDEX(生物种群!$B$2:INDEX(生物种群!$B:$B,COUNTA(生物种群!$B:$B)),MATCH($A756,生物种群!$C$2:INDEX(生物种群!$C:$C,COUNTA(生物种群!$C:$C)),),),INDEX(生物种群!$B$2:INDEX(生物种群!$B:$B,COUNTA(生物种群!$B:$B)),MATCH($B756,生物种群!$D$2:INDEX(生物种群!$D:$D,COUNTA(生物种群!$D:$D)),),))))</f>
        <v/>
      </c>
      <c r="J756" s="37" t="str">
        <f>IF(A756&amp;B756&amp;C756="","",INDEX(生物种群!$J$2:INDEX(生物种群!$J:$J,COUNTA(生物种群!$J:$J)),MATCH($I756,生物种群!$B$2:INDEX(生物种群!$B:$B,COUNTA(生物种群!$B:$B)),),))</f>
        <v/>
      </c>
      <c r="K756" s="37" t="str">
        <f>IF(A756&amp;B756&amp;C756="","",INDEX(生物种群!$E$2:INDEX(生物种群!$E:$E,COUNTA(生物种群!$E:$E)),MATCH($I756,生物种群!$B$2:INDEX(生物种群!$B:$B,COUNTA(生物种群!$B:$B)),),))</f>
        <v/>
      </c>
      <c r="L756" s="37" t="str">
        <f>IF(A756&amp;B756&amp;C756="","",INDEX(生物种群!$F$3:INDEX(生物种群!$F:$F,COUNTA(生物种群!$F:$F)),MATCH($I756,生物种群!$B$3:INDEX(生物种群!$B:$B,COUNTA(生物种群!$B:$B)),),))</f>
        <v/>
      </c>
      <c r="M756" s="37" t="str">
        <f t="shared" si="22"/>
        <v/>
      </c>
      <c r="N756" s="37" t="str">
        <f t="shared" si="23"/>
        <v/>
      </c>
      <c r="O756" s="9"/>
      <c r="P756" s="10"/>
    </row>
    <row r="757" spans="1:16" ht="20.1" customHeight="1">
      <c r="A757" s="9"/>
      <c r="B757" s="9"/>
      <c r="C757" s="9"/>
      <c r="D757" s="43"/>
      <c r="E757" s="9"/>
      <c r="F757" s="9"/>
      <c r="G757" s="47" t="str">
        <f>IF(F757="","",INDEX(站位样品信息!$B$3:INDEX(站位样品信息!$B:$B,COUNTA(站位样品信息!$B:$B)+1),MATCH($F757,站位样品信息!$A$3:INDEX(站位样品信息!$A:$A,COUNTA(站位样品信息!$A:$A)+1),),))</f>
        <v/>
      </c>
      <c r="H757" s="37" t="str">
        <f>IF(A757&amp;B757&amp;C757="","",INDEX(生物种群!$A$2:INDEX(生物种群!$A:$A,COUNTA(生物种群!$A:$A)),MATCH($I757,生物种群!$B$2:INDEX(生物种群!$B:$B,COUNTA(生物种群!$B:$B)),),))</f>
        <v/>
      </c>
      <c r="I757" s="37" t="str">
        <f>IF(A757&amp;B757&amp;C757="","",IF($C757&lt;&gt;0,INDEX(生物种群!$B$2:INDEX(生物种群!$B:$B,COUNTA(生物种群!$B:$B)),MATCH($C757,生物种群!$G$2:INDEX(生物种群!$G:$G,COUNTA(生物种群!$G:$G)),),),IF($A757&lt;&gt;0,INDEX(生物种群!$B$2:INDEX(生物种群!$B:$B,COUNTA(生物种群!$B:$B)),MATCH($A757,生物种群!$C$2:INDEX(生物种群!$C:$C,COUNTA(生物种群!$C:$C)),),),INDEX(生物种群!$B$2:INDEX(生物种群!$B:$B,COUNTA(生物种群!$B:$B)),MATCH($B757,生物种群!$D$2:INDEX(生物种群!$D:$D,COUNTA(生物种群!$D:$D)),),))))</f>
        <v/>
      </c>
      <c r="J757" s="37" t="str">
        <f>IF(A757&amp;B757&amp;C757="","",INDEX(生物种群!$J$2:INDEX(生物种群!$J:$J,COUNTA(生物种群!$J:$J)),MATCH($I757,生物种群!$B$2:INDEX(生物种群!$B:$B,COUNTA(生物种群!$B:$B)),),))</f>
        <v/>
      </c>
      <c r="K757" s="37" t="str">
        <f>IF(A757&amp;B757&amp;C757="","",INDEX(生物种群!$E$2:INDEX(生物种群!$E:$E,COUNTA(生物种群!$E:$E)),MATCH($I757,生物种群!$B$2:INDEX(生物种群!$B:$B,COUNTA(生物种群!$B:$B)),),))</f>
        <v/>
      </c>
      <c r="L757" s="37" t="str">
        <f>IF(A757&amp;B757&amp;C757="","",INDEX(生物种群!$F$3:INDEX(生物种群!$F:$F,COUNTA(生物种群!$F:$F)),MATCH($I757,生物种群!$B$3:INDEX(生物种群!$B:$B,COUNTA(生物种群!$B:$B)),),))</f>
        <v/>
      </c>
      <c r="M757" s="37" t="str">
        <f t="shared" si="22"/>
        <v/>
      </c>
      <c r="N757" s="37" t="str">
        <f t="shared" si="23"/>
        <v/>
      </c>
      <c r="O757" s="9"/>
      <c r="P757" s="10"/>
    </row>
    <row r="758" spans="1:16" ht="20.1" customHeight="1">
      <c r="A758" s="9"/>
      <c r="B758" s="9"/>
      <c r="C758" s="9"/>
      <c r="D758" s="43"/>
      <c r="E758" s="9"/>
      <c r="F758" s="9"/>
      <c r="G758" s="47" t="str">
        <f>IF(F758="","",INDEX(站位样品信息!$B$3:INDEX(站位样品信息!$B:$B,COUNTA(站位样品信息!$B:$B)+1),MATCH($F758,站位样品信息!$A$3:INDEX(站位样品信息!$A:$A,COUNTA(站位样品信息!$A:$A)+1),),))</f>
        <v/>
      </c>
      <c r="H758" s="37" t="str">
        <f>IF(A758&amp;B758&amp;C758="","",INDEX(生物种群!$A$2:INDEX(生物种群!$A:$A,COUNTA(生物种群!$A:$A)),MATCH($I758,生物种群!$B$2:INDEX(生物种群!$B:$B,COUNTA(生物种群!$B:$B)),),))</f>
        <v/>
      </c>
      <c r="I758" s="37" t="str">
        <f>IF(A758&amp;B758&amp;C758="","",IF($C758&lt;&gt;0,INDEX(生物种群!$B$2:INDEX(生物种群!$B:$B,COUNTA(生物种群!$B:$B)),MATCH($C758,生物种群!$G$2:INDEX(生物种群!$G:$G,COUNTA(生物种群!$G:$G)),),),IF($A758&lt;&gt;0,INDEX(生物种群!$B$2:INDEX(生物种群!$B:$B,COUNTA(生物种群!$B:$B)),MATCH($A758,生物种群!$C$2:INDEX(生物种群!$C:$C,COUNTA(生物种群!$C:$C)),),),INDEX(生物种群!$B$2:INDEX(生物种群!$B:$B,COUNTA(生物种群!$B:$B)),MATCH($B758,生物种群!$D$2:INDEX(生物种群!$D:$D,COUNTA(生物种群!$D:$D)),),))))</f>
        <v/>
      </c>
      <c r="J758" s="37" t="str">
        <f>IF(A758&amp;B758&amp;C758="","",INDEX(生物种群!$J$2:INDEX(生物种群!$J:$J,COUNTA(生物种群!$J:$J)),MATCH($I758,生物种群!$B$2:INDEX(生物种群!$B:$B,COUNTA(生物种群!$B:$B)),),))</f>
        <v/>
      </c>
      <c r="K758" s="37" t="str">
        <f>IF(A758&amp;B758&amp;C758="","",INDEX(生物种群!$E$2:INDEX(生物种群!$E:$E,COUNTA(生物种群!$E:$E)),MATCH($I758,生物种群!$B$2:INDEX(生物种群!$B:$B,COUNTA(生物种群!$B:$B)),),))</f>
        <v/>
      </c>
      <c r="L758" s="37" t="str">
        <f>IF(A758&amp;B758&amp;C758="","",INDEX(生物种群!$F$3:INDEX(生物种群!$F:$F,COUNTA(生物种群!$F:$F)),MATCH($I758,生物种群!$B$3:INDEX(生物种群!$B:$B,COUNTA(生物种群!$B:$B)),),))</f>
        <v/>
      </c>
      <c r="M758" s="37" t="str">
        <f t="shared" si="22"/>
        <v/>
      </c>
      <c r="N758" s="37" t="str">
        <f t="shared" si="23"/>
        <v/>
      </c>
      <c r="O758" s="9"/>
      <c r="P758" s="10"/>
    </row>
    <row r="759" spans="1:16" ht="20.1" customHeight="1">
      <c r="A759" s="9"/>
      <c r="B759" s="9"/>
      <c r="C759" s="9"/>
      <c r="D759" s="43"/>
      <c r="E759" s="9"/>
      <c r="F759" s="9"/>
      <c r="G759" s="47" t="str">
        <f>IF(F759="","",INDEX(站位样品信息!$B$3:INDEX(站位样品信息!$B:$B,COUNTA(站位样品信息!$B:$B)+1),MATCH($F759,站位样品信息!$A$3:INDEX(站位样品信息!$A:$A,COUNTA(站位样品信息!$A:$A)+1),),))</f>
        <v/>
      </c>
      <c r="H759" s="37" t="str">
        <f>IF(A759&amp;B759&amp;C759="","",INDEX(生物种群!$A$2:INDEX(生物种群!$A:$A,COUNTA(生物种群!$A:$A)),MATCH($I759,生物种群!$B$2:INDEX(生物种群!$B:$B,COUNTA(生物种群!$B:$B)),),))</f>
        <v/>
      </c>
      <c r="I759" s="37" t="str">
        <f>IF(A759&amp;B759&amp;C759="","",IF($C759&lt;&gt;0,INDEX(生物种群!$B$2:INDEX(生物种群!$B:$B,COUNTA(生物种群!$B:$B)),MATCH($C759,生物种群!$G$2:INDEX(生物种群!$G:$G,COUNTA(生物种群!$G:$G)),),),IF($A759&lt;&gt;0,INDEX(生物种群!$B$2:INDEX(生物种群!$B:$B,COUNTA(生物种群!$B:$B)),MATCH($A759,生物种群!$C$2:INDEX(生物种群!$C:$C,COUNTA(生物种群!$C:$C)),),),INDEX(生物种群!$B$2:INDEX(生物种群!$B:$B,COUNTA(生物种群!$B:$B)),MATCH($B759,生物种群!$D$2:INDEX(生物种群!$D:$D,COUNTA(生物种群!$D:$D)),),))))</f>
        <v/>
      </c>
      <c r="J759" s="37" t="str">
        <f>IF(A759&amp;B759&amp;C759="","",INDEX(生物种群!$J$2:INDEX(生物种群!$J:$J,COUNTA(生物种群!$J:$J)),MATCH($I759,生物种群!$B$2:INDEX(生物种群!$B:$B,COUNTA(生物种群!$B:$B)),),))</f>
        <v/>
      </c>
      <c r="K759" s="37" t="str">
        <f>IF(A759&amp;B759&amp;C759="","",INDEX(生物种群!$E$2:INDEX(生物种群!$E:$E,COUNTA(生物种群!$E:$E)),MATCH($I759,生物种群!$B$2:INDEX(生物种群!$B:$B,COUNTA(生物种群!$B:$B)),),))</f>
        <v/>
      </c>
      <c r="L759" s="37" t="str">
        <f>IF(A759&amp;B759&amp;C759="","",INDEX(生物种群!$F$3:INDEX(生物种群!$F:$F,COUNTA(生物种群!$F:$F)),MATCH($I759,生物种群!$B$3:INDEX(生物种群!$B:$B,COUNTA(生物种群!$B:$B)),),))</f>
        <v/>
      </c>
      <c r="M759" s="37" t="str">
        <f t="shared" si="22"/>
        <v/>
      </c>
      <c r="N759" s="37" t="str">
        <f t="shared" si="23"/>
        <v/>
      </c>
      <c r="O759" s="9"/>
      <c r="P759" s="10"/>
    </row>
    <row r="760" spans="1:16" ht="20.1" customHeight="1">
      <c r="A760" s="9"/>
      <c r="B760" s="9"/>
      <c r="C760" s="9"/>
      <c r="D760" s="43"/>
      <c r="E760" s="9"/>
      <c r="F760" s="9"/>
      <c r="G760" s="47" t="str">
        <f>IF(F760="","",INDEX(站位样品信息!$B$3:INDEX(站位样品信息!$B:$B,COUNTA(站位样品信息!$B:$B)+1),MATCH($F760,站位样品信息!$A$3:INDEX(站位样品信息!$A:$A,COUNTA(站位样品信息!$A:$A)+1),),))</f>
        <v/>
      </c>
      <c r="H760" s="37" t="str">
        <f>IF(A760&amp;B760&amp;C760="","",INDEX(生物种群!$A$2:INDEX(生物种群!$A:$A,COUNTA(生物种群!$A:$A)),MATCH($I760,生物种群!$B$2:INDEX(生物种群!$B:$B,COUNTA(生物种群!$B:$B)),),))</f>
        <v/>
      </c>
      <c r="I760" s="37" t="str">
        <f>IF(A760&amp;B760&amp;C760="","",IF($C760&lt;&gt;0,INDEX(生物种群!$B$2:INDEX(生物种群!$B:$B,COUNTA(生物种群!$B:$B)),MATCH($C760,生物种群!$G$2:INDEX(生物种群!$G:$G,COUNTA(生物种群!$G:$G)),),),IF($A760&lt;&gt;0,INDEX(生物种群!$B$2:INDEX(生物种群!$B:$B,COUNTA(生物种群!$B:$B)),MATCH($A760,生物种群!$C$2:INDEX(生物种群!$C:$C,COUNTA(生物种群!$C:$C)),),),INDEX(生物种群!$B$2:INDEX(生物种群!$B:$B,COUNTA(生物种群!$B:$B)),MATCH($B760,生物种群!$D$2:INDEX(生物种群!$D:$D,COUNTA(生物种群!$D:$D)),),))))</f>
        <v/>
      </c>
      <c r="J760" s="37" t="str">
        <f>IF(A760&amp;B760&amp;C760="","",INDEX(生物种群!$J$2:INDEX(生物种群!$J:$J,COUNTA(生物种群!$J:$J)),MATCH($I760,生物种群!$B$2:INDEX(生物种群!$B:$B,COUNTA(生物种群!$B:$B)),),))</f>
        <v/>
      </c>
      <c r="K760" s="37" t="str">
        <f>IF(A760&amp;B760&amp;C760="","",INDEX(生物种群!$E$2:INDEX(生物种群!$E:$E,COUNTA(生物种群!$E:$E)),MATCH($I760,生物种群!$B$2:INDEX(生物种群!$B:$B,COUNTA(生物种群!$B:$B)),),))</f>
        <v/>
      </c>
      <c r="L760" s="37" t="str">
        <f>IF(A760&amp;B760&amp;C760="","",INDEX(生物种群!$F$3:INDEX(生物种群!$F:$F,COUNTA(生物种群!$F:$F)),MATCH($I760,生物种群!$B$3:INDEX(生物种群!$B:$B,COUNTA(生物种群!$B:$B)),),))</f>
        <v/>
      </c>
      <c r="M760" s="37" t="str">
        <f t="shared" si="22"/>
        <v/>
      </c>
      <c r="N760" s="37" t="str">
        <f t="shared" si="23"/>
        <v/>
      </c>
      <c r="O760" s="9"/>
      <c r="P760" s="10"/>
    </row>
    <row r="761" spans="1:16" ht="20.1" customHeight="1">
      <c r="A761" s="9"/>
      <c r="B761" s="9"/>
      <c r="C761" s="9"/>
      <c r="D761" s="43"/>
      <c r="E761" s="9"/>
      <c r="F761" s="9"/>
      <c r="G761" s="47" t="str">
        <f>IF(F761="","",INDEX(站位样品信息!$B$3:INDEX(站位样品信息!$B:$B,COUNTA(站位样品信息!$B:$B)+1),MATCH($F761,站位样品信息!$A$3:INDEX(站位样品信息!$A:$A,COUNTA(站位样品信息!$A:$A)+1),),))</f>
        <v/>
      </c>
      <c r="H761" s="37" t="str">
        <f>IF(A761&amp;B761&amp;C761="","",INDEX(生物种群!$A$2:INDEX(生物种群!$A:$A,COUNTA(生物种群!$A:$A)),MATCH($I761,生物种群!$B$2:INDEX(生物种群!$B:$B,COUNTA(生物种群!$B:$B)),),))</f>
        <v/>
      </c>
      <c r="I761" s="37" t="str">
        <f>IF(A761&amp;B761&amp;C761="","",IF($C761&lt;&gt;0,INDEX(生物种群!$B$2:INDEX(生物种群!$B:$B,COUNTA(生物种群!$B:$B)),MATCH($C761,生物种群!$G$2:INDEX(生物种群!$G:$G,COUNTA(生物种群!$G:$G)),),),IF($A761&lt;&gt;0,INDEX(生物种群!$B$2:INDEX(生物种群!$B:$B,COUNTA(生物种群!$B:$B)),MATCH($A761,生物种群!$C$2:INDEX(生物种群!$C:$C,COUNTA(生物种群!$C:$C)),),),INDEX(生物种群!$B$2:INDEX(生物种群!$B:$B,COUNTA(生物种群!$B:$B)),MATCH($B761,生物种群!$D$2:INDEX(生物种群!$D:$D,COUNTA(生物种群!$D:$D)),),))))</f>
        <v/>
      </c>
      <c r="J761" s="37" t="str">
        <f>IF(A761&amp;B761&amp;C761="","",INDEX(生物种群!$J$2:INDEX(生物种群!$J:$J,COUNTA(生物种群!$J:$J)),MATCH($I761,生物种群!$B$2:INDEX(生物种群!$B:$B,COUNTA(生物种群!$B:$B)),),))</f>
        <v/>
      </c>
      <c r="K761" s="37" t="str">
        <f>IF(A761&amp;B761&amp;C761="","",INDEX(生物种群!$E$2:INDEX(生物种群!$E:$E,COUNTA(生物种群!$E:$E)),MATCH($I761,生物种群!$B$2:INDEX(生物种群!$B:$B,COUNTA(生物种群!$B:$B)),),))</f>
        <v/>
      </c>
      <c r="L761" s="37" t="str">
        <f>IF(A761&amp;B761&amp;C761="","",INDEX(生物种群!$F$3:INDEX(生物种群!$F:$F,COUNTA(生物种群!$F:$F)),MATCH($I761,生物种群!$B$3:INDEX(生物种群!$B:$B,COUNTA(生物种群!$B:$B)),),))</f>
        <v/>
      </c>
      <c r="M761" s="37" t="str">
        <f t="shared" si="22"/>
        <v/>
      </c>
      <c r="N761" s="37" t="str">
        <f t="shared" si="23"/>
        <v/>
      </c>
      <c r="O761" s="9"/>
      <c r="P761" s="10"/>
    </row>
    <row r="762" spans="1:16" ht="20.1" customHeight="1">
      <c r="A762" s="9"/>
      <c r="B762" s="9"/>
      <c r="C762" s="9"/>
      <c r="D762" s="43"/>
      <c r="E762" s="9"/>
      <c r="F762" s="9"/>
      <c r="G762" s="47" t="str">
        <f>IF(F762="","",INDEX(站位样品信息!$B$3:INDEX(站位样品信息!$B:$B,COUNTA(站位样品信息!$B:$B)+1),MATCH($F762,站位样品信息!$A$3:INDEX(站位样品信息!$A:$A,COUNTA(站位样品信息!$A:$A)+1),),))</f>
        <v/>
      </c>
      <c r="H762" s="37" t="str">
        <f>IF(A762&amp;B762&amp;C762="","",INDEX(生物种群!$A$2:INDEX(生物种群!$A:$A,COUNTA(生物种群!$A:$A)),MATCH($I762,生物种群!$B$2:INDEX(生物种群!$B:$B,COUNTA(生物种群!$B:$B)),),))</f>
        <v/>
      </c>
      <c r="I762" s="37" t="str">
        <f>IF(A762&amp;B762&amp;C762="","",IF($C762&lt;&gt;0,INDEX(生物种群!$B$2:INDEX(生物种群!$B:$B,COUNTA(生物种群!$B:$B)),MATCH($C762,生物种群!$G$2:INDEX(生物种群!$G:$G,COUNTA(生物种群!$G:$G)),),),IF($A762&lt;&gt;0,INDEX(生物种群!$B$2:INDEX(生物种群!$B:$B,COUNTA(生物种群!$B:$B)),MATCH($A762,生物种群!$C$2:INDEX(生物种群!$C:$C,COUNTA(生物种群!$C:$C)),),),INDEX(生物种群!$B$2:INDEX(生物种群!$B:$B,COUNTA(生物种群!$B:$B)),MATCH($B762,生物种群!$D$2:INDEX(生物种群!$D:$D,COUNTA(生物种群!$D:$D)),),))))</f>
        <v/>
      </c>
      <c r="J762" s="37" t="str">
        <f>IF(A762&amp;B762&amp;C762="","",INDEX(生物种群!$J$2:INDEX(生物种群!$J:$J,COUNTA(生物种群!$J:$J)),MATCH($I762,生物种群!$B$2:INDEX(生物种群!$B:$B,COUNTA(生物种群!$B:$B)),),))</f>
        <v/>
      </c>
      <c r="K762" s="37" t="str">
        <f>IF(A762&amp;B762&amp;C762="","",INDEX(生物种群!$E$2:INDEX(生物种群!$E:$E,COUNTA(生物种群!$E:$E)),MATCH($I762,生物种群!$B$2:INDEX(生物种群!$B:$B,COUNTA(生物种群!$B:$B)),),))</f>
        <v/>
      </c>
      <c r="L762" s="37" t="str">
        <f>IF(A762&amp;B762&amp;C762="","",INDEX(生物种群!$F$3:INDEX(生物种群!$F:$F,COUNTA(生物种群!$F:$F)),MATCH($I762,生物种群!$B$3:INDEX(生物种群!$B:$B,COUNTA(生物种群!$B:$B)),),))</f>
        <v/>
      </c>
      <c r="M762" s="37" t="str">
        <f t="shared" si="22"/>
        <v/>
      </c>
      <c r="N762" s="37" t="str">
        <f t="shared" si="23"/>
        <v/>
      </c>
      <c r="O762" s="9"/>
      <c r="P762" s="10"/>
    </row>
    <row r="763" spans="1:16" ht="20.1" customHeight="1">
      <c r="A763" s="9"/>
      <c r="B763" s="9"/>
      <c r="C763" s="9"/>
      <c r="D763" s="43"/>
      <c r="E763" s="9"/>
      <c r="F763" s="9"/>
      <c r="G763" s="47" t="str">
        <f>IF(F763="","",INDEX(站位样品信息!$B$3:INDEX(站位样品信息!$B:$B,COUNTA(站位样品信息!$B:$B)+1),MATCH($F763,站位样品信息!$A$3:INDEX(站位样品信息!$A:$A,COUNTA(站位样品信息!$A:$A)+1),),))</f>
        <v/>
      </c>
      <c r="H763" s="37" t="str">
        <f>IF(A763&amp;B763&amp;C763="","",INDEX(生物种群!$A$2:INDEX(生物种群!$A:$A,COUNTA(生物种群!$A:$A)),MATCH($I763,生物种群!$B$2:INDEX(生物种群!$B:$B,COUNTA(生物种群!$B:$B)),),))</f>
        <v/>
      </c>
      <c r="I763" s="37" t="str">
        <f>IF(A763&amp;B763&amp;C763="","",IF($C763&lt;&gt;0,INDEX(生物种群!$B$2:INDEX(生物种群!$B:$B,COUNTA(生物种群!$B:$B)),MATCH($C763,生物种群!$G$2:INDEX(生物种群!$G:$G,COUNTA(生物种群!$G:$G)),),),IF($A763&lt;&gt;0,INDEX(生物种群!$B$2:INDEX(生物种群!$B:$B,COUNTA(生物种群!$B:$B)),MATCH($A763,生物种群!$C$2:INDEX(生物种群!$C:$C,COUNTA(生物种群!$C:$C)),),),INDEX(生物种群!$B$2:INDEX(生物种群!$B:$B,COUNTA(生物种群!$B:$B)),MATCH($B763,生物种群!$D$2:INDEX(生物种群!$D:$D,COUNTA(生物种群!$D:$D)),),))))</f>
        <v/>
      </c>
      <c r="J763" s="37" t="str">
        <f>IF(A763&amp;B763&amp;C763="","",INDEX(生物种群!$J$2:INDEX(生物种群!$J:$J,COUNTA(生物种群!$J:$J)),MATCH($I763,生物种群!$B$2:INDEX(生物种群!$B:$B,COUNTA(生物种群!$B:$B)),),))</f>
        <v/>
      </c>
      <c r="K763" s="37" t="str">
        <f>IF(A763&amp;B763&amp;C763="","",INDEX(生物种群!$E$2:INDEX(生物种群!$E:$E,COUNTA(生物种群!$E:$E)),MATCH($I763,生物种群!$B$2:INDEX(生物种群!$B:$B,COUNTA(生物种群!$B:$B)),),))</f>
        <v/>
      </c>
      <c r="L763" s="37" t="str">
        <f>IF(A763&amp;B763&amp;C763="","",INDEX(生物种群!$F$3:INDEX(生物种群!$F:$F,COUNTA(生物种群!$F:$F)),MATCH($I763,生物种群!$B$3:INDEX(生物种群!$B:$B,COUNTA(生物种群!$B:$B)),),))</f>
        <v/>
      </c>
      <c r="M763" s="37" t="str">
        <f t="shared" si="22"/>
        <v/>
      </c>
      <c r="N763" s="37" t="str">
        <f t="shared" si="23"/>
        <v/>
      </c>
      <c r="O763" s="9"/>
      <c r="P763" s="10"/>
    </row>
    <row r="764" spans="1:16" ht="20.1" customHeight="1">
      <c r="A764" s="9"/>
      <c r="B764" s="9"/>
      <c r="C764" s="9"/>
      <c r="D764" s="43"/>
      <c r="E764" s="9"/>
      <c r="F764" s="9"/>
      <c r="G764" s="47" t="str">
        <f>IF(F764="","",INDEX(站位样品信息!$B$3:INDEX(站位样品信息!$B:$B,COUNTA(站位样品信息!$B:$B)+1),MATCH($F764,站位样品信息!$A$3:INDEX(站位样品信息!$A:$A,COUNTA(站位样品信息!$A:$A)+1),),))</f>
        <v/>
      </c>
      <c r="H764" s="37" t="str">
        <f>IF(A764&amp;B764&amp;C764="","",INDEX(生物种群!$A$2:INDEX(生物种群!$A:$A,COUNTA(生物种群!$A:$A)),MATCH($I764,生物种群!$B$2:INDEX(生物种群!$B:$B,COUNTA(生物种群!$B:$B)),),))</f>
        <v/>
      </c>
      <c r="I764" s="37" t="str">
        <f>IF(A764&amp;B764&amp;C764="","",IF($C764&lt;&gt;0,INDEX(生物种群!$B$2:INDEX(生物种群!$B:$B,COUNTA(生物种群!$B:$B)),MATCH($C764,生物种群!$G$2:INDEX(生物种群!$G:$G,COUNTA(生物种群!$G:$G)),),),IF($A764&lt;&gt;0,INDEX(生物种群!$B$2:INDEX(生物种群!$B:$B,COUNTA(生物种群!$B:$B)),MATCH($A764,生物种群!$C$2:INDEX(生物种群!$C:$C,COUNTA(生物种群!$C:$C)),),),INDEX(生物种群!$B$2:INDEX(生物种群!$B:$B,COUNTA(生物种群!$B:$B)),MATCH($B764,生物种群!$D$2:INDEX(生物种群!$D:$D,COUNTA(生物种群!$D:$D)),),))))</f>
        <v/>
      </c>
      <c r="J764" s="37" t="str">
        <f>IF(A764&amp;B764&amp;C764="","",INDEX(生物种群!$J$2:INDEX(生物种群!$J:$J,COUNTA(生物种群!$J:$J)),MATCH($I764,生物种群!$B$2:INDEX(生物种群!$B:$B,COUNTA(生物种群!$B:$B)),),))</f>
        <v/>
      </c>
      <c r="K764" s="37" t="str">
        <f>IF(A764&amp;B764&amp;C764="","",INDEX(生物种群!$E$2:INDEX(生物种群!$E:$E,COUNTA(生物种群!$E:$E)),MATCH($I764,生物种群!$B$2:INDEX(生物种群!$B:$B,COUNTA(生物种群!$B:$B)),),))</f>
        <v/>
      </c>
      <c r="L764" s="37" t="str">
        <f>IF(A764&amp;B764&amp;C764="","",INDEX(生物种群!$F$3:INDEX(生物种群!$F:$F,COUNTA(生物种群!$F:$F)),MATCH($I764,生物种群!$B$3:INDEX(生物种群!$B:$B,COUNTA(生物种群!$B:$B)),),))</f>
        <v/>
      </c>
      <c r="M764" s="37" t="str">
        <f t="shared" si="22"/>
        <v/>
      </c>
      <c r="N764" s="37" t="str">
        <f t="shared" si="23"/>
        <v/>
      </c>
      <c r="O764" s="9"/>
      <c r="P764" s="10"/>
    </row>
    <row r="765" spans="1:16" ht="20.1" customHeight="1">
      <c r="A765" s="9"/>
      <c r="B765" s="9"/>
      <c r="C765" s="9"/>
      <c r="D765" s="43"/>
      <c r="E765" s="9"/>
      <c r="F765" s="9"/>
      <c r="G765" s="47" t="str">
        <f>IF(F765="","",INDEX(站位样品信息!$B$3:INDEX(站位样品信息!$B:$B,COUNTA(站位样品信息!$B:$B)+1),MATCH($F765,站位样品信息!$A$3:INDEX(站位样品信息!$A:$A,COUNTA(站位样品信息!$A:$A)+1),),))</f>
        <v/>
      </c>
      <c r="H765" s="37" t="str">
        <f>IF(A765&amp;B765&amp;C765="","",INDEX(生物种群!$A$2:INDEX(生物种群!$A:$A,COUNTA(生物种群!$A:$A)),MATCH($I765,生物种群!$B$2:INDEX(生物种群!$B:$B,COUNTA(生物种群!$B:$B)),),))</f>
        <v/>
      </c>
      <c r="I765" s="37" t="str">
        <f>IF(A765&amp;B765&amp;C765="","",IF($C765&lt;&gt;0,INDEX(生物种群!$B$2:INDEX(生物种群!$B:$B,COUNTA(生物种群!$B:$B)),MATCH($C765,生物种群!$G$2:INDEX(生物种群!$G:$G,COUNTA(生物种群!$G:$G)),),),IF($A765&lt;&gt;0,INDEX(生物种群!$B$2:INDEX(生物种群!$B:$B,COUNTA(生物种群!$B:$B)),MATCH($A765,生物种群!$C$2:INDEX(生物种群!$C:$C,COUNTA(生物种群!$C:$C)),),),INDEX(生物种群!$B$2:INDEX(生物种群!$B:$B,COUNTA(生物种群!$B:$B)),MATCH($B765,生物种群!$D$2:INDEX(生物种群!$D:$D,COUNTA(生物种群!$D:$D)),),))))</f>
        <v/>
      </c>
      <c r="J765" s="37" t="str">
        <f>IF(A765&amp;B765&amp;C765="","",INDEX(生物种群!$J$2:INDEX(生物种群!$J:$J,COUNTA(生物种群!$J:$J)),MATCH($I765,生物种群!$B$2:INDEX(生物种群!$B:$B,COUNTA(生物种群!$B:$B)),),))</f>
        <v/>
      </c>
      <c r="K765" s="37" t="str">
        <f>IF(A765&amp;B765&amp;C765="","",INDEX(生物种群!$E$2:INDEX(生物种群!$E:$E,COUNTA(生物种群!$E:$E)),MATCH($I765,生物种群!$B$2:INDEX(生物种群!$B:$B,COUNTA(生物种群!$B:$B)),),))</f>
        <v/>
      </c>
      <c r="L765" s="37" t="str">
        <f>IF(A765&amp;B765&amp;C765="","",INDEX(生物种群!$F$3:INDEX(生物种群!$F:$F,COUNTA(生物种群!$F:$F)),MATCH($I765,生物种群!$B$3:INDEX(生物种群!$B:$B,COUNTA(生物种群!$B:$B)),),))</f>
        <v/>
      </c>
      <c r="M765" s="37" t="str">
        <f t="shared" si="22"/>
        <v/>
      </c>
      <c r="N765" s="37" t="str">
        <f t="shared" si="23"/>
        <v/>
      </c>
      <c r="O765" s="9"/>
      <c r="P765" s="10"/>
    </row>
    <row r="766" spans="1:16" ht="20.1" customHeight="1">
      <c r="A766" s="9"/>
      <c r="B766" s="9"/>
      <c r="C766" s="9"/>
      <c r="D766" s="43"/>
      <c r="E766" s="9"/>
      <c r="F766" s="9"/>
      <c r="G766" s="47" t="str">
        <f>IF(F766="","",INDEX(站位样品信息!$B$3:INDEX(站位样品信息!$B:$B,COUNTA(站位样品信息!$B:$B)+1),MATCH($F766,站位样品信息!$A$3:INDEX(站位样品信息!$A:$A,COUNTA(站位样品信息!$A:$A)+1),),))</f>
        <v/>
      </c>
      <c r="H766" s="37" t="str">
        <f>IF(A766&amp;B766&amp;C766="","",INDEX(生物种群!$A$2:INDEX(生物种群!$A:$A,COUNTA(生物种群!$A:$A)),MATCH($I766,生物种群!$B$2:INDEX(生物种群!$B:$B,COUNTA(生物种群!$B:$B)),),))</f>
        <v/>
      </c>
      <c r="I766" s="37" t="str">
        <f>IF(A766&amp;B766&amp;C766="","",IF($C766&lt;&gt;0,INDEX(生物种群!$B$2:INDEX(生物种群!$B:$B,COUNTA(生物种群!$B:$B)),MATCH($C766,生物种群!$G$2:INDEX(生物种群!$G:$G,COUNTA(生物种群!$G:$G)),),),IF($A766&lt;&gt;0,INDEX(生物种群!$B$2:INDEX(生物种群!$B:$B,COUNTA(生物种群!$B:$B)),MATCH($A766,生物种群!$C$2:INDEX(生物种群!$C:$C,COUNTA(生物种群!$C:$C)),),),INDEX(生物种群!$B$2:INDEX(生物种群!$B:$B,COUNTA(生物种群!$B:$B)),MATCH($B766,生物种群!$D$2:INDEX(生物种群!$D:$D,COUNTA(生物种群!$D:$D)),),))))</f>
        <v/>
      </c>
      <c r="J766" s="37" t="str">
        <f>IF(A766&amp;B766&amp;C766="","",INDEX(生物种群!$J$2:INDEX(生物种群!$J:$J,COUNTA(生物种群!$J:$J)),MATCH($I766,生物种群!$B$2:INDEX(生物种群!$B:$B,COUNTA(生物种群!$B:$B)),),))</f>
        <v/>
      </c>
      <c r="K766" s="37" t="str">
        <f>IF(A766&amp;B766&amp;C766="","",INDEX(生物种群!$E$2:INDEX(生物种群!$E:$E,COUNTA(生物种群!$E:$E)),MATCH($I766,生物种群!$B$2:INDEX(生物种群!$B:$B,COUNTA(生物种群!$B:$B)),),))</f>
        <v/>
      </c>
      <c r="L766" s="37" t="str">
        <f>IF(A766&amp;B766&amp;C766="","",INDEX(生物种群!$F$3:INDEX(生物种群!$F:$F,COUNTA(生物种群!$F:$F)),MATCH($I766,生物种群!$B$3:INDEX(生物种群!$B:$B,COUNTA(生物种群!$B:$B)),),))</f>
        <v/>
      </c>
      <c r="M766" s="37" t="str">
        <f t="shared" si="22"/>
        <v/>
      </c>
      <c r="N766" s="37" t="str">
        <f t="shared" si="23"/>
        <v/>
      </c>
      <c r="O766" s="9"/>
      <c r="P766" s="10"/>
    </row>
    <row r="767" spans="1:16" ht="20.1" customHeight="1">
      <c r="A767" s="9"/>
      <c r="B767" s="9"/>
      <c r="C767" s="9"/>
      <c r="D767" s="43"/>
      <c r="E767" s="9"/>
      <c r="F767" s="9"/>
      <c r="G767" s="47" t="str">
        <f>IF(F767="","",INDEX(站位样品信息!$B$3:INDEX(站位样品信息!$B:$B,COUNTA(站位样品信息!$B:$B)+1),MATCH($F767,站位样品信息!$A$3:INDEX(站位样品信息!$A:$A,COUNTA(站位样品信息!$A:$A)+1),),))</f>
        <v/>
      </c>
      <c r="H767" s="37" t="str">
        <f>IF(A767&amp;B767&amp;C767="","",INDEX(生物种群!$A$2:INDEX(生物种群!$A:$A,COUNTA(生物种群!$A:$A)),MATCH($I767,生物种群!$B$2:INDEX(生物种群!$B:$B,COUNTA(生物种群!$B:$B)),),))</f>
        <v/>
      </c>
      <c r="I767" s="37" t="str">
        <f>IF(A767&amp;B767&amp;C767="","",IF($C767&lt;&gt;0,INDEX(生物种群!$B$2:INDEX(生物种群!$B:$B,COUNTA(生物种群!$B:$B)),MATCH($C767,生物种群!$G$2:INDEX(生物种群!$G:$G,COUNTA(生物种群!$G:$G)),),),IF($A767&lt;&gt;0,INDEX(生物种群!$B$2:INDEX(生物种群!$B:$B,COUNTA(生物种群!$B:$B)),MATCH($A767,生物种群!$C$2:INDEX(生物种群!$C:$C,COUNTA(生物种群!$C:$C)),),),INDEX(生物种群!$B$2:INDEX(生物种群!$B:$B,COUNTA(生物种群!$B:$B)),MATCH($B767,生物种群!$D$2:INDEX(生物种群!$D:$D,COUNTA(生物种群!$D:$D)),),))))</f>
        <v/>
      </c>
      <c r="J767" s="37" t="str">
        <f>IF(A767&amp;B767&amp;C767="","",INDEX(生物种群!$J$2:INDEX(生物种群!$J:$J,COUNTA(生物种群!$J:$J)),MATCH($I767,生物种群!$B$2:INDEX(生物种群!$B:$B,COUNTA(生物种群!$B:$B)),),))</f>
        <v/>
      </c>
      <c r="K767" s="37" t="str">
        <f>IF(A767&amp;B767&amp;C767="","",INDEX(生物种群!$E$2:INDEX(生物种群!$E:$E,COUNTA(生物种群!$E:$E)),MATCH($I767,生物种群!$B$2:INDEX(生物种群!$B:$B,COUNTA(生物种群!$B:$B)),),))</f>
        <v/>
      </c>
      <c r="L767" s="37" t="str">
        <f>IF(A767&amp;B767&amp;C767="","",INDEX(生物种群!$F$3:INDEX(生物种群!$F:$F,COUNTA(生物种群!$F:$F)),MATCH($I767,生物种群!$B$3:INDEX(生物种群!$B:$B,COUNTA(生物种群!$B:$B)),),))</f>
        <v/>
      </c>
      <c r="M767" s="37" t="str">
        <f t="shared" si="22"/>
        <v/>
      </c>
      <c r="N767" s="37" t="str">
        <f t="shared" si="23"/>
        <v/>
      </c>
      <c r="O767" s="9"/>
      <c r="P767" s="10"/>
    </row>
    <row r="768" spans="1:16" ht="20.1" customHeight="1">
      <c r="A768" s="9"/>
      <c r="B768" s="9"/>
      <c r="C768" s="9"/>
      <c r="D768" s="43"/>
      <c r="E768" s="9"/>
      <c r="F768" s="9"/>
      <c r="G768" s="47" t="str">
        <f>IF(F768="","",INDEX(站位样品信息!$B$3:INDEX(站位样品信息!$B:$B,COUNTA(站位样品信息!$B:$B)+1),MATCH($F768,站位样品信息!$A$3:INDEX(站位样品信息!$A:$A,COUNTA(站位样品信息!$A:$A)+1),),))</f>
        <v/>
      </c>
      <c r="H768" s="37" t="str">
        <f>IF(A768&amp;B768&amp;C768="","",INDEX(生物种群!$A$2:INDEX(生物种群!$A:$A,COUNTA(生物种群!$A:$A)),MATCH($I768,生物种群!$B$2:INDEX(生物种群!$B:$B,COUNTA(生物种群!$B:$B)),),))</f>
        <v/>
      </c>
      <c r="I768" s="37" t="str">
        <f>IF(A768&amp;B768&amp;C768="","",IF($C768&lt;&gt;0,INDEX(生物种群!$B$2:INDEX(生物种群!$B:$B,COUNTA(生物种群!$B:$B)),MATCH($C768,生物种群!$G$2:INDEX(生物种群!$G:$G,COUNTA(生物种群!$G:$G)),),),IF($A768&lt;&gt;0,INDEX(生物种群!$B$2:INDEX(生物种群!$B:$B,COUNTA(生物种群!$B:$B)),MATCH($A768,生物种群!$C$2:INDEX(生物种群!$C:$C,COUNTA(生物种群!$C:$C)),),),INDEX(生物种群!$B$2:INDEX(生物种群!$B:$B,COUNTA(生物种群!$B:$B)),MATCH($B768,生物种群!$D$2:INDEX(生物种群!$D:$D,COUNTA(生物种群!$D:$D)),),))))</f>
        <v/>
      </c>
      <c r="J768" s="37" t="str">
        <f>IF(A768&amp;B768&amp;C768="","",INDEX(生物种群!$J$2:INDEX(生物种群!$J:$J,COUNTA(生物种群!$J:$J)),MATCH($I768,生物种群!$B$2:INDEX(生物种群!$B:$B,COUNTA(生物种群!$B:$B)),),))</f>
        <v/>
      </c>
      <c r="K768" s="37" t="str">
        <f>IF(A768&amp;B768&amp;C768="","",INDEX(生物种群!$E$2:INDEX(生物种群!$E:$E,COUNTA(生物种群!$E:$E)),MATCH($I768,生物种群!$B$2:INDEX(生物种群!$B:$B,COUNTA(生物种群!$B:$B)),),))</f>
        <v/>
      </c>
      <c r="L768" s="37" t="str">
        <f>IF(A768&amp;B768&amp;C768="","",INDEX(生物种群!$F$3:INDEX(生物种群!$F:$F,COUNTA(生物种群!$F:$F)),MATCH($I768,生物种群!$B$3:INDEX(生物种群!$B:$B,COUNTA(生物种群!$B:$B)),),))</f>
        <v/>
      </c>
      <c r="M768" s="37" t="str">
        <f t="shared" si="22"/>
        <v/>
      </c>
      <c r="N768" s="37" t="str">
        <f t="shared" si="23"/>
        <v/>
      </c>
      <c r="O768" s="9"/>
      <c r="P768" s="10"/>
    </row>
    <row r="769" spans="1:16" ht="20.1" customHeight="1">
      <c r="A769" s="9"/>
      <c r="B769" s="9"/>
      <c r="C769" s="9"/>
      <c r="D769" s="43"/>
      <c r="E769" s="9"/>
      <c r="F769" s="9"/>
      <c r="G769" s="47" t="str">
        <f>IF(F769="","",INDEX(站位样品信息!$B$3:INDEX(站位样品信息!$B:$B,COUNTA(站位样品信息!$B:$B)+1),MATCH($F769,站位样品信息!$A$3:INDEX(站位样品信息!$A:$A,COUNTA(站位样品信息!$A:$A)+1),),))</f>
        <v/>
      </c>
      <c r="H769" s="37" t="str">
        <f>IF(A769&amp;B769&amp;C769="","",INDEX(生物种群!$A$2:INDEX(生物种群!$A:$A,COUNTA(生物种群!$A:$A)),MATCH($I769,生物种群!$B$2:INDEX(生物种群!$B:$B,COUNTA(生物种群!$B:$B)),),))</f>
        <v/>
      </c>
      <c r="I769" s="37" t="str">
        <f>IF(A769&amp;B769&amp;C769="","",IF($C769&lt;&gt;0,INDEX(生物种群!$B$2:INDEX(生物种群!$B:$B,COUNTA(生物种群!$B:$B)),MATCH($C769,生物种群!$G$2:INDEX(生物种群!$G:$G,COUNTA(生物种群!$G:$G)),),),IF($A769&lt;&gt;0,INDEX(生物种群!$B$2:INDEX(生物种群!$B:$B,COUNTA(生物种群!$B:$B)),MATCH($A769,生物种群!$C$2:INDEX(生物种群!$C:$C,COUNTA(生物种群!$C:$C)),),),INDEX(生物种群!$B$2:INDEX(生物种群!$B:$B,COUNTA(生物种群!$B:$B)),MATCH($B769,生物种群!$D$2:INDEX(生物种群!$D:$D,COUNTA(生物种群!$D:$D)),),))))</f>
        <v/>
      </c>
      <c r="J769" s="37" t="str">
        <f>IF(A769&amp;B769&amp;C769="","",INDEX(生物种群!$J$2:INDEX(生物种群!$J:$J,COUNTA(生物种群!$J:$J)),MATCH($I769,生物种群!$B$2:INDEX(生物种群!$B:$B,COUNTA(生物种群!$B:$B)),),))</f>
        <v/>
      </c>
      <c r="K769" s="37" t="str">
        <f>IF(A769&amp;B769&amp;C769="","",INDEX(生物种群!$E$2:INDEX(生物种群!$E:$E,COUNTA(生物种群!$E:$E)),MATCH($I769,生物种群!$B$2:INDEX(生物种群!$B:$B,COUNTA(生物种群!$B:$B)),),))</f>
        <v/>
      </c>
      <c r="L769" s="37" t="str">
        <f>IF(A769&amp;B769&amp;C769="","",INDEX(生物种群!$F$3:INDEX(生物种群!$F:$F,COUNTA(生物种群!$F:$F)),MATCH($I769,生物种群!$B$3:INDEX(生物种群!$B:$B,COUNTA(生物种群!$B:$B)),),))</f>
        <v/>
      </c>
      <c r="M769" s="37" t="str">
        <f t="shared" si="22"/>
        <v/>
      </c>
      <c r="N769" s="37" t="str">
        <f t="shared" si="23"/>
        <v/>
      </c>
      <c r="O769" s="9"/>
      <c r="P769" s="10"/>
    </row>
    <row r="770" spans="1:16" ht="20.1" customHeight="1">
      <c r="A770" s="9"/>
      <c r="B770" s="9"/>
      <c r="C770" s="9"/>
      <c r="D770" s="43"/>
      <c r="E770" s="9"/>
      <c r="F770" s="9"/>
      <c r="G770" s="47" t="str">
        <f>IF(F770="","",INDEX(站位样品信息!$B$3:INDEX(站位样品信息!$B:$B,COUNTA(站位样品信息!$B:$B)+1),MATCH($F770,站位样品信息!$A$3:INDEX(站位样品信息!$A:$A,COUNTA(站位样品信息!$A:$A)+1),),))</f>
        <v/>
      </c>
      <c r="H770" s="37" t="str">
        <f>IF(A770&amp;B770&amp;C770="","",INDEX(生物种群!$A$2:INDEX(生物种群!$A:$A,COUNTA(生物种群!$A:$A)),MATCH($I770,生物种群!$B$2:INDEX(生物种群!$B:$B,COUNTA(生物种群!$B:$B)),),))</f>
        <v/>
      </c>
      <c r="I770" s="37" t="str">
        <f>IF(A770&amp;B770&amp;C770="","",IF($C770&lt;&gt;0,INDEX(生物种群!$B$2:INDEX(生物种群!$B:$B,COUNTA(生物种群!$B:$B)),MATCH($C770,生物种群!$G$2:INDEX(生物种群!$G:$G,COUNTA(生物种群!$G:$G)),),),IF($A770&lt;&gt;0,INDEX(生物种群!$B$2:INDEX(生物种群!$B:$B,COUNTA(生物种群!$B:$B)),MATCH($A770,生物种群!$C$2:INDEX(生物种群!$C:$C,COUNTA(生物种群!$C:$C)),),),INDEX(生物种群!$B$2:INDEX(生物种群!$B:$B,COUNTA(生物种群!$B:$B)),MATCH($B770,生物种群!$D$2:INDEX(生物种群!$D:$D,COUNTA(生物种群!$D:$D)),),))))</f>
        <v/>
      </c>
      <c r="J770" s="37" t="str">
        <f>IF(A770&amp;B770&amp;C770="","",INDEX(生物种群!$J$2:INDEX(生物种群!$J:$J,COUNTA(生物种群!$J:$J)),MATCH($I770,生物种群!$B$2:INDEX(生物种群!$B:$B,COUNTA(生物种群!$B:$B)),),))</f>
        <v/>
      </c>
      <c r="K770" s="37" t="str">
        <f>IF(A770&amp;B770&amp;C770="","",INDEX(生物种群!$E$2:INDEX(生物种群!$E:$E,COUNTA(生物种群!$E:$E)),MATCH($I770,生物种群!$B$2:INDEX(生物种群!$B:$B,COUNTA(生物种群!$B:$B)),),))</f>
        <v/>
      </c>
      <c r="L770" s="37" t="str">
        <f>IF(A770&amp;B770&amp;C770="","",INDEX(生物种群!$F$3:INDEX(生物种群!$F:$F,COUNTA(生物种群!$F:$F)),MATCH($I770,生物种群!$B$3:INDEX(生物种群!$B:$B,COUNTA(生物种群!$B:$B)),),))</f>
        <v/>
      </c>
      <c r="M770" s="37" t="str">
        <f t="shared" si="22"/>
        <v/>
      </c>
      <c r="N770" s="37" t="str">
        <f t="shared" si="23"/>
        <v/>
      </c>
      <c r="O770" s="9"/>
      <c r="P770" s="10"/>
    </row>
    <row r="771" spans="1:16" ht="20.1" customHeight="1">
      <c r="A771" s="9"/>
      <c r="B771" s="9"/>
      <c r="C771" s="9"/>
      <c r="D771" s="43"/>
      <c r="E771" s="9"/>
      <c r="F771" s="9"/>
      <c r="G771" s="47" t="str">
        <f>IF(F771="","",INDEX(站位样品信息!$B$3:INDEX(站位样品信息!$B:$B,COUNTA(站位样品信息!$B:$B)+1),MATCH($F771,站位样品信息!$A$3:INDEX(站位样品信息!$A:$A,COUNTA(站位样品信息!$A:$A)+1),),))</f>
        <v/>
      </c>
      <c r="H771" s="37" t="str">
        <f>IF(A771&amp;B771&amp;C771="","",INDEX(生物种群!$A$2:INDEX(生物种群!$A:$A,COUNTA(生物种群!$A:$A)),MATCH($I771,生物种群!$B$2:INDEX(生物种群!$B:$B,COUNTA(生物种群!$B:$B)),),))</f>
        <v/>
      </c>
      <c r="I771" s="37" t="str">
        <f>IF(A771&amp;B771&amp;C771="","",IF($C771&lt;&gt;0,INDEX(生物种群!$B$2:INDEX(生物种群!$B:$B,COUNTA(生物种群!$B:$B)),MATCH($C771,生物种群!$G$2:INDEX(生物种群!$G:$G,COUNTA(生物种群!$G:$G)),),),IF($A771&lt;&gt;0,INDEX(生物种群!$B$2:INDEX(生物种群!$B:$B,COUNTA(生物种群!$B:$B)),MATCH($A771,生物种群!$C$2:INDEX(生物种群!$C:$C,COUNTA(生物种群!$C:$C)),),),INDEX(生物种群!$B$2:INDEX(生物种群!$B:$B,COUNTA(生物种群!$B:$B)),MATCH($B771,生物种群!$D$2:INDEX(生物种群!$D:$D,COUNTA(生物种群!$D:$D)),),))))</f>
        <v/>
      </c>
      <c r="J771" s="37" t="str">
        <f>IF(A771&amp;B771&amp;C771="","",INDEX(生物种群!$J$2:INDEX(生物种群!$J:$J,COUNTA(生物种群!$J:$J)),MATCH($I771,生物种群!$B$2:INDEX(生物种群!$B:$B,COUNTA(生物种群!$B:$B)),),))</f>
        <v/>
      </c>
      <c r="K771" s="37" t="str">
        <f>IF(A771&amp;B771&amp;C771="","",INDEX(生物种群!$E$2:INDEX(生物种群!$E:$E,COUNTA(生物种群!$E:$E)),MATCH($I771,生物种群!$B$2:INDEX(生物种群!$B:$B,COUNTA(生物种群!$B:$B)),),))</f>
        <v/>
      </c>
      <c r="L771" s="37" t="str">
        <f>IF(A771&amp;B771&amp;C771="","",INDEX(生物种群!$F$3:INDEX(生物种群!$F:$F,COUNTA(生物种群!$F:$F)),MATCH($I771,生物种群!$B$3:INDEX(生物种群!$B:$B,COUNTA(生物种群!$B:$B)),),))</f>
        <v/>
      </c>
      <c r="M771" s="37" t="str">
        <f t="shared" si="24" ref="M771:M834">IF(F771&gt;0,F771&amp;I771&amp;E771,"")</f>
        <v/>
      </c>
      <c r="N771" s="37" t="str">
        <f t="shared" si="25" ref="N771:N834">IF(COUNTIF($M:$M,M771)=1,"",IF(A771&amp;B771&amp;C771="","","重复"))</f>
        <v/>
      </c>
      <c r="O771" s="9"/>
      <c r="P771" s="10"/>
    </row>
    <row r="772" spans="1:16" ht="20.1" customHeight="1">
      <c r="A772" s="9"/>
      <c r="B772" s="9"/>
      <c r="C772" s="9"/>
      <c r="D772" s="43"/>
      <c r="E772" s="9"/>
      <c r="F772" s="9"/>
      <c r="G772" s="47" t="str">
        <f>IF(F772="","",INDEX(站位样品信息!$B$3:INDEX(站位样品信息!$B:$B,COUNTA(站位样品信息!$B:$B)+1),MATCH($F772,站位样品信息!$A$3:INDEX(站位样品信息!$A:$A,COUNTA(站位样品信息!$A:$A)+1),),))</f>
        <v/>
      </c>
      <c r="H772" s="37" t="str">
        <f>IF(A772&amp;B772&amp;C772="","",INDEX(生物种群!$A$2:INDEX(生物种群!$A:$A,COUNTA(生物种群!$A:$A)),MATCH($I772,生物种群!$B$2:INDEX(生物种群!$B:$B,COUNTA(生物种群!$B:$B)),),))</f>
        <v/>
      </c>
      <c r="I772" s="37" t="str">
        <f>IF(A772&amp;B772&amp;C772="","",IF($C772&lt;&gt;0,INDEX(生物种群!$B$2:INDEX(生物种群!$B:$B,COUNTA(生物种群!$B:$B)),MATCH($C772,生物种群!$G$2:INDEX(生物种群!$G:$G,COUNTA(生物种群!$G:$G)),),),IF($A772&lt;&gt;0,INDEX(生物种群!$B$2:INDEX(生物种群!$B:$B,COUNTA(生物种群!$B:$B)),MATCH($A772,生物种群!$C$2:INDEX(生物种群!$C:$C,COUNTA(生物种群!$C:$C)),),),INDEX(生物种群!$B$2:INDEX(生物种群!$B:$B,COUNTA(生物种群!$B:$B)),MATCH($B772,生物种群!$D$2:INDEX(生物种群!$D:$D,COUNTA(生物种群!$D:$D)),),))))</f>
        <v/>
      </c>
      <c r="J772" s="37" t="str">
        <f>IF(A772&amp;B772&amp;C772="","",INDEX(生物种群!$J$2:INDEX(生物种群!$J:$J,COUNTA(生物种群!$J:$J)),MATCH($I772,生物种群!$B$2:INDEX(生物种群!$B:$B,COUNTA(生物种群!$B:$B)),),))</f>
        <v/>
      </c>
      <c r="K772" s="37" t="str">
        <f>IF(A772&amp;B772&amp;C772="","",INDEX(生物种群!$E$2:INDEX(生物种群!$E:$E,COUNTA(生物种群!$E:$E)),MATCH($I772,生物种群!$B$2:INDEX(生物种群!$B:$B,COUNTA(生物种群!$B:$B)),),))</f>
        <v/>
      </c>
      <c r="L772" s="37" t="str">
        <f>IF(A772&amp;B772&amp;C772="","",INDEX(生物种群!$F$3:INDEX(生物种群!$F:$F,COUNTA(生物种群!$F:$F)),MATCH($I772,生物种群!$B$3:INDEX(生物种群!$B:$B,COUNTA(生物种群!$B:$B)),),))</f>
        <v/>
      </c>
      <c r="M772" s="37" t="str">
        <f t="shared" si="24"/>
        <v/>
      </c>
      <c r="N772" s="37" t="str">
        <f t="shared" si="25"/>
        <v/>
      </c>
      <c r="O772" s="9"/>
      <c r="P772" s="10"/>
    </row>
    <row r="773" spans="1:16" ht="20.1" customHeight="1">
      <c r="A773" s="9"/>
      <c r="B773" s="9"/>
      <c r="C773" s="9"/>
      <c r="D773" s="43"/>
      <c r="E773" s="9"/>
      <c r="F773" s="9"/>
      <c r="G773" s="47" t="str">
        <f>IF(F773="","",INDEX(站位样品信息!$B$3:INDEX(站位样品信息!$B:$B,COUNTA(站位样品信息!$B:$B)+1),MATCH($F773,站位样品信息!$A$3:INDEX(站位样品信息!$A:$A,COUNTA(站位样品信息!$A:$A)+1),),))</f>
        <v/>
      </c>
      <c r="H773" s="37" t="str">
        <f>IF(A773&amp;B773&amp;C773="","",INDEX(生物种群!$A$2:INDEX(生物种群!$A:$A,COUNTA(生物种群!$A:$A)),MATCH($I773,生物种群!$B$2:INDEX(生物种群!$B:$B,COUNTA(生物种群!$B:$B)),),))</f>
        <v/>
      </c>
      <c r="I773" s="37" t="str">
        <f>IF(A773&amp;B773&amp;C773="","",IF($C773&lt;&gt;0,INDEX(生物种群!$B$2:INDEX(生物种群!$B:$B,COUNTA(生物种群!$B:$B)),MATCH($C773,生物种群!$G$2:INDEX(生物种群!$G:$G,COUNTA(生物种群!$G:$G)),),),IF($A773&lt;&gt;0,INDEX(生物种群!$B$2:INDEX(生物种群!$B:$B,COUNTA(生物种群!$B:$B)),MATCH($A773,生物种群!$C$2:INDEX(生物种群!$C:$C,COUNTA(生物种群!$C:$C)),),),INDEX(生物种群!$B$2:INDEX(生物种群!$B:$B,COUNTA(生物种群!$B:$B)),MATCH($B773,生物种群!$D$2:INDEX(生物种群!$D:$D,COUNTA(生物种群!$D:$D)),),))))</f>
        <v/>
      </c>
      <c r="J773" s="37" t="str">
        <f>IF(A773&amp;B773&amp;C773="","",INDEX(生物种群!$J$2:INDEX(生物种群!$J:$J,COUNTA(生物种群!$J:$J)),MATCH($I773,生物种群!$B$2:INDEX(生物种群!$B:$B,COUNTA(生物种群!$B:$B)),),))</f>
        <v/>
      </c>
      <c r="K773" s="37" t="str">
        <f>IF(A773&amp;B773&amp;C773="","",INDEX(生物种群!$E$2:INDEX(生物种群!$E:$E,COUNTA(生物种群!$E:$E)),MATCH($I773,生物种群!$B$2:INDEX(生物种群!$B:$B,COUNTA(生物种群!$B:$B)),),))</f>
        <v/>
      </c>
      <c r="L773" s="37" t="str">
        <f>IF(A773&amp;B773&amp;C773="","",INDEX(生物种群!$F$3:INDEX(生物种群!$F:$F,COUNTA(生物种群!$F:$F)),MATCH($I773,生物种群!$B$3:INDEX(生物种群!$B:$B,COUNTA(生物种群!$B:$B)),),))</f>
        <v/>
      </c>
      <c r="M773" s="37" t="str">
        <f t="shared" si="24"/>
        <v/>
      </c>
      <c r="N773" s="37" t="str">
        <f t="shared" si="25"/>
        <v/>
      </c>
      <c r="O773" s="9"/>
      <c r="P773" s="10"/>
    </row>
    <row r="774" spans="1:16" ht="20.1" customHeight="1">
      <c r="A774" s="9"/>
      <c r="B774" s="9"/>
      <c r="C774" s="9"/>
      <c r="D774" s="43"/>
      <c r="E774" s="9"/>
      <c r="F774" s="9"/>
      <c r="G774" s="47" t="str">
        <f>IF(F774="","",INDEX(站位样品信息!$B$3:INDEX(站位样品信息!$B:$B,COUNTA(站位样品信息!$B:$B)+1),MATCH($F774,站位样品信息!$A$3:INDEX(站位样品信息!$A:$A,COUNTA(站位样品信息!$A:$A)+1),),))</f>
        <v/>
      </c>
      <c r="H774" s="37" t="str">
        <f>IF(A774&amp;B774&amp;C774="","",INDEX(生物种群!$A$2:INDEX(生物种群!$A:$A,COUNTA(生物种群!$A:$A)),MATCH($I774,生物种群!$B$2:INDEX(生物种群!$B:$B,COUNTA(生物种群!$B:$B)),),))</f>
        <v/>
      </c>
      <c r="I774" s="37" t="str">
        <f>IF(A774&amp;B774&amp;C774="","",IF($C774&lt;&gt;0,INDEX(生物种群!$B$2:INDEX(生物种群!$B:$B,COUNTA(生物种群!$B:$B)),MATCH($C774,生物种群!$G$2:INDEX(生物种群!$G:$G,COUNTA(生物种群!$G:$G)),),),IF($A774&lt;&gt;0,INDEX(生物种群!$B$2:INDEX(生物种群!$B:$B,COUNTA(生物种群!$B:$B)),MATCH($A774,生物种群!$C$2:INDEX(生物种群!$C:$C,COUNTA(生物种群!$C:$C)),),),INDEX(生物种群!$B$2:INDEX(生物种群!$B:$B,COUNTA(生物种群!$B:$B)),MATCH($B774,生物种群!$D$2:INDEX(生物种群!$D:$D,COUNTA(生物种群!$D:$D)),),))))</f>
        <v/>
      </c>
      <c r="J774" s="37" t="str">
        <f>IF(A774&amp;B774&amp;C774="","",INDEX(生物种群!$J$2:INDEX(生物种群!$J:$J,COUNTA(生物种群!$J:$J)),MATCH($I774,生物种群!$B$2:INDEX(生物种群!$B:$B,COUNTA(生物种群!$B:$B)),),))</f>
        <v/>
      </c>
      <c r="K774" s="37" t="str">
        <f>IF(A774&amp;B774&amp;C774="","",INDEX(生物种群!$E$2:INDEX(生物种群!$E:$E,COUNTA(生物种群!$E:$E)),MATCH($I774,生物种群!$B$2:INDEX(生物种群!$B:$B,COUNTA(生物种群!$B:$B)),),))</f>
        <v/>
      </c>
      <c r="L774" s="37" t="str">
        <f>IF(A774&amp;B774&amp;C774="","",INDEX(生物种群!$F$3:INDEX(生物种群!$F:$F,COUNTA(生物种群!$F:$F)),MATCH($I774,生物种群!$B$3:INDEX(生物种群!$B:$B,COUNTA(生物种群!$B:$B)),),))</f>
        <v/>
      </c>
      <c r="M774" s="37" t="str">
        <f t="shared" si="24"/>
        <v/>
      </c>
      <c r="N774" s="37" t="str">
        <f t="shared" si="25"/>
        <v/>
      </c>
      <c r="O774" s="9"/>
      <c r="P774" s="10"/>
    </row>
    <row r="775" spans="1:16" ht="20.1" customHeight="1">
      <c r="A775" s="9"/>
      <c r="B775" s="9"/>
      <c r="C775" s="9"/>
      <c r="D775" s="43"/>
      <c r="E775" s="9"/>
      <c r="F775" s="9"/>
      <c r="G775" s="47" t="str">
        <f>IF(F775="","",INDEX(站位样品信息!$B$3:INDEX(站位样品信息!$B:$B,COUNTA(站位样品信息!$B:$B)+1),MATCH($F775,站位样品信息!$A$3:INDEX(站位样品信息!$A:$A,COUNTA(站位样品信息!$A:$A)+1),),))</f>
        <v/>
      </c>
      <c r="H775" s="37" t="str">
        <f>IF(A775&amp;B775&amp;C775="","",INDEX(生物种群!$A$2:INDEX(生物种群!$A:$A,COUNTA(生物种群!$A:$A)),MATCH($I775,生物种群!$B$2:INDEX(生物种群!$B:$B,COUNTA(生物种群!$B:$B)),),))</f>
        <v/>
      </c>
      <c r="I775" s="37" t="str">
        <f>IF(A775&amp;B775&amp;C775="","",IF($C775&lt;&gt;0,INDEX(生物种群!$B$2:INDEX(生物种群!$B:$B,COUNTA(生物种群!$B:$B)),MATCH($C775,生物种群!$G$2:INDEX(生物种群!$G:$G,COUNTA(生物种群!$G:$G)),),),IF($A775&lt;&gt;0,INDEX(生物种群!$B$2:INDEX(生物种群!$B:$B,COUNTA(生物种群!$B:$B)),MATCH($A775,生物种群!$C$2:INDEX(生物种群!$C:$C,COUNTA(生物种群!$C:$C)),),),INDEX(生物种群!$B$2:INDEX(生物种群!$B:$B,COUNTA(生物种群!$B:$B)),MATCH($B775,生物种群!$D$2:INDEX(生物种群!$D:$D,COUNTA(生物种群!$D:$D)),),))))</f>
        <v/>
      </c>
      <c r="J775" s="37" t="str">
        <f>IF(A775&amp;B775&amp;C775="","",INDEX(生物种群!$J$2:INDEX(生物种群!$J:$J,COUNTA(生物种群!$J:$J)),MATCH($I775,生物种群!$B$2:INDEX(生物种群!$B:$B,COUNTA(生物种群!$B:$B)),),))</f>
        <v/>
      </c>
      <c r="K775" s="37" t="str">
        <f>IF(A775&amp;B775&amp;C775="","",INDEX(生物种群!$E$2:INDEX(生物种群!$E:$E,COUNTA(生物种群!$E:$E)),MATCH($I775,生物种群!$B$2:INDEX(生物种群!$B:$B,COUNTA(生物种群!$B:$B)),),))</f>
        <v/>
      </c>
      <c r="L775" s="37" t="str">
        <f>IF(A775&amp;B775&amp;C775="","",INDEX(生物种群!$F$3:INDEX(生物种群!$F:$F,COUNTA(生物种群!$F:$F)),MATCH($I775,生物种群!$B$3:INDEX(生物种群!$B:$B,COUNTA(生物种群!$B:$B)),),))</f>
        <v/>
      </c>
      <c r="M775" s="37" t="str">
        <f t="shared" si="24"/>
        <v/>
      </c>
      <c r="N775" s="37" t="str">
        <f t="shared" si="25"/>
        <v/>
      </c>
      <c r="O775" s="9"/>
      <c r="P775" s="10"/>
    </row>
    <row r="776" spans="1:16" ht="20.1" customHeight="1">
      <c r="A776" s="9"/>
      <c r="B776" s="9"/>
      <c r="C776" s="9"/>
      <c r="D776" s="43"/>
      <c r="E776" s="9"/>
      <c r="F776" s="9"/>
      <c r="G776" s="47" t="str">
        <f>IF(F776="","",INDEX(站位样品信息!$B$3:INDEX(站位样品信息!$B:$B,COUNTA(站位样品信息!$B:$B)+1),MATCH($F776,站位样品信息!$A$3:INDEX(站位样品信息!$A:$A,COUNTA(站位样品信息!$A:$A)+1),),))</f>
        <v/>
      </c>
      <c r="H776" s="37" t="str">
        <f>IF(A776&amp;B776&amp;C776="","",INDEX(生物种群!$A$2:INDEX(生物种群!$A:$A,COUNTA(生物种群!$A:$A)),MATCH($I776,生物种群!$B$2:INDEX(生物种群!$B:$B,COUNTA(生物种群!$B:$B)),),))</f>
        <v/>
      </c>
      <c r="I776" s="37" t="str">
        <f>IF(A776&amp;B776&amp;C776="","",IF($C776&lt;&gt;0,INDEX(生物种群!$B$2:INDEX(生物种群!$B:$B,COUNTA(生物种群!$B:$B)),MATCH($C776,生物种群!$G$2:INDEX(生物种群!$G:$G,COUNTA(生物种群!$G:$G)),),),IF($A776&lt;&gt;0,INDEX(生物种群!$B$2:INDEX(生物种群!$B:$B,COUNTA(生物种群!$B:$B)),MATCH($A776,生物种群!$C$2:INDEX(生物种群!$C:$C,COUNTA(生物种群!$C:$C)),),),INDEX(生物种群!$B$2:INDEX(生物种群!$B:$B,COUNTA(生物种群!$B:$B)),MATCH($B776,生物种群!$D$2:INDEX(生物种群!$D:$D,COUNTA(生物种群!$D:$D)),),))))</f>
        <v/>
      </c>
      <c r="J776" s="37" t="str">
        <f>IF(A776&amp;B776&amp;C776="","",INDEX(生物种群!$J$2:INDEX(生物种群!$J:$J,COUNTA(生物种群!$J:$J)),MATCH($I776,生物种群!$B$2:INDEX(生物种群!$B:$B,COUNTA(生物种群!$B:$B)),),))</f>
        <v/>
      </c>
      <c r="K776" s="37" t="str">
        <f>IF(A776&amp;B776&amp;C776="","",INDEX(生物种群!$E$2:INDEX(生物种群!$E:$E,COUNTA(生物种群!$E:$E)),MATCH($I776,生物种群!$B$2:INDEX(生物种群!$B:$B,COUNTA(生物种群!$B:$B)),),))</f>
        <v/>
      </c>
      <c r="L776" s="37" t="str">
        <f>IF(A776&amp;B776&amp;C776="","",INDEX(生物种群!$F$3:INDEX(生物种群!$F:$F,COUNTA(生物种群!$F:$F)),MATCH($I776,生物种群!$B$3:INDEX(生物种群!$B:$B,COUNTA(生物种群!$B:$B)),),))</f>
        <v/>
      </c>
      <c r="M776" s="37" t="str">
        <f t="shared" si="24"/>
        <v/>
      </c>
      <c r="N776" s="37" t="str">
        <f t="shared" si="25"/>
        <v/>
      </c>
      <c r="O776" s="9"/>
      <c r="P776" s="10"/>
    </row>
    <row r="777" spans="1:16" ht="20.1" customHeight="1">
      <c r="A777" s="9"/>
      <c r="B777" s="9"/>
      <c r="C777" s="9"/>
      <c r="D777" s="43"/>
      <c r="E777" s="9"/>
      <c r="F777" s="9"/>
      <c r="G777" s="47" t="str">
        <f>IF(F777="","",INDEX(站位样品信息!$B$3:INDEX(站位样品信息!$B:$B,COUNTA(站位样品信息!$B:$B)+1),MATCH($F777,站位样品信息!$A$3:INDEX(站位样品信息!$A:$A,COUNTA(站位样品信息!$A:$A)+1),),))</f>
        <v/>
      </c>
      <c r="H777" s="37" t="str">
        <f>IF(A777&amp;B777&amp;C777="","",INDEX(生物种群!$A$2:INDEX(生物种群!$A:$A,COUNTA(生物种群!$A:$A)),MATCH($I777,生物种群!$B$2:INDEX(生物种群!$B:$B,COUNTA(生物种群!$B:$B)),),))</f>
        <v/>
      </c>
      <c r="I777" s="37" t="str">
        <f>IF(A777&amp;B777&amp;C777="","",IF($C777&lt;&gt;0,INDEX(生物种群!$B$2:INDEX(生物种群!$B:$B,COUNTA(生物种群!$B:$B)),MATCH($C777,生物种群!$G$2:INDEX(生物种群!$G:$G,COUNTA(生物种群!$G:$G)),),),IF($A777&lt;&gt;0,INDEX(生物种群!$B$2:INDEX(生物种群!$B:$B,COUNTA(生物种群!$B:$B)),MATCH($A777,生物种群!$C$2:INDEX(生物种群!$C:$C,COUNTA(生物种群!$C:$C)),),),INDEX(生物种群!$B$2:INDEX(生物种群!$B:$B,COUNTA(生物种群!$B:$B)),MATCH($B777,生物种群!$D$2:INDEX(生物种群!$D:$D,COUNTA(生物种群!$D:$D)),),))))</f>
        <v/>
      </c>
      <c r="J777" s="37" t="str">
        <f>IF(A777&amp;B777&amp;C777="","",INDEX(生物种群!$J$2:INDEX(生物种群!$J:$J,COUNTA(生物种群!$J:$J)),MATCH($I777,生物种群!$B$2:INDEX(生物种群!$B:$B,COUNTA(生物种群!$B:$B)),),))</f>
        <v/>
      </c>
      <c r="K777" s="37" t="str">
        <f>IF(A777&amp;B777&amp;C777="","",INDEX(生物种群!$E$2:INDEX(生物种群!$E:$E,COUNTA(生物种群!$E:$E)),MATCH($I777,生物种群!$B$2:INDEX(生物种群!$B:$B,COUNTA(生物种群!$B:$B)),),))</f>
        <v/>
      </c>
      <c r="L777" s="37" t="str">
        <f>IF(A777&amp;B777&amp;C777="","",INDEX(生物种群!$F$3:INDEX(生物种群!$F:$F,COUNTA(生物种群!$F:$F)),MATCH($I777,生物种群!$B$3:INDEX(生物种群!$B:$B,COUNTA(生物种群!$B:$B)),),))</f>
        <v/>
      </c>
      <c r="M777" s="37" t="str">
        <f t="shared" si="24"/>
        <v/>
      </c>
      <c r="N777" s="37" t="str">
        <f t="shared" si="25"/>
        <v/>
      </c>
      <c r="O777" s="9"/>
      <c r="P777" s="10"/>
    </row>
    <row r="778" spans="1:16" ht="20.1" customHeight="1">
      <c r="A778" s="9"/>
      <c r="B778" s="9"/>
      <c r="C778" s="9"/>
      <c r="D778" s="43"/>
      <c r="E778" s="9"/>
      <c r="F778" s="9"/>
      <c r="G778" s="47" t="str">
        <f>IF(F778="","",INDEX(站位样品信息!$B$3:INDEX(站位样品信息!$B:$B,COUNTA(站位样品信息!$B:$B)+1),MATCH($F778,站位样品信息!$A$3:INDEX(站位样品信息!$A:$A,COUNTA(站位样品信息!$A:$A)+1),),))</f>
        <v/>
      </c>
      <c r="H778" s="37" t="str">
        <f>IF(A778&amp;B778&amp;C778="","",INDEX(生物种群!$A$2:INDEX(生物种群!$A:$A,COUNTA(生物种群!$A:$A)),MATCH($I778,生物种群!$B$2:INDEX(生物种群!$B:$B,COUNTA(生物种群!$B:$B)),),))</f>
        <v/>
      </c>
      <c r="I778" s="37" t="str">
        <f>IF(A778&amp;B778&amp;C778="","",IF($C778&lt;&gt;0,INDEX(生物种群!$B$2:INDEX(生物种群!$B:$B,COUNTA(生物种群!$B:$B)),MATCH($C778,生物种群!$G$2:INDEX(生物种群!$G:$G,COUNTA(生物种群!$G:$G)),),),IF($A778&lt;&gt;0,INDEX(生物种群!$B$2:INDEX(生物种群!$B:$B,COUNTA(生物种群!$B:$B)),MATCH($A778,生物种群!$C$2:INDEX(生物种群!$C:$C,COUNTA(生物种群!$C:$C)),),),INDEX(生物种群!$B$2:INDEX(生物种群!$B:$B,COUNTA(生物种群!$B:$B)),MATCH($B778,生物种群!$D$2:INDEX(生物种群!$D:$D,COUNTA(生物种群!$D:$D)),),))))</f>
        <v/>
      </c>
      <c r="J778" s="37" t="str">
        <f>IF(A778&amp;B778&amp;C778="","",INDEX(生物种群!$J$2:INDEX(生物种群!$J:$J,COUNTA(生物种群!$J:$J)),MATCH($I778,生物种群!$B$2:INDEX(生物种群!$B:$B,COUNTA(生物种群!$B:$B)),),))</f>
        <v/>
      </c>
      <c r="K778" s="37" t="str">
        <f>IF(A778&amp;B778&amp;C778="","",INDEX(生物种群!$E$2:INDEX(生物种群!$E:$E,COUNTA(生物种群!$E:$E)),MATCH($I778,生物种群!$B$2:INDEX(生物种群!$B:$B,COUNTA(生物种群!$B:$B)),),))</f>
        <v/>
      </c>
      <c r="L778" s="37" t="str">
        <f>IF(A778&amp;B778&amp;C778="","",INDEX(生物种群!$F$3:INDEX(生物种群!$F:$F,COUNTA(生物种群!$F:$F)),MATCH($I778,生物种群!$B$3:INDEX(生物种群!$B:$B,COUNTA(生物种群!$B:$B)),),))</f>
        <v/>
      </c>
      <c r="M778" s="37" t="str">
        <f t="shared" si="24"/>
        <v/>
      </c>
      <c r="N778" s="37" t="str">
        <f t="shared" si="25"/>
        <v/>
      </c>
      <c r="O778" s="9"/>
      <c r="P778" s="10"/>
    </row>
    <row r="779" spans="1:16" ht="20.1" customHeight="1">
      <c r="A779" s="9"/>
      <c r="B779" s="9"/>
      <c r="C779" s="9"/>
      <c r="D779" s="43"/>
      <c r="E779" s="9"/>
      <c r="F779" s="9"/>
      <c r="G779" s="47" t="str">
        <f>IF(F779="","",INDEX(站位样品信息!$B$3:INDEX(站位样品信息!$B:$B,COUNTA(站位样品信息!$B:$B)+1),MATCH($F779,站位样品信息!$A$3:INDEX(站位样品信息!$A:$A,COUNTA(站位样品信息!$A:$A)+1),),))</f>
        <v/>
      </c>
      <c r="H779" s="37" t="str">
        <f>IF(A779&amp;B779&amp;C779="","",INDEX(生物种群!$A$2:INDEX(生物种群!$A:$A,COUNTA(生物种群!$A:$A)),MATCH($I779,生物种群!$B$2:INDEX(生物种群!$B:$B,COUNTA(生物种群!$B:$B)),),))</f>
        <v/>
      </c>
      <c r="I779" s="37" t="str">
        <f>IF(A779&amp;B779&amp;C779="","",IF($C779&lt;&gt;0,INDEX(生物种群!$B$2:INDEX(生物种群!$B:$B,COUNTA(生物种群!$B:$B)),MATCH($C779,生物种群!$G$2:INDEX(生物种群!$G:$G,COUNTA(生物种群!$G:$G)),),),IF($A779&lt;&gt;0,INDEX(生物种群!$B$2:INDEX(生物种群!$B:$B,COUNTA(生物种群!$B:$B)),MATCH($A779,生物种群!$C$2:INDEX(生物种群!$C:$C,COUNTA(生物种群!$C:$C)),),),INDEX(生物种群!$B$2:INDEX(生物种群!$B:$B,COUNTA(生物种群!$B:$B)),MATCH($B779,生物种群!$D$2:INDEX(生物种群!$D:$D,COUNTA(生物种群!$D:$D)),),))))</f>
        <v/>
      </c>
      <c r="J779" s="37" t="str">
        <f>IF(A779&amp;B779&amp;C779="","",INDEX(生物种群!$J$2:INDEX(生物种群!$J:$J,COUNTA(生物种群!$J:$J)),MATCH($I779,生物种群!$B$2:INDEX(生物种群!$B:$B,COUNTA(生物种群!$B:$B)),),))</f>
        <v/>
      </c>
      <c r="K779" s="37" t="str">
        <f>IF(A779&amp;B779&amp;C779="","",INDEX(生物种群!$E$2:INDEX(生物种群!$E:$E,COUNTA(生物种群!$E:$E)),MATCH($I779,生物种群!$B$2:INDEX(生物种群!$B:$B,COUNTA(生物种群!$B:$B)),),))</f>
        <v/>
      </c>
      <c r="L779" s="37" t="str">
        <f>IF(A779&amp;B779&amp;C779="","",INDEX(生物种群!$F$3:INDEX(生物种群!$F:$F,COUNTA(生物种群!$F:$F)),MATCH($I779,生物种群!$B$3:INDEX(生物种群!$B:$B,COUNTA(生物种群!$B:$B)),),))</f>
        <v/>
      </c>
      <c r="M779" s="37" t="str">
        <f t="shared" si="24"/>
        <v/>
      </c>
      <c r="N779" s="37" t="str">
        <f t="shared" si="25"/>
        <v/>
      </c>
      <c r="O779" s="9"/>
      <c r="P779" s="10"/>
    </row>
    <row r="780" spans="1:16" ht="20.1" customHeight="1">
      <c r="A780" s="9"/>
      <c r="B780" s="9"/>
      <c r="C780" s="9"/>
      <c r="D780" s="43"/>
      <c r="E780" s="9"/>
      <c r="F780" s="9"/>
      <c r="G780" s="47" t="str">
        <f>IF(F780="","",INDEX(站位样品信息!$B$3:INDEX(站位样品信息!$B:$B,COUNTA(站位样品信息!$B:$B)+1),MATCH($F780,站位样品信息!$A$3:INDEX(站位样品信息!$A:$A,COUNTA(站位样品信息!$A:$A)+1),),))</f>
        <v/>
      </c>
      <c r="H780" s="37" t="str">
        <f>IF(A780&amp;B780&amp;C780="","",INDEX(生物种群!$A$2:INDEX(生物种群!$A:$A,COUNTA(生物种群!$A:$A)),MATCH($I780,生物种群!$B$2:INDEX(生物种群!$B:$B,COUNTA(生物种群!$B:$B)),),))</f>
        <v/>
      </c>
      <c r="I780" s="37" t="str">
        <f>IF(A780&amp;B780&amp;C780="","",IF($C780&lt;&gt;0,INDEX(生物种群!$B$2:INDEX(生物种群!$B:$B,COUNTA(生物种群!$B:$B)),MATCH($C780,生物种群!$G$2:INDEX(生物种群!$G:$G,COUNTA(生物种群!$G:$G)),),),IF($A780&lt;&gt;0,INDEX(生物种群!$B$2:INDEX(生物种群!$B:$B,COUNTA(生物种群!$B:$B)),MATCH($A780,生物种群!$C$2:INDEX(生物种群!$C:$C,COUNTA(生物种群!$C:$C)),),),INDEX(生物种群!$B$2:INDEX(生物种群!$B:$B,COUNTA(生物种群!$B:$B)),MATCH($B780,生物种群!$D$2:INDEX(生物种群!$D:$D,COUNTA(生物种群!$D:$D)),),))))</f>
        <v/>
      </c>
      <c r="J780" s="37" t="str">
        <f>IF(A780&amp;B780&amp;C780="","",INDEX(生物种群!$J$2:INDEX(生物种群!$J:$J,COUNTA(生物种群!$J:$J)),MATCH($I780,生物种群!$B$2:INDEX(生物种群!$B:$B,COUNTA(生物种群!$B:$B)),),))</f>
        <v/>
      </c>
      <c r="K780" s="37" t="str">
        <f>IF(A780&amp;B780&amp;C780="","",INDEX(生物种群!$E$2:INDEX(生物种群!$E:$E,COUNTA(生物种群!$E:$E)),MATCH($I780,生物种群!$B$2:INDEX(生物种群!$B:$B,COUNTA(生物种群!$B:$B)),),))</f>
        <v/>
      </c>
      <c r="L780" s="37" t="str">
        <f>IF(A780&amp;B780&amp;C780="","",INDEX(生物种群!$F$3:INDEX(生物种群!$F:$F,COUNTA(生物种群!$F:$F)),MATCH($I780,生物种群!$B$3:INDEX(生物种群!$B:$B,COUNTA(生物种群!$B:$B)),),))</f>
        <v/>
      </c>
      <c r="M780" s="37" t="str">
        <f t="shared" si="24"/>
        <v/>
      </c>
      <c r="N780" s="37" t="str">
        <f t="shared" si="25"/>
        <v/>
      </c>
      <c r="O780" s="9"/>
      <c r="P780" s="10"/>
    </row>
    <row r="781" spans="1:16" ht="20.1" customHeight="1">
      <c r="A781" s="9"/>
      <c r="B781" s="9"/>
      <c r="C781" s="9"/>
      <c r="D781" s="43"/>
      <c r="E781" s="9"/>
      <c r="F781" s="9"/>
      <c r="G781" s="47" t="str">
        <f>IF(F781="","",INDEX(站位样品信息!$B$3:INDEX(站位样品信息!$B:$B,COUNTA(站位样品信息!$B:$B)+1),MATCH($F781,站位样品信息!$A$3:INDEX(站位样品信息!$A:$A,COUNTA(站位样品信息!$A:$A)+1),),))</f>
        <v/>
      </c>
      <c r="H781" s="37" t="str">
        <f>IF(A781&amp;B781&amp;C781="","",INDEX(生物种群!$A$2:INDEX(生物种群!$A:$A,COUNTA(生物种群!$A:$A)),MATCH($I781,生物种群!$B$2:INDEX(生物种群!$B:$B,COUNTA(生物种群!$B:$B)),),))</f>
        <v/>
      </c>
      <c r="I781" s="37" t="str">
        <f>IF(A781&amp;B781&amp;C781="","",IF($C781&lt;&gt;0,INDEX(生物种群!$B$2:INDEX(生物种群!$B:$B,COUNTA(生物种群!$B:$B)),MATCH($C781,生物种群!$G$2:INDEX(生物种群!$G:$G,COUNTA(生物种群!$G:$G)),),),IF($A781&lt;&gt;0,INDEX(生物种群!$B$2:INDEX(生物种群!$B:$B,COUNTA(生物种群!$B:$B)),MATCH($A781,生物种群!$C$2:INDEX(生物种群!$C:$C,COUNTA(生物种群!$C:$C)),),),INDEX(生物种群!$B$2:INDEX(生物种群!$B:$B,COUNTA(生物种群!$B:$B)),MATCH($B781,生物种群!$D$2:INDEX(生物种群!$D:$D,COUNTA(生物种群!$D:$D)),),))))</f>
        <v/>
      </c>
      <c r="J781" s="37" t="str">
        <f>IF(A781&amp;B781&amp;C781="","",INDEX(生物种群!$J$2:INDEX(生物种群!$J:$J,COUNTA(生物种群!$J:$J)),MATCH($I781,生物种群!$B$2:INDEX(生物种群!$B:$B,COUNTA(生物种群!$B:$B)),),))</f>
        <v/>
      </c>
      <c r="K781" s="37" t="str">
        <f>IF(A781&amp;B781&amp;C781="","",INDEX(生物种群!$E$2:INDEX(生物种群!$E:$E,COUNTA(生物种群!$E:$E)),MATCH($I781,生物种群!$B$2:INDEX(生物种群!$B:$B,COUNTA(生物种群!$B:$B)),),))</f>
        <v/>
      </c>
      <c r="L781" s="37" t="str">
        <f>IF(A781&amp;B781&amp;C781="","",INDEX(生物种群!$F$3:INDEX(生物种群!$F:$F,COUNTA(生物种群!$F:$F)),MATCH($I781,生物种群!$B$3:INDEX(生物种群!$B:$B,COUNTA(生物种群!$B:$B)),),))</f>
        <v/>
      </c>
      <c r="M781" s="37" t="str">
        <f t="shared" si="24"/>
        <v/>
      </c>
      <c r="N781" s="37" t="str">
        <f t="shared" si="25"/>
        <v/>
      </c>
      <c r="O781" s="9"/>
      <c r="P781" s="10"/>
    </row>
    <row r="782" spans="1:16" ht="20.1" customHeight="1">
      <c r="A782" s="9"/>
      <c r="B782" s="9"/>
      <c r="C782" s="9"/>
      <c r="D782" s="43"/>
      <c r="E782" s="9"/>
      <c r="F782" s="9"/>
      <c r="G782" s="47" t="str">
        <f>IF(F782="","",INDEX(站位样品信息!$B$3:INDEX(站位样品信息!$B:$B,COUNTA(站位样品信息!$B:$B)+1),MATCH($F782,站位样品信息!$A$3:INDEX(站位样品信息!$A:$A,COUNTA(站位样品信息!$A:$A)+1),),))</f>
        <v/>
      </c>
      <c r="H782" s="37" t="str">
        <f>IF(A782&amp;B782&amp;C782="","",INDEX(生物种群!$A$2:INDEX(生物种群!$A:$A,COUNTA(生物种群!$A:$A)),MATCH($I782,生物种群!$B$2:INDEX(生物种群!$B:$B,COUNTA(生物种群!$B:$B)),),))</f>
        <v/>
      </c>
      <c r="I782" s="37" t="str">
        <f>IF(A782&amp;B782&amp;C782="","",IF($C782&lt;&gt;0,INDEX(生物种群!$B$2:INDEX(生物种群!$B:$B,COUNTA(生物种群!$B:$B)),MATCH($C782,生物种群!$G$2:INDEX(生物种群!$G:$G,COUNTA(生物种群!$G:$G)),),),IF($A782&lt;&gt;0,INDEX(生物种群!$B$2:INDEX(生物种群!$B:$B,COUNTA(生物种群!$B:$B)),MATCH($A782,生物种群!$C$2:INDEX(生物种群!$C:$C,COUNTA(生物种群!$C:$C)),),),INDEX(生物种群!$B$2:INDEX(生物种群!$B:$B,COUNTA(生物种群!$B:$B)),MATCH($B782,生物种群!$D$2:INDEX(生物种群!$D:$D,COUNTA(生物种群!$D:$D)),),))))</f>
        <v/>
      </c>
      <c r="J782" s="37" t="str">
        <f>IF(A782&amp;B782&amp;C782="","",INDEX(生物种群!$J$2:INDEX(生物种群!$J:$J,COUNTA(生物种群!$J:$J)),MATCH($I782,生物种群!$B$2:INDEX(生物种群!$B:$B,COUNTA(生物种群!$B:$B)),),))</f>
        <v/>
      </c>
      <c r="K782" s="37" t="str">
        <f>IF(A782&amp;B782&amp;C782="","",INDEX(生物种群!$E$2:INDEX(生物种群!$E:$E,COUNTA(生物种群!$E:$E)),MATCH($I782,生物种群!$B$2:INDEX(生物种群!$B:$B,COUNTA(生物种群!$B:$B)),),))</f>
        <v/>
      </c>
      <c r="L782" s="37" t="str">
        <f>IF(A782&amp;B782&amp;C782="","",INDEX(生物种群!$F$3:INDEX(生物种群!$F:$F,COUNTA(生物种群!$F:$F)),MATCH($I782,生物种群!$B$3:INDEX(生物种群!$B:$B,COUNTA(生物种群!$B:$B)),),))</f>
        <v/>
      </c>
      <c r="M782" s="37" t="str">
        <f t="shared" si="24"/>
        <v/>
      </c>
      <c r="N782" s="37" t="str">
        <f t="shared" si="25"/>
        <v/>
      </c>
      <c r="O782" s="9"/>
      <c r="P782" s="10"/>
    </row>
    <row r="783" spans="1:16" ht="20.1" customHeight="1">
      <c r="A783" s="9"/>
      <c r="B783" s="9"/>
      <c r="C783" s="9"/>
      <c r="D783" s="43"/>
      <c r="E783" s="9"/>
      <c r="F783" s="9"/>
      <c r="G783" s="47" t="str">
        <f>IF(F783="","",INDEX(站位样品信息!$B$3:INDEX(站位样品信息!$B:$B,COUNTA(站位样品信息!$B:$B)+1),MATCH($F783,站位样品信息!$A$3:INDEX(站位样品信息!$A:$A,COUNTA(站位样品信息!$A:$A)+1),),))</f>
        <v/>
      </c>
      <c r="H783" s="37" t="str">
        <f>IF(A783&amp;B783&amp;C783="","",INDEX(生物种群!$A$2:INDEX(生物种群!$A:$A,COUNTA(生物种群!$A:$A)),MATCH($I783,生物种群!$B$2:INDEX(生物种群!$B:$B,COUNTA(生物种群!$B:$B)),),))</f>
        <v/>
      </c>
      <c r="I783" s="37" t="str">
        <f>IF(A783&amp;B783&amp;C783="","",IF($C783&lt;&gt;0,INDEX(生物种群!$B$2:INDEX(生物种群!$B:$B,COUNTA(生物种群!$B:$B)),MATCH($C783,生物种群!$G$2:INDEX(生物种群!$G:$G,COUNTA(生物种群!$G:$G)),),),IF($A783&lt;&gt;0,INDEX(生物种群!$B$2:INDEX(生物种群!$B:$B,COUNTA(生物种群!$B:$B)),MATCH($A783,生物种群!$C$2:INDEX(生物种群!$C:$C,COUNTA(生物种群!$C:$C)),),),INDEX(生物种群!$B$2:INDEX(生物种群!$B:$B,COUNTA(生物种群!$B:$B)),MATCH($B783,生物种群!$D$2:INDEX(生物种群!$D:$D,COUNTA(生物种群!$D:$D)),),))))</f>
        <v/>
      </c>
      <c r="J783" s="37" t="str">
        <f>IF(A783&amp;B783&amp;C783="","",INDEX(生物种群!$J$2:INDEX(生物种群!$J:$J,COUNTA(生物种群!$J:$J)),MATCH($I783,生物种群!$B$2:INDEX(生物种群!$B:$B,COUNTA(生物种群!$B:$B)),),))</f>
        <v/>
      </c>
      <c r="K783" s="37" t="str">
        <f>IF(A783&amp;B783&amp;C783="","",INDEX(生物种群!$E$2:INDEX(生物种群!$E:$E,COUNTA(生物种群!$E:$E)),MATCH($I783,生物种群!$B$2:INDEX(生物种群!$B:$B,COUNTA(生物种群!$B:$B)),),))</f>
        <v/>
      </c>
      <c r="L783" s="37" t="str">
        <f>IF(A783&amp;B783&amp;C783="","",INDEX(生物种群!$F$3:INDEX(生物种群!$F:$F,COUNTA(生物种群!$F:$F)),MATCH($I783,生物种群!$B$3:INDEX(生物种群!$B:$B,COUNTA(生物种群!$B:$B)),),))</f>
        <v/>
      </c>
      <c r="M783" s="37" t="str">
        <f t="shared" si="24"/>
        <v/>
      </c>
      <c r="N783" s="37" t="str">
        <f t="shared" si="25"/>
        <v/>
      </c>
      <c r="O783" s="9"/>
      <c r="P783" s="10"/>
    </row>
    <row r="784" spans="1:16" ht="20.1" customHeight="1">
      <c r="A784" s="9"/>
      <c r="B784" s="9"/>
      <c r="C784" s="9"/>
      <c r="D784" s="43"/>
      <c r="E784" s="9"/>
      <c r="F784" s="9"/>
      <c r="G784" s="47" t="str">
        <f>IF(F784="","",INDEX(站位样品信息!$B$3:INDEX(站位样品信息!$B:$B,COUNTA(站位样品信息!$B:$B)+1),MATCH($F784,站位样品信息!$A$3:INDEX(站位样品信息!$A:$A,COUNTA(站位样品信息!$A:$A)+1),),))</f>
        <v/>
      </c>
      <c r="H784" s="37" t="str">
        <f>IF(A784&amp;B784&amp;C784="","",INDEX(生物种群!$A$2:INDEX(生物种群!$A:$A,COUNTA(生物种群!$A:$A)),MATCH($I784,生物种群!$B$2:INDEX(生物种群!$B:$B,COUNTA(生物种群!$B:$B)),),))</f>
        <v/>
      </c>
      <c r="I784" s="37" t="str">
        <f>IF(A784&amp;B784&amp;C784="","",IF($C784&lt;&gt;0,INDEX(生物种群!$B$2:INDEX(生物种群!$B:$B,COUNTA(生物种群!$B:$B)),MATCH($C784,生物种群!$G$2:INDEX(生物种群!$G:$G,COUNTA(生物种群!$G:$G)),),),IF($A784&lt;&gt;0,INDEX(生物种群!$B$2:INDEX(生物种群!$B:$B,COUNTA(生物种群!$B:$B)),MATCH($A784,生物种群!$C$2:INDEX(生物种群!$C:$C,COUNTA(生物种群!$C:$C)),),),INDEX(生物种群!$B$2:INDEX(生物种群!$B:$B,COUNTA(生物种群!$B:$B)),MATCH($B784,生物种群!$D$2:INDEX(生物种群!$D:$D,COUNTA(生物种群!$D:$D)),),))))</f>
        <v/>
      </c>
      <c r="J784" s="37" t="str">
        <f>IF(A784&amp;B784&amp;C784="","",INDEX(生物种群!$J$2:INDEX(生物种群!$J:$J,COUNTA(生物种群!$J:$J)),MATCH($I784,生物种群!$B$2:INDEX(生物种群!$B:$B,COUNTA(生物种群!$B:$B)),),))</f>
        <v/>
      </c>
      <c r="K784" s="37" t="str">
        <f>IF(A784&amp;B784&amp;C784="","",INDEX(生物种群!$E$2:INDEX(生物种群!$E:$E,COUNTA(生物种群!$E:$E)),MATCH($I784,生物种群!$B$2:INDEX(生物种群!$B:$B,COUNTA(生物种群!$B:$B)),),))</f>
        <v/>
      </c>
      <c r="L784" s="37" t="str">
        <f>IF(A784&amp;B784&amp;C784="","",INDEX(生物种群!$F$3:INDEX(生物种群!$F:$F,COUNTA(生物种群!$F:$F)),MATCH($I784,生物种群!$B$3:INDEX(生物种群!$B:$B,COUNTA(生物种群!$B:$B)),),))</f>
        <v/>
      </c>
      <c r="M784" s="37" t="str">
        <f t="shared" si="24"/>
        <v/>
      </c>
      <c r="N784" s="37" t="str">
        <f t="shared" si="25"/>
        <v/>
      </c>
      <c r="O784" s="9"/>
      <c r="P784" s="10"/>
    </row>
    <row r="785" spans="1:16" ht="20.1" customHeight="1">
      <c r="A785" s="9"/>
      <c r="B785" s="9"/>
      <c r="C785" s="9"/>
      <c r="D785" s="43"/>
      <c r="E785" s="9"/>
      <c r="F785" s="9"/>
      <c r="G785" s="47" t="str">
        <f>IF(F785="","",INDEX(站位样品信息!$B$3:INDEX(站位样品信息!$B:$B,COUNTA(站位样品信息!$B:$B)+1),MATCH($F785,站位样品信息!$A$3:INDEX(站位样品信息!$A:$A,COUNTA(站位样品信息!$A:$A)+1),),))</f>
        <v/>
      </c>
      <c r="H785" s="37" t="str">
        <f>IF(A785&amp;B785&amp;C785="","",INDEX(生物种群!$A$2:INDEX(生物种群!$A:$A,COUNTA(生物种群!$A:$A)),MATCH($I785,生物种群!$B$2:INDEX(生物种群!$B:$B,COUNTA(生物种群!$B:$B)),),))</f>
        <v/>
      </c>
      <c r="I785" s="37" t="str">
        <f>IF(A785&amp;B785&amp;C785="","",IF($C785&lt;&gt;0,INDEX(生物种群!$B$2:INDEX(生物种群!$B:$B,COUNTA(生物种群!$B:$B)),MATCH($C785,生物种群!$G$2:INDEX(生物种群!$G:$G,COUNTA(生物种群!$G:$G)),),),IF($A785&lt;&gt;0,INDEX(生物种群!$B$2:INDEX(生物种群!$B:$B,COUNTA(生物种群!$B:$B)),MATCH($A785,生物种群!$C$2:INDEX(生物种群!$C:$C,COUNTA(生物种群!$C:$C)),),),INDEX(生物种群!$B$2:INDEX(生物种群!$B:$B,COUNTA(生物种群!$B:$B)),MATCH($B785,生物种群!$D$2:INDEX(生物种群!$D:$D,COUNTA(生物种群!$D:$D)),),))))</f>
        <v/>
      </c>
      <c r="J785" s="37" t="str">
        <f>IF(A785&amp;B785&amp;C785="","",INDEX(生物种群!$J$2:INDEX(生物种群!$J:$J,COUNTA(生物种群!$J:$J)),MATCH($I785,生物种群!$B$2:INDEX(生物种群!$B:$B,COUNTA(生物种群!$B:$B)),),))</f>
        <v/>
      </c>
      <c r="K785" s="37" t="str">
        <f>IF(A785&amp;B785&amp;C785="","",INDEX(生物种群!$E$2:INDEX(生物种群!$E:$E,COUNTA(生物种群!$E:$E)),MATCH($I785,生物种群!$B$2:INDEX(生物种群!$B:$B,COUNTA(生物种群!$B:$B)),),))</f>
        <v/>
      </c>
      <c r="L785" s="37" t="str">
        <f>IF(A785&amp;B785&amp;C785="","",INDEX(生物种群!$F$3:INDEX(生物种群!$F:$F,COUNTA(生物种群!$F:$F)),MATCH($I785,生物种群!$B$3:INDEX(生物种群!$B:$B,COUNTA(生物种群!$B:$B)),),))</f>
        <v/>
      </c>
      <c r="M785" s="37" t="str">
        <f t="shared" si="24"/>
        <v/>
      </c>
      <c r="N785" s="37" t="str">
        <f t="shared" si="25"/>
        <v/>
      </c>
      <c r="O785" s="9"/>
      <c r="P785" s="10"/>
    </row>
    <row r="786" spans="1:16" ht="20.1" customHeight="1">
      <c r="A786" s="9"/>
      <c r="B786" s="9"/>
      <c r="C786" s="9"/>
      <c r="D786" s="43"/>
      <c r="E786" s="9"/>
      <c r="F786" s="9"/>
      <c r="G786" s="47" t="str">
        <f>IF(F786="","",INDEX(站位样品信息!$B$3:INDEX(站位样品信息!$B:$B,COUNTA(站位样品信息!$B:$B)+1),MATCH($F786,站位样品信息!$A$3:INDEX(站位样品信息!$A:$A,COUNTA(站位样品信息!$A:$A)+1),),))</f>
        <v/>
      </c>
      <c r="H786" s="37" t="str">
        <f>IF(A786&amp;B786&amp;C786="","",INDEX(生物种群!$A$2:INDEX(生物种群!$A:$A,COUNTA(生物种群!$A:$A)),MATCH($I786,生物种群!$B$2:INDEX(生物种群!$B:$B,COUNTA(生物种群!$B:$B)),),))</f>
        <v/>
      </c>
      <c r="I786" s="37" t="str">
        <f>IF(A786&amp;B786&amp;C786="","",IF($C786&lt;&gt;0,INDEX(生物种群!$B$2:INDEX(生物种群!$B:$B,COUNTA(生物种群!$B:$B)),MATCH($C786,生物种群!$G$2:INDEX(生物种群!$G:$G,COUNTA(生物种群!$G:$G)),),),IF($A786&lt;&gt;0,INDEX(生物种群!$B$2:INDEX(生物种群!$B:$B,COUNTA(生物种群!$B:$B)),MATCH($A786,生物种群!$C$2:INDEX(生物种群!$C:$C,COUNTA(生物种群!$C:$C)),),),INDEX(生物种群!$B$2:INDEX(生物种群!$B:$B,COUNTA(生物种群!$B:$B)),MATCH($B786,生物种群!$D$2:INDEX(生物种群!$D:$D,COUNTA(生物种群!$D:$D)),),))))</f>
        <v/>
      </c>
      <c r="J786" s="37" t="str">
        <f>IF(A786&amp;B786&amp;C786="","",INDEX(生物种群!$J$2:INDEX(生物种群!$J:$J,COUNTA(生物种群!$J:$J)),MATCH($I786,生物种群!$B$2:INDEX(生物种群!$B:$B,COUNTA(生物种群!$B:$B)),),))</f>
        <v/>
      </c>
      <c r="K786" s="37" t="str">
        <f>IF(A786&amp;B786&amp;C786="","",INDEX(生物种群!$E$2:INDEX(生物种群!$E:$E,COUNTA(生物种群!$E:$E)),MATCH($I786,生物种群!$B$2:INDEX(生物种群!$B:$B,COUNTA(生物种群!$B:$B)),),))</f>
        <v/>
      </c>
      <c r="L786" s="37" t="str">
        <f>IF(A786&amp;B786&amp;C786="","",INDEX(生物种群!$F$3:INDEX(生物种群!$F:$F,COUNTA(生物种群!$F:$F)),MATCH($I786,生物种群!$B$3:INDEX(生物种群!$B:$B,COUNTA(生物种群!$B:$B)),),))</f>
        <v/>
      </c>
      <c r="M786" s="37" t="str">
        <f t="shared" si="24"/>
        <v/>
      </c>
      <c r="N786" s="37" t="str">
        <f t="shared" si="25"/>
        <v/>
      </c>
      <c r="O786" s="9"/>
      <c r="P786" s="10"/>
    </row>
    <row r="787" spans="1:16" ht="20.1" customHeight="1">
      <c r="A787" s="9"/>
      <c r="B787" s="9"/>
      <c r="C787" s="9"/>
      <c r="D787" s="43"/>
      <c r="E787" s="9"/>
      <c r="F787" s="9"/>
      <c r="G787" s="47" t="str">
        <f>IF(F787="","",INDEX(站位样品信息!$B$3:INDEX(站位样品信息!$B:$B,COUNTA(站位样品信息!$B:$B)+1),MATCH($F787,站位样品信息!$A$3:INDEX(站位样品信息!$A:$A,COUNTA(站位样品信息!$A:$A)+1),),))</f>
        <v/>
      </c>
      <c r="H787" s="37" t="str">
        <f>IF(A787&amp;B787&amp;C787="","",INDEX(生物种群!$A$2:INDEX(生物种群!$A:$A,COUNTA(生物种群!$A:$A)),MATCH($I787,生物种群!$B$2:INDEX(生物种群!$B:$B,COUNTA(生物种群!$B:$B)),),))</f>
        <v/>
      </c>
      <c r="I787" s="37" t="str">
        <f>IF(A787&amp;B787&amp;C787="","",IF($C787&lt;&gt;0,INDEX(生物种群!$B$2:INDEX(生物种群!$B:$B,COUNTA(生物种群!$B:$B)),MATCH($C787,生物种群!$G$2:INDEX(生物种群!$G:$G,COUNTA(生物种群!$G:$G)),),),IF($A787&lt;&gt;0,INDEX(生物种群!$B$2:INDEX(生物种群!$B:$B,COUNTA(生物种群!$B:$B)),MATCH($A787,生物种群!$C$2:INDEX(生物种群!$C:$C,COUNTA(生物种群!$C:$C)),),),INDEX(生物种群!$B$2:INDEX(生物种群!$B:$B,COUNTA(生物种群!$B:$B)),MATCH($B787,生物种群!$D$2:INDEX(生物种群!$D:$D,COUNTA(生物种群!$D:$D)),),))))</f>
        <v/>
      </c>
      <c r="J787" s="37" t="str">
        <f>IF(A787&amp;B787&amp;C787="","",INDEX(生物种群!$J$2:INDEX(生物种群!$J:$J,COUNTA(生物种群!$J:$J)),MATCH($I787,生物种群!$B$2:INDEX(生物种群!$B:$B,COUNTA(生物种群!$B:$B)),),))</f>
        <v/>
      </c>
      <c r="K787" s="37" t="str">
        <f>IF(A787&amp;B787&amp;C787="","",INDEX(生物种群!$E$2:INDEX(生物种群!$E:$E,COUNTA(生物种群!$E:$E)),MATCH($I787,生物种群!$B$2:INDEX(生物种群!$B:$B,COUNTA(生物种群!$B:$B)),),))</f>
        <v/>
      </c>
      <c r="L787" s="37" t="str">
        <f>IF(A787&amp;B787&amp;C787="","",INDEX(生物种群!$F$3:INDEX(生物种群!$F:$F,COUNTA(生物种群!$F:$F)),MATCH($I787,生物种群!$B$3:INDEX(生物种群!$B:$B,COUNTA(生物种群!$B:$B)),),))</f>
        <v/>
      </c>
      <c r="M787" s="37" t="str">
        <f t="shared" si="24"/>
        <v/>
      </c>
      <c r="N787" s="37" t="str">
        <f t="shared" si="25"/>
        <v/>
      </c>
      <c r="O787" s="9"/>
      <c r="P787" s="10"/>
    </row>
    <row r="788" spans="1:16" ht="20.1" customHeight="1">
      <c r="A788" s="9"/>
      <c r="B788" s="9"/>
      <c r="C788" s="9"/>
      <c r="D788" s="43"/>
      <c r="E788" s="9"/>
      <c r="F788" s="9"/>
      <c r="G788" s="47" t="str">
        <f>IF(F788="","",INDEX(站位样品信息!$B$3:INDEX(站位样品信息!$B:$B,COUNTA(站位样品信息!$B:$B)+1),MATCH($F788,站位样品信息!$A$3:INDEX(站位样品信息!$A:$A,COUNTA(站位样品信息!$A:$A)+1),),))</f>
        <v/>
      </c>
      <c r="H788" s="37" t="str">
        <f>IF(A788&amp;B788&amp;C788="","",INDEX(生物种群!$A$2:INDEX(生物种群!$A:$A,COUNTA(生物种群!$A:$A)),MATCH($I788,生物种群!$B$2:INDEX(生物种群!$B:$B,COUNTA(生物种群!$B:$B)),),))</f>
        <v/>
      </c>
      <c r="I788" s="37" t="str">
        <f>IF(A788&amp;B788&amp;C788="","",IF($C788&lt;&gt;0,INDEX(生物种群!$B$2:INDEX(生物种群!$B:$B,COUNTA(生物种群!$B:$B)),MATCH($C788,生物种群!$G$2:INDEX(生物种群!$G:$G,COUNTA(生物种群!$G:$G)),),),IF($A788&lt;&gt;0,INDEX(生物种群!$B$2:INDEX(生物种群!$B:$B,COUNTA(生物种群!$B:$B)),MATCH($A788,生物种群!$C$2:INDEX(生物种群!$C:$C,COUNTA(生物种群!$C:$C)),),),INDEX(生物种群!$B$2:INDEX(生物种群!$B:$B,COUNTA(生物种群!$B:$B)),MATCH($B788,生物种群!$D$2:INDEX(生物种群!$D:$D,COUNTA(生物种群!$D:$D)),),))))</f>
        <v/>
      </c>
      <c r="J788" s="37" t="str">
        <f>IF(A788&amp;B788&amp;C788="","",INDEX(生物种群!$J$2:INDEX(生物种群!$J:$J,COUNTA(生物种群!$J:$J)),MATCH($I788,生物种群!$B$2:INDEX(生物种群!$B:$B,COUNTA(生物种群!$B:$B)),),))</f>
        <v/>
      </c>
      <c r="K788" s="37" t="str">
        <f>IF(A788&amp;B788&amp;C788="","",INDEX(生物种群!$E$2:INDEX(生物种群!$E:$E,COUNTA(生物种群!$E:$E)),MATCH($I788,生物种群!$B$2:INDEX(生物种群!$B:$B,COUNTA(生物种群!$B:$B)),),))</f>
        <v/>
      </c>
      <c r="L788" s="37" t="str">
        <f>IF(A788&amp;B788&amp;C788="","",INDEX(生物种群!$F$3:INDEX(生物种群!$F:$F,COUNTA(生物种群!$F:$F)),MATCH($I788,生物种群!$B$3:INDEX(生物种群!$B:$B,COUNTA(生物种群!$B:$B)),),))</f>
        <v/>
      </c>
      <c r="M788" s="37" t="str">
        <f t="shared" si="24"/>
        <v/>
      </c>
      <c r="N788" s="37" t="str">
        <f t="shared" si="25"/>
        <v/>
      </c>
      <c r="O788" s="9"/>
      <c r="P788" s="10"/>
    </row>
    <row r="789" spans="1:16" ht="20.1" customHeight="1">
      <c r="A789" s="9"/>
      <c r="B789" s="9"/>
      <c r="C789" s="9"/>
      <c r="D789" s="43"/>
      <c r="E789" s="9"/>
      <c r="F789" s="9"/>
      <c r="G789" s="47" t="str">
        <f>IF(F789="","",INDEX(站位样品信息!$B$3:INDEX(站位样品信息!$B:$B,COUNTA(站位样品信息!$B:$B)+1),MATCH($F789,站位样品信息!$A$3:INDEX(站位样品信息!$A:$A,COUNTA(站位样品信息!$A:$A)+1),),))</f>
        <v/>
      </c>
      <c r="H789" s="37" t="str">
        <f>IF(A789&amp;B789&amp;C789="","",INDEX(生物种群!$A$2:INDEX(生物种群!$A:$A,COUNTA(生物种群!$A:$A)),MATCH($I789,生物种群!$B$2:INDEX(生物种群!$B:$B,COUNTA(生物种群!$B:$B)),),))</f>
        <v/>
      </c>
      <c r="I789" s="37" t="str">
        <f>IF(A789&amp;B789&amp;C789="","",IF($C789&lt;&gt;0,INDEX(生物种群!$B$2:INDEX(生物种群!$B:$B,COUNTA(生物种群!$B:$B)),MATCH($C789,生物种群!$G$2:INDEX(生物种群!$G:$G,COUNTA(生物种群!$G:$G)),),),IF($A789&lt;&gt;0,INDEX(生物种群!$B$2:INDEX(生物种群!$B:$B,COUNTA(生物种群!$B:$B)),MATCH($A789,生物种群!$C$2:INDEX(生物种群!$C:$C,COUNTA(生物种群!$C:$C)),),),INDEX(生物种群!$B$2:INDEX(生物种群!$B:$B,COUNTA(生物种群!$B:$B)),MATCH($B789,生物种群!$D$2:INDEX(生物种群!$D:$D,COUNTA(生物种群!$D:$D)),),))))</f>
        <v/>
      </c>
      <c r="J789" s="37" t="str">
        <f>IF(A789&amp;B789&amp;C789="","",INDEX(生物种群!$J$2:INDEX(生物种群!$J:$J,COUNTA(生物种群!$J:$J)),MATCH($I789,生物种群!$B$2:INDEX(生物种群!$B:$B,COUNTA(生物种群!$B:$B)),),))</f>
        <v/>
      </c>
      <c r="K789" s="37" t="str">
        <f>IF(A789&amp;B789&amp;C789="","",INDEX(生物种群!$E$2:INDEX(生物种群!$E:$E,COUNTA(生物种群!$E:$E)),MATCH($I789,生物种群!$B$2:INDEX(生物种群!$B:$B,COUNTA(生物种群!$B:$B)),),))</f>
        <v/>
      </c>
      <c r="L789" s="37" t="str">
        <f>IF(A789&amp;B789&amp;C789="","",INDEX(生物种群!$F$3:INDEX(生物种群!$F:$F,COUNTA(生物种群!$F:$F)),MATCH($I789,生物种群!$B$3:INDEX(生物种群!$B:$B,COUNTA(生物种群!$B:$B)),),))</f>
        <v/>
      </c>
      <c r="M789" s="37" t="str">
        <f t="shared" si="24"/>
        <v/>
      </c>
      <c r="N789" s="37" t="str">
        <f t="shared" si="25"/>
        <v/>
      </c>
      <c r="O789" s="9"/>
      <c r="P789" s="10"/>
    </row>
    <row r="790" spans="1:16" ht="20.1" customHeight="1">
      <c r="A790" s="9"/>
      <c r="B790" s="9"/>
      <c r="C790" s="9"/>
      <c r="D790" s="43"/>
      <c r="E790" s="9"/>
      <c r="F790" s="9"/>
      <c r="G790" s="47" t="str">
        <f>IF(F790="","",INDEX(站位样品信息!$B$3:INDEX(站位样品信息!$B:$B,COUNTA(站位样品信息!$B:$B)+1),MATCH($F790,站位样品信息!$A$3:INDEX(站位样品信息!$A:$A,COUNTA(站位样品信息!$A:$A)+1),),))</f>
        <v/>
      </c>
      <c r="H790" s="37" t="str">
        <f>IF(A790&amp;B790&amp;C790="","",INDEX(生物种群!$A$2:INDEX(生物种群!$A:$A,COUNTA(生物种群!$A:$A)),MATCH($I790,生物种群!$B$2:INDEX(生物种群!$B:$B,COUNTA(生物种群!$B:$B)),),))</f>
        <v/>
      </c>
      <c r="I790" s="37" t="str">
        <f>IF(A790&amp;B790&amp;C790="","",IF($C790&lt;&gt;0,INDEX(生物种群!$B$2:INDEX(生物种群!$B:$B,COUNTA(生物种群!$B:$B)),MATCH($C790,生物种群!$G$2:INDEX(生物种群!$G:$G,COUNTA(生物种群!$G:$G)),),),IF($A790&lt;&gt;0,INDEX(生物种群!$B$2:INDEX(生物种群!$B:$B,COUNTA(生物种群!$B:$B)),MATCH($A790,生物种群!$C$2:INDEX(生物种群!$C:$C,COUNTA(生物种群!$C:$C)),),),INDEX(生物种群!$B$2:INDEX(生物种群!$B:$B,COUNTA(生物种群!$B:$B)),MATCH($B790,生物种群!$D$2:INDEX(生物种群!$D:$D,COUNTA(生物种群!$D:$D)),),))))</f>
        <v/>
      </c>
      <c r="J790" s="37" t="str">
        <f>IF(A790&amp;B790&amp;C790="","",INDEX(生物种群!$J$2:INDEX(生物种群!$J:$J,COUNTA(生物种群!$J:$J)),MATCH($I790,生物种群!$B$2:INDEX(生物种群!$B:$B,COUNTA(生物种群!$B:$B)),),))</f>
        <v/>
      </c>
      <c r="K790" s="37" t="str">
        <f>IF(A790&amp;B790&amp;C790="","",INDEX(生物种群!$E$2:INDEX(生物种群!$E:$E,COUNTA(生物种群!$E:$E)),MATCH($I790,生物种群!$B$2:INDEX(生物种群!$B:$B,COUNTA(生物种群!$B:$B)),),))</f>
        <v/>
      </c>
      <c r="L790" s="37" t="str">
        <f>IF(A790&amp;B790&amp;C790="","",INDEX(生物种群!$F$3:INDEX(生物种群!$F:$F,COUNTA(生物种群!$F:$F)),MATCH($I790,生物种群!$B$3:INDEX(生物种群!$B:$B,COUNTA(生物种群!$B:$B)),),))</f>
        <v/>
      </c>
      <c r="M790" s="37" t="str">
        <f t="shared" si="24"/>
        <v/>
      </c>
      <c r="N790" s="37" t="str">
        <f t="shared" si="25"/>
        <v/>
      </c>
      <c r="O790" s="9"/>
      <c r="P790" s="10"/>
    </row>
    <row r="791" spans="1:16" ht="20.1" customHeight="1">
      <c r="A791" s="9"/>
      <c r="B791" s="9"/>
      <c r="C791" s="9"/>
      <c r="D791" s="43"/>
      <c r="E791" s="9"/>
      <c r="F791" s="9"/>
      <c r="G791" s="47" t="str">
        <f>IF(F791="","",INDEX(站位样品信息!$B$3:INDEX(站位样品信息!$B:$B,COUNTA(站位样品信息!$B:$B)+1),MATCH($F791,站位样品信息!$A$3:INDEX(站位样品信息!$A:$A,COUNTA(站位样品信息!$A:$A)+1),),))</f>
        <v/>
      </c>
      <c r="H791" s="37" t="str">
        <f>IF(A791&amp;B791&amp;C791="","",INDEX(生物种群!$A$2:INDEX(生物种群!$A:$A,COUNTA(生物种群!$A:$A)),MATCH($I791,生物种群!$B$2:INDEX(生物种群!$B:$B,COUNTA(生物种群!$B:$B)),),))</f>
        <v/>
      </c>
      <c r="I791" s="37" t="str">
        <f>IF(A791&amp;B791&amp;C791="","",IF($C791&lt;&gt;0,INDEX(生物种群!$B$2:INDEX(生物种群!$B:$B,COUNTA(生物种群!$B:$B)),MATCH($C791,生物种群!$G$2:INDEX(生物种群!$G:$G,COUNTA(生物种群!$G:$G)),),),IF($A791&lt;&gt;0,INDEX(生物种群!$B$2:INDEX(生物种群!$B:$B,COUNTA(生物种群!$B:$B)),MATCH($A791,生物种群!$C$2:INDEX(生物种群!$C:$C,COUNTA(生物种群!$C:$C)),),),INDEX(生物种群!$B$2:INDEX(生物种群!$B:$B,COUNTA(生物种群!$B:$B)),MATCH($B791,生物种群!$D$2:INDEX(生物种群!$D:$D,COUNTA(生物种群!$D:$D)),),))))</f>
        <v/>
      </c>
      <c r="J791" s="37" t="str">
        <f>IF(A791&amp;B791&amp;C791="","",INDEX(生物种群!$J$2:INDEX(生物种群!$J:$J,COUNTA(生物种群!$J:$J)),MATCH($I791,生物种群!$B$2:INDEX(生物种群!$B:$B,COUNTA(生物种群!$B:$B)),),))</f>
        <v/>
      </c>
      <c r="K791" s="37" t="str">
        <f>IF(A791&amp;B791&amp;C791="","",INDEX(生物种群!$E$2:INDEX(生物种群!$E:$E,COUNTA(生物种群!$E:$E)),MATCH($I791,生物种群!$B$2:INDEX(生物种群!$B:$B,COUNTA(生物种群!$B:$B)),),))</f>
        <v/>
      </c>
      <c r="L791" s="37" t="str">
        <f>IF(A791&amp;B791&amp;C791="","",INDEX(生物种群!$F$3:INDEX(生物种群!$F:$F,COUNTA(生物种群!$F:$F)),MATCH($I791,生物种群!$B$3:INDEX(生物种群!$B:$B,COUNTA(生物种群!$B:$B)),),))</f>
        <v/>
      </c>
      <c r="M791" s="37" t="str">
        <f t="shared" si="24"/>
        <v/>
      </c>
      <c r="N791" s="37" t="str">
        <f t="shared" si="25"/>
        <v/>
      </c>
      <c r="O791" s="9"/>
      <c r="P791" s="10"/>
    </row>
    <row r="792" spans="1:16" ht="20.1" customHeight="1">
      <c r="A792" s="9"/>
      <c r="B792" s="9"/>
      <c r="C792" s="9"/>
      <c r="D792" s="43"/>
      <c r="E792" s="9"/>
      <c r="F792" s="9"/>
      <c r="G792" s="47" t="str">
        <f>IF(F792="","",INDEX(站位样品信息!$B$3:INDEX(站位样品信息!$B:$B,COUNTA(站位样品信息!$B:$B)+1),MATCH($F792,站位样品信息!$A$3:INDEX(站位样品信息!$A:$A,COUNTA(站位样品信息!$A:$A)+1),),))</f>
        <v/>
      </c>
      <c r="H792" s="37" t="str">
        <f>IF(A792&amp;B792&amp;C792="","",INDEX(生物种群!$A$2:INDEX(生物种群!$A:$A,COUNTA(生物种群!$A:$A)),MATCH($I792,生物种群!$B$2:INDEX(生物种群!$B:$B,COUNTA(生物种群!$B:$B)),),))</f>
        <v/>
      </c>
      <c r="I792" s="37" t="str">
        <f>IF(A792&amp;B792&amp;C792="","",IF($C792&lt;&gt;0,INDEX(生物种群!$B$2:INDEX(生物种群!$B:$B,COUNTA(生物种群!$B:$B)),MATCH($C792,生物种群!$G$2:INDEX(生物种群!$G:$G,COUNTA(生物种群!$G:$G)),),),IF($A792&lt;&gt;0,INDEX(生物种群!$B$2:INDEX(生物种群!$B:$B,COUNTA(生物种群!$B:$B)),MATCH($A792,生物种群!$C$2:INDEX(生物种群!$C:$C,COUNTA(生物种群!$C:$C)),),),INDEX(生物种群!$B$2:INDEX(生物种群!$B:$B,COUNTA(生物种群!$B:$B)),MATCH($B792,生物种群!$D$2:INDEX(生物种群!$D:$D,COUNTA(生物种群!$D:$D)),),))))</f>
        <v/>
      </c>
      <c r="J792" s="37" t="str">
        <f>IF(A792&amp;B792&amp;C792="","",INDEX(生物种群!$J$2:INDEX(生物种群!$J:$J,COUNTA(生物种群!$J:$J)),MATCH($I792,生物种群!$B$2:INDEX(生物种群!$B:$B,COUNTA(生物种群!$B:$B)),),))</f>
        <v/>
      </c>
      <c r="K792" s="37" t="str">
        <f>IF(A792&amp;B792&amp;C792="","",INDEX(生物种群!$E$2:INDEX(生物种群!$E:$E,COUNTA(生物种群!$E:$E)),MATCH($I792,生物种群!$B$2:INDEX(生物种群!$B:$B,COUNTA(生物种群!$B:$B)),),))</f>
        <v/>
      </c>
      <c r="L792" s="37" t="str">
        <f>IF(A792&amp;B792&amp;C792="","",INDEX(生物种群!$F$3:INDEX(生物种群!$F:$F,COUNTA(生物种群!$F:$F)),MATCH($I792,生物种群!$B$3:INDEX(生物种群!$B:$B,COUNTA(生物种群!$B:$B)),),))</f>
        <v/>
      </c>
      <c r="M792" s="37" t="str">
        <f t="shared" si="24"/>
        <v/>
      </c>
      <c r="N792" s="37" t="str">
        <f t="shared" si="25"/>
        <v/>
      </c>
      <c r="O792" s="9"/>
      <c r="P792" s="10"/>
    </row>
    <row r="793" spans="1:16" ht="20.1" customHeight="1">
      <c r="A793" s="9"/>
      <c r="B793" s="9"/>
      <c r="C793" s="9"/>
      <c r="D793" s="43"/>
      <c r="E793" s="9"/>
      <c r="F793" s="9"/>
      <c r="G793" s="47" t="str">
        <f>IF(F793="","",INDEX(站位样品信息!$B$3:INDEX(站位样品信息!$B:$B,COUNTA(站位样品信息!$B:$B)+1),MATCH($F793,站位样品信息!$A$3:INDEX(站位样品信息!$A:$A,COUNTA(站位样品信息!$A:$A)+1),),))</f>
        <v/>
      </c>
      <c r="H793" s="37" t="str">
        <f>IF(A793&amp;B793&amp;C793="","",INDEX(生物种群!$A$2:INDEX(生物种群!$A:$A,COUNTA(生物种群!$A:$A)),MATCH($I793,生物种群!$B$2:INDEX(生物种群!$B:$B,COUNTA(生物种群!$B:$B)),),))</f>
        <v/>
      </c>
      <c r="I793" s="37" t="str">
        <f>IF(A793&amp;B793&amp;C793="","",IF($C793&lt;&gt;0,INDEX(生物种群!$B$2:INDEX(生物种群!$B:$B,COUNTA(生物种群!$B:$B)),MATCH($C793,生物种群!$G$2:INDEX(生物种群!$G:$G,COUNTA(生物种群!$G:$G)),),),IF($A793&lt;&gt;0,INDEX(生物种群!$B$2:INDEX(生物种群!$B:$B,COUNTA(生物种群!$B:$B)),MATCH($A793,生物种群!$C$2:INDEX(生物种群!$C:$C,COUNTA(生物种群!$C:$C)),),),INDEX(生物种群!$B$2:INDEX(生物种群!$B:$B,COUNTA(生物种群!$B:$B)),MATCH($B793,生物种群!$D$2:INDEX(生物种群!$D:$D,COUNTA(生物种群!$D:$D)),),))))</f>
        <v/>
      </c>
      <c r="J793" s="37" t="str">
        <f>IF(A793&amp;B793&amp;C793="","",INDEX(生物种群!$J$2:INDEX(生物种群!$J:$J,COUNTA(生物种群!$J:$J)),MATCH($I793,生物种群!$B$2:INDEX(生物种群!$B:$B,COUNTA(生物种群!$B:$B)),),))</f>
        <v/>
      </c>
      <c r="K793" s="37" t="str">
        <f>IF(A793&amp;B793&amp;C793="","",INDEX(生物种群!$E$2:INDEX(生物种群!$E:$E,COUNTA(生物种群!$E:$E)),MATCH($I793,生物种群!$B$2:INDEX(生物种群!$B:$B,COUNTA(生物种群!$B:$B)),),))</f>
        <v/>
      </c>
      <c r="L793" s="37" t="str">
        <f>IF(A793&amp;B793&amp;C793="","",INDEX(生物种群!$F$3:INDEX(生物种群!$F:$F,COUNTA(生物种群!$F:$F)),MATCH($I793,生物种群!$B$3:INDEX(生物种群!$B:$B,COUNTA(生物种群!$B:$B)),),))</f>
        <v/>
      </c>
      <c r="M793" s="37" t="str">
        <f t="shared" si="24"/>
        <v/>
      </c>
      <c r="N793" s="37" t="str">
        <f t="shared" si="25"/>
        <v/>
      </c>
      <c r="O793" s="9"/>
      <c r="P793" s="10"/>
    </row>
    <row r="794" spans="1:16" ht="20.1" customHeight="1">
      <c r="A794" s="9"/>
      <c r="B794" s="9"/>
      <c r="C794" s="9"/>
      <c r="D794" s="43"/>
      <c r="E794" s="9"/>
      <c r="F794" s="9"/>
      <c r="G794" s="47" t="str">
        <f>IF(F794="","",INDEX(站位样品信息!$B$3:INDEX(站位样品信息!$B:$B,COUNTA(站位样品信息!$B:$B)+1),MATCH($F794,站位样品信息!$A$3:INDEX(站位样品信息!$A:$A,COUNTA(站位样品信息!$A:$A)+1),),))</f>
        <v/>
      </c>
      <c r="H794" s="37" t="str">
        <f>IF(A794&amp;B794&amp;C794="","",INDEX(生物种群!$A$2:INDEX(生物种群!$A:$A,COUNTA(生物种群!$A:$A)),MATCH($I794,生物种群!$B$2:INDEX(生物种群!$B:$B,COUNTA(生物种群!$B:$B)),),))</f>
        <v/>
      </c>
      <c r="I794" s="37" t="str">
        <f>IF(A794&amp;B794&amp;C794="","",IF($C794&lt;&gt;0,INDEX(生物种群!$B$2:INDEX(生物种群!$B:$B,COUNTA(生物种群!$B:$B)),MATCH($C794,生物种群!$G$2:INDEX(生物种群!$G:$G,COUNTA(生物种群!$G:$G)),),),IF($A794&lt;&gt;0,INDEX(生物种群!$B$2:INDEX(生物种群!$B:$B,COUNTA(生物种群!$B:$B)),MATCH($A794,生物种群!$C$2:INDEX(生物种群!$C:$C,COUNTA(生物种群!$C:$C)),),),INDEX(生物种群!$B$2:INDEX(生物种群!$B:$B,COUNTA(生物种群!$B:$B)),MATCH($B794,生物种群!$D$2:INDEX(生物种群!$D:$D,COUNTA(生物种群!$D:$D)),),))))</f>
        <v/>
      </c>
      <c r="J794" s="37" t="str">
        <f>IF(A794&amp;B794&amp;C794="","",INDEX(生物种群!$J$2:INDEX(生物种群!$J:$J,COUNTA(生物种群!$J:$J)),MATCH($I794,生物种群!$B$2:INDEX(生物种群!$B:$B,COUNTA(生物种群!$B:$B)),),))</f>
        <v/>
      </c>
      <c r="K794" s="37" t="str">
        <f>IF(A794&amp;B794&amp;C794="","",INDEX(生物种群!$E$2:INDEX(生物种群!$E:$E,COUNTA(生物种群!$E:$E)),MATCH($I794,生物种群!$B$2:INDEX(生物种群!$B:$B,COUNTA(生物种群!$B:$B)),),))</f>
        <v/>
      </c>
      <c r="L794" s="37" t="str">
        <f>IF(A794&amp;B794&amp;C794="","",INDEX(生物种群!$F$3:INDEX(生物种群!$F:$F,COUNTA(生物种群!$F:$F)),MATCH($I794,生物种群!$B$3:INDEX(生物种群!$B:$B,COUNTA(生物种群!$B:$B)),),))</f>
        <v/>
      </c>
      <c r="M794" s="37" t="str">
        <f t="shared" si="24"/>
        <v/>
      </c>
      <c r="N794" s="37" t="str">
        <f t="shared" si="25"/>
        <v/>
      </c>
      <c r="O794" s="9"/>
      <c r="P794" s="10"/>
    </row>
    <row r="795" spans="1:16" ht="20.1" customHeight="1">
      <c r="A795" s="9"/>
      <c r="B795" s="9"/>
      <c r="C795" s="9"/>
      <c r="D795" s="43"/>
      <c r="E795" s="9"/>
      <c r="F795" s="9"/>
      <c r="G795" s="47" t="str">
        <f>IF(F795="","",INDEX(站位样品信息!$B$3:INDEX(站位样品信息!$B:$B,COUNTA(站位样品信息!$B:$B)+1),MATCH($F795,站位样品信息!$A$3:INDEX(站位样品信息!$A:$A,COUNTA(站位样品信息!$A:$A)+1),),))</f>
        <v/>
      </c>
      <c r="H795" s="37" t="str">
        <f>IF(A795&amp;B795&amp;C795="","",INDEX(生物种群!$A$2:INDEX(生物种群!$A:$A,COUNTA(生物种群!$A:$A)),MATCH($I795,生物种群!$B$2:INDEX(生物种群!$B:$B,COUNTA(生物种群!$B:$B)),),))</f>
        <v/>
      </c>
      <c r="I795" s="37" t="str">
        <f>IF(A795&amp;B795&amp;C795="","",IF($C795&lt;&gt;0,INDEX(生物种群!$B$2:INDEX(生物种群!$B:$B,COUNTA(生物种群!$B:$B)),MATCH($C795,生物种群!$G$2:INDEX(生物种群!$G:$G,COUNTA(生物种群!$G:$G)),),),IF($A795&lt;&gt;0,INDEX(生物种群!$B$2:INDEX(生物种群!$B:$B,COUNTA(生物种群!$B:$B)),MATCH($A795,生物种群!$C$2:INDEX(生物种群!$C:$C,COUNTA(生物种群!$C:$C)),),),INDEX(生物种群!$B$2:INDEX(生物种群!$B:$B,COUNTA(生物种群!$B:$B)),MATCH($B795,生物种群!$D$2:INDEX(生物种群!$D:$D,COUNTA(生物种群!$D:$D)),),))))</f>
        <v/>
      </c>
      <c r="J795" s="37" t="str">
        <f>IF(A795&amp;B795&amp;C795="","",INDEX(生物种群!$J$2:INDEX(生物种群!$J:$J,COUNTA(生物种群!$J:$J)),MATCH($I795,生物种群!$B$2:INDEX(生物种群!$B:$B,COUNTA(生物种群!$B:$B)),),))</f>
        <v/>
      </c>
      <c r="K795" s="37" t="str">
        <f>IF(A795&amp;B795&amp;C795="","",INDEX(生物种群!$E$2:INDEX(生物种群!$E:$E,COUNTA(生物种群!$E:$E)),MATCH($I795,生物种群!$B$2:INDEX(生物种群!$B:$B,COUNTA(生物种群!$B:$B)),),))</f>
        <v/>
      </c>
      <c r="L795" s="37" t="str">
        <f>IF(A795&amp;B795&amp;C795="","",INDEX(生物种群!$F$3:INDEX(生物种群!$F:$F,COUNTA(生物种群!$F:$F)),MATCH($I795,生物种群!$B$3:INDEX(生物种群!$B:$B,COUNTA(生物种群!$B:$B)),),))</f>
        <v/>
      </c>
      <c r="M795" s="37" t="str">
        <f t="shared" si="24"/>
        <v/>
      </c>
      <c r="N795" s="37" t="str">
        <f t="shared" si="25"/>
        <v/>
      </c>
      <c r="O795" s="9"/>
      <c r="P795" s="10"/>
    </row>
    <row r="796" spans="1:16" ht="20.1" customHeight="1">
      <c r="A796" s="9"/>
      <c r="B796" s="9"/>
      <c r="C796" s="9"/>
      <c r="D796" s="43"/>
      <c r="E796" s="9"/>
      <c r="F796" s="9"/>
      <c r="G796" s="47" t="str">
        <f>IF(F796="","",INDEX(站位样品信息!$B$3:INDEX(站位样品信息!$B:$B,COUNTA(站位样品信息!$B:$B)+1),MATCH($F796,站位样品信息!$A$3:INDEX(站位样品信息!$A:$A,COUNTA(站位样品信息!$A:$A)+1),),))</f>
        <v/>
      </c>
      <c r="H796" s="37" t="str">
        <f>IF(A796&amp;B796&amp;C796="","",INDEX(生物种群!$A$2:INDEX(生物种群!$A:$A,COUNTA(生物种群!$A:$A)),MATCH($I796,生物种群!$B$2:INDEX(生物种群!$B:$B,COUNTA(生物种群!$B:$B)),),))</f>
        <v/>
      </c>
      <c r="I796" s="37" t="str">
        <f>IF(A796&amp;B796&amp;C796="","",IF($C796&lt;&gt;0,INDEX(生物种群!$B$2:INDEX(生物种群!$B:$B,COUNTA(生物种群!$B:$B)),MATCH($C796,生物种群!$G$2:INDEX(生物种群!$G:$G,COUNTA(生物种群!$G:$G)),),),IF($A796&lt;&gt;0,INDEX(生物种群!$B$2:INDEX(生物种群!$B:$B,COUNTA(生物种群!$B:$B)),MATCH($A796,生物种群!$C$2:INDEX(生物种群!$C:$C,COUNTA(生物种群!$C:$C)),),),INDEX(生物种群!$B$2:INDEX(生物种群!$B:$B,COUNTA(生物种群!$B:$B)),MATCH($B796,生物种群!$D$2:INDEX(生物种群!$D:$D,COUNTA(生物种群!$D:$D)),),))))</f>
        <v/>
      </c>
      <c r="J796" s="37" t="str">
        <f>IF(A796&amp;B796&amp;C796="","",INDEX(生物种群!$J$2:INDEX(生物种群!$J:$J,COUNTA(生物种群!$J:$J)),MATCH($I796,生物种群!$B$2:INDEX(生物种群!$B:$B,COUNTA(生物种群!$B:$B)),),))</f>
        <v/>
      </c>
      <c r="K796" s="37" t="str">
        <f>IF(A796&amp;B796&amp;C796="","",INDEX(生物种群!$E$2:INDEX(生物种群!$E:$E,COUNTA(生物种群!$E:$E)),MATCH($I796,生物种群!$B$2:INDEX(生物种群!$B:$B,COUNTA(生物种群!$B:$B)),),))</f>
        <v/>
      </c>
      <c r="L796" s="37" t="str">
        <f>IF(A796&amp;B796&amp;C796="","",INDEX(生物种群!$F$3:INDEX(生物种群!$F:$F,COUNTA(生物种群!$F:$F)),MATCH($I796,生物种群!$B$3:INDEX(生物种群!$B:$B,COUNTA(生物种群!$B:$B)),),))</f>
        <v/>
      </c>
      <c r="M796" s="37" t="str">
        <f t="shared" si="24"/>
        <v/>
      </c>
      <c r="N796" s="37" t="str">
        <f t="shared" si="25"/>
        <v/>
      </c>
      <c r="O796" s="9"/>
      <c r="P796" s="10"/>
    </row>
    <row r="797" spans="1:16" ht="20.1" customHeight="1">
      <c r="A797" s="9"/>
      <c r="B797" s="9"/>
      <c r="C797" s="9"/>
      <c r="D797" s="43"/>
      <c r="E797" s="9"/>
      <c r="F797" s="9"/>
      <c r="G797" s="47" t="str">
        <f>IF(F797="","",INDEX(站位样品信息!$B$3:INDEX(站位样品信息!$B:$B,COUNTA(站位样品信息!$B:$B)+1),MATCH($F797,站位样品信息!$A$3:INDEX(站位样品信息!$A:$A,COUNTA(站位样品信息!$A:$A)+1),),))</f>
        <v/>
      </c>
      <c r="H797" s="37" t="str">
        <f>IF(A797&amp;B797&amp;C797="","",INDEX(生物种群!$A$2:INDEX(生物种群!$A:$A,COUNTA(生物种群!$A:$A)),MATCH($I797,生物种群!$B$2:INDEX(生物种群!$B:$B,COUNTA(生物种群!$B:$B)),),))</f>
        <v/>
      </c>
      <c r="I797" s="37" t="str">
        <f>IF(A797&amp;B797&amp;C797="","",IF($C797&lt;&gt;0,INDEX(生物种群!$B$2:INDEX(生物种群!$B:$B,COUNTA(生物种群!$B:$B)),MATCH($C797,生物种群!$G$2:INDEX(生物种群!$G:$G,COUNTA(生物种群!$G:$G)),),),IF($A797&lt;&gt;0,INDEX(生物种群!$B$2:INDEX(生物种群!$B:$B,COUNTA(生物种群!$B:$B)),MATCH($A797,生物种群!$C$2:INDEX(生物种群!$C:$C,COUNTA(生物种群!$C:$C)),),),INDEX(生物种群!$B$2:INDEX(生物种群!$B:$B,COUNTA(生物种群!$B:$B)),MATCH($B797,生物种群!$D$2:INDEX(生物种群!$D:$D,COUNTA(生物种群!$D:$D)),),))))</f>
        <v/>
      </c>
      <c r="J797" s="37" t="str">
        <f>IF(A797&amp;B797&amp;C797="","",INDEX(生物种群!$J$2:INDEX(生物种群!$J:$J,COUNTA(生物种群!$J:$J)),MATCH($I797,生物种群!$B$2:INDEX(生物种群!$B:$B,COUNTA(生物种群!$B:$B)),),))</f>
        <v/>
      </c>
      <c r="K797" s="37" t="str">
        <f>IF(A797&amp;B797&amp;C797="","",INDEX(生物种群!$E$2:INDEX(生物种群!$E:$E,COUNTA(生物种群!$E:$E)),MATCH($I797,生物种群!$B$2:INDEX(生物种群!$B:$B,COUNTA(生物种群!$B:$B)),),))</f>
        <v/>
      </c>
      <c r="L797" s="37" t="str">
        <f>IF(A797&amp;B797&amp;C797="","",INDEX(生物种群!$F$3:INDEX(生物种群!$F:$F,COUNTA(生物种群!$F:$F)),MATCH($I797,生物种群!$B$3:INDEX(生物种群!$B:$B,COUNTA(生物种群!$B:$B)),),))</f>
        <v/>
      </c>
      <c r="M797" s="37" t="str">
        <f t="shared" si="24"/>
        <v/>
      </c>
      <c r="N797" s="37" t="str">
        <f t="shared" si="25"/>
        <v/>
      </c>
      <c r="O797" s="9"/>
      <c r="P797" s="10"/>
    </row>
    <row r="798" spans="1:16" ht="20.1" customHeight="1">
      <c r="A798" s="9"/>
      <c r="B798" s="9"/>
      <c r="C798" s="9"/>
      <c r="D798" s="43"/>
      <c r="E798" s="9"/>
      <c r="F798" s="9"/>
      <c r="G798" s="47" t="str">
        <f>IF(F798="","",INDEX(站位样品信息!$B$3:INDEX(站位样品信息!$B:$B,COUNTA(站位样品信息!$B:$B)+1),MATCH($F798,站位样品信息!$A$3:INDEX(站位样品信息!$A:$A,COUNTA(站位样品信息!$A:$A)+1),),))</f>
        <v/>
      </c>
      <c r="H798" s="37" t="str">
        <f>IF(A798&amp;B798&amp;C798="","",INDEX(生物种群!$A$2:INDEX(生物种群!$A:$A,COUNTA(生物种群!$A:$A)),MATCH($I798,生物种群!$B$2:INDEX(生物种群!$B:$B,COUNTA(生物种群!$B:$B)),),))</f>
        <v/>
      </c>
      <c r="I798" s="37" t="str">
        <f>IF(A798&amp;B798&amp;C798="","",IF($C798&lt;&gt;0,INDEX(生物种群!$B$2:INDEX(生物种群!$B:$B,COUNTA(生物种群!$B:$B)),MATCH($C798,生物种群!$G$2:INDEX(生物种群!$G:$G,COUNTA(生物种群!$G:$G)),),),IF($A798&lt;&gt;0,INDEX(生物种群!$B$2:INDEX(生物种群!$B:$B,COUNTA(生物种群!$B:$B)),MATCH($A798,生物种群!$C$2:INDEX(生物种群!$C:$C,COUNTA(生物种群!$C:$C)),),),INDEX(生物种群!$B$2:INDEX(生物种群!$B:$B,COUNTA(生物种群!$B:$B)),MATCH($B798,生物种群!$D$2:INDEX(生物种群!$D:$D,COUNTA(生物种群!$D:$D)),),))))</f>
        <v/>
      </c>
      <c r="J798" s="37" t="str">
        <f>IF(A798&amp;B798&amp;C798="","",INDEX(生物种群!$J$2:INDEX(生物种群!$J:$J,COUNTA(生物种群!$J:$J)),MATCH($I798,生物种群!$B$2:INDEX(生物种群!$B:$B,COUNTA(生物种群!$B:$B)),),))</f>
        <v/>
      </c>
      <c r="K798" s="37" t="str">
        <f>IF(A798&amp;B798&amp;C798="","",INDEX(生物种群!$E$2:INDEX(生物种群!$E:$E,COUNTA(生物种群!$E:$E)),MATCH($I798,生物种群!$B$2:INDEX(生物种群!$B:$B,COUNTA(生物种群!$B:$B)),),))</f>
        <v/>
      </c>
      <c r="L798" s="37" t="str">
        <f>IF(A798&amp;B798&amp;C798="","",INDEX(生物种群!$F$3:INDEX(生物种群!$F:$F,COUNTA(生物种群!$F:$F)),MATCH($I798,生物种群!$B$3:INDEX(生物种群!$B:$B,COUNTA(生物种群!$B:$B)),),))</f>
        <v/>
      </c>
      <c r="M798" s="37" t="str">
        <f t="shared" si="24"/>
        <v/>
      </c>
      <c r="N798" s="37" t="str">
        <f t="shared" si="25"/>
        <v/>
      </c>
      <c r="O798" s="9"/>
      <c r="P798" s="10"/>
    </row>
    <row r="799" spans="1:16" ht="20.1" customHeight="1">
      <c r="A799" s="9"/>
      <c r="B799" s="9"/>
      <c r="C799" s="9"/>
      <c r="D799" s="43"/>
      <c r="E799" s="9"/>
      <c r="F799" s="9"/>
      <c r="G799" s="47" t="str">
        <f>IF(F799="","",INDEX(站位样品信息!$B$3:INDEX(站位样品信息!$B:$B,COUNTA(站位样品信息!$B:$B)+1),MATCH($F799,站位样品信息!$A$3:INDEX(站位样品信息!$A:$A,COUNTA(站位样品信息!$A:$A)+1),),))</f>
        <v/>
      </c>
      <c r="H799" s="37" t="str">
        <f>IF(A799&amp;B799&amp;C799="","",INDEX(生物种群!$A$2:INDEX(生物种群!$A:$A,COUNTA(生物种群!$A:$A)),MATCH($I799,生物种群!$B$2:INDEX(生物种群!$B:$B,COUNTA(生物种群!$B:$B)),),))</f>
        <v/>
      </c>
      <c r="I799" s="37" t="str">
        <f>IF(A799&amp;B799&amp;C799="","",IF($C799&lt;&gt;0,INDEX(生物种群!$B$2:INDEX(生物种群!$B:$B,COUNTA(生物种群!$B:$B)),MATCH($C799,生物种群!$G$2:INDEX(生物种群!$G:$G,COUNTA(生物种群!$G:$G)),),),IF($A799&lt;&gt;0,INDEX(生物种群!$B$2:INDEX(生物种群!$B:$B,COUNTA(生物种群!$B:$B)),MATCH($A799,生物种群!$C$2:INDEX(生物种群!$C:$C,COUNTA(生物种群!$C:$C)),),),INDEX(生物种群!$B$2:INDEX(生物种群!$B:$B,COUNTA(生物种群!$B:$B)),MATCH($B799,生物种群!$D$2:INDEX(生物种群!$D:$D,COUNTA(生物种群!$D:$D)),),))))</f>
        <v/>
      </c>
      <c r="J799" s="37" t="str">
        <f>IF(A799&amp;B799&amp;C799="","",INDEX(生物种群!$J$2:INDEX(生物种群!$J:$J,COUNTA(生物种群!$J:$J)),MATCH($I799,生物种群!$B$2:INDEX(生物种群!$B:$B,COUNTA(生物种群!$B:$B)),),))</f>
        <v/>
      </c>
      <c r="K799" s="37" t="str">
        <f>IF(A799&amp;B799&amp;C799="","",INDEX(生物种群!$E$2:INDEX(生物种群!$E:$E,COUNTA(生物种群!$E:$E)),MATCH($I799,生物种群!$B$2:INDEX(生物种群!$B:$B,COUNTA(生物种群!$B:$B)),),))</f>
        <v/>
      </c>
      <c r="L799" s="37" t="str">
        <f>IF(A799&amp;B799&amp;C799="","",INDEX(生物种群!$F$3:INDEX(生物种群!$F:$F,COUNTA(生物种群!$F:$F)),MATCH($I799,生物种群!$B$3:INDEX(生物种群!$B:$B,COUNTA(生物种群!$B:$B)),),))</f>
        <v/>
      </c>
      <c r="M799" s="37" t="str">
        <f t="shared" si="24"/>
        <v/>
      </c>
      <c r="N799" s="37" t="str">
        <f t="shared" si="25"/>
        <v/>
      </c>
      <c r="O799" s="9"/>
      <c r="P799" s="10"/>
    </row>
    <row r="800" spans="1:16" ht="20.1" customHeight="1">
      <c r="A800" s="9"/>
      <c r="B800" s="9"/>
      <c r="C800" s="9"/>
      <c r="D800" s="43"/>
      <c r="E800" s="9"/>
      <c r="F800" s="9"/>
      <c r="G800" s="47" t="str">
        <f>IF(F800="","",INDEX(站位样品信息!$B$3:INDEX(站位样品信息!$B:$B,COUNTA(站位样品信息!$B:$B)+1),MATCH($F800,站位样品信息!$A$3:INDEX(站位样品信息!$A:$A,COUNTA(站位样品信息!$A:$A)+1),),))</f>
        <v/>
      </c>
      <c r="H800" s="37" t="str">
        <f>IF(A800&amp;B800&amp;C800="","",INDEX(生物种群!$A$2:INDEX(生物种群!$A:$A,COUNTA(生物种群!$A:$A)),MATCH($I800,生物种群!$B$2:INDEX(生物种群!$B:$B,COUNTA(生物种群!$B:$B)),),))</f>
        <v/>
      </c>
      <c r="I800" s="37" t="str">
        <f>IF(A800&amp;B800&amp;C800="","",IF($C800&lt;&gt;0,INDEX(生物种群!$B$2:INDEX(生物种群!$B:$B,COUNTA(生物种群!$B:$B)),MATCH($C800,生物种群!$G$2:INDEX(生物种群!$G:$G,COUNTA(生物种群!$G:$G)),),),IF($A800&lt;&gt;0,INDEX(生物种群!$B$2:INDEX(生物种群!$B:$B,COUNTA(生物种群!$B:$B)),MATCH($A800,生物种群!$C$2:INDEX(生物种群!$C:$C,COUNTA(生物种群!$C:$C)),),),INDEX(生物种群!$B$2:INDEX(生物种群!$B:$B,COUNTA(生物种群!$B:$B)),MATCH($B800,生物种群!$D$2:INDEX(生物种群!$D:$D,COUNTA(生物种群!$D:$D)),),))))</f>
        <v/>
      </c>
      <c r="J800" s="37" t="str">
        <f>IF(A800&amp;B800&amp;C800="","",INDEX(生物种群!$J$2:INDEX(生物种群!$J:$J,COUNTA(生物种群!$J:$J)),MATCH($I800,生物种群!$B$2:INDEX(生物种群!$B:$B,COUNTA(生物种群!$B:$B)),),))</f>
        <v/>
      </c>
      <c r="K800" s="37" t="str">
        <f>IF(A800&amp;B800&amp;C800="","",INDEX(生物种群!$E$2:INDEX(生物种群!$E:$E,COUNTA(生物种群!$E:$E)),MATCH($I800,生物种群!$B$2:INDEX(生物种群!$B:$B,COUNTA(生物种群!$B:$B)),),))</f>
        <v/>
      </c>
      <c r="L800" s="37" t="str">
        <f>IF(A800&amp;B800&amp;C800="","",INDEX(生物种群!$F$3:INDEX(生物种群!$F:$F,COUNTA(生物种群!$F:$F)),MATCH($I800,生物种群!$B$3:INDEX(生物种群!$B:$B,COUNTA(生物种群!$B:$B)),),))</f>
        <v/>
      </c>
      <c r="M800" s="37" t="str">
        <f t="shared" si="24"/>
        <v/>
      </c>
      <c r="N800" s="37" t="str">
        <f t="shared" si="25"/>
        <v/>
      </c>
      <c r="O800" s="9"/>
      <c r="P800" s="10"/>
    </row>
    <row r="801" spans="1:16" ht="20.1" customHeight="1">
      <c r="A801" s="9"/>
      <c r="B801" s="9"/>
      <c r="C801" s="9"/>
      <c r="D801" s="43"/>
      <c r="E801" s="9"/>
      <c r="F801" s="9"/>
      <c r="G801" s="47" t="str">
        <f>IF(F801="","",INDEX(站位样品信息!$B$3:INDEX(站位样品信息!$B:$B,COUNTA(站位样品信息!$B:$B)+1),MATCH($F801,站位样品信息!$A$3:INDEX(站位样品信息!$A:$A,COUNTA(站位样品信息!$A:$A)+1),),))</f>
        <v/>
      </c>
      <c r="H801" s="37" t="str">
        <f>IF(A801&amp;B801&amp;C801="","",INDEX(生物种群!$A$2:INDEX(生物种群!$A:$A,COUNTA(生物种群!$A:$A)),MATCH($I801,生物种群!$B$2:INDEX(生物种群!$B:$B,COUNTA(生物种群!$B:$B)),),))</f>
        <v/>
      </c>
      <c r="I801" s="37" t="str">
        <f>IF(A801&amp;B801&amp;C801="","",IF($C801&lt;&gt;0,INDEX(生物种群!$B$2:INDEX(生物种群!$B:$B,COUNTA(生物种群!$B:$B)),MATCH($C801,生物种群!$G$2:INDEX(生物种群!$G:$G,COUNTA(生物种群!$G:$G)),),),IF($A801&lt;&gt;0,INDEX(生物种群!$B$2:INDEX(生物种群!$B:$B,COUNTA(生物种群!$B:$B)),MATCH($A801,生物种群!$C$2:INDEX(生物种群!$C:$C,COUNTA(生物种群!$C:$C)),),),INDEX(生物种群!$B$2:INDEX(生物种群!$B:$B,COUNTA(生物种群!$B:$B)),MATCH($B801,生物种群!$D$2:INDEX(生物种群!$D:$D,COUNTA(生物种群!$D:$D)),),))))</f>
        <v/>
      </c>
      <c r="J801" s="37" t="str">
        <f>IF(A801&amp;B801&amp;C801="","",INDEX(生物种群!$J$2:INDEX(生物种群!$J:$J,COUNTA(生物种群!$J:$J)),MATCH($I801,生物种群!$B$2:INDEX(生物种群!$B:$B,COUNTA(生物种群!$B:$B)),),))</f>
        <v/>
      </c>
      <c r="K801" s="37" t="str">
        <f>IF(A801&amp;B801&amp;C801="","",INDEX(生物种群!$E$2:INDEX(生物种群!$E:$E,COUNTA(生物种群!$E:$E)),MATCH($I801,生物种群!$B$2:INDEX(生物种群!$B:$B,COUNTA(生物种群!$B:$B)),),))</f>
        <v/>
      </c>
      <c r="L801" s="37" t="str">
        <f>IF(A801&amp;B801&amp;C801="","",INDEX(生物种群!$F$3:INDEX(生物种群!$F:$F,COUNTA(生物种群!$F:$F)),MATCH($I801,生物种群!$B$3:INDEX(生物种群!$B:$B,COUNTA(生物种群!$B:$B)),),))</f>
        <v/>
      </c>
      <c r="M801" s="37" t="str">
        <f t="shared" si="24"/>
        <v/>
      </c>
      <c r="N801" s="37" t="str">
        <f t="shared" si="25"/>
        <v/>
      </c>
      <c r="O801" s="9"/>
      <c r="P801" s="10"/>
    </row>
    <row r="802" spans="1:16" ht="20.1" customHeight="1">
      <c r="A802" s="9"/>
      <c r="B802" s="9"/>
      <c r="C802" s="9"/>
      <c r="D802" s="43"/>
      <c r="E802" s="9"/>
      <c r="F802" s="9"/>
      <c r="G802" s="47" t="str">
        <f>IF(F802="","",INDEX(站位样品信息!$B$3:INDEX(站位样品信息!$B:$B,COUNTA(站位样品信息!$B:$B)+1),MATCH($F802,站位样品信息!$A$3:INDEX(站位样品信息!$A:$A,COUNTA(站位样品信息!$A:$A)+1),),))</f>
        <v/>
      </c>
      <c r="H802" s="37" t="str">
        <f>IF(A802&amp;B802&amp;C802="","",INDEX(生物种群!$A$2:INDEX(生物种群!$A:$A,COUNTA(生物种群!$A:$A)),MATCH($I802,生物种群!$B$2:INDEX(生物种群!$B:$B,COUNTA(生物种群!$B:$B)),),))</f>
        <v/>
      </c>
      <c r="I802" s="37" t="str">
        <f>IF(A802&amp;B802&amp;C802="","",IF($C802&lt;&gt;0,INDEX(生物种群!$B$2:INDEX(生物种群!$B:$B,COUNTA(生物种群!$B:$B)),MATCH($C802,生物种群!$G$2:INDEX(生物种群!$G:$G,COUNTA(生物种群!$G:$G)),),),IF($A802&lt;&gt;0,INDEX(生物种群!$B$2:INDEX(生物种群!$B:$B,COUNTA(生物种群!$B:$B)),MATCH($A802,生物种群!$C$2:INDEX(生物种群!$C:$C,COUNTA(生物种群!$C:$C)),),),INDEX(生物种群!$B$2:INDEX(生物种群!$B:$B,COUNTA(生物种群!$B:$B)),MATCH($B802,生物种群!$D$2:INDEX(生物种群!$D:$D,COUNTA(生物种群!$D:$D)),),))))</f>
        <v/>
      </c>
      <c r="J802" s="37" t="str">
        <f>IF(A802&amp;B802&amp;C802="","",INDEX(生物种群!$J$2:INDEX(生物种群!$J:$J,COUNTA(生物种群!$J:$J)),MATCH($I802,生物种群!$B$2:INDEX(生物种群!$B:$B,COUNTA(生物种群!$B:$B)),),))</f>
        <v/>
      </c>
      <c r="K802" s="37" t="str">
        <f>IF(A802&amp;B802&amp;C802="","",INDEX(生物种群!$E$2:INDEX(生物种群!$E:$E,COUNTA(生物种群!$E:$E)),MATCH($I802,生物种群!$B$2:INDEX(生物种群!$B:$B,COUNTA(生物种群!$B:$B)),),))</f>
        <v/>
      </c>
      <c r="L802" s="37" t="str">
        <f>IF(A802&amp;B802&amp;C802="","",INDEX(生物种群!$F$3:INDEX(生物种群!$F:$F,COUNTA(生物种群!$F:$F)),MATCH($I802,生物种群!$B$3:INDEX(生物种群!$B:$B,COUNTA(生物种群!$B:$B)),),))</f>
        <v/>
      </c>
      <c r="M802" s="37" t="str">
        <f t="shared" si="24"/>
        <v/>
      </c>
      <c r="N802" s="37" t="str">
        <f t="shared" si="25"/>
        <v/>
      </c>
      <c r="O802" s="9"/>
      <c r="P802" s="10"/>
    </row>
    <row r="803" spans="1:16" ht="20.1" customHeight="1">
      <c r="A803" s="9"/>
      <c r="B803" s="9"/>
      <c r="C803" s="9"/>
      <c r="D803" s="43"/>
      <c r="E803" s="9"/>
      <c r="F803" s="9"/>
      <c r="G803" s="47" t="str">
        <f>IF(F803="","",INDEX(站位样品信息!$B$3:INDEX(站位样品信息!$B:$B,COUNTA(站位样品信息!$B:$B)+1),MATCH($F803,站位样品信息!$A$3:INDEX(站位样品信息!$A:$A,COUNTA(站位样品信息!$A:$A)+1),),))</f>
        <v/>
      </c>
      <c r="H803" s="37" t="str">
        <f>IF(A803&amp;B803&amp;C803="","",INDEX(生物种群!$A$2:INDEX(生物种群!$A:$A,COUNTA(生物种群!$A:$A)),MATCH($I803,生物种群!$B$2:INDEX(生物种群!$B:$B,COUNTA(生物种群!$B:$B)),),))</f>
        <v/>
      </c>
      <c r="I803" s="37" t="str">
        <f>IF(A803&amp;B803&amp;C803="","",IF($C803&lt;&gt;0,INDEX(生物种群!$B$2:INDEX(生物种群!$B:$B,COUNTA(生物种群!$B:$B)),MATCH($C803,生物种群!$G$2:INDEX(生物种群!$G:$G,COUNTA(生物种群!$G:$G)),),),IF($A803&lt;&gt;0,INDEX(生物种群!$B$2:INDEX(生物种群!$B:$B,COUNTA(生物种群!$B:$B)),MATCH($A803,生物种群!$C$2:INDEX(生物种群!$C:$C,COUNTA(生物种群!$C:$C)),),),INDEX(生物种群!$B$2:INDEX(生物种群!$B:$B,COUNTA(生物种群!$B:$B)),MATCH($B803,生物种群!$D$2:INDEX(生物种群!$D:$D,COUNTA(生物种群!$D:$D)),),))))</f>
        <v/>
      </c>
      <c r="J803" s="37" t="str">
        <f>IF(A803&amp;B803&amp;C803="","",INDEX(生物种群!$J$2:INDEX(生物种群!$J:$J,COUNTA(生物种群!$J:$J)),MATCH($I803,生物种群!$B$2:INDEX(生物种群!$B:$B,COUNTA(生物种群!$B:$B)),),))</f>
        <v/>
      </c>
      <c r="K803" s="37" t="str">
        <f>IF(A803&amp;B803&amp;C803="","",INDEX(生物种群!$E$2:INDEX(生物种群!$E:$E,COUNTA(生物种群!$E:$E)),MATCH($I803,生物种群!$B$2:INDEX(生物种群!$B:$B,COUNTA(生物种群!$B:$B)),),))</f>
        <v/>
      </c>
      <c r="L803" s="37" t="str">
        <f>IF(A803&amp;B803&amp;C803="","",INDEX(生物种群!$F$3:INDEX(生物种群!$F:$F,COUNTA(生物种群!$F:$F)),MATCH($I803,生物种群!$B$3:INDEX(生物种群!$B:$B,COUNTA(生物种群!$B:$B)),),))</f>
        <v/>
      </c>
      <c r="M803" s="37" t="str">
        <f t="shared" si="24"/>
        <v/>
      </c>
      <c r="N803" s="37" t="str">
        <f t="shared" si="25"/>
        <v/>
      </c>
      <c r="O803" s="9"/>
      <c r="P803" s="10"/>
    </row>
    <row r="804" spans="1:16" ht="20.1" customHeight="1">
      <c r="A804" s="9"/>
      <c r="B804" s="9"/>
      <c r="C804" s="9"/>
      <c r="D804" s="43"/>
      <c r="E804" s="9"/>
      <c r="F804" s="9"/>
      <c r="G804" s="47" t="str">
        <f>IF(F804="","",INDEX(站位样品信息!$B$3:INDEX(站位样品信息!$B:$B,COUNTA(站位样品信息!$B:$B)+1),MATCH($F804,站位样品信息!$A$3:INDEX(站位样品信息!$A:$A,COUNTA(站位样品信息!$A:$A)+1),),))</f>
        <v/>
      </c>
      <c r="H804" s="37" t="str">
        <f>IF(A804&amp;B804&amp;C804="","",INDEX(生物种群!$A$2:INDEX(生物种群!$A:$A,COUNTA(生物种群!$A:$A)),MATCH($I804,生物种群!$B$2:INDEX(生物种群!$B:$B,COUNTA(生物种群!$B:$B)),),))</f>
        <v/>
      </c>
      <c r="I804" s="37" t="str">
        <f>IF(A804&amp;B804&amp;C804="","",IF($C804&lt;&gt;0,INDEX(生物种群!$B$2:INDEX(生物种群!$B:$B,COUNTA(生物种群!$B:$B)),MATCH($C804,生物种群!$G$2:INDEX(生物种群!$G:$G,COUNTA(生物种群!$G:$G)),),),IF($A804&lt;&gt;0,INDEX(生物种群!$B$2:INDEX(生物种群!$B:$B,COUNTA(生物种群!$B:$B)),MATCH($A804,生物种群!$C$2:INDEX(生物种群!$C:$C,COUNTA(生物种群!$C:$C)),),),INDEX(生物种群!$B$2:INDEX(生物种群!$B:$B,COUNTA(生物种群!$B:$B)),MATCH($B804,生物种群!$D$2:INDEX(生物种群!$D:$D,COUNTA(生物种群!$D:$D)),),))))</f>
        <v/>
      </c>
      <c r="J804" s="37" t="str">
        <f>IF(A804&amp;B804&amp;C804="","",INDEX(生物种群!$J$2:INDEX(生物种群!$J:$J,COUNTA(生物种群!$J:$J)),MATCH($I804,生物种群!$B$2:INDEX(生物种群!$B:$B,COUNTA(生物种群!$B:$B)),),))</f>
        <v/>
      </c>
      <c r="K804" s="37" t="str">
        <f>IF(A804&amp;B804&amp;C804="","",INDEX(生物种群!$E$2:INDEX(生物种群!$E:$E,COUNTA(生物种群!$E:$E)),MATCH($I804,生物种群!$B$2:INDEX(生物种群!$B:$B,COUNTA(生物种群!$B:$B)),),))</f>
        <v/>
      </c>
      <c r="L804" s="37" t="str">
        <f>IF(A804&amp;B804&amp;C804="","",INDEX(生物种群!$F$3:INDEX(生物种群!$F:$F,COUNTA(生物种群!$F:$F)),MATCH($I804,生物种群!$B$3:INDEX(生物种群!$B:$B,COUNTA(生物种群!$B:$B)),),))</f>
        <v/>
      </c>
      <c r="M804" s="37" t="str">
        <f t="shared" si="24"/>
        <v/>
      </c>
      <c r="N804" s="37" t="str">
        <f t="shared" si="25"/>
        <v/>
      </c>
      <c r="O804" s="9"/>
      <c r="P804" s="10"/>
    </row>
    <row r="805" spans="1:16" ht="20.1" customHeight="1">
      <c r="A805" s="9"/>
      <c r="B805" s="9"/>
      <c r="C805" s="9"/>
      <c r="D805" s="43"/>
      <c r="E805" s="9"/>
      <c r="F805" s="9"/>
      <c r="G805" s="47" t="str">
        <f>IF(F805="","",INDEX(站位样品信息!$B$3:INDEX(站位样品信息!$B:$B,COUNTA(站位样品信息!$B:$B)+1),MATCH($F805,站位样品信息!$A$3:INDEX(站位样品信息!$A:$A,COUNTA(站位样品信息!$A:$A)+1),),))</f>
        <v/>
      </c>
      <c r="H805" s="37" t="str">
        <f>IF(A805&amp;B805&amp;C805="","",INDEX(生物种群!$A$2:INDEX(生物种群!$A:$A,COUNTA(生物种群!$A:$A)),MATCH($I805,生物种群!$B$2:INDEX(生物种群!$B:$B,COUNTA(生物种群!$B:$B)),),))</f>
        <v/>
      </c>
      <c r="I805" s="37" t="str">
        <f>IF(A805&amp;B805&amp;C805="","",IF($C805&lt;&gt;0,INDEX(生物种群!$B$2:INDEX(生物种群!$B:$B,COUNTA(生物种群!$B:$B)),MATCH($C805,生物种群!$G$2:INDEX(生物种群!$G:$G,COUNTA(生物种群!$G:$G)),),),IF($A805&lt;&gt;0,INDEX(生物种群!$B$2:INDEX(生物种群!$B:$B,COUNTA(生物种群!$B:$B)),MATCH($A805,生物种群!$C$2:INDEX(生物种群!$C:$C,COUNTA(生物种群!$C:$C)),),),INDEX(生物种群!$B$2:INDEX(生物种群!$B:$B,COUNTA(生物种群!$B:$B)),MATCH($B805,生物种群!$D$2:INDEX(生物种群!$D:$D,COUNTA(生物种群!$D:$D)),),))))</f>
        <v/>
      </c>
      <c r="J805" s="37" t="str">
        <f>IF(A805&amp;B805&amp;C805="","",INDEX(生物种群!$J$2:INDEX(生物种群!$J:$J,COUNTA(生物种群!$J:$J)),MATCH($I805,生物种群!$B$2:INDEX(生物种群!$B:$B,COUNTA(生物种群!$B:$B)),),))</f>
        <v/>
      </c>
      <c r="K805" s="37" t="str">
        <f>IF(A805&amp;B805&amp;C805="","",INDEX(生物种群!$E$2:INDEX(生物种群!$E:$E,COUNTA(生物种群!$E:$E)),MATCH($I805,生物种群!$B$2:INDEX(生物种群!$B:$B,COUNTA(生物种群!$B:$B)),),))</f>
        <v/>
      </c>
      <c r="L805" s="37" t="str">
        <f>IF(A805&amp;B805&amp;C805="","",INDEX(生物种群!$F$3:INDEX(生物种群!$F:$F,COUNTA(生物种群!$F:$F)),MATCH($I805,生物种群!$B$3:INDEX(生物种群!$B:$B,COUNTA(生物种群!$B:$B)),),))</f>
        <v/>
      </c>
      <c r="M805" s="37" t="str">
        <f t="shared" si="24"/>
        <v/>
      </c>
      <c r="N805" s="37" t="str">
        <f t="shared" si="25"/>
        <v/>
      </c>
      <c r="O805" s="9"/>
      <c r="P805" s="10"/>
    </row>
    <row r="806" spans="1:16" ht="20.1" customHeight="1">
      <c r="A806" s="9"/>
      <c r="B806" s="9"/>
      <c r="C806" s="9"/>
      <c r="D806" s="43"/>
      <c r="E806" s="9"/>
      <c r="F806" s="9"/>
      <c r="G806" s="47" t="str">
        <f>IF(F806="","",INDEX(站位样品信息!$B$3:INDEX(站位样品信息!$B:$B,COUNTA(站位样品信息!$B:$B)+1),MATCH($F806,站位样品信息!$A$3:INDEX(站位样品信息!$A:$A,COUNTA(站位样品信息!$A:$A)+1),),))</f>
        <v/>
      </c>
      <c r="H806" s="37" t="str">
        <f>IF(A806&amp;B806&amp;C806="","",INDEX(生物种群!$A$2:INDEX(生物种群!$A:$A,COUNTA(生物种群!$A:$A)),MATCH($I806,生物种群!$B$2:INDEX(生物种群!$B:$B,COUNTA(生物种群!$B:$B)),),))</f>
        <v/>
      </c>
      <c r="I806" s="37" t="str">
        <f>IF(A806&amp;B806&amp;C806="","",IF($C806&lt;&gt;0,INDEX(生物种群!$B$2:INDEX(生物种群!$B:$B,COUNTA(生物种群!$B:$B)),MATCH($C806,生物种群!$G$2:INDEX(生物种群!$G:$G,COUNTA(生物种群!$G:$G)),),),IF($A806&lt;&gt;0,INDEX(生物种群!$B$2:INDEX(生物种群!$B:$B,COUNTA(生物种群!$B:$B)),MATCH($A806,生物种群!$C$2:INDEX(生物种群!$C:$C,COUNTA(生物种群!$C:$C)),),),INDEX(生物种群!$B$2:INDEX(生物种群!$B:$B,COUNTA(生物种群!$B:$B)),MATCH($B806,生物种群!$D$2:INDEX(生物种群!$D:$D,COUNTA(生物种群!$D:$D)),),))))</f>
        <v/>
      </c>
      <c r="J806" s="37" t="str">
        <f>IF(A806&amp;B806&amp;C806="","",INDEX(生物种群!$J$2:INDEX(生物种群!$J:$J,COUNTA(生物种群!$J:$J)),MATCH($I806,生物种群!$B$2:INDEX(生物种群!$B:$B,COUNTA(生物种群!$B:$B)),),))</f>
        <v/>
      </c>
      <c r="K806" s="37" t="str">
        <f>IF(A806&amp;B806&amp;C806="","",INDEX(生物种群!$E$2:INDEX(生物种群!$E:$E,COUNTA(生物种群!$E:$E)),MATCH($I806,生物种群!$B$2:INDEX(生物种群!$B:$B,COUNTA(生物种群!$B:$B)),),))</f>
        <v/>
      </c>
      <c r="L806" s="37" t="str">
        <f>IF(A806&amp;B806&amp;C806="","",INDEX(生物种群!$F$3:INDEX(生物种群!$F:$F,COUNTA(生物种群!$F:$F)),MATCH($I806,生物种群!$B$3:INDEX(生物种群!$B:$B,COUNTA(生物种群!$B:$B)),),))</f>
        <v/>
      </c>
      <c r="M806" s="37" t="str">
        <f t="shared" si="24"/>
        <v/>
      </c>
      <c r="N806" s="37" t="str">
        <f t="shared" si="25"/>
        <v/>
      </c>
      <c r="O806" s="9"/>
      <c r="P806" s="10"/>
    </row>
    <row r="807" spans="1:16" ht="20.1" customHeight="1">
      <c r="A807" s="9"/>
      <c r="B807" s="9"/>
      <c r="C807" s="9"/>
      <c r="D807" s="43"/>
      <c r="E807" s="9"/>
      <c r="F807" s="9"/>
      <c r="G807" s="47" t="str">
        <f>IF(F807="","",INDEX(站位样品信息!$B$3:INDEX(站位样品信息!$B:$B,COUNTA(站位样品信息!$B:$B)+1),MATCH($F807,站位样品信息!$A$3:INDEX(站位样品信息!$A:$A,COUNTA(站位样品信息!$A:$A)+1),),))</f>
        <v/>
      </c>
      <c r="H807" s="37" t="str">
        <f>IF(A807&amp;B807&amp;C807="","",INDEX(生物种群!$A$2:INDEX(生物种群!$A:$A,COUNTA(生物种群!$A:$A)),MATCH($I807,生物种群!$B$2:INDEX(生物种群!$B:$B,COUNTA(生物种群!$B:$B)),),))</f>
        <v/>
      </c>
      <c r="I807" s="37" t="str">
        <f>IF(A807&amp;B807&amp;C807="","",IF($C807&lt;&gt;0,INDEX(生物种群!$B$2:INDEX(生物种群!$B:$B,COUNTA(生物种群!$B:$B)),MATCH($C807,生物种群!$G$2:INDEX(生物种群!$G:$G,COUNTA(生物种群!$G:$G)),),),IF($A807&lt;&gt;0,INDEX(生物种群!$B$2:INDEX(生物种群!$B:$B,COUNTA(生物种群!$B:$B)),MATCH($A807,生物种群!$C$2:INDEX(生物种群!$C:$C,COUNTA(生物种群!$C:$C)),),),INDEX(生物种群!$B$2:INDEX(生物种群!$B:$B,COUNTA(生物种群!$B:$B)),MATCH($B807,生物种群!$D$2:INDEX(生物种群!$D:$D,COUNTA(生物种群!$D:$D)),),))))</f>
        <v/>
      </c>
      <c r="J807" s="37" t="str">
        <f>IF(A807&amp;B807&amp;C807="","",INDEX(生物种群!$J$2:INDEX(生物种群!$J:$J,COUNTA(生物种群!$J:$J)),MATCH($I807,生物种群!$B$2:INDEX(生物种群!$B:$B,COUNTA(生物种群!$B:$B)),),))</f>
        <v/>
      </c>
      <c r="K807" s="37" t="str">
        <f>IF(A807&amp;B807&amp;C807="","",INDEX(生物种群!$E$2:INDEX(生物种群!$E:$E,COUNTA(生物种群!$E:$E)),MATCH($I807,生物种群!$B$2:INDEX(生物种群!$B:$B,COUNTA(生物种群!$B:$B)),),))</f>
        <v/>
      </c>
      <c r="L807" s="37" t="str">
        <f>IF(A807&amp;B807&amp;C807="","",INDEX(生物种群!$F$3:INDEX(生物种群!$F:$F,COUNTA(生物种群!$F:$F)),MATCH($I807,生物种群!$B$3:INDEX(生物种群!$B:$B,COUNTA(生物种群!$B:$B)),),))</f>
        <v/>
      </c>
      <c r="M807" s="37" t="str">
        <f t="shared" si="24"/>
        <v/>
      </c>
      <c r="N807" s="37" t="str">
        <f t="shared" si="25"/>
        <v/>
      </c>
      <c r="O807" s="9"/>
      <c r="P807" s="10"/>
    </row>
    <row r="808" spans="1:16" ht="20.1" customHeight="1">
      <c r="A808" s="9"/>
      <c r="B808" s="9"/>
      <c r="C808" s="9"/>
      <c r="D808" s="43"/>
      <c r="E808" s="9"/>
      <c r="F808" s="9"/>
      <c r="G808" s="47" t="str">
        <f>IF(F808="","",INDEX(站位样品信息!$B$3:INDEX(站位样品信息!$B:$B,COUNTA(站位样品信息!$B:$B)+1),MATCH($F808,站位样品信息!$A$3:INDEX(站位样品信息!$A:$A,COUNTA(站位样品信息!$A:$A)+1),),))</f>
        <v/>
      </c>
      <c r="H808" s="37" t="str">
        <f>IF(A808&amp;B808&amp;C808="","",INDEX(生物种群!$A$2:INDEX(生物种群!$A:$A,COUNTA(生物种群!$A:$A)),MATCH($I808,生物种群!$B$2:INDEX(生物种群!$B:$B,COUNTA(生物种群!$B:$B)),),))</f>
        <v/>
      </c>
      <c r="I808" s="37" t="str">
        <f>IF(A808&amp;B808&amp;C808="","",IF($C808&lt;&gt;0,INDEX(生物种群!$B$2:INDEX(生物种群!$B:$B,COUNTA(生物种群!$B:$B)),MATCH($C808,生物种群!$G$2:INDEX(生物种群!$G:$G,COUNTA(生物种群!$G:$G)),),),IF($A808&lt;&gt;0,INDEX(生物种群!$B$2:INDEX(生物种群!$B:$B,COUNTA(生物种群!$B:$B)),MATCH($A808,生物种群!$C$2:INDEX(生物种群!$C:$C,COUNTA(生物种群!$C:$C)),),),INDEX(生物种群!$B$2:INDEX(生物种群!$B:$B,COUNTA(生物种群!$B:$B)),MATCH($B808,生物种群!$D$2:INDEX(生物种群!$D:$D,COUNTA(生物种群!$D:$D)),),))))</f>
        <v/>
      </c>
      <c r="J808" s="37" t="str">
        <f>IF(A808&amp;B808&amp;C808="","",INDEX(生物种群!$J$2:INDEX(生物种群!$J:$J,COUNTA(生物种群!$J:$J)),MATCH($I808,生物种群!$B$2:INDEX(生物种群!$B:$B,COUNTA(生物种群!$B:$B)),),))</f>
        <v/>
      </c>
      <c r="K808" s="37" t="str">
        <f>IF(A808&amp;B808&amp;C808="","",INDEX(生物种群!$E$2:INDEX(生物种群!$E:$E,COUNTA(生物种群!$E:$E)),MATCH($I808,生物种群!$B$2:INDEX(生物种群!$B:$B,COUNTA(生物种群!$B:$B)),),))</f>
        <v/>
      </c>
      <c r="L808" s="37" t="str">
        <f>IF(A808&amp;B808&amp;C808="","",INDEX(生物种群!$F$3:INDEX(生物种群!$F:$F,COUNTA(生物种群!$F:$F)),MATCH($I808,生物种群!$B$3:INDEX(生物种群!$B:$B,COUNTA(生物种群!$B:$B)),),))</f>
        <v/>
      </c>
      <c r="M808" s="37" t="str">
        <f t="shared" si="24"/>
        <v/>
      </c>
      <c r="N808" s="37" t="str">
        <f t="shared" si="25"/>
        <v/>
      </c>
      <c r="O808" s="9"/>
      <c r="P808" s="10"/>
    </row>
    <row r="809" spans="1:16" ht="20.1" customHeight="1">
      <c r="A809" s="9"/>
      <c r="B809" s="9"/>
      <c r="C809" s="9"/>
      <c r="D809" s="43"/>
      <c r="E809" s="9"/>
      <c r="F809" s="9"/>
      <c r="G809" s="47" t="str">
        <f>IF(F809="","",INDEX(站位样品信息!$B$3:INDEX(站位样品信息!$B:$B,COUNTA(站位样品信息!$B:$B)+1),MATCH($F809,站位样品信息!$A$3:INDEX(站位样品信息!$A:$A,COUNTA(站位样品信息!$A:$A)+1),),))</f>
        <v/>
      </c>
      <c r="H809" s="37" t="str">
        <f>IF(A809&amp;B809&amp;C809="","",INDEX(生物种群!$A$2:INDEX(生物种群!$A:$A,COUNTA(生物种群!$A:$A)),MATCH($I809,生物种群!$B$2:INDEX(生物种群!$B:$B,COUNTA(生物种群!$B:$B)),),))</f>
        <v/>
      </c>
      <c r="I809" s="37" t="str">
        <f>IF(A809&amp;B809&amp;C809="","",IF($C809&lt;&gt;0,INDEX(生物种群!$B$2:INDEX(生物种群!$B:$B,COUNTA(生物种群!$B:$B)),MATCH($C809,生物种群!$G$2:INDEX(生物种群!$G:$G,COUNTA(生物种群!$G:$G)),),),IF($A809&lt;&gt;0,INDEX(生物种群!$B$2:INDEX(生物种群!$B:$B,COUNTA(生物种群!$B:$B)),MATCH($A809,生物种群!$C$2:INDEX(生物种群!$C:$C,COUNTA(生物种群!$C:$C)),),),INDEX(生物种群!$B$2:INDEX(生物种群!$B:$B,COUNTA(生物种群!$B:$B)),MATCH($B809,生物种群!$D$2:INDEX(生物种群!$D:$D,COUNTA(生物种群!$D:$D)),),))))</f>
        <v/>
      </c>
      <c r="J809" s="37" t="str">
        <f>IF(A809&amp;B809&amp;C809="","",INDEX(生物种群!$J$2:INDEX(生物种群!$J:$J,COUNTA(生物种群!$J:$J)),MATCH($I809,生物种群!$B$2:INDEX(生物种群!$B:$B,COUNTA(生物种群!$B:$B)),),))</f>
        <v/>
      </c>
      <c r="K809" s="37" t="str">
        <f>IF(A809&amp;B809&amp;C809="","",INDEX(生物种群!$E$2:INDEX(生物种群!$E:$E,COUNTA(生物种群!$E:$E)),MATCH($I809,生物种群!$B$2:INDEX(生物种群!$B:$B,COUNTA(生物种群!$B:$B)),),))</f>
        <v/>
      </c>
      <c r="L809" s="37" t="str">
        <f>IF(A809&amp;B809&amp;C809="","",INDEX(生物种群!$F$3:INDEX(生物种群!$F:$F,COUNTA(生物种群!$F:$F)),MATCH($I809,生物种群!$B$3:INDEX(生物种群!$B:$B,COUNTA(生物种群!$B:$B)),),))</f>
        <v/>
      </c>
      <c r="M809" s="37" t="str">
        <f t="shared" si="24"/>
        <v/>
      </c>
      <c r="N809" s="37" t="str">
        <f t="shared" si="25"/>
        <v/>
      </c>
      <c r="O809" s="9"/>
      <c r="P809" s="10"/>
    </row>
    <row r="810" spans="1:16" ht="20.1" customHeight="1">
      <c r="A810" s="9"/>
      <c r="B810" s="9"/>
      <c r="C810" s="9"/>
      <c r="D810" s="43"/>
      <c r="E810" s="9"/>
      <c r="F810" s="9"/>
      <c r="G810" s="47" t="str">
        <f>IF(F810="","",INDEX(站位样品信息!$B$3:INDEX(站位样品信息!$B:$B,COUNTA(站位样品信息!$B:$B)+1),MATCH($F810,站位样品信息!$A$3:INDEX(站位样品信息!$A:$A,COUNTA(站位样品信息!$A:$A)+1),),))</f>
        <v/>
      </c>
      <c r="H810" s="37" t="str">
        <f>IF(A810&amp;B810&amp;C810="","",INDEX(生物种群!$A$2:INDEX(生物种群!$A:$A,COUNTA(生物种群!$A:$A)),MATCH($I810,生物种群!$B$2:INDEX(生物种群!$B:$B,COUNTA(生物种群!$B:$B)),),))</f>
        <v/>
      </c>
      <c r="I810" s="37" t="str">
        <f>IF(A810&amp;B810&amp;C810="","",IF($C810&lt;&gt;0,INDEX(生物种群!$B$2:INDEX(生物种群!$B:$B,COUNTA(生物种群!$B:$B)),MATCH($C810,生物种群!$G$2:INDEX(生物种群!$G:$G,COUNTA(生物种群!$G:$G)),),),IF($A810&lt;&gt;0,INDEX(生物种群!$B$2:INDEX(生物种群!$B:$B,COUNTA(生物种群!$B:$B)),MATCH($A810,生物种群!$C$2:INDEX(生物种群!$C:$C,COUNTA(生物种群!$C:$C)),),),INDEX(生物种群!$B$2:INDEX(生物种群!$B:$B,COUNTA(生物种群!$B:$B)),MATCH($B810,生物种群!$D$2:INDEX(生物种群!$D:$D,COUNTA(生物种群!$D:$D)),),))))</f>
        <v/>
      </c>
      <c r="J810" s="37" t="str">
        <f>IF(A810&amp;B810&amp;C810="","",INDEX(生物种群!$J$2:INDEX(生物种群!$J:$J,COUNTA(生物种群!$J:$J)),MATCH($I810,生物种群!$B$2:INDEX(生物种群!$B:$B,COUNTA(生物种群!$B:$B)),),))</f>
        <v/>
      </c>
      <c r="K810" s="37" t="str">
        <f>IF(A810&amp;B810&amp;C810="","",INDEX(生物种群!$E$2:INDEX(生物种群!$E:$E,COUNTA(生物种群!$E:$E)),MATCH($I810,生物种群!$B$2:INDEX(生物种群!$B:$B,COUNTA(生物种群!$B:$B)),),))</f>
        <v/>
      </c>
      <c r="L810" s="37" t="str">
        <f>IF(A810&amp;B810&amp;C810="","",INDEX(生物种群!$F$3:INDEX(生物种群!$F:$F,COUNTA(生物种群!$F:$F)),MATCH($I810,生物种群!$B$3:INDEX(生物种群!$B:$B,COUNTA(生物种群!$B:$B)),),))</f>
        <v/>
      </c>
      <c r="M810" s="37" t="str">
        <f t="shared" si="24"/>
        <v/>
      </c>
      <c r="N810" s="37" t="str">
        <f t="shared" si="25"/>
        <v/>
      </c>
      <c r="O810" s="9"/>
      <c r="P810" s="10"/>
    </row>
    <row r="811" spans="1:16" ht="20.1" customHeight="1">
      <c r="A811" s="9"/>
      <c r="B811" s="9"/>
      <c r="C811" s="9"/>
      <c r="D811" s="43"/>
      <c r="E811" s="9"/>
      <c r="F811" s="9"/>
      <c r="G811" s="47" t="str">
        <f>IF(F811="","",INDEX(站位样品信息!$B$3:INDEX(站位样品信息!$B:$B,COUNTA(站位样品信息!$B:$B)+1),MATCH($F811,站位样品信息!$A$3:INDEX(站位样品信息!$A:$A,COUNTA(站位样品信息!$A:$A)+1),),))</f>
        <v/>
      </c>
      <c r="H811" s="37" t="str">
        <f>IF(A811&amp;B811&amp;C811="","",INDEX(生物种群!$A$2:INDEX(生物种群!$A:$A,COUNTA(生物种群!$A:$A)),MATCH($I811,生物种群!$B$2:INDEX(生物种群!$B:$B,COUNTA(生物种群!$B:$B)),),))</f>
        <v/>
      </c>
      <c r="I811" s="37" t="str">
        <f>IF(A811&amp;B811&amp;C811="","",IF($C811&lt;&gt;0,INDEX(生物种群!$B$2:INDEX(生物种群!$B:$B,COUNTA(生物种群!$B:$B)),MATCH($C811,生物种群!$G$2:INDEX(生物种群!$G:$G,COUNTA(生物种群!$G:$G)),),),IF($A811&lt;&gt;0,INDEX(生物种群!$B$2:INDEX(生物种群!$B:$B,COUNTA(生物种群!$B:$B)),MATCH($A811,生物种群!$C$2:INDEX(生物种群!$C:$C,COUNTA(生物种群!$C:$C)),),),INDEX(生物种群!$B$2:INDEX(生物种群!$B:$B,COUNTA(生物种群!$B:$B)),MATCH($B811,生物种群!$D$2:INDEX(生物种群!$D:$D,COUNTA(生物种群!$D:$D)),),))))</f>
        <v/>
      </c>
      <c r="J811" s="37" t="str">
        <f>IF(A811&amp;B811&amp;C811="","",INDEX(生物种群!$J$2:INDEX(生物种群!$J:$J,COUNTA(生物种群!$J:$J)),MATCH($I811,生物种群!$B$2:INDEX(生物种群!$B:$B,COUNTA(生物种群!$B:$B)),),))</f>
        <v/>
      </c>
      <c r="K811" s="37" t="str">
        <f>IF(A811&amp;B811&amp;C811="","",INDEX(生物种群!$E$2:INDEX(生物种群!$E:$E,COUNTA(生物种群!$E:$E)),MATCH($I811,生物种群!$B$2:INDEX(生物种群!$B:$B,COUNTA(生物种群!$B:$B)),),))</f>
        <v/>
      </c>
      <c r="L811" s="37" t="str">
        <f>IF(A811&amp;B811&amp;C811="","",INDEX(生物种群!$F$3:INDEX(生物种群!$F:$F,COUNTA(生物种群!$F:$F)),MATCH($I811,生物种群!$B$3:INDEX(生物种群!$B:$B,COUNTA(生物种群!$B:$B)),),))</f>
        <v/>
      </c>
      <c r="M811" s="37" t="str">
        <f t="shared" si="24"/>
        <v/>
      </c>
      <c r="N811" s="37" t="str">
        <f t="shared" si="25"/>
        <v/>
      </c>
      <c r="O811" s="9"/>
      <c r="P811" s="10"/>
    </row>
    <row r="812" spans="1:16" ht="20.1" customHeight="1">
      <c r="A812" s="9"/>
      <c r="B812" s="9"/>
      <c r="C812" s="9"/>
      <c r="D812" s="43"/>
      <c r="E812" s="9"/>
      <c r="F812" s="9"/>
      <c r="G812" s="47" t="str">
        <f>IF(F812="","",INDEX(站位样品信息!$B$3:INDEX(站位样品信息!$B:$B,COUNTA(站位样品信息!$B:$B)+1),MATCH($F812,站位样品信息!$A$3:INDEX(站位样品信息!$A:$A,COUNTA(站位样品信息!$A:$A)+1),),))</f>
        <v/>
      </c>
      <c r="H812" s="37" t="str">
        <f>IF(A812&amp;B812&amp;C812="","",INDEX(生物种群!$A$2:INDEX(生物种群!$A:$A,COUNTA(生物种群!$A:$A)),MATCH($I812,生物种群!$B$2:INDEX(生物种群!$B:$B,COUNTA(生物种群!$B:$B)),),))</f>
        <v/>
      </c>
      <c r="I812" s="37" t="str">
        <f>IF(A812&amp;B812&amp;C812="","",IF($C812&lt;&gt;0,INDEX(生物种群!$B$2:INDEX(生物种群!$B:$B,COUNTA(生物种群!$B:$B)),MATCH($C812,生物种群!$G$2:INDEX(生物种群!$G:$G,COUNTA(生物种群!$G:$G)),),),IF($A812&lt;&gt;0,INDEX(生物种群!$B$2:INDEX(生物种群!$B:$B,COUNTA(生物种群!$B:$B)),MATCH($A812,生物种群!$C$2:INDEX(生物种群!$C:$C,COUNTA(生物种群!$C:$C)),),),INDEX(生物种群!$B$2:INDEX(生物种群!$B:$B,COUNTA(生物种群!$B:$B)),MATCH($B812,生物种群!$D$2:INDEX(生物种群!$D:$D,COUNTA(生物种群!$D:$D)),),))))</f>
        <v/>
      </c>
      <c r="J812" s="37" t="str">
        <f>IF(A812&amp;B812&amp;C812="","",INDEX(生物种群!$J$2:INDEX(生物种群!$J:$J,COUNTA(生物种群!$J:$J)),MATCH($I812,生物种群!$B$2:INDEX(生物种群!$B:$B,COUNTA(生物种群!$B:$B)),),))</f>
        <v/>
      </c>
      <c r="K812" s="37" t="str">
        <f>IF(A812&amp;B812&amp;C812="","",INDEX(生物种群!$E$2:INDEX(生物种群!$E:$E,COUNTA(生物种群!$E:$E)),MATCH($I812,生物种群!$B$2:INDEX(生物种群!$B:$B,COUNTA(生物种群!$B:$B)),),))</f>
        <v/>
      </c>
      <c r="L812" s="37" t="str">
        <f>IF(A812&amp;B812&amp;C812="","",INDEX(生物种群!$F$3:INDEX(生物种群!$F:$F,COUNTA(生物种群!$F:$F)),MATCH($I812,生物种群!$B$3:INDEX(生物种群!$B:$B,COUNTA(生物种群!$B:$B)),),))</f>
        <v/>
      </c>
      <c r="M812" s="37" t="str">
        <f t="shared" si="24"/>
        <v/>
      </c>
      <c r="N812" s="37" t="str">
        <f t="shared" si="25"/>
        <v/>
      </c>
      <c r="O812" s="9"/>
      <c r="P812" s="10"/>
    </row>
    <row r="813" spans="1:16" ht="20.1" customHeight="1">
      <c r="A813" s="9"/>
      <c r="B813" s="9"/>
      <c r="C813" s="9"/>
      <c r="D813" s="43"/>
      <c r="E813" s="9"/>
      <c r="F813" s="9"/>
      <c r="G813" s="47" t="str">
        <f>IF(F813="","",INDEX(站位样品信息!$B$3:INDEX(站位样品信息!$B:$B,COUNTA(站位样品信息!$B:$B)+1),MATCH($F813,站位样品信息!$A$3:INDEX(站位样品信息!$A:$A,COUNTA(站位样品信息!$A:$A)+1),),))</f>
        <v/>
      </c>
      <c r="H813" s="37" t="str">
        <f>IF(A813&amp;B813&amp;C813="","",INDEX(生物种群!$A$2:INDEX(生物种群!$A:$A,COUNTA(生物种群!$A:$A)),MATCH($I813,生物种群!$B$2:INDEX(生物种群!$B:$B,COUNTA(生物种群!$B:$B)),),))</f>
        <v/>
      </c>
      <c r="I813" s="37" t="str">
        <f>IF(A813&amp;B813&amp;C813="","",IF($C813&lt;&gt;0,INDEX(生物种群!$B$2:INDEX(生物种群!$B:$B,COUNTA(生物种群!$B:$B)),MATCH($C813,生物种群!$G$2:INDEX(生物种群!$G:$G,COUNTA(生物种群!$G:$G)),),),IF($A813&lt;&gt;0,INDEX(生物种群!$B$2:INDEX(生物种群!$B:$B,COUNTA(生物种群!$B:$B)),MATCH($A813,生物种群!$C$2:INDEX(生物种群!$C:$C,COUNTA(生物种群!$C:$C)),),),INDEX(生物种群!$B$2:INDEX(生物种群!$B:$B,COUNTA(生物种群!$B:$B)),MATCH($B813,生物种群!$D$2:INDEX(生物种群!$D:$D,COUNTA(生物种群!$D:$D)),),))))</f>
        <v/>
      </c>
      <c r="J813" s="37" t="str">
        <f>IF(A813&amp;B813&amp;C813="","",INDEX(生物种群!$J$2:INDEX(生物种群!$J:$J,COUNTA(生物种群!$J:$J)),MATCH($I813,生物种群!$B$2:INDEX(生物种群!$B:$B,COUNTA(生物种群!$B:$B)),),))</f>
        <v/>
      </c>
      <c r="K813" s="37" t="str">
        <f>IF(A813&amp;B813&amp;C813="","",INDEX(生物种群!$E$2:INDEX(生物种群!$E:$E,COUNTA(生物种群!$E:$E)),MATCH($I813,生物种群!$B$2:INDEX(生物种群!$B:$B,COUNTA(生物种群!$B:$B)),),))</f>
        <v/>
      </c>
      <c r="L813" s="37" t="str">
        <f>IF(A813&amp;B813&amp;C813="","",INDEX(生物种群!$F$3:INDEX(生物种群!$F:$F,COUNTA(生物种群!$F:$F)),MATCH($I813,生物种群!$B$3:INDEX(生物种群!$B:$B,COUNTA(生物种群!$B:$B)),),))</f>
        <v/>
      </c>
      <c r="M813" s="37" t="str">
        <f t="shared" si="24"/>
        <v/>
      </c>
      <c r="N813" s="37" t="str">
        <f t="shared" si="25"/>
        <v/>
      </c>
      <c r="O813" s="9"/>
      <c r="P813" s="10"/>
    </row>
    <row r="814" spans="1:16" ht="20.1" customHeight="1">
      <c r="A814" s="9"/>
      <c r="B814" s="9"/>
      <c r="C814" s="9"/>
      <c r="D814" s="43"/>
      <c r="E814" s="9"/>
      <c r="F814" s="9"/>
      <c r="G814" s="47" t="str">
        <f>IF(F814="","",INDEX(站位样品信息!$B$3:INDEX(站位样品信息!$B:$B,COUNTA(站位样品信息!$B:$B)+1),MATCH($F814,站位样品信息!$A$3:INDEX(站位样品信息!$A:$A,COUNTA(站位样品信息!$A:$A)+1),),))</f>
        <v/>
      </c>
      <c r="H814" s="37" t="str">
        <f>IF(A814&amp;B814&amp;C814="","",INDEX(生物种群!$A$2:INDEX(生物种群!$A:$A,COUNTA(生物种群!$A:$A)),MATCH($I814,生物种群!$B$2:INDEX(生物种群!$B:$B,COUNTA(生物种群!$B:$B)),),))</f>
        <v/>
      </c>
      <c r="I814" s="37" t="str">
        <f>IF(A814&amp;B814&amp;C814="","",IF($C814&lt;&gt;0,INDEX(生物种群!$B$2:INDEX(生物种群!$B:$B,COUNTA(生物种群!$B:$B)),MATCH($C814,生物种群!$G$2:INDEX(生物种群!$G:$G,COUNTA(生物种群!$G:$G)),),),IF($A814&lt;&gt;0,INDEX(生物种群!$B$2:INDEX(生物种群!$B:$B,COUNTA(生物种群!$B:$B)),MATCH($A814,生物种群!$C$2:INDEX(生物种群!$C:$C,COUNTA(生物种群!$C:$C)),),),INDEX(生物种群!$B$2:INDEX(生物种群!$B:$B,COUNTA(生物种群!$B:$B)),MATCH($B814,生物种群!$D$2:INDEX(生物种群!$D:$D,COUNTA(生物种群!$D:$D)),),))))</f>
        <v/>
      </c>
      <c r="J814" s="37" t="str">
        <f>IF(A814&amp;B814&amp;C814="","",INDEX(生物种群!$J$2:INDEX(生物种群!$J:$J,COUNTA(生物种群!$J:$J)),MATCH($I814,生物种群!$B$2:INDEX(生物种群!$B:$B,COUNTA(生物种群!$B:$B)),),))</f>
        <v/>
      </c>
      <c r="K814" s="37" t="str">
        <f>IF(A814&amp;B814&amp;C814="","",INDEX(生物种群!$E$2:INDEX(生物种群!$E:$E,COUNTA(生物种群!$E:$E)),MATCH($I814,生物种群!$B$2:INDEX(生物种群!$B:$B,COUNTA(生物种群!$B:$B)),),))</f>
        <v/>
      </c>
      <c r="L814" s="37" t="str">
        <f>IF(A814&amp;B814&amp;C814="","",INDEX(生物种群!$F$3:INDEX(生物种群!$F:$F,COUNTA(生物种群!$F:$F)),MATCH($I814,生物种群!$B$3:INDEX(生物种群!$B:$B,COUNTA(生物种群!$B:$B)),),))</f>
        <v/>
      </c>
      <c r="M814" s="37" t="str">
        <f t="shared" si="24"/>
        <v/>
      </c>
      <c r="N814" s="37" t="str">
        <f t="shared" si="25"/>
        <v/>
      </c>
      <c r="O814" s="9"/>
      <c r="P814" s="10"/>
    </row>
    <row r="815" spans="1:16" ht="20.1" customHeight="1">
      <c r="A815" s="9"/>
      <c r="B815" s="9"/>
      <c r="C815" s="9"/>
      <c r="D815" s="43"/>
      <c r="E815" s="9"/>
      <c r="F815" s="9"/>
      <c r="G815" s="47" t="str">
        <f>IF(F815="","",INDEX(站位样品信息!$B$3:INDEX(站位样品信息!$B:$B,COUNTA(站位样品信息!$B:$B)+1),MATCH($F815,站位样品信息!$A$3:INDEX(站位样品信息!$A:$A,COUNTA(站位样品信息!$A:$A)+1),),))</f>
        <v/>
      </c>
      <c r="H815" s="37" t="str">
        <f>IF(A815&amp;B815&amp;C815="","",INDEX(生物种群!$A$2:INDEX(生物种群!$A:$A,COUNTA(生物种群!$A:$A)),MATCH($I815,生物种群!$B$2:INDEX(生物种群!$B:$B,COUNTA(生物种群!$B:$B)),),))</f>
        <v/>
      </c>
      <c r="I815" s="37" t="str">
        <f>IF(A815&amp;B815&amp;C815="","",IF($C815&lt;&gt;0,INDEX(生物种群!$B$2:INDEX(生物种群!$B:$B,COUNTA(生物种群!$B:$B)),MATCH($C815,生物种群!$G$2:INDEX(生物种群!$G:$G,COUNTA(生物种群!$G:$G)),),),IF($A815&lt;&gt;0,INDEX(生物种群!$B$2:INDEX(生物种群!$B:$B,COUNTA(生物种群!$B:$B)),MATCH($A815,生物种群!$C$2:INDEX(生物种群!$C:$C,COUNTA(生物种群!$C:$C)),),),INDEX(生物种群!$B$2:INDEX(生物种群!$B:$B,COUNTA(生物种群!$B:$B)),MATCH($B815,生物种群!$D$2:INDEX(生物种群!$D:$D,COUNTA(生物种群!$D:$D)),),))))</f>
        <v/>
      </c>
      <c r="J815" s="37" t="str">
        <f>IF(A815&amp;B815&amp;C815="","",INDEX(生物种群!$J$2:INDEX(生物种群!$J:$J,COUNTA(生物种群!$J:$J)),MATCH($I815,生物种群!$B$2:INDEX(生物种群!$B:$B,COUNTA(生物种群!$B:$B)),),))</f>
        <v/>
      </c>
      <c r="K815" s="37" t="str">
        <f>IF(A815&amp;B815&amp;C815="","",INDEX(生物种群!$E$2:INDEX(生物种群!$E:$E,COUNTA(生物种群!$E:$E)),MATCH($I815,生物种群!$B$2:INDEX(生物种群!$B:$B,COUNTA(生物种群!$B:$B)),),))</f>
        <v/>
      </c>
      <c r="L815" s="37" t="str">
        <f>IF(A815&amp;B815&amp;C815="","",INDEX(生物种群!$F$3:INDEX(生物种群!$F:$F,COUNTA(生物种群!$F:$F)),MATCH($I815,生物种群!$B$3:INDEX(生物种群!$B:$B,COUNTA(生物种群!$B:$B)),),))</f>
        <v/>
      </c>
      <c r="M815" s="37" t="str">
        <f t="shared" si="24"/>
        <v/>
      </c>
      <c r="N815" s="37" t="str">
        <f t="shared" si="25"/>
        <v/>
      </c>
      <c r="O815" s="9"/>
      <c r="P815" s="10"/>
    </row>
    <row r="816" spans="1:16" ht="20.1" customHeight="1">
      <c r="A816" s="9"/>
      <c r="B816" s="9"/>
      <c r="C816" s="9"/>
      <c r="D816" s="43"/>
      <c r="E816" s="9"/>
      <c r="F816" s="9"/>
      <c r="G816" s="47" t="str">
        <f>IF(F816="","",INDEX(站位样品信息!$B$3:INDEX(站位样品信息!$B:$B,COUNTA(站位样品信息!$B:$B)+1),MATCH($F816,站位样品信息!$A$3:INDEX(站位样品信息!$A:$A,COUNTA(站位样品信息!$A:$A)+1),),))</f>
        <v/>
      </c>
      <c r="H816" s="37" t="str">
        <f>IF(A816&amp;B816&amp;C816="","",INDEX(生物种群!$A$2:INDEX(生物种群!$A:$A,COUNTA(生物种群!$A:$A)),MATCH($I816,生物种群!$B$2:INDEX(生物种群!$B:$B,COUNTA(生物种群!$B:$B)),),))</f>
        <v/>
      </c>
      <c r="I816" s="37" t="str">
        <f>IF(A816&amp;B816&amp;C816="","",IF($C816&lt;&gt;0,INDEX(生物种群!$B$2:INDEX(生物种群!$B:$B,COUNTA(生物种群!$B:$B)),MATCH($C816,生物种群!$G$2:INDEX(生物种群!$G:$G,COUNTA(生物种群!$G:$G)),),),IF($A816&lt;&gt;0,INDEX(生物种群!$B$2:INDEX(生物种群!$B:$B,COUNTA(生物种群!$B:$B)),MATCH($A816,生物种群!$C$2:INDEX(生物种群!$C:$C,COUNTA(生物种群!$C:$C)),),),INDEX(生物种群!$B$2:INDEX(生物种群!$B:$B,COUNTA(生物种群!$B:$B)),MATCH($B816,生物种群!$D$2:INDEX(生物种群!$D:$D,COUNTA(生物种群!$D:$D)),),))))</f>
        <v/>
      </c>
      <c r="J816" s="37" t="str">
        <f>IF(A816&amp;B816&amp;C816="","",INDEX(生物种群!$J$2:INDEX(生物种群!$J:$J,COUNTA(生物种群!$J:$J)),MATCH($I816,生物种群!$B$2:INDEX(生物种群!$B:$B,COUNTA(生物种群!$B:$B)),),))</f>
        <v/>
      </c>
      <c r="K816" s="37" t="str">
        <f>IF(A816&amp;B816&amp;C816="","",INDEX(生物种群!$E$2:INDEX(生物种群!$E:$E,COUNTA(生物种群!$E:$E)),MATCH($I816,生物种群!$B$2:INDEX(生物种群!$B:$B,COUNTA(生物种群!$B:$B)),),))</f>
        <v/>
      </c>
      <c r="L816" s="37" t="str">
        <f>IF(A816&amp;B816&amp;C816="","",INDEX(生物种群!$F$3:INDEX(生物种群!$F:$F,COUNTA(生物种群!$F:$F)),MATCH($I816,生物种群!$B$3:INDEX(生物种群!$B:$B,COUNTA(生物种群!$B:$B)),),))</f>
        <v/>
      </c>
      <c r="M816" s="37" t="str">
        <f t="shared" si="24"/>
        <v/>
      </c>
      <c r="N816" s="37" t="str">
        <f t="shared" si="25"/>
        <v/>
      </c>
      <c r="O816" s="9"/>
      <c r="P816" s="10"/>
    </row>
    <row r="817" spans="1:16" ht="20.1" customHeight="1">
      <c r="A817" s="9"/>
      <c r="B817" s="9"/>
      <c r="C817" s="9"/>
      <c r="D817" s="43"/>
      <c r="E817" s="9"/>
      <c r="F817" s="9"/>
      <c r="G817" s="47" t="str">
        <f>IF(F817="","",INDEX(站位样品信息!$B$3:INDEX(站位样品信息!$B:$B,COUNTA(站位样品信息!$B:$B)+1),MATCH($F817,站位样品信息!$A$3:INDEX(站位样品信息!$A:$A,COUNTA(站位样品信息!$A:$A)+1),),))</f>
        <v/>
      </c>
      <c r="H817" s="37" t="str">
        <f>IF(A817&amp;B817&amp;C817="","",INDEX(生物种群!$A$2:INDEX(生物种群!$A:$A,COUNTA(生物种群!$A:$A)),MATCH($I817,生物种群!$B$2:INDEX(生物种群!$B:$B,COUNTA(生物种群!$B:$B)),),))</f>
        <v/>
      </c>
      <c r="I817" s="37" t="str">
        <f>IF(A817&amp;B817&amp;C817="","",IF($C817&lt;&gt;0,INDEX(生物种群!$B$2:INDEX(生物种群!$B:$B,COUNTA(生物种群!$B:$B)),MATCH($C817,生物种群!$G$2:INDEX(生物种群!$G:$G,COUNTA(生物种群!$G:$G)),),),IF($A817&lt;&gt;0,INDEX(生物种群!$B$2:INDEX(生物种群!$B:$B,COUNTA(生物种群!$B:$B)),MATCH($A817,生物种群!$C$2:INDEX(生物种群!$C:$C,COUNTA(生物种群!$C:$C)),),),INDEX(生物种群!$B$2:INDEX(生物种群!$B:$B,COUNTA(生物种群!$B:$B)),MATCH($B817,生物种群!$D$2:INDEX(生物种群!$D:$D,COUNTA(生物种群!$D:$D)),),))))</f>
        <v/>
      </c>
      <c r="J817" s="37" t="str">
        <f>IF(A817&amp;B817&amp;C817="","",INDEX(生物种群!$J$2:INDEX(生物种群!$J:$J,COUNTA(生物种群!$J:$J)),MATCH($I817,生物种群!$B$2:INDEX(生物种群!$B:$B,COUNTA(生物种群!$B:$B)),),))</f>
        <v/>
      </c>
      <c r="K817" s="37" t="str">
        <f>IF(A817&amp;B817&amp;C817="","",INDEX(生物种群!$E$2:INDEX(生物种群!$E:$E,COUNTA(生物种群!$E:$E)),MATCH($I817,生物种群!$B$2:INDEX(生物种群!$B:$B,COUNTA(生物种群!$B:$B)),),))</f>
        <v/>
      </c>
      <c r="L817" s="37" t="str">
        <f>IF(A817&amp;B817&amp;C817="","",INDEX(生物种群!$F$3:INDEX(生物种群!$F:$F,COUNTA(生物种群!$F:$F)),MATCH($I817,生物种群!$B$3:INDEX(生物种群!$B:$B,COUNTA(生物种群!$B:$B)),),))</f>
        <v/>
      </c>
      <c r="M817" s="37" t="str">
        <f t="shared" si="24"/>
        <v/>
      </c>
      <c r="N817" s="37" t="str">
        <f t="shared" si="25"/>
        <v/>
      </c>
      <c r="O817" s="9"/>
      <c r="P817" s="10"/>
    </row>
    <row r="818" spans="1:16" ht="20.1" customHeight="1">
      <c r="A818" s="9"/>
      <c r="B818" s="9"/>
      <c r="C818" s="9"/>
      <c r="D818" s="43"/>
      <c r="E818" s="9"/>
      <c r="F818" s="9"/>
      <c r="G818" s="47" t="str">
        <f>IF(F818="","",INDEX(站位样品信息!$B$3:INDEX(站位样品信息!$B:$B,COUNTA(站位样品信息!$B:$B)+1),MATCH($F818,站位样品信息!$A$3:INDEX(站位样品信息!$A:$A,COUNTA(站位样品信息!$A:$A)+1),),))</f>
        <v/>
      </c>
      <c r="H818" s="37" t="str">
        <f>IF(A818&amp;B818&amp;C818="","",INDEX(生物种群!$A$2:INDEX(生物种群!$A:$A,COUNTA(生物种群!$A:$A)),MATCH($I818,生物种群!$B$2:INDEX(生物种群!$B:$B,COUNTA(生物种群!$B:$B)),),))</f>
        <v/>
      </c>
      <c r="I818" s="37" t="str">
        <f>IF(A818&amp;B818&amp;C818="","",IF($C818&lt;&gt;0,INDEX(生物种群!$B$2:INDEX(生物种群!$B:$B,COUNTA(生物种群!$B:$B)),MATCH($C818,生物种群!$G$2:INDEX(生物种群!$G:$G,COUNTA(生物种群!$G:$G)),),),IF($A818&lt;&gt;0,INDEX(生物种群!$B$2:INDEX(生物种群!$B:$B,COUNTA(生物种群!$B:$B)),MATCH($A818,生物种群!$C$2:INDEX(生物种群!$C:$C,COUNTA(生物种群!$C:$C)),),),INDEX(生物种群!$B$2:INDEX(生物种群!$B:$B,COUNTA(生物种群!$B:$B)),MATCH($B818,生物种群!$D$2:INDEX(生物种群!$D:$D,COUNTA(生物种群!$D:$D)),),))))</f>
        <v/>
      </c>
      <c r="J818" s="37" t="str">
        <f>IF(A818&amp;B818&amp;C818="","",INDEX(生物种群!$J$2:INDEX(生物种群!$J:$J,COUNTA(生物种群!$J:$J)),MATCH($I818,生物种群!$B$2:INDEX(生物种群!$B:$B,COUNTA(生物种群!$B:$B)),),))</f>
        <v/>
      </c>
      <c r="K818" s="37" t="str">
        <f>IF(A818&amp;B818&amp;C818="","",INDEX(生物种群!$E$2:INDEX(生物种群!$E:$E,COUNTA(生物种群!$E:$E)),MATCH($I818,生物种群!$B$2:INDEX(生物种群!$B:$B,COUNTA(生物种群!$B:$B)),),))</f>
        <v/>
      </c>
      <c r="L818" s="37" t="str">
        <f>IF(A818&amp;B818&amp;C818="","",INDEX(生物种群!$F$3:INDEX(生物种群!$F:$F,COUNTA(生物种群!$F:$F)),MATCH($I818,生物种群!$B$3:INDEX(生物种群!$B:$B,COUNTA(生物种群!$B:$B)),),))</f>
        <v/>
      </c>
      <c r="M818" s="37" t="str">
        <f t="shared" si="24"/>
        <v/>
      </c>
      <c r="N818" s="37" t="str">
        <f t="shared" si="25"/>
        <v/>
      </c>
      <c r="O818" s="9"/>
      <c r="P818" s="10"/>
    </row>
    <row r="819" spans="1:16" ht="20.1" customHeight="1">
      <c r="A819" s="9"/>
      <c r="B819" s="9"/>
      <c r="C819" s="9"/>
      <c r="D819" s="43"/>
      <c r="E819" s="9"/>
      <c r="F819" s="9"/>
      <c r="G819" s="47" t="str">
        <f>IF(F819="","",INDEX(站位样品信息!$B$3:INDEX(站位样品信息!$B:$B,COUNTA(站位样品信息!$B:$B)+1),MATCH($F819,站位样品信息!$A$3:INDEX(站位样品信息!$A:$A,COUNTA(站位样品信息!$A:$A)+1),),))</f>
        <v/>
      </c>
      <c r="H819" s="37" t="str">
        <f>IF(A819&amp;B819&amp;C819="","",INDEX(生物种群!$A$2:INDEX(生物种群!$A:$A,COUNTA(生物种群!$A:$A)),MATCH($I819,生物种群!$B$2:INDEX(生物种群!$B:$B,COUNTA(生物种群!$B:$B)),),))</f>
        <v/>
      </c>
      <c r="I819" s="37" t="str">
        <f>IF(A819&amp;B819&amp;C819="","",IF($C819&lt;&gt;0,INDEX(生物种群!$B$2:INDEX(生物种群!$B:$B,COUNTA(生物种群!$B:$B)),MATCH($C819,生物种群!$G$2:INDEX(生物种群!$G:$G,COUNTA(生物种群!$G:$G)),),),IF($A819&lt;&gt;0,INDEX(生物种群!$B$2:INDEX(生物种群!$B:$B,COUNTA(生物种群!$B:$B)),MATCH($A819,生物种群!$C$2:INDEX(生物种群!$C:$C,COUNTA(生物种群!$C:$C)),),),INDEX(生物种群!$B$2:INDEX(生物种群!$B:$B,COUNTA(生物种群!$B:$B)),MATCH($B819,生物种群!$D$2:INDEX(生物种群!$D:$D,COUNTA(生物种群!$D:$D)),),))))</f>
        <v/>
      </c>
      <c r="J819" s="37" t="str">
        <f>IF(A819&amp;B819&amp;C819="","",INDEX(生物种群!$J$2:INDEX(生物种群!$J:$J,COUNTA(生物种群!$J:$J)),MATCH($I819,生物种群!$B$2:INDEX(生物种群!$B:$B,COUNTA(生物种群!$B:$B)),),))</f>
        <v/>
      </c>
      <c r="K819" s="37" t="str">
        <f>IF(A819&amp;B819&amp;C819="","",INDEX(生物种群!$E$2:INDEX(生物种群!$E:$E,COUNTA(生物种群!$E:$E)),MATCH($I819,生物种群!$B$2:INDEX(生物种群!$B:$B,COUNTA(生物种群!$B:$B)),),))</f>
        <v/>
      </c>
      <c r="L819" s="37" t="str">
        <f>IF(A819&amp;B819&amp;C819="","",INDEX(生物种群!$F$3:INDEX(生物种群!$F:$F,COUNTA(生物种群!$F:$F)),MATCH($I819,生物种群!$B$3:INDEX(生物种群!$B:$B,COUNTA(生物种群!$B:$B)),),))</f>
        <v/>
      </c>
      <c r="M819" s="37" t="str">
        <f t="shared" si="24"/>
        <v/>
      </c>
      <c r="N819" s="37" t="str">
        <f t="shared" si="25"/>
        <v/>
      </c>
      <c r="O819" s="9"/>
      <c r="P819" s="10"/>
    </row>
    <row r="820" spans="1:16" ht="20.1" customHeight="1">
      <c r="A820" s="9"/>
      <c r="B820" s="9"/>
      <c r="C820" s="9"/>
      <c r="D820" s="43"/>
      <c r="E820" s="9"/>
      <c r="F820" s="9"/>
      <c r="G820" s="47" t="str">
        <f>IF(F820="","",INDEX(站位样品信息!$B$3:INDEX(站位样品信息!$B:$B,COUNTA(站位样品信息!$B:$B)+1),MATCH($F820,站位样品信息!$A$3:INDEX(站位样品信息!$A:$A,COUNTA(站位样品信息!$A:$A)+1),),))</f>
        <v/>
      </c>
      <c r="H820" s="37" t="str">
        <f>IF(A820&amp;B820&amp;C820="","",INDEX(生物种群!$A$2:INDEX(生物种群!$A:$A,COUNTA(生物种群!$A:$A)),MATCH($I820,生物种群!$B$2:INDEX(生物种群!$B:$B,COUNTA(生物种群!$B:$B)),),))</f>
        <v/>
      </c>
      <c r="I820" s="37" t="str">
        <f>IF(A820&amp;B820&amp;C820="","",IF($C820&lt;&gt;0,INDEX(生物种群!$B$2:INDEX(生物种群!$B:$B,COUNTA(生物种群!$B:$B)),MATCH($C820,生物种群!$G$2:INDEX(生物种群!$G:$G,COUNTA(生物种群!$G:$G)),),),IF($A820&lt;&gt;0,INDEX(生物种群!$B$2:INDEX(生物种群!$B:$B,COUNTA(生物种群!$B:$B)),MATCH($A820,生物种群!$C$2:INDEX(生物种群!$C:$C,COUNTA(生物种群!$C:$C)),),),INDEX(生物种群!$B$2:INDEX(生物种群!$B:$B,COUNTA(生物种群!$B:$B)),MATCH($B820,生物种群!$D$2:INDEX(生物种群!$D:$D,COUNTA(生物种群!$D:$D)),),))))</f>
        <v/>
      </c>
      <c r="J820" s="37" t="str">
        <f>IF(A820&amp;B820&amp;C820="","",INDEX(生物种群!$J$2:INDEX(生物种群!$J:$J,COUNTA(生物种群!$J:$J)),MATCH($I820,生物种群!$B$2:INDEX(生物种群!$B:$B,COUNTA(生物种群!$B:$B)),),))</f>
        <v/>
      </c>
      <c r="K820" s="37" t="str">
        <f>IF(A820&amp;B820&amp;C820="","",INDEX(生物种群!$E$2:INDEX(生物种群!$E:$E,COUNTA(生物种群!$E:$E)),MATCH($I820,生物种群!$B$2:INDEX(生物种群!$B:$B,COUNTA(生物种群!$B:$B)),),))</f>
        <v/>
      </c>
      <c r="L820" s="37" t="str">
        <f>IF(A820&amp;B820&amp;C820="","",INDEX(生物种群!$F$3:INDEX(生物种群!$F:$F,COUNTA(生物种群!$F:$F)),MATCH($I820,生物种群!$B$3:INDEX(生物种群!$B:$B,COUNTA(生物种群!$B:$B)),),))</f>
        <v/>
      </c>
      <c r="M820" s="37" t="str">
        <f t="shared" si="24"/>
        <v/>
      </c>
      <c r="N820" s="37" t="str">
        <f t="shared" si="25"/>
        <v/>
      </c>
      <c r="O820" s="9"/>
      <c r="P820" s="10"/>
    </row>
    <row r="821" spans="1:16" ht="20.1" customHeight="1">
      <c r="A821" s="9"/>
      <c r="B821" s="9"/>
      <c r="C821" s="9"/>
      <c r="D821" s="43"/>
      <c r="E821" s="9"/>
      <c r="F821" s="9"/>
      <c r="G821" s="47" t="str">
        <f>IF(F821="","",INDEX(站位样品信息!$B$3:INDEX(站位样品信息!$B:$B,COUNTA(站位样品信息!$B:$B)+1),MATCH($F821,站位样品信息!$A$3:INDEX(站位样品信息!$A:$A,COUNTA(站位样品信息!$A:$A)+1),),))</f>
        <v/>
      </c>
      <c r="H821" s="37" t="str">
        <f>IF(A821&amp;B821&amp;C821="","",INDEX(生物种群!$A$2:INDEX(生物种群!$A:$A,COUNTA(生物种群!$A:$A)),MATCH($I821,生物种群!$B$2:INDEX(生物种群!$B:$B,COUNTA(生物种群!$B:$B)),),))</f>
        <v/>
      </c>
      <c r="I821" s="37" t="str">
        <f>IF(A821&amp;B821&amp;C821="","",IF($C821&lt;&gt;0,INDEX(生物种群!$B$2:INDEX(生物种群!$B:$B,COUNTA(生物种群!$B:$B)),MATCH($C821,生物种群!$G$2:INDEX(生物种群!$G:$G,COUNTA(生物种群!$G:$G)),),),IF($A821&lt;&gt;0,INDEX(生物种群!$B$2:INDEX(生物种群!$B:$B,COUNTA(生物种群!$B:$B)),MATCH($A821,生物种群!$C$2:INDEX(生物种群!$C:$C,COUNTA(生物种群!$C:$C)),),),INDEX(生物种群!$B$2:INDEX(生物种群!$B:$B,COUNTA(生物种群!$B:$B)),MATCH($B821,生物种群!$D$2:INDEX(生物种群!$D:$D,COUNTA(生物种群!$D:$D)),),))))</f>
        <v/>
      </c>
      <c r="J821" s="37" t="str">
        <f>IF(A821&amp;B821&amp;C821="","",INDEX(生物种群!$J$2:INDEX(生物种群!$J:$J,COUNTA(生物种群!$J:$J)),MATCH($I821,生物种群!$B$2:INDEX(生物种群!$B:$B,COUNTA(生物种群!$B:$B)),),))</f>
        <v/>
      </c>
      <c r="K821" s="37" t="str">
        <f>IF(A821&amp;B821&amp;C821="","",INDEX(生物种群!$E$2:INDEX(生物种群!$E:$E,COUNTA(生物种群!$E:$E)),MATCH($I821,生物种群!$B$2:INDEX(生物种群!$B:$B,COUNTA(生物种群!$B:$B)),),))</f>
        <v/>
      </c>
      <c r="L821" s="37" t="str">
        <f>IF(A821&amp;B821&amp;C821="","",INDEX(生物种群!$F$3:INDEX(生物种群!$F:$F,COUNTA(生物种群!$F:$F)),MATCH($I821,生物种群!$B$3:INDEX(生物种群!$B:$B,COUNTA(生物种群!$B:$B)),),))</f>
        <v/>
      </c>
      <c r="M821" s="37" t="str">
        <f t="shared" si="24"/>
        <v/>
      </c>
      <c r="N821" s="37" t="str">
        <f t="shared" si="25"/>
        <v/>
      </c>
      <c r="O821" s="9"/>
      <c r="P821" s="10"/>
    </row>
    <row r="822" spans="1:16" ht="20.1" customHeight="1">
      <c r="A822" s="9"/>
      <c r="B822" s="9"/>
      <c r="C822" s="9"/>
      <c r="D822" s="43"/>
      <c r="E822" s="9"/>
      <c r="F822" s="9"/>
      <c r="G822" s="47" t="str">
        <f>IF(F822="","",INDEX(站位样品信息!$B$3:INDEX(站位样品信息!$B:$B,COUNTA(站位样品信息!$B:$B)+1),MATCH($F822,站位样品信息!$A$3:INDEX(站位样品信息!$A:$A,COUNTA(站位样品信息!$A:$A)+1),),))</f>
        <v/>
      </c>
      <c r="H822" s="37" t="str">
        <f>IF(A822&amp;B822&amp;C822="","",INDEX(生物种群!$A$2:INDEX(生物种群!$A:$A,COUNTA(生物种群!$A:$A)),MATCH($I822,生物种群!$B$2:INDEX(生物种群!$B:$B,COUNTA(生物种群!$B:$B)),),))</f>
        <v/>
      </c>
      <c r="I822" s="37" t="str">
        <f>IF(A822&amp;B822&amp;C822="","",IF($C822&lt;&gt;0,INDEX(生物种群!$B$2:INDEX(生物种群!$B:$B,COUNTA(生物种群!$B:$B)),MATCH($C822,生物种群!$G$2:INDEX(生物种群!$G:$G,COUNTA(生物种群!$G:$G)),),),IF($A822&lt;&gt;0,INDEX(生物种群!$B$2:INDEX(生物种群!$B:$B,COUNTA(生物种群!$B:$B)),MATCH($A822,生物种群!$C$2:INDEX(生物种群!$C:$C,COUNTA(生物种群!$C:$C)),),),INDEX(生物种群!$B$2:INDEX(生物种群!$B:$B,COUNTA(生物种群!$B:$B)),MATCH($B822,生物种群!$D$2:INDEX(生物种群!$D:$D,COUNTA(生物种群!$D:$D)),),))))</f>
        <v/>
      </c>
      <c r="J822" s="37" t="str">
        <f>IF(A822&amp;B822&amp;C822="","",INDEX(生物种群!$J$2:INDEX(生物种群!$J:$J,COUNTA(生物种群!$J:$J)),MATCH($I822,生物种群!$B$2:INDEX(生物种群!$B:$B,COUNTA(生物种群!$B:$B)),),))</f>
        <v/>
      </c>
      <c r="K822" s="37" t="str">
        <f>IF(A822&amp;B822&amp;C822="","",INDEX(生物种群!$E$2:INDEX(生物种群!$E:$E,COUNTA(生物种群!$E:$E)),MATCH($I822,生物种群!$B$2:INDEX(生物种群!$B:$B,COUNTA(生物种群!$B:$B)),),))</f>
        <v/>
      </c>
      <c r="L822" s="37" t="str">
        <f>IF(A822&amp;B822&amp;C822="","",INDEX(生物种群!$F$3:INDEX(生物种群!$F:$F,COUNTA(生物种群!$F:$F)),MATCH($I822,生物种群!$B$3:INDEX(生物种群!$B:$B,COUNTA(生物种群!$B:$B)),),))</f>
        <v/>
      </c>
      <c r="M822" s="37" t="str">
        <f t="shared" si="24"/>
        <v/>
      </c>
      <c r="N822" s="37" t="str">
        <f t="shared" si="25"/>
        <v/>
      </c>
      <c r="O822" s="9"/>
      <c r="P822" s="10"/>
    </row>
    <row r="823" spans="1:16" ht="20.1" customHeight="1">
      <c r="A823" s="9"/>
      <c r="B823" s="9"/>
      <c r="C823" s="9"/>
      <c r="D823" s="43"/>
      <c r="E823" s="9"/>
      <c r="F823" s="9"/>
      <c r="G823" s="47" t="str">
        <f>IF(F823="","",INDEX(站位样品信息!$B$3:INDEX(站位样品信息!$B:$B,COUNTA(站位样品信息!$B:$B)+1),MATCH($F823,站位样品信息!$A$3:INDEX(站位样品信息!$A:$A,COUNTA(站位样品信息!$A:$A)+1),),))</f>
        <v/>
      </c>
      <c r="H823" s="37" t="str">
        <f>IF(A823&amp;B823&amp;C823="","",INDEX(生物种群!$A$2:INDEX(生物种群!$A:$A,COUNTA(生物种群!$A:$A)),MATCH($I823,生物种群!$B$2:INDEX(生物种群!$B:$B,COUNTA(生物种群!$B:$B)),),))</f>
        <v/>
      </c>
      <c r="I823" s="37" t="str">
        <f>IF(A823&amp;B823&amp;C823="","",IF($C823&lt;&gt;0,INDEX(生物种群!$B$2:INDEX(生物种群!$B:$B,COUNTA(生物种群!$B:$B)),MATCH($C823,生物种群!$G$2:INDEX(生物种群!$G:$G,COUNTA(生物种群!$G:$G)),),),IF($A823&lt;&gt;0,INDEX(生物种群!$B$2:INDEX(生物种群!$B:$B,COUNTA(生物种群!$B:$B)),MATCH($A823,生物种群!$C$2:INDEX(生物种群!$C:$C,COUNTA(生物种群!$C:$C)),),),INDEX(生物种群!$B$2:INDEX(生物种群!$B:$B,COUNTA(生物种群!$B:$B)),MATCH($B823,生物种群!$D$2:INDEX(生物种群!$D:$D,COUNTA(生物种群!$D:$D)),),))))</f>
        <v/>
      </c>
      <c r="J823" s="37" t="str">
        <f>IF(A823&amp;B823&amp;C823="","",INDEX(生物种群!$J$2:INDEX(生物种群!$J:$J,COUNTA(生物种群!$J:$J)),MATCH($I823,生物种群!$B$2:INDEX(生物种群!$B:$B,COUNTA(生物种群!$B:$B)),),))</f>
        <v/>
      </c>
      <c r="K823" s="37" t="str">
        <f>IF(A823&amp;B823&amp;C823="","",INDEX(生物种群!$E$2:INDEX(生物种群!$E:$E,COUNTA(生物种群!$E:$E)),MATCH($I823,生物种群!$B$2:INDEX(生物种群!$B:$B,COUNTA(生物种群!$B:$B)),),))</f>
        <v/>
      </c>
      <c r="L823" s="37" t="str">
        <f>IF(A823&amp;B823&amp;C823="","",INDEX(生物种群!$F$3:INDEX(生物种群!$F:$F,COUNTA(生物种群!$F:$F)),MATCH($I823,生物种群!$B$3:INDEX(生物种群!$B:$B,COUNTA(生物种群!$B:$B)),),))</f>
        <v/>
      </c>
      <c r="M823" s="37" t="str">
        <f t="shared" si="24"/>
        <v/>
      </c>
      <c r="N823" s="37" t="str">
        <f t="shared" si="25"/>
        <v/>
      </c>
      <c r="O823" s="9"/>
      <c r="P823" s="10"/>
    </row>
    <row r="824" spans="1:16" ht="20.1" customHeight="1">
      <c r="A824" s="9"/>
      <c r="B824" s="9"/>
      <c r="C824" s="9"/>
      <c r="D824" s="43"/>
      <c r="E824" s="9"/>
      <c r="F824" s="9"/>
      <c r="G824" s="47" t="str">
        <f>IF(F824="","",INDEX(站位样品信息!$B$3:INDEX(站位样品信息!$B:$B,COUNTA(站位样品信息!$B:$B)+1),MATCH($F824,站位样品信息!$A$3:INDEX(站位样品信息!$A:$A,COUNTA(站位样品信息!$A:$A)+1),),))</f>
        <v/>
      </c>
      <c r="H824" s="37" t="str">
        <f>IF(A824&amp;B824&amp;C824="","",INDEX(生物种群!$A$2:INDEX(生物种群!$A:$A,COUNTA(生物种群!$A:$A)),MATCH($I824,生物种群!$B$2:INDEX(生物种群!$B:$B,COUNTA(生物种群!$B:$B)),),))</f>
        <v/>
      </c>
      <c r="I824" s="37" t="str">
        <f>IF(A824&amp;B824&amp;C824="","",IF($C824&lt;&gt;0,INDEX(生物种群!$B$2:INDEX(生物种群!$B:$B,COUNTA(生物种群!$B:$B)),MATCH($C824,生物种群!$G$2:INDEX(生物种群!$G:$G,COUNTA(生物种群!$G:$G)),),),IF($A824&lt;&gt;0,INDEX(生物种群!$B$2:INDEX(生物种群!$B:$B,COUNTA(生物种群!$B:$B)),MATCH($A824,生物种群!$C$2:INDEX(生物种群!$C:$C,COUNTA(生物种群!$C:$C)),),),INDEX(生物种群!$B$2:INDEX(生物种群!$B:$B,COUNTA(生物种群!$B:$B)),MATCH($B824,生物种群!$D$2:INDEX(生物种群!$D:$D,COUNTA(生物种群!$D:$D)),),))))</f>
        <v/>
      </c>
      <c r="J824" s="37" t="str">
        <f>IF(A824&amp;B824&amp;C824="","",INDEX(生物种群!$J$2:INDEX(生物种群!$J:$J,COUNTA(生物种群!$J:$J)),MATCH($I824,生物种群!$B$2:INDEX(生物种群!$B:$B,COUNTA(生物种群!$B:$B)),),))</f>
        <v/>
      </c>
      <c r="K824" s="37" t="str">
        <f>IF(A824&amp;B824&amp;C824="","",INDEX(生物种群!$E$2:INDEX(生物种群!$E:$E,COUNTA(生物种群!$E:$E)),MATCH($I824,生物种群!$B$2:INDEX(生物种群!$B:$B,COUNTA(生物种群!$B:$B)),),))</f>
        <v/>
      </c>
      <c r="L824" s="37" t="str">
        <f>IF(A824&amp;B824&amp;C824="","",INDEX(生物种群!$F$3:INDEX(生物种群!$F:$F,COUNTA(生物种群!$F:$F)),MATCH($I824,生物种群!$B$3:INDEX(生物种群!$B:$B,COUNTA(生物种群!$B:$B)),),))</f>
        <v/>
      </c>
      <c r="M824" s="37" t="str">
        <f t="shared" si="24"/>
        <v/>
      </c>
      <c r="N824" s="37" t="str">
        <f t="shared" si="25"/>
        <v/>
      </c>
      <c r="O824" s="9"/>
      <c r="P824" s="10"/>
    </row>
    <row r="825" spans="1:16" ht="20.1" customHeight="1">
      <c r="A825" s="9"/>
      <c r="B825" s="9"/>
      <c r="C825" s="9"/>
      <c r="D825" s="43"/>
      <c r="E825" s="9"/>
      <c r="F825" s="9"/>
      <c r="G825" s="47" t="str">
        <f>IF(F825="","",INDEX(站位样品信息!$B$3:INDEX(站位样品信息!$B:$B,COUNTA(站位样品信息!$B:$B)+1),MATCH($F825,站位样品信息!$A$3:INDEX(站位样品信息!$A:$A,COUNTA(站位样品信息!$A:$A)+1),),))</f>
        <v/>
      </c>
      <c r="H825" s="37" t="str">
        <f>IF(A825&amp;B825&amp;C825="","",INDEX(生物种群!$A$2:INDEX(生物种群!$A:$A,COUNTA(生物种群!$A:$A)),MATCH($I825,生物种群!$B$2:INDEX(生物种群!$B:$B,COUNTA(生物种群!$B:$B)),),))</f>
        <v/>
      </c>
      <c r="I825" s="37" t="str">
        <f>IF(A825&amp;B825&amp;C825="","",IF($C825&lt;&gt;0,INDEX(生物种群!$B$2:INDEX(生物种群!$B:$B,COUNTA(生物种群!$B:$B)),MATCH($C825,生物种群!$G$2:INDEX(生物种群!$G:$G,COUNTA(生物种群!$G:$G)),),),IF($A825&lt;&gt;0,INDEX(生物种群!$B$2:INDEX(生物种群!$B:$B,COUNTA(生物种群!$B:$B)),MATCH($A825,生物种群!$C$2:INDEX(生物种群!$C:$C,COUNTA(生物种群!$C:$C)),),),INDEX(生物种群!$B$2:INDEX(生物种群!$B:$B,COUNTA(生物种群!$B:$B)),MATCH($B825,生物种群!$D$2:INDEX(生物种群!$D:$D,COUNTA(生物种群!$D:$D)),),))))</f>
        <v/>
      </c>
      <c r="J825" s="37" t="str">
        <f>IF(A825&amp;B825&amp;C825="","",INDEX(生物种群!$J$2:INDEX(生物种群!$J:$J,COUNTA(生物种群!$J:$J)),MATCH($I825,生物种群!$B$2:INDEX(生物种群!$B:$B,COUNTA(生物种群!$B:$B)),),))</f>
        <v/>
      </c>
      <c r="K825" s="37" t="str">
        <f>IF(A825&amp;B825&amp;C825="","",INDEX(生物种群!$E$2:INDEX(生物种群!$E:$E,COUNTA(生物种群!$E:$E)),MATCH($I825,生物种群!$B$2:INDEX(生物种群!$B:$B,COUNTA(生物种群!$B:$B)),),))</f>
        <v/>
      </c>
      <c r="L825" s="37" t="str">
        <f>IF(A825&amp;B825&amp;C825="","",INDEX(生物种群!$F$3:INDEX(生物种群!$F:$F,COUNTA(生物种群!$F:$F)),MATCH($I825,生物种群!$B$3:INDEX(生物种群!$B:$B,COUNTA(生物种群!$B:$B)),),))</f>
        <v/>
      </c>
      <c r="M825" s="37" t="str">
        <f t="shared" si="24"/>
        <v/>
      </c>
      <c r="N825" s="37" t="str">
        <f t="shared" si="25"/>
        <v/>
      </c>
      <c r="O825" s="9"/>
      <c r="P825" s="10"/>
    </row>
    <row r="826" spans="1:16" ht="20.1" customHeight="1">
      <c r="A826" s="9"/>
      <c r="B826" s="9"/>
      <c r="C826" s="9"/>
      <c r="D826" s="43"/>
      <c r="E826" s="9"/>
      <c r="F826" s="9"/>
      <c r="G826" s="47" t="str">
        <f>IF(F826="","",INDEX(站位样品信息!$B$3:INDEX(站位样品信息!$B:$B,COUNTA(站位样品信息!$B:$B)+1),MATCH($F826,站位样品信息!$A$3:INDEX(站位样品信息!$A:$A,COUNTA(站位样品信息!$A:$A)+1),),))</f>
        <v/>
      </c>
      <c r="H826" s="37" t="str">
        <f>IF(A826&amp;B826&amp;C826="","",INDEX(生物种群!$A$2:INDEX(生物种群!$A:$A,COUNTA(生物种群!$A:$A)),MATCH($I826,生物种群!$B$2:INDEX(生物种群!$B:$B,COUNTA(生物种群!$B:$B)),),))</f>
        <v/>
      </c>
      <c r="I826" s="37" t="str">
        <f>IF(A826&amp;B826&amp;C826="","",IF($C826&lt;&gt;0,INDEX(生物种群!$B$2:INDEX(生物种群!$B:$B,COUNTA(生物种群!$B:$B)),MATCH($C826,生物种群!$G$2:INDEX(生物种群!$G:$G,COUNTA(生物种群!$G:$G)),),),IF($A826&lt;&gt;0,INDEX(生物种群!$B$2:INDEX(生物种群!$B:$B,COUNTA(生物种群!$B:$B)),MATCH($A826,生物种群!$C$2:INDEX(生物种群!$C:$C,COUNTA(生物种群!$C:$C)),),),INDEX(生物种群!$B$2:INDEX(生物种群!$B:$B,COUNTA(生物种群!$B:$B)),MATCH($B826,生物种群!$D$2:INDEX(生物种群!$D:$D,COUNTA(生物种群!$D:$D)),),))))</f>
        <v/>
      </c>
      <c r="J826" s="37" t="str">
        <f>IF(A826&amp;B826&amp;C826="","",INDEX(生物种群!$J$2:INDEX(生物种群!$J:$J,COUNTA(生物种群!$J:$J)),MATCH($I826,生物种群!$B$2:INDEX(生物种群!$B:$B,COUNTA(生物种群!$B:$B)),),))</f>
        <v/>
      </c>
      <c r="K826" s="37" t="str">
        <f>IF(A826&amp;B826&amp;C826="","",INDEX(生物种群!$E$2:INDEX(生物种群!$E:$E,COUNTA(生物种群!$E:$E)),MATCH($I826,生物种群!$B$2:INDEX(生物种群!$B:$B,COUNTA(生物种群!$B:$B)),),))</f>
        <v/>
      </c>
      <c r="L826" s="37" t="str">
        <f>IF(A826&amp;B826&amp;C826="","",INDEX(生物种群!$F$3:INDEX(生物种群!$F:$F,COUNTA(生物种群!$F:$F)),MATCH($I826,生物种群!$B$3:INDEX(生物种群!$B:$B,COUNTA(生物种群!$B:$B)),),))</f>
        <v/>
      </c>
      <c r="M826" s="37" t="str">
        <f t="shared" si="24"/>
        <v/>
      </c>
      <c r="N826" s="37" t="str">
        <f t="shared" si="25"/>
        <v/>
      </c>
      <c r="O826" s="9"/>
      <c r="P826" s="10"/>
    </row>
    <row r="827" spans="1:16" ht="20.1" customHeight="1">
      <c r="A827" s="9"/>
      <c r="B827" s="9"/>
      <c r="C827" s="9"/>
      <c r="D827" s="43"/>
      <c r="E827" s="9"/>
      <c r="F827" s="9"/>
      <c r="G827" s="47" t="str">
        <f>IF(F827="","",INDEX(站位样品信息!$B$3:INDEX(站位样品信息!$B:$B,COUNTA(站位样品信息!$B:$B)+1),MATCH($F827,站位样品信息!$A$3:INDEX(站位样品信息!$A:$A,COUNTA(站位样品信息!$A:$A)+1),),))</f>
        <v/>
      </c>
      <c r="H827" s="37" t="str">
        <f>IF(A827&amp;B827&amp;C827="","",INDEX(生物种群!$A$2:INDEX(生物种群!$A:$A,COUNTA(生物种群!$A:$A)),MATCH($I827,生物种群!$B$2:INDEX(生物种群!$B:$B,COUNTA(生物种群!$B:$B)),),))</f>
        <v/>
      </c>
      <c r="I827" s="37" t="str">
        <f>IF(A827&amp;B827&amp;C827="","",IF($C827&lt;&gt;0,INDEX(生物种群!$B$2:INDEX(生物种群!$B:$B,COUNTA(生物种群!$B:$B)),MATCH($C827,生物种群!$G$2:INDEX(生物种群!$G:$G,COUNTA(生物种群!$G:$G)),),),IF($A827&lt;&gt;0,INDEX(生物种群!$B$2:INDEX(生物种群!$B:$B,COUNTA(生物种群!$B:$B)),MATCH($A827,生物种群!$C$2:INDEX(生物种群!$C:$C,COUNTA(生物种群!$C:$C)),),),INDEX(生物种群!$B$2:INDEX(生物种群!$B:$B,COUNTA(生物种群!$B:$B)),MATCH($B827,生物种群!$D$2:INDEX(生物种群!$D:$D,COUNTA(生物种群!$D:$D)),),))))</f>
        <v/>
      </c>
      <c r="J827" s="37" t="str">
        <f>IF(A827&amp;B827&amp;C827="","",INDEX(生物种群!$J$2:INDEX(生物种群!$J:$J,COUNTA(生物种群!$J:$J)),MATCH($I827,生物种群!$B$2:INDEX(生物种群!$B:$B,COUNTA(生物种群!$B:$B)),),))</f>
        <v/>
      </c>
      <c r="K827" s="37" t="str">
        <f>IF(A827&amp;B827&amp;C827="","",INDEX(生物种群!$E$2:INDEX(生物种群!$E:$E,COUNTA(生物种群!$E:$E)),MATCH($I827,生物种群!$B$2:INDEX(生物种群!$B:$B,COUNTA(生物种群!$B:$B)),),))</f>
        <v/>
      </c>
      <c r="L827" s="37" t="str">
        <f>IF(A827&amp;B827&amp;C827="","",INDEX(生物种群!$F$3:INDEX(生物种群!$F:$F,COUNTA(生物种群!$F:$F)),MATCH($I827,生物种群!$B$3:INDEX(生物种群!$B:$B,COUNTA(生物种群!$B:$B)),),))</f>
        <v/>
      </c>
      <c r="M827" s="37" t="str">
        <f t="shared" si="24"/>
        <v/>
      </c>
      <c r="N827" s="37" t="str">
        <f t="shared" si="25"/>
        <v/>
      </c>
      <c r="O827" s="9"/>
      <c r="P827" s="10"/>
    </row>
    <row r="828" spans="1:16" ht="20.1" customHeight="1">
      <c r="A828" s="9"/>
      <c r="B828" s="9"/>
      <c r="C828" s="9"/>
      <c r="D828" s="43"/>
      <c r="E828" s="9"/>
      <c r="F828" s="9"/>
      <c r="G828" s="47" t="str">
        <f>IF(F828="","",INDEX(站位样品信息!$B$3:INDEX(站位样品信息!$B:$B,COUNTA(站位样品信息!$B:$B)+1),MATCH($F828,站位样品信息!$A$3:INDEX(站位样品信息!$A:$A,COUNTA(站位样品信息!$A:$A)+1),),))</f>
        <v/>
      </c>
      <c r="H828" s="37" t="str">
        <f>IF(A828&amp;B828&amp;C828="","",INDEX(生物种群!$A$2:INDEX(生物种群!$A:$A,COUNTA(生物种群!$A:$A)),MATCH($I828,生物种群!$B$2:INDEX(生物种群!$B:$B,COUNTA(生物种群!$B:$B)),),))</f>
        <v/>
      </c>
      <c r="I828" s="37" t="str">
        <f>IF(A828&amp;B828&amp;C828="","",IF($C828&lt;&gt;0,INDEX(生物种群!$B$2:INDEX(生物种群!$B:$B,COUNTA(生物种群!$B:$B)),MATCH($C828,生物种群!$G$2:INDEX(生物种群!$G:$G,COUNTA(生物种群!$G:$G)),),),IF($A828&lt;&gt;0,INDEX(生物种群!$B$2:INDEX(生物种群!$B:$B,COUNTA(生物种群!$B:$B)),MATCH($A828,生物种群!$C$2:INDEX(生物种群!$C:$C,COUNTA(生物种群!$C:$C)),),),INDEX(生物种群!$B$2:INDEX(生物种群!$B:$B,COUNTA(生物种群!$B:$B)),MATCH($B828,生物种群!$D$2:INDEX(生物种群!$D:$D,COUNTA(生物种群!$D:$D)),),))))</f>
        <v/>
      </c>
      <c r="J828" s="37" t="str">
        <f>IF(A828&amp;B828&amp;C828="","",INDEX(生物种群!$J$2:INDEX(生物种群!$J:$J,COUNTA(生物种群!$J:$J)),MATCH($I828,生物种群!$B$2:INDEX(生物种群!$B:$B,COUNTA(生物种群!$B:$B)),),))</f>
        <v/>
      </c>
      <c r="K828" s="37" t="str">
        <f>IF(A828&amp;B828&amp;C828="","",INDEX(生物种群!$E$2:INDEX(生物种群!$E:$E,COUNTA(生物种群!$E:$E)),MATCH($I828,生物种群!$B$2:INDEX(生物种群!$B:$B,COUNTA(生物种群!$B:$B)),),))</f>
        <v/>
      </c>
      <c r="L828" s="37" t="str">
        <f>IF(A828&amp;B828&amp;C828="","",INDEX(生物种群!$F$3:INDEX(生物种群!$F:$F,COUNTA(生物种群!$F:$F)),MATCH($I828,生物种群!$B$3:INDEX(生物种群!$B:$B,COUNTA(生物种群!$B:$B)),),))</f>
        <v/>
      </c>
      <c r="M828" s="37" t="str">
        <f t="shared" si="24"/>
        <v/>
      </c>
      <c r="N828" s="37" t="str">
        <f t="shared" si="25"/>
        <v/>
      </c>
      <c r="O828" s="9"/>
      <c r="P828" s="10"/>
    </row>
    <row r="829" spans="1:16" ht="20.1" customHeight="1">
      <c r="A829" s="9"/>
      <c r="B829" s="9"/>
      <c r="C829" s="9"/>
      <c r="D829" s="43"/>
      <c r="E829" s="9"/>
      <c r="F829" s="9"/>
      <c r="G829" s="47" t="str">
        <f>IF(F829="","",INDEX(站位样品信息!$B$3:INDEX(站位样品信息!$B:$B,COUNTA(站位样品信息!$B:$B)+1),MATCH($F829,站位样品信息!$A$3:INDEX(站位样品信息!$A:$A,COUNTA(站位样品信息!$A:$A)+1),),))</f>
        <v/>
      </c>
      <c r="H829" s="37" t="str">
        <f>IF(A829&amp;B829&amp;C829="","",INDEX(生物种群!$A$2:INDEX(生物种群!$A:$A,COUNTA(生物种群!$A:$A)),MATCH($I829,生物种群!$B$2:INDEX(生物种群!$B:$B,COUNTA(生物种群!$B:$B)),),))</f>
        <v/>
      </c>
      <c r="I829" s="37" t="str">
        <f>IF(A829&amp;B829&amp;C829="","",IF($C829&lt;&gt;0,INDEX(生物种群!$B$2:INDEX(生物种群!$B:$B,COUNTA(生物种群!$B:$B)),MATCH($C829,生物种群!$G$2:INDEX(生物种群!$G:$G,COUNTA(生物种群!$G:$G)),),),IF($A829&lt;&gt;0,INDEX(生物种群!$B$2:INDEX(生物种群!$B:$B,COUNTA(生物种群!$B:$B)),MATCH($A829,生物种群!$C$2:INDEX(生物种群!$C:$C,COUNTA(生物种群!$C:$C)),),),INDEX(生物种群!$B$2:INDEX(生物种群!$B:$B,COUNTA(生物种群!$B:$B)),MATCH($B829,生物种群!$D$2:INDEX(生物种群!$D:$D,COUNTA(生物种群!$D:$D)),),))))</f>
        <v/>
      </c>
      <c r="J829" s="37" t="str">
        <f>IF(A829&amp;B829&amp;C829="","",INDEX(生物种群!$J$2:INDEX(生物种群!$J:$J,COUNTA(生物种群!$J:$J)),MATCH($I829,生物种群!$B$2:INDEX(生物种群!$B:$B,COUNTA(生物种群!$B:$B)),),))</f>
        <v/>
      </c>
      <c r="K829" s="37" t="str">
        <f>IF(A829&amp;B829&amp;C829="","",INDEX(生物种群!$E$2:INDEX(生物种群!$E:$E,COUNTA(生物种群!$E:$E)),MATCH($I829,生物种群!$B$2:INDEX(生物种群!$B:$B,COUNTA(生物种群!$B:$B)),),))</f>
        <v/>
      </c>
      <c r="L829" s="37" t="str">
        <f>IF(A829&amp;B829&amp;C829="","",INDEX(生物种群!$F$3:INDEX(生物种群!$F:$F,COUNTA(生物种群!$F:$F)),MATCH($I829,生物种群!$B$3:INDEX(生物种群!$B:$B,COUNTA(生物种群!$B:$B)),),))</f>
        <v/>
      </c>
      <c r="M829" s="37" t="str">
        <f t="shared" si="24"/>
        <v/>
      </c>
      <c r="N829" s="37" t="str">
        <f t="shared" si="25"/>
        <v/>
      </c>
      <c r="O829" s="9"/>
      <c r="P829" s="10"/>
    </row>
    <row r="830" spans="1:16" ht="20.1" customHeight="1">
      <c r="A830" s="9"/>
      <c r="B830" s="9"/>
      <c r="C830" s="9"/>
      <c r="D830" s="43"/>
      <c r="E830" s="9"/>
      <c r="F830" s="9"/>
      <c r="G830" s="47" t="str">
        <f>IF(F830="","",INDEX(站位样品信息!$B$3:INDEX(站位样品信息!$B:$B,COUNTA(站位样品信息!$B:$B)+1),MATCH($F830,站位样品信息!$A$3:INDEX(站位样品信息!$A:$A,COUNTA(站位样品信息!$A:$A)+1),),))</f>
        <v/>
      </c>
      <c r="H830" s="37" t="str">
        <f>IF(A830&amp;B830&amp;C830="","",INDEX(生物种群!$A$2:INDEX(生物种群!$A:$A,COUNTA(生物种群!$A:$A)),MATCH($I830,生物种群!$B$2:INDEX(生物种群!$B:$B,COUNTA(生物种群!$B:$B)),),))</f>
        <v/>
      </c>
      <c r="I830" s="37" t="str">
        <f>IF(A830&amp;B830&amp;C830="","",IF($C830&lt;&gt;0,INDEX(生物种群!$B$2:INDEX(生物种群!$B:$B,COUNTA(生物种群!$B:$B)),MATCH($C830,生物种群!$G$2:INDEX(生物种群!$G:$G,COUNTA(生物种群!$G:$G)),),),IF($A830&lt;&gt;0,INDEX(生物种群!$B$2:INDEX(生物种群!$B:$B,COUNTA(生物种群!$B:$B)),MATCH($A830,生物种群!$C$2:INDEX(生物种群!$C:$C,COUNTA(生物种群!$C:$C)),),),INDEX(生物种群!$B$2:INDEX(生物种群!$B:$B,COUNTA(生物种群!$B:$B)),MATCH($B830,生物种群!$D$2:INDEX(生物种群!$D:$D,COUNTA(生物种群!$D:$D)),),))))</f>
        <v/>
      </c>
      <c r="J830" s="37" t="str">
        <f>IF(A830&amp;B830&amp;C830="","",INDEX(生物种群!$J$2:INDEX(生物种群!$J:$J,COUNTA(生物种群!$J:$J)),MATCH($I830,生物种群!$B$2:INDEX(生物种群!$B:$B,COUNTA(生物种群!$B:$B)),),))</f>
        <v/>
      </c>
      <c r="K830" s="37" t="str">
        <f>IF(A830&amp;B830&amp;C830="","",INDEX(生物种群!$E$2:INDEX(生物种群!$E:$E,COUNTA(生物种群!$E:$E)),MATCH($I830,生物种群!$B$2:INDEX(生物种群!$B:$B,COUNTA(生物种群!$B:$B)),),))</f>
        <v/>
      </c>
      <c r="L830" s="37" t="str">
        <f>IF(A830&amp;B830&amp;C830="","",INDEX(生物种群!$F$3:INDEX(生物种群!$F:$F,COUNTA(生物种群!$F:$F)),MATCH($I830,生物种群!$B$3:INDEX(生物种群!$B:$B,COUNTA(生物种群!$B:$B)),),))</f>
        <v/>
      </c>
      <c r="M830" s="37" t="str">
        <f t="shared" si="24"/>
        <v/>
      </c>
      <c r="N830" s="37" t="str">
        <f t="shared" si="25"/>
        <v/>
      </c>
      <c r="O830" s="9"/>
      <c r="P830" s="10"/>
    </row>
    <row r="831" spans="1:16" ht="20.1" customHeight="1">
      <c r="A831" s="9"/>
      <c r="B831" s="9"/>
      <c r="C831" s="9"/>
      <c r="D831" s="43"/>
      <c r="E831" s="9"/>
      <c r="F831" s="9"/>
      <c r="G831" s="47" t="str">
        <f>IF(F831="","",INDEX(站位样品信息!$B$3:INDEX(站位样品信息!$B:$B,COUNTA(站位样品信息!$B:$B)+1),MATCH($F831,站位样品信息!$A$3:INDEX(站位样品信息!$A:$A,COUNTA(站位样品信息!$A:$A)+1),),))</f>
        <v/>
      </c>
      <c r="H831" s="37" t="str">
        <f>IF(A831&amp;B831&amp;C831="","",INDEX(生物种群!$A$2:INDEX(生物种群!$A:$A,COUNTA(生物种群!$A:$A)),MATCH($I831,生物种群!$B$2:INDEX(生物种群!$B:$B,COUNTA(生物种群!$B:$B)),),))</f>
        <v/>
      </c>
      <c r="I831" s="37" t="str">
        <f>IF(A831&amp;B831&amp;C831="","",IF($C831&lt;&gt;0,INDEX(生物种群!$B$2:INDEX(生物种群!$B:$B,COUNTA(生物种群!$B:$B)),MATCH($C831,生物种群!$G$2:INDEX(生物种群!$G:$G,COUNTA(生物种群!$G:$G)),),),IF($A831&lt;&gt;0,INDEX(生物种群!$B$2:INDEX(生物种群!$B:$B,COUNTA(生物种群!$B:$B)),MATCH($A831,生物种群!$C$2:INDEX(生物种群!$C:$C,COUNTA(生物种群!$C:$C)),),),INDEX(生物种群!$B$2:INDEX(生物种群!$B:$B,COUNTA(生物种群!$B:$B)),MATCH($B831,生物种群!$D$2:INDEX(生物种群!$D:$D,COUNTA(生物种群!$D:$D)),),))))</f>
        <v/>
      </c>
      <c r="J831" s="37" t="str">
        <f>IF(A831&amp;B831&amp;C831="","",INDEX(生物种群!$J$2:INDEX(生物种群!$J:$J,COUNTA(生物种群!$J:$J)),MATCH($I831,生物种群!$B$2:INDEX(生物种群!$B:$B,COUNTA(生物种群!$B:$B)),),))</f>
        <v/>
      </c>
      <c r="K831" s="37" t="str">
        <f>IF(A831&amp;B831&amp;C831="","",INDEX(生物种群!$E$2:INDEX(生物种群!$E:$E,COUNTA(生物种群!$E:$E)),MATCH($I831,生物种群!$B$2:INDEX(生物种群!$B:$B,COUNTA(生物种群!$B:$B)),),))</f>
        <v/>
      </c>
      <c r="L831" s="37" t="str">
        <f>IF(A831&amp;B831&amp;C831="","",INDEX(生物种群!$F$3:INDEX(生物种群!$F:$F,COUNTA(生物种群!$F:$F)),MATCH($I831,生物种群!$B$3:INDEX(生物种群!$B:$B,COUNTA(生物种群!$B:$B)),),))</f>
        <v/>
      </c>
      <c r="M831" s="37" t="str">
        <f t="shared" si="24"/>
        <v/>
      </c>
      <c r="N831" s="37" t="str">
        <f t="shared" si="25"/>
        <v/>
      </c>
      <c r="O831" s="9"/>
      <c r="P831" s="10"/>
    </row>
    <row r="832" spans="1:16" ht="20.1" customHeight="1">
      <c r="A832" s="9"/>
      <c r="B832" s="9"/>
      <c r="C832" s="9"/>
      <c r="D832" s="43"/>
      <c r="E832" s="9"/>
      <c r="F832" s="9"/>
      <c r="G832" s="47" t="str">
        <f>IF(F832="","",INDEX(站位样品信息!$B$3:INDEX(站位样品信息!$B:$B,COUNTA(站位样品信息!$B:$B)+1),MATCH($F832,站位样品信息!$A$3:INDEX(站位样品信息!$A:$A,COUNTA(站位样品信息!$A:$A)+1),),))</f>
        <v/>
      </c>
      <c r="H832" s="37" t="str">
        <f>IF(A832&amp;B832&amp;C832="","",INDEX(生物种群!$A$2:INDEX(生物种群!$A:$A,COUNTA(生物种群!$A:$A)),MATCH($I832,生物种群!$B$2:INDEX(生物种群!$B:$B,COUNTA(生物种群!$B:$B)),),))</f>
        <v/>
      </c>
      <c r="I832" s="37" t="str">
        <f>IF(A832&amp;B832&amp;C832="","",IF($C832&lt;&gt;0,INDEX(生物种群!$B$2:INDEX(生物种群!$B:$B,COUNTA(生物种群!$B:$B)),MATCH($C832,生物种群!$G$2:INDEX(生物种群!$G:$G,COUNTA(生物种群!$G:$G)),),),IF($A832&lt;&gt;0,INDEX(生物种群!$B$2:INDEX(生物种群!$B:$B,COUNTA(生物种群!$B:$B)),MATCH($A832,生物种群!$C$2:INDEX(生物种群!$C:$C,COUNTA(生物种群!$C:$C)),),),INDEX(生物种群!$B$2:INDEX(生物种群!$B:$B,COUNTA(生物种群!$B:$B)),MATCH($B832,生物种群!$D$2:INDEX(生物种群!$D:$D,COUNTA(生物种群!$D:$D)),),))))</f>
        <v/>
      </c>
      <c r="J832" s="37" t="str">
        <f>IF(A832&amp;B832&amp;C832="","",INDEX(生物种群!$J$2:INDEX(生物种群!$J:$J,COUNTA(生物种群!$J:$J)),MATCH($I832,生物种群!$B$2:INDEX(生物种群!$B:$B,COUNTA(生物种群!$B:$B)),),))</f>
        <v/>
      </c>
      <c r="K832" s="37" t="str">
        <f>IF(A832&amp;B832&amp;C832="","",INDEX(生物种群!$E$2:INDEX(生物种群!$E:$E,COUNTA(生物种群!$E:$E)),MATCH($I832,生物种群!$B$2:INDEX(生物种群!$B:$B,COUNTA(生物种群!$B:$B)),),))</f>
        <v/>
      </c>
      <c r="L832" s="37" t="str">
        <f>IF(A832&amp;B832&amp;C832="","",INDEX(生物种群!$F$3:INDEX(生物种群!$F:$F,COUNTA(生物种群!$F:$F)),MATCH($I832,生物种群!$B$3:INDEX(生物种群!$B:$B,COUNTA(生物种群!$B:$B)),),))</f>
        <v/>
      </c>
      <c r="M832" s="37" t="str">
        <f t="shared" si="24"/>
        <v/>
      </c>
      <c r="N832" s="37" t="str">
        <f t="shared" si="25"/>
        <v/>
      </c>
      <c r="O832" s="9"/>
      <c r="P832" s="10"/>
    </row>
    <row r="833" spans="1:16" ht="20.1" customHeight="1">
      <c r="A833" s="9"/>
      <c r="B833" s="9"/>
      <c r="C833" s="9"/>
      <c r="D833" s="43"/>
      <c r="E833" s="9"/>
      <c r="F833" s="9"/>
      <c r="G833" s="47" t="str">
        <f>IF(F833="","",INDEX(站位样品信息!$B$3:INDEX(站位样品信息!$B:$B,COUNTA(站位样品信息!$B:$B)+1),MATCH($F833,站位样品信息!$A$3:INDEX(站位样品信息!$A:$A,COUNTA(站位样品信息!$A:$A)+1),),))</f>
        <v/>
      </c>
      <c r="H833" s="37" t="str">
        <f>IF(A833&amp;B833&amp;C833="","",INDEX(生物种群!$A$2:INDEX(生物种群!$A:$A,COUNTA(生物种群!$A:$A)),MATCH($I833,生物种群!$B$2:INDEX(生物种群!$B:$B,COUNTA(生物种群!$B:$B)),),))</f>
        <v/>
      </c>
      <c r="I833" s="37" t="str">
        <f>IF(A833&amp;B833&amp;C833="","",IF($C833&lt;&gt;0,INDEX(生物种群!$B$2:INDEX(生物种群!$B:$B,COUNTA(生物种群!$B:$B)),MATCH($C833,生物种群!$G$2:INDEX(生物种群!$G:$G,COUNTA(生物种群!$G:$G)),),),IF($A833&lt;&gt;0,INDEX(生物种群!$B$2:INDEX(生物种群!$B:$B,COUNTA(生物种群!$B:$B)),MATCH($A833,生物种群!$C$2:INDEX(生物种群!$C:$C,COUNTA(生物种群!$C:$C)),),),INDEX(生物种群!$B$2:INDEX(生物种群!$B:$B,COUNTA(生物种群!$B:$B)),MATCH($B833,生物种群!$D$2:INDEX(生物种群!$D:$D,COUNTA(生物种群!$D:$D)),),))))</f>
        <v/>
      </c>
      <c r="J833" s="37" t="str">
        <f>IF(A833&amp;B833&amp;C833="","",INDEX(生物种群!$J$2:INDEX(生物种群!$J:$J,COUNTA(生物种群!$J:$J)),MATCH($I833,生物种群!$B$2:INDEX(生物种群!$B:$B,COUNTA(生物种群!$B:$B)),),))</f>
        <v/>
      </c>
      <c r="K833" s="37" t="str">
        <f>IF(A833&amp;B833&amp;C833="","",INDEX(生物种群!$E$2:INDEX(生物种群!$E:$E,COUNTA(生物种群!$E:$E)),MATCH($I833,生物种群!$B$2:INDEX(生物种群!$B:$B,COUNTA(生物种群!$B:$B)),),))</f>
        <v/>
      </c>
      <c r="L833" s="37" t="str">
        <f>IF(A833&amp;B833&amp;C833="","",INDEX(生物种群!$F$3:INDEX(生物种群!$F:$F,COUNTA(生物种群!$F:$F)),MATCH($I833,生物种群!$B$3:INDEX(生物种群!$B:$B,COUNTA(生物种群!$B:$B)),),))</f>
        <v/>
      </c>
      <c r="M833" s="37" t="str">
        <f t="shared" si="24"/>
        <v/>
      </c>
      <c r="N833" s="37" t="str">
        <f t="shared" si="25"/>
        <v/>
      </c>
      <c r="O833" s="9"/>
      <c r="P833" s="10"/>
    </row>
    <row r="834" spans="1:16" ht="20.1" customHeight="1">
      <c r="A834" s="9"/>
      <c r="B834" s="9"/>
      <c r="C834" s="9"/>
      <c r="D834" s="43"/>
      <c r="E834" s="9"/>
      <c r="F834" s="9"/>
      <c r="G834" s="47" t="str">
        <f>IF(F834="","",INDEX(站位样品信息!$B$3:INDEX(站位样品信息!$B:$B,COUNTA(站位样品信息!$B:$B)+1),MATCH($F834,站位样品信息!$A$3:INDEX(站位样品信息!$A:$A,COUNTA(站位样品信息!$A:$A)+1),),))</f>
        <v/>
      </c>
      <c r="H834" s="37" t="str">
        <f>IF(A834&amp;B834&amp;C834="","",INDEX(生物种群!$A$2:INDEX(生物种群!$A:$A,COUNTA(生物种群!$A:$A)),MATCH($I834,生物种群!$B$2:INDEX(生物种群!$B:$B,COUNTA(生物种群!$B:$B)),),))</f>
        <v/>
      </c>
      <c r="I834" s="37" t="str">
        <f>IF(A834&amp;B834&amp;C834="","",IF($C834&lt;&gt;0,INDEX(生物种群!$B$2:INDEX(生物种群!$B:$B,COUNTA(生物种群!$B:$B)),MATCH($C834,生物种群!$G$2:INDEX(生物种群!$G:$G,COUNTA(生物种群!$G:$G)),),),IF($A834&lt;&gt;0,INDEX(生物种群!$B$2:INDEX(生物种群!$B:$B,COUNTA(生物种群!$B:$B)),MATCH($A834,生物种群!$C$2:INDEX(生物种群!$C:$C,COUNTA(生物种群!$C:$C)),),),INDEX(生物种群!$B$2:INDEX(生物种群!$B:$B,COUNTA(生物种群!$B:$B)),MATCH($B834,生物种群!$D$2:INDEX(生物种群!$D:$D,COUNTA(生物种群!$D:$D)),),))))</f>
        <v/>
      </c>
      <c r="J834" s="37" t="str">
        <f>IF(A834&amp;B834&amp;C834="","",INDEX(生物种群!$J$2:INDEX(生物种群!$J:$J,COUNTA(生物种群!$J:$J)),MATCH($I834,生物种群!$B$2:INDEX(生物种群!$B:$B,COUNTA(生物种群!$B:$B)),),))</f>
        <v/>
      </c>
      <c r="K834" s="37" t="str">
        <f>IF(A834&amp;B834&amp;C834="","",INDEX(生物种群!$E$2:INDEX(生物种群!$E:$E,COUNTA(生物种群!$E:$E)),MATCH($I834,生物种群!$B$2:INDEX(生物种群!$B:$B,COUNTA(生物种群!$B:$B)),),))</f>
        <v/>
      </c>
      <c r="L834" s="37" t="str">
        <f>IF(A834&amp;B834&amp;C834="","",INDEX(生物种群!$F$3:INDEX(生物种群!$F:$F,COUNTA(生物种群!$F:$F)),MATCH($I834,生物种群!$B$3:INDEX(生物种群!$B:$B,COUNTA(生物种群!$B:$B)),),))</f>
        <v/>
      </c>
      <c r="M834" s="37" t="str">
        <f t="shared" si="24"/>
        <v/>
      </c>
      <c r="N834" s="37" t="str">
        <f t="shared" si="25"/>
        <v/>
      </c>
      <c r="O834" s="9"/>
      <c r="P834" s="10"/>
    </row>
    <row r="835" spans="1:16" ht="20.1" customHeight="1">
      <c r="A835" s="9"/>
      <c r="B835" s="9"/>
      <c r="C835" s="9"/>
      <c r="D835" s="43"/>
      <c r="E835" s="9"/>
      <c r="F835" s="9"/>
      <c r="G835" s="47" t="str">
        <f>IF(F835="","",INDEX(站位样品信息!$B$3:INDEX(站位样品信息!$B:$B,COUNTA(站位样品信息!$B:$B)+1),MATCH($F835,站位样品信息!$A$3:INDEX(站位样品信息!$A:$A,COUNTA(站位样品信息!$A:$A)+1),),))</f>
        <v/>
      </c>
      <c r="H835" s="37" t="str">
        <f>IF(A835&amp;B835&amp;C835="","",INDEX(生物种群!$A$2:INDEX(生物种群!$A:$A,COUNTA(生物种群!$A:$A)),MATCH($I835,生物种群!$B$2:INDEX(生物种群!$B:$B,COUNTA(生物种群!$B:$B)),),))</f>
        <v/>
      </c>
      <c r="I835" s="37" t="str">
        <f>IF(A835&amp;B835&amp;C835="","",IF($C835&lt;&gt;0,INDEX(生物种群!$B$2:INDEX(生物种群!$B:$B,COUNTA(生物种群!$B:$B)),MATCH($C835,生物种群!$G$2:INDEX(生物种群!$G:$G,COUNTA(生物种群!$G:$G)),),),IF($A835&lt;&gt;0,INDEX(生物种群!$B$2:INDEX(生物种群!$B:$B,COUNTA(生物种群!$B:$B)),MATCH($A835,生物种群!$C$2:INDEX(生物种群!$C:$C,COUNTA(生物种群!$C:$C)),),),INDEX(生物种群!$B$2:INDEX(生物种群!$B:$B,COUNTA(生物种群!$B:$B)),MATCH($B835,生物种群!$D$2:INDEX(生物种群!$D:$D,COUNTA(生物种群!$D:$D)),),))))</f>
        <v/>
      </c>
      <c r="J835" s="37" t="str">
        <f>IF(A835&amp;B835&amp;C835="","",INDEX(生物种群!$J$2:INDEX(生物种群!$J:$J,COUNTA(生物种群!$J:$J)),MATCH($I835,生物种群!$B$2:INDEX(生物种群!$B:$B,COUNTA(生物种群!$B:$B)),),))</f>
        <v/>
      </c>
      <c r="K835" s="37" t="str">
        <f>IF(A835&amp;B835&amp;C835="","",INDEX(生物种群!$E$2:INDEX(生物种群!$E:$E,COUNTA(生物种群!$E:$E)),MATCH($I835,生物种群!$B$2:INDEX(生物种群!$B:$B,COUNTA(生物种群!$B:$B)),),))</f>
        <v/>
      </c>
      <c r="L835" s="37" t="str">
        <f>IF(A835&amp;B835&amp;C835="","",INDEX(生物种群!$F$3:INDEX(生物种群!$F:$F,COUNTA(生物种群!$F:$F)),MATCH($I835,生物种群!$B$3:INDEX(生物种群!$B:$B,COUNTA(生物种群!$B:$B)),),))</f>
        <v/>
      </c>
      <c r="M835" s="37" t="str">
        <f t="shared" si="26" ref="M835:M898">IF(F835&gt;0,F835&amp;I835&amp;E835,"")</f>
        <v/>
      </c>
      <c r="N835" s="37" t="str">
        <f t="shared" si="27" ref="N835:N898">IF(COUNTIF($M:$M,M835)=1,"",IF(A835&amp;B835&amp;C835="","","重复"))</f>
        <v/>
      </c>
      <c r="O835" s="9"/>
      <c r="P835" s="10"/>
    </row>
    <row r="836" spans="1:16" ht="20.1" customHeight="1">
      <c r="A836" s="9"/>
      <c r="B836" s="9"/>
      <c r="C836" s="9"/>
      <c r="D836" s="43"/>
      <c r="E836" s="9"/>
      <c r="F836" s="9"/>
      <c r="G836" s="47" t="str">
        <f>IF(F836="","",INDEX(站位样品信息!$B$3:INDEX(站位样品信息!$B:$B,COUNTA(站位样品信息!$B:$B)+1),MATCH($F836,站位样品信息!$A$3:INDEX(站位样品信息!$A:$A,COUNTA(站位样品信息!$A:$A)+1),),))</f>
        <v/>
      </c>
      <c r="H836" s="37" t="str">
        <f>IF(A836&amp;B836&amp;C836="","",INDEX(生物种群!$A$2:INDEX(生物种群!$A:$A,COUNTA(生物种群!$A:$A)),MATCH($I836,生物种群!$B$2:INDEX(生物种群!$B:$B,COUNTA(生物种群!$B:$B)),),))</f>
        <v/>
      </c>
      <c r="I836" s="37" t="str">
        <f>IF(A836&amp;B836&amp;C836="","",IF($C836&lt;&gt;0,INDEX(生物种群!$B$2:INDEX(生物种群!$B:$B,COUNTA(生物种群!$B:$B)),MATCH($C836,生物种群!$G$2:INDEX(生物种群!$G:$G,COUNTA(生物种群!$G:$G)),),),IF($A836&lt;&gt;0,INDEX(生物种群!$B$2:INDEX(生物种群!$B:$B,COUNTA(生物种群!$B:$B)),MATCH($A836,生物种群!$C$2:INDEX(生物种群!$C:$C,COUNTA(生物种群!$C:$C)),),),INDEX(生物种群!$B$2:INDEX(生物种群!$B:$B,COUNTA(生物种群!$B:$B)),MATCH($B836,生物种群!$D$2:INDEX(生物种群!$D:$D,COUNTA(生物种群!$D:$D)),),))))</f>
        <v/>
      </c>
      <c r="J836" s="37" t="str">
        <f>IF(A836&amp;B836&amp;C836="","",INDEX(生物种群!$J$2:INDEX(生物种群!$J:$J,COUNTA(生物种群!$J:$J)),MATCH($I836,生物种群!$B$2:INDEX(生物种群!$B:$B,COUNTA(生物种群!$B:$B)),),))</f>
        <v/>
      </c>
      <c r="K836" s="37" t="str">
        <f>IF(A836&amp;B836&amp;C836="","",INDEX(生物种群!$E$2:INDEX(生物种群!$E:$E,COUNTA(生物种群!$E:$E)),MATCH($I836,生物种群!$B$2:INDEX(生物种群!$B:$B,COUNTA(生物种群!$B:$B)),),))</f>
        <v/>
      </c>
      <c r="L836" s="37" t="str">
        <f>IF(A836&amp;B836&amp;C836="","",INDEX(生物种群!$F$3:INDEX(生物种群!$F:$F,COUNTA(生物种群!$F:$F)),MATCH($I836,生物种群!$B$3:INDEX(生物种群!$B:$B,COUNTA(生物种群!$B:$B)),),))</f>
        <v/>
      </c>
      <c r="M836" s="37" t="str">
        <f t="shared" si="26"/>
        <v/>
      </c>
      <c r="N836" s="37" t="str">
        <f t="shared" si="27"/>
        <v/>
      </c>
      <c r="O836" s="9"/>
      <c r="P836" s="10"/>
    </row>
    <row r="837" spans="1:16" ht="20.1" customHeight="1">
      <c r="A837" s="9"/>
      <c r="B837" s="9"/>
      <c r="C837" s="9"/>
      <c r="D837" s="43"/>
      <c r="E837" s="9"/>
      <c r="F837" s="9"/>
      <c r="G837" s="47" t="str">
        <f>IF(F837="","",INDEX(站位样品信息!$B$3:INDEX(站位样品信息!$B:$B,COUNTA(站位样品信息!$B:$B)+1),MATCH($F837,站位样品信息!$A$3:INDEX(站位样品信息!$A:$A,COUNTA(站位样品信息!$A:$A)+1),),))</f>
        <v/>
      </c>
      <c r="H837" s="37" t="str">
        <f>IF(A837&amp;B837&amp;C837="","",INDEX(生物种群!$A$2:INDEX(生物种群!$A:$A,COUNTA(生物种群!$A:$A)),MATCH($I837,生物种群!$B$2:INDEX(生物种群!$B:$B,COUNTA(生物种群!$B:$B)),),))</f>
        <v/>
      </c>
      <c r="I837" s="37" t="str">
        <f>IF(A837&amp;B837&amp;C837="","",IF($C837&lt;&gt;0,INDEX(生物种群!$B$2:INDEX(生物种群!$B:$B,COUNTA(生物种群!$B:$B)),MATCH($C837,生物种群!$G$2:INDEX(生物种群!$G:$G,COUNTA(生物种群!$G:$G)),),),IF($A837&lt;&gt;0,INDEX(生物种群!$B$2:INDEX(生物种群!$B:$B,COUNTA(生物种群!$B:$B)),MATCH($A837,生物种群!$C$2:INDEX(生物种群!$C:$C,COUNTA(生物种群!$C:$C)),),),INDEX(生物种群!$B$2:INDEX(生物种群!$B:$B,COUNTA(生物种群!$B:$B)),MATCH($B837,生物种群!$D$2:INDEX(生物种群!$D:$D,COUNTA(生物种群!$D:$D)),),))))</f>
        <v/>
      </c>
      <c r="J837" s="37" t="str">
        <f>IF(A837&amp;B837&amp;C837="","",INDEX(生物种群!$J$2:INDEX(生物种群!$J:$J,COUNTA(生物种群!$J:$J)),MATCH($I837,生物种群!$B$2:INDEX(生物种群!$B:$B,COUNTA(生物种群!$B:$B)),),))</f>
        <v/>
      </c>
      <c r="K837" s="37" t="str">
        <f>IF(A837&amp;B837&amp;C837="","",INDEX(生物种群!$E$2:INDEX(生物种群!$E:$E,COUNTA(生物种群!$E:$E)),MATCH($I837,生物种群!$B$2:INDEX(生物种群!$B:$B,COUNTA(生物种群!$B:$B)),),))</f>
        <v/>
      </c>
      <c r="L837" s="37" t="str">
        <f>IF(A837&amp;B837&amp;C837="","",INDEX(生物种群!$F$3:INDEX(生物种群!$F:$F,COUNTA(生物种群!$F:$F)),MATCH($I837,生物种群!$B$3:INDEX(生物种群!$B:$B,COUNTA(生物种群!$B:$B)),),))</f>
        <v/>
      </c>
      <c r="M837" s="37" t="str">
        <f t="shared" si="26"/>
        <v/>
      </c>
      <c r="N837" s="37" t="str">
        <f t="shared" si="27"/>
        <v/>
      </c>
      <c r="O837" s="9"/>
      <c r="P837" s="10"/>
    </row>
    <row r="838" spans="1:16" ht="20.1" customHeight="1">
      <c r="A838" s="9"/>
      <c r="B838" s="9"/>
      <c r="C838" s="9"/>
      <c r="D838" s="43"/>
      <c r="E838" s="9"/>
      <c r="F838" s="9"/>
      <c r="G838" s="47" t="str">
        <f>IF(F838="","",INDEX(站位样品信息!$B$3:INDEX(站位样品信息!$B:$B,COUNTA(站位样品信息!$B:$B)+1),MATCH($F838,站位样品信息!$A$3:INDEX(站位样品信息!$A:$A,COUNTA(站位样品信息!$A:$A)+1),),))</f>
        <v/>
      </c>
      <c r="H838" s="37" t="str">
        <f>IF(A838&amp;B838&amp;C838="","",INDEX(生物种群!$A$2:INDEX(生物种群!$A:$A,COUNTA(生物种群!$A:$A)),MATCH($I838,生物种群!$B$2:INDEX(生物种群!$B:$B,COUNTA(生物种群!$B:$B)),),))</f>
        <v/>
      </c>
      <c r="I838" s="37" t="str">
        <f>IF(A838&amp;B838&amp;C838="","",IF($C838&lt;&gt;0,INDEX(生物种群!$B$2:INDEX(生物种群!$B:$B,COUNTA(生物种群!$B:$B)),MATCH($C838,生物种群!$G$2:INDEX(生物种群!$G:$G,COUNTA(生物种群!$G:$G)),),),IF($A838&lt;&gt;0,INDEX(生物种群!$B$2:INDEX(生物种群!$B:$B,COUNTA(生物种群!$B:$B)),MATCH($A838,生物种群!$C$2:INDEX(生物种群!$C:$C,COUNTA(生物种群!$C:$C)),),),INDEX(生物种群!$B$2:INDEX(生物种群!$B:$B,COUNTA(生物种群!$B:$B)),MATCH($B838,生物种群!$D$2:INDEX(生物种群!$D:$D,COUNTA(生物种群!$D:$D)),),))))</f>
        <v/>
      </c>
      <c r="J838" s="37" t="str">
        <f>IF(A838&amp;B838&amp;C838="","",INDEX(生物种群!$J$2:INDEX(生物种群!$J:$J,COUNTA(生物种群!$J:$J)),MATCH($I838,生物种群!$B$2:INDEX(生物种群!$B:$B,COUNTA(生物种群!$B:$B)),),))</f>
        <v/>
      </c>
      <c r="K838" s="37" t="str">
        <f>IF(A838&amp;B838&amp;C838="","",INDEX(生物种群!$E$2:INDEX(生物种群!$E:$E,COUNTA(生物种群!$E:$E)),MATCH($I838,生物种群!$B$2:INDEX(生物种群!$B:$B,COUNTA(生物种群!$B:$B)),),))</f>
        <v/>
      </c>
      <c r="L838" s="37" t="str">
        <f>IF(A838&amp;B838&amp;C838="","",INDEX(生物种群!$F$3:INDEX(生物种群!$F:$F,COUNTA(生物种群!$F:$F)),MATCH($I838,生物种群!$B$3:INDEX(生物种群!$B:$B,COUNTA(生物种群!$B:$B)),),))</f>
        <v/>
      </c>
      <c r="M838" s="37" t="str">
        <f t="shared" si="26"/>
        <v/>
      </c>
      <c r="N838" s="37" t="str">
        <f t="shared" si="27"/>
        <v/>
      </c>
      <c r="O838" s="9"/>
      <c r="P838" s="10"/>
    </row>
    <row r="839" spans="1:16" ht="20.1" customHeight="1">
      <c r="A839" s="9"/>
      <c r="B839" s="9"/>
      <c r="C839" s="9"/>
      <c r="D839" s="43"/>
      <c r="E839" s="9"/>
      <c r="F839" s="9"/>
      <c r="G839" s="47" t="str">
        <f>IF(F839="","",INDEX(站位样品信息!$B$3:INDEX(站位样品信息!$B:$B,COUNTA(站位样品信息!$B:$B)+1),MATCH($F839,站位样品信息!$A$3:INDEX(站位样品信息!$A:$A,COUNTA(站位样品信息!$A:$A)+1),),))</f>
        <v/>
      </c>
      <c r="H839" s="37" t="str">
        <f>IF(A839&amp;B839&amp;C839="","",INDEX(生物种群!$A$2:INDEX(生物种群!$A:$A,COUNTA(生物种群!$A:$A)),MATCH($I839,生物种群!$B$2:INDEX(生物种群!$B:$B,COUNTA(生物种群!$B:$B)),),))</f>
        <v/>
      </c>
      <c r="I839" s="37" t="str">
        <f>IF(A839&amp;B839&amp;C839="","",IF($C839&lt;&gt;0,INDEX(生物种群!$B$2:INDEX(生物种群!$B:$B,COUNTA(生物种群!$B:$B)),MATCH($C839,生物种群!$G$2:INDEX(生物种群!$G:$G,COUNTA(生物种群!$G:$G)),),),IF($A839&lt;&gt;0,INDEX(生物种群!$B$2:INDEX(生物种群!$B:$B,COUNTA(生物种群!$B:$B)),MATCH($A839,生物种群!$C$2:INDEX(生物种群!$C:$C,COUNTA(生物种群!$C:$C)),),),INDEX(生物种群!$B$2:INDEX(生物种群!$B:$B,COUNTA(生物种群!$B:$B)),MATCH($B839,生物种群!$D$2:INDEX(生物种群!$D:$D,COUNTA(生物种群!$D:$D)),),))))</f>
        <v/>
      </c>
      <c r="J839" s="37" t="str">
        <f>IF(A839&amp;B839&amp;C839="","",INDEX(生物种群!$J$2:INDEX(生物种群!$J:$J,COUNTA(生物种群!$J:$J)),MATCH($I839,生物种群!$B$2:INDEX(生物种群!$B:$B,COUNTA(生物种群!$B:$B)),),))</f>
        <v/>
      </c>
      <c r="K839" s="37" t="str">
        <f>IF(A839&amp;B839&amp;C839="","",INDEX(生物种群!$E$2:INDEX(生物种群!$E:$E,COUNTA(生物种群!$E:$E)),MATCH($I839,生物种群!$B$2:INDEX(生物种群!$B:$B,COUNTA(生物种群!$B:$B)),),))</f>
        <v/>
      </c>
      <c r="L839" s="37" t="str">
        <f>IF(A839&amp;B839&amp;C839="","",INDEX(生物种群!$F$3:INDEX(生物种群!$F:$F,COUNTA(生物种群!$F:$F)),MATCH($I839,生物种群!$B$3:INDEX(生物种群!$B:$B,COUNTA(生物种群!$B:$B)),),))</f>
        <v/>
      </c>
      <c r="M839" s="37" t="str">
        <f t="shared" si="26"/>
        <v/>
      </c>
      <c r="N839" s="37" t="str">
        <f t="shared" si="27"/>
        <v/>
      </c>
      <c r="O839" s="9"/>
      <c r="P839" s="10"/>
    </row>
    <row r="840" spans="1:16" ht="20.1" customHeight="1">
      <c r="A840" s="9"/>
      <c r="B840" s="9"/>
      <c r="C840" s="9"/>
      <c r="D840" s="43"/>
      <c r="E840" s="9"/>
      <c r="F840" s="9"/>
      <c r="G840" s="47" t="str">
        <f>IF(F840="","",INDEX(站位样品信息!$B$3:INDEX(站位样品信息!$B:$B,COUNTA(站位样品信息!$B:$B)+1),MATCH($F840,站位样品信息!$A$3:INDEX(站位样品信息!$A:$A,COUNTA(站位样品信息!$A:$A)+1),),))</f>
        <v/>
      </c>
      <c r="H840" s="37" t="str">
        <f>IF(A840&amp;B840&amp;C840="","",INDEX(生物种群!$A$2:INDEX(生物种群!$A:$A,COUNTA(生物种群!$A:$A)),MATCH($I840,生物种群!$B$2:INDEX(生物种群!$B:$B,COUNTA(生物种群!$B:$B)),),))</f>
        <v/>
      </c>
      <c r="I840" s="37" t="str">
        <f>IF(A840&amp;B840&amp;C840="","",IF($C840&lt;&gt;0,INDEX(生物种群!$B$2:INDEX(生物种群!$B:$B,COUNTA(生物种群!$B:$B)),MATCH($C840,生物种群!$G$2:INDEX(生物种群!$G:$G,COUNTA(生物种群!$G:$G)),),),IF($A840&lt;&gt;0,INDEX(生物种群!$B$2:INDEX(生物种群!$B:$B,COUNTA(生物种群!$B:$B)),MATCH($A840,生物种群!$C$2:INDEX(生物种群!$C:$C,COUNTA(生物种群!$C:$C)),),),INDEX(生物种群!$B$2:INDEX(生物种群!$B:$B,COUNTA(生物种群!$B:$B)),MATCH($B840,生物种群!$D$2:INDEX(生物种群!$D:$D,COUNTA(生物种群!$D:$D)),),))))</f>
        <v/>
      </c>
      <c r="J840" s="37" t="str">
        <f>IF(A840&amp;B840&amp;C840="","",INDEX(生物种群!$J$2:INDEX(生物种群!$J:$J,COUNTA(生物种群!$J:$J)),MATCH($I840,生物种群!$B$2:INDEX(生物种群!$B:$B,COUNTA(生物种群!$B:$B)),),))</f>
        <v/>
      </c>
      <c r="K840" s="37" t="str">
        <f>IF(A840&amp;B840&amp;C840="","",INDEX(生物种群!$E$2:INDEX(生物种群!$E:$E,COUNTA(生物种群!$E:$E)),MATCH($I840,生物种群!$B$2:INDEX(生物种群!$B:$B,COUNTA(生物种群!$B:$B)),),))</f>
        <v/>
      </c>
      <c r="L840" s="37" t="str">
        <f>IF(A840&amp;B840&amp;C840="","",INDEX(生物种群!$F$3:INDEX(生物种群!$F:$F,COUNTA(生物种群!$F:$F)),MATCH($I840,生物种群!$B$3:INDEX(生物种群!$B:$B,COUNTA(生物种群!$B:$B)),),))</f>
        <v/>
      </c>
      <c r="M840" s="37" t="str">
        <f t="shared" si="26"/>
        <v/>
      </c>
      <c r="N840" s="37" t="str">
        <f t="shared" si="27"/>
        <v/>
      </c>
      <c r="O840" s="9"/>
      <c r="P840" s="10"/>
    </row>
    <row r="841" spans="1:16" ht="20.1" customHeight="1">
      <c r="A841" s="9"/>
      <c r="B841" s="9"/>
      <c r="C841" s="9"/>
      <c r="D841" s="43"/>
      <c r="E841" s="9"/>
      <c r="F841" s="9"/>
      <c r="G841" s="47" t="str">
        <f>IF(F841="","",INDEX(站位样品信息!$B$3:INDEX(站位样品信息!$B:$B,COUNTA(站位样品信息!$B:$B)+1),MATCH($F841,站位样品信息!$A$3:INDEX(站位样品信息!$A:$A,COUNTA(站位样品信息!$A:$A)+1),),))</f>
        <v/>
      </c>
      <c r="H841" s="37" t="str">
        <f>IF(A841&amp;B841&amp;C841="","",INDEX(生物种群!$A$2:INDEX(生物种群!$A:$A,COUNTA(生物种群!$A:$A)),MATCH($I841,生物种群!$B$2:INDEX(生物种群!$B:$B,COUNTA(生物种群!$B:$B)),),))</f>
        <v/>
      </c>
      <c r="I841" s="37" t="str">
        <f>IF(A841&amp;B841&amp;C841="","",IF($C841&lt;&gt;0,INDEX(生物种群!$B$2:INDEX(生物种群!$B:$B,COUNTA(生物种群!$B:$B)),MATCH($C841,生物种群!$G$2:INDEX(生物种群!$G:$G,COUNTA(生物种群!$G:$G)),),),IF($A841&lt;&gt;0,INDEX(生物种群!$B$2:INDEX(生物种群!$B:$B,COUNTA(生物种群!$B:$B)),MATCH($A841,生物种群!$C$2:INDEX(生物种群!$C:$C,COUNTA(生物种群!$C:$C)),),),INDEX(生物种群!$B$2:INDEX(生物种群!$B:$B,COUNTA(生物种群!$B:$B)),MATCH($B841,生物种群!$D$2:INDEX(生物种群!$D:$D,COUNTA(生物种群!$D:$D)),),))))</f>
        <v/>
      </c>
      <c r="J841" s="37" t="str">
        <f>IF(A841&amp;B841&amp;C841="","",INDEX(生物种群!$J$2:INDEX(生物种群!$J:$J,COUNTA(生物种群!$J:$J)),MATCH($I841,生物种群!$B$2:INDEX(生物种群!$B:$B,COUNTA(生物种群!$B:$B)),),))</f>
        <v/>
      </c>
      <c r="K841" s="37" t="str">
        <f>IF(A841&amp;B841&amp;C841="","",INDEX(生物种群!$E$2:INDEX(生物种群!$E:$E,COUNTA(生物种群!$E:$E)),MATCH($I841,生物种群!$B$2:INDEX(生物种群!$B:$B,COUNTA(生物种群!$B:$B)),),))</f>
        <v/>
      </c>
      <c r="L841" s="37" t="str">
        <f>IF(A841&amp;B841&amp;C841="","",INDEX(生物种群!$F$3:INDEX(生物种群!$F:$F,COUNTA(生物种群!$F:$F)),MATCH($I841,生物种群!$B$3:INDEX(生物种群!$B:$B,COUNTA(生物种群!$B:$B)),),))</f>
        <v/>
      </c>
      <c r="M841" s="37" t="str">
        <f t="shared" si="26"/>
        <v/>
      </c>
      <c r="N841" s="37" t="str">
        <f t="shared" si="27"/>
        <v/>
      </c>
      <c r="O841" s="9"/>
      <c r="P841" s="10"/>
    </row>
    <row r="842" spans="1:16" ht="20.1" customHeight="1">
      <c r="A842" s="9"/>
      <c r="B842" s="9"/>
      <c r="C842" s="9"/>
      <c r="D842" s="43"/>
      <c r="E842" s="9"/>
      <c r="F842" s="9"/>
      <c r="G842" s="47" t="str">
        <f>IF(F842="","",INDEX(站位样品信息!$B$3:INDEX(站位样品信息!$B:$B,COUNTA(站位样品信息!$B:$B)+1),MATCH($F842,站位样品信息!$A$3:INDEX(站位样品信息!$A:$A,COUNTA(站位样品信息!$A:$A)+1),),))</f>
        <v/>
      </c>
      <c r="H842" s="37" t="str">
        <f>IF(A842&amp;B842&amp;C842="","",INDEX(生物种群!$A$2:INDEX(生物种群!$A:$A,COUNTA(生物种群!$A:$A)),MATCH($I842,生物种群!$B$2:INDEX(生物种群!$B:$B,COUNTA(生物种群!$B:$B)),),))</f>
        <v/>
      </c>
      <c r="I842" s="37" t="str">
        <f>IF(A842&amp;B842&amp;C842="","",IF($C842&lt;&gt;0,INDEX(生物种群!$B$2:INDEX(生物种群!$B:$B,COUNTA(生物种群!$B:$B)),MATCH($C842,生物种群!$G$2:INDEX(生物种群!$G:$G,COUNTA(生物种群!$G:$G)),),),IF($A842&lt;&gt;0,INDEX(生物种群!$B$2:INDEX(生物种群!$B:$B,COUNTA(生物种群!$B:$B)),MATCH($A842,生物种群!$C$2:INDEX(生物种群!$C:$C,COUNTA(生物种群!$C:$C)),),),INDEX(生物种群!$B$2:INDEX(生物种群!$B:$B,COUNTA(生物种群!$B:$B)),MATCH($B842,生物种群!$D$2:INDEX(生物种群!$D:$D,COUNTA(生物种群!$D:$D)),),))))</f>
        <v/>
      </c>
      <c r="J842" s="37" t="str">
        <f>IF(A842&amp;B842&amp;C842="","",INDEX(生物种群!$J$2:INDEX(生物种群!$J:$J,COUNTA(生物种群!$J:$J)),MATCH($I842,生物种群!$B$2:INDEX(生物种群!$B:$B,COUNTA(生物种群!$B:$B)),),))</f>
        <v/>
      </c>
      <c r="K842" s="37" t="str">
        <f>IF(A842&amp;B842&amp;C842="","",INDEX(生物种群!$E$2:INDEX(生物种群!$E:$E,COUNTA(生物种群!$E:$E)),MATCH($I842,生物种群!$B$2:INDEX(生物种群!$B:$B,COUNTA(生物种群!$B:$B)),),))</f>
        <v/>
      </c>
      <c r="L842" s="37" t="str">
        <f>IF(A842&amp;B842&amp;C842="","",INDEX(生物种群!$F$3:INDEX(生物种群!$F:$F,COUNTA(生物种群!$F:$F)),MATCH($I842,生物种群!$B$3:INDEX(生物种群!$B:$B,COUNTA(生物种群!$B:$B)),),))</f>
        <v/>
      </c>
      <c r="M842" s="37" t="str">
        <f t="shared" si="26"/>
        <v/>
      </c>
      <c r="N842" s="37" t="str">
        <f t="shared" si="27"/>
        <v/>
      </c>
      <c r="O842" s="9"/>
      <c r="P842" s="10"/>
    </row>
    <row r="843" spans="1:16" ht="20.1" customHeight="1">
      <c r="A843" s="9"/>
      <c r="B843" s="9"/>
      <c r="C843" s="9"/>
      <c r="D843" s="43"/>
      <c r="E843" s="9"/>
      <c r="F843" s="9"/>
      <c r="G843" s="47" t="str">
        <f>IF(F843="","",INDEX(站位样品信息!$B$3:INDEX(站位样品信息!$B:$B,COUNTA(站位样品信息!$B:$B)+1),MATCH($F843,站位样品信息!$A$3:INDEX(站位样品信息!$A:$A,COUNTA(站位样品信息!$A:$A)+1),),))</f>
        <v/>
      </c>
      <c r="H843" s="37" t="str">
        <f>IF(A843&amp;B843&amp;C843="","",INDEX(生物种群!$A$2:INDEX(生物种群!$A:$A,COUNTA(生物种群!$A:$A)),MATCH($I843,生物种群!$B$2:INDEX(生物种群!$B:$B,COUNTA(生物种群!$B:$B)),),))</f>
        <v/>
      </c>
      <c r="I843" s="37" t="str">
        <f>IF(A843&amp;B843&amp;C843="","",IF($C843&lt;&gt;0,INDEX(生物种群!$B$2:INDEX(生物种群!$B:$B,COUNTA(生物种群!$B:$B)),MATCH($C843,生物种群!$G$2:INDEX(生物种群!$G:$G,COUNTA(生物种群!$G:$G)),),),IF($A843&lt;&gt;0,INDEX(生物种群!$B$2:INDEX(生物种群!$B:$B,COUNTA(生物种群!$B:$B)),MATCH($A843,生物种群!$C$2:INDEX(生物种群!$C:$C,COUNTA(生物种群!$C:$C)),),),INDEX(生物种群!$B$2:INDEX(生物种群!$B:$B,COUNTA(生物种群!$B:$B)),MATCH($B843,生物种群!$D$2:INDEX(生物种群!$D:$D,COUNTA(生物种群!$D:$D)),),))))</f>
        <v/>
      </c>
      <c r="J843" s="37" t="str">
        <f>IF(A843&amp;B843&amp;C843="","",INDEX(生物种群!$J$2:INDEX(生物种群!$J:$J,COUNTA(生物种群!$J:$J)),MATCH($I843,生物种群!$B$2:INDEX(生物种群!$B:$B,COUNTA(生物种群!$B:$B)),),))</f>
        <v/>
      </c>
      <c r="K843" s="37" t="str">
        <f>IF(A843&amp;B843&amp;C843="","",INDEX(生物种群!$E$2:INDEX(生物种群!$E:$E,COUNTA(生物种群!$E:$E)),MATCH($I843,生物种群!$B$2:INDEX(生物种群!$B:$B,COUNTA(生物种群!$B:$B)),),))</f>
        <v/>
      </c>
      <c r="L843" s="37" t="str">
        <f>IF(A843&amp;B843&amp;C843="","",INDEX(生物种群!$F$3:INDEX(生物种群!$F:$F,COUNTA(生物种群!$F:$F)),MATCH($I843,生物种群!$B$3:INDEX(生物种群!$B:$B,COUNTA(生物种群!$B:$B)),),))</f>
        <v/>
      </c>
      <c r="M843" s="37" t="str">
        <f t="shared" si="26"/>
        <v/>
      </c>
      <c r="N843" s="37" t="str">
        <f t="shared" si="27"/>
        <v/>
      </c>
      <c r="O843" s="9"/>
      <c r="P843" s="10"/>
    </row>
    <row r="844" spans="1:16" ht="20.1" customHeight="1">
      <c r="A844" s="9"/>
      <c r="B844" s="9"/>
      <c r="C844" s="9"/>
      <c r="D844" s="43"/>
      <c r="E844" s="9"/>
      <c r="F844" s="9"/>
      <c r="G844" s="47" t="str">
        <f>IF(F844="","",INDEX(站位样品信息!$B$3:INDEX(站位样品信息!$B:$B,COUNTA(站位样品信息!$B:$B)+1),MATCH($F844,站位样品信息!$A$3:INDEX(站位样品信息!$A:$A,COUNTA(站位样品信息!$A:$A)+1),),))</f>
        <v/>
      </c>
      <c r="H844" s="37" t="str">
        <f>IF(A844&amp;B844&amp;C844="","",INDEX(生物种群!$A$2:INDEX(生物种群!$A:$A,COUNTA(生物种群!$A:$A)),MATCH($I844,生物种群!$B$2:INDEX(生物种群!$B:$B,COUNTA(生物种群!$B:$B)),),))</f>
        <v/>
      </c>
      <c r="I844" s="37" t="str">
        <f>IF(A844&amp;B844&amp;C844="","",IF($C844&lt;&gt;0,INDEX(生物种群!$B$2:INDEX(生物种群!$B:$B,COUNTA(生物种群!$B:$B)),MATCH($C844,生物种群!$G$2:INDEX(生物种群!$G:$G,COUNTA(生物种群!$G:$G)),),),IF($A844&lt;&gt;0,INDEX(生物种群!$B$2:INDEX(生物种群!$B:$B,COUNTA(生物种群!$B:$B)),MATCH($A844,生物种群!$C$2:INDEX(生物种群!$C:$C,COUNTA(生物种群!$C:$C)),),),INDEX(生物种群!$B$2:INDEX(生物种群!$B:$B,COUNTA(生物种群!$B:$B)),MATCH($B844,生物种群!$D$2:INDEX(生物种群!$D:$D,COUNTA(生物种群!$D:$D)),),))))</f>
        <v/>
      </c>
      <c r="J844" s="37" t="str">
        <f>IF(A844&amp;B844&amp;C844="","",INDEX(生物种群!$J$2:INDEX(生物种群!$J:$J,COUNTA(生物种群!$J:$J)),MATCH($I844,生物种群!$B$2:INDEX(生物种群!$B:$B,COUNTA(生物种群!$B:$B)),),))</f>
        <v/>
      </c>
      <c r="K844" s="37" t="str">
        <f>IF(A844&amp;B844&amp;C844="","",INDEX(生物种群!$E$2:INDEX(生物种群!$E:$E,COUNTA(生物种群!$E:$E)),MATCH($I844,生物种群!$B$2:INDEX(生物种群!$B:$B,COUNTA(生物种群!$B:$B)),),))</f>
        <v/>
      </c>
      <c r="L844" s="37" t="str">
        <f>IF(A844&amp;B844&amp;C844="","",INDEX(生物种群!$F$3:INDEX(生物种群!$F:$F,COUNTA(生物种群!$F:$F)),MATCH($I844,生物种群!$B$3:INDEX(生物种群!$B:$B,COUNTA(生物种群!$B:$B)),),))</f>
        <v/>
      </c>
      <c r="M844" s="37" t="str">
        <f t="shared" si="26"/>
        <v/>
      </c>
      <c r="N844" s="37" t="str">
        <f t="shared" si="27"/>
        <v/>
      </c>
      <c r="O844" s="9"/>
      <c r="P844" s="10"/>
    </row>
    <row r="845" spans="1:16" ht="20.1" customHeight="1">
      <c r="A845" s="9"/>
      <c r="B845" s="9"/>
      <c r="C845" s="9"/>
      <c r="D845" s="43"/>
      <c r="E845" s="9"/>
      <c r="F845" s="9"/>
      <c r="G845" s="47" t="str">
        <f>IF(F845="","",INDEX(站位样品信息!$B$3:INDEX(站位样品信息!$B:$B,COUNTA(站位样品信息!$B:$B)+1),MATCH($F845,站位样品信息!$A$3:INDEX(站位样品信息!$A:$A,COUNTA(站位样品信息!$A:$A)+1),),))</f>
        <v/>
      </c>
      <c r="H845" s="37" t="str">
        <f>IF(A845&amp;B845&amp;C845="","",INDEX(生物种群!$A$2:INDEX(生物种群!$A:$A,COUNTA(生物种群!$A:$A)),MATCH($I845,生物种群!$B$2:INDEX(生物种群!$B:$B,COUNTA(生物种群!$B:$B)),),))</f>
        <v/>
      </c>
      <c r="I845" s="37" t="str">
        <f>IF(A845&amp;B845&amp;C845="","",IF($C845&lt;&gt;0,INDEX(生物种群!$B$2:INDEX(生物种群!$B:$B,COUNTA(生物种群!$B:$B)),MATCH($C845,生物种群!$G$2:INDEX(生物种群!$G:$G,COUNTA(生物种群!$G:$G)),),),IF($A845&lt;&gt;0,INDEX(生物种群!$B$2:INDEX(生物种群!$B:$B,COUNTA(生物种群!$B:$B)),MATCH($A845,生物种群!$C$2:INDEX(生物种群!$C:$C,COUNTA(生物种群!$C:$C)),),),INDEX(生物种群!$B$2:INDEX(生物种群!$B:$B,COUNTA(生物种群!$B:$B)),MATCH($B845,生物种群!$D$2:INDEX(生物种群!$D:$D,COUNTA(生物种群!$D:$D)),),))))</f>
        <v/>
      </c>
      <c r="J845" s="37" t="str">
        <f>IF(A845&amp;B845&amp;C845="","",INDEX(生物种群!$J$2:INDEX(生物种群!$J:$J,COUNTA(生物种群!$J:$J)),MATCH($I845,生物种群!$B$2:INDEX(生物种群!$B:$B,COUNTA(生物种群!$B:$B)),),))</f>
        <v/>
      </c>
      <c r="K845" s="37" t="str">
        <f>IF(A845&amp;B845&amp;C845="","",INDEX(生物种群!$E$2:INDEX(生物种群!$E:$E,COUNTA(生物种群!$E:$E)),MATCH($I845,生物种群!$B$2:INDEX(生物种群!$B:$B,COUNTA(生物种群!$B:$B)),),))</f>
        <v/>
      </c>
      <c r="L845" s="37" t="str">
        <f>IF(A845&amp;B845&amp;C845="","",INDEX(生物种群!$F$3:INDEX(生物种群!$F:$F,COUNTA(生物种群!$F:$F)),MATCH($I845,生物种群!$B$3:INDEX(生物种群!$B:$B,COUNTA(生物种群!$B:$B)),),))</f>
        <v/>
      </c>
      <c r="M845" s="37" t="str">
        <f t="shared" si="26"/>
        <v/>
      </c>
      <c r="N845" s="37" t="str">
        <f t="shared" si="27"/>
        <v/>
      </c>
      <c r="O845" s="9"/>
      <c r="P845" s="10"/>
    </row>
    <row r="846" spans="1:16" ht="20.1" customHeight="1">
      <c r="A846" s="9"/>
      <c r="B846" s="9"/>
      <c r="C846" s="9"/>
      <c r="D846" s="43"/>
      <c r="E846" s="9"/>
      <c r="F846" s="9"/>
      <c r="G846" s="47" t="str">
        <f>IF(F846="","",INDEX(站位样品信息!$B$3:INDEX(站位样品信息!$B:$B,COUNTA(站位样品信息!$B:$B)+1),MATCH($F846,站位样品信息!$A$3:INDEX(站位样品信息!$A:$A,COUNTA(站位样品信息!$A:$A)+1),),))</f>
        <v/>
      </c>
      <c r="H846" s="37" t="str">
        <f>IF(A846&amp;B846&amp;C846="","",INDEX(生物种群!$A$2:INDEX(生物种群!$A:$A,COUNTA(生物种群!$A:$A)),MATCH($I846,生物种群!$B$2:INDEX(生物种群!$B:$B,COUNTA(生物种群!$B:$B)),),))</f>
        <v/>
      </c>
      <c r="I846" s="37" t="str">
        <f>IF(A846&amp;B846&amp;C846="","",IF($C846&lt;&gt;0,INDEX(生物种群!$B$2:INDEX(生物种群!$B:$B,COUNTA(生物种群!$B:$B)),MATCH($C846,生物种群!$G$2:INDEX(生物种群!$G:$G,COUNTA(生物种群!$G:$G)),),),IF($A846&lt;&gt;0,INDEX(生物种群!$B$2:INDEX(生物种群!$B:$B,COUNTA(生物种群!$B:$B)),MATCH($A846,生物种群!$C$2:INDEX(生物种群!$C:$C,COUNTA(生物种群!$C:$C)),),),INDEX(生物种群!$B$2:INDEX(生物种群!$B:$B,COUNTA(生物种群!$B:$B)),MATCH($B846,生物种群!$D$2:INDEX(生物种群!$D:$D,COUNTA(生物种群!$D:$D)),),))))</f>
        <v/>
      </c>
      <c r="J846" s="37" t="str">
        <f>IF(A846&amp;B846&amp;C846="","",INDEX(生物种群!$J$2:INDEX(生物种群!$J:$J,COUNTA(生物种群!$J:$J)),MATCH($I846,生物种群!$B$2:INDEX(生物种群!$B:$B,COUNTA(生物种群!$B:$B)),),))</f>
        <v/>
      </c>
      <c r="K846" s="37" t="str">
        <f>IF(A846&amp;B846&amp;C846="","",INDEX(生物种群!$E$2:INDEX(生物种群!$E:$E,COUNTA(生物种群!$E:$E)),MATCH($I846,生物种群!$B$2:INDEX(生物种群!$B:$B,COUNTA(生物种群!$B:$B)),),))</f>
        <v/>
      </c>
      <c r="L846" s="37" t="str">
        <f>IF(A846&amp;B846&amp;C846="","",INDEX(生物种群!$F$3:INDEX(生物种群!$F:$F,COUNTA(生物种群!$F:$F)),MATCH($I846,生物种群!$B$3:INDEX(生物种群!$B:$B,COUNTA(生物种群!$B:$B)),),))</f>
        <v/>
      </c>
      <c r="M846" s="37" t="str">
        <f t="shared" si="26"/>
        <v/>
      </c>
      <c r="N846" s="37" t="str">
        <f t="shared" si="27"/>
        <v/>
      </c>
      <c r="O846" s="9"/>
      <c r="P846" s="10"/>
    </row>
    <row r="847" spans="1:16" ht="20.1" customHeight="1">
      <c r="A847" s="9"/>
      <c r="B847" s="9"/>
      <c r="C847" s="9"/>
      <c r="D847" s="43"/>
      <c r="E847" s="9"/>
      <c r="F847" s="9"/>
      <c r="G847" s="47" t="str">
        <f>IF(F847="","",INDEX(站位样品信息!$B$3:INDEX(站位样品信息!$B:$B,COUNTA(站位样品信息!$B:$B)+1),MATCH($F847,站位样品信息!$A$3:INDEX(站位样品信息!$A:$A,COUNTA(站位样品信息!$A:$A)+1),),))</f>
        <v/>
      </c>
      <c r="H847" s="37" t="str">
        <f>IF(A847&amp;B847&amp;C847="","",INDEX(生物种群!$A$2:INDEX(生物种群!$A:$A,COUNTA(生物种群!$A:$A)),MATCH($I847,生物种群!$B$2:INDEX(生物种群!$B:$B,COUNTA(生物种群!$B:$B)),),))</f>
        <v/>
      </c>
      <c r="I847" s="37" t="str">
        <f>IF(A847&amp;B847&amp;C847="","",IF($C847&lt;&gt;0,INDEX(生物种群!$B$2:INDEX(生物种群!$B:$B,COUNTA(生物种群!$B:$B)),MATCH($C847,生物种群!$G$2:INDEX(生物种群!$G:$G,COUNTA(生物种群!$G:$G)),),),IF($A847&lt;&gt;0,INDEX(生物种群!$B$2:INDEX(生物种群!$B:$B,COUNTA(生物种群!$B:$B)),MATCH($A847,生物种群!$C$2:INDEX(生物种群!$C:$C,COUNTA(生物种群!$C:$C)),),),INDEX(生物种群!$B$2:INDEX(生物种群!$B:$B,COUNTA(生物种群!$B:$B)),MATCH($B847,生物种群!$D$2:INDEX(生物种群!$D:$D,COUNTA(生物种群!$D:$D)),),))))</f>
        <v/>
      </c>
      <c r="J847" s="37" t="str">
        <f>IF(A847&amp;B847&amp;C847="","",INDEX(生物种群!$J$2:INDEX(生物种群!$J:$J,COUNTA(生物种群!$J:$J)),MATCH($I847,生物种群!$B$2:INDEX(生物种群!$B:$B,COUNTA(生物种群!$B:$B)),),))</f>
        <v/>
      </c>
      <c r="K847" s="37" t="str">
        <f>IF(A847&amp;B847&amp;C847="","",INDEX(生物种群!$E$2:INDEX(生物种群!$E:$E,COUNTA(生物种群!$E:$E)),MATCH($I847,生物种群!$B$2:INDEX(生物种群!$B:$B,COUNTA(生物种群!$B:$B)),),))</f>
        <v/>
      </c>
      <c r="L847" s="37" t="str">
        <f>IF(A847&amp;B847&amp;C847="","",INDEX(生物种群!$F$3:INDEX(生物种群!$F:$F,COUNTA(生物种群!$F:$F)),MATCH($I847,生物种群!$B$3:INDEX(生物种群!$B:$B,COUNTA(生物种群!$B:$B)),),))</f>
        <v/>
      </c>
      <c r="M847" s="37" t="str">
        <f t="shared" si="26"/>
        <v/>
      </c>
      <c r="N847" s="37" t="str">
        <f t="shared" si="27"/>
        <v/>
      </c>
      <c r="O847" s="9"/>
      <c r="P847" s="10"/>
    </row>
    <row r="848" spans="1:16" ht="20.1" customHeight="1">
      <c r="A848" s="9"/>
      <c r="B848" s="9"/>
      <c r="C848" s="9"/>
      <c r="D848" s="43"/>
      <c r="E848" s="9"/>
      <c r="F848" s="9"/>
      <c r="G848" s="47" t="str">
        <f>IF(F848="","",INDEX(站位样品信息!$B$3:INDEX(站位样品信息!$B:$B,COUNTA(站位样品信息!$B:$B)+1),MATCH($F848,站位样品信息!$A$3:INDEX(站位样品信息!$A:$A,COUNTA(站位样品信息!$A:$A)+1),),))</f>
        <v/>
      </c>
      <c r="H848" s="37" t="str">
        <f>IF(A848&amp;B848&amp;C848="","",INDEX(生物种群!$A$2:INDEX(生物种群!$A:$A,COUNTA(生物种群!$A:$A)),MATCH($I848,生物种群!$B$2:INDEX(生物种群!$B:$B,COUNTA(生物种群!$B:$B)),),))</f>
        <v/>
      </c>
      <c r="I848" s="37" t="str">
        <f>IF(A848&amp;B848&amp;C848="","",IF($C848&lt;&gt;0,INDEX(生物种群!$B$2:INDEX(生物种群!$B:$B,COUNTA(生物种群!$B:$B)),MATCH($C848,生物种群!$G$2:INDEX(生物种群!$G:$G,COUNTA(生物种群!$G:$G)),),),IF($A848&lt;&gt;0,INDEX(生物种群!$B$2:INDEX(生物种群!$B:$B,COUNTA(生物种群!$B:$B)),MATCH($A848,生物种群!$C$2:INDEX(生物种群!$C:$C,COUNTA(生物种群!$C:$C)),),),INDEX(生物种群!$B$2:INDEX(生物种群!$B:$B,COUNTA(生物种群!$B:$B)),MATCH($B848,生物种群!$D$2:INDEX(生物种群!$D:$D,COUNTA(生物种群!$D:$D)),),))))</f>
        <v/>
      </c>
      <c r="J848" s="37" t="str">
        <f>IF(A848&amp;B848&amp;C848="","",INDEX(生物种群!$J$2:INDEX(生物种群!$J:$J,COUNTA(生物种群!$J:$J)),MATCH($I848,生物种群!$B$2:INDEX(生物种群!$B:$B,COUNTA(生物种群!$B:$B)),),))</f>
        <v/>
      </c>
      <c r="K848" s="37" t="str">
        <f>IF(A848&amp;B848&amp;C848="","",INDEX(生物种群!$E$2:INDEX(生物种群!$E:$E,COUNTA(生物种群!$E:$E)),MATCH($I848,生物种群!$B$2:INDEX(生物种群!$B:$B,COUNTA(生物种群!$B:$B)),),))</f>
        <v/>
      </c>
      <c r="L848" s="37" t="str">
        <f>IF(A848&amp;B848&amp;C848="","",INDEX(生物种群!$F$3:INDEX(生物种群!$F:$F,COUNTA(生物种群!$F:$F)),MATCH($I848,生物种群!$B$3:INDEX(生物种群!$B:$B,COUNTA(生物种群!$B:$B)),),))</f>
        <v/>
      </c>
      <c r="M848" s="37" t="str">
        <f t="shared" si="26"/>
        <v/>
      </c>
      <c r="N848" s="37" t="str">
        <f t="shared" si="27"/>
        <v/>
      </c>
      <c r="O848" s="9"/>
      <c r="P848" s="10"/>
    </row>
    <row r="849" spans="1:16" ht="20.1" customHeight="1">
      <c r="A849" s="9"/>
      <c r="B849" s="9"/>
      <c r="C849" s="9"/>
      <c r="D849" s="43"/>
      <c r="E849" s="9"/>
      <c r="F849" s="9"/>
      <c r="G849" s="47" t="str">
        <f>IF(F849="","",INDEX(站位样品信息!$B$3:INDEX(站位样品信息!$B:$B,COUNTA(站位样品信息!$B:$B)+1),MATCH($F849,站位样品信息!$A$3:INDEX(站位样品信息!$A:$A,COUNTA(站位样品信息!$A:$A)+1),),))</f>
        <v/>
      </c>
      <c r="H849" s="37" t="str">
        <f>IF(A849&amp;B849&amp;C849="","",INDEX(生物种群!$A$2:INDEX(生物种群!$A:$A,COUNTA(生物种群!$A:$A)),MATCH($I849,生物种群!$B$2:INDEX(生物种群!$B:$B,COUNTA(生物种群!$B:$B)),),))</f>
        <v/>
      </c>
      <c r="I849" s="37" t="str">
        <f>IF(A849&amp;B849&amp;C849="","",IF($C849&lt;&gt;0,INDEX(生物种群!$B$2:INDEX(生物种群!$B:$B,COUNTA(生物种群!$B:$B)),MATCH($C849,生物种群!$G$2:INDEX(生物种群!$G:$G,COUNTA(生物种群!$G:$G)),),),IF($A849&lt;&gt;0,INDEX(生物种群!$B$2:INDEX(生物种群!$B:$B,COUNTA(生物种群!$B:$B)),MATCH($A849,生物种群!$C$2:INDEX(生物种群!$C:$C,COUNTA(生物种群!$C:$C)),),),INDEX(生物种群!$B$2:INDEX(生物种群!$B:$B,COUNTA(生物种群!$B:$B)),MATCH($B849,生物种群!$D$2:INDEX(生物种群!$D:$D,COUNTA(生物种群!$D:$D)),),))))</f>
        <v/>
      </c>
      <c r="J849" s="37" t="str">
        <f>IF(A849&amp;B849&amp;C849="","",INDEX(生物种群!$J$2:INDEX(生物种群!$J:$J,COUNTA(生物种群!$J:$J)),MATCH($I849,生物种群!$B$2:INDEX(生物种群!$B:$B,COUNTA(生物种群!$B:$B)),),))</f>
        <v/>
      </c>
      <c r="K849" s="37" t="str">
        <f>IF(A849&amp;B849&amp;C849="","",INDEX(生物种群!$E$2:INDEX(生物种群!$E:$E,COUNTA(生物种群!$E:$E)),MATCH($I849,生物种群!$B$2:INDEX(生物种群!$B:$B,COUNTA(生物种群!$B:$B)),),))</f>
        <v/>
      </c>
      <c r="L849" s="37" t="str">
        <f>IF(A849&amp;B849&amp;C849="","",INDEX(生物种群!$F$3:INDEX(生物种群!$F:$F,COUNTA(生物种群!$F:$F)),MATCH($I849,生物种群!$B$3:INDEX(生物种群!$B:$B,COUNTA(生物种群!$B:$B)),),))</f>
        <v/>
      </c>
      <c r="M849" s="37" t="str">
        <f t="shared" si="26"/>
        <v/>
      </c>
      <c r="N849" s="37" t="str">
        <f t="shared" si="27"/>
        <v/>
      </c>
      <c r="O849" s="9"/>
      <c r="P849" s="10"/>
    </row>
    <row r="850" spans="1:16" ht="20.1" customHeight="1">
      <c r="A850" s="9"/>
      <c r="B850" s="9"/>
      <c r="C850" s="9"/>
      <c r="D850" s="43"/>
      <c r="E850" s="9"/>
      <c r="F850" s="9"/>
      <c r="G850" s="47" t="str">
        <f>IF(F850="","",INDEX(站位样品信息!$B$3:INDEX(站位样品信息!$B:$B,COUNTA(站位样品信息!$B:$B)+1),MATCH($F850,站位样品信息!$A$3:INDEX(站位样品信息!$A:$A,COUNTA(站位样品信息!$A:$A)+1),),))</f>
        <v/>
      </c>
      <c r="H850" s="37" t="str">
        <f>IF(A850&amp;B850&amp;C850="","",INDEX(生物种群!$A$2:INDEX(生物种群!$A:$A,COUNTA(生物种群!$A:$A)),MATCH($I850,生物种群!$B$2:INDEX(生物种群!$B:$B,COUNTA(生物种群!$B:$B)),),))</f>
        <v/>
      </c>
      <c r="I850" s="37" t="str">
        <f>IF(A850&amp;B850&amp;C850="","",IF($C850&lt;&gt;0,INDEX(生物种群!$B$2:INDEX(生物种群!$B:$B,COUNTA(生物种群!$B:$B)),MATCH($C850,生物种群!$G$2:INDEX(生物种群!$G:$G,COUNTA(生物种群!$G:$G)),),),IF($A850&lt;&gt;0,INDEX(生物种群!$B$2:INDEX(生物种群!$B:$B,COUNTA(生物种群!$B:$B)),MATCH($A850,生物种群!$C$2:INDEX(生物种群!$C:$C,COUNTA(生物种群!$C:$C)),),),INDEX(生物种群!$B$2:INDEX(生物种群!$B:$B,COUNTA(生物种群!$B:$B)),MATCH($B850,生物种群!$D$2:INDEX(生物种群!$D:$D,COUNTA(生物种群!$D:$D)),),))))</f>
        <v/>
      </c>
      <c r="J850" s="37" t="str">
        <f>IF(A850&amp;B850&amp;C850="","",INDEX(生物种群!$J$2:INDEX(生物种群!$J:$J,COUNTA(生物种群!$J:$J)),MATCH($I850,生物种群!$B$2:INDEX(生物种群!$B:$B,COUNTA(生物种群!$B:$B)),),))</f>
        <v/>
      </c>
      <c r="K850" s="37" t="str">
        <f>IF(A850&amp;B850&amp;C850="","",INDEX(生物种群!$E$2:INDEX(生物种群!$E:$E,COUNTA(生物种群!$E:$E)),MATCH($I850,生物种群!$B$2:INDEX(生物种群!$B:$B,COUNTA(生物种群!$B:$B)),),))</f>
        <v/>
      </c>
      <c r="L850" s="37" t="str">
        <f>IF(A850&amp;B850&amp;C850="","",INDEX(生物种群!$F$3:INDEX(生物种群!$F:$F,COUNTA(生物种群!$F:$F)),MATCH($I850,生物种群!$B$3:INDEX(生物种群!$B:$B,COUNTA(生物种群!$B:$B)),),))</f>
        <v/>
      </c>
      <c r="M850" s="37" t="str">
        <f t="shared" si="26"/>
        <v/>
      </c>
      <c r="N850" s="37" t="str">
        <f t="shared" si="27"/>
        <v/>
      </c>
      <c r="O850" s="9"/>
      <c r="P850" s="10"/>
    </row>
    <row r="851" spans="1:16" ht="20.1" customHeight="1">
      <c r="A851" s="9"/>
      <c r="B851" s="9"/>
      <c r="C851" s="9"/>
      <c r="D851" s="43"/>
      <c r="E851" s="9"/>
      <c r="F851" s="9"/>
      <c r="G851" s="47" t="str">
        <f>IF(F851="","",INDEX(站位样品信息!$B$3:INDEX(站位样品信息!$B:$B,COUNTA(站位样品信息!$B:$B)+1),MATCH($F851,站位样品信息!$A$3:INDEX(站位样品信息!$A:$A,COUNTA(站位样品信息!$A:$A)+1),),))</f>
        <v/>
      </c>
      <c r="H851" s="37" t="str">
        <f>IF(A851&amp;B851&amp;C851="","",INDEX(生物种群!$A$2:INDEX(生物种群!$A:$A,COUNTA(生物种群!$A:$A)),MATCH($I851,生物种群!$B$2:INDEX(生物种群!$B:$B,COUNTA(生物种群!$B:$B)),),))</f>
        <v/>
      </c>
      <c r="I851" s="37" t="str">
        <f>IF(A851&amp;B851&amp;C851="","",IF($C851&lt;&gt;0,INDEX(生物种群!$B$2:INDEX(生物种群!$B:$B,COUNTA(生物种群!$B:$B)),MATCH($C851,生物种群!$G$2:INDEX(生物种群!$G:$G,COUNTA(生物种群!$G:$G)),),),IF($A851&lt;&gt;0,INDEX(生物种群!$B$2:INDEX(生物种群!$B:$B,COUNTA(生物种群!$B:$B)),MATCH($A851,生物种群!$C$2:INDEX(生物种群!$C:$C,COUNTA(生物种群!$C:$C)),),),INDEX(生物种群!$B$2:INDEX(生物种群!$B:$B,COUNTA(生物种群!$B:$B)),MATCH($B851,生物种群!$D$2:INDEX(生物种群!$D:$D,COUNTA(生物种群!$D:$D)),),))))</f>
        <v/>
      </c>
      <c r="J851" s="37" t="str">
        <f>IF(A851&amp;B851&amp;C851="","",INDEX(生物种群!$J$2:INDEX(生物种群!$J:$J,COUNTA(生物种群!$J:$J)),MATCH($I851,生物种群!$B$2:INDEX(生物种群!$B:$B,COUNTA(生物种群!$B:$B)),),))</f>
        <v/>
      </c>
      <c r="K851" s="37" t="str">
        <f>IF(A851&amp;B851&amp;C851="","",INDEX(生物种群!$E$2:INDEX(生物种群!$E:$E,COUNTA(生物种群!$E:$E)),MATCH($I851,生物种群!$B$2:INDEX(生物种群!$B:$B,COUNTA(生物种群!$B:$B)),),))</f>
        <v/>
      </c>
      <c r="L851" s="37" t="str">
        <f>IF(A851&amp;B851&amp;C851="","",INDEX(生物种群!$F$3:INDEX(生物种群!$F:$F,COUNTA(生物种群!$F:$F)),MATCH($I851,生物种群!$B$3:INDEX(生物种群!$B:$B,COUNTA(生物种群!$B:$B)),),))</f>
        <v/>
      </c>
      <c r="M851" s="37" t="str">
        <f t="shared" si="26"/>
        <v/>
      </c>
      <c r="N851" s="37" t="str">
        <f t="shared" si="27"/>
        <v/>
      </c>
      <c r="O851" s="9"/>
      <c r="P851" s="10"/>
    </row>
    <row r="852" spans="1:16" ht="20.1" customHeight="1">
      <c r="A852" s="9"/>
      <c r="B852" s="9"/>
      <c r="C852" s="9"/>
      <c r="D852" s="43"/>
      <c r="E852" s="9"/>
      <c r="F852" s="9"/>
      <c r="G852" s="47" t="str">
        <f>IF(F852="","",INDEX(站位样品信息!$B$3:INDEX(站位样品信息!$B:$B,COUNTA(站位样品信息!$B:$B)+1),MATCH($F852,站位样品信息!$A$3:INDEX(站位样品信息!$A:$A,COUNTA(站位样品信息!$A:$A)+1),),))</f>
        <v/>
      </c>
      <c r="H852" s="37" t="str">
        <f>IF(A852&amp;B852&amp;C852="","",INDEX(生物种群!$A$2:INDEX(生物种群!$A:$A,COUNTA(生物种群!$A:$A)),MATCH($I852,生物种群!$B$2:INDEX(生物种群!$B:$B,COUNTA(生物种群!$B:$B)),),))</f>
        <v/>
      </c>
      <c r="I852" s="37" t="str">
        <f>IF(A852&amp;B852&amp;C852="","",IF($C852&lt;&gt;0,INDEX(生物种群!$B$2:INDEX(生物种群!$B:$B,COUNTA(生物种群!$B:$B)),MATCH($C852,生物种群!$G$2:INDEX(生物种群!$G:$G,COUNTA(生物种群!$G:$G)),),),IF($A852&lt;&gt;0,INDEX(生物种群!$B$2:INDEX(生物种群!$B:$B,COUNTA(生物种群!$B:$B)),MATCH($A852,生物种群!$C$2:INDEX(生物种群!$C:$C,COUNTA(生物种群!$C:$C)),),),INDEX(生物种群!$B$2:INDEX(生物种群!$B:$B,COUNTA(生物种群!$B:$B)),MATCH($B852,生物种群!$D$2:INDEX(生物种群!$D:$D,COUNTA(生物种群!$D:$D)),),))))</f>
        <v/>
      </c>
      <c r="J852" s="37" t="str">
        <f>IF(A852&amp;B852&amp;C852="","",INDEX(生物种群!$J$2:INDEX(生物种群!$J:$J,COUNTA(生物种群!$J:$J)),MATCH($I852,生物种群!$B$2:INDEX(生物种群!$B:$B,COUNTA(生物种群!$B:$B)),),))</f>
        <v/>
      </c>
      <c r="K852" s="37" t="str">
        <f>IF(A852&amp;B852&amp;C852="","",INDEX(生物种群!$E$2:INDEX(生物种群!$E:$E,COUNTA(生物种群!$E:$E)),MATCH($I852,生物种群!$B$2:INDEX(生物种群!$B:$B,COUNTA(生物种群!$B:$B)),),))</f>
        <v/>
      </c>
      <c r="L852" s="37" t="str">
        <f>IF(A852&amp;B852&amp;C852="","",INDEX(生物种群!$F$3:INDEX(生物种群!$F:$F,COUNTA(生物种群!$F:$F)),MATCH($I852,生物种群!$B$3:INDEX(生物种群!$B:$B,COUNTA(生物种群!$B:$B)),),))</f>
        <v/>
      </c>
      <c r="M852" s="37" t="str">
        <f t="shared" si="26"/>
        <v/>
      </c>
      <c r="N852" s="37" t="str">
        <f t="shared" si="27"/>
        <v/>
      </c>
      <c r="O852" s="9"/>
      <c r="P852" s="10"/>
    </row>
    <row r="853" spans="1:16" ht="20.1" customHeight="1">
      <c r="A853" s="9"/>
      <c r="B853" s="9"/>
      <c r="C853" s="9"/>
      <c r="D853" s="43"/>
      <c r="E853" s="9"/>
      <c r="F853" s="9"/>
      <c r="G853" s="47" t="str">
        <f>IF(F853="","",INDEX(站位样品信息!$B$3:INDEX(站位样品信息!$B:$B,COUNTA(站位样品信息!$B:$B)+1),MATCH($F853,站位样品信息!$A$3:INDEX(站位样品信息!$A:$A,COUNTA(站位样品信息!$A:$A)+1),),))</f>
        <v/>
      </c>
      <c r="H853" s="37" t="str">
        <f>IF(A853&amp;B853&amp;C853="","",INDEX(生物种群!$A$2:INDEX(生物种群!$A:$A,COUNTA(生物种群!$A:$A)),MATCH($I853,生物种群!$B$2:INDEX(生物种群!$B:$B,COUNTA(生物种群!$B:$B)),),))</f>
        <v/>
      </c>
      <c r="I853" s="37" t="str">
        <f>IF(A853&amp;B853&amp;C853="","",IF($C853&lt;&gt;0,INDEX(生物种群!$B$2:INDEX(生物种群!$B:$B,COUNTA(生物种群!$B:$B)),MATCH($C853,生物种群!$G$2:INDEX(生物种群!$G:$G,COUNTA(生物种群!$G:$G)),),),IF($A853&lt;&gt;0,INDEX(生物种群!$B$2:INDEX(生物种群!$B:$B,COUNTA(生物种群!$B:$B)),MATCH($A853,生物种群!$C$2:INDEX(生物种群!$C:$C,COUNTA(生物种群!$C:$C)),),),INDEX(生物种群!$B$2:INDEX(生物种群!$B:$B,COUNTA(生物种群!$B:$B)),MATCH($B853,生物种群!$D$2:INDEX(生物种群!$D:$D,COUNTA(生物种群!$D:$D)),),))))</f>
        <v/>
      </c>
      <c r="J853" s="37" t="str">
        <f>IF(A853&amp;B853&amp;C853="","",INDEX(生物种群!$J$2:INDEX(生物种群!$J:$J,COUNTA(生物种群!$J:$J)),MATCH($I853,生物种群!$B$2:INDEX(生物种群!$B:$B,COUNTA(生物种群!$B:$B)),),))</f>
        <v/>
      </c>
      <c r="K853" s="37" t="str">
        <f>IF(A853&amp;B853&amp;C853="","",INDEX(生物种群!$E$2:INDEX(生物种群!$E:$E,COUNTA(生物种群!$E:$E)),MATCH($I853,生物种群!$B$2:INDEX(生物种群!$B:$B,COUNTA(生物种群!$B:$B)),),))</f>
        <v/>
      </c>
      <c r="L853" s="37" t="str">
        <f>IF(A853&amp;B853&amp;C853="","",INDEX(生物种群!$F$3:INDEX(生物种群!$F:$F,COUNTA(生物种群!$F:$F)),MATCH($I853,生物种群!$B$3:INDEX(生物种群!$B:$B,COUNTA(生物种群!$B:$B)),),))</f>
        <v/>
      </c>
      <c r="M853" s="37" t="str">
        <f t="shared" si="26"/>
        <v/>
      </c>
      <c r="N853" s="37" t="str">
        <f t="shared" si="27"/>
        <v/>
      </c>
      <c r="O853" s="9"/>
      <c r="P853" s="10"/>
    </row>
    <row r="854" spans="1:16" ht="20.1" customHeight="1">
      <c r="A854" s="9"/>
      <c r="B854" s="9"/>
      <c r="C854" s="9"/>
      <c r="D854" s="43"/>
      <c r="E854" s="9"/>
      <c r="F854" s="9"/>
      <c r="G854" s="47" t="str">
        <f>IF(F854="","",INDEX(站位样品信息!$B$3:INDEX(站位样品信息!$B:$B,COUNTA(站位样品信息!$B:$B)+1),MATCH($F854,站位样品信息!$A$3:INDEX(站位样品信息!$A:$A,COUNTA(站位样品信息!$A:$A)+1),),))</f>
        <v/>
      </c>
      <c r="H854" s="37" t="str">
        <f>IF(A854&amp;B854&amp;C854="","",INDEX(生物种群!$A$2:INDEX(生物种群!$A:$A,COUNTA(生物种群!$A:$A)),MATCH($I854,生物种群!$B$2:INDEX(生物种群!$B:$B,COUNTA(生物种群!$B:$B)),),))</f>
        <v/>
      </c>
      <c r="I854" s="37" t="str">
        <f>IF(A854&amp;B854&amp;C854="","",IF($C854&lt;&gt;0,INDEX(生物种群!$B$2:INDEX(生物种群!$B:$B,COUNTA(生物种群!$B:$B)),MATCH($C854,生物种群!$G$2:INDEX(生物种群!$G:$G,COUNTA(生物种群!$G:$G)),),),IF($A854&lt;&gt;0,INDEX(生物种群!$B$2:INDEX(生物种群!$B:$B,COUNTA(生物种群!$B:$B)),MATCH($A854,生物种群!$C$2:INDEX(生物种群!$C:$C,COUNTA(生物种群!$C:$C)),),),INDEX(生物种群!$B$2:INDEX(生物种群!$B:$B,COUNTA(生物种群!$B:$B)),MATCH($B854,生物种群!$D$2:INDEX(生物种群!$D:$D,COUNTA(生物种群!$D:$D)),),))))</f>
        <v/>
      </c>
      <c r="J854" s="37" t="str">
        <f>IF(A854&amp;B854&amp;C854="","",INDEX(生物种群!$J$2:INDEX(生物种群!$J:$J,COUNTA(生物种群!$J:$J)),MATCH($I854,生物种群!$B$2:INDEX(生物种群!$B:$B,COUNTA(生物种群!$B:$B)),),))</f>
        <v/>
      </c>
      <c r="K854" s="37" t="str">
        <f>IF(A854&amp;B854&amp;C854="","",INDEX(生物种群!$E$2:INDEX(生物种群!$E:$E,COUNTA(生物种群!$E:$E)),MATCH($I854,生物种群!$B$2:INDEX(生物种群!$B:$B,COUNTA(生物种群!$B:$B)),),))</f>
        <v/>
      </c>
      <c r="L854" s="37" t="str">
        <f>IF(A854&amp;B854&amp;C854="","",INDEX(生物种群!$F$3:INDEX(生物种群!$F:$F,COUNTA(生物种群!$F:$F)),MATCH($I854,生物种群!$B$3:INDEX(生物种群!$B:$B,COUNTA(生物种群!$B:$B)),),))</f>
        <v/>
      </c>
      <c r="M854" s="37" t="str">
        <f t="shared" si="26"/>
        <v/>
      </c>
      <c r="N854" s="37" t="str">
        <f t="shared" si="27"/>
        <v/>
      </c>
      <c r="O854" s="9"/>
      <c r="P854" s="10"/>
    </row>
    <row r="855" spans="1:16" ht="20.1" customHeight="1">
      <c r="A855" s="9"/>
      <c r="B855" s="9"/>
      <c r="C855" s="9"/>
      <c r="D855" s="43"/>
      <c r="E855" s="9"/>
      <c r="F855" s="9"/>
      <c r="G855" s="47" t="str">
        <f>IF(F855="","",INDEX(站位样品信息!$B$3:INDEX(站位样品信息!$B:$B,COUNTA(站位样品信息!$B:$B)+1),MATCH($F855,站位样品信息!$A$3:INDEX(站位样品信息!$A:$A,COUNTA(站位样品信息!$A:$A)+1),),))</f>
        <v/>
      </c>
      <c r="H855" s="37" t="str">
        <f>IF(A855&amp;B855&amp;C855="","",INDEX(生物种群!$A$2:INDEX(生物种群!$A:$A,COUNTA(生物种群!$A:$A)),MATCH($I855,生物种群!$B$2:INDEX(生物种群!$B:$B,COUNTA(生物种群!$B:$B)),),))</f>
        <v/>
      </c>
      <c r="I855" s="37" t="str">
        <f>IF(A855&amp;B855&amp;C855="","",IF($C855&lt;&gt;0,INDEX(生物种群!$B$2:INDEX(生物种群!$B:$B,COUNTA(生物种群!$B:$B)),MATCH($C855,生物种群!$G$2:INDEX(生物种群!$G:$G,COUNTA(生物种群!$G:$G)),),),IF($A855&lt;&gt;0,INDEX(生物种群!$B$2:INDEX(生物种群!$B:$B,COUNTA(生物种群!$B:$B)),MATCH($A855,生物种群!$C$2:INDEX(生物种群!$C:$C,COUNTA(生物种群!$C:$C)),),),INDEX(生物种群!$B$2:INDEX(生物种群!$B:$B,COUNTA(生物种群!$B:$B)),MATCH($B855,生物种群!$D$2:INDEX(生物种群!$D:$D,COUNTA(生物种群!$D:$D)),),))))</f>
        <v/>
      </c>
      <c r="J855" s="37" t="str">
        <f>IF(A855&amp;B855&amp;C855="","",INDEX(生物种群!$J$2:INDEX(生物种群!$J:$J,COUNTA(生物种群!$J:$J)),MATCH($I855,生物种群!$B$2:INDEX(生物种群!$B:$B,COUNTA(生物种群!$B:$B)),),))</f>
        <v/>
      </c>
      <c r="K855" s="37" t="str">
        <f>IF(A855&amp;B855&amp;C855="","",INDEX(生物种群!$E$2:INDEX(生物种群!$E:$E,COUNTA(生物种群!$E:$E)),MATCH($I855,生物种群!$B$2:INDEX(生物种群!$B:$B,COUNTA(生物种群!$B:$B)),),))</f>
        <v/>
      </c>
      <c r="L855" s="37" t="str">
        <f>IF(A855&amp;B855&amp;C855="","",INDEX(生物种群!$F$3:INDEX(生物种群!$F:$F,COUNTA(生物种群!$F:$F)),MATCH($I855,生物种群!$B$3:INDEX(生物种群!$B:$B,COUNTA(生物种群!$B:$B)),),))</f>
        <v/>
      </c>
      <c r="M855" s="37" t="str">
        <f t="shared" si="26"/>
        <v/>
      </c>
      <c r="N855" s="37" t="str">
        <f t="shared" si="27"/>
        <v/>
      </c>
      <c r="O855" s="9"/>
      <c r="P855" s="10"/>
    </row>
    <row r="856" spans="1:16" ht="20.1" customHeight="1">
      <c r="A856" s="9"/>
      <c r="B856" s="9"/>
      <c r="C856" s="9"/>
      <c r="D856" s="43"/>
      <c r="E856" s="9"/>
      <c r="F856" s="9"/>
      <c r="G856" s="47" t="str">
        <f>IF(F856="","",INDEX(站位样品信息!$B$3:INDEX(站位样品信息!$B:$B,COUNTA(站位样品信息!$B:$B)+1),MATCH($F856,站位样品信息!$A$3:INDEX(站位样品信息!$A:$A,COUNTA(站位样品信息!$A:$A)+1),),))</f>
        <v/>
      </c>
      <c r="H856" s="37" t="str">
        <f>IF(A856&amp;B856&amp;C856="","",INDEX(生物种群!$A$2:INDEX(生物种群!$A:$A,COUNTA(生物种群!$A:$A)),MATCH($I856,生物种群!$B$2:INDEX(生物种群!$B:$B,COUNTA(生物种群!$B:$B)),),))</f>
        <v/>
      </c>
      <c r="I856" s="37" t="str">
        <f>IF(A856&amp;B856&amp;C856="","",IF($C856&lt;&gt;0,INDEX(生物种群!$B$2:INDEX(生物种群!$B:$B,COUNTA(生物种群!$B:$B)),MATCH($C856,生物种群!$G$2:INDEX(生物种群!$G:$G,COUNTA(生物种群!$G:$G)),),),IF($A856&lt;&gt;0,INDEX(生物种群!$B$2:INDEX(生物种群!$B:$B,COUNTA(生物种群!$B:$B)),MATCH($A856,生物种群!$C$2:INDEX(生物种群!$C:$C,COUNTA(生物种群!$C:$C)),),),INDEX(生物种群!$B$2:INDEX(生物种群!$B:$B,COUNTA(生物种群!$B:$B)),MATCH($B856,生物种群!$D$2:INDEX(生物种群!$D:$D,COUNTA(生物种群!$D:$D)),),))))</f>
        <v/>
      </c>
      <c r="J856" s="37" t="str">
        <f>IF(A856&amp;B856&amp;C856="","",INDEX(生物种群!$J$2:INDEX(生物种群!$J:$J,COUNTA(生物种群!$J:$J)),MATCH($I856,生物种群!$B$2:INDEX(生物种群!$B:$B,COUNTA(生物种群!$B:$B)),),))</f>
        <v/>
      </c>
      <c r="K856" s="37" t="str">
        <f>IF(A856&amp;B856&amp;C856="","",INDEX(生物种群!$E$2:INDEX(生物种群!$E:$E,COUNTA(生物种群!$E:$E)),MATCH($I856,生物种群!$B$2:INDEX(生物种群!$B:$B,COUNTA(生物种群!$B:$B)),),))</f>
        <v/>
      </c>
      <c r="L856" s="37" t="str">
        <f>IF(A856&amp;B856&amp;C856="","",INDEX(生物种群!$F$3:INDEX(生物种群!$F:$F,COUNTA(生物种群!$F:$F)),MATCH($I856,生物种群!$B$3:INDEX(生物种群!$B:$B,COUNTA(生物种群!$B:$B)),),))</f>
        <v/>
      </c>
      <c r="M856" s="37" t="str">
        <f t="shared" si="26"/>
        <v/>
      </c>
      <c r="N856" s="37" t="str">
        <f t="shared" si="27"/>
        <v/>
      </c>
      <c r="O856" s="9"/>
      <c r="P856" s="10"/>
    </row>
    <row r="857" spans="1:16" ht="20.1" customHeight="1">
      <c r="A857" s="9"/>
      <c r="B857" s="9"/>
      <c r="C857" s="9"/>
      <c r="D857" s="43"/>
      <c r="E857" s="9"/>
      <c r="F857" s="9"/>
      <c r="G857" s="47" t="str">
        <f>IF(F857="","",INDEX(站位样品信息!$B$3:INDEX(站位样品信息!$B:$B,COUNTA(站位样品信息!$B:$B)+1),MATCH($F857,站位样品信息!$A$3:INDEX(站位样品信息!$A:$A,COUNTA(站位样品信息!$A:$A)+1),),))</f>
        <v/>
      </c>
      <c r="H857" s="37" t="str">
        <f>IF(A857&amp;B857&amp;C857="","",INDEX(生物种群!$A$2:INDEX(生物种群!$A:$A,COUNTA(生物种群!$A:$A)),MATCH($I857,生物种群!$B$2:INDEX(生物种群!$B:$B,COUNTA(生物种群!$B:$B)),),))</f>
        <v/>
      </c>
      <c r="I857" s="37" t="str">
        <f>IF(A857&amp;B857&amp;C857="","",IF($C857&lt;&gt;0,INDEX(生物种群!$B$2:INDEX(生物种群!$B:$B,COUNTA(生物种群!$B:$B)),MATCH($C857,生物种群!$G$2:INDEX(生物种群!$G:$G,COUNTA(生物种群!$G:$G)),),),IF($A857&lt;&gt;0,INDEX(生物种群!$B$2:INDEX(生物种群!$B:$B,COUNTA(生物种群!$B:$B)),MATCH($A857,生物种群!$C$2:INDEX(生物种群!$C:$C,COUNTA(生物种群!$C:$C)),),),INDEX(生物种群!$B$2:INDEX(生物种群!$B:$B,COUNTA(生物种群!$B:$B)),MATCH($B857,生物种群!$D$2:INDEX(生物种群!$D:$D,COUNTA(生物种群!$D:$D)),),))))</f>
        <v/>
      </c>
      <c r="J857" s="37" t="str">
        <f>IF(A857&amp;B857&amp;C857="","",INDEX(生物种群!$J$2:INDEX(生物种群!$J:$J,COUNTA(生物种群!$J:$J)),MATCH($I857,生物种群!$B$2:INDEX(生物种群!$B:$B,COUNTA(生物种群!$B:$B)),),))</f>
        <v/>
      </c>
      <c r="K857" s="37" t="str">
        <f>IF(A857&amp;B857&amp;C857="","",INDEX(生物种群!$E$2:INDEX(生物种群!$E:$E,COUNTA(生物种群!$E:$E)),MATCH($I857,生物种群!$B$2:INDEX(生物种群!$B:$B,COUNTA(生物种群!$B:$B)),),))</f>
        <v/>
      </c>
      <c r="L857" s="37" t="str">
        <f>IF(A857&amp;B857&amp;C857="","",INDEX(生物种群!$F$3:INDEX(生物种群!$F:$F,COUNTA(生物种群!$F:$F)),MATCH($I857,生物种群!$B$3:INDEX(生物种群!$B:$B,COUNTA(生物种群!$B:$B)),),))</f>
        <v/>
      </c>
      <c r="M857" s="37" t="str">
        <f t="shared" si="26"/>
        <v/>
      </c>
      <c r="N857" s="37" t="str">
        <f t="shared" si="27"/>
        <v/>
      </c>
      <c r="O857" s="9"/>
      <c r="P857" s="10"/>
    </row>
    <row r="858" spans="1:16" ht="20.1" customHeight="1">
      <c r="A858" s="9"/>
      <c r="B858" s="9"/>
      <c r="C858" s="9"/>
      <c r="D858" s="43"/>
      <c r="E858" s="9"/>
      <c r="F858" s="9"/>
      <c r="G858" s="47" t="str">
        <f>IF(F858="","",INDEX(站位样品信息!$B$3:INDEX(站位样品信息!$B:$B,COUNTA(站位样品信息!$B:$B)+1),MATCH($F858,站位样品信息!$A$3:INDEX(站位样品信息!$A:$A,COUNTA(站位样品信息!$A:$A)+1),),))</f>
        <v/>
      </c>
      <c r="H858" s="37" t="str">
        <f>IF(A858&amp;B858&amp;C858="","",INDEX(生物种群!$A$2:INDEX(生物种群!$A:$A,COUNTA(生物种群!$A:$A)),MATCH($I858,生物种群!$B$2:INDEX(生物种群!$B:$B,COUNTA(生物种群!$B:$B)),),))</f>
        <v/>
      </c>
      <c r="I858" s="37" t="str">
        <f>IF(A858&amp;B858&amp;C858="","",IF($C858&lt;&gt;0,INDEX(生物种群!$B$2:INDEX(生物种群!$B:$B,COUNTA(生物种群!$B:$B)),MATCH($C858,生物种群!$G$2:INDEX(生物种群!$G:$G,COUNTA(生物种群!$G:$G)),),),IF($A858&lt;&gt;0,INDEX(生物种群!$B$2:INDEX(生物种群!$B:$B,COUNTA(生物种群!$B:$B)),MATCH($A858,生物种群!$C$2:INDEX(生物种群!$C:$C,COUNTA(生物种群!$C:$C)),),),INDEX(生物种群!$B$2:INDEX(生物种群!$B:$B,COUNTA(生物种群!$B:$B)),MATCH($B858,生物种群!$D$2:INDEX(生物种群!$D:$D,COUNTA(生物种群!$D:$D)),),))))</f>
        <v/>
      </c>
      <c r="J858" s="37" t="str">
        <f>IF(A858&amp;B858&amp;C858="","",INDEX(生物种群!$J$2:INDEX(生物种群!$J:$J,COUNTA(生物种群!$J:$J)),MATCH($I858,生物种群!$B$2:INDEX(生物种群!$B:$B,COUNTA(生物种群!$B:$B)),),))</f>
        <v/>
      </c>
      <c r="K858" s="37" t="str">
        <f>IF(A858&amp;B858&amp;C858="","",INDEX(生物种群!$E$2:INDEX(生物种群!$E:$E,COUNTA(生物种群!$E:$E)),MATCH($I858,生物种群!$B$2:INDEX(生物种群!$B:$B,COUNTA(生物种群!$B:$B)),),))</f>
        <v/>
      </c>
      <c r="L858" s="37" t="str">
        <f>IF(A858&amp;B858&amp;C858="","",INDEX(生物种群!$F$3:INDEX(生物种群!$F:$F,COUNTA(生物种群!$F:$F)),MATCH($I858,生物种群!$B$3:INDEX(生物种群!$B:$B,COUNTA(生物种群!$B:$B)),),))</f>
        <v/>
      </c>
      <c r="M858" s="37" t="str">
        <f t="shared" si="26"/>
        <v/>
      </c>
      <c r="N858" s="37" t="str">
        <f t="shared" si="27"/>
        <v/>
      </c>
      <c r="O858" s="9"/>
      <c r="P858" s="10"/>
    </row>
    <row r="859" spans="1:16" ht="20.1" customHeight="1">
      <c r="A859" s="9"/>
      <c r="B859" s="9"/>
      <c r="C859" s="9"/>
      <c r="D859" s="43"/>
      <c r="E859" s="9"/>
      <c r="F859" s="9"/>
      <c r="G859" s="47" t="str">
        <f>IF(F859="","",INDEX(站位样品信息!$B$3:INDEX(站位样品信息!$B:$B,COUNTA(站位样品信息!$B:$B)+1),MATCH($F859,站位样品信息!$A$3:INDEX(站位样品信息!$A:$A,COUNTA(站位样品信息!$A:$A)+1),),))</f>
        <v/>
      </c>
      <c r="H859" s="37" t="str">
        <f>IF(A859&amp;B859&amp;C859="","",INDEX(生物种群!$A$2:INDEX(生物种群!$A:$A,COUNTA(生物种群!$A:$A)),MATCH($I859,生物种群!$B$2:INDEX(生物种群!$B:$B,COUNTA(生物种群!$B:$B)),),))</f>
        <v/>
      </c>
      <c r="I859" s="37" t="str">
        <f>IF(A859&amp;B859&amp;C859="","",IF($C859&lt;&gt;0,INDEX(生物种群!$B$2:INDEX(生物种群!$B:$B,COUNTA(生物种群!$B:$B)),MATCH($C859,生物种群!$G$2:INDEX(生物种群!$G:$G,COUNTA(生物种群!$G:$G)),),),IF($A859&lt;&gt;0,INDEX(生物种群!$B$2:INDEX(生物种群!$B:$B,COUNTA(生物种群!$B:$B)),MATCH($A859,生物种群!$C$2:INDEX(生物种群!$C:$C,COUNTA(生物种群!$C:$C)),),),INDEX(生物种群!$B$2:INDEX(生物种群!$B:$B,COUNTA(生物种群!$B:$B)),MATCH($B859,生物种群!$D$2:INDEX(生物种群!$D:$D,COUNTA(生物种群!$D:$D)),),))))</f>
        <v/>
      </c>
      <c r="J859" s="37" t="str">
        <f>IF(A859&amp;B859&amp;C859="","",INDEX(生物种群!$J$2:INDEX(生物种群!$J:$J,COUNTA(生物种群!$J:$J)),MATCH($I859,生物种群!$B$2:INDEX(生物种群!$B:$B,COUNTA(生物种群!$B:$B)),),))</f>
        <v/>
      </c>
      <c r="K859" s="37" t="str">
        <f>IF(A859&amp;B859&amp;C859="","",INDEX(生物种群!$E$2:INDEX(生物种群!$E:$E,COUNTA(生物种群!$E:$E)),MATCH($I859,生物种群!$B$2:INDEX(生物种群!$B:$B,COUNTA(生物种群!$B:$B)),),))</f>
        <v/>
      </c>
      <c r="L859" s="37" t="str">
        <f>IF(A859&amp;B859&amp;C859="","",INDEX(生物种群!$F$3:INDEX(生物种群!$F:$F,COUNTA(生物种群!$F:$F)),MATCH($I859,生物种群!$B$3:INDEX(生物种群!$B:$B,COUNTA(生物种群!$B:$B)),),))</f>
        <v/>
      </c>
      <c r="M859" s="37" t="str">
        <f t="shared" si="26"/>
        <v/>
      </c>
      <c r="N859" s="37" t="str">
        <f t="shared" si="27"/>
        <v/>
      </c>
      <c r="O859" s="9"/>
      <c r="P859" s="10"/>
    </row>
    <row r="860" spans="1:16" ht="20.1" customHeight="1">
      <c r="A860" s="9"/>
      <c r="B860" s="9"/>
      <c r="C860" s="9"/>
      <c r="D860" s="43"/>
      <c r="E860" s="9"/>
      <c r="F860" s="9"/>
      <c r="G860" s="47" t="str">
        <f>IF(F860="","",INDEX(站位样品信息!$B$3:INDEX(站位样品信息!$B:$B,COUNTA(站位样品信息!$B:$B)+1),MATCH($F860,站位样品信息!$A$3:INDEX(站位样品信息!$A:$A,COUNTA(站位样品信息!$A:$A)+1),),))</f>
        <v/>
      </c>
      <c r="H860" s="37" t="str">
        <f>IF(A860&amp;B860&amp;C860="","",INDEX(生物种群!$A$2:INDEX(生物种群!$A:$A,COUNTA(生物种群!$A:$A)),MATCH($I860,生物种群!$B$2:INDEX(生物种群!$B:$B,COUNTA(生物种群!$B:$B)),),))</f>
        <v/>
      </c>
      <c r="I860" s="37" t="str">
        <f>IF(A860&amp;B860&amp;C860="","",IF($C860&lt;&gt;0,INDEX(生物种群!$B$2:INDEX(生物种群!$B:$B,COUNTA(生物种群!$B:$B)),MATCH($C860,生物种群!$G$2:INDEX(生物种群!$G:$G,COUNTA(生物种群!$G:$G)),),),IF($A860&lt;&gt;0,INDEX(生物种群!$B$2:INDEX(生物种群!$B:$B,COUNTA(生物种群!$B:$B)),MATCH($A860,生物种群!$C$2:INDEX(生物种群!$C:$C,COUNTA(生物种群!$C:$C)),),),INDEX(生物种群!$B$2:INDEX(生物种群!$B:$B,COUNTA(生物种群!$B:$B)),MATCH($B860,生物种群!$D$2:INDEX(生物种群!$D:$D,COUNTA(生物种群!$D:$D)),),))))</f>
        <v/>
      </c>
      <c r="J860" s="37" t="str">
        <f>IF(A860&amp;B860&amp;C860="","",INDEX(生物种群!$J$2:INDEX(生物种群!$J:$J,COUNTA(生物种群!$J:$J)),MATCH($I860,生物种群!$B$2:INDEX(生物种群!$B:$B,COUNTA(生物种群!$B:$B)),),))</f>
        <v/>
      </c>
      <c r="K860" s="37" t="str">
        <f>IF(A860&amp;B860&amp;C860="","",INDEX(生物种群!$E$2:INDEX(生物种群!$E:$E,COUNTA(生物种群!$E:$E)),MATCH($I860,生物种群!$B$2:INDEX(生物种群!$B:$B,COUNTA(生物种群!$B:$B)),),))</f>
        <v/>
      </c>
      <c r="L860" s="37" t="str">
        <f>IF(A860&amp;B860&amp;C860="","",INDEX(生物种群!$F$3:INDEX(生物种群!$F:$F,COUNTA(生物种群!$F:$F)),MATCH($I860,生物种群!$B$3:INDEX(生物种群!$B:$B,COUNTA(生物种群!$B:$B)),),))</f>
        <v/>
      </c>
      <c r="M860" s="37" t="str">
        <f t="shared" si="26"/>
        <v/>
      </c>
      <c r="N860" s="37" t="str">
        <f t="shared" si="27"/>
        <v/>
      </c>
      <c r="O860" s="9"/>
      <c r="P860" s="10"/>
    </row>
    <row r="861" spans="1:16" ht="20.1" customHeight="1">
      <c r="A861" s="9"/>
      <c r="B861" s="9"/>
      <c r="C861" s="9"/>
      <c r="D861" s="43"/>
      <c r="E861" s="9"/>
      <c r="F861" s="9"/>
      <c r="G861" s="47" t="str">
        <f>IF(F861="","",INDEX(站位样品信息!$B$3:INDEX(站位样品信息!$B:$B,COUNTA(站位样品信息!$B:$B)+1),MATCH($F861,站位样品信息!$A$3:INDEX(站位样品信息!$A:$A,COUNTA(站位样品信息!$A:$A)+1),),))</f>
        <v/>
      </c>
      <c r="H861" s="37" t="str">
        <f>IF(A861&amp;B861&amp;C861="","",INDEX(生物种群!$A$2:INDEX(生物种群!$A:$A,COUNTA(生物种群!$A:$A)),MATCH($I861,生物种群!$B$2:INDEX(生物种群!$B:$B,COUNTA(生物种群!$B:$B)),),))</f>
        <v/>
      </c>
      <c r="I861" s="37" t="str">
        <f>IF(A861&amp;B861&amp;C861="","",IF($C861&lt;&gt;0,INDEX(生物种群!$B$2:INDEX(生物种群!$B:$B,COUNTA(生物种群!$B:$B)),MATCH($C861,生物种群!$G$2:INDEX(生物种群!$G:$G,COUNTA(生物种群!$G:$G)),),),IF($A861&lt;&gt;0,INDEX(生物种群!$B$2:INDEX(生物种群!$B:$B,COUNTA(生物种群!$B:$B)),MATCH($A861,生物种群!$C$2:INDEX(生物种群!$C:$C,COUNTA(生物种群!$C:$C)),),),INDEX(生物种群!$B$2:INDEX(生物种群!$B:$B,COUNTA(生物种群!$B:$B)),MATCH($B861,生物种群!$D$2:INDEX(生物种群!$D:$D,COUNTA(生物种群!$D:$D)),),))))</f>
        <v/>
      </c>
      <c r="J861" s="37" t="str">
        <f>IF(A861&amp;B861&amp;C861="","",INDEX(生物种群!$J$2:INDEX(生物种群!$J:$J,COUNTA(生物种群!$J:$J)),MATCH($I861,生物种群!$B$2:INDEX(生物种群!$B:$B,COUNTA(生物种群!$B:$B)),),))</f>
        <v/>
      </c>
      <c r="K861" s="37" t="str">
        <f>IF(A861&amp;B861&amp;C861="","",INDEX(生物种群!$E$2:INDEX(生物种群!$E:$E,COUNTA(生物种群!$E:$E)),MATCH($I861,生物种群!$B$2:INDEX(生物种群!$B:$B,COUNTA(生物种群!$B:$B)),),))</f>
        <v/>
      </c>
      <c r="L861" s="37" t="str">
        <f>IF(A861&amp;B861&amp;C861="","",INDEX(生物种群!$F$3:INDEX(生物种群!$F:$F,COUNTA(生物种群!$F:$F)),MATCH($I861,生物种群!$B$3:INDEX(生物种群!$B:$B,COUNTA(生物种群!$B:$B)),),))</f>
        <v/>
      </c>
      <c r="M861" s="37" t="str">
        <f t="shared" si="26"/>
        <v/>
      </c>
      <c r="N861" s="37" t="str">
        <f t="shared" si="27"/>
        <v/>
      </c>
      <c r="O861" s="9"/>
      <c r="P861" s="10"/>
    </row>
    <row r="862" spans="1:16" ht="20.1" customHeight="1">
      <c r="A862" s="9"/>
      <c r="B862" s="9"/>
      <c r="C862" s="9"/>
      <c r="D862" s="43"/>
      <c r="E862" s="9"/>
      <c r="F862" s="9"/>
      <c r="G862" s="47" t="str">
        <f>IF(F862="","",INDEX(站位样品信息!$B$3:INDEX(站位样品信息!$B:$B,COUNTA(站位样品信息!$B:$B)+1),MATCH($F862,站位样品信息!$A$3:INDEX(站位样品信息!$A:$A,COUNTA(站位样品信息!$A:$A)+1),),))</f>
        <v/>
      </c>
      <c r="H862" s="37" t="str">
        <f>IF(A862&amp;B862&amp;C862="","",INDEX(生物种群!$A$2:INDEX(生物种群!$A:$A,COUNTA(生物种群!$A:$A)),MATCH($I862,生物种群!$B$2:INDEX(生物种群!$B:$B,COUNTA(生物种群!$B:$B)),),))</f>
        <v/>
      </c>
      <c r="I862" s="37" t="str">
        <f>IF(A862&amp;B862&amp;C862="","",IF($C862&lt;&gt;0,INDEX(生物种群!$B$2:INDEX(生物种群!$B:$B,COUNTA(生物种群!$B:$B)),MATCH($C862,生物种群!$G$2:INDEX(生物种群!$G:$G,COUNTA(生物种群!$G:$G)),),),IF($A862&lt;&gt;0,INDEX(生物种群!$B$2:INDEX(生物种群!$B:$B,COUNTA(生物种群!$B:$B)),MATCH($A862,生物种群!$C$2:INDEX(生物种群!$C:$C,COUNTA(生物种群!$C:$C)),),),INDEX(生物种群!$B$2:INDEX(生物种群!$B:$B,COUNTA(生物种群!$B:$B)),MATCH($B862,生物种群!$D$2:INDEX(生物种群!$D:$D,COUNTA(生物种群!$D:$D)),),))))</f>
        <v/>
      </c>
      <c r="J862" s="37" t="str">
        <f>IF(A862&amp;B862&amp;C862="","",INDEX(生物种群!$J$2:INDEX(生物种群!$J:$J,COUNTA(生物种群!$J:$J)),MATCH($I862,生物种群!$B$2:INDEX(生物种群!$B:$B,COUNTA(生物种群!$B:$B)),),))</f>
        <v/>
      </c>
      <c r="K862" s="37" t="str">
        <f>IF(A862&amp;B862&amp;C862="","",INDEX(生物种群!$E$2:INDEX(生物种群!$E:$E,COUNTA(生物种群!$E:$E)),MATCH($I862,生物种群!$B$2:INDEX(生物种群!$B:$B,COUNTA(生物种群!$B:$B)),),))</f>
        <v/>
      </c>
      <c r="L862" s="37" t="str">
        <f>IF(A862&amp;B862&amp;C862="","",INDEX(生物种群!$F$3:INDEX(生物种群!$F:$F,COUNTA(生物种群!$F:$F)),MATCH($I862,生物种群!$B$3:INDEX(生物种群!$B:$B,COUNTA(生物种群!$B:$B)),),))</f>
        <v/>
      </c>
      <c r="M862" s="37" t="str">
        <f t="shared" si="26"/>
        <v/>
      </c>
      <c r="N862" s="37" t="str">
        <f t="shared" si="27"/>
        <v/>
      </c>
      <c r="O862" s="9"/>
      <c r="P862" s="10"/>
    </row>
    <row r="863" spans="1:16" ht="20.1" customHeight="1">
      <c r="A863" s="9"/>
      <c r="B863" s="9"/>
      <c r="C863" s="9"/>
      <c r="D863" s="43"/>
      <c r="E863" s="9"/>
      <c r="F863" s="9"/>
      <c r="G863" s="47" t="str">
        <f>IF(F863="","",INDEX(站位样品信息!$B$3:INDEX(站位样品信息!$B:$B,COUNTA(站位样品信息!$B:$B)+1),MATCH($F863,站位样品信息!$A$3:INDEX(站位样品信息!$A:$A,COUNTA(站位样品信息!$A:$A)+1),),))</f>
        <v/>
      </c>
      <c r="H863" s="37" t="str">
        <f>IF(A863&amp;B863&amp;C863="","",INDEX(生物种群!$A$2:INDEX(生物种群!$A:$A,COUNTA(生物种群!$A:$A)),MATCH($I863,生物种群!$B$2:INDEX(生物种群!$B:$B,COUNTA(生物种群!$B:$B)),),))</f>
        <v/>
      </c>
      <c r="I863" s="37" t="str">
        <f>IF(A863&amp;B863&amp;C863="","",IF($C863&lt;&gt;0,INDEX(生物种群!$B$2:INDEX(生物种群!$B:$B,COUNTA(生物种群!$B:$B)),MATCH($C863,生物种群!$G$2:INDEX(生物种群!$G:$G,COUNTA(生物种群!$G:$G)),),),IF($A863&lt;&gt;0,INDEX(生物种群!$B$2:INDEX(生物种群!$B:$B,COUNTA(生物种群!$B:$B)),MATCH($A863,生物种群!$C$2:INDEX(生物种群!$C:$C,COUNTA(生物种群!$C:$C)),),),INDEX(生物种群!$B$2:INDEX(生物种群!$B:$B,COUNTA(生物种群!$B:$B)),MATCH($B863,生物种群!$D$2:INDEX(生物种群!$D:$D,COUNTA(生物种群!$D:$D)),),))))</f>
        <v/>
      </c>
      <c r="J863" s="37" t="str">
        <f>IF(A863&amp;B863&amp;C863="","",INDEX(生物种群!$J$2:INDEX(生物种群!$J:$J,COUNTA(生物种群!$J:$J)),MATCH($I863,生物种群!$B$2:INDEX(生物种群!$B:$B,COUNTA(生物种群!$B:$B)),),))</f>
        <v/>
      </c>
      <c r="K863" s="37" t="str">
        <f>IF(A863&amp;B863&amp;C863="","",INDEX(生物种群!$E$2:INDEX(生物种群!$E:$E,COUNTA(生物种群!$E:$E)),MATCH($I863,生物种群!$B$2:INDEX(生物种群!$B:$B,COUNTA(生物种群!$B:$B)),),))</f>
        <v/>
      </c>
      <c r="L863" s="37" t="str">
        <f>IF(A863&amp;B863&amp;C863="","",INDEX(生物种群!$F$3:INDEX(生物种群!$F:$F,COUNTA(生物种群!$F:$F)),MATCH($I863,生物种群!$B$3:INDEX(生物种群!$B:$B,COUNTA(生物种群!$B:$B)),),))</f>
        <v/>
      </c>
      <c r="M863" s="37" t="str">
        <f t="shared" si="26"/>
        <v/>
      </c>
      <c r="N863" s="37" t="str">
        <f t="shared" si="27"/>
        <v/>
      </c>
      <c r="O863" s="9"/>
      <c r="P863" s="10"/>
    </row>
    <row r="864" spans="1:16" ht="20.1" customHeight="1">
      <c r="A864" s="9"/>
      <c r="B864" s="9"/>
      <c r="C864" s="9"/>
      <c r="D864" s="43"/>
      <c r="E864" s="9"/>
      <c r="F864" s="9"/>
      <c r="G864" s="47" t="str">
        <f>IF(F864="","",INDEX(站位样品信息!$B$3:INDEX(站位样品信息!$B:$B,COUNTA(站位样品信息!$B:$B)+1),MATCH($F864,站位样品信息!$A$3:INDEX(站位样品信息!$A:$A,COUNTA(站位样品信息!$A:$A)+1),),))</f>
        <v/>
      </c>
      <c r="H864" s="37" t="str">
        <f>IF(A864&amp;B864&amp;C864="","",INDEX(生物种群!$A$2:INDEX(生物种群!$A:$A,COUNTA(生物种群!$A:$A)),MATCH($I864,生物种群!$B$2:INDEX(生物种群!$B:$B,COUNTA(生物种群!$B:$B)),),))</f>
        <v/>
      </c>
      <c r="I864" s="37" t="str">
        <f>IF(A864&amp;B864&amp;C864="","",IF($C864&lt;&gt;0,INDEX(生物种群!$B$2:INDEX(生物种群!$B:$B,COUNTA(生物种群!$B:$B)),MATCH($C864,生物种群!$G$2:INDEX(生物种群!$G:$G,COUNTA(生物种群!$G:$G)),),),IF($A864&lt;&gt;0,INDEX(生物种群!$B$2:INDEX(生物种群!$B:$B,COUNTA(生物种群!$B:$B)),MATCH($A864,生物种群!$C$2:INDEX(生物种群!$C:$C,COUNTA(生物种群!$C:$C)),),),INDEX(生物种群!$B$2:INDEX(生物种群!$B:$B,COUNTA(生物种群!$B:$B)),MATCH($B864,生物种群!$D$2:INDEX(生物种群!$D:$D,COUNTA(生物种群!$D:$D)),),))))</f>
        <v/>
      </c>
      <c r="J864" s="37" t="str">
        <f>IF(A864&amp;B864&amp;C864="","",INDEX(生物种群!$J$2:INDEX(生物种群!$J:$J,COUNTA(生物种群!$J:$J)),MATCH($I864,生物种群!$B$2:INDEX(生物种群!$B:$B,COUNTA(生物种群!$B:$B)),),))</f>
        <v/>
      </c>
      <c r="K864" s="37" t="str">
        <f>IF(A864&amp;B864&amp;C864="","",INDEX(生物种群!$E$2:INDEX(生物种群!$E:$E,COUNTA(生物种群!$E:$E)),MATCH($I864,生物种群!$B$2:INDEX(生物种群!$B:$B,COUNTA(生物种群!$B:$B)),),))</f>
        <v/>
      </c>
      <c r="L864" s="37" t="str">
        <f>IF(A864&amp;B864&amp;C864="","",INDEX(生物种群!$F$3:INDEX(生物种群!$F:$F,COUNTA(生物种群!$F:$F)),MATCH($I864,生物种群!$B$3:INDEX(生物种群!$B:$B,COUNTA(生物种群!$B:$B)),),))</f>
        <v/>
      </c>
      <c r="M864" s="37" t="str">
        <f t="shared" si="26"/>
        <v/>
      </c>
      <c r="N864" s="37" t="str">
        <f t="shared" si="27"/>
        <v/>
      </c>
      <c r="O864" s="9"/>
      <c r="P864" s="10"/>
    </row>
    <row r="865" spans="1:16" ht="20.1" customHeight="1">
      <c r="A865" s="9"/>
      <c r="B865" s="9"/>
      <c r="C865" s="9"/>
      <c r="D865" s="43"/>
      <c r="E865" s="9"/>
      <c r="F865" s="9"/>
      <c r="G865" s="47" t="str">
        <f>IF(F865="","",INDEX(站位样品信息!$B$3:INDEX(站位样品信息!$B:$B,COUNTA(站位样品信息!$B:$B)+1),MATCH($F865,站位样品信息!$A$3:INDEX(站位样品信息!$A:$A,COUNTA(站位样品信息!$A:$A)+1),),))</f>
        <v/>
      </c>
      <c r="H865" s="37" t="str">
        <f>IF(A865&amp;B865&amp;C865="","",INDEX(生物种群!$A$2:INDEX(生物种群!$A:$A,COUNTA(生物种群!$A:$A)),MATCH($I865,生物种群!$B$2:INDEX(生物种群!$B:$B,COUNTA(生物种群!$B:$B)),),))</f>
        <v/>
      </c>
      <c r="I865" s="37" t="str">
        <f>IF(A865&amp;B865&amp;C865="","",IF($C865&lt;&gt;0,INDEX(生物种群!$B$2:INDEX(生物种群!$B:$B,COUNTA(生物种群!$B:$B)),MATCH($C865,生物种群!$G$2:INDEX(生物种群!$G:$G,COUNTA(生物种群!$G:$G)),),),IF($A865&lt;&gt;0,INDEX(生物种群!$B$2:INDEX(生物种群!$B:$B,COUNTA(生物种群!$B:$B)),MATCH($A865,生物种群!$C$2:INDEX(生物种群!$C:$C,COUNTA(生物种群!$C:$C)),),),INDEX(生物种群!$B$2:INDEX(生物种群!$B:$B,COUNTA(生物种群!$B:$B)),MATCH($B865,生物种群!$D$2:INDEX(生物种群!$D:$D,COUNTA(生物种群!$D:$D)),),))))</f>
        <v/>
      </c>
      <c r="J865" s="37" t="str">
        <f>IF(A865&amp;B865&amp;C865="","",INDEX(生物种群!$J$2:INDEX(生物种群!$J:$J,COUNTA(生物种群!$J:$J)),MATCH($I865,生物种群!$B$2:INDEX(生物种群!$B:$B,COUNTA(生物种群!$B:$B)),),))</f>
        <v/>
      </c>
      <c r="K865" s="37" t="str">
        <f>IF(A865&amp;B865&amp;C865="","",INDEX(生物种群!$E$2:INDEX(生物种群!$E:$E,COUNTA(生物种群!$E:$E)),MATCH($I865,生物种群!$B$2:INDEX(生物种群!$B:$B,COUNTA(生物种群!$B:$B)),),))</f>
        <v/>
      </c>
      <c r="L865" s="37" t="str">
        <f>IF(A865&amp;B865&amp;C865="","",INDEX(生物种群!$F$3:INDEX(生物种群!$F:$F,COUNTA(生物种群!$F:$F)),MATCH($I865,生物种群!$B$3:INDEX(生物种群!$B:$B,COUNTA(生物种群!$B:$B)),),))</f>
        <v/>
      </c>
      <c r="M865" s="37" t="str">
        <f t="shared" si="26"/>
        <v/>
      </c>
      <c r="N865" s="37" t="str">
        <f t="shared" si="27"/>
        <v/>
      </c>
      <c r="O865" s="9"/>
      <c r="P865" s="10"/>
    </row>
    <row r="866" spans="1:16" ht="20.1" customHeight="1">
      <c r="A866" s="9"/>
      <c r="B866" s="9"/>
      <c r="C866" s="9"/>
      <c r="D866" s="43"/>
      <c r="E866" s="9"/>
      <c r="F866" s="9"/>
      <c r="G866" s="47" t="str">
        <f>IF(F866="","",INDEX(站位样品信息!$B$3:INDEX(站位样品信息!$B:$B,COUNTA(站位样品信息!$B:$B)+1),MATCH($F866,站位样品信息!$A$3:INDEX(站位样品信息!$A:$A,COUNTA(站位样品信息!$A:$A)+1),),))</f>
        <v/>
      </c>
      <c r="H866" s="37" t="str">
        <f>IF(A866&amp;B866&amp;C866="","",INDEX(生物种群!$A$2:INDEX(生物种群!$A:$A,COUNTA(生物种群!$A:$A)),MATCH($I866,生物种群!$B$2:INDEX(生物种群!$B:$B,COUNTA(生物种群!$B:$B)),),))</f>
        <v/>
      </c>
      <c r="I866" s="37" t="str">
        <f>IF(A866&amp;B866&amp;C866="","",IF($C866&lt;&gt;0,INDEX(生物种群!$B$2:INDEX(生物种群!$B:$B,COUNTA(生物种群!$B:$B)),MATCH($C866,生物种群!$G$2:INDEX(生物种群!$G:$G,COUNTA(生物种群!$G:$G)),),),IF($A866&lt;&gt;0,INDEX(生物种群!$B$2:INDEX(生物种群!$B:$B,COUNTA(生物种群!$B:$B)),MATCH($A866,生物种群!$C$2:INDEX(生物种群!$C:$C,COUNTA(生物种群!$C:$C)),),),INDEX(生物种群!$B$2:INDEX(生物种群!$B:$B,COUNTA(生物种群!$B:$B)),MATCH($B866,生物种群!$D$2:INDEX(生物种群!$D:$D,COUNTA(生物种群!$D:$D)),),))))</f>
        <v/>
      </c>
      <c r="J866" s="37" t="str">
        <f>IF(A866&amp;B866&amp;C866="","",INDEX(生物种群!$J$2:INDEX(生物种群!$J:$J,COUNTA(生物种群!$J:$J)),MATCH($I866,生物种群!$B$2:INDEX(生物种群!$B:$B,COUNTA(生物种群!$B:$B)),),))</f>
        <v/>
      </c>
      <c r="K866" s="37" t="str">
        <f>IF(A866&amp;B866&amp;C866="","",INDEX(生物种群!$E$2:INDEX(生物种群!$E:$E,COUNTA(生物种群!$E:$E)),MATCH($I866,生物种群!$B$2:INDEX(生物种群!$B:$B,COUNTA(生物种群!$B:$B)),),))</f>
        <v/>
      </c>
      <c r="L866" s="37" t="str">
        <f>IF(A866&amp;B866&amp;C866="","",INDEX(生物种群!$F$3:INDEX(生物种群!$F:$F,COUNTA(生物种群!$F:$F)),MATCH($I866,生物种群!$B$3:INDEX(生物种群!$B:$B,COUNTA(生物种群!$B:$B)),),))</f>
        <v/>
      </c>
      <c r="M866" s="37" t="str">
        <f t="shared" si="26"/>
        <v/>
      </c>
      <c r="N866" s="37" t="str">
        <f t="shared" si="27"/>
        <v/>
      </c>
      <c r="O866" s="9"/>
      <c r="P866" s="10"/>
    </row>
    <row r="867" spans="1:16" ht="20.1" customHeight="1">
      <c r="A867" s="9"/>
      <c r="B867" s="9"/>
      <c r="C867" s="9"/>
      <c r="D867" s="43"/>
      <c r="E867" s="9"/>
      <c r="F867" s="9"/>
      <c r="G867" s="47" t="str">
        <f>IF(F867="","",INDEX(站位样品信息!$B$3:INDEX(站位样品信息!$B:$B,COUNTA(站位样品信息!$B:$B)+1),MATCH($F867,站位样品信息!$A$3:INDEX(站位样品信息!$A:$A,COUNTA(站位样品信息!$A:$A)+1),),))</f>
        <v/>
      </c>
      <c r="H867" s="37" t="str">
        <f>IF(A867&amp;B867&amp;C867="","",INDEX(生物种群!$A$2:INDEX(生物种群!$A:$A,COUNTA(生物种群!$A:$A)),MATCH($I867,生物种群!$B$2:INDEX(生物种群!$B:$B,COUNTA(生物种群!$B:$B)),),))</f>
        <v/>
      </c>
      <c r="I867" s="37" t="str">
        <f>IF(A867&amp;B867&amp;C867="","",IF($C867&lt;&gt;0,INDEX(生物种群!$B$2:INDEX(生物种群!$B:$B,COUNTA(生物种群!$B:$B)),MATCH($C867,生物种群!$G$2:INDEX(生物种群!$G:$G,COUNTA(生物种群!$G:$G)),),),IF($A867&lt;&gt;0,INDEX(生物种群!$B$2:INDEX(生物种群!$B:$B,COUNTA(生物种群!$B:$B)),MATCH($A867,生物种群!$C$2:INDEX(生物种群!$C:$C,COUNTA(生物种群!$C:$C)),),),INDEX(生物种群!$B$2:INDEX(生物种群!$B:$B,COUNTA(生物种群!$B:$B)),MATCH($B867,生物种群!$D$2:INDEX(生物种群!$D:$D,COUNTA(生物种群!$D:$D)),),))))</f>
        <v/>
      </c>
      <c r="J867" s="37" t="str">
        <f>IF(A867&amp;B867&amp;C867="","",INDEX(生物种群!$J$2:INDEX(生物种群!$J:$J,COUNTA(生物种群!$J:$J)),MATCH($I867,生物种群!$B$2:INDEX(生物种群!$B:$B,COUNTA(生物种群!$B:$B)),),))</f>
        <v/>
      </c>
      <c r="K867" s="37" t="str">
        <f>IF(A867&amp;B867&amp;C867="","",INDEX(生物种群!$E$2:INDEX(生物种群!$E:$E,COUNTA(生物种群!$E:$E)),MATCH($I867,生物种群!$B$2:INDEX(生物种群!$B:$B,COUNTA(生物种群!$B:$B)),),))</f>
        <v/>
      </c>
      <c r="L867" s="37" t="str">
        <f>IF(A867&amp;B867&amp;C867="","",INDEX(生物种群!$F$3:INDEX(生物种群!$F:$F,COUNTA(生物种群!$F:$F)),MATCH($I867,生物种群!$B$3:INDEX(生物种群!$B:$B,COUNTA(生物种群!$B:$B)),),))</f>
        <v/>
      </c>
      <c r="M867" s="37" t="str">
        <f t="shared" si="26"/>
        <v/>
      </c>
      <c r="N867" s="37" t="str">
        <f t="shared" si="27"/>
        <v/>
      </c>
      <c r="O867" s="9"/>
      <c r="P867" s="10"/>
    </row>
    <row r="868" spans="1:16" ht="20.1" customHeight="1">
      <c r="A868" s="9"/>
      <c r="B868" s="9"/>
      <c r="C868" s="9"/>
      <c r="D868" s="43"/>
      <c r="E868" s="9"/>
      <c r="F868" s="9"/>
      <c r="G868" s="47" t="str">
        <f>IF(F868="","",INDEX(站位样品信息!$B$3:INDEX(站位样品信息!$B:$B,COUNTA(站位样品信息!$B:$B)+1),MATCH($F868,站位样品信息!$A$3:INDEX(站位样品信息!$A:$A,COUNTA(站位样品信息!$A:$A)+1),),))</f>
        <v/>
      </c>
      <c r="H868" s="37" t="str">
        <f>IF(A868&amp;B868&amp;C868="","",INDEX(生物种群!$A$2:INDEX(生物种群!$A:$A,COUNTA(生物种群!$A:$A)),MATCH($I868,生物种群!$B$2:INDEX(生物种群!$B:$B,COUNTA(生物种群!$B:$B)),),))</f>
        <v/>
      </c>
      <c r="I868" s="37" t="str">
        <f>IF(A868&amp;B868&amp;C868="","",IF($C868&lt;&gt;0,INDEX(生物种群!$B$2:INDEX(生物种群!$B:$B,COUNTA(生物种群!$B:$B)),MATCH($C868,生物种群!$G$2:INDEX(生物种群!$G:$G,COUNTA(生物种群!$G:$G)),),),IF($A868&lt;&gt;0,INDEX(生物种群!$B$2:INDEX(生物种群!$B:$B,COUNTA(生物种群!$B:$B)),MATCH($A868,生物种群!$C$2:INDEX(生物种群!$C:$C,COUNTA(生物种群!$C:$C)),),),INDEX(生物种群!$B$2:INDEX(生物种群!$B:$B,COUNTA(生物种群!$B:$B)),MATCH($B868,生物种群!$D$2:INDEX(生物种群!$D:$D,COUNTA(生物种群!$D:$D)),),))))</f>
        <v/>
      </c>
      <c r="J868" s="37" t="str">
        <f>IF(A868&amp;B868&amp;C868="","",INDEX(生物种群!$J$2:INDEX(生物种群!$J:$J,COUNTA(生物种群!$J:$J)),MATCH($I868,生物种群!$B$2:INDEX(生物种群!$B:$B,COUNTA(生物种群!$B:$B)),),))</f>
        <v/>
      </c>
      <c r="K868" s="37" t="str">
        <f>IF(A868&amp;B868&amp;C868="","",INDEX(生物种群!$E$2:INDEX(生物种群!$E:$E,COUNTA(生物种群!$E:$E)),MATCH($I868,生物种群!$B$2:INDEX(生物种群!$B:$B,COUNTA(生物种群!$B:$B)),),))</f>
        <v/>
      </c>
      <c r="L868" s="37" t="str">
        <f>IF(A868&amp;B868&amp;C868="","",INDEX(生物种群!$F$3:INDEX(生物种群!$F:$F,COUNTA(生物种群!$F:$F)),MATCH($I868,生物种群!$B$3:INDEX(生物种群!$B:$B,COUNTA(生物种群!$B:$B)),),))</f>
        <v/>
      </c>
      <c r="M868" s="37" t="str">
        <f t="shared" si="26"/>
        <v/>
      </c>
      <c r="N868" s="37" t="str">
        <f t="shared" si="27"/>
        <v/>
      </c>
      <c r="O868" s="9"/>
      <c r="P868" s="10"/>
    </row>
    <row r="869" spans="1:16" ht="20.1" customHeight="1">
      <c r="A869" s="9"/>
      <c r="B869" s="9"/>
      <c r="C869" s="9"/>
      <c r="D869" s="43"/>
      <c r="E869" s="9"/>
      <c r="F869" s="9"/>
      <c r="G869" s="47" t="str">
        <f>IF(F869="","",INDEX(站位样品信息!$B$3:INDEX(站位样品信息!$B:$B,COUNTA(站位样品信息!$B:$B)+1),MATCH($F869,站位样品信息!$A$3:INDEX(站位样品信息!$A:$A,COUNTA(站位样品信息!$A:$A)+1),),))</f>
        <v/>
      </c>
      <c r="H869" s="37" t="str">
        <f>IF(A869&amp;B869&amp;C869="","",INDEX(生物种群!$A$2:INDEX(生物种群!$A:$A,COUNTA(生物种群!$A:$A)),MATCH($I869,生物种群!$B$2:INDEX(生物种群!$B:$B,COUNTA(生物种群!$B:$B)),),))</f>
        <v/>
      </c>
      <c r="I869" s="37" t="str">
        <f>IF(A869&amp;B869&amp;C869="","",IF($C869&lt;&gt;0,INDEX(生物种群!$B$2:INDEX(生物种群!$B:$B,COUNTA(生物种群!$B:$B)),MATCH($C869,生物种群!$G$2:INDEX(生物种群!$G:$G,COUNTA(生物种群!$G:$G)),),),IF($A869&lt;&gt;0,INDEX(生物种群!$B$2:INDEX(生物种群!$B:$B,COUNTA(生物种群!$B:$B)),MATCH($A869,生物种群!$C$2:INDEX(生物种群!$C:$C,COUNTA(生物种群!$C:$C)),),),INDEX(生物种群!$B$2:INDEX(生物种群!$B:$B,COUNTA(生物种群!$B:$B)),MATCH($B869,生物种群!$D$2:INDEX(生物种群!$D:$D,COUNTA(生物种群!$D:$D)),),))))</f>
        <v/>
      </c>
      <c r="J869" s="37" t="str">
        <f>IF(A869&amp;B869&amp;C869="","",INDEX(生物种群!$J$2:INDEX(生物种群!$J:$J,COUNTA(生物种群!$J:$J)),MATCH($I869,生物种群!$B$2:INDEX(生物种群!$B:$B,COUNTA(生物种群!$B:$B)),),))</f>
        <v/>
      </c>
      <c r="K869" s="37" t="str">
        <f>IF(A869&amp;B869&amp;C869="","",INDEX(生物种群!$E$2:INDEX(生物种群!$E:$E,COUNTA(生物种群!$E:$E)),MATCH($I869,生物种群!$B$2:INDEX(生物种群!$B:$B,COUNTA(生物种群!$B:$B)),),))</f>
        <v/>
      </c>
      <c r="L869" s="37" t="str">
        <f>IF(A869&amp;B869&amp;C869="","",INDEX(生物种群!$F$3:INDEX(生物种群!$F:$F,COUNTA(生物种群!$F:$F)),MATCH($I869,生物种群!$B$3:INDEX(生物种群!$B:$B,COUNTA(生物种群!$B:$B)),),))</f>
        <v/>
      </c>
      <c r="M869" s="37" t="str">
        <f t="shared" si="26"/>
        <v/>
      </c>
      <c r="N869" s="37" t="str">
        <f t="shared" si="27"/>
        <v/>
      </c>
      <c r="O869" s="9"/>
      <c r="P869" s="10"/>
    </row>
    <row r="870" spans="1:16" ht="20.1" customHeight="1">
      <c r="A870" s="9"/>
      <c r="B870" s="9"/>
      <c r="C870" s="9"/>
      <c r="D870" s="43"/>
      <c r="E870" s="9"/>
      <c r="F870" s="9"/>
      <c r="G870" s="47" t="str">
        <f>IF(F870="","",INDEX(站位样品信息!$B$3:INDEX(站位样品信息!$B:$B,COUNTA(站位样品信息!$B:$B)+1),MATCH($F870,站位样品信息!$A$3:INDEX(站位样品信息!$A:$A,COUNTA(站位样品信息!$A:$A)+1),),))</f>
        <v/>
      </c>
      <c r="H870" s="37" t="str">
        <f>IF(A870&amp;B870&amp;C870="","",INDEX(生物种群!$A$2:INDEX(生物种群!$A:$A,COUNTA(生物种群!$A:$A)),MATCH($I870,生物种群!$B$2:INDEX(生物种群!$B:$B,COUNTA(生物种群!$B:$B)),),))</f>
        <v/>
      </c>
      <c r="I870" s="37" t="str">
        <f>IF(A870&amp;B870&amp;C870="","",IF($C870&lt;&gt;0,INDEX(生物种群!$B$2:INDEX(生物种群!$B:$B,COUNTA(生物种群!$B:$B)),MATCH($C870,生物种群!$G$2:INDEX(生物种群!$G:$G,COUNTA(生物种群!$G:$G)),),),IF($A870&lt;&gt;0,INDEX(生物种群!$B$2:INDEX(生物种群!$B:$B,COUNTA(生物种群!$B:$B)),MATCH($A870,生物种群!$C$2:INDEX(生物种群!$C:$C,COUNTA(生物种群!$C:$C)),),),INDEX(生物种群!$B$2:INDEX(生物种群!$B:$B,COUNTA(生物种群!$B:$B)),MATCH($B870,生物种群!$D$2:INDEX(生物种群!$D:$D,COUNTA(生物种群!$D:$D)),),))))</f>
        <v/>
      </c>
      <c r="J870" s="37" t="str">
        <f>IF(A870&amp;B870&amp;C870="","",INDEX(生物种群!$J$2:INDEX(生物种群!$J:$J,COUNTA(生物种群!$J:$J)),MATCH($I870,生物种群!$B$2:INDEX(生物种群!$B:$B,COUNTA(生物种群!$B:$B)),),))</f>
        <v/>
      </c>
      <c r="K870" s="37" t="str">
        <f>IF(A870&amp;B870&amp;C870="","",INDEX(生物种群!$E$2:INDEX(生物种群!$E:$E,COUNTA(生物种群!$E:$E)),MATCH($I870,生物种群!$B$2:INDEX(生物种群!$B:$B,COUNTA(生物种群!$B:$B)),),))</f>
        <v/>
      </c>
      <c r="L870" s="37" t="str">
        <f>IF(A870&amp;B870&amp;C870="","",INDEX(生物种群!$F$3:INDEX(生物种群!$F:$F,COUNTA(生物种群!$F:$F)),MATCH($I870,生物种群!$B$3:INDEX(生物种群!$B:$B,COUNTA(生物种群!$B:$B)),),))</f>
        <v/>
      </c>
      <c r="M870" s="37" t="str">
        <f t="shared" si="26"/>
        <v/>
      </c>
      <c r="N870" s="37" t="str">
        <f t="shared" si="27"/>
        <v/>
      </c>
      <c r="O870" s="9"/>
      <c r="P870" s="10"/>
    </row>
    <row r="871" spans="1:16" ht="20.1" customHeight="1">
      <c r="A871" s="9"/>
      <c r="B871" s="9"/>
      <c r="C871" s="9"/>
      <c r="D871" s="43"/>
      <c r="E871" s="9"/>
      <c r="F871" s="9"/>
      <c r="G871" s="47" t="str">
        <f>IF(F871="","",INDEX(站位样品信息!$B$3:INDEX(站位样品信息!$B:$B,COUNTA(站位样品信息!$B:$B)+1),MATCH($F871,站位样品信息!$A$3:INDEX(站位样品信息!$A:$A,COUNTA(站位样品信息!$A:$A)+1),),))</f>
        <v/>
      </c>
      <c r="H871" s="37" t="str">
        <f>IF(A871&amp;B871&amp;C871="","",INDEX(生物种群!$A$2:INDEX(生物种群!$A:$A,COUNTA(生物种群!$A:$A)),MATCH($I871,生物种群!$B$2:INDEX(生物种群!$B:$B,COUNTA(生物种群!$B:$B)),),))</f>
        <v/>
      </c>
      <c r="I871" s="37" t="str">
        <f>IF(A871&amp;B871&amp;C871="","",IF($C871&lt;&gt;0,INDEX(生物种群!$B$2:INDEX(生物种群!$B:$B,COUNTA(生物种群!$B:$B)),MATCH($C871,生物种群!$G$2:INDEX(生物种群!$G:$G,COUNTA(生物种群!$G:$G)),),),IF($A871&lt;&gt;0,INDEX(生物种群!$B$2:INDEX(生物种群!$B:$B,COUNTA(生物种群!$B:$B)),MATCH($A871,生物种群!$C$2:INDEX(生物种群!$C:$C,COUNTA(生物种群!$C:$C)),),),INDEX(生物种群!$B$2:INDEX(生物种群!$B:$B,COUNTA(生物种群!$B:$B)),MATCH($B871,生物种群!$D$2:INDEX(生物种群!$D:$D,COUNTA(生物种群!$D:$D)),),))))</f>
        <v/>
      </c>
      <c r="J871" s="37" t="str">
        <f>IF(A871&amp;B871&amp;C871="","",INDEX(生物种群!$J$2:INDEX(生物种群!$J:$J,COUNTA(生物种群!$J:$J)),MATCH($I871,生物种群!$B$2:INDEX(生物种群!$B:$B,COUNTA(生物种群!$B:$B)),),))</f>
        <v/>
      </c>
      <c r="K871" s="37" t="str">
        <f>IF(A871&amp;B871&amp;C871="","",INDEX(生物种群!$E$2:INDEX(生物种群!$E:$E,COUNTA(生物种群!$E:$E)),MATCH($I871,生物种群!$B$2:INDEX(生物种群!$B:$B,COUNTA(生物种群!$B:$B)),),))</f>
        <v/>
      </c>
      <c r="L871" s="37" t="str">
        <f>IF(A871&amp;B871&amp;C871="","",INDEX(生物种群!$F$3:INDEX(生物种群!$F:$F,COUNTA(生物种群!$F:$F)),MATCH($I871,生物种群!$B$3:INDEX(生物种群!$B:$B,COUNTA(生物种群!$B:$B)),),))</f>
        <v/>
      </c>
      <c r="M871" s="37" t="str">
        <f t="shared" si="26"/>
        <v/>
      </c>
      <c r="N871" s="37" t="str">
        <f t="shared" si="27"/>
        <v/>
      </c>
      <c r="O871" s="9"/>
      <c r="P871" s="10"/>
    </row>
    <row r="872" spans="1:16" ht="20.1" customHeight="1">
      <c r="A872" s="9"/>
      <c r="B872" s="9"/>
      <c r="C872" s="9"/>
      <c r="D872" s="43"/>
      <c r="E872" s="9"/>
      <c r="F872" s="9"/>
      <c r="G872" s="47" t="str">
        <f>IF(F872="","",INDEX(站位样品信息!$B$3:INDEX(站位样品信息!$B:$B,COUNTA(站位样品信息!$B:$B)+1),MATCH($F872,站位样品信息!$A$3:INDEX(站位样品信息!$A:$A,COUNTA(站位样品信息!$A:$A)+1),),))</f>
        <v/>
      </c>
      <c r="H872" s="37" t="str">
        <f>IF(A872&amp;B872&amp;C872="","",INDEX(生物种群!$A$2:INDEX(生物种群!$A:$A,COUNTA(生物种群!$A:$A)),MATCH($I872,生物种群!$B$2:INDEX(生物种群!$B:$B,COUNTA(生物种群!$B:$B)),),))</f>
        <v/>
      </c>
      <c r="I872" s="37" t="str">
        <f>IF(A872&amp;B872&amp;C872="","",IF($C872&lt;&gt;0,INDEX(生物种群!$B$2:INDEX(生物种群!$B:$B,COUNTA(生物种群!$B:$B)),MATCH($C872,生物种群!$G$2:INDEX(生物种群!$G:$G,COUNTA(生物种群!$G:$G)),),),IF($A872&lt;&gt;0,INDEX(生物种群!$B$2:INDEX(生物种群!$B:$B,COUNTA(生物种群!$B:$B)),MATCH($A872,生物种群!$C$2:INDEX(生物种群!$C:$C,COUNTA(生物种群!$C:$C)),),),INDEX(生物种群!$B$2:INDEX(生物种群!$B:$B,COUNTA(生物种群!$B:$B)),MATCH($B872,生物种群!$D$2:INDEX(生物种群!$D:$D,COUNTA(生物种群!$D:$D)),),))))</f>
        <v/>
      </c>
      <c r="J872" s="37" t="str">
        <f>IF(A872&amp;B872&amp;C872="","",INDEX(生物种群!$J$2:INDEX(生物种群!$J:$J,COUNTA(生物种群!$J:$J)),MATCH($I872,生物种群!$B$2:INDEX(生物种群!$B:$B,COUNTA(生物种群!$B:$B)),),))</f>
        <v/>
      </c>
      <c r="K872" s="37" t="str">
        <f>IF(A872&amp;B872&amp;C872="","",INDEX(生物种群!$E$2:INDEX(生物种群!$E:$E,COUNTA(生物种群!$E:$E)),MATCH($I872,生物种群!$B$2:INDEX(生物种群!$B:$B,COUNTA(生物种群!$B:$B)),),))</f>
        <v/>
      </c>
      <c r="L872" s="37" t="str">
        <f>IF(A872&amp;B872&amp;C872="","",INDEX(生物种群!$F$3:INDEX(生物种群!$F:$F,COUNTA(生物种群!$F:$F)),MATCH($I872,生物种群!$B$3:INDEX(生物种群!$B:$B,COUNTA(生物种群!$B:$B)),),))</f>
        <v/>
      </c>
      <c r="M872" s="37" t="str">
        <f t="shared" si="26"/>
        <v/>
      </c>
      <c r="N872" s="37" t="str">
        <f t="shared" si="27"/>
        <v/>
      </c>
      <c r="O872" s="9"/>
      <c r="P872" s="10"/>
    </row>
    <row r="873" spans="1:16" ht="20.1" customHeight="1">
      <c r="A873" s="9"/>
      <c r="B873" s="9"/>
      <c r="C873" s="9"/>
      <c r="D873" s="43"/>
      <c r="E873" s="9"/>
      <c r="F873" s="9"/>
      <c r="G873" s="47" t="str">
        <f>IF(F873="","",INDEX(站位样品信息!$B$3:INDEX(站位样品信息!$B:$B,COUNTA(站位样品信息!$B:$B)+1),MATCH($F873,站位样品信息!$A$3:INDEX(站位样品信息!$A:$A,COUNTA(站位样品信息!$A:$A)+1),),))</f>
        <v/>
      </c>
      <c r="H873" s="37" t="str">
        <f>IF(A873&amp;B873&amp;C873="","",INDEX(生物种群!$A$2:INDEX(生物种群!$A:$A,COUNTA(生物种群!$A:$A)),MATCH($I873,生物种群!$B$2:INDEX(生物种群!$B:$B,COUNTA(生物种群!$B:$B)),),))</f>
        <v/>
      </c>
      <c r="I873" s="37" t="str">
        <f>IF(A873&amp;B873&amp;C873="","",IF($C873&lt;&gt;0,INDEX(生物种群!$B$2:INDEX(生物种群!$B:$B,COUNTA(生物种群!$B:$B)),MATCH($C873,生物种群!$G$2:INDEX(生物种群!$G:$G,COUNTA(生物种群!$G:$G)),),),IF($A873&lt;&gt;0,INDEX(生物种群!$B$2:INDEX(生物种群!$B:$B,COUNTA(生物种群!$B:$B)),MATCH($A873,生物种群!$C$2:INDEX(生物种群!$C:$C,COUNTA(生物种群!$C:$C)),),),INDEX(生物种群!$B$2:INDEX(生物种群!$B:$B,COUNTA(生物种群!$B:$B)),MATCH($B873,生物种群!$D$2:INDEX(生物种群!$D:$D,COUNTA(生物种群!$D:$D)),),))))</f>
        <v/>
      </c>
      <c r="J873" s="37" t="str">
        <f>IF(A873&amp;B873&amp;C873="","",INDEX(生物种群!$J$2:INDEX(生物种群!$J:$J,COUNTA(生物种群!$J:$J)),MATCH($I873,生物种群!$B$2:INDEX(生物种群!$B:$B,COUNTA(生物种群!$B:$B)),),))</f>
        <v/>
      </c>
      <c r="K873" s="37" t="str">
        <f>IF(A873&amp;B873&amp;C873="","",INDEX(生物种群!$E$2:INDEX(生物种群!$E:$E,COUNTA(生物种群!$E:$E)),MATCH($I873,生物种群!$B$2:INDEX(生物种群!$B:$B,COUNTA(生物种群!$B:$B)),),))</f>
        <v/>
      </c>
      <c r="L873" s="37" t="str">
        <f>IF(A873&amp;B873&amp;C873="","",INDEX(生物种群!$F$3:INDEX(生物种群!$F:$F,COUNTA(生物种群!$F:$F)),MATCH($I873,生物种群!$B$3:INDEX(生物种群!$B:$B,COUNTA(生物种群!$B:$B)),),))</f>
        <v/>
      </c>
      <c r="M873" s="37" t="str">
        <f t="shared" si="26"/>
        <v/>
      </c>
      <c r="N873" s="37" t="str">
        <f t="shared" si="27"/>
        <v/>
      </c>
      <c r="O873" s="9"/>
      <c r="P873" s="10"/>
    </row>
    <row r="874" spans="1:16" ht="20.1" customHeight="1">
      <c r="A874" s="9"/>
      <c r="B874" s="9"/>
      <c r="C874" s="9"/>
      <c r="D874" s="43"/>
      <c r="E874" s="9"/>
      <c r="F874" s="9"/>
      <c r="G874" s="47" t="str">
        <f>IF(F874="","",INDEX(站位样品信息!$B$3:INDEX(站位样品信息!$B:$B,COUNTA(站位样品信息!$B:$B)+1),MATCH($F874,站位样品信息!$A$3:INDEX(站位样品信息!$A:$A,COUNTA(站位样品信息!$A:$A)+1),),))</f>
        <v/>
      </c>
      <c r="H874" s="37" t="str">
        <f>IF(A874&amp;B874&amp;C874="","",INDEX(生物种群!$A$2:INDEX(生物种群!$A:$A,COUNTA(生物种群!$A:$A)),MATCH($I874,生物种群!$B$2:INDEX(生物种群!$B:$B,COUNTA(生物种群!$B:$B)),),))</f>
        <v/>
      </c>
      <c r="I874" s="37" t="str">
        <f>IF(A874&amp;B874&amp;C874="","",IF($C874&lt;&gt;0,INDEX(生物种群!$B$2:INDEX(生物种群!$B:$B,COUNTA(生物种群!$B:$B)),MATCH($C874,生物种群!$G$2:INDEX(生物种群!$G:$G,COUNTA(生物种群!$G:$G)),),),IF($A874&lt;&gt;0,INDEX(生物种群!$B$2:INDEX(生物种群!$B:$B,COUNTA(生物种群!$B:$B)),MATCH($A874,生物种群!$C$2:INDEX(生物种群!$C:$C,COUNTA(生物种群!$C:$C)),),),INDEX(生物种群!$B$2:INDEX(生物种群!$B:$B,COUNTA(生物种群!$B:$B)),MATCH($B874,生物种群!$D$2:INDEX(生物种群!$D:$D,COUNTA(生物种群!$D:$D)),),))))</f>
        <v/>
      </c>
      <c r="J874" s="37" t="str">
        <f>IF(A874&amp;B874&amp;C874="","",INDEX(生物种群!$J$2:INDEX(生物种群!$J:$J,COUNTA(生物种群!$J:$J)),MATCH($I874,生物种群!$B$2:INDEX(生物种群!$B:$B,COUNTA(生物种群!$B:$B)),),))</f>
        <v/>
      </c>
      <c r="K874" s="37" t="str">
        <f>IF(A874&amp;B874&amp;C874="","",INDEX(生物种群!$E$2:INDEX(生物种群!$E:$E,COUNTA(生物种群!$E:$E)),MATCH($I874,生物种群!$B$2:INDEX(生物种群!$B:$B,COUNTA(生物种群!$B:$B)),),))</f>
        <v/>
      </c>
      <c r="L874" s="37" t="str">
        <f>IF(A874&amp;B874&amp;C874="","",INDEX(生物种群!$F$3:INDEX(生物种群!$F:$F,COUNTA(生物种群!$F:$F)),MATCH($I874,生物种群!$B$3:INDEX(生物种群!$B:$B,COUNTA(生物种群!$B:$B)),),))</f>
        <v/>
      </c>
      <c r="M874" s="37" t="str">
        <f t="shared" si="26"/>
        <v/>
      </c>
      <c r="N874" s="37" t="str">
        <f t="shared" si="27"/>
        <v/>
      </c>
      <c r="O874" s="9"/>
      <c r="P874" s="10"/>
    </row>
    <row r="875" spans="1:16" ht="20.1" customHeight="1">
      <c r="A875" s="9"/>
      <c r="B875" s="9"/>
      <c r="C875" s="9"/>
      <c r="D875" s="43"/>
      <c r="E875" s="9"/>
      <c r="F875" s="9"/>
      <c r="G875" s="47" t="str">
        <f>IF(F875="","",INDEX(站位样品信息!$B$3:INDEX(站位样品信息!$B:$B,COUNTA(站位样品信息!$B:$B)+1),MATCH($F875,站位样品信息!$A$3:INDEX(站位样品信息!$A:$A,COUNTA(站位样品信息!$A:$A)+1),),))</f>
        <v/>
      </c>
      <c r="H875" s="37" t="str">
        <f>IF(A875&amp;B875&amp;C875="","",INDEX(生物种群!$A$2:INDEX(生物种群!$A:$A,COUNTA(生物种群!$A:$A)),MATCH($I875,生物种群!$B$2:INDEX(生物种群!$B:$B,COUNTA(生物种群!$B:$B)),),))</f>
        <v/>
      </c>
      <c r="I875" s="37" t="str">
        <f>IF(A875&amp;B875&amp;C875="","",IF($C875&lt;&gt;0,INDEX(生物种群!$B$2:INDEX(生物种群!$B:$B,COUNTA(生物种群!$B:$B)),MATCH($C875,生物种群!$G$2:INDEX(生物种群!$G:$G,COUNTA(生物种群!$G:$G)),),),IF($A875&lt;&gt;0,INDEX(生物种群!$B$2:INDEX(生物种群!$B:$B,COUNTA(生物种群!$B:$B)),MATCH($A875,生物种群!$C$2:INDEX(生物种群!$C:$C,COUNTA(生物种群!$C:$C)),),),INDEX(生物种群!$B$2:INDEX(生物种群!$B:$B,COUNTA(生物种群!$B:$B)),MATCH($B875,生物种群!$D$2:INDEX(生物种群!$D:$D,COUNTA(生物种群!$D:$D)),),))))</f>
        <v/>
      </c>
      <c r="J875" s="37" t="str">
        <f>IF(A875&amp;B875&amp;C875="","",INDEX(生物种群!$J$2:INDEX(生物种群!$J:$J,COUNTA(生物种群!$J:$J)),MATCH($I875,生物种群!$B$2:INDEX(生物种群!$B:$B,COUNTA(生物种群!$B:$B)),),))</f>
        <v/>
      </c>
      <c r="K875" s="37" t="str">
        <f>IF(A875&amp;B875&amp;C875="","",INDEX(生物种群!$E$2:INDEX(生物种群!$E:$E,COUNTA(生物种群!$E:$E)),MATCH($I875,生物种群!$B$2:INDEX(生物种群!$B:$B,COUNTA(生物种群!$B:$B)),),))</f>
        <v/>
      </c>
      <c r="L875" s="37" t="str">
        <f>IF(A875&amp;B875&amp;C875="","",INDEX(生物种群!$F$3:INDEX(生物种群!$F:$F,COUNTA(生物种群!$F:$F)),MATCH($I875,生物种群!$B$3:INDEX(生物种群!$B:$B,COUNTA(生物种群!$B:$B)),),))</f>
        <v/>
      </c>
      <c r="M875" s="37" t="str">
        <f t="shared" si="26"/>
        <v/>
      </c>
      <c r="N875" s="37" t="str">
        <f t="shared" si="27"/>
        <v/>
      </c>
      <c r="O875" s="9"/>
      <c r="P875" s="10"/>
    </row>
    <row r="876" spans="1:16" ht="20.1" customHeight="1">
      <c r="A876" s="9"/>
      <c r="B876" s="9"/>
      <c r="C876" s="9"/>
      <c r="D876" s="43"/>
      <c r="E876" s="9"/>
      <c r="F876" s="9"/>
      <c r="G876" s="47" t="str">
        <f>IF(F876="","",INDEX(站位样品信息!$B$3:INDEX(站位样品信息!$B:$B,COUNTA(站位样品信息!$B:$B)+1),MATCH($F876,站位样品信息!$A$3:INDEX(站位样品信息!$A:$A,COUNTA(站位样品信息!$A:$A)+1),),))</f>
        <v/>
      </c>
      <c r="H876" s="37" t="str">
        <f>IF(A876&amp;B876&amp;C876="","",INDEX(生物种群!$A$2:INDEX(生物种群!$A:$A,COUNTA(生物种群!$A:$A)),MATCH($I876,生物种群!$B$2:INDEX(生物种群!$B:$B,COUNTA(生物种群!$B:$B)),),))</f>
        <v/>
      </c>
      <c r="I876" s="37" t="str">
        <f>IF(A876&amp;B876&amp;C876="","",IF($C876&lt;&gt;0,INDEX(生物种群!$B$2:INDEX(生物种群!$B:$B,COUNTA(生物种群!$B:$B)),MATCH($C876,生物种群!$G$2:INDEX(生物种群!$G:$G,COUNTA(生物种群!$G:$G)),),),IF($A876&lt;&gt;0,INDEX(生物种群!$B$2:INDEX(生物种群!$B:$B,COUNTA(生物种群!$B:$B)),MATCH($A876,生物种群!$C$2:INDEX(生物种群!$C:$C,COUNTA(生物种群!$C:$C)),),),INDEX(生物种群!$B$2:INDEX(生物种群!$B:$B,COUNTA(生物种群!$B:$B)),MATCH($B876,生物种群!$D$2:INDEX(生物种群!$D:$D,COUNTA(生物种群!$D:$D)),),))))</f>
        <v/>
      </c>
      <c r="J876" s="37" t="str">
        <f>IF(A876&amp;B876&amp;C876="","",INDEX(生物种群!$J$2:INDEX(生物种群!$J:$J,COUNTA(生物种群!$J:$J)),MATCH($I876,生物种群!$B$2:INDEX(生物种群!$B:$B,COUNTA(生物种群!$B:$B)),),))</f>
        <v/>
      </c>
      <c r="K876" s="37" t="str">
        <f>IF(A876&amp;B876&amp;C876="","",INDEX(生物种群!$E$2:INDEX(生物种群!$E:$E,COUNTA(生物种群!$E:$E)),MATCH($I876,生物种群!$B$2:INDEX(生物种群!$B:$B,COUNTA(生物种群!$B:$B)),),))</f>
        <v/>
      </c>
      <c r="L876" s="37" t="str">
        <f>IF(A876&amp;B876&amp;C876="","",INDEX(生物种群!$F$3:INDEX(生物种群!$F:$F,COUNTA(生物种群!$F:$F)),MATCH($I876,生物种群!$B$3:INDEX(生物种群!$B:$B,COUNTA(生物种群!$B:$B)),),))</f>
        <v/>
      </c>
      <c r="M876" s="37" t="str">
        <f t="shared" si="26"/>
        <v/>
      </c>
      <c r="N876" s="37" t="str">
        <f t="shared" si="27"/>
        <v/>
      </c>
      <c r="O876" s="9"/>
      <c r="P876" s="10"/>
    </row>
    <row r="877" spans="1:16" ht="20.1" customHeight="1">
      <c r="A877" s="9"/>
      <c r="B877" s="9"/>
      <c r="C877" s="9"/>
      <c r="D877" s="43"/>
      <c r="E877" s="9"/>
      <c r="F877" s="9"/>
      <c r="G877" s="47" t="str">
        <f>IF(F877="","",INDEX(站位样品信息!$B$3:INDEX(站位样品信息!$B:$B,COUNTA(站位样品信息!$B:$B)+1),MATCH($F877,站位样品信息!$A$3:INDEX(站位样品信息!$A:$A,COUNTA(站位样品信息!$A:$A)+1),),))</f>
        <v/>
      </c>
      <c r="H877" s="37" t="str">
        <f>IF(A877&amp;B877&amp;C877="","",INDEX(生物种群!$A$2:INDEX(生物种群!$A:$A,COUNTA(生物种群!$A:$A)),MATCH($I877,生物种群!$B$2:INDEX(生物种群!$B:$B,COUNTA(生物种群!$B:$B)),),))</f>
        <v/>
      </c>
      <c r="I877" s="37" t="str">
        <f>IF(A877&amp;B877&amp;C877="","",IF($C877&lt;&gt;0,INDEX(生物种群!$B$2:INDEX(生物种群!$B:$B,COUNTA(生物种群!$B:$B)),MATCH($C877,生物种群!$G$2:INDEX(生物种群!$G:$G,COUNTA(生物种群!$G:$G)),),),IF($A877&lt;&gt;0,INDEX(生物种群!$B$2:INDEX(生物种群!$B:$B,COUNTA(生物种群!$B:$B)),MATCH($A877,生物种群!$C$2:INDEX(生物种群!$C:$C,COUNTA(生物种群!$C:$C)),),),INDEX(生物种群!$B$2:INDEX(生物种群!$B:$B,COUNTA(生物种群!$B:$B)),MATCH($B877,生物种群!$D$2:INDEX(生物种群!$D:$D,COUNTA(生物种群!$D:$D)),),))))</f>
        <v/>
      </c>
      <c r="J877" s="37" t="str">
        <f>IF(A877&amp;B877&amp;C877="","",INDEX(生物种群!$J$2:INDEX(生物种群!$J:$J,COUNTA(生物种群!$J:$J)),MATCH($I877,生物种群!$B$2:INDEX(生物种群!$B:$B,COUNTA(生物种群!$B:$B)),),))</f>
        <v/>
      </c>
      <c r="K877" s="37" t="str">
        <f>IF(A877&amp;B877&amp;C877="","",INDEX(生物种群!$E$2:INDEX(生物种群!$E:$E,COUNTA(生物种群!$E:$E)),MATCH($I877,生物种群!$B$2:INDEX(生物种群!$B:$B,COUNTA(生物种群!$B:$B)),),))</f>
        <v/>
      </c>
      <c r="L877" s="37" t="str">
        <f>IF(A877&amp;B877&amp;C877="","",INDEX(生物种群!$F$3:INDEX(生物种群!$F:$F,COUNTA(生物种群!$F:$F)),MATCH($I877,生物种群!$B$3:INDEX(生物种群!$B:$B,COUNTA(生物种群!$B:$B)),),))</f>
        <v/>
      </c>
      <c r="M877" s="37" t="str">
        <f t="shared" si="26"/>
        <v/>
      </c>
      <c r="N877" s="37" t="str">
        <f t="shared" si="27"/>
        <v/>
      </c>
      <c r="O877" s="9"/>
      <c r="P877" s="10"/>
    </row>
    <row r="878" spans="1:16" ht="20.1" customHeight="1">
      <c r="A878" s="9"/>
      <c r="B878" s="9"/>
      <c r="C878" s="9"/>
      <c r="D878" s="43"/>
      <c r="E878" s="9"/>
      <c r="F878" s="9"/>
      <c r="G878" s="47" t="str">
        <f>IF(F878="","",INDEX(站位样品信息!$B$3:INDEX(站位样品信息!$B:$B,COUNTA(站位样品信息!$B:$B)+1),MATCH($F878,站位样品信息!$A$3:INDEX(站位样品信息!$A:$A,COUNTA(站位样品信息!$A:$A)+1),),))</f>
        <v/>
      </c>
      <c r="H878" s="37" t="str">
        <f>IF(A878&amp;B878&amp;C878="","",INDEX(生物种群!$A$2:INDEX(生物种群!$A:$A,COUNTA(生物种群!$A:$A)),MATCH($I878,生物种群!$B$2:INDEX(生物种群!$B:$B,COUNTA(生物种群!$B:$B)),),))</f>
        <v/>
      </c>
      <c r="I878" s="37" t="str">
        <f>IF(A878&amp;B878&amp;C878="","",IF($C878&lt;&gt;0,INDEX(生物种群!$B$2:INDEX(生物种群!$B:$B,COUNTA(生物种群!$B:$B)),MATCH($C878,生物种群!$G$2:INDEX(生物种群!$G:$G,COUNTA(生物种群!$G:$G)),),),IF($A878&lt;&gt;0,INDEX(生物种群!$B$2:INDEX(生物种群!$B:$B,COUNTA(生物种群!$B:$B)),MATCH($A878,生物种群!$C$2:INDEX(生物种群!$C:$C,COUNTA(生物种群!$C:$C)),),),INDEX(生物种群!$B$2:INDEX(生物种群!$B:$B,COUNTA(生物种群!$B:$B)),MATCH($B878,生物种群!$D$2:INDEX(生物种群!$D:$D,COUNTA(生物种群!$D:$D)),),))))</f>
        <v/>
      </c>
      <c r="J878" s="37" t="str">
        <f>IF(A878&amp;B878&amp;C878="","",INDEX(生物种群!$J$2:INDEX(生物种群!$J:$J,COUNTA(生物种群!$J:$J)),MATCH($I878,生物种群!$B$2:INDEX(生物种群!$B:$B,COUNTA(生物种群!$B:$B)),),))</f>
        <v/>
      </c>
      <c r="K878" s="37" t="str">
        <f>IF(A878&amp;B878&amp;C878="","",INDEX(生物种群!$E$2:INDEX(生物种群!$E:$E,COUNTA(生物种群!$E:$E)),MATCH($I878,生物种群!$B$2:INDEX(生物种群!$B:$B,COUNTA(生物种群!$B:$B)),),))</f>
        <v/>
      </c>
      <c r="L878" s="37" t="str">
        <f>IF(A878&amp;B878&amp;C878="","",INDEX(生物种群!$F$3:INDEX(生物种群!$F:$F,COUNTA(生物种群!$F:$F)),MATCH($I878,生物种群!$B$3:INDEX(生物种群!$B:$B,COUNTA(生物种群!$B:$B)),),))</f>
        <v/>
      </c>
      <c r="M878" s="37" t="str">
        <f t="shared" si="26"/>
        <v/>
      </c>
      <c r="N878" s="37" t="str">
        <f t="shared" si="27"/>
        <v/>
      </c>
      <c r="O878" s="9"/>
      <c r="P878" s="10"/>
    </row>
    <row r="879" spans="1:16" ht="20.1" customHeight="1">
      <c r="A879" s="9"/>
      <c r="B879" s="9"/>
      <c r="C879" s="9"/>
      <c r="D879" s="43"/>
      <c r="E879" s="9"/>
      <c r="F879" s="9"/>
      <c r="G879" s="47" t="str">
        <f>IF(F879="","",INDEX(站位样品信息!$B$3:INDEX(站位样品信息!$B:$B,COUNTA(站位样品信息!$B:$B)+1),MATCH($F879,站位样品信息!$A$3:INDEX(站位样品信息!$A:$A,COUNTA(站位样品信息!$A:$A)+1),),))</f>
        <v/>
      </c>
      <c r="H879" s="37" t="str">
        <f>IF(A879&amp;B879&amp;C879="","",INDEX(生物种群!$A$2:INDEX(生物种群!$A:$A,COUNTA(生物种群!$A:$A)),MATCH($I879,生物种群!$B$2:INDEX(生物种群!$B:$B,COUNTA(生物种群!$B:$B)),),))</f>
        <v/>
      </c>
      <c r="I879" s="37" t="str">
        <f>IF(A879&amp;B879&amp;C879="","",IF($C879&lt;&gt;0,INDEX(生物种群!$B$2:INDEX(生物种群!$B:$B,COUNTA(生物种群!$B:$B)),MATCH($C879,生物种群!$G$2:INDEX(生物种群!$G:$G,COUNTA(生物种群!$G:$G)),),),IF($A879&lt;&gt;0,INDEX(生物种群!$B$2:INDEX(生物种群!$B:$B,COUNTA(生物种群!$B:$B)),MATCH($A879,生物种群!$C$2:INDEX(生物种群!$C:$C,COUNTA(生物种群!$C:$C)),),),INDEX(生物种群!$B$2:INDEX(生物种群!$B:$B,COUNTA(生物种群!$B:$B)),MATCH($B879,生物种群!$D$2:INDEX(生物种群!$D:$D,COUNTA(生物种群!$D:$D)),),))))</f>
        <v/>
      </c>
      <c r="J879" s="37" t="str">
        <f>IF(A879&amp;B879&amp;C879="","",INDEX(生物种群!$J$2:INDEX(生物种群!$J:$J,COUNTA(生物种群!$J:$J)),MATCH($I879,生物种群!$B$2:INDEX(生物种群!$B:$B,COUNTA(生物种群!$B:$B)),),))</f>
        <v/>
      </c>
      <c r="K879" s="37" t="str">
        <f>IF(A879&amp;B879&amp;C879="","",INDEX(生物种群!$E$2:INDEX(生物种群!$E:$E,COUNTA(生物种群!$E:$E)),MATCH($I879,生物种群!$B$2:INDEX(生物种群!$B:$B,COUNTA(生物种群!$B:$B)),),))</f>
        <v/>
      </c>
      <c r="L879" s="37" t="str">
        <f>IF(A879&amp;B879&amp;C879="","",INDEX(生物种群!$F$3:INDEX(生物种群!$F:$F,COUNTA(生物种群!$F:$F)),MATCH($I879,生物种群!$B$3:INDEX(生物种群!$B:$B,COUNTA(生物种群!$B:$B)),),))</f>
        <v/>
      </c>
      <c r="M879" s="37" t="str">
        <f t="shared" si="26"/>
        <v/>
      </c>
      <c r="N879" s="37" t="str">
        <f t="shared" si="27"/>
        <v/>
      </c>
      <c r="O879" s="9"/>
      <c r="P879" s="10"/>
    </row>
    <row r="880" spans="1:16" ht="20.1" customHeight="1">
      <c r="A880" s="9"/>
      <c r="B880" s="9"/>
      <c r="C880" s="9"/>
      <c r="D880" s="43"/>
      <c r="E880" s="9"/>
      <c r="F880" s="9"/>
      <c r="G880" s="47" t="str">
        <f>IF(F880="","",INDEX(站位样品信息!$B$3:INDEX(站位样品信息!$B:$B,COUNTA(站位样品信息!$B:$B)+1),MATCH($F880,站位样品信息!$A$3:INDEX(站位样品信息!$A:$A,COUNTA(站位样品信息!$A:$A)+1),),))</f>
        <v/>
      </c>
      <c r="H880" s="37" t="str">
        <f>IF(A880&amp;B880&amp;C880="","",INDEX(生物种群!$A$2:INDEX(生物种群!$A:$A,COUNTA(生物种群!$A:$A)),MATCH($I880,生物种群!$B$2:INDEX(生物种群!$B:$B,COUNTA(生物种群!$B:$B)),),))</f>
        <v/>
      </c>
      <c r="I880" s="37" t="str">
        <f>IF(A880&amp;B880&amp;C880="","",IF($C880&lt;&gt;0,INDEX(生物种群!$B$2:INDEX(生物种群!$B:$B,COUNTA(生物种群!$B:$B)),MATCH($C880,生物种群!$G$2:INDEX(生物种群!$G:$G,COUNTA(生物种群!$G:$G)),),),IF($A880&lt;&gt;0,INDEX(生物种群!$B$2:INDEX(生物种群!$B:$B,COUNTA(生物种群!$B:$B)),MATCH($A880,生物种群!$C$2:INDEX(生物种群!$C:$C,COUNTA(生物种群!$C:$C)),),),INDEX(生物种群!$B$2:INDEX(生物种群!$B:$B,COUNTA(生物种群!$B:$B)),MATCH($B880,生物种群!$D$2:INDEX(生物种群!$D:$D,COUNTA(生物种群!$D:$D)),),))))</f>
        <v/>
      </c>
      <c r="J880" s="37" t="str">
        <f>IF(A880&amp;B880&amp;C880="","",INDEX(生物种群!$J$2:INDEX(生物种群!$J:$J,COUNTA(生物种群!$J:$J)),MATCH($I880,生物种群!$B$2:INDEX(生物种群!$B:$B,COUNTA(生物种群!$B:$B)),),))</f>
        <v/>
      </c>
      <c r="K880" s="37" t="str">
        <f>IF(A880&amp;B880&amp;C880="","",INDEX(生物种群!$E$2:INDEX(生物种群!$E:$E,COUNTA(生物种群!$E:$E)),MATCH($I880,生物种群!$B$2:INDEX(生物种群!$B:$B,COUNTA(生物种群!$B:$B)),),))</f>
        <v/>
      </c>
      <c r="L880" s="37" t="str">
        <f>IF(A880&amp;B880&amp;C880="","",INDEX(生物种群!$F$3:INDEX(生物种群!$F:$F,COUNTA(生物种群!$F:$F)),MATCH($I880,生物种群!$B$3:INDEX(生物种群!$B:$B,COUNTA(生物种群!$B:$B)),),))</f>
        <v/>
      </c>
      <c r="M880" s="37" t="str">
        <f t="shared" si="26"/>
        <v/>
      </c>
      <c r="N880" s="37" t="str">
        <f t="shared" si="27"/>
        <v/>
      </c>
      <c r="O880" s="9"/>
      <c r="P880" s="10"/>
    </row>
    <row r="881" spans="1:16" ht="20.1" customHeight="1">
      <c r="A881" s="9"/>
      <c r="B881" s="9"/>
      <c r="C881" s="9"/>
      <c r="D881" s="43"/>
      <c r="E881" s="9"/>
      <c r="F881" s="9"/>
      <c r="G881" s="47" t="str">
        <f>IF(F881="","",INDEX(站位样品信息!$B$3:INDEX(站位样品信息!$B:$B,COUNTA(站位样品信息!$B:$B)+1),MATCH($F881,站位样品信息!$A$3:INDEX(站位样品信息!$A:$A,COUNTA(站位样品信息!$A:$A)+1),),))</f>
        <v/>
      </c>
      <c r="H881" s="37" t="str">
        <f>IF(A881&amp;B881&amp;C881="","",INDEX(生物种群!$A$2:INDEX(生物种群!$A:$A,COUNTA(生物种群!$A:$A)),MATCH($I881,生物种群!$B$2:INDEX(生物种群!$B:$B,COUNTA(生物种群!$B:$B)),),))</f>
        <v/>
      </c>
      <c r="I881" s="37" t="str">
        <f>IF(A881&amp;B881&amp;C881="","",IF($C881&lt;&gt;0,INDEX(生物种群!$B$2:INDEX(生物种群!$B:$B,COUNTA(生物种群!$B:$B)),MATCH($C881,生物种群!$G$2:INDEX(生物种群!$G:$G,COUNTA(生物种群!$G:$G)),),),IF($A881&lt;&gt;0,INDEX(生物种群!$B$2:INDEX(生物种群!$B:$B,COUNTA(生物种群!$B:$B)),MATCH($A881,生物种群!$C$2:INDEX(生物种群!$C:$C,COUNTA(生物种群!$C:$C)),),),INDEX(生物种群!$B$2:INDEX(生物种群!$B:$B,COUNTA(生物种群!$B:$B)),MATCH($B881,生物种群!$D$2:INDEX(生物种群!$D:$D,COUNTA(生物种群!$D:$D)),),))))</f>
        <v/>
      </c>
      <c r="J881" s="37" t="str">
        <f>IF(A881&amp;B881&amp;C881="","",INDEX(生物种群!$J$2:INDEX(生物种群!$J:$J,COUNTA(生物种群!$J:$J)),MATCH($I881,生物种群!$B$2:INDEX(生物种群!$B:$B,COUNTA(生物种群!$B:$B)),),))</f>
        <v/>
      </c>
      <c r="K881" s="37" t="str">
        <f>IF(A881&amp;B881&amp;C881="","",INDEX(生物种群!$E$2:INDEX(生物种群!$E:$E,COUNTA(生物种群!$E:$E)),MATCH($I881,生物种群!$B$2:INDEX(生物种群!$B:$B,COUNTA(生物种群!$B:$B)),),))</f>
        <v/>
      </c>
      <c r="L881" s="37" t="str">
        <f>IF(A881&amp;B881&amp;C881="","",INDEX(生物种群!$F$3:INDEX(生物种群!$F:$F,COUNTA(生物种群!$F:$F)),MATCH($I881,生物种群!$B$3:INDEX(生物种群!$B:$B,COUNTA(生物种群!$B:$B)),),))</f>
        <v/>
      </c>
      <c r="M881" s="37" t="str">
        <f t="shared" si="26"/>
        <v/>
      </c>
      <c r="N881" s="37" t="str">
        <f t="shared" si="27"/>
        <v/>
      </c>
      <c r="O881" s="9"/>
      <c r="P881" s="10"/>
    </row>
    <row r="882" spans="1:16" ht="20.1" customHeight="1">
      <c r="A882" s="9"/>
      <c r="B882" s="9"/>
      <c r="C882" s="9"/>
      <c r="D882" s="43"/>
      <c r="E882" s="9"/>
      <c r="F882" s="9"/>
      <c r="G882" s="47" t="str">
        <f>IF(F882="","",INDEX(站位样品信息!$B$3:INDEX(站位样品信息!$B:$B,COUNTA(站位样品信息!$B:$B)+1),MATCH($F882,站位样品信息!$A$3:INDEX(站位样品信息!$A:$A,COUNTA(站位样品信息!$A:$A)+1),),))</f>
        <v/>
      </c>
      <c r="H882" s="37" t="str">
        <f>IF(A882&amp;B882&amp;C882="","",INDEX(生物种群!$A$2:INDEX(生物种群!$A:$A,COUNTA(生物种群!$A:$A)),MATCH($I882,生物种群!$B$2:INDEX(生物种群!$B:$B,COUNTA(生物种群!$B:$B)),),))</f>
        <v/>
      </c>
      <c r="I882" s="37" t="str">
        <f>IF(A882&amp;B882&amp;C882="","",IF($C882&lt;&gt;0,INDEX(生物种群!$B$2:INDEX(生物种群!$B:$B,COUNTA(生物种群!$B:$B)),MATCH($C882,生物种群!$G$2:INDEX(生物种群!$G:$G,COUNTA(生物种群!$G:$G)),),),IF($A882&lt;&gt;0,INDEX(生物种群!$B$2:INDEX(生物种群!$B:$B,COUNTA(生物种群!$B:$B)),MATCH($A882,生物种群!$C$2:INDEX(生物种群!$C:$C,COUNTA(生物种群!$C:$C)),),),INDEX(生物种群!$B$2:INDEX(生物种群!$B:$B,COUNTA(生物种群!$B:$B)),MATCH($B882,生物种群!$D$2:INDEX(生物种群!$D:$D,COUNTA(生物种群!$D:$D)),),))))</f>
        <v/>
      </c>
      <c r="J882" s="37" t="str">
        <f>IF(A882&amp;B882&amp;C882="","",INDEX(生物种群!$J$2:INDEX(生物种群!$J:$J,COUNTA(生物种群!$J:$J)),MATCH($I882,生物种群!$B$2:INDEX(生物种群!$B:$B,COUNTA(生物种群!$B:$B)),),))</f>
        <v/>
      </c>
      <c r="K882" s="37" t="str">
        <f>IF(A882&amp;B882&amp;C882="","",INDEX(生物种群!$E$2:INDEX(生物种群!$E:$E,COUNTA(生物种群!$E:$E)),MATCH($I882,生物种群!$B$2:INDEX(生物种群!$B:$B,COUNTA(生物种群!$B:$B)),),))</f>
        <v/>
      </c>
      <c r="L882" s="37" t="str">
        <f>IF(A882&amp;B882&amp;C882="","",INDEX(生物种群!$F$3:INDEX(生物种群!$F:$F,COUNTA(生物种群!$F:$F)),MATCH($I882,生物种群!$B$3:INDEX(生物种群!$B:$B,COUNTA(生物种群!$B:$B)),),))</f>
        <v/>
      </c>
      <c r="M882" s="37" t="str">
        <f t="shared" si="26"/>
        <v/>
      </c>
      <c r="N882" s="37" t="str">
        <f t="shared" si="27"/>
        <v/>
      </c>
      <c r="O882" s="9"/>
      <c r="P882" s="10"/>
    </row>
    <row r="883" spans="1:16" ht="20.1" customHeight="1">
      <c r="A883" s="9"/>
      <c r="B883" s="9"/>
      <c r="C883" s="9"/>
      <c r="D883" s="43"/>
      <c r="E883" s="9"/>
      <c r="F883" s="9"/>
      <c r="G883" s="47" t="str">
        <f>IF(F883="","",INDEX(站位样品信息!$B$3:INDEX(站位样品信息!$B:$B,COUNTA(站位样品信息!$B:$B)+1),MATCH($F883,站位样品信息!$A$3:INDEX(站位样品信息!$A:$A,COUNTA(站位样品信息!$A:$A)+1),),))</f>
        <v/>
      </c>
      <c r="H883" s="37" t="str">
        <f>IF(A883&amp;B883&amp;C883="","",INDEX(生物种群!$A$2:INDEX(生物种群!$A:$A,COUNTA(生物种群!$A:$A)),MATCH($I883,生物种群!$B$2:INDEX(生物种群!$B:$B,COUNTA(生物种群!$B:$B)),),))</f>
        <v/>
      </c>
      <c r="I883" s="37" t="str">
        <f>IF(A883&amp;B883&amp;C883="","",IF($C883&lt;&gt;0,INDEX(生物种群!$B$2:INDEX(生物种群!$B:$B,COUNTA(生物种群!$B:$B)),MATCH($C883,生物种群!$G$2:INDEX(生物种群!$G:$G,COUNTA(生物种群!$G:$G)),),),IF($A883&lt;&gt;0,INDEX(生物种群!$B$2:INDEX(生物种群!$B:$B,COUNTA(生物种群!$B:$B)),MATCH($A883,生物种群!$C$2:INDEX(生物种群!$C:$C,COUNTA(生物种群!$C:$C)),),),INDEX(生物种群!$B$2:INDEX(生物种群!$B:$B,COUNTA(生物种群!$B:$B)),MATCH($B883,生物种群!$D$2:INDEX(生物种群!$D:$D,COUNTA(生物种群!$D:$D)),),))))</f>
        <v/>
      </c>
      <c r="J883" s="37" t="str">
        <f>IF(A883&amp;B883&amp;C883="","",INDEX(生物种群!$J$2:INDEX(生物种群!$J:$J,COUNTA(生物种群!$J:$J)),MATCH($I883,生物种群!$B$2:INDEX(生物种群!$B:$B,COUNTA(生物种群!$B:$B)),),))</f>
        <v/>
      </c>
      <c r="K883" s="37" t="str">
        <f>IF(A883&amp;B883&amp;C883="","",INDEX(生物种群!$E$2:INDEX(生物种群!$E:$E,COUNTA(生物种群!$E:$E)),MATCH($I883,生物种群!$B$2:INDEX(生物种群!$B:$B,COUNTA(生物种群!$B:$B)),),))</f>
        <v/>
      </c>
      <c r="L883" s="37" t="str">
        <f>IF(A883&amp;B883&amp;C883="","",INDEX(生物种群!$F$3:INDEX(生物种群!$F:$F,COUNTA(生物种群!$F:$F)),MATCH($I883,生物种群!$B$3:INDEX(生物种群!$B:$B,COUNTA(生物种群!$B:$B)),),))</f>
        <v/>
      </c>
      <c r="M883" s="37" t="str">
        <f t="shared" si="26"/>
        <v/>
      </c>
      <c r="N883" s="37" t="str">
        <f t="shared" si="27"/>
        <v/>
      </c>
      <c r="O883" s="9"/>
      <c r="P883" s="10"/>
    </row>
    <row r="884" spans="1:16" ht="20.1" customHeight="1">
      <c r="A884" s="9"/>
      <c r="B884" s="9"/>
      <c r="C884" s="9"/>
      <c r="D884" s="43"/>
      <c r="E884" s="9"/>
      <c r="F884" s="9"/>
      <c r="G884" s="47" t="str">
        <f>IF(F884="","",INDEX(站位样品信息!$B$3:INDEX(站位样品信息!$B:$B,COUNTA(站位样品信息!$B:$B)+1),MATCH($F884,站位样品信息!$A$3:INDEX(站位样品信息!$A:$A,COUNTA(站位样品信息!$A:$A)+1),),))</f>
        <v/>
      </c>
      <c r="H884" s="37" t="str">
        <f>IF(A884&amp;B884&amp;C884="","",INDEX(生物种群!$A$2:INDEX(生物种群!$A:$A,COUNTA(生物种群!$A:$A)),MATCH($I884,生物种群!$B$2:INDEX(生物种群!$B:$B,COUNTA(生物种群!$B:$B)),),))</f>
        <v/>
      </c>
      <c r="I884" s="37" t="str">
        <f>IF(A884&amp;B884&amp;C884="","",IF($C884&lt;&gt;0,INDEX(生物种群!$B$2:INDEX(生物种群!$B:$B,COUNTA(生物种群!$B:$B)),MATCH($C884,生物种群!$G$2:INDEX(生物种群!$G:$G,COUNTA(生物种群!$G:$G)),),),IF($A884&lt;&gt;0,INDEX(生物种群!$B$2:INDEX(生物种群!$B:$B,COUNTA(生物种群!$B:$B)),MATCH($A884,生物种群!$C$2:INDEX(生物种群!$C:$C,COUNTA(生物种群!$C:$C)),),),INDEX(生物种群!$B$2:INDEX(生物种群!$B:$B,COUNTA(生物种群!$B:$B)),MATCH($B884,生物种群!$D$2:INDEX(生物种群!$D:$D,COUNTA(生物种群!$D:$D)),),))))</f>
        <v/>
      </c>
      <c r="J884" s="37" t="str">
        <f>IF(A884&amp;B884&amp;C884="","",INDEX(生物种群!$J$2:INDEX(生物种群!$J:$J,COUNTA(生物种群!$J:$J)),MATCH($I884,生物种群!$B$2:INDEX(生物种群!$B:$B,COUNTA(生物种群!$B:$B)),),))</f>
        <v/>
      </c>
      <c r="K884" s="37" t="str">
        <f>IF(A884&amp;B884&amp;C884="","",INDEX(生物种群!$E$2:INDEX(生物种群!$E:$E,COUNTA(生物种群!$E:$E)),MATCH($I884,生物种群!$B$2:INDEX(生物种群!$B:$B,COUNTA(生物种群!$B:$B)),),))</f>
        <v/>
      </c>
      <c r="L884" s="37" t="str">
        <f>IF(A884&amp;B884&amp;C884="","",INDEX(生物种群!$F$3:INDEX(生物种群!$F:$F,COUNTA(生物种群!$F:$F)),MATCH($I884,生物种群!$B$3:INDEX(生物种群!$B:$B,COUNTA(生物种群!$B:$B)),),))</f>
        <v/>
      </c>
      <c r="M884" s="37" t="str">
        <f t="shared" si="26"/>
        <v/>
      </c>
      <c r="N884" s="37" t="str">
        <f t="shared" si="27"/>
        <v/>
      </c>
      <c r="O884" s="9"/>
      <c r="P884" s="10"/>
    </row>
    <row r="885" spans="1:16" ht="20.1" customHeight="1">
      <c r="A885" s="9"/>
      <c r="B885" s="9"/>
      <c r="C885" s="9"/>
      <c r="D885" s="43"/>
      <c r="E885" s="9"/>
      <c r="F885" s="9"/>
      <c r="G885" s="47" t="str">
        <f>IF(F885="","",INDEX(站位样品信息!$B$3:INDEX(站位样品信息!$B:$B,COUNTA(站位样品信息!$B:$B)+1),MATCH($F885,站位样品信息!$A$3:INDEX(站位样品信息!$A:$A,COUNTA(站位样品信息!$A:$A)+1),),))</f>
        <v/>
      </c>
      <c r="H885" s="37" t="str">
        <f>IF(A885&amp;B885&amp;C885="","",INDEX(生物种群!$A$2:INDEX(生物种群!$A:$A,COUNTA(生物种群!$A:$A)),MATCH($I885,生物种群!$B$2:INDEX(生物种群!$B:$B,COUNTA(生物种群!$B:$B)),),))</f>
        <v/>
      </c>
      <c r="I885" s="37" t="str">
        <f>IF(A885&amp;B885&amp;C885="","",IF($C885&lt;&gt;0,INDEX(生物种群!$B$2:INDEX(生物种群!$B:$B,COUNTA(生物种群!$B:$B)),MATCH($C885,生物种群!$G$2:INDEX(生物种群!$G:$G,COUNTA(生物种群!$G:$G)),),),IF($A885&lt;&gt;0,INDEX(生物种群!$B$2:INDEX(生物种群!$B:$B,COUNTA(生物种群!$B:$B)),MATCH($A885,生物种群!$C$2:INDEX(生物种群!$C:$C,COUNTA(生物种群!$C:$C)),),),INDEX(生物种群!$B$2:INDEX(生物种群!$B:$B,COUNTA(生物种群!$B:$B)),MATCH($B885,生物种群!$D$2:INDEX(生物种群!$D:$D,COUNTA(生物种群!$D:$D)),),))))</f>
        <v/>
      </c>
      <c r="J885" s="37" t="str">
        <f>IF(A885&amp;B885&amp;C885="","",INDEX(生物种群!$J$2:INDEX(生物种群!$J:$J,COUNTA(生物种群!$J:$J)),MATCH($I885,生物种群!$B$2:INDEX(生物种群!$B:$B,COUNTA(生物种群!$B:$B)),),))</f>
        <v/>
      </c>
      <c r="K885" s="37" t="str">
        <f>IF(A885&amp;B885&amp;C885="","",INDEX(生物种群!$E$2:INDEX(生物种群!$E:$E,COUNTA(生物种群!$E:$E)),MATCH($I885,生物种群!$B$2:INDEX(生物种群!$B:$B,COUNTA(生物种群!$B:$B)),),))</f>
        <v/>
      </c>
      <c r="L885" s="37" t="str">
        <f>IF(A885&amp;B885&amp;C885="","",INDEX(生物种群!$F$3:INDEX(生物种群!$F:$F,COUNTA(生物种群!$F:$F)),MATCH($I885,生物种群!$B$3:INDEX(生物种群!$B:$B,COUNTA(生物种群!$B:$B)),),))</f>
        <v/>
      </c>
      <c r="M885" s="37" t="str">
        <f t="shared" si="26"/>
        <v/>
      </c>
      <c r="N885" s="37" t="str">
        <f t="shared" si="27"/>
        <v/>
      </c>
      <c r="O885" s="9"/>
      <c r="P885" s="10"/>
    </row>
    <row r="886" spans="1:16" ht="20.1" customHeight="1">
      <c r="A886" s="9"/>
      <c r="B886" s="9"/>
      <c r="C886" s="9"/>
      <c r="D886" s="43"/>
      <c r="E886" s="9"/>
      <c r="F886" s="9"/>
      <c r="G886" s="47" t="str">
        <f>IF(F886="","",INDEX(站位样品信息!$B$3:INDEX(站位样品信息!$B:$B,COUNTA(站位样品信息!$B:$B)+1),MATCH($F886,站位样品信息!$A$3:INDEX(站位样品信息!$A:$A,COUNTA(站位样品信息!$A:$A)+1),),))</f>
        <v/>
      </c>
      <c r="H886" s="37" t="str">
        <f>IF(A886&amp;B886&amp;C886="","",INDEX(生物种群!$A$2:INDEX(生物种群!$A:$A,COUNTA(生物种群!$A:$A)),MATCH($I886,生物种群!$B$2:INDEX(生物种群!$B:$B,COUNTA(生物种群!$B:$B)),),))</f>
        <v/>
      </c>
      <c r="I886" s="37" t="str">
        <f>IF(A886&amp;B886&amp;C886="","",IF($C886&lt;&gt;0,INDEX(生物种群!$B$2:INDEX(生物种群!$B:$B,COUNTA(生物种群!$B:$B)),MATCH($C886,生物种群!$G$2:INDEX(生物种群!$G:$G,COUNTA(生物种群!$G:$G)),),),IF($A886&lt;&gt;0,INDEX(生物种群!$B$2:INDEX(生物种群!$B:$B,COUNTA(生物种群!$B:$B)),MATCH($A886,生物种群!$C$2:INDEX(生物种群!$C:$C,COUNTA(生物种群!$C:$C)),),),INDEX(生物种群!$B$2:INDEX(生物种群!$B:$B,COUNTA(生物种群!$B:$B)),MATCH($B886,生物种群!$D$2:INDEX(生物种群!$D:$D,COUNTA(生物种群!$D:$D)),),))))</f>
        <v/>
      </c>
      <c r="J886" s="37" t="str">
        <f>IF(A886&amp;B886&amp;C886="","",INDEX(生物种群!$J$2:INDEX(生物种群!$J:$J,COUNTA(生物种群!$J:$J)),MATCH($I886,生物种群!$B$2:INDEX(生物种群!$B:$B,COUNTA(生物种群!$B:$B)),),))</f>
        <v/>
      </c>
      <c r="K886" s="37" t="str">
        <f>IF(A886&amp;B886&amp;C886="","",INDEX(生物种群!$E$2:INDEX(生物种群!$E:$E,COUNTA(生物种群!$E:$E)),MATCH($I886,生物种群!$B$2:INDEX(生物种群!$B:$B,COUNTA(生物种群!$B:$B)),),))</f>
        <v/>
      </c>
      <c r="L886" s="37" t="str">
        <f>IF(A886&amp;B886&amp;C886="","",INDEX(生物种群!$F$3:INDEX(生物种群!$F:$F,COUNTA(生物种群!$F:$F)),MATCH($I886,生物种群!$B$3:INDEX(生物种群!$B:$B,COUNTA(生物种群!$B:$B)),),))</f>
        <v/>
      </c>
      <c r="M886" s="37" t="str">
        <f t="shared" si="26"/>
        <v/>
      </c>
      <c r="N886" s="37" t="str">
        <f t="shared" si="27"/>
        <v/>
      </c>
      <c r="O886" s="9"/>
      <c r="P886" s="10"/>
    </row>
    <row r="887" spans="1:16" ht="20.1" customHeight="1">
      <c r="A887" s="9"/>
      <c r="B887" s="9"/>
      <c r="C887" s="9"/>
      <c r="D887" s="43"/>
      <c r="E887" s="9"/>
      <c r="F887" s="9"/>
      <c r="G887" s="47" t="str">
        <f>IF(F887="","",INDEX(站位样品信息!$B$3:INDEX(站位样品信息!$B:$B,COUNTA(站位样品信息!$B:$B)+1),MATCH($F887,站位样品信息!$A$3:INDEX(站位样品信息!$A:$A,COUNTA(站位样品信息!$A:$A)+1),),))</f>
        <v/>
      </c>
      <c r="H887" s="37" t="str">
        <f>IF(A887&amp;B887&amp;C887="","",INDEX(生物种群!$A$2:INDEX(生物种群!$A:$A,COUNTA(生物种群!$A:$A)),MATCH($I887,生物种群!$B$2:INDEX(生物种群!$B:$B,COUNTA(生物种群!$B:$B)),),))</f>
        <v/>
      </c>
      <c r="I887" s="37" t="str">
        <f>IF(A887&amp;B887&amp;C887="","",IF($C887&lt;&gt;0,INDEX(生物种群!$B$2:INDEX(生物种群!$B:$B,COUNTA(生物种群!$B:$B)),MATCH($C887,生物种群!$G$2:INDEX(生物种群!$G:$G,COUNTA(生物种群!$G:$G)),),),IF($A887&lt;&gt;0,INDEX(生物种群!$B$2:INDEX(生物种群!$B:$B,COUNTA(生物种群!$B:$B)),MATCH($A887,生物种群!$C$2:INDEX(生物种群!$C:$C,COUNTA(生物种群!$C:$C)),),),INDEX(生物种群!$B$2:INDEX(生物种群!$B:$B,COUNTA(生物种群!$B:$B)),MATCH($B887,生物种群!$D$2:INDEX(生物种群!$D:$D,COUNTA(生物种群!$D:$D)),),))))</f>
        <v/>
      </c>
      <c r="J887" s="37" t="str">
        <f>IF(A887&amp;B887&amp;C887="","",INDEX(生物种群!$J$2:INDEX(生物种群!$J:$J,COUNTA(生物种群!$J:$J)),MATCH($I887,生物种群!$B$2:INDEX(生物种群!$B:$B,COUNTA(生物种群!$B:$B)),),))</f>
        <v/>
      </c>
      <c r="K887" s="37" t="str">
        <f>IF(A887&amp;B887&amp;C887="","",INDEX(生物种群!$E$2:INDEX(生物种群!$E:$E,COUNTA(生物种群!$E:$E)),MATCH($I887,生物种群!$B$2:INDEX(生物种群!$B:$B,COUNTA(生物种群!$B:$B)),),))</f>
        <v/>
      </c>
      <c r="L887" s="37" t="str">
        <f>IF(A887&amp;B887&amp;C887="","",INDEX(生物种群!$F$3:INDEX(生物种群!$F:$F,COUNTA(生物种群!$F:$F)),MATCH($I887,生物种群!$B$3:INDEX(生物种群!$B:$B,COUNTA(生物种群!$B:$B)),),))</f>
        <v/>
      </c>
      <c r="M887" s="37" t="str">
        <f t="shared" si="26"/>
        <v/>
      </c>
      <c r="N887" s="37" t="str">
        <f t="shared" si="27"/>
        <v/>
      </c>
      <c r="O887" s="9"/>
      <c r="P887" s="10"/>
    </row>
    <row r="888" spans="1:16" ht="20.1" customHeight="1">
      <c r="A888" s="9"/>
      <c r="B888" s="9"/>
      <c r="C888" s="9"/>
      <c r="D888" s="43"/>
      <c r="E888" s="9"/>
      <c r="F888" s="9"/>
      <c r="G888" s="47" t="str">
        <f>IF(F888="","",INDEX(站位样品信息!$B$3:INDEX(站位样品信息!$B:$B,COUNTA(站位样品信息!$B:$B)+1),MATCH($F888,站位样品信息!$A$3:INDEX(站位样品信息!$A:$A,COUNTA(站位样品信息!$A:$A)+1),),))</f>
        <v/>
      </c>
      <c r="H888" s="37" t="str">
        <f>IF(A888&amp;B888&amp;C888="","",INDEX(生物种群!$A$2:INDEX(生物种群!$A:$A,COUNTA(生物种群!$A:$A)),MATCH($I888,生物种群!$B$2:INDEX(生物种群!$B:$B,COUNTA(生物种群!$B:$B)),),))</f>
        <v/>
      </c>
      <c r="I888" s="37" t="str">
        <f>IF(A888&amp;B888&amp;C888="","",IF($C888&lt;&gt;0,INDEX(生物种群!$B$2:INDEX(生物种群!$B:$B,COUNTA(生物种群!$B:$B)),MATCH($C888,生物种群!$G$2:INDEX(生物种群!$G:$G,COUNTA(生物种群!$G:$G)),),),IF($A888&lt;&gt;0,INDEX(生物种群!$B$2:INDEX(生物种群!$B:$B,COUNTA(生物种群!$B:$B)),MATCH($A888,生物种群!$C$2:INDEX(生物种群!$C:$C,COUNTA(生物种群!$C:$C)),),),INDEX(生物种群!$B$2:INDEX(生物种群!$B:$B,COUNTA(生物种群!$B:$B)),MATCH($B888,生物种群!$D$2:INDEX(生物种群!$D:$D,COUNTA(生物种群!$D:$D)),),))))</f>
        <v/>
      </c>
      <c r="J888" s="37" t="str">
        <f>IF(A888&amp;B888&amp;C888="","",INDEX(生物种群!$J$2:INDEX(生物种群!$J:$J,COUNTA(生物种群!$J:$J)),MATCH($I888,生物种群!$B$2:INDEX(生物种群!$B:$B,COUNTA(生物种群!$B:$B)),),))</f>
        <v/>
      </c>
      <c r="K888" s="37" t="str">
        <f>IF(A888&amp;B888&amp;C888="","",INDEX(生物种群!$E$2:INDEX(生物种群!$E:$E,COUNTA(生物种群!$E:$E)),MATCH($I888,生物种群!$B$2:INDEX(生物种群!$B:$B,COUNTA(生物种群!$B:$B)),),))</f>
        <v/>
      </c>
      <c r="L888" s="37" t="str">
        <f>IF(A888&amp;B888&amp;C888="","",INDEX(生物种群!$F$3:INDEX(生物种群!$F:$F,COUNTA(生物种群!$F:$F)),MATCH($I888,生物种群!$B$3:INDEX(生物种群!$B:$B,COUNTA(生物种群!$B:$B)),),))</f>
        <v/>
      </c>
      <c r="M888" s="37" t="str">
        <f t="shared" si="26"/>
        <v/>
      </c>
      <c r="N888" s="37" t="str">
        <f t="shared" si="27"/>
        <v/>
      </c>
      <c r="O888" s="9"/>
      <c r="P888" s="10"/>
    </row>
    <row r="889" spans="1:16" ht="20.1" customHeight="1">
      <c r="A889" s="9"/>
      <c r="B889" s="9"/>
      <c r="C889" s="9"/>
      <c r="D889" s="43"/>
      <c r="E889" s="9"/>
      <c r="F889" s="9"/>
      <c r="G889" s="47" t="str">
        <f>IF(F889="","",INDEX(站位样品信息!$B$3:INDEX(站位样品信息!$B:$B,COUNTA(站位样品信息!$B:$B)+1),MATCH($F889,站位样品信息!$A$3:INDEX(站位样品信息!$A:$A,COUNTA(站位样品信息!$A:$A)+1),),))</f>
        <v/>
      </c>
      <c r="H889" s="37" t="str">
        <f>IF(A889&amp;B889&amp;C889="","",INDEX(生物种群!$A$2:INDEX(生物种群!$A:$A,COUNTA(生物种群!$A:$A)),MATCH($I889,生物种群!$B$2:INDEX(生物种群!$B:$B,COUNTA(生物种群!$B:$B)),),))</f>
        <v/>
      </c>
      <c r="I889" s="37" t="str">
        <f>IF(A889&amp;B889&amp;C889="","",IF($C889&lt;&gt;0,INDEX(生物种群!$B$2:INDEX(生物种群!$B:$B,COUNTA(生物种群!$B:$B)),MATCH($C889,生物种群!$G$2:INDEX(生物种群!$G:$G,COUNTA(生物种群!$G:$G)),),),IF($A889&lt;&gt;0,INDEX(生物种群!$B$2:INDEX(生物种群!$B:$B,COUNTA(生物种群!$B:$B)),MATCH($A889,生物种群!$C$2:INDEX(生物种群!$C:$C,COUNTA(生物种群!$C:$C)),),),INDEX(生物种群!$B$2:INDEX(生物种群!$B:$B,COUNTA(生物种群!$B:$B)),MATCH($B889,生物种群!$D$2:INDEX(生物种群!$D:$D,COUNTA(生物种群!$D:$D)),),))))</f>
        <v/>
      </c>
      <c r="J889" s="37" t="str">
        <f>IF(A889&amp;B889&amp;C889="","",INDEX(生物种群!$J$2:INDEX(生物种群!$J:$J,COUNTA(生物种群!$J:$J)),MATCH($I889,生物种群!$B$2:INDEX(生物种群!$B:$B,COUNTA(生物种群!$B:$B)),),))</f>
        <v/>
      </c>
      <c r="K889" s="37" t="str">
        <f>IF(A889&amp;B889&amp;C889="","",INDEX(生物种群!$E$2:INDEX(生物种群!$E:$E,COUNTA(生物种群!$E:$E)),MATCH($I889,生物种群!$B$2:INDEX(生物种群!$B:$B,COUNTA(生物种群!$B:$B)),),))</f>
        <v/>
      </c>
      <c r="L889" s="37" t="str">
        <f>IF(A889&amp;B889&amp;C889="","",INDEX(生物种群!$F$3:INDEX(生物种群!$F:$F,COUNTA(生物种群!$F:$F)),MATCH($I889,生物种群!$B$3:INDEX(生物种群!$B:$B,COUNTA(生物种群!$B:$B)),),))</f>
        <v/>
      </c>
      <c r="M889" s="37" t="str">
        <f t="shared" si="26"/>
        <v/>
      </c>
      <c r="N889" s="37" t="str">
        <f t="shared" si="27"/>
        <v/>
      </c>
      <c r="O889" s="9"/>
      <c r="P889" s="10"/>
    </row>
    <row r="890" spans="1:16" ht="20.1" customHeight="1">
      <c r="A890" s="9"/>
      <c r="B890" s="9"/>
      <c r="C890" s="9"/>
      <c r="D890" s="43"/>
      <c r="E890" s="9"/>
      <c r="F890" s="9"/>
      <c r="G890" s="47" t="str">
        <f>IF(F890="","",INDEX(站位样品信息!$B$3:INDEX(站位样品信息!$B:$B,COUNTA(站位样品信息!$B:$B)+1),MATCH($F890,站位样品信息!$A$3:INDEX(站位样品信息!$A:$A,COUNTA(站位样品信息!$A:$A)+1),),))</f>
        <v/>
      </c>
      <c r="H890" s="37" t="str">
        <f>IF(A890&amp;B890&amp;C890="","",INDEX(生物种群!$A$2:INDEX(生物种群!$A:$A,COUNTA(生物种群!$A:$A)),MATCH($I890,生物种群!$B$2:INDEX(生物种群!$B:$B,COUNTA(生物种群!$B:$B)),),))</f>
        <v/>
      </c>
      <c r="I890" s="37" t="str">
        <f>IF(A890&amp;B890&amp;C890="","",IF($C890&lt;&gt;0,INDEX(生物种群!$B$2:INDEX(生物种群!$B:$B,COUNTA(生物种群!$B:$B)),MATCH($C890,生物种群!$G$2:INDEX(生物种群!$G:$G,COUNTA(生物种群!$G:$G)),),),IF($A890&lt;&gt;0,INDEX(生物种群!$B$2:INDEX(生物种群!$B:$B,COUNTA(生物种群!$B:$B)),MATCH($A890,生物种群!$C$2:INDEX(生物种群!$C:$C,COUNTA(生物种群!$C:$C)),),),INDEX(生物种群!$B$2:INDEX(生物种群!$B:$B,COUNTA(生物种群!$B:$B)),MATCH($B890,生物种群!$D$2:INDEX(生物种群!$D:$D,COUNTA(生物种群!$D:$D)),),))))</f>
        <v/>
      </c>
      <c r="J890" s="37" t="str">
        <f>IF(A890&amp;B890&amp;C890="","",INDEX(生物种群!$J$2:INDEX(生物种群!$J:$J,COUNTA(生物种群!$J:$J)),MATCH($I890,生物种群!$B$2:INDEX(生物种群!$B:$B,COUNTA(生物种群!$B:$B)),),))</f>
        <v/>
      </c>
      <c r="K890" s="37" t="str">
        <f>IF(A890&amp;B890&amp;C890="","",INDEX(生物种群!$E$2:INDEX(生物种群!$E:$E,COUNTA(生物种群!$E:$E)),MATCH($I890,生物种群!$B$2:INDEX(生物种群!$B:$B,COUNTA(生物种群!$B:$B)),),))</f>
        <v/>
      </c>
      <c r="L890" s="37" t="str">
        <f>IF(A890&amp;B890&amp;C890="","",INDEX(生物种群!$F$3:INDEX(生物种群!$F:$F,COUNTA(生物种群!$F:$F)),MATCH($I890,生物种群!$B$3:INDEX(生物种群!$B:$B,COUNTA(生物种群!$B:$B)),),))</f>
        <v/>
      </c>
      <c r="M890" s="37" t="str">
        <f t="shared" si="26"/>
        <v/>
      </c>
      <c r="N890" s="37" t="str">
        <f t="shared" si="27"/>
        <v/>
      </c>
      <c r="O890" s="9"/>
      <c r="P890" s="10"/>
    </row>
    <row r="891" spans="1:16" ht="20.1" customHeight="1">
      <c r="A891" s="9"/>
      <c r="B891" s="9"/>
      <c r="C891" s="9"/>
      <c r="D891" s="43"/>
      <c r="E891" s="9"/>
      <c r="F891" s="9"/>
      <c r="G891" s="47" t="str">
        <f>IF(F891="","",INDEX(站位样品信息!$B$3:INDEX(站位样品信息!$B:$B,COUNTA(站位样品信息!$B:$B)+1),MATCH($F891,站位样品信息!$A$3:INDEX(站位样品信息!$A:$A,COUNTA(站位样品信息!$A:$A)+1),),))</f>
        <v/>
      </c>
      <c r="H891" s="37" t="str">
        <f>IF(A891&amp;B891&amp;C891="","",INDEX(生物种群!$A$2:INDEX(生物种群!$A:$A,COUNTA(生物种群!$A:$A)),MATCH($I891,生物种群!$B$2:INDEX(生物种群!$B:$B,COUNTA(生物种群!$B:$B)),),))</f>
        <v/>
      </c>
      <c r="I891" s="37" t="str">
        <f>IF(A891&amp;B891&amp;C891="","",IF($C891&lt;&gt;0,INDEX(生物种群!$B$2:INDEX(生物种群!$B:$B,COUNTA(生物种群!$B:$B)),MATCH($C891,生物种群!$G$2:INDEX(生物种群!$G:$G,COUNTA(生物种群!$G:$G)),),),IF($A891&lt;&gt;0,INDEX(生物种群!$B$2:INDEX(生物种群!$B:$B,COUNTA(生物种群!$B:$B)),MATCH($A891,生物种群!$C$2:INDEX(生物种群!$C:$C,COUNTA(生物种群!$C:$C)),),),INDEX(生物种群!$B$2:INDEX(生物种群!$B:$B,COUNTA(生物种群!$B:$B)),MATCH($B891,生物种群!$D$2:INDEX(生物种群!$D:$D,COUNTA(生物种群!$D:$D)),),))))</f>
        <v/>
      </c>
      <c r="J891" s="37" t="str">
        <f>IF(A891&amp;B891&amp;C891="","",INDEX(生物种群!$J$2:INDEX(生物种群!$J:$J,COUNTA(生物种群!$J:$J)),MATCH($I891,生物种群!$B$2:INDEX(生物种群!$B:$B,COUNTA(生物种群!$B:$B)),),))</f>
        <v/>
      </c>
      <c r="K891" s="37" t="str">
        <f>IF(A891&amp;B891&amp;C891="","",INDEX(生物种群!$E$2:INDEX(生物种群!$E:$E,COUNTA(生物种群!$E:$E)),MATCH($I891,生物种群!$B$2:INDEX(生物种群!$B:$B,COUNTA(生物种群!$B:$B)),),))</f>
        <v/>
      </c>
      <c r="L891" s="37" t="str">
        <f>IF(A891&amp;B891&amp;C891="","",INDEX(生物种群!$F$3:INDEX(生物种群!$F:$F,COUNTA(生物种群!$F:$F)),MATCH($I891,生物种群!$B$3:INDEX(生物种群!$B:$B,COUNTA(生物种群!$B:$B)),),))</f>
        <v/>
      </c>
      <c r="M891" s="37" t="str">
        <f t="shared" si="26"/>
        <v/>
      </c>
      <c r="N891" s="37" t="str">
        <f t="shared" si="27"/>
        <v/>
      </c>
      <c r="O891" s="9"/>
      <c r="P891" s="10"/>
    </row>
    <row r="892" spans="1:16" ht="20.1" customHeight="1">
      <c r="A892" s="9"/>
      <c r="B892" s="9"/>
      <c r="C892" s="9"/>
      <c r="D892" s="43"/>
      <c r="E892" s="9"/>
      <c r="F892" s="9"/>
      <c r="G892" s="47" t="str">
        <f>IF(F892="","",INDEX(站位样品信息!$B$3:INDEX(站位样品信息!$B:$B,COUNTA(站位样品信息!$B:$B)+1),MATCH($F892,站位样品信息!$A$3:INDEX(站位样品信息!$A:$A,COUNTA(站位样品信息!$A:$A)+1),),))</f>
        <v/>
      </c>
      <c r="H892" s="37" t="str">
        <f>IF(A892&amp;B892&amp;C892="","",INDEX(生物种群!$A$2:INDEX(生物种群!$A:$A,COUNTA(生物种群!$A:$A)),MATCH($I892,生物种群!$B$2:INDEX(生物种群!$B:$B,COUNTA(生物种群!$B:$B)),),))</f>
        <v/>
      </c>
      <c r="I892" s="37" t="str">
        <f>IF(A892&amp;B892&amp;C892="","",IF($C892&lt;&gt;0,INDEX(生物种群!$B$2:INDEX(生物种群!$B:$B,COUNTA(生物种群!$B:$B)),MATCH($C892,生物种群!$G$2:INDEX(生物种群!$G:$G,COUNTA(生物种群!$G:$G)),),),IF($A892&lt;&gt;0,INDEX(生物种群!$B$2:INDEX(生物种群!$B:$B,COUNTA(生物种群!$B:$B)),MATCH($A892,生物种群!$C$2:INDEX(生物种群!$C:$C,COUNTA(生物种群!$C:$C)),),),INDEX(生物种群!$B$2:INDEX(生物种群!$B:$B,COUNTA(生物种群!$B:$B)),MATCH($B892,生物种群!$D$2:INDEX(生物种群!$D:$D,COUNTA(生物种群!$D:$D)),),))))</f>
        <v/>
      </c>
      <c r="J892" s="37" t="str">
        <f>IF(A892&amp;B892&amp;C892="","",INDEX(生物种群!$J$2:INDEX(生物种群!$J:$J,COUNTA(生物种群!$J:$J)),MATCH($I892,生物种群!$B$2:INDEX(生物种群!$B:$B,COUNTA(生物种群!$B:$B)),),))</f>
        <v/>
      </c>
      <c r="K892" s="37" t="str">
        <f>IF(A892&amp;B892&amp;C892="","",INDEX(生物种群!$E$2:INDEX(生物种群!$E:$E,COUNTA(生物种群!$E:$E)),MATCH($I892,生物种群!$B$2:INDEX(生物种群!$B:$B,COUNTA(生物种群!$B:$B)),),))</f>
        <v/>
      </c>
      <c r="L892" s="37" t="str">
        <f>IF(A892&amp;B892&amp;C892="","",INDEX(生物种群!$F$3:INDEX(生物种群!$F:$F,COUNTA(生物种群!$F:$F)),MATCH($I892,生物种群!$B$3:INDEX(生物种群!$B:$B,COUNTA(生物种群!$B:$B)),),))</f>
        <v/>
      </c>
      <c r="M892" s="37" t="str">
        <f t="shared" si="26"/>
        <v/>
      </c>
      <c r="N892" s="37" t="str">
        <f t="shared" si="27"/>
        <v/>
      </c>
      <c r="O892" s="9"/>
      <c r="P892" s="10"/>
    </row>
    <row r="893" spans="1:16" ht="20.1" customHeight="1">
      <c r="A893" s="9"/>
      <c r="B893" s="9"/>
      <c r="C893" s="9"/>
      <c r="D893" s="43"/>
      <c r="E893" s="9"/>
      <c r="F893" s="9"/>
      <c r="G893" s="47" t="str">
        <f>IF(F893="","",INDEX(站位样品信息!$B$3:INDEX(站位样品信息!$B:$B,COUNTA(站位样品信息!$B:$B)+1),MATCH($F893,站位样品信息!$A$3:INDEX(站位样品信息!$A:$A,COUNTA(站位样品信息!$A:$A)+1),),))</f>
        <v/>
      </c>
      <c r="H893" s="37" t="str">
        <f>IF(A893&amp;B893&amp;C893="","",INDEX(生物种群!$A$2:INDEX(生物种群!$A:$A,COUNTA(生物种群!$A:$A)),MATCH($I893,生物种群!$B$2:INDEX(生物种群!$B:$B,COUNTA(生物种群!$B:$B)),),))</f>
        <v/>
      </c>
      <c r="I893" s="37" t="str">
        <f>IF(A893&amp;B893&amp;C893="","",IF($C893&lt;&gt;0,INDEX(生物种群!$B$2:INDEX(生物种群!$B:$B,COUNTA(生物种群!$B:$B)),MATCH($C893,生物种群!$G$2:INDEX(生物种群!$G:$G,COUNTA(生物种群!$G:$G)),),),IF($A893&lt;&gt;0,INDEX(生物种群!$B$2:INDEX(生物种群!$B:$B,COUNTA(生物种群!$B:$B)),MATCH($A893,生物种群!$C$2:INDEX(生物种群!$C:$C,COUNTA(生物种群!$C:$C)),),),INDEX(生物种群!$B$2:INDEX(生物种群!$B:$B,COUNTA(生物种群!$B:$B)),MATCH($B893,生物种群!$D$2:INDEX(生物种群!$D:$D,COUNTA(生物种群!$D:$D)),),))))</f>
        <v/>
      </c>
      <c r="J893" s="37" t="str">
        <f>IF(A893&amp;B893&amp;C893="","",INDEX(生物种群!$J$2:INDEX(生物种群!$J:$J,COUNTA(生物种群!$J:$J)),MATCH($I893,生物种群!$B$2:INDEX(生物种群!$B:$B,COUNTA(生物种群!$B:$B)),),))</f>
        <v/>
      </c>
      <c r="K893" s="37" t="str">
        <f>IF(A893&amp;B893&amp;C893="","",INDEX(生物种群!$E$2:INDEX(生物种群!$E:$E,COUNTA(生物种群!$E:$E)),MATCH($I893,生物种群!$B$2:INDEX(生物种群!$B:$B,COUNTA(生物种群!$B:$B)),),))</f>
        <v/>
      </c>
      <c r="L893" s="37" t="str">
        <f>IF(A893&amp;B893&amp;C893="","",INDEX(生物种群!$F$3:INDEX(生物种群!$F:$F,COUNTA(生物种群!$F:$F)),MATCH($I893,生物种群!$B$3:INDEX(生物种群!$B:$B,COUNTA(生物种群!$B:$B)),),))</f>
        <v/>
      </c>
      <c r="M893" s="37" t="str">
        <f t="shared" si="26"/>
        <v/>
      </c>
      <c r="N893" s="37" t="str">
        <f t="shared" si="27"/>
        <v/>
      </c>
      <c r="O893" s="9"/>
      <c r="P893" s="10"/>
    </row>
    <row r="894" spans="1:16" ht="20.1" customHeight="1">
      <c r="A894" s="9"/>
      <c r="B894" s="9"/>
      <c r="C894" s="9"/>
      <c r="D894" s="43"/>
      <c r="E894" s="9"/>
      <c r="F894" s="9"/>
      <c r="G894" s="47" t="str">
        <f>IF(F894="","",INDEX(站位样品信息!$B$3:INDEX(站位样品信息!$B:$B,COUNTA(站位样品信息!$B:$B)+1),MATCH($F894,站位样品信息!$A$3:INDEX(站位样品信息!$A:$A,COUNTA(站位样品信息!$A:$A)+1),),))</f>
        <v/>
      </c>
      <c r="H894" s="37" t="str">
        <f>IF(A894&amp;B894&amp;C894="","",INDEX(生物种群!$A$2:INDEX(生物种群!$A:$A,COUNTA(生物种群!$A:$A)),MATCH($I894,生物种群!$B$2:INDEX(生物种群!$B:$B,COUNTA(生物种群!$B:$B)),),))</f>
        <v/>
      </c>
      <c r="I894" s="37" t="str">
        <f>IF(A894&amp;B894&amp;C894="","",IF($C894&lt;&gt;0,INDEX(生物种群!$B$2:INDEX(生物种群!$B:$B,COUNTA(生物种群!$B:$B)),MATCH($C894,生物种群!$G$2:INDEX(生物种群!$G:$G,COUNTA(生物种群!$G:$G)),),),IF($A894&lt;&gt;0,INDEX(生物种群!$B$2:INDEX(生物种群!$B:$B,COUNTA(生物种群!$B:$B)),MATCH($A894,生物种群!$C$2:INDEX(生物种群!$C:$C,COUNTA(生物种群!$C:$C)),),),INDEX(生物种群!$B$2:INDEX(生物种群!$B:$B,COUNTA(生物种群!$B:$B)),MATCH($B894,生物种群!$D$2:INDEX(生物种群!$D:$D,COUNTA(生物种群!$D:$D)),),))))</f>
        <v/>
      </c>
      <c r="J894" s="37" t="str">
        <f>IF(A894&amp;B894&amp;C894="","",INDEX(生物种群!$J$2:INDEX(生物种群!$J:$J,COUNTA(生物种群!$J:$J)),MATCH($I894,生物种群!$B$2:INDEX(生物种群!$B:$B,COUNTA(生物种群!$B:$B)),),))</f>
        <v/>
      </c>
      <c r="K894" s="37" t="str">
        <f>IF(A894&amp;B894&amp;C894="","",INDEX(生物种群!$E$2:INDEX(生物种群!$E:$E,COUNTA(生物种群!$E:$E)),MATCH($I894,生物种群!$B$2:INDEX(生物种群!$B:$B,COUNTA(生物种群!$B:$B)),),))</f>
        <v/>
      </c>
      <c r="L894" s="37" t="str">
        <f>IF(A894&amp;B894&amp;C894="","",INDEX(生物种群!$F$3:INDEX(生物种群!$F:$F,COUNTA(生物种群!$F:$F)),MATCH($I894,生物种群!$B$3:INDEX(生物种群!$B:$B,COUNTA(生物种群!$B:$B)),),))</f>
        <v/>
      </c>
      <c r="M894" s="37" t="str">
        <f t="shared" si="26"/>
        <v/>
      </c>
      <c r="N894" s="37" t="str">
        <f t="shared" si="27"/>
        <v/>
      </c>
      <c r="O894" s="9"/>
      <c r="P894" s="10"/>
    </row>
    <row r="895" spans="1:16" ht="20.1" customHeight="1">
      <c r="A895" s="9"/>
      <c r="B895" s="9"/>
      <c r="C895" s="9"/>
      <c r="D895" s="43"/>
      <c r="E895" s="9"/>
      <c r="F895" s="9"/>
      <c r="G895" s="47" t="str">
        <f>IF(F895="","",INDEX(站位样品信息!$B$3:INDEX(站位样品信息!$B:$B,COUNTA(站位样品信息!$B:$B)+1),MATCH($F895,站位样品信息!$A$3:INDEX(站位样品信息!$A:$A,COUNTA(站位样品信息!$A:$A)+1),),))</f>
        <v/>
      </c>
      <c r="H895" s="37" t="str">
        <f>IF(A895&amp;B895&amp;C895="","",INDEX(生物种群!$A$2:INDEX(生物种群!$A:$A,COUNTA(生物种群!$A:$A)),MATCH($I895,生物种群!$B$2:INDEX(生物种群!$B:$B,COUNTA(生物种群!$B:$B)),),))</f>
        <v/>
      </c>
      <c r="I895" s="37" t="str">
        <f>IF(A895&amp;B895&amp;C895="","",IF($C895&lt;&gt;0,INDEX(生物种群!$B$2:INDEX(生物种群!$B:$B,COUNTA(生物种群!$B:$B)),MATCH($C895,生物种群!$G$2:INDEX(生物种群!$G:$G,COUNTA(生物种群!$G:$G)),),),IF($A895&lt;&gt;0,INDEX(生物种群!$B$2:INDEX(生物种群!$B:$B,COUNTA(生物种群!$B:$B)),MATCH($A895,生物种群!$C$2:INDEX(生物种群!$C:$C,COUNTA(生物种群!$C:$C)),),),INDEX(生物种群!$B$2:INDEX(生物种群!$B:$B,COUNTA(生物种群!$B:$B)),MATCH($B895,生物种群!$D$2:INDEX(生物种群!$D:$D,COUNTA(生物种群!$D:$D)),),))))</f>
        <v/>
      </c>
      <c r="J895" s="37" t="str">
        <f>IF(A895&amp;B895&amp;C895="","",INDEX(生物种群!$J$2:INDEX(生物种群!$J:$J,COUNTA(生物种群!$J:$J)),MATCH($I895,生物种群!$B$2:INDEX(生物种群!$B:$B,COUNTA(生物种群!$B:$B)),),))</f>
        <v/>
      </c>
      <c r="K895" s="37" t="str">
        <f>IF(A895&amp;B895&amp;C895="","",INDEX(生物种群!$E$2:INDEX(生物种群!$E:$E,COUNTA(生物种群!$E:$E)),MATCH($I895,生物种群!$B$2:INDEX(生物种群!$B:$B,COUNTA(生物种群!$B:$B)),),))</f>
        <v/>
      </c>
      <c r="L895" s="37" t="str">
        <f>IF(A895&amp;B895&amp;C895="","",INDEX(生物种群!$F$3:INDEX(生物种群!$F:$F,COUNTA(生物种群!$F:$F)),MATCH($I895,生物种群!$B$3:INDEX(生物种群!$B:$B,COUNTA(生物种群!$B:$B)),),))</f>
        <v/>
      </c>
      <c r="M895" s="37" t="str">
        <f t="shared" si="26"/>
        <v/>
      </c>
      <c r="N895" s="37" t="str">
        <f t="shared" si="27"/>
        <v/>
      </c>
      <c r="O895" s="9"/>
      <c r="P895" s="10"/>
    </row>
    <row r="896" spans="1:16" ht="20.1" customHeight="1">
      <c r="A896" s="9"/>
      <c r="B896" s="9"/>
      <c r="C896" s="9"/>
      <c r="D896" s="43"/>
      <c r="E896" s="9"/>
      <c r="F896" s="9"/>
      <c r="G896" s="47" t="str">
        <f>IF(F896="","",INDEX(站位样品信息!$B$3:INDEX(站位样品信息!$B:$B,COUNTA(站位样品信息!$B:$B)+1),MATCH($F896,站位样品信息!$A$3:INDEX(站位样品信息!$A:$A,COUNTA(站位样品信息!$A:$A)+1),),))</f>
        <v/>
      </c>
      <c r="H896" s="37" t="str">
        <f>IF(A896&amp;B896&amp;C896="","",INDEX(生物种群!$A$2:INDEX(生物种群!$A:$A,COUNTA(生物种群!$A:$A)),MATCH($I896,生物种群!$B$2:INDEX(生物种群!$B:$B,COUNTA(生物种群!$B:$B)),),))</f>
        <v/>
      </c>
      <c r="I896" s="37" t="str">
        <f>IF(A896&amp;B896&amp;C896="","",IF($C896&lt;&gt;0,INDEX(生物种群!$B$2:INDEX(生物种群!$B:$B,COUNTA(生物种群!$B:$B)),MATCH($C896,生物种群!$G$2:INDEX(生物种群!$G:$G,COUNTA(生物种群!$G:$G)),),),IF($A896&lt;&gt;0,INDEX(生物种群!$B$2:INDEX(生物种群!$B:$B,COUNTA(生物种群!$B:$B)),MATCH($A896,生物种群!$C$2:INDEX(生物种群!$C:$C,COUNTA(生物种群!$C:$C)),),),INDEX(生物种群!$B$2:INDEX(生物种群!$B:$B,COUNTA(生物种群!$B:$B)),MATCH($B896,生物种群!$D$2:INDEX(生物种群!$D:$D,COUNTA(生物种群!$D:$D)),),))))</f>
        <v/>
      </c>
      <c r="J896" s="37" t="str">
        <f>IF(A896&amp;B896&amp;C896="","",INDEX(生物种群!$J$2:INDEX(生物种群!$J:$J,COUNTA(生物种群!$J:$J)),MATCH($I896,生物种群!$B$2:INDEX(生物种群!$B:$B,COUNTA(生物种群!$B:$B)),),))</f>
        <v/>
      </c>
      <c r="K896" s="37" t="str">
        <f>IF(A896&amp;B896&amp;C896="","",INDEX(生物种群!$E$2:INDEX(生物种群!$E:$E,COUNTA(生物种群!$E:$E)),MATCH($I896,生物种群!$B$2:INDEX(生物种群!$B:$B,COUNTA(生物种群!$B:$B)),),))</f>
        <v/>
      </c>
      <c r="L896" s="37" t="str">
        <f>IF(A896&amp;B896&amp;C896="","",INDEX(生物种群!$F$3:INDEX(生物种群!$F:$F,COUNTA(生物种群!$F:$F)),MATCH($I896,生物种群!$B$3:INDEX(生物种群!$B:$B,COUNTA(生物种群!$B:$B)),),))</f>
        <v/>
      </c>
      <c r="M896" s="37" t="str">
        <f t="shared" si="26"/>
        <v/>
      </c>
      <c r="N896" s="37" t="str">
        <f t="shared" si="27"/>
        <v/>
      </c>
      <c r="O896" s="9"/>
      <c r="P896" s="10"/>
    </row>
    <row r="897" spans="1:16" ht="20.1" customHeight="1">
      <c r="A897" s="9"/>
      <c r="B897" s="9"/>
      <c r="C897" s="9"/>
      <c r="D897" s="43"/>
      <c r="E897" s="9"/>
      <c r="F897" s="9"/>
      <c r="G897" s="47" t="str">
        <f>IF(F897="","",INDEX(站位样品信息!$B$3:INDEX(站位样品信息!$B:$B,COUNTA(站位样品信息!$B:$B)+1),MATCH($F897,站位样品信息!$A$3:INDEX(站位样品信息!$A:$A,COUNTA(站位样品信息!$A:$A)+1),),))</f>
        <v/>
      </c>
      <c r="H897" s="37" t="str">
        <f>IF(A897&amp;B897&amp;C897="","",INDEX(生物种群!$A$2:INDEX(生物种群!$A:$A,COUNTA(生物种群!$A:$A)),MATCH($I897,生物种群!$B$2:INDEX(生物种群!$B:$B,COUNTA(生物种群!$B:$B)),),))</f>
        <v/>
      </c>
      <c r="I897" s="37" t="str">
        <f>IF(A897&amp;B897&amp;C897="","",IF($C897&lt;&gt;0,INDEX(生物种群!$B$2:INDEX(生物种群!$B:$B,COUNTA(生物种群!$B:$B)),MATCH($C897,生物种群!$G$2:INDEX(生物种群!$G:$G,COUNTA(生物种群!$G:$G)),),),IF($A897&lt;&gt;0,INDEX(生物种群!$B$2:INDEX(生物种群!$B:$B,COUNTA(生物种群!$B:$B)),MATCH($A897,生物种群!$C$2:INDEX(生物种群!$C:$C,COUNTA(生物种群!$C:$C)),),),INDEX(生物种群!$B$2:INDEX(生物种群!$B:$B,COUNTA(生物种群!$B:$B)),MATCH($B897,生物种群!$D$2:INDEX(生物种群!$D:$D,COUNTA(生物种群!$D:$D)),),))))</f>
        <v/>
      </c>
      <c r="J897" s="37" t="str">
        <f>IF(A897&amp;B897&amp;C897="","",INDEX(生物种群!$J$2:INDEX(生物种群!$J:$J,COUNTA(生物种群!$J:$J)),MATCH($I897,生物种群!$B$2:INDEX(生物种群!$B:$B,COUNTA(生物种群!$B:$B)),),))</f>
        <v/>
      </c>
      <c r="K897" s="37" t="str">
        <f>IF(A897&amp;B897&amp;C897="","",INDEX(生物种群!$E$2:INDEX(生物种群!$E:$E,COUNTA(生物种群!$E:$E)),MATCH($I897,生物种群!$B$2:INDEX(生物种群!$B:$B,COUNTA(生物种群!$B:$B)),),))</f>
        <v/>
      </c>
      <c r="L897" s="37" t="str">
        <f>IF(A897&amp;B897&amp;C897="","",INDEX(生物种群!$F$3:INDEX(生物种群!$F:$F,COUNTA(生物种群!$F:$F)),MATCH($I897,生物种群!$B$3:INDEX(生物种群!$B:$B,COUNTA(生物种群!$B:$B)),),))</f>
        <v/>
      </c>
      <c r="M897" s="37" t="str">
        <f t="shared" si="26"/>
        <v/>
      </c>
      <c r="N897" s="37" t="str">
        <f t="shared" si="27"/>
        <v/>
      </c>
      <c r="O897" s="9"/>
      <c r="P897" s="10"/>
    </row>
    <row r="898" spans="1:16" ht="20.1" customHeight="1">
      <c r="A898" s="9"/>
      <c r="B898" s="9"/>
      <c r="C898" s="9"/>
      <c r="D898" s="43"/>
      <c r="E898" s="9"/>
      <c r="F898" s="9"/>
      <c r="G898" s="47" t="str">
        <f>IF(F898="","",INDEX(站位样品信息!$B$3:INDEX(站位样品信息!$B:$B,COUNTA(站位样品信息!$B:$B)+1),MATCH($F898,站位样品信息!$A$3:INDEX(站位样品信息!$A:$A,COUNTA(站位样品信息!$A:$A)+1),),))</f>
        <v/>
      </c>
      <c r="H898" s="37" t="str">
        <f>IF(A898&amp;B898&amp;C898="","",INDEX(生物种群!$A$2:INDEX(生物种群!$A:$A,COUNTA(生物种群!$A:$A)),MATCH($I898,生物种群!$B$2:INDEX(生物种群!$B:$B,COUNTA(生物种群!$B:$B)),),))</f>
        <v/>
      </c>
      <c r="I898" s="37" t="str">
        <f>IF(A898&amp;B898&amp;C898="","",IF($C898&lt;&gt;0,INDEX(生物种群!$B$2:INDEX(生物种群!$B:$B,COUNTA(生物种群!$B:$B)),MATCH($C898,生物种群!$G$2:INDEX(生物种群!$G:$G,COUNTA(生物种群!$G:$G)),),),IF($A898&lt;&gt;0,INDEX(生物种群!$B$2:INDEX(生物种群!$B:$B,COUNTA(生物种群!$B:$B)),MATCH($A898,生物种群!$C$2:INDEX(生物种群!$C:$C,COUNTA(生物种群!$C:$C)),),),INDEX(生物种群!$B$2:INDEX(生物种群!$B:$B,COUNTA(生物种群!$B:$B)),MATCH($B898,生物种群!$D$2:INDEX(生物种群!$D:$D,COUNTA(生物种群!$D:$D)),),))))</f>
        <v/>
      </c>
      <c r="J898" s="37" t="str">
        <f>IF(A898&amp;B898&amp;C898="","",INDEX(生物种群!$J$2:INDEX(生物种群!$J:$J,COUNTA(生物种群!$J:$J)),MATCH($I898,生物种群!$B$2:INDEX(生物种群!$B:$B,COUNTA(生物种群!$B:$B)),),))</f>
        <v/>
      </c>
      <c r="K898" s="37" t="str">
        <f>IF(A898&amp;B898&amp;C898="","",INDEX(生物种群!$E$2:INDEX(生物种群!$E:$E,COUNTA(生物种群!$E:$E)),MATCH($I898,生物种群!$B$2:INDEX(生物种群!$B:$B,COUNTA(生物种群!$B:$B)),),))</f>
        <v/>
      </c>
      <c r="L898" s="37" t="str">
        <f>IF(A898&amp;B898&amp;C898="","",INDEX(生物种群!$F$3:INDEX(生物种群!$F:$F,COUNTA(生物种群!$F:$F)),MATCH($I898,生物种群!$B$3:INDEX(生物种群!$B:$B,COUNTA(生物种群!$B:$B)),),))</f>
        <v/>
      </c>
      <c r="M898" s="37" t="str">
        <f t="shared" si="26"/>
        <v/>
      </c>
      <c r="N898" s="37" t="str">
        <f t="shared" si="27"/>
        <v/>
      </c>
      <c r="O898" s="9"/>
      <c r="P898" s="10"/>
    </row>
    <row r="899" spans="1:16" ht="20.1" customHeight="1">
      <c r="A899" s="9"/>
      <c r="B899" s="9"/>
      <c r="C899" s="9"/>
      <c r="D899" s="43"/>
      <c r="E899" s="9"/>
      <c r="F899" s="9"/>
      <c r="G899" s="47" t="str">
        <f>IF(F899="","",INDEX(站位样品信息!$B$3:INDEX(站位样品信息!$B:$B,COUNTA(站位样品信息!$B:$B)+1),MATCH($F899,站位样品信息!$A$3:INDEX(站位样品信息!$A:$A,COUNTA(站位样品信息!$A:$A)+1),),))</f>
        <v/>
      </c>
      <c r="H899" s="37" t="str">
        <f>IF(A899&amp;B899&amp;C899="","",INDEX(生物种群!$A$2:INDEX(生物种群!$A:$A,COUNTA(生物种群!$A:$A)),MATCH($I899,生物种群!$B$2:INDEX(生物种群!$B:$B,COUNTA(生物种群!$B:$B)),),))</f>
        <v/>
      </c>
      <c r="I899" s="37" t="str">
        <f>IF(A899&amp;B899&amp;C899="","",IF($C899&lt;&gt;0,INDEX(生物种群!$B$2:INDEX(生物种群!$B:$B,COUNTA(生物种群!$B:$B)),MATCH($C899,生物种群!$G$2:INDEX(生物种群!$G:$G,COUNTA(生物种群!$G:$G)),),),IF($A899&lt;&gt;0,INDEX(生物种群!$B$2:INDEX(生物种群!$B:$B,COUNTA(生物种群!$B:$B)),MATCH($A899,生物种群!$C$2:INDEX(生物种群!$C:$C,COUNTA(生物种群!$C:$C)),),),INDEX(生物种群!$B$2:INDEX(生物种群!$B:$B,COUNTA(生物种群!$B:$B)),MATCH($B899,生物种群!$D$2:INDEX(生物种群!$D:$D,COUNTA(生物种群!$D:$D)),),))))</f>
        <v/>
      </c>
      <c r="J899" s="37" t="str">
        <f>IF(A899&amp;B899&amp;C899="","",INDEX(生物种群!$J$2:INDEX(生物种群!$J:$J,COUNTA(生物种群!$J:$J)),MATCH($I899,生物种群!$B$2:INDEX(生物种群!$B:$B,COUNTA(生物种群!$B:$B)),),))</f>
        <v/>
      </c>
      <c r="K899" s="37" t="str">
        <f>IF(A899&amp;B899&amp;C899="","",INDEX(生物种群!$E$2:INDEX(生物种群!$E:$E,COUNTA(生物种群!$E:$E)),MATCH($I899,生物种群!$B$2:INDEX(生物种群!$B:$B,COUNTA(生物种群!$B:$B)),),))</f>
        <v/>
      </c>
      <c r="L899" s="37" t="str">
        <f>IF(A899&amp;B899&amp;C899="","",INDEX(生物种群!$F$3:INDEX(生物种群!$F:$F,COUNTA(生物种群!$F:$F)),MATCH($I899,生物种群!$B$3:INDEX(生物种群!$B:$B,COUNTA(生物种群!$B:$B)),),))</f>
        <v/>
      </c>
      <c r="M899" s="37" t="str">
        <f t="shared" si="28" ref="M899:M962">IF(F899&gt;0,F899&amp;I899&amp;E899,"")</f>
        <v/>
      </c>
      <c r="N899" s="37" t="str">
        <f t="shared" si="29" ref="N899:N962">IF(COUNTIF($M:$M,M899)=1,"",IF(A899&amp;B899&amp;C899="","","重复"))</f>
        <v/>
      </c>
      <c r="O899" s="9"/>
      <c r="P899" s="10"/>
    </row>
    <row r="900" spans="1:16" ht="20.1" customHeight="1">
      <c r="A900" s="9"/>
      <c r="B900" s="9"/>
      <c r="C900" s="9"/>
      <c r="D900" s="43"/>
      <c r="E900" s="9"/>
      <c r="F900" s="9"/>
      <c r="G900" s="47" t="str">
        <f>IF(F900="","",INDEX(站位样品信息!$B$3:INDEX(站位样品信息!$B:$B,COUNTA(站位样品信息!$B:$B)+1),MATCH($F900,站位样品信息!$A$3:INDEX(站位样品信息!$A:$A,COUNTA(站位样品信息!$A:$A)+1),),))</f>
        <v/>
      </c>
      <c r="H900" s="37" t="str">
        <f>IF(A900&amp;B900&amp;C900="","",INDEX(生物种群!$A$2:INDEX(生物种群!$A:$A,COUNTA(生物种群!$A:$A)),MATCH($I900,生物种群!$B$2:INDEX(生物种群!$B:$B,COUNTA(生物种群!$B:$B)),),))</f>
        <v/>
      </c>
      <c r="I900" s="37" t="str">
        <f>IF(A900&amp;B900&amp;C900="","",IF($C900&lt;&gt;0,INDEX(生物种群!$B$2:INDEX(生物种群!$B:$B,COUNTA(生物种群!$B:$B)),MATCH($C900,生物种群!$G$2:INDEX(生物种群!$G:$G,COUNTA(生物种群!$G:$G)),),),IF($A900&lt;&gt;0,INDEX(生物种群!$B$2:INDEX(生物种群!$B:$B,COUNTA(生物种群!$B:$B)),MATCH($A900,生物种群!$C$2:INDEX(生物种群!$C:$C,COUNTA(生物种群!$C:$C)),),),INDEX(生物种群!$B$2:INDEX(生物种群!$B:$B,COUNTA(生物种群!$B:$B)),MATCH($B900,生物种群!$D$2:INDEX(生物种群!$D:$D,COUNTA(生物种群!$D:$D)),),))))</f>
        <v/>
      </c>
      <c r="J900" s="37" t="str">
        <f>IF(A900&amp;B900&amp;C900="","",INDEX(生物种群!$J$2:INDEX(生物种群!$J:$J,COUNTA(生物种群!$J:$J)),MATCH($I900,生物种群!$B$2:INDEX(生物种群!$B:$B,COUNTA(生物种群!$B:$B)),),))</f>
        <v/>
      </c>
      <c r="K900" s="37" t="str">
        <f>IF(A900&amp;B900&amp;C900="","",INDEX(生物种群!$E$2:INDEX(生物种群!$E:$E,COUNTA(生物种群!$E:$E)),MATCH($I900,生物种群!$B$2:INDEX(生物种群!$B:$B,COUNTA(生物种群!$B:$B)),),))</f>
        <v/>
      </c>
      <c r="L900" s="37" t="str">
        <f>IF(A900&amp;B900&amp;C900="","",INDEX(生物种群!$F$3:INDEX(生物种群!$F:$F,COUNTA(生物种群!$F:$F)),MATCH($I900,生物种群!$B$3:INDEX(生物种群!$B:$B,COUNTA(生物种群!$B:$B)),),))</f>
        <v/>
      </c>
      <c r="M900" s="37" t="str">
        <f t="shared" si="28"/>
        <v/>
      </c>
      <c r="N900" s="37" t="str">
        <f t="shared" si="29"/>
        <v/>
      </c>
      <c r="O900" s="9"/>
      <c r="P900" s="10"/>
    </row>
    <row r="901" spans="1:16" ht="20.1" customHeight="1">
      <c r="A901" s="9"/>
      <c r="B901" s="9"/>
      <c r="C901" s="9"/>
      <c r="D901" s="43"/>
      <c r="E901" s="9"/>
      <c r="F901" s="9"/>
      <c r="G901" s="47" t="str">
        <f>IF(F901="","",INDEX(站位样品信息!$B$3:INDEX(站位样品信息!$B:$B,COUNTA(站位样品信息!$B:$B)+1),MATCH($F901,站位样品信息!$A$3:INDEX(站位样品信息!$A:$A,COUNTA(站位样品信息!$A:$A)+1),),))</f>
        <v/>
      </c>
      <c r="H901" s="37" t="str">
        <f>IF(A901&amp;B901&amp;C901="","",INDEX(生物种群!$A$2:INDEX(生物种群!$A:$A,COUNTA(生物种群!$A:$A)),MATCH($I901,生物种群!$B$2:INDEX(生物种群!$B:$B,COUNTA(生物种群!$B:$B)),),))</f>
        <v/>
      </c>
      <c r="I901" s="37" t="str">
        <f>IF(A901&amp;B901&amp;C901="","",IF($C901&lt;&gt;0,INDEX(生物种群!$B$2:INDEX(生物种群!$B:$B,COUNTA(生物种群!$B:$B)),MATCH($C901,生物种群!$G$2:INDEX(生物种群!$G:$G,COUNTA(生物种群!$G:$G)),),),IF($A901&lt;&gt;0,INDEX(生物种群!$B$2:INDEX(生物种群!$B:$B,COUNTA(生物种群!$B:$B)),MATCH($A901,生物种群!$C$2:INDEX(生物种群!$C:$C,COUNTA(生物种群!$C:$C)),),),INDEX(生物种群!$B$2:INDEX(生物种群!$B:$B,COUNTA(生物种群!$B:$B)),MATCH($B901,生物种群!$D$2:INDEX(生物种群!$D:$D,COUNTA(生物种群!$D:$D)),),))))</f>
        <v/>
      </c>
      <c r="J901" s="37" t="str">
        <f>IF(A901&amp;B901&amp;C901="","",INDEX(生物种群!$J$2:INDEX(生物种群!$J:$J,COUNTA(生物种群!$J:$J)),MATCH($I901,生物种群!$B$2:INDEX(生物种群!$B:$B,COUNTA(生物种群!$B:$B)),),))</f>
        <v/>
      </c>
      <c r="K901" s="37" t="str">
        <f>IF(A901&amp;B901&amp;C901="","",INDEX(生物种群!$E$2:INDEX(生物种群!$E:$E,COUNTA(生物种群!$E:$E)),MATCH($I901,生物种群!$B$2:INDEX(生物种群!$B:$B,COUNTA(生物种群!$B:$B)),),))</f>
        <v/>
      </c>
      <c r="L901" s="37" t="str">
        <f>IF(A901&amp;B901&amp;C901="","",INDEX(生物种群!$F$3:INDEX(生物种群!$F:$F,COUNTA(生物种群!$F:$F)),MATCH($I901,生物种群!$B$3:INDEX(生物种群!$B:$B,COUNTA(生物种群!$B:$B)),),))</f>
        <v/>
      </c>
      <c r="M901" s="37" t="str">
        <f t="shared" si="28"/>
        <v/>
      </c>
      <c r="N901" s="37" t="str">
        <f t="shared" si="29"/>
        <v/>
      </c>
      <c r="O901" s="9"/>
      <c r="P901" s="10"/>
    </row>
    <row r="902" spans="1:16" ht="20.1" customHeight="1">
      <c r="A902" s="9"/>
      <c r="B902" s="9"/>
      <c r="C902" s="9"/>
      <c r="D902" s="43"/>
      <c r="E902" s="9"/>
      <c r="F902" s="9"/>
      <c r="G902" s="47" t="str">
        <f>IF(F902="","",INDEX(站位样品信息!$B$3:INDEX(站位样品信息!$B:$B,COUNTA(站位样品信息!$B:$B)+1),MATCH($F902,站位样品信息!$A$3:INDEX(站位样品信息!$A:$A,COUNTA(站位样品信息!$A:$A)+1),),))</f>
        <v/>
      </c>
      <c r="H902" s="37" t="str">
        <f>IF(A902&amp;B902&amp;C902="","",INDEX(生物种群!$A$2:INDEX(生物种群!$A:$A,COUNTA(生物种群!$A:$A)),MATCH($I902,生物种群!$B$2:INDEX(生物种群!$B:$B,COUNTA(生物种群!$B:$B)),),))</f>
        <v/>
      </c>
      <c r="I902" s="37" t="str">
        <f>IF(A902&amp;B902&amp;C902="","",IF($C902&lt;&gt;0,INDEX(生物种群!$B$2:INDEX(生物种群!$B:$B,COUNTA(生物种群!$B:$B)),MATCH($C902,生物种群!$G$2:INDEX(生物种群!$G:$G,COUNTA(生物种群!$G:$G)),),),IF($A902&lt;&gt;0,INDEX(生物种群!$B$2:INDEX(生物种群!$B:$B,COUNTA(生物种群!$B:$B)),MATCH($A902,生物种群!$C$2:INDEX(生物种群!$C:$C,COUNTA(生物种群!$C:$C)),),),INDEX(生物种群!$B$2:INDEX(生物种群!$B:$B,COUNTA(生物种群!$B:$B)),MATCH($B902,生物种群!$D$2:INDEX(生物种群!$D:$D,COUNTA(生物种群!$D:$D)),),))))</f>
        <v/>
      </c>
      <c r="J902" s="37" t="str">
        <f>IF(A902&amp;B902&amp;C902="","",INDEX(生物种群!$J$2:INDEX(生物种群!$J:$J,COUNTA(生物种群!$J:$J)),MATCH($I902,生物种群!$B$2:INDEX(生物种群!$B:$B,COUNTA(生物种群!$B:$B)),),))</f>
        <v/>
      </c>
      <c r="K902" s="37" t="str">
        <f>IF(A902&amp;B902&amp;C902="","",INDEX(生物种群!$E$2:INDEX(生物种群!$E:$E,COUNTA(生物种群!$E:$E)),MATCH($I902,生物种群!$B$2:INDEX(生物种群!$B:$B,COUNTA(生物种群!$B:$B)),),))</f>
        <v/>
      </c>
      <c r="L902" s="37" t="str">
        <f>IF(A902&amp;B902&amp;C902="","",INDEX(生物种群!$F$3:INDEX(生物种群!$F:$F,COUNTA(生物种群!$F:$F)),MATCH($I902,生物种群!$B$3:INDEX(生物种群!$B:$B,COUNTA(生物种群!$B:$B)),),))</f>
        <v/>
      </c>
      <c r="M902" s="37" t="str">
        <f t="shared" si="28"/>
        <v/>
      </c>
      <c r="N902" s="37" t="str">
        <f t="shared" si="29"/>
        <v/>
      </c>
      <c r="O902" s="9"/>
      <c r="P902" s="10"/>
    </row>
    <row r="903" spans="1:16" ht="20.1" customHeight="1">
      <c r="A903" s="9"/>
      <c r="B903" s="9"/>
      <c r="C903" s="9"/>
      <c r="D903" s="43"/>
      <c r="E903" s="9"/>
      <c r="F903" s="9"/>
      <c r="G903" s="47" t="str">
        <f>IF(F903="","",INDEX(站位样品信息!$B$3:INDEX(站位样品信息!$B:$B,COUNTA(站位样品信息!$B:$B)+1),MATCH($F903,站位样品信息!$A$3:INDEX(站位样品信息!$A:$A,COUNTA(站位样品信息!$A:$A)+1),),))</f>
        <v/>
      </c>
      <c r="H903" s="37" t="str">
        <f>IF(A903&amp;B903&amp;C903="","",INDEX(生物种群!$A$2:INDEX(生物种群!$A:$A,COUNTA(生物种群!$A:$A)),MATCH($I903,生物种群!$B$2:INDEX(生物种群!$B:$B,COUNTA(生物种群!$B:$B)),),))</f>
        <v/>
      </c>
      <c r="I903" s="37" t="str">
        <f>IF(A903&amp;B903&amp;C903="","",IF($C903&lt;&gt;0,INDEX(生物种群!$B$2:INDEX(生物种群!$B:$B,COUNTA(生物种群!$B:$B)),MATCH($C903,生物种群!$G$2:INDEX(生物种群!$G:$G,COUNTA(生物种群!$G:$G)),),),IF($A903&lt;&gt;0,INDEX(生物种群!$B$2:INDEX(生物种群!$B:$B,COUNTA(生物种群!$B:$B)),MATCH($A903,生物种群!$C$2:INDEX(生物种群!$C:$C,COUNTA(生物种群!$C:$C)),),),INDEX(生物种群!$B$2:INDEX(生物种群!$B:$B,COUNTA(生物种群!$B:$B)),MATCH($B903,生物种群!$D$2:INDEX(生物种群!$D:$D,COUNTA(生物种群!$D:$D)),),))))</f>
        <v/>
      </c>
      <c r="J903" s="37" t="str">
        <f>IF(A903&amp;B903&amp;C903="","",INDEX(生物种群!$J$2:INDEX(生物种群!$J:$J,COUNTA(生物种群!$J:$J)),MATCH($I903,生物种群!$B$2:INDEX(生物种群!$B:$B,COUNTA(生物种群!$B:$B)),),))</f>
        <v/>
      </c>
      <c r="K903" s="37" t="str">
        <f>IF(A903&amp;B903&amp;C903="","",INDEX(生物种群!$E$2:INDEX(生物种群!$E:$E,COUNTA(生物种群!$E:$E)),MATCH($I903,生物种群!$B$2:INDEX(生物种群!$B:$B,COUNTA(生物种群!$B:$B)),),))</f>
        <v/>
      </c>
      <c r="L903" s="37" t="str">
        <f>IF(A903&amp;B903&amp;C903="","",INDEX(生物种群!$F$3:INDEX(生物种群!$F:$F,COUNTA(生物种群!$F:$F)),MATCH($I903,生物种群!$B$3:INDEX(生物种群!$B:$B,COUNTA(生物种群!$B:$B)),),))</f>
        <v/>
      </c>
      <c r="M903" s="37" t="str">
        <f t="shared" si="28"/>
        <v/>
      </c>
      <c r="N903" s="37" t="str">
        <f t="shared" si="29"/>
        <v/>
      </c>
      <c r="O903" s="9"/>
      <c r="P903" s="10"/>
    </row>
    <row r="904" spans="1:16" ht="20.1" customHeight="1">
      <c r="A904" s="9"/>
      <c r="B904" s="9"/>
      <c r="C904" s="9"/>
      <c r="D904" s="43"/>
      <c r="E904" s="9"/>
      <c r="F904" s="9"/>
      <c r="G904" s="47" t="str">
        <f>IF(F904="","",INDEX(站位样品信息!$B$3:INDEX(站位样品信息!$B:$B,COUNTA(站位样品信息!$B:$B)+1),MATCH($F904,站位样品信息!$A$3:INDEX(站位样品信息!$A:$A,COUNTA(站位样品信息!$A:$A)+1),),))</f>
        <v/>
      </c>
      <c r="H904" s="37" t="str">
        <f>IF(A904&amp;B904&amp;C904="","",INDEX(生物种群!$A$2:INDEX(生物种群!$A:$A,COUNTA(生物种群!$A:$A)),MATCH($I904,生物种群!$B$2:INDEX(生物种群!$B:$B,COUNTA(生物种群!$B:$B)),),))</f>
        <v/>
      </c>
      <c r="I904" s="37" t="str">
        <f>IF(A904&amp;B904&amp;C904="","",IF($C904&lt;&gt;0,INDEX(生物种群!$B$2:INDEX(生物种群!$B:$B,COUNTA(生物种群!$B:$B)),MATCH($C904,生物种群!$G$2:INDEX(生物种群!$G:$G,COUNTA(生物种群!$G:$G)),),),IF($A904&lt;&gt;0,INDEX(生物种群!$B$2:INDEX(生物种群!$B:$B,COUNTA(生物种群!$B:$B)),MATCH($A904,生物种群!$C$2:INDEX(生物种群!$C:$C,COUNTA(生物种群!$C:$C)),),),INDEX(生物种群!$B$2:INDEX(生物种群!$B:$B,COUNTA(生物种群!$B:$B)),MATCH($B904,生物种群!$D$2:INDEX(生物种群!$D:$D,COUNTA(生物种群!$D:$D)),),))))</f>
        <v/>
      </c>
      <c r="J904" s="37" t="str">
        <f>IF(A904&amp;B904&amp;C904="","",INDEX(生物种群!$J$2:INDEX(生物种群!$J:$J,COUNTA(生物种群!$J:$J)),MATCH($I904,生物种群!$B$2:INDEX(生物种群!$B:$B,COUNTA(生物种群!$B:$B)),),))</f>
        <v/>
      </c>
      <c r="K904" s="37" t="str">
        <f>IF(A904&amp;B904&amp;C904="","",INDEX(生物种群!$E$2:INDEX(生物种群!$E:$E,COUNTA(生物种群!$E:$E)),MATCH($I904,生物种群!$B$2:INDEX(生物种群!$B:$B,COUNTA(生物种群!$B:$B)),),))</f>
        <v/>
      </c>
      <c r="L904" s="37" t="str">
        <f>IF(A904&amp;B904&amp;C904="","",INDEX(生物种群!$F$3:INDEX(生物种群!$F:$F,COUNTA(生物种群!$F:$F)),MATCH($I904,生物种群!$B$3:INDEX(生物种群!$B:$B,COUNTA(生物种群!$B:$B)),),))</f>
        <v/>
      </c>
      <c r="M904" s="37" t="str">
        <f t="shared" si="28"/>
        <v/>
      </c>
      <c r="N904" s="37" t="str">
        <f t="shared" si="29"/>
        <v/>
      </c>
      <c r="O904" s="9"/>
      <c r="P904" s="10"/>
    </row>
    <row r="905" spans="1:16" ht="20.1" customHeight="1">
      <c r="A905" s="9"/>
      <c r="B905" s="9"/>
      <c r="C905" s="9"/>
      <c r="D905" s="43"/>
      <c r="E905" s="9"/>
      <c r="F905" s="9"/>
      <c r="G905" s="47" t="str">
        <f>IF(F905="","",INDEX(站位样品信息!$B$3:INDEX(站位样品信息!$B:$B,COUNTA(站位样品信息!$B:$B)+1),MATCH($F905,站位样品信息!$A$3:INDEX(站位样品信息!$A:$A,COUNTA(站位样品信息!$A:$A)+1),),))</f>
        <v/>
      </c>
      <c r="H905" s="37" t="str">
        <f>IF(A905&amp;B905&amp;C905="","",INDEX(生物种群!$A$2:INDEX(生物种群!$A:$A,COUNTA(生物种群!$A:$A)),MATCH($I905,生物种群!$B$2:INDEX(生物种群!$B:$B,COUNTA(生物种群!$B:$B)),),))</f>
        <v/>
      </c>
      <c r="I905" s="37" t="str">
        <f>IF(A905&amp;B905&amp;C905="","",IF($C905&lt;&gt;0,INDEX(生物种群!$B$2:INDEX(生物种群!$B:$B,COUNTA(生物种群!$B:$B)),MATCH($C905,生物种群!$G$2:INDEX(生物种群!$G:$G,COUNTA(生物种群!$G:$G)),),),IF($A905&lt;&gt;0,INDEX(生物种群!$B$2:INDEX(生物种群!$B:$B,COUNTA(生物种群!$B:$B)),MATCH($A905,生物种群!$C$2:INDEX(生物种群!$C:$C,COUNTA(生物种群!$C:$C)),),),INDEX(生物种群!$B$2:INDEX(生物种群!$B:$B,COUNTA(生物种群!$B:$B)),MATCH($B905,生物种群!$D$2:INDEX(生物种群!$D:$D,COUNTA(生物种群!$D:$D)),),))))</f>
        <v/>
      </c>
      <c r="J905" s="37" t="str">
        <f>IF(A905&amp;B905&amp;C905="","",INDEX(生物种群!$J$2:INDEX(生物种群!$J:$J,COUNTA(生物种群!$J:$J)),MATCH($I905,生物种群!$B$2:INDEX(生物种群!$B:$B,COUNTA(生物种群!$B:$B)),),))</f>
        <v/>
      </c>
      <c r="K905" s="37" t="str">
        <f>IF(A905&amp;B905&amp;C905="","",INDEX(生物种群!$E$2:INDEX(生物种群!$E:$E,COUNTA(生物种群!$E:$E)),MATCH($I905,生物种群!$B$2:INDEX(生物种群!$B:$B,COUNTA(生物种群!$B:$B)),),))</f>
        <v/>
      </c>
      <c r="L905" s="37" t="str">
        <f>IF(A905&amp;B905&amp;C905="","",INDEX(生物种群!$F$3:INDEX(生物种群!$F:$F,COUNTA(生物种群!$F:$F)),MATCH($I905,生物种群!$B$3:INDEX(生物种群!$B:$B,COUNTA(生物种群!$B:$B)),),))</f>
        <v/>
      </c>
      <c r="M905" s="37" t="str">
        <f t="shared" si="28"/>
        <v/>
      </c>
      <c r="N905" s="37" t="str">
        <f t="shared" si="29"/>
        <v/>
      </c>
      <c r="O905" s="9"/>
      <c r="P905" s="10"/>
    </row>
    <row r="906" spans="1:16" ht="20.1" customHeight="1">
      <c r="A906" s="9"/>
      <c r="B906" s="9"/>
      <c r="C906" s="9"/>
      <c r="D906" s="43"/>
      <c r="E906" s="9"/>
      <c r="F906" s="9"/>
      <c r="G906" s="47" t="str">
        <f>IF(F906="","",INDEX(站位样品信息!$B$3:INDEX(站位样品信息!$B:$B,COUNTA(站位样品信息!$B:$B)+1),MATCH($F906,站位样品信息!$A$3:INDEX(站位样品信息!$A:$A,COUNTA(站位样品信息!$A:$A)+1),),))</f>
        <v/>
      </c>
      <c r="H906" s="37" t="str">
        <f>IF(A906&amp;B906&amp;C906="","",INDEX(生物种群!$A$2:INDEX(生物种群!$A:$A,COUNTA(生物种群!$A:$A)),MATCH($I906,生物种群!$B$2:INDEX(生物种群!$B:$B,COUNTA(生物种群!$B:$B)),),))</f>
        <v/>
      </c>
      <c r="I906" s="37" t="str">
        <f>IF(A906&amp;B906&amp;C906="","",IF($C906&lt;&gt;0,INDEX(生物种群!$B$2:INDEX(生物种群!$B:$B,COUNTA(生物种群!$B:$B)),MATCH($C906,生物种群!$G$2:INDEX(生物种群!$G:$G,COUNTA(生物种群!$G:$G)),),),IF($A906&lt;&gt;0,INDEX(生物种群!$B$2:INDEX(生物种群!$B:$B,COUNTA(生物种群!$B:$B)),MATCH($A906,生物种群!$C$2:INDEX(生物种群!$C:$C,COUNTA(生物种群!$C:$C)),),),INDEX(生物种群!$B$2:INDEX(生物种群!$B:$B,COUNTA(生物种群!$B:$B)),MATCH($B906,生物种群!$D$2:INDEX(生物种群!$D:$D,COUNTA(生物种群!$D:$D)),),))))</f>
        <v/>
      </c>
      <c r="J906" s="37" t="str">
        <f>IF(A906&amp;B906&amp;C906="","",INDEX(生物种群!$J$2:INDEX(生物种群!$J:$J,COUNTA(生物种群!$J:$J)),MATCH($I906,生物种群!$B$2:INDEX(生物种群!$B:$B,COUNTA(生物种群!$B:$B)),),))</f>
        <v/>
      </c>
      <c r="K906" s="37" t="str">
        <f>IF(A906&amp;B906&amp;C906="","",INDEX(生物种群!$E$2:INDEX(生物种群!$E:$E,COUNTA(生物种群!$E:$E)),MATCH($I906,生物种群!$B$2:INDEX(生物种群!$B:$B,COUNTA(生物种群!$B:$B)),),))</f>
        <v/>
      </c>
      <c r="L906" s="37" t="str">
        <f>IF(A906&amp;B906&amp;C906="","",INDEX(生物种群!$F$3:INDEX(生物种群!$F:$F,COUNTA(生物种群!$F:$F)),MATCH($I906,生物种群!$B$3:INDEX(生物种群!$B:$B,COUNTA(生物种群!$B:$B)),),))</f>
        <v/>
      </c>
      <c r="M906" s="37" t="str">
        <f t="shared" si="28"/>
        <v/>
      </c>
      <c r="N906" s="37" t="str">
        <f t="shared" si="29"/>
        <v/>
      </c>
      <c r="O906" s="9"/>
      <c r="P906" s="10"/>
    </row>
    <row r="907" spans="1:16" ht="20.1" customHeight="1">
      <c r="A907" s="9"/>
      <c r="B907" s="9"/>
      <c r="C907" s="9"/>
      <c r="D907" s="43"/>
      <c r="E907" s="9"/>
      <c r="F907" s="9"/>
      <c r="G907" s="47" t="str">
        <f>IF(F907="","",INDEX(站位样品信息!$B$3:INDEX(站位样品信息!$B:$B,COUNTA(站位样品信息!$B:$B)+1),MATCH($F907,站位样品信息!$A$3:INDEX(站位样品信息!$A:$A,COUNTA(站位样品信息!$A:$A)+1),),))</f>
        <v/>
      </c>
      <c r="H907" s="37" t="str">
        <f>IF(A907&amp;B907&amp;C907="","",INDEX(生物种群!$A$2:INDEX(生物种群!$A:$A,COUNTA(生物种群!$A:$A)),MATCH($I907,生物种群!$B$2:INDEX(生物种群!$B:$B,COUNTA(生物种群!$B:$B)),),))</f>
        <v/>
      </c>
      <c r="I907" s="37" t="str">
        <f>IF(A907&amp;B907&amp;C907="","",IF($C907&lt;&gt;0,INDEX(生物种群!$B$2:INDEX(生物种群!$B:$B,COUNTA(生物种群!$B:$B)),MATCH($C907,生物种群!$G$2:INDEX(生物种群!$G:$G,COUNTA(生物种群!$G:$G)),),),IF($A907&lt;&gt;0,INDEX(生物种群!$B$2:INDEX(生物种群!$B:$B,COUNTA(生物种群!$B:$B)),MATCH($A907,生物种群!$C$2:INDEX(生物种群!$C:$C,COUNTA(生物种群!$C:$C)),),),INDEX(生物种群!$B$2:INDEX(生物种群!$B:$B,COUNTA(生物种群!$B:$B)),MATCH($B907,生物种群!$D$2:INDEX(生物种群!$D:$D,COUNTA(生物种群!$D:$D)),),))))</f>
        <v/>
      </c>
      <c r="J907" s="37" t="str">
        <f>IF(A907&amp;B907&amp;C907="","",INDEX(生物种群!$J$2:INDEX(生物种群!$J:$J,COUNTA(生物种群!$J:$J)),MATCH($I907,生物种群!$B$2:INDEX(生物种群!$B:$B,COUNTA(生物种群!$B:$B)),),))</f>
        <v/>
      </c>
      <c r="K907" s="37" t="str">
        <f>IF(A907&amp;B907&amp;C907="","",INDEX(生物种群!$E$2:INDEX(生物种群!$E:$E,COUNTA(生物种群!$E:$E)),MATCH($I907,生物种群!$B$2:INDEX(生物种群!$B:$B,COUNTA(生物种群!$B:$B)),),))</f>
        <v/>
      </c>
      <c r="L907" s="37" t="str">
        <f>IF(A907&amp;B907&amp;C907="","",INDEX(生物种群!$F$3:INDEX(生物种群!$F:$F,COUNTA(生物种群!$F:$F)),MATCH($I907,生物种群!$B$3:INDEX(生物种群!$B:$B,COUNTA(生物种群!$B:$B)),),))</f>
        <v/>
      </c>
      <c r="M907" s="37" t="str">
        <f t="shared" si="28"/>
        <v/>
      </c>
      <c r="N907" s="37" t="str">
        <f t="shared" si="29"/>
        <v/>
      </c>
      <c r="O907" s="9"/>
      <c r="P907" s="10"/>
    </row>
    <row r="908" spans="1:16" ht="20.1" customHeight="1">
      <c r="A908" s="9"/>
      <c r="B908" s="9"/>
      <c r="C908" s="9"/>
      <c r="D908" s="43"/>
      <c r="E908" s="9"/>
      <c r="F908" s="9"/>
      <c r="G908" s="47" t="str">
        <f>IF(F908="","",INDEX(站位样品信息!$B$3:INDEX(站位样品信息!$B:$B,COUNTA(站位样品信息!$B:$B)+1),MATCH($F908,站位样品信息!$A$3:INDEX(站位样品信息!$A:$A,COUNTA(站位样品信息!$A:$A)+1),),))</f>
        <v/>
      </c>
      <c r="H908" s="37" t="str">
        <f>IF(A908&amp;B908&amp;C908="","",INDEX(生物种群!$A$2:INDEX(生物种群!$A:$A,COUNTA(生物种群!$A:$A)),MATCH($I908,生物种群!$B$2:INDEX(生物种群!$B:$B,COUNTA(生物种群!$B:$B)),),))</f>
        <v/>
      </c>
      <c r="I908" s="37" t="str">
        <f>IF(A908&amp;B908&amp;C908="","",IF($C908&lt;&gt;0,INDEX(生物种群!$B$2:INDEX(生物种群!$B:$B,COUNTA(生物种群!$B:$B)),MATCH($C908,生物种群!$G$2:INDEX(生物种群!$G:$G,COUNTA(生物种群!$G:$G)),),),IF($A908&lt;&gt;0,INDEX(生物种群!$B$2:INDEX(生物种群!$B:$B,COUNTA(生物种群!$B:$B)),MATCH($A908,生物种群!$C$2:INDEX(生物种群!$C:$C,COUNTA(生物种群!$C:$C)),),),INDEX(生物种群!$B$2:INDEX(生物种群!$B:$B,COUNTA(生物种群!$B:$B)),MATCH($B908,生物种群!$D$2:INDEX(生物种群!$D:$D,COUNTA(生物种群!$D:$D)),),))))</f>
        <v/>
      </c>
      <c r="J908" s="37" t="str">
        <f>IF(A908&amp;B908&amp;C908="","",INDEX(生物种群!$J$2:INDEX(生物种群!$J:$J,COUNTA(生物种群!$J:$J)),MATCH($I908,生物种群!$B$2:INDEX(生物种群!$B:$B,COUNTA(生物种群!$B:$B)),),))</f>
        <v/>
      </c>
      <c r="K908" s="37" t="str">
        <f>IF(A908&amp;B908&amp;C908="","",INDEX(生物种群!$E$2:INDEX(生物种群!$E:$E,COUNTA(生物种群!$E:$E)),MATCH($I908,生物种群!$B$2:INDEX(生物种群!$B:$B,COUNTA(生物种群!$B:$B)),),))</f>
        <v/>
      </c>
      <c r="L908" s="37" t="str">
        <f>IF(A908&amp;B908&amp;C908="","",INDEX(生物种群!$F$3:INDEX(生物种群!$F:$F,COUNTA(生物种群!$F:$F)),MATCH($I908,生物种群!$B$3:INDEX(生物种群!$B:$B,COUNTA(生物种群!$B:$B)),),))</f>
        <v/>
      </c>
      <c r="M908" s="37" t="str">
        <f t="shared" si="28"/>
        <v/>
      </c>
      <c r="N908" s="37" t="str">
        <f t="shared" si="29"/>
        <v/>
      </c>
      <c r="O908" s="9"/>
      <c r="P908" s="10"/>
    </row>
    <row r="909" spans="1:16" ht="20.1" customHeight="1">
      <c r="A909" s="9"/>
      <c r="B909" s="9"/>
      <c r="C909" s="9"/>
      <c r="D909" s="43"/>
      <c r="E909" s="9"/>
      <c r="F909" s="9"/>
      <c r="G909" s="47" t="str">
        <f>IF(F909="","",INDEX(站位样品信息!$B$3:INDEX(站位样品信息!$B:$B,COUNTA(站位样品信息!$B:$B)+1),MATCH($F909,站位样品信息!$A$3:INDEX(站位样品信息!$A:$A,COUNTA(站位样品信息!$A:$A)+1),),))</f>
        <v/>
      </c>
      <c r="H909" s="37" t="str">
        <f>IF(A909&amp;B909&amp;C909="","",INDEX(生物种群!$A$2:INDEX(生物种群!$A:$A,COUNTA(生物种群!$A:$A)),MATCH($I909,生物种群!$B$2:INDEX(生物种群!$B:$B,COUNTA(生物种群!$B:$B)),),))</f>
        <v/>
      </c>
      <c r="I909" s="37" t="str">
        <f>IF(A909&amp;B909&amp;C909="","",IF($C909&lt;&gt;0,INDEX(生物种群!$B$2:INDEX(生物种群!$B:$B,COUNTA(生物种群!$B:$B)),MATCH($C909,生物种群!$G$2:INDEX(生物种群!$G:$G,COUNTA(生物种群!$G:$G)),),),IF($A909&lt;&gt;0,INDEX(生物种群!$B$2:INDEX(生物种群!$B:$B,COUNTA(生物种群!$B:$B)),MATCH($A909,生物种群!$C$2:INDEX(生物种群!$C:$C,COUNTA(生物种群!$C:$C)),),),INDEX(生物种群!$B$2:INDEX(生物种群!$B:$B,COUNTA(生物种群!$B:$B)),MATCH($B909,生物种群!$D$2:INDEX(生物种群!$D:$D,COUNTA(生物种群!$D:$D)),),))))</f>
        <v/>
      </c>
      <c r="J909" s="37" t="str">
        <f>IF(A909&amp;B909&amp;C909="","",INDEX(生物种群!$J$2:INDEX(生物种群!$J:$J,COUNTA(生物种群!$J:$J)),MATCH($I909,生物种群!$B$2:INDEX(生物种群!$B:$B,COUNTA(生物种群!$B:$B)),),))</f>
        <v/>
      </c>
      <c r="K909" s="37" t="str">
        <f>IF(A909&amp;B909&amp;C909="","",INDEX(生物种群!$E$2:INDEX(生物种群!$E:$E,COUNTA(生物种群!$E:$E)),MATCH($I909,生物种群!$B$2:INDEX(生物种群!$B:$B,COUNTA(生物种群!$B:$B)),),))</f>
        <v/>
      </c>
      <c r="L909" s="37" t="str">
        <f>IF(A909&amp;B909&amp;C909="","",INDEX(生物种群!$F$3:INDEX(生物种群!$F:$F,COUNTA(生物种群!$F:$F)),MATCH($I909,生物种群!$B$3:INDEX(生物种群!$B:$B,COUNTA(生物种群!$B:$B)),),))</f>
        <v/>
      </c>
      <c r="M909" s="37" t="str">
        <f t="shared" si="28"/>
        <v/>
      </c>
      <c r="N909" s="37" t="str">
        <f t="shared" si="29"/>
        <v/>
      </c>
      <c r="O909" s="9"/>
      <c r="P909" s="10"/>
    </row>
    <row r="910" spans="1:16" ht="20.1" customHeight="1">
      <c r="A910" s="9"/>
      <c r="B910" s="9"/>
      <c r="C910" s="9"/>
      <c r="D910" s="43"/>
      <c r="E910" s="9"/>
      <c r="F910" s="9"/>
      <c r="G910" s="47" t="str">
        <f>IF(F910="","",INDEX(站位样品信息!$B$3:INDEX(站位样品信息!$B:$B,COUNTA(站位样品信息!$B:$B)+1),MATCH($F910,站位样品信息!$A$3:INDEX(站位样品信息!$A:$A,COUNTA(站位样品信息!$A:$A)+1),),))</f>
        <v/>
      </c>
      <c r="H910" s="37" t="str">
        <f>IF(A910&amp;B910&amp;C910="","",INDEX(生物种群!$A$2:INDEX(生物种群!$A:$A,COUNTA(生物种群!$A:$A)),MATCH($I910,生物种群!$B$2:INDEX(生物种群!$B:$B,COUNTA(生物种群!$B:$B)),),))</f>
        <v/>
      </c>
      <c r="I910" s="37" t="str">
        <f>IF(A910&amp;B910&amp;C910="","",IF($C910&lt;&gt;0,INDEX(生物种群!$B$2:INDEX(生物种群!$B:$B,COUNTA(生物种群!$B:$B)),MATCH($C910,生物种群!$G$2:INDEX(生物种群!$G:$G,COUNTA(生物种群!$G:$G)),),),IF($A910&lt;&gt;0,INDEX(生物种群!$B$2:INDEX(生物种群!$B:$B,COUNTA(生物种群!$B:$B)),MATCH($A910,生物种群!$C$2:INDEX(生物种群!$C:$C,COUNTA(生物种群!$C:$C)),),),INDEX(生物种群!$B$2:INDEX(生物种群!$B:$B,COUNTA(生物种群!$B:$B)),MATCH($B910,生物种群!$D$2:INDEX(生物种群!$D:$D,COUNTA(生物种群!$D:$D)),),))))</f>
        <v/>
      </c>
      <c r="J910" s="37" t="str">
        <f>IF(A910&amp;B910&amp;C910="","",INDEX(生物种群!$J$2:INDEX(生物种群!$J:$J,COUNTA(生物种群!$J:$J)),MATCH($I910,生物种群!$B$2:INDEX(生物种群!$B:$B,COUNTA(生物种群!$B:$B)),),))</f>
        <v/>
      </c>
      <c r="K910" s="37" t="str">
        <f>IF(A910&amp;B910&amp;C910="","",INDEX(生物种群!$E$2:INDEX(生物种群!$E:$E,COUNTA(生物种群!$E:$E)),MATCH($I910,生物种群!$B$2:INDEX(生物种群!$B:$B,COUNTA(生物种群!$B:$B)),),))</f>
        <v/>
      </c>
      <c r="L910" s="37" t="str">
        <f>IF(A910&amp;B910&amp;C910="","",INDEX(生物种群!$F$3:INDEX(生物种群!$F:$F,COUNTA(生物种群!$F:$F)),MATCH($I910,生物种群!$B$3:INDEX(生物种群!$B:$B,COUNTA(生物种群!$B:$B)),),))</f>
        <v/>
      </c>
      <c r="M910" s="37" t="str">
        <f t="shared" si="28"/>
        <v/>
      </c>
      <c r="N910" s="37" t="str">
        <f t="shared" si="29"/>
        <v/>
      </c>
      <c r="O910" s="9"/>
      <c r="P910" s="10"/>
    </row>
    <row r="911" spans="1:16" ht="20.1" customHeight="1">
      <c r="A911" s="9"/>
      <c r="B911" s="9"/>
      <c r="C911" s="9"/>
      <c r="D911" s="43"/>
      <c r="E911" s="9"/>
      <c r="F911" s="9"/>
      <c r="G911" s="47" t="str">
        <f>IF(F911="","",INDEX(站位样品信息!$B$3:INDEX(站位样品信息!$B:$B,COUNTA(站位样品信息!$B:$B)+1),MATCH($F911,站位样品信息!$A$3:INDEX(站位样品信息!$A:$A,COUNTA(站位样品信息!$A:$A)+1),),))</f>
        <v/>
      </c>
      <c r="H911" s="37" t="str">
        <f>IF(A911&amp;B911&amp;C911="","",INDEX(生物种群!$A$2:INDEX(生物种群!$A:$A,COUNTA(生物种群!$A:$A)),MATCH($I911,生物种群!$B$2:INDEX(生物种群!$B:$B,COUNTA(生物种群!$B:$B)),),))</f>
        <v/>
      </c>
      <c r="I911" s="37" t="str">
        <f>IF(A911&amp;B911&amp;C911="","",IF($C911&lt;&gt;0,INDEX(生物种群!$B$2:INDEX(生物种群!$B:$B,COUNTA(生物种群!$B:$B)),MATCH($C911,生物种群!$G$2:INDEX(生物种群!$G:$G,COUNTA(生物种群!$G:$G)),),),IF($A911&lt;&gt;0,INDEX(生物种群!$B$2:INDEX(生物种群!$B:$B,COUNTA(生物种群!$B:$B)),MATCH($A911,生物种群!$C$2:INDEX(生物种群!$C:$C,COUNTA(生物种群!$C:$C)),),),INDEX(生物种群!$B$2:INDEX(生物种群!$B:$B,COUNTA(生物种群!$B:$B)),MATCH($B911,生物种群!$D$2:INDEX(生物种群!$D:$D,COUNTA(生物种群!$D:$D)),),))))</f>
        <v/>
      </c>
      <c r="J911" s="37" t="str">
        <f>IF(A911&amp;B911&amp;C911="","",INDEX(生物种群!$J$2:INDEX(生物种群!$J:$J,COUNTA(生物种群!$J:$J)),MATCH($I911,生物种群!$B$2:INDEX(生物种群!$B:$B,COUNTA(生物种群!$B:$B)),),))</f>
        <v/>
      </c>
      <c r="K911" s="37" t="str">
        <f>IF(A911&amp;B911&amp;C911="","",INDEX(生物种群!$E$2:INDEX(生物种群!$E:$E,COUNTA(生物种群!$E:$E)),MATCH($I911,生物种群!$B$2:INDEX(生物种群!$B:$B,COUNTA(生物种群!$B:$B)),),))</f>
        <v/>
      </c>
      <c r="L911" s="37" t="str">
        <f>IF(A911&amp;B911&amp;C911="","",INDEX(生物种群!$F$3:INDEX(生物种群!$F:$F,COUNTA(生物种群!$F:$F)),MATCH($I911,生物种群!$B$3:INDEX(生物种群!$B:$B,COUNTA(生物种群!$B:$B)),),))</f>
        <v/>
      </c>
      <c r="M911" s="37" t="str">
        <f t="shared" si="28"/>
        <v/>
      </c>
      <c r="N911" s="37" t="str">
        <f t="shared" si="29"/>
        <v/>
      </c>
      <c r="O911" s="9"/>
      <c r="P911" s="10"/>
    </row>
    <row r="912" spans="1:16" ht="20.1" customHeight="1">
      <c r="A912" s="9"/>
      <c r="B912" s="9"/>
      <c r="C912" s="9"/>
      <c r="D912" s="43"/>
      <c r="E912" s="9"/>
      <c r="F912" s="9"/>
      <c r="G912" s="47" t="str">
        <f>IF(F912="","",INDEX(站位样品信息!$B$3:INDEX(站位样品信息!$B:$B,COUNTA(站位样品信息!$B:$B)+1),MATCH($F912,站位样品信息!$A$3:INDEX(站位样品信息!$A:$A,COUNTA(站位样品信息!$A:$A)+1),),))</f>
        <v/>
      </c>
      <c r="H912" s="37" t="str">
        <f>IF(A912&amp;B912&amp;C912="","",INDEX(生物种群!$A$2:INDEX(生物种群!$A:$A,COUNTA(生物种群!$A:$A)),MATCH($I912,生物种群!$B$2:INDEX(生物种群!$B:$B,COUNTA(生物种群!$B:$B)),),))</f>
        <v/>
      </c>
      <c r="I912" s="37" t="str">
        <f>IF(A912&amp;B912&amp;C912="","",IF($C912&lt;&gt;0,INDEX(生物种群!$B$2:INDEX(生物种群!$B:$B,COUNTA(生物种群!$B:$B)),MATCH($C912,生物种群!$G$2:INDEX(生物种群!$G:$G,COUNTA(生物种群!$G:$G)),),),IF($A912&lt;&gt;0,INDEX(生物种群!$B$2:INDEX(生物种群!$B:$B,COUNTA(生物种群!$B:$B)),MATCH($A912,生物种群!$C$2:INDEX(生物种群!$C:$C,COUNTA(生物种群!$C:$C)),),),INDEX(生物种群!$B$2:INDEX(生物种群!$B:$B,COUNTA(生物种群!$B:$B)),MATCH($B912,生物种群!$D$2:INDEX(生物种群!$D:$D,COUNTA(生物种群!$D:$D)),),))))</f>
        <v/>
      </c>
      <c r="J912" s="37" t="str">
        <f>IF(A912&amp;B912&amp;C912="","",INDEX(生物种群!$J$2:INDEX(生物种群!$J:$J,COUNTA(生物种群!$J:$J)),MATCH($I912,生物种群!$B$2:INDEX(生物种群!$B:$B,COUNTA(生物种群!$B:$B)),),))</f>
        <v/>
      </c>
      <c r="K912" s="37" t="str">
        <f>IF(A912&amp;B912&amp;C912="","",INDEX(生物种群!$E$2:INDEX(生物种群!$E:$E,COUNTA(生物种群!$E:$E)),MATCH($I912,生物种群!$B$2:INDEX(生物种群!$B:$B,COUNTA(生物种群!$B:$B)),),))</f>
        <v/>
      </c>
      <c r="L912" s="37" t="str">
        <f>IF(A912&amp;B912&amp;C912="","",INDEX(生物种群!$F$3:INDEX(生物种群!$F:$F,COUNTA(生物种群!$F:$F)),MATCH($I912,生物种群!$B$3:INDEX(生物种群!$B:$B,COUNTA(生物种群!$B:$B)),),))</f>
        <v/>
      </c>
      <c r="M912" s="37" t="str">
        <f t="shared" si="28"/>
        <v/>
      </c>
      <c r="N912" s="37" t="str">
        <f t="shared" si="29"/>
        <v/>
      </c>
      <c r="O912" s="9"/>
      <c r="P912" s="10"/>
    </row>
    <row r="913" spans="1:16" ht="20.1" customHeight="1">
      <c r="A913" s="9"/>
      <c r="B913" s="9"/>
      <c r="C913" s="9"/>
      <c r="D913" s="43"/>
      <c r="E913" s="9"/>
      <c r="F913" s="9"/>
      <c r="G913" s="47" t="str">
        <f>IF(F913="","",INDEX(站位样品信息!$B$3:INDEX(站位样品信息!$B:$B,COUNTA(站位样品信息!$B:$B)+1),MATCH($F913,站位样品信息!$A$3:INDEX(站位样品信息!$A:$A,COUNTA(站位样品信息!$A:$A)+1),),))</f>
        <v/>
      </c>
      <c r="H913" s="37" t="str">
        <f>IF(A913&amp;B913&amp;C913="","",INDEX(生物种群!$A$2:INDEX(生物种群!$A:$A,COUNTA(生物种群!$A:$A)),MATCH($I913,生物种群!$B$2:INDEX(生物种群!$B:$B,COUNTA(生物种群!$B:$B)),),))</f>
        <v/>
      </c>
      <c r="I913" s="37" t="str">
        <f>IF(A913&amp;B913&amp;C913="","",IF($C913&lt;&gt;0,INDEX(生物种群!$B$2:INDEX(生物种群!$B:$B,COUNTA(生物种群!$B:$B)),MATCH($C913,生物种群!$G$2:INDEX(生物种群!$G:$G,COUNTA(生物种群!$G:$G)),),),IF($A913&lt;&gt;0,INDEX(生物种群!$B$2:INDEX(生物种群!$B:$B,COUNTA(生物种群!$B:$B)),MATCH($A913,生物种群!$C$2:INDEX(生物种群!$C:$C,COUNTA(生物种群!$C:$C)),),),INDEX(生物种群!$B$2:INDEX(生物种群!$B:$B,COUNTA(生物种群!$B:$B)),MATCH($B913,生物种群!$D$2:INDEX(生物种群!$D:$D,COUNTA(生物种群!$D:$D)),),))))</f>
        <v/>
      </c>
      <c r="J913" s="37" t="str">
        <f>IF(A913&amp;B913&amp;C913="","",INDEX(生物种群!$J$2:INDEX(生物种群!$J:$J,COUNTA(生物种群!$J:$J)),MATCH($I913,生物种群!$B$2:INDEX(生物种群!$B:$B,COUNTA(生物种群!$B:$B)),),))</f>
        <v/>
      </c>
      <c r="K913" s="37" t="str">
        <f>IF(A913&amp;B913&amp;C913="","",INDEX(生物种群!$E$2:INDEX(生物种群!$E:$E,COUNTA(生物种群!$E:$E)),MATCH($I913,生物种群!$B$2:INDEX(生物种群!$B:$B,COUNTA(生物种群!$B:$B)),),))</f>
        <v/>
      </c>
      <c r="L913" s="37" t="str">
        <f>IF(A913&amp;B913&amp;C913="","",INDEX(生物种群!$F$3:INDEX(生物种群!$F:$F,COUNTA(生物种群!$F:$F)),MATCH($I913,生物种群!$B$3:INDEX(生物种群!$B:$B,COUNTA(生物种群!$B:$B)),),))</f>
        <v/>
      </c>
      <c r="M913" s="37" t="str">
        <f t="shared" si="28"/>
        <v/>
      </c>
      <c r="N913" s="37" t="str">
        <f t="shared" si="29"/>
        <v/>
      </c>
      <c r="O913" s="9"/>
      <c r="P913" s="10"/>
    </row>
    <row r="914" spans="1:16" ht="20.1" customHeight="1">
      <c r="A914" s="9"/>
      <c r="B914" s="9"/>
      <c r="C914" s="9"/>
      <c r="D914" s="43"/>
      <c r="E914" s="9"/>
      <c r="F914" s="9"/>
      <c r="G914" s="47" t="str">
        <f>IF(F914="","",INDEX(站位样品信息!$B$3:INDEX(站位样品信息!$B:$B,COUNTA(站位样品信息!$B:$B)+1),MATCH($F914,站位样品信息!$A$3:INDEX(站位样品信息!$A:$A,COUNTA(站位样品信息!$A:$A)+1),),))</f>
        <v/>
      </c>
      <c r="H914" s="37" t="str">
        <f>IF(A914&amp;B914&amp;C914="","",INDEX(生物种群!$A$2:INDEX(生物种群!$A:$A,COUNTA(生物种群!$A:$A)),MATCH($I914,生物种群!$B$2:INDEX(生物种群!$B:$B,COUNTA(生物种群!$B:$B)),),))</f>
        <v/>
      </c>
      <c r="I914" s="37" t="str">
        <f>IF(A914&amp;B914&amp;C914="","",IF($C914&lt;&gt;0,INDEX(生物种群!$B$2:INDEX(生物种群!$B:$B,COUNTA(生物种群!$B:$B)),MATCH($C914,生物种群!$G$2:INDEX(生物种群!$G:$G,COUNTA(生物种群!$G:$G)),),),IF($A914&lt;&gt;0,INDEX(生物种群!$B$2:INDEX(生物种群!$B:$B,COUNTA(生物种群!$B:$B)),MATCH($A914,生物种群!$C$2:INDEX(生物种群!$C:$C,COUNTA(生物种群!$C:$C)),),),INDEX(生物种群!$B$2:INDEX(生物种群!$B:$B,COUNTA(生物种群!$B:$B)),MATCH($B914,生物种群!$D$2:INDEX(生物种群!$D:$D,COUNTA(生物种群!$D:$D)),),))))</f>
        <v/>
      </c>
      <c r="J914" s="37" t="str">
        <f>IF(A914&amp;B914&amp;C914="","",INDEX(生物种群!$J$2:INDEX(生物种群!$J:$J,COUNTA(生物种群!$J:$J)),MATCH($I914,生物种群!$B$2:INDEX(生物种群!$B:$B,COUNTA(生物种群!$B:$B)),),))</f>
        <v/>
      </c>
      <c r="K914" s="37" t="str">
        <f>IF(A914&amp;B914&amp;C914="","",INDEX(生物种群!$E$2:INDEX(生物种群!$E:$E,COUNTA(生物种群!$E:$E)),MATCH($I914,生物种群!$B$2:INDEX(生物种群!$B:$B,COUNTA(生物种群!$B:$B)),),))</f>
        <v/>
      </c>
      <c r="L914" s="37" t="str">
        <f>IF(A914&amp;B914&amp;C914="","",INDEX(生物种群!$F$3:INDEX(生物种群!$F:$F,COUNTA(生物种群!$F:$F)),MATCH($I914,生物种群!$B$3:INDEX(生物种群!$B:$B,COUNTA(生物种群!$B:$B)),),))</f>
        <v/>
      </c>
      <c r="M914" s="37" t="str">
        <f t="shared" si="28"/>
        <v/>
      </c>
      <c r="N914" s="37" t="str">
        <f t="shared" si="29"/>
        <v/>
      </c>
      <c r="O914" s="9"/>
      <c r="P914" s="10"/>
    </row>
    <row r="915" spans="1:16" ht="20.1" customHeight="1">
      <c r="A915" s="9"/>
      <c r="B915" s="9"/>
      <c r="C915" s="9"/>
      <c r="D915" s="43"/>
      <c r="E915" s="9"/>
      <c r="F915" s="9"/>
      <c r="G915" s="47" t="str">
        <f>IF(F915="","",INDEX(站位样品信息!$B$3:INDEX(站位样品信息!$B:$B,COUNTA(站位样品信息!$B:$B)+1),MATCH($F915,站位样品信息!$A$3:INDEX(站位样品信息!$A:$A,COUNTA(站位样品信息!$A:$A)+1),),))</f>
        <v/>
      </c>
      <c r="H915" s="37" t="str">
        <f>IF(A915&amp;B915&amp;C915="","",INDEX(生物种群!$A$2:INDEX(生物种群!$A:$A,COUNTA(生物种群!$A:$A)),MATCH($I915,生物种群!$B$2:INDEX(生物种群!$B:$B,COUNTA(生物种群!$B:$B)),),))</f>
        <v/>
      </c>
      <c r="I915" s="37" t="str">
        <f>IF(A915&amp;B915&amp;C915="","",IF($C915&lt;&gt;0,INDEX(生物种群!$B$2:INDEX(生物种群!$B:$B,COUNTA(生物种群!$B:$B)),MATCH($C915,生物种群!$G$2:INDEX(生物种群!$G:$G,COUNTA(生物种群!$G:$G)),),),IF($A915&lt;&gt;0,INDEX(生物种群!$B$2:INDEX(生物种群!$B:$B,COUNTA(生物种群!$B:$B)),MATCH($A915,生物种群!$C$2:INDEX(生物种群!$C:$C,COUNTA(生物种群!$C:$C)),),),INDEX(生物种群!$B$2:INDEX(生物种群!$B:$B,COUNTA(生物种群!$B:$B)),MATCH($B915,生物种群!$D$2:INDEX(生物种群!$D:$D,COUNTA(生物种群!$D:$D)),),))))</f>
        <v/>
      </c>
      <c r="J915" s="37" t="str">
        <f>IF(A915&amp;B915&amp;C915="","",INDEX(生物种群!$J$2:INDEX(生物种群!$J:$J,COUNTA(生物种群!$J:$J)),MATCH($I915,生物种群!$B$2:INDEX(生物种群!$B:$B,COUNTA(生物种群!$B:$B)),),))</f>
        <v/>
      </c>
      <c r="K915" s="37" t="str">
        <f>IF(A915&amp;B915&amp;C915="","",INDEX(生物种群!$E$2:INDEX(生物种群!$E:$E,COUNTA(生物种群!$E:$E)),MATCH($I915,生物种群!$B$2:INDEX(生物种群!$B:$B,COUNTA(生物种群!$B:$B)),),))</f>
        <v/>
      </c>
      <c r="L915" s="37" t="str">
        <f>IF(A915&amp;B915&amp;C915="","",INDEX(生物种群!$F$3:INDEX(生物种群!$F:$F,COUNTA(生物种群!$F:$F)),MATCH($I915,生物种群!$B$3:INDEX(生物种群!$B:$B,COUNTA(生物种群!$B:$B)),),))</f>
        <v/>
      </c>
      <c r="M915" s="37" t="str">
        <f t="shared" si="28"/>
        <v/>
      </c>
      <c r="N915" s="37" t="str">
        <f t="shared" si="29"/>
        <v/>
      </c>
      <c r="O915" s="9"/>
      <c r="P915" s="10"/>
    </row>
    <row r="916" spans="1:16" ht="20.1" customHeight="1">
      <c r="A916" s="9"/>
      <c r="B916" s="9"/>
      <c r="C916" s="9"/>
      <c r="D916" s="43"/>
      <c r="E916" s="9"/>
      <c r="F916" s="9"/>
      <c r="G916" s="47" t="str">
        <f>IF(F916="","",INDEX(站位样品信息!$B$3:INDEX(站位样品信息!$B:$B,COUNTA(站位样品信息!$B:$B)+1),MATCH($F916,站位样品信息!$A$3:INDEX(站位样品信息!$A:$A,COUNTA(站位样品信息!$A:$A)+1),),))</f>
        <v/>
      </c>
      <c r="H916" s="37" t="str">
        <f>IF(A916&amp;B916&amp;C916="","",INDEX(生物种群!$A$2:INDEX(生物种群!$A:$A,COUNTA(生物种群!$A:$A)),MATCH($I916,生物种群!$B$2:INDEX(生物种群!$B:$B,COUNTA(生物种群!$B:$B)),),))</f>
        <v/>
      </c>
      <c r="I916" s="37" t="str">
        <f>IF(A916&amp;B916&amp;C916="","",IF($C916&lt;&gt;0,INDEX(生物种群!$B$2:INDEX(生物种群!$B:$B,COUNTA(生物种群!$B:$B)),MATCH($C916,生物种群!$G$2:INDEX(生物种群!$G:$G,COUNTA(生物种群!$G:$G)),),),IF($A916&lt;&gt;0,INDEX(生物种群!$B$2:INDEX(生物种群!$B:$B,COUNTA(生物种群!$B:$B)),MATCH($A916,生物种群!$C$2:INDEX(生物种群!$C:$C,COUNTA(生物种群!$C:$C)),),),INDEX(生物种群!$B$2:INDEX(生物种群!$B:$B,COUNTA(生物种群!$B:$B)),MATCH($B916,生物种群!$D$2:INDEX(生物种群!$D:$D,COUNTA(生物种群!$D:$D)),),))))</f>
        <v/>
      </c>
      <c r="J916" s="37" t="str">
        <f>IF(A916&amp;B916&amp;C916="","",INDEX(生物种群!$J$2:INDEX(生物种群!$J:$J,COUNTA(生物种群!$J:$J)),MATCH($I916,生物种群!$B$2:INDEX(生物种群!$B:$B,COUNTA(生物种群!$B:$B)),),))</f>
        <v/>
      </c>
      <c r="K916" s="37" t="str">
        <f>IF(A916&amp;B916&amp;C916="","",INDEX(生物种群!$E$2:INDEX(生物种群!$E:$E,COUNTA(生物种群!$E:$E)),MATCH($I916,生物种群!$B$2:INDEX(生物种群!$B:$B,COUNTA(生物种群!$B:$B)),),))</f>
        <v/>
      </c>
      <c r="L916" s="37" t="str">
        <f>IF(A916&amp;B916&amp;C916="","",INDEX(生物种群!$F$3:INDEX(生物种群!$F:$F,COUNTA(生物种群!$F:$F)),MATCH($I916,生物种群!$B$3:INDEX(生物种群!$B:$B,COUNTA(生物种群!$B:$B)),),))</f>
        <v/>
      </c>
      <c r="M916" s="37" t="str">
        <f t="shared" si="28"/>
        <v/>
      </c>
      <c r="N916" s="37" t="str">
        <f t="shared" si="29"/>
        <v/>
      </c>
      <c r="O916" s="9"/>
      <c r="P916" s="10"/>
    </row>
    <row r="917" spans="1:16" ht="20.1" customHeight="1">
      <c r="A917" s="9"/>
      <c r="B917" s="9"/>
      <c r="C917" s="9"/>
      <c r="D917" s="43"/>
      <c r="E917" s="9"/>
      <c r="F917" s="9"/>
      <c r="G917" s="47" t="str">
        <f>IF(F917="","",INDEX(站位样品信息!$B$3:INDEX(站位样品信息!$B:$B,COUNTA(站位样品信息!$B:$B)+1),MATCH($F917,站位样品信息!$A$3:INDEX(站位样品信息!$A:$A,COUNTA(站位样品信息!$A:$A)+1),),))</f>
        <v/>
      </c>
      <c r="H917" s="37" t="str">
        <f>IF(A917&amp;B917&amp;C917="","",INDEX(生物种群!$A$2:INDEX(生物种群!$A:$A,COUNTA(生物种群!$A:$A)),MATCH($I917,生物种群!$B$2:INDEX(生物种群!$B:$B,COUNTA(生物种群!$B:$B)),),))</f>
        <v/>
      </c>
      <c r="I917" s="37" t="str">
        <f>IF(A917&amp;B917&amp;C917="","",IF($C917&lt;&gt;0,INDEX(生物种群!$B$2:INDEX(生物种群!$B:$B,COUNTA(生物种群!$B:$B)),MATCH($C917,生物种群!$G$2:INDEX(生物种群!$G:$G,COUNTA(生物种群!$G:$G)),),),IF($A917&lt;&gt;0,INDEX(生物种群!$B$2:INDEX(生物种群!$B:$B,COUNTA(生物种群!$B:$B)),MATCH($A917,生物种群!$C$2:INDEX(生物种群!$C:$C,COUNTA(生物种群!$C:$C)),),),INDEX(生物种群!$B$2:INDEX(生物种群!$B:$B,COUNTA(生物种群!$B:$B)),MATCH($B917,生物种群!$D$2:INDEX(生物种群!$D:$D,COUNTA(生物种群!$D:$D)),),))))</f>
        <v/>
      </c>
      <c r="J917" s="37" t="str">
        <f>IF(A917&amp;B917&amp;C917="","",INDEX(生物种群!$J$2:INDEX(生物种群!$J:$J,COUNTA(生物种群!$J:$J)),MATCH($I917,生物种群!$B$2:INDEX(生物种群!$B:$B,COUNTA(生物种群!$B:$B)),),))</f>
        <v/>
      </c>
      <c r="K917" s="37" t="str">
        <f>IF(A917&amp;B917&amp;C917="","",INDEX(生物种群!$E$2:INDEX(生物种群!$E:$E,COUNTA(生物种群!$E:$E)),MATCH($I917,生物种群!$B$2:INDEX(生物种群!$B:$B,COUNTA(生物种群!$B:$B)),),))</f>
        <v/>
      </c>
      <c r="L917" s="37" t="str">
        <f>IF(A917&amp;B917&amp;C917="","",INDEX(生物种群!$F$3:INDEX(生物种群!$F:$F,COUNTA(生物种群!$F:$F)),MATCH($I917,生物种群!$B$3:INDEX(生物种群!$B:$B,COUNTA(生物种群!$B:$B)),),))</f>
        <v/>
      </c>
      <c r="M917" s="37" t="str">
        <f t="shared" si="28"/>
        <v/>
      </c>
      <c r="N917" s="37" t="str">
        <f t="shared" si="29"/>
        <v/>
      </c>
      <c r="O917" s="9"/>
      <c r="P917" s="10"/>
    </row>
    <row r="918" spans="1:16" ht="20.1" customHeight="1">
      <c r="A918" s="9"/>
      <c r="B918" s="9"/>
      <c r="C918" s="9"/>
      <c r="D918" s="43"/>
      <c r="E918" s="9"/>
      <c r="F918" s="9"/>
      <c r="G918" s="47" t="str">
        <f>IF(F918="","",INDEX(站位样品信息!$B$3:INDEX(站位样品信息!$B:$B,COUNTA(站位样品信息!$B:$B)+1),MATCH($F918,站位样品信息!$A$3:INDEX(站位样品信息!$A:$A,COUNTA(站位样品信息!$A:$A)+1),),))</f>
        <v/>
      </c>
      <c r="H918" s="37" t="str">
        <f>IF(A918&amp;B918&amp;C918="","",INDEX(生物种群!$A$2:INDEX(生物种群!$A:$A,COUNTA(生物种群!$A:$A)),MATCH($I918,生物种群!$B$2:INDEX(生物种群!$B:$B,COUNTA(生物种群!$B:$B)),),))</f>
        <v/>
      </c>
      <c r="I918" s="37" t="str">
        <f>IF(A918&amp;B918&amp;C918="","",IF($C918&lt;&gt;0,INDEX(生物种群!$B$2:INDEX(生物种群!$B:$B,COUNTA(生物种群!$B:$B)),MATCH($C918,生物种群!$G$2:INDEX(生物种群!$G:$G,COUNTA(生物种群!$G:$G)),),),IF($A918&lt;&gt;0,INDEX(生物种群!$B$2:INDEX(生物种群!$B:$B,COUNTA(生物种群!$B:$B)),MATCH($A918,生物种群!$C$2:INDEX(生物种群!$C:$C,COUNTA(生物种群!$C:$C)),),),INDEX(生物种群!$B$2:INDEX(生物种群!$B:$B,COUNTA(生物种群!$B:$B)),MATCH($B918,生物种群!$D$2:INDEX(生物种群!$D:$D,COUNTA(生物种群!$D:$D)),),))))</f>
        <v/>
      </c>
      <c r="J918" s="37" t="str">
        <f>IF(A918&amp;B918&amp;C918="","",INDEX(生物种群!$J$2:INDEX(生物种群!$J:$J,COUNTA(生物种群!$J:$J)),MATCH($I918,生物种群!$B$2:INDEX(生物种群!$B:$B,COUNTA(生物种群!$B:$B)),),))</f>
        <v/>
      </c>
      <c r="K918" s="37" t="str">
        <f>IF(A918&amp;B918&amp;C918="","",INDEX(生物种群!$E$2:INDEX(生物种群!$E:$E,COUNTA(生物种群!$E:$E)),MATCH($I918,生物种群!$B$2:INDEX(生物种群!$B:$B,COUNTA(生物种群!$B:$B)),),))</f>
        <v/>
      </c>
      <c r="L918" s="37" t="str">
        <f>IF(A918&amp;B918&amp;C918="","",INDEX(生物种群!$F$3:INDEX(生物种群!$F:$F,COUNTA(生物种群!$F:$F)),MATCH($I918,生物种群!$B$3:INDEX(生物种群!$B:$B,COUNTA(生物种群!$B:$B)),),))</f>
        <v/>
      </c>
      <c r="M918" s="37" t="str">
        <f t="shared" si="28"/>
        <v/>
      </c>
      <c r="N918" s="37" t="str">
        <f t="shared" si="29"/>
        <v/>
      </c>
      <c r="O918" s="9"/>
      <c r="P918" s="10"/>
    </row>
    <row r="919" spans="1:16" ht="20.1" customHeight="1">
      <c r="A919" s="9"/>
      <c r="B919" s="9"/>
      <c r="C919" s="9"/>
      <c r="D919" s="43"/>
      <c r="E919" s="9"/>
      <c r="F919" s="9"/>
      <c r="G919" s="47" t="str">
        <f>IF(F919="","",INDEX(站位样品信息!$B$3:INDEX(站位样品信息!$B:$B,COUNTA(站位样品信息!$B:$B)+1),MATCH($F919,站位样品信息!$A$3:INDEX(站位样品信息!$A:$A,COUNTA(站位样品信息!$A:$A)+1),),))</f>
        <v/>
      </c>
      <c r="H919" s="37" t="str">
        <f>IF(A919&amp;B919&amp;C919="","",INDEX(生物种群!$A$2:INDEX(生物种群!$A:$A,COUNTA(生物种群!$A:$A)),MATCH($I919,生物种群!$B$2:INDEX(生物种群!$B:$B,COUNTA(生物种群!$B:$B)),),))</f>
        <v/>
      </c>
      <c r="I919" s="37" t="str">
        <f>IF(A919&amp;B919&amp;C919="","",IF($C919&lt;&gt;0,INDEX(生物种群!$B$2:INDEX(生物种群!$B:$B,COUNTA(生物种群!$B:$B)),MATCH($C919,生物种群!$G$2:INDEX(生物种群!$G:$G,COUNTA(生物种群!$G:$G)),),),IF($A919&lt;&gt;0,INDEX(生物种群!$B$2:INDEX(生物种群!$B:$B,COUNTA(生物种群!$B:$B)),MATCH($A919,生物种群!$C$2:INDEX(生物种群!$C:$C,COUNTA(生物种群!$C:$C)),),),INDEX(生物种群!$B$2:INDEX(生物种群!$B:$B,COUNTA(生物种群!$B:$B)),MATCH($B919,生物种群!$D$2:INDEX(生物种群!$D:$D,COUNTA(生物种群!$D:$D)),),))))</f>
        <v/>
      </c>
      <c r="J919" s="37" t="str">
        <f>IF(A919&amp;B919&amp;C919="","",INDEX(生物种群!$J$2:INDEX(生物种群!$J:$J,COUNTA(生物种群!$J:$J)),MATCH($I919,生物种群!$B$2:INDEX(生物种群!$B:$B,COUNTA(生物种群!$B:$B)),),))</f>
        <v/>
      </c>
      <c r="K919" s="37" t="str">
        <f>IF(A919&amp;B919&amp;C919="","",INDEX(生物种群!$E$2:INDEX(生物种群!$E:$E,COUNTA(生物种群!$E:$E)),MATCH($I919,生物种群!$B$2:INDEX(生物种群!$B:$B,COUNTA(生物种群!$B:$B)),),))</f>
        <v/>
      </c>
      <c r="L919" s="37" t="str">
        <f>IF(A919&amp;B919&amp;C919="","",INDEX(生物种群!$F$3:INDEX(生物种群!$F:$F,COUNTA(生物种群!$F:$F)),MATCH($I919,生物种群!$B$3:INDEX(生物种群!$B:$B,COUNTA(生物种群!$B:$B)),),))</f>
        <v/>
      </c>
      <c r="M919" s="37" t="str">
        <f t="shared" si="28"/>
        <v/>
      </c>
      <c r="N919" s="37" t="str">
        <f t="shared" si="29"/>
        <v/>
      </c>
      <c r="O919" s="9"/>
      <c r="P919" s="10"/>
    </row>
    <row r="920" spans="1:16" ht="20.1" customHeight="1">
      <c r="A920" s="9"/>
      <c r="B920" s="9"/>
      <c r="C920" s="9"/>
      <c r="D920" s="43"/>
      <c r="E920" s="9"/>
      <c r="F920" s="9"/>
      <c r="G920" s="47" t="str">
        <f>IF(F920="","",INDEX(站位样品信息!$B$3:INDEX(站位样品信息!$B:$B,COUNTA(站位样品信息!$B:$B)+1),MATCH($F920,站位样品信息!$A$3:INDEX(站位样品信息!$A:$A,COUNTA(站位样品信息!$A:$A)+1),),))</f>
        <v/>
      </c>
      <c r="H920" s="37" t="str">
        <f>IF(A920&amp;B920&amp;C920="","",INDEX(生物种群!$A$2:INDEX(生物种群!$A:$A,COUNTA(生物种群!$A:$A)),MATCH($I920,生物种群!$B$2:INDEX(生物种群!$B:$B,COUNTA(生物种群!$B:$B)),),))</f>
        <v/>
      </c>
      <c r="I920" s="37" t="str">
        <f>IF(A920&amp;B920&amp;C920="","",IF($C920&lt;&gt;0,INDEX(生物种群!$B$2:INDEX(生物种群!$B:$B,COUNTA(生物种群!$B:$B)),MATCH($C920,生物种群!$G$2:INDEX(生物种群!$G:$G,COUNTA(生物种群!$G:$G)),),),IF($A920&lt;&gt;0,INDEX(生物种群!$B$2:INDEX(生物种群!$B:$B,COUNTA(生物种群!$B:$B)),MATCH($A920,生物种群!$C$2:INDEX(生物种群!$C:$C,COUNTA(生物种群!$C:$C)),),),INDEX(生物种群!$B$2:INDEX(生物种群!$B:$B,COUNTA(生物种群!$B:$B)),MATCH($B920,生物种群!$D$2:INDEX(生物种群!$D:$D,COUNTA(生物种群!$D:$D)),),))))</f>
        <v/>
      </c>
      <c r="J920" s="37" t="str">
        <f>IF(A920&amp;B920&amp;C920="","",INDEX(生物种群!$J$2:INDEX(生物种群!$J:$J,COUNTA(生物种群!$J:$J)),MATCH($I920,生物种群!$B$2:INDEX(生物种群!$B:$B,COUNTA(生物种群!$B:$B)),),))</f>
        <v/>
      </c>
      <c r="K920" s="37" t="str">
        <f>IF(A920&amp;B920&amp;C920="","",INDEX(生物种群!$E$2:INDEX(生物种群!$E:$E,COUNTA(生物种群!$E:$E)),MATCH($I920,生物种群!$B$2:INDEX(生物种群!$B:$B,COUNTA(生物种群!$B:$B)),),))</f>
        <v/>
      </c>
      <c r="L920" s="37" t="str">
        <f>IF(A920&amp;B920&amp;C920="","",INDEX(生物种群!$F$3:INDEX(生物种群!$F:$F,COUNTA(生物种群!$F:$F)),MATCH($I920,生物种群!$B$3:INDEX(生物种群!$B:$B,COUNTA(生物种群!$B:$B)),),))</f>
        <v/>
      </c>
      <c r="M920" s="37" t="str">
        <f t="shared" si="28"/>
        <v/>
      </c>
      <c r="N920" s="37" t="str">
        <f t="shared" si="29"/>
        <v/>
      </c>
      <c r="O920" s="9"/>
      <c r="P920" s="10"/>
    </row>
    <row r="921" spans="1:16" ht="20.1" customHeight="1">
      <c r="A921" s="9"/>
      <c r="B921" s="9"/>
      <c r="C921" s="9"/>
      <c r="D921" s="43"/>
      <c r="E921" s="9"/>
      <c r="F921" s="9"/>
      <c r="G921" s="47" t="str">
        <f>IF(F921="","",INDEX(站位样品信息!$B$3:INDEX(站位样品信息!$B:$B,COUNTA(站位样品信息!$B:$B)+1),MATCH($F921,站位样品信息!$A$3:INDEX(站位样品信息!$A:$A,COUNTA(站位样品信息!$A:$A)+1),),))</f>
        <v/>
      </c>
      <c r="H921" s="37" t="str">
        <f>IF(A921&amp;B921&amp;C921="","",INDEX(生物种群!$A$2:INDEX(生物种群!$A:$A,COUNTA(生物种群!$A:$A)),MATCH($I921,生物种群!$B$2:INDEX(生物种群!$B:$B,COUNTA(生物种群!$B:$B)),),))</f>
        <v/>
      </c>
      <c r="I921" s="37" t="str">
        <f>IF(A921&amp;B921&amp;C921="","",IF($C921&lt;&gt;0,INDEX(生物种群!$B$2:INDEX(生物种群!$B:$B,COUNTA(生物种群!$B:$B)),MATCH($C921,生物种群!$G$2:INDEX(生物种群!$G:$G,COUNTA(生物种群!$G:$G)),),),IF($A921&lt;&gt;0,INDEX(生物种群!$B$2:INDEX(生物种群!$B:$B,COUNTA(生物种群!$B:$B)),MATCH($A921,生物种群!$C$2:INDEX(生物种群!$C:$C,COUNTA(生物种群!$C:$C)),),),INDEX(生物种群!$B$2:INDEX(生物种群!$B:$B,COUNTA(生物种群!$B:$B)),MATCH($B921,生物种群!$D$2:INDEX(生物种群!$D:$D,COUNTA(生物种群!$D:$D)),),))))</f>
        <v/>
      </c>
      <c r="J921" s="37" t="str">
        <f>IF(A921&amp;B921&amp;C921="","",INDEX(生物种群!$J$2:INDEX(生物种群!$J:$J,COUNTA(生物种群!$J:$J)),MATCH($I921,生物种群!$B$2:INDEX(生物种群!$B:$B,COUNTA(生物种群!$B:$B)),),))</f>
        <v/>
      </c>
      <c r="K921" s="37" t="str">
        <f>IF(A921&amp;B921&amp;C921="","",INDEX(生物种群!$E$2:INDEX(生物种群!$E:$E,COUNTA(生物种群!$E:$E)),MATCH($I921,生物种群!$B$2:INDEX(生物种群!$B:$B,COUNTA(生物种群!$B:$B)),),))</f>
        <v/>
      </c>
      <c r="L921" s="37" t="str">
        <f>IF(A921&amp;B921&amp;C921="","",INDEX(生物种群!$F$3:INDEX(生物种群!$F:$F,COUNTA(生物种群!$F:$F)),MATCH($I921,生物种群!$B$3:INDEX(生物种群!$B:$B,COUNTA(生物种群!$B:$B)),),))</f>
        <v/>
      </c>
      <c r="M921" s="37" t="str">
        <f t="shared" si="28"/>
        <v/>
      </c>
      <c r="N921" s="37" t="str">
        <f t="shared" si="29"/>
        <v/>
      </c>
      <c r="O921" s="9"/>
      <c r="P921" s="10"/>
    </row>
    <row r="922" spans="1:16" ht="20.1" customHeight="1">
      <c r="A922" s="9"/>
      <c r="B922" s="9"/>
      <c r="C922" s="9"/>
      <c r="D922" s="43"/>
      <c r="E922" s="9"/>
      <c r="F922" s="9"/>
      <c r="G922" s="47" t="str">
        <f>IF(F922="","",INDEX(站位样品信息!$B$3:INDEX(站位样品信息!$B:$B,COUNTA(站位样品信息!$B:$B)+1),MATCH($F922,站位样品信息!$A$3:INDEX(站位样品信息!$A:$A,COUNTA(站位样品信息!$A:$A)+1),),))</f>
        <v/>
      </c>
      <c r="H922" s="37" t="str">
        <f>IF(A922&amp;B922&amp;C922="","",INDEX(生物种群!$A$2:INDEX(生物种群!$A:$A,COUNTA(生物种群!$A:$A)),MATCH($I922,生物种群!$B$2:INDEX(生物种群!$B:$B,COUNTA(生物种群!$B:$B)),),))</f>
        <v/>
      </c>
      <c r="I922" s="37" t="str">
        <f>IF(A922&amp;B922&amp;C922="","",IF($C922&lt;&gt;0,INDEX(生物种群!$B$2:INDEX(生物种群!$B:$B,COUNTA(生物种群!$B:$B)),MATCH($C922,生物种群!$G$2:INDEX(生物种群!$G:$G,COUNTA(生物种群!$G:$G)),),),IF($A922&lt;&gt;0,INDEX(生物种群!$B$2:INDEX(生物种群!$B:$B,COUNTA(生物种群!$B:$B)),MATCH($A922,生物种群!$C$2:INDEX(生物种群!$C:$C,COUNTA(生物种群!$C:$C)),),),INDEX(生物种群!$B$2:INDEX(生物种群!$B:$B,COUNTA(生物种群!$B:$B)),MATCH($B922,生物种群!$D$2:INDEX(生物种群!$D:$D,COUNTA(生物种群!$D:$D)),),))))</f>
        <v/>
      </c>
      <c r="J922" s="37" t="str">
        <f>IF(A922&amp;B922&amp;C922="","",INDEX(生物种群!$J$2:INDEX(生物种群!$J:$J,COUNTA(生物种群!$J:$J)),MATCH($I922,生物种群!$B$2:INDEX(生物种群!$B:$B,COUNTA(生物种群!$B:$B)),),))</f>
        <v/>
      </c>
      <c r="K922" s="37" t="str">
        <f>IF(A922&amp;B922&amp;C922="","",INDEX(生物种群!$E$2:INDEX(生物种群!$E:$E,COUNTA(生物种群!$E:$E)),MATCH($I922,生物种群!$B$2:INDEX(生物种群!$B:$B,COUNTA(生物种群!$B:$B)),),))</f>
        <v/>
      </c>
      <c r="L922" s="37" t="str">
        <f>IF(A922&amp;B922&amp;C922="","",INDEX(生物种群!$F$3:INDEX(生物种群!$F:$F,COUNTA(生物种群!$F:$F)),MATCH($I922,生物种群!$B$3:INDEX(生物种群!$B:$B,COUNTA(生物种群!$B:$B)),),))</f>
        <v/>
      </c>
      <c r="M922" s="37" t="str">
        <f t="shared" si="28"/>
        <v/>
      </c>
      <c r="N922" s="37" t="str">
        <f t="shared" si="29"/>
        <v/>
      </c>
      <c r="O922" s="9"/>
      <c r="P922" s="10"/>
    </row>
    <row r="923" spans="1:16" ht="20.1" customHeight="1">
      <c r="A923" s="9"/>
      <c r="B923" s="9"/>
      <c r="C923" s="9"/>
      <c r="D923" s="43"/>
      <c r="E923" s="9"/>
      <c r="F923" s="9"/>
      <c r="G923" s="47" t="str">
        <f>IF(F923="","",INDEX(站位样品信息!$B$3:INDEX(站位样品信息!$B:$B,COUNTA(站位样品信息!$B:$B)+1),MATCH($F923,站位样品信息!$A$3:INDEX(站位样品信息!$A:$A,COUNTA(站位样品信息!$A:$A)+1),),))</f>
        <v/>
      </c>
      <c r="H923" s="37" t="str">
        <f>IF(A923&amp;B923&amp;C923="","",INDEX(生物种群!$A$2:INDEX(生物种群!$A:$A,COUNTA(生物种群!$A:$A)),MATCH($I923,生物种群!$B$2:INDEX(生物种群!$B:$B,COUNTA(生物种群!$B:$B)),),))</f>
        <v/>
      </c>
      <c r="I923" s="37" t="str">
        <f>IF(A923&amp;B923&amp;C923="","",IF($C923&lt;&gt;0,INDEX(生物种群!$B$2:INDEX(生物种群!$B:$B,COUNTA(生物种群!$B:$B)),MATCH($C923,生物种群!$G$2:INDEX(生物种群!$G:$G,COUNTA(生物种群!$G:$G)),),),IF($A923&lt;&gt;0,INDEX(生物种群!$B$2:INDEX(生物种群!$B:$B,COUNTA(生物种群!$B:$B)),MATCH($A923,生物种群!$C$2:INDEX(生物种群!$C:$C,COUNTA(生物种群!$C:$C)),),),INDEX(生物种群!$B$2:INDEX(生物种群!$B:$B,COUNTA(生物种群!$B:$B)),MATCH($B923,生物种群!$D$2:INDEX(生物种群!$D:$D,COUNTA(生物种群!$D:$D)),),))))</f>
        <v/>
      </c>
      <c r="J923" s="37" t="str">
        <f>IF(A923&amp;B923&amp;C923="","",INDEX(生物种群!$J$2:INDEX(生物种群!$J:$J,COUNTA(生物种群!$J:$J)),MATCH($I923,生物种群!$B$2:INDEX(生物种群!$B:$B,COUNTA(生物种群!$B:$B)),),))</f>
        <v/>
      </c>
      <c r="K923" s="37" t="str">
        <f>IF(A923&amp;B923&amp;C923="","",INDEX(生物种群!$E$2:INDEX(生物种群!$E:$E,COUNTA(生物种群!$E:$E)),MATCH($I923,生物种群!$B$2:INDEX(生物种群!$B:$B,COUNTA(生物种群!$B:$B)),),))</f>
        <v/>
      </c>
      <c r="L923" s="37" t="str">
        <f>IF(A923&amp;B923&amp;C923="","",INDEX(生物种群!$F$3:INDEX(生物种群!$F:$F,COUNTA(生物种群!$F:$F)),MATCH($I923,生物种群!$B$3:INDEX(生物种群!$B:$B,COUNTA(生物种群!$B:$B)),),))</f>
        <v/>
      </c>
      <c r="M923" s="37" t="str">
        <f t="shared" si="28"/>
        <v/>
      </c>
      <c r="N923" s="37" t="str">
        <f t="shared" si="29"/>
        <v/>
      </c>
      <c r="O923" s="9"/>
      <c r="P923" s="10"/>
    </row>
    <row r="924" spans="1:16" ht="20.1" customHeight="1">
      <c r="A924" s="9"/>
      <c r="B924" s="9"/>
      <c r="C924" s="9"/>
      <c r="D924" s="43"/>
      <c r="E924" s="9"/>
      <c r="F924" s="9"/>
      <c r="G924" s="47" t="str">
        <f>IF(F924="","",INDEX(站位样品信息!$B$3:INDEX(站位样品信息!$B:$B,COUNTA(站位样品信息!$B:$B)+1),MATCH($F924,站位样品信息!$A$3:INDEX(站位样品信息!$A:$A,COUNTA(站位样品信息!$A:$A)+1),),))</f>
        <v/>
      </c>
      <c r="H924" s="37" t="str">
        <f>IF(A924&amp;B924&amp;C924="","",INDEX(生物种群!$A$2:INDEX(生物种群!$A:$A,COUNTA(生物种群!$A:$A)),MATCH($I924,生物种群!$B$2:INDEX(生物种群!$B:$B,COUNTA(生物种群!$B:$B)),),))</f>
        <v/>
      </c>
      <c r="I924" s="37" t="str">
        <f>IF(A924&amp;B924&amp;C924="","",IF($C924&lt;&gt;0,INDEX(生物种群!$B$2:INDEX(生物种群!$B:$B,COUNTA(生物种群!$B:$B)),MATCH($C924,生物种群!$G$2:INDEX(生物种群!$G:$G,COUNTA(生物种群!$G:$G)),),),IF($A924&lt;&gt;0,INDEX(生物种群!$B$2:INDEX(生物种群!$B:$B,COUNTA(生物种群!$B:$B)),MATCH($A924,生物种群!$C$2:INDEX(生物种群!$C:$C,COUNTA(生物种群!$C:$C)),),),INDEX(生物种群!$B$2:INDEX(生物种群!$B:$B,COUNTA(生物种群!$B:$B)),MATCH($B924,生物种群!$D$2:INDEX(生物种群!$D:$D,COUNTA(生物种群!$D:$D)),),))))</f>
        <v/>
      </c>
      <c r="J924" s="37" t="str">
        <f>IF(A924&amp;B924&amp;C924="","",INDEX(生物种群!$J$2:INDEX(生物种群!$J:$J,COUNTA(生物种群!$J:$J)),MATCH($I924,生物种群!$B$2:INDEX(生物种群!$B:$B,COUNTA(生物种群!$B:$B)),),))</f>
        <v/>
      </c>
      <c r="K924" s="37" t="str">
        <f>IF(A924&amp;B924&amp;C924="","",INDEX(生物种群!$E$2:INDEX(生物种群!$E:$E,COUNTA(生物种群!$E:$E)),MATCH($I924,生物种群!$B$2:INDEX(生物种群!$B:$B,COUNTA(生物种群!$B:$B)),),))</f>
        <v/>
      </c>
      <c r="L924" s="37" t="str">
        <f>IF(A924&amp;B924&amp;C924="","",INDEX(生物种群!$F$3:INDEX(生物种群!$F:$F,COUNTA(生物种群!$F:$F)),MATCH($I924,生物种群!$B$3:INDEX(生物种群!$B:$B,COUNTA(生物种群!$B:$B)),),))</f>
        <v/>
      </c>
      <c r="M924" s="37" t="str">
        <f t="shared" si="28"/>
        <v/>
      </c>
      <c r="N924" s="37" t="str">
        <f t="shared" si="29"/>
        <v/>
      </c>
      <c r="O924" s="9"/>
      <c r="P924" s="10"/>
    </row>
    <row r="925" spans="1:16" ht="20.1" customHeight="1">
      <c r="A925" s="9"/>
      <c r="B925" s="9"/>
      <c r="C925" s="9"/>
      <c r="D925" s="43"/>
      <c r="E925" s="9"/>
      <c r="F925" s="9"/>
      <c r="G925" s="47" t="str">
        <f>IF(F925="","",INDEX(站位样品信息!$B$3:INDEX(站位样品信息!$B:$B,COUNTA(站位样品信息!$B:$B)+1),MATCH($F925,站位样品信息!$A$3:INDEX(站位样品信息!$A:$A,COUNTA(站位样品信息!$A:$A)+1),),))</f>
        <v/>
      </c>
      <c r="H925" s="37" t="str">
        <f>IF(A925&amp;B925&amp;C925="","",INDEX(生物种群!$A$2:INDEX(生物种群!$A:$A,COUNTA(生物种群!$A:$A)),MATCH($I925,生物种群!$B$2:INDEX(生物种群!$B:$B,COUNTA(生物种群!$B:$B)),),))</f>
        <v/>
      </c>
      <c r="I925" s="37" t="str">
        <f>IF(A925&amp;B925&amp;C925="","",IF($C925&lt;&gt;0,INDEX(生物种群!$B$2:INDEX(生物种群!$B:$B,COUNTA(生物种群!$B:$B)),MATCH($C925,生物种群!$G$2:INDEX(生物种群!$G:$G,COUNTA(生物种群!$G:$G)),),),IF($A925&lt;&gt;0,INDEX(生物种群!$B$2:INDEX(生物种群!$B:$B,COUNTA(生物种群!$B:$B)),MATCH($A925,生物种群!$C$2:INDEX(生物种群!$C:$C,COUNTA(生物种群!$C:$C)),),),INDEX(生物种群!$B$2:INDEX(生物种群!$B:$B,COUNTA(生物种群!$B:$B)),MATCH($B925,生物种群!$D$2:INDEX(生物种群!$D:$D,COUNTA(生物种群!$D:$D)),),))))</f>
        <v/>
      </c>
      <c r="J925" s="37" t="str">
        <f>IF(A925&amp;B925&amp;C925="","",INDEX(生物种群!$J$2:INDEX(生物种群!$J:$J,COUNTA(生物种群!$J:$J)),MATCH($I925,生物种群!$B$2:INDEX(生物种群!$B:$B,COUNTA(生物种群!$B:$B)),),))</f>
        <v/>
      </c>
      <c r="K925" s="37" t="str">
        <f>IF(A925&amp;B925&amp;C925="","",INDEX(生物种群!$E$2:INDEX(生物种群!$E:$E,COUNTA(生物种群!$E:$E)),MATCH($I925,生物种群!$B$2:INDEX(生物种群!$B:$B,COUNTA(生物种群!$B:$B)),),))</f>
        <v/>
      </c>
      <c r="L925" s="37" t="str">
        <f>IF(A925&amp;B925&amp;C925="","",INDEX(生物种群!$F$3:INDEX(生物种群!$F:$F,COUNTA(生物种群!$F:$F)),MATCH($I925,生物种群!$B$3:INDEX(生物种群!$B:$B,COUNTA(生物种群!$B:$B)),),))</f>
        <v/>
      </c>
      <c r="M925" s="37" t="str">
        <f t="shared" si="28"/>
        <v/>
      </c>
      <c r="N925" s="37" t="str">
        <f t="shared" si="29"/>
        <v/>
      </c>
      <c r="O925" s="9"/>
      <c r="P925" s="10"/>
    </row>
    <row r="926" spans="1:16" ht="20.1" customHeight="1">
      <c r="A926" s="9"/>
      <c r="B926" s="9"/>
      <c r="C926" s="9"/>
      <c r="D926" s="43"/>
      <c r="E926" s="9"/>
      <c r="F926" s="9"/>
      <c r="G926" s="47" t="str">
        <f>IF(F926="","",INDEX(站位样品信息!$B$3:INDEX(站位样品信息!$B:$B,COUNTA(站位样品信息!$B:$B)+1),MATCH($F926,站位样品信息!$A$3:INDEX(站位样品信息!$A:$A,COUNTA(站位样品信息!$A:$A)+1),),))</f>
        <v/>
      </c>
      <c r="H926" s="37" t="str">
        <f>IF(A926&amp;B926&amp;C926="","",INDEX(生物种群!$A$2:INDEX(生物种群!$A:$A,COUNTA(生物种群!$A:$A)),MATCH($I926,生物种群!$B$2:INDEX(生物种群!$B:$B,COUNTA(生物种群!$B:$B)),),))</f>
        <v/>
      </c>
      <c r="I926" s="37" t="str">
        <f>IF(A926&amp;B926&amp;C926="","",IF($C926&lt;&gt;0,INDEX(生物种群!$B$2:INDEX(生物种群!$B:$B,COUNTA(生物种群!$B:$B)),MATCH($C926,生物种群!$G$2:INDEX(生物种群!$G:$G,COUNTA(生物种群!$G:$G)),),),IF($A926&lt;&gt;0,INDEX(生物种群!$B$2:INDEX(生物种群!$B:$B,COUNTA(生物种群!$B:$B)),MATCH($A926,生物种群!$C$2:INDEX(生物种群!$C:$C,COUNTA(生物种群!$C:$C)),),),INDEX(生物种群!$B$2:INDEX(生物种群!$B:$B,COUNTA(生物种群!$B:$B)),MATCH($B926,生物种群!$D$2:INDEX(生物种群!$D:$D,COUNTA(生物种群!$D:$D)),),))))</f>
        <v/>
      </c>
      <c r="J926" s="37" t="str">
        <f>IF(A926&amp;B926&amp;C926="","",INDEX(生物种群!$J$2:INDEX(生物种群!$J:$J,COUNTA(生物种群!$J:$J)),MATCH($I926,生物种群!$B$2:INDEX(生物种群!$B:$B,COUNTA(生物种群!$B:$B)),),))</f>
        <v/>
      </c>
      <c r="K926" s="37" t="str">
        <f>IF(A926&amp;B926&amp;C926="","",INDEX(生物种群!$E$2:INDEX(生物种群!$E:$E,COUNTA(生物种群!$E:$E)),MATCH($I926,生物种群!$B$2:INDEX(生物种群!$B:$B,COUNTA(生物种群!$B:$B)),),))</f>
        <v/>
      </c>
      <c r="L926" s="37" t="str">
        <f>IF(A926&amp;B926&amp;C926="","",INDEX(生物种群!$F$3:INDEX(生物种群!$F:$F,COUNTA(生物种群!$F:$F)),MATCH($I926,生物种群!$B$3:INDEX(生物种群!$B:$B,COUNTA(生物种群!$B:$B)),),))</f>
        <v/>
      </c>
      <c r="M926" s="37" t="str">
        <f t="shared" si="28"/>
        <v/>
      </c>
      <c r="N926" s="37" t="str">
        <f t="shared" si="29"/>
        <v/>
      </c>
      <c r="O926" s="9"/>
      <c r="P926" s="10"/>
    </row>
    <row r="927" spans="1:16" ht="20.1" customHeight="1">
      <c r="A927" s="9"/>
      <c r="B927" s="9"/>
      <c r="C927" s="9"/>
      <c r="D927" s="43"/>
      <c r="E927" s="9"/>
      <c r="F927" s="9"/>
      <c r="G927" s="47" t="str">
        <f>IF(F927="","",INDEX(站位样品信息!$B$3:INDEX(站位样品信息!$B:$B,COUNTA(站位样品信息!$B:$B)+1),MATCH($F927,站位样品信息!$A$3:INDEX(站位样品信息!$A:$A,COUNTA(站位样品信息!$A:$A)+1),),))</f>
        <v/>
      </c>
      <c r="H927" s="37" t="str">
        <f>IF(A927&amp;B927&amp;C927="","",INDEX(生物种群!$A$2:INDEX(生物种群!$A:$A,COUNTA(生物种群!$A:$A)),MATCH($I927,生物种群!$B$2:INDEX(生物种群!$B:$B,COUNTA(生物种群!$B:$B)),),))</f>
        <v/>
      </c>
      <c r="I927" s="37" t="str">
        <f>IF(A927&amp;B927&amp;C927="","",IF($C927&lt;&gt;0,INDEX(生物种群!$B$2:INDEX(生物种群!$B:$B,COUNTA(生物种群!$B:$B)),MATCH($C927,生物种群!$G$2:INDEX(生物种群!$G:$G,COUNTA(生物种群!$G:$G)),),),IF($A927&lt;&gt;0,INDEX(生物种群!$B$2:INDEX(生物种群!$B:$B,COUNTA(生物种群!$B:$B)),MATCH($A927,生物种群!$C$2:INDEX(生物种群!$C:$C,COUNTA(生物种群!$C:$C)),),),INDEX(生物种群!$B$2:INDEX(生物种群!$B:$B,COUNTA(生物种群!$B:$B)),MATCH($B927,生物种群!$D$2:INDEX(生物种群!$D:$D,COUNTA(生物种群!$D:$D)),),))))</f>
        <v/>
      </c>
      <c r="J927" s="37" t="str">
        <f>IF(A927&amp;B927&amp;C927="","",INDEX(生物种群!$J$2:INDEX(生物种群!$J:$J,COUNTA(生物种群!$J:$J)),MATCH($I927,生物种群!$B$2:INDEX(生物种群!$B:$B,COUNTA(生物种群!$B:$B)),),))</f>
        <v/>
      </c>
      <c r="K927" s="37" t="str">
        <f>IF(A927&amp;B927&amp;C927="","",INDEX(生物种群!$E$2:INDEX(生物种群!$E:$E,COUNTA(生物种群!$E:$E)),MATCH($I927,生物种群!$B$2:INDEX(生物种群!$B:$B,COUNTA(生物种群!$B:$B)),),))</f>
        <v/>
      </c>
      <c r="L927" s="37" t="str">
        <f>IF(A927&amp;B927&amp;C927="","",INDEX(生物种群!$F$3:INDEX(生物种群!$F:$F,COUNTA(生物种群!$F:$F)),MATCH($I927,生物种群!$B$3:INDEX(生物种群!$B:$B,COUNTA(生物种群!$B:$B)),),))</f>
        <v/>
      </c>
      <c r="M927" s="37" t="str">
        <f t="shared" si="28"/>
        <v/>
      </c>
      <c r="N927" s="37" t="str">
        <f t="shared" si="29"/>
        <v/>
      </c>
      <c r="O927" s="9"/>
      <c r="P927" s="10"/>
    </row>
    <row r="928" spans="1:16" ht="20.1" customHeight="1">
      <c r="A928" s="9"/>
      <c r="B928" s="9"/>
      <c r="C928" s="9"/>
      <c r="D928" s="43"/>
      <c r="E928" s="9"/>
      <c r="F928" s="9"/>
      <c r="G928" s="47" t="str">
        <f>IF(F928="","",INDEX(站位样品信息!$B$3:INDEX(站位样品信息!$B:$B,COUNTA(站位样品信息!$B:$B)+1),MATCH($F928,站位样品信息!$A$3:INDEX(站位样品信息!$A:$A,COUNTA(站位样品信息!$A:$A)+1),),))</f>
        <v/>
      </c>
      <c r="H928" s="37" t="str">
        <f>IF(A928&amp;B928&amp;C928="","",INDEX(生物种群!$A$2:INDEX(生物种群!$A:$A,COUNTA(生物种群!$A:$A)),MATCH($I928,生物种群!$B$2:INDEX(生物种群!$B:$B,COUNTA(生物种群!$B:$B)),),))</f>
        <v/>
      </c>
      <c r="I928" s="37" t="str">
        <f>IF(A928&amp;B928&amp;C928="","",IF($C928&lt;&gt;0,INDEX(生物种群!$B$2:INDEX(生物种群!$B:$B,COUNTA(生物种群!$B:$B)),MATCH($C928,生物种群!$G$2:INDEX(生物种群!$G:$G,COUNTA(生物种群!$G:$G)),),),IF($A928&lt;&gt;0,INDEX(生物种群!$B$2:INDEX(生物种群!$B:$B,COUNTA(生物种群!$B:$B)),MATCH($A928,生物种群!$C$2:INDEX(生物种群!$C:$C,COUNTA(生物种群!$C:$C)),),),INDEX(生物种群!$B$2:INDEX(生物种群!$B:$B,COUNTA(生物种群!$B:$B)),MATCH($B928,生物种群!$D$2:INDEX(生物种群!$D:$D,COUNTA(生物种群!$D:$D)),),))))</f>
        <v/>
      </c>
      <c r="J928" s="37" t="str">
        <f>IF(A928&amp;B928&amp;C928="","",INDEX(生物种群!$J$2:INDEX(生物种群!$J:$J,COUNTA(生物种群!$J:$J)),MATCH($I928,生物种群!$B$2:INDEX(生物种群!$B:$B,COUNTA(生物种群!$B:$B)),),))</f>
        <v/>
      </c>
      <c r="K928" s="37" t="str">
        <f>IF(A928&amp;B928&amp;C928="","",INDEX(生物种群!$E$2:INDEX(生物种群!$E:$E,COUNTA(生物种群!$E:$E)),MATCH($I928,生物种群!$B$2:INDEX(生物种群!$B:$B,COUNTA(生物种群!$B:$B)),),))</f>
        <v/>
      </c>
      <c r="L928" s="37" t="str">
        <f>IF(A928&amp;B928&amp;C928="","",INDEX(生物种群!$F$3:INDEX(生物种群!$F:$F,COUNTA(生物种群!$F:$F)),MATCH($I928,生物种群!$B$3:INDEX(生物种群!$B:$B,COUNTA(生物种群!$B:$B)),),))</f>
        <v/>
      </c>
      <c r="M928" s="37" t="str">
        <f t="shared" si="28"/>
        <v/>
      </c>
      <c r="N928" s="37" t="str">
        <f t="shared" si="29"/>
        <v/>
      </c>
      <c r="O928" s="9"/>
      <c r="P928" s="10"/>
    </row>
    <row r="929" spans="1:16" ht="20.1" customHeight="1">
      <c r="A929" s="9"/>
      <c r="B929" s="9"/>
      <c r="C929" s="9"/>
      <c r="D929" s="43"/>
      <c r="E929" s="9"/>
      <c r="F929" s="9"/>
      <c r="G929" s="47" t="str">
        <f>IF(F929="","",INDEX(站位样品信息!$B$3:INDEX(站位样品信息!$B:$B,COUNTA(站位样品信息!$B:$B)+1),MATCH($F929,站位样品信息!$A$3:INDEX(站位样品信息!$A:$A,COUNTA(站位样品信息!$A:$A)+1),),))</f>
        <v/>
      </c>
      <c r="H929" s="37" t="str">
        <f>IF(A929&amp;B929&amp;C929="","",INDEX(生物种群!$A$2:INDEX(生物种群!$A:$A,COUNTA(生物种群!$A:$A)),MATCH($I929,生物种群!$B$2:INDEX(生物种群!$B:$B,COUNTA(生物种群!$B:$B)),),))</f>
        <v/>
      </c>
      <c r="I929" s="37" t="str">
        <f>IF(A929&amp;B929&amp;C929="","",IF($C929&lt;&gt;0,INDEX(生物种群!$B$2:INDEX(生物种群!$B:$B,COUNTA(生物种群!$B:$B)),MATCH($C929,生物种群!$G$2:INDEX(生物种群!$G:$G,COUNTA(生物种群!$G:$G)),),),IF($A929&lt;&gt;0,INDEX(生物种群!$B$2:INDEX(生物种群!$B:$B,COUNTA(生物种群!$B:$B)),MATCH($A929,生物种群!$C$2:INDEX(生物种群!$C:$C,COUNTA(生物种群!$C:$C)),),),INDEX(生物种群!$B$2:INDEX(生物种群!$B:$B,COUNTA(生物种群!$B:$B)),MATCH($B929,生物种群!$D$2:INDEX(生物种群!$D:$D,COUNTA(生物种群!$D:$D)),),))))</f>
        <v/>
      </c>
      <c r="J929" s="37" t="str">
        <f>IF(A929&amp;B929&amp;C929="","",INDEX(生物种群!$J$2:INDEX(生物种群!$J:$J,COUNTA(生物种群!$J:$J)),MATCH($I929,生物种群!$B$2:INDEX(生物种群!$B:$B,COUNTA(生物种群!$B:$B)),),))</f>
        <v/>
      </c>
      <c r="K929" s="37" t="str">
        <f>IF(A929&amp;B929&amp;C929="","",INDEX(生物种群!$E$2:INDEX(生物种群!$E:$E,COUNTA(生物种群!$E:$E)),MATCH($I929,生物种群!$B$2:INDEX(生物种群!$B:$B,COUNTA(生物种群!$B:$B)),),))</f>
        <v/>
      </c>
      <c r="L929" s="37" t="str">
        <f>IF(A929&amp;B929&amp;C929="","",INDEX(生物种群!$F$3:INDEX(生物种群!$F:$F,COUNTA(生物种群!$F:$F)),MATCH($I929,生物种群!$B$3:INDEX(生物种群!$B:$B,COUNTA(生物种群!$B:$B)),),))</f>
        <v/>
      </c>
      <c r="M929" s="37" t="str">
        <f t="shared" si="28"/>
        <v/>
      </c>
      <c r="N929" s="37" t="str">
        <f t="shared" si="29"/>
        <v/>
      </c>
      <c r="O929" s="9"/>
      <c r="P929" s="10"/>
    </row>
    <row r="930" spans="1:16" ht="20.1" customHeight="1">
      <c r="A930" s="9"/>
      <c r="B930" s="9"/>
      <c r="C930" s="9"/>
      <c r="D930" s="43"/>
      <c r="E930" s="9"/>
      <c r="F930" s="9"/>
      <c r="G930" s="47" t="str">
        <f>IF(F930="","",INDEX(站位样品信息!$B$3:INDEX(站位样品信息!$B:$B,COUNTA(站位样品信息!$B:$B)+1),MATCH($F930,站位样品信息!$A$3:INDEX(站位样品信息!$A:$A,COUNTA(站位样品信息!$A:$A)+1),),))</f>
        <v/>
      </c>
      <c r="H930" s="37" t="str">
        <f>IF(A930&amp;B930&amp;C930="","",INDEX(生物种群!$A$2:INDEX(生物种群!$A:$A,COUNTA(生物种群!$A:$A)),MATCH($I930,生物种群!$B$2:INDEX(生物种群!$B:$B,COUNTA(生物种群!$B:$B)),),))</f>
        <v/>
      </c>
      <c r="I930" s="37" t="str">
        <f>IF(A930&amp;B930&amp;C930="","",IF($C930&lt;&gt;0,INDEX(生物种群!$B$2:INDEX(生物种群!$B:$B,COUNTA(生物种群!$B:$B)),MATCH($C930,生物种群!$G$2:INDEX(生物种群!$G:$G,COUNTA(生物种群!$G:$G)),),),IF($A930&lt;&gt;0,INDEX(生物种群!$B$2:INDEX(生物种群!$B:$B,COUNTA(生物种群!$B:$B)),MATCH($A930,生物种群!$C$2:INDEX(生物种群!$C:$C,COUNTA(生物种群!$C:$C)),),),INDEX(生物种群!$B$2:INDEX(生物种群!$B:$B,COUNTA(生物种群!$B:$B)),MATCH($B930,生物种群!$D$2:INDEX(生物种群!$D:$D,COUNTA(生物种群!$D:$D)),),))))</f>
        <v/>
      </c>
      <c r="J930" s="37" t="str">
        <f>IF(A930&amp;B930&amp;C930="","",INDEX(生物种群!$J$2:INDEX(生物种群!$J:$J,COUNTA(生物种群!$J:$J)),MATCH($I930,生物种群!$B$2:INDEX(生物种群!$B:$B,COUNTA(生物种群!$B:$B)),),))</f>
        <v/>
      </c>
      <c r="K930" s="37" t="str">
        <f>IF(A930&amp;B930&amp;C930="","",INDEX(生物种群!$E$2:INDEX(生物种群!$E:$E,COUNTA(生物种群!$E:$E)),MATCH($I930,生物种群!$B$2:INDEX(生物种群!$B:$B,COUNTA(生物种群!$B:$B)),),))</f>
        <v/>
      </c>
      <c r="L930" s="37" t="str">
        <f>IF(A930&amp;B930&amp;C930="","",INDEX(生物种群!$F$3:INDEX(生物种群!$F:$F,COUNTA(生物种群!$F:$F)),MATCH($I930,生物种群!$B$3:INDEX(生物种群!$B:$B,COUNTA(生物种群!$B:$B)),),))</f>
        <v/>
      </c>
      <c r="M930" s="37" t="str">
        <f t="shared" si="28"/>
        <v/>
      </c>
      <c r="N930" s="37" t="str">
        <f t="shared" si="29"/>
        <v/>
      </c>
      <c r="O930" s="9"/>
      <c r="P930" s="10"/>
    </row>
    <row r="931" spans="1:16" ht="20.1" customHeight="1">
      <c r="A931" s="9"/>
      <c r="B931" s="9"/>
      <c r="C931" s="9"/>
      <c r="D931" s="43"/>
      <c r="E931" s="9"/>
      <c r="F931" s="9"/>
      <c r="G931" s="47" t="str">
        <f>IF(F931="","",INDEX(站位样品信息!$B$3:INDEX(站位样品信息!$B:$B,COUNTA(站位样品信息!$B:$B)+1),MATCH($F931,站位样品信息!$A$3:INDEX(站位样品信息!$A:$A,COUNTA(站位样品信息!$A:$A)+1),),))</f>
        <v/>
      </c>
      <c r="H931" s="37" t="str">
        <f>IF(A931&amp;B931&amp;C931="","",INDEX(生物种群!$A$2:INDEX(生物种群!$A:$A,COUNTA(生物种群!$A:$A)),MATCH($I931,生物种群!$B$2:INDEX(生物种群!$B:$B,COUNTA(生物种群!$B:$B)),),))</f>
        <v/>
      </c>
      <c r="I931" s="37" t="str">
        <f>IF(A931&amp;B931&amp;C931="","",IF($C931&lt;&gt;0,INDEX(生物种群!$B$2:INDEX(生物种群!$B:$B,COUNTA(生物种群!$B:$B)),MATCH($C931,生物种群!$G$2:INDEX(生物种群!$G:$G,COUNTA(生物种群!$G:$G)),),),IF($A931&lt;&gt;0,INDEX(生物种群!$B$2:INDEX(生物种群!$B:$B,COUNTA(生物种群!$B:$B)),MATCH($A931,生物种群!$C$2:INDEX(生物种群!$C:$C,COUNTA(生物种群!$C:$C)),),),INDEX(生物种群!$B$2:INDEX(生物种群!$B:$B,COUNTA(生物种群!$B:$B)),MATCH($B931,生物种群!$D$2:INDEX(生物种群!$D:$D,COUNTA(生物种群!$D:$D)),),))))</f>
        <v/>
      </c>
      <c r="J931" s="37" t="str">
        <f>IF(A931&amp;B931&amp;C931="","",INDEX(生物种群!$J$2:INDEX(生物种群!$J:$J,COUNTA(生物种群!$J:$J)),MATCH($I931,生物种群!$B$2:INDEX(生物种群!$B:$B,COUNTA(生物种群!$B:$B)),),))</f>
        <v/>
      </c>
      <c r="K931" s="37" t="str">
        <f>IF(A931&amp;B931&amp;C931="","",INDEX(生物种群!$E$2:INDEX(生物种群!$E:$E,COUNTA(生物种群!$E:$E)),MATCH($I931,生物种群!$B$2:INDEX(生物种群!$B:$B,COUNTA(生物种群!$B:$B)),),))</f>
        <v/>
      </c>
      <c r="L931" s="37" t="str">
        <f>IF(A931&amp;B931&amp;C931="","",INDEX(生物种群!$F$3:INDEX(生物种群!$F:$F,COUNTA(生物种群!$F:$F)),MATCH($I931,生物种群!$B$3:INDEX(生物种群!$B:$B,COUNTA(生物种群!$B:$B)),),))</f>
        <v/>
      </c>
      <c r="M931" s="37" t="str">
        <f t="shared" si="28"/>
        <v/>
      </c>
      <c r="N931" s="37" t="str">
        <f t="shared" si="29"/>
        <v/>
      </c>
      <c r="O931" s="9"/>
      <c r="P931" s="10"/>
    </row>
    <row r="932" spans="1:16" ht="20.1" customHeight="1">
      <c r="A932" s="9"/>
      <c r="B932" s="9"/>
      <c r="C932" s="9"/>
      <c r="D932" s="43"/>
      <c r="E932" s="9"/>
      <c r="F932" s="9"/>
      <c r="G932" s="47" t="str">
        <f>IF(F932="","",INDEX(站位样品信息!$B$3:INDEX(站位样品信息!$B:$B,COUNTA(站位样品信息!$B:$B)+1),MATCH($F932,站位样品信息!$A$3:INDEX(站位样品信息!$A:$A,COUNTA(站位样品信息!$A:$A)+1),),))</f>
        <v/>
      </c>
      <c r="H932" s="37" t="str">
        <f>IF(A932&amp;B932&amp;C932="","",INDEX(生物种群!$A$2:INDEX(生物种群!$A:$A,COUNTA(生物种群!$A:$A)),MATCH($I932,生物种群!$B$2:INDEX(生物种群!$B:$B,COUNTA(生物种群!$B:$B)),),))</f>
        <v/>
      </c>
      <c r="I932" s="37" t="str">
        <f>IF(A932&amp;B932&amp;C932="","",IF($C932&lt;&gt;0,INDEX(生物种群!$B$2:INDEX(生物种群!$B:$B,COUNTA(生物种群!$B:$B)),MATCH($C932,生物种群!$G$2:INDEX(生物种群!$G:$G,COUNTA(生物种群!$G:$G)),),),IF($A932&lt;&gt;0,INDEX(生物种群!$B$2:INDEX(生物种群!$B:$B,COUNTA(生物种群!$B:$B)),MATCH($A932,生物种群!$C$2:INDEX(生物种群!$C:$C,COUNTA(生物种群!$C:$C)),),),INDEX(生物种群!$B$2:INDEX(生物种群!$B:$B,COUNTA(生物种群!$B:$B)),MATCH($B932,生物种群!$D$2:INDEX(生物种群!$D:$D,COUNTA(生物种群!$D:$D)),),))))</f>
        <v/>
      </c>
      <c r="J932" s="37" t="str">
        <f>IF(A932&amp;B932&amp;C932="","",INDEX(生物种群!$J$2:INDEX(生物种群!$J:$J,COUNTA(生物种群!$J:$J)),MATCH($I932,生物种群!$B$2:INDEX(生物种群!$B:$B,COUNTA(生物种群!$B:$B)),),))</f>
        <v/>
      </c>
      <c r="K932" s="37" t="str">
        <f>IF(A932&amp;B932&amp;C932="","",INDEX(生物种群!$E$2:INDEX(生物种群!$E:$E,COUNTA(生物种群!$E:$E)),MATCH($I932,生物种群!$B$2:INDEX(生物种群!$B:$B,COUNTA(生物种群!$B:$B)),),))</f>
        <v/>
      </c>
      <c r="L932" s="37" t="str">
        <f>IF(A932&amp;B932&amp;C932="","",INDEX(生物种群!$F$3:INDEX(生物种群!$F:$F,COUNTA(生物种群!$F:$F)),MATCH($I932,生物种群!$B$3:INDEX(生物种群!$B:$B,COUNTA(生物种群!$B:$B)),),))</f>
        <v/>
      </c>
      <c r="M932" s="37" t="str">
        <f t="shared" si="28"/>
        <v/>
      </c>
      <c r="N932" s="37" t="str">
        <f t="shared" si="29"/>
        <v/>
      </c>
      <c r="O932" s="9"/>
      <c r="P932" s="10"/>
    </row>
    <row r="933" spans="1:16" ht="20.1" customHeight="1">
      <c r="A933" s="9"/>
      <c r="B933" s="9"/>
      <c r="C933" s="9"/>
      <c r="D933" s="43"/>
      <c r="E933" s="9"/>
      <c r="F933" s="9"/>
      <c r="G933" s="47" t="str">
        <f>IF(F933="","",INDEX(站位样品信息!$B$3:INDEX(站位样品信息!$B:$B,COUNTA(站位样品信息!$B:$B)+1),MATCH($F933,站位样品信息!$A$3:INDEX(站位样品信息!$A:$A,COUNTA(站位样品信息!$A:$A)+1),),))</f>
        <v/>
      </c>
      <c r="H933" s="37" t="str">
        <f>IF(A933&amp;B933&amp;C933="","",INDEX(生物种群!$A$2:INDEX(生物种群!$A:$A,COUNTA(生物种群!$A:$A)),MATCH($I933,生物种群!$B$2:INDEX(生物种群!$B:$B,COUNTA(生物种群!$B:$B)),),))</f>
        <v/>
      </c>
      <c r="I933" s="37" t="str">
        <f>IF(A933&amp;B933&amp;C933="","",IF($C933&lt;&gt;0,INDEX(生物种群!$B$2:INDEX(生物种群!$B:$B,COUNTA(生物种群!$B:$B)),MATCH($C933,生物种群!$G$2:INDEX(生物种群!$G:$G,COUNTA(生物种群!$G:$G)),),),IF($A933&lt;&gt;0,INDEX(生物种群!$B$2:INDEX(生物种群!$B:$B,COUNTA(生物种群!$B:$B)),MATCH($A933,生物种群!$C$2:INDEX(生物种群!$C:$C,COUNTA(生物种群!$C:$C)),),),INDEX(生物种群!$B$2:INDEX(生物种群!$B:$B,COUNTA(生物种群!$B:$B)),MATCH($B933,生物种群!$D$2:INDEX(生物种群!$D:$D,COUNTA(生物种群!$D:$D)),),))))</f>
        <v/>
      </c>
      <c r="J933" s="37" t="str">
        <f>IF(A933&amp;B933&amp;C933="","",INDEX(生物种群!$J$2:INDEX(生物种群!$J:$J,COUNTA(生物种群!$J:$J)),MATCH($I933,生物种群!$B$2:INDEX(生物种群!$B:$B,COUNTA(生物种群!$B:$B)),),))</f>
        <v/>
      </c>
      <c r="K933" s="37" t="str">
        <f>IF(A933&amp;B933&amp;C933="","",INDEX(生物种群!$E$2:INDEX(生物种群!$E:$E,COUNTA(生物种群!$E:$E)),MATCH($I933,生物种群!$B$2:INDEX(生物种群!$B:$B,COUNTA(生物种群!$B:$B)),),))</f>
        <v/>
      </c>
      <c r="L933" s="37" t="str">
        <f>IF(A933&amp;B933&amp;C933="","",INDEX(生物种群!$F$3:INDEX(生物种群!$F:$F,COUNTA(生物种群!$F:$F)),MATCH($I933,生物种群!$B$3:INDEX(生物种群!$B:$B,COUNTA(生物种群!$B:$B)),),))</f>
        <v/>
      </c>
      <c r="M933" s="37" t="str">
        <f t="shared" si="28"/>
        <v/>
      </c>
      <c r="N933" s="37" t="str">
        <f t="shared" si="29"/>
        <v/>
      </c>
      <c r="O933" s="9"/>
      <c r="P933" s="10"/>
    </row>
    <row r="934" spans="1:16" ht="20.1" customHeight="1">
      <c r="A934" s="9"/>
      <c r="B934" s="9"/>
      <c r="C934" s="9"/>
      <c r="D934" s="43"/>
      <c r="E934" s="9"/>
      <c r="F934" s="9"/>
      <c r="G934" s="47" t="str">
        <f>IF(F934="","",INDEX(站位样品信息!$B$3:INDEX(站位样品信息!$B:$B,COUNTA(站位样品信息!$B:$B)+1),MATCH($F934,站位样品信息!$A$3:INDEX(站位样品信息!$A:$A,COUNTA(站位样品信息!$A:$A)+1),),))</f>
        <v/>
      </c>
      <c r="H934" s="37" t="str">
        <f>IF(A934&amp;B934&amp;C934="","",INDEX(生物种群!$A$2:INDEX(生物种群!$A:$A,COUNTA(生物种群!$A:$A)),MATCH($I934,生物种群!$B$2:INDEX(生物种群!$B:$B,COUNTA(生物种群!$B:$B)),),))</f>
        <v/>
      </c>
      <c r="I934" s="37" t="str">
        <f>IF(A934&amp;B934&amp;C934="","",IF($C934&lt;&gt;0,INDEX(生物种群!$B$2:INDEX(生物种群!$B:$B,COUNTA(生物种群!$B:$B)),MATCH($C934,生物种群!$G$2:INDEX(生物种群!$G:$G,COUNTA(生物种群!$G:$G)),),),IF($A934&lt;&gt;0,INDEX(生物种群!$B$2:INDEX(生物种群!$B:$B,COUNTA(生物种群!$B:$B)),MATCH($A934,生物种群!$C$2:INDEX(生物种群!$C:$C,COUNTA(生物种群!$C:$C)),),),INDEX(生物种群!$B$2:INDEX(生物种群!$B:$B,COUNTA(生物种群!$B:$B)),MATCH($B934,生物种群!$D$2:INDEX(生物种群!$D:$D,COUNTA(生物种群!$D:$D)),),))))</f>
        <v/>
      </c>
      <c r="J934" s="37" t="str">
        <f>IF(A934&amp;B934&amp;C934="","",INDEX(生物种群!$J$2:INDEX(生物种群!$J:$J,COUNTA(生物种群!$J:$J)),MATCH($I934,生物种群!$B$2:INDEX(生物种群!$B:$B,COUNTA(生物种群!$B:$B)),),))</f>
        <v/>
      </c>
      <c r="K934" s="37" t="str">
        <f>IF(A934&amp;B934&amp;C934="","",INDEX(生物种群!$E$2:INDEX(生物种群!$E:$E,COUNTA(生物种群!$E:$E)),MATCH($I934,生物种群!$B$2:INDEX(生物种群!$B:$B,COUNTA(生物种群!$B:$B)),),))</f>
        <v/>
      </c>
      <c r="L934" s="37" t="str">
        <f>IF(A934&amp;B934&amp;C934="","",INDEX(生物种群!$F$3:INDEX(生物种群!$F:$F,COUNTA(生物种群!$F:$F)),MATCH($I934,生物种群!$B$3:INDEX(生物种群!$B:$B,COUNTA(生物种群!$B:$B)),),))</f>
        <v/>
      </c>
      <c r="M934" s="37" t="str">
        <f t="shared" si="28"/>
        <v/>
      </c>
      <c r="N934" s="37" t="str">
        <f t="shared" si="29"/>
        <v/>
      </c>
      <c r="O934" s="9"/>
      <c r="P934" s="10"/>
    </row>
    <row r="935" spans="1:16" ht="20.1" customHeight="1">
      <c r="A935" s="9"/>
      <c r="B935" s="9"/>
      <c r="C935" s="9"/>
      <c r="D935" s="43"/>
      <c r="E935" s="9"/>
      <c r="F935" s="9"/>
      <c r="G935" s="47" t="str">
        <f>IF(F935="","",INDEX(站位样品信息!$B$3:INDEX(站位样品信息!$B:$B,COUNTA(站位样品信息!$B:$B)+1),MATCH($F935,站位样品信息!$A$3:INDEX(站位样品信息!$A:$A,COUNTA(站位样品信息!$A:$A)+1),),))</f>
        <v/>
      </c>
      <c r="H935" s="37" t="str">
        <f>IF(A935&amp;B935&amp;C935="","",INDEX(生物种群!$A$2:INDEX(生物种群!$A:$A,COUNTA(生物种群!$A:$A)),MATCH($I935,生物种群!$B$2:INDEX(生物种群!$B:$B,COUNTA(生物种群!$B:$B)),),))</f>
        <v/>
      </c>
      <c r="I935" s="37" t="str">
        <f>IF(A935&amp;B935&amp;C935="","",IF($C935&lt;&gt;0,INDEX(生物种群!$B$2:INDEX(生物种群!$B:$B,COUNTA(生物种群!$B:$B)),MATCH($C935,生物种群!$G$2:INDEX(生物种群!$G:$G,COUNTA(生物种群!$G:$G)),),),IF($A935&lt;&gt;0,INDEX(生物种群!$B$2:INDEX(生物种群!$B:$B,COUNTA(生物种群!$B:$B)),MATCH($A935,生物种群!$C$2:INDEX(生物种群!$C:$C,COUNTA(生物种群!$C:$C)),),),INDEX(生物种群!$B$2:INDEX(生物种群!$B:$B,COUNTA(生物种群!$B:$B)),MATCH($B935,生物种群!$D$2:INDEX(生物种群!$D:$D,COUNTA(生物种群!$D:$D)),),))))</f>
        <v/>
      </c>
      <c r="J935" s="37" t="str">
        <f>IF(A935&amp;B935&amp;C935="","",INDEX(生物种群!$J$2:INDEX(生物种群!$J:$J,COUNTA(生物种群!$J:$J)),MATCH($I935,生物种群!$B$2:INDEX(生物种群!$B:$B,COUNTA(生物种群!$B:$B)),),))</f>
        <v/>
      </c>
      <c r="K935" s="37" t="str">
        <f>IF(A935&amp;B935&amp;C935="","",INDEX(生物种群!$E$2:INDEX(生物种群!$E:$E,COUNTA(生物种群!$E:$E)),MATCH($I935,生物种群!$B$2:INDEX(生物种群!$B:$B,COUNTA(生物种群!$B:$B)),),))</f>
        <v/>
      </c>
      <c r="L935" s="37" t="str">
        <f>IF(A935&amp;B935&amp;C935="","",INDEX(生物种群!$F$3:INDEX(生物种群!$F:$F,COUNTA(生物种群!$F:$F)),MATCH($I935,生物种群!$B$3:INDEX(生物种群!$B:$B,COUNTA(生物种群!$B:$B)),),))</f>
        <v/>
      </c>
      <c r="M935" s="37" t="str">
        <f t="shared" si="28"/>
        <v/>
      </c>
      <c r="N935" s="37" t="str">
        <f t="shared" si="29"/>
        <v/>
      </c>
      <c r="O935" s="9"/>
      <c r="P935" s="10"/>
    </row>
    <row r="936" spans="1:16" ht="20.1" customHeight="1">
      <c r="A936" s="9"/>
      <c r="B936" s="9"/>
      <c r="C936" s="9"/>
      <c r="D936" s="43"/>
      <c r="E936" s="9"/>
      <c r="F936" s="9"/>
      <c r="G936" s="47" t="str">
        <f>IF(F936="","",INDEX(站位样品信息!$B$3:INDEX(站位样品信息!$B:$B,COUNTA(站位样品信息!$B:$B)+1),MATCH($F936,站位样品信息!$A$3:INDEX(站位样品信息!$A:$A,COUNTA(站位样品信息!$A:$A)+1),),))</f>
        <v/>
      </c>
      <c r="H936" s="37" t="str">
        <f>IF(A936&amp;B936&amp;C936="","",INDEX(生物种群!$A$2:INDEX(生物种群!$A:$A,COUNTA(生物种群!$A:$A)),MATCH($I936,生物种群!$B$2:INDEX(生物种群!$B:$B,COUNTA(生物种群!$B:$B)),),))</f>
        <v/>
      </c>
      <c r="I936" s="37" t="str">
        <f>IF(A936&amp;B936&amp;C936="","",IF($C936&lt;&gt;0,INDEX(生物种群!$B$2:INDEX(生物种群!$B:$B,COUNTA(生物种群!$B:$B)),MATCH($C936,生物种群!$G$2:INDEX(生物种群!$G:$G,COUNTA(生物种群!$G:$G)),),),IF($A936&lt;&gt;0,INDEX(生物种群!$B$2:INDEX(生物种群!$B:$B,COUNTA(生物种群!$B:$B)),MATCH($A936,生物种群!$C$2:INDEX(生物种群!$C:$C,COUNTA(生物种群!$C:$C)),),),INDEX(生物种群!$B$2:INDEX(生物种群!$B:$B,COUNTA(生物种群!$B:$B)),MATCH($B936,生物种群!$D$2:INDEX(生物种群!$D:$D,COUNTA(生物种群!$D:$D)),),))))</f>
        <v/>
      </c>
      <c r="J936" s="37" t="str">
        <f>IF(A936&amp;B936&amp;C936="","",INDEX(生物种群!$J$2:INDEX(生物种群!$J:$J,COUNTA(生物种群!$J:$J)),MATCH($I936,生物种群!$B$2:INDEX(生物种群!$B:$B,COUNTA(生物种群!$B:$B)),),))</f>
        <v/>
      </c>
      <c r="K936" s="37" t="str">
        <f>IF(A936&amp;B936&amp;C936="","",INDEX(生物种群!$E$2:INDEX(生物种群!$E:$E,COUNTA(生物种群!$E:$E)),MATCH($I936,生物种群!$B$2:INDEX(生物种群!$B:$B,COUNTA(生物种群!$B:$B)),),))</f>
        <v/>
      </c>
      <c r="L936" s="37" t="str">
        <f>IF(A936&amp;B936&amp;C936="","",INDEX(生物种群!$F$3:INDEX(生物种群!$F:$F,COUNTA(生物种群!$F:$F)),MATCH($I936,生物种群!$B$3:INDEX(生物种群!$B:$B,COUNTA(生物种群!$B:$B)),),))</f>
        <v/>
      </c>
      <c r="M936" s="37" t="str">
        <f t="shared" si="28"/>
        <v/>
      </c>
      <c r="N936" s="37" t="str">
        <f t="shared" si="29"/>
        <v/>
      </c>
      <c r="O936" s="9"/>
      <c r="P936" s="10"/>
    </row>
    <row r="937" spans="1:16" ht="20.1" customHeight="1">
      <c r="A937" s="9"/>
      <c r="B937" s="9"/>
      <c r="C937" s="9"/>
      <c r="D937" s="43"/>
      <c r="E937" s="9"/>
      <c r="F937" s="9"/>
      <c r="G937" s="47" t="str">
        <f>IF(F937="","",INDEX(站位样品信息!$B$3:INDEX(站位样品信息!$B:$B,COUNTA(站位样品信息!$B:$B)+1),MATCH($F937,站位样品信息!$A$3:INDEX(站位样品信息!$A:$A,COUNTA(站位样品信息!$A:$A)+1),),))</f>
        <v/>
      </c>
      <c r="H937" s="37" t="str">
        <f>IF(A937&amp;B937&amp;C937="","",INDEX(生物种群!$A$2:INDEX(生物种群!$A:$A,COUNTA(生物种群!$A:$A)),MATCH($I937,生物种群!$B$2:INDEX(生物种群!$B:$B,COUNTA(生物种群!$B:$B)),),))</f>
        <v/>
      </c>
      <c r="I937" s="37" t="str">
        <f>IF(A937&amp;B937&amp;C937="","",IF($C937&lt;&gt;0,INDEX(生物种群!$B$2:INDEX(生物种群!$B:$B,COUNTA(生物种群!$B:$B)),MATCH($C937,生物种群!$G$2:INDEX(生物种群!$G:$G,COUNTA(生物种群!$G:$G)),),),IF($A937&lt;&gt;0,INDEX(生物种群!$B$2:INDEX(生物种群!$B:$B,COUNTA(生物种群!$B:$B)),MATCH($A937,生物种群!$C$2:INDEX(生物种群!$C:$C,COUNTA(生物种群!$C:$C)),),),INDEX(生物种群!$B$2:INDEX(生物种群!$B:$B,COUNTA(生物种群!$B:$B)),MATCH($B937,生物种群!$D$2:INDEX(生物种群!$D:$D,COUNTA(生物种群!$D:$D)),),))))</f>
        <v/>
      </c>
      <c r="J937" s="37" t="str">
        <f>IF(A937&amp;B937&amp;C937="","",INDEX(生物种群!$J$2:INDEX(生物种群!$J:$J,COUNTA(生物种群!$J:$J)),MATCH($I937,生物种群!$B$2:INDEX(生物种群!$B:$B,COUNTA(生物种群!$B:$B)),),))</f>
        <v/>
      </c>
      <c r="K937" s="37" t="str">
        <f>IF(A937&amp;B937&amp;C937="","",INDEX(生物种群!$E$2:INDEX(生物种群!$E:$E,COUNTA(生物种群!$E:$E)),MATCH($I937,生物种群!$B$2:INDEX(生物种群!$B:$B,COUNTA(生物种群!$B:$B)),),))</f>
        <v/>
      </c>
      <c r="L937" s="37" t="str">
        <f>IF(A937&amp;B937&amp;C937="","",INDEX(生物种群!$F$3:INDEX(生物种群!$F:$F,COUNTA(生物种群!$F:$F)),MATCH($I937,生物种群!$B$3:INDEX(生物种群!$B:$B,COUNTA(生物种群!$B:$B)),),))</f>
        <v/>
      </c>
      <c r="M937" s="37" t="str">
        <f t="shared" si="28"/>
        <v/>
      </c>
      <c r="N937" s="37" t="str">
        <f t="shared" si="29"/>
        <v/>
      </c>
      <c r="O937" s="9"/>
      <c r="P937" s="10"/>
    </row>
    <row r="938" spans="1:16" ht="20.1" customHeight="1">
      <c r="A938" s="9"/>
      <c r="B938" s="9"/>
      <c r="C938" s="9"/>
      <c r="D938" s="43"/>
      <c r="E938" s="9"/>
      <c r="F938" s="9"/>
      <c r="G938" s="47" t="str">
        <f>IF(F938="","",INDEX(站位样品信息!$B$3:INDEX(站位样品信息!$B:$B,COUNTA(站位样品信息!$B:$B)+1),MATCH($F938,站位样品信息!$A$3:INDEX(站位样品信息!$A:$A,COUNTA(站位样品信息!$A:$A)+1),),))</f>
        <v/>
      </c>
      <c r="H938" s="37" t="str">
        <f>IF(A938&amp;B938&amp;C938="","",INDEX(生物种群!$A$2:INDEX(生物种群!$A:$A,COUNTA(生物种群!$A:$A)),MATCH($I938,生物种群!$B$2:INDEX(生物种群!$B:$B,COUNTA(生物种群!$B:$B)),),))</f>
        <v/>
      </c>
      <c r="I938" s="37" t="str">
        <f>IF(A938&amp;B938&amp;C938="","",IF($C938&lt;&gt;0,INDEX(生物种群!$B$2:INDEX(生物种群!$B:$B,COUNTA(生物种群!$B:$B)),MATCH($C938,生物种群!$G$2:INDEX(生物种群!$G:$G,COUNTA(生物种群!$G:$G)),),),IF($A938&lt;&gt;0,INDEX(生物种群!$B$2:INDEX(生物种群!$B:$B,COUNTA(生物种群!$B:$B)),MATCH($A938,生物种群!$C$2:INDEX(生物种群!$C:$C,COUNTA(生物种群!$C:$C)),),),INDEX(生物种群!$B$2:INDEX(生物种群!$B:$B,COUNTA(生物种群!$B:$B)),MATCH($B938,生物种群!$D$2:INDEX(生物种群!$D:$D,COUNTA(生物种群!$D:$D)),),))))</f>
        <v/>
      </c>
      <c r="J938" s="37" t="str">
        <f>IF(A938&amp;B938&amp;C938="","",INDEX(生物种群!$J$2:INDEX(生物种群!$J:$J,COUNTA(生物种群!$J:$J)),MATCH($I938,生物种群!$B$2:INDEX(生物种群!$B:$B,COUNTA(生物种群!$B:$B)),),))</f>
        <v/>
      </c>
      <c r="K938" s="37" t="str">
        <f>IF(A938&amp;B938&amp;C938="","",INDEX(生物种群!$E$2:INDEX(生物种群!$E:$E,COUNTA(生物种群!$E:$E)),MATCH($I938,生物种群!$B$2:INDEX(生物种群!$B:$B,COUNTA(生物种群!$B:$B)),),))</f>
        <v/>
      </c>
      <c r="L938" s="37" t="str">
        <f>IF(A938&amp;B938&amp;C938="","",INDEX(生物种群!$F$3:INDEX(生物种群!$F:$F,COUNTA(生物种群!$F:$F)),MATCH($I938,生物种群!$B$3:INDEX(生物种群!$B:$B,COUNTA(生物种群!$B:$B)),),))</f>
        <v/>
      </c>
      <c r="M938" s="37" t="str">
        <f t="shared" si="28"/>
        <v/>
      </c>
      <c r="N938" s="37" t="str">
        <f t="shared" si="29"/>
        <v/>
      </c>
      <c r="O938" s="9"/>
      <c r="P938" s="10"/>
    </row>
    <row r="939" spans="1:16" ht="20.1" customHeight="1">
      <c r="A939" s="9"/>
      <c r="B939" s="9"/>
      <c r="C939" s="9"/>
      <c r="D939" s="43"/>
      <c r="E939" s="9"/>
      <c r="F939" s="9"/>
      <c r="G939" s="47" t="str">
        <f>IF(F939="","",INDEX(站位样品信息!$B$3:INDEX(站位样品信息!$B:$B,COUNTA(站位样品信息!$B:$B)+1),MATCH($F939,站位样品信息!$A$3:INDEX(站位样品信息!$A:$A,COUNTA(站位样品信息!$A:$A)+1),),))</f>
        <v/>
      </c>
      <c r="H939" s="37" t="str">
        <f>IF(A939&amp;B939&amp;C939="","",INDEX(生物种群!$A$2:INDEX(生物种群!$A:$A,COUNTA(生物种群!$A:$A)),MATCH($I939,生物种群!$B$2:INDEX(生物种群!$B:$B,COUNTA(生物种群!$B:$B)),),))</f>
        <v/>
      </c>
      <c r="I939" s="37" t="str">
        <f>IF(A939&amp;B939&amp;C939="","",IF($C939&lt;&gt;0,INDEX(生物种群!$B$2:INDEX(生物种群!$B:$B,COUNTA(生物种群!$B:$B)),MATCH($C939,生物种群!$G$2:INDEX(生物种群!$G:$G,COUNTA(生物种群!$G:$G)),),),IF($A939&lt;&gt;0,INDEX(生物种群!$B$2:INDEX(生物种群!$B:$B,COUNTA(生物种群!$B:$B)),MATCH($A939,生物种群!$C$2:INDEX(生物种群!$C:$C,COUNTA(生物种群!$C:$C)),),),INDEX(生物种群!$B$2:INDEX(生物种群!$B:$B,COUNTA(生物种群!$B:$B)),MATCH($B939,生物种群!$D$2:INDEX(生物种群!$D:$D,COUNTA(生物种群!$D:$D)),),))))</f>
        <v/>
      </c>
      <c r="J939" s="37" t="str">
        <f>IF(A939&amp;B939&amp;C939="","",INDEX(生物种群!$J$2:INDEX(生物种群!$J:$J,COUNTA(生物种群!$J:$J)),MATCH($I939,生物种群!$B$2:INDEX(生物种群!$B:$B,COUNTA(生物种群!$B:$B)),),))</f>
        <v/>
      </c>
      <c r="K939" s="37" t="str">
        <f>IF(A939&amp;B939&amp;C939="","",INDEX(生物种群!$E$2:INDEX(生物种群!$E:$E,COUNTA(生物种群!$E:$E)),MATCH($I939,生物种群!$B$2:INDEX(生物种群!$B:$B,COUNTA(生物种群!$B:$B)),),))</f>
        <v/>
      </c>
      <c r="L939" s="37" t="str">
        <f>IF(A939&amp;B939&amp;C939="","",INDEX(生物种群!$F$3:INDEX(生物种群!$F:$F,COUNTA(生物种群!$F:$F)),MATCH($I939,生物种群!$B$3:INDEX(生物种群!$B:$B,COUNTA(生物种群!$B:$B)),),))</f>
        <v/>
      </c>
      <c r="M939" s="37" t="str">
        <f t="shared" si="28"/>
        <v/>
      </c>
      <c r="N939" s="37" t="str">
        <f t="shared" si="29"/>
        <v/>
      </c>
      <c r="O939" s="9"/>
      <c r="P939" s="10"/>
    </row>
    <row r="940" spans="1:16" ht="20.1" customHeight="1">
      <c r="A940" s="9"/>
      <c r="B940" s="9"/>
      <c r="C940" s="9"/>
      <c r="D940" s="43"/>
      <c r="E940" s="9"/>
      <c r="F940" s="9"/>
      <c r="G940" s="47" t="str">
        <f>IF(F940="","",INDEX(站位样品信息!$B$3:INDEX(站位样品信息!$B:$B,COUNTA(站位样品信息!$B:$B)+1),MATCH($F940,站位样品信息!$A$3:INDEX(站位样品信息!$A:$A,COUNTA(站位样品信息!$A:$A)+1),),))</f>
        <v/>
      </c>
      <c r="H940" s="37" t="str">
        <f>IF(A940&amp;B940&amp;C940="","",INDEX(生物种群!$A$2:INDEX(生物种群!$A:$A,COUNTA(生物种群!$A:$A)),MATCH($I940,生物种群!$B$2:INDEX(生物种群!$B:$B,COUNTA(生物种群!$B:$B)),),))</f>
        <v/>
      </c>
      <c r="I940" s="37" t="str">
        <f>IF(A940&amp;B940&amp;C940="","",IF($C940&lt;&gt;0,INDEX(生物种群!$B$2:INDEX(生物种群!$B:$B,COUNTA(生物种群!$B:$B)),MATCH($C940,生物种群!$G$2:INDEX(生物种群!$G:$G,COUNTA(生物种群!$G:$G)),),),IF($A940&lt;&gt;0,INDEX(生物种群!$B$2:INDEX(生物种群!$B:$B,COUNTA(生物种群!$B:$B)),MATCH($A940,生物种群!$C$2:INDEX(生物种群!$C:$C,COUNTA(生物种群!$C:$C)),),),INDEX(生物种群!$B$2:INDEX(生物种群!$B:$B,COUNTA(生物种群!$B:$B)),MATCH($B940,生物种群!$D$2:INDEX(生物种群!$D:$D,COUNTA(生物种群!$D:$D)),),))))</f>
        <v/>
      </c>
      <c r="J940" s="37" t="str">
        <f>IF(A940&amp;B940&amp;C940="","",INDEX(生物种群!$J$2:INDEX(生物种群!$J:$J,COUNTA(生物种群!$J:$J)),MATCH($I940,生物种群!$B$2:INDEX(生物种群!$B:$B,COUNTA(生物种群!$B:$B)),),))</f>
        <v/>
      </c>
      <c r="K940" s="37" t="str">
        <f>IF(A940&amp;B940&amp;C940="","",INDEX(生物种群!$E$2:INDEX(生物种群!$E:$E,COUNTA(生物种群!$E:$E)),MATCH($I940,生物种群!$B$2:INDEX(生物种群!$B:$B,COUNTA(生物种群!$B:$B)),),))</f>
        <v/>
      </c>
      <c r="L940" s="37" t="str">
        <f>IF(A940&amp;B940&amp;C940="","",INDEX(生物种群!$F$3:INDEX(生物种群!$F:$F,COUNTA(生物种群!$F:$F)),MATCH($I940,生物种群!$B$3:INDEX(生物种群!$B:$B,COUNTA(生物种群!$B:$B)),),))</f>
        <v/>
      </c>
      <c r="M940" s="37" t="str">
        <f t="shared" si="28"/>
        <v/>
      </c>
      <c r="N940" s="37" t="str">
        <f t="shared" si="29"/>
        <v/>
      </c>
      <c r="O940" s="9"/>
      <c r="P940" s="10"/>
    </row>
    <row r="941" spans="1:16" ht="20.1" customHeight="1">
      <c r="A941" s="9"/>
      <c r="B941" s="9"/>
      <c r="C941" s="9"/>
      <c r="D941" s="43"/>
      <c r="E941" s="9"/>
      <c r="F941" s="9"/>
      <c r="G941" s="47" t="str">
        <f>IF(F941="","",INDEX(站位样品信息!$B$3:INDEX(站位样品信息!$B:$B,COUNTA(站位样品信息!$B:$B)+1),MATCH($F941,站位样品信息!$A$3:INDEX(站位样品信息!$A:$A,COUNTA(站位样品信息!$A:$A)+1),),))</f>
        <v/>
      </c>
      <c r="H941" s="37" t="str">
        <f>IF(A941&amp;B941&amp;C941="","",INDEX(生物种群!$A$2:INDEX(生物种群!$A:$A,COUNTA(生物种群!$A:$A)),MATCH($I941,生物种群!$B$2:INDEX(生物种群!$B:$B,COUNTA(生物种群!$B:$B)),),))</f>
        <v/>
      </c>
      <c r="I941" s="37" t="str">
        <f>IF(A941&amp;B941&amp;C941="","",IF($C941&lt;&gt;0,INDEX(生物种群!$B$2:INDEX(生物种群!$B:$B,COUNTA(生物种群!$B:$B)),MATCH($C941,生物种群!$G$2:INDEX(生物种群!$G:$G,COUNTA(生物种群!$G:$G)),),),IF($A941&lt;&gt;0,INDEX(生物种群!$B$2:INDEX(生物种群!$B:$B,COUNTA(生物种群!$B:$B)),MATCH($A941,生物种群!$C$2:INDEX(生物种群!$C:$C,COUNTA(生物种群!$C:$C)),),),INDEX(生物种群!$B$2:INDEX(生物种群!$B:$B,COUNTA(生物种群!$B:$B)),MATCH($B941,生物种群!$D$2:INDEX(生物种群!$D:$D,COUNTA(生物种群!$D:$D)),),))))</f>
        <v/>
      </c>
      <c r="J941" s="37" t="str">
        <f>IF(A941&amp;B941&amp;C941="","",INDEX(生物种群!$J$2:INDEX(生物种群!$J:$J,COUNTA(生物种群!$J:$J)),MATCH($I941,生物种群!$B$2:INDEX(生物种群!$B:$B,COUNTA(生物种群!$B:$B)),),))</f>
        <v/>
      </c>
      <c r="K941" s="37" t="str">
        <f>IF(A941&amp;B941&amp;C941="","",INDEX(生物种群!$E$2:INDEX(生物种群!$E:$E,COUNTA(生物种群!$E:$E)),MATCH($I941,生物种群!$B$2:INDEX(生物种群!$B:$B,COUNTA(生物种群!$B:$B)),),))</f>
        <v/>
      </c>
      <c r="L941" s="37" t="str">
        <f>IF(A941&amp;B941&amp;C941="","",INDEX(生物种群!$F$3:INDEX(生物种群!$F:$F,COUNTA(生物种群!$F:$F)),MATCH($I941,生物种群!$B$3:INDEX(生物种群!$B:$B,COUNTA(生物种群!$B:$B)),),))</f>
        <v/>
      </c>
      <c r="M941" s="37" t="str">
        <f t="shared" si="28"/>
        <v/>
      </c>
      <c r="N941" s="37" t="str">
        <f t="shared" si="29"/>
        <v/>
      </c>
      <c r="O941" s="9"/>
      <c r="P941" s="10"/>
    </row>
    <row r="942" spans="1:16" ht="20.1" customHeight="1">
      <c r="A942" s="9"/>
      <c r="B942" s="9"/>
      <c r="C942" s="9"/>
      <c r="D942" s="43"/>
      <c r="E942" s="9"/>
      <c r="F942" s="9"/>
      <c r="G942" s="47" t="str">
        <f>IF(F942="","",INDEX(站位样品信息!$B$3:INDEX(站位样品信息!$B:$B,COUNTA(站位样品信息!$B:$B)+1),MATCH($F942,站位样品信息!$A$3:INDEX(站位样品信息!$A:$A,COUNTA(站位样品信息!$A:$A)+1),),))</f>
        <v/>
      </c>
      <c r="H942" s="37" t="str">
        <f>IF(A942&amp;B942&amp;C942="","",INDEX(生物种群!$A$2:INDEX(生物种群!$A:$A,COUNTA(生物种群!$A:$A)),MATCH($I942,生物种群!$B$2:INDEX(生物种群!$B:$B,COUNTA(生物种群!$B:$B)),),))</f>
        <v/>
      </c>
      <c r="I942" s="37" t="str">
        <f>IF(A942&amp;B942&amp;C942="","",IF($C942&lt;&gt;0,INDEX(生物种群!$B$2:INDEX(生物种群!$B:$B,COUNTA(生物种群!$B:$B)),MATCH($C942,生物种群!$G$2:INDEX(生物种群!$G:$G,COUNTA(生物种群!$G:$G)),),),IF($A942&lt;&gt;0,INDEX(生物种群!$B$2:INDEX(生物种群!$B:$B,COUNTA(生物种群!$B:$B)),MATCH($A942,生物种群!$C$2:INDEX(生物种群!$C:$C,COUNTA(生物种群!$C:$C)),),),INDEX(生物种群!$B$2:INDEX(生物种群!$B:$B,COUNTA(生物种群!$B:$B)),MATCH($B942,生物种群!$D$2:INDEX(生物种群!$D:$D,COUNTA(生物种群!$D:$D)),),))))</f>
        <v/>
      </c>
      <c r="J942" s="37" t="str">
        <f>IF(A942&amp;B942&amp;C942="","",INDEX(生物种群!$J$2:INDEX(生物种群!$J:$J,COUNTA(生物种群!$J:$J)),MATCH($I942,生物种群!$B$2:INDEX(生物种群!$B:$B,COUNTA(生物种群!$B:$B)),),))</f>
        <v/>
      </c>
      <c r="K942" s="37" t="str">
        <f>IF(A942&amp;B942&amp;C942="","",INDEX(生物种群!$E$2:INDEX(生物种群!$E:$E,COUNTA(生物种群!$E:$E)),MATCH($I942,生物种群!$B$2:INDEX(生物种群!$B:$B,COUNTA(生物种群!$B:$B)),),))</f>
        <v/>
      </c>
      <c r="L942" s="37" t="str">
        <f>IF(A942&amp;B942&amp;C942="","",INDEX(生物种群!$F$3:INDEX(生物种群!$F:$F,COUNTA(生物种群!$F:$F)),MATCH($I942,生物种群!$B$3:INDEX(生物种群!$B:$B,COUNTA(生物种群!$B:$B)),),))</f>
        <v/>
      </c>
      <c r="M942" s="37" t="str">
        <f t="shared" si="28"/>
        <v/>
      </c>
      <c r="N942" s="37" t="str">
        <f t="shared" si="29"/>
        <v/>
      </c>
      <c r="O942" s="9"/>
      <c r="P942" s="10"/>
    </row>
    <row r="943" spans="1:16" ht="20.1" customHeight="1">
      <c r="A943" s="9"/>
      <c r="B943" s="9"/>
      <c r="C943" s="9"/>
      <c r="D943" s="43"/>
      <c r="E943" s="9"/>
      <c r="F943" s="9"/>
      <c r="G943" s="47" t="str">
        <f>IF(F943="","",INDEX(站位样品信息!$B$3:INDEX(站位样品信息!$B:$B,COUNTA(站位样品信息!$B:$B)+1),MATCH($F943,站位样品信息!$A$3:INDEX(站位样品信息!$A:$A,COUNTA(站位样品信息!$A:$A)+1),),))</f>
        <v/>
      </c>
      <c r="H943" s="37" t="str">
        <f>IF(A943&amp;B943&amp;C943="","",INDEX(生物种群!$A$2:INDEX(生物种群!$A:$A,COUNTA(生物种群!$A:$A)),MATCH($I943,生物种群!$B$2:INDEX(生物种群!$B:$B,COUNTA(生物种群!$B:$B)),),))</f>
        <v/>
      </c>
      <c r="I943" s="37" t="str">
        <f>IF(A943&amp;B943&amp;C943="","",IF($C943&lt;&gt;0,INDEX(生物种群!$B$2:INDEX(生物种群!$B:$B,COUNTA(生物种群!$B:$B)),MATCH($C943,生物种群!$G$2:INDEX(生物种群!$G:$G,COUNTA(生物种群!$G:$G)),),),IF($A943&lt;&gt;0,INDEX(生物种群!$B$2:INDEX(生物种群!$B:$B,COUNTA(生物种群!$B:$B)),MATCH($A943,生物种群!$C$2:INDEX(生物种群!$C:$C,COUNTA(生物种群!$C:$C)),),),INDEX(生物种群!$B$2:INDEX(生物种群!$B:$B,COUNTA(生物种群!$B:$B)),MATCH($B943,生物种群!$D$2:INDEX(生物种群!$D:$D,COUNTA(生物种群!$D:$D)),),))))</f>
        <v/>
      </c>
      <c r="J943" s="37" t="str">
        <f>IF(A943&amp;B943&amp;C943="","",INDEX(生物种群!$J$2:INDEX(生物种群!$J:$J,COUNTA(生物种群!$J:$J)),MATCH($I943,生物种群!$B$2:INDEX(生物种群!$B:$B,COUNTA(生物种群!$B:$B)),),))</f>
        <v/>
      </c>
      <c r="K943" s="37" t="str">
        <f>IF(A943&amp;B943&amp;C943="","",INDEX(生物种群!$E$2:INDEX(生物种群!$E:$E,COUNTA(生物种群!$E:$E)),MATCH($I943,生物种群!$B$2:INDEX(生物种群!$B:$B,COUNTA(生物种群!$B:$B)),),))</f>
        <v/>
      </c>
      <c r="L943" s="37" t="str">
        <f>IF(A943&amp;B943&amp;C943="","",INDEX(生物种群!$F$3:INDEX(生物种群!$F:$F,COUNTA(生物种群!$F:$F)),MATCH($I943,生物种群!$B$3:INDEX(生物种群!$B:$B,COUNTA(生物种群!$B:$B)),),))</f>
        <v/>
      </c>
      <c r="M943" s="37" t="str">
        <f t="shared" si="28"/>
        <v/>
      </c>
      <c r="N943" s="37" t="str">
        <f t="shared" si="29"/>
        <v/>
      </c>
      <c r="O943" s="9"/>
      <c r="P943" s="10"/>
    </row>
    <row r="944" spans="1:16" ht="20.1" customHeight="1">
      <c r="A944" s="9"/>
      <c r="B944" s="9"/>
      <c r="C944" s="9"/>
      <c r="D944" s="43"/>
      <c r="E944" s="9"/>
      <c r="F944" s="9"/>
      <c r="G944" s="47" t="str">
        <f>IF(F944="","",INDEX(站位样品信息!$B$3:INDEX(站位样品信息!$B:$B,COUNTA(站位样品信息!$B:$B)+1),MATCH($F944,站位样品信息!$A$3:INDEX(站位样品信息!$A:$A,COUNTA(站位样品信息!$A:$A)+1),),))</f>
        <v/>
      </c>
      <c r="H944" s="37" t="str">
        <f>IF(A944&amp;B944&amp;C944="","",INDEX(生物种群!$A$2:INDEX(生物种群!$A:$A,COUNTA(生物种群!$A:$A)),MATCH($I944,生物种群!$B$2:INDEX(生物种群!$B:$B,COUNTA(生物种群!$B:$B)),),))</f>
        <v/>
      </c>
      <c r="I944" s="37" t="str">
        <f>IF(A944&amp;B944&amp;C944="","",IF($C944&lt;&gt;0,INDEX(生物种群!$B$2:INDEX(生物种群!$B:$B,COUNTA(生物种群!$B:$B)),MATCH($C944,生物种群!$G$2:INDEX(生物种群!$G:$G,COUNTA(生物种群!$G:$G)),),),IF($A944&lt;&gt;0,INDEX(生物种群!$B$2:INDEX(生物种群!$B:$B,COUNTA(生物种群!$B:$B)),MATCH($A944,生物种群!$C$2:INDEX(生物种群!$C:$C,COUNTA(生物种群!$C:$C)),),),INDEX(生物种群!$B$2:INDEX(生物种群!$B:$B,COUNTA(生物种群!$B:$B)),MATCH($B944,生物种群!$D$2:INDEX(生物种群!$D:$D,COUNTA(生物种群!$D:$D)),),))))</f>
        <v/>
      </c>
      <c r="J944" s="37" t="str">
        <f>IF(A944&amp;B944&amp;C944="","",INDEX(生物种群!$J$2:INDEX(生物种群!$J:$J,COUNTA(生物种群!$J:$J)),MATCH($I944,生物种群!$B$2:INDEX(生物种群!$B:$B,COUNTA(生物种群!$B:$B)),),))</f>
        <v/>
      </c>
      <c r="K944" s="37" t="str">
        <f>IF(A944&amp;B944&amp;C944="","",INDEX(生物种群!$E$2:INDEX(生物种群!$E:$E,COUNTA(生物种群!$E:$E)),MATCH($I944,生物种群!$B$2:INDEX(生物种群!$B:$B,COUNTA(生物种群!$B:$B)),),))</f>
        <v/>
      </c>
      <c r="L944" s="37" t="str">
        <f>IF(A944&amp;B944&amp;C944="","",INDEX(生物种群!$F$3:INDEX(生物种群!$F:$F,COUNTA(生物种群!$F:$F)),MATCH($I944,生物种群!$B$3:INDEX(生物种群!$B:$B,COUNTA(生物种群!$B:$B)),),))</f>
        <v/>
      </c>
      <c r="M944" s="37" t="str">
        <f t="shared" si="28"/>
        <v/>
      </c>
      <c r="N944" s="37" t="str">
        <f t="shared" si="29"/>
        <v/>
      </c>
      <c r="O944" s="9"/>
      <c r="P944" s="10"/>
    </row>
    <row r="945" spans="1:16" ht="20.1" customHeight="1">
      <c r="A945" s="9"/>
      <c r="B945" s="9"/>
      <c r="C945" s="9"/>
      <c r="D945" s="43"/>
      <c r="E945" s="9"/>
      <c r="F945" s="9"/>
      <c r="G945" s="47" t="str">
        <f>IF(F945="","",INDEX(站位样品信息!$B$3:INDEX(站位样品信息!$B:$B,COUNTA(站位样品信息!$B:$B)+1),MATCH($F945,站位样品信息!$A$3:INDEX(站位样品信息!$A:$A,COUNTA(站位样品信息!$A:$A)+1),),))</f>
        <v/>
      </c>
      <c r="H945" s="37" t="str">
        <f>IF(A945&amp;B945&amp;C945="","",INDEX(生物种群!$A$2:INDEX(生物种群!$A:$A,COUNTA(生物种群!$A:$A)),MATCH($I945,生物种群!$B$2:INDEX(生物种群!$B:$B,COUNTA(生物种群!$B:$B)),),))</f>
        <v/>
      </c>
      <c r="I945" s="37" t="str">
        <f>IF(A945&amp;B945&amp;C945="","",IF($C945&lt;&gt;0,INDEX(生物种群!$B$2:INDEX(生物种群!$B:$B,COUNTA(生物种群!$B:$B)),MATCH($C945,生物种群!$G$2:INDEX(生物种群!$G:$G,COUNTA(生物种群!$G:$G)),),),IF($A945&lt;&gt;0,INDEX(生物种群!$B$2:INDEX(生物种群!$B:$B,COUNTA(生物种群!$B:$B)),MATCH($A945,生物种群!$C$2:INDEX(生物种群!$C:$C,COUNTA(生物种群!$C:$C)),),),INDEX(生物种群!$B$2:INDEX(生物种群!$B:$B,COUNTA(生物种群!$B:$B)),MATCH($B945,生物种群!$D$2:INDEX(生物种群!$D:$D,COUNTA(生物种群!$D:$D)),),))))</f>
        <v/>
      </c>
      <c r="J945" s="37" t="str">
        <f>IF(A945&amp;B945&amp;C945="","",INDEX(生物种群!$J$2:INDEX(生物种群!$J:$J,COUNTA(生物种群!$J:$J)),MATCH($I945,生物种群!$B$2:INDEX(生物种群!$B:$B,COUNTA(生物种群!$B:$B)),),))</f>
        <v/>
      </c>
      <c r="K945" s="37" t="str">
        <f>IF(A945&amp;B945&amp;C945="","",INDEX(生物种群!$E$2:INDEX(生物种群!$E:$E,COUNTA(生物种群!$E:$E)),MATCH($I945,生物种群!$B$2:INDEX(生物种群!$B:$B,COUNTA(生物种群!$B:$B)),),))</f>
        <v/>
      </c>
      <c r="L945" s="37" t="str">
        <f>IF(A945&amp;B945&amp;C945="","",INDEX(生物种群!$F$3:INDEX(生物种群!$F:$F,COUNTA(生物种群!$F:$F)),MATCH($I945,生物种群!$B$3:INDEX(生物种群!$B:$B,COUNTA(生物种群!$B:$B)),),))</f>
        <v/>
      </c>
      <c r="M945" s="37" t="str">
        <f t="shared" si="28"/>
        <v/>
      </c>
      <c r="N945" s="37" t="str">
        <f t="shared" si="29"/>
        <v/>
      </c>
      <c r="O945" s="9"/>
      <c r="P945" s="10"/>
    </row>
    <row r="946" spans="1:16" ht="20.1" customHeight="1">
      <c r="A946" s="9"/>
      <c r="B946" s="9"/>
      <c r="C946" s="9"/>
      <c r="D946" s="43"/>
      <c r="E946" s="9"/>
      <c r="F946" s="9"/>
      <c r="G946" s="47" t="str">
        <f>IF(F946="","",INDEX(站位样品信息!$B$3:INDEX(站位样品信息!$B:$B,COUNTA(站位样品信息!$B:$B)+1),MATCH($F946,站位样品信息!$A$3:INDEX(站位样品信息!$A:$A,COUNTA(站位样品信息!$A:$A)+1),),))</f>
        <v/>
      </c>
      <c r="H946" s="37" t="str">
        <f>IF(A946&amp;B946&amp;C946="","",INDEX(生物种群!$A$2:INDEX(生物种群!$A:$A,COUNTA(生物种群!$A:$A)),MATCH($I946,生物种群!$B$2:INDEX(生物种群!$B:$B,COUNTA(生物种群!$B:$B)),),))</f>
        <v/>
      </c>
      <c r="I946" s="37" t="str">
        <f>IF(A946&amp;B946&amp;C946="","",IF($C946&lt;&gt;0,INDEX(生物种群!$B$2:INDEX(生物种群!$B:$B,COUNTA(生物种群!$B:$B)),MATCH($C946,生物种群!$G$2:INDEX(生物种群!$G:$G,COUNTA(生物种群!$G:$G)),),),IF($A946&lt;&gt;0,INDEX(生物种群!$B$2:INDEX(生物种群!$B:$B,COUNTA(生物种群!$B:$B)),MATCH($A946,生物种群!$C$2:INDEX(生物种群!$C:$C,COUNTA(生物种群!$C:$C)),),),INDEX(生物种群!$B$2:INDEX(生物种群!$B:$B,COUNTA(生物种群!$B:$B)),MATCH($B946,生物种群!$D$2:INDEX(生物种群!$D:$D,COUNTA(生物种群!$D:$D)),),))))</f>
        <v/>
      </c>
      <c r="J946" s="37" t="str">
        <f>IF(A946&amp;B946&amp;C946="","",INDEX(生物种群!$J$2:INDEX(生物种群!$J:$J,COUNTA(生物种群!$J:$J)),MATCH($I946,生物种群!$B$2:INDEX(生物种群!$B:$B,COUNTA(生物种群!$B:$B)),),))</f>
        <v/>
      </c>
      <c r="K946" s="37" t="str">
        <f>IF(A946&amp;B946&amp;C946="","",INDEX(生物种群!$E$2:INDEX(生物种群!$E:$E,COUNTA(生物种群!$E:$E)),MATCH($I946,生物种群!$B$2:INDEX(生物种群!$B:$B,COUNTA(生物种群!$B:$B)),),))</f>
        <v/>
      </c>
      <c r="L946" s="37" t="str">
        <f>IF(A946&amp;B946&amp;C946="","",INDEX(生物种群!$F$3:INDEX(生物种群!$F:$F,COUNTA(生物种群!$F:$F)),MATCH($I946,生物种群!$B$3:INDEX(生物种群!$B:$B,COUNTA(生物种群!$B:$B)),),))</f>
        <v/>
      </c>
      <c r="M946" s="37" t="str">
        <f t="shared" si="28"/>
        <v/>
      </c>
      <c r="N946" s="37" t="str">
        <f t="shared" si="29"/>
        <v/>
      </c>
      <c r="O946" s="9"/>
      <c r="P946" s="10"/>
    </row>
    <row r="947" spans="1:16" ht="20.1" customHeight="1">
      <c r="A947" s="9"/>
      <c r="B947" s="9"/>
      <c r="C947" s="9"/>
      <c r="D947" s="43"/>
      <c r="E947" s="9"/>
      <c r="F947" s="9"/>
      <c r="G947" s="47" t="str">
        <f>IF(F947="","",INDEX(站位样品信息!$B$3:INDEX(站位样品信息!$B:$B,COUNTA(站位样品信息!$B:$B)+1),MATCH($F947,站位样品信息!$A$3:INDEX(站位样品信息!$A:$A,COUNTA(站位样品信息!$A:$A)+1),),))</f>
        <v/>
      </c>
      <c r="H947" s="37" t="str">
        <f>IF(A947&amp;B947&amp;C947="","",INDEX(生物种群!$A$2:INDEX(生物种群!$A:$A,COUNTA(生物种群!$A:$A)),MATCH($I947,生物种群!$B$2:INDEX(生物种群!$B:$B,COUNTA(生物种群!$B:$B)),),))</f>
        <v/>
      </c>
      <c r="I947" s="37" t="str">
        <f>IF(A947&amp;B947&amp;C947="","",IF($C947&lt;&gt;0,INDEX(生物种群!$B$2:INDEX(生物种群!$B:$B,COUNTA(生物种群!$B:$B)),MATCH($C947,生物种群!$G$2:INDEX(生物种群!$G:$G,COUNTA(生物种群!$G:$G)),),),IF($A947&lt;&gt;0,INDEX(生物种群!$B$2:INDEX(生物种群!$B:$B,COUNTA(生物种群!$B:$B)),MATCH($A947,生物种群!$C$2:INDEX(生物种群!$C:$C,COUNTA(生物种群!$C:$C)),),),INDEX(生物种群!$B$2:INDEX(生物种群!$B:$B,COUNTA(生物种群!$B:$B)),MATCH($B947,生物种群!$D$2:INDEX(生物种群!$D:$D,COUNTA(生物种群!$D:$D)),),))))</f>
        <v/>
      </c>
      <c r="J947" s="37" t="str">
        <f>IF(A947&amp;B947&amp;C947="","",INDEX(生物种群!$J$2:INDEX(生物种群!$J:$J,COUNTA(生物种群!$J:$J)),MATCH($I947,生物种群!$B$2:INDEX(生物种群!$B:$B,COUNTA(生物种群!$B:$B)),),))</f>
        <v/>
      </c>
      <c r="K947" s="37" t="str">
        <f>IF(A947&amp;B947&amp;C947="","",INDEX(生物种群!$E$2:INDEX(生物种群!$E:$E,COUNTA(生物种群!$E:$E)),MATCH($I947,生物种群!$B$2:INDEX(生物种群!$B:$B,COUNTA(生物种群!$B:$B)),),))</f>
        <v/>
      </c>
      <c r="L947" s="37" t="str">
        <f>IF(A947&amp;B947&amp;C947="","",INDEX(生物种群!$F$3:INDEX(生物种群!$F:$F,COUNTA(生物种群!$F:$F)),MATCH($I947,生物种群!$B$3:INDEX(生物种群!$B:$B,COUNTA(生物种群!$B:$B)),),))</f>
        <v/>
      </c>
      <c r="M947" s="37" t="str">
        <f t="shared" si="28"/>
        <v/>
      </c>
      <c r="N947" s="37" t="str">
        <f t="shared" si="29"/>
        <v/>
      </c>
      <c r="O947" s="9"/>
      <c r="P947" s="10"/>
    </row>
    <row r="948" spans="1:16" ht="20.1" customHeight="1">
      <c r="A948" s="9"/>
      <c r="B948" s="9"/>
      <c r="C948" s="9"/>
      <c r="D948" s="43"/>
      <c r="E948" s="9"/>
      <c r="F948" s="9"/>
      <c r="G948" s="47" t="str">
        <f>IF(F948="","",INDEX(站位样品信息!$B$3:INDEX(站位样品信息!$B:$B,COUNTA(站位样品信息!$B:$B)+1),MATCH($F948,站位样品信息!$A$3:INDEX(站位样品信息!$A:$A,COUNTA(站位样品信息!$A:$A)+1),),))</f>
        <v/>
      </c>
      <c r="H948" s="37" t="str">
        <f>IF(A948&amp;B948&amp;C948="","",INDEX(生物种群!$A$2:INDEX(生物种群!$A:$A,COUNTA(生物种群!$A:$A)),MATCH($I948,生物种群!$B$2:INDEX(生物种群!$B:$B,COUNTA(生物种群!$B:$B)),),))</f>
        <v/>
      </c>
      <c r="I948" s="37" t="str">
        <f>IF(A948&amp;B948&amp;C948="","",IF($C948&lt;&gt;0,INDEX(生物种群!$B$2:INDEX(生物种群!$B:$B,COUNTA(生物种群!$B:$B)),MATCH($C948,生物种群!$G$2:INDEX(生物种群!$G:$G,COUNTA(生物种群!$G:$G)),),),IF($A948&lt;&gt;0,INDEX(生物种群!$B$2:INDEX(生物种群!$B:$B,COUNTA(生物种群!$B:$B)),MATCH($A948,生物种群!$C$2:INDEX(生物种群!$C:$C,COUNTA(生物种群!$C:$C)),),),INDEX(生物种群!$B$2:INDEX(生物种群!$B:$B,COUNTA(生物种群!$B:$B)),MATCH($B948,生物种群!$D$2:INDEX(生物种群!$D:$D,COUNTA(生物种群!$D:$D)),),))))</f>
        <v/>
      </c>
      <c r="J948" s="37" t="str">
        <f>IF(A948&amp;B948&amp;C948="","",INDEX(生物种群!$J$2:INDEX(生物种群!$J:$J,COUNTA(生物种群!$J:$J)),MATCH($I948,生物种群!$B$2:INDEX(生物种群!$B:$B,COUNTA(生物种群!$B:$B)),),))</f>
        <v/>
      </c>
      <c r="K948" s="37" t="str">
        <f>IF(A948&amp;B948&amp;C948="","",INDEX(生物种群!$E$2:INDEX(生物种群!$E:$E,COUNTA(生物种群!$E:$E)),MATCH($I948,生物种群!$B$2:INDEX(生物种群!$B:$B,COUNTA(生物种群!$B:$B)),),))</f>
        <v/>
      </c>
      <c r="L948" s="37" t="str">
        <f>IF(A948&amp;B948&amp;C948="","",INDEX(生物种群!$F$3:INDEX(生物种群!$F:$F,COUNTA(生物种群!$F:$F)),MATCH($I948,生物种群!$B$3:INDEX(生物种群!$B:$B,COUNTA(生物种群!$B:$B)),),))</f>
        <v/>
      </c>
      <c r="M948" s="37" t="str">
        <f t="shared" si="28"/>
        <v/>
      </c>
      <c r="N948" s="37" t="str">
        <f t="shared" si="29"/>
        <v/>
      </c>
      <c r="O948" s="9"/>
      <c r="P948" s="10"/>
    </row>
    <row r="949" spans="1:16" ht="20.1" customHeight="1">
      <c r="A949" s="9"/>
      <c r="B949" s="9"/>
      <c r="C949" s="9"/>
      <c r="D949" s="43"/>
      <c r="E949" s="9"/>
      <c r="F949" s="9"/>
      <c r="G949" s="47" t="str">
        <f>IF(F949="","",INDEX(站位样品信息!$B$3:INDEX(站位样品信息!$B:$B,COUNTA(站位样品信息!$B:$B)+1),MATCH($F949,站位样品信息!$A$3:INDEX(站位样品信息!$A:$A,COUNTA(站位样品信息!$A:$A)+1),),))</f>
        <v/>
      </c>
      <c r="H949" s="37" t="str">
        <f>IF(A949&amp;B949&amp;C949="","",INDEX(生物种群!$A$2:INDEX(生物种群!$A:$A,COUNTA(生物种群!$A:$A)),MATCH($I949,生物种群!$B$2:INDEX(生物种群!$B:$B,COUNTA(生物种群!$B:$B)),),))</f>
        <v/>
      </c>
      <c r="I949" s="37" t="str">
        <f>IF(A949&amp;B949&amp;C949="","",IF($C949&lt;&gt;0,INDEX(生物种群!$B$2:INDEX(生物种群!$B:$B,COUNTA(生物种群!$B:$B)),MATCH($C949,生物种群!$G$2:INDEX(生物种群!$G:$G,COUNTA(生物种群!$G:$G)),),),IF($A949&lt;&gt;0,INDEX(生物种群!$B$2:INDEX(生物种群!$B:$B,COUNTA(生物种群!$B:$B)),MATCH($A949,生物种群!$C$2:INDEX(生物种群!$C:$C,COUNTA(生物种群!$C:$C)),),),INDEX(生物种群!$B$2:INDEX(生物种群!$B:$B,COUNTA(生物种群!$B:$B)),MATCH($B949,生物种群!$D$2:INDEX(生物种群!$D:$D,COUNTA(生物种群!$D:$D)),),))))</f>
        <v/>
      </c>
      <c r="J949" s="37" t="str">
        <f>IF(A949&amp;B949&amp;C949="","",INDEX(生物种群!$J$2:INDEX(生物种群!$J:$J,COUNTA(生物种群!$J:$J)),MATCH($I949,生物种群!$B$2:INDEX(生物种群!$B:$B,COUNTA(生物种群!$B:$B)),),))</f>
        <v/>
      </c>
      <c r="K949" s="37" t="str">
        <f>IF(A949&amp;B949&amp;C949="","",INDEX(生物种群!$E$2:INDEX(生物种群!$E:$E,COUNTA(生物种群!$E:$E)),MATCH($I949,生物种群!$B$2:INDEX(生物种群!$B:$B,COUNTA(生物种群!$B:$B)),),))</f>
        <v/>
      </c>
      <c r="L949" s="37" t="str">
        <f>IF(A949&amp;B949&amp;C949="","",INDEX(生物种群!$F$3:INDEX(生物种群!$F:$F,COUNTA(生物种群!$F:$F)),MATCH($I949,生物种群!$B$3:INDEX(生物种群!$B:$B,COUNTA(生物种群!$B:$B)),),))</f>
        <v/>
      </c>
      <c r="M949" s="37" t="str">
        <f t="shared" si="28"/>
        <v/>
      </c>
      <c r="N949" s="37" t="str">
        <f t="shared" si="29"/>
        <v/>
      </c>
      <c r="O949" s="9"/>
      <c r="P949" s="10"/>
    </row>
    <row r="950" spans="1:16" ht="20.1" customHeight="1">
      <c r="A950" s="9"/>
      <c r="B950" s="9"/>
      <c r="C950" s="9"/>
      <c r="D950" s="43"/>
      <c r="E950" s="9"/>
      <c r="F950" s="9"/>
      <c r="G950" s="47" t="str">
        <f>IF(F950="","",INDEX(站位样品信息!$B$3:INDEX(站位样品信息!$B:$B,COUNTA(站位样品信息!$B:$B)+1),MATCH($F950,站位样品信息!$A$3:INDEX(站位样品信息!$A:$A,COUNTA(站位样品信息!$A:$A)+1),),))</f>
        <v/>
      </c>
      <c r="H950" s="37" t="str">
        <f>IF(A950&amp;B950&amp;C950="","",INDEX(生物种群!$A$2:INDEX(生物种群!$A:$A,COUNTA(生物种群!$A:$A)),MATCH($I950,生物种群!$B$2:INDEX(生物种群!$B:$B,COUNTA(生物种群!$B:$B)),),))</f>
        <v/>
      </c>
      <c r="I950" s="37" t="str">
        <f>IF(A950&amp;B950&amp;C950="","",IF($C950&lt;&gt;0,INDEX(生物种群!$B$2:INDEX(生物种群!$B:$B,COUNTA(生物种群!$B:$B)),MATCH($C950,生物种群!$G$2:INDEX(生物种群!$G:$G,COUNTA(生物种群!$G:$G)),),),IF($A950&lt;&gt;0,INDEX(生物种群!$B$2:INDEX(生物种群!$B:$B,COUNTA(生物种群!$B:$B)),MATCH($A950,生物种群!$C$2:INDEX(生物种群!$C:$C,COUNTA(生物种群!$C:$C)),),),INDEX(生物种群!$B$2:INDEX(生物种群!$B:$B,COUNTA(生物种群!$B:$B)),MATCH($B950,生物种群!$D$2:INDEX(生物种群!$D:$D,COUNTA(生物种群!$D:$D)),),))))</f>
        <v/>
      </c>
      <c r="J950" s="37" t="str">
        <f>IF(A950&amp;B950&amp;C950="","",INDEX(生物种群!$J$2:INDEX(生物种群!$J:$J,COUNTA(生物种群!$J:$J)),MATCH($I950,生物种群!$B$2:INDEX(生物种群!$B:$B,COUNTA(生物种群!$B:$B)),),))</f>
        <v/>
      </c>
      <c r="K950" s="37" t="str">
        <f>IF(A950&amp;B950&amp;C950="","",INDEX(生物种群!$E$2:INDEX(生物种群!$E:$E,COUNTA(生物种群!$E:$E)),MATCH($I950,生物种群!$B$2:INDEX(生物种群!$B:$B,COUNTA(生物种群!$B:$B)),),))</f>
        <v/>
      </c>
      <c r="L950" s="37" t="str">
        <f>IF(A950&amp;B950&amp;C950="","",INDEX(生物种群!$F$3:INDEX(生物种群!$F:$F,COUNTA(生物种群!$F:$F)),MATCH($I950,生物种群!$B$3:INDEX(生物种群!$B:$B,COUNTA(生物种群!$B:$B)),),))</f>
        <v/>
      </c>
      <c r="M950" s="37" t="str">
        <f t="shared" si="28"/>
        <v/>
      </c>
      <c r="N950" s="37" t="str">
        <f t="shared" si="29"/>
        <v/>
      </c>
      <c r="O950" s="9"/>
      <c r="P950" s="10"/>
    </row>
    <row r="951" spans="1:16" ht="20.1" customHeight="1">
      <c r="A951" s="9"/>
      <c r="B951" s="9"/>
      <c r="C951" s="9"/>
      <c r="D951" s="43"/>
      <c r="E951" s="9"/>
      <c r="F951" s="9"/>
      <c r="G951" s="47" t="str">
        <f>IF(F951="","",INDEX(站位样品信息!$B$3:INDEX(站位样品信息!$B:$B,COUNTA(站位样品信息!$B:$B)+1),MATCH($F951,站位样品信息!$A$3:INDEX(站位样品信息!$A:$A,COUNTA(站位样品信息!$A:$A)+1),),))</f>
        <v/>
      </c>
      <c r="H951" s="37" t="str">
        <f>IF(A951&amp;B951&amp;C951="","",INDEX(生物种群!$A$2:INDEX(生物种群!$A:$A,COUNTA(生物种群!$A:$A)),MATCH($I951,生物种群!$B$2:INDEX(生物种群!$B:$B,COUNTA(生物种群!$B:$B)),),))</f>
        <v/>
      </c>
      <c r="I951" s="37" t="str">
        <f>IF(A951&amp;B951&amp;C951="","",IF($C951&lt;&gt;0,INDEX(生物种群!$B$2:INDEX(生物种群!$B:$B,COUNTA(生物种群!$B:$B)),MATCH($C951,生物种群!$G$2:INDEX(生物种群!$G:$G,COUNTA(生物种群!$G:$G)),),),IF($A951&lt;&gt;0,INDEX(生物种群!$B$2:INDEX(生物种群!$B:$B,COUNTA(生物种群!$B:$B)),MATCH($A951,生物种群!$C$2:INDEX(生物种群!$C:$C,COUNTA(生物种群!$C:$C)),),),INDEX(生物种群!$B$2:INDEX(生物种群!$B:$B,COUNTA(生物种群!$B:$B)),MATCH($B951,生物种群!$D$2:INDEX(生物种群!$D:$D,COUNTA(生物种群!$D:$D)),),))))</f>
        <v/>
      </c>
      <c r="J951" s="37" t="str">
        <f>IF(A951&amp;B951&amp;C951="","",INDEX(生物种群!$J$2:INDEX(生物种群!$J:$J,COUNTA(生物种群!$J:$J)),MATCH($I951,生物种群!$B$2:INDEX(生物种群!$B:$B,COUNTA(生物种群!$B:$B)),),))</f>
        <v/>
      </c>
      <c r="K951" s="37" t="str">
        <f>IF(A951&amp;B951&amp;C951="","",INDEX(生物种群!$E$2:INDEX(生物种群!$E:$E,COUNTA(生物种群!$E:$E)),MATCH($I951,生物种群!$B$2:INDEX(生物种群!$B:$B,COUNTA(生物种群!$B:$B)),),))</f>
        <v/>
      </c>
      <c r="L951" s="37" t="str">
        <f>IF(A951&amp;B951&amp;C951="","",INDEX(生物种群!$F$3:INDEX(生物种群!$F:$F,COUNTA(生物种群!$F:$F)),MATCH($I951,生物种群!$B$3:INDEX(生物种群!$B:$B,COUNTA(生物种群!$B:$B)),),))</f>
        <v/>
      </c>
      <c r="M951" s="37" t="str">
        <f t="shared" si="28"/>
        <v/>
      </c>
      <c r="N951" s="37" t="str">
        <f t="shared" si="29"/>
        <v/>
      </c>
      <c r="O951" s="9"/>
      <c r="P951" s="10"/>
    </row>
    <row r="952" spans="1:16" ht="20.1" customHeight="1">
      <c r="A952" s="9"/>
      <c r="B952" s="9"/>
      <c r="C952" s="9"/>
      <c r="D952" s="43"/>
      <c r="E952" s="9"/>
      <c r="F952" s="9"/>
      <c r="G952" s="47" t="str">
        <f>IF(F952="","",INDEX(站位样品信息!$B$3:INDEX(站位样品信息!$B:$B,COUNTA(站位样品信息!$B:$B)+1),MATCH($F952,站位样品信息!$A$3:INDEX(站位样品信息!$A:$A,COUNTA(站位样品信息!$A:$A)+1),),))</f>
        <v/>
      </c>
      <c r="H952" s="37" t="str">
        <f>IF(A952&amp;B952&amp;C952="","",INDEX(生物种群!$A$2:INDEX(生物种群!$A:$A,COUNTA(生物种群!$A:$A)),MATCH($I952,生物种群!$B$2:INDEX(生物种群!$B:$B,COUNTA(生物种群!$B:$B)),),))</f>
        <v/>
      </c>
      <c r="I952" s="37" t="str">
        <f>IF(A952&amp;B952&amp;C952="","",IF($C952&lt;&gt;0,INDEX(生物种群!$B$2:INDEX(生物种群!$B:$B,COUNTA(生物种群!$B:$B)),MATCH($C952,生物种群!$G$2:INDEX(生物种群!$G:$G,COUNTA(生物种群!$G:$G)),),),IF($A952&lt;&gt;0,INDEX(生物种群!$B$2:INDEX(生物种群!$B:$B,COUNTA(生物种群!$B:$B)),MATCH($A952,生物种群!$C$2:INDEX(生物种群!$C:$C,COUNTA(生物种群!$C:$C)),),),INDEX(生物种群!$B$2:INDEX(生物种群!$B:$B,COUNTA(生物种群!$B:$B)),MATCH($B952,生物种群!$D$2:INDEX(生物种群!$D:$D,COUNTA(生物种群!$D:$D)),),))))</f>
        <v/>
      </c>
      <c r="J952" s="37" t="str">
        <f>IF(A952&amp;B952&amp;C952="","",INDEX(生物种群!$J$2:INDEX(生物种群!$J:$J,COUNTA(生物种群!$J:$J)),MATCH($I952,生物种群!$B$2:INDEX(生物种群!$B:$B,COUNTA(生物种群!$B:$B)),),))</f>
        <v/>
      </c>
      <c r="K952" s="37" t="str">
        <f>IF(A952&amp;B952&amp;C952="","",INDEX(生物种群!$E$2:INDEX(生物种群!$E:$E,COUNTA(生物种群!$E:$E)),MATCH($I952,生物种群!$B$2:INDEX(生物种群!$B:$B,COUNTA(生物种群!$B:$B)),),))</f>
        <v/>
      </c>
      <c r="L952" s="37" t="str">
        <f>IF(A952&amp;B952&amp;C952="","",INDEX(生物种群!$F$3:INDEX(生物种群!$F:$F,COUNTA(生物种群!$F:$F)),MATCH($I952,生物种群!$B$3:INDEX(生物种群!$B:$B,COUNTA(生物种群!$B:$B)),),))</f>
        <v/>
      </c>
      <c r="M952" s="37" t="str">
        <f t="shared" si="28"/>
        <v/>
      </c>
      <c r="N952" s="37" t="str">
        <f t="shared" si="29"/>
        <v/>
      </c>
      <c r="O952" s="9"/>
      <c r="P952" s="10"/>
    </row>
    <row r="953" spans="1:16" ht="20.1" customHeight="1">
      <c r="A953" s="9"/>
      <c r="B953" s="9"/>
      <c r="C953" s="9"/>
      <c r="D953" s="43"/>
      <c r="E953" s="9"/>
      <c r="F953" s="9"/>
      <c r="G953" s="47" t="str">
        <f>IF(F953="","",INDEX(站位样品信息!$B$3:INDEX(站位样品信息!$B:$B,COUNTA(站位样品信息!$B:$B)+1),MATCH($F953,站位样品信息!$A$3:INDEX(站位样品信息!$A:$A,COUNTA(站位样品信息!$A:$A)+1),),))</f>
        <v/>
      </c>
      <c r="H953" s="37" t="str">
        <f>IF(A953&amp;B953&amp;C953="","",INDEX(生物种群!$A$2:INDEX(生物种群!$A:$A,COUNTA(生物种群!$A:$A)),MATCH($I953,生物种群!$B$2:INDEX(生物种群!$B:$B,COUNTA(生物种群!$B:$B)),),))</f>
        <v/>
      </c>
      <c r="I953" s="37" t="str">
        <f>IF(A953&amp;B953&amp;C953="","",IF($C953&lt;&gt;0,INDEX(生物种群!$B$2:INDEX(生物种群!$B:$B,COUNTA(生物种群!$B:$B)),MATCH($C953,生物种群!$G$2:INDEX(生物种群!$G:$G,COUNTA(生物种群!$G:$G)),),),IF($A953&lt;&gt;0,INDEX(生物种群!$B$2:INDEX(生物种群!$B:$B,COUNTA(生物种群!$B:$B)),MATCH($A953,生物种群!$C$2:INDEX(生物种群!$C:$C,COUNTA(生物种群!$C:$C)),),),INDEX(生物种群!$B$2:INDEX(生物种群!$B:$B,COUNTA(生物种群!$B:$B)),MATCH($B953,生物种群!$D$2:INDEX(生物种群!$D:$D,COUNTA(生物种群!$D:$D)),),))))</f>
        <v/>
      </c>
      <c r="J953" s="37" t="str">
        <f>IF(A953&amp;B953&amp;C953="","",INDEX(生物种群!$J$2:INDEX(生物种群!$J:$J,COUNTA(生物种群!$J:$J)),MATCH($I953,生物种群!$B$2:INDEX(生物种群!$B:$B,COUNTA(生物种群!$B:$B)),),))</f>
        <v/>
      </c>
      <c r="K953" s="37" t="str">
        <f>IF(A953&amp;B953&amp;C953="","",INDEX(生物种群!$E$2:INDEX(生物种群!$E:$E,COUNTA(生物种群!$E:$E)),MATCH($I953,生物种群!$B$2:INDEX(生物种群!$B:$B,COUNTA(生物种群!$B:$B)),),))</f>
        <v/>
      </c>
      <c r="L953" s="37" t="str">
        <f>IF(A953&amp;B953&amp;C953="","",INDEX(生物种群!$F$3:INDEX(生物种群!$F:$F,COUNTA(生物种群!$F:$F)),MATCH($I953,生物种群!$B$3:INDEX(生物种群!$B:$B,COUNTA(生物种群!$B:$B)),),))</f>
        <v/>
      </c>
      <c r="M953" s="37" t="str">
        <f t="shared" si="28"/>
        <v/>
      </c>
      <c r="N953" s="37" t="str">
        <f t="shared" si="29"/>
        <v/>
      </c>
      <c r="O953" s="9"/>
      <c r="P953" s="10"/>
    </row>
    <row r="954" spans="1:16" ht="20.1" customHeight="1">
      <c r="A954" s="9"/>
      <c r="B954" s="9"/>
      <c r="C954" s="9"/>
      <c r="D954" s="43"/>
      <c r="E954" s="9"/>
      <c r="F954" s="9"/>
      <c r="G954" s="47" t="str">
        <f>IF(F954="","",INDEX(站位样品信息!$B$3:INDEX(站位样品信息!$B:$B,COUNTA(站位样品信息!$B:$B)+1),MATCH($F954,站位样品信息!$A$3:INDEX(站位样品信息!$A:$A,COUNTA(站位样品信息!$A:$A)+1),),))</f>
        <v/>
      </c>
      <c r="H954" s="37" t="str">
        <f>IF(A954&amp;B954&amp;C954="","",INDEX(生物种群!$A$2:INDEX(生物种群!$A:$A,COUNTA(生物种群!$A:$A)),MATCH($I954,生物种群!$B$2:INDEX(生物种群!$B:$B,COUNTA(生物种群!$B:$B)),),))</f>
        <v/>
      </c>
      <c r="I954" s="37" t="str">
        <f>IF(A954&amp;B954&amp;C954="","",IF($C954&lt;&gt;0,INDEX(生物种群!$B$2:INDEX(生物种群!$B:$B,COUNTA(生物种群!$B:$B)),MATCH($C954,生物种群!$G$2:INDEX(生物种群!$G:$G,COUNTA(生物种群!$G:$G)),),),IF($A954&lt;&gt;0,INDEX(生物种群!$B$2:INDEX(生物种群!$B:$B,COUNTA(生物种群!$B:$B)),MATCH($A954,生物种群!$C$2:INDEX(生物种群!$C:$C,COUNTA(生物种群!$C:$C)),),),INDEX(生物种群!$B$2:INDEX(生物种群!$B:$B,COUNTA(生物种群!$B:$B)),MATCH($B954,生物种群!$D$2:INDEX(生物种群!$D:$D,COUNTA(生物种群!$D:$D)),),))))</f>
        <v/>
      </c>
      <c r="J954" s="37" t="str">
        <f>IF(A954&amp;B954&amp;C954="","",INDEX(生物种群!$J$2:INDEX(生物种群!$J:$J,COUNTA(生物种群!$J:$J)),MATCH($I954,生物种群!$B$2:INDEX(生物种群!$B:$B,COUNTA(生物种群!$B:$B)),),))</f>
        <v/>
      </c>
      <c r="K954" s="37" t="str">
        <f>IF(A954&amp;B954&amp;C954="","",INDEX(生物种群!$E$2:INDEX(生物种群!$E:$E,COUNTA(生物种群!$E:$E)),MATCH($I954,生物种群!$B$2:INDEX(生物种群!$B:$B,COUNTA(生物种群!$B:$B)),),))</f>
        <v/>
      </c>
      <c r="L954" s="37" t="str">
        <f>IF(A954&amp;B954&amp;C954="","",INDEX(生物种群!$F$3:INDEX(生物种群!$F:$F,COUNTA(生物种群!$F:$F)),MATCH($I954,生物种群!$B$3:INDEX(生物种群!$B:$B,COUNTA(生物种群!$B:$B)),),))</f>
        <v/>
      </c>
      <c r="M954" s="37" t="str">
        <f t="shared" si="28"/>
        <v/>
      </c>
      <c r="N954" s="37" t="str">
        <f t="shared" si="29"/>
        <v/>
      </c>
      <c r="O954" s="9"/>
      <c r="P954" s="10"/>
    </row>
    <row r="955" spans="1:16" ht="20.1" customHeight="1">
      <c r="A955" s="9"/>
      <c r="B955" s="9"/>
      <c r="C955" s="9"/>
      <c r="D955" s="43"/>
      <c r="E955" s="9"/>
      <c r="F955" s="9"/>
      <c r="G955" s="47" t="str">
        <f>IF(F955="","",INDEX(站位样品信息!$B$3:INDEX(站位样品信息!$B:$B,COUNTA(站位样品信息!$B:$B)+1),MATCH($F955,站位样品信息!$A$3:INDEX(站位样品信息!$A:$A,COUNTA(站位样品信息!$A:$A)+1),),))</f>
        <v/>
      </c>
      <c r="H955" s="37" t="str">
        <f>IF(A955&amp;B955&amp;C955="","",INDEX(生物种群!$A$2:INDEX(生物种群!$A:$A,COUNTA(生物种群!$A:$A)),MATCH($I955,生物种群!$B$2:INDEX(生物种群!$B:$B,COUNTA(生物种群!$B:$B)),),))</f>
        <v/>
      </c>
      <c r="I955" s="37" t="str">
        <f>IF(A955&amp;B955&amp;C955="","",IF($C955&lt;&gt;0,INDEX(生物种群!$B$2:INDEX(生物种群!$B:$B,COUNTA(生物种群!$B:$B)),MATCH($C955,生物种群!$G$2:INDEX(生物种群!$G:$G,COUNTA(生物种群!$G:$G)),),),IF($A955&lt;&gt;0,INDEX(生物种群!$B$2:INDEX(生物种群!$B:$B,COUNTA(生物种群!$B:$B)),MATCH($A955,生物种群!$C$2:INDEX(生物种群!$C:$C,COUNTA(生物种群!$C:$C)),),),INDEX(生物种群!$B$2:INDEX(生物种群!$B:$B,COUNTA(生物种群!$B:$B)),MATCH($B955,生物种群!$D$2:INDEX(生物种群!$D:$D,COUNTA(生物种群!$D:$D)),),))))</f>
        <v/>
      </c>
      <c r="J955" s="37" t="str">
        <f>IF(A955&amp;B955&amp;C955="","",INDEX(生物种群!$J$2:INDEX(生物种群!$J:$J,COUNTA(生物种群!$J:$J)),MATCH($I955,生物种群!$B$2:INDEX(生物种群!$B:$B,COUNTA(生物种群!$B:$B)),),))</f>
        <v/>
      </c>
      <c r="K955" s="37" t="str">
        <f>IF(A955&amp;B955&amp;C955="","",INDEX(生物种群!$E$2:INDEX(生物种群!$E:$E,COUNTA(生物种群!$E:$E)),MATCH($I955,生物种群!$B$2:INDEX(生物种群!$B:$B,COUNTA(生物种群!$B:$B)),),))</f>
        <v/>
      </c>
      <c r="L955" s="37" t="str">
        <f>IF(A955&amp;B955&amp;C955="","",INDEX(生物种群!$F$3:INDEX(生物种群!$F:$F,COUNTA(生物种群!$F:$F)),MATCH($I955,生物种群!$B$3:INDEX(生物种群!$B:$B,COUNTA(生物种群!$B:$B)),),))</f>
        <v/>
      </c>
      <c r="M955" s="37" t="str">
        <f t="shared" si="28"/>
        <v/>
      </c>
      <c r="N955" s="37" t="str">
        <f t="shared" si="29"/>
        <v/>
      </c>
      <c r="O955" s="9"/>
      <c r="P955" s="10"/>
    </row>
    <row r="956" spans="1:16" ht="20.1" customHeight="1">
      <c r="A956" s="9"/>
      <c r="B956" s="9"/>
      <c r="C956" s="9"/>
      <c r="D956" s="43"/>
      <c r="E956" s="9"/>
      <c r="F956" s="9"/>
      <c r="G956" s="47" t="str">
        <f>IF(F956="","",INDEX(站位样品信息!$B$3:INDEX(站位样品信息!$B:$B,COUNTA(站位样品信息!$B:$B)+1),MATCH($F956,站位样品信息!$A$3:INDEX(站位样品信息!$A:$A,COUNTA(站位样品信息!$A:$A)+1),),))</f>
        <v/>
      </c>
      <c r="H956" s="37" t="str">
        <f>IF(A956&amp;B956&amp;C956="","",INDEX(生物种群!$A$2:INDEX(生物种群!$A:$A,COUNTA(生物种群!$A:$A)),MATCH($I956,生物种群!$B$2:INDEX(生物种群!$B:$B,COUNTA(生物种群!$B:$B)),),))</f>
        <v/>
      </c>
      <c r="I956" s="37" t="str">
        <f>IF(A956&amp;B956&amp;C956="","",IF($C956&lt;&gt;0,INDEX(生物种群!$B$2:INDEX(生物种群!$B:$B,COUNTA(生物种群!$B:$B)),MATCH($C956,生物种群!$G$2:INDEX(生物种群!$G:$G,COUNTA(生物种群!$G:$G)),),),IF($A956&lt;&gt;0,INDEX(生物种群!$B$2:INDEX(生物种群!$B:$B,COUNTA(生物种群!$B:$B)),MATCH($A956,生物种群!$C$2:INDEX(生物种群!$C:$C,COUNTA(生物种群!$C:$C)),),),INDEX(生物种群!$B$2:INDEX(生物种群!$B:$B,COUNTA(生物种群!$B:$B)),MATCH($B956,生物种群!$D$2:INDEX(生物种群!$D:$D,COUNTA(生物种群!$D:$D)),),))))</f>
        <v/>
      </c>
      <c r="J956" s="37" t="str">
        <f>IF(A956&amp;B956&amp;C956="","",INDEX(生物种群!$J$2:INDEX(生物种群!$J:$J,COUNTA(生物种群!$J:$J)),MATCH($I956,生物种群!$B$2:INDEX(生物种群!$B:$B,COUNTA(生物种群!$B:$B)),),))</f>
        <v/>
      </c>
      <c r="K956" s="37" t="str">
        <f>IF(A956&amp;B956&amp;C956="","",INDEX(生物种群!$E$2:INDEX(生物种群!$E:$E,COUNTA(生物种群!$E:$E)),MATCH($I956,生物种群!$B$2:INDEX(生物种群!$B:$B,COUNTA(生物种群!$B:$B)),),))</f>
        <v/>
      </c>
      <c r="L956" s="37" t="str">
        <f>IF(A956&amp;B956&amp;C956="","",INDEX(生物种群!$F$3:INDEX(生物种群!$F:$F,COUNTA(生物种群!$F:$F)),MATCH($I956,生物种群!$B$3:INDEX(生物种群!$B:$B,COUNTA(生物种群!$B:$B)),),))</f>
        <v/>
      </c>
      <c r="M956" s="37" t="str">
        <f t="shared" si="28"/>
        <v/>
      </c>
      <c r="N956" s="37" t="str">
        <f t="shared" si="29"/>
        <v/>
      </c>
      <c r="O956" s="9"/>
      <c r="P956" s="10"/>
    </row>
    <row r="957" spans="1:16" ht="20.1" customHeight="1">
      <c r="A957" s="9"/>
      <c r="B957" s="9"/>
      <c r="C957" s="9"/>
      <c r="D957" s="43"/>
      <c r="E957" s="9"/>
      <c r="F957" s="9"/>
      <c r="G957" s="47" t="str">
        <f>IF(F957="","",INDEX(站位样品信息!$B$3:INDEX(站位样品信息!$B:$B,COUNTA(站位样品信息!$B:$B)+1),MATCH($F957,站位样品信息!$A$3:INDEX(站位样品信息!$A:$A,COUNTA(站位样品信息!$A:$A)+1),),))</f>
        <v/>
      </c>
      <c r="H957" s="37" t="str">
        <f>IF(A957&amp;B957&amp;C957="","",INDEX(生物种群!$A$2:INDEX(生物种群!$A:$A,COUNTA(生物种群!$A:$A)),MATCH($I957,生物种群!$B$2:INDEX(生物种群!$B:$B,COUNTA(生物种群!$B:$B)),),))</f>
        <v/>
      </c>
      <c r="I957" s="37" t="str">
        <f>IF(A957&amp;B957&amp;C957="","",IF($C957&lt;&gt;0,INDEX(生物种群!$B$2:INDEX(生物种群!$B:$B,COUNTA(生物种群!$B:$B)),MATCH($C957,生物种群!$G$2:INDEX(生物种群!$G:$G,COUNTA(生物种群!$G:$G)),),),IF($A957&lt;&gt;0,INDEX(生物种群!$B$2:INDEX(生物种群!$B:$B,COUNTA(生物种群!$B:$B)),MATCH($A957,生物种群!$C$2:INDEX(生物种群!$C:$C,COUNTA(生物种群!$C:$C)),),),INDEX(生物种群!$B$2:INDEX(生物种群!$B:$B,COUNTA(生物种群!$B:$B)),MATCH($B957,生物种群!$D$2:INDEX(生物种群!$D:$D,COUNTA(生物种群!$D:$D)),),))))</f>
        <v/>
      </c>
      <c r="J957" s="37" t="str">
        <f>IF(A957&amp;B957&amp;C957="","",INDEX(生物种群!$J$2:INDEX(生物种群!$J:$J,COUNTA(生物种群!$J:$J)),MATCH($I957,生物种群!$B$2:INDEX(生物种群!$B:$B,COUNTA(生物种群!$B:$B)),),))</f>
        <v/>
      </c>
      <c r="K957" s="37" t="str">
        <f>IF(A957&amp;B957&amp;C957="","",INDEX(生物种群!$E$2:INDEX(生物种群!$E:$E,COUNTA(生物种群!$E:$E)),MATCH($I957,生物种群!$B$2:INDEX(生物种群!$B:$B,COUNTA(生物种群!$B:$B)),),))</f>
        <v/>
      </c>
      <c r="L957" s="37" t="str">
        <f>IF(A957&amp;B957&amp;C957="","",INDEX(生物种群!$F$3:INDEX(生物种群!$F:$F,COUNTA(生物种群!$F:$F)),MATCH($I957,生物种群!$B$3:INDEX(生物种群!$B:$B,COUNTA(生物种群!$B:$B)),),))</f>
        <v/>
      </c>
      <c r="M957" s="37" t="str">
        <f t="shared" si="28"/>
        <v/>
      </c>
      <c r="N957" s="37" t="str">
        <f t="shared" si="29"/>
        <v/>
      </c>
      <c r="O957" s="9"/>
      <c r="P957" s="10"/>
    </row>
    <row r="958" spans="1:16" ht="20.1" customHeight="1">
      <c r="A958" s="9"/>
      <c r="B958" s="9"/>
      <c r="C958" s="9"/>
      <c r="D958" s="43"/>
      <c r="E958" s="9"/>
      <c r="F958" s="9"/>
      <c r="G958" s="47" t="str">
        <f>IF(F958="","",INDEX(站位样品信息!$B$3:INDEX(站位样品信息!$B:$B,COUNTA(站位样品信息!$B:$B)+1),MATCH($F958,站位样品信息!$A$3:INDEX(站位样品信息!$A:$A,COUNTA(站位样品信息!$A:$A)+1),),))</f>
        <v/>
      </c>
      <c r="H958" s="37" t="str">
        <f>IF(A958&amp;B958&amp;C958="","",INDEX(生物种群!$A$2:INDEX(生物种群!$A:$A,COUNTA(生物种群!$A:$A)),MATCH($I958,生物种群!$B$2:INDEX(生物种群!$B:$B,COUNTA(生物种群!$B:$B)),),))</f>
        <v/>
      </c>
      <c r="I958" s="37" t="str">
        <f>IF(A958&amp;B958&amp;C958="","",IF($C958&lt;&gt;0,INDEX(生物种群!$B$2:INDEX(生物种群!$B:$B,COUNTA(生物种群!$B:$B)),MATCH($C958,生物种群!$G$2:INDEX(生物种群!$G:$G,COUNTA(生物种群!$G:$G)),),),IF($A958&lt;&gt;0,INDEX(生物种群!$B$2:INDEX(生物种群!$B:$B,COUNTA(生物种群!$B:$B)),MATCH($A958,生物种群!$C$2:INDEX(生物种群!$C:$C,COUNTA(生物种群!$C:$C)),),),INDEX(生物种群!$B$2:INDEX(生物种群!$B:$B,COUNTA(生物种群!$B:$B)),MATCH($B958,生物种群!$D$2:INDEX(生物种群!$D:$D,COUNTA(生物种群!$D:$D)),),))))</f>
        <v/>
      </c>
      <c r="J958" s="37" t="str">
        <f>IF(A958&amp;B958&amp;C958="","",INDEX(生物种群!$J$2:INDEX(生物种群!$J:$J,COUNTA(生物种群!$J:$J)),MATCH($I958,生物种群!$B$2:INDEX(生物种群!$B:$B,COUNTA(生物种群!$B:$B)),),))</f>
        <v/>
      </c>
      <c r="K958" s="37" t="str">
        <f>IF(A958&amp;B958&amp;C958="","",INDEX(生物种群!$E$2:INDEX(生物种群!$E:$E,COUNTA(生物种群!$E:$E)),MATCH($I958,生物种群!$B$2:INDEX(生物种群!$B:$B,COUNTA(生物种群!$B:$B)),),))</f>
        <v/>
      </c>
      <c r="L958" s="37" t="str">
        <f>IF(A958&amp;B958&amp;C958="","",INDEX(生物种群!$F$3:INDEX(生物种群!$F:$F,COUNTA(生物种群!$F:$F)),MATCH($I958,生物种群!$B$3:INDEX(生物种群!$B:$B,COUNTA(生物种群!$B:$B)),),))</f>
        <v/>
      </c>
      <c r="M958" s="37" t="str">
        <f t="shared" si="28"/>
        <v/>
      </c>
      <c r="N958" s="37" t="str">
        <f t="shared" si="29"/>
        <v/>
      </c>
      <c r="O958" s="9"/>
      <c r="P958" s="10"/>
    </row>
    <row r="959" spans="1:16" ht="20.1" customHeight="1">
      <c r="A959" s="9"/>
      <c r="B959" s="9"/>
      <c r="C959" s="9"/>
      <c r="D959" s="43"/>
      <c r="E959" s="9"/>
      <c r="F959" s="9"/>
      <c r="G959" s="47" t="str">
        <f>IF(F959="","",INDEX(站位样品信息!$B$3:INDEX(站位样品信息!$B:$B,COUNTA(站位样品信息!$B:$B)+1),MATCH($F959,站位样品信息!$A$3:INDEX(站位样品信息!$A:$A,COUNTA(站位样品信息!$A:$A)+1),),))</f>
        <v/>
      </c>
      <c r="H959" s="37" t="str">
        <f>IF(A959&amp;B959&amp;C959="","",INDEX(生物种群!$A$2:INDEX(生物种群!$A:$A,COUNTA(生物种群!$A:$A)),MATCH($I959,生物种群!$B$2:INDEX(生物种群!$B:$B,COUNTA(生物种群!$B:$B)),),))</f>
        <v/>
      </c>
      <c r="I959" s="37" t="str">
        <f>IF(A959&amp;B959&amp;C959="","",IF($C959&lt;&gt;0,INDEX(生物种群!$B$2:INDEX(生物种群!$B:$B,COUNTA(生物种群!$B:$B)),MATCH($C959,生物种群!$G$2:INDEX(生物种群!$G:$G,COUNTA(生物种群!$G:$G)),),),IF($A959&lt;&gt;0,INDEX(生物种群!$B$2:INDEX(生物种群!$B:$B,COUNTA(生物种群!$B:$B)),MATCH($A959,生物种群!$C$2:INDEX(生物种群!$C:$C,COUNTA(生物种群!$C:$C)),),),INDEX(生物种群!$B$2:INDEX(生物种群!$B:$B,COUNTA(生物种群!$B:$B)),MATCH($B959,生物种群!$D$2:INDEX(生物种群!$D:$D,COUNTA(生物种群!$D:$D)),),))))</f>
        <v/>
      </c>
      <c r="J959" s="37" t="str">
        <f>IF(A959&amp;B959&amp;C959="","",INDEX(生物种群!$J$2:INDEX(生物种群!$J:$J,COUNTA(生物种群!$J:$J)),MATCH($I959,生物种群!$B$2:INDEX(生物种群!$B:$B,COUNTA(生物种群!$B:$B)),),))</f>
        <v/>
      </c>
      <c r="K959" s="37" t="str">
        <f>IF(A959&amp;B959&amp;C959="","",INDEX(生物种群!$E$2:INDEX(生物种群!$E:$E,COUNTA(生物种群!$E:$E)),MATCH($I959,生物种群!$B$2:INDEX(生物种群!$B:$B,COUNTA(生物种群!$B:$B)),),))</f>
        <v/>
      </c>
      <c r="L959" s="37" t="str">
        <f>IF(A959&amp;B959&amp;C959="","",INDEX(生物种群!$F$3:INDEX(生物种群!$F:$F,COUNTA(生物种群!$F:$F)),MATCH($I959,生物种群!$B$3:INDEX(生物种群!$B:$B,COUNTA(生物种群!$B:$B)),),))</f>
        <v/>
      </c>
      <c r="M959" s="37" t="str">
        <f t="shared" si="28"/>
        <v/>
      </c>
      <c r="N959" s="37" t="str">
        <f t="shared" si="29"/>
        <v/>
      </c>
      <c r="O959" s="9"/>
      <c r="P959" s="10"/>
    </row>
    <row r="960" spans="1:16" ht="20.1" customHeight="1">
      <c r="A960" s="9"/>
      <c r="B960" s="9"/>
      <c r="C960" s="9"/>
      <c r="D960" s="43"/>
      <c r="E960" s="9"/>
      <c r="F960" s="9"/>
      <c r="G960" s="47" t="str">
        <f>IF(F960="","",INDEX(站位样品信息!$B$3:INDEX(站位样品信息!$B:$B,COUNTA(站位样品信息!$B:$B)+1),MATCH($F960,站位样品信息!$A$3:INDEX(站位样品信息!$A:$A,COUNTA(站位样品信息!$A:$A)+1),),))</f>
        <v/>
      </c>
      <c r="H960" s="37" t="str">
        <f>IF(A960&amp;B960&amp;C960="","",INDEX(生物种群!$A$2:INDEX(生物种群!$A:$A,COUNTA(生物种群!$A:$A)),MATCH($I960,生物种群!$B$2:INDEX(生物种群!$B:$B,COUNTA(生物种群!$B:$B)),),))</f>
        <v/>
      </c>
      <c r="I960" s="37" t="str">
        <f>IF(A960&amp;B960&amp;C960="","",IF($C960&lt;&gt;0,INDEX(生物种群!$B$2:INDEX(生物种群!$B:$B,COUNTA(生物种群!$B:$B)),MATCH($C960,生物种群!$G$2:INDEX(生物种群!$G:$G,COUNTA(生物种群!$G:$G)),),),IF($A960&lt;&gt;0,INDEX(生物种群!$B$2:INDEX(生物种群!$B:$B,COUNTA(生物种群!$B:$B)),MATCH($A960,生物种群!$C$2:INDEX(生物种群!$C:$C,COUNTA(生物种群!$C:$C)),),),INDEX(生物种群!$B$2:INDEX(生物种群!$B:$B,COUNTA(生物种群!$B:$B)),MATCH($B960,生物种群!$D$2:INDEX(生物种群!$D:$D,COUNTA(生物种群!$D:$D)),),))))</f>
        <v/>
      </c>
      <c r="J960" s="37" t="str">
        <f>IF(A960&amp;B960&amp;C960="","",INDEX(生物种群!$J$2:INDEX(生物种群!$J:$J,COUNTA(生物种群!$J:$J)),MATCH($I960,生物种群!$B$2:INDEX(生物种群!$B:$B,COUNTA(生物种群!$B:$B)),),))</f>
        <v/>
      </c>
      <c r="K960" s="37" t="str">
        <f>IF(A960&amp;B960&amp;C960="","",INDEX(生物种群!$E$2:INDEX(生物种群!$E:$E,COUNTA(生物种群!$E:$E)),MATCH($I960,生物种群!$B$2:INDEX(生物种群!$B:$B,COUNTA(生物种群!$B:$B)),),))</f>
        <v/>
      </c>
      <c r="L960" s="37" t="str">
        <f>IF(A960&amp;B960&amp;C960="","",INDEX(生物种群!$F$3:INDEX(生物种群!$F:$F,COUNTA(生物种群!$F:$F)),MATCH($I960,生物种群!$B$3:INDEX(生物种群!$B:$B,COUNTA(生物种群!$B:$B)),),))</f>
        <v/>
      </c>
      <c r="M960" s="37" t="str">
        <f t="shared" si="28"/>
        <v/>
      </c>
      <c r="N960" s="37" t="str">
        <f t="shared" si="29"/>
        <v/>
      </c>
      <c r="O960" s="9"/>
      <c r="P960" s="10"/>
    </row>
    <row r="961" spans="1:16" ht="20.1" customHeight="1">
      <c r="A961" s="9"/>
      <c r="B961" s="9"/>
      <c r="C961" s="9"/>
      <c r="D961" s="43"/>
      <c r="E961" s="9"/>
      <c r="F961" s="9"/>
      <c r="G961" s="47" t="str">
        <f>IF(F961="","",INDEX(站位样品信息!$B$3:INDEX(站位样品信息!$B:$B,COUNTA(站位样品信息!$B:$B)+1),MATCH($F961,站位样品信息!$A$3:INDEX(站位样品信息!$A:$A,COUNTA(站位样品信息!$A:$A)+1),),))</f>
        <v/>
      </c>
      <c r="H961" s="37" t="str">
        <f>IF(A961&amp;B961&amp;C961="","",INDEX(生物种群!$A$2:INDEX(生物种群!$A:$A,COUNTA(生物种群!$A:$A)),MATCH($I961,生物种群!$B$2:INDEX(生物种群!$B:$B,COUNTA(生物种群!$B:$B)),),))</f>
        <v/>
      </c>
      <c r="I961" s="37" t="str">
        <f>IF(A961&amp;B961&amp;C961="","",IF($C961&lt;&gt;0,INDEX(生物种群!$B$2:INDEX(生物种群!$B:$B,COUNTA(生物种群!$B:$B)),MATCH($C961,生物种群!$G$2:INDEX(生物种群!$G:$G,COUNTA(生物种群!$G:$G)),),),IF($A961&lt;&gt;0,INDEX(生物种群!$B$2:INDEX(生物种群!$B:$B,COUNTA(生物种群!$B:$B)),MATCH($A961,生物种群!$C$2:INDEX(生物种群!$C:$C,COUNTA(生物种群!$C:$C)),),),INDEX(生物种群!$B$2:INDEX(生物种群!$B:$B,COUNTA(生物种群!$B:$B)),MATCH($B961,生物种群!$D$2:INDEX(生物种群!$D:$D,COUNTA(生物种群!$D:$D)),),))))</f>
        <v/>
      </c>
      <c r="J961" s="37" t="str">
        <f>IF(A961&amp;B961&amp;C961="","",INDEX(生物种群!$J$2:INDEX(生物种群!$J:$J,COUNTA(生物种群!$J:$J)),MATCH($I961,生物种群!$B$2:INDEX(生物种群!$B:$B,COUNTA(生物种群!$B:$B)),),))</f>
        <v/>
      </c>
      <c r="K961" s="37" t="str">
        <f>IF(A961&amp;B961&amp;C961="","",INDEX(生物种群!$E$2:INDEX(生物种群!$E:$E,COUNTA(生物种群!$E:$E)),MATCH($I961,生物种群!$B$2:INDEX(生物种群!$B:$B,COUNTA(生物种群!$B:$B)),),))</f>
        <v/>
      </c>
      <c r="L961" s="37" t="str">
        <f>IF(A961&amp;B961&amp;C961="","",INDEX(生物种群!$F$3:INDEX(生物种群!$F:$F,COUNTA(生物种群!$F:$F)),MATCH($I961,生物种群!$B$3:INDEX(生物种群!$B:$B,COUNTA(生物种群!$B:$B)),),))</f>
        <v/>
      </c>
      <c r="M961" s="37" t="str">
        <f t="shared" si="28"/>
        <v/>
      </c>
      <c r="N961" s="37" t="str">
        <f t="shared" si="29"/>
        <v/>
      </c>
      <c r="O961" s="9"/>
      <c r="P961" s="10"/>
    </row>
    <row r="962" spans="1:16" ht="20.1" customHeight="1">
      <c r="A962" s="9"/>
      <c r="B962" s="9"/>
      <c r="C962" s="9"/>
      <c r="D962" s="43"/>
      <c r="E962" s="9"/>
      <c r="F962" s="9"/>
      <c r="G962" s="47" t="str">
        <f>IF(F962="","",INDEX(站位样品信息!$B$3:INDEX(站位样品信息!$B:$B,COUNTA(站位样品信息!$B:$B)+1),MATCH($F962,站位样品信息!$A$3:INDEX(站位样品信息!$A:$A,COUNTA(站位样品信息!$A:$A)+1),),))</f>
        <v/>
      </c>
      <c r="H962" s="37" t="str">
        <f>IF(A962&amp;B962&amp;C962="","",INDEX(生物种群!$A$2:INDEX(生物种群!$A:$A,COUNTA(生物种群!$A:$A)),MATCH($I962,生物种群!$B$2:INDEX(生物种群!$B:$B,COUNTA(生物种群!$B:$B)),),))</f>
        <v/>
      </c>
      <c r="I962" s="37" t="str">
        <f>IF(A962&amp;B962&amp;C962="","",IF($C962&lt;&gt;0,INDEX(生物种群!$B$2:INDEX(生物种群!$B:$B,COUNTA(生物种群!$B:$B)),MATCH($C962,生物种群!$G$2:INDEX(生物种群!$G:$G,COUNTA(生物种群!$G:$G)),),),IF($A962&lt;&gt;0,INDEX(生物种群!$B$2:INDEX(生物种群!$B:$B,COUNTA(生物种群!$B:$B)),MATCH($A962,生物种群!$C$2:INDEX(生物种群!$C:$C,COUNTA(生物种群!$C:$C)),),),INDEX(生物种群!$B$2:INDEX(生物种群!$B:$B,COUNTA(生物种群!$B:$B)),MATCH($B962,生物种群!$D$2:INDEX(生物种群!$D:$D,COUNTA(生物种群!$D:$D)),),))))</f>
        <v/>
      </c>
      <c r="J962" s="37" t="str">
        <f>IF(A962&amp;B962&amp;C962="","",INDEX(生物种群!$J$2:INDEX(生物种群!$J:$J,COUNTA(生物种群!$J:$J)),MATCH($I962,生物种群!$B$2:INDEX(生物种群!$B:$B,COUNTA(生物种群!$B:$B)),),))</f>
        <v/>
      </c>
      <c r="K962" s="37" t="str">
        <f>IF(A962&amp;B962&amp;C962="","",INDEX(生物种群!$E$2:INDEX(生物种群!$E:$E,COUNTA(生物种群!$E:$E)),MATCH($I962,生物种群!$B$2:INDEX(生物种群!$B:$B,COUNTA(生物种群!$B:$B)),),))</f>
        <v/>
      </c>
      <c r="L962" s="37" t="str">
        <f>IF(A962&amp;B962&amp;C962="","",INDEX(生物种群!$F$3:INDEX(生物种群!$F:$F,COUNTA(生物种群!$F:$F)),MATCH($I962,生物种群!$B$3:INDEX(生物种群!$B:$B,COUNTA(生物种群!$B:$B)),),))</f>
        <v/>
      </c>
      <c r="M962" s="37" t="str">
        <f t="shared" si="28"/>
        <v/>
      </c>
      <c r="N962" s="37" t="str">
        <f t="shared" si="29"/>
        <v/>
      </c>
      <c r="O962" s="9"/>
      <c r="P962" s="10"/>
    </row>
    <row r="963" spans="1:16" ht="20.1" customHeight="1">
      <c r="A963" s="9"/>
      <c r="B963" s="9"/>
      <c r="C963" s="9"/>
      <c r="D963" s="43"/>
      <c r="E963" s="9"/>
      <c r="F963" s="9"/>
      <c r="G963" s="47" t="str">
        <f>IF(F963="","",INDEX(站位样品信息!$B$3:INDEX(站位样品信息!$B:$B,COUNTA(站位样品信息!$B:$B)+1),MATCH($F963,站位样品信息!$A$3:INDEX(站位样品信息!$A:$A,COUNTA(站位样品信息!$A:$A)+1),),))</f>
        <v/>
      </c>
      <c r="H963" s="37" t="str">
        <f>IF(A963&amp;B963&amp;C963="","",INDEX(生物种群!$A$2:INDEX(生物种群!$A:$A,COUNTA(生物种群!$A:$A)),MATCH($I963,生物种群!$B$2:INDEX(生物种群!$B:$B,COUNTA(生物种群!$B:$B)),),))</f>
        <v/>
      </c>
      <c r="I963" s="37" t="str">
        <f>IF(A963&amp;B963&amp;C963="","",IF($C963&lt;&gt;0,INDEX(生物种群!$B$2:INDEX(生物种群!$B:$B,COUNTA(生物种群!$B:$B)),MATCH($C963,生物种群!$G$2:INDEX(生物种群!$G:$G,COUNTA(生物种群!$G:$G)),),),IF($A963&lt;&gt;0,INDEX(生物种群!$B$2:INDEX(生物种群!$B:$B,COUNTA(生物种群!$B:$B)),MATCH($A963,生物种群!$C$2:INDEX(生物种群!$C:$C,COUNTA(生物种群!$C:$C)),),),INDEX(生物种群!$B$2:INDEX(生物种群!$B:$B,COUNTA(生物种群!$B:$B)),MATCH($B963,生物种群!$D$2:INDEX(生物种群!$D:$D,COUNTA(生物种群!$D:$D)),),))))</f>
        <v/>
      </c>
      <c r="J963" s="37" t="str">
        <f>IF(A963&amp;B963&amp;C963="","",INDEX(生物种群!$J$2:INDEX(生物种群!$J:$J,COUNTA(生物种群!$J:$J)),MATCH($I963,生物种群!$B$2:INDEX(生物种群!$B:$B,COUNTA(生物种群!$B:$B)),),))</f>
        <v/>
      </c>
      <c r="K963" s="37" t="str">
        <f>IF(A963&amp;B963&amp;C963="","",INDEX(生物种群!$E$2:INDEX(生物种群!$E:$E,COUNTA(生物种群!$E:$E)),MATCH($I963,生物种群!$B$2:INDEX(生物种群!$B:$B,COUNTA(生物种群!$B:$B)),),))</f>
        <v/>
      </c>
      <c r="L963" s="37" t="str">
        <f>IF(A963&amp;B963&amp;C963="","",INDEX(生物种群!$F$3:INDEX(生物种群!$F:$F,COUNTA(生物种群!$F:$F)),MATCH($I963,生物种群!$B$3:INDEX(生物种群!$B:$B,COUNTA(生物种群!$B:$B)),),))</f>
        <v/>
      </c>
      <c r="M963" s="37" t="str">
        <f t="shared" si="30" ref="M963:M998">IF(F963&gt;0,F963&amp;I963&amp;E963,"")</f>
        <v/>
      </c>
      <c r="N963" s="37" t="str">
        <f t="shared" si="31" ref="N963:N1026">IF(COUNTIF($M:$M,M963)=1,"",IF(A963&amp;B963&amp;C963="","","重复"))</f>
        <v/>
      </c>
      <c r="O963" s="9"/>
      <c r="P963" s="10"/>
    </row>
    <row r="964" spans="1:16" ht="20.1" customHeight="1">
      <c r="A964" s="9"/>
      <c r="B964" s="9"/>
      <c r="C964" s="9"/>
      <c r="D964" s="43"/>
      <c r="E964" s="9"/>
      <c r="F964" s="9"/>
      <c r="G964" s="47" t="str">
        <f>IF(F964="","",INDEX(站位样品信息!$B$3:INDEX(站位样品信息!$B:$B,COUNTA(站位样品信息!$B:$B)+1),MATCH($F964,站位样品信息!$A$3:INDEX(站位样品信息!$A:$A,COUNTA(站位样品信息!$A:$A)+1),),))</f>
        <v/>
      </c>
      <c r="H964" s="37" t="str">
        <f>IF(A964&amp;B964&amp;C964="","",INDEX(生物种群!$A$2:INDEX(生物种群!$A:$A,COUNTA(生物种群!$A:$A)),MATCH($I964,生物种群!$B$2:INDEX(生物种群!$B:$B,COUNTA(生物种群!$B:$B)),),))</f>
        <v/>
      </c>
      <c r="I964" s="37" t="str">
        <f>IF(A964&amp;B964&amp;C964="","",IF($C964&lt;&gt;0,INDEX(生物种群!$B$2:INDEX(生物种群!$B:$B,COUNTA(生物种群!$B:$B)),MATCH($C964,生物种群!$G$2:INDEX(生物种群!$G:$G,COUNTA(生物种群!$G:$G)),),),IF($A964&lt;&gt;0,INDEX(生物种群!$B$2:INDEX(生物种群!$B:$B,COUNTA(生物种群!$B:$B)),MATCH($A964,生物种群!$C$2:INDEX(生物种群!$C:$C,COUNTA(生物种群!$C:$C)),),),INDEX(生物种群!$B$2:INDEX(生物种群!$B:$B,COUNTA(生物种群!$B:$B)),MATCH($B964,生物种群!$D$2:INDEX(生物种群!$D:$D,COUNTA(生物种群!$D:$D)),),))))</f>
        <v/>
      </c>
      <c r="J964" s="37" t="str">
        <f>IF(A964&amp;B964&amp;C964="","",INDEX(生物种群!$J$2:INDEX(生物种群!$J:$J,COUNTA(生物种群!$J:$J)),MATCH($I964,生物种群!$B$2:INDEX(生物种群!$B:$B,COUNTA(生物种群!$B:$B)),),))</f>
        <v/>
      </c>
      <c r="K964" s="37" t="str">
        <f>IF(A964&amp;B964&amp;C964="","",INDEX(生物种群!$E$2:INDEX(生物种群!$E:$E,COUNTA(生物种群!$E:$E)),MATCH($I964,生物种群!$B$2:INDEX(生物种群!$B:$B,COUNTA(生物种群!$B:$B)),),))</f>
        <v/>
      </c>
      <c r="L964" s="37" t="str">
        <f>IF(A964&amp;B964&amp;C964="","",INDEX(生物种群!$F$3:INDEX(生物种群!$F:$F,COUNTA(生物种群!$F:$F)),MATCH($I964,生物种群!$B$3:INDEX(生物种群!$B:$B,COUNTA(生物种群!$B:$B)),),))</f>
        <v/>
      </c>
      <c r="M964" s="37" t="str">
        <f t="shared" si="30"/>
        <v/>
      </c>
      <c r="N964" s="37" t="str">
        <f t="shared" si="31"/>
        <v/>
      </c>
      <c r="O964" s="9"/>
      <c r="P964" s="10"/>
    </row>
    <row r="965" spans="1:16" ht="20.1" customHeight="1">
      <c r="A965" s="9"/>
      <c r="B965" s="9"/>
      <c r="C965" s="9"/>
      <c r="D965" s="43"/>
      <c r="E965" s="9"/>
      <c r="F965" s="9"/>
      <c r="G965" s="47" t="str">
        <f>IF(F965="","",INDEX(站位样品信息!$B$3:INDEX(站位样品信息!$B:$B,COUNTA(站位样品信息!$B:$B)+1),MATCH($F965,站位样品信息!$A$3:INDEX(站位样品信息!$A:$A,COUNTA(站位样品信息!$A:$A)+1),),))</f>
        <v/>
      </c>
      <c r="H965" s="37" t="str">
        <f>IF(A965&amp;B965&amp;C965="","",INDEX(生物种群!$A$2:INDEX(生物种群!$A:$A,COUNTA(生物种群!$A:$A)),MATCH($I965,生物种群!$B$2:INDEX(生物种群!$B:$B,COUNTA(生物种群!$B:$B)),),))</f>
        <v/>
      </c>
      <c r="I965" s="37" t="str">
        <f>IF(A965&amp;B965&amp;C965="","",IF($C965&lt;&gt;0,INDEX(生物种群!$B$2:INDEX(生物种群!$B:$B,COUNTA(生物种群!$B:$B)),MATCH($C965,生物种群!$G$2:INDEX(生物种群!$G:$G,COUNTA(生物种群!$G:$G)),),),IF($A965&lt;&gt;0,INDEX(生物种群!$B$2:INDEX(生物种群!$B:$B,COUNTA(生物种群!$B:$B)),MATCH($A965,生物种群!$C$2:INDEX(生物种群!$C:$C,COUNTA(生物种群!$C:$C)),),),INDEX(生物种群!$B$2:INDEX(生物种群!$B:$B,COUNTA(生物种群!$B:$B)),MATCH($B965,生物种群!$D$2:INDEX(生物种群!$D:$D,COUNTA(生物种群!$D:$D)),),))))</f>
        <v/>
      </c>
      <c r="J965" s="37" t="str">
        <f>IF(A965&amp;B965&amp;C965="","",INDEX(生物种群!$J$2:INDEX(生物种群!$J:$J,COUNTA(生物种群!$J:$J)),MATCH($I965,生物种群!$B$2:INDEX(生物种群!$B:$B,COUNTA(生物种群!$B:$B)),),))</f>
        <v/>
      </c>
      <c r="K965" s="37" t="str">
        <f>IF(A965&amp;B965&amp;C965="","",INDEX(生物种群!$E$2:INDEX(生物种群!$E:$E,COUNTA(生物种群!$E:$E)),MATCH($I965,生物种群!$B$2:INDEX(生物种群!$B:$B,COUNTA(生物种群!$B:$B)),),))</f>
        <v/>
      </c>
      <c r="L965" s="37" t="str">
        <f>IF(A965&amp;B965&amp;C965="","",INDEX(生物种群!$F$3:INDEX(生物种群!$F:$F,COUNTA(生物种群!$F:$F)),MATCH($I965,生物种群!$B$3:INDEX(生物种群!$B:$B,COUNTA(生物种群!$B:$B)),),))</f>
        <v/>
      </c>
      <c r="M965" s="37" t="str">
        <f t="shared" si="30"/>
        <v/>
      </c>
      <c r="N965" s="37" t="str">
        <f t="shared" si="31"/>
        <v/>
      </c>
      <c r="O965" s="9"/>
      <c r="P965" s="10"/>
    </row>
    <row r="966" spans="1:16" ht="20.1" customHeight="1">
      <c r="A966" s="9"/>
      <c r="B966" s="9"/>
      <c r="C966" s="9"/>
      <c r="D966" s="43"/>
      <c r="E966" s="9"/>
      <c r="F966" s="9"/>
      <c r="G966" s="47" t="str">
        <f>IF(F966="","",INDEX(站位样品信息!$B$3:INDEX(站位样品信息!$B:$B,COUNTA(站位样品信息!$B:$B)+1),MATCH($F966,站位样品信息!$A$3:INDEX(站位样品信息!$A:$A,COUNTA(站位样品信息!$A:$A)+1),),))</f>
        <v/>
      </c>
      <c r="H966" s="37" t="str">
        <f>IF(A966&amp;B966&amp;C966="","",INDEX(生物种群!$A$2:INDEX(生物种群!$A:$A,COUNTA(生物种群!$A:$A)),MATCH($I966,生物种群!$B$2:INDEX(生物种群!$B:$B,COUNTA(生物种群!$B:$B)),),))</f>
        <v/>
      </c>
      <c r="I966" s="37" t="str">
        <f>IF(A966&amp;B966&amp;C966="","",IF($C966&lt;&gt;0,INDEX(生物种群!$B$2:INDEX(生物种群!$B:$B,COUNTA(生物种群!$B:$B)),MATCH($C966,生物种群!$G$2:INDEX(生物种群!$G:$G,COUNTA(生物种群!$G:$G)),),),IF($A966&lt;&gt;0,INDEX(生物种群!$B$2:INDEX(生物种群!$B:$B,COUNTA(生物种群!$B:$B)),MATCH($A966,生物种群!$C$2:INDEX(生物种群!$C:$C,COUNTA(生物种群!$C:$C)),),),INDEX(生物种群!$B$2:INDEX(生物种群!$B:$B,COUNTA(生物种群!$B:$B)),MATCH($B966,生物种群!$D$2:INDEX(生物种群!$D:$D,COUNTA(生物种群!$D:$D)),),))))</f>
        <v/>
      </c>
      <c r="J966" s="37" t="str">
        <f>IF(A966&amp;B966&amp;C966="","",INDEX(生物种群!$J$2:INDEX(生物种群!$J:$J,COUNTA(生物种群!$J:$J)),MATCH($I966,生物种群!$B$2:INDEX(生物种群!$B:$B,COUNTA(生物种群!$B:$B)),),))</f>
        <v/>
      </c>
      <c r="K966" s="37" t="str">
        <f>IF(A966&amp;B966&amp;C966="","",INDEX(生物种群!$E$2:INDEX(生物种群!$E:$E,COUNTA(生物种群!$E:$E)),MATCH($I966,生物种群!$B$2:INDEX(生物种群!$B:$B,COUNTA(生物种群!$B:$B)),),))</f>
        <v/>
      </c>
      <c r="L966" s="37" t="str">
        <f>IF(A966&amp;B966&amp;C966="","",INDEX(生物种群!$F$3:INDEX(生物种群!$F:$F,COUNTA(生物种群!$F:$F)),MATCH($I966,生物种群!$B$3:INDEX(生物种群!$B:$B,COUNTA(生物种群!$B:$B)),),))</f>
        <v/>
      </c>
      <c r="M966" s="37" t="str">
        <f t="shared" si="30"/>
        <v/>
      </c>
      <c r="N966" s="37" t="str">
        <f t="shared" si="31"/>
        <v/>
      </c>
      <c r="O966" s="9"/>
      <c r="P966" s="10"/>
    </row>
    <row r="967" spans="1:16" ht="20.1" customHeight="1">
      <c r="A967" s="9"/>
      <c r="B967" s="9"/>
      <c r="C967" s="9"/>
      <c r="D967" s="43"/>
      <c r="E967" s="9"/>
      <c r="F967" s="9"/>
      <c r="G967" s="47" t="str">
        <f>IF(F967="","",INDEX(站位样品信息!$B$3:INDEX(站位样品信息!$B:$B,COUNTA(站位样品信息!$B:$B)+1),MATCH($F967,站位样品信息!$A$3:INDEX(站位样品信息!$A:$A,COUNTA(站位样品信息!$A:$A)+1),),))</f>
        <v/>
      </c>
      <c r="H967" s="37" t="str">
        <f>IF(A967&amp;B967&amp;C967="","",INDEX(生物种群!$A$2:INDEX(生物种群!$A:$A,COUNTA(生物种群!$A:$A)),MATCH($I967,生物种群!$B$2:INDEX(生物种群!$B:$B,COUNTA(生物种群!$B:$B)),),))</f>
        <v/>
      </c>
      <c r="I967" s="37" t="str">
        <f>IF(A967&amp;B967&amp;C967="","",IF($C967&lt;&gt;0,INDEX(生物种群!$B$2:INDEX(生物种群!$B:$B,COUNTA(生物种群!$B:$B)),MATCH($C967,生物种群!$G$2:INDEX(生物种群!$G:$G,COUNTA(生物种群!$G:$G)),),),IF($A967&lt;&gt;0,INDEX(生物种群!$B$2:INDEX(生物种群!$B:$B,COUNTA(生物种群!$B:$B)),MATCH($A967,生物种群!$C$2:INDEX(生物种群!$C:$C,COUNTA(生物种群!$C:$C)),),),INDEX(生物种群!$B$2:INDEX(生物种群!$B:$B,COUNTA(生物种群!$B:$B)),MATCH($B967,生物种群!$D$2:INDEX(生物种群!$D:$D,COUNTA(生物种群!$D:$D)),),))))</f>
        <v/>
      </c>
      <c r="J967" s="37" t="str">
        <f>IF(A967&amp;B967&amp;C967="","",INDEX(生物种群!$J$2:INDEX(生物种群!$J:$J,COUNTA(生物种群!$J:$J)),MATCH($I967,生物种群!$B$2:INDEX(生物种群!$B:$B,COUNTA(生物种群!$B:$B)),),))</f>
        <v/>
      </c>
      <c r="K967" s="37" t="str">
        <f>IF(A967&amp;B967&amp;C967="","",INDEX(生物种群!$E$2:INDEX(生物种群!$E:$E,COUNTA(生物种群!$E:$E)),MATCH($I967,生物种群!$B$2:INDEX(生物种群!$B:$B,COUNTA(生物种群!$B:$B)),),))</f>
        <v/>
      </c>
      <c r="L967" s="37" t="str">
        <f>IF(A967&amp;B967&amp;C967="","",INDEX(生物种群!$F$3:INDEX(生物种群!$F:$F,COUNTA(生物种群!$F:$F)),MATCH($I967,生物种群!$B$3:INDEX(生物种群!$B:$B,COUNTA(生物种群!$B:$B)),),))</f>
        <v/>
      </c>
      <c r="M967" s="37" t="str">
        <f t="shared" si="30"/>
        <v/>
      </c>
      <c r="N967" s="37" t="str">
        <f t="shared" si="31"/>
        <v/>
      </c>
      <c r="O967" s="9"/>
      <c r="P967" s="10"/>
    </row>
    <row r="968" spans="1:16" ht="20.1" customHeight="1">
      <c r="A968" s="9"/>
      <c r="B968" s="9"/>
      <c r="C968" s="9"/>
      <c r="D968" s="43"/>
      <c r="E968" s="9"/>
      <c r="F968" s="9"/>
      <c r="G968" s="47" t="str">
        <f>IF(F968="","",INDEX(站位样品信息!$B$3:INDEX(站位样品信息!$B:$B,COUNTA(站位样品信息!$B:$B)+1),MATCH($F968,站位样品信息!$A$3:INDEX(站位样品信息!$A:$A,COUNTA(站位样品信息!$A:$A)+1),),))</f>
        <v/>
      </c>
      <c r="H968" s="37" t="str">
        <f>IF(A968&amp;B968&amp;C968="","",INDEX(生物种群!$A$2:INDEX(生物种群!$A:$A,COUNTA(生物种群!$A:$A)),MATCH($I968,生物种群!$B$2:INDEX(生物种群!$B:$B,COUNTA(生物种群!$B:$B)),),))</f>
        <v/>
      </c>
      <c r="I968" s="37" t="str">
        <f>IF(A968&amp;B968&amp;C968="","",IF($C968&lt;&gt;0,INDEX(生物种群!$B$2:INDEX(生物种群!$B:$B,COUNTA(生物种群!$B:$B)),MATCH($C968,生物种群!$G$2:INDEX(生物种群!$G:$G,COUNTA(生物种群!$G:$G)),),),IF($A968&lt;&gt;0,INDEX(生物种群!$B$2:INDEX(生物种群!$B:$B,COUNTA(生物种群!$B:$B)),MATCH($A968,生物种群!$C$2:INDEX(生物种群!$C:$C,COUNTA(生物种群!$C:$C)),),),INDEX(生物种群!$B$2:INDEX(生物种群!$B:$B,COUNTA(生物种群!$B:$B)),MATCH($B968,生物种群!$D$2:INDEX(生物种群!$D:$D,COUNTA(生物种群!$D:$D)),),))))</f>
        <v/>
      </c>
      <c r="J968" s="37" t="str">
        <f>IF(A968&amp;B968&amp;C968="","",INDEX(生物种群!$J$2:INDEX(生物种群!$J:$J,COUNTA(生物种群!$J:$J)),MATCH($I968,生物种群!$B$2:INDEX(生物种群!$B:$B,COUNTA(生物种群!$B:$B)),),))</f>
        <v/>
      </c>
      <c r="K968" s="37" t="str">
        <f>IF(A968&amp;B968&amp;C968="","",INDEX(生物种群!$E$2:INDEX(生物种群!$E:$E,COUNTA(生物种群!$E:$E)),MATCH($I968,生物种群!$B$2:INDEX(生物种群!$B:$B,COUNTA(生物种群!$B:$B)),),))</f>
        <v/>
      </c>
      <c r="L968" s="37" t="str">
        <f>IF(A968&amp;B968&amp;C968="","",INDEX(生物种群!$F$3:INDEX(生物种群!$F:$F,COUNTA(生物种群!$F:$F)),MATCH($I968,生物种群!$B$3:INDEX(生物种群!$B:$B,COUNTA(生物种群!$B:$B)),),))</f>
        <v/>
      </c>
      <c r="M968" s="37" t="str">
        <f t="shared" si="30"/>
        <v/>
      </c>
      <c r="N968" s="37" t="str">
        <f t="shared" si="31"/>
        <v/>
      </c>
      <c r="O968" s="9"/>
      <c r="P968" s="10"/>
    </row>
    <row r="969" spans="1:16" ht="20.1" customHeight="1">
      <c r="A969" s="9"/>
      <c r="B969" s="9"/>
      <c r="C969" s="9"/>
      <c r="D969" s="43"/>
      <c r="E969" s="9"/>
      <c r="F969" s="9"/>
      <c r="G969" s="47" t="str">
        <f>IF(F969="","",INDEX(站位样品信息!$B$3:INDEX(站位样品信息!$B:$B,COUNTA(站位样品信息!$B:$B)+1),MATCH($F969,站位样品信息!$A$3:INDEX(站位样品信息!$A:$A,COUNTA(站位样品信息!$A:$A)+1),),))</f>
        <v/>
      </c>
      <c r="H969" s="37" t="str">
        <f>IF(A969&amp;B969&amp;C969="","",INDEX(生物种群!$A$2:INDEX(生物种群!$A:$A,COUNTA(生物种群!$A:$A)),MATCH($I969,生物种群!$B$2:INDEX(生物种群!$B:$B,COUNTA(生物种群!$B:$B)),),))</f>
        <v/>
      </c>
      <c r="I969" s="37" t="str">
        <f>IF(A969&amp;B969&amp;C969="","",IF($C969&lt;&gt;0,INDEX(生物种群!$B$2:INDEX(生物种群!$B:$B,COUNTA(生物种群!$B:$B)),MATCH($C969,生物种群!$G$2:INDEX(生物种群!$G:$G,COUNTA(生物种群!$G:$G)),),),IF($A969&lt;&gt;0,INDEX(生物种群!$B$2:INDEX(生物种群!$B:$B,COUNTA(生物种群!$B:$B)),MATCH($A969,生物种群!$C$2:INDEX(生物种群!$C:$C,COUNTA(生物种群!$C:$C)),),),INDEX(生物种群!$B$2:INDEX(生物种群!$B:$B,COUNTA(生物种群!$B:$B)),MATCH($B969,生物种群!$D$2:INDEX(生物种群!$D:$D,COUNTA(生物种群!$D:$D)),),))))</f>
        <v/>
      </c>
      <c r="J969" s="37" t="str">
        <f>IF(A969&amp;B969&amp;C969="","",INDEX(生物种群!$J$2:INDEX(生物种群!$J:$J,COUNTA(生物种群!$J:$J)),MATCH($I969,生物种群!$B$2:INDEX(生物种群!$B:$B,COUNTA(生物种群!$B:$B)),),))</f>
        <v/>
      </c>
      <c r="K969" s="37" t="str">
        <f>IF(A969&amp;B969&amp;C969="","",INDEX(生物种群!$E$2:INDEX(生物种群!$E:$E,COUNTA(生物种群!$E:$E)),MATCH($I969,生物种群!$B$2:INDEX(生物种群!$B:$B,COUNTA(生物种群!$B:$B)),),))</f>
        <v/>
      </c>
      <c r="L969" s="37" t="str">
        <f>IF(A969&amp;B969&amp;C969="","",INDEX(生物种群!$F$3:INDEX(生物种群!$F:$F,COUNTA(生物种群!$F:$F)),MATCH($I969,生物种群!$B$3:INDEX(生物种群!$B:$B,COUNTA(生物种群!$B:$B)),),))</f>
        <v/>
      </c>
      <c r="M969" s="37" t="str">
        <f t="shared" si="30"/>
        <v/>
      </c>
      <c r="N969" s="37" t="str">
        <f t="shared" si="31"/>
        <v/>
      </c>
      <c r="O969" s="9"/>
      <c r="P969" s="10"/>
    </row>
    <row r="970" spans="1:16" ht="20.1" customHeight="1">
      <c r="A970" s="9"/>
      <c r="B970" s="9"/>
      <c r="C970" s="9"/>
      <c r="D970" s="43"/>
      <c r="E970" s="9"/>
      <c r="F970" s="9"/>
      <c r="G970" s="47" t="str">
        <f>IF(F970="","",INDEX(站位样品信息!$B$3:INDEX(站位样品信息!$B:$B,COUNTA(站位样品信息!$B:$B)+1),MATCH($F970,站位样品信息!$A$3:INDEX(站位样品信息!$A:$A,COUNTA(站位样品信息!$A:$A)+1),),))</f>
        <v/>
      </c>
      <c r="H970" s="37" t="str">
        <f>IF(A970&amp;B970&amp;C970="","",INDEX(生物种群!$A$2:INDEX(生物种群!$A:$A,COUNTA(生物种群!$A:$A)),MATCH($I970,生物种群!$B$2:INDEX(生物种群!$B:$B,COUNTA(生物种群!$B:$B)),),))</f>
        <v/>
      </c>
      <c r="I970" s="37" t="str">
        <f>IF(A970&amp;B970&amp;C970="","",IF($C970&lt;&gt;0,INDEX(生物种群!$B$2:INDEX(生物种群!$B:$B,COUNTA(生物种群!$B:$B)),MATCH($C970,生物种群!$G$2:INDEX(生物种群!$G:$G,COUNTA(生物种群!$G:$G)),),),IF($A970&lt;&gt;0,INDEX(生物种群!$B$2:INDEX(生物种群!$B:$B,COUNTA(生物种群!$B:$B)),MATCH($A970,生物种群!$C$2:INDEX(生物种群!$C:$C,COUNTA(生物种群!$C:$C)),),),INDEX(生物种群!$B$2:INDEX(生物种群!$B:$B,COUNTA(生物种群!$B:$B)),MATCH($B970,生物种群!$D$2:INDEX(生物种群!$D:$D,COUNTA(生物种群!$D:$D)),),))))</f>
        <v/>
      </c>
      <c r="J970" s="37" t="str">
        <f>IF(A970&amp;B970&amp;C970="","",INDEX(生物种群!$J$2:INDEX(生物种群!$J:$J,COUNTA(生物种群!$J:$J)),MATCH($I970,生物种群!$B$2:INDEX(生物种群!$B:$B,COUNTA(生物种群!$B:$B)),),))</f>
        <v/>
      </c>
      <c r="K970" s="37" t="str">
        <f>IF(A970&amp;B970&amp;C970="","",INDEX(生物种群!$E$2:INDEX(生物种群!$E:$E,COUNTA(生物种群!$E:$E)),MATCH($I970,生物种群!$B$2:INDEX(生物种群!$B:$B,COUNTA(生物种群!$B:$B)),),))</f>
        <v/>
      </c>
      <c r="L970" s="37" t="str">
        <f>IF(A970&amp;B970&amp;C970="","",INDEX(生物种群!$F$3:INDEX(生物种群!$F:$F,COUNTA(生物种群!$F:$F)),MATCH($I970,生物种群!$B$3:INDEX(生物种群!$B:$B,COUNTA(生物种群!$B:$B)),),))</f>
        <v/>
      </c>
      <c r="M970" s="37" t="str">
        <f t="shared" si="30"/>
        <v/>
      </c>
      <c r="N970" s="37" t="str">
        <f t="shared" si="31"/>
        <v/>
      </c>
      <c r="O970" s="9"/>
      <c r="P970" s="10"/>
    </row>
    <row r="971" spans="1:16" ht="20.1" customHeight="1">
      <c r="A971" s="9"/>
      <c r="B971" s="9"/>
      <c r="C971" s="9"/>
      <c r="D971" s="43"/>
      <c r="E971" s="9"/>
      <c r="F971" s="9"/>
      <c r="G971" s="47" t="str">
        <f>IF(F971="","",INDEX(站位样品信息!$B$3:INDEX(站位样品信息!$B:$B,COUNTA(站位样品信息!$B:$B)+1),MATCH($F971,站位样品信息!$A$3:INDEX(站位样品信息!$A:$A,COUNTA(站位样品信息!$A:$A)+1),),))</f>
        <v/>
      </c>
      <c r="H971" s="37" t="str">
        <f>IF(A971&amp;B971&amp;C971="","",INDEX(生物种群!$A$2:INDEX(生物种群!$A:$A,COUNTA(生物种群!$A:$A)),MATCH($I971,生物种群!$B$2:INDEX(生物种群!$B:$B,COUNTA(生物种群!$B:$B)),),))</f>
        <v/>
      </c>
      <c r="I971" s="37" t="str">
        <f>IF(A971&amp;B971&amp;C971="","",IF($C971&lt;&gt;0,INDEX(生物种群!$B$2:INDEX(生物种群!$B:$B,COUNTA(生物种群!$B:$B)),MATCH($C971,生物种群!$G$2:INDEX(生物种群!$G:$G,COUNTA(生物种群!$G:$G)),),),IF($A971&lt;&gt;0,INDEX(生物种群!$B$2:INDEX(生物种群!$B:$B,COUNTA(生物种群!$B:$B)),MATCH($A971,生物种群!$C$2:INDEX(生物种群!$C:$C,COUNTA(生物种群!$C:$C)),),),INDEX(生物种群!$B$2:INDEX(生物种群!$B:$B,COUNTA(生物种群!$B:$B)),MATCH($B971,生物种群!$D$2:INDEX(生物种群!$D:$D,COUNTA(生物种群!$D:$D)),),))))</f>
        <v/>
      </c>
      <c r="J971" s="37" t="str">
        <f>IF(A971&amp;B971&amp;C971="","",INDEX(生物种群!$J$2:INDEX(生物种群!$J:$J,COUNTA(生物种群!$J:$J)),MATCH($I971,生物种群!$B$2:INDEX(生物种群!$B:$B,COUNTA(生物种群!$B:$B)),),))</f>
        <v/>
      </c>
      <c r="K971" s="37" t="str">
        <f>IF(A971&amp;B971&amp;C971="","",INDEX(生物种群!$E$2:INDEX(生物种群!$E:$E,COUNTA(生物种群!$E:$E)),MATCH($I971,生物种群!$B$2:INDEX(生物种群!$B:$B,COUNTA(生物种群!$B:$B)),),))</f>
        <v/>
      </c>
      <c r="L971" s="37" t="str">
        <f>IF(A971&amp;B971&amp;C971="","",INDEX(生物种群!$F$3:INDEX(生物种群!$F:$F,COUNTA(生物种群!$F:$F)),MATCH($I971,生物种群!$B$3:INDEX(生物种群!$B:$B,COUNTA(生物种群!$B:$B)),),))</f>
        <v/>
      </c>
      <c r="M971" s="37" t="str">
        <f t="shared" si="30"/>
        <v/>
      </c>
      <c r="N971" s="37" t="str">
        <f t="shared" si="31"/>
        <v/>
      </c>
      <c r="O971" s="9"/>
      <c r="P971" s="10"/>
    </row>
    <row r="972" spans="1:16" ht="20.1" customHeight="1">
      <c r="A972" s="9"/>
      <c r="B972" s="9"/>
      <c r="C972" s="9"/>
      <c r="D972" s="43"/>
      <c r="E972" s="9"/>
      <c r="F972" s="9"/>
      <c r="G972" s="47" t="str">
        <f>IF(F972="","",INDEX(站位样品信息!$B$3:INDEX(站位样品信息!$B:$B,COUNTA(站位样品信息!$B:$B)+1),MATCH($F972,站位样品信息!$A$3:INDEX(站位样品信息!$A:$A,COUNTA(站位样品信息!$A:$A)+1),),))</f>
        <v/>
      </c>
      <c r="H972" s="37" t="str">
        <f>IF(A972&amp;B972&amp;C972="","",INDEX(生物种群!$A$2:INDEX(生物种群!$A:$A,COUNTA(生物种群!$A:$A)),MATCH($I972,生物种群!$B$2:INDEX(生物种群!$B:$B,COUNTA(生物种群!$B:$B)),),))</f>
        <v/>
      </c>
      <c r="I972" s="37" t="str">
        <f>IF(A972&amp;B972&amp;C972="","",IF($C972&lt;&gt;0,INDEX(生物种群!$B$2:INDEX(生物种群!$B:$B,COUNTA(生物种群!$B:$B)),MATCH($C972,生物种群!$G$2:INDEX(生物种群!$G:$G,COUNTA(生物种群!$G:$G)),),),IF($A972&lt;&gt;0,INDEX(生物种群!$B$2:INDEX(生物种群!$B:$B,COUNTA(生物种群!$B:$B)),MATCH($A972,生物种群!$C$2:INDEX(生物种群!$C:$C,COUNTA(生物种群!$C:$C)),),),INDEX(生物种群!$B$2:INDEX(生物种群!$B:$B,COUNTA(生物种群!$B:$B)),MATCH($B972,生物种群!$D$2:INDEX(生物种群!$D:$D,COUNTA(生物种群!$D:$D)),),))))</f>
        <v/>
      </c>
      <c r="J972" s="37" t="str">
        <f>IF(A972&amp;B972&amp;C972="","",INDEX(生物种群!$J$2:INDEX(生物种群!$J:$J,COUNTA(生物种群!$J:$J)),MATCH($I972,生物种群!$B$2:INDEX(生物种群!$B:$B,COUNTA(生物种群!$B:$B)),),))</f>
        <v/>
      </c>
      <c r="K972" s="37" t="str">
        <f>IF(A972&amp;B972&amp;C972="","",INDEX(生物种群!$E$2:INDEX(生物种群!$E:$E,COUNTA(生物种群!$E:$E)),MATCH($I972,生物种群!$B$2:INDEX(生物种群!$B:$B,COUNTA(生物种群!$B:$B)),),))</f>
        <v/>
      </c>
      <c r="L972" s="37" t="str">
        <f>IF(A972&amp;B972&amp;C972="","",INDEX(生物种群!$F$3:INDEX(生物种群!$F:$F,COUNTA(生物种群!$F:$F)),MATCH($I972,生物种群!$B$3:INDEX(生物种群!$B:$B,COUNTA(生物种群!$B:$B)),),))</f>
        <v/>
      </c>
      <c r="M972" s="37" t="str">
        <f t="shared" si="30"/>
        <v/>
      </c>
      <c r="N972" s="37" t="str">
        <f t="shared" si="31"/>
        <v/>
      </c>
      <c r="O972" s="9"/>
      <c r="P972" s="10"/>
    </row>
    <row r="973" spans="1:16" ht="20.1" customHeight="1">
      <c r="A973" s="9"/>
      <c r="B973" s="9"/>
      <c r="C973" s="9"/>
      <c r="D973" s="43"/>
      <c r="E973" s="9"/>
      <c r="F973" s="9"/>
      <c r="G973" s="47" t="str">
        <f>IF(F973="","",INDEX(站位样品信息!$B$3:INDEX(站位样品信息!$B:$B,COUNTA(站位样品信息!$B:$B)+1),MATCH($F973,站位样品信息!$A$3:INDEX(站位样品信息!$A:$A,COUNTA(站位样品信息!$A:$A)+1),),))</f>
        <v/>
      </c>
      <c r="H973" s="37" t="str">
        <f>IF(A973&amp;B973&amp;C973="","",INDEX(生物种群!$A$2:INDEX(生物种群!$A:$A,COUNTA(生物种群!$A:$A)),MATCH($I973,生物种群!$B$2:INDEX(生物种群!$B:$B,COUNTA(生物种群!$B:$B)),),))</f>
        <v/>
      </c>
      <c r="I973" s="37" t="str">
        <f>IF(A973&amp;B973&amp;C973="","",IF($C973&lt;&gt;0,INDEX(生物种群!$B$2:INDEX(生物种群!$B:$B,COUNTA(生物种群!$B:$B)),MATCH($C973,生物种群!$G$2:INDEX(生物种群!$G:$G,COUNTA(生物种群!$G:$G)),),),IF($A973&lt;&gt;0,INDEX(生物种群!$B$2:INDEX(生物种群!$B:$B,COUNTA(生物种群!$B:$B)),MATCH($A973,生物种群!$C$2:INDEX(生物种群!$C:$C,COUNTA(生物种群!$C:$C)),),),INDEX(生物种群!$B$2:INDEX(生物种群!$B:$B,COUNTA(生物种群!$B:$B)),MATCH($B973,生物种群!$D$2:INDEX(生物种群!$D:$D,COUNTA(生物种群!$D:$D)),),))))</f>
        <v/>
      </c>
      <c r="J973" s="37" t="str">
        <f>IF(A973&amp;B973&amp;C973="","",INDEX(生物种群!$J$2:INDEX(生物种群!$J:$J,COUNTA(生物种群!$J:$J)),MATCH($I973,生物种群!$B$2:INDEX(生物种群!$B:$B,COUNTA(生物种群!$B:$B)),),))</f>
        <v/>
      </c>
      <c r="K973" s="37" t="str">
        <f>IF(A973&amp;B973&amp;C973="","",INDEX(生物种群!$E$2:INDEX(生物种群!$E:$E,COUNTA(生物种群!$E:$E)),MATCH($I973,生物种群!$B$2:INDEX(生物种群!$B:$B,COUNTA(生物种群!$B:$B)),),))</f>
        <v/>
      </c>
      <c r="L973" s="37" t="str">
        <f>IF(A973&amp;B973&amp;C973="","",INDEX(生物种群!$F$3:INDEX(生物种群!$F:$F,COUNTA(生物种群!$F:$F)),MATCH($I973,生物种群!$B$3:INDEX(生物种群!$B:$B,COUNTA(生物种群!$B:$B)),),))</f>
        <v/>
      </c>
      <c r="M973" s="37" t="str">
        <f t="shared" si="30"/>
        <v/>
      </c>
      <c r="N973" s="37" t="str">
        <f t="shared" si="31"/>
        <v/>
      </c>
      <c r="O973" s="9"/>
      <c r="P973" s="10"/>
    </row>
    <row r="974" spans="1:16" ht="20.1" customHeight="1">
      <c r="A974" s="9"/>
      <c r="B974" s="9"/>
      <c r="C974" s="9"/>
      <c r="D974" s="43"/>
      <c r="E974" s="9"/>
      <c r="F974" s="9"/>
      <c r="G974" s="47" t="str">
        <f>IF(F974="","",INDEX(站位样品信息!$B$3:INDEX(站位样品信息!$B:$B,COUNTA(站位样品信息!$B:$B)+1),MATCH($F974,站位样品信息!$A$3:INDEX(站位样品信息!$A:$A,COUNTA(站位样品信息!$A:$A)+1),),))</f>
        <v/>
      </c>
      <c r="H974" s="37" t="str">
        <f>IF(A974&amp;B974&amp;C974="","",INDEX(生物种群!$A$2:INDEX(生物种群!$A:$A,COUNTA(生物种群!$A:$A)),MATCH($I974,生物种群!$B$2:INDEX(生物种群!$B:$B,COUNTA(生物种群!$B:$B)),),))</f>
        <v/>
      </c>
      <c r="I974" s="37" t="str">
        <f>IF(A974&amp;B974&amp;C974="","",IF($C974&lt;&gt;0,INDEX(生物种群!$B$2:INDEX(生物种群!$B:$B,COUNTA(生物种群!$B:$B)),MATCH($C974,生物种群!$G$2:INDEX(生物种群!$G:$G,COUNTA(生物种群!$G:$G)),),),IF($A974&lt;&gt;0,INDEX(生物种群!$B$2:INDEX(生物种群!$B:$B,COUNTA(生物种群!$B:$B)),MATCH($A974,生物种群!$C$2:INDEX(生物种群!$C:$C,COUNTA(生物种群!$C:$C)),),),INDEX(生物种群!$B$2:INDEX(生物种群!$B:$B,COUNTA(生物种群!$B:$B)),MATCH($B974,生物种群!$D$2:INDEX(生物种群!$D:$D,COUNTA(生物种群!$D:$D)),),))))</f>
        <v/>
      </c>
      <c r="J974" s="37" t="str">
        <f>IF(A974&amp;B974&amp;C974="","",INDEX(生物种群!$J$2:INDEX(生物种群!$J:$J,COUNTA(生物种群!$J:$J)),MATCH($I974,生物种群!$B$2:INDEX(生物种群!$B:$B,COUNTA(生物种群!$B:$B)),),))</f>
        <v/>
      </c>
      <c r="K974" s="37" t="str">
        <f>IF(A974&amp;B974&amp;C974="","",INDEX(生物种群!$E$2:INDEX(生物种群!$E:$E,COUNTA(生物种群!$E:$E)),MATCH($I974,生物种群!$B$2:INDEX(生物种群!$B:$B,COUNTA(生物种群!$B:$B)),),))</f>
        <v/>
      </c>
      <c r="L974" s="37" t="str">
        <f>IF(A974&amp;B974&amp;C974="","",INDEX(生物种群!$F$3:INDEX(生物种群!$F:$F,COUNTA(生物种群!$F:$F)),MATCH($I974,生物种群!$B$3:INDEX(生物种群!$B:$B,COUNTA(生物种群!$B:$B)),),))</f>
        <v/>
      </c>
      <c r="M974" s="37" t="str">
        <f t="shared" si="30"/>
        <v/>
      </c>
      <c r="N974" s="37" t="str">
        <f t="shared" si="31"/>
        <v/>
      </c>
      <c r="O974" s="9"/>
      <c r="P974" s="10"/>
    </row>
    <row r="975" spans="1:16" ht="20.1" customHeight="1">
      <c r="A975" s="9"/>
      <c r="B975" s="9"/>
      <c r="C975" s="9"/>
      <c r="D975" s="43"/>
      <c r="E975" s="9"/>
      <c r="F975" s="9"/>
      <c r="G975" s="47" t="str">
        <f>IF(F975="","",INDEX(站位样品信息!$B$3:INDEX(站位样品信息!$B:$B,COUNTA(站位样品信息!$B:$B)+1),MATCH($F975,站位样品信息!$A$3:INDEX(站位样品信息!$A:$A,COUNTA(站位样品信息!$A:$A)+1),),))</f>
        <v/>
      </c>
      <c r="H975" s="37" t="str">
        <f>IF(A975&amp;B975&amp;C975="","",INDEX(生物种群!$A$2:INDEX(生物种群!$A:$A,COUNTA(生物种群!$A:$A)),MATCH($I975,生物种群!$B$2:INDEX(生物种群!$B:$B,COUNTA(生物种群!$B:$B)),),))</f>
        <v/>
      </c>
      <c r="I975" s="37" t="str">
        <f>IF(A975&amp;B975&amp;C975="","",IF($C975&lt;&gt;0,INDEX(生物种群!$B$2:INDEX(生物种群!$B:$B,COUNTA(生物种群!$B:$B)),MATCH($C975,生物种群!$G$2:INDEX(生物种群!$G:$G,COUNTA(生物种群!$G:$G)),),),IF($A975&lt;&gt;0,INDEX(生物种群!$B$2:INDEX(生物种群!$B:$B,COUNTA(生物种群!$B:$B)),MATCH($A975,生物种群!$C$2:INDEX(生物种群!$C:$C,COUNTA(生物种群!$C:$C)),),),INDEX(生物种群!$B$2:INDEX(生物种群!$B:$B,COUNTA(生物种群!$B:$B)),MATCH($B975,生物种群!$D$2:INDEX(生物种群!$D:$D,COUNTA(生物种群!$D:$D)),),))))</f>
        <v/>
      </c>
      <c r="J975" s="37" t="str">
        <f>IF(A975&amp;B975&amp;C975="","",INDEX(生物种群!$J$2:INDEX(生物种群!$J:$J,COUNTA(生物种群!$J:$J)),MATCH($I975,生物种群!$B$2:INDEX(生物种群!$B:$B,COUNTA(生物种群!$B:$B)),),))</f>
        <v/>
      </c>
      <c r="K975" s="37" t="str">
        <f>IF(A975&amp;B975&amp;C975="","",INDEX(生物种群!$E$2:INDEX(生物种群!$E:$E,COUNTA(生物种群!$E:$E)),MATCH($I975,生物种群!$B$2:INDEX(生物种群!$B:$B,COUNTA(生物种群!$B:$B)),),))</f>
        <v/>
      </c>
      <c r="L975" s="37" t="str">
        <f>IF(A975&amp;B975&amp;C975="","",INDEX(生物种群!$F$3:INDEX(生物种群!$F:$F,COUNTA(生物种群!$F:$F)),MATCH($I975,生物种群!$B$3:INDEX(生物种群!$B:$B,COUNTA(生物种群!$B:$B)),),))</f>
        <v/>
      </c>
      <c r="M975" s="37" t="str">
        <f t="shared" si="30"/>
        <v/>
      </c>
      <c r="N975" s="37" t="str">
        <f t="shared" si="31"/>
        <v/>
      </c>
      <c r="O975" s="9"/>
      <c r="P975" s="10"/>
    </row>
    <row r="976" spans="1:16" ht="20.1" customHeight="1">
      <c r="A976" s="9"/>
      <c r="B976" s="9"/>
      <c r="C976" s="9"/>
      <c r="D976" s="43"/>
      <c r="E976" s="9"/>
      <c r="F976" s="9"/>
      <c r="G976" s="47" t="str">
        <f>IF(F976="","",INDEX(站位样品信息!$B$3:INDEX(站位样品信息!$B:$B,COUNTA(站位样品信息!$B:$B)+1),MATCH($F976,站位样品信息!$A$3:INDEX(站位样品信息!$A:$A,COUNTA(站位样品信息!$A:$A)+1),),))</f>
        <v/>
      </c>
      <c r="H976" s="37" t="str">
        <f>IF(A976&amp;B976&amp;C976="","",INDEX(生物种群!$A$2:INDEX(生物种群!$A:$A,COUNTA(生物种群!$A:$A)),MATCH($I976,生物种群!$B$2:INDEX(生物种群!$B:$B,COUNTA(生物种群!$B:$B)),),))</f>
        <v/>
      </c>
      <c r="I976" s="37" t="str">
        <f>IF(A976&amp;B976&amp;C976="","",IF($C976&lt;&gt;0,INDEX(生物种群!$B$2:INDEX(生物种群!$B:$B,COUNTA(生物种群!$B:$B)),MATCH($C976,生物种群!$G$2:INDEX(生物种群!$G:$G,COUNTA(生物种群!$G:$G)),),),IF($A976&lt;&gt;0,INDEX(生物种群!$B$2:INDEX(生物种群!$B:$B,COUNTA(生物种群!$B:$B)),MATCH($A976,生物种群!$C$2:INDEX(生物种群!$C:$C,COUNTA(生物种群!$C:$C)),),),INDEX(生物种群!$B$2:INDEX(生物种群!$B:$B,COUNTA(生物种群!$B:$B)),MATCH($B976,生物种群!$D$2:INDEX(生物种群!$D:$D,COUNTA(生物种群!$D:$D)),),))))</f>
        <v/>
      </c>
      <c r="J976" s="37" t="str">
        <f>IF(A976&amp;B976&amp;C976="","",INDEX(生物种群!$J$2:INDEX(生物种群!$J:$J,COUNTA(生物种群!$J:$J)),MATCH($I976,生物种群!$B$2:INDEX(生物种群!$B:$B,COUNTA(生物种群!$B:$B)),),))</f>
        <v/>
      </c>
      <c r="K976" s="37" t="str">
        <f>IF(A976&amp;B976&amp;C976="","",INDEX(生物种群!$E$2:INDEX(生物种群!$E:$E,COUNTA(生物种群!$E:$E)),MATCH($I976,生物种群!$B$2:INDEX(生物种群!$B:$B,COUNTA(生物种群!$B:$B)),),))</f>
        <v/>
      </c>
      <c r="L976" s="37" t="str">
        <f>IF(A976&amp;B976&amp;C976="","",INDEX(生物种群!$F$3:INDEX(生物种群!$F:$F,COUNTA(生物种群!$F:$F)),MATCH($I976,生物种群!$B$3:INDEX(生物种群!$B:$B,COUNTA(生物种群!$B:$B)),),))</f>
        <v/>
      </c>
      <c r="M976" s="37" t="str">
        <f t="shared" si="30"/>
        <v/>
      </c>
      <c r="N976" s="37" t="str">
        <f t="shared" si="31"/>
        <v/>
      </c>
      <c r="O976" s="9"/>
      <c r="P976" s="10"/>
    </row>
    <row r="977" spans="1:16" ht="20.1" customHeight="1">
      <c r="A977" s="9"/>
      <c r="B977" s="9"/>
      <c r="C977" s="9"/>
      <c r="D977" s="43"/>
      <c r="E977" s="9"/>
      <c r="F977" s="9"/>
      <c r="G977" s="47" t="str">
        <f>IF(F977="","",INDEX(站位样品信息!$B$3:INDEX(站位样品信息!$B:$B,COUNTA(站位样品信息!$B:$B)+1),MATCH($F977,站位样品信息!$A$3:INDEX(站位样品信息!$A:$A,COUNTA(站位样品信息!$A:$A)+1),),))</f>
        <v/>
      </c>
      <c r="H977" s="37" t="str">
        <f>IF(A977&amp;B977&amp;C977="","",INDEX(生物种群!$A$2:INDEX(生物种群!$A:$A,COUNTA(生物种群!$A:$A)),MATCH($I977,生物种群!$B$2:INDEX(生物种群!$B:$B,COUNTA(生物种群!$B:$B)),),))</f>
        <v/>
      </c>
      <c r="I977" s="37" t="str">
        <f>IF(A977&amp;B977&amp;C977="","",IF($C977&lt;&gt;0,INDEX(生物种群!$B$2:INDEX(生物种群!$B:$B,COUNTA(生物种群!$B:$B)),MATCH($C977,生物种群!$G$2:INDEX(生物种群!$G:$G,COUNTA(生物种群!$G:$G)),),),IF($A977&lt;&gt;0,INDEX(生物种群!$B$2:INDEX(生物种群!$B:$B,COUNTA(生物种群!$B:$B)),MATCH($A977,生物种群!$C$2:INDEX(生物种群!$C:$C,COUNTA(生物种群!$C:$C)),),),INDEX(生物种群!$B$2:INDEX(生物种群!$B:$B,COUNTA(生物种群!$B:$B)),MATCH($B977,生物种群!$D$2:INDEX(生物种群!$D:$D,COUNTA(生物种群!$D:$D)),),))))</f>
        <v/>
      </c>
      <c r="J977" s="37" t="str">
        <f>IF(A977&amp;B977&amp;C977="","",INDEX(生物种群!$J$2:INDEX(生物种群!$J:$J,COUNTA(生物种群!$J:$J)),MATCH($I977,生物种群!$B$2:INDEX(生物种群!$B:$B,COUNTA(生物种群!$B:$B)),),))</f>
        <v/>
      </c>
      <c r="K977" s="37" t="str">
        <f>IF(A977&amp;B977&amp;C977="","",INDEX(生物种群!$E$2:INDEX(生物种群!$E:$E,COUNTA(生物种群!$E:$E)),MATCH($I977,生物种群!$B$2:INDEX(生物种群!$B:$B,COUNTA(生物种群!$B:$B)),),))</f>
        <v/>
      </c>
      <c r="L977" s="37" t="str">
        <f>IF(A977&amp;B977&amp;C977="","",INDEX(生物种群!$F$3:INDEX(生物种群!$F:$F,COUNTA(生物种群!$F:$F)),MATCH($I977,生物种群!$B$3:INDEX(生物种群!$B:$B,COUNTA(生物种群!$B:$B)),),))</f>
        <v/>
      </c>
      <c r="M977" s="37" t="str">
        <f t="shared" si="30"/>
        <v/>
      </c>
      <c r="N977" s="37" t="str">
        <f t="shared" si="31"/>
        <v/>
      </c>
      <c r="O977" s="9"/>
      <c r="P977" s="10"/>
    </row>
    <row r="978" spans="1:16" ht="20.1" customHeight="1">
      <c r="A978" s="9"/>
      <c r="B978" s="9"/>
      <c r="C978" s="9"/>
      <c r="D978" s="43"/>
      <c r="E978" s="9"/>
      <c r="F978" s="9"/>
      <c r="G978" s="47" t="str">
        <f>IF(F978="","",INDEX(站位样品信息!$B$3:INDEX(站位样品信息!$B:$B,COUNTA(站位样品信息!$B:$B)+1),MATCH($F978,站位样品信息!$A$3:INDEX(站位样品信息!$A:$A,COUNTA(站位样品信息!$A:$A)+1),),))</f>
        <v/>
      </c>
      <c r="H978" s="37" t="str">
        <f>IF(A978&amp;B978&amp;C978="","",INDEX(生物种群!$A$2:INDEX(生物种群!$A:$A,COUNTA(生物种群!$A:$A)),MATCH($I978,生物种群!$B$2:INDEX(生物种群!$B:$B,COUNTA(生物种群!$B:$B)),),))</f>
        <v/>
      </c>
      <c r="I978" s="37" t="str">
        <f>IF(A978&amp;B978&amp;C978="","",IF($C978&lt;&gt;0,INDEX(生物种群!$B$2:INDEX(生物种群!$B:$B,COUNTA(生物种群!$B:$B)),MATCH($C978,生物种群!$G$2:INDEX(生物种群!$G:$G,COUNTA(生物种群!$G:$G)),),),IF($A978&lt;&gt;0,INDEX(生物种群!$B$2:INDEX(生物种群!$B:$B,COUNTA(生物种群!$B:$B)),MATCH($A978,生物种群!$C$2:INDEX(生物种群!$C:$C,COUNTA(生物种群!$C:$C)),),),INDEX(生物种群!$B$2:INDEX(生物种群!$B:$B,COUNTA(生物种群!$B:$B)),MATCH($B978,生物种群!$D$2:INDEX(生物种群!$D:$D,COUNTA(生物种群!$D:$D)),),))))</f>
        <v/>
      </c>
      <c r="J978" s="37" t="str">
        <f>IF(A978&amp;B978&amp;C978="","",INDEX(生物种群!$J$2:INDEX(生物种群!$J:$J,COUNTA(生物种群!$J:$J)),MATCH($I978,生物种群!$B$2:INDEX(生物种群!$B:$B,COUNTA(生物种群!$B:$B)),),))</f>
        <v/>
      </c>
      <c r="K978" s="37" t="str">
        <f>IF(A978&amp;B978&amp;C978="","",INDEX(生物种群!$E$2:INDEX(生物种群!$E:$E,COUNTA(生物种群!$E:$E)),MATCH($I978,生物种群!$B$2:INDEX(生物种群!$B:$B,COUNTA(生物种群!$B:$B)),),))</f>
        <v/>
      </c>
      <c r="L978" s="37" t="str">
        <f>IF(A978&amp;B978&amp;C978="","",INDEX(生物种群!$F$3:INDEX(生物种群!$F:$F,COUNTA(生物种群!$F:$F)),MATCH($I978,生物种群!$B$3:INDEX(生物种群!$B:$B,COUNTA(生物种群!$B:$B)),),))</f>
        <v/>
      </c>
      <c r="M978" s="37" t="str">
        <f t="shared" si="30"/>
        <v/>
      </c>
      <c r="N978" s="37" t="str">
        <f t="shared" si="31"/>
        <v/>
      </c>
      <c r="O978" s="9"/>
      <c r="P978" s="10"/>
    </row>
    <row r="979" spans="1:16" ht="20.1" customHeight="1">
      <c r="A979" s="9"/>
      <c r="B979" s="9"/>
      <c r="C979" s="9"/>
      <c r="D979" s="43"/>
      <c r="E979" s="9"/>
      <c r="F979" s="9"/>
      <c r="G979" s="47" t="str">
        <f>IF(F979="","",INDEX(站位样品信息!$B$3:INDEX(站位样品信息!$B:$B,COUNTA(站位样品信息!$B:$B)+1),MATCH($F979,站位样品信息!$A$3:INDEX(站位样品信息!$A:$A,COUNTA(站位样品信息!$A:$A)+1),),))</f>
        <v/>
      </c>
      <c r="H979" s="37" t="str">
        <f>IF(A979&amp;B979&amp;C979="","",INDEX(生物种群!$A$2:INDEX(生物种群!$A:$A,COUNTA(生物种群!$A:$A)),MATCH($I979,生物种群!$B$2:INDEX(生物种群!$B:$B,COUNTA(生物种群!$B:$B)),),))</f>
        <v/>
      </c>
      <c r="I979" s="37" t="str">
        <f>IF(A979&amp;B979&amp;C979="","",IF($C979&lt;&gt;0,INDEX(生物种群!$B$2:INDEX(生物种群!$B:$B,COUNTA(生物种群!$B:$B)),MATCH($C979,生物种群!$G$2:INDEX(生物种群!$G:$G,COUNTA(生物种群!$G:$G)),),),IF($A979&lt;&gt;0,INDEX(生物种群!$B$2:INDEX(生物种群!$B:$B,COUNTA(生物种群!$B:$B)),MATCH($A979,生物种群!$C$2:INDEX(生物种群!$C:$C,COUNTA(生物种群!$C:$C)),),),INDEX(生物种群!$B$2:INDEX(生物种群!$B:$B,COUNTA(生物种群!$B:$B)),MATCH($B979,生物种群!$D$2:INDEX(生物种群!$D:$D,COUNTA(生物种群!$D:$D)),),))))</f>
        <v/>
      </c>
      <c r="J979" s="37" t="str">
        <f>IF(A979&amp;B979&amp;C979="","",INDEX(生物种群!$J$2:INDEX(生物种群!$J:$J,COUNTA(生物种群!$J:$J)),MATCH($I979,生物种群!$B$2:INDEX(生物种群!$B:$B,COUNTA(生物种群!$B:$B)),),))</f>
        <v/>
      </c>
      <c r="K979" s="37" t="str">
        <f>IF(A979&amp;B979&amp;C979="","",INDEX(生物种群!$E$2:INDEX(生物种群!$E:$E,COUNTA(生物种群!$E:$E)),MATCH($I979,生物种群!$B$2:INDEX(生物种群!$B:$B,COUNTA(生物种群!$B:$B)),),))</f>
        <v/>
      </c>
      <c r="L979" s="37" t="str">
        <f>IF(A979&amp;B979&amp;C979="","",INDEX(生物种群!$F$3:INDEX(生物种群!$F:$F,COUNTA(生物种群!$F:$F)),MATCH($I979,生物种群!$B$3:INDEX(生物种群!$B:$B,COUNTA(生物种群!$B:$B)),),))</f>
        <v/>
      </c>
      <c r="M979" s="37" t="str">
        <f t="shared" si="30"/>
        <v/>
      </c>
      <c r="N979" s="37" t="str">
        <f t="shared" si="31"/>
        <v/>
      </c>
      <c r="O979" s="9"/>
      <c r="P979" s="10"/>
    </row>
    <row r="980" spans="1:16" ht="20.1" customHeight="1">
      <c r="A980" s="9"/>
      <c r="B980" s="9"/>
      <c r="C980" s="9"/>
      <c r="D980" s="43"/>
      <c r="E980" s="9"/>
      <c r="F980" s="9"/>
      <c r="G980" s="47" t="str">
        <f>IF(F980="","",INDEX(站位样品信息!$B$3:INDEX(站位样品信息!$B:$B,COUNTA(站位样品信息!$B:$B)+1),MATCH($F980,站位样品信息!$A$3:INDEX(站位样品信息!$A:$A,COUNTA(站位样品信息!$A:$A)+1),),))</f>
        <v/>
      </c>
      <c r="H980" s="37" t="str">
        <f>IF(A980&amp;B980&amp;C980="","",INDEX(生物种群!$A$2:INDEX(生物种群!$A:$A,COUNTA(生物种群!$A:$A)),MATCH($I980,生物种群!$B$2:INDEX(生物种群!$B:$B,COUNTA(生物种群!$B:$B)),),))</f>
        <v/>
      </c>
      <c r="I980" s="37" t="str">
        <f>IF(A980&amp;B980&amp;C980="","",IF($C980&lt;&gt;0,INDEX(生物种群!$B$2:INDEX(生物种群!$B:$B,COUNTA(生物种群!$B:$B)),MATCH($C980,生物种群!$G$2:INDEX(生物种群!$G:$G,COUNTA(生物种群!$G:$G)),),),IF($A980&lt;&gt;0,INDEX(生物种群!$B$2:INDEX(生物种群!$B:$B,COUNTA(生物种群!$B:$B)),MATCH($A980,生物种群!$C$2:INDEX(生物种群!$C:$C,COUNTA(生物种群!$C:$C)),),),INDEX(生物种群!$B$2:INDEX(生物种群!$B:$B,COUNTA(生物种群!$B:$B)),MATCH($B980,生物种群!$D$2:INDEX(生物种群!$D:$D,COUNTA(生物种群!$D:$D)),),))))</f>
        <v/>
      </c>
      <c r="J980" s="37" t="str">
        <f>IF(A980&amp;B980&amp;C980="","",INDEX(生物种群!$J$2:INDEX(生物种群!$J:$J,COUNTA(生物种群!$J:$J)),MATCH($I980,生物种群!$B$2:INDEX(生物种群!$B:$B,COUNTA(生物种群!$B:$B)),),))</f>
        <v/>
      </c>
      <c r="K980" s="37" t="str">
        <f>IF(A980&amp;B980&amp;C980="","",INDEX(生物种群!$E$2:INDEX(生物种群!$E:$E,COUNTA(生物种群!$E:$E)),MATCH($I980,生物种群!$B$2:INDEX(生物种群!$B:$B,COUNTA(生物种群!$B:$B)),),))</f>
        <v/>
      </c>
      <c r="L980" s="37" t="str">
        <f>IF(A980&amp;B980&amp;C980="","",INDEX(生物种群!$F$3:INDEX(生物种群!$F:$F,COUNTA(生物种群!$F:$F)),MATCH($I980,生物种群!$B$3:INDEX(生物种群!$B:$B,COUNTA(生物种群!$B:$B)),),))</f>
        <v/>
      </c>
      <c r="M980" s="37" t="str">
        <f t="shared" si="30"/>
        <v/>
      </c>
      <c r="N980" s="37" t="str">
        <f t="shared" si="31"/>
        <v/>
      </c>
      <c r="O980" s="9"/>
      <c r="P980" s="10"/>
    </row>
    <row r="981" spans="1:16" ht="20.1" customHeight="1">
      <c r="A981" s="9"/>
      <c r="B981" s="9"/>
      <c r="C981" s="9"/>
      <c r="D981" s="43"/>
      <c r="E981" s="9"/>
      <c r="F981" s="9"/>
      <c r="G981" s="47" t="str">
        <f>IF(F981="","",INDEX(站位样品信息!$B$3:INDEX(站位样品信息!$B:$B,COUNTA(站位样品信息!$B:$B)+1),MATCH($F981,站位样品信息!$A$3:INDEX(站位样品信息!$A:$A,COUNTA(站位样品信息!$A:$A)+1),),))</f>
        <v/>
      </c>
      <c r="H981" s="37" t="str">
        <f>IF(A981&amp;B981&amp;C981="","",INDEX(生物种群!$A$2:INDEX(生物种群!$A:$A,COUNTA(生物种群!$A:$A)),MATCH($I981,生物种群!$B$2:INDEX(生物种群!$B:$B,COUNTA(生物种群!$B:$B)),),))</f>
        <v/>
      </c>
      <c r="I981" s="37" t="str">
        <f>IF(A981&amp;B981&amp;C981="","",IF($C981&lt;&gt;0,INDEX(生物种群!$B$2:INDEX(生物种群!$B:$B,COUNTA(生物种群!$B:$B)),MATCH($C981,生物种群!$G$2:INDEX(生物种群!$G:$G,COUNTA(生物种群!$G:$G)),),),IF($A981&lt;&gt;0,INDEX(生物种群!$B$2:INDEX(生物种群!$B:$B,COUNTA(生物种群!$B:$B)),MATCH($A981,生物种群!$C$2:INDEX(生物种群!$C:$C,COUNTA(生物种群!$C:$C)),),),INDEX(生物种群!$B$2:INDEX(生物种群!$B:$B,COUNTA(生物种群!$B:$B)),MATCH($B981,生物种群!$D$2:INDEX(生物种群!$D:$D,COUNTA(生物种群!$D:$D)),),))))</f>
        <v/>
      </c>
      <c r="J981" s="37" t="str">
        <f>IF(A981&amp;B981&amp;C981="","",INDEX(生物种群!$J$2:INDEX(生物种群!$J:$J,COUNTA(生物种群!$J:$J)),MATCH($I981,生物种群!$B$2:INDEX(生物种群!$B:$B,COUNTA(生物种群!$B:$B)),),))</f>
        <v/>
      </c>
      <c r="K981" s="37" t="str">
        <f>IF(A981&amp;B981&amp;C981="","",INDEX(生物种群!$E$2:INDEX(生物种群!$E:$E,COUNTA(生物种群!$E:$E)),MATCH($I981,生物种群!$B$2:INDEX(生物种群!$B:$B,COUNTA(生物种群!$B:$B)),),))</f>
        <v/>
      </c>
      <c r="L981" s="37" t="str">
        <f>IF(A981&amp;B981&amp;C981="","",INDEX(生物种群!$F$3:INDEX(生物种群!$F:$F,COUNTA(生物种群!$F:$F)),MATCH($I981,生物种群!$B$3:INDEX(生物种群!$B:$B,COUNTA(生物种群!$B:$B)),),))</f>
        <v/>
      </c>
      <c r="M981" s="37" t="str">
        <f t="shared" si="30"/>
        <v/>
      </c>
      <c r="N981" s="37" t="str">
        <f t="shared" si="31"/>
        <v/>
      </c>
      <c r="O981" s="9"/>
      <c r="P981" s="10"/>
    </row>
    <row r="982" spans="1:16" ht="20.1" customHeight="1">
      <c r="A982" s="9"/>
      <c r="B982" s="9"/>
      <c r="C982" s="9"/>
      <c r="D982" s="43"/>
      <c r="E982" s="9"/>
      <c r="F982" s="9"/>
      <c r="G982" s="47" t="str">
        <f>IF(F982="","",INDEX(站位样品信息!$B$3:INDEX(站位样品信息!$B:$B,COUNTA(站位样品信息!$B:$B)+1),MATCH($F982,站位样品信息!$A$3:INDEX(站位样品信息!$A:$A,COUNTA(站位样品信息!$A:$A)+1),),))</f>
        <v/>
      </c>
      <c r="H982" s="37" t="str">
        <f>IF(A982&amp;B982&amp;C982="","",INDEX(生物种群!$A$2:INDEX(生物种群!$A:$A,COUNTA(生物种群!$A:$A)),MATCH($I982,生物种群!$B$2:INDEX(生物种群!$B:$B,COUNTA(生物种群!$B:$B)),),))</f>
        <v/>
      </c>
      <c r="I982" s="37" t="str">
        <f>IF(A982&amp;B982&amp;C982="","",IF($C982&lt;&gt;0,INDEX(生物种群!$B$2:INDEX(生物种群!$B:$B,COUNTA(生物种群!$B:$B)),MATCH($C982,生物种群!$G$2:INDEX(生物种群!$G:$G,COUNTA(生物种群!$G:$G)),),),IF($A982&lt;&gt;0,INDEX(生物种群!$B$2:INDEX(生物种群!$B:$B,COUNTA(生物种群!$B:$B)),MATCH($A982,生物种群!$C$2:INDEX(生物种群!$C:$C,COUNTA(生物种群!$C:$C)),),),INDEX(生物种群!$B$2:INDEX(生物种群!$B:$B,COUNTA(生物种群!$B:$B)),MATCH($B982,生物种群!$D$2:INDEX(生物种群!$D:$D,COUNTA(生物种群!$D:$D)),),))))</f>
        <v/>
      </c>
      <c r="J982" s="37" t="str">
        <f>IF(A982&amp;B982&amp;C982="","",INDEX(生物种群!$J$2:INDEX(生物种群!$J:$J,COUNTA(生物种群!$J:$J)),MATCH($I982,生物种群!$B$2:INDEX(生物种群!$B:$B,COUNTA(生物种群!$B:$B)),),))</f>
        <v/>
      </c>
      <c r="K982" s="37" t="str">
        <f>IF(A982&amp;B982&amp;C982="","",INDEX(生物种群!$E$2:INDEX(生物种群!$E:$E,COUNTA(生物种群!$E:$E)),MATCH($I982,生物种群!$B$2:INDEX(生物种群!$B:$B,COUNTA(生物种群!$B:$B)),),))</f>
        <v/>
      </c>
      <c r="L982" s="37" t="str">
        <f>IF(A982&amp;B982&amp;C982="","",INDEX(生物种群!$F$3:INDEX(生物种群!$F:$F,COUNTA(生物种群!$F:$F)),MATCH($I982,生物种群!$B$3:INDEX(生物种群!$B:$B,COUNTA(生物种群!$B:$B)),),))</f>
        <v/>
      </c>
      <c r="M982" s="37" t="str">
        <f t="shared" si="30"/>
        <v/>
      </c>
      <c r="N982" s="37" t="str">
        <f t="shared" si="31"/>
        <v/>
      </c>
      <c r="O982" s="9"/>
      <c r="P982" s="10"/>
    </row>
    <row r="983" spans="1:16" ht="20.1" customHeight="1">
      <c r="A983" s="9"/>
      <c r="B983" s="9"/>
      <c r="C983" s="9"/>
      <c r="D983" s="43"/>
      <c r="E983" s="9"/>
      <c r="F983" s="9"/>
      <c r="G983" s="47" t="str">
        <f>IF(F983="","",INDEX(站位样品信息!$B$3:INDEX(站位样品信息!$B:$B,COUNTA(站位样品信息!$B:$B)+1),MATCH($F983,站位样品信息!$A$3:INDEX(站位样品信息!$A:$A,COUNTA(站位样品信息!$A:$A)+1),),))</f>
        <v/>
      </c>
      <c r="H983" s="37" t="str">
        <f>IF(A983&amp;B983&amp;C983="","",INDEX(生物种群!$A$2:INDEX(生物种群!$A:$A,COUNTA(生物种群!$A:$A)),MATCH($I983,生物种群!$B$2:INDEX(生物种群!$B:$B,COUNTA(生物种群!$B:$B)),),))</f>
        <v/>
      </c>
      <c r="I983" s="37" t="str">
        <f>IF(A983&amp;B983&amp;C983="","",IF($C983&lt;&gt;0,INDEX(生物种群!$B$2:INDEX(生物种群!$B:$B,COUNTA(生物种群!$B:$B)),MATCH($C983,生物种群!$G$2:INDEX(生物种群!$G:$G,COUNTA(生物种群!$G:$G)),),),IF($A983&lt;&gt;0,INDEX(生物种群!$B$2:INDEX(生物种群!$B:$B,COUNTA(生物种群!$B:$B)),MATCH($A983,生物种群!$C$2:INDEX(生物种群!$C:$C,COUNTA(生物种群!$C:$C)),),),INDEX(生物种群!$B$2:INDEX(生物种群!$B:$B,COUNTA(生物种群!$B:$B)),MATCH($B983,生物种群!$D$2:INDEX(生物种群!$D:$D,COUNTA(生物种群!$D:$D)),),))))</f>
        <v/>
      </c>
      <c r="J983" s="37" t="str">
        <f>IF(A983&amp;B983&amp;C983="","",INDEX(生物种群!$J$2:INDEX(生物种群!$J:$J,COUNTA(生物种群!$J:$J)),MATCH($I983,生物种群!$B$2:INDEX(生物种群!$B:$B,COUNTA(生物种群!$B:$B)),),))</f>
        <v/>
      </c>
      <c r="K983" s="37" t="str">
        <f>IF(A983&amp;B983&amp;C983="","",INDEX(生物种群!$E$2:INDEX(生物种群!$E:$E,COUNTA(生物种群!$E:$E)),MATCH($I983,生物种群!$B$2:INDEX(生物种群!$B:$B,COUNTA(生物种群!$B:$B)),),))</f>
        <v/>
      </c>
      <c r="L983" s="37" t="str">
        <f>IF(A983&amp;B983&amp;C983="","",INDEX(生物种群!$F$3:INDEX(生物种群!$F:$F,COUNTA(生物种群!$F:$F)),MATCH($I983,生物种群!$B$3:INDEX(生物种群!$B:$B,COUNTA(生物种群!$B:$B)),),))</f>
        <v/>
      </c>
      <c r="M983" s="37" t="str">
        <f t="shared" si="30"/>
        <v/>
      </c>
      <c r="N983" s="37" t="str">
        <f t="shared" si="31"/>
        <v/>
      </c>
      <c r="O983" s="9"/>
      <c r="P983" s="10"/>
    </row>
    <row r="984" spans="1:16" ht="20.1" customHeight="1">
      <c r="A984" s="9"/>
      <c r="B984" s="9"/>
      <c r="C984" s="9"/>
      <c r="D984" s="43"/>
      <c r="E984" s="9"/>
      <c r="F984" s="9"/>
      <c r="G984" s="47" t="str">
        <f>IF(F984="","",INDEX(站位样品信息!$B$3:INDEX(站位样品信息!$B:$B,COUNTA(站位样品信息!$B:$B)+1),MATCH($F984,站位样品信息!$A$3:INDEX(站位样品信息!$A:$A,COUNTA(站位样品信息!$A:$A)+1),),))</f>
        <v/>
      </c>
      <c r="H984" s="37" t="str">
        <f>IF(A984&amp;B984&amp;C984="","",INDEX(生物种群!$A$2:INDEX(生物种群!$A:$A,COUNTA(生物种群!$A:$A)),MATCH($I984,生物种群!$B$2:INDEX(生物种群!$B:$B,COUNTA(生物种群!$B:$B)),),))</f>
        <v/>
      </c>
      <c r="I984" s="37" t="str">
        <f>IF(A984&amp;B984&amp;C984="","",IF($C984&lt;&gt;0,INDEX(生物种群!$B$2:INDEX(生物种群!$B:$B,COUNTA(生物种群!$B:$B)),MATCH($C984,生物种群!$G$2:INDEX(生物种群!$G:$G,COUNTA(生物种群!$G:$G)),),),IF($A984&lt;&gt;0,INDEX(生物种群!$B$2:INDEX(生物种群!$B:$B,COUNTA(生物种群!$B:$B)),MATCH($A984,生物种群!$C$2:INDEX(生物种群!$C:$C,COUNTA(生物种群!$C:$C)),),),INDEX(生物种群!$B$2:INDEX(生物种群!$B:$B,COUNTA(生物种群!$B:$B)),MATCH($B984,生物种群!$D$2:INDEX(生物种群!$D:$D,COUNTA(生物种群!$D:$D)),),))))</f>
        <v/>
      </c>
      <c r="J984" s="37" t="str">
        <f>IF(A984&amp;B984&amp;C984="","",INDEX(生物种群!$J$2:INDEX(生物种群!$J:$J,COUNTA(生物种群!$J:$J)),MATCH($I984,生物种群!$B$2:INDEX(生物种群!$B:$B,COUNTA(生物种群!$B:$B)),),))</f>
        <v/>
      </c>
      <c r="K984" s="37" t="str">
        <f>IF(A984&amp;B984&amp;C984="","",INDEX(生物种群!$E$2:INDEX(生物种群!$E:$E,COUNTA(生物种群!$E:$E)),MATCH($I984,生物种群!$B$2:INDEX(生物种群!$B:$B,COUNTA(生物种群!$B:$B)),),))</f>
        <v/>
      </c>
      <c r="L984" s="37" t="str">
        <f>IF(A984&amp;B984&amp;C984="","",INDEX(生物种群!$F$3:INDEX(生物种群!$F:$F,COUNTA(生物种群!$F:$F)),MATCH($I984,生物种群!$B$3:INDEX(生物种群!$B:$B,COUNTA(生物种群!$B:$B)),),))</f>
        <v/>
      </c>
      <c r="M984" s="37" t="str">
        <f t="shared" si="30"/>
        <v/>
      </c>
      <c r="N984" s="37" t="str">
        <f t="shared" si="31"/>
        <v/>
      </c>
      <c r="O984" s="9"/>
      <c r="P984" s="10"/>
    </row>
    <row r="985" spans="1:16" ht="20.1" customHeight="1">
      <c r="A985" s="9"/>
      <c r="B985" s="9"/>
      <c r="C985" s="9"/>
      <c r="D985" s="43"/>
      <c r="E985" s="9"/>
      <c r="F985" s="9"/>
      <c r="G985" s="47" t="str">
        <f>IF(F985="","",INDEX(站位样品信息!$B$3:INDEX(站位样品信息!$B:$B,COUNTA(站位样品信息!$B:$B)+1),MATCH($F985,站位样品信息!$A$3:INDEX(站位样品信息!$A:$A,COUNTA(站位样品信息!$A:$A)+1),),))</f>
        <v/>
      </c>
      <c r="H985" s="37" t="str">
        <f>IF(A985&amp;B985&amp;C985="","",INDEX(生物种群!$A$2:INDEX(生物种群!$A:$A,COUNTA(生物种群!$A:$A)),MATCH($I985,生物种群!$B$2:INDEX(生物种群!$B:$B,COUNTA(生物种群!$B:$B)),),))</f>
        <v/>
      </c>
      <c r="I985" s="37" t="str">
        <f>IF(A985&amp;B985&amp;C985="","",IF($C985&lt;&gt;0,INDEX(生物种群!$B$2:INDEX(生物种群!$B:$B,COUNTA(生物种群!$B:$B)),MATCH($C985,生物种群!$G$2:INDEX(生物种群!$G:$G,COUNTA(生物种群!$G:$G)),),),IF($A985&lt;&gt;0,INDEX(生物种群!$B$2:INDEX(生物种群!$B:$B,COUNTA(生物种群!$B:$B)),MATCH($A985,生物种群!$C$2:INDEX(生物种群!$C:$C,COUNTA(生物种群!$C:$C)),),),INDEX(生物种群!$B$2:INDEX(生物种群!$B:$B,COUNTA(生物种群!$B:$B)),MATCH($B985,生物种群!$D$2:INDEX(生物种群!$D:$D,COUNTA(生物种群!$D:$D)),),))))</f>
        <v/>
      </c>
      <c r="J985" s="37" t="str">
        <f>IF(A985&amp;B985&amp;C985="","",INDEX(生物种群!$J$2:INDEX(生物种群!$J:$J,COUNTA(生物种群!$J:$J)),MATCH($I985,生物种群!$B$2:INDEX(生物种群!$B:$B,COUNTA(生物种群!$B:$B)),),))</f>
        <v/>
      </c>
      <c r="K985" s="37" t="str">
        <f>IF(A985&amp;B985&amp;C985="","",INDEX(生物种群!$E$2:INDEX(生物种群!$E:$E,COUNTA(生物种群!$E:$E)),MATCH($I985,生物种群!$B$2:INDEX(生物种群!$B:$B,COUNTA(生物种群!$B:$B)),),))</f>
        <v/>
      </c>
      <c r="L985" s="37" t="str">
        <f>IF(A985&amp;B985&amp;C985="","",INDEX(生物种群!$F$3:INDEX(生物种群!$F:$F,COUNTA(生物种群!$F:$F)),MATCH($I985,生物种群!$B$3:INDEX(生物种群!$B:$B,COUNTA(生物种群!$B:$B)),),))</f>
        <v/>
      </c>
      <c r="M985" s="37" t="str">
        <f t="shared" si="30"/>
        <v/>
      </c>
      <c r="N985" s="37" t="str">
        <f t="shared" si="31"/>
        <v/>
      </c>
      <c r="O985" s="9"/>
      <c r="P985" s="10"/>
    </row>
    <row r="986" spans="1:16" ht="20.1" customHeight="1">
      <c r="A986" s="9"/>
      <c r="B986" s="9"/>
      <c r="C986" s="9"/>
      <c r="D986" s="43"/>
      <c r="E986" s="9"/>
      <c r="F986" s="9"/>
      <c r="G986" s="47" t="str">
        <f>IF(F986="","",INDEX(站位样品信息!$B$3:INDEX(站位样品信息!$B:$B,COUNTA(站位样品信息!$B:$B)+1),MATCH($F986,站位样品信息!$A$3:INDEX(站位样品信息!$A:$A,COUNTA(站位样品信息!$A:$A)+1),),))</f>
        <v/>
      </c>
      <c r="H986" s="37" t="str">
        <f>IF(A986&amp;B986&amp;C986="","",INDEX(生物种群!$A$2:INDEX(生物种群!$A:$A,COUNTA(生物种群!$A:$A)),MATCH($I986,生物种群!$B$2:INDEX(生物种群!$B:$B,COUNTA(生物种群!$B:$B)),),))</f>
        <v/>
      </c>
      <c r="I986" s="37" t="str">
        <f>IF(A986&amp;B986&amp;C986="","",IF($C986&lt;&gt;0,INDEX(生物种群!$B$2:INDEX(生物种群!$B:$B,COUNTA(生物种群!$B:$B)),MATCH($C986,生物种群!$G$2:INDEX(生物种群!$G:$G,COUNTA(生物种群!$G:$G)),),),IF($A986&lt;&gt;0,INDEX(生物种群!$B$2:INDEX(生物种群!$B:$B,COUNTA(生物种群!$B:$B)),MATCH($A986,生物种群!$C$2:INDEX(生物种群!$C:$C,COUNTA(生物种群!$C:$C)),),),INDEX(生物种群!$B$2:INDEX(生物种群!$B:$B,COUNTA(生物种群!$B:$B)),MATCH($B986,生物种群!$D$2:INDEX(生物种群!$D:$D,COUNTA(生物种群!$D:$D)),),))))</f>
        <v/>
      </c>
      <c r="J986" s="37" t="str">
        <f>IF(A986&amp;B986&amp;C986="","",INDEX(生物种群!$J$2:INDEX(生物种群!$J:$J,COUNTA(生物种群!$J:$J)),MATCH($I986,生物种群!$B$2:INDEX(生物种群!$B:$B,COUNTA(生物种群!$B:$B)),),))</f>
        <v/>
      </c>
      <c r="K986" s="37" t="str">
        <f>IF(A986&amp;B986&amp;C986="","",INDEX(生物种群!$E$2:INDEX(生物种群!$E:$E,COUNTA(生物种群!$E:$E)),MATCH($I986,生物种群!$B$2:INDEX(生物种群!$B:$B,COUNTA(生物种群!$B:$B)),),))</f>
        <v/>
      </c>
      <c r="L986" s="37" t="str">
        <f>IF(A986&amp;B986&amp;C986="","",INDEX(生物种群!$F$3:INDEX(生物种群!$F:$F,COUNTA(生物种群!$F:$F)),MATCH($I986,生物种群!$B$3:INDEX(生物种群!$B:$B,COUNTA(生物种群!$B:$B)),),))</f>
        <v/>
      </c>
      <c r="M986" s="37" t="str">
        <f t="shared" si="30"/>
        <v/>
      </c>
      <c r="N986" s="37" t="str">
        <f t="shared" si="31"/>
        <v/>
      </c>
      <c r="O986" s="9"/>
      <c r="P986" s="10"/>
    </row>
    <row r="987" spans="1:16" ht="20.1" customHeight="1">
      <c r="A987" s="9"/>
      <c r="B987" s="9"/>
      <c r="C987" s="9"/>
      <c r="D987" s="43"/>
      <c r="E987" s="9"/>
      <c r="F987" s="9"/>
      <c r="G987" s="47" t="str">
        <f>IF(F987="","",INDEX(站位样品信息!$B$3:INDEX(站位样品信息!$B:$B,COUNTA(站位样品信息!$B:$B)+1),MATCH($F987,站位样品信息!$A$3:INDEX(站位样品信息!$A:$A,COUNTA(站位样品信息!$A:$A)+1),),))</f>
        <v/>
      </c>
      <c r="H987" s="37" t="str">
        <f>IF(A987&amp;B987&amp;C987="","",INDEX(生物种群!$A$2:INDEX(生物种群!$A:$A,COUNTA(生物种群!$A:$A)),MATCH($I987,生物种群!$B$2:INDEX(生物种群!$B:$B,COUNTA(生物种群!$B:$B)),),))</f>
        <v/>
      </c>
      <c r="I987" s="37" t="str">
        <f>IF(A987&amp;B987&amp;C987="","",IF($C987&lt;&gt;0,INDEX(生物种群!$B$2:INDEX(生物种群!$B:$B,COUNTA(生物种群!$B:$B)),MATCH($C987,生物种群!$G$2:INDEX(生物种群!$G:$G,COUNTA(生物种群!$G:$G)),),),IF($A987&lt;&gt;0,INDEX(生物种群!$B$2:INDEX(生物种群!$B:$B,COUNTA(生物种群!$B:$B)),MATCH($A987,生物种群!$C$2:INDEX(生物种群!$C:$C,COUNTA(生物种群!$C:$C)),),),INDEX(生物种群!$B$2:INDEX(生物种群!$B:$B,COUNTA(生物种群!$B:$B)),MATCH($B987,生物种群!$D$2:INDEX(生物种群!$D:$D,COUNTA(生物种群!$D:$D)),),))))</f>
        <v/>
      </c>
      <c r="J987" s="37" t="str">
        <f>IF(A987&amp;B987&amp;C987="","",INDEX(生物种群!$J$2:INDEX(生物种群!$J:$J,COUNTA(生物种群!$J:$J)),MATCH($I987,生物种群!$B$2:INDEX(生物种群!$B:$B,COUNTA(生物种群!$B:$B)),),))</f>
        <v/>
      </c>
      <c r="K987" s="37" t="str">
        <f>IF(A987&amp;B987&amp;C987="","",INDEX(生物种群!$E$2:INDEX(生物种群!$E:$E,COUNTA(生物种群!$E:$E)),MATCH($I987,生物种群!$B$2:INDEX(生物种群!$B:$B,COUNTA(生物种群!$B:$B)),),))</f>
        <v/>
      </c>
      <c r="L987" s="37" t="str">
        <f>IF(A987&amp;B987&amp;C987="","",INDEX(生物种群!$F$3:INDEX(生物种群!$F:$F,COUNTA(生物种群!$F:$F)),MATCH($I987,生物种群!$B$3:INDEX(生物种群!$B:$B,COUNTA(生物种群!$B:$B)),),))</f>
        <v/>
      </c>
      <c r="M987" s="37" t="str">
        <f t="shared" si="30"/>
        <v/>
      </c>
      <c r="N987" s="37" t="str">
        <f t="shared" si="31"/>
        <v/>
      </c>
      <c r="O987" s="9"/>
      <c r="P987" s="10"/>
    </row>
    <row r="988" spans="1:16" ht="20.1" customHeight="1">
      <c r="A988" s="9"/>
      <c r="B988" s="9"/>
      <c r="C988" s="9"/>
      <c r="D988" s="43"/>
      <c r="E988" s="9"/>
      <c r="F988" s="9"/>
      <c r="G988" s="47" t="str">
        <f>IF(F988="","",INDEX(站位样品信息!$B$3:INDEX(站位样品信息!$B:$B,COUNTA(站位样品信息!$B:$B)+1),MATCH($F988,站位样品信息!$A$3:INDEX(站位样品信息!$A:$A,COUNTA(站位样品信息!$A:$A)+1),),))</f>
        <v/>
      </c>
      <c r="H988" s="37" t="str">
        <f>IF(A988&amp;B988&amp;C988="","",INDEX(生物种群!$A$2:INDEX(生物种群!$A:$A,COUNTA(生物种群!$A:$A)),MATCH($I988,生物种群!$B$2:INDEX(生物种群!$B:$B,COUNTA(生物种群!$B:$B)),),))</f>
        <v/>
      </c>
      <c r="I988" s="37" t="str">
        <f>IF(A988&amp;B988&amp;C988="","",IF($C988&lt;&gt;0,INDEX(生物种群!$B$2:INDEX(生物种群!$B:$B,COUNTA(生物种群!$B:$B)),MATCH($C988,生物种群!$G$2:INDEX(生物种群!$G:$G,COUNTA(生物种群!$G:$G)),),),IF($A988&lt;&gt;0,INDEX(生物种群!$B$2:INDEX(生物种群!$B:$B,COUNTA(生物种群!$B:$B)),MATCH($A988,生物种群!$C$2:INDEX(生物种群!$C:$C,COUNTA(生物种群!$C:$C)),),),INDEX(生物种群!$B$2:INDEX(生物种群!$B:$B,COUNTA(生物种群!$B:$B)),MATCH($B988,生物种群!$D$2:INDEX(生物种群!$D:$D,COUNTA(生物种群!$D:$D)),),))))</f>
        <v/>
      </c>
      <c r="J988" s="37" t="str">
        <f>IF(A988&amp;B988&amp;C988="","",INDEX(生物种群!$J$2:INDEX(生物种群!$J:$J,COUNTA(生物种群!$J:$J)),MATCH($I988,生物种群!$B$2:INDEX(生物种群!$B:$B,COUNTA(生物种群!$B:$B)),),))</f>
        <v/>
      </c>
      <c r="K988" s="37" t="str">
        <f>IF(A988&amp;B988&amp;C988="","",INDEX(生物种群!$E$2:INDEX(生物种群!$E:$E,COUNTA(生物种群!$E:$E)),MATCH($I988,生物种群!$B$2:INDEX(生物种群!$B:$B,COUNTA(生物种群!$B:$B)),),))</f>
        <v/>
      </c>
      <c r="L988" s="37" t="str">
        <f>IF(A988&amp;B988&amp;C988="","",INDEX(生物种群!$F$3:INDEX(生物种群!$F:$F,COUNTA(生物种群!$F:$F)),MATCH($I988,生物种群!$B$3:INDEX(生物种群!$B:$B,COUNTA(生物种群!$B:$B)),),))</f>
        <v/>
      </c>
      <c r="M988" s="37" t="str">
        <f t="shared" si="30"/>
        <v/>
      </c>
      <c r="N988" s="37" t="str">
        <f t="shared" si="31"/>
        <v/>
      </c>
      <c r="O988" s="9"/>
      <c r="P988" s="10"/>
    </row>
    <row r="989" spans="1:16" ht="20.1" customHeight="1">
      <c r="A989" s="9"/>
      <c r="B989" s="9"/>
      <c r="C989" s="9"/>
      <c r="D989" s="43"/>
      <c r="E989" s="9"/>
      <c r="F989" s="9"/>
      <c r="G989" s="47" t="str">
        <f>IF(F989="","",INDEX(站位样品信息!$B$3:INDEX(站位样品信息!$B:$B,COUNTA(站位样品信息!$B:$B)+1),MATCH($F989,站位样品信息!$A$3:INDEX(站位样品信息!$A:$A,COUNTA(站位样品信息!$A:$A)+1),),))</f>
        <v/>
      </c>
      <c r="H989" s="37" t="str">
        <f>IF(A989&amp;B989&amp;C989="","",INDEX(生物种群!$A$2:INDEX(生物种群!$A:$A,COUNTA(生物种群!$A:$A)),MATCH($I989,生物种群!$B$2:INDEX(生物种群!$B:$B,COUNTA(生物种群!$B:$B)),),))</f>
        <v/>
      </c>
      <c r="I989" s="37" t="str">
        <f>IF(A989&amp;B989&amp;C989="","",IF($C989&lt;&gt;0,INDEX(生物种群!$B$2:INDEX(生物种群!$B:$B,COUNTA(生物种群!$B:$B)),MATCH($C989,生物种群!$G$2:INDEX(生物种群!$G:$G,COUNTA(生物种群!$G:$G)),),),IF($A989&lt;&gt;0,INDEX(生物种群!$B$2:INDEX(生物种群!$B:$B,COUNTA(生物种群!$B:$B)),MATCH($A989,生物种群!$C$2:INDEX(生物种群!$C:$C,COUNTA(生物种群!$C:$C)),),),INDEX(生物种群!$B$2:INDEX(生物种群!$B:$B,COUNTA(生物种群!$B:$B)),MATCH($B989,生物种群!$D$2:INDEX(生物种群!$D:$D,COUNTA(生物种群!$D:$D)),),))))</f>
        <v/>
      </c>
      <c r="J989" s="37" t="str">
        <f>IF(A989&amp;B989&amp;C989="","",INDEX(生物种群!$J$2:INDEX(生物种群!$J:$J,COUNTA(生物种群!$J:$J)),MATCH($I989,生物种群!$B$2:INDEX(生物种群!$B:$B,COUNTA(生物种群!$B:$B)),),))</f>
        <v/>
      </c>
      <c r="K989" s="37" t="str">
        <f>IF(A989&amp;B989&amp;C989="","",INDEX(生物种群!$E$2:INDEX(生物种群!$E:$E,COUNTA(生物种群!$E:$E)),MATCH($I989,生物种群!$B$2:INDEX(生物种群!$B:$B,COUNTA(生物种群!$B:$B)),),))</f>
        <v/>
      </c>
      <c r="L989" s="37" t="str">
        <f>IF(A989&amp;B989&amp;C989="","",INDEX(生物种群!$F$3:INDEX(生物种群!$F:$F,COUNTA(生物种群!$F:$F)),MATCH($I989,生物种群!$B$3:INDEX(生物种群!$B:$B,COUNTA(生物种群!$B:$B)),),))</f>
        <v/>
      </c>
      <c r="M989" s="37" t="str">
        <f t="shared" si="30"/>
        <v/>
      </c>
      <c r="N989" s="37" t="str">
        <f t="shared" si="31"/>
        <v/>
      </c>
      <c r="O989" s="9"/>
      <c r="P989" s="10"/>
    </row>
    <row r="990" spans="6:14" ht="20.1" customHeight="1">
      <c r="F990" s="9"/>
      <c r="G990" s="47" t="str">
        <f>IF(F990="","",INDEX(站位样品信息!$B$3:INDEX(站位样品信息!$B:$B,COUNTA(站位样品信息!$B:$B)+1),MATCH($F990,站位样品信息!$A$3:INDEX(站位样品信息!$A:$A,COUNTA(站位样品信息!$A:$A)+1),),))</f>
        <v/>
      </c>
      <c r="H990" s="37" t="str">
        <f>IF(A990&amp;B990&amp;C990="","",INDEX(生物种群!$A$2:INDEX(生物种群!$A:$A,COUNTA(生物种群!$A:$A)),MATCH($I990,生物种群!$B$2:INDEX(生物种群!$B:$B,COUNTA(生物种群!$B:$B)),),))</f>
        <v/>
      </c>
      <c r="I990" s="37" t="str">
        <f>IF(A990&amp;B990&amp;C990="","",IF($C990&lt;&gt;0,INDEX(生物种群!$B$2:INDEX(生物种群!$B:$B,COUNTA(生物种群!$B:$B)),MATCH($C990,生物种群!$G$2:INDEX(生物种群!$G:$G,COUNTA(生物种群!$G:$G)),),),IF($A990&lt;&gt;0,INDEX(生物种群!$B$2:INDEX(生物种群!$B:$B,COUNTA(生物种群!$B:$B)),MATCH($A990,生物种群!$C$2:INDEX(生物种群!$C:$C,COUNTA(生物种群!$C:$C)),),),INDEX(生物种群!$B$2:INDEX(生物种群!$B:$B,COUNTA(生物种群!$B:$B)),MATCH($B990,生物种群!$D$2:INDEX(生物种群!$D:$D,COUNTA(生物种群!$D:$D)),),))))</f>
        <v/>
      </c>
      <c r="J990" s="37" t="str">
        <f>IF(A990&amp;B990&amp;C990="","",INDEX(生物种群!$J$2:INDEX(生物种群!$J:$J,COUNTA(生物种群!$J:$J)),MATCH($I990,生物种群!$B$2:INDEX(生物种群!$B:$B,COUNTA(生物种群!$B:$B)),),))</f>
        <v/>
      </c>
      <c r="K990" s="37" t="str">
        <f>IF(A990&amp;B990&amp;C990="","",INDEX(生物种群!$E$2:INDEX(生物种群!$E:$E,COUNTA(生物种群!$E:$E)),MATCH($I990,生物种群!$B$2:INDEX(生物种群!$B:$B,COUNTA(生物种群!$B:$B)),),))</f>
        <v/>
      </c>
      <c r="L990" s="37" t="str">
        <f>IF(A990&amp;B990&amp;C990="","",INDEX(生物种群!$F$3:INDEX(生物种群!$F:$F,COUNTA(生物种群!$F:$F)),MATCH($I990,生物种群!$B$3:INDEX(生物种群!$B:$B,COUNTA(生物种群!$B:$B)),),))</f>
        <v/>
      </c>
      <c r="M990" s="37" t="str">
        <f t="shared" si="30"/>
        <v/>
      </c>
      <c r="N990" s="37" t="str">
        <f t="shared" si="31"/>
        <v/>
      </c>
    </row>
    <row r="991" spans="6:14" ht="20.1" customHeight="1">
      <c r="F991" s="9"/>
      <c r="G991" s="47" t="str">
        <f>IF(F991="","",INDEX(站位样品信息!$B$3:INDEX(站位样品信息!$B:$B,COUNTA(站位样品信息!$B:$B)+1),MATCH($F991,站位样品信息!$A$3:INDEX(站位样品信息!$A:$A,COUNTA(站位样品信息!$A:$A)+1),),))</f>
        <v/>
      </c>
      <c r="H991" s="37" t="str">
        <f>IF(A991&amp;B991&amp;C991="","",INDEX(生物种群!$A$2:INDEX(生物种群!$A:$A,COUNTA(生物种群!$A:$A)),MATCH($I991,生物种群!$B$2:INDEX(生物种群!$B:$B,COUNTA(生物种群!$B:$B)),),))</f>
        <v/>
      </c>
      <c r="I991" s="37" t="str">
        <f>IF(A991&amp;B991&amp;C991="","",IF($C991&lt;&gt;0,INDEX(生物种群!$B$2:INDEX(生物种群!$B:$B,COUNTA(生物种群!$B:$B)),MATCH($C991,生物种群!$G$2:INDEX(生物种群!$G:$G,COUNTA(生物种群!$G:$G)),),),IF($A991&lt;&gt;0,INDEX(生物种群!$B$2:INDEX(生物种群!$B:$B,COUNTA(生物种群!$B:$B)),MATCH($A991,生物种群!$C$2:INDEX(生物种群!$C:$C,COUNTA(生物种群!$C:$C)),),),INDEX(生物种群!$B$2:INDEX(生物种群!$B:$B,COUNTA(生物种群!$B:$B)),MATCH($B991,生物种群!$D$2:INDEX(生物种群!$D:$D,COUNTA(生物种群!$D:$D)),),))))</f>
        <v/>
      </c>
      <c r="J991" s="37" t="str">
        <f>IF(A991&amp;B991&amp;C991="","",INDEX(生物种群!$J$2:INDEX(生物种群!$J:$J,COUNTA(生物种群!$J:$J)),MATCH($I991,生物种群!$B$2:INDEX(生物种群!$B:$B,COUNTA(生物种群!$B:$B)),),))</f>
        <v/>
      </c>
      <c r="K991" s="37" t="str">
        <f>IF(A991&amp;B991&amp;C991="","",INDEX(生物种群!$E$2:INDEX(生物种群!$E:$E,COUNTA(生物种群!$E:$E)),MATCH($I991,生物种群!$B$2:INDEX(生物种群!$B:$B,COUNTA(生物种群!$B:$B)),),))</f>
        <v/>
      </c>
      <c r="L991" s="37" t="str">
        <f>IF(A991&amp;B991&amp;C991="","",INDEX(生物种群!$F$3:INDEX(生物种群!$F:$F,COUNTA(生物种群!$F:$F)),MATCH($I991,生物种群!$B$3:INDEX(生物种群!$B:$B,COUNTA(生物种群!$B:$B)),),))</f>
        <v/>
      </c>
      <c r="M991" s="37" t="str">
        <f t="shared" si="30"/>
        <v/>
      </c>
      <c r="N991" s="37" t="str">
        <f t="shared" si="31"/>
        <v/>
      </c>
    </row>
    <row r="992" spans="6:14" ht="20.1" customHeight="1">
      <c r="F992" s="9"/>
      <c r="G992" s="47" t="str">
        <f>IF(F992="","",INDEX(站位样品信息!$B$3:INDEX(站位样品信息!$B:$B,COUNTA(站位样品信息!$B:$B)+1),MATCH($F992,站位样品信息!$A$3:INDEX(站位样品信息!$A:$A,COUNTA(站位样品信息!$A:$A)+1),),))</f>
        <v/>
      </c>
      <c r="H992" s="37" t="str">
        <f>IF(A992&amp;B992&amp;C992="","",INDEX(生物种群!$A$2:INDEX(生物种群!$A:$A,COUNTA(生物种群!$A:$A)),MATCH($I992,生物种群!$B$2:INDEX(生物种群!$B:$B,COUNTA(生物种群!$B:$B)),),))</f>
        <v/>
      </c>
      <c r="I992" s="37" t="str">
        <f>IF(A992&amp;B992&amp;C992="","",IF($C992&lt;&gt;0,INDEX(生物种群!$B$2:INDEX(生物种群!$B:$B,COUNTA(生物种群!$B:$B)),MATCH($C992,生物种群!$G$2:INDEX(生物种群!$G:$G,COUNTA(生物种群!$G:$G)),),),IF($A992&lt;&gt;0,INDEX(生物种群!$B$2:INDEX(生物种群!$B:$B,COUNTA(生物种群!$B:$B)),MATCH($A992,生物种群!$C$2:INDEX(生物种群!$C:$C,COUNTA(生物种群!$C:$C)),),),INDEX(生物种群!$B$2:INDEX(生物种群!$B:$B,COUNTA(生物种群!$B:$B)),MATCH($B992,生物种群!$D$2:INDEX(生物种群!$D:$D,COUNTA(生物种群!$D:$D)),),))))</f>
        <v/>
      </c>
      <c r="J992" s="37" t="str">
        <f>IF(A992&amp;B992&amp;C992="","",INDEX(生物种群!$J$2:INDEX(生物种群!$J:$J,COUNTA(生物种群!$J:$J)),MATCH($I992,生物种群!$B$2:INDEX(生物种群!$B:$B,COUNTA(生物种群!$B:$B)),),))</f>
        <v/>
      </c>
      <c r="K992" s="37" t="str">
        <f>IF(A992&amp;B992&amp;C992="","",INDEX(生物种群!$E$2:INDEX(生物种群!$E:$E,COUNTA(生物种群!$E:$E)),MATCH($I992,生物种群!$B$2:INDEX(生物种群!$B:$B,COUNTA(生物种群!$B:$B)),),))</f>
        <v/>
      </c>
      <c r="L992" s="37" t="str">
        <f>IF(A992&amp;B992&amp;C992="","",INDEX(生物种群!$F$3:INDEX(生物种群!$F:$F,COUNTA(生物种群!$F:$F)),MATCH($I992,生物种群!$B$3:INDEX(生物种群!$B:$B,COUNTA(生物种群!$B:$B)),),))</f>
        <v/>
      </c>
      <c r="M992" s="37" t="str">
        <f t="shared" si="30"/>
        <v/>
      </c>
      <c r="N992" s="37" t="str">
        <f t="shared" si="31"/>
        <v/>
      </c>
    </row>
    <row r="993" spans="6:14" ht="20.1" customHeight="1">
      <c r="F993" s="9"/>
      <c r="G993" s="47" t="str">
        <f>IF(F993="","",INDEX(站位样品信息!$B$3:INDEX(站位样品信息!$B:$B,COUNTA(站位样品信息!$B:$B)+1),MATCH($F993,站位样品信息!$A$3:INDEX(站位样品信息!$A:$A,COUNTA(站位样品信息!$A:$A)+1),),))</f>
        <v/>
      </c>
      <c r="H993" s="37" t="str">
        <f>IF(A993&amp;B993&amp;C993="","",INDEX(生物种群!$A$2:INDEX(生物种群!$A:$A,COUNTA(生物种群!$A:$A)),MATCH($I993,生物种群!$B$2:INDEX(生物种群!$B:$B,COUNTA(生物种群!$B:$B)),),))</f>
        <v/>
      </c>
      <c r="I993" s="37" t="str">
        <f>IF(A993&amp;B993&amp;C993="","",IF($C993&lt;&gt;0,INDEX(生物种群!$B$2:INDEX(生物种群!$B:$B,COUNTA(生物种群!$B:$B)),MATCH($C993,生物种群!$G$2:INDEX(生物种群!$G:$G,COUNTA(生物种群!$G:$G)),),),IF($A993&lt;&gt;0,INDEX(生物种群!$B$2:INDEX(生物种群!$B:$B,COUNTA(生物种群!$B:$B)),MATCH($A993,生物种群!$C$2:INDEX(生物种群!$C:$C,COUNTA(生物种群!$C:$C)),),),INDEX(生物种群!$B$2:INDEX(生物种群!$B:$B,COUNTA(生物种群!$B:$B)),MATCH($B993,生物种群!$D$2:INDEX(生物种群!$D:$D,COUNTA(生物种群!$D:$D)),),))))</f>
        <v/>
      </c>
      <c r="J993" s="37" t="str">
        <f>IF(A993&amp;B993&amp;C993="","",INDEX(生物种群!$J$2:INDEX(生物种群!$J:$J,COUNTA(生物种群!$J:$J)),MATCH($I993,生物种群!$B$2:INDEX(生物种群!$B:$B,COUNTA(生物种群!$B:$B)),),))</f>
        <v/>
      </c>
      <c r="K993" s="37" t="str">
        <f>IF(A993&amp;B993&amp;C993="","",INDEX(生物种群!$E$2:INDEX(生物种群!$E:$E,COUNTA(生物种群!$E:$E)),MATCH($I993,生物种群!$B$2:INDEX(生物种群!$B:$B,COUNTA(生物种群!$B:$B)),),))</f>
        <v/>
      </c>
      <c r="L993" s="37" t="str">
        <f>IF(A993&amp;B993&amp;C993="","",INDEX(生物种群!$F$3:INDEX(生物种群!$F:$F,COUNTA(生物种群!$F:$F)),MATCH($I993,生物种群!$B$3:INDEX(生物种群!$B:$B,COUNTA(生物种群!$B:$B)),),))</f>
        <v/>
      </c>
      <c r="M993" s="37" t="str">
        <f t="shared" si="30"/>
        <v/>
      </c>
      <c r="N993" s="37" t="str">
        <f t="shared" si="31"/>
        <v/>
      </c>
    </row>
    <row r="994" spans="6:14" ht="20.1" customHeight="1">
      <c r="F994" s="9"/>
      <c r="G994" s="47" t="str">
        <f>IF(F994="","",INDEX(站位样品信息!$B$3:INDEX(站位样品信息!$B:$B,COUNTA(站位样品信息!$B:$B)+1),MATCH($F994,站位样品信息!$A$3:INDEX(站位样品信息!$A:$A,COUNTA(站位样品信息!$A:$A)+1),),))</f>
        <v/>
      </c>
      <c r="H994" s="37" t="str">
        <f>IF(A994&amp;B994&amp;C994="","",INDEX(生物种群!$A$2:INDEX(生物种群!$A:$A,COUNTA(生物种群!$A:$A)),MATCH($I994,生物种群!$B$2:INDEX(生物种群!$B:$B,COUNTA(生物种群!$B:$B)),),))</f>
        <v/>
      </c>
      <c r="I994" s="37" t="str">
        <f>IF(A994&amp;B994&amp;C994="","",IF($C994&lt;&gt;0,INDEX(生物种群!$B$2:INDEX(生物种群!$B:$B,COUNTA(生物种群!$B:$B)),MATCH($C994,生物种群!$G$2:INDEX(生物种群!$G:$G,COUNTA(生物种群!$G:$G)),),),IF($A994&lt;&gt;0,INDEX(生物种群!$B$2:INDEX(生物种群!$B:$B,COUNTA(生物种群!$B:$B)),MATCH($A994,生物种群!$C$2:INDEX(生物种群!$C:$C,COUNTA(生物种群!$C:$C)),),),INDEX(生物种群!$B$2:INDEX(生物种群!$B:$B,COUNTA(生物种群!$B:$B)),MATCH($B994,生物种群!$D$2:INDEX(生物种群!$D:$D,COUNTA(生物种群!$D:$D)),),))))</f>
        <v/>
      </c>
      <c r="J994" s="37" t="str">
        <f>IF(A994&amp;B994&amp;C994="","",INDEX(生物种群!$J$2:INDEX(生物种群!$J:$J,COUNTA(生物种群!$J:$J)),MATCH($I994,生物种群!$B$2:INDEX(生物种群!$B:$B,COUNTA(生物种群!$B:$B)),),))</f>
        <v/>
      </c>
      <c r="K994" s="37" t="str">
        <f>IF(A994&amp;B994&amp;C994="","",INDEX(生物种群!$E$2:INDEX(生物种群!$E:$E,COUNTA(生物种群!$E:$E)),MATCH($I994,生物种群!$B$2:INDEX(生物种群!$B:$B,COUNTA(生物种群!$B:$B)),),))</f>
        <v/>
      </c>
      <c r="L994" s="37" t="str">
        <f>IF(A994&amp;B994&amp;C994="","",INDEX(生物种群!$F$3:INDEX(生物种群!$F:$F,COUNTA(生物种群!$F:$F)),MATCH($I994,生物种群!$B$3:INDEX(生物种群!$B:$B,COUNTA(生物种群!$B:$B)),),))</f>
        <v/>
      </c>
      <c r="M994" s="37" t="str">
        <f t="shared" si="30"/>
        <v/>
      </c>
      <c r="N994" s="37" t="str">
        <f t="shared" si="31"/>
        <v/>
      </c>
    </row>
    <row r="995" spans="6:14" ht="20.1" customHeight="1">
      <c r="F995" s="9"/>
      <c r="G995" s="47" t="str">
        <f>IF(F995="","",INDEX(站位样品信息!$B$3:INDEX(站位样品信息!$B:$B,COUNTA(站位样品信息!$B:$B)+1),MATCH($F995,站位样品信息!$A$3:INDEX(站位样品信息!$A:$A,COUNTA(站位样品信息!$A:$A)+1),),))</f>
        <v/>
      </c>
      <c r="H995" s="37" t="str">
        <f>IF(A995&amp;B995&amp;C995="","",INDEX(生物种群!$A$2:INDEX(生物种群!$A:$A,COUNTA(生物种群!$A:$A)),MATCH($I995,生物种群!$B$2:INDEX(生物种群!$B:$B,COUNTA(生物种群!$B:$B)),),))</f>
        <v/>
      </c>
      <c r="I995" s="37" t="str">
        <f>IF(A995&amp;B995&amp;C995="","",IF($C995&lt;&gt;0,INDEX(生物种群!$B$2:INDEX(生物种群!$B:$B,COUNTA(生物种群!$B:$B)),MATCH($C995,生物种群!$G$2:INDEX(生物种群!$G:$G,COUNTA(生物种群!$G:$G)),),),IF($A995&lt;&gt;0,INDEX(生物种群!$B$2:INDEX(生物种群!$B:$B,COUNTA(生物种群!$B:$B)),MATCH($A995,生物种群!$C$2:INDEX(生物种群!$C:$C,COUNTA(生物种群!$C:$C)),),),INDEX(生物种群!$B$2:INDEX(生物种群!$B:$B,COUNTA(生物种群!$B:$B)),MATCH($B995,生物种群!$D$2:INDEX(生物种群!$D:$D,COUNTA(生物种群!$D:$D)),),))))</f>
        <v/>
      </c>
      <c r="J995" s="37" t="str">
        <f>IF(A995&amp;B995&amp;C995="","",INDEX(生物种群!$J$2:INDEX(生物种群!$J:$J,COUNTA(生物种群!$J:$J)),MATCH($I995,生物种群!$B$2:INDEX(生物种群!$B:$B,COUNTA(生物种群!$B:$B)),),))</f>
        <v/>
      </c>
      <c r="K995" s="37" t="str">
        <f>IF(A995&amp;B995&amp;C995="","",INDEX(生物种群!$E$2:INDEX(生物种群!$E:$E,COUNTA(生物种群!$E:$E)),MATCH($I995,生物种群!$B$2:INDEX(生物种群!$B:$B,COUNTA(生物种群!$B:$B)),),))</f>
        <v/>
      </c>
      <c r="L995" s="37" t="str">
        <f>IF(A995&amp;B995&amp;C995="","",INDEX(生物种群!$F$3:INDEX(生物种群!$F:$F,COUNTA(生物种群!$F:$F)),MATCH($I995,生物种群!$B$3:INDEX(生物种群!$B:$B,COUNTA(生物种群!$B:$B)),),))</f>
        <v/>
      </c>
      <c r="M995" s="37" t="str">
        <f t="shared" si="30"/>
        <v/>
      </c>
      <c r="N995" s="37" t="str">
        <f t="shared" si="31"/>
        <v/>
      </c>
    </row>
    <row r="996" spans="6:14" ht="20.1" customHeight="1">
      <c r="F996" s="9"/>
      <c r="G996" s="47" t="str">
        <f>IF(F996="","",INDEX(站位样品信息!$B$3:INDEX(站位样品信息!$B:$B,COUNTA(站位样品信息!$B:$B)+1),MATCH($F996,站位样品信息!$A$3:INDEX(站位样品信息!$A:$A,COUNTA(站位样品信息!$A:$A)+1),),))</f>
        <v/>
      </c>
      <c r="H996" s="37" t="str">
        <f>IF(A996&amp;B996&amp;C996="","",INDEX(生物种群!$A$2:INDEX(生物种群!$A:$A,COUNTA(生物种群!$A:$A)),MATCH($I996,生物种群!$B$2:INDEX(生物种群!$B:$B,COUNTA(生物种群!$B:$B)),),))</f>
        <v/>
      </c>
      <c r="I996" s="37" t="str">
        <f>IF(A996&amp;B996&amp;C996="","",IF($C996&lt;&gt;0,INDEX(生物种群!$B$2:INDEX(生物种群!$B:$B,COUNTA(生物种群!$B:$B)),MATCH($C996,生物种群!$G$2:INDEX(生物种群!$G:$G,COUNTA(生物种群!$G:$G)),),),IF($A996&lt;&gt;0,INDEX(生物种群!$B$2:INDEX(生物种群!$B:$B,COUNTA(生物种群!$B:$B)),MATCH($A996,生物种群!$C$2:INDEX(生物种群!$C:$C,COUNTA(生物种群!$C:$C)),),),INDEX(生物种群!$B$2:INDEX(生物种群!$B:$B,COUNTA(生物种群!$B:$B)),MATCH($B996,生物种群!$D$2:INDEX(生物种群!$D:$D,COUNTA(生物种群!$D:$D)),),))))</f>
        <v/>
      </c>
      <c r="J996" s="37" t="str">
        <f>IF(A996&amp;B996&amp;C996="","",INDEX(生物种群!$J$2:INDEX(生物种群!$J:$J,COUNTA(生物种群!$J:$J)),MATCH($I996,生物种群!$B$2:INDEX(生物种群!$B:$B,COUNTA(生物种群!$B:$B)),),))</f>
        <v/>
      </c>
      <c r="K996" s="37" t="str">
        <f>IF(A996&amp;B996&amp;C996="","",INDEX(生物种群!$E$2:INDEX(生物种群!$E:$E,COUNTA(生物种群!$E:$E)),MATCH($I996,生物种群!$B$2:INDEX(生物种群!$B:$B,COUNTA(生物种群!$B:$B)),),))</f>
        <v/>
      </c>
      <c r="L996" s="37" t="str">
        <f>IF(A996&amp;B996&amp;C996="","",INDEX(生物种群!$F$3:INDEX(生物种群!$F:$F,COUNTA(生物种群!$F:$F)),MATCH($I996,生物种群!$B$3:INDEX(生物种群!$B:$B,COUNTA(生物种群!$B:$B)),),))</f>
        <v/>
      </c>
      <c r="M996" s="37" t="str">
        <f t="shared" si="30"/>
        <v/>
      </c>
      <c r="N996" s="37" t="str">
        <f t="shared" si="31"/>
        <v/>
      </c>
    </row>
    <row r="997" spans="6:14" ht="20.1" customHeight="1">
      <c r="F997" s="9"/>
      <c r="G997" s="47" t="str">
        <f>IF(F997="","",INDEX(站位样品信息!$B$3:INDEX(站位样品信息!$B:$B,COUNTA(站位样品信息!$B:$B)+1),MATCH($F997,站位样品信息!$A$3:INDEX(站位样品信息!$A:$A,COUNTA(站位样品信息!$A:$A)+1),),))</f>
        <v/>
      </c>
      <c r="H997" s="37" t="str">
        <f>IF(A997&amp;B997&amp;C997="","",INDEX(生物种群!$A$2:INDEX(生物种群!$A:$A,COUNTA(生物种群!$A:$A)),MATCH($I997,生物种群!$B$2:INDEX(生物种群!$B:$B,COUNTA(生物种群!$B:$B)),),))</f>
        <v/>
      </c>
      <c r="I997" s="37" t="str">
        <f>IF(A997&amp;B997&amp;C997="","",IF($C997&lt;&gt;0,INDEX(生物种群!$B$2:INDEX(生物种群!$B:$B,COUNTA(生物种群!$B:$B)),MATCH($C997,生物种群!$G$2:INDEX(生物种群!$G:$G,COUNTA(生物种群!$G:$G)),),),IF($A997&lt;&gt;0,INDEX(生物种群!$B$2:INDEX(生物种群!$B:$B,COUNTA(生物种群!$B:$B)),MATCH($A997,生物种群!$C$2:INDEX(生物种群!$C:$C,COUNTA(生物种群!$C:$C)),),),INDEX(生物种群!$B$2:INDEX(生物种群!$B:$B,COUNTA(生物种群!$B:$B)),MATCH($B997,生物种群!$D$2:INDEX(生物种群!$D:$D,COUNTA(生物种群!$D:$D)),),))))</f>
        <v/>
      </c>
      <c r="J997" s="37" t="str">
        <f>IF(A997&amp;B997&amp;C997="","",INDEX(生物种群!$J$2:INDEX(生物种群!$J:$J,COUNTA(生物种群!$J:$J)),MATCH($I997,生物种群!$B$2:INDEX(生物种群!$B:$B,COUNTA(生物种群!$B:$B)),),))</f>
        <v/>
      </c>
      <c r="K997" s="37" t="str">
        <f>IF(A997&amp;B997&amp;C997="","",INDEX(生物种群!$E$2:INDEX(生物种群!$E:$E,COUNTA(生物种群!$E:$E)),MATCH($I997,生物种群!$B$2:INDEX(生物种群!$B:$B,COUNTA(生物种群!$B:$B)),),))</f>
        <v/>
      </c>
      <c r="L997" s="37" t="str">
        <f>IF(A997&amp;B997&amp;C997="","",INDEX(生物种群!$F$3:INDEX(生物种群!$F:$F,COUNTA(生物种群!$F:$F)),MATCH($I997,生物种群!$B$3:INDEX(生物种群!$B:$B,COUNTA(生物种群!$B:$B)),),))</f>
        <v/>
      </c>
      <c r="M997" s="37" t="str">
        <f t="shared" si="30"/>
        <v/>
      </c>
      <c r="N997" s="37" t="str">
        <f t="shared" si="31"/>
        <v/>
      </c>
    </row>
    <row r="998" spans="6:14" ht="20.1" customHeight="1">
      <c r="F998" s="9"/>
      <c r="G998" s="47" t="str">
        <f>IF(F998="","",INDEX(站位样品信息!$B$3:INDEX(站位样品信息!$B:$B,COUNTA(站位样品信息!$B:$B)+1),MATCH($F998,站位样品信息!$A$3:INDEX(站位样品信息!$A:$A,COUNTA(站位样品信息!$A:$A)+1),),))</f>
        <v/>
      </c>
      <c r="H998" s="37" t="str">
        <f>IF(A998&amp;B998&amp;C998="","",INDEX(生物种群!$A$2:INDEX(生物种群!$A:$A,COUNTA(生物种群!$A:$A)),MATCH($I998,生物种群!$B$2:INDEX(生物种群!$B:$B,COUNTA(生物种群!$B:$B)),),))</f>
        <v/>
      </c>
      <c r="I998" s="37" t="str">
        <f>IF(A998&amp;B998&amp;C998="","",IF($C998&lt;&gt;0,INDEX(生物种群!$B$2:INDEX(生物种群!$B:$B,COUNTA(生物种群!$B:$B)),MATCH($C998,生物种群!$G$2:INDEX(生物种群!$G:$G,COUNTA(生物种群!$G:$G)),),),IF($A998&lt;&gt;0,INDEX(生物种群!$B$2:INDEX(生物种群!$B:$B,COUNTA(生物种群!$B:$B)),MATCH($A998,生物种群!$C$2:INDEX(生物种群!$C:$C,COUNTA(生物种群!$C:$C)),),),INDEX(生物种群!$B$2:INDEX(生物种群!$B:$B,COUNTA(生物种群!$B:$B)),MATCH($B998,生物种群!$D$2:INDEX(生物种群!$D:$D,COUNTA(生物种群!$D:$D)),),))))</f>
        <v/>
      </c>
      <c r="J998" s="37" t="str">
        <f>IF(A998&amp;B998&amp;C998="","",INDEX(生物种群!$J$2:INDEX(生物种群!$J:$J,COUNTA(生物种群!$J:$J)),MATCH($I998,生物种群!$B$2:INDEX(生物种群!$B:$B,COUNTA(生物种群!$B:$B)),),))</f>
        <v/>
      </c>
      <c r="K998" s="37" t="str">
        <f>IF(A998&amp;B998&amp;C998="","",INDEX(生物种群!$E$2:INDEX(生物种群!$E:$E,COUNTA(生物种群!$E:$E)),MATCH($I998,生物种群!$B$2:INDEX(生物种群!$B:$B,COUNTA(生物种群!$B:$B)),),))</f>
        <v/>
      </c>
      <c r="L998" s="37" t="str">
        <f>IF(A998&amp;B998&amp;C998="","",INDEX(生物种群!$F$3:INDEX(生物种群!$F:$F,COUNTA(生物种群!$F:$F)),MATCH($I998,生物种群!$B$3:INDEX(生物种群!$B:$B,COUNTA(生物种群!$B:$B)),),))</f>
        <v/>
      </c>
      <c r="M998" s="37" t="str">
        <f t="shared" si="30"/>
        <v/>
      </c>
      <c r="N998" s="37" t="str">
        <f t="shared" si="31"/>
        <v/>
      </c>
    </row>
  </sheetData>
  <sheetProtection formatCells="0" formatColumns="0" formatRows="0" sort="0" autoFilter="0" pivotTables="0"/>
  <conditionalFormatting sqref="B3:B4 B6:B21 B68:B78 B23:B66">
    <cfRule type="expression" priority="32" dxfId="0" stopIfTrue="1">
      <formula>MOD(ROW(),5)=0</formula>
    </cfRule>
  </conditionalFormatting>
  <conditionalFormatting sqref="A5">
    <cfRule type="expression" priority="18" dxfId="0" stopIfTrue="1">
      <formula>MOD(ROW(),5)=0</formula>
    </cfRule>
  </conditionalFormatting>
  <conditionalFormatting sqref="B5">
    <cfRule type="expression" priority="19" dxfId="0" stopIfTrue="1">
      <formula>MOD(ROW(),5)=0</formula>
    </cfRule>
  </conditionalFormatting>
  <conditionalFormatting sqref="A7">
    <cfRule type="expression" priority="17" dxfId="0" stopIfTrue="1">
      <formula>MOD(ROW(),5)=0</formula>
    </cfRule>
  </conditionalFormatting>
  <conditionalFormatting sqref="A8">
    <cfRule type="expression" priority="16" dxfId="0" stopIfTrue="1">
      <formula>MOD(ROW(),5)=0</formula>
    </cfRule>
  </conditionalFormatting>
  <conditionalFormatting sqref="C8">
    <cfRule type="expression" priority="15" dxfId="0" stopIfTrue="1">
      <formula>MOD(ROW(),5)=0</formula>
    </cfRule>
  </conditionalFormatting>
  <conditionalFormatting sqref="A15">
    <cfRule type="expression" priority="14" dxfId="0" stopIfTrue="1">
      <formula>MOD(ROW(),5)=0</formula>
    </cfRule>
  </conditionalFormatting>
  <conditionalFormatting sqref="C15">
    <cfRule type="expression" priority="13" dxfId="0" stopIfTrue="1">
      <formula>MOD(ROW(),5)=0</formula>
    </cfRule>
  </conditionalFormatting>
  <conditionalFormatting sqref="A19">
    <cfRule type="expression" priority="12" dxfId="0" stopIfTrue="1">
      <formula>MOD(ROW(),5)=0</formula>
    </cfRule>
  </conditionalFormatting>
  <conditionalFormatting sqref="C22">
    <cfRule type="expression" priority="8" dxfId="0" stopIfTrue="1">
      <formula>MOD(ROW(),5)=0</formula>
    </cfRule>
  </conditionalFormatting>
  <conditionalFormatting sqref="B22">
    <cfRule type="expression" priority="10" dxfId="0" stopIfTrue="1">
      <formula>MOD(ROW(),5)=0</formula>
    </cfRule>
  </conditionalFormatting>
  <conditionalFormatting sqref="A22">
    <cfRule type="expression" priority="9" dxfId="0" stopIfTrue="1">
      <formula>MOD(ROW(),5)=0</formula>
    </cfRule>
  </conditionalFormatting>
  <conditionalFormatting sqref="A29">
    <cfRule type="expression" priority="7" dxfId="0" stopIfTrue="1">
      <formula>MOD(ROW(),5)=0</formula>
    </cfRule>
  </conditionalFormatting>
  <conditionalFormatting sqref="C54">
    <cfRule type="expression" priority="6" dxfId="0" stopIfTrue="1">
      <formula>MOD(ROW(),5)=0</formula>
    </cfRule>
  </conditionalFormatting>
  <conditionalFormatting sqref="B67">
    <cfRule type="expression" priority="5" dxfId="0" stopIfTrue="1">
      <formula>MOD(ROW(),5)=0</formula>
    </cfRule>
  </conditionalFormatting>
  <conditionalFormatting sqref="C67">
    <cfRule type="expression" priority="4" dxfId="0" stopIfTrue="1">
      <formula>MOD(ROW(),5)=0</formula>
    </cfRule>
  </conditionalFormatting>
  <conditionalFormatting sqref="B101">
    <cfRule type="expression" priority="3" dxfId="0" stopIfTrue="1">
      <formula>MOD(ROW(),5)=0</formula>
    </cfRule>
  </conditionalFormatting>
  <conditionalFormatting sqref="C101">
    <cfRule type="expression" priority="2" dxfId="0" stopIfTrue="1">
      <formula>MOD(ROW(),5)=0</formula>
    </cfRule>
  </conditionalFormatting>
  <conditionalFormatting sqref="A131">
    <cfRule type="expression" priority="1" dxfId="0" stopIfTrue="1">
      <formula>MOD(ROW(),5)=0</formula>
    </cfRule>
  </conditionalFormatting>
  <dataValidations count="3">
    <dataValidation type="list" allowBlank="1" showInputMessage="1" showErrorMessage="1" sqref="L1:N1 L999:N1048576">
      <formula1>"鱼卵,前期仔鱼,仔鱼,稚鱼,死卵"</formula1>
    </dataValidation>
    <dataValidation type="list" allowBlank="1" showInputMessage="1" showErrorMessage="1" sqref="E3:E218">
      <formula1>"鱼卵,前期仔鱼,仔鱼,稚鱼,幼鱼"</formula1>
    </dataValidation>
    <dataValidation type="list" allowBlank="1" showInputMessage="1" showErrorMessage="1" sqref="F3:F998">
      <formula1>OFFSET(站位样品信息!$A$3,,,SUMPRODUCT(N(LEN(站位样品信息!$A:$A)&gt;0)),)</formula1>
    </dataValidation>
  </dataValidations>
  <pageMargins left="0.7" right="0.7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999"/>
  <sheetViews>
    <sheetView workbookViewId="0" topLeftCell="A1">
      <pane ySplit="2" topLeftCell="A3" activePane="bottomLeft" state="frozen"/>
      <selection pane="topLeft" activeCell="A1" sqref="A1"/>
      <selection pane="bottomLeft" activeCell="V1" sqref="S1:V1048576"/>
    </sheetView>
  </sheetViews>
  <sheetFormatPr defaultRowHeight="19.9" customHeight="1"/>
  <cols>
    <col min="1" max="1" width="13.75" style="11" customWidth="1"/>
    <col min="2" max="2" width="15.125" style="11" customWidth="1"/>
    <col min="3" max="3" width="9.625" style="11" customWidth="1"/>
    <col min="4" max="4" width="9.75" style="11" customWidth="1"/>
    <col min="5" max="5" width="15.25" style="11" customWidth="1"/>
    <col min="6" max="6" width="15" style="11" customWidth="1"/>
    <col min="7" max="7" width="11.625" style="11" customWidth="1"/>
    <col min="8" max="8" width="12.75" style="11" customWidth="1"/>
    <col min="9" max="10" width="13.5" style="11" customWidth="1"/>
    <col min="11" max="11" width="15.875" style="11" customWidth="1"/>
    <col min="12" max="13" width="12.375" style="46" customWidth="1"/>
    <col min="14" max="15" width="12.375" style="38" customWidth="1"/>
    <col min="16" max="16" width="14.875" style="32" customWidth="1"/>
    <col min="17" max="17" width="4.125" hidden="1" customWidth="1"/>
    <col min="18" max="18" width="16" hidden="1" customWidth="1"/>
    <col min="19" max="19" width="6.25" hidden="1" customWidth="1"/>
    <col min="20" max="20" width="10.375" hidden="1" customWidth="1"/>
    <col min="21" max="21" width="12.125" hidden="1" customWidth="1"/>
    <col min="22" max="22" width="0" hidden="1" customWidth="1"/>
  </cols>
  <sheetData>
    <row r="1" spans="1:16" ht="38.45" customHeight="1">
      <c r="A1" s="54" t="s">
        <v>4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22" s="41" customFormat="1" ht="38.45" customHeight="1">
      <c r="A2" s="49" t="s">
        <v>14316</v>
      </c>
      <c r="B2" s="49" t="s">
        <v>14317</v>
      </c>
      <c r="C2" s="50" t="s">
        <v>14321</v>
      </c>
      <c r="D2" s="50" t="s">
        <v>14322</v>
      </c>
      <c r="E2" s="49" t="s">
        <v>14323</v>
      </c>
      <c r="F2" s="49" t="s">
        <v>14324</v>
      </c>
      <c r="G2" s="49" t="s">
        <v>14325</v>
      </c>
      <c r="H2" s="50" t="s">
        <v>14326</v>
      </c>
      <c r="I2" s="50" t="s">
        <v>14327</v>
      </c>
      <c r="J2" s="50" t="s">
        <v>14328</v>
      </c>
      <c r="K2" s="50" t="s">
        <v>14329</v>
      </c>
      <c r="L2" s="51" t="s">
        <v>14336</v>
      </c>
      <c r="M2" s="51" t="s">
        <v>14335</v>
      </c>
      <c r="N2" s="52" t="s">
        <v>14318</v>
      </c>
      <c r="O2" s="52" t="s">
        <v>14330</v>
      </c>
      <c r="P2" s="53" t="s">
        <v>14331</v>
      </c>
      <c r="Q2" s="40" t="s">
        <v>14332</v>
      </c>
      <c r="R2" s="40" t="s">
        <v>14319</v>
      </c>
      <c r="S2" s="40" t="s">
        <v>14320</v>
      </c>
      <c r="T2" s="40" t="s">
        <v>14333</v>
      </c>
      <c r="U2" s="40" t="s">
        <v>14334</v>
      </c>
      <c r="V2" s="40" t="s">
        <v>14341</v>
      </c>
    </row>
    <row r="3" spans="1:22" ht="19.9" customHeight="1">
      <c r="A3" s="10" t="s">
        <v>14347</v>
      </c>
      <c r="B3" s="10" t="s">
        <v>14350</v>
      </c>
      <c r="C3" s="66">
        <v>21</v>
      </c>
      <c r="D3" s="10" t="s">
        <v>16</v>
      </c>
      <c r="E3" s="65" t="s">
        <v>14351</v>
      </c>
      <c r="F3" s="65" t="s">
        <v>14348</v>
      </c>
      <c r="G3" s="10" t="s">
        <v>14349</v>
      </c>
      <c r="H3" s="10" t="s">
        <v>14345</v>
      </c>
      <c r="I3" s="9"/>
      <c r="J3" s="10" t="s">
        <v>14352</v>
      </c>
      <c r="K3" s="9"/>
      <c r="L3" s="45">
        <f>IF(OR(Q3&amp;R3="",A3&amp;B3=""),"",Q3+R3)</f>
        <v>600</v>
      </c>
      <c r="M3" s="45">
        <f>IF(OR(A3&amp;B3="",S3&amp;T3&amp;U3=""),"",S3+T3+U3)</f>
        <v>1735</v>
      </c>
      <c r="N3" s="39">
        <f>IF(AND(A3="",B3=""),"",COUNTIFS(数据!$E$3:$E$998,"&lt;&gt;前期仔鱼",数据!$E$3:$E$998,"&lt;&gt;仔鱼",数据!$E$3:$E$998,"&lt;&gt;稚鱼",数据!$F$3:$F$998,A3,数据!$G$3:$G$998,B3))</f>
        <v>2</v>
      </c>
      <c r="O3" s="39">
        <f>IF(AND(A3="",B3=""),"",COUNTIFS(数据!$E$3:$E$998,"&lt;&gt;鱼卵",数据!$E$3:$E$998,"&lt;&gt;死卵",数据!$F$3:$F$998,A3,数据!$G$3:$G$998,B3))</f>
        <v>6</v>
      </c>
      <c r="P3" s="31" t="s">
        <v>14346</v>
      </c>
      <c r="Q3">
        <f>SUMIFS(数据!$D$3:$D$998,数据!$E$3:$E$998,"鱼卵",数据!$F$3:$F$998,A3,数据!$G$3:$G$998,B3)</f>
        <v>600</v>
      </c>
      <c r="R3">
        <f>SUMIFS(数据!$D$3:$D$998,数据!$E$3:$E$998,"死卵",数据!$F$3:$F$998,A3,数据!$G$3:$G$998,B3)</f>
        <v>0</v>
      </c>
      <c r="S3">
        <f>SUMIFS(数据!$D$3:$D$998,数据!$E$3:$E$998,"前期仔鱼",数据!$F$3:$F$998,A3,数据!$G$3:$G$998,B3)</f>
        <v>0</v>
      </c>
      <c r="T3">
        <f>SUMIFS(数据!$D$3:$D$998,数据!$E$3:$E$998,"仔鱼",数据!$F$3:$F$998,A3,数据!$G$3:$G$998,B3)</f>
        <v>1734</v>
      </c>
      <c r="U3">
        <f>SUMIFS(数据!$D$3:$D$998,数据!$E$3:$E$998,"稚鱼",数据!$F$3:$F$998,A3,数据!$G$3:$G$998,B3)</f>
        <v>1</v>
      </c>
      <c r="V3" s="67" t="s">
        <v>16</v>
      </c>
    </row>
    <row r="4" spans="1:22" ht="19.9" customHeight="1">
      <c r="A4" s="10" t="s">
        <v>14353</v>
      </c>
      <c r="B4" s="10" t="s">
        <v>14354</v>
      </c>
      <c r="C4" s="66">
        <v>9.50</v>
      </c>
      <c r="D4" s="10" t="s">
        <v>16</v>
      </c>
      <c r="E4" s="65" t="s">
        <v>14351</v>
      </c>
      <c r="F4" s="65" t="s">
        <v>14348</v>
      </c>
      <c r="G4" s="10" t="s">
        <v>14349</v>
      </c>
      <c r="H4" s="10" t="s">
        <v>14345</v>
      </c>
      <c r="I4" s="9"/>
      <c r="J4" s="10" t="s">
        <v>14355</v>
      </c>
      <c r="K4" s="9"/>
      <c r="L4" s="45">
        <f t="shared" si="0" ref="L4:L67">IF(OR(Q4&amp;R4="",A4&amp;B4=""),"",Q4+R4)</f>
        <v>48</v>
      </c>
      <c r="M4" s="45">
        <f t="shared" si="1" ref="M4:M67">IF(OR(A4&amp;B4="",S4&amp;T4&amp;U4=""),"",S4+T4+U4)</f>
        <v>10480</v>
      </c>
      <c r="N4" s="39">
        <f>IF(AND(A4="",B4=""),"",COUNTIFS(数据!$E$3:$E$998,"&lt;&gt;前期仔鱼",数据!$E$3:$E$998,"&lt;&gt;仔鱼",数据!$E$3:$E$998,"&lt;&gt;稚鱼",数据!$F$3:$F$998,A4,数据!$G$3:$G$998,B4))</f>
        <v>1</v>
      </c>
      <c r="O4" s="39">
        <f>IF(AND(A4="",B4=""),"",COUNTIFS(数据!$E$3:$E$998,"&lt;&gt;鱼卵",数据!$E$3:$E$998,"&lt;&gt;死卵",数据!$F$3:$F$998,A4,数据!$G$3:$G$998,B4))</f>
        <v>2</v>
      </c>
      <c r="P4" s="31" t="s">
        <v>14346</v>
      </c>
      <c r="Q4">
        <f>SUMIFS(数据!$D$3:$D$998,数据!$E$3:$E$998,"鱼卵",数据!$F$3:$F$998,A4,数据!$G$3:$G$998,B4)</f>
        <v>48</v>
      </c>
      <c r="R4">
        <f>SUMIFS(数据!$D$3:$D$998,数据!$E$3:$E$998,"死卵",数据!$F$3:$F$998,A4,数据!$G$3:$G$998,B4)</f>
        <v>0</v>
      </c>
      <c r="S4">
        <f>SUMIFS(数据!$D$3:$D$998,数据!$E$3:$E$998,"前期仔鱼",数据!$F$3:$F$998,A4,数据!$G$3:$G$998,B4)</f>
        <v>0</v>
      </c>
      <c r="T4">
        <f>SUMIFS(数据!$D$3:$D$998,数据!$E$3:$E$998,"仔鱼",数据!$F$3:$F$998,A4,数据!$G$3:$G$998,B4)</f>
        <v>10480</v>
      </c>
      <c r="U4">
        <f>SUMIFS(数据!$D$3:$D$998,数据!$E$3:$E$998,"稚鱼",数据!$F$3:$F$998,A4,数据!$G$3:$G$998,B4)</f>
        <v>0</v>
      </c>
      <c r="V4" s="67" t="s">
        <v>16</v>
      </c>
    </row>
    <row r="5" spans="1:22" ht="19.9" customHeight="1">
      <c r="A5" s="10" t="s">
        <v>14356</v>
      </c>
      <c r="B5" s="10" t="s">
        <v>14357</v>
      </c>
      <c r="C5" s="66">
        <v>7</v>
      </c>
      <c r="D5" s="10" t="s">
        <v>16</v>
      </c>
      <c r="E5" s="65" t="s">
        <v>14351</v>
      </c>
      <c r="F5" s="65" t="s">
        <v>14348</v>
      </c>
      <c r="G5" s="10" t="s">
        <v>14349</v>
      </c>
      <c r="H5" s="10" t="s">
        <v>14345</v>
      </c>
      <c r="I5" s="9"/>
      <c r="J5" s="10" t="s">
        <v>14358</v>
      </c>
      <c r="K5" s="9"/>
      <c r="L5" s="45">
        <f t="shared" si="0"/>
        <v>10</v>
      </c>
      <c r="M5" s="45">
        <f t="shared" si="1"/>
        <v>510</v>
      </c>
      <c r="N5" s="39">
        <f>IF(AND(A5="",B5=""),"",COUNTIFS(数据!$E$3:$E$998,"&lt;&gt;前期仔鱼",数据!$E$3:$E$998,"&lt;&gt;仔鱼",数据!$E$3:$E$998,"&lt;&gt;稚鱼",数据!$F$3:$F$998,A5,数据!$G$3:$G$998,B5))</f>
        <v>1</v>
      </c>
      <c r="O5" s="39">
        <f>IF(AND(A5="",B5=""),"",COUNTIFS(数据!$E$3:$E$998,"&lt;&gt;鱼卵",数据!$E$3:$E$998,"&lt;&gt;死卵",数据!$F$3:$F$998,A5,数据!$G$3:$G$998,B5))</f>
        <v>1</v>
      </c>
      <c r="P5" s="31" t="s">
        <v>14346</v>
      </c>
      <c r="Q5">
        <f>SUMIFS(数据!$D$3:$D$998,数据!$E$3:$E$998,"鱼卵",数据!$F$3:$F$998,A5,数据!$G$3:$G$998,B5)</f>
        <v>10</v>
      </c>
      <c r="R5">
        <f>SUMIFS(数据!$D$3:$D$998,数据!$E$3:$E$998,"死卵",数据!$F$3:$F$998,A5,数据!$G$3:$G$998,B5)</f>
        <v>0</v>
      </c>
      <c r="S5">
        <f>SUMIFS(数据!$D$3:$D$998,数据!$E$3:$E$998,"前期仔鱼",数据!$F$3:$F$998,A5,数据!$G$3:$G$998,B5)</f>
        <v>0</v>
      </c>
      <c r="T5">
        <f>SUMIFS(数据!$D$3:$D$998,数据!$E$3:$E$998,"仔鱼",数据!$F$3:$F$998,A5,数据!$G$3:$G$998,B5)</f>
        <v>510</v>
      </c>
      <c r="U5">
        <f>SUMIFS(数据!$D$3:$D$998,数据!$E$3:$E$998,"稚鱼",数据!$F$3:$F$998,A5,数据!$G$3:$G$998,B5)</f>
        <v>0</v>
      </c>
      <c r="V5" s="67" t="s">
        <v>16</v>
      </c>
    </row>
    <row r="6" spans="1:22" ht="19.9" customHeight="1">
      <c r="A6" s="10" t="s">
        <v>14359</v>
      </c>
      <c r="B6" s="10" t="s">
        <v>14360</v>
      </c>
      <c r="C6" s="66">
        <v>18</v>
      </c>
      <c r="D6" s="10" t="s">
        <v>16</v>
      </c>
      <c r="E6" s="10" t="s">
        <v>14351</v>
      </c>
      <c r="F6" s="10" t="s">
        <v>14348</v>
      </c>
      <c r="G6" s="10" t="s">
        <v>14349</v>
      </c>
      <c r="H6" s="10" t="s">
        <v>14345</v>
      </c>
      <c r="I6" s="9"/>
      <c r="J6" s="10" t="s">
        <v>14361</v>
      </c>
      <c r="K6" s="9"/>
      <c r="L6" s="45">
        <f t="shared" si="0"/>
        <v>6</v>
      </c>
      <c r="M6" s="45">
        <f t="shared" si="1"/>
        <v>361</v>
      </c>
      <c r="N6" s="39">
        <f>IF(AND(A6="",B6=""),"",COUNTIFS(数据!$E$3:$E$998,"&lt;&gt;前期仔鱼",数据!$E$3:$E$998,"&lt;&gt;仔鱼",数据!$E$3:$E$998,"&lt;&gt;稚鱼",数据!$F$3:$F$998,A6,数据!$G$3:$G$998,B6))</f>
        <v>1</v>
      </c>
      <c r="O6" s="39">
        <f>IF(AND(A6="",B6=""),"",COUNTIFS(数据!$E$3:$E$998,"&lt;&gt;鱼卵",数据!$E$3:$E$998,"&lt;&gt;死卵",数据!$F$3:$F$998,A6,数据!$G$3:$G$998,B6))</f>
        <v>8</v>
      </c>
      <c r="P6" s="31" t="s">
        <v>14346</v>
      </c>
      <c r="Q6">
        <f>SUMIFS(数据!$D$3:$D$998,数据!$E$3:$E$998,"鱼卵",数据!$F$3:$F$998,A6,数据!$G$3:$G$998,B6)</f>
        <v>6</v>
      </c>
      <c r="R6">
        <f>SUMIFS(数据!$D$3:$D$998,数据!$E$3:$E$998,"死卵",数据!$F$3:$F$998,A6,数据!$G$3:$G$998,B6)</f>
        <v>0</v>
      </c>
      <c r="S6">
        <f>SUMIFS(数据!$D$3:$D$998,数据!$E$3:$E$998,"前期仔鱼",数据!$F$3:$F$998,A6,数据!$G$3:$G$998,B6)</f>
        <v>0</v>
      </c>
      <c r="T6">
        <f>SUMIFS(数据!$D$3:$D$998,数据!$E$3:$E$998,"仔鱼",数据!$F$3:$F$998,A6,数据!$G$3:$G$998,B6)</f>
        <v>361</v>
      </c>
      <c r="U6">
        <f>SUMIFS(数据!$D$3:$D$998,数据!$E$3:$E$998,"稚鱼",数据!$F$3:$F$998,A6,数据!$G$3:$G$998,B6)</f>
        <v>0</v>
      </c>
      <c r="V6" s="67" t="s">
        <v>16</v>
      </c>
    </row>
    <row r="7" spans="1:22" ht="19.9" customHeight="1">
      <c r="A7" s="10" t="s">
        <v>14362</v>
      </c>
      <c r="B7" s="10" t="s">
        <v>14363</v>
      </c>
      <c r="C7" s="66">
        <v>14.80</v>
      </c>
      <c r="D7" s="10" t="s">
        <v>16</v>
      </c>
      <c r="E7" s="10" t="s">
        <v>14351</v>
      </c>
      <c r="F7" s="10" t="s">
        <v>14348</v>
      </c>
      <c r="G7" s="10" t="s">
        <v>14349</v>
      </c>
      <c r="H7" s="10" t="s">
        <v>14345</v>
      </c>
      <c r="I7" s="9"/>
      <c r="J7" s="10" t="s">
        <v>14364</v>
      </c>
      <c r="K7" s="9"/>
      <c r="L7" s="45">
        <f t="shared" si="0"/>
        <v>0</v>
      </c>
      <c r="M7" s="45">
        <f t="shared" si="1"/>
        <v>248</v>
      </c>
      <c r="N7" s="39">
        <f>IF(AND(A7="",B7=""),"",COUNTIFS(数据!$E$3:$E$998,"&lt;&gt;前期仔鱼",数据!$E$3:$E$998,"&lt;&gt;仔鱼",数据!$E$3:$E$998,"&lt;&gt;稚鱼",数据!$F$3:$F$998,A7,数据!$G$3:$G$998,B7))</f>
        <v>0</v>
      </c>
      <c r="O7" s="39">
        <f>IF(AND(A7="",B7=""),"",COUNTIFS(数据!$E$3:$E$998,"&lt;&gt;鱼卵",数据!$E$3:$E$998,"&lt;&gt;死卵",数据!$F$3:$F$998,A7,数据!$G$3:$G$998,B7))</f>
        <v>7</v>
      </c>
      <c r="P7" s="31" t="s">
        <v>14346</v>
      </c>
      <c r="Q7">
        <f>SUMIFS(数据!$D$3:$D$998,数据!$E$3:$E$998,"鱼卵",数据!$F$3:$F$998,A7,数据!$G$3:$G$998,B7)</f>
        <v>0</v>
      </c>
      <c r="R7">
        <f>SUMIFS(数据!$D$3:$D$998,数据!$E$3:$E$998,"死卵",数据!$F$3:$F$998,A7,数据!$G$3:$G$998,B7)</f>
        <v>0</v>
      </c>
      <c r="S7">
        <f>SUMIFS(数据!$D$3:$D$998,数据!$E$3:$E$998,"前期仔鱼",数据!$F$3:$F$998,A7,数据!$G$3:$G$998,B7)</f>
        <v>8</v>
      </c>
      <c r="T7">
        <f>SUMIFS(数据!$D$3:$D$998,数据!$E$3:$E$998,"仔鱼",数据!$F$3:$F$998,A7,数据!$G$3:$G$998,B7)</f>
        <v>240</v>
      </c>
      <c r="U7">
        <f>SUMIFS(数据!$D$3:$D$998,数据!$E$3:$E$998,"稚鱼",数据!$F$3:$F$998,A7,数据!$G$3:$G$998,B7)</f>
        <v>0</v>
      </c>
      <c r="V7" s="67" t="s">
        <v>16</v>
      </c>
    </row>
    <row r="8" spans="1:22" ht="19.9" customHeight="1">
      <c r="A8" s="10" t="s">
        <v>14366</v>
      </c>
      <c r="B8" s="65" t="s">
        <v>14367</v>
      </c>
      <c r="C8" s="66">
        <v>8</v>
      </c>
      <c r="D8" s="10" t="s">
        <v>16</v>
      </c>
      <c r="E8" s="10" t="s">
        <v>14351</v>
      </c>
      <c r="F8" s="10" t="s">
        <v>14348</v>
      </c>
      <c r="G8" s="10" t="s">
        <v>14349</v>
      </c>
      <c r="H8" s="65" t="s">
        <v>14365</v>
      </c>
      <c r="I8" s="9"/>
      <c r="J8" s="10" t="s">
        <v>14368</v>
      </c>
      <c r="K8" s="9"/>
      <c r="L8" s="45">
        <f t="shared" si="0"/>
        <v>5</v>
      </c>
      <c r="M8" s="45">
        <f t="shared" si="1"/>
        <v>97</v>
      </c>
      <c r="N8" s="39">
        <f>IF(AND(A8="",B8=""),"",COUNTIFS(数据!$E$3:$E$998,"&lt;&gt;前期仔鱼",数据!$E$3:$E$998,"&lt;&gt;仔鱼",数据!$E$3:$E$998,"&lt;&gt;稚鱼",数据!$F$3:$F$998,A8,数据!$G$3:$G$998,B8))</f>
        <v>1</v>
      </c>
      <c r="O8" s="39">
        <f>IF(AND(A8="",B8=""),"",COUNTIFS(数据!$E$3:$E$998,"&lt;&gt;鱼卵",数据!$E$3:$E$998,"&lt;&gt;死卵",数据!$F$3:$F$998,A8,数据!$G$3:$G$998,B8))</f>
        <v>6</v>
      </c>
      <c r="P8" s="31" t="s">
        <v>14346</v>
      </c>
      <c r="Q8">
        <f>SUMIFS(数据!$D$3:$D$998,数据!$E$3:$E$998,"鱼卵",数据!$F$3:$F$998,A8,数据!$G$3:$G$998,B8)</f>
        <v>5</v>
      </c>
      <c r="R8">
        <f>SUMIFS(数据!$D$3:$D$998,数据!$E$3:$E$998,"死卵",数据!$F$3:$F$998,A8,数据!$G$3:$G$998,B8)</f>
        <v>0</v>
      </c>
      <c r="S8">
        <f>SUMIFS(数据!$D$3:$D$998,数据!$E$3:$E$998,"前期仔鱼",数据!$F$3:$F$998,A8,数据!$G$3:$G$998,B8)</f>
        <v>0</v>
      </c>
      <c r="T8">
        <f>SUMIFS(数据!$D$3:$D$998,数据!$E$3:$E$998,"仔鱼",数据!$F$3:$F$998,A8,数据!$G$3:$G$998,B8)</f>
        <v>94</v>
      </c>
      <c r="U8">
        <f>SUMIFS(数据!$D$3:$D$998,数据!$E$3:$E$998,"稚鱼",数据!$F$3:$F$998,A8,数据!$G$3:$G$998,B8)</f>
        <v>3</v>
      </c>
      <c r="V8" s="67" t="s">
        <v>16</v>
      </c>
    </row>
    <row r="9" spans="1:22" ht="19.9" customHeight="1">
      <c r="A9" s="10" t="s">
        <v>14369</v>
      </c>
      <c r="B9" s="10" t="s">
        <v>14370</v>
      </c>
      <c r="C9" s="66">
        <v>25</v>
      </c>
      <c r="D9" s="10" t="s">
        <v>16</v>
      </c>
      <c r="E9" s="10" t="s">
        <v>14351</v>
      </c>
      <c r="F9" s="10" t="s">
        <v>14348</v>
      </c>
      <c r="G9" s="10" t="s">
        <v>14349</v>
      </c>
      <c r="H9" s="10" t="s">
        <v>14365</v>
      </c>
      <c r="I9" s="9"/>
      <c r="J9" s="10" t="s">
        <v>14371</v>
      </c>
      <c r="K9" s="9"/>
      <c r="L9" s="45">
        <f t="shared" si="0"/>
        <v>3</v>
      </c>
      <c r="M9" s="45">
        <f t="shared" si="1"/>
        <v>23</v>
      </c>
      <c r="N9" s="39">
        <f>IF(AND(A9="",B9=""),"",COUNTIFS(数据!$E$3:$E$998,"&lt;&gt;前期仔鱼",数据!$E$3:$E$998,"&lt;&gt;仔鱼",数据!$E$3:$E$998,"&lt;&gt;稚鱼",数据!$F$3:$F$998,A9,数据!$G$3:$G$998,B9))</f>
        <v>2</v>
      </c>
      <c r="O9" s="39">
        <f>IF(AND(A9="",B9=""),"",COUNTIFS(数据!$E$3:$E$998,"&lt;&gt;鱼卵",数据!$E$3:$E$998,"&lt;&gt;死卵",数据!$F$3:$F$998,A9,数据!$G$3:$G$998,B9))</f>
        <v>8</v>
      </c>
      <c r="P9" s="31" t="s">
        <v>14346</v>
      </c>
      <c r="Q9">
        <f>SUMIFS(数据!$D$3:$D$998,数据!$E$3:$E$998,"鱼卵",数据!$F$3:$F$998,A9,数据!$G$3:$G$998,B9)</f>
        <v>3</v>
      </c>
      <c r="R9">
        <f>SUMIFS(数据!$D$3:$D$998,数据!$E$3:$E$998,"死卵",数据!$F$3:$F$998,A9,数据!$G$3:$G$998,B9)</f>
        <v>0</v>
      </c>
      <c r="S9">
        <f>SUMIFS(数据!$D$3:$D$998,数据!$E$3:$E$998,"前期仔鱼",数据!$F$3:$F$998,A9,数据!$G$3:$G$998,B9)</f>
        <v>0</v>
      </c>
      <c r="T9">
        <f>SUMIFS(数据!$D$3:$D$998,数据!$E$3:$E$998,"仔鱼",数据!$F$3:$F$998,A9,数据!$G$3:$G$998,B9)</f>
        <v>22</v>
      </c>
      <c r="U9">
        <f>SUMIFS(数据!$D$3:$D$998,数据!$E$3:$E$998,"稚鱼",数据!$F$3:$F$998,A9,数据!$G$3:$G$998,B9)</f>
        <v>1</v>
      </c>
      <c r="V9" s="67" t="s">
        <v>16</v>
      </c>
    </row>
    <row r="10" spans="1:22" ht="19.9" customHeight="1">
      <c r="A10" s="10" t="s">
        <v>14372</v>
      </c>
      <c r="B10" s="10" t="s">
        <v>14373</v>
      </c>
      <c r="C10" s="66">
        <v>14.80</v>
      </c>
      <c r="D10" s="10" t="s">
        <v>16</v>
      </c>
      <c r="E10" s="10" t="s">
        <v>14351</v>
      </c>
      <c r="F10" s="10" t="s">
        <v>14348</v>
      </c>
      <c r="G10" s="10" t="s">
        <v>14349</v>
      </c>
      <c r="H10" s="10" t="s">
        <v>14365</v>
      </c>
      <c r="I10" s="9"/>
      <c r="J10" s="10" t="s">
        <v>14374</v>
      </c>
      <c r="K10" s="9"/>
      <c r="L10" s="45">
        <f t="shared" si="0"/>
        <v>155</v>
      </c>
      <c r="M10" s="45">
        <f t="shared" si="1"/>
        <v>30</v>
      </c>
      <c r="N10" s="39">
        <f>IF(AND(A10="",B10=""),"",COUNTIFS(数据!$E$3:$E$998,"&lt;&gt;前期仔鱼",数据!$E$3:$E$998,"&lt;&gt;仔鱼",数据!$E$3:$E$998,"&lt;&gt;稚鱼",数据!$F$3:$F$998,A10,数据!$G$3:$G$998,B10))</f>
        <v>6</v>
      </c>
      <c r="O10" s="39">
        <f>IF(AND(A10="",B10=""),"",COUNTIFS(数据!$E$3:$E$998,"&lt;&gt;鱼卵",数据!$E$3:$E$998,"&lt;&gt;死卵",数据!$F$3:$F$998,A10,数据!$G$3:$G$998,B10))</f>
        <v>5</v>
      </c>
      <c r="P10" s="31" t="s">
        <v>14346</v>
      </c>
      <c r="Q10">
        <f>SUMIFS(数据!$D$3:$D$998,数据!$E$3:$E$998,"鱼卵",数据!$F$3:$F$998,A10,数据!$G$3:$G$998,B10)</f>
        <v>155</v>
      </c>
      <c r="R10">
        <f>SUMIFS(数据!$D$3:$D$998,数据!$E$3:$E$998,"死卵",数据!$F$3:$F$998,A10,数据!$G$3:$G$998,B10)</f>
        <v>0</v>
      </c>
      <c r="S10">
        <f>SUMIFS(数据!$D$3:$D$998,数据!$E$3:$E$998,"前期仔鱼",数据!$F$3:$F$998,A10,数据!$G$3:$G$998,B10)</f>
        <v>0</v>
      </c>
      <c r="T10">
        <f>SUMIFS(数据!$D$3:$D$998,数据!$E$3:$E$998,"仔鱼",数据!$F$3:$F$998,A10,数据!$G$3:$G$998,B10)</f>
        <v>30</v>
      </c>
      <c r="U10">
        <f>SUMIFS(数据!$D$3:$D$998,数据!$E$3:$E$998,"稚鱼",数据!$F$3:$F$998,A10,数据!$G$3:$G$998,B10)</f>
        <v>0</v>
      </c>
      <c r="V10" s="67" t="s">
        <v>16</v>
      </c>
    </row>
    <row r="11" spans="1:22" ht="19.9" customHeight="1">
      <c r="A11" s="10" t="s">
        <v>14375</v>
      </c>
      <c r="B11" s="10" t="s">
        <v>14376</v>
      </c>
      <c r="C11" s="66">
        <v>8</v>
      </c>
      <c r="D11" s="10" t="s">
        <v>16</v>
      </c>
      <c r="E11" s="10" t="s">
        <v>14351</v>
      </c>
      <c r="F11" s="10" t="s">
        <v>14348</v>
      </c>
      <c r="G11" s="10" t="s">
        <v>14349</v>
      </c>
      <c r="H11" s="10" t="s">
        <v>14365</v>
      </c>
      <c r="I11" s="9"/>
      <c r="J11" s="10" t="s">
        <v>14377</v>
      </c>
      <c r="K11" s="9"/>
      <c r="L11" s="45">
        <f t="shared" si="0"/>
        <v>5</v>
      </c>
      <c r="M11" s="45">
        <f t="shared" si="1"/>
        <v>2</v>
      </c>
      <c r="N11" s="39">
        <f>IF(AND(A11="",B11=""),"",COUNTIFS(数据!$E$3:$E$998,"&lt;&gt;前期仔鱼",数据!$E$3:$E$998,"&lt;&gt;仔鱼",数据!$E$3:$E$998,"&lt;&gt;稚鱼",数据!$F$3:$F$998,A11,数据!$G$3:$G$998,B11))</f>
        <v>1</v>
      </c>
      <c r="O11" s="39">
        <f>IF(AND(A11="",B11=""),"",COUNTIFS(数据!$E$3:$E$998,"&lt;&gt;鱼卵",数据!$E$3:$E$998,"&lt;&gt;死卵",数据!$F$3:$F$998,A11,数据!$G$3:$G$998,B11))</f>
        <v>1</v>
      </c>
      <c r="P11" s="31" t="s">
        <v>14346</v>
      </c>
      <c r="Q11">
        <f>SUMIFS(数据!$D$3:$D$998,数据!$E$3:$E$998,"鱼卵",数据!$F$3:$F$998,A11,数据!$G$3:$G$998,B11)</f>
        <v>5</v>
      </c>
      <c r="R11">
        <f>SUMIFS(数据!$D$3:$D$998,数据!$E$3:$E$998,"死卵",数据!$F$3:$F$998,A11,数据!$G$3:$G$998,B11)</f>
        <v>0</v>
      </c>
      <c r="S11">
        <f>SUMIFS(数据!$D$3:$D$998,数据!$E$3:$E$998,"前期仔鱼",数据!$F$3:$F$998,A11,数据!$G$3:$G$998,B11)</f>
        <v>0</v>
      </c>
      <c r="T11">
        <f>SUMIFS(数据!$D$3:$D$998,数据!$E$3:$E$998,"仔鱼",数据!$F$3:$F$998,A11,数据!$G$3:$G$998,B11)</f>
        <v>2</v>
      </c>
      <c r="U11">
        <f>SUMIFS(数据!$D$3:$D$998,数据!$E$3:$E$998,"稚鱼",数据!$F$3:$F$998,A11,数据!$G$3:$G$998,B11)</f>
        <v>0</v>
      </c>
      <c r="V11" s="67" t="s">
        <v>16</v>
      </c>
    </row>
    <row r="12" spans="1:22" ht="19.9" customHeight="1">
      <c r="A12" s="10" t="s">
        <v>14378</v>
      </c>
      <c r="B12" s="10" t="s">
        <v>14379</v>
      </c>
      <c r="C12" s="66">
        <v>7</v>
      </c>
      <c r="D12" s="10" t="s">
        <v>16</v>
      </c>
      <c r="E12" s="10" t="s">
        <v>14351</v>
      </c>
      <c r="F12" s="10" t="s">
        <v>14348</v>
      </c>
      <c r="G12" s="10" t="s">
        <v>14349</v>
      </c>
      <c r="H12" s="10" t="s">
        <v>14365</v>
      </c>
      <c r="I12" s="9"/>
      <c r="J12" s="10" t="s">
        <v>14380</v>
      </c>
      <c r="K12" s="9"/>
      <c r="L12" s="45">
        <f t="shared" si="0"/>
        <v>55</v>
      </c>
      <c r="M12" s="45">
        <f t="shared" si="1"/>
        <v>6</v>
      </c>
      <c r="N12" s="39">
        <f>IF(AND(A12="",B12=""),"",COUNTIFS(数据!$E$3:$E$998,"&lt;&gt;前期仔鱼",数据!$E$3:$E$998,"&lt;&gt;仔鱼",数据!$E$3:$E$998,"&lt;&gt;稚鱼",数据!$F$3:$F$998,A12,数据!$G$3:$G$998,B12))</f>
        <v>3</v>
      </c>
      <c r="O12" s="39">
        <f>IF(AND(A12="",B12=""),"",COUNTIFS(数据!$E$3:$E$998,"&lt;&gt;鱼卵",数据!$E$3:$E$998,"&lt;&gt;死卵",数据!$F$3:$F$998,A12,数据!$G$3:$G$998,B12))</f>
        <v>3</v>
      </c>
      <c r="P12" s="31" t="s">
        <v>14346</v>
      </c>
      <c r="Q12">
        <f>SUMIFS(数据!$D$3:$D$998,数据!$E$3:$E$998,"鱼卵",数据!$F$3:$F$998,A12,数据!$G$3:$G$998,B12)</f>
        <v>55</v>
      </c>
      <c r="R12">
        <f>SUMIFS(数据!$D$3:$D$998,数据!$E$3:$E$998,"死卵",数据!$F$3:$F$998,A12,数据!$G$3:$G$998,B12)</f>
        <v>0</v>
      </c>
      <c r="S12">
        <f>SUMIFS(数据!$D$3:$D$998,数据!$E$3:$E$998,"前期仔鱼",数据!$F$3:$F$998,A12,数据!$G$3:$G$998,B12)</f>
        <v>0</v>
      </c>
      <c r="T12">
        <f>SUMIFS(数据!$D$3:$D$998,数据!$E$3:$E$998,"仔鱼",数据!$F$3:$F$998,A12,数据!$G$3:$G$998,B12)</f>
        <v>3</v>
      </c>
      <c r="U12">
        <f>SUMIFS(数据!$D$3:$D$998,数据!$E$3:$E$998,"稚鱼",数据!$F$3:$F$998,A12,数据!$G$3:$G$998,B12)</f>
        <v>3</v>
      </c>
      <c r="V12" s="67" t="s">
        <v>16</v>
      </c>
    </row>
    <row r="13" spans="1:22" ht="19.9" customHeight="1">
      <c r="A13" s="10" t="s">
        <v>14382</v>
      </c>
      <c r="B13" s="10" t="s">
        <v>14383</v>
      </c>
      <c r="C13" s="66">
        <v>30</v>
      </c>
      <c r="D13" s="10" t="s">
        <v>16</v>
      </c>
      <c r="E13" s="10" t="s">
        <v>14351</v>
      </c>
      <c r="F13" s="10" t="s">
        <v>14348</v>
      </c>
      <c r="G13" s="10" t="s">
        <v>14349</v>
      </c>
      <c r="H13" s="10" t="s">
        <v>14381</v>
      </c>
      <c r="I13" s="9"/>
      <c r="J13" s="10" t="s">
        <v>14384</v>
      </c>
      <c r="K13" s="9"/>
      <c r="L13" s="45">
        <f t="shared" si="0"/>
        <v>23781</v>
      </c>
      <c r="M13" s="45">
        <f t="shared" si="1"/>
        <v>0</v>
      </c>
      <c r="N13" s="39">
        <f>IF(AND(A13="",B13=""),"",COUNTIFS(数据!$E$3:$E$998,"&lt;&gt;前期仔鱼",数据!$E$3:$E$998,"&lt;&gt;仔鱼",数据!$E$3:$E$998,"&lt;&gt;稚鱼",数据!$F$3:$F$998,A13,数据!$G$3:$G$998,B13))</f>
        <v>4</v>
      </c>
      <c r="O13" s="39">
        <f>IF(AND(A13="",B13=""),"",COUNTIFS(数据!$E$3:$E$998,"&lt;&gt;鱼卵",数据!$E$3:$E$998,"&lt;&gt;死卵",数据!$F$3:$F$998,A13,数据!$G$3:$G$998,B13))</f>
        <v>0</v>
      </c>
      <c r="P13" s="31" t="s">
        <v>14346</v>
      </c>
      <c r="Q13">
        <f>SUMIFS(数据!$D$3:$D$998,数据!$E$3:$E$998,"鱼卵",数据!$F$3:$F$998,A13,数据!$G$3:$G$998,B13)</f>
        <v>23781</v>
      </c>
      <c r="R13">
        <f>SUMIFS(数据!$D$3:$D$998,数据!$E$3:$E$998,"死卵",数据!$F$3:$F$998,A13,数据!$G$3:$G$998,B13)</f>
        <v>0</v>
      </c>
      <c r="S13">
        <f>SUMIFS(数据!$D$3:$D$998,数据!$E$3:$E$998,"前期仔鱼",数据!$F$3:$F$998,A13,数据!$G$3:$G$998,B13)</f>
        <v>0</v>
      </c>
      <c r="T13">
        <f>SUMIFS(数据!$D$3:$D$998,数据!$E$3:$E$998,"仔鱼",数据!$F$3:$F$998,A13,数据!$G$3:$G$998,B13)</f>
        <v>0</v>
      </c>
      <c r="U13">
        <f>SUMIFS(数据!$D$3:$D$998,数据!$E$3:$E$998,"稚鱼",数据!$F$3:$F$998,A13,数据!$G$3:$G$998,B13)</f>
        <v>0</v>
      </c>
      <c r="V13" s="67" t="s">
        <v>16</v>
      </c>
    </row>
    <row r="14" spans="1:22" ht="19.9" customHeight="1">
      <c r="A14" s="10" t="s">
        <v>14386</v>
      </c>
      <c r="B14" s="10" t="s">
        <v>14387</v>
      </c>
      <c r="C14" s="66">
        <v>22</v>
      </c>
      <c r="D14" s="10" t="s">
        <v>16</v>
      </c>
      <c r="E14" s="10" t="s">
        <v>14351</v>
      </c>
      <c r="F14" s="10" t="s">
        <v>14348</v>
      </c>
      <c r="G14" s="10" t="s">
        <v>14349</v>
      </c>
      <c r="H14" s="10" t="s">
        <v>14385</v>
      </c>
      <c r="I14" s="9"/>
      <c r="J14" s="10" t="s">
        <v>14388</v>
      </c>
      <c r="K14" s="9"/>
      <c r="L14" s="45">
        <f t="shared" si="0"/>
        <v>14</v>
      </c>
      <c r="M14" s="45">
        <f t="shared" si="1"/>
        <v>2</v>
      </c>
      <c r="N14" s="39">
        <f>IF(AND(A14="",B14=""),"",COUNTIFS(数据!$E$3:$E$998,"&lt;&gt;前期仔鱼",数据!$E$3:$E$998,"&lt;&gt;仔鱼",数据!$E$3:$E$998,"&lt;&gt;稚鱼",数据!$F$3:$F$998,A14,数据!$G$3:$G$998,B14))</f>
        <v>5</v>
      </c>
      <c r="O14" s="39">
        <f>IF(AND(A14="",B14=""),"",COUNTIFS(数据!$E$3:$E$998,"&lt;&gt;鱼卵",数据!$E$3:$E$998,"&lt;&gt;死卵",数据!$F$3:$F$998,A14,数据!$G$3:$G$998,B14))</f>
        <v>2</v>
      </c>
      <c r="P14" s="31" t="s">
        <v>14346</v>
      </c>
      <c r="Q14">
        <f>SUMIFS(数据!$D$3:$D$998,数据!$E$3:$E$998,"鱼卵",数据!$F$3:$F$998,A14,数据!$G$3:$G$998,B14)</f>
        <v>14</v>
      </c>
      <c r="R14">
        <f>SUMIFS(数据!$D$3:$D$998,数据!$E$3:$E$998,"死卵",数据!$F$3:$F$998,A14,数据!$G$3:$G$998,B14)</f>
        <v>0</v>
      </c>
      <c r="S14">
        <f>SUMIFS(数据!$D$3:$D$998,数据!$E$3:$E$998,"前期仔鱼",数据!$F$3:$F$998,A14,数据!$G$3:$G$998,B14)</f>
        <v>2</v>
      </c>
      <c r="T14">
        <f>SUMIFS(数据!$D$3:$D$998,数据!$E$3:$E$998,"仔鱼",数据!$F$3:$F$998,A14,数据!$G$3:$G$998,B14)</f>
        <v>0</v>
      </c>
      <c r="U14">
        <f>SUMIFS(数据!$D$3:$D$998,数据!$E$3:$E$998,"稚鱼",数据!$F$3:$F$998,A14,数据!$G$3:$G$998,B14)</f>
        <v>0</v>
      </c>
      <c r="V14" s="67" t="s">
        <v>16</v>
      </c>
    </row>
    <row r="15" spans="1:22" ht="19.9" customHeight="1">
      <c r="A15" s="10" t="s">
        <v>14389</v>
      </c>
      <c r="B15" s="10" t="s">
        <v>14390</v>
      </c>
      <c r="C15" s="66">
        <v>11</v>
      </c>
      <c r="D15" s="10" t="s">
        <v>16</v>
      </c>
      <c r="E15" s="10" t="s">
        <v>14351</v>
      </c>
      <c r="F15" s="10" t="s">
        <v>14348</v>
      </c>
      <c r="G15" s="10" t="s">
        <v>14349</v>
      </c>
      <c r="H15" s="10" t="s">
        <v>14385</v>
      </c>
      <c r="I15" s="9"/>
      <c r="J15" s="10" t="s">
        <v>14391</v>
      </c>
      <c r="K15" s="9"/>
      <c r="L15" s="45">
        <f t="shared" si="0"/>
        <v>1</v>
      </c>
      <c r="M15" s="45">
        <f t="shared" si="1"/>
        <v>0</v>
      </c>
      <c r="N15" s="39">
        <f>IF(AND(A15="",B15=""),"",COUNTIFS(数据!$E$3:$E$998,"&lt;&gt;前期仔鱼",数据!$E$3:$E$998,"&lt;&gt;仔鱼",数据!$E$3:$E$998,"&lt;&gt;稚鱼",数据!$F$3:$F$998,A15,数据!$G$3:$G$998,B15))</f>
        <v>1</v>
      </c>
      <c r="O15" s="39">
        <f>IF(AND(A15="",B15=""),"",COUNTIFS(数据!$E$3:$E$998,"&lt;&gt;鱼卵",数据!$E$3:$E$998,"&lt;&gt;死卵",数据!$F$3:$F$998,A15,数据!$G$3:$G$998,B15))</f>
        <v>0</v>
      </c>
      <c r="P15" s="31" t="s">
        <v>14346</v>
      </c>
      <c r="Q15">
        <f>SUMIFS(数据!$D$3:$D$998,数据!$E$3:$E$998,"鱼卵",数据!$F$3:$F$998,A15,数据!$G$3:$G$998,B15)</f>
        <v>1</v>
      </c>
      <c r="R15">
        <f>SUMIFS(数据!$D$3:$D$998,数据!$E$3:$E$998,"死卵",数据!$F$3:$F$998,A15,数据!$G$3:$G$998,B15)</f>
        <v>0</v>
      </c>
      <c r="S15">
        <f>SUMIFS(数据!$D$3:$D$998,数据!$E$3:$E$998,"前期仔鱼",数据!$F$3:$F$998,A15,数据!$G$3:$G$998,B15)</f>
        <v>0</v>
      </c>
      <c r="T15">
        <f>SUMIFS(数据!$D$3:$D$998,数据!$E$3:$E$998,"仔鱼",数据!$F$3:$F$998,A15,数据!$G$3:$G$998,B15)</f>
        <v>0</v>
      </c>
      <c r="U15">
        <f>SUMIFS(数据!$D$3:$D$998,数据!$E$3:$E$998,"稚鱼",数据!$F$3:$F$998,A15,数据!$G$3:$G$998,B15)</f>
        <v>0</v>
      </c>
      <c r="V15" s="67" t="s">
        <v>16</v>
      </c>
    </row>
    <row r="16" spans="1:22" ht="19.9" customHeight="1">
      <c r="A16" s="10" t="s">
        <v>14393</v>
      </c>
      <c r="B16" s="10" t="s">
        <v>14394</v>
      </c>
      <c r="C16" s="66">
        <v>8.50</v>
      </c>
      <c r="D16" s="10" t="s">
        <v>16</v>
      </c>
      <c r="E16" s="10" t="s">
        <v>14351</v>
      </c>
      <c r="F16" s="10" t="s">
        <v>14348</v>
      </c>
      <c r="G16" s="10" t="s">
        <v>14349</v>
      </c>
      <c r="H16" s="10" t="s">
        <v>14392</v>
      </c>
      <c r="I16" s="9"/>
      <c r="J16" s="10" t="s">
        <v>14395</v>
      </c>
      <c r="K16" s="9"/>
      <c r="L16" s="45">
        <f t="shared" si="0"/>
        <v>51</v>
      </c>
      <c r="M16" s="45">
        <f t="shared" si="1"/>
        <v>18</v>
      </c>
      <c r="N16" s="39">
        <f>IF(AND(A16="",B16=""),"",COUNTIFS(数据!$E$3:$E$998,"&lt;&gt;前期仔鱼",数据!$E$3:$E$998,"&lt;&gt;仔鱼",数据!$E$3:$E$998,"&lt;&gt;稚鱼",数据!$F$3:$F$998,A16,数据!$G$3:$G$998,B16))</f>
        <v>4</v>
      </c>
      <c r="O16" s="39">
        <f>IF(AND(A16="",B16=""),"",COUNTIFS(数据!$E$3:$E$998,"&lt;&gt;鱼卵",数据!$E$3:$E$998,"&lt;&gt;死卵",数据!$F$3:$F$998,A16,数据!$G$3:$G$998,B16))</f>
        <v>6</v>
      </c>
      <c r="P16" s="31" t="s">
        <v>14346</v>
      </c>
      <c r="Q16">
        <f>SUMIFS(数据!$D$3:$D$998,数据!$E$3:$E$998,"鱼卵",数据!$F$3:$F$998,A16,数据!$G$3:$G$998,B16)</f>
        <v>51</v>
      </c>
      <c r="R16">
        <f>SUMIFS(数据!$D$3:$D$998,数据!$E$3:$E$998,"死卵",数据!$F$3:$F$998,A16,数据!$G$3:$G$998,B16)</f>
        <v>0</v>
      </c>
      <c r="S16">
        <f>SUMIFS(数据!$D$3:$D$998,数据!$E$3:$E$998,"前期仔鱼",数据!$F$3:$F$998,A16,数据!$G$3:$G$998,B16)</f>
        <v>0</v>
      </c>
      <c r="T16">
        <f>SUMIFS(数据!$D$3:$D$998,数据!$E$3:$E$998,"仔鱼",数据!$F$3:$F$998,A16,数据!$G$3:$G$998,B16)</f>
        <v>18</v>
      </c>
      <c r="U16">
        <f>SUMIFS(数据!$D$3:$D$998,数据!$E$3:$E$998,"稚鱼",数据!$F$3:$F$998,A16,数据!$G$3:$G$998,B16)</f>
        <v>0</v>
      </c>
      <c r="V16" s="67" t="s">
        <v>16</v>
      </c>
    </row>
    <row r="17" spans="1:22" ht="19.9" customHeight="1">
      <c r="A17" s="10" t="s">
        <v>14396</v>
      </c>
      <c r="B17" s="10" t="s">
        <v>14397</v>
      </c>
      <c r="C17" s="66">
        <v>8</v>
      </c>
      <c r="D17" s="10" t="s">
        <v>16</v>
      </c>
      <c r="E17" s="10" t="s">
        <v>14351</v>
      </c>
      <c r="F17" s="10" t="s">
        <v>14348</v>
      </c>
      <c r="G17" s="10" t="s">
        <v>14349</v>
      </c>
      <c r="H17" s="10" t="s">
        <v>14392</v>
      </c>
      <c r="I17" s="9"/>
      <c r="J17" s="10" t="s">
        <v>14398</v>
      </c>
      <c r="K17" s="9"/>
      <c r="L17" s="45">
        <f t="shared" si="0"/>
        <v>0</v>
      </c>
      <c r="M17" s="45">
        <f t="shared" si="1"/>
        <v>56</v>
      </c>
      <c r="N17" s="39">
        <f>IF(AND(A17="",B17=""),"",COUNTIFS(数据!$E$3:$E$998,"&lt;&gt;前期仔鱼",数据!$E$3:$E$998,"&lt;&gt;仔鱼",数据!$E$3:$E$998,"&lt;&gt;稚鱼",数据!$F$3:$F$998,A17,数据!$G$3:$G$998,B17))</f>
        <v>0</v>
      </c>
      <c r="O17" s="39">
        <f>IF(AND(A17="",B17=""),"",COUNTIFS(数据!$E$3:$E$998,"&lt;&gt;鱼卵",数据!$E$3:$E$998,"&lt;&gt;死卵",数据!$F$3:$F$998,A17,数据!$G$3:$G$998,B17))</f>
        <v>5</v>
      </c>
      <c r="P17" s="31" t="s">
        <v>14346</v>
      </c>
      <c r="Q17">
        <f>SUMIFS(数据!$D$3:$D$998,数据!$E$3:$E$998,"鱼卵",数据!$F$3:$F$998,A17,数据!$G$3:$G$998,B17)</f>
        <v>0</v>
      </c>
      <c r="R17">
        <f>SUMIFS(数据!$D$3:$D$998,数据!$E$3:$E$998,"死卵",数据!$F$3:$F$998,A17,数据!$G$3:$G$998,B17)</f>
        <v>0</v>
      </c>
      <c r="S17">
        <f>SUMIFS(数据!$D$3:$D$998,数据!$E$3:$E$998,"前期仔鱼",数据!$F$3:$F$998,A17,数据!$G$3:$G$998,B17)</f>
        <v>0</v>
      </c>
      <c r="T17">
        <f>SUMIFS(数据!$D$3:$D$998,数据!$E$3:$E$998,"仔鱼",数据!$F$3:$F$998,A17,数据!$G$3:$G$998,B17)</f>
        <v>56</v>
      </c>
      <c r="U17">
        <f>SUMIFS(数据!$D$3:$D$998,数据!$E$3:$E$998,"稚鱼",数据!$F$3:$F$998,A17,数据!$G$3:$G$998,B17)</f>
        <v>0</v>
      </c>
      <c r="V17" s="67" t="s">
        <v>16</v>
      </c>
    </row>
    <row r="18" spans="1:22" ht="19.9" customHeight="1">
      <c r="A18" s="10" t="s">
        <v>14399</v>
      </c>
      <c r="B18" s="10" t="s">
        <v>14400</v>
      </c>
      <c r="C18" s="66">
        <v>9</v>
      </c>
      <c r="D18" s="10" t="s">
        <v>16</v>
      </c>
      <c r="E18" s="10" t="s">
        <v>14351</v>
      </c>
      <c r="F18" s="10" t="s">
        <v>14348</v>
      </c>
      <c r="G18" s="10" t="s">
        <v>14349</v>
      </c>
      <c r="H18" s="10" t="s">
        <v>14392</v>
      </c>
      <c r="I18" s="9"/>
      <c r="J18" s="10" t="s">
        <v>14401</v>
      </c>
      <c r="K18" s="9"/>
      <c r="L18" s="45">
        <f t="shared" si="0"/>
        <v>2</v>
      </c>
      <c r="M18" s="45">
        <f t="shared" si="1"/>
        <v>72</v>
      </c>
      <c r="N18" s="39">
        <f>IF(AND(A18="",B18=""),"",COUNTIFS(数据!$E$3:$E$998,"&lt;&gt;前期仔鱼",数据!$E$3:$E$998,"&lt;&gt;仔鱼",数据!$E$3:$E$998,"&lt;&gt;稚鱼",数据!$F$3:$F$998,A18,数据!$G$3:$G$998,B18))</f>
        <v>1</v>
      </c>
      <c r="O18" s="39">
        <f>IF(AND(A18="",B18=""),"",COUNTIFS(数据!$E$3:$E$998,"&lt;&gt;鱼卵",数据!$E$3:$E$998,"&lt;&gt;死卵",数据!$F$3:$F$998,A18,数据!$G$3:$G$998,B18))</f>
        <v>4</v>
      </c>
      <c r="P18" s="31" t="s">
        <v>14346</v>
      </c>
      <c r="Q18">
        <f>SUMIFS(数据!$D$3:$D$998,数据!$E$3:$E$998,"鱼卵",数据!$F$3:$F$998,A18,数据!$G$3:$G$998,B18)</f>
        <v>2</v>
      </c>
      <c r="R18">
        <f>SUMIFS(数据!$D$3:$D$998,数据!$E$3:$E$998,"死卵",数据!$F$3:$F$998,A18,数据!$G$3:$G$998,B18)</f>
        <v>0</v>
      </c>
      <c r="S18">
        <f>SUMIFS(数据!$D$3:$D$998,数据!$E$3:$E$998,"前期仔鱼",数据!$F$3:$F$998,A18,数据!$G$3:$G$998,B18)</f>
        <v>0</v>
      </c>
      <c r="T18">
        <f>SUMIFS(数据!$D$3:$D$998,数据!$E$3:$E$998,"仔鱼",数据!$F$3:$F$998,A18,数据!$G$3:$G$998,B18)</f>
        <v>72</v>
      </c>
      <c r="U18">
        <f>SUMIFS(数据!$D$3:$D$998,数据!$E$3:$E$998,"稚鱼",数据!$F$3:$F$998,A18,数据!$G$3:$G$998,B18)</f>
        <v>0</v>
      </c>
      <c r="V18" s="67" t="s">
        <v>16</v>
      </c>
    </row>
    <row r="19" spans="1:22" ht="19.9" customHeight="1">
      <c r="A19" s="10" t="s">
        <v>14403</v>
      </c>
      <c r="B19" s="10" t="s">
        <v>14404</v>
      </c>
      <c r="C19" s="66">
        <v>8.50</v>
      </c>
      <c r="D19" s="10" t="s">
        <v>16</v>
      </c>
      <c r="E19" s="10" t="s">
        <v>14351</v>
      </c>
      <c r="F19" s="10" t="s">
        <v>14348</v>
      </c>
      <c r="G19" s="10" t="s">
        <v>14349</v>
      </c>
      <c r="H19" s="10" t="s">
        <v>14402</v>
      </c>
      <c r="I19" s="9"/>
      <c r="J19" s="10" t="s">
        <v>14405</v>
      </c>
      <c r="K19" s="9"/>
      <c r="L19" s="45">
        <f t="shared" si="0"/>
        <v>2</v>
      </c>
      <c r="M19" s="45">
        <f t="shared" si="1"/>
        <v>88</v>
      </c>
      <c r="N19" s="39">
        <f>IF(AND(A19="",B19=""),"",COUNTIFS(数据!$E$3:$E$998,"&lt;&gt;前期仔鱼",数据!$E$3:$E$998,"&lt;&gt;仔鱼",数据!$E$3:$E$998,"&lt;&gt;稚鱼",数据!$F$3:$F$998,A19,数据!$G$3:$G$998,B19))</f>
        <v>1</v>
      </c>
      <c r="O19" s="39">
        <f>IF(AND(A19="",B19=""),"",COUNTIFS(数据!$E$3:$E$998,"&lt;&gt;鱼卵",数据!$E$3:$E$998,"&lt;&gt;死卵",数据!$F$3:$F$998,A19,数据!$G$3:$G$998,B19))</f>
        <v>5</v>
      </c>
      <c r="P19" s="31" t="s">
        <v>14346</v>
      </c>
      <c r="Q19">
        <f>SUMIFS(数据!$D$3:$D$998,数据!$E$3:$E$998,"鱼卵",数据!$F$3:$F$998,A19,数据!$G$3:$G$998,B19)</f>
        <v>2</v>
      </c>
      <c r="R19">
        <f>SUMIFS(数据!$D$3:$D$998,数据!$E$3:$E$998,"死卵",数据!$F$3:$F$998,A19,数据!$G$3:$G$998,B19)</f>
        <v>0</v>
      </c>
      <c r="S19">
        <f>SUMIFS(数据!$D$3:$D$998,数据!$E$3:$E$998,"前期仔鱼",数据!$F$3:$F$998,A19,数据!$G$3:$G$998,B19)</f>
        <v>0</v>
      </c>
      <c r="T19">
        <f>SUMIFS(数据!$D$3:$D$998,数据!$E$3:$E$998,"仔鱼",数据!$F$3:$F$998,A19,数据!$G$3:$G$998,B19)</f>
        <v>88</v>
      </c>
      <c r="U19">
        <f>SUMIFS(数据!$D$3:$D$998,数据!$E$3:$E$998,"稚鱼",数据!$F$3:$F$998,A19,数据!$G$3:$G$998,B19)</f>
        <v>0</v>
      </c>
      <c r="V19" s="67" t="s">
        <v>16</v>
      </c>
    </row>
    <row r="20" spans="1:22" ht="19.9" customHeight="1">
      <c r="A20" s="10" t="s">
        <v>14406</v>
      </c>
      <c r="B20" s="10" t="s">
        <v>14407</v>
      </c>
      <c r="C20" s="66">
        <v>4.50</v>
      </c>
      <c r="D20" s="10" t="s">
        <v>16</v>
      </c>
      <c r="E20" s="10" t="s">
        <v>14351</v>
      </c>
      <c r="F20" s="10" t="s">
        <v>14348</v>
      </c>
      <c r="G20" s="10" t="s">
        <v>14349</v>
      </c>
      <c r="H20" s="10" t="s">
        <v>14402</v>
      </c>
      <c r="I20" s="9"/>
      <c r="J20" s="10" t="s">
        <v>14408</v>
      </c>
      <c r="K20" s="9"/>
      <c r="L20" s="45">
        <f t="shared" si="0"/>
        <v>0</v>
      </c>
      <c r="M20" s="45">
        <f t="shared" si="1"/>
        <v>172</v>
      </c>
      <c r="N20" s="39">
        <f>IF(AND(A20="",B20=""),"",COUNTIFS(数据!$E$3:$E$998,"&lt;&gt;前期仔鱼",数据!$E$3:$E$998,"&lt;&gt;仔鱼",数据!$E$3:$E$998,"&lt;&gt;稚鱼",数据!$F$3:$F$998,A20,数据!$G$3:$G$998,B20))</f>
        <v>0</v>
      </c>
      <c r="O20" s="39">
        <f>IF(AND(A20="",B20=""),"",COUNTIFS(数据!$E$3:$E$998,"&lt;&gt;鱼卵",数据!$E$3:$E$998,"&lt;&gt;死卵",数据!$F$3:$F$998,A20,数据!$G$3:$G$998,B20))</f>
        <v>5</v>
      </c>
      <c r="P20" s="31" t="s">
        <v>14346</v>
      </c>
      <c r="Q20">
        <f>SUMIFS(数据!$D$3:$D$998,数据!$E$3:$E$998,"鱼卵",数据!$F$3:$F$998,A20,数据!$G$3:$G$998,B20)</f>
        <v>0</v>
      </c>
      <c r="R20">
        <f>SUMIFS(数据!$D$3:$D$998,数据!$E$3:$E$998,"死卵",数据!$F$3:$F$998,A20,数据!$G$3:$G$998,B20)</f>
        <v>0</v>
      </c>
      <c r="S20">
        <f>SUMIFS(数据!$D$3:$D$998,数据!$E$3:$E$998,"前期仔鱼",数据!$F$3:$F$998,A20,数据!$G$3:$G$998,B20)</f>
        <v>0</v>
      </c>
      <c r="T20">
        <f>SUMIFS(数据!$D$3:$D$998,数据!$E$3:$E$998,"仔鱼",数据!$F$3:$F$998,A20,数据!$G$3:$G$998,B20)</f>
        <v>172</v>
      </c>
      <c r="U20">
        <f>SUMIFS(数据!$D$3:$D$998,数据!$E$3:$E$998,"稚鱼",数据!$F$3:$F$998,A20,数据!$G$3:$G$998,B20)</f>
        <v>0</v>
      </c>
      <c r="V20" s="67" t="s">
        <v>16</v>
      </c>
    </row>
    <row r="21" spans="1:22" ht="19.9" customHeight="1">
      <c r="A21" s="10" t="s">
        <v>14409</v>
      </c>
      <c r="B21" s="10" t="s">
        <v>14410</v>
      </c>
      <c r="C21" s="66">
        <v>7</v>
      </c>
      <c r="D21" s="10" t="s">
        <v>16</v>
      </c>
      <c r="E21" s="10" t="s">
        <v>14351</v>
      </c>
      <c r="F21" s="10" t="s">
        <v>14348</v>
      </c>
      <c r="G21" s="10" t="s">
        <v>14349</v>
      </c>
      <c r="H21" s="10" t="s">
        <v>14402</v>
      </c>
      <c r="I21" s="9"/>
      <c r="J21" s="10" t="s">
        <v>14411</v>
      </c>
      <c r="K21" s="9"/>
      <c r="L21" s="45">
        <f t="shared" si="0"/>
        <v>0</v>
      </c>
      <c r="M21" s="45">
        <f t="shared" si="1"/>
        <v>148</v>
      </c>
      <c r="N21" s="39">
        <f>IF(AND(A21="",B21=""),"",COUNTIFS(数据!$E$3:$E$998,"&lt;&gt;前期仔鱼",数据!$E$3:$E$998,"&lt;&gt;仔鱼",数据!$E$3:$E$998,"&lt;&gt;稚鱼",数据!$F$3:$F$998,A21,数据!$G$3:$G$998,B21))</f>
        <v>0</v>
      </c>
      <c r="O21" s="39">
        <f>IF(AND(A21="",B21=""),"",COUNTIFS(数据!$E$3:$E$998,"&lt;&gt;鱼卵",数据!$E$3:$E$998,"&lt;&gt;死卵",数据!$F$3:$F$998,A21,数据!$G$3:$G$998,B21))</f>
        <v>3</v>
      </c>
      <c r="P21" s="31" t="s">
        <v>14346</v>
      </c>
      <c r="Q21">
        <f>SUMIFS(数据!$D$3:$D$998,数据!$E$3:$E$998,"鱼卵",数据!$F$3:$F$998,A21,数据!$G$3:$G$998,B21)</f>
        <v>0</v>
      </c>
      <c r="R21">
        <f>SUMIFS(数据!$D$3:$D$998,数据!$E$3:$E$998,"死卵",数据!$F$3:$F$998,A21,数据!$G$3:$G$998,B21)</f>
        <v>0</v>
      </c>
      <c r="S21">
        <f>SUMIFS(数据!$D$3:$D$998,数据!$E$3:$E$998,"前期仔鱼",数据!$F$3:$F$998,A21,数据!$G$3:$G$998,B21)</f>
        <v>0</v>
      </c>
      <c r="T21">
        <f>SUMIFS(数据!$D$3:$D$998,数据!$E$3:$E$998,"仔鱼",数据!$F$3:$F$998,A21,数据!$G$3:$G$998,B21)</f>
        <v>148</v>
      </c>
      <c r="U21">
        <f>SUMIFS(数据!$D$3:$D$998,数据!$E$3:$E$998,"稚鱼",数据!$F$3:$F$998,A21,数据!$G$3:$G$998,B21)</f>
        <v>0</v>
      </c>
      <c r="V21" s="67" t="s">
        <v>16</v>
      </c>
    </row>
    <row r="22" spans="1:22" ht="19.9" customHeight="1">
      <c r="A22" s="10" t="s">
        <v>14412</v>
      </c>
      <c r="B22" s="10" t="s">
        <v>14413</v>
      </c>
      <c r="C22" s="66">
        <v>14.50</v>
      </c>
      <c r="D22" s="10" t="s">
        <v>16</v>
      </c>
      <c r="E22" s="10" t="s">
        <v>14351</v>
      </c>
      <c r="F22" s="10" t="s">
        <v>14348</v>
      </c>
      <c r="G22" s="10" t="s">
        <v>14349</v>
      </c>
      <c r="H22" s="10" t="s">
        <v>14402</v>
      </c>
      <c r="I22" s="9"/>
      <c r="J22" s="10" t="s">
        <v>14414</v>
      </c>
      <c r="K22" s="9"/>
      <c r="L22" s="45">
        <f t="shared" si="0"/>
        <v>0</v>
      </c>
      <c r="M22" s="45">
        <f t="shared" si="1"/>
        <v>376</v>
      </c>
      <c r="N22" s="39">
        <f>IF(AND(A22="",B22=""),"",COUNTIFS(数据!$E$3:$E$998,"&lt;&gt;前期仔鱼",数据!$E$3:$E$998,"&lt;&gt;仔鱼",数据!$E$3:$E$998,"&lt;&gt;稚鱼",数据!$F$3:$F$998,A22,数据!$G$3:$G$998,B22))</f>
        <v>0</v>
      </c>
      <c r="O22" s="39">
        <f>IF(AND(A22="",B22=""),"",COUNTIFS(数据!$E$3:$E$998,"&lt;&gt;鱼卵",数据!$E$3:$E$998,"&lt;&gt;死卵",数据!$F$3:$F$998,A22,数据!$G$3:$G$998,B22))</f>
        <v>3</v>
      </c>
      <c r="P22" s="31" t="s">
        <v>14346</v>
      </c>
      <c r="Q22">
        <f>SUMIFS(数据!$D$3:$D$998,数据!$E$3:$E$998,"鱼卵",数据!$F$3:$F$998,A22,数据!$G$3:$G$998,B22)</f>
        <v>0</v>
      </c>
      <c r="R22">
        <f>SUMIFS(数据!$D$3:$D$998,数据!$E$3:$E$998,"死卵",数据!$F$3:$F$998,A22,数据!$G$3:$G$998,B22)</f>
        <v>0</v>
      </c>
      <c r="S22">
        <f>SUMIFS(数据!$D$3:$D$998,数据!$E$3:$E$998,"前期仔鱼",数据!$F$3:$F$998,A22,数据!$G$3:$G$998,B22)</f>
        <v>0</v>
      </c>
      <c r="T22">
        <f>SUMIFS(数据!$D$3:$D$998,数据!$E$3:$E$998,"仔鱼",数据!$F$3:$F$998,A22,数据!$G$3:$G$998,B22)</f>
        <v>376</v>
      </c>
      <c r="U22">
        <f>SUMIFS(数据!$D$3:$D$998,数据!$E$3:$E$998,"稚鱼",数据!$F$3:$F$998,A22,数据!$G$3:$G$998,B22)</f>
        <v>0</v>
      </c>
      <c r="V22" s="67" t="s">
        <v>16</v>
      </c>
    </row>
    <row r="23" spans="1:22" ht="19.9" customHeight="1">
      <c r="A23" s="10" t="s">
        <v>14415</v>
      </c>
      <c r="B23" s="10" t="s">
        <v>14416</v>
      </c>
      <c r="C23" s="66">
        <v>6.50</v>
      </c>
      <c r="D23" s="10" t="s">
        <v>16</v>
      </c>
      <c r="E23" s="10" t="s">
        <v>14351</v>
      </c>
      <c r="F23" s="10" t="s">
        <v>14348</v>
      </c>
      <c r="G23" s="10" t="s">
        <v>14349</v>
      </c>
      <c r="H23" s="10" t="s">
        <v>14402</v>
      </c>
      <c r="I23" s="9"/>
      <c r="J23" s="10" t="s">
        <v>14417</v>
      </c>
      <c r="K23" s="9"/>
      <c r="L23" s="45">
        <f t="shared" si="0"/>
        <v>0</v>
      </c>
      <c r="M23" s="45">
        <f t="shared" si="1"/>
        <v>4912</v>
      </c>
      <c r="N23" s="39">
        <f>IF(AND(A23="",B23=""),"",COUNTIFS(数据!$E$3:$E$998,"&lt;&gt;前期仔鱼",数据!$E$3:$E$998,"&lt;&gt;仔鱼",数据!$E$3:$E$998,"&lt;&gt;稚鱼",数据!$F$3:$F$998,A23,数据!$G$3:$G$998,B23))</f>
        <v>0</v>
      </c>
      <c r="O23" s="39">
        <f>IF(AND(A23="",B23=""),"",COUNTIFS(数据!$E$3:$E$998,"&lt;&gt;鱼卵",数据!$E$3:$E$998,"&lt;&gt;死卵",数据!$F$3:$F$998,A23,数据!$G$3:$G$998,B23))</f>
        <v>4</v>
      </c>
      <c r="P23" s="31" t="s">
        <v>14346</v>
      </c>
      <c r="Q23">
        <f>SUMIFS(数据!$D$3:$D$998,数据!$E$3:$E$998,"鱼卵",数据!$F$3:$F$998,A23,数据!$G$3:$G$998,B23)</f>
        <v>0</v>
      </c>
      <c r="R23">
        <f>SUMIFS(数据!$D$3:$D$998,数据!$E$3:$E$998,"死卵",数据!$F$3:$F$998,A23,数据!$G$3:$G$998,B23)</f>
        <v>0</v>
      </c>
      <c r="S23">
        <f>SUMIFS(数据!$D$3:$D$998,数据!$E$3:$E$998,"前期仔鱼",数据!$F$3:$F$998,A23,数据!$G$3:$G$998,B23)</f>
        <v>0</v>
      </c>
      <c r="T23">
        <f>SUMIFS(数据!$D$3:$D$998,数据!$E$3:$E$998,"仔鱼",数据!$F$3:$F$998,A23,数据!$G$3:$G$998,B23)</f>
        <v>4912</v>
      </c>
      <c r="U23">
        <f>SUMIFS(数据!$D$3:$D$998,数据!$E$3:$E$998,"稚鱼",数据!$F$3:$F$998,A23,数据!$G$3:$G$998,B23)</f>
        <v>0</v>
      </c>
      <c r="V23" s="67" t="s">
        <v>16</v>
      </c>
    </row>
    <row r="24" spans="1:22" ht="19.9" customHeight="1">
      <c r="A24" s="10" t="s">
        <v>14419</v>
      </c>
      <c r="B24" s="10" t="s">
        <v>14420</v>
      </c>
      <c r="C24" s="66">
        <v>21</v>
      </c>
      <c r="D24" s="10" t="s">
        <v>16</v>
      </c>
      <c r="E24" s="10" t="s">
        <v>14351</v>
      </c>
      <c r="F24" s="10" t="s">
        <v>14348</v>
      </c>
      <c r="G24" s="10" t="s">
        <v>14349</v>
      </c>
      <c r="H24" s="10" t="s">
        <v>14418</v>
      </c>
      <c r="I24" s="9"/>
      <c r="J24" s="10" t="s">
        <v>14421</v>
      </c>
      <c r="K24" s="9"/>
      <c r="L24" s="45">
        <f t="shared" si="0"/>
        <v>68</v>
      </c>
      <c r="M24" s="45">
        <f t="shared" si="1"/>
        <v>38</v>
      </c>
      <c r="N24" s="39">
        <f>IF(AND(A24="",B24=""),"",COUNTIFS(数据!$E$3:$E$998,"&lt;&gt;前期仔鱼",数据!$E$3:$E$998,"&lt;&gt;仔鱼",数据!$E$3:$E$998,"&lt;&gt;稚鱼",数据!$F$3:$F$998,A24,数据!$G$3:$G$998,B24))</f>
        <v>2</v>
      </c>
      <c r="O24" s="39">
        <f>IF(AND(A24="",B24=""),"",COUNTIFS(数据!$E$3:$E$998,"&lt;&gt;鱼卵",数据!$E$3:$E$998,"&lt;&gt;死卵",数据!$F$3:$F$998,A24,数据!$G$3:$G$998,B24))</f>
        <v>5</v>
      </c>
      <c r="P24" s="31" t="s">
        <v>14346</v>
      </c>
      <c r="Q24">
        <f>SUMIFS(数据!$D$3:$D$998,数据!$E$3:$E$998,"鱼卵",数据!$F$3:$F$998,A24,数据!$G$3:$G$998,B24)</f>
        <v>68</v>
      </c>
      <c r="R24">
        <f>SUMIFS(数据!$D$3:$D$998,数据!$E$3:$E$998,"死卵",数据!$F$3:$F$998,A24,数据!$G$3:$G$998,B24)</f>
        <v>0</v>
      </c>
      <c r="S24">
        <f>SUMIFS(数据!$D$3:$D$998,数据!$E$3:$E$998,"前期仔鱼",数据!$F$3:$F$998,A24,数据!$G$3:$G$998,B24)</f>
        <v>0</v>
      </c>
      <c r="T24">
        <f>SUMIFS(数据!$D$3:$D$998,数据!$E$3:$E$998,"仔鱼",数据!$F$3:$F$998,A24,数据!$G$3:$G$998,B24)</f>
        <v>37</v>
      </c>
      <c r="U24">
        <f>SUMIFS(数据!$D$3:$D$998,数据!$E$3:$E$998,"稚鱼",数据!$F$3:$F$998,A24,数据!$G$3:$G$998,B24)</f>
        <v>1</v>
      </c>
      <c r="V24" s="67" t="s">
        <v>16</v>
      </c>
    </row>
    <row r="25" spans="1:22" ht="19.9" customHeight="1">
      <c r="A25" s="10" t="s">
        <v>14422</v>
      </c>
      <c r="B25" s="10" t="s">
        <v>14423</v>
      </c>
      <c r="C25" s="66">
        <v>13</v>
      </c>
      <c r="D25" s="10" t="s">
        <v>16</v>
      </c>
      <c r="E25" s="10" t="s">
        <v>14351</v>
      </c>
      <c r="F25" s="10" t="s">
        <v>14348</v>
      </c>
      <c r="G25" s="10" t="s">
        <v>14349</v>
      </c>
      <c r="H25" s="10" t="s">
        <v>14418</v>
      </c>
      <c r="I25" s="9"/>
      <c r="J25" s="10" t="s">
        <v>14424</v>
      </c>
      <c r="K25" s="9"/>
      <c r="L25" s="45">
        <f t="shared" si="0"/>
        <v>144</v>
      </c>
      <c r="M25" s="45">
        <f t="shared" si="1"/>
        <v>9</v>
      </c>
      <c r="N25" s="39">
        <f>IF(AND(A25="",B25=""),"",COUNTIFS(数据!$E$3:$E$998,"&lt;&gt;前期仔鱼",数据!$E$3:$E$998,"&lt;&gt;仔鱼",数据!$E$3:$E$998,"&lt;&gt;稚鱼",数据!$F$3:$F$998,A25,数据!$G$3:$G$998,B25))</f>
        <v>3</v>
      </c>
      <c r="O25" s="39">
        <f>IF(AND(A25="",B25=""),"",COUNTIFS(数据!$E$3:$E$998,"&lt;&gt;鱼卵",数据!$E$3:$E$998,"&lt;&gt;死卵",数据!$F$3:$F$998,A25,数据!$G$3:$G$998,B25))</f>
        <v>4</v>
      </c>
      <c r="P25" s="31" t="s">
        <v>14346</v>
      </c>
      <c r="Q25">
        <f>SUMIFS(数据!$D$3:$D$998,数据!$E$3:$E$998,"鱼卵",数据!$F$3:$F$998,A25,数据!$G$3:$G$998,B25)</f>
        <v>144</v>
      </c>
      <c r="R25">
        <f>SUMIFS(数据!$D$3:$D$998,数据!$E$3:$E$998,"死卵",数据!$F$3:$F$998,A25,数据!$G$3:$G$998,B25)</f>
        <v>0</v>
      </c>
      <c r="S25">
        <f>SUMIFS(数据!$D$3:$D$998,数据!$E$3:$E$998,"前期仔鱼",数据!$F$3:$F$998,A25,数据!$G$3:$G$998,B25)</f>
        <v>0</v>
      </c>
      <c r="T25">
        <f>SUMIFS(数据!$D$3:$D$998,数据!$E$3:$E$998,"仔鱼",数据!$F$3:$F$998,A25,数据!$G$3:$G$998,B25)</f>
        <v>8</v>
      </c>
      <c r="U25">
        <f>SUMIFS(数据!$D$3:$D$998,数据!$E$3:$E$998,"稚鱼",数据!$F$3:$F$998,A25,数据!$G$3:$G$998,B25)</f>
        <v>1</v>
      </c>
      <c r="V25" s="67" t="s">
        <v>16</v>
      </c>
    </row>
    <row r="26" spans="1:22" ht="19.9" customHeight="1">
      <c r="A26" s="10" t="s">
        <v>14425</v>
      </c>
      <c r="B26" s="10" t="s">
        <v>14426</v>
      </c>
      <c r="C26" s="66">
        <v>18</v>
      </c>
      <c r="D26" s="10" t="s">
        <v>16</v>
      </c>
      <c r="E26" s="10" t="s">
        <v>14351</v>
      </c>
      <c r="F26" s="10" t="s">
        <v>14348</v>
      </c>
      <c r="G26" s="10" t="s">
        <v>14349</v>
      </c>
      <c r="H26" s="10" t="s">
        <v>14418</v>
      </c>
      <c r="I26" s="9"/>
      <c r="J26" s="10" t="s">
        <v>14427</v>
      </c>
      <c r="K26" s="9"/>
      <c r="L26" s="45">
        <f t="shared" si="0"/>
        <v>691</v>
      </c>
      <c r="M26" s="45">
        <f t="shared" si="1"/>
        <v>9</v>
      </c>
      <c r="N26" s="39">
        <f>IF(AND(A26="",B26=""),"",COUNTIFS(数据!$E$3:$E$998,"&lt;&gt;前期仔鱼",数据!$E$3:$E$998,"&lt;&gt;仔鱼",数据!$E$3:$E$998,"&lt;&gt;稚鱼",数据!$F$3:$F$998,A26,数据!$G$3:$G$998,B26))</f>
        <v>4</v>
      </c>
      <c r="O26" s="39">
        <f>IF(AND(A26="",B26=""),"",COUNTIFS(数据!$E$3:$E$998,"&lt;&gt;鱼卵",数据!$E$3:$E$998,"&lt;&gt;死卵",数据!$F$3:$F$998,A26,数据!$G$3:$G$998,B26))</f>
        <v>4</v>
      </c>
      <c r="P26" s="31" t="s">
        <v>14346</v>
      </c>
      <c r="Q26">
        <f>SUMIFS(数据!$D$3:$D$998,数据!$E$3:$E$998,"鱼卵",数据!$F$3:$F$998,A26,数据!$G$3:$G$998,B26)</f>
        <v>691</v>
      </c>
      <c r="R26">
        <f>SUMIFS(数据!$D$3:$D$998,数据!$E$3:$E$998,"死卵",数据!$F$3:$F$998,A26,数据!$G$3:$G$998,B26)</f>
        <v>0</v>
      </c>
      <c r="S26">
        <f>SUMIFS(数据!$D$3:$D$998,数据!$E$3:$E$998,"前期仔鱼",数据!$F$3:$F$998,A26,数据!$G$3:$G$998,B26)</f>
        <v>0</v>
      </c>
      <c r="T26">
        <f>SUMIFS(数据!$D$3:$D$998,数据!$E$3:$E$998,"仔鱼",数据!$F$3:$F$998,A26,数据!$G$3:$G$998,B26)</f>
        <v>9</v>
      </c>
      <c r="U26">
        <f>SUMIFS(数据!$D$3:$D$998,数据!$E$3:$E$998,"稚鱼",数据!$F$3:$F$998,A26,数据!$G$3:$G$998,B26)</f>
        <v>0</v>
      </c>
      <c r="V26" s="67" t="s">
        <v>16</v>
      </c>
    </row>
    <row r="27" spans="1:21" ht="19.9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45" t="str">
        <f t="shared" si="0"/>
        <v/>
      </c>
      <c r="M27" s="45" t="str">
        <f t="shared" si="1"/>
        <v/>
      </c>
      <c r="N27" s="39" t="str">
        <f>IF(AND(A27="",B27=""),"",COUNTIFS(数据!$E$3:$E$998,"&lt;&gt;前期仔鱼",数据!$E$3:$E$998,"&lt;&gt;仔鱼",数据!$E$3:$E$998,"&lt;&gt;稚鱼",数据!$F$3:$F$998,A27,数据!$G$3:$G$998,B27))</f>
        <v/>
      </c>
      <c r="O27" s="39" t="str">
        <f>IF(AND(A27="",B27=""),"",COUNTIFS(数据!$E$3:$E$998,"&lt;&gt;鱼卵",数据!$E$3:$E$998,"&lt;&gt;死卵",数据!$F$3:$F$998,A27,数据!$G$3:$G$998,B27))</f>
        <v/>
      </c>
      <c r="P27" s="31"/>
      <c r="Q27">
        <f>SUMIFS(数据!$D$3:$D$998,数据!$E$3:$E$998,"鱼卵",数据!$F$3:$F$998,A27,数据!$G$3:$G$998,B27)</f>
        <v>0</v>
      </c>
      <c r="R27">
        <f>SUMIFS(数据!$D$3:$D$998,数据!$E$3:$E$998,"死卵",数据!$F$3:$F$998,A27,数据!$G$3:$G$998,B27)</f>
        <v>0</v>
      </c>
      <c r="S27">
        <f>SUMIFS(数据!$D$3:$D$998,数据!$E$3:$E$998,"前期仔鱼",数据!$F$3:$F$998,A27,数据!$G$3:$G$998,B27)</f>
        <v>0</v>
      </c>
      <c r="T27">
        <f>SUMIFS(数据!$D$3:$D$998,数据!$E$3:$E$998,"仔鱼",数据!$F$3:$F$998,A27,数据!$G$3:$G$998,B27)</f>
        <v>0</v>
      </c>
      <c r="U27">
        <f>SUMIFS(数据!$D$3:$D$998,数据!$E$3:$E$998,"稚鱼",数据!$F$3:$F$998,A27,数据!$G$3:$G$998,B27)</f>
        <v>0</v>
      </c>
    </row>
    <row r="28" spans="1:21" ht="19.9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45" t="str">
        <f t="shared" si="0"/>
        <v/>
      </c>
      <c r="M28" s="45" t="str">
        <f t="shared" si="1"/>
        <v/>
      </c>
      <c r="N28" s="39" t="str">
        <f>IF(AND(A28="",B28=""),"",COUNTIFS(数据!$E$3:$E$998,"&lt;&gt;前期仔鱼",数据!$E$3:$E$998,"&lt;&gt;仔鱼",数据!$E$3:$E$998,"&lt;&gt;稚鱼",数据!$F$3:$F$998,A28,数据!$G$3:$G$998,B28))</f>
        <v/>
      </c>
      <c r="O28" s="39" t="str">
        <f>IF(AND(A28="",B28=""),"",COUNTIFS(数据!$E$3:$E$998,"&lt;&gt;鱼卵",数据!$E$3:$E$998,"&lt;&gt;死卵",数据!$F$3:$F$998,A28,数据!$G$3:$G$998,B28))</f>
        <v/>
      </c>
      <c r="P28" s="31"/>
      <c r="Q28">
        <f>SUMIFS(数据!$D$3:$D$998,数据!$E$3:$E$998,"鱼卵",数据!$F$3:$F$998,A28,数据!$G$3:$G$998,B28)</f>
        <v>0</v>
      </c>
      <c r="R28">
        <f>SUMIFS(数据!$D$3:$D$998,数据!$E$3:$E$998,"死卵",数据!$F$3:$F$998,A28,数据!$G$3:$G$998,B28)</f>
        <v>0</v>
      </c>
      <c r="S28">
        <f>SUMIFS(数据!$D$3:$D$998,数据!$E$3:$E$998,"前期仔鱼",数据!$F$3:$F$998,A28,数据!$G$3:$G$998,B28)</f>
        <v>0</v>
      </c>
      <c r="T28">
        <f>SUMIFS(数据!$D$3:$D$998,数据!$E$3:$E$998,"仔鱼",数据!$F$3:$F$998,A28,数据!$G$3:$G$998,B28)</f>
        <v>0</v>
      </c>
      <c r="U28">
        <f>SUMIFS(数据!$D$3:$D$998,数据!$E$3:$E$998,"稚鱼",数据!$F$3:$F$998,A28,数据!$G$3:$G$998,B28)</f>
        <v>0</v>
      </c>
    </row>
    <row r="29" spans="1:21" ht="19.9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45" t="str">
        <f t="shared" si="0"/>
        <v/>
      </c>
      <c r="M29" s="45" t="str">
        <f t="shared" si="1"/>
        <v/>
      </c>
      <c r="N29" s="39" t="str">
        <f>IF(AND(A29="",B29=""),"",COUNTIFS(数据!$E$3:$E$998,"&lt;&gt;前期仔鱼",数据!$E$3:$E$998,"&lt;&gt;仔鱼",数据!$E$3:$E$998,"&lt;&gt;稚鱼",数据!$F$3:$F$998,A29,数据!$G$3:$G$998,B29))</f>
        <v/>
      </c>
      <c r="O29" s="39" t="str">
        <f>IF(AND(A29="",B29=""),"",COUNTIFS(数据!$E$3:$E$998,"&lt;&gt;鱼卵",数据!$E$3:$E$998,"&lt;&gt;死卵",数据!$F$3:$F$998,A29,数据!$G$3:$G$998,B29))</f>
        <v/>
      </c>
      <c r="P29" s="31"/>
      <c r="Q29">
        <f>SUMIFS(数据!$D$3:$D$998,数据!$E$3:$E$998,"鱼卵",数据!$F$3:$F$998,A29,数据!$G$3:$G$998,B29)</f>
        <v>0</v>
      </c>
      <c r="R29">
        <f>SUMIFS(数据!$D$3:$D$998,数据!$E$3:$E$998,"死卵",数据!$F$3:$F$998,A29,数据!$G$3:$G$998,B29)</f>
        <v>0</v>
      </c>
      <c r="S29">
        <f>SUMIFS(数据!$D$3:$D$998,数据!$E$3:$E$998,"前期仔鱼",数据!$F$3:$F$998,A29,数据!$G$3:$G$998,B29)</f>
        <v>0</v>
      </c>
      <c r="T29">
        <f>SUMIFS(数据!$D$3:$D$998,数据!$E$3:$E$998,"仔鱼",数据!$F$3:$F$998,A29,数据!$G$3:$G$998,B29)</f>
        <v>0</v>
      </c>
      <c r="U29">
        <f>SUMIFS(数据!$D$3:$D$998,数据!$E$3:$E$998,"稚鱼",数据!$F$3:$F$998,A29,数据!$G$3:$G$998,B29)</f>
        <v>0</v>
      </c>
    </row>
    <row r="30" spans="1:21" ht="19.9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45" t="str">
        <f t="shared" si="0"/>
        <v/>
      </c>
      <c r="M30" s="45" t="str">
        <f t="shared" si="1"/>
        <v/>
      </c>
      <c r="N30" s="39" t="str">
        <f>IF(AND(A30="",B30=""),"",COUNTIFS(数据!$E$3:$E$998,"&lt;&gt;前期仔鱼",数据!$E$3:$E$998,"&lt;&gt;仔鱼",数据!$E$3:$E$998,"&lt;&gt;稚鱼",数据!$F$3:$F$998,A30,数据!$G$3:$G$998,B30))</f>
        <v/>
      </c>
      <c r="O30" s="39" t="str">
        <f>IF(AND(A30="",B30=""),"",COUNTIFS(数据!$E$3:$E$998,"&lt;&gt;鱼卵",数据!$E$3:$E$998,"&lt;&gt;死卵",数据!$F$3:$F$998,A30,数据!$G$3:$G$998,B30))</f>
        <v/>
      </c>
      <c r="P30" s="31"/>
      <c r="Q30">
        <f>SUMIFS(数据!$D$3:$D$998,数据!$E$3:$E$998,"鱼卵",数据!$F$3:$F$998,A30,数据!$G$3:$G$998,B30)</f>
        <v>0</v>
      </c>
      <c r="R30">
        <f>SUMIFS(数据!$D$3:$D$998,数据!$E$3:$E$998,"死卵",数据!$F$3:$F$998,A30,数据!$G$3:$G$998,B30)</f>
        <v>0</v>
      </c>
      <c r="S30">
        <f>SUMIFS(数据!$D$3:$D$998,数据!$E$3:$E$998,"前期仔鱼",数据!$F$3:$F$998,A30,数据!$G$3:$G$998,B30)</f>
        <v>0</v>
      </c>
      <c r="T30">
        <f>SUMIFS(数据!$D$3:$D$998,数据!$E$3:$E$998,"仔鱼",数据!$F$3:$F$998,A30,数据!$G$3:$G$998,B30)</f>
        <v>0</v>
      </c>
      <c r="U30">
        <f>SUMIFS(数据!$D$3:$D$998,数据!$E$3:$E$998,"稚鱼",数据!$F$3:$F$998,A30,数据!$G$3:$G$998,B30)</f>
        <v>0</v>
      </c>
    </row>
    <row r="31" spans="1:21" ht="19.9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45" t="str">
        <f t="shared" si="0"/>
        <v/>
      </c>
      <c r="M31" s="45" t="str">
        <f t="shared" si="1"/>
        <v/>
      </c>
      <c r="N31" s="39" t="str">
        <f>IF(AND(A31="",B31=""),"",COUNTIFS(数据!$E$3:$E$998,"&lt;&gt;前期仔鱼",数据!$E$3:$E$998,"&lt;&gt;仔鱼",数据!$E$3:$E$998,"&lt;&gt;稚鱼",数据!$F$3:$F$998,A31,数据!$G$3:$G$998,B31))</f>
        <v/>
      </c>
      <c r="O31" s="39" t="str">
        <f>IF(AND(A31="",B31=""),"",COUNTIFS(数据!$E$3:$E$998,"&lt;&gt;鱼卵",数据!$E$3:$E$998,"&lt;&gt;死卵",数据!$F$3:$F$998,A31,数据!$G$3:$G$998,B31))</f>
        <v/>
      </c>
      <c r="P31" s="31"/>
      <c r="Q31">
        <f>SUMIFS(数据!$D$3:$D$998,数据!$E$3:$E$998,"鱼卵",数据!$F$3:$F$998,A31,数据!$G$3:$G$998,B31)</f>
        <v>0</v>
      </c>
      <c r="R31">
        <f>SUMIFS(数据!$D$3:$D$998,数据!$E$3:$E$998,"死卵",数据!$F$3:$F$998,A31,数据!$G$3:$G$998,B31)</f>
        <v>0</v>
      </c>
      <c r="S31">
        <f>SUMIFS(数据!$D$3:$D$998,数据!$E$3:$E$998,"前期仔鱼",数据!$F$3:$F$998,A31,数据!$G$3:$G$998,B31)</f>
        <v>0</v>
      </c>
      <c r="T31">
        <f>SUMIFS(数据!$D$3:$D$998,数据!$E$3:$E$998,"仔鱼",数据!$F$3:$F$998,A31,数据!$G$3:$G$998,B31)</f>
        <v>0</v>
      </c>
      <c r="U31">
        <f>SUMIFS(数据!$D$3:$D$998,数据!$E$3:$E$998,"稚鱼",数据!$F$3:$F$998,A31,数据!$G$3:$G$998,B31)</f>
        <v>0</v>
      </c>
    </row>
    <row r="32" spans="1:21" ht="19.9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45" t="str">
        <f t="shared" si="0"/>
        <v/>
      </c>
      <c r="M32" s="45" t="str">
        <f t="shared" si="1"/>
        <v/>
      </c>
      <c r="N32" s="39" t="str">
        <f>IF(AND(A32="",B32=""),"",COUNTIFS(数据!$E$3:$E$998,"&lt;&gt;前期仔鱼",数据!$E$3:$E$998,"&lt;&gt;仔鱼",数据!$E$3:$E$998,"&lt;&gt;稚鱼",数据!$F$3:$F$998,A32,数据!$G$3:$G$998,B32))</f>
        <v/>
      </c>
      <c r="O32" s="39" t="str">
        <f>IF(AND(A32="",B32=""),"",COUNTIFS(数据!$E$3:$E$998,"&lt;&gt;鱼卵",数据!$E$3:$E$998,"&lt;&gt;死卵",数据!$F$3:$F$998,A32,数据!$G$3:$G$998,B32))</f>
        <v/>
      </c>
      <c r="P32" s="31"/>
      <c r="Q32">
        <f>SUMIFS(数据!$D$3:$D$998,数据!$E$3:$E$998,"鱼卵",数据!$F$3:$F$998,A32,数据!$G$3:$G$998,B32)</f>
        <v>0</v>
      </c>
      <c r="R32">
        <f>SUMIFS(数据!$D$3:$D$998,数据!$E$3:$E$998,"死卵",数据!$F$3:$F$998,A32,数据!$G$3:$G$998,B32)</f>
        <v>0</v>
      </c>
      <c r="S32">
        <f>SUMIFS(数据!$D$3:$D$998,数据!$E$3:$E$998,"前期仔鱼",数据!$F$3:$F$998,A32,数据!$G$3:$G$998,B32)</f>
        <v>0</v>
      </c>
      <c r="T32">
        <f>SUMIFS(数据!$D$3:$D$998,数据!$E$3:$E$998,"仔鱼",数据!$F$3:$F$998,A32,数据!$G$3:$G$998,B32)</f>
        <v>0</v>
      </c>
      <c r="U32">
        <f>SUMIFS(数据!$D$3:$D$998,数据!$E$3:$E$998,"稚鱼",数据!$F$3:$F$998,A32,数据!$G$3:$G$998,B32)</f>
        <v>0</v>
      </c>
    </row>
    <row r="33" spans="1:21" ht="19.9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45" t="str">
        <f t="shared" si="0"/>
        <v/>
      </c>
      <c r="M33" s="45" t="str">
        <f t="shared" si="1"/>
        <v/>
      </c>
      <c r="N33" s="39" t="str">
        <f>IF(AND(A33="",B33=""),"",COUNTIFS(数据!$E$3:$E$998,"&lt;&gt;前期仔鱼",数据!$E$3:$E$998,"&lt;&gt;仔鱼",数据!$E$3:$E$998,"&lt;&gt;稚鱼",数据!$F$3:$F$998,A33,数据!$G$3:$G$998,B33))</f>
        <v/>
      </c>
      <c r="O33" s="39" t="str">
        <f>IF(AND(A33="",B33=""),"",COUNTIFS(数据!$E$3:$E$998,"&lt;&gt;鱼卵",数据!$E$3:$E$998,"&lt;&gt;死卵",数据!$F$3:$F$998,A33,数据!$G$3:$G$998,B33))</f>
        <v/>
      </c>
      <c r="P33" s="31"/>
      <c r="Q33">
        <f>SUMIFS(数据!$D$3:$D$998,数据!$E$3:$E$998,"鱼卵",数据!$F$3:$F$998,A33,数据!$G$3:$G$998,B33)</f>
        <v>0</v>
      </c>
      <c r="R33">
        <f>SUMIFS(数据!$D$3:$D$998,数据!$E$3:$E$998,"死卵",数据!$F$3:$F$998,A33,数据!$G$3:$G$998,B33)</f>
        <v>0</v>
      </c>
      <c r="S33">
        <f>SUMIFS(数据!$D$3:$D$998,数据!$E$3:$E$998,"前期仔鱼",数据!$F$3:$F$998,A33,数据!$G$3:$G$998,B33)</f>
        <v>0</v>
      </c>
      <c r="T33">
        <f>SUMIFS(数据!$D$3:$D$998,数据!$E$3:$E$998,"仔鱼",数据!$F$3:$F$998,A33,数据!$G$3:$G$998,B33)</f>
        <v>0</v>
      </c>
      <c r="U33">
        <f>SUMIFS(数据!$D$3:$D$998,数据!$E$3:$E$998,"稚鱼",数据!$F$3:$F$998,A33,数据!$G$3:$G$998,B33)</f>
        <v>0</v>
      </c>
    </row>
    <row r="34" spans="1:21" ht="19.9" customHeigh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45" t="str">
        <f t="shared" si="0"/>
        <v/>
      </c>
      <c r="M34" s="45" t="str">
        <f t="shared" si="1"/>
        <v/>
      </c>
      <c r="N34" s="39" t="str">
        <f>IF(AND(A34="",B34=""),"",COUNTIFS(数据!$E$3:$E$998,"&lt;&gt;前期仔鱼",数据!$E$3:$E$998,"&lt;&gt;仔鱼",数据!$E$3:$E$998,"&lt;&gt;稚鱼",数据!$F$3:$F$998,A34,数据!$G$3:$G$998,B34))</f>
        <v/>
      </c>
      <c r="O34" s="39" t="str">
        <f>IF(AND(A34="",B34=""),"",COUNTIFS(数据!$E$3:$E$998,"&lt;&gt;鱼卵",数据!$E$3:$E$998,"&lt;&gt;死卵",数据!$F$3:$F$998,A34,数据!$G$3:$G$998,B34))</f>
        <v/>
      </c>
      <c r="P34" s="31"/>
      <c r="Q34">
        <f>SUMIFS(数据!$D$3:$D$998,数据!$E$3:$E$998,"鱼卵",数据!$F$3:$F$998,A34,数据!$G$3:$G$998,B34)</f>
        <v>0</v>
      </c>
      <c r="R34">
        <f>SUMIFS(数据!$D$3:$D$998,数据!$E$3:$E$998,"死卵",数据!$F$3:$F$998,A34,数据!$G$3:$G$998,B34)</f>
        <v>0</v>
      </c>
      <c r="S34">
        <f>SUMIFS(数据!$D$3:$D$998,数据!$E$3:$E$998,"前期仔鱼",数据!$F$3:$F$998,A34,数据!$G$3:$G$998,B34)</f>
        <v>0</v>
      </c>
      <c r="T34">
        <f>SUMIFS(数据!$D$3:$D$998,数据!$E$3:$E$998,"仔鱼",数据!$F$3:$F$998,A34,数据!$G$3:$G$998,B34)</f>
        <v>0</v>
      </c>
      <c r="U34">
        <f>SUMIFS(数据!$D$3:$D$998,数据!$E$3:$E$998,"稚鱼",数据!$F$3:$F$998,A34,数据!$G$3:$G$998,B34)</f>
        <v>0</v>
      </c>
    </row>
    <row r="35" spans="1:21" ht="19.9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45" t="str">
        <f t="shared" si="0"/>
        <v/>
      </c>
      <c r="M35" s="45" t="str">
        <f t="shared" si="1"/>
        <v/>
      </c>
      <c r="N35" s="39" t="str">
        <f>IF(AND(A35="",B35=""),"",COUNTIFS(数据!$E$3:$E$998,"&lt;&gt;前期仔鱼",数据!$E$3:$E$998,"&lt;&gt;仔鱼",数据!$E$3:$E$998,"&lt;&gt;稚鱼",数据!$F$3:$F$998,A35,数据!$G$3:$G$998,B35))</f>
        <v/>
      </c>
      <c r="O35" s="39" t="str">
        <f>IF(AND(A35="",B35=""),"",COUNTIFS(数据!$E$3:$E$998,"&lt;&gt;鱼卵",数据!$E$3:$E$998,"&lt;&gt;死卵",数据!$F$3:$F$998,A35,数据!$G$3:$G$998,B35))</f>
        <v/>
      </c>
      <c r="P35" s="31"/>
      <c r="Q35">
        <f>SUMIFS(数据!$D$3:$D$998,数据!$E$3:$E$998,"鱼卵",数据!$F$3:$F$998,A35,数据!$G$3:$G$998,B35)</f>
        <v>0</v>
      </c>
      <c r="R35">
        <f>SUMIFS(数据!$D$3:$D$998,数据!$E$3:$E$998,"死卵",数据!$F$3:$F$998,A35,数据!$G$3:$G$998,B35)</f>
        <v>0</v>
      </c>
      <c r="S35">
        <f>SUMIFS(数据!$D$3:$D$998,数据!$E$3:$E$998,"前期仔鱼",数据!$F$3:$F$998,A35,数据!$G$3:$G$998,B35)</f>
        <v>0</v>
      </c>
      <c r="T35">
        <f>SUMIFS(数据!$D$3:$D$998,数据!$E$3:$E$998,"仔鱼",数据!$F$3:$F$998,A35,数据!$G$3:$G$998,B35)</f>
        <v>0</v>
      </c>
      <c r="U35">
        <f>SUMIFS(数据!$D$3:$D$998,数据!$E$3:$E$998,"稚鱼",数据!$F$3:$F$998,A35,数据!$G$3:$G$998,B35)</f>
        <v>0</v>
      </c>
    </row>
    <row r="36" spans="1:21" ht="19.9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45" t="str">
        <f t="shared" si="0"/>
        <v/>
      </c>
      <c r="M36" s="45" t="str">
        <f t="shared" si="1"/>
        <v/>
      </c>
      <c r="N36" s="39" t="str">
        <f>IF(AND(A36="",B36=""),"",COUNTIFS(数据!$E$3:$E$998,"&lt;&gt;前期仔鱼",数据!$E$3:$E$998,"&lt;&gt;仔鱼",数据!$E$3:$E$998,"&lt;&gt;稚鱼",数据!$F$3:$F$998,A36,数据!$G$3:$G$998,B36))</f>
        <v/>
      </c>
      <c r="O36" s="39" t="str">
        <f>IF(AND(A36="",B36=""),"",COUNTIFS(数据!$E$3:$E$998,"&lt;&gt;鱼卵",数据!$E$3:$E$998,"&lt;&gt;死卵",数据!$F$3:$F$998,A36,数据!$G$3:$G$998,B36))</f>
        <v/>
      </c>
      <c r="P36" s="31"/>
      <c r="Q36">
        <f>SUMIFS(数据!$D$3:$D$998,数据!$E$3:$E$998,"鱼卵",数据!$F$3:$F$998,A36,数据!$G$3:$G$998,B36)</f>
        <v>0</v>
      </c>
      <c r="R36">
        <f>SUMIFS(数据!$D$3:$D$998,数据!$E$3:$E$998,"死卵",数据!$F$3:$F$998,A36,数据!$G$3:$G$998,B36)</f>
        <v>0</v>
      </c>
      <c r="S36">
        <f>SUMIFS(数据!$D$3:$D$998,数据!$E$3:$E$998,"前期仔鱼",数据!$F$3:$F$998,A36,数据!$G$3:$G$998,B36)</f>
        <v>0</v>
      </c>
      <c r="T36">
        <f>SUMIFS(数据!$D$3:$D$998,数据!$E$3:$E$998,"仔鱼",数据!$F$3:$F$998,A36,数据!$G$3:$G$998,B36)</f>
        <v>0</v>
      </c>
      <c r="U36">
        <f>SUMIFS(数据!$D$3:$D$998,数据!$E$3:$E$998,"稚鱼",数据!$F$3:$F$998,A36,数据!$G$3:$G$998,B36)</f>
        <v>0</v>
      </c>
    </row>
    <row r="37" spans="1:21" ht="19.9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45" t="str">
        <f t="shared" si="0"/>
        <v/>
      </c>
      <c r="M37" s="45" t="str">
        <f t="shared" si="1"/>
        <v/>
      </c>
      <c r="N37" s="39" t="str">
        <f>IF(AND(A37="",B37=""),"",COUNTIFS(数据!$E$3:$E$998,"&lt;&gt;前期仔鱼",数据!$E$3:$E$998,"&lt;&gt;仔鱼",数据!$E$3:$E$998,"&lt;&gt;稚鱼",数据!$F$3:$F$998,A37,数据!$G$3:$G$998,B37))</f>
        <v/>
      </c>
      <c r="O37" s="39" t="str">
        <f>IF(AND(A37="",B37=""),"",COUNTIFS(数据!$E$3:$E$998,"&lt;&gt;鱼卵",数据!$E$3:$E$998,"&lt;&gt;死卵",数据!$F$3:$F$998,A37,数据!$G$3:$G$998,B37))</f>
        <v/>
      </c>
      <c r="P37" s="31"/>
      <c r="Q37">
        <f>SUMIFS(数据!$D$3:$D$998,数据!$E$3:$E$998,"鱼卵",数据!$F$3:$F$998,A37,数据!$G$3:$G$998,B37)</f>
        <v>0</v>
      </c>
      <c r="R37">
        <f>SUMIFS(数据!$D$3:$D$998,数据!$E$3:$E$998,"死卵",数据!$F$3:$F$998,A37,数据!$G$3:$G$998,B37)</f>
        <v>0</v>
      </c>
      <c r="S37">
        <f>SUMIFS(数据!$D$3:$D$998,数据!$E$3:$E$998,"前期仔鱼",数据!$F$3:$F$998,A37,数据!$G$3:$G$998,B37)</f>
        <v>0</v>
      </c>
      <c r="T37">
        <f>SUMIFS(数据!$D$3:$D$998,数据!$E$3:$E$998,"仔鱼",数据!$F$3:$F$998,A37,数据!$G$3:$G$998,B37)</f>
        <v>0</v>
      </c>
      <c r="U37">
        <f>SUMIFS(数据!$D$3:$D$998,数据!$E$3:$E$998,"稚鱼",数据!$F$3:$F$998,A37,数据!$G$3:$G$998,B37)</f>
        <v>0</v>
      </c>
    </row>
    <row r="38" spans="1:21" ht="19.9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45" t="str">
        <f t="shared" si="0"/>
        <v/>
      </c>
      <c r="M38" s="45" t="str">
        <f t="shared" si="1"/>
        <v/>
      </c>
      <c r="N38" s="39" t="str">
        <f>IF(AND(A38="",B38=""),"",COUNTIFS(数据!$E$3:$E$998,"&lt;&gt;前期仔鱼",数据!$E$3:$E$998,"&lt;&gt;仔鱼",数据!$E$3:$E$998,"&lt;&gt;稚鱼",数据!$F$3:$F$998,A38,数据!$G$3:$G$998,B38))</f>
        <v/>
      </c>
      <c r="O38" s="39" t="str">
        <f>IF(AND(A38="",B38=""),"",COUNTIFS(数据!$E$3:$E$998,"&lt;&gt;鱼卵",数据!$E$3:$E$998,"&lt;&gt;死卵",数据!$F$3:$F$998,A38,数据!$G$3:$G$998,B38))</f>
        <v/>
      </c>
      <c r="P38" s="31"/>
      <c r="Q38">
        <f>SUMIFS(数据!$D$3:$D$998,数据!$E$3:$E$998,"鱼卵",数据!$F$3:$F$998,A38,数据!$G$3:$G$998,B38)</f>
        <v>0</v>
      </c>
      <c r="R38">
        <f>SUMIFS(数据!$D$3:$D$998,数据!$E$3:$E$998,"死卵",数据!$F$3:$F$998,A38,数据!$G$3:$G$998,B38)</f>
        <v>0</v>
      </c>
      <c r="S38">
        <f>SUMIFS(数据!$D$3:$D$998,数据!$E$3:$E$998,"前期仔鱼",数据!$F$3:$F$998,A38,数据!$G$3:$G$998,B38)</f>
        <v>0</v>
      </c>
      <c r="T38">
        <f>SUMIFS(数据!$D$3:$D$998,数据!$E$3:$E$998,"仔鱼",数据!$F$3:$F$998,A38,数据!$G$3:$G$998,B38)</f>
        <v>0</v>
      </c>
      <c r="U38">
        <f>SUMIFS(数据!$D$3:$D$998,数据!$E$3:$E$998,"稚鱼",数据!$F$3:$F$998,A38,数据!$G$3:$G$998,B38)</f>
        <v>0</v>
      </c>
    </row>
    <row r="39" spans="1:21" ht="19.9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45" t="str">
        <f t="shared" si="0"/>
        <v/>
      </c>
      <c r="M39" s="45" t="str">
        <f t="shared" si="1"/>
        <v/>
      </c>
      <c r="N39" s="39" t="str">
        <f>IF(AND(A39="",B39=""),"",COUNTIFS(数据!$E$3:$E$998,"&lt;&gt;前期仔鱼",数据!$E$3:$E$998,"&lt;&gt;仔鱼",数据!$E$3:$E$998,"&lt;&gt;稚鱼",数据!$F$3:$F$998,A39,数据!$G$3:$G$998,B39))</f>
        <v/>
      </c>
      <c r="O39" s="39" t="str">
        <f>IF(AND(A39="",B39=""),"",COUNTIFS(数据!$E$3:$E$998,"&lt;&gt;鱼卵",数据!$E$3:$E$998,"&lt;&gt;死卵",数据!$F$3:$F$998,A39,数据!$G$3:$G$998,B39))</f>
        <v/>
      </c>
      <c r="P39" s="31"/>
      <c r="Q39">
        <f>SUMIFS(数据!$D$3:$D$998,数据!$E$3:$E$998,"鱼卵",数据!$F$3:$F$998,A39,数据!$G$3:$G$998,B39)</f>
        <v>0</v>
      </c>
      <c r="R39">
        <f>SUMIFS(数据!$D$3:$D$998,数据!$E$3:$E$998,"死卵",数据!$F$3:$F$998,A39,数据!$G$3:$G$998,B39)</f>
        <v>0</v>
      </c>
      <c r="S39">
        <f>SUMIFS(数据!$D$3:$D$998,数据!$E$3:$E$998,"前期仔鱼",数据!$F$3:$F$998,A39,数据!$G$3:$G$998,B39)</f>
        <v>0</v>
      </c>
      <c r="T39">
        <f>SUMIFS(数据!$D$3:$D$998,数据!$E$3:$E$998,"仔鱼",数据!$F$3:$F$998,A39,数据!$G$3:$G$998,B39)</f>
        <v>0</v>
      </c>
      <c r="U39">
        <f>SUMIFS(数据!$D$3:$D$998,数据!$E$3:$E$998,"稚鱼",数据!$F$3:$F$998,A39,数据!$G$3:$G$998,B39)</f>
        <v>0</v>
      </c>
    </row>
    <row r="40" spans="1:21" ht="19.9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45" t="str">
        <f t="shared" si="0"/>
        <v/>
      </c>
      <c r="M40" s="45" t="str">
        <f t="shared" si="1"/>
        <v/>
      </c>
      <c r="N40" s="39" t="str">
        <f>IF(AND(A40="",B40=""),"",COUNTIFS(数据!$E$3:$E$998,"&lt;&gt;前期仔鱼",数据!$E$3:$E$998,"&lt;&gt;仔鱼",数据!$E$3:$E$998,"&lt;&gt;稚鱼",数据!$F$3:$F$998,A40,数据!$G$3:$G$998,B40))</f>
        <v/>
      </c>
      <c r="O40" s="39" t="str">
        <f>IF(AND(A40="",B40=""),"",COUNTIFS(数据!$E$3:$E$998,"&lt;&gt;鱼卵",数据!$E$3:$E$998,"&lt;&gt;死卵",数据!$F$3:$F$998,A40,数据!$G$3:$G$998,B40))</f>
        <v/>
      </c>
      <c r="P40" s="31"/>
      <c r="Q40">
        <f>SUMIFS(数据!$D$3:$D$998,数据!$E$3:$E$998,"鱼卵",数据!$F$3:$F$998,A40,数据!$G$3:$G$998,B40)</f>
        <v>0</v>
      </c>
      <c r="R40">
        <f>SUMIFS(数据!$D$3:$D$998,数据!$E$3:$E$998,"死卵",数据!$F$3:$F$998,A40,数据!$G$3:$G$998,B40)</f>
        <v>0</v>
      </c>
      <c r="S40">
        <f>SUMIFS(数据!$D$3:$D$998,数据!$E$3:$E$998,"前期仔鱼",数据!$F$3:$F$998,A40,数据!$G$3:$G$998,B40)</f>
        <v>0</v>
      </c>
      <c r="T40">
        <f>SUMIFS(数据!$D$3:$D$998,数据!$E$3:$E$998,"仔鱼",数据!$F$3:$F$998,A40,数据!$G$3:$G$998,B40)</f>
        <v>0</v>
      </c>
      <c r="U40">
        <f>SUMIFS(数据!$D$3:$D$998,数据!$E$3:$E$998,"稚鱼",数据!$F$3:$F$998,A40,数据!$G$3:$G$998,B40)</f>
        <v>0</v>
      </c>
    </row>
    <row r="41" spans="1:21" ht="19.9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45" t="str">
        <f t="shared" si="0"/>
        <v/>
      </c>
      <c r="M41" s="45" t="str">
        <f t="shared" si="1"/>
        <v/>
      </c>
      <c r="N41" s="39" t="str">
        <f>IF(AND(A41="",B41=""),"",COUNTIFS(数据!$E$3:$E$998,"&lt;&gt;前期仔鱼",数据!$E$3:$E$998,"&lt;&gt;仔鱼",数据!$E$3:$E$998,"&lt;&gt;稚鱼",数据!$F$3:$F$998,A41,数据!$G$3:$G$998,B41))</f>
        <v/>
      </c>
      <c r="O41" s="39" t="str">
        <f>IF(AND(A41="",B41=""),"",COUNTIFS(数据!$E$3:$E$998,"&lt;&gt;鱼卵",数据!$E$3:$E$998,"&lt;&gt;死卵",数据!$F$3:$F$998,A41,数据!$G$3:$G$998,B41))</f>
        <v/>
      </c>
      <c r="P41" s="31"/>
      <c r="Q41">
        <f>SUMIFS(数据!$D$3:$D$998,数据!$E$3:$E$998,"鱼卵",数据!$F$3:$F$998,A41,数据!$G$3:$G$998,B41)</f>
        <v>0</v>
      </c>
      <c r="R41">
        <f>SUMIFS(数据!$D$3:$D$998,数据!$E$3:$E$998,"死卵",数据!$F$3:$F$998,A41,数据!$G$3:$G$998,B41)</f>
        <v>0</v>
      </c>
      <c r="S41">
        <f>SUMIFS(数据!$D$3:$D$998,数据!$E$3:$E$998,"前期仔鱼",数据!$F$3:$F$998,A41,数据!$G$3:$G$998,B41)</f>
        <v>0</v>
      </c>
      <c r="T41">
        <f>SUMIFS(数据!$D$3:$D$998,数据!$E$3:$E$998,"仔鱼",数据!$F$3:$F$998,A41,数据!$G$3:$G$998,B41)</f>
        <v>0</v>
      </c>
      <c r="U41">
        <f>SUMIFS(数据!$D$3:$D$998,数据!$E$3:$E$998,"稚鱼",数据!$F$3:$F$998,A41,数据!$G$3:$G$998,B41)</f>
        <v>0</v>
      </c>
    </row>
    <row r="42" spans="1:21" ht="19.9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45" t="str">
        <f t="shared" si="0"/>
        <v/>
      </c>
      <c r="M42" s="45" t="str">
        <f t="shared" si="1"/>
        <v/>
      </c>
      <c r="N42" s="39" t="str">
        <f>IF(AND(A42="",B42=""),"",COUNTIFS(数据!$E$3:$E$998,"&lt;&gt;前期仔鱼",数据!$E$3:$E$998,"&lt;&gt;仔鱼",数据!$E$3:$E$998,"&lt;&gt;稚鱼",数据!$F$3:$F$998,A42,数据!$G$3:$G$998,B42))</f>
        <v/>
      </c>
      <c r="O42" s="39" t="str">
        <f>IF(AND(A42="",B42=""),"",COUNTIFS(数据!$E$3:$E$998,"&lt;&gt;鱼卵",数据!$E$3:$E$998,"&lt;&gt;死卵",数据!$F$3:$F$998,A42,数据!$G$3:$G$998,B42))</f>
        <v/>
      </c>
      <c r="P42" s="31"/>
      <c r="Q42">
        <f>SUMIFS(数据!$D$3:$D$998,数据!$E$3:$E$998,"鱼卵",数据!$F$3:$F$998,A42,数据!$G$3:$G$998,B42)</f>
        <v>0</v>
      </c>
      <c r="R42">
        <f>SUMIFS(数据!$D$3:$D$998,数据!$E$3:$E$998,"死卵",数据!$F$3:$F$998,A42,数据!$G$3:$G$998,B42)</f>
        <v>0</v>
      </c>
      <c r="S42">
        <f>SUMIFS(数据!$D$3:$D$998,数据!$E$3:$E$998,"前期仔鱼",数据!$F$3:$F$998,A42,数据!$G$3:$G$998,B42)</f>
        <v>0</v>
      </c>
      <c r="T42">
        <f>SUMIFS(数据!$D$3:$D$998,数据!$E$3:$E$998,"仔鱼",数据!$F$3:$F$998,A42,数据!$G$3:$G$998,B42)</f>
        <v>0</v>
      </c>
      <c r="U42">
        <f>SUMIFS(数据!$D$3:$D$998,数据!$E$3:$E$998,"稚鱼",数据!$F$3:$F$998,A42,数据!$G$3:$G$998,B42)</f>
        <v>0</v>
      </c>
    </row>
    <row r="43" spans="1:21" ht="19.9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45" t="str">
        <f t="shared" si="0"/>
        <v/>
      </c>
      <c r="M43" s="45" t="str">
        <f t="shared" si="1"/>
        <v/>
      </c>
      <c r="N43" s="39" t="str">
        <f>IF(AND(A43="",B43=""),"",COUNTIFS(数据!$E$3:$E$998,"&lt;&gt;前期仔鱼",数据!$E$3:$E$998,"&lt;&gt;仔鱼",数据!$E$3:$E$998,"&lt;&gt;稚鱼",数据!$F$3:$F$998,A43,数据!$G$3:$G$998,B43))</f>
        <v/>
      </c>
      <c r="O43" s="39" t="str">
        <f>IF(AND(A43="",B43=""),"",COUNTIFS(数据!$E$3:$E$998,"&lt;&gt;鱼卵",数据!$E$3:$E$998,"&lt;&gt;死卵",数据!$F$3:$F$998,A43,数据!$G$3:$G$998,B43))</f>
        <v/>
      </c>
      <c r="P43" s="31"/>
      <c r="Q43">
        <f>SUMIFS(数据!$D$3:$D$998,数据!$E$3:$E$998,"鱼卵",数据!$F$3:$F$998,A43,数据!$G$3:$G$998,B43)</f>
        <v>0</v>
      </c>
      <c r="R43">
        <f>SUMIFS(数据!$D$3:$D$998,数据!$E$3:$E$998,"死卵",数据!$F$3:$F$998,A43,数据!$G$3:$G$998,B43)</f>
        <v>0</v>
      </c>
      <c r="S43">
        <f>SUMIFS(数据!$D$3:$D$998,数据!$E$3:$E$998,"前期仔鱼",数据!$F$3:$F$998,A43,数据!$G$3:$G$998,B43)</f>
        <v>0</v>
      </c>
      <c r="T43">
        <f>SUMIFS(数据!$D$3:$D$998,数据!$E$3:$E$998,"仔鱼",数据!$F$3:$F$998,A43,数据!$G$3:$G$998,B43)</f>
        <v>0</v>
      </c>
      <c r="U43">
        <f>SUMIFS(数据!$D$3:$D$998,数据!$E$3:$E$998,"稚鱼",数据!$F$3:$F$998,A43,数据!$G$3:$G$998,B43)</f>
        <v>0</v>
      </c>
    </row>
    <row r="44" spans="1:21" ht="19.9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45" t="str">
        <f t="shared" si="0"/>
        <v/>
      </c>
      <c r="M44" s="45" t="str">
        <f t="shared" si="1"/>
        <v/>
      </c>
      <c r="N44" s="39" t="str">
        <f>IF(AND(A44="",B44=""),"",COUNTIFS(数据!$E$3:$E$998,"&lt;&gt;前期仔鱼",数据!$E$3:$E$998,"&lt;&gt;仔鱼",数据!$E$3:$E$998,"&lt;&gt;稚鱼",数据!$F$3:$F$998,A44,数据!$G$3:$G$998,B44))</f>
        <v/>
      </c>
      <c r="O44" s="39" t="str">
        <f>IF(AND(A44="",B44=""),"",COUNTIFS(数据!$E$3:$E$998,"&lt;&gt;鱼卵",数据!$E$3:$E$998,"&lt;&gt;死卵",数据!$F$3:$F$998,A44,数据!$G$3:$G$998,B44))</f>
        <v/>
      </c>
      <c r="P44" s="31"/>
      <c r="Q44">
        <f>SUMIFS(数据!$D$3:$D$998,数据!$E$3:$E$998,"鱼卵",数据!$F$3:$F$998,A44,数据!$G$3:$G$998,B44)</f>
        <v>0</v>
      </c>
      <c r="R44">
        <f>SUMIFS(数据!$D$3:$D$998,数据!$E$3:$E$998,"死卵",数据!$F$3:$F$998,A44,数据!$G$3:$G$998,B44)</f>
        <v>0</v>
      </c>
      <c r="S44">
        <f>SUMIFS(数据!$D$3:$D$998,数据!$E$3:$E$998,"前期仔鱼",数据!$F$3:$F$998,A44,数据!$G$3:$G$998,B44)</f>
        <v>0</v>
      </c>
      <c r="T44">
        <f>SUMIFS(数据!$D$3:$D$998,数据!$E$3:$E$998,"仔鱼",数据!$F$3:$F$998,A44,数据!$G$3:$G$998,B44)</f>
        <v>0</v>
      </c>
      <c r="U44">
        <f>SUMIFS(数据!$D$3:$D$998,数据!$E$3:$E$998,"稚鱼",数据!$F$3:$F$998,A44,数据!$G$3:$G$998,B44)</f>
        <v>0</v>
      </c>
    </row>
    <row r="45" spans="1:21" ht="19.9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45" t="str">
        <f t="shared" si="0"/>
        <v/>
      </c>
      <c r="M45" s="45" t="str">
        <f t="shared" si="1"/>
        <v/>
      </c>
      <c r="N45" s="39" t="str">
        <f>IF(AND(A45="",B45=""),"",COUNTIFS(数据!$E$3:$E$998,"&lt;&gt;前期仔鱼",数据!$E$3:$E$998,"&lt;&gt;仔鱼",数据!$E$3:$E$998,"&lt;&gt;稚鱼",数据!$F$3:$F$998,A45,数据!$G$3:$G$998,B45))</f>
        <v/>
      </c>
      <c r="O45" s="39" t="str">
        <f>IF(AND(A45="",B45=""),"",COUNTIFS(数据!$E$3:$E$998,"&lt;&gt;鱼卵",数据!$E$3:$E$998,"&lt;&gt;死卵",数据!$F$3:$F$998,A45,数据!$G$3:$G$998,B45))</f>
        <v/>
      </c>
      <c r="P45" s="31"/>
      <c r="Q45">
        <f>SUMIFS(数据!$D$3:$D$998,数据!$E$3:$E$998,"鱼卵",数据!$F$3:$F$998,A45,数据!$G$3:$G$998,B45)</f>
        <v>0</v>
      </c>
      <c r="R45">
        <f>SUMIFS(数据!$D$3:$D$998,数据!$E$3:$E$998,"死卵",数据!$F$3:$F$998,A45,数据!$G$3:$G$998,B45)</f>
        <v>0</v>
      </c>
      <c r="S45">
        <f>SUMIFS(数据!$D$3:$D$998,数据!$E$3:$E$998,"前期仔鱼",数据!$F$3:$F$998,A45,数据!$G$3:$G$998,B45)</f>
        <v>0</v>
      </c>
      <c r="T45">
        <f>SUMIFS(数据!$D$3:$D$998,数据!$E$3:$E$998,"仔鱼",数据!$F$3:$F$998,A45,数据!$G$3:$G$998,B45)</f>
        <v>0</v>
      </c>
      <c r="U45">
        <f>SUMIFS(数据!$D$3:$D$998,数据!$E$3:$E$998,"稚鱼",数据!$F$3:$F$998,A45,数据!$G$3:$G$998,B45)</f>
        <v>0</v>
      </c>
    </row>
    <row r="46" spans="1:21" ht="19.9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45" t="str">
        <f t="shared" si="0"/>
        <v/>
      </c>
      <c r="M46" s="45" t="str">
        <f t="shared" si="1"/>
        <v/>
      </c>
      <c r="N46" s="39" t="str">
        <f>IF(AND(A46="",B46=""),"",COUNTIFS(数据!$E$3:$E$998,"&lt;&gt;前期仔鱼",数据!$E$3:$E$998,"&lt;&gt;仔鱼",数据!$E$3:$E$998,"&lt;&gt;稚鱼",数据!$F$3:$F$998,A46,数据!$G$3:$G$998,B46))</f>
        <v/>
      </c>
      <c r="O46" s="39" t="str">
        <f>IF(AND(A46="",B46=""),"",COUNTIFS(数据!$E$3:$E$998,"&lt;&gt;鱼卵",数据!$E$3:$E$998,"&lt;&gt;死卵",数据!$F$3:$F$998,A46,数据!$G$3:$G$998,B46))</f>
        <v/>
      </c>
      <c r="P46" s="31"/>
      <c r="Q46">
        <f>SUMIFS(数据!$D$3:$D$998,数据!$E$3:$E$998,"鱼卵",数据!$F$3:$F$998,A46,数据!$G$3:$G$998,B46)</f>
        <v>0</v>
      </c>
      <c r="R46">
        <f>SUMIFS(数据!$D$3:$D$998,数据!$E$3:$E$998,"死卵",数据!$F$3:$F$998,A46,数据!$G$3:$G$998,B46)</f>
        <v>0</v>
      </c>
      <c r="S46">
        <f>SUMIFS(数据!$D$3:$D$998,数据!$E$3:$E$998,"前期仔鱼",数据!$F$3:$F$998,A46,数据!$G$3:$G$998,B46)</f>
        <v>0</v>
      </c>
      <c r="T46">
        <f>SUMIFS(数据!$D$3:$D$998,数据!$E$3:$E$998,"仔鱼",数据!$F$3:$F$998,A46,数据!$G$3:$G$998,B46)</f>
        <v>0</v>
      </c>
      <c r="U46">
        <f>SUMIFS(数据!$D$3:$D$998,数据!$E$3:$E$998,"稚鱼",数据!$F$3:$F$998,A46,数据!$G$3:$G$998,B46)</f>
        <v>0</v>
      </c>
    </row>
    <row r="47" spans="1:21" ht="19.9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45" t="str">
        <f t="shared" si="0"/>
        <v/>
      </c>
      <c r="M47" s="45" t="str">
        <f t="shared" si="1"/>
        <v/>
      </c>
      <c r="N47" s="39" t="str">
        <f>IF(AND(A47="",B47=""),"",COUNTIFS(数据!$E$3:$E$998,"&lt;&gt;前期仔鱼",数据!$E$3:$E$998,"&lt;&gt;仔鱼",数据!$E$3:$E$998,"&lt;&gt;稚鱼",数据!$F$3:$F$998,A47,数据!$G$3:$G$998,B47))</f>
        <v/>
      </c>
      <c r="O47" s="39" t="str">
        <f>IF(AND(A47="",B47=""),"",COUNTIFS(数据!$E$3:$E$998,"&lt;&gt;鱼卵",数据!$E$3:$E$998,"&lt;&gt;死卵",数据!$F$3:$F$998,A47,数据!$G$3:$G$998,B47))</f>
        <v/>
      </c>
      <c r="P47" s="31"/>
      <c r="Q47">
        <f>SUMIFS(数据!$D$3:$D$998,数据!$E$3:$E$998,"鱼卵",数据!$F$3:$F$998,A47,数据!$G$3:$G$998,B47)</f>
        <v>0</v>
      </c>
      <c r="R47">
        <f>SUMIFS(数据!$D$3:$D$998,数据!$E$3:$E$998,"死卵",数据!$F$3:$F$998,A47,数据!$G$3:$G$998,B47)</f>
        <v>0</v>
      </c>
      <c r="S47">
        <f>SUMIFS(数据!$D$3:$D$998,数据!$E$3:$E$998,"前期仔鱼",数据!$F$3:$F$998,A47,数据!$G$3:$G$998,B47)</f>
        <v>0</v>
      </c>
      <c r="T47">
        <f>SUMIFS(数据!$D$3:$D$998,数据!$E$3:$E$998,"仔鱼",数据!$F$3:$F$998,A47,数据!$G$3:$G$998,B47)</f>
        <v>0</v>
      </c>
      <c r="U47">
        <f>SUMIFS(数据!$D$3:$D$998,数据!$E$3:$E$998,"稚鱼",数据!$F$3:$F$998,A47,数据!$G$3:$G$998,B47)</f>
        <v>0</v>
      </c>
    </row>
    <row r="48" spans="1:21" ht="19.9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45" t="str">
        <f t="shared" si="0"/>
        <v/>
      </c>
      <c r="M48" s="45" t="str">
        <f t="shared" si="1"/>
        <v/>
      </c>
      <c r="N48" s="39" t="str">
        <f>IF(AND(A48="",B48=""),"",COUNTIFS(数据!$E$3:$E$998,"&lt;&gt;前期仔鱼",数据!$E$3:$E$998,"&lt;&gt;仔鱼",数据!$E$3:$E$998,"&lt;&gt;稚鱼",数据!$F$3:$F$998,A48,数据!$G$3:$G$998,B48))</f>
        <v/>
      </c>
      <c r="O48" s="39" t="str">
        <f>IF(AND(A48="",B48=""),"",COUNTIFS(数据!$E$3:$E$998,"&lt;&gt;鱼卵",数据!$E$3:$E$998,"&lt;&gt;死卵",数据!$F$3:$F$998,A48,数据!$G$3:$G$998,B48))</f>
        <v/>
      </c>
      <c r="P48" s="31"/>
      <c r="Q48">
        <f>SUMIFS(数据!$D$3:$D$998,数据!$E$3:$E$998,"鱼卵",数据!$F$3:$F$998,A48,数据!$G$3:$G$998,B48)</f>
        <v>0</v>
      </c>
      <c r="R48">
        <f>SUMIFS(数据!$D$3:$D$998,数据!$E$3:$E$998,"死卵",数据!$F$3:$F$998,A48,数据!$G$3:$G$998,B48)</f>
        <v>0</v>
      </c>
      <c r="S48">
        <f>SUMIFS(数据!$D$3:$D$998,数据!$E$3:$E$998,"前期仔鱼",数据!$F$3:$F$998,A48,数据!$G$3:$G$998,B48)</f>
        <v>0</v>
      </c>
      <c r="T48">
        <f>SUMIFS(数据!$D$3:$D$998,数据!$E$3:$E$998,"仔鱼",数据!$F$3:$F$998,A48,数据!$G$3:$G$998,B48)</f>
        <v>0</v>
      </c>
      <c r="U48">
        <f>SUMIFS(数据!$D$3:$D$998,数据!$E$3:$E$998,"稚鱼",数据!$F$3:$F$998,A48,数据!$G$3:$G$998,B48)</f>
        <v>0</v>
      </c>
    </row>
    <row r="49" spans="1:21" ht="19.9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45" t="str">
        <f t="shared" si="0"/>
        <v/>
      </c>
      <c r="M49" s="45" t="str">
        <f t="shared" si="1"/>
        <v/>
      </c>
      <c r="N49" s="39" t="str">
        <f>IF(AND(A49="",B49=""),"",COUNTIFS(数据!$E$3:$E$998,"&lt;&gt;前期仔鱼",数据!$E$3:$E$998,"&lt;&gt;仔鱼",数据!$E$3:$E$998,"&lt;&gt;稚鱼",数据!$F$3:$F$998,A49,数据!$G$3:$G$998,B49))</f>
        <v/>
      </c>
      <c r="O49" s="39" t="str">
        <f>IF(AND(A49="",B49=""),"",COUNTIFS(数据!$E$3:$E$998,"&lt;&gt;鱼卵",数据!$E$3:$E$998,"&lt;&gt;死卵",数据!$F$3:$F$998,A49,数据!$G$3:$G$998,B49))</f>
        <v/>
      </c>
      <c r="P49" s="31"/>
      <c r="Q49">
        <f>SUMIFS(数据!$D$3:$D$998,数据!$E$3:$E$998,"鱼卵",数据!$F$3:$F$998,A49,数据!$G$3:$G$998,B49)</f>
        <v>0</v>
      </c>
      <c r="R49">
        <f>SUMIFS(数据!$D$3:$D$998,数据!$E$3:$E$998,"死卵",数据!$F$3:$F$998,A49,数据!$G$3:$G$998,B49)</f>
        <v>0</v>
      </c>
      <c r="S49">
        <f>SUMIFS(数据!$D$3:$D$998,数据!$E$3:$E$998,"前期仔鱼",数据!$F$3:$F$998,A49,数据!$G$3:$G$998,B49)</f>
        <v>0</v>
      </c>
      <c r="T49">
        <f>SUMIFS(数据!$D$3:$D$998,数据!$E$3:$E$998,"仔鱼",数据!$F$3:$F$998,A49,数据!$G$3:$G$998,B49)</f>
        <v>0</v>
      </c>
      <c r="U49">
        <f>SUMIFS(数据!$D$3:$D$998,数据!$E$3:$E$998,"稚鱼",数据!$F$3:$F$998,A49,数据!$G$3:$G$998,B49)</f>
        <v>0</v>
      </c>
    </row>
    <row r="50" spans="1:21" ht="19.9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45" t="str">
        <f t="shared" si="0"/>
        <v/>
      </c>
      <c r="M50" s="45" t="str">
        <f t="shared" si="1"/>
        <v/>
      </c>
      <c r="N50" s="39" t="str">
        <f>IF(AND(A50="",B50=""),"",COUNTIFS(数据!$E$3:$E$998,"&lt;&gt;前期仔鱼",数据!$E$3:$E$998,"&lt;&gt;仔鱼",数据!$E$3:$E$998,"&lt;&gt;稚鱼",数据!$F$3:$F$998,A50,数据!$G$3:$G$998,B50))</f>
        <v/>
      </c>
      <c r="O50" s="39" t="str">
        <f>IF(AND(A50="",B50=""),"",COUNTIFS(数据!$E$3:$E$998,"&lt;&gt;鱼卵",数据!$E$3:$E$998,"&lt;&gt;死卵",数据!$F$3:$F$998,A50,数据!$G$3:$G$998,B50))</f>
        <v/>
      </c>
      <c r="P50" s="31"/>
      <c r="Q50">
        <f>SUMIFS(数据!$D$3:$D$998,数据!$E$3:$E$998,"鱼卵",数据!$F$3:$F$998,A50,数据!$G$3:$G$998,B50)</f>
        <v>0</v>
      </c>
      <c r="R50">
        <f>SUMIFS(数据!$D$3:$D$998,数据!$E$3:$E$998,"死卵",数据!$F$3:$F$998,A50,数据!$G$3:$G$998,B50)</f>
        <v>0</v>
      </c>
      <c r="S50">
        <f>SUMIFS(数据!$D$3:$D$998,数据!$E$3:$E$998,"前期仔鱼",数据!$F$3:$F$998,A50,数据!$G$3:$G$998,B50)</f>
        <v>0</v>
      </c>
      <c r="T50">
        <f>SUMIFS(数据!$D$3:$D$998,数据!$E$3:$E$998,"仔鱼",数据!$F$3:$F$998,A50,数据!$G$3:$G$998,B50)</f>
        <v>0</v>
      </c>
      <c r="U50">
        <f>SUMIFS(数据!$D$3:$D$998,数据!$E$3:$E$998,"稚鱼",数据!$F$3:$F$998,A50,数据!$G$3:$G$998,B50)</f>
        <v>0</v>
      </c>
    </row>
    <row r="51" spans="1:21" ht="19.9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45" t="str">
        <f t="shared" si="0"/>
        <v/>
      </c>
      <c r="M51" s="45" t="str">
        <f t="shared" si="1"/>
        <v/>
      </c>
      <c r="N51" s="39" t="str">
        <f>IF(AND(A51="",B51=""),"",COUNTIFS(数据!$E$3:$E$998,"&lt;&gt;前期仔鱼",数据!$E$3:$E$998,"&lt;&gt;仔鱼",数据!$E$3:$E$998,"&lt;&gt;稚鱼",数据!$F$3:$F$998,A51,数据!$G$3:$G$998,B51))</f>
        <v/>
      </c>
      <c r="O51" s="39" t="str">
        <f>IF(AND(A51="",B51=""),"",COUNTIFS(数据!$E$3:$E$998,"&lt;&gt;鱼卵",数据!$E$3:$E$998,"&lt;&gt;死卵",数据!$F$3:$F$998,A51,数据!$G$3:$G$998,B51))</f>
        <v/>
      </c>
      <c r="P51" s="31"/>
      <c r="Q51">
        <f>SUMIFS(数据!$D$3:$D$998,数据!$E$3:$E$998,"鱼卵",数据!$F$3:$F$998,A51,数据!$G$3:$G$998,B51)</f>
        <v>0</v>
      </c>
      <c r="R51">
        <f>SUMIFS(数据!$D$3:$D$998,数据!$E$3:$E$998,"死卵",数据!$F$3:$F$998,A51,数据!$G$3:$G$998,B51)</f>
        <v>0</v>
      </c>
      <c r="S51">
        <f>SUMIFS(数据!$D$3:$D$998,数据!$E$3:$E$998,"前期仔鱼",数据!$F$3:$F$998,A51,数据!$G$3:$G$998,B51)</f>
        <v>0</v>
      </c>
      <c r="T51">
        <f>SUMIFS(数据!$D$3:$D$998,数据!$E$3:$E$998,"仔鱼",数据!$F$3:$F$998,A51,数据!$G$3:$G$998,B51)</f>
        <v>0</v>
      </c>
      <c r="U51">
        <f>SUMIFS(数据!$D$3:$D$998,数据!$E$3:$E$998,"稚鱼",数据!$F$3:$F$998,A51,数据!$G$3:$G$998,B51)</f>
        <v>0</v>
      </c>
    </row>
    <row r="52" spans="1:21" ht="19.9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45" t="str">
        <f t="shared" si="0"/>
        <v/>
      </c>
      <c r="M52" s="45" t="str">
        <f t="shared" si="1"/>
        <v/>
      </c>
      <c r="N52" s="39" t="str">
        <f>IF(AND(A52="",B52=""),"",COUNTIFS(数据!$E$3:$E$998,"&lt;&gt;前期仔鱼",数据!$E$3:$E$998,"&lt;&gt;仔鱼",数据!$E$3:$E$998,"&lt;&gt;稚鱼",数据!$F$3:$F$998,A52,数据!$G$3:$G$998,B52))</f>
        <v/>
      </c>
      <c r="O52" s="39" t="str">
        <f>IF(AND(A52="",B52=""),"",COUNTIFS(数据!$E$3:$E$998,"&lt;&gt;鱼卵",数据!$E$3:$E$998,"&lt;&gt;死卵",数据!$F$3:$F$998,A52,数据!$G$3:$G$998,B52))</f>
        <v/>
      </c>
      <c r="P52" s="31"/>
      <c r="Q52">
        <f>SUMIFS(数据!$D$3:$D$998,数据!$E$3:$E$998,"鱼卵",数据!$F$3:$F$998,A52,数据!$G$3:$G$998,B52)</f>
        <v>0</v>
      </c>
      <c r="R52">
        <f>SUMIFS(数据!$D$3:$D$998,数据!$E$3:$E$998,"死卵",数据!$F$3:$F$998,A52,数据!$G$3:$G$998,B52)</f>
        <v>0</v>
      </c>
      <c r="S52">
        <f>SUMIFS(数据!$D$3:$D$998,数据!$E$3:$E$998,"前期仔鱼",数据!$F$3:$F$998,A52,数据!$G$3:$G$998,B52)</f>
        <v>0</v>
      </c>
      <c r="T52">
        <f>SUMIFS(数据!$D$3:$D$998,数据!$E$3:$E$998,"仔鱼",数据!$F$3:$F$998,A52,数据!$G$3:$G$998,B52)</f>
        <v>0</v>
      </c>
      <c r="U52">
        <f>SUMIFS(数据!$D$3:$D$998,数据!$E$3:$E$998,"稚鱼",数据!$F$3:$F$998,A52,数据!$G$3:$G$998,B52)</f>
        <v>0</v>
      </c>
    </row>
    <row r="53" spans="1:21" ht="19.9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45" t="str">
        <f t="shared" si="0"/>
        <v/>
      </c>
      <c r="M53" s="45" t="str">
        <f t="shared" si="1"/>
        <v/>
      </c>
      <c r="N53" s="39" t="str">
        <f>IF(AND(A53="",B53=""),"",COUNTIFS(数据!$E$3:$E$998,"&lt;&gt;前期仔鱼",数据!$E$3:$E$998,"&lt;&gt;仔鱼",数据!$E$3:$E$998,"&lt;&gt;稚鱼",数据!$F$3:$F$998,A53,数据!$G$3:$G$998,B53))</f>
        <v/>
      </c>
      <c r="O53" s="39" t="str">
        <f>IF(AND(A53="",B53=""),"",COUNTIFS(数据!$E$3:$E$998,"&lt;&gt;鱼卵",数据!$E$3:$E$998,"&lt;&gt;死卵",数据!$F$3:$F$998,A53,数据!$G$3:$G$998,B53))</f>
        <v/>
      </c>
      <c r="P53" s="31"/>
      <c r="Q53">
        <f>SUMIFS(数据!$D$3:$D$998,数据!$E$3:$E$998,"鱼卵",数据!$F$3:$F$998,A53,数据!$G$3:$G$998,B53)</f>
        <v>0</v>
      </c>
      <c r="R53">
        <f>SUMIFS(数据!$D$3:$D$998,数据!$E$3:$E$998,"死卵",数据!$F$3:$F$998,A53,数据!$G$3:$G$998,B53)</f>
        <v>0</v>
      </c>
      <c r="S53">
        <f>SUMIFS(数据!$D$3:$D$998,数据!$E$3:$E$998,"前期仔鱼",数据!$F$3:$F$998,A53,数据!$G$3:$G$998,B53)</f>
        <v>0</v>
      </c>
      <c r="T53">
        <f>SUMIFS(数据!$D$3:$D$998,数据!$E$3:$E$998,"仔鱼",数据!$F$3:$F$998,A53,数据!$G$3:$G$998,B53)</f>
        <v>0</v>
      </c>
      <c r="U53">
        <f>SUMIFS(数据!$D$3:$D$998,数据!$E$3:$E$998,"稚鱼",数据!$F$3:$F$998,A53,数据!$G$3:$G$998,B53)</f>
        <v>0</v>
      </c>
    </row>
    <row r="54" spans="1:21" ht="19.9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45" t="str">
        <f t="shared" si="0"/>
        <v/>
      </c>
      <c r="M54" s="45" t="str">
        <f t="shared" si="1"/>
        <v/>
      </c>
      <c r="N54" s="39" t="str">
        <f>IF(AND(A54="",B54=""),"",COUNTIFS(数据!$E$3:$E$998,"&lt;&gt;前期仔鱼",数据!$E$3:$E$998,"&lt;&gt;仔鱼",数据!$E$3:$E$998,"&lt;&gt;稚鱼",数据!$F$3:$F$998,A54,数据!$G$3:$G$998,B54))</f>
        <v/>
      </c>
      <c r="O54" s="39" t="str">
        <f>IF(AND(A54="",B54=""),"",COUNTIFS(数据!$E$3:$E$998,"&lt;&gt;鱼卵",数据!$E$3:$E$998,"&lt;&gt;死卵",数据!$F$3:$F$998,A54,数据!$G$3:$G$998,B54))</f>
        <v/>
      </c>
      <c r="P54" s="31"/>
      <c r="Q54">
        <f>SUMIFS(数据!$D$3:$D$998,数据!$E$3:$E$998,"鱼卵",数据!$F$3:$F$998,A54,数据!$G$3:$G$998,B54)</f>
        <v>0</v>
      </c>
      <c r="R54">
        <f>SUMIFS(数据!$D$3:$D$998,数据!$E$3:$E$998,"死卵",数据!$F$3:$F$998,A54,数据!$G$3:$G$998,B54)</f>
        <v>0</v>
      </c>
      <c r="S54">
        <f>SUMIFS(数据!$D$3:$D$998,数据!$E$3:$E$998,"前期仔鱼",数据!$F$3:$F$998,A54,数据!$G$3:$G$998,B54)</f>
        <v>0</v>
      </c>
      <c r="T54">
        <f>SUMIFS(数据!$D$3:$D$998,数据!$E$3:$E$998,"仔鱼",数据!$F$3:$F$998,A54,数据!$G$3:$G$998,B54)</f>
        <v>0</v>
      </c>
      <c r="U54">
        <f>SUMIFS(数据!$D$3:$D$998,数据!$E$3:$E$998,"稚鱼",数据!$F$3:$F$998,A54,数据!$G$3:$G$998,B54)</f>
        <v>0</v>
      </c>
    </row>
    <row r="55" spans="1:21" ht="19.9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45" t="str">
        <f t="shared" si="0"/>
        <v/>
      </c>
      <c r="M55" s="45" t="str">
        <f t="shared" si="1"/>
        <v/>
      </c>
      <c r="N55" s="39" t="str">
        <f>IF(AND(A55="",B55=""),"",COUNTIFS(数据!$E$3:$E$998,"&lt;&gt;前期仔鱼",数据!$E$3:$E$998,"&lt;&gt;仔鱼",数据!$E$3:$E$998,"&lt;&gt;稚鱼",数据!$F$3:$F$998,A55,数据!$G$3:$G$998,B55))</f>
        <v/>
      </c>
      <c r="O55" s="39" t="str">
        <f>IF(AND(A55="",B55=""),"",COUNTIFS(数据!$E$3:$E$998,"&lt;&gt;鱼卵",数据!$E$3:$E$998,"&lt;&gt;死卵",数据!$F$3:$F$998,A55,数据!$G$3:$G$998,B55))</f>
        <v/>
      </c>
      <c r="P55" s="31"/>
      <c r="Q55">
        <f>SUMIFS(数据!$D$3:$D$998,数据!$E$3:$E$998,"鱼卵",数据!$F$3:$F$998,A55,数据!$G$3:$G$998,B55)</f>
        <v>0</v>
      </c>
      <c r="R55">
        <f>SUMIFS(数据!$D$3:$D$998,数据!$E$3:$E$998,"死卵",数据!$F$3:$F$998,A55,数据!$G$3:$G$998,B55)</f>
        <v>0</v>
      </c>
      <c r="S55">
        <f>SUMIFS(数据!$D$3:$D$998,数据!$E$3:$E$998,"前期仔鱼",数据!$F$3:$F$998,A55,数据!$G$3:$G$998,B55)</f>
        <v>0</v>
      </c>
      <c r="T55">
        <f>SUMIFS(数据!$D$3:$D$998,数据!$E$3:$E$998,"仔鱼",数据!$F$3:$F$998,A55,数据!$G$3:$G$998,B55)</f>
        <v>0</v>
      </c>
      <c r="U55">
        <f>SUMIFS(数据!$D$3:$D$998,数据!$E$3:$E$998,"稚鱼",数据!$F$3:$F$998,A55,数据!$G$3:$G$998,B55)</f>
        <v>0</v>
      </c>
    </row>
    <row r="56" spans="1:21" ht="19.9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45" t="str">
        <f t="shared" si="0"/>
        <v/>
      </c>
      <c r="M56" s="45" t="str">
        <f t="shared" si="1"/>
        <v/>
      </c>
      <c r="N56" s="39" t="str">
        <f>IF(AND(A56="",B56=""),"",COUNTIFS(数据!$E$3:$E$998,"&lt;&gt;前期仔鱼",数据!$E$3:$E$998,"&lt;&gt;仔鱼",数据!$E$3:$E$998,"&lt;&gt;稚鱼",数据!$F$3:$F$998,A56,数据!$G$3:$G$998,B56))</f>
        <v/>
      </c>
      <c r="O56" s="39" t="str">
        <f>IF(AND(A56="",B56=""),"",COUNTIFS(数据!$E$3:$E$998,"&lt;&gt;鱼卵",数据!$E$3:$E$998,"&lt;&gt;死卵",数据!$F$3:$F$998,A56,数据!$G$3:$G$998,B56))</f>
        <v/>
      </c>
      <c r="P56" s="31"/>
      <c r="Q56">
        <f>SUMIFS(数据!$D$3:$D$998,数据!$E$3:$E$998,"鱼卵",数据!$F$3:$F$998,A56,数据!$G$3:$G$998,B56)</f>
        <v>0</v>
      </c>
      <c r="R56">
        <f>SUMIFS(数据!$D$3:$D$998,数据!$E$3:$E$998,"死卵",数据!$F$3:$F$998,A56,数据!$G$3:$G$998,B56)</f>
        <v>0</v>
      </c>
      <c r="S56">
        <f>SUMIFS(数据!$D$3:$D$998,数据!$E$3:$E$998,"前期仔鱼",数据!$F$3:$F$998,A56,数据!$G$3:$G$998,B56)</f>
        <v>0</v>
      </c>
      <c r="T56">
        <f>SUMIFS(数据!$D$3:$D$998,数据!$E$3:$E$998,"仔鱼",数据!$F$3:$F$998,A56,数据!$G$3:$G$998,B56)</f>
        <v>0</v>
      </c>
      <c r="U56">
        <f>SUMIFS(数据!$D$3:$D$998,数据!$E$3:$E$998,"稚鱼",数据!$F$3:$F$998,A56,数据!$G$3:$G$998,B56)</f>
        <v>0</v>
      </c>
    </row>
    <row r="57" spans="1:21" ht="19.9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45" t="str">
        <f t="shared" si="0"/>
        <v/>
      </c>
      <c r="M57" s="45" t="str">
        <f t="shared" si="1"/>
        <v/>
      </c>
      <c r="N57" s="39" t="str">
        <f>IF(AND(A57="",B57=""),"",COUNTIFS(数据!$E$3:$E$998,"&lt;&gt;前期仔鱼",数据!$E$3:$E$998,"&lt;&gt;仔鱼",数据!$E$3:$E$998,"&lt;&gt;稚鱼",数据!$F$3:$F$998,A57,数据!$G$3:$G$998,B57))</f>
        <v/>
      </c>
      <c r="O57" s="39" t="str">
        <f>IF(AND(A57="",B57=""),"",COUNTIFS(数据!$E$3:$E$998,"&lt;&gt;鱼卵",数据!$E$3:$E$998,"&lt;&gt;死卵",数据!$F$3:$F$998,A57,数据!$G$3:$G$998,B57))</f>
        <v/>
      </c>
      <c r="P57" s="31"/>
      <c r="Q57">
        <f>SUMIFS(数据!$D$3:$D$998,数据!$E$3:$E$998,"鱼卵",数据!$F$3:$F$998,A57,数据!$G$3:$G$998,B57)</f>
        <v>0</v>
      </c>
      <c r="R57">
        <f>SUMIFS(数据!$D$3:$D$998,数据!$E$3:$E$998,"死卵",数据!$F$3:$F$998,A57,数据!$G$3:$G$998,B57)</f>
        <v>0</v>
      </c>
      <c r="S57">
        <f>SUMIFS(数据!$D$3:$D$998,数据!$E$3:$E$998,"前期仔鱼",数据!$F$3:$F$998,A57,数据!$G$3:$G$998,B57)</f>
        <v>0</v>
      </c>
      <c r="T57">
        <f>SUMIFS(数据!$D$3:$D$998,数据!$E$3:$E$998,"仔鱼",数据!$F$3:$F$998,A57,数据!$G$3:$G$998,B57)</f>
        <v>0</v>
      </c>
      <c r="U57">
        <f>SUMIFS(数据!$D$3:$D$998,数据!$E$3:$E$998,"稚鱼",数据!$F$3:$F$998,A57,数据!$G$3:$G$998,B57)</f>
        <v>0</v>
      </c>
    </row>
    <row r="58" spans="1:21" ht="19.9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45" t="str">
        <f t="shared" si="0"/>
        <v/>
      </c>
      <c r="M58" s="45" t="str">
        <f t="shared" si="1"/>
        <v/>
      </c>
      <c r="N58" s="39" t="str">
        <f>IF(AND(A58="",B58=""),"",COUNTIFS(数据!$E$3:$E$998,"&lt;&gt;前期仔鱼",数据!$E$3:$E$998,"&lt;&gt;仔鱼",数据!$E$3:$E$998,"&lt;&gt;稚鱼",数据!$F$3:$F$998,A58,数据!$G$3:$G$998,B58))</f>
        <v/>
      </c>
      <c r="O58" s="39" t="str">
        <f>IF(AND(A58="",B58=""),"",COUNTIFS(数据!$E$3:$E$998,"&lt;&gt;鱼卵",数据!$E$3:$E$998,"&lt;&gt;死卵",数据!$F$3:$F$998,A58,数据!$G$3:$G$998,B58))</f>
        <v/>
      </c>
      <c r="P58" s="31"/>
      <c r="Q58">
        <f>SUMIFS(数据!$D$3:$D$998,数据!$E$3:$E$998,"鱼卵",数据!$F$3:$F$998,A58,数据!$G$3:$G$998,B58)</f>
        <v>0</v>
      </c>
      <c r="R58">
        <f>SUMIFS(数据!$D$3:$D$998,数据!$E$3:$E$998,"死卵",数据!$F$3:$F$998,A58,数据!$G$3:$G$998,B58)</f>
        <v>0</v>
      </c>
      <c r="S58">
        <f>SUMIFS(数据!$D$3:$D$998,数据!$E$3:$E$998,"前期仔鱼",数据!$F$3:$F$998,A58,数据!$G$3:$G$998,B58)</f>
        <v>0</v>
      </c>
      <c r="T58">
        <f>SUMIFS(数据!$D$3:$D$998,数据!$E$3:$E$998,"仔鱼",数据!$F$3:$F$998,A58,数据!$G$3:$G$998,B58)</f>
        <v>0</v>
      </c>
      <c r="U58">
        <f>SUMIFS(数据!$D$3:$D$998,数据!$E$3:$E$998,"稚鱼",数据!$F$3:$F$998,A58,数据!$G$3:$G$998,B58)</f>
        <v>0</v>
      </c>
    </row>
    <row r="59" spans="1:21" ht="19.9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45" t="str">
        <f t="shared" si="0"/>
        <v/>
      </c>
      <c r="M59" s="45" t="str">
        <f t="shared" si="1"/>
        <v/>
      </c>
      <c r="N59" s="39" t="str">
        <f>IF(AND(A59="",B59=""),"",COUNTIFS(数据!$E$3:$E$998,"&lt;&gt;前期仔鱼",数据!$E$3:$E$998,"&lt;&gt;仔鱼",数据!$E$3:$E$998,"&lt;&gt;稚鱼",数据!$F$3:$F$998,A59,数据!$G$3:$G$998,B59))</f>
        <v/>
      </c>
      <c r="O59" s="39" t="str">
        <f>IF(AND(A59="",B59=""),"",COUNTIFS(数据!$E$3:$E$998,"&lt;&gt;鱼卵",数据!$E$3:$E$998,"&lt;&gt;死卵",数据!$F$3:$F$998,A59,数据!$G$3:$G$998,B59))</f>
        <v/>
      </c>
      <c r="P59" s="31"/>
      <c r="Q59">
        <f>SUMIFS(数据!$D$3:$D$998,数据!$E$3:$E$998,"鱼卵",数据!$F$3:$F$998,A59,数据!$G$3:$G$998,B59)</f>
        <v>0</v>
      </c>
      <c r="R59">
        <f>SUMIFS(数据!$D$3:$D$998,数据!$E$3:$E$998,"死卵",数据!$F$3:$F$998,A59,数据!$G$3:$G$998,B59)</f>
        <v>0</v>
      </c>
      <c r="S59">
        <f>SUMIFS(数据!$D$3:$D$998,数据!$E$3:$E$998,"前期仔鱼",数据!$F$3:$F$998,A59,数据!$G$3:$G$998,B59)</f>
        <v>0</v>
      </c>
      <c r="T59">
        <f>SUMIFS(数据!$D$3:$D$998,数据!$E$3:$E$998,"仔鱼",数据!$F$3:$F$998,A59,数据!$G$3:$G$998,B59)</f>
        <v>0</v>
      </c>
      <c r="U59">
        <f>SUMIFS(数据!$D$3:$D$998,数据!$E$3:$E$998,"稚鱼",数据!$F$3:$F$998,A59,数据!$G$3:$G$998,B59)</f>
        <v>0</v>
      </c>
    </row>
    <row r="60" spans="1:21" ht="19.9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45" t="str">
        <f t="shared" si="0"/>
        <v/>
      </c>
      <c r="M60" s="45" t="str">
        <f t="shared" si="1"/>
        <v/>
      </c>
      <c r="N60" s="39" t="str">
        <f>IF(AND(A60="",B60=""),"",COUNTIFS(数据!$E$3:$E$998,"&lt;&gt;前期仔鱼",数据!$E$3:$E$998,"&lt;&gt;仔鱼",数据!$E$3:$E$998,"&lt;&gt;稚鱼",数据!$F$3:$F$998,A60,数据!$G$3:$G$998,B60))</f>
        <v/>
      </c>
      <c r="O60" s="39" t="str">
        <f>IF(AND(A60="",B60=""),"",COUNTIFS(数据!$E$3:$E$998,"&lt;&gt;鱼卵",数据!$E$3:$E$998,"&lt;&gt;死卵",数据!$F$3:$F$998,A60,数据!$G$3:$G$998,B60))</f>
        <v/>
      </c>
      <c r="P60" s="31"/>
      <c r="Q60">
        <f>SUMIFS(数据!$D$3:$D$998,数据!$E$3:$E$998,"鱼卵",数据!$F$3:$F$998,A60,数据!$G$3:$G$998,B60)</f>
        <v>0</v>
      </c>
      <c r="R60">
        <f>SUMIFS(数据!$D$3:$D$998,数据!$E$3:$E$998,"死卵",数据!$F$3:$F$998,A60,数据!$G$3:$G$998,B60)</f>
        <v>0</v>
      </c>
      <c r="S60">
        <f>SUMIFS(数据!$D$3:$D$998,数据!$E$3:$E$998,"前期仔鱼",数据!$F$3:$F$998,A60,数据!$G$3:$G$998,B60)</f>
        <v>0</v>
      </c>
      <c r="T60">
        <f>SUMIFS(数据!$D$3:$D$998,数据!$E$3:$E$998,"仔鱼",数据!$F$3:$F$998,A60,数据!$G$3:$G$998,B60)</f>
        <v>0</v>
      </c>
      <c r="U60">
        <f>SUMIFS(数据!$D$3:$D$998,数据!$E$3:$E$998,"稚鱼",数据!$F$3:$F$998,A60,数据!$G$3:$G$998,B60)</f>
        <v>0</v>
      </c>
    </row>
    <row r="61" spans="1:21" ht="19.9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45" t="str">
        <f t="shared" si="0"/>
        <v/>
      </c>
      <c r="M61" s="45" t="str">
        <f t="shared" si="1"/>
        <v/>
      </c>
      <c r="N61" s="39" t="str">
        <f>IF(AND(A61="",B61=""),"",COUNTIFS(数据!$E$3:$E$998,"&lt;&gt;前期仔鱼",数据!$E$3:$E$998,"&lt;&gt;仔鱼",数据!$E$3:$E$998,"&lt;&gt;稚鱼",数据!$F$3:$F$998,A61,数据!$G$3:$G$998,B61))</f>
        <v/>
      </c>
      <c r="O61" s="39" t="str">
        <f>IF(AND(A61="",B61=""),"",COUNTIFS(数据!$E$3:$E$998,"&lt;&gt;鱼卵",数据!$E$3:$E$998,"&lt;&gt;死卵",数据!$F$3:$F$998,A61,数据!$G$3:$G$998,B61))</f>
        <v/>
      </c>
      <c r="P61" s="31"/>
      <c r="Q61">
        <f>SUMIFS(数据!$D$3:$D$998,数据!$E$3:$E$998,"鱼卵",数据!$F$3:$F$998,A61,数据!$G$3:$G$998,B61)</f>
        <v>0</v>
      </c>
      <c r="R61">
        <f>SUMIFS(数据!$D$3:$D$998,数据!$E$3:$E$998,"死卵",数据!$F$3:$F$998,A61,数据!$G$3:$G$998,B61)</f>
        <v>0</v>
      </c>
      <c r="S61">
        <f>SUMIFS(数据!$D$3:$D$998,数据!$E$3:$E$998,"前期仔鱼",数据!$F$3:$F$998,A61,数据!$G$3:$G$998,B61)</f>
        <v>0</v>
      </c>
      <c r="T61">
        <f>SUMIFS(数据!$D$3:$D$998,数据!$E$3:$E$998,"仔鱼",数据!$F$3:$F$998,A61,数据!$G$3:$G$998,B61)</f>
        <v>0</v>
      </c>
      <c r="U61">
        <f>SUMIFS(数据!$D$3:$D$998,数据!$E$3:$E$998,"稚鱼",数据!$F$3:$F$998,A61,数据!$G$3:$G$998,B61)</f>
        <v>0</v>
      </c>
    </row>
    <row r="62" spans="1:21" ht="19.9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45" t="str">
        <f t="shared" si="0"/>
        <v/>
      </c>
      <c r="M62" s="45" t="str">
        <f t="shared" si="1"/>
        <v/>
      </c>
      <c r="N62" s="39" t="str">
        <f>IF(AND(A62="",B62=""),"",COUNTIFS(数据!$E$3:$E$998,"&lt;&gt;前期仔鱼",数据!$E$3:$E$998,"&lt;&gt;仔鱼",数据!$E$3:$E$998,"&lt;&gt;稚鱼",数据!$F$3:$F$998,A62,数据!$G$3:$G$998,B62))</f>
        <v/>
      </c>
      <c r="O62" s="39" t="str">
        <f>IF(AND(A62="",B62=""),"",COUNTIFS(数据!$E$3:$E$998,"&lt;&gt;鱼卵",数据!$E$3:$E$998,"&lt;&gt;死卵",数据!$F$3:$F$998,A62,数据!$G$3:$G$998,B62))</f>
        <v/>
      </c>
      <c r="P62" s="31"/>
      <c r="Q62">
        <f>SUMIFS(数据!$D$3:$D$998,数据!$E$3:$E$998,"鱼卵",数据!$F$3:$F$998,A62,数据!$G$3:$G$998,B62)</f>
        <v>0</v>
      </c>
      <c r="R62">
        <f>SUMIFS(数据!$D$3:$D$998,数据!$E$3:$E$998,"死卵",数据!$F$3:$F$998,A62,数据!$G$3:$G$998,B62)</f>
        <v>0</v>
      </c>
      <c r="S62">
        <f>SUMIFS(数据!$D$3:$D$998,数据!$E$3:$E$998,"前期仔鱼",数据!$F$3:$F$998,A62,数据!$G$3:$G$998,B62)</f>
        <v>0</v>
      </c>
      <c r="T62">
        <f>SUMIFS(数据!$D$3:$D$998,数据!$E$3:$E$998,"仔鱼",数据!$F$3:$F$998,A62,数据!$G$3:$G$998,B62)</f>
        <v>0</v>
      </c>
      <c r="U62">
        <f>SUMIFS(数据!$D$3:$D$998,数据!$E$3:$E$998,"稚鱼",数据!$F$3:$F$998,A62,数据!$G$3:$G$998,B62)</f>
        <v>0</v>
      </c>
    </row>
    <row r="63" spans="1:21" ht="19.9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45" t="str">
        <f t="shared" si="0"/>
        <v/>
      </c>
      <c r="M63" s="45" t="str">
        <f t="shared" si="1"/>
        <v/>
      </c>
      <c r="N63" s="39" t="str">
        <f>IF(AND(A63="",B63=""),"",COUNTIFS(数据!$E$3:$E$998,"&lt;&gt;前期仔鱼",数据!$E$3:$E$998,"&lt;&gt;仔鱼",数据!$E$3:$E$998,"&lt;&gt;稚鱼",数据!$F$3:$F$998,A63,数据!$G$3:$G$998,B63))</f>
        <v/>
      </c>
      <c r="O63" s="39" t="str">
        <f>IF(AND(A63="",B63=""),"",COUNTIFS(数据!$E$3:$E$998,"&lt;&gt;鱼卵",数据!$E$3:$E$998,"&lt;&gt;死卵",数据!$F$3:$F$998,A63,数据!$G$3:$G$998,B63))</f>
        <v/>
      </c>
      <c r="P63" s="31"/>
      <c r="Q63">
        <f>SUMIFS(数据!$D$3:$D$998,数据!$E$3:$E$998,"鱼卵",数据!$F$3:$F$998,A63,数据!$G$3:$G$998,B63)</f>
        <v>0</v>
      </c>
      <c r="R63">
        <f>SUMIFS(数据!$D$3:$D$998,数据!$E$3:$E$998,"死卵",数据!$F$3:$F$998,A63,数据!$G$3:$G$998,B63)</f>
        <v>0</v>
      </c>
      <c r="S63">
        <f>SUMIFS(数据!$D$3:$D$998,数据!$E$3:$E$998,"前期仔鱼",数据!$F$3:$F$998,A63,数据!$G$3:$G$998,B63)</f>
        <v>0</v>
      </c>
      <c r="T63">
        <f>SUMIFS(数据!$D$3:$D$998,数据!$E$3:$E$998,"仔鱼",数据!$F$3:$F$998,A63,数据!$G$3:$G$998,B63)</f>
        <v>0</v>
      </c>
      <c r="U63">
        <f>SUMIFS(数据!$D$3:$D$998,数据!$E$3:$E$998,"稚鱼",数据!$F$3:$F$998,A63,数据!$G$3:$G$998,B63)</f>
        <v>0</v>
      </c>
    </row>
    <row r="64" spans="1:21" ht="19.9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45" t="str">
        <f t="shared" si="0"/>
        <v/>
      </c>
      <c r="M64" s="45" t="str">
        <f t="shared" si="1"/>
        <v/>
      </c>
      <c r="N64" s="39" t="str">
        <f>IF(AND(A64="",B64=""),"",COUNTIFS(数据!$E$3:$E$998,"&lt;&gt;前期仔鱼",数据!$E$3:$E$998,"&lt;&gt;仔鱼",数据!$E$3:$E$998,"&lt;&gt;稚鱼",数据!$F$3:$F$998,A64,数据!$G$3:$G$998,B64))</f>
        <v/>
      </c>
      <c r="O64" s="39" t="str">
        <f>IF(AND(A64="",B64=""),"",COUNTIFS(数据!$E$3:$E$998,"&lt;&gt;鱼卵",数据!$E$3:$E$998,"&lt;&gt;死卵",数据!$F$3:$F$998,A64,数据!$G$3:$G$998,B64))</f>
        <v/>
      </c>
      <c r="P64" s="31"/>
      <c r="Q64">
        <f>SUMIFS(数据!$D$3:$D$998,数据!$E$3:$E$998,"鱼卵",数据!$F$3:$F$998,A64,数据!$G$3:$G$998,B64)</f>
        <v>0</v>
      </c>
      <c r="R64">
        <f>SUMIFS(数据!$D$3:$D$998,数据!$E$3:$E$998,"死卵",数据!$F$3:$F$998,A64,数据!$G$3:$G$998,B64)</f>
        <v>0</v>
      </c>
      <c r="S64">
        <f>SUMIFS(数据!$D$3:$D$998,数据!$E$3:$E$998,"前期仔鱼",数据!$F$3:$F$998,A64,数据!$G$3:$G$998,B64)</f>
        <v>0</v>
      </c>
      <c r="T64">
        <f>SUMIFS(数据!$D$3:$D$998,数据!$E$3:$E$998,"仔鱼",数据!$F$3:$F$998,A64,数据!$G$3:$G$998,B64)</f>
        <v>0</v>
      </c>
      <c r="U64">
        <f>SUMIFS(数据!$D$3:$D$998,数据!$E$3:$E$998,"稚鱼",数据!$F$3:$F$998,A64,数据!$G$3:$G$998,B64)</f>
        <v>0</v>
      </c>
    </row>
    <row r="65" spans="1:21" ht="19.9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45" t="str">
        <f t="shared" si="0"/>
        <v/>
      </c>
      <c r="M65" s="45" t="str">
        <f t="shared" si="1"/>
        <v/>
      </c>
      <c r="N65" s="39" t="str">
        <f>IF(AND(A65="",B65=""),"",COUNTIFS(数据!$E$3:$E$998,"&lt;&gt;前期仔鱼",数据!$E$3:$E$998,"&lt;&gt;仔鱼",数据!$E$3:$E$998,"&lt;&gt;稚鱼",数据!$F$3:$F$998,A65,数据!$G$3:$G$998,B65))</f>
        <v/>
      </c>
      <c r="O65" s="39" t="str">
        <f>IF(AND(A65="",B65=""),"",COUNTIFS(数据!$E$3:$E$998,"&lt;&gt;鱼卵",数据!$E$3:$E$998,"&lt;&gt;死卵",数据!$F$3:$F$998,A65,数据!$G$3:$G$998,B65))</f>
        <v/>
      </c>
      <c r="P65" s="31"/>
      <c r="Q65">
        <f>SUMIFS(数据!$D$3:$D$998,数据!$E$3:$E$998,"鱼卵",数据!$F$3:$F$998,A65,数据!$G$3:$G$998,B65)</f>
        <v>0</v>
      </c>
      <c r="R65">
        <f>SUMIFS(数据!$D$3:$D$998,数据!$E$3:$E$998,"死卵",数据!$F$3:$F$998,A65,数据!$G$3:$G$998,B65)</f>
        <v>0</v>
      </c>
      <c r="S65">
        <f>SUMIFS(数据!$D$3:$D$998,数据!$E$3:$E$998,"前期仔鱼",数据!$F$3:$F$998,A65,数据!$G$3:$G$998,B65)</f>
        <v>0</v>
      </c>
      <c r="T65">
        <f>SUMIFS(数据!$D$3:$D$998,数据!$E$3:$E$998,"仔鱼",数据!$F$3:$F$998,A65,数据!$G$3:$G$998,B65)</f>
        <v>0</v>
      </c>
      <c r="U65">
        <f>SUMIFS(数据!$D$3:$D$998,数据!$E$3:$E$998,"稚鱼",数据!$F$3:$F$998,A65,数据!$G$3:$G$998,B65)</f>
        <v>0</v>
      </c>
    </row>
    <row r="66" spans="1:21" ht="19.9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45" t="str">
        <f t="shared" si="0"/>
        <v/>
      </c>
      <c r="M66" s="45" t="str">
        <f t="shared" si="1"/>
        <v/>
      </c>
      <c r="N66" s="39" t="str">
        <f>IF(AND(A66="",B66=""),"",COUNTIFS(数据!$E$3:$E$998,"&lt;&gt;前期仔鱼",数据!$E$3:$E$998,"&lt;&gt;仔鱼",数据!$E$3:$E$998,"&lt;&gt;稚鱼",数据!$F$3:$F$998,A66,数据!$G$3:$G$998,B66))</f>
        <v/>
      </c>
      <c r="O66" s="39" t="str">
        <f>IF(AND(A66="",B66=""),"",COUNTIFS(数据!$E$3:$E$998,"&lt;&gt;鱼卵",数据!$E$3:$E$998,"&lt;&gt;死卵",数据!$F$3:$F$998,A66,数据!$G$3:$G$998,B66))</f>
        <v/>
      </c>
      <c r="P66" s="31"/>
      <c r="Q66">
        <f>SUMIFS(数据!$D$3:$D$998,数据!$E$3:$E$998,"鱼卵",数据!$F$3:$F$998,A66,数据!$G$3:$G$998,B66)</f>
        <v>0</v>
      </c>
      <c r="R66">
        <f>SUMIFS(数据!$D$3:$D$998,数据!$E$3:$E$998,"死卵",数据!$F$3:$F$998,A66,数据!$G$3:$G$998,B66)</f>
        <v>0</v>
      </c>
      <c r="S66">
        <f>SUMIFS(数据!$D$3:$D$998,数据!$E$3:$E$998,"前期仔鱼",数据!$F$3:$F$998,A66,数据!$G$3:$G$998,B66)</f>
        <v>0</v>
      </c>
      <c r="T66">
        <f>SUMIFS(数据!$D$3:$D$998,数据!$E$3:$E$998,"仔鱼",数据!$F$3:$F$998,A66,数据!$G$3:$G$998,B66)</f>
        <v>0</v>
      </c>
      <c r="U66">
        <f>SUMIFS(数据!$D$3:$D$998,数据!$E$3:$E$998,"稚鱼",数据!$F$3:$F$998,A66,数据!$G$3:$G$998,B66)</f>
        <v>0</v>
      </c>
    </row>
    <row r="67" spans="1:21" ht="19.9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45" t="str">
        <f t="shared" si="0"/>
        <v/>
      </c>
      <c r="M67" s="45" t="str">
        <f t="shared" si="1"/>
        <v/>
      </c>
      <c r="N67" s="39" t="str">
        <f>IF(AND(A67="",B67=""),"",COUNTIFS(数据!$E$3:$E$998,"&lt;&gt;前期仔鱼",数据!$E$3:$E$998,"&lt;&gt;仔鱼",数据!$E$3:$E$998,"&lt;&gt;稚鱼",数据!$F$3:$F$998,A67,数据!$G$3:$G$998,B67))</f>
        <v/>
      </c>
      <c r="O67" s="39" t="str">
        <f>IF(AND(A67="",B67=""),"",COUNTIFS(数据!$E$3:$E$998,"&lt;&gt;鱼卵",数据!$E$3:$E$998,"&lt;&gt;死卵",数据!$F$3:$F$998,A67,数据!$G$3:$G$998,B67))</f>
        <v/>
      </c>
      <c r="P67" s="31"/>
      <c r="Q67">
        <f>SUMIFS(数据!$D$3:$D$998,数据!$E$3:$E$998,"鱼卵",数据!$F$3:$F$998,A67,数据!$G$3:$G$998,B67)</f>
        <v>0</v>
      </c>
      <c r="R67">
        <f>SUMIFS(数据!$D$3:$D$998,数据!$E$3:$E$998,"死卵",数据!$F$3:$F$998,A67,数据!$G$3:$G$998,B67)</f>
        <v>0</v>
      </c>
      <c r="S67">
        <f>SUMIFS(数据!$D$3:$D$998,数据!$E$3:$E$998,"前期仔鱼",数据!$F$3:$F$998,A67,数据!$G$3:$G$998,B67)</f>
        <v>0</v>
      </c>
      <c r="T67">
        <f>SUMIFS(数据!$D$3:$D$998,数据!$E$3:$E$998,"仔鱼",数据!$F$3:$F$998,A67,数据!$G$3:$G$998,B67)</f>
        <v>0</v>
      </c>
      <c r="U67">
        <f>SUMIFS(数据!$D$3:$D$998,数据!$E$3:$E$998,"稚鱼",数据!$F$3:$F$998,A67,数据!$G$3:$G$998,B67)</f>
        <v>0</v>
      </c>
    </row>
    <row r="68" spans="1:21" ht="19.9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45" t="str">
        <f t="shared" si="2" ref="L68:L131">IF(OR(Q68&amp;R68="",A68&amp;B68=""),"",Q68+R68)</f>
        <v/>
      </c>
      <c r="M68" s="45" t="str">
        <f t="shared" si="3" ref="M68:M131">IF(OR(A68&amp;B68="",S68&amp;T68&amp;U68=""),"",S68+T68+U68)</f>
        <v/>
      </c>
      <c r="N68" s="39" t="str">
        <f>IF(AND(A68="",B68=""),"",COUNTIFS(数据!$E$3:$E$998,"&lt;&gt;前期仔鱼",数据!$E$3:$E$998,"&lt;&gt;仔鱼",数据!$E$3:$E$998,"&lt;&gt;稚鱼",数据!$F$3:$F$998,A68,数据!$G$3:$G$998,B68))</f>
        <v/>
      </c>
      <c r="O68" s="39" t="str">
        <f>IF(AND(A68="",B68=""),"",COUNTIFS(数据!$E$3:$E$998,"&lt;&gt;鱼卵",数据!$E$3:$E$998,"&lt;&gt;死卵",数据!$F$3:$F$998,A68,数据!$G$3:$G$998,B68))</f>
        <v/>
      </c>
      <c r="P68" s="31"/>
      <c r="Q68">
        <f>SUMIFS(数据!$D$3:$D$998,数据!$E$3:$E$998,"鱼卵",数据!$F$3:$F$998,A68,数据!$G$3:$G$998,B68)</f>
        <v>0</v>
      </c>
      <c r="R68">
        <f>SUMIFS(数据!$D$3:$D$998,数据!$E$3:$E$998,"死卵",数据!$F$3:$F$998,A68,数据!$G$3:$G$998,B68)</f>
        <v>0</v>
      </c>
      <c r="S68">
        <f>SUMIFS(数据!$D$3:$D$998,数据!$E$3:$E$998,"前期仔鱼",数据!$F$3:$F$998,A68,数据!$G$3:$G$998,B68)</f>
        <v>0</v>
      </c>
      <c r="T68">
        <f>SUMIFS(数据!$D$3:$D$998,数据!$E$3:$E$998,"仔鱼",数据!$F$3:$F$998,A68,数据!$G$3:$G$998,B68)</f>
        <v>0</v>
      </c>
      <c r="U68">
        <f>SUMIFS(数据!$D$3:$D$998,数据!$E$3:$E$998,"稚鱼",数据!$F$3:$F$998,A68,数据!$G$3:$G$998,B68)</f>
        <v>0</v>
      </c>
    </row>
    <row r="69" spans="1:21" ht="19.9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45" t="str">
        <f t="shared" si="2"/>
        <v/>
      </c>
      <c r="M69" s="45" t="str">
        <f t="shared" si="3"/>
        <v/>
      </c>
      <c r="N69" s="39" t="str">
        <f>IF(AND(A69="",B69=""),"",COUNTIFS(数据!$E$3:$E$998,"&lt;&gt;前期仔鱼",数据!$E$3:$E$998,"&lt;&gt;仔鱼",数据!$E$3:$E$998,"&lt;&gt;稚鱼",数据!$F$3:$F$998,A69,数据!$G$3:$G$998,B69))</f>
        <v/>
      </c>
      <c r="O69" s="39" t="str">
        <f>IF(AND(A69="",B69=""),"",COUNTIFS(数据!$E$3:$E$998,"&lt;&gt;鱼卵",数据!$E$3:$E$998,"&lt;&gt;死卵",数据!$F$3:$F$998,A69,数据!$G$3:$G$998,B69))</f>
        <v/>
      </c>
      <c r="P69" s="31"/>
      <c r="Q69">
        <f>SUMIFS(数据!$D$3:$D$998,数据!$E$3:$E$998,"鱼卵",数据!$F$3:$F$998,A69,数据!$G$3:$G$998,B69)</f>
        <v>0</v>
      </c>
      <c r="R69">
        <f>SUMIFS(数据!$D$3:$D$998,数据!$E$3:$E$998,"死卵",数据!$F$3:$F$998,A69,数据!$G$3:$G$998,B69)</f>
        <v>0</v>
      </c>
      <c r="S69">
        <f>SUMIFS(数据!$D$3:$D$998,数据!$E$3:$E$998,"前期仔鱼",数据!$F$3:$F$998,A69,数据!$G$3:$G$998,B69)</f>
        <v>0</v>
      </c>
      <c r="T69">
        <f>SUMIFS(数据!$D$3:$D$998,数据!$E$3:$E$998,"仔鱼",数据!$F$3:$F$998,A69,数据!$G$3:$G$998,B69)</f>
        <v>0</v>
      </c>
      <c r="U69">
        <f>SUMIFS(数据!$D$3:$D$998,数据!$E$3:$E$998,"稚鱼",数据!$F$3:$F$998,A69,数据!$G$3:$G$998,B69)</f>
        <v>0</v>
      </c>
    </row>
    <row r="70" spans="1:21" ht="19.9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45" t="str">
        <f t="shared" si="2"/>
        <v/>
      </c>
      <c r="M70" s="45" t="str">
        <f t="shared" si="3"/>
        <v/>
      </c>
      <c r="N70" s="39" t="str">
        <f>IF(AND(A70="",B70=""),"",COUNTIFS(数据!$E$3:$E$998,"&lt;&gt;前期仔鱼",数据!$E$3:$E$998,"&lt;&gt;仔鱼",数据!$E$3:$E$998,"&lt;&gt;稚鱼",数据!$F$3:$F$998,A70,数据!$G$3:$G$998,B70))</f>
        <v/>
      </c>
      <c r="O70" s="39" t="str">
        <f>IF(AND(A70="",B70=""),"",COUNTIFS(数据!$E$3:$E$998,"&lt;&gt;鱼卵",数据!$E$3:$E$998,"&lt;&gt;死卵",数据!$F$3:$F$998,A70,数据!$G$3:$G$998,B70))</f>
        <v/>
      </c>
      <c r="P70" s="31"/>
      <c r="Q70">
        <f>SUMIFS(数据!$D$3:$D$998,数据!$E$3:$E$998,"鱼卵",数据!$F$3:$F$998,A70,数据!$G$3:$G$998,B70)</f>
        <v>0</v>
      </c>
      <c r="R70">
        <f>SUMIFS(数据!$D$3:$D$998,数据!$E$3:$E$998,"死卵",数据!$F$3:$F$998,A70,数据!$G$3:$G$998,B70)</f>
        <v>0</v>
      </c>
      <c r="S70">
        <f>SUMIFS(数据!$D$3:$D$998,数据!$E$3:$E$998,"前期仔鱼",数据!$F$3:$F$998,A70,数据!$G$3:$G$998,B70)</f>
        <v>0</v>
      </c>
      <c r="T70">
        <f>SUMIFS(数据!$D$3:$D$998,数据!$E$3:$E$998,"仔鱼",数据!$F$3:$F$998,A70,数据!$G$3:$G$998,B70)</f>
        <v>0</v>
      </c>
      <c r="U70">
        <f>SUMIFS(数据!$D$3:$D$998,数据!$E$3:$E$998,"稚鱼",数据!$F$3:$F$998,A70,数据!$G$3:$G$998,B70)</f>
        <v>0</v>
      </c>
    </row>
    <row r="71" spans="1:21" ht="19.9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45" t="str">
        <f t="shared" si="2"/>
        <v/>
      </c>
      <c r="M71" s="45" t="str">
        <f t="shared" si="3"/>
        <v/>
      </c>
      <c r="N71" s="39" t="str">
        <f>IF(AND(A71="",B71=""),"",COUNTIFS(数据!$E$3:$E$998,"&lt;&gt;前期仔鱼",数据!$E$3:$E$998,"&lt;&gt;仔鱼",数据!$E$3:$E$998,"&lt;&gt;稚鱼",数据!$F$3:$F$998,A71,数据!$G$3:$G$998,B71))</f>
        <v/>
      </c>
      <c r="O71" s="39" t="str">
        <f>IF(AND(A71="",B71=""),"",COUNTIFS(数据!$E$3:$E$998,"&lt;&gt;鱼卵",数据!$E$3:$E$998,"&lt;&gt;死卵",数据!$F$3:$F$998,A71,数据!$G$3:$G$998,B71))</f>
        <v/>
      </c>
      <c r="P71" s="31"/>
      <c r="Q71">
        <f>SUMIFS(数据!$D$3:$D$998,数据!$E$3:$E$998,"鱼卵",数据!$F$3:$F$998,A71,数据!$G$3:$G$998,B71)</f>
        <v>0</v>
      </c>
      <c r="R71">
        <f>SUMIFS(数据!$D$3:$D$998,数据!$E$3:$E$998,"死卵",数据!$F$3:$F$998,A71,数据!$G$3:$G$998,B71)</f>
        <v>0</v>
      </c>
      <c r="S71">
        <f>SUMIFS(数据!$D$3:$D$998,数据!$E$3:$E$998,"前期仔鱼",数据!$F$3:$F$998,A71,数据!$G$3:$G$998,B71)</f>
        <v>0</v>
      </c>
      <c r="T71">
        <f>SUMIFS(数据!$D$3:$D$998,数据!$E$3:$E$998,"仔鱼",数据!$F$3:$F$998,A71,数据!$G$3:$G$998,B71)</f>
        <v>0</v>
      </c>
      <c r="U71">
        <f>SUMIFS(数据!$D$3:$D$998,数据!$E$3:$E$998,"稚鱼",数据!$F$3:$F$998,A71,数据!$G$3:$G$998,B71)</f>
        <v>0</v>
      </c>
    </row>
    <row r="72" spans="1:21" ht="19.9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45" t="str">
        <f t="shared" si="2"/>
        <v/>
      </c>
      <c r="M72" s="45" t="str">
        <f t="shared" si="3"/>
        <v/>
      </c>
      <c r="N72" s="39" t="str">
        <f>IF(AND(A72="",B72=""),"",COUNTIFS(数据!$E$3:$E$998,"&lt;&gt;前期仔鱼",数据!$E$3:$E$998,"&lt;&gt;仔鱼",数据!$E$3:$E$998,"&lt;&gt;稚鱼",数据!$F$3:$F$998,A72,数据!$G$3:$G$998,B72))</f>
        <v/>
      </c>
      <c r="O72" s="39" t="str">
        <f>IF(AND(A72="",B72=""),"",COUNTIFS(数据!$E$3:$E$998,"&lt;&gt;鱼卵",数据!$E$3:$E$998,"&lt;&gt;死卵",数据!$F$3:$F$998,A72,数据!$G$3:$G$998,B72))</f>
        <v/>
      </c>
      <c r="P72" s="31"/>
      <c r="Q72">
        <f>SUMIFS(数据!$D$3:$D$998,数据!$E$3:$E$998,"鱼卵",数据!$F$3:$F$998,A72,数据!$G$3:$G$998,B72)</f>
        <v>0</v>
      </c>
      <c r="R72">
        <f>SUMIFS(数据!$D$3:$D$998,数据!$E$3:$E$998,"死卵",数据!$F$3:$F$998,A72,数据!$G$3:$G$998,B72)</f>
        <v>0</v>
      </c>
      <c r="S72">
        <f>SUMIFS(数据!$D$3:$D$998,数据!$E$3:$E$998,"前期仔鱼",数据!$F$3:$F$998,A72,数据!$G$3:$G$998,B72)</f>
        <v>0</v>
      </c>
      <c r="T72">
        <f>SUMIFS(数据!$D$3:$D$998,数据!$E$3:$E$998,"仔鱼",数据!$F$3:$F$998,A72,数据!$G$3:$G$998,B72)</f>
        <v>0</v>
      </c>
      <c r="U72">
        <f>SUMIFS(数据!$D$3:$D$998,数据!$E$3:$E$998,"稚鱼",数据!$F$3:$F$998,A72,数据!$G$3:$G$998,B72)</f>
        <v>0</v>
      </c>
    </row>
    <row r="73" spans="1:21" ht="19.9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45" t="str">
        <f t="shared" si="2"/>
        <v/>
      </c>
      <c r="M73" s="45" t="str">
        <f t="shared" si="3"/>
        <v/>
      </c>
      <c r="N73" s="39" t="str">
        <f>IF(AND(A73="",B73=""),"",COUNTIFS(数据!$E$3:$E$998,"&lt;&gt;前期仔鱼",数据!$E$3:$E$998,"&lt;&gt;仔鱼",数据!$E$3:$E$998,"&lt;&gt;稚鱼",数据!$F$3:$F$998,A73,数据!$G$3:$G$998,B73))</f>
        <v/>
      </c>
      <c r="O73" s="39" t="str">
        <f>IF(AND(A73="",B73=""),"",COUNTIFS(数据!$E$3:$E$998,"&lt;&gt;鱼卵",数据!$E$3:$E$998,"&lt;&gt;死卵",数据!$F$3:$F$998,A73,数据!$G$3:$G$998,B73))</f>
        <v/>
      </c>
      <c r="P73" s="31"/>
      <c r="Q73">
        <f>SUMIFS(数据!$D$3:$D$998,数据!$E$3:$E$998,"鱼卵",数据!$F$3:$F$998,A73,数据!$G$3:$G$998,B73)</f>
        <v>0</v>
      </c>
      <c r="R73">
        <f>SUMIFS(数据!$D$3:$D$998,数据!$E$3:$E$998,"死卵",数据!$F$3:$F$998,A73,数据!$G$3:$G$998,B73)</f>
        <v>0</v>
      </c>
      <c r="S73">
        <f>SUMIFS(数据!$D$3:$D$998,数据!$E$3:$E$998,"前期仔鱼",数据!$F$3:$F$998,A73,数据!$G$3:$G$998,B73)</f>
        <v>0</v>
      </c>
      <c r="T73">
        <f>SUMIFS(数据!$D$3:$D$998,数据!$E$3:$E$998,"仔鱼",数据!$F$3:$F$998,A73,数据!$G$3:$G$998,B73)</f>
        <v>0</v>
      </c>
      <c r="U73">
        <f>SUMIFS(数据!$D$3:$D$998,数据!$E$3:$E$998,"稚鱼",数据!$F$3:$F$998,A73,数据!$G$3:$G$998,B73)</f>
        <v>0</v>
      </c>
    </row>
    <row r="74" spans="1:21" ht="19.9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45" t="str">
        <f t="shared" si="2"/>
        <v/>
      </c>
      <c r="M74" s="45" t="str">
        <f t="shared" si="3"/>
        <v/>
      </c>
      <c r="N74" s="39" t="str">
        <f>IF(AND(A74="",B74=""),"",COUNTIFS(数据!$E$3:$E$998,"&lt;&gt;前期仔鱼",数据!$E$3:$E$998,"&lt;&gt;仔鱼",数据!$E$3:$E$998,"&lt;&gt;稚鱼",数据!$F$3:$F$998,A74,数据!$G$3:$G$998,B74))</f>
        <v/>
      </c>
      <c r="O74" s="39" t="str">
        <f>IF(AND(A74="",B74=""),"",COUNTIFS(数据!$E$3:$E$998,"&lt;&gt;鱼卵",数据!$E$3:$E$998,"&lt;&gt;死卵",数据!$F$3:$F$998,A74,数据!$G$3:$G$998,B74))</f>
        <v/>
      </c>
      <c r="P74" s="31"/>
      <c r="Q74">
        <f>SUMIFS(数据!$D$3:$D$998,数据!$E$3:$E$998,"鱼卵",数据!$F$3:$F$998,A74,数据!$G$3:$G$998,B74)</f>
        <v>0</v>
      </c>
      <c r="R74">
        <f>SUMIFS(数据!$D$3:$D$998,数据!$E$3:$E$998,"死卵",数据!$F$3:$F$998,A74,数据!$G$3:$G$998,B74)</f>
        <v>0</v>
      </c>
      <c r="S74">
        <f>SUMIFS(数据!$D$3:$D$998,数据!$E$3:$E$998,"前期仔鱼",数据!$F$3:$F$998,A74,数据!$G$3:$G$998,B74)</f>
        <v>0</v>
      </c>
      <c r="T74">
        <f>SUMIFS(数据!$D$3:$D$998,数据!$E$3:$E$998,"仔鱼",数据!$F$3:$F$998,A74,数据!$G$3:$G$998,B74)</f>
        <v>0</v>
      </c>
      <c r="U74">
        <f>SUMIFS(数据!$D$3:$D$998,数据!$E$3:$E$998,"稚鱼",数据!$F$3:$F$998,A74,数据!$G$3:$G$998,B74)</f>
        <v>0</v>
      </c>
    </row>
    <row r="75" spans="1:21" ht="19.9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45" t="str">
        <f t="shared" si="2"/>
        <v/>
      </c>
      <c r="M75" s="45" t="str">
        <f t="shared" si="3"/>
        <v/>
      </c>
      <c r="N75" s="39" t="str">
        <f>IF(AND(A75="",B75=""),"",COUNTIFS(数据!$E$3:$E$998,"&lt;&gt;前期仔鱼",数据!$E$3:$E$998,"&lt;&gt;仔鱼",数据!$E$3:$E$998,"&lt;&gt;稚鱼",数据!$F$3:$F$998,A75,数据!$G$3:$G$998,B75))</f>
        <v/>
      </c>
      <c r="O75" s="39" t="str">
        <f>IF(AND(A75="",B75=""),"",COUNTIFS(数据!$E$3:$E$998,"&lt;&gt;鱼卵",数据!$E$3:$E$998,"&lt;&gt;死卵",数据!$F$3:$F$998,A75,数据!$G$3:$G$998,B75))</f>
        <v/>
      </c>
      <c r="P75" s="31"/>
      <c r="Q75">
        <f>SUMIFS(数据!$D$3:$D$998,数据!$E$3:$E$998,"鱼卵",数据!$F$3:$F$998,A75,数据!$G$3:$G$998,B75)</f>
        <v>0</v>
      </c>
      <c r="R75">
        <f>SUMIFS(数据!$D$3:$D$998,数据!$E$3:$E$998,"死卵",数据!$F$3:$F$998,A75,数据!$G$3:$G$998,B75)</f>
        <v>0</v>
      </c>
      <c r="S75">
        <f>SUMIFS(数据!$D$3:$D$998,数据!$E$3:$E$998,"前期仔鱼",数据!$F$3:$F$998,A75,数据!$G$3:$G$998,B75)</f>
        <v>0</v>
      </c>
      <c r="T75">
        <f>SUMIFS(数据!$D$3:$D$998,数据!$E$3:$E$998,"仔鱼",数据!$F$3:$F$998,A75,数据!$G$3:$G$998,B75)</f>
        <v>0</v>
      </c>
      <c r="U75">
        <f>SUMIFS(数据!$D$3:$D$998,数据!$E$3:$E$998,"稚鱼",数据!$F$3:$F$998,A75,数据!$G$3:$G$998,B75)</f>
        <v>0</v>
      </c>
    </row>
    <row r="76" spans="1:21" ht="19.9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45" t="str">
        <f t="shared" si="2"/>
        <v/>
      </c>
      <c r="M76" s="45" t="str">
        <f t="shared" si="3"/>
        <v/>
      </c>
      <c r="N76" s="39" t="str">
        <f>IF(AND(A76="",B76=""),"",COUNTIFS(数据!$E$3:$E$998,"&lt;&gt;前期仔鱼",数据!$E$3:$E$998,"&lt;&gt;仔鱼",数据!$E$3:$E$998,"&lt;&gt;稚鱼",数据!$F$3:$F$998,A76,数据!$G$3:$G$998,B76))</f>
        <v/>
      </c>
      <c r="O76" s="39" t="str">
        <f>IF(AND(A76="",B76=""),"",COUNTIFS(数据!$E$3:$E$998,"&lt;&gt;鱼卵",数据!$E$3:$E$998,"&lt;&gt;死卵",数据!$F$3:$F$998,A76,数据!$G$3:$G$998,B76))</f>
        <v/>
      </c>
      <c r="P76" s="31"/>
      <c r="Q76">
        <f>SUMIFS(数据!$D$3:$D$998,数据!$E$3:$E$998,"鱼卵",数据!$F$3:$F$998,A76,数据!$G$3:$G$998,B76)</f>
        <v>0</v>
      </c>
      <c r="R76">
        <f>SUMIFS(数据!$D$3:$D$998,数据!$E$3:$E$998,"死卵",数据!$F$3:$F$998,A76,数据!$G$3:$G$998,B76)</f>
        <v>0</v>
      </c>
      <c r="S76">
        <f>SUMIFS(数据!$D$3:$D$998,数据!$E$3:$E$998,"前期仔鱼",数据!$F$3:$F$998,A76,数据!$G$3:$G$998,B76)</f>
        <v>0</v>
      </c>
      <c r="T76">
        <f>SUMIFS(数据!$D$3:$D$998,数据!$E$3:$E$998,"仔鱼",数据!$F$3:$F$998,A76,数据!$G$3:$G$998,B76)</f>
        <v>0</v>
      </c>
      <c r="U76">
        <f>SUMIFS(数据!$D$3:$D$998,数据!$E$3:$E$998,"稚鱼",数据!$F$3:$F$998,A76,数据!$G$3:$G$998,B76)</f>
        <v>0</v>
      </c>
    </row>
    <row r="77" spans="1:21" ht="19.9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45" t="str">
        <f t="shared" si="2"/>
        <v/>
      </c>
      <c r="M77" s="45" t="str">
        <f t="shared" si="3"/>
        <v/>
      </c>
      <c r="N77" s="39" t="str">
        <f>IF(AND(A77="",B77=""),"",COUNTIFS(数据!$E$3:$E$998,"&lt;&gt;前期仔鱼",数据!$E$3:$E$998,"&lt;&gt;仔鱼",数据!$E$3:$E$998,"&lt;&gt;稚鱼",数据!$F$3:$F$998,A77,数据!$G$3:$G$998,B77))</f>
        <v/>
      </c>
      <c r="O77" s="39" t="str">
        <f>IF(AND(A77="",B77=""),"",COUNTIFS(数据!$E$3:$E$998,"&lt;&gt;鱼卵",数据!$E$3:$E$998,"&lt;&gt;死卵",数据!$F$3:$F$998,A77,数据!$G$3:$G$998,B77))</f>
        <v/>
      </c>
      <c r="P77" s="31"/>
      <c r="Q77">
        <f>SUMIFS(数据!$D$3:$D$998,数据!$E$3:$E$998,"鱼卵",数据!$F$3:$F$998,A77,数据!$G$3:$G$998,B77)</f>
        <v>0</v>
      </c>
      <c r="R77">
        <f>SUMIFS(数据!$D$3:$D$998,数据!$E$3:$E$998,"死卵",数据!$F$3:$F$998,A77,数据!$G$3:$G$998,B77)</f>
        <v>0</v>
      </c>
      <c r="S77">
        <f>SUMIFS(数据!$D$3:$D$998,数据!$E$3:$E$998,"前期仔鱼",数据!$F$3:$F$998,A77,数据!$G$3:$G$998,B77)</f>
        <v>0</v>
      </c>
      <c r="T77">
        <f>SUMIFS(数据!$D$3:$D$998,数据!$E$3:$E$998,"仔鱼",数据!$F$3:$F$998,A77,数据!$G$3:$G$998,B77)</f>
        <v>0</v>
      </c>
      <c r="U77">
        <f>SUMIFS(数据!$D$3:$D$998,数据!$E$3:$E$998,"稚鱼",数据!$F$3:$F$998,A77,数据!$G$3:$G$998,B77)</f>
        <v>0</v>
      </c>
    </row>
    <row r="78" spans="1:21" ht="19.9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45" t="str">
        <f t="shared" si="2"/>
        <v/>
      </c>
      <c r="M78" s="45" t="str">
        <f t="shared" si="3"/>
        <v/>
      </c>
      <c r="N78" s="39" t="str">
        <f>IF(AND(A78="",B78=""),"",COUNTIFS(数据!$E$3:$E$998,"&lt;&gt;前期仔鱼",数据!$E$3:$E$998,"&lt;&gt;仔鱼",数据!$E$3:$E$998,"&lt;&gt;稚鱼",数据!$F$3:$F$998,A78,数据!$G$3:$G$998,B78))</f>
        <v/>
      </c>
      <c r="O78" s="39" t="str">
        <f>IF(AND(A78="",B78=""),"",COUNTIFS(数据!$E$3:$E$998,"&lt;&gt;鱼卵",数据!$E$3:$E$998,"&lt;&gt;死卵",数据!$F$3:$F$998,A78,数据!$G$3:$G$998,B78))</f>
        <v/>
      </c>
      <c r="P78" s="31"/>
      <c r="Q78">
        <f>SUMIFS(数据!$D$3:$D$998,数据!$E$3:$E$998,"鱼卵",数据!$F$3:$F$998,A78,数据!$G$3:$G$998,B78)</f>
        <v>0</v>
      </c>
      <c r="R78">
        <f>SUMIFS(数据!$D$3:$D$998,数据!$E$3:$E$998,"死卵",数据!$F$3:$F$998,A78,数据!$G$3:$G$998,B78)</f>
        <v>0</v>
      </c>
      <c r="S78">
        <f>SUMIFS(数据!$D$3:$D$998,数据!$E$3:$E$998,"前期仔鱼",数据!$F$3:$F$998,A78,数据!$G$3:$G$998,B78)</f>
        <v>0</v>
      </c>
      <c r="T78">
        <f>SUMIFS(数据!$D$3:$D$998,数据!$E$3:$E$998,"仔鱼",数据!$F$3:$F$998,A78,数据!$G$3:$G$998,B78)</f>
        <v>0</v>
      </c>
      <c r="U78">
        <f>SUMIFS(数据!$D$3:$D$998,数据!$E$3:$E$998,"稚鱼",数据!$F$3:$F$998,A78,数据!$G$3:$G$998,B78)</f>
        <v>0</v>
      </c>
    </row>
    <row r="79" spans="1:21" ht="19.9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45" t="str">
        <f t="shared" si="2"/>
        <v/>
      </c>
      <c r="M79" s="45" t="str">
        <f t="shared" si="3"/>
        <v/>
      </c>
      <c r="N79" s="39" t="str">
        <f>IF(AND(A79="",B79=""),"",COUNTIFS(数据!$E$3:$E$998,"&lt;&gt;前期仔鱼",数据!$E$3:$E$998,"&lt;&gt;仔鱼",数据!$E$3:$E$998,"&lt;&gt;稚鱼",数据!$F$3:$F$998,A79,数据!$G$3:$G$998,B79))</f>
        <v/>
      </c>
      <c r="O79" s="39" t="str">
        <f>IF(AND(A79="",B79=""),"",COUNTIFS(数据!$E$3:$E$998,"&lt;&gt;鱼卵",数据!$E$3:$E$998,"&lt;&gt;死卵",数据!$F$3:$F$998,A79,数据!$G$3:$G$998,B79))</f>
        <v/>
      </c>
      <c r="P79" s="31"/>
      <c r="Q79">
        <f>SUMIFS(数据!$D$3:$D$998,数据!$E$3:$E$998,"鱼卵",数据!$F$3:$F$998,A79,数据!$G$3:$G$998,B79)</f>
        <v>0</v>
      </c>
      <c r="R79">
        <f>SUMIFS(数据!$D$3:$D$998,数据!$E$3:$E$998,"死卵",数据!$F$3:$F$998,A79,数据!$G$3:$G$998,B79)</f>
        <v>0</v>
      </c>
      <c r="S79">
        <f>SUMIFS(数据!$D$3:$D$998,数据!$E$3:$E$998,"前期仔鱼",数据!$F$3:$F$998,A79,数据!$G$3:$G$998,B79)</f>
        <v>0</v>
      </c>
      <c r="T79">
        <f>SUMIFS(数据!$D$3:$D$998,数据!$E$3:$E$998,"仔鱼",数据!$F$3:$F$998,A79,数据!$G$3:$G$998,B79)</f>
        <v>0</v>
      </c>
      <c r="U79">
        <f>SUMIFS(数据!$D$3:$D$998,数据!$E$3:$E$998,"稚鱼",数据!$F$3:$F$998,A79,数据!$G$3:$G$998,B79)</f>
        <v>0</v>
      </c>
    </row>
    <row r="80" spans="1:21" ht="19.9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45" t="str">
        <f t="shared" si="2"/>
        <v/>
      </c>
      <c r="M80" s="45" t="str">
        <f t="shared" si="3"/>
        <v/>
      </c>
      <c r="N80" s="39" t="str">
        <f>IF(AND(A80="",B80=""),"",COUNTIFS(数据!$E$3:$E$998,"&lt;&gt;前期仔鱼",数据!$E$3:$E$998,"&lt;&gt;仔鱼",数据!$E$3:$E$998,"&lt;&gt;稚鱼",数据!$F$3:$F$998,A80,数据!$G$3:$G$998,B80))</f>
        <v/>
      </c>
      <c r="O80" s="39" t="str">
        <f>IF(AND(A80="",B80=""),"",COUNTIFS(数据!$E$3:$E$998,"&lt;&gt;鱼卵",数据!$E$3:$E$998,"&lt;&gt;死卵",数据!$F$3:$F$998,A80,数据!$G$3:$G$998,B80))</f>
        <v/>
      </c>
      <c r="P80" s="31"/>
      <c r="Q80">
        <f>SUMIFS(数据!$D$3:$D$998,数据!$E$3:$E$998,"鱼卵",数据!$F$3:$F$998,A80,数据!$G$3:$G$998,B80)</f>
        <v>0</v>
      </c>
      <c r="R80">
        <f>SUMIFS(数据!$D$3:$D$998,数据!$E$3:$E$998,"死卵",数据!$F$3:$F$998,A80,数据!$G$3:$G$998,B80)</f>
        <v>0</v>
      </c>
      <c r="S80">
        <f>SUMIFS(数据!$D$3:$D$998,数据!$E$3:$E$998,"前期仔鱼",数据!$F$3:$F$998,A80,数据!$G$3:$G$998,B80)</f>
        <v>0</v>
      </c>
      <c r="T80">
        <f>SUMIFS(数据!$D$3:$D$998,数据!$E$3:$E$998,"仔鱼",数据!$F$3:$F$998,A80,数据!$G$3:$G$998,B80)</f>
        <v>0</v>
      </c>
      <c r="U80">
        <f>SUMIFS(数据!$D$3:$D$998,数据!$E$3:$E$998,"稚鱼",数据!$F$3:$F$998,A80,数据!$G$3:$G$998,B80)</f>
        <v>0</v>
      </c>
    </row>
    <row r="81" spans="1:21" ht="19.9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45" t="str">
        <f t="shared" si="2"/>
        <v/>
      </c>
      <c r="M81" s="45" t="str">
        <f t="shared" si="3"/>
        <v/>
      </c>
      <c r="N81" s="39" t="str">
        <f>IF(AND(A81="",B81=""),"",COUNTIFS(数据!$E$3:$E$998,"&lt;&gt;前期仔鱼",数据!$E$3:$E$998,"&lt;&gt;仔鱼",数据!$E$3:$E$998,"&lt;&gt;稚鱼",数据!$F$3:$F$998,A81,数据!$G$3:$G$998,B81))</f>
        <v/>
      </c>
      <c r="O81" s="39" t="str">
        <f>IF(AND(A81="",B81=""),"",COUNTIFS(数据!$E$3:$E$998,"&lt;&gt;鱼卵",数据!$E$3:$E$998,"&lt;&gt;死卵",数据!$F$3:$F$998,A81,数据!$G$3:$G$998,B81))</f>
        <v/>
      </c>
      <c r="P81" s="31"/>
      <c r="Q81">
        <f>SUMIFS(数据!$D$3:$D$998,数据!$E$3:$E$998,"鱼卵",数据!$F$3:$F$998,A81,数据!$G$3:$G$998,B81)</f>
        <v>0</v>
      </c>
      <c r="R81">
        <f>SUMIFS(数据!$D$3:$D$998,数据!$E$3:$E$998,"死卵",数据!$F$3:$F$998,A81,数据!$G$3:$G$998,B81)</f>
        <v>0</v>
      </c>
      <c r="S81">
        <f>SUMIFS(数据!$D$3:$D$998,数据!$E$3:$E$998,"前期仔鱼",数据!$F$3:$F$998,A81,数据!$G$3:$G$998,B81)</f>
        <v>0</v>
      </c>
      <c r="T81">
        <f>SUMIFS(数据!$D$3:$D$998,数据!$E$3:$E$998,"仔鱼",数据!$F$3:$F$998,A81,数据!$G$3:$G$998,B81)</f>
        <v>0</v>
      </c>
      <c r="U81">
        <f>SUMIFS(数据!$D$3:$D$998,数据!$E$3:$E$998,"稚鱼",数据!$F$3:$F$998,A81,数据!$G$3:$G$998,B81)</f>
        <v>0</v>
      </c>
    </row>
    <row r="82" spans="1:21" ht="19.9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45" t="str">
        <f t="shared" si="2"/>
        <v/>
      </c>
      <c r="M82" s="45" t="str">
        <f t="shared" si="3"/>
        <v/>
      </c>
      <c r="N82" s="39" t="str">
        <f>IF(AND(A82="",B82=""),"",COUNTIFS(数据!$E$3:$E$998,"&lt;&gt;前期仔鱼",数据!$E$3:$E$998,"&lt;&gt;仔鱼",数据!$E$3:$E$998,"&lt;&gt;稚鱼",数据!$F$3:$F$998,A82,数据!$G$3:$G$998,B82))</f>
        <v/>
      </c>
      <c r="O82" s="39" t="str">
        <f>IF(AND(A82="",B82=""),"",COUNTIFS(数据!$E$3:$E$998,"&lt;&gt;鱼卵",数据!$E$3:$E$998,"&lt;&gt;死卵",数据!$F$3:$F$998,A82,数据!$G$3:$G$998,B82))</f>
        <v/>
      </c>
      <c r="P82" s="31"/>
      <c r="Q82">
        <f>SUMIFS(数据!$D$3:$D$998,数据!$E$3:$E$998,"鱼卵",数据!$F$3:$F$998,A82,数据!$G$3:$G$998,B82)</f>
        <v>0</v>
      </c>
      <c r="R82">
        <f>SUMIFS(数据!$D$3:$D$998,数据!$E$3:$E$998,"死卵",数据!$F$3:$F$998,A82,数据!$G$3:$G$998,B82)</f>
        <v>0</v>
      </c>
      <c r="S82">
        <f>SUMIFS(数据!$D$3:$D$998,数据!$E$3:$E$998,"前期仔鱼",数据!$F$3:$F$998,A82,数据!$G$3:$G$998,B82)</f>
        <v>0</v>
      </c>
      <c r="T82">
        <f>SUMIFS(数据!$D$3:$D$998,数据!$E$3:$E$998,"仔鱼",数据!$F$3:$F$998,A82,数据!$G$3:$G$998,B82)</f>
        <v>0</v>
      </c>
      <c r="U82">
        <f>SUMIFS(数据!$D$3:$D$998,数据!$E$3:$E$998,"稚鱼",数据!$F$3:$F$998,A82,数据!$G$3:$G$998,B82)</f>
        <v>0</v>
      </c>
    </row>
    <row r="83" spans="1:21" ht="19.9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45" t="str">
        <f t="shared" si="2"/>
        <v/>
      </c>
      <c r="M83" s="45" t="str">
        <f t="shared" si="3"/>
        <v/>
      </c>
      <c r="N83" s="39" t="str">
        <f>IF(AND(A83="",B83=""),"",COUNTIFS(数据!$E$3:$E$998,"&lt;&gt;前期仔鱼",数据!$E$3:$E$998,"&lt;&gt;仔鱼",数据!$E$3:$E$998,"&lt;&gt;稚鱼",数据!$F$3:$F$998,A83,数据!$G$3:$G$998,B83))</f>
        <v/>
      </c>
      <c r="O83" s="39" t="str">
        <f>IF(AND(A83="",B83=""),"",COUNTIFS(数据!$E$3:$E$998,"&lt;&gt;鱼卵",数据!$E$3:$E$998,"&lt;&gt;死卵",数据!$F$3:$F$998,A83,数据!$G$3:$G$998,B83))</f>
        <v/>
      </c>
      <c r="P83" s="31"/>
      <c r="Q83">
        <f>SUMIFS(数据!$D$3:$D$998,数据!$E$3:$E$998,"鱼卵",数据!$F$3:$F$998,A83,数据!$G$3:$G$998,B83)</f>
        <v>0</v>
      </c>
      <c r="R83">
        <f>SUMIFS(数据!$D$3:$D$998,数据!$E$3:$E$998,"死卵",数据!$F$3:$F$998,A83,数据!$G$3:$G$998,B83)</f>
        <v>0</v>
      </c>
      <c r="S83">
        <f>SUMIFS(数据!$D$3:$D$998,数据!$E$3:$E$998,"前期仔鱼",数据!$F$3:$F$998,A83,数据!$G$3:$G$998,B83)</f>
        <v>0</v>
      </c>
      <c r="T83">
        <f>SUMIFS(数据!$D$3:$D$998,数据!$E$3:$E$998,"仔鱼",数据!$F$3:$F$998,A83,数据!$G$3:$G$998,B83)</f>
        <v>0</v>
      </c>
      <c r="U83">
        <f>SUMIFS(数据!$D$3:$D$998,数据!$E$3:$E$998,"稚鱼",数据!$F$3:$F$998,A83,数据!$G$3:$G$998,B83)</f>
        <v>0</v>
      </c>
    </row>
    <row r="84" spans="1:21" ht="19.9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45" t="str">
        <f t="shared" si="2"/>
        <v/>
      </c>
      <c r="M84" s="45" t="str">
        <f t="shared" si="3"/>
        <v/>
      </c>
      <c r="N84" s="39" t="str">
        <f>IF(AND(A84="",B84=""),"",COUNTIFS(数据!$E$3:$E$998,"&lt;&gt;前期仔鱼",数据!$E$3:$E$998,"&lt;&gt;仔鱼",数据!$E$3:$E$998,"&lt;&gt;稚鱼",数据!$F$3:$F$998,A84,数据!$G$3:$G$998,B84))</f>
        <v/>
      </c>
      <c r="O84" s="39" t="str">
        <f>IF(AND(A84="",B84=""),"",COUNTIFS(数据!$E$3:$E$998,"&lt;&gt;鱼卵",数据!$E$3:$E$998,"&lt;&gt;死卵",数据!$F$3:$F$998,A84,数据!$G$3:$G$998,B84))</f>
        <v/>
      </c>
      <c r="P84" s="31"/>
      <c r="Q84">
        <f>SUMIFS(数据!$D$3:$D$998,数据!$E$3:$E$998,"鱼卵",数据!$F$3:$F$998,A84,数据!$G$3:$G$998,B84)</f>
        <v>0</v>
      </c>
      <c r="R84">
        <f>SUMIFS(数据!$D$3:$D$998,数据!$E$3:$E$998,"死卵",数据!$F$3:$F$998,A84,数据!$G$3:$G$998,B84)</f>
        <v>0</v>
      </c>
      <c r="S84">
        <f>SUMIFS(数据!$D$3:$D$998,数据!$E$3:$E$998,"前期仔鱼",数据!$F$3:$F$998,A84,数据!$G$3:$G$998,B84)</f>
        <v>0</v>
      </c>
      <c r="T84">
        <f>SUMIFS(数据!$D$3:$D$998,数据!$E$3:$E$998,"仔鱼",数据!$F$3:$F$998,A84,数据!$G$3:$G$998,B84)</f>
        <v>0</v>
      </c>
      <c r="U84">
        <f>SUMIFS(数据!$D$3:$D$998,数据!$E$3:$E$998,"稚鱼",数据!$F$3:$F$998,A84,数据!$G$3:$G$998,B84)</f>
        <v>0</v>
      </c>
    </row>
    <row r="85" spans="1:21" ht="19.9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45" t="str">
        <f t="shared" si="2"/>
        <v/>
      </c>
      <c r="M85" s="45" t="str">
        <f t="shared" si="3"/>
        <v/>
      </c>
      <c r="N85" s="39" t="str">
        <f>IF(AND(A85="",B85=""),"",COUNTIFS(数据!$E$3:$E$998,"&lt;&gt;前期仔鱼",数据!$E$3:$E$998,"&lt;&gt;仔鱼",数据!$E$3:$E$998,"&lt;&gt;稚鱼",数据!$F$3:$F$998,A85,数据!$G$3:$G$998,B85))</f>
        <v/>
      </c>
      <c r="O85" s="39" t="str">
        <f>IF(AND(A85="",B85=""),"",COUNTIFS(数据!$E$3:$E$998,"&lt;&gt;鱼卵",数据!$E$3:$E$998,"&lt;&gt;死卵",数据!$F$3:$F$998,A85,数据!$G$3:$G$998,B85))</f>
        <v/>
      </c>
      <c r="P85" s="31"/>
      <c r="Q85">
        <f>SUMIFS(数据!$D$3:$D$998,数据!$E$3:$E$998,"鱼卵",数据!$F$3:$F$998,A85,数据!$G$3:$G$998,B85)</f>
        <v>0</v>
      </c>
      <c r="R85">
        <f>SUMIFS(数据!$D$3:$D$998,数据!$E$3:$E$998,"死卵",数据!$F$3:$F$998,A85,数据!$G$3:$G$998,B85)</f>
        <v>0</v>
      </c>
      <c r="S85">
        <f>SUMIFS(数据!$D$3:$D$998,数据!$E$3:$E$998,"前期仔鱼",数据!$F$3:$F$998,A85,数据!$G$3:$G$998,B85)</f>
        <v>0</v>
      </c>
      <c r="T85">
        <f>SUMIFS(数据!$D$3:$D$998,数据!$E$3:$E$998,"仔鱼",数据!$F$3:$F$998,A85,数据!$G$3:$G$998,B85)</f>
        <v>0</v>
      </c>
      <c r="U85">
        <f>SUMIFS(数据!$D$3:$D$998,数据!$E$3:$E$998,"稚鱼",数据!$F$3:$F$998,A85,数据!$G$3:$G$998,B85)</f>
        <v>0</v>
      </c>
    </row>
    <row r="86" spans="1:21" ht="19.9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45" t="str">
        <f t="shared" si="2"/>
        <v/>
      </c>
      <c r="M86" s="45" t="str">
        <f t="shared" si="3"/>
        <v/>
      </c>
      <c r="N86" s="39" t="str">
        <f>IF(AND(A86="",B86=""),"",COUNTIFS(数据!$E$3:$E$998,"&lt;&gt;前期仔鱼",数据!$E$3:$E$998,"&lt;&gt;仔鱼",数据!$E$3:$E$998,"&lt;&gt;稚鱼",数据!$F$3:$F$998,A86,数据!$G$3:$G$998,B86))</f>
        <v/>
      </c>
      <c r="O86" s="39" t="str">
        <f>IF(AND(A86="",B86=""),"",COUNTIFS(数据!$E$3:$E$998,"&lt;&gt;鱼卵",数据!$E$3:$E$998,"&lt;&gt;死卵",数据!$F$3:$F$998,A86,数据!$G$3:$G$998,B86))</f>
        <v/>
      </c>
      <c r="P86" s="31"/>
      <c r="Q86">
        <f>SUMIFS(数据!$D$3:$D$998,数据!$E$3:$E$998,"鱼卵",数据!$F$3:$F$998,A86,数据!$G$3:$G$998,B86)</f>
        <v>0</v>
      </c>
      <c r="R86">
        <f>SUMIFS(数据!$D$3:$D$998,数据!$E$3:$E$998,"死卵",数据!$F$3:$F$998,A86,数据!$G$3:$G$998,B86)</f>
        <v>0</v>
      </c>
      <c r="S86">
        <f>SUMIFS(数据!$D$3:$D$998,数据!$E$3:$E$998,"前期仔鱼",数据!$F$3:$F$998,A86,数据!$G$3:$G$998,B86)</f>
        <v>0</v>
      </c>
      <c r="T86">
        <f>SUMIFS(数据!$D$3:$D$998,数据!$E$3:$E$998,"仔鱼",数据!$F$3:$F$998,A86,数据!$G$3:$G$998,B86)</f>
        <v>0</v>
      </c>
      <c r="U86">
        <f>SUMIFS(数据!$D$3:$D$998,数据!$E$3:$E$998,"稚鱼",数据!$F$3:$F$998,A86,数据!$G$3:$G$998,B86)</f>
        <v>0</v>
      </c>
    </row>
    <row r="87" spans="1:21" ht="19.9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45" t="str">
        <f t="shared" si="2"/>
        <v/>
      </c>
      <c r="M87" s="45" t="str">
        <f t="shared" si="3"/>
        <v/>
      </c>
      <c r="N87" s="39" t="str">
        <f>IF(AND(A87="",B87=""),"",COUNTIFS(数据!$E$3:$E$998,"&lt;&gt;前期仔鱼",数据!$E$3:$E$998,"&lt;&gt;仔鱼",数据!$E$3:$E$998,"&lt;&gt;稚鱼",数据!$F$3:$F$998,A87,数据!$G$3:$G$998,B87))</f>
        <v/>
      </c>
      <c r="O87" s="39" t="str">
        <f>IF(AND(A87="",B87=""),"",COUNTIFS(数据!$E$3:$E$998,"&lt;&gt;鱼卵",数据!$E$3:$E$998,"&lt;&gt;死卵",数据!$F$3:$F$998,A87,数据!$G$3:$G$998,B87))</f>
        <v/>
      </c>
      <c r="P87" s="31"/>
      <c r="Q87">
        <f>SUMIFS(数据!$D$3:$D$998,数据!$E$3:$E$998,"鱼卵",数据!$F$3:$F$998,A87,数据!$G$3:$G$998,B87)</f>
        <v>0</v>
      </c>
      <c r="R87">
        <f>SUMIFS(数据!$D$3:$D$998,数据!$E$3:$E$998,"死卵",数据!$F$3:$F$998,A87,数据!$G$3:$G$998,B87)</f>
        <v>0</v>
      </c>
      <c r="S87">
        <f>SUMIFS(数据!$D$3:$D$998,数据!$E$3:$E$998,"前期仔鱼",数据!$F$3:$F$998,A87,数据!$G$3:$G$998,B87)</f>
        <v>0</v>
      </c>
      <c r="T87">
        <f>SUMIFS(数据!$D$3:$D$998,数据!$E$3:$E$998,"仔鱼",数据!$F$3:$F$998,A87,数据!$G$3:$G$998,B87)</f>
        <v>0</v>
      </c>
      <c r="U87">
        <f>SUMIFS(数据!$D$3:$D$998,数据!$E$3:$E$998,"稚鱼",数据!$F$3:$F$998,A87,数据!$G$3:$G$998,B87)</f>
        <v>0</v>
      </c>
    </row>
    <row r="88" spans="1:21" ht="19.9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45" t="str">
        <f t="shared" si="2"/>
        <v/>
      </c>
      <c r="M88" s="45" t="str">
        <f t="shared" si="3"/>
        <v/>
      </c>
      <c r="N88" s="39" t="str">
        <f>IF(AND(A88="",B88=""),"",COUNTIFS(数据!$E$3:$E$998,"&lt;&gt;前期仔鱼",数据!$E$3:$E$998,"&lt;&gt;仔鱼",数据!$E$3:$E$998,"&lt;&gt;稚鱼",数据!$F$3:$F$998,A88,数据!$G$3:$G$998,B88))</f>
        <v/>
      </c>
      <c r="O88" s="39" t="str">
        <f>IF(AND(A88="",B88=""),"",COUNTIFS(数据!$E$3:$E$998,"&lt;&gt;鱼卵",数据!$E$3:$E$998,"&lt;&gt;死卵",数据!$F$3:$F$998,A88,数据!$G$3:$G$998,B88))</f>
        <v/>
      </c>
      <c r="P88" s="31"/>
      <c r="Q88">
        <f>SUMIFS(数据!$D$3:$D$998,数据!$E$3:$E$998,"鱼卵",数据!$F$3:$F$998,A88,数据!$G$3:$G$998,B88)</f>
        <v>0</v>
      </c>
      <c r="R88">
        <f>SUMIFS(数据!$D$3:$D$998,数据!$E$3:$E$998,"死卵",数据!$F$3:$F$998,A88,数据!$G$3:$G$998,B88)</f>
        <v>0</v>
      </c>
      <c r="S88">
        <f>SUMIFS(数据!$D$3:$D$998,数据!$E$3:$E$998,"前期仔鱼",数据!$F$3:$F$998,A88,数据!$G$3:$G$998,B88)</f>
        <v>0</v>
      </c>
      <c r="T88">
        <f>SUMIFS(数据!$D$3:$D$998,数据!$E$3:$E$998,"仔鱼",数据!$F$3:$F$998,A88,数据!$G$3:$G$998,B88)</f>
        <v>0</v>
      </c>
      <c r="U88">
        <f>SUMIFS(数据!$D$3:$D$998,数据!$E$3:$E$998,"稚鱼",数据!$F$3:$F$998,A88,数据!$G$3:$G$998,B88)</f>
        <v>0</v>
      </c>
    </row>
    <row r="89" spans="1:21" ht="19.9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45" t="str">
        <f t="shared" si="2"/>
        <v/>
      </c>
      <c r="M89" s="45" t="str">
        <f t="shared" si="3"/>
        <v/>
      </c>
      <c r="N89" s="39" t="str">
        <f>IF(AND(A89="",B89=""),"",COUNTIFS(数据!$E$3:$E$998,"&lt;&gt;前期仔鱼",数据!$E$3:$E$998,"&lt;&gt;仔鱼",数据!$E$3:$E$998,"&lt;&gt;稚鱼",数据!$F$3:$F$998,A89,数据!$G$3:$G$998,B89))</f>
        <v/>
      </c>
      <c r="O89" s="39" t="str">
        <f>IF(AND(A89="",B89=""),"",COUNTIFS(数据!$E$3:$E$998,"&lt;&gt;鱼卵",数据!$E$3:$E$998,"&lt;&gt;死卵",数据!$F$3:$F$998,A89,数据!$G$3:$G$998,B89))</f>
        <v/>
      </c>
      <c r="P89" s="31"/>
      <c r="Q89">
        <f>SUMIFS(数据!$D$3:$D$998,数据!$E$3:$E$998,"鱼卵",数据!$F$3:$F$998,A89,数据!$G$3:$G$998,B89)</f>
        <v>0</v>
      </c>
      <c r="R89">
        <f>SUMIFS(数据!$D$3:$D$998,数据!$E$3:$E$998,"死卵",数据!$F$3:$F$998,A89,数据!$G$3:$G$998,B89)</f>
        <v>0</v>
      </c>
      <c r="S89">
        <f>SUMIFS(数据!$D$3:$D$998,数据!$E$3:$E$998,"前期仔鱼",数据!$F$3:$F$998,A89,数据!$G$3:$G$998,B89)</f>
        <v>0</v>
      </c>
      <c r="T89">
        <f>SUMIFS(数据!$D$3:$D$998,数据!$E$3:$E$998,"仔鱼",数据!$F$3:$F$998,A89,数据!$G$3:$G$998,B89)</f>
        <v>0</v>
      </c>
      <c r="U89">
        <f>SUMIFS(数据!$D$3:$D$998,数据!$E$3:$E$998,"稚鱼",数据!$F$3:$F$998,A89,数据!$G$3:$G$998,B89)</f>
        <v>0</v>
      </c>
    </row>
    <row r="90" spans="1:21" ht="19.9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45" t="str">
        <f t="shared" si="2"/>
        <v/>
      </c>
      <c r="M90" s="45" t="str">
        <f t="shared" si="3"/>
        <v/>
      </c>
      <c r="N90" s="39" t="str">
        <f>IF(AND(A90="",B90=""),"",COUNTIFS(数据!$E$3:$E$998,"&lt;&gt;前期仔鱼",数据!$E$3:$E$998,"&lt;&gt;仔鱼",数据!$E$3:$E$998,"&lt;&gt;稚鱼",数据!$F$3:$F$998,A90,数据!$G$3:$G$998,B90))</f>
        <v/>
      </c>
      <c r="O90" s="39" t="str">
        <f>IF(AND(A90="",B90=""),"",COUNTIFS(数据!$E$3:$E$998,"&lt;&gt;鱼卵",数据!$E$3:$E$998,"&lt;&gt;死卵",数据!$F$3:$F$998,A90,数据!$G$3:$G$998,B90))</f>
        <v/>
      </c>
      <c r="P90" s="31"/>
      <c r="Q90">
        <f>SUMIFS(数据!$D$3:$D$998,数据!$E$3:$E$998,"鱼卵",数据!$F$3:$F$998,A90,数据!$G$3:$G$998,B90)</f>
        <v>0</v>
      </c>
      <c r="R90">
        <f>SUMIFS(数据!$D$3:$D$998,数据!$E$3:$E$998,"死卵",数据!$F$3:$F$998,A90,数据!$G$3:$G$998,B90)</f>
        <v>0</v>
      </c>
      <c r="S90">
        <f>SUMIFS(数据!$D$3:$D$998,数据!$E$3:$E$998,"前期仔鱼",数据!$F$3:$F$998,A90,数据!$G$3:$G$998,B90)</f>
        <v>0</v>
      </c>
      <c r="T90">
        <f>SUMIFS(数据!$D$3:$D$998,数据!$E$3:$E$998,"仔鱼",数据!$F$3:$F$998,A90,数据!$G$3:$G$998,B90)</f>
        <v>0</v>
      </c>
      <c r="U90">
        <f>SUMIFS(数据!$D$3:$D$998,数据!$E$3:$E$998,"稚鱼",数据!$F$3:$F$998,A90,数据!$G$3:$G$998,B90)</f>
        <v>0</v>
      </c>
    </row>
    <row r="91" spans="1:21" ht="19.9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45" t="str">
        <f t="shared" si="2"/>
        <v/>
      </c>
      <c r="M91" s="45" t="str">
        <f t="shared" si="3"/>
        <v/>
      </c>
      <c r="N91" s="39" t="str">
        <f>IF(AND(A91="",B91=""),"",COUNTIFS(数据!$E$3:$E$998,"&lt;&gt;前期仔鱼",数据!$E$3:$E$998,"&lt;&gt;仔鱼",数据!$E$3:$E$998,"&lt;&gt;稚鱼",数据!$F$3:$F$998,A91,数据!$G$3:$G$998,B91))</f>
        <v/>
      </c>
      <c r="O91" s="39" t="str">
        <f>IF(AND(A91="",B91=""),"",COUNTIFS(数据!$E$3:$E$998,"&lt;&gt;鱼卵",数据!$E$3:$E$998,"&lt;&gt;死卵",数据!$F$3:$F$998,A91,数据!$G$3:$G$998,B91))</f>
        <v/>
      </c>
      <c r="P91" s="31"/>
      <c r="Q91">
        <f>SUMIFS(数据!$D$3:$D$998,数据!$E$3:$E$998,"鱼卵",数据!$F$3:$F$998,A91,数据!$G$3:$G$998,B91)</f>
        <v>0</v>
      </c>
      <c r="R91">
        <f>SUMIFS(数据!$D$3:$D$998,数据!$E$3:$E$998,"死卵",数据!$F$3:$F$998,A91,数据!$G$3:$G$998,B91)</f>
        <v>0</v>
      </c>
      <c r="S91">
        <f>SUMIFS(数据!$D$3:$D$998,数据!$E$3:$E$998,"前期仔鱼",数据!$F$3:$F$998,A91,数据!$G$3:$G$998,B91)</f>
        <v>0</v>
      </c>
      <c r="T91">
        <f>SUMIFS(数据!$D$3:$D$998,数据!$E$3:$E$998,"仔鱼",数据!$F$3:$F$998,A91,数据!$G$3:$G$998,B91)</f>
        <v>0</v>
      </c>
      <c r="U91">
        <f>SUMIFS(数据!$D$3:$D$998,数据!$E$3:$E$998,"稚鱼",数据!$F$3:$F$998,A91,数据!$G$3:$G$998,B91)</f>
        <v>0</v>
      </c>
    </row>
    <row r="92" spans="1:21" ht="19.9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45" t="str">
        <f t="shared" si="2"/>
        <v/>
      </c>
      <c r="M92" s="45" t="str">
        <f t="shared" si="3"/>
        <v/>
      </c>
      <c r="N92" s="39" t="str">
        <f>IF(AND(A92="",B92=""),"",COUNTIFS(数据!$E$3:$E$998,"&lt;&gt;前期仔鱼",数据!$E$3:$E$998,"&lt;&gt;仔鱼",数据!$E$3:$E$998,"&lt;&gt;稚鱼",数据!$F$3:$F$998,A92,数据!$G$3:$G$998,B92))</f>
        <v/>
      </c>
      <c r="O92" s="39" t="str">
        <f>IF(AND(A92="",B92=""),"",COUNTIFS(数据!$E$3:$E$998,"&lt;&gt;鱼卵",数据!$E$3:$E$998,"&lt;&gt;死卵",数据!$F$3:$F$998,A92,数据!$G$3:$G$998,B92))</f>
        <v/>
      </c>
      <c r="P92" s="31"/>
      <c r="Q92">
        <f>SUMIFS(数据!$D$3:$D$998,数据!$E$3:$E$998,"鱼卵",数据!$F$3:$F$998,A92,数据!$G$3:$G$998,B92)</f>
        <v>0</v>
      </c>
      <c r="R92">
        <f>SUMIFS(数据!$D$3:$D$998,数据!$E$3:$E$998,"死卵",数据!$F$3:$F$998,A92,数据!$G$3:$G$998,B92)</f>
        <v>0</v>
      </c>
      <c r="S92">
        <f>SUMIFS(数据!$D$3:$D$998,数据!$E$3:$E$998,"前期仔鱼",数据!$F$3:$F$998,A92,数据!$G$3:$G$998,B92)</f>
        <v>0</v>
      </c>
      <c r="T92">
        <f>SUMIFS(数据!$D$3:$D$998,数据!$E$3:$E$998,"仔鱼",数据!$F$3:$F$998,A92,数据!$G$3:$G$998,B92)</f>
        <v>0</v>
      </c>
      <c r="U92">
        <f>SUMIFS(数据!$D$3:$D$998,数据!$E$3:$E$998,"稚鱼",数据!$F$3:$F$998,A92,数据!$G$3:$G$998,B92)</f>
        <v>0</v>
      </c>
    </row>
    <row r="93" spans="1:21" ht="19.9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45" t="str">
        <f t="shared" si="2"/>
        <v/>
      </c>
      <c r="M93" s="45" t="str">
        <f t="shared" si="3"/>
        <v/>
      </c>
      <c r="N93" s="39" t="str">
        <f>IF(AND(A93="",B93=""),"",COUNTIFS(数据!$E$3:$E$998,"&lt;&gt;前期仔鱼",数据!$E$3:$E$998,"&lt;&gt;仔鱼",数据!$E$3:$E$998,"&lt;&gt;稚鱼",数据!$F$3:$F$998,A93,数据!$G$3:$G$998,B93))</f>
        <v/>
      </c>
      <c r="O93" s="39" t="str">
        <f>IF(AND(A93="",B93=""),"",COUNTIFS(数据!$E$3:$E$998,"&lt;&gt;鱼卵",数据!$E$3:$E$998,"&lt;&gt;死卵",数据!$F$3:$F$998,A93,数据!$G$3:$G$998,B93))</f>
        <v/>
      </c>
      <c r="P93" s="31"/>
      <c r="Q93">
        <f>SUMIFS(数据!$D$3:$D$998,数据!$E$3:$E$998,"鱼卵",数据!$F$3:$F$998,A93,数据!$G$3:$G$998,B93)</f>
        <v>0</v>
      </c>
      <c r="R93">
        <f>SUMIFS(数据!$D$3:$D$998,数据!$E$3:$E$998,"死卵",数据!$F$3:$F$998,A93,数据!$G$3:$G$998,B93)</f>
        <v>0</v>
      </c>
      <c r="S93">
        <f>SUMIFS(数据!$D$3:$D$998,数据!$E$3:$E$998,"前期仔鱼",数据!$F$3:$F$998,A93,数据!$G$3:$G$998,B93)</f>
        <v>0</v>
      </c>
      <c r="T93">
        <f>SUMIFS(数据!$D$3:$D$998,数据!$E$3:$E$998,"仔鱼",数据!$F$3:$F$998,A93,数据!$G$3:$G$998,B93)</f>
        <v>0</v>
      </c>
      <c r="U93">
        <f>SUMIFS(数据!$D$3:$D$998,数据!$E$3:$E$998,"稚鱼",数据!$F$3:$F$998,A93,数据!$G$3:$G$998,B93)</f>
        <v>0</v>
      </c>
    </row>
    <row r="94" spans="1:21" ht="19.9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45" t="str">
        <f t="shared" si="2"/>
        <v/>
      </c>
      <c r="M94" s="45" t="str">
        <f t="shared" si="3"/>
        <v/>
      </c>
      <c r="N94" s="39" t="str">
        <f>IF(AND(A94="",B94=""),"",COUNTIFS(数据!$E$3:$E$998,"&lt;&gt;前期仔鱼",数据!$E$3:$E$998,"&lt;&gt;仔鱼",数据!$E$3:$E$998,"&lt;&gt;稚鱼",数据!$F$3:$F$998,A94,数据!$G$3:$G$998,B94))</f>
        <v/>
      </c>
      <c r="O94" s="39" t="str">
        <f>IF(AND(A94="",B94=""),"",COUNTIFS(数据!$E$3:$E$998,"&lt;&gt;鱼卵",数据!$E$3:$E$998,"&lt;&gt;死卵",数据!$F$3:$F$998,A94,数据!$G$3:$G$998,B94))</f>
        <v/>
      </c>
      <c r="P94" s="31"/>
      <c r="Q94">
        <f>SUMIFS(数据!$D$3:$D$998,数据!$E$3:$E$998,"鱼卵",数据!$F$3:$F$998,A94,数据!$G$3:$G$998,B94)</f>
        <v>0</v>
      </c>
      <c r="R94">
        <f>SUMIFS(数据!$D$3:$D$998,数据!$E$3:$E$998,"死卵",数据!$F$3:$F$998,A94,数据!$G$3:$G$998,B94)</f>
        <v>0</v>
      </c>
      <c r="S94">
        <f>SUMIFS(数据!$D$3:$D$998,数据!$E$3:$E$998,"前期仔鱼",数据!$F$3:$F$998,A94,数据!$G$3:$G$998,B94)</f>
        <v>0</v>
      </c>
      <c r="T94">
        <f>SUMIFS(数据!$D$3:$D$998,数据!$E$3:$E$998,"仔鱼",数据!$F$3:$F$998,A94,数据!$G$3:$G$998,B94)</f>
        <v>0</v>
      </c>
      <c r="U94">
        <f>SUMIFS(数据!$D$3:$D$998,数据!$E$3:$E$998,"稚鱼",数据!$F$3:$F$998,A94,数据!$G$3:$G$998,B94)</f>
        <v>0</v>
      </c>
    </row>
    <row r="95" spans="1:21" ht="19.9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45" t="str">
        <f t="shared" si="2"/>
        <v/>
      </c>
      <c r="M95" s="45" t="str">
        <f t="shared" si="3"/>
        <v/>
      </c>
      <c r="N95" s="39" t="str">
        <f>IF(AND(A95="",B95=""),"",COUNTIFS(数据!$E$3:$E$998,"&lt;&gt;前期仔鱼",数据!$E$3:$E$998,"&lt;&gt;仔鱼",数据!$E$3:$E$998,"&lt;&gt;稚鱼",数据!$F$3:$F$998,A95,数据!$G$3:$G$998,B95))</f>
        <v/>
      </c>
      <c r="O95" s="39" t="str">
        <f>IF(AND(A95="",B95=""),"",COUNTIFS(数据!$E$3:$E$998,"&lt;&gt;鱼卵",数据!$E$3:$E$998,"&lt;&gt;死卵",数据!$F$3:$F$998,A95,数据!$G$3:$G$998,B95))</f>
        <v/>
      </c>
      <c r="P95" s="31"/>
      <c r="Q95">
        <f>SUMIFS(数据!$D$3:$D$998,数据!$E$3:$E$998,"鱼卵",数据!$F$3:$F$998,A95,数据!$G$3:$G$998,B95)</f>
        <v>0</v>
      </c>
      <c r="R95">
        <f>SUMIFS(数据!$D$3:$D$998,数据!$E$3:$E$998,"死卵",数据!$F$3:$F$998,A95,数据!$G$3:$G$998,B95)</f>
        <v>0</v>
      </c>
      <c r="S95">
        <f>SUMIFS(数据!$D$3:$D$998,数据!$E$3:$E$998,"前期仔鱼",数据!$F$3:$F$998,A95,数据!$G$3:$G$998,B95)</f>
        <v>0</v>
      </c>
      <c r="T95">
        <f>SUMIFS(数据!$D$3:$D$998,数据!$E$3:$E$998,"仔鱼",数据!$F$3:$F$998,A95,数据!$G$3:$G$998,B95)</f>
        <v>0</v>
      </c>
      <c r="U95">
        <f>SUMIFS(数据!$D$3:$D$998,数据!$E$3:$E$998,"稚鱼",数据!$F$3:$F$998,A95,数据!$G$3:$G$998,B95)</f>
        <v>0</v>
      </c>
    </row>
    <row r="96" spans="1:21" ht="19.9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45" t="str">
        <f t="shared" si="2"/>
        <v/>
      </c>
      <c r="M96" s="45" t="str">
        <f t="shared" si="3"/>
        <v/>
      </c>
      <c r="N96" s="39" t="str">
        <f>IF(AND(A96="",B96=""),"",COUNTIFS(数据!$E$3:$E$998,"&lt;&gt;前期仔鱼",数据!$E$3:$E$998,"&lt;&gt;仔鱼",数据!$E$3:$E$998,"&lt;&gt;稚鱼",数据!$F$3:$F$998,A96,数据!$G$3:$G$998,B96))</f>
        <v/>
      </c>
      <c r="O96" s="39" t="str">
        <f>IF(AND(A96="",B96=""),"",COUNTIFS(数据!$E$3:$E$998,"&lt;&gt;鱼卵",数据!$E$3:$E$998,"&lt;&gt;死卵",数据!$F$3:$F$998,A96,数据!$G$3:$G$998,B96))</f>
        <v/>
      </c>
      <c r="P96" s="31"/>
      <c r="Q96">
        <f>SUMIFS(数据!$D$3:$D$998,数据!$E$3:$E$998,"鱼卵",数据!$F$3:$F$998,A96,数据!$G$3:$G$998,B96)</f>
        <v>0</v>
      </c>
      <c r="R96">
        <f>SUMIFS(数据!$D$3:$D$998,数据!$E$3:$E$998,"死卵",数据!$F$3:$F$998,A96,数据!$G$3:$G$998,B96)</f>
        <v>0</v>
      </c>
      <c r="S96">
        <f>SUMIFS(数据!$D$3:$D$998,数据!$E$3:$E$998,"前期仔鱼",数据!$F$3:$F$998,A96,数据!$G$3:$G$998,B96)</f>
        <v>0</v>
      </c>
      <c r="T96">
        <f>SUMIFS(数据!$D$3:$D$998,数据!$E$3:$E$998,"仔鱼",数据!$F$3:$F$998,A96,数据!$G$3:$G$998,B96)</f>
        <v>0</v>
      </c>
      <c r="U96">
        <f>SUMIFS(数据!$D$3:$D$998,数据!$E$3:$E$998,"稚鱼",数据!$F$3:$F$998,A96,数据!$G$3:$G$998,B96)</f>
        <v>0</v>
      </c>
    </row>
    <row r="97" spans="1:21" ht="19.9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45" t="str">
        <f t="shared" si="2"/>
        <v/>
      </c>
      <c r="M97" s="45" t="str">
        <f t="shared" si="3"/>
        <v/>
      </c>
      <c r="N97" s="39" t="str">
        <f>IF(AND(A97="",B97=""),"",COUNTIFS(数据!$E$3:$E$998,"&lt;&gt;前期仔鱼",数据!$E$3:$E$998,"&lt;&gt;仔鱼",数据!$E$3:$E$998,"&lt;&gt;稚鱼",数据!$F$3:$F$998,A97,数据!$G$3:$G$998,B97))</f>
        <v/>
      </c>
      <c r="O97" s="39" t="str">
        <f>IF(AND(A97="",B97=""),"",COUNTIFS(数据!$E$3:$E$998,"&lt;&gt;鱼卵",数据!$E$3:$E$998,"&lt;&gt;死卵",数据!$F$3:$F$998,A97,数据!$G$3:$G$998,B97))</f>
        <v/>
      </c>
      <c r="P97" s="31"/>
      <c r="Q97">
        <f>SUMIFS(数据!$D$3:$D$998,数据!$E$3:$E$998,"鱼卵",数据!$F$3:$F$998,A97,数据!$G$3:$G$998,B97)</f>
        <v>0</v>
      </c>
      <c r="R97">
        <f>SUMIFS(数据!$D$3:$D$998,数据!$E$3:$E$998,"死卵",数据!$F$3:$F$998,A97,数据!$G$3:$G$998,B97)</f>
        <v>0</v>
      </c>
      <c r="S97">
        <f>SUMIFS(数据!$D$3:$D$998,数据!$E$3:$E$998,"前期仔鱼",数据!$F$3:$F$998,A97,数据!$G$3:$G$998,B97)</f>
        <v>0</v>
      </c>
      <c r="T97">
        <f>SUMIFS(数据!$D$3:$D$998,数据!$E$3:$E$998,"仔鱼",数据!$F$3:$F$998,A97,数据!$G$3:$G$998,B97)</f>
        <v>0</v>
      </c>
      <c r="U97">
        <f>SUMIFS(数据!$D$3:$D$998,数据!$E$3:$E$998,"稚鱼",数据!$F$3:$F$998,A97,数据!$G$3:$G$998,B97)</f>
        <v>0</v>
      </c>
    </row>
    <row r="98" spans="1:21" ht="19.9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45" t="str">
        <f t="shared" si="2"/>
        <v/>
      </c>
      <c r="M98" s="45" t="str">
        <f t="shared" si="3"/>
        <v/>
      </c>
      <c r="N98" s="39" t="str">
        <f>IF(AND(A98="",B98=""),"",COUNTIFS(数据!$E$3:$E$998,"&lt;&gt;前期仔鱼",数据!$E$3:$E$998,"&lt;&gt;仔鱼",数据!$E$3:$E$998,"&lt;&gt;稚鱼",数据!$F$3:$F$998,A98,数据!$G$3:$G$998,B98))</f>
        <v/>
      </c>
      <c r="O98" s="39" t="str">
        <f>IF(AND(A98="",B98=""),"",COUNTIFS(数据!$E$3:$E$998,"&lt;&gt;鱼卵",数据!$E$3:$E$998,"&lt;&gt;死卵",数据!$F$3:$F$998,A98,数据!$G$3:$G$998,B98))</f>
        <v/>
      </c>
      <c r="P98" s="31"/>
      <c r="Q98">
        <f>SUMIFS(数据!$D$3:$D$998,数据!$E$3:$E$998,"鱼卵",数据!$F$3:$F$998,A98,数据!$G$3:$G$998,B98)</f>
        <v>0</v>
      </c>
      <c r="R98">
        <f>SUMIFS(数据!$D$3:$D$998,数据!$E$3:$E$998,"死卵",数据!$F$3:$F$998,A98,数据!$G$3:$G$998,B98)</f>
        <v>0</v>
      </c>
      <c r="S98">
        <f>SUMIFS(数据!$D$3:$D$998,数据!$E$3:$E$998,"前期仔鱼",数据!$F$3:$F$998,A98,数据!$G$3:$G$998,B98)</f>
        <v>0</v>
      </c>
      <c r="T98">
        <f>SUMIFS(数据!$D$3:$D$998,数据!$E$3:$E$998,"仔鱼",数据!$F$3:$F$998,A98,数据!$G$3:$G$998,B98)</f>
        <v>0</v>
      </c>
      <c r="U98">
        <f>SUMIFS(数据!$D$3:$D$998,数据!$E$3:$E$998,"稚鱼",数据!$F$3:$F$998,A98,数据!$G$3:$G$998,B98)</f>
        <v>0</v>
      </c>
    </row>
    <row r="99" spans="1:21" ht="19.9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45" t="str">
        <f t="shared" si="2"/>
        <v/>
      </c>
      <c r="M99" s="45" t="str">
        <f t="shared" si="3"/>
        <v/>
      </c>
      <c r="N99" s="39" t="str">
        <f>IF(AND(A99="",B99=""),"",COUNTIFS(数据!$E$3:$E$998,"&lt;&gt;前期仔鱼",数据!$E$3:$E$998,"&lt;&gt;仔鱼",数据!$E$3:$E$998,"&lt;&gt;稚鱼",数据!$F$3:$F$998,A99,数据!$G$3:$G$998,B99))</f>
        <v/>
      </c>
      <c r="O99" s="39" t="str">
        <f>IF(AND(A99="",B99=""),"",COUNTIFS(数据!$E$3:$E$998,"&lt;&gt;鱼卵",数据!$E$3:$E$998,"&lt;&gt;死卵",数据!$F$3:$F$998,A99,数据!$G$3:$G$998,B99))</f>
        <v/>
      </c>
      <c r="P99" s="31"/>
      <c r="Q99">
        <f>SUMIFS(数据!$D$3:$D$998,数据!$E$3:$E$998,"鱼卵",数据!$F$3:$F$998,A99,数据!$G$3:$G$998,B99)</f>
        <v>0</v>
      </c>
      <c r="R99">
        <f>SUMIFS(数据!$D$3:$D$998,数据!$E$3:$E$998,"死卵",数据!$F$3:$F$998,A99,数据!$G$3:$G$998,B99)</f>
        <v>0</v>
      </c>
      <c r="S99">
        <f>SUMIFS(数据!$D$3:$D$998,数据!$E$3:$E$998,"前期仔鱼",数据!$F$3:$F$998,A99,数据!$G$3:$G$998,B99)</f>
        <v>0</v>
      </c>
      <c r="T99">
        <f>SUMIFS(数据!$D$3:$D$998,数据!$E$3:$E$998,"仔鱼",数据!$F$3:$F$998,A99,数据!$G$3:$G$998,B99)</f>
        <v>0</v>
      </c>
      <c r="U99">
        <f>SUMIFS(数据!$D$3:$D$998,数据!$E$3:$E$998,"稚鱼",数据!$F$3:$F$998,A99,数据!$G$3:$G$998,B99)</f>
        <v>0</v>
      </c>
    </row>
    <row r="100" spans="1:21" ht="19.9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45" t="str">
        <f t="shared" si="2"/>
        <v/>
      </c>
      <c r="M100" s="45" t="str">
        <f t="shared" si="3"/>
        <v/>
      </c>
      <c r="N100" s="39" t="str">
        <f>IF(AND(A100="",B100=""),"",COUNTIFS(数据!$E$3:$E$998,"&lt;&gt;前期仔鱼",数据!$E$3:$E$998,"&lt;&gt;仔鱼",数据!$E$3:$E$998,"&lt;&gt;稚鱼",数据!$F$3:$F$998,A100,数据!$G$3:$G$998,B100))</f>
        <v/>
      </c>
      <c r="O100" s="39" t="str">
        <f>IF(AND(A100="",B100=""),"",COUNTIFS(数据!$E$3:$E$998,"&lt;&gt;鱼卵",数据!$E$3:$E$998,"&lt;&gt;死卵",数据!$F$3:$F$998,A100,数据!$G$3:$G$998,B100))</f>
        <v/>
      </c>
      <c r="P100" s="31"/>
      <c r="Q100">
        <f>SUMIFS(数据!$D$3:$D$998,数据!$E$3:$E$998,"鱼卵",数据!$F$3:$F$998,A100,数据!$G$3:$G$998,B100)</f>
        <v>0</v>
      </c>
      <c r="R100">
        <f>SUMIFS(数据!$D$3:$D$998,数据!$E$3:$E$998,"死卵",数据!$F$3:$F$998,A100,数据!$G$3:$G$998,B100)</f>
        <v>0</v>
      </c>
      <c r="S100">
        <f>SUMIFS(数据!$D$3:$D$998,数据!$E$3:$E$998,"前期仔鱼",数据!$F$3:$F$998,A100,数据!$G$3:$G$998,B100)</f>
        <v>0</v>
      </c>
      <c r="T100">
        <f>SUMIFS(数据!$D$3:$D$998,数据!$E$3:$E$998,"仔鱼",数据!$F$3:$F$998,A100,数据!$G$3:$G$998,B100)</f>
        <v>0</v>
      </c>
      <c r="U100">
        <f>SUMIFS(数据!$D$3:$D$998,数据!$E$3:$E$998,"稚鱼",数据!$F$3:$F$998,A100,数据!$G$3:$G$998,B100)</f>
        <v>0</v>
      </c>
    </row>
    <row r="101" spans="1:21" ht="19.9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45" t="str">
        <f t="shared" si="2"/>
        <v/>
      </c>
      <c r="M101" s="45" t="str">
        <f t="shared" si="3"/>
        <v/>
      </c>
      <c r="N101" s="39" t="str">
        <f>IF(AND(A101="",B101=""),"",COUNTIFS(数据!$E$3:$E$998,"&lt;&gt;前期仔鱼",数据!$E$3:$E$998,"&lt;&gt;仔鱼",数据!$E$3:$E$998,"&lt;&gt;稚鱼",数据!$F$3:$F$998,A101,数据!$G$3:$G$998,B101))</f>
        <v/>
      </c>
      <c r="O101" s="39" t="str">
        <f>IF(AND(A101="",B101=""),"",COUNTIFS(数据!$E$3:$E$998,"&lt;&gt;鱼卵",数据!$E$3:$E$998,"&lt;&gt;死卵",数据!$F$3:$F$998,A101,数据!$G$3:$G$998,B101))</f>
        <v/>
      </c>
      <c r="P101" s="31"/>
      <c r="Q101">
        <f>SUMIFS(数据!$D$3:$D$998,数据!$E$3:$E$998,"鱼卵",数据!$F$3:$F$998,A101,数据!$G$3:$G$998,B101)</f>
        <v>0</v>
      </c>
      <c r="R101">
        <f>SUMIFS(数据!$D$3:$D$998,数据!$E$3:$E$998,"死卵",数据!$F$3:$F$998,A101,数据!$G$3:$G$998,B101)</f>
        <v>0</v>
      </c>
      <c r="S101">
        <f>SUMIFS(数据!$D$3:$D$998,数据!$E$3:$E$998,"前期仔鱼",数据!$F$3:$F$998,A101,数据!$G$3:$G$998,B101)</f>
        <v>0</v>
      </c>
      <c r="T101">
        <f>SUMIFS(数据!$D$3:$D$998,数据!$E$3:$E$998,"仔鱼",数据!$F$3:$F$998,A101,数据!$G$3:$G$998,B101)</f>
        <v>0</v>
      </c>
      <c r="U101">
        <f>SUMIFS(数据!$D$3:$D$998,数据!$E$3:$E$998,"稚鱼",数据!$F$3:$F$998,A101,数据!$G$3:$G$998,B101)</f>
        <v>0</v>
      </c>
    </row>
    <row r="102" spans="1:21" ht="19.9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45" t="str">
        <f t="shared" si="2"/>
        <v/>
      </c>
      <c r="M102" s="45" t="str">
        <f t="shared" si="3"/>
        <v/>
      </c>
      <c r="N102" s="39" t="str">
        <f>IF(AND(A102="",B102=""),"",COUNTIFS(数据!$E$3:$E$998,"&lt;&gt;前期仔鱼",数据!$E$3:$E$998,"&lt;&gt;仔鱼",数据!$E$3:$E$998,"&lt;&gt;稚鱼",数据!$F$3:$F$998,A102,数据!$G$3:$G$998,B102))</f>
        <v/>
      </c>
      <c r="O102" s="39" t="str">
        <f>IF(AND(A102="",B102=""),"",COUNTIFS(数据!$E$3:$E$998,"&lt;&gt;鱼卵",数据!$E$3:$E$998,"&lt;&gt;死卵",数据!$F$3:$F$998,A102,数据!$G$3:$G$998,B102))</f>
        <v/>
      </c>
      <c r="P102" s="31"/>
      <c r="Q102">
        <f>SUMIFS(数据!$D$3:$D$998,数据!$E$3:$E$998,"鱼卵",数据!$F$3:$F$998,A102,数据!$G$3:$G$998,B102)</f>
        <v>0</v>
      </c>
      <c r="R102">
        <f>SUMIFS(数据!$D$3:$D$998,数据!$E$3:$E$998,"死卵",数据!$F$3:$F$998,A102,数据!$G$3:$G$998,B102)</f>
        <v>0</v>
      </c>
      <c r="S102">
        <f>SUMIFS(数据!$D$3:$D$998,数据!$E$3:$E$998,"前期仔鱼",数据!$F$3:$F$998,A102,数据!$G$3:$G$998,B102)</f>
        <v>0</v>
      </c>
      <c r="T102">
        <f>SUMIFS(数据!$D$3:$D$998,数据!$E$3:$E$998,"仔鱼",数据!$F$3:$F$998,A102,数据!$G$3:$G$998,B102)</f>
        <v>0</v>
      </c>
      <c r="U102">
        <f>SUMIFS(数据!$D$3:$D$998,数据!$E$3:$E$998,"稚鱼",数据!$F$3:$F$998,A102,数据!$G$3:$G$998,B102)</f>
        <v>0</v>
      </c>
    </row>
    <row r="103" spans="1:21" ht="19.9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45" t="str">
        <f t="shared" si="2"/>
        <v/>
      </c>
      <c r="M103" s="45" t="str">
        <f t="shared" si="3"/>
        <v/>
      </c>
      <c r="N103" s="39" t="str">
        <f>IF(AND(A103="",B103=""),"",COUNTIFS(数据!$E$3:$E$998,"&lt;&gt;前期仔鱼",数据!$E$3:$E$998,"&lt;&gt;仔鱼",数据!$E$3:$E$998,"&lt;&gt;稚鱼",数据!$F$3:$F$998,A103,数据!$G$3:$G$998,B103))</f>
        <v/>
      </c>
      <c r="O103" s="39" t="str">
        <f>IF(AND(A103="",B103=""),"",COUNTIFS(数据!$E$3:$E$998,"&lt;&gt;鱼卵",数据!$E$3:$E$998,"&lt;&gt;死卵",数据!$F$3:$F$998,A103,数据!$G$3:$G$998,B103))</f>
        <v/>
      </c>
      <c r="P103" s="31"/>
      <c r="Q103">
        <f>SUMIFS(数据!$D$3:$D$998,数据!$E$3:$E$998,"鱼卵",数据!$F$3:$F$998,A103,数据!$G$3:$G$998,B103)</f>
        <v>0</v>
      </c>
      <c r="R103">
        <f>SUMIFS(数据!$D$3:$D$998,数据!$E$3:$E$998,"死卵",数据!$F$3:$F$998,A103,数据!$G$3:$G$998,B103)</f>
        <v>0</v>
      </c>
      <c r="S103">
        <f>SUMIFS(数据!$D$3:$D$998,数据!$E$3:$E$998,"前期仔鱼",数据!$F$3:$F$998,A103,数据!$G$3:$G$998,B103)</f>
        <v>0</v>
      </c>
      <c r="T103">
        <f>SUMIFS(数据!$D$3:$D$998,数据!$E$3:$E$998,"仔鱼",数据!$F$3:$F$998,A103,数据!$G$3:$G$998,B103)</f>
        <v>0</v>
      </c>
      <c r="U103">
        <f>SUMIFS(数据!$D$3:$D$998,数据!$E$3:$E$998,"稚鱼",数据!$F$3:$F$998,A103,数据!$G$3:$G$998,B103)</f>
        <v>0</v>
      </c>
    </row>
    <row r="104" spans="1:21" ht="19.9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45" t="str">
        <f t="shared" si="2"/>
        <v/>
      </c>
      <c r="M104" s="45" t="str">
        <f t="shared" si="3"/>
        <v/>
      </c>
      <c r="N104" s="39" t="str">
        <f>IF(AND(A104="",B104=""),"",COUNTIFS(数据!$E$3:$E$998,"&lt;&gt;前期仔鱼",数据!$E$3:$E$998,"&lt;&gt;仔鱼",数据!$E$3:$E$998,"&lt;&gt;稚鱼",数据!$F$3:$F$998,A104,数据!$G$3:$G$998,B104))</f>
        <v/>
      </c>
      <c r="O104" s="39" t="str">
        <f>IF(AND(A104="",B104=""),"",COUNTIFS(数据!$E$3:$E$998,"&lt;&gt;鱼卵",数据!$E$3:$E$998,"&lt;&gt;死卵",数据!$F$3:$F$998,A104,数据!$G$3:$G$998,B104))</f>
        <v/>
      </c>
      <c r="P104" s="31"/>
      <c r="Q104">
        <f>SUMIFS(数据!$D$3:$D$998,数据!$E$3:$E$998,"鱼卵",数据!$F$3:$F$998,A104,数据!$G$3:$G$998,B104)</f>
        <v>0</v>
      </c>
      <c r="R104">
        <f>SUMIFS(数据!$D$3:$D$998,数据!$E$3:$E$998,"死卵",数据!$F$3:$F$998,A104,数据!$G$3:$G$998,B104)</f>
        <v>0</v>
      </c>
      <c r="S104">
        <f>SUMIFS(数据!$D$3:$D$998,数据!$E$3:$E$998,"前期仔鱼",数据!$F$3:$F$998,A104,数据!$G$3:$G$998,B104)</f>
        <v>0</v>
      </c>
      <c r="T104">
        <f>SUMIFS(数据!$D$3:$D$998,数据!$E$3:$E$998,"仔鱼",数据!$F$3:$F$998,A104,数据!$G$3:$G$998,B104)</f>
        <v>0</v>
      </c>
      <c r="U104">
        <f>SUMIFS(数据!$D$3:$D$998,数据!$E$3:$E$998,"稚鱼",数据!$F$3:$F$998,A104,数据!$G$3:$G$998,B104)</f>
        <v>0</v>
      </c>
    </row>
    <row r="105" spans="1:21" ht="19.9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45" t="str">
        <f t="shared" si="2"/>
        <v/>
      </c>
      <c r="M105" s="45" t="str">
        <f t="shared" si="3"/>
        <v/>
      </c>
      <c r="N105" s="39" t="str">
        <f>IF(AND(A105="",B105=""),"",COUNTIFS(数据!$E$3:$E$998,"&lt;&gt;前期仔鱼",数据!$E$3:$E$998,"&lt;&gt;仔鱼",数据!$E$3:$E$998,"&lt;&gt;稚鱼",数据!$F$3:$F$998,A105,数据!$G$3:$G$998,B105))</f>
        <v/>
      </c>
      <c r="O105" s="39" t="str">
        <f>IF(AND(A105="",B105=""),"",COUNTIFS(数据!$E$3:$E$998,"&lt;&gt;鱼卵",数据!$E$3:$E$998,"&lt;&gt;死卵",数据!$F$3:$F$998,A105,数据!$G$3:$G$998,B105))</f>
        <v/>
      </c>
      <c r="P105" s="31"/>
      <c r="Q105">
        <f>SUMIFS(数据!$D$3:$D$998,数据!$E$3:$E$998,"鱼卵",数据!$F$3:$F$998,A105,数据!$G$3:$G$998,B105)</f>
        <v>0</v>
      </c>
      <c r="R105">
        <f>SUMIFS(数据!$D$3:$D$998,数据!$E$3:$E$998,"死卵",数据!$F$3:$F$998,A105,数据!$G$3:$G$998,B105)</f>
        <v>0</v>
      </c>
      <c r="S105">
        <f>SUMIFS(数据!$D$3:$D$998,数据!$E$3:$E$998,"前期仔鱼",数据!$F$3:$F$998,A105,数据!$G$3:$G$998,B105)</f>
        <v>0</v>
      </c>
      <c r="T105">
        <f>SUMIFS(数据!$D$3:$D$998,数据!$E$3:$E$998,"仔鱼",数据!$F$3:$F$998,A105,数据!$G$3:$G$998,B105)</f>
        <v>0</v>
      </c>
      <c r="U105">
        <f>SUMIFS(数据!$D$3:$D$998,数据!$E$3:$E$998,"稚鱼",数据!$F$3:$F$998,A105,数据!$G$3:$G$998,B105)</f>
        <v>0</v>
      </c>
    </row>
    <row r="106" spans="1:21" ht="19.9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45" t="str">
        <f t="shared" si="2"/>
        <v/>
      </c>
      <c r="M106" s="45" t="str">
        <f t="shared" si="3"/>
        <v/>
      </c>
      <c r="N106" s="39" t="str">
        <f>IF(AND(A106="",B106=""),"",COUNTIFS(数据!$E$3:$E$998,"&lt;&gt;前期仔鱼",数据!$E$3:$E$998,"&lt;&gt;仔鱼",数据!$E$3:$E$998,"&lt;&gt;稚鱼",数据!$F$3:$F$998,A106,数据!$G$3:$G$998,B106))</f>
        <v/>
      </c>
      <c r="O106" s="39" t="str">
        <f>IF(AND(A106="",B106=""),"",COUNTIFS(数据!$E$3:$E$998,"&lt;&gt;鱼卵",数据!$E$3:$E$998,"&lt;&gt;死卵",数据!$F$3:$F$998,A106,数据!$G$3:$G$998,B106))</f>
        <v/>
      </c>
      <c r="P106" s="31"/>
      <c r="Q106">
        <f>SUMIFS(数据!$D$3:$D$998,数据!$E$3:$E$998,"鱼卵",数据!$F$3:$F$998,A106,数据!$G$3:$G$998,B106)</f>
        <v>0</v>
      </c>
      <c r="R106">
        <f>SUMIFS(数据!$D$3:$D$998,数据!$E$3:$E$998,"死卵",数据!$F$3:$F$998,A106,数据!$G$3:$G$998,B106)</f>
        <v>0</v>
      </c>
      <c r="S106">
        <f>SUMIFS(数据!$D$3:$D$998,数据!$E$3:$E$998,"前期仔鱼",数据!$F$3:$F$998,A106,数据!$G$3:$G$998,B106)</f>
        <v>0</v>
      </c>
      <c r="T106">
        <f>SUMIFS(数据!$D$3:$D$998,数据!$E$3:$E$998,"仔鱼",数据!$F$3:$F$998,A106,数据!$G$3:$G$998,B106)</f>
        <v>0</v>
      </c>
      <c r="U106">
        <f>SUMIFS(数据!$D$3:$D$998,数据!$E$3:$E$998,"稚鱼",数据!$F$3:$F$998,A106,数据!$G$3:$G$998,B106)</f>
        <v>0</v>
      </c>
    </row>
    <row r="107" spans="1:21" ht="19.9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45" t="str">
        <f t="shared" si="2"/>
        <v/>
      </c>
      <c r="M107" s="45" t="str">
        <f t="shared" si="3"/>
        <v/>
      </c>
      <c r="N107" s="39" t="str">
        <f>IF(AND(A107="",B107=""),"",COUNTIFS(数据!$E$3:$E$998,"&lt;&gt;前期仔鱼",数据!$E$3:$E$998,"&lt;&gt;仔鱼",数据!$E$3:$E$998,"&lt;&gt;稚鱼",数据!$F$3:$F$998,A107,数据!$G$3:$G$998,B107))</f>
        <v/>
      </c>
      <c r="O107" s="39" t="str">
        <f>IF(AND(A107="",B107=""),"",COUNTIFS(数据!$E$3:$E$998,"&lt;&gt;鱼卵",数据!$E$3:$E$998,"&lt;&gt;死卵",数据!$F$3:$F$998,A107,数据!$G$3:$G$998,B107))</f>
        <v/>
      </c>
      <c r="P107" s="31"/>
      <c r="Q107">
        <f>SUMIFS(数据!$D$3:$D$998,数据!$E$3:$E$998,"鱼卵",数据!$F$3:$F$998,A107,数据!$G$3:$G$998,B107)</f>
        <v>0</v>
      </c>
      <c r="R107">
        <f>SUMIFS(数据!$D$3:$D$998,数据!$E$3:$E$998,"死卵",数据!$F$3:$F$998,A107,数据!$G$3:$G$998,B107)</f>
        <v>0</v>
      </c>
      <c r="S107">
        <f>SUMIFS(数据!$D$3:$D$998,数据!$E$3:$E$998,"前期仔鱼",数据!$F$3:$F$998,A107,数据!$G$3:$G$998,B107)</f>
        <v>0</v>
      </c>
      <c r="T107">
        <f>SUMIFS(数据!$D$3:$D$998,数据!$E$3:$E$998,"仔鱼",数据!$F$3:$F$998,A107,数据!$G$3:$G$998,B107)</f>
        <v>0</v>
      </c>
      <c r="U107">
        <f>SUMIFS(数据!$D$3:$D$998,数据!$E$3:$E$998,"稚鱼",数据!$F$3:$F$998,A107,数据!$G$3:$G$998,B107)</f>
        <v>0</v>
      </c>
    </row>
    <row r="108" spans="1:21" ht="19.9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45" t="str">
        <f t="shared" si="2"/>
        <v/>
      </c>
      <c r="M108" s="45" t="str">
        <f t="shared" si="3"/>
        <v/>
      </c>
      <c r="N108" s="39" t="str">
        <f>IF(AND(A108="",B108=""),"",COUNTIFS(数据!$E$3:$E$998,"&lt;&gt;前期仔鱼",数据!$E$3:$E$998,"&lt;&gt;仔鱼",数据!$E$3:$E$998,"&lt;&gt;稚鱼",数据!$F$3:$F$998,A108,数据!$G$3:$G$998,B108))</f>
        <v/>
      </c>
      <c r="O108" s="39" t="str">
        <f>IF(AND(A108="",B108=""),"",COUNTIFS(数据!$E$3:$E$998,"&lt;&gt;鱼卵",数据!$E$3:$E$998,"&lt;&gt;死卵",数据!$F$3:$F$998,A108,数据!$G$3:$G$998,B108))</f>
        <v/>
      </c>
      <c r="P108" s="31"/>
      <c r="Q108">
        <f>SUMIFS(数据!$D$3:$D$998,数据!$E$3:$E$998,"鱼卵",数据!$F$3:$F$998,A108,数据!$G$3:$G$998,B108)</f>
        <v>0</v>
      </c>
      <c r="R108">
        <f>SUMIFS(数据!$D$3:$D$998,数据!$E$3:$E$998,"死卵",数据!$F$3:$F$998,A108,数据!$G$3:$G$998,B108)</f>
        <v>0</v>
      </c>
      <c r="S108">
        <f>SUMIFS(数据!$D$3:$D$998,数据!$E$3:$E$998,"前期仔鱼",数据!$F$3:$F$998,A108,数据!$G$3:$G$998,B108)</f>
        <v>0</v>
      </c>
      <c r="T108">
        <f>SUMIFS(数据!$D$3:$D$998,数据!$E$3:$E$998,"仔鱼",数据!$F$3:$F$998,A108,数据!$G$3:$G$998,B108)</f>
        <v>0</v>
      </c>
      <c r="U108">
        <f>SUMIFS(数据!$D$3:$D$998,数据!$E$3:$E$998,"稚鱼",数据!$F$3:$F$998,A108,数据!$G$3:$G$998,B108)</f>
        <v>0</v>
      </c>
    </row>
    <row r="109" spans="1:21" ht="19.9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45" t="str">
        <f t="shared" si="2"/>
        <v/>
      </c>
      <c r="M109" s="45" t="str">
        <f t="shared" si="3"/>
        <v/>
      </c>
      <c r="N109" s="39" t="str">
        <f>IF(AND(A109="",B109=""),"",COUNTIFS(数据!$E$3:$E$998,"&lt;&gt;前期仔鱼",数据!$E$3:$E$998,"&lt;&gt;仔鱼",数据!$E$3:$E$998,"&lt;&gt;稚鱼",数据!$F$3:$F$998,A109,数据!$G$3:$G$998,B109))</f>
        <v/>
      </c>
      <c r="O109" s="39" t="str">
        <f>IF(AND(A109="",B109=""),"",COUNTIFS(数据!$E$3:$E$998,"&lt;&gt;鱼卵",数据!$E$3:$E$998,"&lt;&gt;死卵",数据!$F$3:$F$998,A109,数据!$G$3:$G$998,B109))</f>
        <v/>
      </c>
      <c r="P109" s="31"/>
      <c r="Q109">
        <f>SUMIFS(数据!$D$3:$D$998,数据!$E$3:$E$998,"鱼卵",数据!$F$3:$F$998,A109,数据!$G$3:$G$998,B109)</f>
        <v>0</v>
      </c>
      <c r="R109">
        <f>SUMIFS(数据!$D$3:$D$998,数据!$E$3:$E$998,"死卵",数据!$F$3:$F$998,A109,数据!$G$3:$G$998,B109)</f>
        <v>0</v>
      </c>
      <c r="S109">
        <f>SUMIFS(数据!$D$3:$D$998,数据!$E$3:$E$998,"前期仔鱼",数据!$F$3:$F$998,A109,数据!$G$3:$G$998,B109)</f>
        <v>0</v>
      </c>
      <c r="T109">
        <f>SUMIFS(数据!$D$3:$D$998,数据!$E$3:$E$998,"仔鱼",数据!$F$3:$F$998,A109,数据!$G$3:$G$998,B109)</f>
        <v>0</v>
      </c>
      <c r="U109">
        <f>SUMIFS(数据!$D$3:$D$998,数据!$E$3:$E$998,"稚鱼",数据!$F$3:$F$998,A109,数据!$G$3:$G$998,B109)</f>
        <v>0</v>
      </c>
    </row>
    <row r="110" spans="1:21" ht="19.9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45" t="str">
        <f t="shared" si="2"/>
        <v/>
      </c>
      <c r="M110" s="45" t="str">
        <f t="shared" si="3"/>
        <v/>
      </c>
      <c r="N110" s="39" t="str">
        <f>IF(AND(A110="",B110=""),"",COUNTIFS(数据!$E$3:$E$998,"&lt;&gt;前期仔鱼",数据!$E$3:$E$998,"&lt;&gt;仔鱼",数据!$E$3:$E$998,"&lt;&gt;稚鱼",数据!$F$3:$F$998,A110,数据!$G$3:$G$998,B110))</f>
        <v/>
      </c>
      <c r="O110" s="39" t="str">
        <f>IF(AND(A110="",B110=""),"",COUNTIFS(数据!$E$3:$E$998,"&lt;&gt;鱼卵",数据!$E$3:$E$998,"&lt;&gt;死卵",数据!$F$3:$F$998,A110,数据!$G$3:$G$998,B110))</f>
        <v/>
      </c>
      <c r="P110" s="31"/>
      <c r="Q110">
        <f>SUMIFS(数据!$D$3:$D$998,数据!$E$3:$E$998,"鱼卵",数据!$F$3:$F$998,A110,数据!$G$3:$G$998,B110)</f>
        <v>0</v>
      </c>
      <c r="R110">
        <f>SUMIFS(数据!$D$3:$D$998,数据!$E$3:$E$998,"死卵",数据!$F$3:$F$998,A110,数据!$G$3:$G$998,B110)</f>
        <v>0</v>
      </c>
      <c r="S110">
        <f>SUMIFS(数据!$D$3:$D$998,数据!$E$3:$E$998,"前期仔鱼",数据!$F$3:$F$998,A110,数据!$G$3:$G$998,B110)</f>
        <v>0</v>
      </c>
      <c r="T110">
        <f>SUMIFS(数据!$D$3:$D$998,数据!$E$3:$E$998,"仔鱼",数据!$F$3:$F$998,A110,数据!$G$3:$G$998,B110)</f>
        <v>0</v>
      </c>
      <c r="U110">
        <f>SUMIFS(数据!$D$3:$D$998,数据!$E$3:$E$998,"稚鱼",数据!$F$3:$F$998,A110,数据!$G$3:$G$998,B110)</f>
        <v>0</v>
      </c>
    </row>
    <row r="111" spans="1:21" ht="19.9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45" t="str">
        <f t="shared" si="2"/>
        <v/>
      </c>
      <c r="M111" s="45" t="str">
        <f t="shared" si="3"/>
        <v/>
      </c>
      <c r="N111" s="39" t="str">
        <f>IF(AND(A111="",B111=""),"",COUNTIFS(数据!$E$3:$E$998,"&lt;&gt;前期仔鱼",数据!$E$3:$E$998,"&lt;&gt;仔鱼",数据!$E$3:$E$998,"&lt;&gt;稚鱼",数据!$F$3:$F$998,A111,数据!$G$3:$G$998,B111))</f>
        <v/>
      </c>
      <c r="O111" s="39" t="str">
        <f>IF(AND(A111="",B111=""),"",COUNTIFS(数据!$E$3:$E$998,"&lt;&gt;鱼卵",数据!$E$3:$E$998,"&lt;&gt;死卵",数据!$F$3:$F$998,A111,数据!$G$3:$G$998,B111))</f>
        <v/>
      </c>
      <c r="P111" s="31"/>
      <c r="Q111">
        <f>SUMIFS(数据!$D$3:$D$998,数据!$E$3:$E$998,"鱼卵",数据!$F$3:$F$998,A111,数据!$G$3:$G$998,B111)</f>
        <v>0</v>
      </c>
      <c r="R111">
        <f>SUMIFS(数据!$D$3:$D$998,数据!$E$3:$E$998,"死卵",数据!$F$3:$F$998,A111,数据!$G$3:$G$998,B111)</f>
        <v>0</v>
      </c>
      <c r="S111">
        <f>SUMIFS(数据!$D$3:$D$998,数据!$E$3:$E$998,"前期仔鱼",数据!$F$3:$F$998,A111,数据!$G$3:$G$998,B111)</f>
        <v>0</v>
      </c>
      <c r="T111">
        <f>SUMIFS(数据!$D$3:$D$998,数据!$E$3:$E$998,"仔鱼",数据!$F$3:$F$998,A111,数据!$G$3:$G$998,B111)</f>
        <v>0</v>
      </c>
      <c r="U111">
        <f>SUMIFS(数据!$D$3:$D$998,数据!$E$3:$E$998,"稚鱼",数据!$F$3:$F$998,A111,数据!$G$3:$G$998,B111)</f>
        <v>0</v>
      </c>
    </row>
    <row r="112" spans="1:21" ht="19.9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45" t="str">
        <f t="shared" si="2"/>
        <v/>
      </c>
      <c r="M112" s="45" t="str">
        <f t="shared" si="3"/>
        <v/>
      </c>
      <c r="N112" s="39" t="str">
        <f>IF(AND(A112="",B112=""),"",COUNTIFS(数据!$E$3:$E$998,"&lt;&gt;前期仔鱼",数据!$E$3:$E$998,"&lt;&gt;仔鱼",数据!$E$3:$E$998,"&lt;&gt;稚鱼",数据!$F$3:$F$998,A112,数据!$G$3:$G$998,B112))</f>
        <v/>
      </c>
      <c r="O112" s="39" t="str">
        <f>IF(AND(A112="",B112=""),"",COUNTIFS(数据!$E$3:$E$998,"&lt;&gt;鱼卵",数据!$E$3:$E$998,"&lt;&gt;死卵",数据!$F$3:$F$998,A112,数据!$G$3:$G$998,B112))</f>
        <v/>
      </c>
      <c r="P112" s="31"/>
      <c r="Q112">
        <f>SUMIFS(数据!$D$3:$D$998,数据!$E$3:$E$998,"鱼卵",数据!$F$3:$F$998,A112,数据!$G$3:$G$998,B112)</f>
        <v>0</v>
      </c>
      <c r="R112">
        <f>SUMIFS(数据!$D$3:$D$998,数据!$E$3:$E$998,"死卵",数据!$F$3:$F$998,A112,数据!$G$3:$G$998,B112)</f>
        <v>0</v>
      </c>
      <c r="S112">
        <f>SUMIFS(数据!$D$3:$D$998,数据!$E$3:$E$998,"前期仔鱼",数据!$F$3:$F$998,A112,数据!$G$3:$G$998,B112)</f>
        <v>0</v>
      </c>
      <c r="T112">
        <f>SUMIFS(数据!$D$3:$D$998,数据!$E$3:$E$998,"仔鱼",数据!$F$3:$F$998,A112,数据!$G$3:$G$998,B112)</f>
        <v>0</v>
      </c>
      <c r="U112">
        <f>SUMIFS(数据!$D$3:$D$998,数据!$E$3:$E$998,"稚鱼",数据!$F$3:$F$998,A112,数据!$G$3:$G$998,B112)</f>
        <v>0</v>
      </c>
    </row>
    <row r="113" spans="1:21" ht="19.9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45" t="str">
        <f t="shared" si="2"/>
        <v/>
      </c>
      <c r="M113" s="45" t="str">
        <f t="shared" si="3"/>
        <v/>
      </c>
      <c r="N113" s="39" t="str">
        <f>IF(AND(A113="",B113=""),"",COUNTIFS(数据!$E$3:$E$998,"&lt;&gt;前期仔鱼",数据!$E$3:$E$998,"&lt;&gt;仔鱼",数据!$E$3:$E$998,"&lt;&gt;稚鱼",数据!$F$3:$F$998,A113,数据!$G$3:$G$998,B113))</f>
        <v/>
      </c>
      <c r="O113" s="39" t="str">
        <f>IF(AND(A113="",B113=""),"",COUNTIFS(数据!$E$3:$E$998,"&lt;&gt;鱼卵",数据!$E$3:$E$998,"&lt;&gt;死卵",数据!$F$3:$F$998,A113,数据!$G$3:$G$998,B113))</f>
        <v/>
      </c>
      <c r="P113" s="31"/>
      <c r="Q113">
        <f>SUMIFS(数据!$D$3:$D$998,数据!$E$3:$E$998,"鱼卵",数据!$F$3:$F$998,A113,数据!$G$3:$G$998,B113)</f>
        <v>0</v>
      </c>
      <c r="R113">
        <f>SUMIFS(数据!$D$3:$D$998,数据!$E$3:$E$998,"死卵",数据!$F$3:$F$998,A113,数据!$G$3:$G$998,B113)</f>
        <v>0</v>
      </c>
      <c r="S113">
        <f>SUMIFS(数据!$D$3:$D$998,数据!$E$3:$E$998,"前期仔鱼",数据!$F$3:$F$998,A113,数据!$G$3:$G$998,B113)</f>
        <v>0</v>
      </c>
      <c r="T113">
        <f>SUMIFS(数据!$D$3:$D$998,数据!$E$3:$E$998,"仔鱼",数据!$F$3:$F$998,A113,数据!$G$3:$G$998,B113)</f>
        <v>0</v>
      </c>
      <c r="U113">
        <f>SUMIFS(数据!$D$3:$D$998,数据!$E$3:$E$998,"稚鱼",数据!$F$3:$F$998,A113,数据!$G$3:$G$998,B113)</f>
        <v>0</v>
      </c>
    </row>
    <row r="114" spans="1:21" ht="19.9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45" t="str">
        <f t="shared" si="2"/>
        <v/>
      </c>
      <c r="M114" s="45" t="str">
        <f t="shared" si="3"/>
        <v/>
      </c>
      <c r="N114" s="39" t="str">
        <f>IF(AND(A114="",B114=""),"",COUNTIFS(数据!$E$3:$E$998,"&lt;&gt;前期仔鱼",数据!$E$3:$E$998,"&lt;&gt;仔鱼",数据!$E$3:$E$998,"&lt;&gt;稚鱼",数据!$F$3:$F$998,A114,数据!$G$3:$G$998,B114))</f>
        <v/>
      </c>
      <c r="O114" s="39" t="str">
        <f>IF(AND(A114="",B114=""),"",COUNTIFS(数据!$E$3:$E$998,"&lt;&gt;鱼卵",数据!$E$3:$E$998,"&lt;&gt;死卵",数据!$F$3:$F$998,A114,数据!$G$3:$G$998,B114))</f>
        <v/>
      </c>
      <c r="P114" s="31"/>
      <c r="Q114">
        <f>SUMIFS(数据!$D$3:$D$998,数据!$E$3:$E$998,"鱼卵",数据!$F$3:$F$998,A114,数据!$G$3:$G$998,B114)</f>
        <v>0</v>
      </c>
      <c r="R114">
        <f>SUMIFS(数据!$D$3:$D$998,数据!$E$3:$E$998,"死卵",数据!$F$3:$F$998,A114,数据!$G$3:$G$998,B114)</f>
        <v>0</v>
      </c>
      <c r="S114">
        <f>SUMIFS(数据!$D$3:$D$998,数据!$E$3:$E$998,"前期仔鱼",数据!$F$3:$F$998,A114,数据!$G$3:$G$998,B114)</f>
        <v>0</v>
      </c>
      <c r="T114">
        <f>SUMIFS(数据!$D$3:$D$998,数据!$E$3:$E$998,"仔鱼",数据!$F$3:$F$998,A114,数据!$G$3:$G$998,B114)</f>
        <v>0</v>
      </c>
      <c r="U114">
        <f>SUMIFS(数据!$D$3:$D$998,数据!$E$3:$E$998,"稚鱼",数据!$F$3:$F$998,A114,数据!$G$3:$G$998,B114)</f>
        <v>0</v>
      </c>
    </row>
    <row r="115" spans="1:21" ht="19.9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45" t="str">
        <f t="shared" si="2"/>
        <v/>
      </c>
      <c r="M115" s="45" t="str">
        <f t="shared" si="3"/>
        <v/>
      </c>
      <c r="N115" s="39" t="str">
        <f>IF(AND(A115="",B115=""),"",COUNTIFS(数据!$E$3:$E$998,"&lt;&gt;前期仔鱼",数据!$E$3:$E$998,"&lt;&gt;仔鱼",数据!$E$3:$E$998,"&lt;&gt;稚鱼",数据!$F$3:$F$998,A115,数据!$G$3:$G$998,B115))</f>
        <v/>
      </c>
      <c r="O115" s="39" t="str">
        <f>IF(AND(A115="",B115=""),"",COUNTIFS(数据!$E$3:$E$998,"&lt;&gt;鱼卵",数据!$E$3:$E$998,"&lt;&gt;死卵",数据!$F$3:$F$998,A115,数据!$G$3:$G$998,B115))</f>
        <v/>
      </c>
      <c r="P115" s="31"/>
      <c r="Q115">
        <f>SUMIFS(数据!$D$3:$D$998,数据!$E$3:$E$998,"鱼卵",数据!$F$3:$F$998,A115,数据!$G$3:$G$998,B115)</f>
        <v>0</v>
      </c>
      <c r="R115">
        <f>SUMIFS(数据!$D$3:$D$998,数据!$E$3:$E$998,"死卵",数据!$F$3:$F$998,A115,数据!$G$3:$G$998,B115)</f>
        <v>0</v>
      </c>
      <c r="S115">
        <f>SUMIFS(数据!$D$3:$D$998,数据!$E$3:$E$998,"前期仔鱼",数据!$F$3:$F$998,A115,数据!$G$3:$G$998,B115)</f>
        <v>0</v>
      </c>
      <c r="T115">
        <f>SUMIFS(数据!$D$3:$D$998,数据!$E$3:$E$998,"仔鱼",数据!$F$3:$F$998,A115,数据!$G$3:$G$998,B115)</f>
        <v>0</v>
      </c>
      <c r="U115">
        <f>SUMIFS(数据!$D$3:$D$998,数据!$E$3:$E$998,"稚鱼",数据!$F$3:$F$998,A115,数据!$G$3:$G$998,B115)</f>
        <v>0</v>
      </c>
    </row>
    <row r="116" spans="1:21" ht="19.9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45" t="str">
        <f t="shared" si="2"/>
        <v/>
      </c>
      <c r="M116" s="45" t="str">
        <f t="shared" si="3"/>
        <v/>
      </c>
      <c r="N116" s="39" t="str">
        <f>IF(AND(A116="",B116=""),"",COUNTIFS(数据!$E$3:$E$998,"&lt;&gt;前期仔鱼",数据!$E$3:$E$998,"&lt;&gt;仔鱼",数据!$E$3:$E$998,"&lt;&gt;稚鱼",数据!$F$3:$F$998,A116,数据!$G$3:$G$998,B116))</f>
        <v/>
      </c>
      <c r="O116" s="39" t="str">
        <f>IF(AND(A116="",B116=""),"",COUNTIFS(数据!$E$3:$E$998,"&lt;&gt;鱼卵",数据!$E$3:$E$998,"&lt;&gt;死卵",数据!$F$3:$F$998,A116,数据!$G$3:$G$998,B116))</f>
        <v/>
      </c>
      <c r="P116" s="31"/>
      <c r="Q116">
        <f>SUMIFS(数据!$D$3:$D$998,数据!$E$3:$E$998,"鱼卵",数据!$F$3:$F$998,A116,数据!$G$3:$G$998,B116)</f>
        <v>0</v>
      </c>
      <c r="R116">
        <f>SUMIFS(数据!$D$3:$D$998,数据!$E$3:$E$998,"死卵",数据!$F$3:$F$998,A116,数据!$G$3:$G$998,B116)</f>
        <v>0</v>
      </c>
      <c r="S116">
        <f>SUMIFS(数据!$D$3:$D$998,数据!$E$3:$E$998,"前期仔鱼",数据!$F$3:$F$998,A116,数据!$G$3:$G$998,B116)</f>
        <v>0</v>
      </c>
      <c r="T116">
        <f>SUMIFS(数据!$D$3:$D$998,数据!$E$3:$E$998,"仔鱼",数据!$F$3:$F$998,A116,数据!$G$3:$G$998,B116)</f>
        <v>0</v>
      </c>
      <c r="U116">
        <f>SUMIFS(数据!$D$3:$D$998,数据!$E$3:$E$998,"稚鱼",数据!$F$3:$F$998,A116,数据!$G$3:$G$998,B116)</f>
        <v>0</v>
      </c>
    </row>
    <row r="117" spans="1:21" ht="19.9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45" t="str">
        <f t="shared" si="2"/>
        <v/>
      </c>
      <c r="M117" s="45" t="str">
        <f t="shared" si="3"/>
        <v/>
      </c>
      <c r="N117" s="39" t="str">
        <f>IF(AND(A117="",B117=""),"",COUNTIFS(数据!$E$3:$E$998,"&lt;&gt;前期仔鱼",数据!$E$3:$E$998,"&lt;&gt;仔鱼",数据!$E$3:$E$998,"&lt;&gt;稚鱼",数据!$F$3:$F$998,A117,数据!$G$3:$G$998,B117))</f>
        <v/>
      </c>
      <c r="O117" s="39" t="str">
        <f>IF(AND(A117="",B117=""),"",COUNTIFS(数据!$E$3:$E$998,"&lt;&gt;鱼卵",数据!$E$3:$E$998,"&lt;&gt;死卵",数据!$F$3:$F$998,A117,数据!$G$3:$G$998,B117))</f>
        <v/>
      </c>
      <c r="P117" s="31"/>
      <c r="Q117">
        <f>SUMIFS(数据!$D$3:$D$998,数据!$E$3:$E$998,"鱼卵",数据!$F$3:$F$998,A117,数据!$G$3:$G$998,B117)</f>
        <v>0</v>
      </c>
      <c r="R117">
        <f>SUMIFS(数据!$D$3:$D$998,数据!$E$3:$E$998,"死卵",数据!$F$3:$F$998,A117,数据!$G$3:$G$998,B117)</f>
        <v>0</v>
      </c>
      <c r="S117">
        <f>SUMIFS(数据!$D$3:$D$998,数据!$E$3:$E$998,"前期仔鱼",数据!$F$3:$F$998,A117,数据!$G$3:$G$998,B117)</f>
        <v>0</v>
      </c>
      <c r="T117">
        <f>SUMIFS(数据!$D$3:$D$998,数据!$E$3:$E$998,"仔鱼",数据!$F$3:$F$998,A117,数据!$G$3:$G$998,B117)</f>
        <v>0</v>
      </c>
      <c r="U117">
        <f>SUMIFS(数据!$D$3:$D$998,数据!$E$3:$E$998,"稚鱼",数据!$F$3:$F$998,A117,数据!$G$3:$G$998,B117)</f>
        <v>0</v>
      </c>
    </row>
    <row r="118" spans="1:21" ht="19.9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45" t="str">
        <f t="shared" si="2"/>
        <v/>
      </c>
      <c r="M118" s="45" t="str">
        <f t="shared" si="3"/>
        <v/>
      </c>
      <c r="N118" s="39" t="str">
        <f>IF(AND(A118="",B118=""),"",COUNTIFS(数据!$E$3:$E$998,"&lt;&gt;前期仔鱼",数据!$E$3:$E$998,"&lt;&gt;仔鱼",数据!$E$3:$E$998,"&lt;&gt;稚鱼",数据!$F$3:$F$998,A118,数据!$G$3:$G$998,B118))</f>
        <v/>
      </c>
      <c r="O118" s="39" t="str">
        <f>IF(AND(A118="",B118=""),"",COUNTIFS(数据!$E$3:$E$998,"&lt;&gt;鱼卵",数据!$E$3:$E$998,"&lt;&gt;死卵",数据!$F$3:$F$998,A118,数据!$G$3:$G$998,B118))</f>
        <v/>
      </c>
      <c r="P118" s="31"/>
      <c r="Q118">
        <f>SUMIFS(数据!$D$3:$D$998,数据!$E$3:$E$998,"鱼卵",数据!$F$3:$F$998,A118,数据!$G$3:$G$998,B118)</f>
        <v>0</v>
      </c>
      <c r="R118">
        <f>SUMIFS(数据!$D$3:$D$998,数据!$E$3:$E$998,"死卵",数据!$F$3:$F$998,A118,数据!$G$3:$G$998,B118)</f>
        <v>0</v>
      </c>
      <c r="S118">
        <f>SUMIFS(数据!$D$3:$D$998,数据!$E$3:$E$998,"前期仔鱼",数据!$F$3:$F$998,A118,数据!$G$3:$G$998,B118)</f>
        <v>0</v>
      </c>
      <c r="T118">
        <f>SUMIFS(数据!$D$3:$D$998,数据!$E$3:$E$998,"仔鱼",数据!$F$3:$F$998,A118,数据!$G$3:$G$998,B118)</f>
        <v>0</v>
      </c>
      <c r="U118">
        <f>SUMIFS(数据!$D$3:$D$998,数据!$E$3:$E$998,"稚鱼",数据!$F$3:$F$998,A118,数据!$G$3:$G$998,B118)</f>
        <v>0</v>
      </c>
    </row>
    <row r="119" spans="1:21" ht="19.9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45" t="str">
        <f t="shared" si="2"/>
        <v/>
      </c>
      <c r="M119" s="45" t="str">
        <f t="shared" si="3"/>
        <v/>
      </c>
      <c r="N119" s="39" t="str">
        <f>IF(AND(A119="",B119=""),"",COUNTIFS(数据!$E$3:$E$998,"&lt;&gt;前期仔鱼",数据!$E$3:$E$998,"&lt;&gt;仔鱼",数据!$E$3:$E$998,"&lt;&gt;稚鱼",数据!$F$3:$F$998,A119,数据!$G$3:$G$998,B119))</f>
        <v/>
      </c>
      <c r="O119" s="39" t="str">
        <f>IF(AND(A119="",B119=""),"",COUNTIFS(数据!$E$3:$E$998,"&lt;&gt;鱼卵",数据!$E$3:$E$998,"&lt;&gt;死卵",数据!$F$3:$F$998,A119,数据!$G$3:$G$998,B119))</f>
        <v/>
      </c>
      <c r="P119" s="31"/>
      <c r="Q119">
        <f>SUMIFS(数据!$D$3:$D$998,数据!$E$3:$E$998,"鱼卵",数据!$F$3:$F$998,A119,数据!$G$3:$G$998,B119)</f>
        <v>0</v>
      </c>
      <c r="R119">
        <f>SUMIFS(数据!$D$3:$D$998,数据!$E$3:$E$998,"死卵",数据!$F$3:$F$998,A119,数据!$G$3:$G$998,B119)</f>
        <v>0</v>
      </c>
      <c r="S119">
        <f>SUMIFS(数据!$D$3:$D$998,数据!$E$3:$E$998,"前期仔鱼",数据!$F$3:$F$998,A119,数据!$G$3:$G$998,B119)</f>
        <v>0</v>
      </c>
      <c r="T119">
        <f>SUMIFS(数据!$D$3:$D$998,数据!$E$3:$E$998,"仔鱼",数据!$F$3:$F$998,A119,数据!$G$3:$G$998,B119)</f>
        <v>0</v>
      </c>
      <c r="U119">
        <f>SUMIFS(数据!$D$3:$D$998,数据!$E$3:$E$998,"稚鱼",数据!$F$3:$F$998,A119,数据!$G$3:$G$998,B119)</f>
        <v>0</v>
      </c>
    </row>
    <row r="120" spans="1:21" ht="19.9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45" t="str">
        <f t="shared" si="2"/>
        <v/>
      </c>
      <c r="M120" s="45" t="str">
        <f t="shared" si="3"/>
        <v/>
      </c>
      <c r="N120" s="39" t="str">
        <f>IF(AND(A120="",B120=""),"",COUNTIFS(数据!$E$3:$E$998,"&lt;&gt;前期仔鱼",数据!$E$3:$E$998,"&lt;&gt;仔鱼",数据!$E$3:$E$998,"&lt;&gt;稚鱼",数据!$F$3:$F$998,A120,数据!$G$3:$G$998,B120))</f>
        <v/>
      </c>
      <c r="O120" s="39" t="str">
        <f>IF(AND(A120="",B120=""),"",COUNTIFS(数据!$E$3:$E$998,"&lt;&gt;鱼卵",数据!$E$3:$E$998,"&lt;&gt;死卵",数据!$F$3:$F$998,A120,数据!$G$3:$G$998,B120))</f>
        <v/>
      </c>
      <c r="P120" s="31"/>
      <c r="Q120">
        <f>SUMIFS(数据!$D$3:$D$998,数据!$E$3:$E$998,"鱼卵",数据!$F$3:$F$998,A120,数据!$G$3:$G$998,B120)</f>
        <v>0</v>
      </c>
      <c r="R120">
        <f>SUMIFS(数据!$D$3:$D$998,数据!$E$3:$E$998,"死卵",数据!$F$3:$F$998,A120,数据!$G$3:$G$998,B120)</f>
        <v>0</v>
      </c>
      <c r="S120">
        <f>SUMIFS(数据!$D$3:$D$998,数据!$E$3:$E$998,"前期仔鱼",数据!$F$3:$F$998,A120,数据!$G$3:$G$998,B120)</f>
        <v>0</v>
      </c>
      <c r="T120">
        <f>SUMIFS(数据!$D$3:$D$998,数据!$E$3:$E$998,"仔鱼",数据!$F$3:$F$998,A120,数据!$G$3:$G$998,B120)</f>
        <v>0</v>
      </c>
      <c r="U120">
        <f>SUMIFS(数据!$D$3:$D$998,数据!$E$3:$E$998,"稚鱼",数据!$F$3:$F$998,A120,数据!$G$3:$G$998,B120)</f>
        <v>0</v>
      </c>
    </row>
    <row r="121" spans="1:21" ht="19.9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45" t="str">
        <f t="shared" si="2"/>
        <v/>
      </c>
      <c r="M121" s="45" t="str">
        <f t="shared" si="3"/>
        <v/>
      </c>
      <c r="N121" s="39" t="str">
        <f>IF(AND(A121="",B121=""),"",COUNTIFS(数据!$E$3:$E$998,"&lt;&gt;前期仔鱼",数据!$E$3:$E$998,"&lt;&gt;仔鱼",数据!$E$3:$E$998,"&lt;&gt;稚鱼",数据!$F$3:$F$998,A121,数据!$G$3:$G$998,B121))</f>
        <v/>
      </c>
      <c r="O121" s="39" t="str">
        <f>IF(AND(A121="",B121=""),"",COUNTIFS(数据!$E$3:$E$998,"&lt;&gt;鱼卵",数据!$E$3:$E$998,"&lt;&gt;死卵",数据!$F$3:$F$998,A121,数据!$G$3:$G$998,B121))</f>
        <v/>
      </c>
      <c r="P121" s="31"/>
      <c r="Q121">
        <f>SUMIFS(数据!$D$3:$D$998,数据!$E$3:$E$998,"鱼卵",数据!$F$3:$F$998,A121,数据!$G$3:$G$998,B121)</f>
        <v>0</v>
      </c>
      <c r="R121">
        <f>SUMIFS(数据!$D$3:$D$998,数据!$E$3:$E$998,"死卵",数据!$F$3:$F$998,A121,数据!$G$3:$G$998,B121)</f>
        <v>0</v>
      </c>
      <c r="S121">
        <f>SUMIFS(数据!$D$3:$D$998,数据!$E$3:$E$998,"前期仔鱼",数据!$F$3:$F$998,A121,数据!$G$3:$G$998,B121)</f>
        <v>0</v>
      </c>
      <c r="T121">
        <f>SUMIFS(数据!$D$3:$D$998,数据!$E$3:$E$998,"仔鱼",数据!$F$3:$F$998,A121,数据!$G$3:$G$998,B121)</f>
        <v>0</v>
      </c>
      <c r="U121">
        <f>SUMIFS(数据!$D$3:$D$998,数据!$E$3:$E$998,"稚鱼",数据!$F$3:$F$998,A121,数据!$G$3:$G$998,B121)</f>
        <v>0</v>
      </c>
    </row>
    <row r="122" spans="1:21" ht="19.9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45" t="str">
        <f t="shared" si="2"/>
        <v/>
      </c>
      <c r="M122" s="45" t="str">
        <f t="shared" si="3"/>
        <v/>
      </c>
      <c r="N122" s="39" t="str">
        <f>IF(AND(A122="",B122=""),"",COUNTIFS(数据!$E$3:$E$998,"&lt;&gt;前期仔鱼",数据!$E$3:$E$998,"&lt;&gt;仔鱼",数据!$E$3:$E$998,"&lt;&gt;稚鱼",数据!$F$3:$F$998,A122,数据!$G$3:$G$998,B122))</f>
        <v/>
      </c>
      <c r="O122" s="39" t="str">
        <f>IF(AND(A122="",B122=""),"",COUNTIFS(数据!$E$3:$E$998,"&lt;&gt;鱼卵",数据!$E$3:$E$998,"&lt;&gt;死卵",数据!$F$3:$F$998,A122,数据!$G$3:$G$998,B122))</f>
        <v/>
      </c>
      <c r="P122" s="31"/>
      <c r="Q122">
        <f>SUMIFS(数据!$D$3:$D$998,数据!$E$3:$E$998,"鱼卵",数据!$F$3:$F$998,A122,数据!$G$3:$G$998,B122)</f>
        <v>0</v>
      </c>
      <c r="R122">
        <f>SUMIFS(数据!$D$3:$D$998,数据!$E$3:$E$998,"死卵",数据!$F$3:$F$998,A122,数据!$G$3:$G$998,B122)</f>
        <v>0</v>
      </c>
      <c r="S122">
        <f>SUMIFS(数据!$D$3:$D$998,数据!$E$3:$E$998,"前期仔鱼",数据!$F$3:$F$998,A122,数据!$G$3:$G$998,B122)</f>
        <v>0</v>
      </c>
      <c r="T122">
        <f>SUMIFS(数据!$D$3:$D$998,数据!$E$3:$E$998,"仔鱼",数据!$F$3:$F$998,A122,数据!$G$3:$G$998,B122)</f>
        <v>0</v>
      </c>
      <c r="U122">
        <f>SUMIFS(数据!$D$3:$D$998,数据!$E$3:$E$998,"稚鱼",数据!$F$3:$F$998,A122,数据!$G$3:$G$998,B122)</f>
        <v>0</v>
      </c>
    </row>
    <row r="123" spans="1:21" ht="19.9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45" t="str">
        <f t="shared" si="2"/>
        <v/>
      </c>
      <c r="M123" s="45" t="str">
        <f t="shared" si="3"/>
        <v/>
      </c>
      <c r="N123" s="39" t="str">
        <f>IF(AND(A123="",B123=""),"",COUNTIFS(数据!$E$3:$E$998,"&lt;&gt;前期仔鱼",数据!$E$3:$E$998,"&lt;&gt;仔鱼",数据!$E$3:$E$998,"&lt;&gt;稚鱼",数据!$F$3:$F$998,A123,数据!$G$3:$G$998,B123))</f>
        <v/>
      </c>
      <c r="O123" s="39" t="str">
        <f>IF(AND(A123="",B123=""),"",COUNTIFS(数据!$E$3:$E$998,"&lt;&gt;鱼卵",数据!$E$3:$E$998,"&lt;&gt;死卵",数据!$F$3:$F$998,A123,数据!$G$3:$G$998,B123))</f>
        <v/>
      </c>
      <c r="P123" s="31"/>
      <c r="Q123">
        <f>SUMIFS(数据!$D$3:$D$998,数据!$E$3:$E$998,"鱼卵",数据!$F$3:$F$998,A123,数据!$G$3:$G$998,B123)</f>
        <v>0</v>
      </c>
      <c r="R123">
        <f>SUMIFS(数据!$D$3:$D$998,数据!$E$3:$E$998,"死卵",数据!$F$3:$F$998,A123,数据!$G$3:$G$998,B123)</f>
        <v>0</v>
      </c>
      <c r="S123">
        <f>SUMIFS(数据!$D$3:$D$998,数据!$E$3:$E$998,"前期仔鱼",数据!$F$3:$F$998,A123,数据!$G$3:$G$998,B123)</f>
        <v>0</v>
      </c>
      <c r="T123">
        <f>SUMIFS(数据!$D$3:$D$998,数据!$E$3:$E$998,"仔鱼",数据!$F$3:$F$998,A123,数据!$G$3:$G$998,B123)</f>
        <v>0</v>
      </c>
      <c r="U123">
        <f>SUMIFS(数据!$D$3:$D$998,数据!$E$3:$E$998,"稚鱼",数据!$F$3:$F$998,A123,数据!$G$3:$G$998,B123)</f>
        <v>0</v>
      </c>
    </row>
    <row r="124" spans="1:21" ht="19.9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45" t="str">
        <f t="shared" si="2"/>
        <v/>
      </c>
      <c r="M124" s="45" t="str">
        <f t="shared" si="3"/>
        <v/>
      </c>
      <c r="N124" s="39" t="str">
        <f>IF(AND(A124="",B124=""),"",COUNTIFS(数据!$E$3:$E$998,"&lt;&gt;前期仔鱼",数据!$E$3:$E$998,"&lt;&gt;仔鱼",数据!$E$3:$E$998,"&lt;&gt;稚鱼",数据!$F$3:$F$998,A124,数据!$G$3:$G$998,B124))</f>
        <v/>
      </c>
      <c r="O124" s="39" t="str">
        <f>IF(AND(A124="",B124=""),"",COUNTIFS(数据!$E$3:$E$998,"&lt;&gt;鱼卵",数据!$E$3:$E$998,"&lt;&gt;死卵",数据!$F$3:$F$998,A124,数据!$G$3:$G$998,B124))</f>
        <v/>
      </c>
      <c r="P124" s="31"/>
      <c r="Q124">
        <f>SUMIFS(数据!$D$3:$D$998,数据!$E$3:$E$998,"鱼卵",数据!$F$3:$F$998,A124,数据!$G$3:$G$998,B124)</f>
        <v>0</v>
      </c>
      <c r="R124">
        <f>SUMIFS(数据!$D$3:$D$998,数据!$E$3:$E$998,"死卵",数据!$F$3:$F$998,A124,数据!$G$3:$G$998,B124)</f>
        <v>0</v>
      </c>
      <c r="S124">
        <f>SUMIFS(数据!$D$3:$D$998,数据!$E$3:$E$998,"前期仔鱼",数据!$F$3:$F$998,A124,数据!$G$3:$G$998,B124)</f>
        <v>0</v>
      </c>
      <c r="T124">
        <f>SUMIFS(数据!$D$3:$D$998,数据!$E$3:$E$998,"仔鱼",数据!$F$3:$F$998,A124,数据!$G$3:$G$998,B124)</f>
        <v>0</v>
      </c>
      <c r="U124">
        <f>SUMIFS(数据!$D$3:$D$998,数据!$E$3:$E$998,"稚鱼",数据!$F$3:$F$998,A124,数据!$G$3:$G$998,B124)</f>
        <v>0</v>
      </c>
    </row>
    <row r="125" spans="1:21" ht="19.9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45" t="str">
        <f t="shared" si="2"/>
        <v/>
      </c>
      <c r="M125" s="45" t="str">
        <f t="shared" si="3"/>
        <v/>
      </c>
      <c r="N125" s="39" t="str">
        <f>IF(AND(A125="",B125=""),"",COUNTIFS(数据!$E$3:$E$998,"&lt;&gt;前期仔鱼",数据!$E$3:$E$998,"&lt;&gt;仔鱼",数据!$E$3:$E$998,"&lt;&gt;稚鱼",数据!$F$3:$F$998,A125,数据!$G$3:$G$998,B125))</f>
        <v/>
      </c>
      <c r="O125" s="39" t="str">
        <f>IF(AND(A125="",B125=""),"",COUNTIFS(数据!$E$3:$E$998,"&lt;&gt;鱼卵",数据!$E$3:$E$998,"&lt;&gt;死卵",数据!$F$3:$F$998,A125,数据!$G$3:$G$998,B125))</f>
        <v/>
      </c>
      <c r="P125" s="31"/>
      <c r="Q125">
        <f>SUMIFS(数据!$D$3:$D$998,数据!$E$3:$E$998,"鱼卵",数据!$F$3:$F$998,A125,数据!$G$3:$G$998,B125)</f>
        <v>0</v>
      </c>
      <c r="R125">
        <f>SUMIFS(数据!$D$3:$D$998,数据!$E$3:$E$998,"死卵",数据!$F$3:$F$998,A125,数据!$G$3:$G$998,B125)</f>
        <v>0</v>
      </c>
      <c r="S125">
        <f>SUMIFS(数据!$D$3:$D$998,数据!$E$3:$E$998,"前期仔鱼",数据!$F$3:$F$998,A125,数据!$G$3:$G$998,B125)</f>
        <v>0</v>
      </c>
      <c r="T125">
        <f>SUMIFS(数据!$D$3:$D$998,数据!$E$3:$E$998,"仔鱼",数据!$F$3:$F$998,A125,数据!$G$3:$G$998,B125)</f>
        <v>0</v>
      </c>
      <c r="U125">
        <f>SUMIFS(数据!$D$3:$D$998,数据!$E$3:$E$998,"稚鱼",数据!$F$3:$F$998,A125,数据!$G$3:$G$998,B125)</f>
        <v>0</v>
      </c>
    </row>
    <row r="126" spans="1:21" ht="19.9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45" t="str">
        <f t="shared" si="2"/>
        <v/>
      </c>
      <c r="M126" s="45" t="str">
        <f t="shared" si="3"/>
        <v/>
      </c>
      <c r="N126" s="39" t="str">
        <f>IF(AND(A126="",B126=""),"",COUNTIFS(数据!$E$3:$E$998,"&lt;&gt;前期仔鱼",数据!$E$3:$E$998,"&lt;&gt;仔鱼",数据!$E$3:$E$998,"&lt;&gt;稚鱼",数据!$F$3:$F$998,A126,数据!$G$3:$G$998,B126))</f>
        <v/>
      </c>
      <c r="O126" s="39" t="str">
        <f>IF(AND(A126="",B126=""),"",COUNTIFS(数据!$E$3:$E$998,"&lt;&gt;鱼卵",数据!$E$3:$E$998,"&lt;&gt;死卵",数据!$F$3:$F$998,A126,数据!$G$3:$G$998,B126))</f>
        <v/>
      </c>
      <c r="P126" s="31"/>
      <c r="Q126">
        <f>SUMIFS(数据!$D$3:$D$998,数据!$E$3:$E$998,"鱼卵",数据!$F$3:$F$998,A126,数据!$G$3:$G$998,B126)</f>
        <v>0</v>
      </c>
      <c r="R126">
        <f>SUMIFS(数据!$D$3:$D$998,数据!$E$3:$E$998,"死卵",数据!$F$3:$F$998,A126,数据!$G$3:$G$998,B126)</f>
        <v>0</v>
      </c>
      <c r="S126">
        <f>SUMIFS(数据!$D$3:$D$998,数据!$E$3:$E$998,"前期仔鱼",数据!$F$3:$F$998,A126,数据!$G$3:$G$998,B126)</f>
        <v>0</v>
      </c>
      <c r="T126">
        <f>SUMIFS(数据!$D$3:$D$998,数据!$E$3:$E$998,"仔鱼",数据!$F$3:$F$998,A126,数据!$G$3:$G$998,B126)</f>
        <v>0</v>
      </c>
      <c r="U126">
        <f>SUMIFS(数据!$D$3:$D$998,数据!$E$3:$E$998,"稚鱼",数据!$F$3:$F$998,A126,数据!$G$3:$G$998,B126)</f>
        <v>0</v>
      </c>
    </row>
    <row r="127" spans="1:21" ht="19.9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45" t="str">
        <f t="shared" si="2"/>
        <v/>
      </c>
      <c r="M127" s="45" t="str">
        <f t="shared" si="3"/>
        <v/>
      </c>
      <c r="N127" s="39" t="str">
        <f>IF(AND(A127="",B127=""),"",COUNTIFS(数据!$E$3:$E$998,"&lt;&gt;前期仔鱼",数据!$E$3:$E$998,"&lt;&gt;仔鱼",数据!$E$3:$E$998,"&lt;&gt;稚鱼",数据!$F$3:$F$998,A127,数据!$G$3:$G$998,B127))</f>
        <v/>
      </c>
      <c r="O127" s="39" t="str">
        <f>IF(AND(A127="",B127=""),"",COUNTIFS(数据!$E$3:$E$998,"&lt;&gt;鱼卵",数据!$E$3:$E$998,"&lt;&gt;死卵",数据!$F$3:$F$998,A127,数据!$G$3:$G$998,B127))</f>
        <v/>
      </c>
      <c r="P127" s="31"/>
      <c r="Q127">
        <f>SUMIFS(数据!$D$3:$D$998,数据!$E$3:$E$998,"鱼卵",数据!$F$3:$F$998,A127,数据!$G$3:$G$998,B127)</f>
        <v>0</v>
      </c>
      <c r="R127">
        <f>SUMIFS(数据!$D$3:$D$998,数据!$E$3:$E$998,"死卵",数据!$F$3:$F$998,A127,数据!$G$3:$G$998,B127)</f>
        <v>0</v>
      </c>
      <c r="S127">
        <f>SUMIFS(数据!$D$3:$D$998,数据!$E$3:$E$998,"前期仔鱼",数据!$F$3:$F$998,A127,数据!$G$3:$G$998,B127)</f>
        <v>0</v>
      </c>
      <c r="T127">
        <f>SUMIFS(数据!$D$3:$D$998,数据!$E$3:$E$998,"仔鱼",数据!$F$3:$F$998,A127,数据!$G$3:$G$998,B127)</f>
        <v>0</v>
      </c>
      <c r="U127">
        <f>SUMIFS(数据!$D$3:$D$998,数据!$E$3:$E$998,"稚鱼",数据!$F$3:$F$998,A127,数据!$G$3:$G$998,B127)</f>
        <v>0</v>
      </c>
    </row>
    <row r="128" spans="1:21" ht="19.9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45" t="str">
        <f t="shared" si="2"/>
        <v/>
      </c>
      <c r="M128" s="45" t="str">
        <f t="shared" si="3"/>
        <v/>
      </c>
      <c r="N128" s="39" t="str">
        <f>IF(AND(A128="",B128=""),"",COUNTIFS(数据!$E$3:$E$998,"&lt;&gt;前期仔鱼",数据!$E$3:$E$998,"&lt;&gt;仔鱼",数据!$E$3:$E$998,"&lt;&gt;稚鱼",数据!$F$3:$F$998,A128,数据!$G$3:$G$998,B128))</f>
        <v/>
      </c>
      <c r="O128" s="39" t="str">
        <f>IF(AND(A128="",B128=""),"",COUNTIFS(数据!$E$3:$E$998,"&lt;&gt;鱼卵",数据!$E$3:$E$998,"&lt;&gt;死卵",数据!$F$3:$F$998,A128,数据!$G$3:$G$998,B128))</f>
        <v/>
      </c>
      <c r="P128" s="31"/>
      <c r="Q128">
        <f>SUMIFS(数据!$D$3:$D$998,数据!$E$3:$E$998,"鱼卵",数据!$F$3:$F$998,A128,数据!$G$3:$G$998,B128)</f>
        <v>0</v>
      </c>
      <c r="R128">
        <f>SUMIFS(数据!$D$3:$D$998,数据!$E$3:$E$998,"死卵",数据!$F$3:$F$998,A128,数据!$G$3:$G$998,B128)</f>
        <v>0</v>
      </c>
      <c r="S128">
        <f>SUMIFS(数据!$D$3:$D$998,数据!$E$3:$E$998,"前期仔鱼",数据!$F$3:$F$998,A128,数据!$G$3:$G$998,B128)</f>
        <v>0</v>
      </c>
      <c r="T128">
        <f>SUMIFS(数据!$D$3:$D$998,数据!$E$3:$E$998,"仔鱼",数据!$F$3:$F$998,A128,数据!$G$3:$G$998,B128)</f>
        <v>0</v>
      </c>
      <c r="U128">
        <f>SUMIFS(数据!$D$3:$D$998,数据!$E$3:$E$998,"稚鱼",数据!$F$3:$F$998,A128,数据!$G$3:$G$998,B128)</f>
        <v>0</v>
      </c>
    </row>
    <row r="129" spans="1:21" ht="19.9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45" t="str">
        <f t="shared" si="2"/>
        <v/>
      </c>
      <c r="M129" s="45" t="str">
        <f t="shared" si="3"/>
        <v/>
      </c>
      <c r="N129" s="39" t="str">
        <f>IF(AND(A129="",B129=""),"",COUNTIFS(数据!$E$3:$E$998,"&lt;&gt;前期仔鱼",数据!$E$3:$E$998,"&lt;&gt;仔鱼",数据!$E$3:$E$998,"&lt;&gt;稚鱼",数据!$F$3:$F$998,A129,数据!$G$3:$G$998,B129))</f>
        <v/>
      </c>
      <c r="O129" s="39" t="str">
        <f>IF(AND(A129="",B129=""),"",COUNTIFS(数据!$E$3:$E$998,"&lt;&gt;鱼卵",数据!$E$3:$E$998,"&lt;&gt;死卵",数据!$F$3:$F$998,A129,数据!$G$3:$G$998,B129))</f>
        <v/>
      </c>
      <c r="P129" s="31"/>
      <c r="Q129">
        <f>SUMIFS(数据!$D$3:$D$998,数据!$E$3:$E$998,"鱼卵",数据!$F$3:$F$998,A129,数据!$G$3:$G$998,B129)</f>
        <v>0</v>
      </c>
      <c r="R129">
        <f>SUMIFS(数据!$D$3:$D$998,数据!$E$3:$E$998,"死卵",数据!$F$3:$F$998,A129,数据!$G$3:$G$998,B129)</f>
        <v>0</v>
      </c>
      <c r="S129">
        <f>SUMIFS(数据!$D$3:$D$998,数据!$E$3:$E$998,"前期仔鱼",数据!$F$3:$F$998,A129,数据!$G$3:$G$998,B129)</f>
        <v>0</v>
      </c>
      <c r="T129">
        <f>SUMIFS(数据!$D$3:$D$998,数据!$E$3:$E$998,"仔鱼",数据!$F$3:$F$998,A129,数据!$G$3:$G$998,B129)</f>
        <v>0</v>
      </c>
      <c r="U129">
        <f>SUMIFS(数据!$D$3:$D$998,数据!$E$3:$E$998,"稚鱼",数据!$F$3:$F$998,A129,数据!$G$3:$G$998,B129)</f>
        <v>0</v>
      </c>
    </row>
    <row r="130" spans="1:21" ht="19.9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45" t="str">
        <f t="shared" si="2"/>
        <v/>
      </c>
      <c r="M130" s="45" t="str">
        <f t="shared" si="3"/>
        <v/>
      </c>
      <c r="N130" s="39" t="str">
        <f>IF(AND(A130="",B130=""),"",COUNTIFS(数据!$E$3:$E$998,"&lt;&gt;前期仔鱼",数据!$E$3:$E$998,"&lt;&gt;仔鱼",数据!$E$3:$E$998,"&lt;&gt;稚鱼",数据!$F$3:$F$998,A130,数据!$G$3:$G$998,B130))</f>
        <v/>
      </c>
      <c r="O130" s="39" t="str">
        <f>IF(AND(A130="",B130=""),"",COUNTIFS(数据!$E$3:$E$998,"&lt;&gt;鱼卵",数据!$E$3:$E$998,"&lt;&gt;死卵",数据!$F$3:$F$998,A130,数据!$G$3:$G$998,B130))</f>
        <v/>
      </c>
      <c r="P130" s="31"/>
      <c r="Q130">
        <f>SUMIFS(数据!$D$3:$D$998,数据!$E$3:$E$998,"鱼卵",数据!$F$3:$F$998,A130,数据!$G$3:$G$998,B130)</f>
        <v>0</v>
      </c>
      <c r="R130">
        <f>SUMIFS(数据!$D$3:$D$998,数据!$E$3:$E$998,"死卵",数据!$F$3:$F$998,A130,数据!$G$3:$G$998,B130)</f>
        <v>0</v>
      </c>
      <c r="S130">
        <f>SUMIFS(数据!$D$3:$D$998,数据!$E$3:$E$998,"前期仔鱼",数据!$F$3:$F$998,A130,数据!$G$3:$G$998,B130)</f>
        <v>0</v>
      </c>
      <c r="T130">
        <f>SUMIFS(数据!$D$3:$D$998,数据!$E$3:$E$998,"仔鱼",数据!$F$3:$F$998,A130,数据!$G$3:$G$998,B130)</f>
        <v>0</v>
      </c>
      <c r="U130">
        <f>SUMIFS(数据!$D$3:$D$998,数据!$E$3:$E$998,"稚鱼",数据!$F$3:$F$998,A130,数据!$G$3:$G$998,B130)</f>
        <v>0</v>
      </c>
    </row>
    <row r="131" spans="1:21" ht="19.9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45" t="str">
        <f t="shared" si="2"/>
        <v/>
      </c>
      <c r="M131" s="45" t="str">
        <f t="shared" si="3"/>
        <v/>
      </c>
      <c r="N131" s="39" t="str">
        <f>IF(AND(A131="",B131=""),"",COUNTIFS(数据!$E$3:$E$998,"&lt;&gt;前期仔鱼",数据!$E$3:$E$998,"&lt;&gt;仔鱼",数据!$E$3:$E$998,"&lt;&gt;稚鱼",数据!$F$3:$F$998,A131,数据!$G$3:$G$998,B131))</f>
        <v/>
      </c>
      <c r="O131" s="39" t="str">
        <f>IF(AND(A131="",B131=""),"",COUNTIFS(数据!$E$3:$E$998,"&lt;&gt;鱼卵",数据!$E$3:$E$998,"&lt;&gt;死卵",数据!$F$3:$F$998,A131,数据!$G$3:$G$998,B131))</f>
        <v/>
      </c>
      <c r="P131" s="31"/>
      <c r="Q131">
        <f>SUMIFS(数据!$D$3:$D$998,数据!$E$3:$E$998,"鱼卵",数据!$F$3:$F$998,A131,数据!$G$3:$G$998,B131)</f>
        <v>0</v>
      </c>
      <c r="R131">
        <f>SUMIFS(数据!$D$3:$D$998,数据!$E$3:$E$998,"死卵",数据!$F$3:$F$998,A131,数据!$G$3:$G$998,B131)</f>
        <v>0</v>
      </c>
      <c r="S131">
        <f>SUMIFS(数据!$D$3:$D$998,数据!$E$3:$E$998,"前期仔鱼",数据!$F$3:$F$998,A131,数据!$G$3:$G$998,B131)</f>
        <v>0</v>
      </c>
      <c r="T131">
        <f>SUMIFS(数据!$D$3:$D$998,数据!$E$3:$E$998,"仔鱼",数据!$F$3:$F$998,A131,数据!$G$3:$G$998,B131)</f>
        <v>0</v>
      </c>
      <c r="U131">
        <f>SUMIFS(数据!$D$3:$D$998,数据!$E$3:$E$998,"稚鱼",数据!$F$3:$F$998,A131,数据!$G$3:$G$998,B131)</f>
        <v>0</v>
      </c>
    </row>
    <row r="132" spans="1:21" ht="19.9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45" t="str">
        <f t="shared" si="4" ref="L132:L195">IF(OR(Q132&amp;R132="",A132&amp;B132=""),"",Q132+R132)</f>
        <v/>
      </c>
      <c r="M132" s="45" t="str">
        <f t="shared" si="5" ref="M132:M195">IF(OR(A132&amp;B132="",S132&amp;T132&amp;U132=""),"",S132+T132+U132)</f>
        <v/>
      </c>
      <c r="N132" s="39" t="str">
        <f>IF(AND(A132="",B132=""),"",COUNTIFS(数据!$E$3:$E$998,"&lt;&gt;前期仔鱼",数据!$E$3:$E$998,"&lt;&gt;仔鱼",数据!$E$3:$E$998,"&lt;&gt;稚鱼",数据!$F$3:$F$998,A132,数据!$G$3:$G$998,B132))</f>
        <v/>
      </c>
      <c r="O132" s="39" t="str">
        <f>IF(AND(A132="",B132=""),"",COUNTIFS(数据!$E$3:$E$998,"&lt;&gt;鱼卵",数据!$E$3:$E$998,"&lt;&gt;死卵",数据!$F$3:$F$998,A132,数据!$G$3:$G$998,B132))</f>
        <v/>
      </c>
      <c r="P132" s="31"/>
      <c r="Q132">
        <f>SUMIFS(数据!$D$3:$D$998,数据!$E$3:$E$998,"鱼卵",数据!$F$3:$F$998,A132,数据!$G$3:$G$998,B132)</f>
        <v>0</v>
      </c>
      <c r="R132">
        <f>SUMIFS(数据!$D$3:$D$998,数据!$E$3:$E$998,"死卵",数据!$F$3:$F$998,A132,数据!$G$3:$G$998,B132)</f>
        <v>0</v>
      </c>
      <c r="S132">
        <f>SUMIFS(数据!$D$3:$D$998,数据!$E$3:$E$998,"前期仔鱼",数据!$F$3:$F$998,A132,数据!$G$3:$G$998,B132)</f>
        <v>0</v>
      </c>
      <c r="T132">
        <f>SUMIFS(数据!$D$3:$D$998,数据!$E$3:$E$998,"仔鱼",数据!$F$3:$F$998,A132,数据!$G$3:$G$998,B132)</f>
        <v>0</v>
      </c>
      <c r="U132">
        <f>SUMIFS(数据!$D$3:$D$998,数据!$E$3:$E$998,"稚鱼",数据!$F$3:$F$998,A132,数据!$G$3:$G$998,B132)</f>
        <v>0</v>
      </c>
    </row>
    <row r="133" spans="1:21" ht="19.9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45" t="str">
        <f t="shared" si="4"/>
        <v/>
      </c>
      <c r="M133" s="45" t="str">
        <f t="shared" si="5"/>
        <v/>
      </c>
      <c r="N133" s="39" t="str">
        <f>IF(AND(A133="",B133=""),"",COUNTIFS(数据!$E$3:$E$998,"&lt;&gt;前期仔鱼",数据!$E$3:$E$998,"&lt;&gt;仔鱼",数据!$E$3:$E$998,"&lt;&gt;稚鱼",数据!$F$3:$F$998,A133,数据!$G$3:$G$998,B133))</f>
        <v/>
      </c>
      <c r="O133" s="39" t="str">
        <f>IF(AND(A133="",B133=""),"",COUNTIFS(数据!$E$3:$E$998,"&lt;&gt;鱼卵",数据!$E$3:$E$998,"&lt;&gt;死卵",数据!$F$3:$F$998,A133,数据!$G$3:$G$998,B133))</f>
        <v/>
      </c>
      <c r="P133" s="31"/>
      <c r="Q133">
        <f>SUMIFS(数据!$D$3:$D$998,数据!$E$3:$E$998,"鱼卵",数据!$F$3:$F$998,A133,数据!$G$3:$G$998,B133)</f>
        <v>0</v>
      </c>
      <c r="R133">
        <f>SUMIFS(数据!$D$3:$D$998,数据!$E$3:$E$998,"死卵",数据!$F$3:$F$998,A133,数据!$G$3:$G$998,B133)</f>
        <v>0</v>
      </c>
      <c r="S133">
        <f>SUMIFS(数据!$D$3:$D$998,数据!$E$3:$E$998,"前期仔鱼",数据!$F$3:$F$998,A133,数据!$G$3:$G$998,B133)</f>
        <v>0</v>
      </c>
      <c r="T133">
        <f>SUMIFS(数据!$D$3:$D$998,数据!$E$3:$E$998,"仔鱼",数据!$F$3:$F$998,A133,数据!$G$3:$G$998,B133)</f>
        <v>0</v>
      </c>
      <c r="U133">
        <f>SUMIFS(数据!$D$3:$D$998,数据!$E$3:$E$998,"稚鱼",数据!$F$3:$F$998,A133,数据!$G$3:$G$998,B133)</f>
        <v>0</v>
      </c>
    </row>
    <row r="134" spans="1:21" ht="19.9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45" t="str">
        <f t="shared" si="4"/>
        <v/>
      </c>
      <c r="M134" s="45" t="str">
        <f t="shared" si="5"/>
        <v/>
      </c>
      <c r="N134" s="39" t="str">
        <f>IF(AND(A134="",B134=""),"",COUNTIFS(数据!$E$3:$E$998,"&lt;&gt;前期仔鱼",数据!$E$3:$E$998,"&lt;&gt;仔鱼",数据!$E$3:$E$998,"&lt;&gt;稚鱼",数据!$F$3:$F$998,A134,数据!$G$3:$G$998,B134))</f>
        <v/>
      </c>
      <c r="O134" s="39" t="str">
        <f>IF(AND(A134="",B134=""),"",COUNTIFS(数据!$E$3:$E$998,"&lt;&gt;鱼卵",数据!$E$3:$E$998,"&lt;&gt;死卵",数据!$F$3:$F$998,A134,数据!$G$3:$G$998,B134))</f>
        <v/>
      </c>
      <c r="P134" s="31"/>
      <c r="Q134">
        <f>SUMIFS(数据!$D$3:$D$998,数据!$E$3:$E$998,"鱼卵",数据!$F$3:$F$998,A134,数据!$G$3:$G$998,B134)</f>
        <v>0</v>
      </c>
      <c r="R134">
        <f>SUMIFS(数据!$D$3:$D$998,数据!$E$3:$E$998,"死卵",数据!$F$3:$F$998,A134,数据!$G$3:$G$998,B134)</f>
        <v>0</v>
      </c>
      <c r="S134">
        <f>SUMIFS(数据!$D$3:$D$998,数据!$E$3:$E$998,"前期仔鱼",数据!$F$3:$F$998,A134,数据!$G$3:$G$998,B134)</f>
        <v>0</v>
      </c>
      <c r="T134">
        <f>SUMIFS(数据!$D$3:$D$998,数据!$E$3:$E$998,"仔鱼",数据!$F$3:$F$998,A134,数据!$G$3:$G$998,B134)</f>
        <v>0</v>
      </c>
      <c r="U134">
        <f>SUMIFS(数据!$D$3:$D$998,数据!$E$3:$E$998,"稚鱼",数据!$F$3:$F$998,A134,数据!$G$3:$G$998,B134)</f>
        <v>0</v>
      </c>
    </row>
    <row r="135" spans="1:21" ht="19.9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45" t="str">
        <f t="shared" si="4"/>
        <v/>
      </c>
      <c r="M135" s="45" t="str">
        <f t="shared" si="5"/>
        <v/>
      </c>
      <c r="N135" s="39" t="str">
        <f>IF(AND(A135="",B135=""),"",COUNTIFS(数据!$E$3:$E$998,"&lt;&gt;前期仔鱼",数据!$E$3:$E$998,"&lt;&gt;仔鱼",数据!$E$3:$E$998,"&lt;&gt;稚鱼",数据!$F$3:$F$998,A135,数据!$G$3:$G$998,B135))</f>
        <v/>
      </c>
      <c r="O135" s="39" t="str">
        <f>IF(AND(A135="",B135=""),"",COUNTIFS(数据!$E$3:$E$998,"&lt;&gt;鱼卵",数据!$E$3:$E$998,"&lt;&gt;死卵",数据!$F$3:$F$998,A135,数据!$G$3:$G$998,B135))</f>
        <v/>
      </c>
      <c r="P135" s="31"/>
      <c r="Q135">
        <f>SUMIFS(数据!$D$3:$D$998,数据!$E$3:$E$998,"鱼卵",数据!$F$3:$F$998,A135,数据!$G$3:$G$998,B135)</f>
        <v>0</v>
      </c>
      <c r="R135">
        <f>SUMIFS(数据!$D$3:$D$998,数据!$E$3:$E$998,"死卵",数据!$F$3:$F$998,A135,数据!$G$3:$G$998,B135)</f>
        <v>0</v>
      </c>
      <c r="S135">
        <f>SUMIFS(数据!$D$3:$D$998,数据!$E$3:$E$998,"前期仔鱼",数据!$F$3:$F$998,A135,数据!$G$3:$G$998,B135)</f>
        <v>0</v>
      </c>
      <c r="T135">
        <f>SUMIFS(数据!$D$3:$D$998,数据!$E$3:$E$998,"仔鱼",数据!$F$3:$F$998,A135,数据!$G$3:$G$998,B135)</f>
        <v>0</v>
      </c>
      <c r="U135">
        <f>SUMIFS(数据!$D$3:$D$998,数据!$E$3:$E$998,"稚鱼",数据!$F$3:$F$998,A135,数据!$G$3:$G$998,B135)</f>
        <v>0</v>
      </c>
    </row>
    <row r="136" spans="1:21" ht="19.9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45" t="str">
        <f t="shared" si="4"/>
        <v/>
      </c>
      <c r="M136" s="45" t="str">
        <f t="shared" si="5"/>
        <v/>
      </c>
      <c r="N136" s="39" t="str">
        <f>IF(AND(A136="",B136=""),"",COUNTIFS(数据!$E$3:$E$998,"&lt;&gt;前期仔鱼",数据!$E$3:$E$998,"&lt;&gt;仔鱼",数据!$E$3:$E$998,"&lt;&gt;稚鱼",数据!$F$3:$F$998,A136,数据!$G$3:$G$998,B136))</f>
        <v/>
      </c>
      <c r="O136" s="39" t="str">
        <f>IF(AND(A136="",B136=""),"",COUNTIFS(数据!$E$3:$E$998,"&lt;&gt;鱼卵",数据!$E$3:$E$998,"&lt;&gt;死卵",数据!$F$3:$F$998,A136,数据!$G$3:$G$998,B136))</f>
        <v/>
      </c>
      <c r="P136" s="31"/>
      <c r="Q136">
        <f>SUMIFS(数据!$D$3:$D$998,数据!$E$3:$E$998,"鱼卵",数据!$F$3:$F$998,A136,数据!$G$3:$G$998,B136)</f>
        <v>0</v>
      </c>
      <c r="R136">
        <f>SUMIFS(数据!$D$3:$D$998,数据!$E$3:$E$998,"死卵",数据!$F$3:$F$998,A136,数据!$G$3:$G$998,B136)</f>
        <v>0</v>
      </c>
      <c r="S136">
        <f>SUMIFS(数据!$D$3:$D$998,数据!$E$3:$E$998,"前期仔鱼",数据!$F$3:$F$998,A136,数据!$G$3:$G$998,B136)</f>
        <v>0</v>
      </c>
      <c r="T136">
        <f>SUMIFS(数据!$D$3:$D$998,数据!$E$3:$E$998,"仔鱼",数据!$F$3:$F$998,A136,数据!$G$3:$G$998,B136)</f>
        <v>0</v>
      </c>
      <c r="U136">
        <f>SUMIFS(数据!$D$3:$D$998,数据!$E$3:$E$998,"稚鱼",数据!$F$3:$F$998,A136,数据!$G$3:$G$998,B136)</f>
        <v>0</v>
      </c>
    </row>
    <row r="137" spans="1:21" ht="19.9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45" t="str">
        <f t="shared" si="4"/>
        <v/>
      </c>
      <c r="M137" s="45" t="str">
        <f t="shared" si="5"/>
        <v/>
      </c>
      <c r="N137" s="39" t="str">
        <f>IF(AND(A137="",B137=""),"",COUNTIFS(数据!$E$3:$E$998,"&lt;&gt;前期仔鱼",数据!$E$3:$E$998,"&lt;&gt;仔鱼",数据!$E$3:$E$998,"&lt;&gt;稚鱼",数据!$F$3:$F$998,A137,数据!$G$3:$G$998,B137))</f>
        <v/>
      </c>
      <c r="O137" s="39" t="str">
        <f>IF(AND(A137="",B137=""),"",COUNTIFS(数据!$E$3:$E$998,"&lt;&gt;鱼卵",数据!$E$3:$E$998,"&lt;&gt;死卵",数据!$F$3:$F$998,A137,数据!$G$3:$G$998,B137))</f>
        <v/>
      </c>
      <c r="P137" s="31"/>
      <c r="Q137">
        <f>SUMIFS(数据!$D$3:$D$998,数据!$E$3:$E$998,"鱼卵",数据!$F$3:$F$998,A137,数据!$G$3:$G$998,B137)</f>
        <v>0</v>
      </c>
      <c r="R137">
        <f>SUMIFS(数据!$D$3:$D$998,数据!$E$3:$E$998,"死卵",数据!$F$3:$F$998,A137,数据!$G$3:$G$998,B137)</f>
        <v>0</v>
      </c>
      <c r="S137">
        <f>SUMIFS(数据!$D$3:$D$998,数据!$E$3:$E$998,"前期仔鱼",数据!$F$3:$F$998,A137,数据!$G$3:$G$998,B137)</f>
        <v>0</v>
      </c>
      <c r="T137">
        <f>SUMIFS(数据!$D$3:$D$998,数据!$E$3:$E$998,"仔鱼",数据!$F$3:$F$998,A137,数据!$G$3:$G$998,B137)</f>
        <v>0</v>
      </c>
      <c r="U137">
        <f>SUMIFS(数据!$D$3:$D$998,数据!$E$3:$E$998,"稚鱼",数据!$F$3:$F$998,A137,数据!$G$3:$G$998,B137)</f>
        <v>0</v>
      </c>
    </row>
    <row r="138" spans="1:21" ht="19.9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45" t="str">
        <f t="shared" si="4"/>
        <v/>
      </c>
      <c r="M138" s="45" t="str">
        <f t="shared" si="5"/>
        <v/>
      </c>
      <c r="N138" s="39" t="str">
        <f>IF(AND(A138="",B138=""),"",COUNTIFS(数据!$E$3:$E$998,"&lt;&gt;前期仔鱼",数据!$E$3:$E$998,"&lt;&gt;仔鱼",数据!$E$3:$E$998,"&lt;&gt;稚鱼",数据!$F$3:$F$998,A138,数据!$G$3:$G$998,B138))</f>
        <v/>
      </c>
      <c r="O138" s="39" t="str">
        <f>IF(AND(A138="",B138=""),"",COUNTIFS(数据!$E$3:$E$998,"&lt;&gt;鱼卵",数据!$E$3:$E$998,"&lt;&gt;死卵",数据!$F$3:$F$998,A138,数据!$G$3:$G$998,B138))</f>
        <v/>
      </c>
      <c r="P138" s="31"/>
      <c r="Q138">
        <f>SUMIFS(数据!$D$3:$D$998,数据!$E$3:$E$998,"鱼卵",数据!$F$3:$F$998,A138,数据!$G$3:$G$998,B138)</f>
        <v>0</v>
      </c>
      <c r="R138">
        <f>SUMIFS(数据!$D$3:$D$998,数据!$E$3:$E$998,"死卵",数据!$F$3:$F$998,A138,数据!$G$3:$G$998,B138)</f>
        <v>0</v>
      </c>
      <c r="S138">
        <f>SUMIFS(数据!$D$3:$D$998,数据!$E$3:$E$998,"前期仔鱼",数据!$F$3:$F$998,A138,数据!$G$3:$G$998,B138)</f>
        <v>0</v>
      </c>
      <c r="T138">
        <f>SUMIFS(数据!$D$3:$D$998,数据!$E$3:$E$998,"仔鱼",数据!$F$3:$F$998,A138,数据!$G$3:$G$998,B138)</f>
        <v>0</v>
      </c>
      <c r="U138">
        <f>SUMIFS(数据!$D$3:$D$998,数据!$E$3:$E$998,"稚鱼",数据!$F$3:$F$998,A138,数据!$G$3:$G$998,B138)</f>
        <v>0</v>
      </c>
    </row>
    <row r="139" spans="1:21" ht="19.9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45" t="str">
        <f t="shared" si="4"/>
        <v/>
      </c>
      <c r="M139" s="45" t="str">
        <f t="shared" si="5"/>
        <v/>
      </c>
      <c r="N139" s="39" t="str">
        <f>IF(AND(A139="",B139=""),"",COUNTIFS(数据!$E$3:$E$998,"&lt;&gt;前期仔鱼",数据!$E$3:$E$998,"&lt;&gt;仔鱼",数据!$E$3:$E$998,"&lt;&gt;稚鱼",数据!$F$3:$F$998,A139,数据!$G$3:$G$998,B139))</f>
        <v/>
      </c>
      <c r="O139" s="39" t="str">
        <f>IF(AND(A139="",B139=""),"",COUNTIFS(数据!$E$3:$E$998,"&lt;&gt;鱼卵",数据!$E$3:$E$998,"&lt;&gt;死卵",数据!$F$3:$F$998,A139,数据!$G$3:$G$998,B139))</f>
        <v/>
      </c>
      <c r="P139" s="31"/>
      <c r="Q139">
        <f>SUMIFS(数据!$D$3:$D$998,数据!$E$3:$E$998,"鱼卵",数据!$F$3:$F$998,A139,数据!$G$3:$G$998,B139)</f>
        <v>0</v>
      </c>
      <c r="R139">
        <f>SUMIFS(数据!$D$3:$D$998,数据!$E$3:$E$998,"死卵",数据!$F$3:$F$998,A139,数据!$G$3:$G$998,B139)</f>
        <v>0</v>
      </c>
      <c r="S139">
        <f>SUMIFS(数据!$D$3:$D$998,数据!$E$3:$E$998,"前期仔鱼",数据!$F$3:$F$998,A139,数据!$G$3:$G$998,B139)</f>
        <v>0</v>
      </c>
      <c r="T139">
        <f>SUMIFS(数据!$D$3:$D$998,数据!$E$3:$E$998,"仔鱼",数据!$F$3:$F$998,A139,数据!$G$3:$G$998,B139)</f>
        <v>0</v>
      </c>
      <c r="U139">
        <f>SUMIFS(数据!$D$3:$D$998,数据!$E$3:$E$998,"稚鱼",数据!$F$3:$F$998,A139,数据!$G$3:$G$998,B139)</f>
        <v>0</v>
      </c>
    </row>
    <row r="140" spans="1:21" ht="19.9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45" t="str">
        <f t="shared" si="4"/>
        <v/>
      </c>
      <c r="M140" s="45" t="str">
        <f t="shared" si="5"/>
        <v/>
      </c>
      <c r="N140" s="39" t="str">
        <f>IF(AND(A140="",B140=""),"",COUNTIFS(数据!$E$3:$E$998,"&lt;&gt;前期仔鱼",数据!$E$3:$E$998,"&lt;&gt;仔鱼",数据!$E$3:$E$998,"&lt;&gt;稚鱼",数据!$F$3:$F$998,A140,数据!$G$3:$G$998,B140))</f>
        <v/>
      </c>
      <c r="O140" s="39" t="str">
        <f>IF(AND(A140="",B140=""),"",COUNTIFS(数据!$E$3:$E$998,"&lt;&gt;鱼卵",数据!$E$3:$E$998,"&lt;&gt;死卵",数据!$F$3:$F$998,A140,数据!$G$3:$G$998,B140))</f>
        <v/>
      </c>
      <c r="P140" s="31"/>
      <c r="Q140">
        <f>SUMIFS(数据!$D$3:$D$998,数据!$E$3:$E$998,"鱼卵",数据!$F$3:$F$998,A140,数据!$G$3:$G$998,B140)</f>
        <v>0</v>
      </c>
      <c r="R140">
        <f>SUMIFS(数据!$D$3:$D$998,数据!$E$3:$E$998,"死卵",数据!$F$3:$F$998,A140,数据!$G$3:$G$998,B140)</f>
        <v>0</v>
      </c>
      <c r="S140">
        <f>SUMIFS(数据!$D$3:$D$998,数据!$E$3:$E$998,"前期仔鱼",数据!$F$3:$F$998,A140,数据!$G$3:$G$998,B140)</f>
        <v>0</v>
      </c>
      <c r="T140">
        <f>SUMIFS(数据!$D$3:$D$998,数据!$E$3:$E$998,"仔鱼",数据!$F$3:$F$998,A140,数据!$G$3:$G$998,B140)</f>
        <v>0</v>
      </c>
      <c r="U140">
        <f>SUMIFS(数据!$D$3:$D$998,数据!$E$3:$E$998,"稚鱼",数据!$F$3:$F$998,A140,数据!$G$3:$G$998,B140)</f>
        <v>0</v>
      </c>
    </row>
    <row r="141" spans="1:21" ht="19.9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45" t="str">
        <f t="shared" si="4"/>
        <v/>
      </c>
      <c r="M141" s="45" t="str">
        <f t="shared" si="5"/>
        <v/>
      </c>
      <c r="N141" s="39" t="str">
        <f>IF(AND(A141="",B141=""),"",COUNTIFS(数据!$E$3:$E$998,"&lt;&gt;前期仔鱼",数据!$E$3:$E$998,"&lt;&gt;仔鱼",数据!$E$3:$E$998,"&lt;&gt;稚鱼",数据!$F$3:$F$998,A141,数据!$G$3:$G$998,B141))</f>
        <v/>
      </c>
      <c r="O141" s="39" t="str">
        <f>IF(AND(A141="",B141=""),"",COUNTIFS(数据!$E$3:$E$998,"&lt;&gt;鱼卵",数据!$E$3:$E$998,"&lt;&gt;死卵",数据!$F$3:$F$998,A141,数据!$G$3:$G$998,B141))</f>
        <v/>
      </c>
      <c r="P141" s="31"/>
      <c r="Q141">
        <f>SUMIFS(数据!$D$3:$D$998,数据!$E$3:$E$998,"鱼卵",数据!$F$3:$F$998,A141,数据!$G$3:$G$998,B141)</f>
        <v>0</v>
      </c>
      <c r="R141">
        <f>SUMIFS(数据!$D$3:$D$998,数据!$E$3:$E$998,"死卵",数据!$F$3:$F$998,A141,数据!$G$3:$G$998,B141)</f>
        <v>0</v>
      </c>
      <c r="S141">
        <f>SUMIFS(数据!$D$3:$D$998,数据!$E$3:$E$998,"前期仔鱼",数据!$F$3:$F$998,A141,数据!$G$3:$G$998,B141)</f>
        <v>0</v>
      </c>
      <c r="T141">
        <f>SUMIFS(数据!$D$3:$D$998,数据!$E$3:$E$998,"仔鱼",数据!$F$3:$F$998,A141,数据!$G$3:$G$998,B141)</f>
        <v>0</v>
      </c>
      <c r="U141">
        <f>SUMIFS(数据!$D$3:$D$998,数据!$E$3:$E$998,"稚鱼",数据!$F$3:$F$998,A141,数据!$G$3:$G$998,B141)</f>
        <v>0</v>
      </c>
    </row>
    <row r="142" spans="1:21" ht="19.9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45" t="str">
        <f t="shared" si="4"/>
        <v/>
      </c>
      <c r="M142" s="45" t="str">
        <f t="shared" si="5"/>
        <v/>
      </c>
      <c r="N142" s="39" t="str">
        <f>IF(AND(A142="",B142=""),"",COUNTIFS(数据!$E$3:$E$998,"&lt;&gt;前期仔鱼",数据!$E$3:$E$998,"&lt;&gt;仔鱼",数据!$E$3:$E$998,"&lt;&gt;稚鱼",数据!$F$3:$F$998,A142,数据!$G$3:$G$998,B142))</f>
        <v/>
      </c>
      <c r="O142" s="39" t="str">
        <f>IF(AND(A142="",B142=""),"",COUNTIFS(数据!$E$3:$E$998,"&lt;&gt;鱼卵",数据!$E$3:$E$998,"&lt;&gt;死卵",数据!$F$3:$F$998,A142,数据!$G$3:$G$998,B142))</f>
        <v/>
      </c>
      <c r="P142" s="31"/>
      <c r="Q142">
        <f>SUMIFS(数据!$D$3:$D$998,数据!$E$3:$E$998,"鱼卵",数据!$F$3:$F$998,A142,数据!$G$3:$G$998,B142)</f>
        <v>0</v>
      </c>
      <c r="R142">
        <f>SUMIFS(数据!$D$3:$D$998,数据!$E$3:$E$998,"死卵",数据!$F$3:$F$998,A142,数据!$G$3:$G$998,B142)</f>
        <v>0</v>
      </c>
      <c r="S142">
        <f>SUMIFS(数据!$D$3:$D$998,数据!$E$3:$E$998,"前期仔鱼",数据!$F$3:$F$998,A142,数据!$G$3:$G$998,B142)</f>
        <v>0</v>
      </c>
      <c r="T142">
        <f>SUMIFS(数据!$D$3:$D$998,数据!$E$3:$E$998,"仔鱼",数据!$F$3:$F$998,A142,数据!$G$3:$G$998,B142)</f>
        <v>0</v>
      </c>
      <c r="U142">
        <f>SUMIFS(数据!$D$3:$D$998,数据!$E$3:$E$998,"稚鱼",数据!$F$3:$F$998,A142,数据!$G$3:$G$998,B142)</f>
        <v>0</v>
      </c>
    </row>
    <row r="143" spans="1:21" ht="19.9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45" t="str">
        <f t="shared" si="4"/>
        <v/>
      </c>
      <c r="M143" s="45" t="str">
        <f t="shared" si="5"/>
        <v/>
      </c>
      <c r="N143" s="39" t="str">
        <f>IF(AND(A143="",B143=""),"",COUNTIFS(数据!$E$3:$E$998,"&lt;&gt;前期仔鱼",数据!$E$3:$E$998,"&lt;&gt;仔鱼",数据!$E$3:$E$998,"&lt;&gt;稚鱼",数据!$F$3:$F$998,A143,数据!$G$3:$G$998,B143))</f>
        <v/>
      </c>
      <c r="O143" s="39" t="str">
        <f>IF(AND(A143="",B143=""),"",COUNTIFS(数据!$E$3:$E$998,"&lt;&gt;鱼卵",数据!$E$3:$E$998,"&lt;&gt;死卵",数据!$F$3:$F$998,A143,数据!$G$3:$G$998,B143))</f>
        <v/>
      </c>
      <c r="P143" s="31"/>
      <c r="Q143">
        <f>SUMIFS(数据!$D$3:$D$998,数据!$E$3:$E$998,"鱼卵",数据!$F$3:$F$998,A143,数据!$G$3:$G$998,B143)</f>
        <v>0</v>
      </c>
      <c r="R143">
        <f>SUMIFS(数据!$D$3:$D$998,数据!$E$3:$E$998,"死卵",数据!$F$3:$F$998,A143,数据!$G$3:$G$998,B143)</f>
        <v>0</v>
      </c>
      <c r="S143">
        <f>SUMIFS(数据!$D$3:$D$998,数据!$E$3:$E$998,"前期仔鱼",数据!$F$3:$F$998,A143,数据!$G$3:$G$998,B143)</f>
        <v>0</v>
      </c>
      <c r="T143">
        <f>SUMIFS(数据!$D$3:$D$998,数据!$E$3:$E$998,"仔鱼",数据!$F$3:$F$998,A143,数据!$G$3:$G$998,B143)</f>
        <v>0</v>
      </c>
      <c r="U143">
        <f>SUMIFS(数据!$D$3:$D$998,数据!$E$3:$E$998,"稚鱼",数据!$F$3:$F$998,A143,数据!$G$3:$G$998,B143)</f>
        <v>0</v>
      </c>
    </row>
    <row r="144" spans="1:21" ht="19.9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45" t="str">
        <f t="shared" si="4"/>
        <v/>
      </c>
      <c r="M144" s="45" t="str">
        <f t="shared" si="5"/>
        <v/>
      </c>
      <c r="N144" s="39" t="str">
        <f>IF(AND(A144="",B144=""),"",COUNTIFS(数据!$E$3:$E$998,"&lt;&gt;前期仔鱼",数据!$E$3:$E$998,"&lt;&gt;仔鱼",数据!$E$3:$E$998,"&lt;&gt;稚鱼",数据!$F$3:$F$998,A144,数据!$G$3:$G$998,B144))</f>
        <v/>
      </c>
      <c r="O144" s="39" t="str">
        <f>IF(AND(A144="",B144=""),"",COUNTIFS(数据!$E$3:$E$998,"&lt;&gt;鱼卵",数据!$E$3:$E$998,"&lt;&gt;死卵",数据!$F$3:$F$998,A144,数据!$G$3:$G$998,B144))</f>
        <v/>
      </c>
      <c r="P144" s="31"/>
      <c r="Q144">
        <f>SUMIFS(数据!$D$3:$D$998,数据!$E$3:$E$998,"鱼卵",数据!$F$3:$F$998,A144,数据!$G$3:$G$998,B144)</f>
        <v>0</v>
      </c>
      <c r="R144">
        <f>SUMIFS(数据!$D$3:$D$998,数据!$E$3:$E$998,"死卵",数据!$F$3:$F$998,A144,数据!$G$3:$G$998,B144)</f>
        <v>0</v>
      </c>
      <c r="S144">
        <f>SUMIFS(数据!$D$3:$D$998,数据!$E$3:$E$998,"前期仔鱼",数据!$F$3:$F$998,A144,数据!$G$3:$G$998,B144)</f>
        <v>0</v>
      </c>
      <c r="T144">
        <f>SUMIFS(数据!$D$3:$D$998,数据!$E$3:$E$998,"仔鱼",数据!$F$3:$F$998,A144,数据!$G$3:$G$998,B144)</f>
        <v>0</v>
      </c>
      <c r="U144">
        <f>SUMIFS(数据!$D$3:$D$998,数据!$E$3:$E$998,"稚鱼",数据!$F$3:$F$998,A144,数据!$G$3:$G$998,B144)</f>
        <v>0</v>
      </c>
    </row>
    <row r="145" spans="1:21" ht="19.9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45" t="str">
        <f t="shared" si="4"/>
        <v/>
      </c>
      <c r="M145" s="45" t="str">
        <f t="shared" si="5"/>
        <v/>
      </c>
      <c r="N145" s="39" t="str">
        <f>IF(AND(A145="",B145=""),"",COUNTIFS(数据!$E$3:$E$998,"&lt;&gt;前期仔鱼",数据!$E$3:$E$998,"&lt;&gt;仔鱼",数据!$E$3:$E$998,"&lt;&gt;稚鱼",数据!$F$3:$F$998,A145,数据!$G$3:$G$998,B145))</f>
        <v/>
      </c>
      <c r="O145" s="39" t="str">
        <f>IF(AND(A145="",B145=""),"",COUNTIFS(数据!$E$3:$E$998,"&lt;&gt;鱼卵",数据!$E$3:$E$998,"&lt;&gt;死卵",数据!$F$3:$F$998,A145,数据!$G$3:$G$998,B145))</f>
        <v/>
      </c>
      <c r="P145" s="31"/>
      <c r="Q145">
        <f>SUMIFS(数据!$D$3:$D$998,数据!$E$3:$E$998,"鱼卵",数据!$F$3:$F$998,A145,数据!$G$3:$G$998,B145)</f>
        <v>0</v>
      </c>
      <c r="R145">
        <f>SUMIFS(数据!$D$3:$D$998,数据!$E$3:$E$998,"死卵",数据!$F$3:$F$998,A145,数据!$G$3:$G$998,B145)</f>
        <v>0</v>
      </c>
      <c r="S145">
        <f>SUMIFS(数据!$D$3:$D$998,数据!$E$3:$E$998,"前期仔鱼",数据!$F$3:$F$998,A145,数据!$G$3:$G$998,B145)</f>
        <v>0</v>
      </c>
      <c r="T145">
        <f>SUMIFS(数据!$D$3:$D$998,数据!$E$3:$E$998,"仔鱼",数据!$F$3:$F$998,A145,数据!$G$3:$G$998,B145)</f>
        <v>0</v>
      </c>
      <c r="U145">
        <f>SUMIFS(数据!$D$3:$D$998,数据!$E$3:$E$998,"稚鱼",数据!$F$3:$F$998,A145,数据!$G$3:$G$998,B145)</f>
        <v>0</v>
      </c>
    </row>
    <row r="146" spans="1:21" ht="19.9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45" t="str">
        <f t="shared" si="4"/>
        <v/>
      </c>
      <c r="M146" s="45" t="str">
        <f t="shared" si="5"/>
        <v/>
      </c>
      <c r="N146" s="39" t="str">
        <f>IF(AND(A146="",B146=""),"",COUNTIFS(数据!$E$3:$E$998,"&lt;&gt;前期仔鱼",数据!$E$3:$E$998,"&lt;&gt;仔鱼",数据!$E$3:$E$998,"&lt;&gt;稚鱼",数据!$F$3:$F$998,A146,数据!$G$3:$G$998,B146))</f>
        <v/>
      </c>
      <c r="O146" s="39" t="str">
        <f>IF(AND(A146="",B146=""),"",COUNTIFS(数据!$E$3:$E$998,"&lt;&gt;鱼卵",数据!$E$3:$E$998,"&lt;&gt;死卵",数据!$F$3:$F$998,A146,数据!$G$3:$G$998,B146))</f>
        <v/>
      </c>
      <c r="P146" s="31"/>
      <c r="Q146">
        <f>SUMIFS(数据!$D$3:$D$998,数据!$E$3:$E$998,"鱼卵",数据!$F$3:$F$998,A146,数据!$G$3:$G$998,B146)</f>
        <v>0</v>
      </c>
      <c r="R146">
        <f>SUMIFS(数据!$D$3:$D$998,数据!$E$3:$E$998,"死卵",数据!$F$3:$F$998,A146,数据!$G$3:$G$998,B146)</f>
        <v>0</v>
      </c>
      <c r="S146">
        <f>SUMIFS(数据!$D$3:$D$998,数据!$E$3:$E$998,"前期仔鱼",数据!$F$3:$F$998,A146,数据!$G$3:$G$998,B146)</f>
        <v>0</v>
      </c>
      <c r="T146">
        <f>SUMIFS(数据!$D$3:$D$998,数据!$E$3:$E$998,"仔鱼",数据!$F$3:$F$998,A146,数据!$G$3:$G$998,B146)</f>
        <v>0</v>
      </c>
      <c r="U146">
        <f>SUMIFS(数据!$D$3:$D$998,数据!$E$3:$E$998,"稚鱼",数据!$F$3:$F$998,A146,数据!$G$3:$G$998,B146)</f>
        <v>0</v>
      </c>
    </row>
    <row r="147" spans="1:21" ht="19.9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45" t="str">
        <f t="shared" si="4"/>
        <v/>
      </c>
      <c r="M147" s="45" t="str">
        <f t="shared" si="5"/>
        <v/>
      </c>
      <c r="N147" s="39" t="str">
        <f>IF(AND(A147="",B147=""),"",COUNTIFS(数据!$E$3:$E$998,"&lt;&gt;前期仔鱼",数据!$E$3:$E$998,"&lt;&gt;仔鱼",数据!$E$3:$E$998,"&lt;&gt;稚鱼",数据!$F$3:$F$998,A147,数据!$G$3:$G$998,B147))</f>
        <v/>
      </c>
      <c r="O147" s="39" t="str">
        <f>IF(AND(A147="",B147=""),"",COUNTIFS(数据!$E$3:$E$998,"&lt;&gt;鱼卵",数据!$E$3:$E$998,"&lt;&gt;死卵",数据!$F$3:$F$998,A147,数据!$G$3:$G$998,B147))</f>
        <v/>
      </c>
      <c r="P147" s="31"/>
      <c r="Q147">
        <f>SUMIFS(数据!$D$3:$D$998,数据!$E$3:$E$998,"鱼卵",数据!$F$3:$F$998,A147,数据!$G$3:$G$998,B147)</f>
        <v>0</v>
      </c>
      <c r="R147">
        <f>SUMIFS(数据!$D$3:$D$998,数据!$E$3:$E$998,"死卵",数据!$F$3:$F$998,A147,数据!$G$3:$G$998,B147)</f>
        <v>0</v>
      </c>
      <c r="S147">
        <f>SUMIFS(数据!$D$3:$D$998,数据!$E$3:$E$998,"前期仔鱼",数据!$F$3:$F$998,A147,数据!$G$3:$G$998,B147)</f>
        <v>0</v>
      </c>
      <c r="T147">
        <f>SUMIFS(数据!$D$3:$D$998,数据!$E$3:$E$998,"仔鱼",数据!$F$3:$F$998,A147,数据!$G$3:$G$998,B147)</f>
        <v>0</v>
      </c>
      <c r="U147">
        <f>SUMIFS(数据!$D$3:$D$998,数据!$E$3:$E$998,"稚鱼",数据!$F$3:$F$998,A147,数据!$G$3:$G$998,B147)</f>
        <v>0</v>
      </c>
    </row>
    <row r="148" spans="1:21" ht="19.9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45" t="str">
        <f t="shared" si="4"/>
        <v/>
      </c>
      <c r="M148" s="45" t="str">
        <f t="shared" si="5"/>
        <v/>
      </c>
      <c r="N148" s="39" t="str">
        <f>IF(AND(A148="",B148=""),"",COUNTIFS(数据!$E$3:$E$998,"&lt;&gt;前期仔鱼",数据!$E$3:$E$998,"&lt;&gt;仔鱼",数据!$E$3:$E$998,"&lt;&gt;稚鱼",数据!$F$3:$F$998,A148,数据!$G$3:$G$998,B148))</f>
        <v/>
      </c>
      <c r="O148" s="39" t="str">
        <f>IF(AND(A148="",B148=""),"",COUNTIFS(数据!$E$3:$E$998,"&lt;&gt;鱼卵",数据!$E$3:$E$998,"&lt;&gt;死卵",数据!$F$3:$F$998,A148,数据!$G$3:$G$998,B148))</f>
        <v/>
      </c>
      <c r="P148" s="31"/>
      <c r="Q148">
        <f>SUMIFS(数据!$D$3:$D$998,数据!$E$3:$E$998,"鱼卵",数据!$F$3:$F$998,A148,数据!$G$3:$G$998,B148)</f>
        <v>0</v>
      </c>
      <c r="R148">
        <f>SUMIFS(数据!$D$3:$D$998,数据!$E$3:$E$998,"死卵",数据!$F$3:$F$998,A148,数据!$G$3:$G$998,B148)</f>
        <v>0</v>
      </c>
      <c r="S148">
        <f>SUMIFS(数据!$D$3:$D$998,数据!$E$3:$E$998,"前期仔鱼",数据!$F$3:$F$998,A148,数据!$G$3:$G$998,B148)</f>
        <v>0</v>
      </c>
      <c r="T148">
        <f>SUMIFS(数据!$D$3:$D$998,数据!$E$3:$E$998,"仔鱼",数据!$F$3:$F$998,A148,数据!$G$3:$G$998,B148)</f>
        <v>0</v>
      </c>
      <c r="U148">
        <f>SUMIFS(数据!$D$3:$D$998,数据!$E$3:$E$998,"稚鱼",数据!$F$3:$F$998,A148,数据!$G$3:$G$998,B148)</f>
        <v>0</v>
      </c>
    </row>
    <row r="149" spans="1:21" ht="19.9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45" t="str">
        <f t="shared" si="4"/>
        <v/>
      </c>
      <c r="M149" s="45" t="str">
        <f t="shared" si="5"/>
        <v/>
      </c>
      <c r="N149" s="39" t="str">
        <f>IF(AND(A149="",B149=""),"",COUNTIFS(数据!$E$3:$E$998,"&lt;&gt;前期仔鱼",数据!$E$3:$E$998,"&lt;&gt;仔鱼",数据!$E$3:$E$998,"&lt;&gt;稚鱼",数据!$F$3:$F$998,A149,数据!$G$3:$G$998,B149))</f>
        <v/>
      </c>
      <c r="O149" s="39" t="str">
        <f>IF(AND(A149="",B149=""),"",COUNTIFS(数据!$E$3:$E$998,"&lt;&gt;鱼卵",数据!$E$3:$E$998,"&lt;&gt;死卵",数据!$F$3:$F$998,A149,数据!$G$3:$G$998,B149))</f>
        <v/>
      </c>
      <c r="P149" s="31"/>
      <c r="Q149">
        <f>SUMIFS(数据!$D$3:$D$998,数据!$E$3:$E$998,"鱼卵",数据!$F$3:$F$998,A149,数据!$G$3:$G$998,B149)</f>
        <v>0</v>
      </c>
      <c r="R149">
        <f>SUMIFS(数据!$D$3:$D$998,数据!$E$3:$E$998,"死卵",数据!$F$3:$F$998,A149,数据!$G$3:$G$998,B149)</f>
        <v>0</v>
      </c>
      <c r="S149">
        <f>SUMIFS(数据!$D$3:$D$998,数据!$E$3:$E$998,"前期仔鱼",数据!$F$3:$F$998,A149,数据!$G$3:$G$998,B149)</f>
        <v>0</v>
      </c>
      <c r="T149">
        <f>SUMIFS(数据!$D$3:$D$998,数据!$E$3:$E$998,"仔鱼",数据!$F$3:$F$998,A149,数据!$G$3:$G$998,B149)</f>
        <v>0</v>
      </c>
      <c r="U149">
        <f>SUMIFS(数据!$D$3:$D$998,数据!$E$3:$E$998,"稚鱼",数据!$F$3:$F$998,A149,数据!$G$3:$G$998,B149)</f>
        <v>0</v>
      </c>
    </row>
    <row r="150" spans="1:21" ht="19.9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45" t="str">
        <f t="shared" si="4"/>
        <v/>
      </c>
      <c r="M150" s="45" t="str">
        <f t="shared" si="5"/>
        <v/>
      </c>
      <c r="N150" s="39" t="str">
        <f>IF(AND(A150="",B150=""),"",COUNTIFS(数据!$E$3:$E$998,"&lt;&gt;前期仔鱼",数据!$E$3:$E$998,"&lt;&gt;仔鱼",数据!$E$3:$E$998,"&lt;&gt;稚鱼",数据!$F$3:$F$998,A150,数据!$G$3:$G$998,B150))</f>
        <v/>
      </c>
      <c r="O150" s="39" t="str">
        <f>IF(AND(A150="",B150=""),"",COUNTIFS(数据!$E$3:$E$998,"&lt;&gt;鱼卵",数据!$E$3:$E$998,"&lt;&gt;死卵",数据!$F$3:$F$998,A150,数据!$G$3:$G$998,B150))</f>
        <v/>
      </c>
      <c r="P150" s="31"/>
      <c r="Q150">
        <f>SUMIFS(数据!$D$3:$D$998,数据!$E$3:$E$998,"鱼卵",数据!$F$3:$F$998,A150,数据!$G$3:$G$998,B150)</f>
        <v>0</v>
      </c>
      <c r="R150">
        <f>SUMIFS(数据!$D$3:$D$998,数据!$E$3:$E$998,"死卵",数据!$F$3:$F$998,A150,数据!$G$3:$G$998,B150)</f>
        <v>0</v>
      </c>
      <c r="S150">
        <f>SUMIFS(数据!$D$3:$D$998,数据!$E$3:$E$998,"前期仔鱼",数据!$F$3:$F$998,A150,数据!$G$3:$G$998,B150)</f>
        <v>0</v>
      </c>
      <c r="T150">
        <f>SUMIFS(数据!$D$3:$D$998,数据!$E$3:$E$998,"仔鱼",数据!$F$3:$F$998,A150,数据!$G$3:$G$998,B150)</f>
        <v>0</v>
      </c>
      <c r="U150">
        <f>SUMIFS(数据!$D$3:$D$998,数据!$E$3:$E$998,"稚鱼",数据!$F$3:$F$998,A150,数据!$G$3:$G$998,B150)</f>
        <v>0</v>
      </c>
    </row>
    <row r="151" spans="1:21" ht="19.9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45" t="str">
        <f t="shared" si="4"/>
        <v/>
      </c>
      <c r="M151" s="45" t="str">
        <f t="shared" si="5"/>
        <v/>
      </c>
      <c r="N151" s="39" t="str">
        <f>IF(AND(A151="",B151=""),"",COUNTIFS(数据!$E$3:$E$998,"&lt;&gt;前期仔鱼",数据!$E$3:$E$998,"&lt;&gt;仔鱼",数据!$E$3:$E$998,"&lt;&gt;稚鱼",数据!$F$3:$F$998,A151,数据!$G$3:$G$998,B151))</f>
        <v/>
      </c>
      <c r="O151" s="39" t="str">
        <f>IF(AND(A151="",B151=""),"",COUNTIFS(数据!$E$3:$E$998,"&lt;&gt;鱼卵",数据!$E$3:$E$998,"&lt;&gt;死卵",数据!$F$3:$F$998,A151,数据!$G$3:$G$998,B151))</f>
        <v/>
      </c>
      <c r="P151" s="31"/>
      <c r="Q151">
        <f>SUMIFS(数据!$D$3:$D$998,数据!$E$3:$E$998,"鱼卵",数据!$F$3:$F$998,A151,数据!$G$3:$G$998,B151)</f>
        <v>0</v>
      </c>
      <c r="R151">
        <f>SUMIFS(数据!$D$3:$D$998,数据!$E$3:$E$998,"死卵",数据!$F$3:$F$998,A151,数据!$G$3:$G$998,B151)</f>
        <v>0</v>
      </c>
      <c r="S151">
        <f>SUMIFS(数据!$D$3:$D$998,数据!$E$3:$E$998,"前期仔鱼",数据!$F$3:$F$998,A151,数据!$G$3:$G$998,B151)</f>
        <v>0</v>
      </c>
      <c r="T151">
        <f>SUMIFS(数据!$D$3:$D$998,数据!$E$3:$E$998,"仔鱼",数据!$F$3:$F$998,A151,数据!$G$3:$G$998,B151)</f>
        <v>0</v>
      </c>
      <c r="U151">
        <f>SUMIFS(数据!$D$3:$D$998,数据!$E$3:$E$998,"稚鱼",数据!$F$3:$F$998,A151,数据!$G$3:$G$998,B151)</f>
        <v>0</v>
      </c>
    </row>
    <row r="152" spans="1:21" ht="19.9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45" t="str">
        <f t="shared" si="4"/>
        <v/>
      </c>
      <c r="M152" s="45" t="str">
        <f t="shared" si="5"/>
        <v/>
      </c>
      <c r="N152" s="39" t="str">
        <f>IF(AND(A152="",B152=""),"",COUNTIFS(数据!$E$3:$E$998,"&lt;&gt;前期仔鱼",数据!$E$3:$E$998,"&lt;&gt;仔鱼",数据!$E$3:$E$998,"&lt;&gt;稚鱼",数据!$F$3:$F$998,A152,数据!$G$3:$G$998,B152))</f>
        <v/>
      </c>
      <c r="O152" s="39" t="str">
        <f>IF(AND(A152="",B152=""),"",COUNTIFS(数据!$E$3:$E$998,"&lt;&gt;鱼卵",数据!$E$3:$E$998,"&lt;&gt;死卵",数据!$F$3:$F$998,A152,数据!$G$3:$G$998,B152))</f>
        <v/>
      </c>
      <c r="P152" s="31"/>
      <c r="Q152">
        <f>SUMIFS(数据!$D$3:$D$998,数据!$E$3:$E$998,"鱼卵",数据!$F$3:$F$998,A152,数据!$G$3:$G$998,B152)</f>
        <v>0</v>
      </c>
      <c r="R152">
        <f>SUMIFS(数据!$D$3:$D$998,数据!$E$3:$E$998,"死卵",数据!$F$3:$F$998,A152,数据!$G$3:$G$998,B152)</f>
        <v>0</v>
      </c>
      <c r="S152">
        <f>SUMIFS(数据!$D$3:$D$998,数据!$E$3:$E$998,"前期仔鱼",数据!$F$3:$F$998,A152,数据!$G$3:$G$998,B152)</f>
        <v>0</v>
      </c>
      <c r="T152">
        <f>SUMIFS(数据!$D$3:$D$998,数据!$E$3:$E$998,"仔鱼",数据!$F$3:$F$998,A152,数据!$G$3:$G$998,B152)</f>
        <v>0</v>
      </c>
      <c r="U152">
        <f>SUMIFS(数据!$D$3:$D$998,数据!$E$3:$E$998,"稚鱼",数据!$F$3:$F$998,A152,数据!$G$3:$G$998,B152)</f>
        <v>0</v>
      </c>
    </row>
    <row r="153" spans="1:21" ht="19.9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45" t="str">
        <f t="shared" si="4"/>
        <v/>
      </c>
      <c r="M153" s="45" t="str">
        <f t="shared" si="5"/>
        <v/>
      </c>
      <c r="N153" s="39" t="str">
        <f>IF(AND(A153="",B153=""),"",COUNTIFS(数据!$E$3:$E$998,"&lt;&gt;前期仔鱼",数据!$E$3:$E$998,"&lt;&gt;仔鱼",数据!$E$3:$E$998,"&lt;&gt;稚鱼",数据!$F$3:$F$998,A153,数据!$G$3:$G$998,B153))</f>
        <v/>
      </c>
      <c r="O153" s="39" t="str">
        <f>IF(AND(A153="",B153=""),"",COUNTIFS(数据!$E$3:$E$998,"&lt;&gt;鱼卵",数据!$E$3:$E$998,"&lt;&gt;死卵",数据!$F$3:$F$998,A153,数据!$G$3:$G$998,B153))</f>
        <v/>
      </c>
      <c r="P153" s="31"/>
      <c r="Q153">
        <f>SUMIFS(数据!$D$3:$D$998,数据!$E$3:$E$998,"鱼卵",数据!$F$3:$F$998,A153,数据!$G$3:$G$998,B153)</f>
        <v>0</v>
      </c>
      <c r="R153">
        <f>SUMIFS(数据!$D$3:$D$998,数据!$E$3:$E$998,"死卵",数据!$F$3:$F$998,A153,数据!$G$3:$G$998,B153)</f>
        <v>0</v>
      </c>
      <c r="S153">
        <f>SUMIFS(数据!$D$3:$D$998,数据!$E$3:$E$998,"前期仔鱼",数据!$F$3:$F$998,A153,数据!$G$3:$G$998,B153)</f>
        <v>0</v>
      </c>
      <c r="T153">
        <f>SUMIFS(数据!$D$3:$D$998,数据!$E$3:$E$998,"仔鱼",数据!$F$3:$F$998,A153,数据!$G$3:$G$998,B153)</f>
        <v>0</v>
      </c>
      <c r="U153">
        <f>SUMIFS(数据!$D$3:$D$998,数据!$E$3:$E$998,"稚鱼",数据!$F$3:$F$998,A153,数据!$G$3:$G$998,B153)</f>
        <v>0</v>
      </c>
    </row>
    <row r="154" spans="1:21" ht="19.9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45" t="str">
        <f t="shared" si="4"/>
        <v/>
      </c>
      <c r="M154" s="45" t="str">
        <f t="shared" si="5"/>
        <v/>
      </c>
      <c r="N154" s="39" t="str">
        <f>IF(AND(A154="",B154=""),"",COUNTIFS(数据!$E$3:$E$998,"&lt;&gt;前期仔鱼",数据!$E$3:$E$998,"&lt;&gt;仔鱼",数据!$E$3:$E$998,"&lt;&gt;稚鱼",数据!$F$3:$F$998,A154,数据!$G$3:$G$998,B154))</f>
        <v/>
      </c>
      <c r="O154" s="39" t="str">
        <f>IF(AND(A154="",B154=""),"",COUNTIFS(数据!$E$3:$E$998,"&lt;&gt;鱼卵",数据!$E$3:$E$998,"&lt;&gt;死卵",数据!$F$3:$F$998,A154,数据!$G$3:$G$998,B154))</f>
        <v/>
      </c>
      <c r="P154" s="31"/>
      <c r="Q154">
        <f>SUMIFS(数据!$D$3:$D$998,数据!$E$3:$E$998,"鱼卵",数据!$F$3:$F$998,A154,数据!$G$3:$G$998,B154)</f>
        <v>0</v>
      </c>
      <c r="R154">
        <f>SUMIFS(数据!$D$3:$D$998,数据!$E$3:$E$998,"死卵",数据!$F$3:$F$998,A154,数据!$G$3:$G$998,B154)</f>
        <v>0</v>
      </c>
      <c r="S154">
        <f>SUMIFS(数据!$D$3:$D$998,数据!$E$3:$E$998,"前期仔鱼",数据!$F$3:$F$998,A154,数据!$G$3:$G$998,B154)</f>
        <v>0</v>
      </c>
      <c r="T154">
        <f>SUMIFS(数据!$D$3:$D$998,数据!$E$3:$E$998,"仔鱼",数据!$F$3:$F$998,A154,数据!$G$3:$G$998,B154)</f>
        <v>0</v>
      </c>
      <c r="U154">
        <f>SUMIFS(数据!$D$3:$D$998,数据!$E$3:$E$998,"稚鱼",数据!$F$3:$F$998,A154,数据!$G$3:$G$998,B154)</f>
        <v>0</v>
      </c>
    </row>
    <row r="155" spans="1:21" ht="19.9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45" t="str">
        <f t="shared" si="4"/>
        <v/>
      </c>
      <c r="M155" s="45" t="str">
        <f t="shared" si="5"/>
        <v/>
      </c>
      <c r="N155" s="39" t="str">
        <f>IF(AND(A155="",B155=""),"",COUNTIFS(数据!$E$3:$E$998,"&lt;&gt;前期仔鱼",数据!$E$3:$E$998,"&lt;&gt;仔鱼",数据!$E$3:$E$998,"&lt;&gt;稚鱼",数据!$F$3:$F$998,A155,数据!$G$3:$G$998,B155))</f>
        <v/>
      </c>
      <c r="O155" s="39" t="str">
        <f>IF(AND(A155="",B155=""),"",COUNTIFS(数据!$E$3:$E$998,"&lt;&gt;鱼卵",数据!$E$3:$E$998,"&lt;&gt;死卵",数据!$F$3:$F$998,A155,数据!$G$3:$G$998,B155))</f>
        <v/>
      </c>
      <c r="P155" s="31"/>
      <c r="Q155">
        <f>SUMIFS(数据!$D$3:$D$998,数据!$E$3:$E$998,"鱼卵",数据!$F$3:$F$998,A155,数据!$G$3:$G$998,B155)</f>
        <v>0</v>
      </c>
      <c r="R155">
        <f>SUMIFS(数据!$D$3:$D$998,数据!$E$3:$E$998,"死卵",数据!$F$3:$F$998,A155,数据!$G$3:$G$998,B155)</f>
        <v>0</v>
      </c>
      <c r="S155">
        <f>SUMIFS(数据!$D$3:$D$998,数据!$E$3:$E$998,"前期仔鱼",数据!$F$3:$F$998,A155,数据!$G$3:$G$998,B155)</f>
        <v>0</v>
      </c>
      <c r="T155">
        <f>SUMIFS(数据!$D$3:$D$998,数据!$E$3:$E$998,"仔鱼",数据!$F$3:$F$998,A155,数据!$G$3:$G$998,B155)</f>
        <v>0</v>
      </c>
      <c r="U155">
        <f>SUMIFS(数据!$D$3:$D$998,数据!$E$3:$E$998,"稚鱼",数据!$F$3:$F$998,A155,数据!$G$3:$G$998,B155)</f>
        <v>0</v>
      </c>
    </row>
    <row r="156" spans="1:21" ht="19.9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45" t="str">
        <f t="shared" si="4"/>
        <v/>
      </c>
      <c r="M156" s="45" t="str">
        <f t="shared" si="5"/>
        <v/>
      </c>
      <c r="N156" s="39" t="str">
        <f>IF(AND(A156="",B156=""),"",COUNTIFS(数据!$E$3:$E$998,"&lt;&gt;前期仔鱼",数据!$E$3:$E$998,"&lt;&gt;仔鱼",数据!$E$3:$E$998,"&lt;&gt;稚鱼",数据!$F$3:$F$998,A156,数据!$G$3:$G$998,B156))</f>
        <v/>
      </c>
      <c r="O156" s="39" t="str">
        <f>IF(AND(A156="",B156=""),"",COUNTIFS(数据!$E$3:$E$998,"&lt;&gt;鱼卵",数据!$E$3:$E$998,"&lt;&gt;死卵",数据!$F$3:$F$998,A156,数据!$G$3:$G$998,B156))</f>
        <v/>
      </c>
      <c r="P156" s="31"/>
      <c r="Q156">
        <f>SUMIFS(数据!$D$3:$D$998,数据!$E$3:$E$998,"鱼卵",数据!$F$3:$F$998,A156,数据!$G$3:$G$998,B156)</f>
        <v>0</v>
      </c>
      <c r="R156">
        <f>SUMIFS(数据!$D$3:$D$998,数据!$E$3:$E$998,"死卵",数据!$F$3:$F$998,A156,数据!$G$3:$G$998,B156)</f>
        <v>0</v>
      </c>
      <c r="S156">
        <f>SUMIFS(数据!$D$3:$D$998,数据!$E$3:$E$998,"前期仔鱼",数据!$F$3:$F$998,A156,数据!$G$3:$G$998,B156)</f>
        <v>0</v>
      </c>
      <c r="T156">
        <f>SUMIFS(数据!$D$3:$D$998,数据!$E$3:$E$998,"仔鱼",数据!$F$3:$F$998,A156,数据!$G$3:$G$998,B156)</f>
        <v>0</v>
      </c>
      <c r="U156">
        <f>SUMIFS(数据!$D$3:$D$998,数据!$E$3:$E$998,"稚鱼",数据!$F$3:$F$998,A156,数据!$G$3:$G$998,B156)</f>
        <v>0</v>
      </c>
    </row>
    <row r="157" spans="1:21" ht="19.9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45" t="str">
        <f t="shared" si="4"/>
        <v/>
      </c>
      <c r="M157" s="45" t="str">
        <f t="shared" si="5"/>
        <v/>
      </c>
      <c r="N157" s="39" t="str">
        <f>IF(AND(A157="",B157=""),"",COUNTIFS(数据!$E$3:$E$998,"&lt;&gt;前期仔鱼",数据!$E$3:$E$998,"&lt;&gt;仔鱼",数据!$E$3:$E$998,"&lt;&gt;稚鱼",数据!$F$3:$F$998,A157,数据!$G$3:$G$998,B157))</f>
        <v/>
      </c>
      <c r="O157" s="39" t="str">
        <f>IF(AND(A157="",B157=""),"",COUNTIFS(数据!$E$3:$E$998,"&lt;&gt;鱼卵",数据!$E$3:$E$998,"&lt;&gt;死卵",数据!$F$3:$F$998,A157,数据!$G$3:$G$998,B157))</f>
        <v/>
      </c>
      <c r="P157" s="31"/>
      <c r="Q157">
        <f>SUMIFS(数据!$D$3:$D$998,数据!$E$3:$E$998,"鱼卵",数据!$F$3:$F$998,A157,数据!$G$3:$G$998,B157)</f>
        <v>0</v>
      </c>
      <c r="R157">
        <f>SUMIFS(数据!$D$3:$D$998,数据!$E$3:$E$998,"死卵",数据!$F$3:$F$998,A157,数据!$G$3:$G$998,B157)</f>
        <v>0</v>
      </c>
      <c r="S157">
        <f>SUMIFS(数据!$D$3:$D$998,数据!$E$3:$E$998,"前期仔鱼",数据!$F$3:$F$998,A157,数据!$G$3:$G$998,B157)</f>
        <v>0</v>
      </c>
      <c r="T157">
        <f>SUMIFS(数据!$D$3:$D$998,数据!$E$3:$E$998,"仔鱼",数据!$F$3:$F$998,A157,数据!$G$3:$G$998,B157)</f>
        <v>0</v>
      </c>
      <c r="U157">
        <f>SUMIFS(数据!$D$3:$D$998,数据!$E$3:$E$998,"稚鱼",数据!$F$3:$F$998,A157,数据!$G$3:$G$998,B157)</f>
        <v>0</v>
      </c>
    </row>
    <row r="158" spans="1:21" ht="19.9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45" t="str">
        <f t="shared" si="4"/>
        <v/>
      </c>
      <c r="M158" s="45" t="str">
        <f t="shared" si="5"/>
        <v/>
      </c>
      <c r="N158" s="39" t="str">
        <f>IF(AND(A158="",B158=""),"",COUNTIFS(数据!$E$3:$E$998,"&lt;&gt;前期仔鱼",数据!$E$3:$E$998,"&lt;&gt;仔鱼",数据!$E$3:$E$998,"&lt;&gt;稚鱼",数据!$F$3:$F$998,A158,数据!$G$3:$G$998,B158))</f>
        <v/>
      </c>
      <c r="O158" s="39" t="str">
        <f>IF(AND(A158="",B158=""),"",COUNTIFS(数据!$E$3:$E$998,"&lt;&gt;鱼卵",数据!$E$3:$E$998,"&lt;&gt;死卵",数据!$F$3:$F$998,A158,数据!$G$3:$G$998,B158))</f>
        <v/>
      </c>
      <c r="P158" s="31"/>
      <c r="Q158">
        <f>SUMIFS(数据!$D$3:$D$998,数据!$E$3:$E$998,"鱼卵",数据!$F$3:$F$998,A158,数据!$G$3:$G$998,B158)</f>
        <v>0</v>
      </c>
      <c r="R158">
        <f>SUMIFS(数据!$D$3:$D$998,数据!$E$3:$E$998,"死卵",数据!$F$3:$F$998,A158,数据!$G$3:$G$998,B158)</f>
        <v>0</v>
      </c>
      <c r="S158">
        <f>SUMIFS(数据!$D$3:$D$998,数据!$E$3:$E$998,"前期仔鱼",数据!$F$3:$F$998,A158,数据!$G$3:$G$998,B158)</f>
        <v>0</v>
      </c>
      <c r="T158">
        <f>SUMIFS(数据!$D$3:$D$998,数据!$E$3:$E$998,"仔鱼",数据!$F$3:$F$998,A158,数据!$G$3:$G$998,B158)</f>
        <v>0</v>
      </c>
      <c r="U158">
        <f>SUMIFS(数据!$D$3:$D$998,数据!$E$3:$E$998,"稚鱼",数据!$F$3:$F$998,A158,数据!$G$3:$G$998,B158)</f>
        <v>0</v>
      </c>
    </row>
    <row r="159" spans="1:21" ht="19.9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45" t="str">
        <f t="shared" si="4"/>
        <v/>
      </c>
      <c r="M159" s="45" t="str">
        <f t="shared" si="5"/>
        <v/>
      </c>
      <c r="N159" s="39" t="str">
        <f>IF(AND(A159="",B159=""),"",COUNTIFS(数据!$E$3:$E$998,"&lt;&gt;前期仔鱼",数据!$E$3:$E$998,"&lt;&gt;仔鱼",数据!$E$3:$E$998,"&lt;&gt;稚鱼",数据!$F$3:$F$998,A159,数据!$G$3:$G$998,B159))</f>
        <v/>
      </c>
      <c r="O159" s="39" t="str">
        <f>IF(AND(A159="",B159=""),"",COUNTIFS(数据!$E$3:$E$998,"&lt;&gt;鱼卵",数据!$E$3:$E$998,"&lt;&gt;死卵",数据!$F$3:$F$998,A159,数据!$G$3:$G$998,B159))</f>
        <v/>
      </c>
      <c r="P159" s="31"/>
      <c r="Q159">
        <f>SUMIFS(数据!$D$3:$D$998,数据!$E$3:$E$998,"鱼卵",数据!$F$3:$F$998,A159,数据!$G$3:$G$998,B159)</f>
        <v>0</v>
      </c>
      <c r="R159">
        <f>SUMIFS(数据!$D$3:$D$998,数据!$E$3:$E$998,"死卵",数据!$F$3:$F$998,A159,数据!$G$3:$G$998,B159)</f>
        <v>0</v>
      </c>
      <c r="S159">
        <f>SUMIFS(数据!$D$3:$D$998,数据!$E$3:$E$998,"前期仔鱼",数据!$F$3:$F$998,A159,数据!$G$3:$G$998,B159)</f>
        <v>0</v>
      </c>
      <c r="T159">
        <f>SUMIFS(数据!$D$3:$D$998,数据!$E$3:$E$998,"仔鱼",数据!$F$3:$F$998,A159,数据!$G$3:$G$998,B159)</f>
        <v>0</v>
      </c>
      <c r="U159">
        <f>SUMIFS(数据!$D$3:$D$998,数据!$E$3:$E$998,"稚鱼",数据!$F$3:$F$998,A159,数据!$G$3:$G$998,B159)</f>
        <v>0</v>
      </c>
    </row>
    <row r="160" spans="1:21" ht="19.9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45" t="str">
        <f t="shared" si="4"/>
        <v/>
      </c>
      <c r="M160" s="45" t="str">
        <f t="shared" si="5"/>
        <v/>
      </c>
      <c r="N160" s="39" t="str">
        <f>IF(AND(A160="",B160=""),"",COUNTIFS(数据!$E$3:$E$998,"&lt;&gt;前期仔鱼",数据!$E$3:$E$998,"&lt;&gt;仔鱼",数据!$E$3:$E$998,"&lt;&gt;稚鱼",数据!$F$3:$F$998,A160,数据!$G$3:$G$998,B160))</f>
        <v/>
      </c>
      <c r="O160" s="39" t="str">
        <f>IF(AND(A160="",B160=""),"",COUNTIFS(数据!$E$3:$E$998,"&lt;&gt;鱼卵",数据!$E$3:$E$998,"&lt;&gt;死卵",数据!$F$3:$F$998,A160,数据!$G$3:$G$998,B160))</f>
        <v/>
      </c>
      <c r="P160" s="31"/>
      <c r="Q160">
        <f>SUMIFS(数据!$D$3:$D$998,数据!$E$3:$E$998,"鱼卵",数据!$F$3:$F$998,A160,数据!$G$3:$G$998,B160)</f>
        <v>0</v>
      </c>
      <c r="R160">
        <f>SUMIFS(数据!$D$3:$D$998,数据!$E$3:$E$998,"死卵",数据!$F$3:$F$998,A160,数据!$G$3:$G$998,B160)</f>
        <v>0</v>
      </c>
      <c r="S160">
        <f>SUMIFS(数据!$D$3:$D$998,数据!$E$3:$E$998,"前期仔鱼",数据!$F$3:$F$998,A160,数据!$G$3:$G$998,B160)</f>
        <v>0</v>
      </c>
      <c r="T160">
        <f>SUMIFS(数据!$D$3:$D$998,数据!$E$3:$E$998,"仔鱼",数据!$F$3:$F$998,A160,数据!$G$3:$G$998,B160)</f>
        <v>0</v>
      </c>
      <c r="U160">
        <f>SUMIFS(数据!$D$3:$D$998,数据!$E$3:$E$998,"稚鱼",数据!$F$3:$F$998,A160,数据!$G$3:$G$998,B160)</f>
        <v>0</v>
      </c>
    </row>
    <row r="161" spans="1:21" ht="19.9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45" t="str">
        <f t="shared" si="4"/>
        <v/>
      </c>
      <c r="M161" s="45" t="str">
        <f t="shared" si="5"/>
        <v/>
      </c>
      <c r="N161" s="39" t="str">
        <f>IF(AND(A161="",B161=""),"",COUNTIFS(数据!$E$3:$E$998,"&lt;&gt;前期仔鱼",数据!$E$3:$E$998,"&lt;&gt;仔鱼",数据!$E$3:$E$998,"&lt;&gt;稚鱼",数据!$F$3:$F$998,A161,数据!$G$3:$G$998,B161))</f>
        <v/>
      </c>
      <c r="O161" s="39" t="str">
        <f>IF(AND(A161="",B161=""),"",COUNTIFS(数据!$E$3:$E$998,"&lt;&gt;鱼卵",数据!$E$3:$E$998,"&lt;&gt;死卵",数据!$F$3:$F$998,A161,数据!$G$3:$G$998,B161))</f>
        <v/>
      </c>
      <c r="P161" s="31"/>
      <c r="Q161">
        <f>SUMIFS(数据!$D$3:$D$998,数据!$E$3:$E$998,"鱼卵",数据!$F$3:$F$998,A161,数据!$G$3:$G$998,B161)</f>
        <v>0</v>
      </c>
      <c r="R161">
        <f>SUMIFS(数据!$D$3:$D$998,数据!$E$3:$E$998,"死卵",数据!$F$3:$F$998,A161,数据!$G$3:$G$998,B161)</f>
        <v>0</v>
      </c>
      <c r="S161">
        <f>SUMIFS(数据!$D$3:$D$998,数据!$E$3:$E$998,"前期仔鱼",数据!$F$3:$F$998,A161,数据!$G$3:$G$998,B161)</f>
        <v>0</v>
      </c>
      <c r="T161">
        <f>SUMIFS(数据!$D$3:$D$998,数据!$E$3:$E$998,"仔鱼",数据!$F$3:$F$998,A161,数据!$G$3:$G$998,B161)</f>
        <v>0</v>
      </c>
      <c r="U161">
        <f>SUMIFS(数据!$D$3:$D$998,数据!$E$3:$E$998,"稚鱼",数据!$F$3:$F$998,A161,数据!$G$3:$G$998,B161)</f>
        <v>0</v>
      </c>
    </row>
    <row r="162" spans="1:21" ht="19.9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45" t="str">
        <f t="shared" si="4"/>
        <v/>
      </c>
      <c r="M162" s="45" t="str">
        <f t="shared" si="5"/>
        <v/>
      </c>
      <c r="N162" s="39" t="str">
        <f>IF(AND(A162="",B162=""),"",COUNTIFS(数据!$E$3:$E$998,"&lt;&gt;前期仔鱼",数据!$E$3:$E$998,"&lt;&gt;仔鱼",数据!$E$3:$E$998,"&lt;&gt;稚鱼",数据!$F$3:$F$998,A162,数据!$G$3:$G$998,B162))</f>
        <v/>
      </c>
      <c r="O162" s="39" t="str">
        <f>IF(AND(A162="",B162=""),"",COUNTIFS(数据!$E$3:$E$998,"&lt;&gt;鱼卵",数据!$E$3:$E$998,"&lt;&gt;死卵",数据!$F$3:$F$998,A162,数据!$G$3:$G$998,B162))</f>
        <v/>
      </c>
      <c r="P162" s="31"/>
      <c r="Q162">
        <f>SUMIFS(数据!$D$3:$D$998,数据!$E$3:$E$998,"鱼卵",数据!$F$3:$F$998,A162,数据!$G$3:$G$998,B162)</f>
        <v>0</v>
      </c>
      <c r="R162">
        <f>SUMIFS(数据!$D$3:$D$998,数据!$E$3:$E$998,"死卵",数据!$F$3:$F$998,A162,数据!$G$3:$G$998,B162)</f>
        <v>0</v>
      </c>
      <c r="S162">
        <f>SUMIFS(数据!$D$3:$D$998,数据!$E$3:$E$998,"前期仔鱼",数据!$F$3:$F$998,A162,数据!$G$3:$G$998,B162)</f>
        <v>0</v>
      </c>
      <c r="T162">
        <f>SUMIFS(数据!$D$3:$D$998,数据!$E$3:$E$998,"仔鱼",数据!$F$3:$F$998,A162,数据!$G$3:$G$998,B162)</f>
        <v>0</v>
      </c>
      <c r="U162">
        <f>SUMIFS(数据!$D$3:$D$998,数据!$E$3:$E$998,"稚鱼",数据!$F$3:$F$998,A162,数据!$G$3:$G$998,B162)</f>
        <v>0</v>
      </c>
    </row>
    <row r="163" spans="1:21" ht="19.9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45" t="str">
        <f t="shared" si="4"/>
        <v/>
      </c>
      <c r="M163" s="45" t="str">
        <f t="shared" si="5"/>
        <v/>
      </c>
      <c r="N163" s="39" t="str">
        <f>IF(AND(A163="",B163=""),"",COUNTIFS(数据!$E$3:$E$998,"&lt;&gt;前期仔鱼",数据!$E$3:$E$998,"&lt;&gt;仔鱼",数据!$E$3:$E$998,"&lt;&gt;稚鱼",数据!$F$3:$F$998,A163,数据!$G$3:$G$998,B163))</f>
        <v/>
      </c>
      <c r="O163" s="39" t="str">
        <f>IF(AND(A163="",B163=""),"",COUNTIFS(数据!$E$3:$E$998,"&lt;&gt;鱼卵",数据!$E$3:$E$998,"&lt;&gt;死卵",数据!$F$3:$F$998,A163,数据!$G$3:$G$998,B163))</f>
        <v/>
      </c>
      <c r="P163" s="31"/>
      <c r="Q163">
        <f>SUMIFS(数据!$D$3:$D$998,数据!$E$3:$E$998,"鱼卵",数据!$F$3:$F$998,A163,数据!$G$3:$G$998,B163)</f>
        <v>0</v>
      </c>
      <c r="R163">
        <f>SUMIFS(数据!$D$3:$D$998,数据!$E$3:$E$998,"死卵",数据!$F$3:$F$998,A163,数据!$G$3:$G$998,B163)</f>
        <v>0</v>
      </c>
      <c r="S163">
        <f>SUMIFS(数据!$D$3:$D$998,数据!$E$3:$E$998,"前期仔鱼",数据!$F$3:$F$998,A163,数据!$G$3:$G$998,B163)</f>
        <v>0</v>
      </c>
      <c r="T163">
        <f>SUMIFS(数据!$D$3:$D$998,数据!$E$3:$E$998,"仔鱼",数据!$F$3:$F$998,A163,数据!$G$3:$G$998,B163)</f>
        <v>0</v>
      </c>
      <c r="U163">
        <f>SUMIFS(数据!$D$3:$D$998,数据!$E$3:$E$998,"稚鱼",数据!$F$3:$F$998,A163,数据!$G$3:$G$998,B163)</f>
        <v>0</v>
      </c>
    </row>
    <row r="164" spans="1:21" ht="19.9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45" t="str">
        <f t="shared" si="4"/>
        <v/>
      </c>
      <c r="M164" s="45" t="str">
        <f t="shared" si="5"/>
        <v/>
      </c>
      <c r="N164" s="39" t="str">
        <f>IF(AND(A164="",B164=""),"",COUNTIFS(数据!$E$3:$E$998,"&lt;&gt;前期仔鱼",数据!$E$3:$E$998,"&lt;&gt;仔鱼",数据!$E$3:$E$998,"&lt;&gt;稚鱼",数据!$F$3:$F$998,A164,数据!$G$3:$G$998,B164))</f>
        <v/>
      </c>
      <c r="O164" s="39" t="str">
        <f>IF(AND(A164="",B164=""),"",COUNTIFS(数据!$E$3:$E$998,"&lt;&gt;鱼卵",数据!$E$3:$E$998,"&lt;&gt;死卵",数据!$F$3:$F$998,A164,数据!$G$3:$G$998,B164))</f>
        <v/>
      </c>
      <c r="P164" s="31"/>
      <c r="Q164">
        <f>SUMIFS(数据!$D$3:$D$998,数据!$E$3:$E$998,"鱼卵",数据!$F$3:$F$998,A164,数据!$G$3:$G$998,B164)</f>
        <v>0</v>
      </c>
      <c r="R164">
        <f>SUMIFS(数据!$D$3:$D$998,数据!$E$3:$E$998,"死卵",数据!$F$3:$F$998,A164,数据!$G$3:$G$998,B164)</f>
        <v>0</v>
      </c>
      <c r="S164">
        <f>SUMIFS(数据!$D$3:$D$998,数据!$E$3:$E$998,"前期仔鱼",数据!$F$3:$F$998,A164,数据!$G$3:$G$998,B164)</f>
        <v>0</v>
      </c>
      <c r="T164">
        <f>SUMIFS(数据!$D$3:$D$998,数据!$E$3:$E$998,"仔鱼",数据!$F$3:$F$998,A164,数据!$G$3:$G$998,B164)</f>
        <v>0</v>
      </c>
      <c r="U164">
        <f>SUMIFS(数据!$D$3:$D$998,数据!$E$3:$E$998,"稚鱼",数据!$F$3:$F$998,A164,数据!$G$3:$G$998,B164)</f>
        <v>0</v>
      </c>
    </row>
    <row r="165" spans="1:21" ht="19.9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45" t="str">
        <f t="shared" si="4"/>
        <v/>
      </c>
      <c r="M165" s="45" t="str">
        <f t="shared" si="5"/>
        <v/>
      </c>
      <c r="N165" s="39" t="str">
        <f>IF(AND(A165="",B165=""),"",COUNTIFS(数据!$E$3:$E$998,"&lt;&gt;前期仔鱼",数据!$E$3:$E$998,"&lt;&gt;仔鱼",数据!$E$3:$E$998,"&lt;&gt;稚鱼",数据!$F$3:$F$998,A165,数据!$G$3:$G$998,B165))</f>
        <v/>
      </c>
      <c r="O165" s="39" t="str">
        <f>IF(AND(A165="",B165=""),"",COUNTIFS(数据!$E$3:$E$998,"&lt;&gt;鱼卵",数据!$E$3:$E$998,"&lt;&gt;死卵",数据!$F$3:$F$998,A165,数据!$G$3:$G$998,B165))</f>
        <v/>
      </c>
      <c r="P165" s="31"/>
      <c r="Q165">
        <f>SUMIFS(数据!$D$3:$D$998,数据!$E$3:$E$998,"鱼卵",数据!$F$3:$F$998,A165,数据!$G$3:$G$998,B165)</f>
        <v>0</v>
      </c>
      <c r="R165">
        <f>SUMIFS(数据!$D$3:$D$998,数据!$E$3:$E$998,"死卵",数据!$F$3:$F$998,A165,数据!$G$3:$G$998,B165)</f>
        <v>0</v>
      </c>
      <c r="S165">
        <f>SUMIFS(数据!$D$3:$D$998,数据!$E$3:$E$998,"前期仔鱼",数据!$F$3:$F$998,A165,数据!$G$3:$G$998,B165)</f>
        <v>0</v>
      </c>
      <c r="T165">
        <f>SUMIFS(数据!$D$3:$D$998,数据!$E$3:$E$998,"仔鱼",数据!$F$3:$F$998,A165,数据!$G$3:$G$998,B165)</f>
        <v>0</v>
      </c>
      <c r="U165">
        <f>SUMIFS(数据!$D$3:$D$998,数据!$E$3:$E$998,"稚鱼",数据!$F$3:$F$998,A165,数据!$G$3:$G$998,B165)</f>
        <v>0</v>
      </c>
    </row>
    <row r="166" spans="1:21" ht="19.9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45" t="str">
        <f t="shared" si="4"/>
        <v/>
      </c>
      <c r="M166" s="45" t="str">
        <f t="shared" si="5"/>
        <v/>
      </c>
      <c r="N166" s="39" t="str">
        <f>IF(AND(A166="",B166=""),"",COUNTIFS(数据!$E$3:$E$998,"&lt;&gt;前期仔鱼",数据!$E$3:$E$998,"&lt;&gt;仔鱼",数据!$E$3:$E$998,"&lt;&gt;稚鱼",数据!$F$3:$F$998,A166,数据!$G$3:$G$998,B166))</f>
        <v/>
      </c>
      <c r="O166" s="39" t="str">
        <f>IF(AND(A166="",B166=""),"",COUNTIFS(数据!$E$3:$E$998,"&lt;&gt;鱼卵",数据!$E$3:$E$998,"&lt;&gt;死卵",数据!$F$3:$F$998,A166,数据!$G$3:$G$998,B166))</f>
        <v/>
      </c>
      <c r="P166" s="31"/>
      <c r="Q166">
        <f>SUMIFS(数据!$D$3:$D$998,数据!$E$3:$E$998,"鱼卵",数据!$F$3:$F$998,A166,数据!$G$3:$G$998,B166)</f>
        <v>0</v>
      </c>
      <c r="R166">
        <f>SUMIFS(数据!$D$3:$D$998,数据!$E$3:$E$998,"死卵",数据!$F$3:$F$998,A166,数据!$G$3:$G$998,B166)</f>
        <v>0</v>
      </c>
      <c r="S166">
        <f>SUMIFS(数据!$D$3:$D$998,数据!$E$3:$E$998,"前期仔鱼",数据!$F$3:$F$998,A166,数据!$G$3:$G$998,B166)</f>
        <v>0</v>
      </c>
      <c r="T166">
        <f>SUMIFS(数据!$D$3:$D$998,数据!$E$3:$E$998,"仔鱼",数据!$F$3:$F$998,A166,数据!$G$3:$G$998,B166)</f>
        <v>0</v>
      </c>
      <c r="U166">
        <f>SUMIFS(数据!$D$3:$D$998,数据!$E$3:$E$998,"稚鱼",数据!$F$3:$F$998,A166,数据!$G$3:$G$998,B166)</f>
        <v>0</v>
      </c>
    </row>
    <row r="167" spans="1:21" ht="19.9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45" t="str">
        <f t="shared" si="4"/>
        <v/>
      </c>
      <c r="M167" s="45" t="str">
        <f t="shared" si="5"/>
        <v/>
      </c>
      <c r="N167" s="39" t="str">
        <f>IF(AND(A167="",B167=""),"",COUNTIFS(数据!$E$3:$E$998,"&lt;&gt;前期仔鱼",数据!$E$3:$E$998,"&lt;&gt;仔鱼",数据!$E$3:$E$998,"&lt;&gt;稚鱼",数据!$F$3:$F$998,A167,数据!$G$3:$G$998,B167))</f>
        <v/>
      </c>
      <c r="O167" s="39" t="str">
        <f>IF(AND(A167="",B167=""),"",COUNTIFS(数据!$E$3:$E$998,"&lt;&gt;鱼卵",数据!$E$3:$E$998,"&lt;&gt;死卵",数据!$F$3:$F$998,A167,数据!$G$3:$G$998,B167))</f>
        <v/>
      </c>
      <c r="P167" s="31"/>
      <c r="Q167">
        <f>SUMIFS(数据!$D$3:$D$998,数据!$E$3:$E$998,"鱼卵",数据!$F$3:$F$998,A167,数据!$G$3:$G$998,B167)</f>
        <v>0</v>
      </c>
      <c r="R167">
        <f>SUMIFS(数据!$D$3:$D$998,数据!$E$3:$E$998,"死卵",数据!$F$3:$F$998,A167,数据!$G$3:$G$998,B167)</f>
        <v>0</v>
      </c>
      <c r="S167">
        <f>SUMIFS(数据!$D$3:$D$998,数据!$E$3:$E$998,"前期仔鱼",数据!$F$3:$F$998,A167,数据!$G$3:$G$998,B167)</f>
        <v>0</v>
      </c>
      <c r="T167">
        <f>SUMIFS(数据!$D$3:$D$998,数据!$E$3:$E$998,"仔鱼",数据!$F$3:$F$998,A167,数据!$G$3:$G$998,B167)</f>
        <v>0</v>
      </c>
      <c r="U167">
        <f>SUMIFS(数据!$D$3:$D$998,数据!$E$3:$E$998,"稚鱼",数据!$F$3:$F$998,A167,数据!$G$3:$G$998,B167)</f>
        <v>0</v>
      </c>
    </row>
    <row r="168" spans="1:21" ht="19.9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45" t="str">
        <f t="shared" si="4"/>
        <v/>
      </c>
      <c r="M168" s="45" t="str">
        <f t="shared" si="5"/>
        <v/>
      </c>
      <c r="N168" s="39" t="str">
        <f>IF(AND(A168="",B168=""),"",COUNTIFS(数据!$E$3:$E$998,"&lt;&gt;前期仔鱼",数据!$E$3:$E$998,"&lt;&gt;仔鱼",数据!$E$3:$E$998,"&lt;&gt;稚鱼",数据!$F$3:$F$998,A168,数据!$G$3:$G$998,B168))</f>
        <v/>
      </c>
      <c r="O168" s="39" t="str">
        <f>IF(AND(A168="",B168=""),"",COUNTIFS(数据!$E$3:$E$998,"&lt;&gt;鱼卵",数据!$E$3:$E$998,"&lt;&gt;死卵",数据!$F$3:$F$998,A168,数据!$G$3:$G$998,B168))</f>
        <v/>
      </c>
      <c r="P168" s="31"/>
      <c r="Q168">
        <f>SUMIFS(数据!$D$3:$D$998,数据!$E$3:$E$998,"鱼卵",数据!$F$3:$F$998,A168,数据!$G$3:$G$998,B168)</f>
        <v>0</v>
      </c>
      <c r="R168">
        <f>SUMIFS(数据!$D$3:$D$998,数据!$E$3:$E$998,"死卵",数据!$F$3:$F$998,A168,数据!$G$3:$G$998,B168)</f>
        <v>0</v>
      </c>
      <c r="S168">
        <f>SUMIFS(数据!$D$3:$D$998,数据!$E$3:$E$998,"前期仔鱼",数据!$F$3:$F$998,A168,数据!$G$3:$G$998,B168)</f>
        <v>0</v>
      </c>
      <c r="T168">
        <f>SUMIFS(数据!$D$3:$D$998,数据!$E$3:$E$998,"仔鱼",数据!$F$3:$F$998,A168,数据!$G$3:$G$998,B168)</f>
        <v>0</v>
      </c>
      <c r="U168">
        <f>SUMIFS(数据!$D$3:$D$998,数据!$E$3:$E$998,"稚鱼",数据!$F$3:$F$998,A168,数据!$G$3:$G$998,B168)</f>
        <v>0</v>
      </c>
    </row>
    <row r="169" spans="1:21" ht="19.9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45" t="str">
        <f t="shared" si="4"/>
        <v/>
      </c>
      <c r="M169" s="45" t="str">
        <f t="shared" si="5"/>
        <v/>
      </c>
      <c r="N169" s="39" t="str">
        <f>IF(AND(A169="",B169=""),"",COUNTIFS(数据!$E$3:$E$998,"&lt;&gt;前期仔鱼",数据!$E$3:$E$998,"&lt;&gt;仔鱼",数据!$E$3:$E$998,"&lt;&gt;稚鱼",数据!$F$3:$F$998,A169,数据!$G$3:$G$998,B169))</f>
        <v/>
      </c>
      <c r="O169" s="39" t="str">
        <f>IF(AND(A169="",B169=""),"",COUNTIFS(数据!$E$3:$E$998,"&lt;&gt;鱼卵",数据!$E$3:$E$998,"&lt;&gt;死卵",数据!$F$3:$F$998,A169,数据!$G$3:$G$998,B169))</f>
        <v/>
      </c>
      <c r="P169" s="31"/>
      <c r="Q169">
        <f>SUMIFS(数据!$D$3:$D$998,数据!$E$3:$E$998,"鱼卵",数据!$F$3:$F$998,A169,数据!$G$3:$G$998,B169)</f>
        <v>0</v>
      </c>
      <c r="R169">
        <f>SUMIFS(数据!$D$3:$D$998,数据!$E$3:$E$998,"死卵",数据!$F$3:$F$998,A169,数据!$G$3:$G$998,B169)</f>
        <v>0</v>
      </c>
      <c r="S169">
        <f>SUMIFS(数据!$D$3:$D$998,数据!$E$3:$E$998,"前期仔鱼",数据!$F$3:$F$998,A169,数据!$G$3:$G$998,B169)</f>
        <v>0</v>
      </c>
      <c r="T169">
        <f>SUMIFS(数据!$D$3:$D$998,数据!$E$3:$E$998,"仔鱼",数据!$F$3:$F$998,A169,数据!$G$3:$G$998,B169)</f>
        <v>0</v>
      </c>
      <c r="U169">
        <f>SUMIFS(数据!$D$3:$D$998,数据!$E$3:$E$998,"稚鱼",数据!$F$3:$F$998,A169,数据!$G$3:$G$998,B169)</f>
        <v>0</v>
      </c>
    </row>
    <row r="170" spans="1:21" ht="19.9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45" t="str">
        <f t="shared" si="4"/>
        <v/>
      </c>
      <c r="M170" s="45" t="str">
        <f t="shared" si="5"/>
        <v/>
      </c>
      <c r="N170" s="39" t="str">
        <f>IF(AND(A170="",B170=""),"",COUNTIFS(数据!$E$3:$E$998,"&lt;&gt;前期仔鱼",数据!$E$3:$E$998,"&lt;&gt;仔鱼",数据!$E$3:$E$998,"&lt;&gt;稚鱼",数据!$F$3:$F$998,A170,数据!$G$3:$G$998,B170))</f>
        <v/>
      </c>
      <c r="O170" s="39" t="str">
        <f>IF(AND(A170="",B170=""),"",COUNTIFS(数据!$E$3:$E$998,"&lt;&gt;鱼卵",数据!$E$3:$E$998,"&lt;&gt;死卵",数据!$F$3:$F$998,A170,数据!$G$3:$G$998,B170))</f>
        <v/>
      </c>
      <c r="P170" s="31"/>
      <c r="Q170">
        <f>SUMIFS(数据!$D$3:$D$998,数据!$E$3:$E$998,"鱼卵",数据!$F$3:$F$998,A170,数据!$G$3:$G$998,B170)</f>
        <v>0</v>
      </c>
      <c r="R170">
        <f>SUMIFS(数据!$D$3:$D$998,数据!$E$3:$E$998,"死卵",数据!$F$3:$F$998,A170,数据!$G$3:$G$998,B170)</f>
        <v>0</v>
      </c>
      <c r="S170">
        <f>SUMIFS(数据!$D$3:$D$998,数据!$E$3:$E$998,"前期仔鱼",数据!$F$3:$F$998,A170,数据!$G$3:$G$998,B170)</f>
        <v>0</v>
      </c>
      <c r="T170">
        <f>SUMIFS(数据!$D$3:$D$998,数据!$E$3:$E$998,"仔鱼",数据!$F$3:$F$998,A170,数据!$G$3:$G$998,B170)</f>
        <v>0</v>
      </c>
      <c r="U170">
        <f>SUMIFS(数据!$D$3:$D$998,数据!$E$3:$E$998,"稚鱼",数据!$F$3:$F$998,A170,数据!$G$3:$G$998,B170)</f>
        <v>0</v>
      </c>
    </row>
    <row r="171" spans="1:21" ht="19.9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45" t="str">
        <f t="shared" si="4"/>
        <v/>
      </c>
      <c r="M171" s="45" t="str">
        <f t="shared" si="5"/>
        <v/>
      </c>
      <c r="N171" s="39" t="str">
        <f>IF(AND(A171="",B171=""),"",COUNTIFS(数据!$E$3:$E$998,"&lt;&gt;前期仔鱼",数据!$E$3:$E$998,"&lt;&gt;仔鱼",数据!$E$3:$E$998,"&lt;&gt;稚鱼",数据!$F$3:$F$998,A171,数据!$G$3:$G$998,B171))</f>
        <v/>
      </c>
      <c r="O171" s="39" t="str">
        <f>IF(AND(A171="",B171=""),"",COUNTIFS(数据!$E$3:$E$998,"&lt;&gt;鱼卵",数据!$E$3:$E$998,"&lt;&gt;死卵",数据!$F$3:$F$998,A171,数据!$G$3:$G$998,B171))</f>
        <v/>
      </c>
      <c r="P171" s="31"/>
      <c r="Q171">
        <f>SUMIFS(数据!$D$3:$D$998,数据!$E$3:$E$998,"鱼卵",数据!$F$3:$F$998,A171,数据!$G$3:$G$998,B171)</f>
        <v>0</v>
      </c>
      <c r="R171">
        <f>SUMIFS(数据!$D$3:$D$998,数据!$E$3:$E$998,"死卵",数据!$F$3:$F$998,A171,数据!$G$3:$G$998,B171)</f>
        <v>0</v>
      </c>
      <c r="S171">
        <f>SUMIFS(数据!$D$3:$D$998,数据!$E$3:$E$998,"前期仔鱼",数据!$F$3:$F$998,A171,数据!$G$3:$G$998,B171)</f>
        <v>0</v>
      </c>
      <c r="T171">
        <f>SUMIFS(数据!$D$3:$D$998,数据!$E$3:$E$998,"仔鱼",数据!$F$3:$F$998,A171,数据!$G$3:$G$998,B171)</f>
        <v>0</v>
      </c>
      <c r="U171">
        <f>SUMIFS(数据!$D$3:$D$998,数据!$E$3:$E$998,"稚鱼",数据!$F$3:$F$998,A171,数据!$G$3:$G$998,B171)</f>
        <v>0</v>
      </c>
    </row>
    <row r="172" spans="1:21" ht="19.9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45" t="str">
        <f t="shared" si="4"/>
        <v/>
      </c>
      <c r="M172" s="45" t="str">
        <f t="shared" si="5"/>
        <v/>
      </c>
      <c r="N172" s="39" t="str">
        <f>IF(AND(A172="",B172=""),"",COUNTIFS(数据!$E$3:$E$998,"&lt;&gt;前期仔鱼",数据!$E$3:$E$998,"&lt;&gt;仔鱼",数据!$E$3:$E$998,"&lt;&gt;稚鱼",数据!$F$3:$F$998,A172,数据!$G$3:$G$998,B172))</f>
        <v/>
      </c>
      <c r="O172" s="39" t="str">
        <f>IF(AND(A172="",B172=""),"",COUNTIFS(数据!$E$3:$E$998,"&lt;&gt;鱼卵",数据!$E$3:$E$998,"&lt;&gt;死卵",数据!$F$3:$F$998,A172,数据!$G$3:$G$998,B172))</f>
        <v/>
      </c>
      <c r="P172" s="31"/>
      <c r="Q172">
        <f>SUMIFS(数据!$D$3:$D$998,数据!$E$3:$E$998,"鱼卵",数据!$F$3:$F$998,A172,数据!$G$3:$G$998,B172)</f>
        <v>0</v>
      </c>
      <c r="R172">
        <f>SUMIFS(数据!$D$3:$D$998,数据!$E$3:$E$998,"死卵",数据!$F$3:$F$998,A172,数据!$G$3:$G$998,B172)</f>
        <v>0</v>
      </c>
      <c r="S172">
        <f>SUMIFS(数据!$D$3:$D$998,数据!$E$3:$E$998,"前期仔鱼",数据!$F$3:$F$998,A172,数据!$G$3:$G$998,B172)</f>
        <v>0</v>
      </c>
      <c r="T172">
        <f>SUMIFS(数据!$D$3:$D$998,数据!$E$3:$E$998,"仔鱼",数据!$F$3:$F$998,A172,数据!$G$3:$G$998,B172)</f>
        <v>0</v>
      </c>
      <c r="U172">
        <f>SUMIFS(数据!$D$3:$D$998,数据!$E$3:$E$998,"稚鱼",数据!$F$3:$F$998,A172,数据!$G$3:$G$998,B172)</f>
        <v>0</v>
      </c>
    </row>
    <row r="173" spans="1:21" ht="19.9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45" t="str">
        <f t="shared" si="4"/>
        <v/>
      </c>
      <c r="M173" s="45" t="str">
        <f t="shared" si="5"/>
        <v/>
      </c>
      <c r="N173" s="39" t="str">
        <f>IF(AND(A173="",B173=""),"",COUNTIFS(数据!$E$3:$E$998,"&lt;&gt;前期仔鱼",数据!$E$3:$E$998,"&lt;&gt;仔鱼",数据!$E$3:$E$998,"&lt;&gt;稚鱼",数据!$F$3:$F$998,A173,数据!$G$3:$G$998,B173))</f>
        <v/>
      </c>
      <c r="O173" s="39" t="str">
        <f>IF(AND(A173="",B173=""),"",COUNTIFS(数据!$E$3:$E$998,"&lt;&gt;鱼卵",数据!$E$3:$E$998,"&lt;&gt;死卵",数据!$F$3:$F$998,A173,数据!$G$3:$G$998,B173))</f>
        <v/>
      </c>
      <c r="P173" s="31"/>
      <c r="Q173">
        <f>SUMIFS(数据!$D$3:$D$998,数据!$E$3:$E$998,"鱼卵",数据!$F$3:$F$998,A173,数据!$G$3:$G$998,B173)</f>
        <v>0</v>
      </c>
      <c r="R173">
        <f>SUMIFS(数据!$D$3:$D$998,数据!$E$3:$E$998,"死卵",数据!$F$3:$F$998,A173,数据!$G$3:$G$998,B173)</f>
        <v>0</v>
      </c>
      <c r="S173">
        <f>SUMIFS(数据!$D$3:$D$998,数据!$E$3:$E$998,"前期仔鱼",数据!$F$3:$F$998,A173,数据!$G$3:$G$998,B173)</f>
        <v>0</v>
      </c>
      <c r="T173">
        <f>SUMIFS(数据!$D$3:$D$998,数据!$E$3:$E$998,"仔鱼",数据!$F$3:$F$998,A173,数据!$G$3:$G$998,B173)</f>
        <v>0</v>
      </c>
      <c r="U173">
        <f>SUMIFS(数据!$D$3:$D$998,数据!$E$3:$E$998,"稚鱼",数据!$F$3:$F$998,A173,数据!$G$3:$G$998,B173)</f>
        <v>0</v>
      </c>
    </row>
    <row r="174" spans="1:21" ht="19.9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45" t="str">
        <f t="shared" si="4"/>
        <v/>
      </c>
      <c r="M174" s="45" t="str">
        <f t="shared" si="5"/>
        <v/>
      </c>
      <c r="N174" s="39" t="str">
        <f>IF(AND(A174="",B174=""),"",COUNTIFS(数据!$E$3:$E$998,"&lt;&gt;前期仔鱼",数据!$E$3:$E$998,"&lt;&gt;仔鱼",数据!$E$3:$E$998,"&lt;&gt;稚鱼",数据!$F$3:$F$998,A174,数据!$G$3:$G$998,B174))</f>
        <v/>
      </c>
      <c r="O174" s="39" t="str">
        <f>IF(AND(A174="",B174=""),"",COUNTIFS(数据!$E$3:$E$998,"&lt;&gt;鱼卵",数据!$E$3:$E$998,"&lt;&gt;死卵",数据!$F$3:$F$998,A174,数据!$G$3:$G$998,B174))</f>
        <v/>
      </c>
      <c r="P174" s="31"/>
      <c r="Q174">
        <f>SUMIFS(数据!$D$3:$D$998,数据!$E$3:$E$998,"鱼卵",数据!$F$3:$F$998,A174,数据!$G$3:$G$998,B174)</f>
        <v>0</v>
      </c>
      <c r="R174">
        <f>SUMIFS(数据!$D$3:$D$998,数据!$E$3:$E$998,"死卵",数据!$F$3:$F$998,A174,数据!$G$3:$G$998,B174)</f>
        <v>0</v>
      </c>
      <c r="S174">
        <f>SUMIFS(数据!$D$3:$D$998,数据!$E$3:$E$998,"前期仔鱼",数据!$F$3:$F$998,A174,数据!$G$3:$G$998,B174)</f>
        <v>0</v>
      </c>
      <c r="T174">
        <f>SUMIFS(数据!$D$3:$D$998,数据!$E$3:$E$998,"仔鱼",数据!$F$3:$F$998,A174,数据!$G$3:$G$998,B174)</f>
        <v>0</v>
      </c>
      <c r="U174">
        <f>SUMIFS(数据!$D$3:$D$998,数据!$E$3:$E$998,"稚鱼",数据!$F$3:$F$998,A174,数据!$G$3:$G$998,B174)</f>
        <v>0</v>
      </c>
    </row>
    <row r="175" spans="1:21" ht="19.9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45" t="str">
        <f t="shared" si="4"/>
        <v/>
      </c>
      <c r="M175" s="45" t="str">
        <f t="shared" si="5"/>
        <v/>
      </c>
      <c r="N175" s="39" t="str">
        <f>IF(AND(A175="",B175=""),"",COUNTIFS(数据!$E$3:$E$998,"&lt;&gt;前期仔鱼",数据!$E$3:$E$998,"&lt;&gt;仔鱼",数据!$E$3:$E$998,"&lt;&gt;稚鱼",数据!$F$3:$F$998,A175,数据!$G$3:$G$998,B175))</f>
        <v/>
      </c>
      <c r="O175" s="39" t="str">
        <f>IF(AND(A175="",B175=""),"",COUNTIFS(数据!$E$3:$E$998,"&lt;&gt;鱼卵",数据!$E$3:$E$998,"&lt;&gt;死卵",数据!$F$3:$F$998,A175,数据!$G$3:$G$998,B175))</f>
        <v/>
      </c>
      <c r="P175" s="31"/>
      <c r="Q175">
        <f>SUMIFS(数据!$D$3:$D$998,数据!$E$3:$E$998,"鱼卵",数据!$F$3:$F$998,A175,数据!$G$3:$G$998,B175)</f>
        <v>0</v>
      </c>
      <c r="R175">
        <f>SUMIFS(数据!$D$3:$D$998,数据!$E$3:$E$998,"死卵",数据!$F$3:$F$998,A175,数据!$G$3:$G$998,B175)</f>
        <v>0</v>
      </c>
      <c r="S175">
        <f>SUMIFS(数据!$D$3:$D$998,数据!$E$3:$E$998,"前期仔鱼",数据!$F$3:$F$998,A175,数据!$G$3:$G$998,B175)</f>
        <v>0</v>
      </c>
      <c r="T175">
        <f>SUMIFS(数据!$D$3:$D$998,数据!$E$3:$E$998,"仔鱼",数据!$F$3:$F$998,A175,数据!$G$3:$G$998,B175)</f>
        <v>0</v>
      </c>
      <c r="U175">
        <f>SUMIFS(数据!$D$3:$D$998,数据!$E$3:$E$998,"稚鱼",数据!$F$3:$F$998,A175,数据!$G$3:$G$998,B175)</f>
        <v>0</v>
      </c>
    </row>
    <row r="176" spans="1:21" ht="19.9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45" t="str">
        <f t="shared" si="4"/>
        <v/>
      </c>
      <c r="M176" s="45" t="str">
        <f t="shared" si="5"/>
        <v/>
      </c>
      <c r="N176" s="39" t="str">
        <f>IF(AND(A176="",B176=""),"",COUNTIFS(数据!$E$3:$E$998,"&lt;&gt;前期仔鱼",数据!$E$3:$E$998,"&lt;&gt;仔鱼",数据!$E$3:$E$998,"&lt;&gt;稚鱼",数据!$F$3:$F$998,A176,数据!$G$3:$G$998,B176))</f>
        <v/>
      </c>
      <c r="O176" s="39" t="str">
        <f>IF(AND(A176="",B176=""),"",COUNTIFS(数据!$E$3:$E$998,"&lt;&gt;鱼卵",数据!$E$3:$E$998,"&lt;&gt;死卵",数据!$F$3:$F$998,A176,数据!$G$3:$G$998,B176))</f>
        <v/>
      </c>
      <c r="P176" s="31"/>
      <c r="Q176">
        <f>SUMIFS(数据!$D$3:$D$998,数据!$E$3:$E$998,"鱼卵",数据!$F$3:$F$998,A176,数据!$G$3:$G$998,B176)</f>
        <v>0</v>
      </c>
      <c r="R176">
        <f>SUMIFS(数据!$D$3:$D$998,数据!$E$3:$E$998,"死卵",数据!$F$3:$F$998,A176,数据!$G$3:$G$998,B176)</f>
        <v>0</v>
      </c>
      <c r="S176">
        <f>SUMIFS(数据!$D$3:$D$998,数据!$E$3:$E$998,"前期仔鱼",数据!$F$3:$F$998,A176,数据!$G$3:$G$998,B176)</f>
        <v>0</v>
      </c>
      <c r="T176">
        <f>SUMIFS(数据!$D$3:$D$998,数据!$E$3:$E$998,"仔鱼",数据!$F$3:$F$998,A176,数据!$G$3:$G$998,B176)</f>
        <v>0</v>
      </c>
      <c r="U176">
        <f>SUMIFS(数据!$D$3:$D$998,数据!$E$3:$E$998,"稚鱼",数据!$F$3:$F$998,A176,数据!$G$3:$G$998,B176)</f>
        <v>0</v>
      </c>
    </row>
    <row r="177" spans="1:21" ht="19.9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45" t="str">
        <f t="shared" si="4"/>
        <v/>
      </c>
      <c r="M177" s="45" t="str">
        <f t="shared" si="5"/>
        <v/>
      </c>
      <c r="N177" s="39" t="str">
        <f>IF(AND(A177="",B177=""),"",COUNTIFS(数据!$E$3:$E$998,"&lt;&gt;前期仔鱼",数据!$E$3:$E$998,"&lt;&gt;仔鱼",数据!$E$3:$E$998,"&lt;&gt;稚鱼",数据!$F$3:$F$998,A177,数据!$G$3:$G$998,B177))</f>
        <v/>
      </c>
      <c r="O177" s="39" t="str">
        <f>IF(AND(A177="",B177=""),"",COUNTIFS(数据!$E$3:$E$998,"&lt;&gt;鱼卵",数据!$E$3:$E$998,"&lt;&gt;死卵",数据!$F$3:$F$998,A177,数据!$G$3:$G$998,B177))</f>
        <v/>
      </c>
      <c r="P177" s="31"/>
      <c r="Q177">
        <f>SUMIFS(数据!$D$3:$D$998,数据!$E$3:$E$998,"鱼卵",数据!$F$3:$F$998,A177,数据!$G$3:$G$998,B177)</f>
        <v>0</v>
      </c>
      <c r="R177">
        <f>SUMIFS(数据!$D$3:$D$998,数据!$E$3:$E$998,"死卵",数据!$F$3:$F$998,A177,数据!$G$3:$G$998,B177)</f>
        <v>0</v>
      </c>
      <c r="S177">
        <f>SUMIFS(数据!$D$3:$D$998,数据!$E$3:$E$998,"前期仔鱼",数据!$F$3:$F$998,A177,数据!$G$3:$G$998,B177)</f>
        <v>0</v>
      </c>
      <c r="T177">
        <f>SUMIFS(数据!$D$3:$D$998,数据!$E$3:$E$998,"仔鱼",数据!$F$3:$F$998,A177,数据!$G$3:$G$998,B177)</f>
        <v>0</v>
      </c>
      <c r="U177">
        <f>SUMIFS(数据!$D$3:$D$998,数据!$E$3:$E$998,"稚鱼",数据!$F$3:$F$998,A177,数据!$G$3:$G$998,B177)</f>
        <v>0</v>
      </c>
    </row>
    <row r="178" spans="1:21" ht="19.9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45" t="str">
        <f t="shared" si="4"/>
        <v/>
      </c>
      <c r="M178" s="45" t="str">
        <f t="shared" si="5"/>
        <v/>
      </c>
      <c r="N178" s="39" t="str">
        <f>IF(AND(A178="",B178=""),"",COUNTIFS(数据!$E$3:$E$998,"&lt;&gt;前期仔鱼",数据!$E$3:$E$998,"&lt;&gt;仔鱼",数据!$E$3:$E$998,"&lt;&gt;稚鱼",数据!$F$3:$F$998,A178,数据!$G$3:$G$998,B178))</f>
        <v/>
      </c>
      <c r="O178" s="39" t="str">
        <f>IF(AND(A178="",B178=""),"",COUNTIFS(数据!$E$3:$E$998,"&lt;&gt;鱼卵",数据!$E$3:$E$998,"&lt;&gt;死卵",数据!$F$3:$F$998,A178,数据!$G$3:$G$998,B178))</f>
        <v/>
      </c>
      <c r="P178" s="31"/>
      <c r="Q178">
        <f>SUMIFS(数据!$D$3:$D$998,数据!$E$3:$E$998,"鱼卵",数据!$F$3:$F$998,A178,数据!$G$3:$G$998,B178)</f>
        <v>0</v>
      </c>
      <c r="R178">
        <f>SUMIFS(数据!$D$3:$D$998,数据!$E$3:$E$998,"死卵",数据!$F$3:$F$998,A178,数据!$G$3:$G$998,B178)</f>
        <v>0</v>
      </c>
      <c r="S178">
        <f>SUMIFS(数据!$D$3:$D$998,数据!$E$3:$E$998,"前期仔鱼",数据!$F$3:$F$998,A178,数据!$G$3:$G$998,B178)</f>
        <v>0</v>
      </c>
      <c r="T178">
        <f>SUMIFS(数据!$D$3:$D$998,数据!$E$3:$E$998,"仔鱼",数据!$F$3:$F$998,A178,数据!$G$3:$G$998,B178)</f>
        <v>0</v>
      </c>
      <c r="U178">
        <f>SUMIFS(数据!$D$3:$D$998,数据!$E$3:$E$998,"稚鱼",数据!$F$3:$F$998,A178,数据!$G$3:$G$998,B178)</f>
        <v>0</v>
      </c>
    </row>
    <row r="179" spans="1:21" ht="19.9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45" t="str">
        <f t="shared" si="4"/>
        <v/>
      </c>
      <c r="M179" s="45" t="str">
        <f t="shared" si="5"/>
        <v/>
      </c>
      <c r="N179" s="39" t="str">
        <f>IF(AND(A179="",B179=""),"",COUNTIFS(数据!$E$3:$E$998,"&lt;&gt;前期仔鱼",数据!$E$3:$E$998,"&lt;&gt;仔鱼",数据!$E$3:$E$998,"&lt;&gt;稚鱼",数据!$F$3:$F$998,A179,数据!$G$3:$G$998,B179))</f>
        <v/>
      </c>
      <c r="O179" s="39" t="str">
        <f>IF(AND(A179="",B179=""),"",COUNTIFS(数据!$E$3:$E$998,"&lt;&gt;鱼卵",数据!$E$3:$E$998,"&lt;&gt;死卵",数据!$F$3:$F$998,A179,数据!$G$3:$G$998,B179))</f>
        <v/>
      </c>
      <c r="P179" s="31"/>
      <c r="Q179">
        <f>SUMIFS(数据!$D$3:$D$998,数据!$E$3:$E$998,"鱼卵",数据!$F$3:$F$998,A179,数据!$G$3:$G$998,B179)</f>
        <v>0</v>
      </c>
      <c r="R179">
        <f>SUMIFS(数据!$D$3:$D$998,数据!$E$3:$E$998,"死卵",数据!$F$3:$F$998,A179,数据!$G$3:$G$998,B179)</f>
        <v>0</v>
      </c>
      <c r="S179">
        <f>SUMIFS(数据!$D$3:$D$998,数据!$E$3:$E$998,"前期仔鱼",数据!$F$3:$F$998,A179,数据!$G$3:$G$998,B179)</f>
        <v>0</v>
      </c>
      <c r="T179">
        <f>SUMIFS(数据!$D$3:$D$998,数据!$E$3:$E$998,"仔鱼",数据!$F$3:$F$998,A179,数据!$G$3:$G$998,B179)</f>
        <v>0</v>
      </c>
      <c r="U179">
        <f>SUMIFS(数据!$D$3:$D$998,数据!$E$3:$E$998,"稚鱼",数据!$F$3:$F$998,A179,数据!$G$3:$G$998,B179)</f>
        <v>0</v>
      </c>
    </row>
    <row r="180" spans="1:21" ht="19.9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45" t="str">
        <f t="shared" si="4"/>
        <v/>
      </c>
      <c r="M180" s="45" t="str">
        <f t="shared" si="5"/>
        <v/>
      </c>
      <c r="N180" s="39" t="str">
        <f>IF(AND(A180="",B180=""),"",COUNTIFS(数据!$E$3:$E$998,"&lt;&gt;前期仔鱼",数据!$E$3:$E$998,"&lt;&gt;仔鱼",数据!$E$3:$E$998,"&lt;&gt;稚鱼",数据!$F$3:$F$998,A180,数据!$G$3:$G$998,B180))</f>
        <v/>
      </c>
      <c r="O180" s="39" t="str">
        <f>IF(AND(A180="",B180=""),"",COUNTIFS(数据!$E$3:$E$998,"&lt;&gt;鱼卵",数据!$E$3:$E$998,"&lt;&gt;死卵",数据!$F$3:$F$998,A180,数据!$G$3:$G$998,B180))</f>
        <v/>
      </c>
      <c r="P180" s="31"/>
      <c r="Q180">
        <f>SUMIFS(数据!$D$3:$D$998,数据!$E$3:$E$998,"鱼卵",数据!$F$3:$F$998,A180,数据!$G$3:$G$998,B180)</f>
        <v>0</v>
      </c>
      <c r="R180">
        <f>SUMIFS(数据!$D$3:$D$998,数据!$E$3:$E$998,"死卵",数据!$F$3:$F$998,A180,数据!$G$3:$G$998,B180)</f>
        <v>0</v>
      </c>
      <c r="S180">
        <f>SUMIFS(数据!$D$3:$D$998,数据!$E$3:$E$998,"前期仔鱼",数据!$F$3:$F$998,A180,数据!$G$3:$G$998,B180)</f>
        <v>0</v>
      </c>
      <c r="T180">
        <f>SUMIFS(数据!$D$3:$D$998,数据!$E$3:$E$998,"仔鱼",数据!$F$3:$F$998,A180,数据!$G$3:$G$998,B180)</f>
        <v>0</v>
      </c>
      <c r="U180">
        <f>SUMIFS(数据!$D$3:$D$998,数据!$E$3:$E$998,"稚鱼",数据!$F$3:$F$998,A180,数据!$G$3:$G$998,B180)</f>
        <v>0</v>
      </c>
    </row>
    <row r="181" spans="1:21" ht="19.9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45" t="str">
        <f t="shared" si="4"/>
        <v/>
      </c>
      <c r="M181" s="45" t="str">
        <f t="shared" si="5"/>
        <v/>
      </c>
      <c r="N181" s="39" t="str">
        <f>IF(AND(A181="",B181=""),"",COUNTIFS(数据!$E$3:$E$998,"&lt;&gt;前期仔鱼",数据!$E$3:$E$998,"&lt;&gt;仔鱼",数据!$E$3:$E$998,"&lt;&gt;稚鱼",数据!$F$3:$F$998,A181,数据!$G$3:$G$998,B181))</f>
        <v/>
      </c>
      <c r="O181" s="39" t="str">
        <f>IF(AND(A181="",B181=""),"",COUNTIFS(数据!$E$3:$E$998,"&lt;&gt;鱼卵",数据!$E$3:$E$998,"&lt;&gt;死卵",数据!$F$3:$F$998,A181,数据!$G$3:$G$998,B181))</f>
        <v/>
      </c>
      <c r="P181" s="31"/>
      <c r="Q181">
        <f>SUMIFS(数据!$D$3:$D$998,数据!$E$3:$E$998,"鱼卵",数据!$F$3:$F$998,A181,数据!$G$3:$G$998,B181)</f>
        <v>0</v>
      </c>
      <c r="R181">
        <f>SUMIFS(数据!$D$3:$D$998,数据!$E$3:$E$998,"死卵",数据!$F$3:$F$998,A181,数据!$G$3:$G$998,B181)</f>
        <v>0</v>
      </c>
      <c r="S181">
        <f>SUMIFS(数据!$D$3:$D$998,数据!$E$3:$E$998,"前期仔鱼",数据!$F$3:$F$998,A181,数据!$G$3:$G$998,B181)</f>
        <v>0</v>
      </c>
      <c r="T181">
        <f>SUMIFS(数据!$D$3:$D$998,数据!$E$3:$E$998,"仔鱼",数据!$F$3:$F$998,A181,数据!$G$3:$G$998,B181)</f>
        <v>0</v>
      </c>
      <c r="U181">
        <f>SUMIFS(数据!$D$3:$D$998,数据!$E$3:$E$998,"稚鱼",数据!$F$3:$F$998,A181,数据!$G$3:$G$998,B181)</f>
        <v>0</v>
      </c>
    </row>
    <row r="182" spans="1:21" ht="19.9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45" t="str">
        <f t="shared" si="4"/>
        <v/>
      </c>
      <c r="M182" s="45" t="str">
        <f t="shared" si="5"/>
        <v/>
      </c>
      <c r="N182" s="39" t="str">
        <f>IF(AND(A182="",B182=""),"",COUNTIFS(数据!$E$3:$E$998,"&lt;&gt;前期仔鱼",数据!$E$3:$E$998,"&lt;&gt;仔鱼",数据!$E$3:$E$998,"&lt;&gt;稚鱼",数据!$F$3:$F$998,A182,数据!$G$3:$G$998,B182))</f>
        <v/>
      </c>
      <c r="O182" s="39" t="str">
        <f>IF(AND(A182="",B182=""),"",COUNTIFS(数据!$E$3:$E$998,"&lt;&gt;鱼卵",数据!$E$3:$E$998,"&lt;&gt;死卵",数据!$F$3:$F$998,A182,数据!$G$3:$G$998,B182))</f>
        <v/>
      </c>
      <c r="P182" s="31"/>
      <c r="Q182">
        <f>SUMIFS(数据!$D$3:$D$998,数据!$E$3:$E$998,"鱼卵",数据!$F$3:$F$998,A182,数据!$G$3:$G$998,B182)</f>
        <v>0</v>
      </c>
      <c r="R182">
        <f>SUMIFS(数据!$D$3:$D$998,数据!$E$3:$E$998,"死卵",数据!$F$3:$F$998,A182,数据!$G$3:$G$998,B182)</f>
        <v>0</v>
      </c>
      <c r="S182">
        <f>SUMIFS(数据!$D$3:$D$998,数据!$E$3:$E$998,"前期仔鱼",数据!$F$3:$F$998,A182,数据!$G$3:$G$998,B182)</f>
        <v>0</v>
      </c>
      <c r="T182">
        <f>SUMIFS(数据!$D$3:$D$998,数据!$E$3:$E$998,"仔鱼",数据!$F$3:$F$998,A182,数据!$G$3:$G$998,B182)</f>
        <v>0</v>
      </c>
      <c r="U182">
        <f>SUMIFS(数据!$D$3:$D$998,数据!$E$3:$E$998,"稚鱼",数据!$F$3:$F$998,A182,数据!$G$3:$G$998,B182)</f>
        <v>0</v>
      </c>
    </row>
    <row r="183" spans="1:21" ht="19.9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45" t="str">
        <f t="shared" si="4"/>
        <v/>
      </c>
      <c r="M183" s="45" t="str">
        <f t="shared" si="5"/>
        <v/>
      </c>
      <c r="N183" s="39" t="str">
        <f>IF(AND(A183="",B183=""),"",COUNTIFS(数据!$E$3:$E$998,"&lt;&gt;前期仔鱼",数据!$E$3:$E$998,"&lt;&gt;仔鱼",数据!$E$3:$E$998,"&lt;&gt;稚鱼",数据!$F$3:$F$998,A183,数据!$G$3:$G$998,B183))</f>
        <v/>
      </c>
      <c r="O183" s="39" t="str">
        <f>IF(AND(A183="",B183=""),"",COUNTIFS(数据!$E$3:$E$998,"&lt;&gt;鱼卵",数据!$E$3:$E$998,"&lt;&gt;死卵",数据!$F$3:$F$998,A183,数据!$G$3:$G$998,B183))</f>
        <v/>
      </c>
      <c r="P183" s="31"/>
      <c r="Q183">
        <f>SUMIFS(数据!$D$3:$D$998,数据!$E$3:$E$998,"鱼卵",数据!$F$3:$F$998,A183,数据!$G$3:$G$998,B183)</f>
        <v>0</v>
      </c>
      <c r="R183">
        <f>SUMIFS(数据!$D$3:$D$998,数据!$E$3:$E$998,"死卵",数据!$F$3:$F$998,A183,数据!$G$3:$G$998,B183)</f>
        <v>0</v>
      </c>
      <c r="S183">
        <f>SUMIFS(数据!$D$3:$D$998,数据!$E$3:$E$998,"前期仔鱼",数据!$F$3:$F$998,A183,数据!$G$3:$G$998,B183)</f>
        <v>0</v>
      </c>
      <c r="T183">
        <f>SUMIFS(数据!$D$3:$D$998,数据!$E$3:$E$998,"仔鱼",数据!$F$3:$F$998,A183,数据!$G$3:$G$998,B183)</f>
        <v>0</v>
      </c>
      <c r="U183">
        <f>SUMIFS(数据!$D$3:$D$998,数据!$E$3:$E$998,"稚鱼",数据!$F$3:$F$998,A183,数据!$G$3:$G$998,B183)</f>
        <v>0</v>
      </c>
    </row>
    <row r="184" spans="1:21" ht="19.9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45" t="str">
        <f t="shared" si="4"/>
        <v/>
      </c>
      <c r="M184" s="45" t="str">
        <f t="shared" si="5"/>
        <v/>
      </c>
      <c r="N184" s="39" t="str">
        <f>IF(AND(A184="",B184=""),"",COUNTIFS(数据!$E$3:$E$998,"&lt;&gt;前期仔鱼",数据!$E$3:$E$998,"&lt;&gt;仔鱼",数据!$E$3:$E$998,"&lt;&gt;稚鱼",数据!$F$3:$F$998,A184,数据!$G$3:$G$998,B184))</f>
        <v/>
      </c>
      <c r="O184" s="39" t="str">
        <f>IF(AND(A184="",B184=""),"",COUNTIFS(数据!$E$3:$E$998,"&lt;&gt;鱼卵",数据!$E$3:$E$998,"&lt;&gt;死卵",数据!$F$3:$F$998,A184,数据!$G$3:$G$998,B184))</f>
        <v/>
      </c>
      <c r="P184" s="31"/>
      <c r="Q184">
        <f>SUMIFS(数据!$D$3:$D$998,数据!$E$3:$E$998,"鱼卵",数据!$F$3:$F$998,A184,数据!$G$3:$G$998,B184)</f>
        <v>0</v>
      </c>
      <c r="R184">
        <f>SUMIFS(数据!$D$3:$D$998,数据!$E$3:$E$998,"死卵",数据!$F$3:$F$998,A184,数据!$G$3:$G$998,B184)</f>
        <v>0</v>
      </c>
      <c r="S184">
        <f>SUMIFS(数据!$D$3:$D$998,数据!$E$3:$E$998,"前期仔鱼",数据!$F$3:$F$998,A184,数据!$G$3:$G$998,B184)</f>
        <v>0</v>
      </c>
      <c r="T184">
        <f>SUMIFS(数据!$D$3:$D$998,数据!$E$3:$E$998,"仔鱼",数据!$F$3:$F$998,A184,数据!$G$3:$G$998,B184)</f>
        <v>0</v>
      </c>
      <c r="U184">
        <f>SUMIFS(数据!$D$3:$D$998,数据!$E$3:$E$998,"稚鱼",数据!$F$3:$F$998,A184,数据!$G$3:$G$998,B184)</f>
        <v>0</v>
      </c>
    </row>
    <row r="185" spans="1:21" ht="19.9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45" t="str">
        <f t="shared" si="4"/>
        <v/>
      </c>
      <c r="M185" s="45" t="str">
        <f t="shared" si="5"/>
        <v/>
      </c>
      <c r="N185" s="39" t="str">
        <f>IF(AND(A185="",B185=""),"",COUNTIFS(数据!$E$3:$E$998,"&lt;&gt;前期仔鱼",数据!$E$3:$E$998,"&lt;&gt;仔鱼",数据!$E$3:$E$998,"&lt;&gt;稚鱼",数据!$F$3:$F$998,A185,数据!$G$3:$G$998,B185))</f>
        <v/>
      </c>
      <c r="O185" s="39" t="str">
        <f>IF(AND(A185="",B185=""),"",COUNTIFS(数据!$E$3:$E$998,"&lt;&gt;鱼卵",数据!$E$3:$E$998,"&lt;&gt;死卵",数据!$F$3:$F$998,A185,数据!$G$3:$G$998,B185))</f>
        <v/>
      </c>
      <c r="P185" s="31"/>
      <c r="Q185">
        <f>SUMIFS(数据!$D$3:$D$998,数据!$E$3:$E$998,"鱼卵",数据!$F$3:$F$998,A185,数据!$G$3:$G$998,B185)</f>
        <v>0</v>
      </c>
      <c r="R185">
        <f>SUMIFS(数据!$D$3:$D$998,数据!$E$3:$E$998,"死卵",数据!$F$3:$F$998,A185,数据!$G$3:$G$998,B185)</f>
        <v>0</v>
      </c>
      <c r="S185">
        <f>SUMIFS(数据!$D$3:$D$998,数据!$E$3:$E$998,"前期仔鱼",数据!$F$3:$F$998,A185,数据!$G$3:$G$998,B185)</f>
        <v>0</v>
      </c>
      <c r="T185">
        <f>SUMIFS(数据!$D$3:$D$998,数据!$E$3:$E$998,"仔鱼",数据!$F$3:$F$998,A185,数据!$G$3:$G$998,B185)</f>
        <v>0</v>
      </c>
      <c r="U185">
        <f>SUMIFS(数据!$D$3:$D$998,数据!$E$3:$E$998,"稚鱼",数据!$F$3:$F$998,A185,数据!$G$3:$G$998,B185)</f>
        <v>0</v>
      </c>
    </row>
    <row r="186" spans="1:21" ht="19.9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45" t="str">
        <f t="shared" si="4"/>
        <v/>
      </c>
      <c r="M186" s="45" t="str">
        <f t="shared" si="5"/>
        <v/>
      </c>
      <c r="N186" s="39" t="str">
        <f>IF(AND(A186="",B186=""),"",COUNTIFS(数据!$E$3:$E$998,"&lt;&gt;前期仔鱼",数据!$E$3:$E$998,"&lt;&gt;仔鱼",数据!$E$3:$E$998,"&lt;&gt;稚鱼",数据!$F$3:$F$998,A186,数据!$G$3:$G$998,B186))</f>
        <v/>
      </c>
      <c r="O186" s="39" t="str">
        <f>IF(AND(A186="",B186=""),"",COUNTIFS(数据!$E$3:$E$998,"&lt;&gt;鱼卵",数据!$E$3:$E$998,"&lt;&gt;死卵",数据!$F$3:$F$998,A186,数据!$G$3:$G$998,B186))</f>
        <v/>
      </c>
      <c r="P186" s="31"/>
      <c r="Q186">
        <f>SUMIFS(数据!$D$3:$D$998,数据!$E$3:$E$998,"鱼卵",数据!$F$3:$F$998,A186,数据!$G$3:$G$998,B186)</f>
        <v>0</v>
      </c>
      <c r="R186">
        <f>SUMIFS(数据!$D$3:$D$998,数据!$E$3:$E$998,"死卵",数据!$F$3:$F$998,A186,数据!$G$3:$G$998,B186)</f>
        <v>0</v>
      </c>
      <c r="S186">
        <f>SUMIFS(数据!$D$3:$D$998,数据!$E$3:$E$998,"前期仔鱼",数据!$F$3:$F$998,A186,数据!$G$3:$G$998,B186)</f>
        <v>0</v>
      </c>
      <c r="T186">
        <f>SUMIFS(数据!$D$3:$D$998,数据!$E$3:$E$998,"仔鱼",数据!$F$3:$F$998,A186,数据!$G$3:$G$998,B186)</f>
        <v>0</v>
      </c>
      <c r="U186">
        <f>SUMIFS(数据!$D$3:$D$998,数据!$E$3:$E$998,"稚鱼",数据!$F$3:$F$998,A186,数据!$G$3:$G$998,B186)</f>
        <v>0</v>
      </c>
    </row>
    <row r="187" spans="1:21" ht="19.9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45" t="str">
        <f t="shared" si="4"/>
        <v/>
      </c>
      <c r="M187" s="45" t="str">
        <f t="shared" si="5"/>
        <v/>
      </c>
      <c r="N187" s="39" t="str">
        <f>IF(AND(A187="",B187=""),"",COUNTIFS(数据!$E$3:$E$998,"&lt;&gt;前期仔鱼",数据!$E$3:$E$998,"&lt;&gt;仔鱼",数据!$E$3:$E$998,"&lt;&gt;稚鱼",数据!$F$3:$F$998,A187,数据!$G$3:$G$998,B187))</f>
        <v/>
      </c>
      <c r="O187" s="39" t="str">
        <f>IF(AND(A187="",B187=""),"",COUNTIFS(数据!$E$3:$E$998,"&lt;&gt;鱼卵",数据!$E$3:$E$998,"&lt;&gt;死卵",数据!$F$3:$F$998,A187,数据!$G$3:$G$998,B187))</f>
        <v/>
      </c>
      <c r="P187" s="31"/>
      <c r="Q187">
        <f>SUMIFS(数据!$D$3:$D$998,数据!$E$3:$E$998,"鱼卵",数据!$F$3:$F$998,A187,数据!$G$3:$G$998,B187)</f>
        <v>0</v>
      </c>
      <c r="R187">
        <f>SUMIFS(数据!$D$3:$D$998,数据!$E$3:$E$998,"死卵",数据!$F$3:$F$998,A187,数据!$G$3:$G$998,B187)</f>
        <v>0</v>
      </c>
      <c r="S187">
        <f>SUMIFS(数据!$D$3:$D$998,数据!$E$3:$E$998,"前期仔鱼",数据!$F$3:$F$998,A187,数据!$G$3:$G$998,B187)</f>
        <v>0</v>
      </c>
      <c r="T187">
        <f>SUMIFS(数据!$D$3:$D$998,数据!$E$3:$E$998,"仔鱼",数据!$F$3:$F$998,A187,数据!$G$3:$G$998,B187)</f>
        <v>0</v>
      </c>
      <c r="U187">
        <f>SUMIFS(数据!$D$3:$D$998,数据!$E$3:$E$998,"稚鱼",数据!$F$3:$F$998,A187,数据!$G$3:$G$998,B187)</f>
        <v>0</v>
      </c>
    </row>
    <row r="188" spans="1:21" ht="19.9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45" t="str">
        <f t="shared" si="4"/>
        <v/>
      </c>
      <c r="M188" s="45" t="str">
        <f t="shared" si="5"/>
        <v/>
      </c>
      <c r="N188" s="39" t="str">
        <f>IF(AND(A188="",B188=""),"",COUNTIFS(数据!$E$3:$E$998,"&lt;&gt;前期仔鱼",数据!$E$3:$E$998,"&lt;&gt;仔鱼",数据!$E$3:$E$998,"&lt;&gt;稚鱼",数据!$F$3:$F$998,A188,数据!$G$3:$G$998,B188))</f>
        <v/>
      </c>
      <c r="O188" s="39" t="str">
        <f>IF(AND(A188="",B188=""),"",COUNTIFS(数据!$E$3:$E$998,"&lt;&gt;鱼卵",数据!$E$3:$E$998,"&lt;&gt;死卵",数据!$F$3:$F$998,A188,数据!$G$3:$G$998,B188))</f>
        <v/>
      </c>
      <c r="P188" s="31"/>
      <c r="Q188">
        <f>SUMIFS(数据!$D$3:$D$998,数据!$E$3:$E$998,"鱼卵",数据!$F$3:$F$998,A188,数据!$G$3:$G$998,B188)</f>
        <v>0</v>
      </c>
      <c r="R188">
        <f>SUMIFS(数据!$D$3:$D$998,数据!$E$3:$E$998,"死卵",数据!$F$3:$F$998,A188,数据!$G$3:$G$998,B188)</f>
        <v>0</v>
      </c>
      <c r="S188">
        <f>SUMIFS(数据!$D$3:$D$998,数据!$E$3:$E$998,"前期仔鱼",数据!$F$3:$F$998,A188,数据!$G$3:$G$998,B188)</f>
        <v>0</v>
      </c>
      <c r="T188">
        <f>SUMIFS(数据!$D$3:$D$998,数据!$E$3:$E$998,"仔鱼",数据!$F$3:$F$998,A188,数据!$G$3:$G$998,B188)</f>
        <v>0</v>
      </c>
      <c r="U188">
        <f>SUMIFS(数据!$D$3:$D$998,数据!$E$3:$E$998,"稚鱼",数据!$F$3:$F$998,A188,数据!$G$3:$G$998,B188)</f>
        <v>0</v>
      </c>
    </row>
    <row r="189" spans="1:21" ht="19.9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45" t="str">
        <f t="shared" si="4"/>
        <v/>
      </c>
      <c r="M189" s="45" t="str">
        <f t="shared" si="5"/>
        <v/>
      </c>
      <c r="N189" s="39" t="str">
        <f>IF(AND(A189="",B189=""),"",COUNTIFS(数据!$E$3:$E$998,"&lt;&gt;前期仔鱼",数据!$E$3:$E$998,"&lt;&gt;仔鱼",数据!$E$3:$E$998,"&lt;&gt;稚鱼",数据!$F$3:$F$998,A189,数据!$G$3:$G$998,B189))</f>
        <v/>
      </c>
      <c r="O189" s="39" t="str">
        <f>IF(AND(A189="",B189=""),"",COUNTIFS(数据!$E$3:$E$998,"&lt;&gt;鱼卵",数据!$E$3:$E$998,"&lt;&gt;死卵",数据!$F$3:$F$998,A189,数据!$G$3:$G$998,B189))</f>
        <v/>
      </c>
      <c r="P189" s="31"/>
      <c r="Q189">
        <f>SUMIFS(数据!$D$3:$D$998,数据!$E$3:$E$998,"鱼卵",数据!$F$3:$F$998,A189,数据!$G$3:$G$998,B189)</f>
        <v>0</v>
      </c>
      <c r="R189">
        <f>SUMIFS(数据!$D$3:$D$998,数据!$E$3:$E$998,"死卵",数据!$F$3:$F$998,A189,数据!$G$3:$G$998,B189)</f>
        <v>0</v>
      </c>
      <c r="S189">
        <f>SUMIFS(数据!$D$3:$D$998,数据!$E$3:$E$998,"前期仔鱼",数据!$F$3:$F$998,A189,数据!$G$3:$G$998,B189)</f>
        <v>0</v>
      </c>
      <c r="T189">
        <f>SUMIFS(数据!$D$3:$D$998,数据!$E$3:$E$998,"仔鱼",数据!$F$3:$F$998,A189,数据!$G$3:$G$998,B189)</f>
        <v>0</v>
      </c>
      <c r="U189">
        <f>SUMIFS(数据!$D$3:$D$998,数据!$E$3:$E$998,"稚鱼",数据!$F$3:$F$998,A189,数据!$G$3:$G$998,B189)</f>
        <v>0</v>
      </c>
    </row>
    <row r="190" spans="1:21" ht="19.9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45" t="str">
        <f t="shared" si="4"/>
        <v/>
      </c>
      <c r="M190" s="45" t="str">
        <f t="shared" si="5"/>
        <v/>
      </c>
      <c r="N190" s="39" t="str">
        <f>IF(AND(A190="",B190=""),"",COUNTIFS(数据!$E$3:$E$998,"&lt;&gt;前期仔鱼",数据!$E$3:$E$998,"&lt;&gt;仔鱼",数据!$E$3:$E$998,"&lt;&gt;稚鱼",数据!$F$3:$F$998,A190,数据!$G$3:$G$998,B190))</f>
        <v/>
      </c>
      <c r="O190" s="39" t="str">
        <f>IF(AND(A190="",B190=""),"",COUNTIFS(数据!$E$3:$E$998,"&lt;&gt;鱼卵",数据!$E$3:$E$998,"&lt;&gt;死卵",数据!$F$3:$F$998,A190,数据!$G$3:$G$998,B190))</f>
        <v/>
      </c>
      <c r="P190" s="31"/>
      <c r="Q190">
        <f>SUMIFS(数据!$D$3:$D$998,数据!$E$3:$E$998,"鱼卵",数据!$F$3:$F$998,A190,数据!$G$3:$G$998,B190)</f>
        <v>0</v>
      </c>
      <c r="R190">
        <f>SUMIFS(数据!$D$3:$D$998,数据!$E$3:$E$998,"死卵",数据!$F$3:$F$998,A190,数据!$G$3:$G$998,B190)</f>
        <v>0</v>
      </c>
      <c r="S190">
        <f>SUMIFS(数据!$D$3:$D$998,数据!$E$3:$E$998,"前期仔鱼",数据!$F$3:$F$998,A190,数据!$G$3:$G$998,B190)</f>
        <v>0</v>
      </c>
      <c r="T190">
        <f>SUMIFS(数据!$D$3:$D$998,数据!$E$3:$E$998,"仔鱼",数据!$F$3:$F$998,A190,数据!$G$3:$G$998,B190)</f>
        <v>0</v>
      </c>
      <c r="U190">
        <f>SUMIFS(数据!$D$3:$D$998,数据!$E$3:$E$998,"稚鱼",数据!$F$3:$F$998,A190,数据!$G$3:$G$998,B190)</f>
        <v>0</v>
      </c>
    </row>
    <row r="191" spans="1:21" ht="19.9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45" t="str">
        <f t="shared" si="4"/>
        <v/>
      </c>
      <c r="M191" s="45" t="str">
        <f t="shared" si="5"/>
        <v/>
      </c>
      <c r="N191" s="39" t="str">
        <f>IF(AND(A191="",B191=""),"",COUNTIFS(数据!$E$3:$E$998,"&lt;&gt;前期仔鱼",数据!$E$3:$E$998,"&lt;&gt;仔鱼",数据!$E$3:$E$998,"&lt;&gt;稚鱼",数据!$F$3:$F$998,A191,数据!$G$3:$G$998,B191))</f>
        <v/>
      </c>
      <c r="O191" s="39" t="str">
        <f>IF(AND(A191="",B191=""),"",COUNTIFS(数据!$E$3:$E$998,"&lt;&gt;鱼卵",数据!$E$3:$E$998,"&lt;&gt;死卵",数据!$F$3:$F$998,A191,数据!$G$3:$G$998,B191))</f>
        <v/>
      </c>
      <c r="P191" s="31"/>
      <c r="Q191">
        <f>SUMIFS(数据!$D$3:$D$998,数据!$E$3:$E$998,"鱼卵",数据!$F$3:$F$998,A191,数据!$G$3:$G$998,B191)</f>
        <v>0</v>
      </c>
      <c r="R191">
        <f>SUMIFS(数据!$D$3:$D$998,数据!$E$3:$E$998,"死卵",数据!$F$3:$F$998,A191,数据!$G$3:$G$998,B191)</f>
        <v>0</v>
      </c>
      <c r="S191">
        <f>SUMIFS(数据!$D$3:$D$998,数据!$E$3:$E$998,"前期仔鱼",数据!$F$3:$F$998,A191,数据!$G$3:$G$998,B191)</f>
        <v>0</v>
      </c>
      <c r="T191">
        <f>SUMIFS(数据!$D$3:$D$998,数据!$E$3:$E$998,"仔鱼",数据!$F$3:$F$998,A191,数据!$G$3:$G$998,B191)</f>
        <v>0</v>
      </c>
      <c r="U191">
        <f>SUMIFS(数据!$D$3:$D$998,数据!$E$3:$E$998,"稚鱼",数据!$F$3:$F$998,A191,数据!$G$3:$G$998,B191)</f>
        <v>0</v>
      </c>
    </row>
    <row r="192" spans="1:21" ht="19.9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45" t="str">
        <f t="shared" si="4"/>
        <v/>
      </c>
      <c r="M192" s="45" t="str">
        <f t="shared" si="5"/>
        <v/>
      </c>
      <c r="N192" s="39" t="str">
        <f>IF(AND(A192="",B192=""),"",COUNTIFS(数据!$E$3:$E$998,"&lt;&gt;前期仔鱼",数据!$E$3:$E$998,"&lt;&gt;仔鱼",数据!$E$3:$E$998,"&lt;&gt;稚鱼",数据!$F$3:$F$998,A192,数据!$G$3:$G$998,B192))</f>
        <v/>
      </c>
      <c r="O192" s="39" t="str">
        <f>IF(AND(A192="",B192=""),"",COUNTIFS(数据!$E$3:$E$998,"&lt;&gt;鱼卵",数据!$E$3:$E$998,"&lt;&gt;死卵",数据!$F$3:$F$998,A192,数据!$G$3:$G$998,B192))</f>
        <v/>
      </c>
      <c r="P192" s="31"/>
      <c r="Q192">
        <f>SUMIFS(数据!$D$3:$D$998,数据!$E$3:$E$998,"鱼卵",数据!$F$3:$F$998,A192,数据!$G$3:$G$998,B192)</f>
        <v>0</v>
      </c>
      <c r="R192">
        <f>SUMIFS(数据!$D$3:$D$998,数据!$E$3:$E$998,"死卵",数据!$F$3:$F$998,A192,数据!$G$3:$G$998,B192)</f>
        <v>0</v>
      </c>
      <c r="S192">
        <f>SUMIFS(数据!$D$3:$D$998,数据!$E$3:$E$998,"前期仔鱼",数据!$F$3:$F$998,A192,数据!$G$3:$G$998,B192)</f>
        <v>0</v>
      </c>
      <c r="T192">
        <f>SUMIFS(数据!$D$3:$D$998,数据!$E$3:$E$998,"仔鱼",数据!$F$3:$F$998,A192,数据!$G$3:$G$998,B192)</f>
        <v>0</v>
      </c>
      <c r="U192">
        <f>SUMIFS(数据!$D$3:$D$998,数据!$E$3:$E$998,"稚鱼",数据!$F$3:$F$998,A192,数据!$G$3:$G$998,B192)</f>
        <v>0</v>
      </c>
    </row>
    <row r="193" spans="1:21" ht="19.9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45" t="str">
        <f t="shared" si="4"/>
        <v/>
      </c>
      <c r="M193" s="45" t="str">
        <f t="shared" si="5"/>
        <v/>
      </c>
      <c r="N193" s="39" t="str">
        <f>IF(AND(A193="",B193=""),"",COUNTIFS(数据!$E$3:$E$998,"&lt;&gt;前期仔鱼",数据!$E$3:$E$998,"&lt;&gt;仔鱼",数据!$E$3:$E$998,"&lt;&gt;稚鱼",数据!$F$3:$F$998,A193,数据!$G$3:$G$998,B193))</f>
        <v/>
      </c>
      <c r="O193" s="39" t="str">
        <f>IF(AND(A193="",B193=""),"",COUNTIFS(数据!$E$3:$E$998,"&lt;&gt;鱼卵",数据!$E$3:$E$998,"&lt;&gt;死卵",数据!$F$3:$F$998,A193,数据!$G$3:$G$998,B193))</f>
        <v/>
      </c>
      <c r="P193" s="31"/>
      <c r="Q193">
        <f>SUMIFS(数据!$D$3:$D$998,数据!$E$3:$E$998,"鱼卵",数据!$F$3:$F$998,A193,数据!$G$3:$G$998,B193)</f>
        <v>0</v>
      </c>
      <c r="R193">
        <f>SUMIFS(数据!$D$3:$D$998,数据!$E$3:$E$998,"死卵",数据!$F$3:$F$998,A193,数据!$G$3:$G$998,B193)</f>
        <v>0</v>
      </c>
      <c r="S193">
        <f>SUMIFS(数据!$D$3:$D$998,数据!$E$3:$E$998,"前期仔鱼",数据!$F$3:$F$998,A193,数据!$G$3:$G$998,B193)</f>
        <v>0</v>
      </c>
      <c r="T193">
        <f>SUMIFS(数据!$D$3:$D$998,数据!$E$3:$E$998,"仔鱼",数据!$F$3:$F$998,A193,数据!$G$3:$G$998,B193)</f>
        <v>0</v>
      </c>
      <c r="U193">
        <f>SUMIFS(数据!$D$3:$D$998,数据!$E$3:$E$998,"稚鱼",数据!$F$3:$F$998,A193,数据!$G$3:$G$998,B193)</f>
        <v>0</v>
      </c>
    </row>
    <row r="194" spans="1:21" ht="19.9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45" t="str">
        <f t="shared" si="4"/>
        <v/>
      </c>
      <c r="M194" s="45" t="str">
        <f t="shared" si="5"/>
        <v/>
      </c>
      <c r="N194" s="39" t="str">
        <f>IF(AND(A194="",B194=""),"",COUNTIFS(数据!$E$3:$E$998,"&lt;&gt;前期仔鱼",数据!$E$3:$E$998,"&lt;&gt;仔鱼",数据!$E$3:$E$998,"&lt;&gt;稚鱼",数据!$F$3:$F$998,A194,数据!$G$3:$G$998,B194))</f>
        <v/>
      </c>
      <c r="O194" s="39" t="str">
        <f>IF(AND(A194="",B194=""),"",COUNTIFS(数据!$E$3:$E$998,"&lt;&gt;鱼卵",数据!$E$3:$E$998,"&lt;&gt;死卵",数据!$F$3:$F$998,A194,数据!$G$3:$G$998,B194))</f>
        <v/>
      </c>
      <c r="P194" s="31"/>
      <c r="Q194">
        <f>SUMIFS(数据!$D$3:$D$998,数据!$E$3:$E$998,"鱼卵",数据!$F$3:$F$998,A194,数据!$G$3:$G$998,B194)</f>
        <v>0</v>
      </c>
      <c r="R194">
        <f>SUMIFS(数据!$D$3:$D$998,数据!$E$3:$E$998,"死卵",数据!$F$3:$F$998,A194,数据!$G$3:$G$998,B194)</f>
        <v>0</v>
      </c>
      <c r="S194">
        <f>SUMIFS(数据!$D$3:$D$998,数据!$E$3:$E$998,"前期仔鱼",数据!$F$3:$F$998,A194,数据!$G$3:$G$998,B194)</f>
        <v>0</v>
      </c>
      <c r="T194">
        <f>SUMIFS(数据!$D$3:$D$998,数据!$E$3:$E$998,"仔鱼",数据!$F$3:$F$998,A194,数据!$G$3:$G$998,B194)</f>
        <v>0</v>
      </c>
      <c r="U194">
        <f>SUMIFS(数据!$D$3:$D$998,数据!$E$3:$E$998,"稚鱼",数据!$F$3:$F$998,A194,数据!$G$3:$G$998,B194)</f>
        <v>0</v>
      </c>
    </row>
    <row r="195" spans="1:21" ht="19.9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45" t="str">
        <f t="shared" si="4"/>
        <v/>
      </c>
      <c r="M195" s="45" t="str">
        <f t="shared" si="5"/>
        <v/>
      </c>
      <c r="N195" s="39" t="str">
        <f>IF(AND(A195="",B195=""),"",COUNTIFS(数据!$E$3:$E$998,"&lt;&gt;前期仔鱼",数据!$E$3:$E$998,"&lt;&gt;仔鱼",数据!$E$3:$E$998,"&lt;&gt;稚鱼",数据!$F$3:$F$998,A195,数据!$G$3:$G$998,B195))</f>
        <v/>
      </c>
      <c r="O195" s="39" t="str">
        <f>IF(AND(A195="",B195=""),"",COUNTIFS(数据!$E$3:$E$998,"&lt;&gt;鱼卵",数据!$E$3:$E$998,"&lt;&gt;死卵",数据!$F$3:$F$998,A195,数据!$G$3:$G$998,B195))</f>
        <v/>
      </c>
      <c r="P195" s="31"/>
      <c r="Q195">
        <f>SUMIFS(数据!$D$3:$D$998,数据!$E$3:$E$998,"鱼卵",数据!$F$3:$F$998,A195,数据!$G$3:$G$998,B195)</f>
        <v>0</v>
      </c>
      <c r="R195">
        <f>SUMIFS(数据!$D$3:$D$998,数据!$E$3:$E$998,"死卵",数据!$F$3:$F$998,A195,数据!$G$3:$G$998,B195)</f>
        <v>0</v>
      </c>
      <c r="S195">
        <f>SUMIFS(数据!$D$3:$D$998,数据!$E$3:$E$998,"前期仔鱼",数据!$F$3:$F$998,A195,数据!$G$3:$G$998,B195)</f>
        <v>0</v>
      </c>
      <c r="T195">
        <f>SUMIFS(数据!$D$3:$D$998,数据!$E$3:$E$998,"仔鱼",数据!$F$3:$F$998,A195,数据!$G$3:$G$998,B195)</f>
        <v>0</v>
      </c>
      <c r="U195">
        <f>SUMIFS(数据!$D$3:$D$998,数据!$E$3:$E$998,"稚鱼",数据!$F$3:$F$998,A195,数据!$G$3:$G$998,B195)</f>
        <v>0</v>
      </c>
    </row>
    <row r="196" spans="1:21" ht="19.9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45" t="str">
        <f t="shared" si="6" ref="L196:L259">IF(OR(Q196&amp;R196="",A196&amp;B196=""),"",Q196+R196)</f>
        <v/>
      </c>
      <c r="M196" s="45" t="str">
        <f t="shared" si="7" ref="M196:M259">IF(OR(A196&amp;B196="",S196&amp;T196&amp;U196=""),"",S196+T196+U196)</f>
        <v/>
      </c>
      <c r="N196" s="39" t="str">
        <f>IF(AND(A196="",B196=""),"",COUNTIFS(数据!$E$3:$E$998,"&lt;&gt;前期仔鱼",数据!$E$3:$E$998,"&lt;&gt;仔鱼",数据!$E$3:$E$998,"&lt;&gt;稚鱼",数据!$F$3:$F$998,A196,数据!$G$3:$G$998,B196))</f>
        <v/>
      </c>
      <c r="O196" s="39" t="str">
        <f>IF(AND(A196="",B196=""),"",COUNTIFS(数据!$E$3:$E$998,"&lt;&gt;鱼卵",数据!$E$3:$E$998,"&lt;&gt;死卵",数据!$F$3:$F$998,A196,数据!$G$3:$G$998,B196))</f>
        <v/>
      </c>
      <c r="P196" s="31"/>
      <c r="Q196">
        <f>SUMIFS(数据!$D$3:$D$998,数据!$E$3:$E$998,"鱼卵",数据!$F$3:$F$998,A196,数据!$G$3:$G$998,B196)</f>
        <v>0</v>
      </c>
      <c r="R196">
        <f>SUMIFS(数据!$D$3:$D$998,数据!$E$3:$E$998,"死卵",数据!$F$3:$F$998,A196,数据!$G$3:$G$998,B196)</f>
        <v>0</v>
      </c>
      <c r="S196">
        <f>SUMIFS(数据!$D$3:$D$998,数据!$E$3:$E$998,"前期仔鱼",数据!$F$3:$F$998,A196,数据!$G$3:$G$998,B196)</f>
        <v>0</v>
      </c>
      <c r="T196">
        <f>SUMIFS(数据!$D$3:$D$998,数据!$E$3:$E$998,"仔鱼",数据!$F$3:$F$998,A196,数据!$G$3:$G$998,B196)</f>
        <v>0</v>
      </c>
      <c r="U196">
        <f>SUMIFS(数据!$D$3:$D$998,数据!$E$3:$E$998,"稚鱼",数据!$F$3:$F$998,A196,数据!$G$3:$G$998,B196)</f>
        <v>0</v>
      </c>
    </row>
    <row r="197" spans="1:21" ht="19.9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45" t="str">
        <f t="shared" si="6"/>
        <v/>
      </c>
      <c r="M197" s="45" t="str">
        <f t="shared" si="7"/>
        <v/>
      </c>
      <c r="N197" s="39" t="str">
        <f>IF(AND(A197="",B197=""),"",COUNTIFS(数据!$E$3:$E$998,"&lt;&gt;前期仔鱼",数据!$E$3:$E$998,"&lt;&gt;仔鱼",数据!$E$3:$E$998,"&lt;&gt;稚鱼",数据!$F$3:$F$998,A197,数据!$G$3:$G$998,B197))</f>
        <v/>
      </c>
      <c r="O197" s="39" t="str">
        <f>IF(AND(A197="",B197=""),"",COUNTIFS(数据!$E$3:$E$998,"&lt;&gt;鱼卵",数据!$E$3:$E$998,"&lt;&gt;死卵",数据!$F$3:$F$998,A197,数据!$G$3:$G$998,B197))</f>
        <v/>
      </c>
      <c r="P197" s="31"/>
      <c r="Q197">
        <f>SUMIFS(数据!$D$3:$D$998,数据!$E$3:$E$998,"鱼卵",数据!$F$3:$F$998,A197,数据!$G$3:$G$998,B197)</f>
        <v>0</v>
      </c>
      <c r="R197">
        <f>SUMIFS(数据!$D$3:$D$998,数据!$E$3:$E$998,"死卵",数据!$F$3:$F$998,A197,数据!$G$3:$G$998,B197)</f>
        <v>0</v>
      </c>
      <c r="S197">
        <f>SUMIFS(数据!$D$3:$D$998,数据!$E$3:$E$998,"前期仔鱼",数据!$F$3:$F$998,A197,数据!$G$3:$G$998,B197)</f>
        <v>0</v>
      </c>
      <c r="T197">
        <f>SUMIFS(数据!$D$3:$D$998,数据!$E$3:$E$998,"仔鱼",数据!$F$3:$F$998,A197,数据!$G$3:$G$998,B197)</f>
        <v>0</v>
      </c>
      <c r="U197">
        <f>SUMIFS(数据!$D$3:$D$998,数据!$E$3:$E$998,"稚鱼",数据!$F$3:$F$998,A197,数据!$G$3:$G$998,B197)</f>
        <v>0</v>
      </c>
    </row>
    <row r="198" spans="1:21" ht="19.9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45" t="str">
        <f t="shared" si="6"/>
        <v/>
      </c>
      <c r="M198" s="45" t="str">
        <f t="shared" si="7"/>
        <v/>
      </c>
      <c r="N198" s="39" t="str">
        <f>IF(AND(A198="",B198=""),"",COUNTIFS(数据!$E$3:$E$998,"&lt;&gt;前期仔鱼",数据!$E$3:$E$998,"&lt;&gt;仔鱼",数据!$E$3:$E$998,"&lt;&gt;稚鱼",数据!$F$3:$F$998,A198,数据!$G$3:$G$998,B198))</f>
        <v/>
      </c>
      <c r="O198" s="39" t="str">
        <f>IF(AND(A198="",B198=""),"",COUNTIFS(数据!$E$3:$E$998,"&lt;&gt;鱼卵",数据!$E$3:$E$998,"&lt;&gt;死卵",数据!$F$3:$F$998,A198,数据!$G$3:$G$998,B198))</f>
        <v/>
      </c>
      <c r="P198" s="31"/>
      <c r="Q198">
        <f>SUMIFS(数据!$D$3:$D$998,数据!$E$3:$E$998,"鱼卵",数据!$F$3:$F$998,A198,数据!$G$3:$G$998,B198)</f>
        <v>0</v>
      </c>
      <c r="R198">
        <f>SUMIFS(数据!$D$3:$D$998,数据!$E$3:$E$998,"死卵",数据!$F$3:$F$998,A198,数据!$G$3:$G$998,B198)</f>
        <v>0</v>
      </c>
      <c r="S198">
        <f>SUMIFS(数据!$D$3:$D$998,数据!$E$3:$E$998,"前期仔鱼",数据!$F$3:$F$998,A198,数据!$G$3:$G$998,B198)</f>
        <v>0</v>
      </c>
      <c r="T198">
        <f>SUMIFS(数据!$D$3:$D$998,数据!$E$3:$E$998,"仔鱼",数据!$F$3:$F$998,A198,数据!$G$3:$G$998,B198)</f>
        <v>0</v>
      </c>
      <c r="U198">
        <f>SUMIFS(数据!$D$3:$D$998,数据!$E$3:$E$998,"稚鱼",数据!$F$3:$F$998,A198,数据!$G$3:$G$998,B198)</f>
        <v>0</v>
      </c>
    </row>
    <row r="199" spans="1:21" ht="19.9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45" t="str">
        <f t="shared" si="6"/>
        <v/>
      </c>
      <c r="M199" s="45" t="str">
        <f t="shared" si="7"/>
        <v/>
      </c>
      <c r="N199" s="39" t="str">
        <f>IF(AND(A199="",B199=""),"",COUNTIFS(数据!$E$3:$E$998,"&lt;&gt;前期仔鱼",数据!$E$3:$E$998,"&lt;&gt;仔鱼",数据!$E$3:$E$998,"&lt;&gt;稚鱼",数据!$F$3:$F$998,A199,数据!$G$3:$G$998,B199))</f>
        <v/>
      </c>
      <c r="O199" s="39" t="str">
        <f>IF(AND(A199="",B199=""),"",COUNTIFS(数据!$E$3:$E$998,"&lt;&gt;鱼卵",数据!$E$3:$E$998,"&lt;&gt;死卵",数据!$F$3:$F$998,A199,数据!$G$3:$G$998,B199))</f>
        <v/>
      </c>
      <c r="P199" s="31"/>
      <c r="Q199">
        <f>SUMIFS(数据!$D$3:$D$998,数据!$E$3:$E$998,"鱼卵",数据!$F$3:$F$998,A199,数据!$G$3:$G$998,B199)</f>
        <v>0</v>
      </c>
      <c r="R199">
        <f>SUMIFS(数据!$D$3:$D$998,数据!$E$3:$E$998,"死卵",数据!$F$3:$F$998,A199,数据!$G$3:$G$998,B199)</f>
        <v>0</v>
      </c>
      <c r="S199">
        <f>SUMIFS(数据!$D$3:$D$998,数据!$E$3:$E$998,"前期仔鱼",数据!$F$3:$F$998,A199,数据!$G$3:$G$998,B199)</f>
        <v>0</v>
      </c>
      <c r="T199">
        <f>SUMIFS(数据!$D$3:$D$998,数据!$E$3:$E$998,"仔鱼",数据!$F$3:$F$998,A199,数据!$G$3:$G$998,B199)</f>
        <v>0</v>
      </c>
      <c r="U199">
        <f>SUMIFS(数据!$D$3:$D$998,数据!$E$3:$E$998,"稚鱼",数据!$F$3:$F$998,A199,数据!$G$3:$G$998,B199)</f>
        <v>0</v>
      </c>
    </row>
    <row r="200" spans="1:21" ht="19.9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45" t="str">
        <f t="shared" si="6"/>
        <v/>
      </c>
      <c r="M200" s="45" t="str">
        <f t="shared" si="7"/>
        <v/>
      </c>
      <c r="N200" s="39" t="str">
        <f>IF(AND(A200="",B200=""),"",COUNTIFS(数据!$E$3:$E$998,"&lt;&gt;前期仔鱼",数据!$E$3:$E$998,"&lt;&gt;仔鱼",数据!$E$3:$E$998,"&lt;&gt;稚鱼",数据!$F$3:$F$998,A200,数据!$G$3:$G$998,B200))</f>
        <v/>
      </c>
      <c r="O200" s="39" t="str">
        <f>IF(AND(A200="",B200=""),"",COUNTIFS(数据!$E$3:$E$998,"&lt;&gt;鱼卵",数据!$E$3:$E$998,"&lt;&gt;死卵",数据!$F$3:$F$998,A200,数据!$G$3:$G$998,B200))</f>
        <v/>
      </c>
      <c r="P200" s="31"/>
      <c r="Q200">
        <f>SUMIFS(数据!$D$3:$D$998,数据!$E$3:$E$998,"鱼卵",数据!$F$3:$F$998,A200,数据!$G$3:$G$998,B200)</f>
        <v>0</v>
      </c>
      <c r="R200">
        <f>SUMIFS(数据!$D$3:$D$998,数据!$E$3:$E$998,"死卵",数据!$F$3:$F$998,A200,数据!$G$3:$G$998,B200)</f>
        <v>0</v>
      </c>
      <c r="S200">
        <f>SUMIFS(数据!$D$3:$D$998,数据!$E$3:$E$998,"前期仔鱼",数据!$F$3:$F$998,A200,数据!$G$3:$G$998,B200)</f>
        <v>0</v>
      </c>
      <c r="T200">
        <f>SUMIFS(数据!$D$3:$D$998,数据!$E$3:$E$998,"仔鱼",数据!$F$3:$F$998,A200,数据!$G$3:$G$998,B200)</f>
        <v>0</v>
      </c>
      <c r="U200">
        <f>SUMIFS(数据!$D$3:$D$998,数据!$E$3:$E$998,"稚鱼",数据!$F$3:$F$998,A200,数据!$G$3:$G$998,B200)</f>
        <v>0</v>
      </c>
    </row>
    <row r="201" spans="1:21" ht="19.9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45" t="str">
        <f t="shared" si="6"/>
        <v/>
      </c>
      <c r="M201" s="45" t="str">
        <f t="shared" si="7"/>
        <v/>
      </c>
      <c r="N201" s="39" t="str">
        <f>IF(AND(A201="",B201=""),"",COUNTIFS(数据!$E$3:$E$998,"&lt;&gt;前期仔鱼",数据!$E$3:$E$998,"&lt;&gt;仔鱼",数据!$E$3:$E$998,"&lt;&gt;稚鱼",数据!$F$3:$F$998,A201,数据!$G$3:$G$998,B201))</f>
        <v/>
      </c>
      <c r="O201" s="39" t="str">
        <f>IF(AND(A201="",B201=""),"",COUNTIFS(数据!$E$3:$E$998,"&lt;&gt;鱼卵",数据!$E$3:$E$998,"&lt;&gt;死卵",数据!$F$3:$F$998,A201,数据!$G$3:$G$998,B201))</f>
        <v/>
      </c>
      <c r="P201" s="31"/>
      <c r="Q201">
        <f>SUMIFS(数据!$D$3:$D$998,数据!$E$3:$E$998,"鱼卵",数据!$F$3:$F$998,A201,数据!$G$3:$G$998,B201)</f>
        <v>0</v>
      </c>
      <c r="R201">
        <f>SUMIFS(数据!$D$3:$D$998,数据!$E$3:$E$998,"死卵",数据!$F$3:$F$998,A201,数据!$G$3:$G$998,B201)</f>
        <v>0</v>
      </c>
      <c r="S201">
        <f>SUMIFS(数据!$D$3:$D$998,数据!$E$3:$E$998,"前期仔鱼",数据!$F$3:$F$998,A201,数据!$G$3:$G$998,B201)</f>
        <v>0</v>
      </c>
      <c r="T201">
        <f>SUMIFS(数据!$D$3:$D$998,数据!$E$3:$E$998,"仔鱼",数据!$F$3:$F$998,A201,数据!$G$3:$G$998,B201)</f>
        <v>0</v>
      </c>
      <c r="U201">
        <f>SUMIFS(数据!$D$3:$D$998,数据!$E$3:$E$998,"稚鱼",数据!$F$3:$F$998,A201,数据!$G$3:$G$998,B201)</f>
        <v>0</v>
      </c>
    </row>
    <row r="202" spans="1:21" ht="19.9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45" t="str">
        <f t="shared" si="6"/>
        <v/>
      </c>
      <c r="M202" s="45" t="str">
        <f t="shared" si="7"/>
        <v/>
      </c>
      <c r="N202" s="39" t="str">
        <f>IF(AND(A202="",B202=""),"",COUNTIFS(数据!$E$3:$E$998,"&lt;&gt;前期仔鱼",数据!$E$3:$E$998,"&lt;&gt;仔鱼",数据!$E$3:$E$998,"&lt;&gt;稚鱼",数据!$F$3:$F$998,A202,数据!$G$3:$G$998,B202))</f>
        <v/>
      </c>
      <c r="O202" s="39" t="str">
        <f>IF(AND(A202="",B202=""),"",COUNTIFS(数据!$E$3:$E$998,"&lt;&gt;鱼卵",数据!$E$3:$E$998,"&lt;&gt;死卵",数据!$F$3:$F$998,A202,数据!$G$3:$G$998,B202))</f>
        <v/>
      </c>
      <c r="P202" s="31"/>
      <c r="Q202">
        <f>SUMIFS(数据!$D$3:$D$998,数据!$E$3:$E$998,"鱼卵",数据!$F$3:$F$998,A202,数据!$G$3:$G$998,B202)</f>
        <v>0</v>
      </c>
      <c r="R202">
        <f>SUMIFS(数据!$D$3:$D$998,数据!$E$3:$E$998,"死卵",数据!$F$3:$F$998,A202,数据!$G$3:$G$998,B202)</f>
        <v>0</v>
      </c>
      <c r="S202">
        <f>SUMIFS(数据!$D$3:$D$998,数据!$E$3:$E$998,"前期仔鱼",数据!$F$3:$F$998,A202,数据!$G$3:$G$998,B202)</f>
        <v>0</v>
      </c>
      <c r="T202">
        <f>SUMIFS(数据!$D$3:$D$998,数据!$E$3:$E$998,"仔鱼",数据!$F$3:$F$998,A202,数据!$G$3:$G$998,B202)</f>
        <v>0</v>
      </c>
      <c r="U202">
        <f>SUMIFS(数据!$D$3:$D$998,数据!$E$3:$E$998,"稚鱼",数据!$F$3:$F$998,A202,数据!$G$3:$G$998,B202)</f>
        <v>0</v>
      </c>
    </row>
    <row r="203" spans="1:21" ht="19.9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45" t="str">
        <f t="shared" si="6"/>
        <v/>
      </c>
      <c r="M203" s="45" t="str">
        <f t="shared" si="7"/>
        <v/>
      </c>
      <c r="N203" s="39" t="str">
        <f>IF(AND(A203="",B203=""),"",COUNTIFS(数据!$E$3:$E$998,"&lt;&gt;前期仔鱼",数据!$E$3:$E$998,"&lt;&gt;仔鱼",数据!$E$3:$E$998,"&lt;&gt;稚鱼",数据!$F$3:$F$998,A203,数据!$G$3:$G$998,B203))</f>
        <v/>
      </c>
      <c r="O203" s="39" t="str">
        <f>IF(AND(A203="",B203=""),"",COUNTIFS(数据!$E$3:$E$998,"&lt;&gt;鱼卵",数据!$E$3:$E$998,"&lt;&gt;死卵",数据!$F$3:$F$998,A203,数据!$G$3:$G$998,B203))</f>
        <v/>
      </c>
      <c r="P203" s="31"/>
      <c r="Q203">
        <f>SUMIFS(数据!$D$3:$D$998,数据!$E$3:$E$998,"鱼卵",数据!$F$3:$F$998,A203,数据!$G$3:$G$998,B203)</f>
        <v>0</v>
      </c>
      <c r="R203">
        <f>SUMIFS(数据!$D$3:$D$998,数据!$E$3:$E$998,"死卵",数据!$F$3:$F$998,A203,数据!$G$3:$G$998,B203)</f>
        <v>0</v>
      </c>
      <c r="S203">
        <f>SUMIFS(数据!$D$3:$D$998,数据!$E$3:$E$998,"前期仔鱼",数据!$F$3:$F$998,A203,数据!$G$3:$G$998,B203)</f>
        <v>0</v>
      </c>
      <c r="T203">
        <f>SUMIFS(数据!$D$3:$D$998,数据!$E$3:$E$998,"仔鱼",数据!$F$3:$F$998,A203,数据!$G$3:$G$998,B203)</f>
        <v>0</v>
      </c>
      <c r="U203">
        <f>SUMIFS(数据!$D$3:$D$998,数据!$E$3:$E$998,"稚鱼",数据!$F$3:$F$998,A203,数据!$G$3:$G$998,B203)</f>
        <v>0</v>
      </c>
    </row>
    <row r="204" spans="1:21" ht="19.9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45" t="str">
        <f t="shared" si="6"/>
        <v/>
      </c>
      <c r="M204" s="45" t="str">
        <f t="shared" si="7"/>
        <v/>
      </c>
      <c r="N204" s="39" t="str">
        <f>IF(AND(A204="",B204=""),"",COUNTIFS(数据!$E$3:$E$998,"&lt;&gt;前期仔鱼",数据!$E$3:$E$998,"&lt;&gt;仔鱼",数据!$E$3:$E$998,"&lt;&gt;稚鱼",数据!$F$3:$F$998,A204,数据!$G$3:$G$998,B204))</f>
        <v/>
      </c>
      <c r="O204" s="39" t="str">
        <f>IF(AND(A204="",B204=""),"",COUNTIFS(数据!$E$3:$E$998,"&lt;&gt;鱼卵",数据!$E$3:$E$998,"&lt;&gt;死卵",数据!$F$3:$F$998,A204,数据!$G$3:$G$998,B204))</f>
        <v/>
      </c>
      <c r="P204" s="31"/>
      <c r="Q204">
        <f>SUMIFS(数据!$D$3:$D$998,数据!$E$3:$E$998,"鱼卵",数据!$F$3:$F$998,A204,数据!$G$3:$G$998,B204)</f>
        <v>0</v>
      </c>
      <c r="R204">
        <f>SUMIFS(数据!$D$3:$D$998,数据!$E$3:$E$998,"死卵",数据!$F$3:$F$998,A204,数据!$G$3:$G$998,B204)</f>
        <v>0</v>
      </c>
      <c r="S204">
        <f>SUMIFS(数据!$D$3:$D$998,数据!$E$3:$E$998,"前期仔鱼",数据!$F$3:$F$998,A204,数据!$G$3:$G$998,B204)</f>
        <v>0</v>
      </c>
      <c r="T204">
        <f>SUMIFS(数据!$D$3:$D$998,数据!$E$3:$E$998,"仔鱼",数据!$F$3:$F$998,A204,数据!$G$3:$G$998,B204)</f>
        <v>0</v>
      </c>
      <c r="U204">
        <f>SUMIFS(数据!$D$3:$D$998,数据!$E$3:$E$998,"稚鱼",数据!$F$3:$F$998,A204,数据!$G$3:$G$998,B204)</f>
        <v>0</v>
      </c>
    </row>
    <row r="205" spans="1:21" ht="19.9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45" t="str">
        <f t="shared" si="6"/>
        <v/>
      </c>
      <c r="M205" s="45" t="str">
        <f t="shared" si="7"/>
        <v/>
      </c>
      <c r="N205" s="39" t="str">
        <f>IF(AND(A205="",B205=""),"",COUNTIFS(数据!$E$3:$E$998,"&lt;&gt;前期仔鱼",数据!$E$3:$E$998,"&lt;&gt;仔鱼",数据!$E$3:$E$998,"&lt;&gt;稚鱼",数据!$F$3:$F$998,A205,数据!$G$3:$G$998,B205))</f>
        <v/>
      </c>
      <c r="O205" s="39" t="str">
        <f>IF(AND(A205="",B205=""),"",COUNTIFS(数据!$E$3:$E$998,"&lt;&gt;鱼卵",数据!$E$3:$E$998,"&lt;&gt;死卵",数据!$F$3:$F$998,A205,数据!$G$3:$G$998,B205))</f>
        <v/>
      </c>
      <c r="P205" s="31"/>
      <c r="Q205">
        <f>SUMIFS(数据!$D$3:$D$998,数据!$E$3:$E$998,"鱼卵",数据!$F$3:$F$998,A205,数据!$G$3:$G$998,B205)</f>
        <v>0</v>
      </c>
      <c r="R205">
        <f>SUMIFS(数据!$D$3:$D$998,数据!$E$3:$E$998,"死卵",数据!$F$3:$F$998,A205,数据!$G$3:$G$998,B205)</f>
        <v>0</v>
      </c>
      <c r="S205">
        <f>SUMIFS(数据!$D$3:$D$998,数据!$E$3:$E$998,"前期仔鱼",数据!$F$3:$F$998,A205,数据!$G$3:$G$998,B205)</f>
        <v>0</v>
      </c>
      <c r="T205">
        <f>SUMIFS(数据!$D$3:$D$998,数据!$E$3:$E$998,"仔鱼",数据!$F$3:$F$998,A205,数据!$G$3:$G$998,B205)</f>
        <v>0</v>
      </c>
      <c r="U205">
        <f>SUMIFS(数据!$D$3:$D$998,数据!$E$3:$E$998,"稚鱼",数据!$F$3:$F$998,A205,数据!$G$3:$G$998,B205)</f>
        <v>0</v>
      </c>
    </row>
    <row r="206" spans="1:21" ht="19.9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45" t="str">
        <f t="shared" si="6"/>
        <v/>
      </c>
      <c r="M206" s="45" t="str">
        <f t="shared" si="7"/>
        <v/>
      </c>
      <c r="N206" s="39" t="str">
        <f>IF(AND(A206="",B206=""),"",COUNTIFS(数据!$E$3:$E$998,"&lt;&gt;前期仔鱼",数据!$E$3:$E$998,"&lt;&gt;仔鱼",数据!$E$3:$E$998,"&lt;&gt;稚鱼",数据!$F$3:$F$998,A206,数据!$G$3:$G$998,B206))</f>
        <v/>
      </c>
      <c r="O206" s="39" t="str">
        <f>IF(AND(A206="",B206=""),"",COUNTIFS(数据!$E$3:$E$998,"&lt;&gt;鱼卵",数据!$E$3:$E$998,"&lt;&gt;死卵",数据!$F$3:$F$998,A206,数据!$G$3:$G$998,B206))</f>
        <v/>
      </c>
      <c r="P206" s="31"/>
      <c r="Q206">
        <f>SUMIFS(数据!$D$3:$D$998,数据!$E$3:$E$998,"鱼卵",数据!$F$3:$F$998,A206,数据!$G$3:$G$998,B206)</f>
        <v>0</v>
      </c>
      <c r="R206">
        <f>SUMIFS(数据!$D$3:$D$998,数据!$E$3:$E$998,"死卵",数据!$F$3:$F$998,A206,数据!$G$3:$G$998,B206)</f>
        <v>0</v>
      </c>
      <c r="S206">
        <f>SUMIFS(数据!$D$3:$D$998,数据!$E$3:$E$998,"前期仔鱼",数据!$F$3:$F$998,A206,数据!$G$3:$G$998,B206)</f>
        <v>0</v>
      </c>
      <c r="T206">
        <f>SUMIFS(数据!$D$3:$D$998,数据!$E$3:$E$998,"仔鱼",数据!$F$3:$F$998,A206,数据!$G$3:$G$998,B206)</f>
        <v>0</v>
      </c>
      <c r="U206">
        <f>SUMIFS(数据!$D$3:$D$998,数据!$E$3:$E$998,"稚鱼",数据!$F$3:$F$998,A206,数据!$G$3:$G$998,B206)</f>
        <v>0</v>
      </c>
    </row>
    <row r="207" spans="1:21" ht="19.9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45" t="str">
        <f t="shared" si="6"/>
        <v/>
      </c>
      <c r="M207" s="45" t="str">
        <f t="shared" si="7"/>
        <v/>
      </c>
      <c r="N207" s="39" t="str">
        <f>IF(AND(A207="",B207=""),"",COUNTIFS(数据!$E$3:$E$998,"&lt;&gt;前期仔鱼",数据!$E$3:$E$998,"&lt;&gt;仔鱼",数据!$E$3:$E$998,"&lt;&gt;稚鱼",数据!$F$3:$F$998,A207,数据!$G$3:$G$998,B207))</f>
        <v/>
      </c>
      <c r="O207" s="39" t="str">
        <f>IF(AND(A207="",B207=""),"",COUNTIFS(数据!$E$3:$E$998,"&lt;&gt;鱼卵",数据!$E$3:$E$998,"&lt;&gt;死卵",数据!$F$3:$F$998,A207,数据!$G$3:$G$998,B207))</f>
        <v/>
      </c>
      <c r="P207" s="31"/>
      <c r="Q207">
        <f>SUMIFS(数据!$D$3:$D$998,数据!$E$3:$E$998,"鱼卵",数据!$F$3:$F$998,A207,数据!$G$3:$G$998,B207)</f>
        <v>0</v>
      </c>
      <c r="R207">
        <f>SUMIFS(数据!$D$3:$D$998,数据!$E$3:$E$998,"死卵",数据!$F$3:$F$998,A207,数据!$G$3:$G$998,B207)</f>
        <v>0</v>
      </c>
      <c r="S207">
        <f>SUMIFS(数据!$D$3:$D$998,数据!$E$3:$E$998,"前期仔鱼",数据!$F$3:$F$998,A207,数据!$G$3:$G$998,B207)</f>
        <v>0</v>
      </c>
      <c r="T207">
        <f>SUMIFS(数据!$D$3:$D$998,数据!$E$3:$E$998,"仔鱼",数据!$F$3:$F$998,A207,数据!$G$3:$G$998,B207)</f>
        <v>0</v>
      </c>
      <c r="U207">
        <f>SUMIFS(数据!$D$3:$D$998,数据!$E$3:$E$998,"稚鱼",数据!$F$3:$F$998,A207,数据!$G$3:$G$998,B207)</f>
        <v>0</v>
      </c>
    </row>
    <row r="208" spans="1:21" ht="19.9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45" t="str">
        <f t="shared" si="6"/>
        <v/>
      </c>
      <c r="M208" s="45" t="str">
        <f t="shared" si="7"/>
        <v/>
      </c>
      <c r="N208" s="39" t="str">
        <f>IF(AND(A208="",B208=""),"",COUNTIFS(数据!$E$3:$E$998,"&lt;&gt;前期仔鱼",数据!$E$3:$E$998,"&lt;&gt;仔鱼",数据!$E$3:$E$998,"&lt;&gt;稚鱼",数据!$F$3:$F$998,A208,数据!$G$3:$G$998,B208))</f>
        <v/>
      </c>
      <c r="O208" s="39" t="str">
        <f>IF(AND(A208="",B208=""),"",COUNTIFS(数据!$E$3:$E$998,"&lt;&gt;鱼卵",数据!$E$3:$E$998,"&lt;&gt;死卵",数据!$F$3:$F$998,A208,数据!$G$3:$G$998,B208))</f>
        <v/>
      </c>
      <c r="P208" s="31"/>
      <c r="Q208">
        <f>SUMIFS(数据!$D$3:$D$998,数据!$E$3:$E$998,"鱼卵",数据!$F$3:$F$998,A208,数据!$G$3:$G$998,B208)</f>
        <v>0</v>
      </c>
      <c r="R208">
        <f>SUMIFS(数据!$D$3:$D$998,数据!$E$3:$E$998,"死卵",数据!$F$3:$F$998,A208,数据!$G$3:$G$998,B208)</f>
        <v>0</v>
      </c>
      <c r="S208">
        <f>SUMIFS(数据!$D$3:$D$998,数据!$E$3:$E$998,"前期仔鱼",数据!$F$3:$F$998,A208,数据!$G$3:$G$998,B208)</f>
        <v>0</v>
      </c>
      <c r="T208">
        <f>SUMIFS(数据!$D$3:$D$998,数据!$E$3:$E$998,"仔鱼",数据!$F$3:$F$998,A208,数据!$G$3:$G$998,B208)</f>
        <v>0</v>
      </c>
      <c r="U208">
        <f>SUMIFS(数据!$D$3:$D$998,数据!$E$3:$E$998,"稚鱼",数据!$F$3:$F$998,A208,数据!$G$3:$G$998,B208)</f>
        <v>0</v>
      </c>
    </row>
    <row r="209" spans="1:21" ht="19.9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45" t="str">
        <f t="shared" si="6"/>
        <v/>
      </c>
      <c r="M209" s="45" t="str">
        <f t="shared" si="7"/>
        <v/>
      </c>
      <c r="N209" s="39" t="str">
        <f>IF(AND(A209="",B209=""),"",COUNTIFS(数据!$E$3:$E$998,"&lt;&gt;前期仔鱼",数据!$E$3:$E$998,"&lt;&gt;仔鱼",数据!$E$3:$E$998,"&lt;&gt;稚鱼",数据!$F$3:$F$998,A209,数据!$G$3:$G$998,B209))</f>
        <v/>
      </c>
      <c r="O209" s="39" t="str">
        <f>IF(AND(A209="",B209=""),"",COUNTIFS(数据!$E$3:$E$998,"&lt;&gt;鱼卵",数据!$E$3:$E$998,"&lt;&gt;死卵",数据!$F$3:$F$998,A209,数据!$G$3:$G$998,B209))</f>
        <v/>
      </c>
      <c r="P209" s="31"/>
      <c r="Q209">
        <f>SUMIFS(数据!$D$3:$D$998,数据!$E$3:$E$998,"鱼卵",数据!$F$3:$F$998,A209,数据!$G$3:$G$998,B209)</f>
        <v>0</v>
      </c>
      <c r="R209">
        <f>SUMIFS(数据!$D$3:$D$998,数据!$E$3:$E$998,"死卵",数据!$F$3:$F$998,A209,数据!$G$3:$G$998,B209)</f>
        <v>0</v>
      </c>
      <c r="S209">
        <f>SUMIFS(数据!$D$3:$D$998,数据!$E$3:$E$998,"前期仔鱼",数据!$F$3:$F$998,A209,数据!$G$3:$G$998,B209)</f>
        <v>0</v>
      </c>
      <c r="T209">
        <f>SUMIFS(数据!$D$3:$D$998,数据!$E$3:$E$998,"仔鱼",数据!$F$3:$F$998,A209,数据!$G$3:$G$998,B209)</f>
        <v>0</v>
      </c>
      <c r="U209">
        <f>SUMIFS(数据!$D$3:$D$998,数据!$E$3:$E$998,"稚鱼",数据!$F$3:$F$998,A209,数据!$G$3:$G$998,B209)</f>
        <v>0</v>
      </c>
    </row>
    <row r="210" spans="1:21" ht="19.9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45" t="str">
        <f t="shared" si="6"/>
        <v/>
      </c>
      <c r="M210" s="45" t="str">
        <f t="shared" si="7"/>
        <v/>
      </c>
      <c r="N210" s="39" t="str">
        <f>IF(AND(A210="",B210=""),"",COUNTIFS(数据!$E$3:$E$998,"&lt;&gt;前期仔鱼",数据!$E$3:$E$998,"&lt;&gt;仔鱼",数据!$E$3:$E$998,"&lt;&gt;稚鱼",数据!$F$3:$F$998,A210,数据!$G$3:$G$998,B210))</f>
        <v/>
      </c>
      <c r="O210" s="39" t="str">
        <f>IF(AND(A210="",B210=""),"",COUNTIFS(数据!$E$3:$E$998,"&lt;&gt;鱼卵",数据!$E$3:$E$998,"&lt;&gt;死卵",数据!$F$3:$F$998,A210,数据!$G$3:$G$998,B210))</f>
        <v/>
      </c>
      <c r="P210" s="31"/>
      <c r="Q210">
        <f>SUMIFS(数据!$D$3:$D$998,数据!$E$3:$E$998,"鱼卵",数据!$F$3:$F$998,A210,数据!$G$3:$G$998,B210)</f>
        <v>0</v>
      </c>
      <c r="R210">
        <f>SUMIFS(数据!$D$3:$D$998,数据!$E$3:$E$998,"死卵",数据!$F$3:$F$998,A210,数据!$G$3:$G$998,B210)</f>
        <v>0</v>
      </c>
      <c r="S210">
        <f>SUMIFS(数据!$D$3:$D$998,数据!$E$3:$E$998,"前期仔鱼",数据!$F$3:$F$998,A210,数据!$G$3:$G$998,B210)</f>
        <v>0</v>
      </c>
      <c r="T210">
        <f>SUMIFS(数据!$D$3:$D$998,数据!$E$3:$E$998,"仔鱼",数据!$F$3:$F$998,A210,数据!$G$3:$G$998,B210)</f>
        <v>0</v>
      </c>
      <c r="U210">
        <f>SUMIFS(数据!$D$3:$D$998,数据!$E$3:$E$998,"稚鱼",数据!$F$3:$F$998,A210,数据!$G$3:$G$998,B210)</f>
        <v>0</v>
      </c>
    </row>
    <row r="211" spans="1:21" ht="19.9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45" t="str">
        <f t="shared" si="6"/>
        <v/>
      </c>
      <c r="M211" s="45" t="str">
        <f t="shared" si="7"/>
        <v/>
      </c>
      <c r="N211" s="39" t="str">
        <f>IF(AND(A211="",B211=""),"",COUNTIFS(数据!$E$3:$E$998,"&lt;&gt;前期仔鱼",数据!$E$3:$E$998,"&lt;&gt;仔鱼",数据!$E$3:$E$998,"&lt;&gt;稚鱼",数据!$F$3:$F$998,A211,数据!$G$3:$G$998,B211))</f>
        <v/>
      </c>
      <c r="O211" s="39" t="str">
        <f>IF(AND(A211="",B211=""),"",COUNTIFS(数据!$E$3:$E$998,"&lt;&gt;鱼卵",数据!$E$3:$E$998,"&lt;&gt;死卵",数据!$F$3:$F$998,A211,数据!$G$3:$G$998,B211))</f>
        <v/>
      </c>
      <c r="P211" s="31"/>
      <c r="Q211">
        <f>SUMIFS(数据!$D$3:$D$998,数据!$E$3:$E$998,"鱼卵",数据!$F$3:$F$998,A211,数据!$G$3:$G$998,B211)</f>
        <v>0</v>
      </c>
      <c r="R211">
        <f>SUMIFS(数据!$D$3:$D$998,数据!$E$3:$E$998,"死卵",数据!$F$3:$F$998,A211,数据!$G$3:$G$998,B211)</f>
        <v>0</v>
      </c>
      <c r="S211">
        <f>SUMIFS(数据!$D$3:$D$998,数据!$E$3:$E$998,"前期仔鱼",数据!$F$3:$F$998,A211,数据!$G$3:$G$998,B211)</f>
        <v>0</v>
      </c>
      <c r="T211">
        <f>SUMIFS(数据!$D$3:$D$998,数据!$E$3:$E$998,"仔鱼",数据!$F$3:$F$998,A211,数据!$G$3:$G$998,B211)</f>
        <v>0</v>
      </c>
      <c r="U211">
        <f>SUMIFS(数据!$D$3:$D$998,数据!$E$3:$E$998,"稚鱼",数据!$F$3:$F$998,A211,数据!$G$3:$G$998,B211)</f>
        <v>0</v>
      </c>
    </row>
    <row r="212" spans="1:21" ht="19.9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45" t="str">
        <f t="shared" si="6"/>
        <v/>
      </c>
      <c r="M212" s="45" t="str">
        <f t="shared" si="7"/>
        <v/>
      </c>
      <c r="N212" s="39" t="str">
        <f>IF(AND(A212="",B212=""),"",COUNTIFS(数据!$E$3:$E$998,"&lt;&gt;前期仔鱼",数据!$E$3:$E$998,"&lt;&gt;仔鱼",数据!$E$3:$E$998,"&lt;&gt;稚鱼",数据!$F$3:$F$998,A212,数据!$G$3:$G$998,B212))</f>
        <v/>
      </c>
      <c r="O212" s="39" t="str">
        <f>IF(AND(A212="",B212=""),"",COUNTIFS(数据!$E$3:$E$998,"&lt;&gt;鱼卵",数据!$E$3:$E$998,"&lt;&gt;死卵",数据!$F$3:$F$998,A212,数据!$G$3:$G$998,B212))</f>
        <v/>
      </c>
      <c r="P212" s="31"/>
      <c r="Q212">
        <f>SUMIFS(数据!$D$3:$D$998,数据!$E$3:$E$998,"鱼卵",数据!$F$3:$F$998,A212,数据!$G$3:$G$998,B212)</f>
        <v>0</v>
      </c>
      <c r="R212">
        <f>SUMIFS(数据!$D$3:$D$998,数据!$E$3:$E$998,"死卵",数据!$F$3:$F$998,A212,数据!$G$3:$G$998,B212)</f>
        <v>0</v>
      </c>
      <c r="S212">
        <f>SUMIFS(数据!$D$3:$D$998,数据!$E$3:$E$998,"前期仔鱼",数据!$F$3:$F$998,A212,数据!$G$3:$G$998,B212)</f>
        <v>0</v>
      </c>
      <c r="T212">
        <f>SUMIFS(数据!$D$3:$D$998,数据!$E$3:$E$998,"仔鱼",数据!$F$3:$F$998,A212,数据!$G$3:$G$998,B212)</f>
        <v>0</v>
      </c>
      <c r="U212">
        <f>SUMIFS(数据!$D$3:$D$998,数据!$E$3:$E$998,"稚鱼",数据!$F$3:$F$998,A212,数据!$G$3:$G$998,B212)</f>
        <v>0</v>
      </c>
    </row>
    <row r="213" spans="1:21" ht="19.9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45" t="str">
        <f t="shared" si="6"/>
        <v/>
      </c>
      <c r="M213" s="45" t="str">
        <f t="shared" si="7"/>
        <v/>
      </c>
      <c r="N213" s="39" t="str">
        <f>IF(AND(A213="",B213=""),"",COUNTIFS(数据!$E$3:$E$998,"&lt;&gt;前期仔鱼",数据!$E$3:$E$998,"&lt;&gt;仔鱼",数据!$E$3:$E$998,"&lt;&gt;稚鱼",数据!$F$3:$F$998,A213,数据!$G$3:$G$998,B213))</f>
        <v/>
      </c>
      <c r="O213" s="39" t="str">
        <f>IF(AND(A213="",B213=""),"",COUNTIFS(数据!$E$3:$E$998,"&lt;&gt;鱼卵",数据!$E$3:$E$998,"&lt;&gt;死卵",数据!$F$3:$F$998,A213,数据!$G$3:$G$998,B213))</f>
        <v/>
      </c>
      <c r="P213" s="31"/>
      <c r="Q213">
        <f>SUMIFS(数据!$D$3:$D$998,数据!$E$3:$E$998,"鱼卵",数据!$F$3:$F$998,A213,数据!$G$3:$G$998,B213)</f>
        <v>0</v>
      </c>
      <c r="R213">
        <f>SUMIFS(数据!$D$3:$D$998,数据!$E$3:$E$998,"死卵",数据!$F$3:$F$998,A213,数据!$G$3:$G$998,B213)</f>
        <v>0</v>
      </c>
      <c r="S213">
        <f>SUMIFS(数据!$D$3:$D$998,数据!$E$3:$E$998,"前期仔鱼",数据!$F$3:$F$998,A213,数据!$G$3:$G$998,B213)</f>
        <v>0</v>
      </c>
      <c r="T213">
        <f>SUMIFS(数据!$D$3:$D$998,数据!$E$3:$E$998,"仔鱼",数据!$F$3:$F$998,A213,数据!$G$3:$G$998,B213)</f>
        <v>0</v>
      </c>
      <c r="U213">
        <f>SUMIFS(数据!$D$3:$D$998,数据!$E$3:$E$998,"稚鱼",数据!$F$3:$F$998,A213,数据!$G$3:$G$998,B213)</f>
        <v>0</v>
      </c>
    </row>
    <row r="214" spans="1:21" ht="19.9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45" t="str">
        <f t="shared" si="6"/>
        <v/>
      </c>
      <c r="M214" s="45" t="str">
        <f t="shared" si="7"/>
        <v/>
      </c>
      <c r="N214" s="39" t="str">
        <f>IF(AND(A214="",B214=""),"",COUNTIFS(数据!$E$3:$E$998,"&lt;&gt;前期仔鱼",数据!$E$3:$E$998,"&lt;&gt;仔鱼",数据!$E$3:$E$998,"&lt;&gt;稚鱼",数据!$F$3:$F$998,A214,数据!$G$3:$G$998,B214))</f>
        <v/>
      </c>
      <c r="O214" s="39" t="str">
        <f>IF(AND(A214="",B214=""),"",COUNTIFS(数据!$E$3:$E$998,"&lt;&gt;鱼卵",数据!$E$3:$E$998,"&lt;&gt;死卵",数据!$F$3:$F$998,A214,数据!$G$3:$G$998,B214))</f>
        <v/>
      </c>
      <c r="P214" s="31"/>
      <c r="Q214">
        <f>SUMIFS(数据!$D$3:$D$998,数据!$E$3:$E$998,"鱼卵",数据!$F$3:$F$998,A214,数据!$G$3:$G$998,B214)</f>
        <v>0</v>
      </c>
      <c r="R214">
        <f>SUMIFS(数据!$D$3:$D$998,数据!$E$3:$E$998,"死卵",数据!$F$3:$F$998,A214,数据!$G$3:$G$998,B214)</f>
        <v>0</v>
      </c>
      <c r="S214">
        <f>SUMIFS(数据!$D$3:$D$998,数据!$E$3:$E$998,"前期仔鱼",数据!$F$3:$F$998,A214,数据!$G$3:$G$998,B214)</f>
        <v>0</v>
      </c>
      <c r="T214">
        <f>SUMIFS(数据!$D$3:$D$998,数据!$E$3:$E$998,"仔鱼",数据!$F$3:$F$998,A214,数据!$G$3:$G$998,B214)</f>
        <v>0</v>
      </c>
      <c r="U214">
        <f>SUMIFS(数据!$D$3:$D$998,数据!$E$3:$E$998,"稚鱼",数据!$F$3:$F$998,A214,数据!$G$3:$G$998,B214)</f>
        <v>0</v>
      </c>
    </row>
    <row r="215" spans="1:21" ht="19.9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45" t="str">
        <f t="shared" si="6"/>
        <v/>
      </c>
      <c r="M215" s="45" t="str">
        <f t="shared" si="7"/>
        <v/>
      </c>
      <c r="N215" s="39" t="str">
        <f>IF(AND(A215="",B215=""),"",COUNTIFS(数据!$E$3:$E$998,"&lt;&gt;前期仔鱼",数据!$E$3:$E$998,"&lt;&gt;仔鱼",数据!$E$3:$E$998,"&lt;&gt;稚鱼",数据!$F$3:$F$998,A215,数据!$G$3:$G$998,B215))</f>
        <v/>
      </c>
      <c r="O215" s="39" t="str">
        <f>IF(AND(A215="",B215=""),"",COUNTIFS(数据!$E$3:$E$998,"&lt;&gt;鱼卵",数据!$E$3:$E$998,"&lt;&gt;死卵",数据!$F$3:$F$998,A215,数据!$G$3:$G$998,B215))</f>
        <v/>
      </c>
      <c r="P215" s="31"/>
      <c r="Q215">
        <f>SUMIFS(数据!$D$3:$D$998,数据!$E$3:$E$998,"鱼卵",数据!$F$3:$F$998,A215,数据!$G$3:$G$998,B215)</f>
        <v>0</v>
      </c>
      <c r="R215">
        <f>SUMIFS(数据!$D$3:$D$998,数据!$E$3:$E$998,"死卵",数据!$F$3:$F$998,A215,数据!$G$3:$G$998,B215)</f>
        <v>0</v>
      </c>
      <c r="S215">
        <f>SUMIFS(数据!$D$3:$D$998,数据!$E$3:$E$998,"前期仔鱼",数据!$F$3:$F$998,A215,数据!$G$3:$G$998,B215)</f>
        <v>0</v>
      </c>
      <c r="T215">
        <f>SUMIFS(数据!$D$3:$D$998,数据!$E$3:$E$998,"仔鱼",数据!$F$3:$F$998,A215,数据!$G$3:$G$998,B215)</f>
        <v>0</v>
      </c>
      <c r="U215">
        <f>SUMIFS(数据!$D$3:$D$998,数据!$E$3:$E$998,"稚鱼",数据!$F$3:$F$998,A215,数据!$G$3:$G$998,B215)</f>
        <v>0</v>
      </c>
    </row>
    <row r="216" spans="1:21" ht="19.9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45" t="str">
        <f t="shared" si="6"/>
        <v/>
      </c>
      <c r="M216" s="45" t="str">
        <f t="shared" si="7"/>
        <v/>
      </c>
      <c r="N216" s="39" t="str">
        <f>IF(AND(A216="",B216=""),"",COUNTIFS(数据!$E$3:$E$998,"&lt;&gt;前期仔鱼",数据!$E$3:$E$998,"&lt;&gt;仔鱼",数据!$E$3:$E$998,"&lt;&gt;稚鱼",数据!$F$3:$F$998,A216,数据!$G$3:$G$998,B216))</f>
        <v/>
      </c>
      <c r="O216" s="39" t="str">
        <f>IF(AND(A216="",B216=""),"",COUNTIFS(数据!$E$3:$E$998,"&lt;&gt;鱼卵",数据!$E$3:$E$998,"&lt;&gt;死卵",数据!$F$3:$F$998,A216,数据!$G$3:$G$998,B216))</f>
        <v/>
      </c>
      <c r="P216" s="31"/>
      <c r="Q216">
        <f>SUMIFS(数据!$D$3:$D$998,数据!$E$3:$E$998,"鱼卵",数据!$F$3:$F$998,A216,数据!$G$3:$G$998,B216)</f>
        <v>0</v>
      </c>
      <c r="R216">
        <f>SUMIFS(数据!$D$3:$D$998,数据!$E$3:$E$998,"死卵",数据!$F$3:$F$998,A216,数据!$G$3:$G$998,B216)</f>
        <v>0</v>
      </c>
      <c r="S216">
        <f>SUMIFS(数据!$D$3:$D$998,数据!$E$3:$E$998,"前期仔鱼",数据!$F$3:$F$998,A216,数据!$G$3:$G$998,B216)</f>
        <v>0</v>
      </c>
      <c r="T216">
        <f>SUMIFS(数据!$D$3:$D$998,数据!$E$3:$E$998,"仔鱼",数据!$F$3:$F$998,A216,数据!$G$3:$G$998,B216)</f>
        <v>0</v>
      </c>
      <c r="U216">
        <f>SUMIFS(数据!$D$3:$D$998,数据!$E$3:$E$998,"稚鱼",数据!$F$3:$F$998,A216,数据!$G$3:$G$998,B216)</f>
        <v>0</v>
      </c>
    </row>
    <row r="217" spans="1:21" ht="19.9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45" t="str">
        <f t="shared" si="6"/>
        <v/>
      </c>
      <c r="M217" s="45" t="str">
        <f t="shared" si="7"/>
        <v/>
      </c>
      <c r="N217" s="39" t="str">
        <f>IF(AND(A217="",B217=""),"",COUNTIFS(数据!$E$3:$E$998,"&lt;&gt;前期仔鱼",数据!$E$3:$E$998,"&lt;&gt;仔鱼",数据!$E$3:$E$998,"&lt;&gt;稚鱼",数据!$F$3:$F$998,A217,数据!$G$3:$G$998,B217))</f>
        <v/>
      </c>
      <c r="O217" s="39" t="str">
        <f>IF(AND(A217="",B217=""),"",COUNTIFS(数据!$E$3:$E$998,"&lt;&gt;鱼卵",数据!$E$3:$E$998,"&lt;&gt;死卵",数据!$F$3:$F$998,A217,数据!$G$3:$G$998,B217))</f>
        <v/>
      </c>
      <c r="P217" s="31"/>
      <c r="Q217">
        <f>SUMIFS(数据!$D$3:$D$998,数据!$E$3:$E$998,"鱼卵",数据!$F$3:$F$998,A217,数据!$G$3:$G$998,B217)</f>
        <v>0</v>
      </c>
      <c r="R217">
        <f>SUMIFS(数据!$D$3:$D$998,数据!$E$3:$E$998,"死卵",数据!$F$3:$F$998,A217,数据!$G$3:$G$998,B217)</f>
        <v>0</v>
      </c>
      <c r="S217">
        <f>SUMIFS(数据!$D$3:$D$998,数据!$E$3:$E$998,"前期仔鱼",数据!$F$3:$F$998,A217,数据!$G$3:$G$998,B217)</f>
        <v>0</v>
      </c>
      <c r="T217">
        <f>SUMIFS(数据!$D$3:$D$998,数据!$E$3:$E$998,"仔鱼",数据!$F$3:$F$998,A217,数据!$G$3:$G$998,B217)</f>
        <v>0</v>
      </c>
      <c r="U217">
        <f>SUMIFS(数据!$D$3:$D$998,数据!$E$3:$E$998,"稚鱼",数据!$F$3:$F$998,A217,数据!$G$3:$G$998,B217)</f>
        <v>0</v>
      </c>
    </row>
    <row r="218" spans="1:21" ht="19.9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45" t="str">
        <f t="shared" si="6"/>
        <v/>
      </c>
      <c r="M218" s="45" t="str">
        <f t="shared" si="7"/>
        <v/>
      </c>
      <c r="N218" s="39" t="str">
        <f>IF(AND(A218="",B218=""),"",COUNTIFS(数据!$E$3:$E$998,"&lt;&gt;前期仔鱼",数据!$E$3:$E$998,"&lt;&gt;仔鱼",数据!$E$3:$E$998,"&lt;&gt;稚鱼",数据!$F$3:$F$998,A218,数据!$G$3:$G$998,B218))</f>
        <v/>
      </c>
      <c r="O218" s="39" t="str">
        <f>IF(AND(A218="",B218=""),"",COUNTIFS(数据!$E$3:$E$998,"&lt;&gt;鱼卵",数据!$E$3:$E$998,"&lt;&gt;死卵",数据!$F$3:$F$998,A218,数据!$G$3:$G$998,B218))</f>
        <v/>
      </c>
      <c r="P218" s="31"/>
      <c r="Q218">
        <f>SUMIFS(数据!$D$3:$D$998,数据!$E$3:$E$998,"鱼卵",数据!$F$3:$F$998,A218,数据!$G$3:$G$998,B218)</f>
        <v>0</v>
      </c>
      <c r="R218">
        <f>SUMIFS(数据!$D$3:$D$998,数据!$E$3:$E$998,"死卵",数据!$F$3:$F$998,A218,数据!$G$3:$G$998,B218)</f>
        <v>0</v>
      </c>
      <c r="S218">
        <f>SUMIFS(数据!$D$3:$D$998,数据!$E$3:$E$998,"前期仔鱼",数据!$F$3:$F$998,A218,数据!$G$3:$G$998,B218)</f>
        <v>0</v>
      </c>
      <c r="T218">
        <f>SUMIFS(数据!$D$3:$D$998,数据!$E$3:$E$998,"仔鱼",数据!$F$3:$F$998,A218,数据!$G$3:$G$998,B218)</f>
        <v>0</v>
      </c>
      <c r="U218">
        <f>SUMIFS(数据!$D$3:$D$998,数据!$E$3:$E$998,"稚鱼",数据!$F$3:$F$998,A218,数据!$G$3:$G$998,B218)</f>
        <v>0</v>
      </c>
    </row>
    <row r="219" spans="1:21" ht="19.9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45" t="str">
        <f t="shared" si="6"/>
        <v/>
      </c>
      <c r="M219" s="45" t="str">
        <f t="shared" si="7"/>
        <v/>
      </c>
      <c r="N219" s="39" t="str">
        <f>IF(AND(A219="",B219=""),"",COUNTIFS(数据!$E$3:$E$998,"&lt;&gt;前期仔鱼",数据!$E$3:$E$998,"&lt;&gt;仔鱼",数据!$E$3:$E$998,"&lt;&gt;稚鱼",数据!$F$3:$F$998,A219,数据!$G$3:$G$998,B219))</f>
        <v/>
      </c>
      <c r="O219" s="39" t="str">
        <f>IF(AND(A219="",B219=""),"",COUNTIFS(数据!$E$3:$E$998,"&lt;&gt;鱼卵",数据!$E$3:$E$998,"&lt;&gt;死卵",数据!$F$3:$F$998,A219,数据!$G$3:$G$998,B219))</f>
        <v/>
      </c>
      <c r="P219" s="31"/>
      <c r="Q219">
        <f>SUMIFS(数据!$D$3:$D$998,数据!$E$3:$E$998,"鱼卵",数据!$F$3:$F$998,A219,数据!$G$3:$G$998,B219)</f>
        <v>0</v>
      </c>
      <c r="R219">
        <f>SUMIFS(数据!$D$3:$D$998,数据!$E$3:$E$998,"死卵",数据!$F$3:$F$998,A219,数据!$G$3:$G$998,B219)</f>
        <v>0</v>
      </c>
      <c r="S219">
        <f>SUMIFS(数据!$D$3:$D$998,数据!$E$3:$E$998,"前期仔鱼",数据!$F$3:$F$998,A219,数据!$G$3:$G$998,B219)</f>
        <v>0</v>
      </c>
      <c r="T219">
        <f>SUMIFS(数据!$D$3:$D$998,数据!$E$3:$E$998,"仔鱼",数据!$F$3:$F$998,A219,数据!$G$3:$G$998,B219)</f>
        <v>0</v>
      </c>
      <c r="U219">
        <f>SUMIFS(数据!$D$3:$D$998,数据!$E$3:$E$998,"稚鱼",数据!$F$3:$F$998,A219,数据!$G$3:$G$998,B219)</f>
        <v>0</v>
      </c>
    </row>
    <row r="220" spans="1:21" ht="19.9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45" t="str">
        <f t="shared" si="6"/>
        <v/>
      </c>
      <c r="M220" s="45" t="str">
        <f t="shared" si="7"/>
        <v/>
      </c>
      <c r="N220" s="39" t="str">
        <f>IF(AND(A220="",B220=""),"",COUNTIFS(数据!$E$3:$E$998,"&lt;&gt;前期仔鱼",数据!$E$3:$E$998,"&lt;&gt;仔鱼",数据!$E$3:$E$998,"&lt;&gt;稚鱼",数据!$F$3:$F$998,A220,数据!$G$3:$G$998,B220))</f>
        <v/>
      </c>
      <c r="O220" s="39" t="str">
        <f>IF(AND(A220="",B220=""),"",COUNTIFS(数据!$E$3:$E$998,"&lt;&gt;鱼卵",数据!$E$3:$E$998,"&lt;&gt;死卵",数据!$F$3:$F$998,A220,数据!$G$3:$G$998,B220))</f>
        <v/>
      </c>
      <c r="P220" s="31"/>
      <c r="Q220">
        <f>SUMIFS(数据!$D$3:$D$998,数据!$E$3:$E$998,"鱼卵",数据!$F$3:$F$998,A220,数据!$G$3:$G$998,B220)</f>
        <v>0</v>
      </c>
      <c r="R220">
        <f>SUMIFS(数据!$D$3:$D$998,数据!$E$3:$E$998,"死卵",数据!$F$3:$F$998,A220,数据!$G$3:$G$998,B220)</f>
        <v>0</v>
      </c>
      <c r="S220">
        <f>SUMIFS(数据!$D$3:$D$998,数据!$E$3:$E$998,"前期仔鱼",数据!$F$3:$F$998,A220,数据!$G$3:$G$998,B220)</f>
        <v>0</v>
      </c>
      <c r="T220">
        <f>SUMIFS(数据!$D$3:$D$998,数据!$E$3:$E$998,"仔鱼",数据!$F$3:$F$998,A220,数据!$G$3:$G$998,B220)</f>
        <v>0</v>
      </c>
      <c r="U220">
        <f>SUMIFS(数据!$D$3:$D$998,数据!$E$3:$E$998,"稚鱼",数据!$F$3:$F$998,A220,数据!$G$3:$G$998,B220)</f>
        <v>0</v>
      </c>
    </row>
    <row r="221" spans="1:21" ht="19.9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45" t="str">
        <f t="shared" si="6"/>
        <v/>
      </c>
      <c r="M221" s="45" t="str">
        <f t="shared" si="7"/>
        <v/>
      </c>
      <c r="N221" s="39" t="str">
        <f>IF(AND(A221="",B221=""),"",COUNTIFS(数据!$E$3:$E$998,"&lt;&gt;前期仔鱼",数据!$E$3:$E$998,"&lt;&gt;仔鱼",数据!$E$3:$E$998,"&lt;&gt;稚鱼",数据!$F$3:$F$998,A221,数据!$G$3:$G$998,B221))</f>
        <v/>
      </c>
      <c r="O221" s="39" t="str">
        <f>IF(AND(A221="",B221=""),"",COUNTIFS(数据!$E$3:$E$998,"&lt;&gt;鱼卵",数据!$E$3:$E$998,"&lt;&gt;死卵",数据!$F$3:$F$998,A221,数据!$G$3:$G$998,B221))</f>
        <v/>
      </c>
      <c r="P221" s="31"/>
      <c r="Q221">
        <f>SUMIFS(数据!$D$3:$D$998,数据!$E$3:$E$998,"鱼卵",数据!$F$3:$F$998,A221,数据!$G$3:$G$998,B221)</f>
        <v>0</v>
      </c>
      <c r="R221">
        <f>SUMIFS(数据!$D$3:$D$998,数据!$E$3:$E$998,"死卵",数据!$F$3:$F$998,A221,数据!$G$3:$G$998,B221)</f>
        <v>0</v>
      </c>
      <c r="S221">
        <f>SUMIFS(数据!$D$3:$D$998,数据!$E$3:$E$998,"前期仔鱼",数据!$F$3:$F$998,A221,数据!$G$3:$G$998,B221)</f>
        <v>0</v>
      </c>
      <c r="T221">
        <f>SUMIFS(数据!$D$3:$D$998,数据!$E$3:$E$998,"仔鱼",数据!$F$3:$F$998,A221,数据!$G$3:$G$998,B221)</f>
        <v>0</v>
      </c>
      <c r="U221">
        <f>SUMIFS(数据!$D$3:$D$998,数据!$E$3:$E$998,"稚鱼",数据!$F$3:$F$998,A221,数据!$G$3:$G$998,B221)</f>
        <v>0</v>
      </c>
    </row>
    <row r="222" spans="1:21" ht="19.9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45" t="str">
        <f t="shared" si="6"/>
        <v/>
      </c>
      <c r="M222" s="45" t="str">
        <f t="shared" si="7"/>
        <v/>
      </c>
      <c r="N222" s="39" t="str">
        <f>IF(AND(A222="",B222=""),"",COUNTIFS(数据!$E$3:$E$998,"&lt;&gt;前期仔鱼",数据!$E$3:$E$998,"&lt;&gt;仔鱼",数据!$E$3:$E$998,"&lt;&gt;稚鱼",数据!$F$3:$F$998,A222,数据!$G$3:$G$998,B222))</f>
        <v/>
      </c>
      <c r="O222" s="39" t="str">
        <f>IF(AND(A222="",B222=""),"",COUNTIFS(数据!$E$3:$E$998,"&lt;&gt;鱼卵",数据!$E$3:$E$998,"&lt;&gt;死卵",数据!$F$3:$F$998,A222,数据!$G$3:$G$998,B222))</f>
        <v/>
      </c>
      <c r="P222" s="31"/>
      <c r="Q222">
        <f>SUMIFS(数据!$D$3:$D$998,数据!$E$3:$E$998,"鱼卵",数据!$F$3:$F$998,A222,数据!$G$3:$G$998,B222)</f>
        <v>0</v>
      </c>
      <c r="R222">
        <f>SUMIFS(数据!$D$3:$D$998,数据!$E$3:$E$998,"死卵",数据!$F$3:$F$998,A222,数据!$G$3:$G$998,B222)</f>
        <v>0</v>
      </c>
      <c r="S222">
        <f>SUMIFS(数据!$D$3:$D$998,数据!$E$3:$E$998,"前期仔鱼",数据!$F$3:$F$998,A222,数据!$G$3:$G$998,B222)</f>
        <v>0</v>
      </c>
      <c r="T222">
        <f>SUMIFS(数据!$D$3:$D$998,数据!$E$3:$E$998,"仔鱼",数据!$F$3:$F$998,A222,数据!$G$3:$G$998,B222)</f>
        <v>0</v>
      </c>
      <c r="U222">
        <f>SUMIFS(数据!$D$3:$D$998,数据!$E$3:$E$998,"稚鱼",数据!$F$3:$F$998,A222,数据!$G$3:$G$998,B222)</f>
        <v>0</v>
      </c>
    </row>
    <row r="223" spans="1:21" ht="19.9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45" t="str">
        <f t="shared" si="6"/>
        <v/>
      </c>
      <c r="M223" s="45" t="str">
        <f t="shared" si="7"/>
        <v/>
      </c>
      <c r="N223" s="39" t="str">
        <f>IF(AND(A223="",B223=""),"",COUNTIFS(数据!$E$3:$E$998,"&lt;&gt;前期仔鱼",数据!$E$3:$E$998,"&lt;&gt;仔鱼",数据!$E$3:$E$998,"&lt;&gt;稚鱼",数据!$F$3:$F$998,A223,数据!$G$3:$G$998,B223))</f>
        <v/>
      </c>
      <c r="O223" s="39" t="str">
        <f>IF(AND(A223="",B223=""),"",COUNTIFS(数据!$E$3:$E$998,"&lt;&gt;鱼卵",数据!$E$3:$E$998,"&lt;&gt;死卵",数据!$F$3:$F$998,A223,数据!$G$3:$G$998,B223))</f>
        <v/>
      </c>
      <c r="P223" s="31"/>
      <c r="Q223">
        <f>SUMIFS(数据!$D$3:$D$998,数据!$E$3:$E$998,"鱼卵",数据!$F$3:$F$998,A223,数据!$G$3:$G$998,B223)</f>
        <v>0</v>
      </c>
      <c r="R223">
        <f>SUMIFS(数据!$D$3:$D$998,数据!$E$3:$E$998,"死卵",数据!$F$3:$F$998,A223,数据!$G$3:$G$998,B223)</f>
        <v>0</v>
      </c>
      <c r="S223">
        <f>SUMIFS(数据!$D$3:$D$998,数据!$E$3:$E$998,"前期仔鱼",数据!$F$3:$F$998,A223,数据!$G$3:$G$998,B223)</f>
        <v>0</v>
      </c>
      <c r="T223">
        <f>SUMIFS(数据!$D$3:$D$998,数据!$E$3:$E$998,"仔鱼",数据!$F$3:$F$998,A223,数据!$G$3:$G$998,B223)</f>
        <v>0</v>
      </c>
      <c r="U223">
        <f>SUMIFS(数据!$D$3:$D$998,数据!$E$3:$E$998,"稚鱼",数据!$F$3:$F$998,A223,数据!$G$3:$G$998,B223)</f>
        <v>0</v>
      </c>
    </row>
    <row r="224" spans="1:21" ht="19.9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45" t="str">
        <f t="shared" si="6"/>
        <v/>
      </c>
      <c r="M224" s="45" t="str">
        <f t="shared" si="7"/>
        <v/>
      </c>
      <c r="N224" s="39" t="str">
        <f>IF(AND(A224="",B224=""),"",COUNTIFS(数据!$E$3:$E$998,"&lt;&gt;前期仔鱼",数据!$E$3:$E$998,"&lt;&gt;仔鱼",数据!$E$3:$E$998,"&lt;&gt;稚鱼",数据!$F$3:$F$998,A224,数据!$G$3:$G$998,B224))</f>
        <v/>
      </c>
      <c r="O224" s="39" t="str">
        <f>IF(AND(A224="",B224=""),"",COUNTIFS(数据!$E$3:$E$998,"&lt;&gt;鱼卵",数据!$E$3:$E$998,"&lt;&gt;死卵",数据!$F$3:$F$998,A224,数据!$G$3:$G$998,B224))</f>
        <v/>
      </c>
      <c r="P224" s="31"/>
      <c r="Q224">
        <f>SUMIFS(数据!$D$3:$D$998,数据!$E$3:$E$998,"鱼卵",数据!$F$3:$F$998,A224,数据!$G$3:$G$998,B224)</f>
        <v>0</v>
      </c>
      <c r="R224">
        <f>SUMIFS(数据!$D$3:$D$998,数据!$E$3:$E$998,"死卵",数据!$F$3:$F$998,A224,数据!$G$3:$G$998,B224)</f>
        <v>0</v>
      </c>
      <c r="S224">
        <f>SUMIFS(数据!$D$3:$D$998,数据!$E$3:$E$998,"前期仔鱼",数据!$F$3:$F$998,A224,数据!$G$3:$G$998,B224)</f>
        <v>0</v>
      </c>
      <c r="T224">
        <f>SUMIFS(数据!$D$3:$D$998,数据!$E$3:$E$998,"仔鱼",数据!$F$3:$F$998,A224,数据!$G$3:$G$998,B224)</f>
        <v>0</v>
      </c>
      <c r="U224">
        <f>SUMIFS(数据!$D$3:$D$998,数据!$E$3:$E$998,"稚鱼",数据!$F$3:$F$998,A224,数据!$G$3:$G$998,B224)</f>
        <v>0</v>
      </c>
    </row>
    <row r="225" spans="1:21" ht="19.9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45" t="str">
        <f t="shared" si="6"/>
        <v/>
      </c>
      <c r="M225" s="45" t="str">
        <f t="shared" si="7"/>
        <v/>
      </c>
      <c r="N225" s="39" t="str">
        <f>IF(AND(A225="",B225=""),"",COUNTIFS(数据!$E$3:$E$998,"&lt;&gt;前期仔鱼",数据!$E$3:$E$998,"&lt;&gt;仔鱼",数据!$E$3:$E$998,"&lt;&gt;稚鱼",数据!$F$3:$F$998,A225,数据!$G$3:$G$998,B225))</f>
        <v/>
      </c>
      <c r="O225" s="39" t="str">
        <f>IF(AND(A225="",B225=""),"",COUNTIFS(数据!$E$3:$E$998,"&lt;&gt;鱼卵",数据!$E$3:$E$998,"&lt;&gt;死卵",数据!$F$3:$F$998,A225,数据!$G$3:$G$998,B225))</f>
        <v/>
      </c>
      <c r="P225" s="31"/>
      <c r="Q225">
        <f>SUMIFS(数据!$D$3:$D$998,数据!$E$3:$E$998,"鱼卵",数据!$F$3:$F$998,A225,数据!$G$3:$G$998,B225)</f>
        <v>0</v>
      </c>
      <c r="R225">
        <f>SUMIFS(数据!$D$3:$D$998,数据!$E$3:$E$998,"死卵",数据!$F$3:$F$998,A225,数据!$G$3:$G$998,B225)</f>
        <v>0</v>
      </c>
      <c r="S225">
        <f>SUMIFS(数据!$D$3:$D$998,数据!$E$3:$E$998,"前期仔鱼",数据!$F$3:$F$998,A225,数据!$G$3:$G$998,B225)</f>
        <v>0</v>
      </c>
      <c r="T225">
        <f>SUMIFS(数据!$D$3:$D$998,数据!$E$3:$E$998,"仔鱼",数据!$F$3:$F$998,A225,数据!$G$3:$G$998,B225)</f>
        <v>0</v>
      </c>
      <c r="U225">
        <f>SUMIFS(数据!$D$3:$D$998,数据!$E$3:$E$998,"稚鱼",数据!$F$3:$F$998,A225,数据!$G$3:$G$998,B225)</f>
        <v>0</v>
      </c>
    </row>
    <row r="226" spans="1:21" ht="19.9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45" t="str">
        <f t="shared" si="6"/>
        <v/>
      </c>
      <c r="M226" s="45" t="str">
        <f t="shared" si="7"/>
        <v/>
      </c>
      <c r="N226" s="39" t="str">
        <f>IF(AND(A226="",B226=""),"",COUNTIFS(数据!$E$3:$E$998,"&lt;&gt;前期仔鱼",数据!$E$3:$E$998,"&lt;&gt;仔鱼",数据!$E$3:$E$998,"&lt;&gt;稚鱼",数据!$F$3:$F$998,A226,数据!$G$3:$G$998,B226))</f>
        <v/>
      </c>
      <c r="O226" s="39" t="str">
        <f>IF(AND(A226="",B226=""),"",COUNTIFS(数据!$E$3:$E$998,"&lt;&gt;鱼卵",数据!$E$3:$E$998,"&lt;&gt;死卵",数据!$F$3:$F$998,A226,数据!$G$3:$G$998,B226))</f>
        <v/>
      </c>
      <c r="P226" s="31"/>
      <c r="Q226">
        <f>SUMIFS(数据!$D$3:$D$998,数据!$E$3:$E$998,"鱼卵",数据!$F$3:$F$998,A226,数据!$G$3:$G$998,B226)</f>
        <v>0</v>
      </c>
      <c r="R226">
        <f>SUMIFS(数据!$D$3:$D$998,数据!$E$3:$E$998,"死卵",数据!$F$3:$F$998,A226,数据!$G$3:$G$998,B226)</f>
        <v>0</v>
      </c>
      <c r="S226">
        <f>SUMIFS(数据!$D$3:$D$998,数据!$E$3:$E$998,"前期仔鱼",数据!$F$3:$F$998,A226,数据!$G$3:$G$998,B226)</f>
        <v>0</v>
      </c>
      <c r="T226">
        <f>SUMIFS(数据!$D$3:$D$998,数据!$E$3:$E$998,"仔鱼",数据!$F$3:$F$998,A226,数据!$G$3:$G$998,B226)</f>
        <v>0</v>
      </c>
      <c r="U226">
        <f>SUMIFS(数据!$D$3:$D$998,数据!$E$3:$E$998,"稚鱼",数据!$F$3:$F$998,A226,数据!$G$3:$G$998,B226)</f>
        <v>0</v>
      </c>
    </row>
    <row r="227" spans="1:21" ht="19.9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45" t="str">
        <f t="shared" si="6"/>
        <v/>
      </c>
      <c r="M227" s="45" t="str">
        <f t="shared" si="7"/>
        <v/>
      </c>
      <c r="N227" s="39" t="str">
        <f>IF(AND(A227="",B227=""),"",COUNTIFS(数据!$E$3:$E$998,"&lt;&gt;前期仔鱼",数据!$E$3:$E$998,"&lt;&gt;仔鱼",数据!$E$3:$E$998,"&lt;&gt;稚鱼",数据!$F$3:$F$998,A227,数据!$G$3:$G$998,B227))</f>
        <v/>
      </c>
      <c r="O227" s="39" t="str">
        <f>IF(AND(A227="",B227=""),"",COUNTIFS(数据!$E$3:$E$998,"&lt;&gt;鱼卵",数据!$E$3:$E$998,"&lt;&gt;死卵",数据!$F$3:$F$998,A227,数据!$G$3:$G$998,B227))</f>
        <v/>
      </c>
      <c r="P227" s="31"/>
      <c r="Q227">
        <f>SUMIFS(数据!$D$3:$D$998,数据!$E$3:$E$998,"鱼卵",数据!$F$3:$F$998,A227,数据!$G$3:$G$998,B227)</f>
        <v>0</v>
      </c>
      <c r="R227">
        <f>SUMIFS(数据!$D$3:$D$998,数据!$E$3:$E$998,"死卵",数据!$F$3:$F$998,A227,数据!$G$3:$G$998,B227)</f>
        <v>0</v>
      </c>
      <c r="S227">
        <f>SUMIFS(数据!$D$3:$D$998,数据!$E$3:$E$998,"前期仔鱼",数据!$F$3:$F$998,A227,数据!$G$3:$G$998,B227)</f>
        <v>0</v>
      </c>
      <c r="T227">
        <f>SUMIFS(数据!$D$3:$D$998,数据!$E$3:$E$998,"仔鱼",数据!$F$3:$F$998,A227,数据!$G$3:$G$998,B227)</f>
        <v>0</v>
      </c>
      <c r="U227">
        <f>SUMIFS(数据!$D$3:$D$998,数据!$E$3:$E$998,"稚鱼",数据!$F$3:$F$998,A227,数据!$G$3:$G$998,B227)</f>
        <v>0</v>
      </c>
    </row>
    <row r="228" spans="1:21" ht="19.9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45" t="str">
        <f t="shared" si="6"/>
        <v/>
      </c>
      <c r="M228" s="45" t="str">
        <f t="shared" si="7"/>
        <v/>
      </c>
      <c r="N228" s="39" t="str">
        <f>IF(AND(A228="",B228=""),"",COUNTIFS(数据!$E$3:$E$998,"&lt;&gt;前期仔鱼",数据!$E$3:$E$998,"&lt;&gt;仔鱼",数据!$E$3:$E$998,"&lt;&gt;稚鱼",数据!$F$3:$F$998,A228,数据!$G$3:$G$998,B228))</f>
        <v/>
      </c>
      <c r="O228" s="39" t="str">
        <f>IF(AND(A228="",B228=""),"",COUNTIFS(数据!$E$3:$E$998,"&lt;&gt;鱼卵",数据!$E$3:$E$998,"&lt;&gt;死卵",数据!$F$3:$F$998,A228,数据!$G$3:$G$998,B228))</f>
        <v/>
      </c>
      <c r="P228" s="31"/>
      <c r="Q228">
        <f>SUMIFS(数据!$D$3:$D$998,数据!$E$3:$E$998,"鱼卵",数据!$F$3:$F$998,A228,数据!$G$3:$G$998,B228)</f>
        <v>0</v>
      </c>
      <c r="R228">
        <f>SUMIFS(数据!$D$3:$D$998,数据!$E$3:$E$998,"死卵",数据!$F$3:$F$998,A228,数据!$G$3:$G$998,B228)</f>
        <v>0</v>
      </c>
      <c r="S228">
        <f>SUMIFS(数据!$D$3:$D$998,数据!$E$3:$E$998,"前期仔鱼",数据!$F$3:$F$998,A228,数据!$G$3:$G$998,B228)</f>
        <v>0</v>
      </c>
      <c r="T228">
        <f>SUMIFS(数据!$D$3:$D$998,数据!$E$3:$E$998,"仔鱼",数据!$F$3:$F$998,A228,数据!$G$3:$G$998,B228)</f>
        <v>0</v>
      </c>
      <c r="U228">
        <f>SUMIFS(数据!$D$3:$D$998,数据!$E$3:$E$998,"稚鱼",数据!$F$3:$F$998,A228,数据!$G$3:$G$998,B228)</f>
        <v>0</v>
      </c>
    </row>
    <row r="229" spans="1:21" ht="19.9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45" t="str">
        <f t="shared" si="6"/>
        <v/>
      </c>
      <c r="M229" s="45" t="str">
        <f t="shared" si="7"/>
        <v/>
      </c>
      <c r="N229" s="39" t="str">
        <f>IF(AND(A229="",B229=""),"",COUNTIFS(数据!$E$3:$E$998,"&lt;&gt;前期仔鱼",数据!$E$3:$E$998,"&lt;&gt;仔鱼",数据!$E$3:$E$998,"&lt;&gt;稚鱼",数据!$F$3:$F$998,A229,数据!$G$3:$G$998,B229))</f>
        <v/>
      </c>
      <c r="O229" s="39" t="str">
        <f>IF(AND(A229="",B229=""),"",COUNTIFS(数据!$E$3:$E$998,"&lt;&gt;鱼卵",数据!$E$3:$E$998,"&lt;&gt;死卵",数据!$F$3:$F$998,A229,数据!$G$3:$G$998,B229))</f>
        <v/>
      </c>
      <c r="P229" s="31"/>
      <c r="Q229">
        <f>SUMIFS(数据!$D$3:$D$998,数据!$E$3:$E$998,"鱼卵",数据!$F$3:$F$998,A229,数据!$G$3:$G$998,B229)</f>
        <v>0</v>
      </c>
      <c r="R229">
        <f>SUMIFS(数据!$D$3:$D$998,数据!$E$3:$E$998,"死卵",数据!$F$3:$F$998,A229,数据!$G$3:$G$998,B229)</f>
        <v>0</v>
      </c>
      <c r="S229">
        <f>SUMIFS(数据!$D$3:$D$998,数据!$E$3:$E$998,"前期仔鱼",数据!$F$3:$F$998,A229,数据!$G$3:$G$998,B229)</f>
        <v>0</v>
      </c>
      <c r="T229">
        <f>SUMIFS(数据!$D$3:$D$998,数据!$E$3:$E$998,"仔鱼",数据!$F$3:$F$998,A229,数据!$G$3:$G$998,B229)</f>
        <v>0</v>
      </c>
      <c r="U229">
        <f>SUMIFS(数据!$D$3:$D$998,数据!$E$3:$E$998,"稚鱼",数据!$F$3:$F$998,A229,数据!$G$3:$G$998,B229)</f>
        <v>0</v>
      </c>
    </row>
    <row r="230" spans="1:21" ht="19.9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45" t="str">
        <f t="shared" si="6"/>
        <v/>
      </c>
      <c r="M230" s="45" t="str">
        <f t="shared" si="7"/>
        <v/>
      </c>
      <c r="N230" s="39" t="str">
        <f>IF(AND(A230="",B230=""),"",COUNTIFS(数据!$E$3:$E$998,"&lt;&gt;前期仔鱼",数据!$E$3:$E$998,"&lt;&gt;仔鱼",数据!$E$3:$E$998,"&lt;&gt;稚鱼",数据!$F$3:$F$998,A230,数据!$G$3:$G$998,B230))</f>
        <v/>
      </c>
      <c r="O230" s="39" t="str">
        <f>IF(AND(A230="",B230=""),"",COUNTIFS(数据!$E$3:$E$998,"&lt;&gt;鱼卵",数据!$E$3:$E$998,"&lt;&gt;死卵",数据!$F$3:$F$998,A230,数据!$G$3:$G$998,B230))</f>
        <v/>
      </c>
      <c r="P230" s="31"/>
      <c r="Q230">
        <f>SUMIFS(数据!$D$3:$D$998,数据!$E$3:$E$998,"鱼卵",数据!$F$3:$F$998,A230,数据!$G$3:$G$998,B230)</f>
        <v>0</v>
      </c>
      <c r="R230">
        <f>SUMIFS(数据!$D$3:$D$998,数据!$E$3:$E$998,"死卵",数据!$F$3:$F$998,A230,数据!$G$3:$G$998,B230)</f>
        <v>0</v>
      </c>
      <c r="S230">
        <f>SUMIFS(数据!$D$3:$D$998,数据!$E$3:$E$998,"前期仔鱼",数据!$F$3:$F$998,A230,数据!$G$3:$G$998,B230)</f>
        <v>0</v>
      </c>
      <c r="T230">
        <f>SUMIFS(数据!$D$3:$D$998,数据!$E$3:$E$998,"仔鱼",数据!$F$3:$F$998,A230,数据!$G$3:$G$998,B230)</f>
        <v>0</v>
      </c>
      <c r="U230">
        <f>SUMIFS(数据!$D$3:$D$998,数据!$E$3:$E$998,"稚鱼",数据!$F$3:$F$998,A230,数据!$G$3:$G$998,B230)</f>
        <v>0</v>
      </c>
    </row>
    <row r="231" spans="1:21" ht="19.9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45" t="str">
        <f t="shared" si="6"/>
        <v/>
      </c>
      <c r="M231" s="45" t="str">
        <f t="shared" si="7"/>
        <v/>
      </c>
      <c r="N231" s="39" t="str">
        <f>IF(AND(A231="",B231=""),"",COUNTIFS(数据!$E$3:$E$998,"&lt;&gt;前期仔鱼",数据!$E$3:$E$998,"&lt;&gt;仔鱼",数据!$E$3:$E$998,"&lt;&gt;稚鱼",数据!$F$3:$F$998,A231,数据!$G$3:$G$998,B231))</f>
        <v/>
      </c>
      <c r="O231" s="39" t="str">
        <f>IF(AND(A231="",B231=""),"",COUNTIFS(数据!$E$3:$E$998,"&lt;&gt;鱼卵",数据!$E$3:$E$998,"&lt;&gt;死卵",数据!$F$3:$F$998,A231,数据!$G$3:$G$998,B231))</f>
        <v/>
      </c>
      <c r="P231" s="31"/>
      <c r="Q231">
        <f>SUMIFS(数据!$D$3:$D$998,数据!$E$3:$E$998,"鱼卵",数据!$F$3:$F$998,A231,数据!$G$3:$G$998,B231)</f>
        <v>0</v>
      </c>
      <c r="R231">
        <f>SUMIFS(数据!$D$3:$D$998,数据!$E$3:$E$998,"死卵",数据!$F$3:$F$998,A231,数据!$G$3:$G$998,B231)</f>
        <v>0</v>
      </c>
      <c r="S231">
        <f>SUMIFS(数据!$D$3:$D$998,数据!$E$3:$E$998,"前期仔鱼",数据!$F$3:$F$998,A231,数据!$G$3:$G$998,B231)</f>
        <v>0</v>
      </c>
      <c r="T231">
        <f>SUMIFS(数据!$D$3:$D$998,数据!$E$3:$E$998,"仔鱼",数据!$F$3:$F$998,A231,数据!$G$3:$G$998,B231)</f>
        <v>0</v>
      </c>
      <c r="U231">
        <f>SUMIFS(数据!$D$3:$D$998,数据!$E$3:$E$998,"稚鱼",数据!$F$3:$F$998,A231,数据!$G$3:$G$998,B231)</f>
        <v>0</v>
      </c>
    </row>
    <row r="232" spans="1:21" ht="19.9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45" t="str">
        <f t="shared" si="6"/>
        <v/>
      </c>
      <c r="M232" s="45" t="str">
        <f t="shared" si="7"/>
        <v/>
      </c>
      <c r="N232" s="39" t="str">
        <f>IF(AND(A232="",B232=""),"",COUNTIFS(数据!$E$3:$E$998,"&lt;&gt;前期仔鱼",数据!$E$3:$E$998,"&lt;&gt;仔鱼",数据!$E$3:$E$998,"&lt;&gt;稚鱼",数据!$F$3:$F$998,A232,数据!$G$3:$G$998,B232))</f>
        <v/>
      </c>
      <c r="O232" s="39" t="str">
        <f>IF(AND(A232="",B232=""),"",COUNTIFS(数据!$E$3:$E$998,"&lt;&gt;鱼卵",数据!$E$3:$E$998,"&lt;&gt;死卵",数据!$F$3:$F$998,A232,数据!$G$3:$G$998,B232))</f>
        <v/>
      </c>
      <c r="P232" s="31"/>
      <c r="Q232">
        <f>SUMIFS(数据!$D$3:$D$998,数据!$E$3:$E$998,"鱼卵",数据!$F$3:$F$998,A232,数据!$G$3:$G$998,B232)</f>
        <v>0</v>
      </c>
      <c r="R232">
        <f>SUMIFS(数据!$D$3:$D$998,数据!$E$3:$E$998,"死卵",数据!$F$3:$F$998,A232,数据!$G$3:$G$998,B232)</f>
        <v>0</v>
      </c>
      <c r="S232">
        <f>SUMIFS(数据!$D$3:$D$998,数据!$E$3:$E$998,"前期仔鱼",数据!$F$3:$F$998,A232,数据!$G$3:$G$998,B232)</f>
        <v>0</v>
      </c>
      <c r="T232">
        <f>SUMIFS(数据!$D$3:$D$998,数据!$E$3:$E$998,"仔鱼",数据!$F$3:$F$998,A232,数据!$G$3:$G$998,B232)</f>
        <v>0</v>
      </c>
      <c r="U232">
        <f>SUMIFS(数据!$D$3:$D$998,数据!$E$3:$E$998,"稚鱼",数据!$F$3:$F$998,A232,数据!$G$3:$G$998,B232)</f>
        <v>0</v>
      </c>
    </row>
    <row r="233" spans="1:21" ht="19.9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45" t="str">
        <f t="shared" si="6"/>
        <v/>
      </c>
      <c r="M233" s="45" t="str">
        <f t="shared" si="7"/>
        <v/>
      </c>
      <c r="N233" s="39" t="str">
        <f>IF(AND(A233="",B233=""),"",COUNTIFS(数据!$E$3:$E$998,"&lt;&gt;前期仔鱼",数据!$E$3:$E$998,"&lt;&gt;仔鱼",数据!$E$3:$E$998,"&lt;&gt;稚鱼",数据!$F$3:$F$998,A233,数据!$G$3:$G$998,B233))</f>
        <v/>
      </c>
      <c r="O233" s="39" t="str">
        <f>IF(AND(A233="",B233=""),"",COUNTIFS(数据!$E$3:$E$998,"&lt;&gt;鱼卵",数据!$E$3:$E$998,"&lt;&gt;死卵",数据!$F$3:$F$998,A233,数据!$G$3:$G$998,B233))</f>
        <v/>
      </c>
      <c r="P233" s="31"/>
      <c r="Q233">
        <f>SUMIFS(数据!$D$3:$D$998,数据!$E$3:$E$998,"鱼卵",数据!$F$3:$F$998,A233,数据!$G$3:$G$998,B233)</f>
        <v>0</v>
      </c>
      <c r="R233">
        <f>SUMIFS(数据!$D$3:$D$998,数据!$E$3:$E$998,"死卵",数据!$F$3:$F$998,A233,数据!$G$3:$G$998,B233)</f>
        <v>0</v>
      </c>
      <c r="S233">
        <f>SUMIFS(数据!$D$3:$D$998,数据!$E$3:$E$998,"前期仔鱼",数据!$F$3:$F$998,A233,数据!$G$3:$G$998,B233)</f>
        <v>0</v>
      </c>
      <c r="T233">
        <f>SUMIFS(数据!$D$3:$D$998,数据!$E$3:$E$998,"仔鱼",数据!$F$3:$F$998,A233,数据!$G$3:$G$998,B233)</f>
        <v>0</v>
      </c>
      <c r="U233">
        <f>SUMIFS(数据!$D$3:$D$998,数据!$E$3:$E$998,"稚鱼",数据!$F$3:$F$998,A233,数据!$G$3:$G$998,B233)</f>
        <v>0</v>
      </c>
    </row>
    <row r="234" spans="1:21" ht="19.9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45" t="str">
        <f t="shared" si="6"/>
        <v/>
      </c>
      <c r="M234" s="45" t="str">
        <f t="shared" si="7"/>
        <v/>
      </c>
      <c r="N234" s="39" t="str">
        <f>IF(AND(A234="",B234=""),"",COUNTIFS(数据!$E$3:$E$998,"&lt;&gt;前期仔鱼",数据!$E$3:$E$998,"&lt;&gt;仔鱼",数据!$E$3:$E$998,"&lt;&gt;稚鱼",数据!$F$3:$F$998,A234,数据!$G$3:$G$998,B234))</f>
        <v/>
      </c>
      <c r="O234" s="39" t="str">
        <f>IF(AND(A234="",B234=""),"",COUNTIFS(数据!$E$3:$E$998,"&lt;&gt;鱼卵",数据!$E$3:$E$998,"&lt;&gt;死卵",数据!$F$3:$F$998,A234,数据!$G$3:$G$998,B234))</f>
        <v/>
      </c>
      <c r="P234" s="31"/>
      <c r="Q234">
        <f>SUMIFS(数据!$D$3:$D$998,数据!$E$3:$E$998,"鱼卵",数据!$F$3:$F$998,A234,数据!$G$3:$G$998,B234)</f>
        <v>0</v>
      </c>
      <c r="R234">
        <f>SUMIFS(数据!$D$3:$D$998,数据!$E$3:$E$998,"死卵",数据!$F$3:$F$998,A234,数据!$G$3:$G$998,B234)</f>
        <v>0</v>
      </c>
      <c r="S234">
        <f>SUMIFS(数据!$D$3:$D$998,数据!$E$3:$E$998,"前期仔鱼",数据!$F$3:$F$998,A234,数据!$G$3:$G$998,B234)</f>
        <v>0</v>
      </c>
      <c r="T234">
        <f>SUMIFS(数据!$D$3:$D$998,数据!$E$3:$E$998,"仔鱼",数据!$F$3:$F$998,A234,数据!$G$3:$G$998,B234)</f>
        <v>0</v>
      </c>
      <c r="U234">
        <f>SUMIFS(数据!$D$3:$D$998,数据!$E$3:$E$998,"稚鱼",数据!$F$3:$F$998,A234,数据!$G$3:$G$998,B234)</f>
        <v>0</v>
      </c>
    </row>
    <row r="235" spans="1:21" ht="19.9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45" t="str">
        <f t="shared" si="6"/>
        <v/>
      </c>
      <c r="M235" s="45" t="str">
        <f t="shared" si="7"/>
        <v/>
      </c>
      <c r="N235" s="39" t="str">
        <f>IF(AND(A235="",B235=""),"",COUNTIFS(数据!$E$3:$E$998,"&lt;&gt;前期仔鱼",数据!$E$3:$E$998,"&lt;&gt;仔鱼",数据!$E$3:$E$998,"&lt;&gt;稚鱼",数据!$F$3:$F$998,A235,数据!$G$3:$G$998,B235))</f>
        <v/>
      </c>
      <c r="O235" s="39" t="str">
        <f>IF(AND(A235="",B235=""),"",COUNTIFS(数据!$E$3:$E$998,"&lt;&gt;鱼卵",数据!$E$3:$E$998,"&lt;&gt;死卵",数据!$F$3:$F$998,A235,数据!$G$3:$G$998,B235))</f>
        <v/>
      </c>
      <c r="P235" s="31"/>
      <c r="Q235">
        <f>SUMIFS(数据!$D$3:$D$998,数据!$E$3:$E$998,"鱼卵",数据!$F$3:$F$998,A235,数据!$G$3:$G$998,B235)</f>
        <v>0</v>
      </c>
      <c r="R235">
        <f>SUMIFS(数据!$D$3:$D$998,数据!$E$3:$E$998,"死卵",数据!$F$3:$F$998,A235,数据!$G$3:$G$998,B235)</f>
        <v>0</v>
      </c>
      <c r="S235">
        <f>SUMIFS(数据!$D$3:$D$998,数据!$E$3:$E$998,"前期仔鱼",数据!$F$3:$F$998,A235,数据!$G$3:$G$998,B235)</f>
        <v>0</v>
      </c>
      <c r="T235">
        <f>SUMIFS(数据!$D$3:$D$998,数据!$E$3:$E$998,"仔鱼",数据!$F$3:$F$998,A235,数据!$G$3:$G$998,B235)</f>
        <v>0</v>
      </c>
      <c r="U235">
        <f>SUMIFS(数据!$D$3:$D$998,数据!$E$3:$E$998,"稚鱼",数据!$F$3:$F$998,A235,数据!$G$3:$G$998,B235)</f>
        <v>0</v>
      </c>
    </row>
    <row r="236" spans="1:21" ht="19.9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45" t="str">
        <f t="shared" si="6"/>
        <v/>
      </c>
      <c r="M236" s="45" t="str">
        <f t="shared" si="7"/>
        <v/>
      </c>
      <c r="N236" s="39" t="str">
        <f>IF(AND(A236="",B236=""),"",COUNTIFS(数据!$E$3:$E$998,"&lt;&gt;前期仔鱼",数据!$E$3:$E$998,"&lt;&gt;仔鱼",数据!$E$3:$E$998,"&lt;&gt;稚鱼",数据!$F$3:$F$998,A236,数据!$G$3:$G$998,B236))</f>
        <v/>
      </c>
      <c r="O236" s="39" t="str">
        <f>IF(AND(A236="",B236=""),"",COUNTIFS(数据!$E$3:$E$998,"&lt;&gt;鱼卵",数据!$E$3:$E$998,"&lt;&gt;死卵",数据!$F$3:$F$998,A236,数据!$G$3:$G$998,B236))</f>
        <v/>
      </c>
      <c r="P236" s="31"/>
      <c r="Q236">
        <f>SUMIFS(数据!$D$3:$D$998,数据!$E$3:$E$998,"鱼卵",数据!$F$3:$F$998,A236,数据!$G$3:$G$998,B236)</f>
        <v>0</v>
      </c>
      <c r="R236">
        <f>SUMIFS(数据!$D$3:$D$998,数据!$E$3:$E$998,"死卵",数据!$F$3:$F$998,A236,数据!$G$3:$G$998,B236)</f>
        <v>0</v>
      </c>
      <c r="S236">
        <f>SUMIFS(数据!$D$3:$D$998,数据!$E$3:$E$998,"前期仔鱼",数据!$F$3:$F$998,A236,数据!$G$3:$G$998,B236)</f>
        <v>0</v>
      </c>
      <c r="T236">
        <f>SUMIFS(数据!$D$3:$D$998,数据!$E$3:$E$998,"仔鱼",数据!$F$3:$F$998,A236,数据!$G$3:$G$998,B236)</f>
        <v>0</v>
      </c>
      <c r="U236">
        <f>SUMIFS(数据!$D$3:$D$998,数据!$E$3:$E$998,"稚鱼",数据!$F$3:$F$998,A236,数据!$G$3:$G$998,B236)</f>
        <v>0</v>
      </c>
    </row>
    <row r="237" spans="1:21" ht="19.9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45" t="str">
        <f t="shared" si="6"/>
        <v/>
      </c>
      <c r="M237" s="45" t="str">
        <f t="shared" si="7"/>
        <v/>
      </c>
      <c r="N237" s="39" t="str">
        <f>IF(AND(A237="",B237=""),"",COUNTIFS(数据!$E$3:$E$998,"&lt;&gt;前期仔鱼",数据!$E$3:$E$998,"&lt;&gt;仔鱼",数据!$E$3:$E$998,"&lt;&gt;稚鱼",数据!$F$3:$F$998,A237,数据!$G$3:$G$998,B237))</f>
        <v/>
      </c>
      <c r="O237" s="39" t="str">
        <f>IF(AND(A237="",B237=""),"",COUNTIFS(数据!$E$3:$E$998,"&lt;&gt;鱼卵",数据!$E$3:$E$998,"&lt;&gt;死卵",数据!$F$3:$F$998,A237,数据!$G$3:$G$998,B237))</f>
        <v/>
      </c>
      <c r="P237" s="31"/>
      <c r="Q237">
        <f>SUMIFS(数据!$D$3:$D$998,数据!$E$3:$E$998,"鱼卵",数据!$F$3:$F$998,A237,数据!$G$3:$G$998,B237)</f>
        <v>0</v>
      </c>
      <c r="R237">
        <f>SUMIFS(数据!$D$3:$D$998,数据!$E$3:$E$998,"死卵",数据!$F$3:$F$998,A237,数据!$G$3:$G$998,B237)</f>
        <v>0</v>
      </c>
      <c r="S237">
        <f>SUMIFS(数据!$D$3:$D$998,数据!$E$3:$E$998,"前期仔鱼",数据!$F$3:$F$998,A237,数据!$G$3:$G$998,B237)</f>
        <v>0</v>
      </c>
      <c r="T237">
        <f>SUMIFS(数据!$D$3:$D$998,数据!$E$3:$E$998,"仔鱼",数据!$F$3:$F$998,A237,数据!$G$3:$G$998,B237)</f>
        <v>0</v>
      </c>
      <c r="U237">
        <f>SUMIFS(数据!$D$3:$D$998,数据!$E$3:$E$998,"稚鱼",数据!$F$3:$F$998,A237,数据!$G$3:$G$998,B237)</f>
        <v>0</v>
      </c>
    </row>
    <row r="238" spans="1:21" ht="19.9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45" t="str">
        <f t="shared" si="6"/>
        <v/>
      </c>
      <c r="M238" s="45" t="str">
        <f t="shared" si="7"/>
        <v/>
      </c>
      <c r="N238" s="39" t="str">
        <f>IF(AND(A238="",B238=""),"",COUNTIFS(数据!$E$3:$E$998,"&lt;&gt;前期仔鱼",数据!$E$3:$E$998,"&lt;&gt;仔鱼",数据!$E$3:$E$998,"&lt;&gt;稚鱼",数据!$F$3:$F$998,A238,数据!$G$3:$G$998,B238))</f>
        <v/>
      </c>
      <c r="O238" s="39" t="str">
        <f>IF(AND(A238="",B238=""),"",COUNTIFS(数据!$E$3:$E$998,"&lt;&gt;鱼卵",数据!$E$3:$E$998,"&lt;&gt;死卵",数据!$F$3:$F$998,A238,数据!$G$3:$G$998,B238))</f>
        <v/>
      </c>
      <c r="P238" s="31"/>
      <c r="Q238">
        <f>SUMIFS(数据!$D$3:$D$998,数据!$E$3:$E$998,"鱼卵",数据!$F$3:$F$998,A238,数据!$G$3:$G$998,B238)</f>
        <v>0</v>
      </c>
      <c r="R238">
        <f>SUMIFS(数据!$D$3:$D$998,数据!$E$3:$E$998,"死卵",数据!$F$3:$F$998,A238,数据!$G$3:$G$998,B238)</f>
        <v>0</v>
      </c>
      <c r="S238">
        <f>SUMIFS(数据!$D$3:$D$998,数据!$E$3:$E$998,"前期仔鱼",数据!$F$3:$F$998,A238,数据!$G$3:$G$998,B238)</f>
        <v>0</v>
      </c>
      <c r="T238">
        <f>SUMIFS(数据!$D$3:$D$998,数据!$E$3:$E$998,"仔鱼",数据!$F$3:$F$998,A238,数据!$G$3:$G$998,B238)</f>
        <v>0</v>
      </c>
      <c r="U238">
        <f>SUMIFS(数据!$D$3:$D$998,数据!$E$3:$E$998,"稚鱼",数据!$F$3:$F$998,A238,数据!$G$3:$G$998,B238)</f>
        <v>0</v>
      </c>
    </row>
    <row r="239" spans="1:21" ht="19.9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45" t="str">
        <f t="shared" si="6"/>
        <v/>
      </c>
      <c r="M239" s="45" t="str">
        <f t="shared" si="7"/>
        <v/>
      </c>
      <c r="N239" s="39" t="str">
        <f>IF(AND(A239="",B239=""),"",COUNTIFS(数据!$E$3:$E$998,"&lt;&gt;前期仔鱼",数据!$E$3:$E$998,"&lt;&gt;仔鱼",数据!$E$3:$E$998,"&lt;&gt;稚鱼",数据!$F$3:$F$998,A239,数据!$G$3:$G$998,B239))</f>
        <v/>
      </c>
      <c r="O239" s="39" t="str">
        <f>IF(AND(A239="",B239=""),"",COUNTIFS(数据!$E$3:$E$998,"&lt;&gt;鱼卵",数据!$E$3:$E$998,"&lt;&gt;死卵",数据!$F$3:$F$998,A239,数据!$G$3:$G$998,B239))</f>
        <v/>
      </c>
      <c r="P239" s="31"/>
      <c r="Q239">
        <f>SUMIFS(数据!$D$3:$D$998,数据!$E$3:$E$998,"鱼卵",数据!$F$3:$F$998,A239,数据!$G$3:$G$998,B239)</f>
        <v>0</v>
      </c>
      <c r="R239">
        <f>SUMIFS(数据!$D$3:$D$998,数据!$E$3:$E$998,"死卵",数据!$F$3:$F$998,A239,数据!$G$3:$G$998,B239)</f>
        <v>0</v>
      </c>
      <c r="S239">
        <f>SUMIFS(数据!$D$3:$D$998,数据!$E$3:$E$998,"前期仔鱼",数据!$F$3:$F$998,A239,数据!$G$3:$G$998,B239)</f>
        <v>0</v>
      </c>
      <c r="T239">
        <f>SUMIFS(数据!$D$3:$D$998,数据!$E$3:$E$998,"仔鱼",数据!$F$3:$F$998,A239,数据!$G$3:$G$998,B239)</f>
        <v>0</v>
      </c>
      <c r="U239">
        <f>SUMIFS(数据!$D$3:$D$998,数据!$E$3:$E$998,"稚鱼",数据!$F$3:$F$998,A239,数据!$G$3:$G$998,B239)</f>
        <v>0</v>
      </c>
    </row>
    <row r="240" spans="1:21" ht="19.9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45" t="str">
        <f t="shared" si="6"/>
        <v/>
      </c>
      <c r="M240" s="45" t="str">
        <f t="shared" si="7"/>
        <v/>
      </c>
      <c r="N240" s="39" t="str">
        <f>IF(AND(A240="",B240=""),"",COUNTIFS(数据!$E$3:$E$998,"&lt;&gt;前期仔鱼",数据!$E$3:$E$998,"&lt;&gt;仔鱼",数据!$E$3:$E$998,"&lt;&gt;稚鱼",数据!$F$3:$F$998,A240,数据!$G$3:$G$998,B240))</f>
        <v/>
      </c>
      <c r="O240" s="39" t="str">
        <f>IF(AND(A240="",B240=""),"",COUNTIFS(数据!$E$3:$E$998,"&lt;&gt;鱼卵",数据!$E$3:$E$998,"&lt;&gt;死卵",数据!$F$3:$F$998,A240,数据!$G$3:$G$998,B240))</f>
        <v/>
      </c>
      <c r="P240" s="31"/>
      <c r="Q240">
        <f>SUMIFS(数据!$D$3:$D$998,数据!$E$3:$E$998,"鱼卵",数据!$F$3:$F$998,A240,数据!$G$3:$G$998,B240)</f>
        <v>0</v>
      </c>
      <c r="R240">
        <f>SUMIFS(数据!$D$3:$D$998,数据!$E$3:$E$998,"死卵",数据!$F$3:$F$998,A240,数据!$G$3:$G$998,B240)</f>
        <v>0</v>
      </c>
      <c r="S240">
        <f>SUMIFS(数据!$D$3:$D$998,数据!$E$3:$E$998,"前期仔鱼",数据!$F$3:$F$998,A240,数据!$G$3:$G$998,B240)</f>
        <v>0</v>
      </c>
      <c r="T240">
        <f>SUMIFS(数据!$D$3:$D$998,数据!$E$3:$E$998,"仔鱼",数据!$F$3:$F$998,A240,数据!$G$3:$G$998,B240)</f>
        <v>0</v>
      </c>
      <c r="U240">
        <f>SUMIFS(数据!$D$3:$D$998,数据!$E$3:$E$998,"稚鱼",数据!$F$3:$F$998,A240,数据!$G$3:$G$998,B240)</f>
        <v>0</v>
      </c>
    </row>
    <row r="241" spans="1:21" ht="19.9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45" t="str">
        <f t="shared" si="6"/>
        <v/>
      </c>
      <c r="M241" s="45" t="str">
        <f t="shared" si="7"/>
        <v/>
      </c>
      <c r="N241" s="39" t="str">
        <f>IF(AND(A241="",B241=""),"",COUNTIFS(数据!$E$3:$E$998,"&lt;&gt;前期仔鱼",数据!$E$3:$E$998,"&lt;&gt;仔鱼",数据!$E$3:$E$998,"&lt;&gt;稚鱼",数据!$F$3:$F$998,A241,数据!$G$3:$G$998,B241))</f>
        <v/>
      </c>
      <c r="O241" s="39" t="str">
        <f>IF(AND(A241="",B241=""),"",COUNTIFS(数据!$E$3:$E$998,"&lt;&gt;鱼卵",数据!$E$3:$E$998,"&lt;&gt;死卵",数据!$F$3:$F$998,A241,数据!$G$3:$G$998,B241))</f>
        <v/>
      </c>
      <c r="P241" s="31"/>
      <c r="Q241">
        <f>SUMIFS(数据!$D$3:$D$998,数据!$E$3:$E$998,"鱼卵",数据!$F$3:$F$998,A241,数据!$G$3:$G$998,B241)</f>
        <v>0</v>
      </c>
      <c r="R241">
        <f>SUMIFS(数据!$D$3:$D$998,数据!$E$3:$E$998,"死卵",数据!$F$3:$F$998,A241,数据!$G$3:$G$998,B241)</f>
        <v>0</v>
      </c>
      <c r="S241">
        <f>SUMIFS(数据!$D$3:$D$998,数据!$E$3:$E$998,"前期仔鱼",数据!$F$3:$F$998,A241,数据!$G$3:$G$998,B241)</f>
        <v>0</v>
      </c>
      <c r="T241">
        <f>SUMIFS(数据!$D$3:$D$998,数据!$E$3:$E$998,"仔鱼",数据!$F$3:$F$998,A241,数据!$G$3:$G$998,B241)</f>
        <v>0</v>
      </c>
      <c r="U241">
        <f>SUMIFS(数据!$D$3:$D$998,数据!$E$3:$E$998,"稚鱼",数据!$F$3:$F$998,A241,数据!$G$3:$G$998,B241)</f>
        <v>0</v>
      </c>
    </row>
    <row r="242" spans="1:21" ht="19.9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45" t="str">
        <f t="shared" si="6"/>
        <v/>
      </c>
      <c r="M242" s="45" t="str">
        <f t="shared" si="7"/>
        <v/>
      </c>
      <c r="N242" s="39" t="str">
        <f>IF(AND(A242="",B242=""),"",COUNTIFS(数据!$E$3:$E$998,"&lt;&gt;前期仔鱼",数据!$E$3:$E$998,"&lt;&gt;仔鱼",数据!$E$3:$E$998,"&lt;&gt;稚鱼",数据!$F$3:$F$998,A242,数据!$G$3:$G$998,B242))</f>
        <v/>
      </c>
      <c r="O242" s="39" t="str">
        <f>IF(AND(A242="",B242=""),"",COUNTIFS(数据!$E$3:$E$998,"&lt;&gt;鱼卵",数据!$E$3:$E$998,"&lt;&gt;死卵",数据!$F$3:$F$998,A242,数据!$G$3:$G$998,B242))</f>
        <v/>
      </c>
      <c r="P242" s="31"/>
      <c r="Q242">
        <f>SUMIFS(数据!$D$3:$D$998,数据!$E$3:$E$998,"鱼卵",数据!$F$3:$F$998,A242,数据!$G$3:$G$998,B242)</f>
        <v>0</v>
      </c>
      <c r="R242">
        <f>SUMIFS(数据!$D$3:$D$998,数据!$E$3:$E$998,"死卵",数据!$F$3:$F$998,A242,数据!$G$3:$G$998,B242)</f>
        <v>0</v>
      </c>
      <c r="S242">
        <f>SUMIFS(数据!$D$3:$D$998,数据!$E$3:$E$998,"前期仔鱼",数据!$F$3:$F$998,A242,数据!$G$3:$G$998,B242)</f>
        <v>0</v>
      </c>
      <c r="T242">
        <f>SUMIFS(数据!$D$3:$D$998,数据!$E$3:$E$998,"仔鱼",数据!$F$3:$F$998,A242,数据!$G$3:$G$998,B242)</f>
        <v>0</v>
      </c>
      <c r="U242">
        <f>SUMIFS(数据!$D$3:$D$998,数据!$E$3:$E$998,"稚鱼",数据!$F$3:$F$998,A242,数据!$G$3:$G$998,B242)</f>
        <v>0</v>
      </c>
    </row>
    <row r="243" spans="1:21" ht="19.9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45" t="str">
        <f t="shared" si="6"/>
        <v/>
      </c>
      <c r="M243" s="45" t="str">
        <f t="shared" si="7"/>
        <v/>
      </c>
      <c r="N243" s="39" t="str">
        <f>IF(AND(A243="",B243=""),"",COUNTIFS(数据!$E$3:$E$998,"&lt;&gt;前期仔鱼",数据!$E$3:$E$998,"&lt;&gt;仔鱼",数据!$E$3:$E$998,"&lt;&gt;稚鱼",数据!$F$3:$F$998,A243,数据!$G$3:$G$998,B243))</f>
        <v/>
      </c>
      <c r="O243" s="39" t="str">
        <f>IF(AND(A243="",B243=""),"",COUNTIFS(数据!$E$3:$E$998,"&lt;&gt;鱼卵",数据!$E$3:$E$998,"&lt;&gt;死卵",数据!$F$3:$F$998,A243,数据!$G$3:$G$998,B243))</f>
        <v/>
      </c>
      <c r="P243" s="31"/>
      <c r="Q243">
        <f>SUMIFS(数据!$D$3:$D$998,数据!$E$3:$E$998,"鱼卵",数据!$F$3:$F$998,A243,数据!$G$3:$G$998,B243)</f>
        <v>0</v>
      </c>
      <c r="R243">
        <f>SUMIFS(数据!$D$3:$D$998,数据!$E$3:$E$998,"死卵",数据!$F$3:$F$998,A243,数据!$G$3:$G$998,B243)</f>
        <v>0</v>
      </c>
      <c r="S243">
        <f>SUMIFS(数据!$D$3:$D$998,数据!$E$3:$E$998,"前期仔鱼",数据!$F$3:$F$998,A243,数据!$G$3:$G$998,B243)</f>
        <v>0</v>
      </c>
      <c r="T243">
        <f>SUMIFS(数据!$D$3:$D$998,数据!$E$3:$E$998,"仔鱼",数据!$F$3:$F$998,A243,数据!$G$3:$G$998,B243)</f>
        <v>0</v>
      </c>
      <c r="U243">
        <f>SUMIFS(数据!$D$3:$D$998,数据!$E$3:$E$998,"稚鱼",数据!$F$3:$F$998,A243,数据!$G$3:$G$998,B243)</f>
        <v>0</v>
      </c>
    </row>
    <row r="244" spans="1:21" ht="19.9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45" t="str">
        <f t="shared" si="6"/>
        <v/>
      </c>
      <c r="M244" s="45" t="str">
        <f t="shared" si="7"/>
        <v/>
      </c>
      <c r="N244" s="39" t="str">
        <f>IF(AND(A244="",B244=""),"",COUNTIFS(数据!$E$3:$E$998,"&lt;&gt;前期仔鱼",数据!$E$3:$E$998,"&lt;&gt;仔鱼",数据!$E$3:$E$998,"&lt;&gt;稚鱼",数据!$F$3:$F$998,A244,数据!$G$3:$G$998,B244))</f>
        <v/>
      </c>
      <c r="O244" s="39" t="str">
        <f>IF(AND(A244="",B244=""),"",COUNTIFS(数据!$E$3:$E$998,"&lt;&gt;鱼卵",数据!$E$3:$E$998,"&lt;&gt;死卵",数据!$F$3:$F$998,A244,数据!$G$3:$G$998,B244))</f>
        <v/>
      </c>
      <c r="P244" s="31"/>
      <c r="Q244">
        <f>SUMIFS(数据!$D$3:$D$998,数据!$E$3:$E$998,"鱼卵",数据!$F$3:$F$998,A244,数据!$G$3:$G$998,B244)</f>
        <v>0</v>
      </c>
      <c r="R244">
        <f>SUMIFS(数据!$D$3:$D$998,数据!$E$3:$E$998,"死卵",数据!$F$3:$F$998,A244,数据!$G$3:$G$998,B244)</f>
        <v>0</v>
      </c>
      <c r="S244">
        <f>SUMIFS(数据!$D$3:$D$998,数据!$E$3:$E$998,"前期仔鱼",数据!$F$3:$F$998,A244,数据!$G$3:$G$998,B244)</f>
        <v>0</v>
      </c>
      <c r="T244">
        <f>SUMIFS(数据!$D$3:$D$998,数据!$E$3:$E$998,"仔鱼",数据!$F$3:$F$998,A244,数据!$G$3:$G$998,B244)</f>
        <v>0</v>
      </c>
      <c r="U244">
        <f>SUMIFS(数据!$D$3:$D$998,数据!$E$3:$E$998,"稚鱼",数据!$F$3:$F$998,A244,数据!$G$3:$G$998,B244)</f>
        <v>0</v>
      </c>
    </row>
    <row r="245" spans="1:21" ht="19.9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45" t="str">
        <f t="shared" si="6"/>
        <v/>
      </c>
      <c r="M245" s="45" t="str">
        <f t="shared" si="7"/>
        <v/>
      </c>
      <c r="N245" s="39" t="str">
        <f>IF(AND(A245="",B245=""),"",COUNTIFS(数据!$E$3:$E$998,"&lt;&gt;前期仔鱼",数据!$E$3:$E$998,"&lt;&gt;仔鱼",数据!$E$3:$E$998,"&lt;&gt;稚鱼",数据!$F$3:$F$998,A245,数据!$G$3:$G$998,B245))</f>
        <v/>
      </c>
      <c r="O245" s="39" t="str">
        <f>IF(AND(A245="",B245=""),"",COUNTIFS(数据!$E$3:$E$998,"&lt;&gt;鱼卵",数据!$E$3:$E$998,"&lt;&gt;死卵",数据!$F$3:$F$998,A245,数据!$G$3:$G$998,B245))</f>
        <v/>
      </c>
      <c r="P245" s="31"/>
      <c r="Q245">
        <f>SUMIFS(数据!$D$3:$D$998,数据!$E$3:$E$998,"鱼卵",数据!$F$3:$F$998,A245,数据!$G$3:$G$998,B245)</f>
        <v>0</v>
      </c>
      <c r="R245">
        <f>SUMIFS(数据!$D$3:$D$998,数据!$E$3:$E$998,"死卵",数据!$F$3:$F$998,A245,数据!$G$3:$G$998,B245)</f>
        <v>0</v>
      </c>
      <c r="S245">
        <f>SUMIFS(数据!$D$3:$D$998,数据!$E$3:$E$998,"前期仔鱼",数据!$F$3:$F$998,A245,数据!$G$3:$G$998,B245)</f>
        <v>0</v>
      </c>
      <c r="T245">
        <f>SUMIFS(数据!$D$3:$D$998,数据!$E$3:$E$998,"仔鱼",数据!$F$3:$F$998,A245,数据!$G$3:$G$998,B245)</f>
        <v>0</v>
      </c>
      <c r="U245">
        <f>SUMIFS(数据!$D$3:$D$998,数据!$E$3:$E$998,"稚鱼",数据!$F$3:$F$998,A245,数据!$G$3:$G$998,B245)</f>
        <v>0</v>
      </c>
    </row>
    <row r="246" spans="1:21" ht="19.9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45" t="str">
        <f t="shared" si="6"/>
        <v/>
      </c>
      <c r="M246" s="45" t="str">
        <f t="shared" si="7"/>
        <v/>
      </c>
      <c r="N246" s="39" t="str">
        <f>IF(AND(A246="",B246=""),"",COUNTIFS(数据!$E$3:$E$998,"&lt;&gt;前期仔鱼",数据!$E$3:$E$998,"&lt;&gt;仔鱼",数据!$E$3:$E$998,"&lt;&gt;稚鱼",数据!$F$3:$F$998,A246,数据!$G$3:$G$998,B246))</f>
        <v/>
      </c>
      <c r="O246" s="39" t="str">
        <f>IF(AND(A246="",B246=""),"",COUNTIFS(数据!$E$3:$E$998,"&lt;&gt;鱼卵",数据!$E$3:$E$998,"&lt;&gt;死卵",数据!$F$3:$F$998,A246,数据!$G$3:$G$998,B246))</f>
        <v/>
      </c>
      <c r="P246" s="31"/>
      <c r="Q246">
        <f>SUMIFS(数据!$D$3:$D$998,数据!$E$3:$E$998,"鱼卵",数据!$F$3:$F$998,A246,数据!$G$3:$G$998,B246)</f>
        <v>0</v>
      </c>
      <c r="R246">
        <f>SUMIFS(数据!$D$3:$D$998,数据!$E$3:$E$998,"死卵",数据!$F$3:$F$998,A246,数据!$G$3:$G$998,B246)</f>
        <v>0</v>
      </c>
      <c r="S246">
        <f>SUMIFS(数据!$D$3:$D$998,数据!$E$3:$E$998,"前期仔鱼",数据!$F$3:$F$998,A246,数据!$G$3:$G$998,B246)</f>
        <v>0</v>
      </c>
      <c r="T246">
        <f>SUMIFS(数据!$D$3:$D$998,数据!$E$3:$E$998,"仔鱼",数据!$F$3:$F$998,A246,数据!$G$3:$G$998,B246)</f>
        <v>0</v>
      </c>
      <c r="U246">
        <f>SUMIFS(数据!$D$3:$D$998,数据!$E$3:$E$998,"稚鱼",数据!$F$3:$F$998,A246,数据!$G$3:$G$998,B246)</f>
        <v>0</v>
      </c>
    </row>
    <row r="247" spans="1:21" ht="19.9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45" t="str">
        <f t="shared" si="6"/>
        <v/>
      </c>
      <c r="M247" s="45" t="str">
        <f t="shared" si="7"/>
        <v/>
      </c>
      <c r="N247" s="39" t="str">
        <f>IF(AND(A247="",B247=""),"",COUNTIFS(数据!$E$3:$E$998,"&lt;&gt;前期仔鱼",数据!$E$3:$E$998,"&lt;&gt;仔鱼",数据!$E$3:$E$998,"&lt;&gt;稚鱼",数据!$F$3:$F$998,A247,数据!$G$3:$G$998,B247))</f>
        <v/>
      </c>
      <c r="O247" s="39" t="str">
        <f>IF(AND(A247="",B247=""),"",COUNTIFS(数据!$E$3:$E$998,"&lt;&gt;鱼卵",数据!$E$3:$E$998,"&lt;&gt;死卵",数据!$F$3:$F$998,A247,数据!$G$3:$G$998,B247))</f>
        <v/>
      </c>
      <c r="P247" s="31"/>
      <c r="Q247">
        <f>SUMIFS(数据!$D$3:$D$998,数据!$E$3:$E$998,"鱼卵",数据!$F$3:$F$998,A247,数据!$G$3:$G$998,B247)</f>
        <v>0</v>
      </c>
      <c r="R247">
        <f>SUMIFS(数据!$D$3:$D$998,数据!$E$3:$E$998,"死卵",数据!$F$3:$F$998,A247,数据!$G$3:$G$998,B247)</f>
        <v>0</v>
      </c>
      <c r="S247">
        <f>SUMIFS(数据!$D$3:$D$998,数据!$E$3:$E$998,"前期仔鱼",数据!$F$3:$F$998,A247,数据!$G$3:$G$998,B247)</f>
        <v>0</v>
      </c>
      <c r="T247">
        <f>SUMIFS(数据!$D$3:$D$998,数据!$E$3:$E$998,"仔鱼",数据!$F$3:$F$998,A247,数据!$G$3:$G$998,B247)</f>
        <v>0</v>
      </c>
      <c r="U247">
        <f>SUMIFS(数据!$D$3:$D$998,数据!$E$3:$E$998,"稚鱼",数据!$F$3:$F$998,A247,数据!$G$3:$G$998,B247)</f>
        <v>0</v>
      </c>
    </row>
    <row r="248" spans="1:21" ht="19.9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45" t="str">
        <f t="shared" si="6"/>
        <v/>
      </c>
      <c r="M248" s="45" t="str">
        <f t="shared" si="7"/>
        <v/>
      </c>
      <c r="N248" s="39" t="str">
        <f>IF(AND(A248="",B248=""),"",COUNTIFS(数据!$E$3:$E$998,"&lt;&gt;前期仔鱼",数据!$E$3:$E$998,"&lt;&gt;仔鱼",数据!$E$3:$E$998,"&lt;&gt;稚鱼",数据!$F$3:$F$998,A248,数据!$G$3:$G$998,B248))</f>
        <v/>
      </c>
      <c r="O248" s="39" t="str">
        <f>IF(AND(A248="",B248=""),"",COUNTIFS(数据!$E$3:$E$998,"&lt;&gt;鱼卵",数据!$E$3:$E$998,"&lt;&gt;死卵",数据!$F$3:$F$998,A248,数据!$G$3:$G$998,B248))</f>
        <v/>
      </c>
      <c r="P248" s="31"/>
      <c r="Q248">
        <f>SUMIFS(数据!$D$3:$D$998,数据!$E$3:$E$998,"鱼卵",数据!$F$3:$F$998,A248,数据!$G$3:$G$998,B248)</f>
        <v>0</v>
      </c>
      <c r="R248">
        <f>SUMIFS(数据!$D$3:$D$998,数据!$E$3:$E$998,"死卵",数据!$F$3:$F$998,A248,数据!$G$3:$G$998,B248)</f>
        <v>0</v>
      </c>
      <c r="S248">
        <f>SUMIFS(数据!$D$3:$D$998,数据!$E$3:$E$998,"前期仔鱼",数据!$F$3:$F$998,A248,数据!$G$3:$G$998,B248)</f>
        <v>0</v>
      </c>
      <c r="T248">
        <f>SUMIFS(数据!$D$3:$D$998,数据!$E$3:$E$998,"仔鱼",数据!$F$3:$F$998,A248,数据!$G$3:$G$998,B248)</f>
        <v>0</v>
      </c>
      <c r="U248">
        <f>SUMIFS(数据!$D$3:$D$998,数据!$E$3:$E$998,"稚鱼",数据!$F$3:$F$998,A248,数据!$G$3:$G$998,B248)</f>
        <v>0</v>
      </c>
    </row>
    <row r="249" spans="1:21" ht="19.9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45" t="str">
        <f t="shared" si="6"/>
        <v/>
      </c>
      <c r="M249" s="45" t="str">
        <f t="shared" si="7"/>
        <v/>
      </c>
      <c r="N249" s="39" t="str">
        <f>IF(AND(A249="",B249=""),"",COUNTIFS(数据!$E$3:$E$998,"&lt;&gt;前期仔鱼",数据!$E$3:$E$998,"&lt;&gt;仔鱼",数据!$E$3:$E$998,"&lt;&gt;稚鱼",数据!$F$3:$F$998,A249,数据!$G$3:$G$998,B249))</f>
        <v/>
      </c>
      <c r="O249" s="39" t="str">
        <f>IF(AND(A249="",B249=""),"",COUNTIFS(数据!$E$3:$E$998,"&lt;&gt;鱼卵",数据!$E$3:$E$998,"&lt;&gt;死卵",数据!$F$3:$F$998,A249,数据!$G$3:$G$998,B249))</f>
        <v/>
      </c>
      <c r="P249" s="31"/>
      <c r="Q249">
        <f>SUMIFS(数据!$D$3:$D$998,数据!$E$3:$E$998,"鱼卵",数据!$F$3:$F$998,A249,数据!$G$3:$G$998,B249)</f>
        <v>0</v>
      </c>
      <c r="R249">
        <f>SUMIFS(数据!$D$3:$D$998,数据!$E$3:$E$998,"死卵",数据!$F$3:$F$998,A249,数据!$G$3:$G$998,B249)</f>
        <v>0</v>
      </c>
      <c r="S249">
        <f>SUMIFS(数据!$D$3:$D$998,数据!$E$3:$E$998,"前期仔鱼",数据!$F$3:$F$998,A249,数据!$G$3:$G$998,B249)</f>
        <v>0</v>
      </c>
      <c r="T249">
        <f>SUMIFS(数据!$D$3:$D$998,数据!$E$3:$E$998,"仔鱼",数据!$F$3:$F$998,A249,数据!$G$3:$G$998,B249)</f>
        <v>0</v>
      </c>
      <c r="U249">
        <f>SUMIFS(数据!$D$3:$D$998,数据!$E$3:$E$998,"稚鱼",数据!$F$3:$F$998,A249,数据!$G$3:$G$998,B249)</f>
        <v>0</v>
      </c>
    </row>
    <row r="250" spans="1:21" ht="19.9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45" t="str">
        <f t="shared" si="6"/>
        <v/>
      </c>
      <c r="M250" s="45" t="str">
        <f t="shared" si="7"/>
        <v/>
      </c>
      <c r="N250" s="39" t="str">
        <f>IF(AND(A250="",B250=""),"",COUNTIFS(数据!$E$3:$E$998,"&lt;&gt;前期仔鱼",数据!$E$3:$E$998,"&lt;&gt;仔鱼",数据!$E$3:$E$998,"&lt;&gt;稚鱼",数据!$F$3:$F$998,A250,数据!$G$3:$G$998,B250))</f>
        <v/>
      </c>
      <c r="O250" s="39" t="str">
        <f>IF(AND(A250="",B250=""),"",COUNTIFS(数据!$E$3:$E$998,"&lt;&gt;鱼卵",数据!$E$3:$E$998,"&lt;&gt;死卵",数据!$F$3:$F$998,A250,数据!$G$3:$G$998,B250))</f>
        <v/>
      </c>
      <c r="P250" s="31"/>
      <c r="Q250">
        <f>SUMIFS(数据!$D$3:$D$998,数据!$E$3:$E$998,"鱼卵",数据!$F$3:$F$998,A250,数据!$G$3:$G$998,B250)</f>
        <v>0</v>
      </c>
      <c r="R250">
        <f>SUMIFS(数据!$D$3:$D$998,数据!$E$3:$E$998,"死卵",数据!$F$3:$F$998,A250,数据!$G$3:$G$998,B250)</f>
        <v>0</v>
      </c>
      <c r="S250">
        <f>SUMIFS(数据!$D$3:$D$998,数据!$E$3:$E$998,"前期仔鱼",数据!$F$3:$F$998,A250,数据!$G$3:$G$998,B250)</f>
        <v>0</v>
      </c>
      <c r="T250">
        <f>SUMIFS(数据!$D$3:$D$998,数据!$E$3:$E$998,"仔鱼",数据!$F$3:$F$998,A250,数据!$G$3:$G$998,B250)</f>
        <v>0</v>
      </c>
      <c r="U250">
        <f>SUMIFS(数据!$D$3:$D$998,数据!$E$3:$E$998,"稚鱼",数据!$F$3:$F$998,A250,数据!$G$3:$G$998,B250)</f>
        <v>0</v>
      </c>
    </row>
    <row r="251" spans="1:21" ht="19.9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45" t="str">
        <f t="shared" si="6"/>
        <v/>
      </c>
      <c r="M251" s="45" t="str">
        <f t="shared" si="7"/>
        <v/>
      </c>
      <c r="N251" s="39" t="str">
        <f>IF(AND(A251="",B251=""),"",COUNTIFS(数据!$E$3:$E$998,"&lt;&gt;前期仔鱼",数据!$E$3:$E$998,"&lt;&gt;仔鱼",数据!$E$3:$E$998,"&lt;&gt;稚鱼",数据!$F$3:$F$998,A251,数据!$G$3:$G$998,B251))</f>
        <v/>
      </c>
      <c r="O251" s="39" t="str">
        <f>IF(AND(A251="",B251=""),"",COUNTIFS(数据!$E$3:$E$998,"&lt;&gt;鱼卵",数据!$E$3:$E$998,"&lt;&gt;死卵",数据!$F$3:$F$998,A251,数据!$G$3:$G$998,B251))</f>
        <v/>
      </c>
      <c r="P251" s="31"/>
      <c r="Q251">
        <f>SUMIFS(数据!$D$3:$D$998,数据!$E$3:$E$998,"鱼卵",数据!$F$3:$F$998,A251,数据!$G$3:$G$998,B251)</f>
        <v>0</v>
      </c>
      <c r="R251">
        <f>SUMIFS(数据!$D$3:$D$998,数据!$E$3:$E$998,"死卵",数据!$F$3:$F$998,A251,数据!$G$3:$G$998,B251)</f>
        <v>0</v>
      </c>
      <c r="S251">
        <f>SUMIFS(数据!$D$3:$D$998,数据!$E$3:$E$998,"前期仔鱼",数据!$F$3:$F$998,A251,数据!$G$3:$G$998,B251)</f>
        <v>0</v>
      </c>
      <c r="T251">
        <f>SUMIFS(数据!$D$3:$D$998,数据!$E$3:$E$998,"仔鱼",数据!$F$3:$F$998,A251,数据!$G$3:$G$998,B251)</f>
        <v>0</v>
      </c>
      <c r="U251">
        <f>SUMIFS(数据!$D$3:$D$998,数据!$E$3:$E$998,"稚鱼",数据!$F$3:$F$998,A251,数据!$G$3:$G$998,B251)</f>
        <v>0</v>
      </c>
    </row>
    <row r="252" spans="1:21" ht="19.9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45" t="str">
        <f t="shared" si="6"/>
        <v/>
      </c>
      <c r="M252" s="45" t="str">
        <f t="shared" si="7"/>
        <v/>
      </c>
      <c r="N252" s="39" t="str">
        <f>IF(AND(A252="",B252=""),"",COUNTIFS(数据!$E$3:$E$998,"&lt;&gt;前期仔鱼",数据!$E$3:$E$998,"&lt;&gt;仔鱼",数据!$E$3:$E$998,"&lt;&gt;稚鱼",数据!$F$3:$F$998,A252,数据!$G$3:$G$998,B252))</f>
        <v/>
      </c>
      <c r="O252" s="39" t="str">
        <f>IF(AND(A252="",B252=""),"",COUNTIFS(数据!$E$3:$E$998,"&lt;&gt;鱼卵",数据!$E$3:$E$998,"&lt;&gt;死卵",数据!$F$3:$F$998,A252,数据!$G$3:$G$998,B252))</f>
        <v/>
      </c>
      <c r="P252" s="31"/>
      <c r="Q252">
        <f>SUMIFS(数据!$D$3:$D$998,数据!$E$3:$E$998,"鱼卵",数据!$F$3:$F$998,A252,数据!$G$3:$G$998,B252)</f>
        <v>0</v>
      </c>
      <c r="R252">
        <f>SUMIFS(数据!$D$3:$D$998,数据!$E$3:$E$998,"死卵",数据!$F$3:$F$998,A252,数据!$G$3:$G$998,B252)</f>
        <v>0</v>
      </c>
      <c r="S252">
        <f>SUMIFS(数据!$D$3:$D$998,数据!$E$3:$E$998,"前期仔鱼",数据!$F$3:$F$998,A252,数据!$G$3:$G$998,B252)</f>
        <v>0</v>
      </c>
      <c r="T252">
        <f>SUMIFS(数据!$D$3:$D$998,数据!$E$3:$E$998,"仔鱼",数据!$F$3:$F$998,A252,数据!$G$3:$G$998,B252)</f>
        <v>0</v>
      </c>
      <c r="U252">
        <f>SUMIFS(数据!$D$3:$D$998,数据!$E$3:$E$998,"稚鱼",数据!$F$3:$F$998,A252,数据!$G$3:$G$998,B252)</f>
        <v>0</v>
      </c>
    </row>
    <row r="253" spans="1:21" ht="19.9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45" t="str">
        <f t="shared" si="6"/>
        <v/>
      </c>
      <c r="M253" s="45" t="str">
        <f t="shared" si="7"/>
        <v/>
      </c>
      <c r="N253" s="39" t="str">
        <f>IF(AND(A253="",B253=""),"",COUNTIFS(数据!$E$3:$E$998,"&lt;&gt;前期仔鱼",数据!$E$3:$E$998,"&lt;&gt;仔鱼",数据!$E$3:$E$998,"&lt;&gt;稚鱼",数据!$F$3:$F$998,A253,数据!$G$3:$G$998,B253))</f>
        <v/>
      </c>
      <c r="O253" s="39" t="str">
        <f>IF(AND(A253="",B253=""),"",COUNTIFS(数据!$E$3:$E$998,"&lt;&gt;鱼卵",数据!$E$3:$E$998,"&lt;&gt;死卵",数据!$F$3:$F$998,A253,数据!$G$3:$G$998,B253))</f>
        <v/>
      </c>
      <c r="P253" s="31"/>
      <c r="Q253">
        <f>SUMIFS(数据!$D$3:$D$998,数据!$E$3:$E$998,"鱼卵",数据!$F$3:$F$998,A253,数据!$G$3:$G$998,B253)</f>
        <v>0</v>
      </c>
      <c r="R253">
        <f>SUMIFS(数据!$D$3:$D$998,数据!$E$3:$E$998,"死卵",数据!$F$3:$F$998,A253,数据!$G$3:$G$998,B253)</f>
        <v>0</v>
      </c>
      <c r="S253">
        <f>SUMIFS(数据!$D$3:$D$998,数据!$E$3:$E$998,"前期仔鱼",数据!$F$3:$F$998,A253,数据!$G$3:$G$998,B253)</f>
        <v>0</v>
      </c>
      <c r="T253">
        <f>SUMIFS(数据!$D$3:$D$998,数据!$E$3:$E$998,"仔鱼",数据!$F$3:$F$998,A253,数据!$G$3:$G$998,B253)</f>
        <v>0</v>
      </c>
      <c r="U253">
        <f>SUMIFS(数据!$D$3:$D$998,数据!$E$3:$E$998,"稚鱼",数据!$F$3:$F$998,A253,数据!$G$3:$G$998,B253)</f>
        <v>0</v>
      </c>
    </row>
    <row r="254" spans="1:21" ht="19.9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45" t="str">
        <f t="shared" si="6"/>
        <v/>
      </c>
      <c r="M254" s="45" t="str">
        <f t="shared" si="7"/>
        <v/>
      </c>
      <c r="N254" s="39" t="str">
        <f>IF(AND(A254="",B254=""),"",COUNTIFS(数据!$E$3:$E$998,"&lt;&gt;前期仔鱼",数据!$E$3:$E$998,"&lt;&gt;仔鱼",数据!$E$3:$E$998,"&lt;&gt;稚鱼",数据!$F$3:$F$998,A254,数据!$G$3:$G$998,B254))</f>
        <v/>
      </c>
      <c r="O254" s="39" t="str">
        <f>IF(AND(A254="",B254=""),"",COUNTIFS(数据!$E$3:$E$998,"&lt;&gt;鱼卵",数据!$E$3:$E$998,"&lt;&gt;死卵",数据!$F$3:$F$998,A254,数据!$G$3:$G$998,B254))</f>
        <v/>
      </c>
      <c r="P254" s="31"/>
      <c r="Q254">
        <f>SUMIFS(数据!$D$3:$D$998,数据!$E$3:$E$998,"鱼卵",数据!$F$3:$F$998,A254,数据!$G$3:$G$998,B254)</f>
        <v>0</v>
      </c>
      <c r="R254">
        <f>SUMIFS(数据!$D$3:$D$998,数据!$E$3:$E$998,"死卵",数据!$F$3:$F$998,A254,数据!$G$3:$G$998,B254)</f>
        <v>0</v>
      </c>
      <c r="S254">
        <f>SUMIFS(数据!$D$3:$D$998,数据!$E$3:$E$998,"前期仔鱼",数据!$F$3:$F$998,A254,数据!$G$3:$G$998,B254)</f>
        <v>0</v>
      </c>
      <c r="T254">
        <f>SUMIFS(数据!$D$3:$D$998,数据!$E$3:$E$998,"仔鱼",数据!$F$3:$F$998,A254,数据!$G$3:$G$998,B254)</f>
        <v>0</v>
      </c>
      <c r="U254">
        <f>SUMIFS(数据!$D$3:$D$998,数据!$E$3:$E$998,"稚鱼",数据!$F$3:$F$998,A254,数据!$G$3:$G$998,B254)</f>
        <v>0</v>
      </c>
    </row>
    <row r="255" spans="1:21" ht="19.9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45" t="str">
        <f t="shared" si="6"/>
        <v/>
      </c>
      <c r="M255" s="45" t="str">
        <f t="shared" si="7"/>
        <v/>
      </c>
      <c r="N255" s="39" t="str">
        <f>IF(AND(A255="",B255=""),"",COUNTIFS(数据!$E$3:$E$998,"&lt;&gt;前期仔鱼",数据!$E$3:$E$998,"&lt;&gt;仔鱼",数据!$E$3:$E$998,"&lt;&gt;稚鱼",数据!$F$3:$F$998,A255,数据!$G$3:$G$998,B255))</f>
        <v/>
      </c>
      <c r="O255" s="39" t="str">
        <f>IF(AND(A255="",B255=""),"",COUNTIFS(数据!$E$3:$E$998,"&lt;&gt;鱼卵",数据!$E$3:$E$998,"&lt;&gt;死卵",数据!$F$3:$F$998,A255,数据!$G$3:$G$998,B255))</f>
        <v/>
      </c>
      <c r="P255" s="31"/>
      <c r="Q255">
        <f>SUMIFS(数据!$D$3:$D$998,数据!$E$3:$E$998,"鱼卵",数据!$F$3:$F$998,A255,数据!$G$3:$G$998,B255)</f>
        <v>0</v>
      </c>
      <c r="R255">
        <f>SUMIFS(数据!$D$3:$D$998,数据!$E$3:$E$998,"死卵",数据!$F$3:$F$998,A255,数据!$G$3:$G$998,B255)</f>
        <v>0</v>
      </c>
      <c r="S255">
        <f>SUMIFS(数据!$D$3:$D$998,数据!$E$3:$E$998,"前期仔鱼",数据!$F$3:$F$998,A255,数据!$G$3:$G$998,B255)</f>
        <v>0</v>
      </c>
      <c r="T255">
        <f>SUMIFS(数据!$D$3:$D$998,数据!$E$3:$E$998,"仔鱼",数据!$F$3:$F$998,A255,数据!$G$3:$G$998,B255)</f>
        <v>0</v>
      </c>
      <c r="U255">
        <f>SUMIFS(数据!$D$3:$D$998,数据!$E$3:$E$998,"稚鱼",数据!$F$3:$F$998,A255,数据!$G$3:$G$998,B255)</f>
        <v>0</v>
      </c>
    </row>
    <row r="256" spans="1:21" ht="19.9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45" t="str">
        <f t="shared" si="6"/>
        <v/>
      </c>
      <c r="M256" s="45" t="str">
        <f t="shared" si="7"/>
        <v/>
      </c>
      <c r="N256" s="39" t="str">
        <f>IF(AND(A256="",B256=""),"",COUNTIFS(数据!$E$3:$E$998,"&lt;&gt;前期仔鱼",数据!$E$3:$E$998,"&lt;&gt;仔鱼",数据!$E$3:$E$998,"&lt;&gt;稚鱼",数据!$F$3:$F$998,A256,数据!$G$3:$G$998,B256))</f>
        <v/>
      </c>
      <c r="O256" s="39" t="str">
        <f>IF(AND(A256="",B256=""),"",COUNTIFS(数据!$E$3:$E$998,"&lt;&gt;鱼卵",数据!$E$3:$E$998,"&lt;&gt;死卵",数据!$F$3:$F$998,A256,数据!$G$3:$G$998,B256))</f>
        <v/>
      </c>
      <c r="P256" s="31"/>
      <c r="Q256">
        <f>SUMIFS(数据!$D$3:$D$998,数据!$E$3:$E$998,"鱼卵",数据!$F$3:$F$998,A256,数据!$G$3:$G$998,B256)</f>
        <v>0</v>
      </c>
      <c r="R256">
        <f>SUMIFS(数据!$D$3:$D$998,数据!$E$3:$E$998,"死卵",数据!$F$3:$F$998,A256,数据!$G$3:$G$998,B256)</f>
        <v>0</v>
      </c>
      <c r="S256">
        <f>SUMIFS(数据!$D$3:$D$998,数据!$E$3:$E$998,"前期仔鱼",数据!$F$3:$F$998,A256,数据!$G$3:$G$998,B256)</f>
        <v>0</v>
      </c>
      <c r="T256">
        <f>SUMIFS(数据!$D$3:$D$998,数据!$E$3:$E$998,"仔鱼",数据!$F$3:$F$998,A256,数据!$G$3:$G$998,B256)</f>
        <v>0</v>
      </c>
      <c r="U256">
        <f>SUMIFS(数据!$D$3:$D$998,数据!$E$3:$E$998,"稚鱼",数据!$F$3:$F$998,A256,数据!$G$3:$G$998,B256)</f>
        <v>0</v>
      </c>
    </row>
    <row r="257" spans="1:21" ht="19.9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45" t="str">
        <f t="shared" si="6"/>
        <v/>
      </c>
      <c r="M257" s="45" t="str">
        <f t="shared" si="7"/>
        <v/>
      </c>
      <c r="N257" s="39" t="str">
        <f>IF(AND(A257="",B257=""),"",COUNTIFS(数据!$E$3:$E$998,"&lt;&gt;前期仔鱼",数据!$E$3:$E$998,"&lt;&gt;仔鱼",数据!$E$3:$E$998,"&lt;&gt;稚鱼",数据!$F$3:$F$998,A257,数据!$G$3:$G$998,B257))</f>
        <v/>
      </c>
      <c r="O257" s="39" t="str">
        <f>IF(AND(A257="",B257=""),"",COUNTIFS(数据!$E$3:$E$998,"&lt;&gt;鱼卵",数据!$E$3:$E$998,"&lt;&gt;死卵",数据!$F$3:$F$998,A257,数据!$G$3:$G$998,B257))</f>
        <v/>
      </c>
      <c r="P257" s="31"/>
      <c r="Q257">
        <f>SUMIFS(数据!$D$3:$D$998,数据!$E$3:$E$998,"鱼卵",数据!$F$3:$F$998,A257,数据!$G$3:$G$998,B257)</f>
        <v>0</v>
      </c>
      <c r="R257">
        <f>SUMIFS(数据!$D$3:$D$998,数据!$E$3:$E$998,"死卵",数据!$F$3:$F$998,A257,数据!$G$3:$G$998,B257)</f>
        <v>0</v>
      </c>
      <c r="S257">
        <f>SUMIFS(数据!$D$3:$D$998,数据!$E$3:$E$998,"前期仔鱼",数据!$F$3:$F$998,A257,数据!$G$3:$G$998,B257)</f>
        <v>0</v>
      </c>
      <c r="T257">
        <f>SUMIFS(数据!$D$3:$D$998,数据!$E$3:$E$998,"仔鱼",数据!$F$3:$F$998,A257,数据!$G$3:$G$998,B257)</f>
        <v>0</v>
      </c>
      <c r="U257">
        <f>SUMIFS(数据!$D$3:$D$998,数据!$E$3:$E$998,"稚鱼",数据!$F$3:$F$998,A257,数据!$G$3:$G$998,B257)</f>
        <v>0</v>
      </c>
    </row>
    <row r="258" spans="1:21" ht="19.9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45" t="str">
        <f t="shared" si="6"/>
        <v/>
      </c>
      <c r="M258" s="45" t="str">
        <f t="shared" si="7"/>
        <v/>
      </c>
      <c r="N258" s="39" t="str">
        <f>IF(AND(A258="",B258=""),"",COUNTIFS(数据!$E$3:$E$998,"&lt;&gt;前期仔鱼",数据!$E$3:$E$998,"&lt;&gt;仔鱼",数据!$E$3:$E$998,"&lt;&gt;稚鱼",数据!$F$3:$F$998,A258,数据!$G$3:$G$998,B258))</f>
        <v/>
      </c>
      <c r="O258" s="39" t="str">
        <f>IF(AND(A258="",B258=""),"",COUNTIFS(数据!$E$3:$E$998,"&lt;&gt;鱼卵",数据!$E$3:$E$998,"&lt;&gt;死卵",数据!$F$3:$F$998,A258,数据!$G$3:$G$998,B258))</f>
        <v/>
      </c>
      <c r="P258" s="31"/>
      <c r="Q258">
        <f>SUMIFS(数据!$D$3:$D$998,数据!$E$3:$E$998,"鱼卵",数据!$F$3:$F$998,A258,数据!$G$3:$G$998,B258)</f>
        <v>0</v>
      </c>
      <c r="R258">
        <f>SUMIFS(数据!$D$3:$D$998,数据!$E$3:$E$998,"死卵",数据!$F$3:$F$998,A258,数据!$G$3:$G$998,B258)</f>
        <v>0</v>
      </c>
      <c r="S258">
        <f>SUMIFS(数据!$D$3:$D$998,数据!$E$3:$E$998,"前期仔鱼",数据!$F$3:$F$998,A258,数据!$G$3:$G$998,B258)</f>
        <v>0</v>
      </c>
      <c r="T258">
        <f>SUMIFS(数据!$D$3:$D$998,数据!$E$3:$E$998,"仔鱼",数据!$F$3:$F$998,A258,数据!$G$3:$G$998,B258)</f>
        <v>0</v>
      </c>
      <c r="U258">
        <f>SUMIFS(数据!$D$3:$D$998,数据!$E$3:$E$998,"稚鱼",数据!$F$3:$F$998,A258,数据!$G$3:$G$998,B258)</f>
        <v>0</v>
      </c>
    </row>
    <row r="259" spans="1:21" ht="19.9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45" t="str">
        <f t="shared" si="6"/>
        <v/>
      </c>
      <c r="M259" s="45" t="str">
        <f t="shared" si="7"/>
        <v/>
      </c>
      <c r="N259" s="39" t="str">
        <f>IF(AND(A259="",B259=""),"",COUNTIFS(数据!$E$3:$E$998,"&lt;&gt;前期仔鱼",数据!$E$3:$E$998,"&lt;&gt;仔鱼",数据!$E$3:$E$998,"&lt;&gt;稚鱼",数据!$F$3:$F$998,A259,数据!$G$3:$G$998,B259))</f>
        <v/>
      </c>
      <c r="O259" s="39" t="str">
        <f>IF(AND(A259="",B259=""),"",COUNTIFS(数据!$E$3:$E$998,"&lt;&gt;鱼卵",数据!$E$3:$E$998,"&lt;&gt;死卵",数据!$F$3:$F$998,A259,数据!$G$3:$G$998,B259))</f>
        <v/>
      </c>
      <c r="P259" s="31"/>
      <c r="Q259">
        <f>SUMIFS(数据!$D$3:$D$998,数据!$E$3:$E$998,"鱼卵",数据!$F$3:$F$998,A259,数据!$G$3:$G$998,B259)</f>
        <v>0</v>
      </c>
      <c r="R259">
        <f>SUMIFS(数据!$D$3:$D$998,数据!$E$3:$E$998,"死卵",数据!$F$3:$F$998,A259,数据!$G$3:$G$998,B259)</f>
        <v>0</v>
      </c>
      <c r="S259">
        <f>SUMIFS(数据!$D$3:$D$998,数据!$E$3:$E$998,"前期仔鱼",数据!$F$3:$F$998,A259,数据!$G$3:$G$998,B259)</f>
        <v>0</v>
      </c>
      <c r="T259">
        <f>SUMIFS(数据!$D$3:$D$998,数据!$E$3:$E$998,"仔鱼",数据!$F$3:$F$998,A259,数据!$G$3:$G$998,B259)</f>
        <v>0</v>
      </c>
      <c r="U259">
        <f>SUMIFS(数据!$D$3:$D$998,数据!$E$3:$E$998,"稚鱼",数据!$F$3:$F$998,A259,数据!$G$3:$G$998,B259)</f>
        <v>0</v>
      </c>
    </row>
    <row r="260" spans="1:21" ht="19.9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45" t="str">
        <f t="shared" si="8" ref="L260:L323">IF(OR(Q260&amp;R260="",A260&amp;B260=""),"",Q260+R260)</f>
        <v/>
      </c>
      <c r="M260" s="45" t="str">
        <f t="shared" si="9" ref="M260:M323">IF(OR(A260&amp;B260="",S260&amp;T260&amp;U260=""),"",S260+T260+U260)</f>
        <v/>
      </c>
      <c r="N260" s="39" t="str">
        <f>IF(AND(A260="",B260=""),"",COUNTIFS(数据!$E$3:$E$998,"&lt;&gt;前期仔鱼",数据!$E$3:$E$998,"&lt;&gt;仔鱼",数据!$E$3:$E$998,"&lt;&gt;稚鱼",数据!$F$3:$F$998,A260,数据!$G$3:$G$998,B260))</f>
        <v/>
      </c>
      <c r="O260" s="39" t="str">
        <f>IF(AND(A260="",B260=""),"",COUNTIFS(数据!$E$3:$E$998,"&lt;&gt;鱼卵",数据!$E$3:$E$998,"&lt;&gt;死卵",数据!$F$3:$F$998,A260,数据!$G$3:$G$998,B260))</f>
        <v/>
      </c>
      <c r="P260" s="31"/>
      <c r="Q260">
        <f>SUMIFS(数据!$D$3:$D$998,数据!$E$3:$E$998,"鱼卵",数据!$F$3:$F$998,A260,数据!$G$3:$G$998,B260)</f>
        <v>0</v>
      </c>
      <c r="R260">
        <f>SUMIFS(数据!$D$3:$D$998,数据!$E$3:$E$998,"死卵",数据!$F$3:$F$998,A260,数据!$G$3:$G$998,B260)</f>
        <v>0</v>
      </c>
      <c r="S260">
        <f>SUMIFS(数据!$D$3:$D$998,数据!$E$3:$E$998,"前期仔鱼",数据!$F$3:$F$998,A260,数据!$G$3:$G$998,B260)</f>
        <v>0</v>
      </c>
      <c r="T260">
        <f>SUMIFS(数据!$D$3:$D$998,数据!$E$3:$E$998,"仔鱼",数据!$F$3:$F$998,A260,数据!$G$3:$G$998,B260)</f>
        <v>0</v>
      </c>
      <c r="U260">
        <f>SUMIFS(数据!$D$3:$D$998,数据!$E$3:$E$998,"稚鱼",数据!$F$3:$F$998,A260,数据!$G$3:$G$998,B260)</f>
        <v>0</v>
      </c>
    </row>
    <row r="261" spans="1:21" ht="19.9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45" t="str">
        <f t="shared" si="8"/>
        <v/>
      </c>
      <c r="M261" s="45" t="str">
        <f t="shared" si="9"/>
        <v/>
      </c>
      <c r="N261" s="39" t="str">
        <f>IF(AND(A261="",B261=""),"",COUNTIFS(数据!$E$3:$E$998,"&lt;&gt;前期仔鱼",数据!$E$3:$E$998,"&lt;&gt;仔鱼",数据!$E$3:$E$998,"&lt;&gt;稚鱼",数据!$F$3:$F$998,A261,数据!$G$3:$G$998,B261))</f>
        <v/>
      </c>
      <c r="O261" s="39" t="str">
        <f>IF(AND(A261="",B261=""),"",COUNTIFS(数据!$E$3:$E$998,"&lt;&gt;鱼卵",数据!$E$3:$E$998,"&lt;&gt;死卵",数据!$F$3:$F$998,A261,数据!$G$3:$G$998,B261))</f>
        <v/>
      </c>
      <c r="P261" s="31"/>
      <c r="Q261">
        <f>SUMIFS(数据!$D$3:$D$998,数据!$E$3:$E$998,"鱼卵",数据!$F$3:$F$998,A261,数据!$G$3:$G$998,B261)</f>
        <v>0</v>
      </c>
      <c r="R261">
        <f>SUMIFS(数据!$D$3:$D$998,数据!$E$3:$E$998,"死卵",数据!$F$3:$F$998,A261,数据!$G$3:$G$998,B261)</f>
        <v>0</v>
      </c>
      <c r="S261">
        <f>SUMIFS(数据!$D$3:$D$998,数据!$E$3:$E$998,"前期仔鱼",数据!$F$3:$F$998,A261,数据!$G$3:$G$998,B261)</f>
        <v>0</v>
      </c>
      <c r="T261">
        <f>SUMIFS(数据!$D$3:$D$998,数据!$E$3:$E$998,"仔鱼",数据!$F$3:$F$998,A261,数据!$G$3:$G$998,B261)</f>
        <v>0</v>
      </c>
      <c r="U261">
        <f>SUMIFS(数据!$D$3:$D$998,数据!$E$3:$E$998,"稚鱼",数据!$F$3:$F$998,A261,数据!$G$3:$G$998,B261)</f>
        <v>0</v>
      </c>
    </row>
    <row r="262" spans="1:21" ht="19.9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45" t="str">
        <f t="shared" si="8"/>
        <v/>
      </c>
      <c r="M262" s="45" t="str">
        <f t="shared" si="9"/>
        <v/>
      </c>
      <c r="N262" s="39" t="str">
        <f>IF(AND(A262="",B262=""),"",COUNTIFS(数据!$E$3:$E$998,"&lt;&gt;前期仔鱼",数据!$E$3:$E$998,"&lt;&gt;仔鱼",数据!$E$3:$E$998,"&lt;&gt;稚鱼",数据!$F$3:$F$998,A262,数据!$G$3:$G$998,B262))</f>
        <v/>
      </c>
      <c r="O262" s="39" t="str">
        <f>IF(AND(A262="",B262=""),"",COUNTIFS(数据!$E$3:$E$998,"&lt;&gt;鱼卵",数据!$E$3:$E$998,"&lt;&gt;死卵",数据!$F$3:$F$998,A262,数据!$G$3:$G$998,B262))</f>
        <v/>
      </c>
      <c r="P262" s="31"/>
      <c r="Q262">
        <f>SUMIFS(数据!$D$3:$D$998,数据!$E$3:$E$998,"鱼卵",数据!$F$3:$F$998,A262,数据!$G$3:$G$998,B262)</f>
        <v>0</v>
      </c>
      <c r="R262">
        <f>SUMIFS(数据!$D$3:$D$998,数据!$E$3:$E$998,"死卵",数据!$F$3:$F$998,A262,数据!$G$3:$G$998,B262)</f>
        <v>0</v>
      </c>
      <c r="S262">
        <f>SUMIFS(数据!$D$3:$D$998,数据!$E$3:$E$998,"前期仔鱼",数据!$F$3:$F$998,A262,数据!$G$3:$G$998,B262)</f>
        <v>0</v>
      </c>
      <c r="T262">
        <f>SUMIFS(数据!$D$3:$D$998,数据!$E$3:$E$998,"仔鱼",数据!$F$3:$F$998,A262,数据!$G$3:$G$998,B262)</f>
        <v>0</v>
      </c>
      <c r="U262">
        <f>SUMIFS(数据!$D$3:$D$998,数据!$E$3:$E$998,"稚鱼",数据!$F$3:$F$998,A262,数据!$G$3:$G$998,B262)</f>
        <v>0</v>
      </c>
    </row>
    <row r="263" spans="1:21" ht="19.9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45" t="str">
        <f t="shared" si="8"/>
        <v/>
      </c>
      <c r="M263" s="45" t="str">
        <f t="shared" si="9"/>
        <v/>
      </c>
      <c r="N263" s="39" t="str">
        <f>IF(AND(A263="",B263=""),"",COUNTIFS(数据!$E$3:$E$998,"&lt;&gt;前期仔鱼",数据!$E$3:$E$998,"&lt;&gt;仔鱼",数据!$E$3:$E$998,"&lt;&gt;稚鱼",数据!$F$3:$F$998,A263,数据!$G$3:$G$998,B263))</f>
        <v/>
      </c>
      <c r="O263" s="39" t="str">
        <f>IF(AND(A263="",B263=""),"",COUNTIFS(数据!$E$3:$E$998,"&lt;&gt;鱼卵",数据!$E$3:$E$998,"&lt;&gt;死卵",数据!$F$3:$F$998,A263,数据!$G$3:$G$998,B263))</f>
        <v/>
      </c>
      <c r="P263" s="31"/>
      <c r="Q263">
        <f>SUMIFS(数据!$D$3:$D$998,数据!$E$3:$E$998,"鱼卵",数据!$F$3:$F$998,A263,数据!$G$3:$G$998,B263)</f>
        <v>0</v>
      </c>
      <c r="R263">
        <f>SUMIFS(数据!$D$3:$D$998,数据!$E$3:$E$998,"死卵",数据!$F$3:$F$998,A263,数据!$G$3:$G$998,B263)</f>
        <v>0</v>
      </c>
      <c r="S263">
        <f>SUMIFS(数据!$D$3:$D$998,数据!$E$3:$E$998,"前期仔鱼",数据!$F$3:$F$998,A263,数据!$G$3:$G$998,B263)</f>
        <v>0</v>
      </c>
      <c r="T263">
        <f>SUMIFS(数据!$D$3:$D$998,数据!$E$3:$E$998,"仔鱼",数据!$F$3:$F$998,A263,数据!$G$3:$G$998,B263)</f>
        <v>0</v>
      </c>
      <c r="U263">
        <f>SUMIFS(数据!$D$3:$D$998,数据!$E$3:$E$998,"稚鱼",数据!$F$3:$F$998,A263,数据!$G$3:$G$998,B263)</f>
        <v>0</v>
      </c>
    </row>
    <row r="264" spans="1:21" ht="19.9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45" t="str">
        <f t="shared" si="8"/>
        <v/>
      </c>
      <c r="M264" s="45" t="str">
        <f t="shared" si="9"/>
        <v/>
      </c>
      <c r="N264" s="39" t="str">
        <f>IF(AND(A264="",B264=""),"",COUNTIFS(数据!$E$3:$E$998,"&lt;&gt;前期仔鱼",数据!$E$3:$E$998,"&lt;&gt;仔鱼",数据!$E$3:$E$998,"&lt;&gt;稚鱼",数据!$F$3:$F$998,A264,数据!$G$3:$G$998,B264))</f>
        <v/>
      </c>
      <c r="O264" s="39" t="str">
        <f>IF(AND(A264="",B264=""),"",COUNTIFS(数据!$E$3:$E$998,"&lt;&gt;鱼卵",数据!$E$3:$E$998,"&lt;&gt;死卵",数据!$F$3:$F$998,A264,数据!$G$3:$G$998,B264))</f>
        <v/>
      </c>
      <c r="P264" s="31"/>
      <c r="Q264">
        <f>SUMIFS(数据!$D$3:$D$998,数据!$E$3:$E$998,"鱼卵",数据!$F$3:$F$998,A264,数据!$G$3:$G$998,B264)</f>
        <v>0</v>
      </c>
      <c r="R264">
        <f>SUMIFS(数据!$D$3:$D$998,数据!$E$3:$E$998,"死卵",数据!$F$3:$F$998,A264,数据!$G$3:$G$998,B264)</f>
        <v>0</v>
      </c>
      <c r="S264">
        <f>SUMIFS(数据!$D$3:$D$998,数据!$E$3:$E$998,"前期仔鱼",数据!$F$3:$F$998,A264,数据!$G$3:$G$998,B264)</f>
        <v>0</v>
      </c>
      <c r="T264">
        <f>SUMIFS(数据!$D$3:$D$998,数据!$E$3:$E$998,"仔鱼",数据!$F$3:$F$998,A264,数据!$G$3:$G$998,B264)</f>
        <v>0</v>
      </c>
      <c r="U264">
        <f>SUMIFS(数据!$D$3:$D$998,数据!$E$3:$E$998,"稚鱼",数据!$F$3:$F$998,A264,数据!$G$3:$G$998,B264)</f>
        <v>0</v>
      </c>
    </row>
    <row r="265" spans="1:21" ht="19.9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45" t="str">
        <f t="shared" si="8"/>
        <v/>
      </c>
      <c r="M265" s="45" t="str">
        <f t="shared" si="9"/>
        <v/>
      </c>
      <c r="N265" s="39" t="str">
        <f>IF(AND(A265="",B265=""),"",COUNTIFS(数据!$E$3:$E$998,"&lt;&gt;前期仔鱼",数据!$E$3:$E$998,"&lt;&gt;仔鱼",数据!$E$3:$E$998,"&lt;&gt;稚鱼",数据!$F$3:$F$998,A265,数据!$G$3:$G$998,B265))</f>
        <v/>
      </c>
      <c r="O265" s="39" t="str">
        <f>IF(AND(A265="",B265=""),"",COUNTIFS(数据!$E$3:$E$998,"&lt;&gt;鱼卵",数据!$E$3:$E$998,"&lt;&gt;死卵",数据!$F$3:$F$998,A265,数据!$G$3:$G$998,B265))</f>
        <v/>
      </c>
      <c r="P265" s="31"/>
      <c r="Q265">
        <f>SUMIFS(数据!$D$3:$D$998,数据!$E$3:$E$998,"鱼卵",数据!$F$3:$F$998,A265,数据!$G$3:$G$998,B265)</f>
        <v>0</v>
      </c>
      <c r="R265">
        <f>SUMIFS(数据!$D$3:$D$998,数据!$E$3:$E$998,"死卵",数据!$F$3:$F$998,A265,数据!$G$3:$G$998,B265)</f>
        <v>0</v>
      </c>
      <c r="S265">
        <f>SUMIFS(数据!$D$3:$D$998,数据!$E$3:$E$998,"前期仔鱼",数据!$F$3:$F$998,A265,数据!$G$3:$G$998,B265)</f>
        <v>0</v>
      </c>
      <c r="T265">
        <f>SUMIFS(数据!$D$3:$D$998,数据!$E$3:$E$998,"仔鱼",数据!$F$3:$F$998,A265,数据!$G$3:$G$998,B265)</f>
        <v>0</v>
      </c>
      <c r="U265">
        <f>SUMIFS(数据!$D$3:$D$998,数据!$E$3:$E$998,"稚鱼",数据!$F$3:$F$998,A265,数据!$G$3:$G$998,B265)</f>
        <v>0</v>
      </c>
    </row>
    <row r="266" spans="1:21" ht="19.9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45" t="str">
        <f t="shared" si="8"/>
        <v/>
      </c>
      <c r="M266" s="45" t="str">
        <f t="shared" si="9"/>
        <v/>
      </c>
      <c r="N266" s="39" t="str">
        <f>IF(AND(A266="",B266=""),"",COUNTIFS(数据!$E$3:$E$998,"&lt;&gt;前期仔鱼",数据!$E$3:$E$998,"&lt;&gt;仔鱼",数据!$E$3:$E$998,"&lt;&gt;稚鱼",数据!$F$3:$F$998,A266,数据!$G$3:$G$998,B266))</f>
        <v/>
      </c>
      <c r="O266" s="39" t="str">
        <f>IF(AND(A266="",B266=""),"",COUNTIFS(数据!$E$3:$E$998,"&lt;&gt;鱼卵",数据!$E$3:$E$998,"&lt;&gt;死卵",数据!$F$3:$F$998,A266,数据!$G$3:$G$998,B266))</f>
        <v/>
      </c>
      <c r="P266" s="31"/>
      <c r="Q266">
        <f>SUMIFS(数据!$D$3:$D$998,数据!$E$3:$E$998,"鱼卵",数据!$F$3:$F$998,A266,数据!$G$3:$G$998,B266)</f>
        <v>0</v>
      </c>
      <c r="R266">
        <f>SUMIFS(数据!$D$3:$D$998,数据!$E$3:$E$998,"死卵",数据!$F$3:$F$998,A266,数据!$G$3:$G$998,B266)</f>
        <v>0</v>
      </c>
      <c r="S266">
        <f>SUMIFS(数据!$D$3:$D$998,数据!$E$3:$E$998,"前期仔鱼",数据!$F$3:$F$998,A266,数据!$G$3:$G$998,B266)</f>
        <v>0</v>
      </c>
      <c r="T266">
        <f>SUMIFS(数据!$D$3:$D$998,数据!$E$3:$E$998,"仔鱼",数据!$F$3:$F$998,A266,数据!$G$3:$G$998,B266)</f>
        <v>0</v>
      </c>
      <c r="U266">
        <f>SUMIFS(数据!$D$3:$D$998,数据!$E$3:$E$998,"稚鱼",数据!$F$3:$F$998,A266,数据!$G$3:$G$998,B266)</f>
        <v>0</v>
      </c>
    </row>
    <row r="267" spans="1:21" ht="19.9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45" t="str">
        <f t="shared" si="8"/>
        <v/>
      </c>
      <c r="M267" s="45" t="str">
        <f t="shared" si="9"/>
        <v/>
      </c>
      <c r="N267" s="39" t="str">
        <f>IF(AND(A267="",B267=""),"",COUNTIFS(数据!$E$3:$E$998,"&lt;&gt;前期仔鱼",数据!$E$3:$E$998,"&lt;&gt;仔鱼",数据!$E$3:$E$998,"&lt;&gt;稚鱼",数据!$F$3:$F$998,A267,数据!$G$3:$G$998,B267))</f>
        <v/>
      </c>
      <c r="O267" s="39" t="str">
        <f>IF(AND(A267="",B267=""),"",COUNTIFS(数据!$E$3:$E$998,"&lt;&gt;鱼卵",数据!$E$3:$E$998,"&lt;&gt;死卵",数据!$F$3:$F$998,A267,数据!$G$3:$G$998,B267))</f>
        <v/>
      </c>
      <c r="P267" s="31"/>
      <c r="Q267">
        <f>SUMIFS(数据!$D$3:$D$998,数据!$E$3:$E$998,"鱼卵",数据!$F$3:$F$998,A267,数据!$G$3:$G$998,B267)</f>
        <v>0</v>
      </c>
      <c r="R267">
        <f>SUMIFS(数据!$D$3:$D$998,数据!$E$3:$E$998,"死卵",数据!$F$3:$F$998,A267,数据!$G$3:$G$998,B267)</f>
        <v>0</v>
      </c>
      <c r="S267">
        <f>SUMIFS(数据!$D$3:$D$998,数据!$E$3:$E$998,"前期仔鱼",数据!$F$3:$F$998,A267,数据!$G$3:$G$998,B267)</f>
        <v>0</v>
      </c>
      <c r="T267">
        <f>SUMIFS(数据!$D$3:$D$998,数据!$E$3:$E$998,"仔鱼",数据!$F$3:$F$998,A267,数据!$G$3:$G$998,B267)</f>
        <v>0</v>
      </c>
      <c r="U267">
        <f>SUMIFS(数据!$D$3:$D$998,数据!$E$3:$E$998,"稚鱼",数据!$F$3:$F$998,A267,数据!$G$3:$G$998,B267)</f>
        <v>0</v>
      </c>
    </row>
    <row r="268" spans="1:21" ht="19.9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45" t="str">
        <f t="shared" si="8"/>
        <v/>
      </c>
      <c r="M268" s="45" t="str">
        <f t="shared" si="9"/>
        <v/>
      </c>
      <c r="N268" s="39" t="str">
        <f>IF(AND(A268="",B268=""),"",COUNTIFS(数据!$E$3:$E$998,"&lt;&gt;前期仔鱼",数据!$E$3:$E$998,"&lt;&gt;仔鱼",数据!$E$3:$E$998,"&lt;&gt;稚鱼",数据!$F$3:$F$998,A268,数据!$G$3:$G$998,B268))</f>
        <v/>
      </c>
      <c r="O268" s="39" t="str">
        <f>IF(AND(A268="",B268=""),"",COUNTIFS(数据!$E$3:$E$998,"&lt;&gt;鱼卵",数据!$E$3:$E$998,"&lt;&gt;死卵",数据!$F$3:$F$998,A268,数据!$G$3:$G$998,B268))</f>
        <v/>
      </c>
      <c r="P268" s="31"/>
      <c r="Q268">
        <f>SUMIFS(数据!$D$3:$D$998,数据!$E$3:$E$998,"鱼卵",数据!$F$3:$F$998,A268,数据!$G$3:$G$998,B268)</f>
        <v>0</v>
      </c>
      <c r="R268">
        <f>SUMIFS(数据!$D$3:$D$998,数据!$E$3:$E$998,"死卵",数据!$F$3:$F$998,A268,数据!$G$3:$G$998,B268)</f>
        <v>0</v>
      </c>
      <c r="S268">
        <f>SUMIFS(数据!$D$3:$D$998,数据!$E$3:$E$998,"前期仔鱼",数据!$F$3:$F$998,A268,数据!$G$3:$G$998,B268)</f>
        <v>0</v>
      </c>
      <c r="T268">
        <f>SUMIFS(数据!$D$3:$D$998,数据!$E$3:$E$998,"仔鱼",数据!$F$3:$F$998,A268,数据!$G$3:$G$998,B268)</f>
        <v>0</v>
      </c>
      <c r="U268">
        <f>SUMIFS(数据!$D$3:$D$998,数据!$E$3:$E$998,"稚鱼",数据!$F$3:$F$998,A268,数据!$G$3:$G$998,B268)</f>
        <v>0</v>
      </c>
    </row>
    <row r="269" spans="1:21" ht="19.9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45" t="str">
        <f t="shared" si="8"/>
        <v/>
      </c>
      <c r="M269" s="45" t="str">
        <f t="shared" si="9"/>
        <v/>
      </c>
      <c r="N269" s="39" t="str">
        <f>IF(AND(A269="",B269=""),"",COUNTIFS(数据!$E$3:$E$998,"&lt;&gt;前期仔鱼",数据!$E$3:$E$998,"&lt;&gt;仔鱼",数据!$E$3:$E$998,"&lt;&gt;稚鱼",数据!$F$3:$F$998,A269,数据!$G$3:$G$998,B269))</f>
        <v/>
      </c>
      <c r="O269" s="39" t="str">
        <f>IF(AND(A269="",B269=""),"",COUNTIFS(数据!$E$3:$E$998,"&lt;&gt;鱼卵",数据!$E$3:$E$998,"&lt;&gt;死卵",数据!$F$3:$F$998,A269,数据!$G$3:$G$998,B269))</f>
        <v/>
      </c>
      <c r="P269" s="31"/>
      <c r="Q269">
        <f>SUMIFS(数据!$D$3:$D$998,数据!$E$3:$E$998,"鱼卵",数据!$F$3:$F$998,A269,数据!$G$3:$G$998,B269)</f>
        <v>0</v>
      </c>
      <c r="R269">
        <f>SUMIFS(数据!$D$3:$D$998,数据!$E$3:$E$998,"死卵",数据!$F$3:$F$998,A269,数据!$G$3:$G$998,B269)</f>
        <v>0</v>
      </c>
      <c r="S269">
        <f>SUMIFS(数据!$D$3:$D$998,数据!$E$3:$E$998,"前期仔鱼",数据!$F$3:$F$998,A269,数据!$G$3:$G$998,B269)</f>
        <v>0</v>
      </c>
      <c r="T269">
        <f>SUMIFS(数据!$D$3:$D$998,数据!$E$3:$E$998,"仔鱼",数据!$F$3:$F$998,A269,数据!$G$3:$G$998,B269)</f>
        <v>0</v>
      </c>
      <c r="U269">
        <f>SUMIFS(数据!$D$3:$D$998,数据!$E$3:$E$998,"稚鱼",数据!$F$3:$F$998,A269,数据!$G$3:$G$998,B269)</f>
        <v>0</v>
      </c>
    </row>
    <row r="270" spans="1:21" ht="19.9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45" t="str">
        <f t="shared" si="8"/>
        <v/>
      </c>
      <c r="M270" s="45" t="str">
        <f t="shared" si="9"/>
        <v/>
      </c>
      <c r="N270" s="39" t="str">
        <f>IF(AND(A270="",B270=""),"",COUNTIFS(数据!$E$3:$E$998,"&lt;&gt;前期仔鱼",数据!$E$3:$E$998,"&lt;&gt;仔鱼",数据!$E$3:$E$998,"&lt;&gt;稚鱼",数据!$F$3:$F$998,A270,数据!$G$3:$G$998,B270))</f>
        <v/>
      </c>
      <c r="O270" s="39" t="str">
        <f>IF(AND(A270="",B270=""),"",COUNTIFS(数据!$E$3:$E$998,"&lt;&gt;鱼卵",数据!$E$3:$E$998,"&lt;&gt;死卵",数据!$F$3:$F$998,A270,数据!$G$3:$G$998,B270))</f>
        <v/>
      </c>
      <c r="P270" s="31"/>
      <c r="Q270">
        <f>SUMIFS(数据!$D$3:$D$998,数据!$E$3:$E$998,"鱼卵",数据!$F$3:$F$998,A270,数据!$G$3:$G$998,B270)</f>
        <v>0</v>
      </c>
      <c r="R270">
        <f>SUMIFS(数据!$D$3:$D$998,数据!$E$3:$E$998,"死卵",数据!$F$3:$F$998,A270,数据!$G$3:$G$998,B270)</f>
        <v>0</v>
      </c>
      <c r="S270">
        <f>SUMIFS(数据!$D$3:$D$998,数据!$E$3:$E$998,"前期仔鱼",数据!$F$3:$F$998,A270,数据!$G$3:$G$998,B270)</f>
        <v>0</v>
      </c>
      <c r="T270">
        <f>SUMIFS(数据!$D$3:$D$998,数据!$E$3:$E$998,"仔鱼",数据!$F$3:$F$998,A270,数据!$G$3:$G$998,B270)</f>
        <v>0</v>
      </c>
      <c r="U270">
        <f>SUMIFS(数据!$D$3:$D$998,数据!$E$3:$E$998,"稚鱼",数据!$F$3:$F$998,A270,数据!$G$3:$G$998,B270)</f>
        <v>0</v>
      </c>
    </row>
    <row r="271" spans="1:21" ht="19.9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45" t="str">
        <f t="shared" si="8"/>
        <v/>
      </c>
      <c r="M271" s="45" t="str">
        <f t="shared" si="9"/>
        <v/>
      </c>
      <c r="N271" s="39" t="str">
        <f>IF(AND(A271="",B271=""),"",COUNTIFS(数据!$E$3:$E$998,"&lt;&gt;前期仔鱼",数据!$E$3:$E$998,"&lt;&gt;仔鱼",数据!$E$3:$E$998,"&lt;&gt;稚鱼",数据!$F$3:$F$998,A271,数据!$G$3:$G$998,B271))</f>
        <v/>
      </c>
      <c r="O271" s="39" t="str">
        <f>IF(AND(A271="",B271=""),"",COUNTIFS(数据!$E$3:$E$998,"&lt;&gt;鱼卵",数据!$E$3:$E$998,"&lt;&gt;死卵",数据!$F$3:$F$998,A271,数据!$G$3:$G$998,B271))</f>
        <v/>
      </c>
      <c r="P271" s="31"/>
      <c r="Q271">
        <f>SUMIFS(数据!$D$3:$D$998,数据!$E$3:$E$998,"鱼卵",数据!$F$3:$F$998,A271,数据!$G$3:$G$998,B271)</f>
        <v>0</v>
      </c>
      <c r="R271">
        <f>SUMIFS(数据!$D$3:$D$998,数据!$E$3:$E$998,"死卵",数据!$F$3:$F$998,A271,数据!$G$3:$G$998,B271)</f>
        <v>0</v>
      </c>
      <c r="S271">
        <f>SUMIFS(数据!$D$3:$D$998,数据!$E$3:$E$998,"前期仔鱼",数据!$F$3:$F$998,A271,数据!$G$3:$G$998,B271)</f>
        <v>0</v>
      </c>
      <c r="T271">
        <f>SUMIFS(数据!$D$3:$D$998,数据!$E$3:$E$998,"仔鱼",数据!$F$3:$F$998,A271,数据!$G$3:$G$998,B271)</f>
        <v>0</v>
      </c>
      <c r="U271">
        <f>SUMIFS(数据!$D$3:$D$998,数据!$E$3:$E$998,"稚鱼",数据!$F$3:$F$998,A271,数据!$G$3:$G$998,B271)</f>
        <v>0</v>
      </c>
    </row>
    <row r="272" spans="1:21" ht="19.9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45" t="str">
        <f t="shared" si="8"/>
        <v/>
      </c>
      <c r="M272" s="45" t="str">
        <f t="shared" si="9"/>
        <v/>
      </c>
      <c r="N272" s="39" t="str">
        <f>IF(AND(A272="",B272=""),"",COUNTIFS(数据!$E$3:$E$998,"&lt;&gt;前期仔鱼",数据!$E$3:$E$998,"&lt;&gt;仔鱼",数据!$E$3:$E$998,"&lt;&gt;稚鱼",数据!$F$3:$F$998,A272,数据!$G$3:$G$998,B272))</f>
        <v/>
      </c>
      <c r="O272" s="39" t="str">
        <f>IF(AND(A272="",B272=""),"",COUNTIFS(数据!$E$3:$E$998,"&lt;&gt;鱼卵",数据!$E$3:$E$998,"&lt;&gt;死卵",数据!$F$3:$F$998,A272,数据!$G$3:$G$998,B272))</f>
        <v/>
      </c>
      <c r="P272" s="31"/>
      <c r="Q272">
        <f>SUMIFS(数据!$D$3:$D$998,数据!$E$3:$E$998,"鱼卵",数据!$F$3:$F$998,A272,数据!$G$3:$G$998,B272)</f>
        <v>0</v>
      </c>
      <c r="R272">
        <f>SUMIFS(数据!$D$3:$D$998,数据!$E$3:$E$998,"死卵",数据!$F$3:$F$998,A272,数据!$G$3:$G$998,B272)</f>
        <v>0</v>
      </c>
      <c r="S272">
        <f>SUMIFS(数据!$D$3:$D$998,数据!$E$3:$E$998,"前期仔鱼",数据!$F$3:$F$998,A272,数据!$G$3:$G$998,B272)</f>
        <v>0</v>
      </c>
      <c r="T272">
        <f>SUMIFS(数据!$D$3:$D$998,数据!$E$3:$E$998,"仔鱼",数据!$F$3:$F$998,A272,数据!$G$3:$G$998,B272)</f>
        <v>0</v>
      </c>
      <c r="U272">
        <f>SUMIFS(数据!$D$3:$D$998,数据!$E$3:$E$998,"稚鱼",数据!$F$3:$F$998,A272,数据!$G$3:$G$998,B272)</f>
        <v>0</v>
      </c>
    </row>
    <row r="273" spans="1:21" ht="19.9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45" t="str">
        <f t="shared" si="8"/>
        <v/>
      </c>
      <c r="M273" s="45" t="str">
        <f t="shared" si="9"/>
        <v/>
      </c>
      <c r="N273" s="39" t="str">
        <f>IF(AND(A273="",B273=""),"",COUNTIFS(数据!$E$3:$E$998,"&lt;&gt;前期仔鱼",数据!$E$3:$E$998,"&lt;&gt;仔鱼",数据!$E$3:$E$998,"&lt;&gt;稚鱼",数据!$F$3:$F$998,A273,数据!$G$3:$G$998,B273))</f>
        <v/>
      </c>
      <c r="O273" s="39" t="str">
        <f>IF(AND(A273="",B273=""),"",COUNTIFS(数据!$E$3:$E$998,"&lt;&gt;鱼卵",数据!$E$3:$E$998,"&lt;&gt;死卵",数据!$F$3:$F$998,A273,数据!$G$3:$G$998,B273))</f>
        <v/>
      </c>
      <c r="P273" s="31"/>
      <c r="Q273">
        <f>SUMIFS(数据!$D$3:$D$998,数据!$E$3:$E$998,"鱼卵",数据!$F$3:$F$998,A273,数据!$G$3:$G$998,B273)</f>
        <v>0</v>
      </c>
      <c r="R273">
        <f>SUMIFS(数据!$D$3:$D$998,数据!$E$3:$E$998,"死卵",数据!$F$3:$F$998,A273,数据!$G$3:$G$998,B273)</f>
        <v>0</v>
      </c>
      <c r="S273">
        <f>SUMIFS(数据!$D$3:$D$998,数据!$E$3:$E$998,"前期仔鱼",数据!$F$3:$F$998,A273,数据!$G$3:$G$998,B273)</f>
        <v>0</v>
      </c>
      <c r="T273">
        <f>SUMIFS(数据!$D$3:$D$998,数据!$E$3:$E$998,"仔鱼",数据!$F$3:$F$998,A273,数据!$G$3:$G$998,B273)</f>
        <v>0</v>
      </c>
      <c r="U273">
        <f>SUMIFS(数据!$D$3:$D$998,数据!$E$3:$E$998,"稚鱼",数据!$F$3:$F$998,A273,数据!$G$3:$G$998,B273)</f>
        <v>0</v>
      </c>
    </row>
    <row r="274" spans="1:21" ht="19.9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45" t="str">
        <f t="shared" si="8"/>
        <v/>
      </c>
      <c r="M274" s="45" t="str">
        <f t="shared" si="9"/>
        <v/>
      </c>
      <c r="N274" s="39" t="str">
        <f>IF(AND(A274="",B274=""),"",COUNTIFS(数据!$E$3:$E$998,"&lt;&gt;前期仔鱼",数据!$E$3:$E$998,"&lt;&gt;仔鱼",数据!$E$3:$E$998,"&lt;&gt;稚鱼",数据!$F$3:$F$998,A274,数据!$G$3:$G$998,B274))</f>
        <v/>
      </c>
      <c r="O274" s="39" t="str">
        <f>IF(AND(A274="",B274=""),"",COUNTIFS(数据!$E$3:$E$998,"&lt;&gt;鱼卵",数据!$E$3:$E$998,"&lt;&gt;死卵",数据!$F$3:$F$998,A274,数据!$G$3:$G$998,B274))</f>
        <v/>
      </c>
      <c r="P274" s="31"/>
      <c r="Q274">
        <f>SUMIFS(数据!$D$3:$D$998,数据!$E$3:$E$998,"鱼卵",数据!$F$3:$F$998,A274,数据!$G$3:$G$998,B274)</f>
        <v>0</v>
      </c>
      <c r="R274">
        <f>SUMIFS(数据!$D$3:$D$998,数据!$E$3:$E$998,"死卵",数据!$F$3:$F$998,A274,数据!$G$3:$G$998,B274)</f>
        <v>0</v>
      </c>
      <c r="S274">
        <f>SUMIFS(数据!$D$3:$D$998,数据!$E$3:$E$998,"前期仔鱼",数据!$F$3:$F$998,A274,数据!$G$3:$G$998,B274)</f>
        <v>0</v>
      </c>
      <c r="T274">
        <f>SUMIFS(数据!$D$3:$D$998,数据!$E$3:$E$998,"仔鱼",数据!$F$3:$F$998,A274,数据!$G$3:$G$998,B274)</f>
        <v>0</v>
      </c>
      <c r="U274">
        <f>SUMIFS(数据!$D$3:$D$998,数据!$E$3:$E$998,"稚鱼",数据!$F$3:$F$998,A274,数据!$G$3:$G$998,B274)</f>
        <v>0</v>
      </c>
    </row>
    <row r="275" spans="1:21" ht="19.9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45" t="str">
        <f t="shared" si="8"/>
        <v/>
      </c>
      <c r="M275" s="45" t="str">
        <f t="shared" si="9"/>
        <v/>
      </c>
      <c r="N275" s="39" t="str">
        <f>IF(AND(A275="",B275=""),"",COUNTIFS(数据!$E$3:$E$998,"&lt;&gt;前期仔鱼",数据!$E$3:$E$998,"&lt;&gt;仔鱼",数据!$E$3:$E$998,"&lt;&gt;稚鱼",数据!$F$3:$F$998,A275,数据!$G$3:$G$998,B275))</f>
        <v/>
      </c>
      <c r="O275" s="39" t="str">
        <f>IF(AND(A275="",B275=""),"",COUNTIFS(数据!$E$3:$E$998,"&lt;&gt;鱼卵",数据!$E$3:$E$998,"&lt;&gt;死卵",数据!$F$3:$F$998,A275,数据!$G$3:$G$998,B275))</f>
        <v/>
      </c>
      <c r="P275" s="31"/>
      <c r="Q275">
        <f>SUMIFS(数据!$D$3:$D$998,数据!$E$3:$E$998,"鱼卵",数据!$F$3:$F$998,A275,数据!$G$3:$G$998,B275)</f>
        <v>0</v>
      </c>
      <c r="R275">
        <f>SUMIFS(数据!$D$3:$D$998,数据!$E$3:$E$998,"死卵",数据!$F$3:$F$998,A275,数据!$G$3:$G$998,B275)</f>
        <v>0</v>
      </c>
      <c r="S275">
        <f>SUMIFS(数据!$D$3:$D$998,数据!$E$3:$E$998,"前期仔鱼",数据!$F$3:$F$998,A275,数据!$G$3:$G$998,B275)</f>
        <v>0</v>
      </c>
      <c r="T275">
        <f>SUMIFS(数据!$D$3:$D$998,数据!$E$3:$E$998,"仔鱼",数据!$F$3:$F$998,A275,数据!$G$3:$G$998,B275)</f>
        <v>0</v>
      </c>
      <c r="U275">
        <f>SUMIFS(数据!$D$3:$D$998,数据!$E$3:$E$998,"稚鱼",数据!$F$3:$F$998,A275,数据!$G$3:$G$998,B275)</f>
        <v>0</v>
      </c>
    </row>
    <row r="276" spans="1:21" ht="19.9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45" t="str">
        <f t="shared" si="8"/>
        <v/>
      </c>
      <c r="M276" s="45" t="str">
        <f t="shared" si="9"/>
        <v/>
      </c>
      <c r="N276" s="39" t="str">
        <f>IF(AND(A276="",B276=""),"",COUNTIFS(数据!$E$3:$E$998,"&lt;&gt;前期仔鱼",数据!$E$3:$E$998,"&lt;&gt;仔鱼",数据!$E$3:$E$998,"&lt;&gt;稚鱼",数据!$F$3:$F$998,A276,数据!$G$3:$G$998,B276))</f>
        <v/>
      </c>
      <c r="O276" s="39" t="str">
        <f>IF(AND(A276="",B276=""),"",COUNTIFS(数据!$E$3:$E$998,"&lt;&gt;鱼卵",数据!$E$3:$E$998,"&lt;&gt;死卵",数据!$F$3:$F$998,A276,数据!$G$3:$G$998,B276))</f>
        <v/>
      </c>
      <c r="P276" s="31"/>
      <c r="Q276">
        <f>SUMIFS(数据!$D$3:$D$998,数据!$E$3:$E$998,"鱼卵",数据!$F$3:$F$998,A276,数据!$G$3:$G$998,B276)</f>
        <v>0</v>
      </c>
      <c r="R276">
        <f>SUMIFS(数据!$D$3:$D$998,数据!$E$3:$E$998,"死卵",数据!$F$3:$F$998,A276,数据!$G$3:$G$998,B276)</f>
        <v>0</v>
      </c>
      <c r="S276">
        <f>SUMIFS(数据!$D$3:$D$998,数据!$E$3:$E$998,"前期仔鱼",数据!$F$3:$F$998,A276,数据!$G$3:$G$998,B276)</f>
        <v>0</v>
      </c>
      <c r="T276">
        <f>SUMIFS(数据!$D$3:$D$998,数据!$E$3:$E$998,"仔鱼",数据!$F$3:$F$998,A276,数据!$G$3:$G$998,B276)</f>
        <v>0</v>
      </c>
      <c r="U276">
        <f>SUMIFS(数据!$D$3:$D$998,数据!$E$3:$E$998,"稚鱼",数据!$F$3:$F$998,A276,数据!$G$3:$G$998,B276)</f>
        <v>0</v>
      </c>
    </row>
    <row r="277" spans="1:21" ht="19.9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45" t="str">
        <f t="shared" si="8"/>
        <v/>
      </c>
      <c r="M277" s="45" t="str">
        <f t="shared" si="9"/>
        <v/>
      </c>
      <c r="N277" s="39" t="str">
        <f>IF(AND(A277="",B277=""),"",COUNTIFS(数据!$E$3:$E$998,"&lt;&gt;前期仔鱼",数据!$E$3:$E$998,"&lt;&gt;仔鱼",数据!$E$3:$E$998,"&lt;&gt;稚鱼",数据!$F$3:$F$998,A277,数据!$G$3:$G$998,B277))</f>
        <v/>
      </c>
      <c r="O277" s="39" t="str">
        <f>IF(AND(A277="",B277=""),"",COUNTIFS(数据!$E$3:$E$998,"&lt;&gt;鱼卵",数据!$E$3:$E$998,"&lt;&gt;死卵",数据!$F$3:$F$998,A277,数据!$G$3:$G$998,B277))</f>
        <v/>
      </c>
      <c r="P277" s="31"/>
      <c r="Q277">
        <f>SUMIFS(数据!$D$3:$D$998,数据!$E$3:$E$998,"鱼卵",数据!$F$3:$F$998,A277,数据!$G$3:$G$998,B277)</f>
        <v>0</v>
      </c>
      <c r="R277">
        <f>SUMIFS(数据!$D$3:$D$998,数据!$E$3:$E$998,"死卵",数据!$F$3:$F$998,A277,数据!$G$3:$G$998,B277)</f>
        <v>0</v>
      </c>
      <c r="S277">
        <f>SUMIFS(数据!$D$3:$D$998,数据!$E$3:$E$998,"前期仔鱼",数据!$F$3:$F$998,A277,数据!$G$3:$G$998,B277)</f>
        <v>0</v>
      </c>
      <c r="T277">
        <f>SUMIFS(数据!$D$3:$D$998,数据!$E$3:$E$998,"仔鱼",数据!$F$3:$F$998,A277,数据!$G$3:$G$998,B277)</f>
        <v>0</v>
      </c>
      <c r="U277">
        <f>SUMIFS(数据!$D$3:$D$998,数据!$E$3:$E$998,"稚鱼",数据!$F$3:$F$998,A277,数据!$G$3:$G$998,B277)</f>
        <v>0</v>
      </c>
    </row>
    <row r="278" spans="1:21" ht="19.9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45" t="str">
        <f t="shared" si="8"/>
        <v/>
      </c>
      <c r="M278" s="45" t="str">
        <f t="shared" si="9"/>
        <v/>
      </c>
      <c r="N278" s="39" t="str">
        <f>IF(AND(A278="",B278=""),"",COUNTIFS(数据!$E$3:$E$998,"&lt;&gt;前期仔鱼",数据!$E$3:$E$998,"&lt;&gt;仔鱼",数据!$E$3:$E$998,"&lt;&gt;稚鱼",数据!$F$3:$F$998,A278,数据!$G$3:$G$998,B278))</f>
        <v/>
      </c>
      <c r="O278" s="39" t="str">
        <f>IF(AND(A278="",B278=""),"",COUNTIFS(数据!$E$3:$E$998,"&lt;&gt;鱼卵",数据!$E$3:$E$998,"&lt;&gt;死卵",数据!$F$3:$F$998,A278,数据!$G$3:$G$998,B278))</f>
        <v/>
      </c>
      <c r="P278" s="31"/>
      <c r="Q278">
        <f>SUMIFS(数据!$D$3:$D$998,数据!$E$3:$E$998,"鱼卵",数据!$F$3:$F$998,A278,数据!$G$3:$G$998,B278)</f>
        <v>0</v>
      </c>
      <c r="R278">
        <f>SUMIFS(数据!$D$3:$D$998,数据!$E$3:$E$998,"死卵",数据!$F$3:$F$998,A278,数据!$G$3:$G$998,B278)</f>
        <v>0</v>
      </c>
      <c r="S278">
        <f>SUMIFS(数据!$D$3:$D$998,数据!$E$3:$E$998,"前期仔鱼",数据!$F$3:$F$998,A278,数据!$G$3:$G$998,B278)</f>
        <v>0</v>
      </c>
      <c r="T278">
        <f>SUMIFS(数据!$D$3:$D$998,数据!$E$3:$E$998,"仔鱼",数据!$F$3:$F$998,A278,数据!$G$3:$G$998,B278)</f>
        <v>0</v>
      </c>
      <c r="U278">
        <f>SUMIFS(数据!$D$3:$D$998,数据!$E$3:$E$998,"稚鱼",数据!$F$3:$F$998,A278,数据!$G$3:$G$998,B278)</f>
        <v>0</v>
      </c>
    </row>
    <row r="279" spans="1:21" ht="19.9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45" t="str">
        <f t="shared" si="8"/>
        <v/>
      </c>
      <c r="M279" s="45" t="str">
        <f t="shared" si="9"/>
        <v/>
      </c>
      <c r="N279" s="39" t="str">
        <f>IF(AND(A279="",B279=""),"",COUNTIFS(数据!$E$3:$E$998,"&lt;&gt;前期仔鱼",数据!$E$3:$E$998,"&lt;&gt;仔鱼",数据!$E$3:$E$998,"&lt;&gt;稚鱼",数据!$F$3:$F$998,A279,数据!$G$3:$G$998,B279))</f>
        <v/>
      </c>
      <c r="O279" s="39" t="str">
        <f>IF(AND(A279="",B279=""),"",COUNTIFS(数据!$E$3:$E$998,"&lt;&gt;鱼卵",数据!$E$3:$E$998,"&lt;&gt;死卵",数据!$F$3:$F$998,A279,数据!$G$3:$G$998,B279))</f>
        <v/>
      </c>
      <c r="P279" s="31"/>
      <c r="Q279">
        <f>SUMIFS(数据!$D$3:$D$998,数据!$E$3:$E$998,"鱼卵",数据!$F$3:$F$998,A279,数据!$G$3:$G$998,B279)</f>
        <v>0</v>
      </c>
      <c r="R279">
        <f>SUMIFS(数据!$D$3:$D$998,数据!$E$3:$E$998,"死卵",数据!$F$3:$F$998,A279,数据!$G$3:$G$998,B279)</f>
        <v>0</v>
      </c>
      <c r="S279">
        <f>SUMIFS(数据!$D$3:$D$998,数据!$E$3:$E$998,"前期仔鱼",数据!$F$3:$F$998,A279,数据!$G$3:$G$998,B279)</f>
        <v>0</v>
      </c>
      <c r="T279">
        <f>SUMIFS(数据!$D$3:$D$998,数据!$E$3:$E$998,"仔鱼",数据!$F$3:$F$998,A279,数据!$G$3:$G$998,B279)</f>
        <v>0</v>
      </c>
      <c r="U279">
        <f>SUMIFS(数据!$D$3:$D$998,数据!$E$3:$E$998,"稚鱼",数据!$F$3:$F$998,A279,数据!$G$3:$G$998,B279)</f>
        <v>0</v>
      </c>
    </row>
    <row r="280" spans="1:21" ht="19.9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45" t="str">
        <f t="shared" si="8"/>
        <v/>
      </c>
      <c r="M280" s="45" t="str">
        <f t="shared" si="9"/>
        <v/>
      </c>
      <c r="N280" s="39" t="str">
        <f>IF(AND(A280="",B280=""),"",COUNTIFS(数据!$E$3:$E$998,"&lt;&gt;前期仔鱼",数据!$E$3:$E$998,"&lt;&gt;仔鱼",数据!$E$3:$E$998,"&lt;&gt;稚鱼",数据!$F$3:$F$998,A280,数据!$G$3:$G$998,B280))</f>
        <v/>
      </c>
      <c r="O280" s="39" t="str">
        <f>IF(AND(A280="",B280=""),"",COUNTIFS(数据!$E$3:$E$998,"&lt;&gt;鱼卵",数据!$E$3:$E$998,"&lt;&gt;死卵",数据!$F$3:$F$998,A280,数据!$G$3:$G$998,B280))</f>
        <v/>
      </c>
      <c r="P280" s="31"/>
      <c r="Q280">
        <f>SUMIFS(数据!$D$3:$D$998,数据!$E$3:$E$998,"鱼卵",数据!$F$3:$F$998,A280,数据!$G$3:$G$998,B280)</f>
        <v>0</v>
      </c>
      <c r="R280">
        <f>SUMIFS(数据!$D$3:$D$998,数据!$E$3:$E$998,"死卵",数据!$F$3:$F$998,A280,数据!$G$3:$G$998,B280)</f>
        <v>0</v>
      </c>
      <c r="S280">
        <f>SUMIFS(数据!$D$3:$D$998,数据!$E$3:$E$998,"前期仔鱼",数据!$F$3:$F$998,A280,数据!$G$3:$G$998,B280)</f>
        <v>0</v>
      </c>
      <c r="T280">
        <f>SUMIFS(数据!$D$3:$D$998,数据!$E$3:$E$998,"仔鱼",数据!$F$3:$F$998,A280,数据!$G$3:$G$998,B280)</f>
        <v>0</v>
      </c>
      <c r="U280">
        <f>SUMIFS(数据!$D$3:$D$998,数据!$E$3:$E$998,"稚鱼",数据!$F$3:$F$998,A280,数据!$G$3:$G$998,B280)</f>
        <v>0</v>
      </c>
    </row>
    <row r="281" spans="1:21" ht="19.9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45" t="str">
        <f t="shared" si="8"/>
        <v/>
      </c>
      <c r="M281" s="45" t="str">
        <f t="shared" si="9"/>
        <v/>
      </c>
      <c r="N281" s="39" t="str">
        <f>IF(AND(A281="",B281=""),"",COUNTIFS(数据!$E$3:$E$998,"&lt;&gt;前期仔鱼",数据!$E$3:$E$998,"&lt;&gt;仔鱼",数据!$E$3:$E$998,"&lt;&gt;稚鱼",数据!$F$3:$F$998,A281,数据!$G$3:$G$998,B281))</f>
        <v/>
      </c>
      <c r="O281" s="39" t="str">
        <f>IF(AND(A281="",B281=""),"",COUNTIFS(数据!$E$3:$E$998,"&lt;&gt;鱼卵",数据!$E$3:$E$998,"&lt;&gt;死卵",数据!$F$3:$F$998,A281,数据!$G$3:$G$998,B281))</f>
        <v/>
      </c>
      <c r="P281" s="31"/>
      <c r="Q281">
        <f>SUMIFS(数据!$D$3:$D$998,数据!$E$3:$E$998,"鱼卵",数据!$F$3:$F$998,A281,数据!$G$3:$G$998,B281)</f>
        <v>0</v>
      </c>
      <c r="R281">
        <f>SUMIFS(数据!$D$3:$D$998,数据!$E$3:$E$998,"死卵",数据!$F$3:$F$998,A281,数据!$G$3:$G$998,B281)</f>
        <v>0</v>
      </c>
      <c r="S281">
        <f>SUMIFS(数据!$D$3:$D$998,数据!$E$3:$E$998,"前期仔鱼",数据!$F$3:$F$998,A281,数据!$G$3:$G$998,B281)</f>
        <v>0</v>
      </c>
      <c r="T281">
        <f>SUMIFS(数据!$D$3:$D$998,数据!$E$3:$E$998,"仔鱼",数据!$F$3:$F$998,A281,数据!$G$3:$G$998,B281)</f>
        <v>0</v>
      </c>
      <c r="U281">
        <f>SUMIFS(数据!$D$3:$D$998,数据!$E$3:$E$998,"稚鱼",数据!$F$3:$F$998,A281,数据!$G$3:$G$998,B281)</f>
        <v>0</v>
      </c>
    </row>
    <row r="282" spans="1:21" ht="19.9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45" t="str">
        <f t="shared" si="8"/>
        <v/>
      </c>
      <c r="M282" s="45" t="str">
        <f t="shared" si="9"/>
        <v/>
      </c>
      <c r="N282" s="39" t="str">
        <f>IF(AND(A282="",B282=""),"",COUNTIFS(数据!$E$3:$E$998,"&lt;&gt;前期仔鱼",数据!$E$3:$E$998,"&lt;&gt;仔鱼",数据!$E$3:$E$998,"&lt;&gt;稚鱼",数据!$F$3:$F$998,A282,数据!$G$3:$G$998,B282))</f>
        <v/>
      </c>
      <c r="O282" s="39" t="str">
        <f>IF(AND(A282="",B282=""),"",COUNTIFS(数据!$E$3:$E$998,"&lt;&gt;鱼卵",数据!$E$3:$E$998,"&lt;&gt;死卵",数据!$F$3:$F$998,A282,数据!$G$3:$G$998,B282))</f>
        <v/>
      </c>
      <c r="P282" s="31"/>
      <c r="Q282">
        <f>SUMIFS(数据!$D$3:$D$998,数据!$E$3:$E$998,"鱼卵",数据!$F$3:$F$998,A282,数据!$G$3:$G$998,B282)</f>
        <v>0</v>
      </c>
      <c r="R282">
        <f>SUMIFS(数据!$D$3:$D$998,数据!$E$3:$E$998,"死卵",数据!$F$3:$F$998,A282,数据!$G$3:$G$998,B282)</f>
        <v>0</v>
      </c>
      <c r="S282">
        <f>SUMIFS(数据!$D$3:$D$998,数据!$E$3:$E$998,"前期仔鱼",数据!$F$3:$F$998,A282,数据!$G$3:$G$998,B282)</f>
        <v>0</v>
      </c>
      <c r="T282">
        <f>SUMIFS(数据!$D$3:$D$998,数据!$E$3:$E$998,"仔鱼",数据!$F$3:$F$998,A282,数据!$G$3:$G$998,B282)</f>
        <v>0</v>
      </c>
      <c r="U282">
        <f>SUMIFS(数据!$D$3:$D$998,数据!$E$3:$E$998,"稚鱼",数据!$F$3:$F$998,A282,数据!$G$3:$G$998,B282)</f>
        <v>0</v>
      </c>
    </row>
    <row r="283" spans="1:21" ht="19.9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45" t="str">
        <f t="shared" si="8"/>
        <v/>
      </c>
      <c r="M283" s="45" t="str">
        <f t="shared" si="9"/>
        <v/>
      </c>
      <c r="N283" s="39" t="str">
        <f>IF(AND(A283="",B283=""),"",COUNTIFS(数据!$E$3:$E$998,"&lt;&gt;前期仔鱼",数据!$E$3:$E$998,"&lt;&gt;仔鱼",数据!$E$3:$E$998,"&lt;&gt;稚鱼",数据!$F$3:$F$998,A283,数据!$G$3:$G$998,B283))</f>
        <v/>
      </c>
      <c r="O283" s="39" t="str">
        <f>IF(AND(A283="",B283=""),"",COUNTIFS(数据!$E$3:$E$998,"&lt;&gt;鱼卵",数据!$E$3:$E$998,"&lt;&gt;死卵",数据!$F$3:$F$998,A283,数据!$G$3:$G$998,B283))</f>
        <v/>
      </c>
      <c r="P283" s="31"/>
      <c r="Q283">
        <f>SUMIFS(数据!$D$3:$D$998,数据!$E$3:$E$998,"鱼卵",数据!$F$3:$F$998,A283,数据!$G$3:$G$998,B283)</f>
        <v>0</v>
      </c>
      <c r="R283">
        <f>SUMIFS(数据!$D$3:$D$998,数据!$E$3:$E$998,"死卵",数据!$F$3:$F$998,A283,数据!$G$3:$G$998,B283)</f>
        <v>0</v>
      </c>
      <c r="S283">
        <f>SUMIFS(数据!$D$3:$D$998,数据!$E$3:$E$998,"前期仔鱼",数据!$F$3:$F$998,A283,数据!$G$3:$G$998,B283)</f>
        <v>0</v>
      </c>
      <c r="T283">
        <f>SUMIFS(数据!$D$3:$D$998,数据!$E$3:$E$998,"仔鱼",数据!$F$3:$F$998,A283,数据!$G$3:$G$998,B283)</f>
        <v>0</v>
      </c>
      <c r="U283">
        <f>SUMIFS(数据!$D$3:$D$998,数据!$E$3:$E$998,"稚鱼",数据!$F$3:$F$998,A283,数据!$G$3:$G$998,B283)</f>
        <v>0</v>
      </c>
    </row>
    <row r="284" spans="1:21" ht="19.9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45" t="str">
        <f t="shared" si="8"/>
        <v/>
      </c>
      <c r="M284" s="45" t="str">
        <f t="shared" si="9"/>
        <v/>
      </c>
      <c r="N284" s="39" t="str">
        <f>IF(AND(A284="",B284=""),"",COUNTIFS(数据!$E$3:$E$998,"&lt;&gt;前期仔鱼",数据!$E$3:$E$998,"&lt;&gt;仔鱼",数据!$E$3:$E$998,"&lt;&gt;稚鱼",数据!$F$3:$F$998,A284,数据!$G$3:$G$998,B284))</f>
        <v/>
      </c>
      <c r="O284" s="39" t="str">
        <f>IF(AND(A284="",B284=""),"",COUNTIFS(数据!$E$3:$E$998,"&lt;&gt;鱼卵",数据!$E$3:$E$998,"&lt;&gt;死卵",数据!$F$3:$F$998,A284,数据!$G$3:$G$998,B284))</f>
        <v/>
      </c>
      <c r="P284" s="31"/>
      <c r="Q284">
        <f>SUMIFS(数据!$D$3:$D$998,数据!$E$3:$E$998,"鱼卵",数据!$F$3:$F$998,A284,数据!$G$3:$G$998,B284)</f>
        <v>0</v>
      </c>
      <c r="R284">
        <f>SUMIFS(数据!$D$3:$D$998,数据!$E$3:$E$998,"死卵",数据!$F$3:$F$998,A284,数据!$G$3:$G$998,B284)</f>
        <v>0</v>
      </c>
      <c r="S284">
        <f>SUMIFS(数据!$D$3:$D$998,数据!$E$3:$E$998,"前期仔鱼",数据!$F$3:$F$998,A284,数据!$G$3:$G$998,B284)</f>
        <v>0</v>
      </c>
      <c r="T284">
        <f>SUMIFS(数据!$D$3:$D$998,数据!$E$3:$E$998,"仔鱼",数据!$F$3:$F$998,A284,数据!$G$3:$G$998,B284)</f>
        <v>0</v>
      </c>
      <c r="U284">
        <f>SUMIFS(数据!$D$3:$D$998,数据!$E$3:$E$998,"稚鱼",数据!$F$3:$F$998,A284,数据!$G$3:$G$998,B284)</f>
        <v>0</v>
      </c>
    </row>
    <row r="285" spans="1:21" ht="19.9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45" t="str">
        <f t="shared" si="8"/>
        <v/>
      </c>
      <c r="M285" s="45" t="str">
        <f t="shared" si="9"/>
        <v/>
      </c>
      <c r="N285" s="39" t="str">
        <f>IF(AND(A285="",B285=""),"",COUNTIFS(数据!$E$3:$E$998,"&lt;&gt;前期仔鱼",数据!$E$3:$E$998,"&lt;&gt;仔鱼",数据!$E$3:$E$998,"&lt;&gt;稚鱼",数据!$F$3:$F$998,A285,数据!$G$3:$G$998,B285))</f>
        <v/>
      </c>
      <c r="O285" s="39" t="str">
        <f>IF(AND(A285="",B285=""),"",COUNTIFS(数据!$E$3:$E$998,"&lt;&gt;鱼卵",数据!$E$3:$E$998,"&lt;&gt;死卵",数据!$F$3:$F$998,A285,数据!$G$3:$G$998,B285))</f>
        <v/>
      </c>
      <c r="P285" s="31"/>
      <c r="Q285">
        <f>SUMIFS(数据!$D$3:$D$998,数据!$E$3:$E$998,"鱼卵",数据!$F$3:$F$998,A285,数据!$G$3:$G$998,B285)</f>
        <v>0</v>
      </c>
      <c r="R285">
        <f>SUMIFS(数据!$D$3:$D$998,数据!$E$3:$E$998,"死卵",数据!$F$3:$F$998,A285,数据!$G$3:$G$998,B285)</f>
        <v>0</v>
      </c>
      <c r="S285">
        <f>SUMIFS(数据!$D$3:$D$998,数据!$E$3:$E$998,"前期仔鱼",数据!$F$3:$F$998,A285,数据!$G$3:$G$998,B285)</f>
        <v>0</v>
      </c>
      <c r="T285">
        <f>SUMIFS(数据!$D$3:$D$998,数据!$E$3:$E$998,"仔鱼",数据!$F$3:$F$998,A285,数据!$G$3:$G$998,B285)</f>
        <v>0</v>
      </c>
      <c r="U285">
        <f>SUMIFS(数据!$D$3:$D$998,数据!$E$3:$E$998,"稚鱼",数据!$F$3:$F$998,A285,数据!$G$3:$G$998,B285)</f>
        <v>0</v>
      </c>
    </row>
    <row r="286" spans="1:21" ht="19.9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45" t="str">
        <f t="shared" si="8"/>
        <v/>
      </c>
      <c r="M286" s="45" t="str">
        <f t="shared" si="9"/>
        <v/>
      </c>
      <c r="N286" s="39" t="str">
        <f>IF(AND(A286="",B286=""),"",COUNTIFS(数据!$E$3:$E$998,"&lt;&gt;前期仔鱼",数据!$E$3:$E$998,"&lt;&gt;仔鱼",数据!$E$3:$E$998,"&lt;&gt;稚鱼",数据!$F$3:$F$998,A286,数据!$G$3:$G$998,B286))</f>
        <v/>
      </c>
      <c r="O286" s="39" t="str">
        <f>IF(AND(A286="",B286=""),"",COUNTIFS(数据!$E$3:$E$998,"&lt;&gt;鱼卵",数据!$E$3:$E$998,"&lt;&gt;死卵",数据!$F$3:$F$998,A286,数据!$G$3:$G$998,B286))</f>
        <v/>
      </c>
      <c r="P286" s="31"/>
      <c r="Q286">
        <f>SUMIFS(数据!$D$3:$D$998,数据!$E$3:$E$998,"鱼卵",数据!$F$3:$F$998,A286,数据!$G$3:$G$998,B286)</f>
        <v>0</v>
      </c>
      <c r="R286">
        <f>SUMIFS(数据!$D$3:$D$998,数据!$E$3:$E$998,"死卵",数据!$F$3:$F$998,A286,数据!$G$3:$G$998,B286)</f>
        <v>0</v>
      </c>
      <c r="S286">
        <f>SUMIFS(数据!$D$3:$D$998,数据!$E$3:$E$998,"前期仔鱼",数据!$F$3:$F$998,A286,数据!$G$3:$G$998,B286)</f>
        <v>0</v>
      </c>
      <c r="T286">
        <f>SUMIFS(数据!$D$3:$D$998,数据!$E$3:$E$998,"仔鱼",数据!$F$3:$F$998,A286,数据!$G$3:$G$998,B286)</f>
        <v>0</v>
      </c>
      <c r="U286">
        <f>SUMIFS(数据!$D$3:$D$998,数据!$E$3:$E$998,"稚鱼",数据!$F$3:$F$998,A286,数据!$G$3:$G$998,B286)</f>
        <v>0</v>
      </c>
    </row>
    <row r="287" spans="1:21" ht="19.9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45" t="str">
        <f t="shared" si="8"/>
        <v/>
      </c>
      <c r="M287" s="45" t="str">
        <f t="shared" si="9"/>
        <v/>
      </c>
      <c r="N287" s="39" t="str">
        <f>IF(AND(A287="",B287=""),"",COUNTIFS(数据!$E$3:$E$998,"&lt;&gt;前期仔鱼",数据!$E$3:$E$998,"&lt;&gt;仔鱼",数据!$E$3:$E$998,"&lt;&gt;稚鱼",数据!$F$3:$F$998,A287,数据!$G$3:$G$998,B287))</f>
        <v/>
      </c>
      <c r="O287" s="39" t="str">
        <f>IF(AND(A287="",B287=""),"",COUNTIFS(数据!$E$3:$E$998,"&lt;&gt;鱼卵",数据!$E$3:$E$998,"&lt;&gt;死卵",数据!$F$3:$F$998,A287,数据!$G$3:$G$998,B287))</f>
        <v/>
      </c>
      <c r="P287" s="31"/>
      <c r="Q287">
        <f>SUMIFS(数据!$D$3:$D$998,数据!$E$3:$E$998,"鱼卵",数据!$F$3:$F$998,A287,数据!$G$3:$G$998,B287)</f>
        <v>0</v>
      </c>
      <c r="R287">
        <f>SUMIFS(数据!$D$3:$D$998,数据!$E$3:$E$998,"死卵",数据!$F$3:$F$998,A287,数据!$G$3:$G$998,B287)</f>
        <v>0</v>
      </c>
      <c r="S287">
        <f>SUMIFS(数据!$D$3:$D$998,数据!$E$3:$E$998,"前期仔鱼",数据!$F$3:$F$998,A287,数据!$G$3:$G$998,B287)</f>
        <v>0</v>
      </c>
      <c r="T287">
        <f>SUMIFS(数据!$D$3:$D$998,数据!$E$3:$E$998,"仔鱼",数据!$F$3:$F$998,A287,数据!$G$3:$G$998,B287)</f>
        <v>0</v>
      </c>
      <c r="U287">
        <f>SUMIFS(数据!$D$3:$D$998,数据!$E$3:$E$998,"稚鱼",数据!$F$3:$F$998,A287,数据!$G$3:$G$998,B287)</f>
        <v>0</v>
      </c>
    </row>
    <row r="288" spans="1:21" ht="19.9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45" t="str">
        <f t="shared" si="8"/>
        <v/>
      </c>
      <c r="M288" s="45" t="str">
        <f t="shared" si="9"/>
        <v/>
      </c>
      <c r="N288" s="39" t="str">
        <f>IF(AND(A288="",B288=""),"",COUNTIFS(数据!$E$3:$E$998,"&lt;&gt;前期仔鱼",数据!$E$3:$E$998,"&lt;&gt;仔鱼",数据!$E$3:$E$998,"&lt;&gt;稚鱼",数据!$F$3:$F$998,A288,数据!$G$3:$G$998,B288))</f>
        <v/>
      </c>
      <c r="O288" s="39" t="str">
        <f>IF(AND(A288="",B288=""),"",COUNTIFS(数据!$E$3:$E$998,"&lt;&gt;鱼卵",数据!$E$3:$E$998,"&lt;&gt;死卵",数据!$F$3:$F$998,A288,数据!$G$3:$G$998,B288))</f>
        <v/>
      </c>
      <c r="P288" s="31"/>
      <c r="Q288">
        <f>SUMIFS(数据!$D$3:$D$998,数据!$E$3:$E$998,"鱼卵",数据!$F$3:$F$998,A288,数据!$G$3:$G$998,B288)</f>
        <v>0</v>
      </c>
      <c r="R288">
        <f>SUMIFS(数据!$D$3:$D$998,数据!$E$3:$E$998,"死卵",数据!$F$3:$F$998,A288,数据!$G$3:$G$998,B288)</f>
        <v>0</v>
      </c>
      <c r="S288">
        <f>SUMIFS(数据!$D$3:$D$998,数据!$E$3:$E$998,"前期仔鱼",数据!$F$3:$F$998,A288,数据!$G$3:$G$998,B288)</f>
        <v>0</v>
      </c>
      <c r="T288">
        <f>SUMIFS(数据!$D$3:$D$998,数据!$E$3:$E$998,"仔鱼",数据!$F$3:$F$998,A288,数据!$G$3:$G$998,B288)</f>
        <v>0</v>
      </c>
      <c r="U288">
        <f>SUMIFS(数据!$D$3:$D$998,数据!$E$3:$E$998,"稚鱼",数据!$F$3:$F$998,A288,数据!$G$3:$G$998,B288)</f>
        <v>0</v>
      </c>
    </row>
    <row r="289" spans="1:21" ht="19.9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45" t="str">
        <f t="shared" si="8"/>
        <v/>
      </c>
      <c r="M289" s="45" t="str">
        <f t="shared" si="9"/>
        <v/>
      </c>
      <c r="N289" s="39" t="str">
        <f>IF(AND(A289="",B289=""),"",COUNTIFS(数据!$E$3:$E$998,"&lt;&gt;前期仔鱼",数据!$E$3:$E$998,"&lt;&gt;仔鱼",数据!$E$3:$E$998,"&lt;&gt;稚鱼",数据!$F$3:$F$998,A289,数据!$G$3:$G$998,B289))</f>
        <v/>
      </c>
      <c r="O289" s="39" t="str">
        <f>IF(AND(A289="",B289=""),"",COUNTIFS(数据!$E$3:$E$998,"&lt;&gt;鱼卵",数据!$E$3:$E$998,"&lt;&gt;死卵",数据!$F$3:$F$998,A289,数据!$G$3:$G$998,B289))</f>
        <v/>
      </c>
      <c r="P289" s="31"/>
      <c r="Q289">
        <f>SUMIFS(数据!$D$3:$D$998,数据!$E$3:$E$998,"鱼卵",数据!$F$3:$F$998,A289,数据!$G$3:$G$998,B289)</f>
        <v>0</v>
      </c>
      <c r="R289">
        <f>SUMIFS(数据!$D$3:$D$998,数据!$E$3:$E$998,"死卵",数据!$F$3:$F$998,A289,数据!$G$3:$G$998,B289)</f>
        <v>0</v>
      </c>
      <c r="S289">
        <f>SUMIFS(数据!$D$3:$D$998,数据!$E$3:$E$998,"前期仔鱼",数据!$F$3:$F$998,A289,数据!$G$3:$G$998,B289)</f>
        <v>0</v>
      </c>
      <c r="T289">
        <f>SUMIFS(数据!$D$3:$D$998,数据!$E$3:$E$998,"仔鱼",数据!$F$3:$F$998,A289,数据!$G$3:$G$998,B289)</f>
        <v>0</v>
      </c>
      <c r="U289">
        <f>SUMIFS(数据!$D$3:$D$998,数据!$E$3:$E$998,"稚鱼",数据!$F$3:$F$998,A289,数据!$G$3:$G$998,B289)</f>
        <v>0</v>
      </c>
    </row>
    <row r="290" spans="1:21" ht="19.9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45" t="str">
        <f t="shared" si="8"/>
        <v/>
      </c>
      <c r="M290" s="45" t="str">
        <f t="shared" si="9"/>
        <v/>
      </c>
      <c r="N290" s="39" t="str">
        <f>IF(AND(A290="",B290=""),"",COUNTIFS(数据!$E$3:$E$998,"&lt;&gt;前期仔鱼",数据!$E$3:$E$998,"&lt;&gt;仔鱼",数据!$E$3:$E$998,"&lt;&gt;稚鱼",数据!$F$3:$F$998,A290,数据!$G$3:$G$998,B290))</f>
        <v/>
      </c>
      <c r="O290" s="39" t="str">
        <f>IF(AND(A290="",B290=""),"",COUNTIFS(数据!$E$3:$E$998,"&lt;&gt;鱼卵",数据!$E$3:$E$998,"&lt;&gt;死卵",数据!$F$3:$F$998,A290,数据!$G$3:$G$998,B290))</f>
        <v/>
      </c>
      <c r="P290" s="31"/>
      <c r="Q290">
        <f>SUMIFS(数据!$D$3:$D$998,数据!$E$3:$E$998,"鱼卵",数据!$F$3:$F$998,A290,数据!$G$3:$G$998,B290)</f>
        <v>0</v>
      </c>
      <c r="R290">
        <f>SUMIFS(数据!$D$3:$D$998,数据!$E$3:$E$998,"死卵",数据!$F$3:$F$998,A290,数据!$G$3:$G$998,B290)</f>
        <v>0</v>
      </c>
      <c r="S290">
        <f>SUMIFS(数据!$D$3:$D$998,数据!$E$3:$E$998,"前期仔鱼",数据!$F$3:$F$998,A290,数据!$G$3:$G$998,B290)</f>
        <v>0</v>
      </c>
      <c r="T290">
        <f>SUMIFS(数据!$D$3:$D$998,数据!$E$3:$E$998,"仔鱼",数据!$F$3:$F$998,A290,数据!$G$3:$G$998,B290)</f>
        <v>0</v>
      </c>
      <c r="U290">
        <f>SUMIFS(数据!$D$3:$D$998,数据!$E$3:$E$998,"稚鱼",数据!$F$3:$F$998,A290,数据!$G$3:$G$998,B290)</f>
        <v>0</v>
      </c>
    </row>
    <row r="291" spans="1:21" ht="19.9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45" t="str">
        <f t="shared" si="8"/>
        <v/>
      </c>
      <c r="M291" s="45" t="str">
        <f t="shared" si="9"/>
        <v/>
      </c>
      <c r="N291" s="39" t="str">
        <f>IF(AND(A291="",B291=""),"",COUNTIFS(数据!$E$3:$E$998,"&lt;&gt;前期仔鱼",数据!$E$3:$E$998,"&lt;&gt;仔鱼",数据!$E$3:$E$998,"&lt;&gt;稚鱼",数据!$F$3:$F$998,A291,数据!$G$3:$G$998,B291))</f>
        <v/>
      </c>
      <c r="O291" s="39" t="str">
        <f>IF(AND(A291="",B291=""),"",COUNTIFS(数据!$E$3:$E$998,"&lt;&gt;鱼卵",数据!$E$3:$E$998,"&lt;&gt;死卵",数据!$F$3:$F$998,A291,数据!$G$3:$G$998,B291))</f>
        <v/>
      </c>
      <c r="P291" s="31"/>
      <c r="Q291">
        <f>SUMIFS(数据!$D$3:$D$998,数据!$E$3:$E$998,"鱼卵",数据!$F$3:$F$998,A291,数据!$G$3:$G$998,B291)</f>
        <v>0</v>
      </c>
      <c r="R291">
        <f>SUMIFS(数据!$D$3:$D$998,数据!$E$3:$E$998,"死卵",数据!$F$3:$F$998,A291,数据!$G$3:$G$998,B291)</f>
        <v>0</v>
      </c>
      <c r="S291">
        <f>SUMIFS(数据!$D$3:$D$998,数据!$E$3:$E$998,"前期仔鱼",数据!$F$3:$F$998,A291,数据!$G$3:$G$998,B291)</f>
        <v>0</v>
      </c>
      <c r="T291">
        <f>SUMIFS(数据!$D$3:$D$998,数据!$E$3:$E$998,"仔鱼",数据!$F$3:$F$998,A291,数据!$G$3:$G$998,B291)</f>
        <v>0</v>
      </c>
      <c r="U291">
        <f>SUMIFS(数据!$D$3:$D$998,数据!$E$3:$E$998,"稚鱼",数据!$F$3:$F$998,A291,数据!$G$3:$G$998,B291)</f>
        <v>0</v>
      </c>
    </row>
    <row r="292" spans="1:21" ht="19.9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45" t="str">
        <f t="shared" si="8"/>
        <v/>
      </c>
      <c r="M292" s="45" t="str">
        <f t="shared" si="9"/>
        <v/>
      </c>
      <c r="N292" s="39" t="str">
        <f>IF(AND(A292="",B292=""),"",COUNTIFS(数据!$E$3:$E$998,"&lt;&gt;前期仔鱼",数据!$E$3:$E$998,"&lt;&gt;仔鱼",数据!$E$3:$E$998,"&lt;&gt;稚鱼",数据!$F$3:$F$998,A292,数据!$G$3:$G$998,B292))</f>
        <v/>
      </c>
      <c r="O292" s="39" t="str">
        <f>IF(AND(A292="",B292=""),"",COUNTIFS(数据!$E$3:$E$998,"&lt;&gt;鱼卵",数据!$E$3:$E$998,"&lt;&gt;死卵",数据!$F$3:$F$998,A292,数据!$G$3:$G$998,B292))</f>
        <v/>
      </c>
      <c r="P292" s="31"/>
      <c r="Q292">
        <f>SUMIFS(数据!$D$3:$D$998,数据!$E$3:$E$998,"鱼卵",数据!$F$3:$F$998,A292,数据!$G$3:$G$998,B292)</f>
        <v>0</v>
      </c>
      <c r="R292">
        <f>SUMIFS(数据!$D$3:$D$998,数据!$E$3:$E$998,"死卵",数据!$F$3:$F$998,A292,数据!$G$3:$G$998,B292)</f>
        <v>0</v>
      </c>
      <c r="S292">
        <f>SUMIFS(数据!$D$3:$D$998,数据!$E$3:$E$998,"前期仔鱼",数据!$F$3:$F$998,A292,数据!$G$3:$G$998,B292)</f>
        <v>0</v>
      </c>
      <c r="T292">
        <f>SUMIFS(数据!$D$3:$D$998,数据!$E$3:$E$998,"仔鱼",数据!$F$3:$F$998,A292,数据!$G$3:$G$998,B292)</f>
        <v>0</v>
      </c>
      <c r="U292">
        <f>SUMIFS(数据!$D$3:$D$998,数据!$E$3:$E$998,"稚鱼",数据!$F$3:$F$998,A292,数据!$G$3:$G$998,B292)</f>
        <v>0</v>
      </c>
    </row>
    <row r="293" spans="1:21" ht="19.9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45" t="str">
        <f t="shared" si="8"/>
        <v/>
      </c>
      <c r="M293" s="45" t="str">
        <f t="shared" si="9"/>
        <v/>
      </c>
      <c r="N293" s="39" t="str">
        <f>IF(AND(A293="",B293=""),"",COUNTIFS(数据!$E$3:$E$998,"&lt;&gt;前期仔鱼",数据!$E$3:$E$998,"&lt;&gt;仔鱼",数据!$E$3:$E$998,"&lt;&gt;稚鱼",数据!$F$3:$F$998,A293,数据!$G$3:$G$998,B293))</f>
        <v/>
      </c>
      <c r="O293" s="39" t="str">
        <f>IF(AND(A293="",B293=""),"",COUNTIFS(数据!$E$3:$E$998,"&lt;&gt;鱼卵",数据!$E$3:$E$998,"&lt;&gt;死卵",数据!$F$3:$F$998,A293,数据!$G$3:$G$998,B293))</f>
        <v/>
      </c>
      <c r="P293" s="31"/>
      <c r="Q293">
        <f>SUMIFS(数据!$D$3:$D$998,数据!$E$3:$E$998,"鱼卵",数据!$F$3:$F$998,A293,数据!$G$3:$G$998,B293)</f>
        <v>0</v>
      </c>
      <c r="R293">
        <f>SUMIFS(数据!$D$3:$D$998,数据!$E$3:$E$998,"死卵",数据!$F$3:$F$998,A293,数据!$G$3:$G$998,B293)</f>
        <v>0</v>
      </c>
      <c r="S293">
        <f>SUMIFS(数据!$D$3:$D$998,数据!$E$3:$E$998,"前期仔鱼",数据!$F$3:$F$998,A293,数据!$G$3:$G$998,B293)</f>
        <v>0</v>
      </c>
      <c r="T293">
        <f>SUMIFS(数据!$D$3:$D$998,数据!$E$3:$E$998,"仔鱼",数据!$F$3:$F$998,A293,数据!$G$3:$G$998,B293)</f>
        <v>0</v>
      </c>
      <c r="U293">
        <f>SUMIFS(数据!$D$3:$D$998,数据!$E$3:$E$998,"稚鱼",数据!$F$3:$F$998,A293,数据!$G$3:$G$998,B293)</f>
        <v>0</v>
      </c>
    </row>
    <row r="294" spans="1:21" ht="19.9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45" t="str">
        <f t="shared" si="8"/>
        <v/>
      </c>
      <c r="M294" s="45" t="str">
        <f t="shared" si="9"/>
        <v/>
      </c>
      <c r="N294" s="39" t="str">
        <f>IF(AND(A294="",B294=""),"",COUNTIFS(数据!$E$3:$E$998,"&lt;&gt;前期仔鱼",数据!$E$3:$E$998,"&lt;&gt;仔鱼",数据!$E$3:$E$998,"&lt;&gt;稚鱼",数据!$F$3:$F$998,A294,数据!$G$3:$G$998,B294))</f>
        <v/>
      </c>
      <c r="O294" s="39" t="str">
        <f>IF(AND(A294="",B294=""),"",COUNTIFS(数据!$E$3:$E$998,"&lt;&gt;鱼卵",数据!$E$3:$E$998,"&lt;&gt;死卵",数据!$F$3:$F$998,A294,数据!$G$3:$G$998,B294))</f>
        <v/>
      </c>
      <c r="P294" s="31"/>
      <c r="Q294">
        <f>SUMIFS(数据!$D$3:$D$998,数据!$E$3:$E$998,"鱼卵",数据!$F$3:$F$998,A294,数据!$G$3:$G$998,B294)</f>
        <v>0</v>
      </c>
      <c r="R294">
        <f>SUMIFS(数据!$D$3:$D$998,数据!$E$3:$E$998,"死卵",数据!$F$3:$F$998,A294,数据!$G$3:$G$998,B294)</f>
        <v>0</v>
      </c>
      <c r="S294">
        <f>SUMIFS(数据!$D$3:$D$998,数据!$E$3:$E$998,"前期仔鱼",数据!$F$3:$F$998,A294,数据!$G$3:$G$998,B294)</f>
        <v>0</v>
      </c>
      <c r="T294">
        <f>SUMIFS(数据!$D$3:$D$998,数据!$E$3:$E$998,"仔鱼",数据!$F$3:$F$998,A294,数据!$G$3:$G$998,B294)</f>
        <v>0</v>
      </c>
      <c r="U294">
        <f>SUMIFS(数据!$D$3:$D$998,数据!$E$3:$E$998,"稚鱼",数据!$F$3:$F$998,A294,数据!$G$3:$G$998,B294)</f>
        <v>0</v>
      </c>
    </row>
    <row r="295" spans="1:21" ht="19.9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45" t="str">
        <f t="shared" si="8"/>
        <v/>
      </c>
      <c r="M295" s="45" t="str">
        <f t="shared" si="9"/>
        <v/>
      </c>
      <c r="N295" s="39" t="str">
        <f>IF(AND(A295="",B295=""),"",COUNTIFS(数据!$E$3:$E$998,"&lt;&gt;前期仔鱼",数据!$E$3:$E$998,"&lt;&gt;仔鱼",数据!$E$3:$E$998,"&lt;&gt;稚鱼",数据!$F$3:$F$998,A295,数据!$G$3:$G$998,B295))</f>
        <v/>
      </c>
      <c r="O295" s="39" t="str">
        <f>IF(AND(A295="",B295=""),"",COUNTIFS(数据!$E$3:$E$998,"&lt;&gt;鱼卵",数据!$E$3:$E$998,"&lt;&gt;死卵",数据!$F$3:$F$998,A295,数据!$G$3:$G$998,B295))</f>
        <v/>
      </c>
      <c r="P295" s="31"/>
      <c r="Q295">
        <f>SUMIFS(数据!$D$3:$D$998,数据!$E$3:$E$998,"鱼卵",数据!$F$3:$F$998,A295,数据!$G$3:$G$998,B295)</f>
        <v>0</v>
      </c>
      <c r="R295">
        <f>SUMIFS(数据!$D$3:$D$998,数据!$E$3:$E$998,"死卵",数据!$F$3:$F$998,A295,数据!$G$3:$G$998,B295)</f>
        <v>0</v>
      </c>
      <c r="S295">
        <f>SUMIFS(数据!$D$3:$D$998,数据!$E$3:$E$998,"前期仔鱼",数据!$F$3:$F$998,A295,数据!$G$3:$G$998,B295)</f>
        <v>0</v>
      </c>
      <c r="T295">
        <f>SUMIFS(数据!$D$3:$D$998,数据!$E$3:$E$998,"仔鱼",数据!$F$3:$F$998,A295,数据!$G$3:$G$998,B295)</f>
        <v>0</v>
      </c>
      <c r="U295">
        <f>SUMIFS(数据!$D$3:$D$998,数据!$E$3:$E$998,"稚鱼",数据!$F$3:$F$998,A295,数据!$G$3:$G$998,B295)</f>
        <v>0</v>
      </c>
    </row>
    <row r="296" spans="1:21" ht="19.9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45" t="str">
        <f t="shared" si="8"/>
        <v/>
      </c>
      <c r="M296" s="45" t="str">
        <f t="shared" si="9"/>
        <v/>
      </c>
      <c r="N296" s="39" t="str">
        <f>IF(AND(A296="",B296=""),"",COUNTIFS(数据!$E$3:$E$998,"&lt;&gt;前期仔鱼",数据!$E$3:$E$998,"&lt;&gt;仔鱼",数据!$E$3:$E$998,"&lt;&gt;稚鱼",数据!$F$3:$F$998,A296,数据!$G$3:$G$998,B296))</f>
        <v/>
      </c>
      <c r="O296" s="39" t="str">
        <f>IF(AND(A296="",B296=""),"",COUNTIFS(数据!$E$3:$E$998,"&lt;&gt;鱼卵",数据!$E$3:$E$998,"&lt;&gt;死卵",数据!$F$3:$F$998,A296,数据!$G$3:$G$998,B296))</f>
        <v/>
      </c>
      <c r="P296" s="31"/>
      <c r="Q296">
        <f>SUMIFS(数据!$D$3:$D$998,数据!$E$3:$E$998,"鱼卵",数据!$F$3:$F$998,A296,数据!$G$3:$G$998,B296)</f>
        <v>0</v>
      </c>
      <c r="R296">
        <f>SUMIFS(数据!$D$3:$D$998,数据!$E$3:$E$998,"死卵",数据!$F$3:$F$998,A296,数据!$G$3:$G$998,B296)</f>
        <v>0</v>
      </c>
      <c r="S296">
        <f>SUMIFS(数据!$D$3:$D$998,数据!$E$3:$E$998,"前期仔鱼",数据!$F$3:$F$998,A296,数据!$G$3:$G$998,B296)</f>
        <v>0</v>
      </c>
      <c r="T296">
        <f>SUMIFS(数据!$D$3:$D$998,数据!$E$3:$E$998,"仔鱼",数据!$F$3:$F$998,A296,数据!$G$3:$G$998,B296)</f>
        <v>0</v>
      </c>
      <c r="U296">
        <f>SUMIFS(数据!$D$3:$D$998,数据!$E$3:$E$998,"稚鱼",数据!$F$3:$F$998,A296,数据!$G$3:$G$998,B296)</f>
        <v>0</v>
      </c>
    </row>
    <row r="297" spans="1:21" ht="19.9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45" t="str">
        <f t="shared" si="8"/>
        <v/>
      </c>
      <c r="M297" s="45" t="str">
        <f t="shared" si="9"/>
        <v/>
      </c>
      <c r="N297" s="39" t="str">
        <f>IF(AND(A297="",B297=""),"",COUNTIFS(数据!$E$3:$E$998,"&lt;&gt;前期仔鱼",数据!$E$3:$E$998,"&lt;&gt;仔鱼",数据!$E$3:$E$998,"&lt;&gt;稚鱼",数据!$F$3:$F$998,A297,数据!$G$3:$G$998,B297))</f>
        <v/>
      </c>
      <c r="O297" s="39" t="str">
        <f>IF(AND(A297="",B297=""),"",COUNTIFS(数据!$E$3:$E$998,"&lt;&gt;鱼卵",数据!$E$3:$E$998,"&lt;&gt;死卵",数据!$F$3:$F$998,A297,数据!$G$3:$G$998,B297))</f>
        <v/>
      </c>
      <c r="P297" s="31"/>
      <c r="Q297">
        <f>SUMIFS(数据!$D$3:$D$998,数据!$E$3:$E$998,"鱼卵",数据!$F$3:$F$998,A297,数据!$G$3:$G$998,B297)</f>
        <v>0</v>
      </c>
      <c r="R297">
        <f>SUMIFS(数据!$D$3:$D$998,数据!$E$3:$E$998,"死卵",数据!$F$3:$F$998,A297,数据!$G$3:$G$998,B297)</f>
        <v>0</v>
      </c>
      <c r="S297">
        <f>SUMIFS(数据!$D$3:$D$998,数据!$E$3:$E$998,"前期仔鱼",数据!$F$3:$F$998,A297,数据!$G$3:$G$998,B297)</f>
        <v>0</v>
      </c>
      <c r="T297">
        <f>SUMIFS(数据!$D$3:$D$998,数据!$E$3:$E$998,"仔鱼",数据!$F$3:$F$998,A297,数据!$G$3:$G$998,B297)</f>
        <v>0</v>
      </c>
      <c r="U297">
        <f>SUMIFS(数据!$D$3:$D$998,数据!$E$3:$E$998,"稚鱼",数据!$F$3:$F$998,A297,数据!$G$3:$G$998,B297)</f>
        <v>0</v>
      </c>
    </row>
    <row r="298" spans="1:21" ht="19.9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45" t="str">
        <f t="shared" si="8"/>
        <v/>
      </c>
      <c r="M298" s="45" t="str">
        <f t="shared" si="9"/>
        <v/>
      </c>
      <c r="N298" s="39" t="str">
        <f>IF(AND(A298="",B298=""),"",COUNTIFS(数据!$E$3:$E$998,"&lt;&gt;前期仔鱼",数据!$E$3:$E$998,"&lt;&gt;仔鱼",数据!$E$3:$E$998,"&lt;&gt;稚鱼",数据!$F$3:$F$998,A298,数据!$G$3:$G$998,B298))</f>
        <v/>
      </c>
      <c r="O298" s="39" t="str">
        <f>IF(AND(A298="",B298=""),"",COUNTIFS(数据!$E$3:$E$998,"&lt;&gt;鱼卵",数据!$E$3:$E$998,"&lt;&gt;死卵",数据!$F$3:$F$998,A298,数据!$G$3:$G$998,B298))</f>
        <v/>
      </c>
      <c r="P298" s="31"/>
      <c r="Q298">
        <f>SUMIFS(数据!$D$3:$D$998,数据!$E$3:$E$998,"鱼卵",数据!$F$3:$F$998,A298,数据!$G$3:$G$998,B298)</f>
        <v>0</v>
      </c>
      <c r="R298">
        <f>SUMIFS(数据!$D$3:$D$998,数据!$E$3:$E$998,"死卵",数据!$F$3:$F$998,A298,数据!$G$3:$G$998,B298)</f>
        <v>0</v>
      </c>
      <c r="S298">
        <f>SUMIFS(数据!$D$3:$D$998,数据!$E$3:$E$998,"前期仔鱼",数据!$F$3:$F$998,A298,数据!$G$3:$G$998,B298)</f>
        <v>0</v>
      </c>
      <c r="T298">
        <f>SUMIFS(数据!$D$3:$D$998,数据!$E$3:$E$998,"仔鱼",数据!$F$3:$F$998,A298,数据!$G$3:$G$998,B298)</f>
        <v>0</v>
      </c>
      <c r="U298">
        <f>SUMIFS(数据!$D$3:$D$998,数据!$E$3:$E$998,"稚鱼",数据!$F$3:$F$998,A298,数据!$G$3:$G$998,B298)</f>
        <v>0</v>
      </c>
    </row>
    <row r="299" spans="1:21" ht="19.9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45" t="str">
        <f t="shared" si="8"/>
        <v/>
      </c>
      <c r="M299" s="45" t="str">
        <f t="shared" si="9"/>
        <v/>
      </c>
      <c r="N299" s="39" t="str">
        <f>IF(AND(A299="",B299=""),"",COUNTIFS(数据!$E$3:$E$998,"&lt;&gt;前期仔鱼",数据!$E$3:$E$998,"&lt;&gt;仔鱼",数据!$E$3:$E$998,"&lt;&gt;稚鱼",数据!$F$3:$F$998,A299,数据!$G$3:$G$998,B299))</f>
        <v/>
      </c>
      <c r="O299" s="39" t="str">
        <f>IF(AND(A299="",B299=""),"",COUNTIFS(数据!$E$3:$E$998,"&lt;&gt;鱼卵",数据!$E$3:$E$998,"&lt;&gt;死卵",数据!$F$3:$F$998,A299,数据!$G$3:$G$998,B299))</f>
        <v/>
      </c>
      <c r="P299" s="31"/>
      <c r="Q299">
        <f>SUMIFS(数据!$D$3:$D$998,数据!$E$3:$E$998,"鱼卵",数据!$F$3:$F$998,A299,数据!$G$3:$G$998,B299)</f>
        <v>0</v>
      </c>
      <c r="R299">
        <f>SUMIFS(数据!$D$3:$D$998,数据!$E$3:$E$998,"死卵",数据!$F$3:$F$998,A299,数据!$G$3:$G$998,B299)</f>
        <v>0</v>
      </c>
      <c r="S299">
        <f>SUMIFS(数据!$D$3:$D$998,数据!$E$3:$E$998,"前期仔鱼",数据!$F$3:$F$998,A299,数据!$G$3:$G$998,B299)</f>
        <v>0</v>
      </c>
      <c r="T299">
        <f>SUMIFS(数据!$D$3:$D$998,数据!$E$3:$E$998,"仔鱼",数据!$F$3:$F$998,A299,数据!$G$3:$G$998,B299)</f>
        <v>0</v>
      </c>
      <c r="U299">
        <f>SUMIFS(数据!$D$3:$D$998,数据!$E$3:$E$998,"稚鱼",数据!$F$3:$F$998,A299,数据!$G$3:$G$998,B299)</f>
        <v>0</v>
      </c>
    </row>
    <row r="300" spans="1:21" ht="19.9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45" t="str">
        <f t="shared" si="8"/>
        <v/>
      </c>
      <c r="M300" s="45" t="str">
        <f t="shared" si="9"/>
        <v/>
      </c>
      <c r="N300" s="39" t="str">
        <f>IF(AND(A300="",B300=""),"",COUNTIFS(数据!$E$3:$E$998,"&lt;&gt;前期仔鱼",数据!$E$3:$E$998,"&lt;&gt;仔鱼",数据!$E$3:$E$998,"&lt;&gt;稚鱼",数据!$F$3:$F$998,A300,数据!$G$3:$G$998,B300))</f>
        <v/>
      </c>
      <c r="O300" s="39" t="str">
        <f>IF(AND(A300="",B300=""),"",COUNTIFS(数据!$E$3:$E$998,"&lt;&gt;鱼卵",数据!$E$3:$E$998,"&lt;&gt;死卵",数据!$F$3:$F$998,A300,数据!$G$3:$G$998,B300))</f>
        <v/>
      </c>
      <c r="P300" s="31"/>
      <c r="Q300">
        <f>SUMIFS(数据!$D$3:$D$998,数据!$E$3:$E$998,"鱼卵",数据!$F$3:$F$998,A300,数据!$G$3:$G$998,B300)</f>
        <v>0</v>
      </c>
      <c r="R300">
        <f>SUMIFS(数据!$D$3:$D$998,数据!$E$3:$E$998,"死卵",数据!$F$3:$F$998,A300,数据!$G$3:$G$998,B300)</f>
        <v>0</v>
      </c>
      <c r="S300">
        <f>SUMIFS(数据!$D$3:$D$998,数据!$E$3:$E$998,"前期仔鱼",数据!$F$3:$F$998,A300,数据!$G$3:$G$998,B300)</f>
        <v>0</v>
      </c>
      <c r="T300">
        <f>SUMIFS(数据!$D$3:$D$998,数据!$E$3:$E$998,"仔鱼",数据!$F$3:$F$998,A300,数据!$G$3:$G$998,B300)</f>
        <v>0</v>
      </c>
      <c r="U300">
        <f>SUMIFS(数据!$D$3:$D$998,数据!$E$3:$E$998,"稚鱼",数据!$F$3:$F$998,A300,数据!$G$3:$G$998,B300)</f>
        <v>0</v>
      </c>
    </row>
    <row r="301" spans="1:21" ht="19.9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45" t="str">
        <f t="shared" si="8"/>
        <v/>
      </c>
      <c r="M301" s="45" t="str">
        <f t="shared" si="9"/>
        <v/>
      </c>
      <c r="N301" s="39" t="str">
        <f>IF(AND(A301="",B301=""),"",COUNTIFS(数据!$E$3:$E$998,"&lt;&gt;前期仔鱼",数据!$E$3:$E$998,"&lt;&gt;仔鱼",数据!$E$3:$E$998,"&lt;&gt;稚鱼",数据!$F$3:$F$998,A301,数据!$G$3:$G$998,B301))</f>
        <v/>
      </c>
      <c r="O301" s="39" t="str">
        <f>IF(AND(A301="",B301=""),"",COUNTIFS(数据!$E$3:$E$998,"&lt;&gt;鱼卵",数据!$E$3:$E$998,"&lt;&gt;死卵",数据!$F$3:$F$998,A301,数据!$G$3:$G$998,B301))</f>
        <v/>
      </c>
      <c r="P301" s="31"/>
      <c r="Q301">
        <f>SUMIFS(数据!$D$3:$D$998,数据!$E$3:$E$998,"鱼卵",数据!$F$3:$F$998,A301,数据!$G$3:$G$998,B301)</f>
        <v>0</v>
      </c>
      <c r="R301">
        <f>SUMIFS(数据!$D$3:$D$998,数据!$E$3:$E$998,"死卵",数据!$F$3:$F$998,A301,数据!$G$3:$G$998,B301)</f>
        <v>0</v>
      </c>
      <c r="S301">
        <f>SUMIFS(数据!$D$3:$D$998,数据!$E$3:$E$998,"前期仔鱼",数据!$F$3:$F$998,A301,数据!$G$3:$G$998,B301)</f>
        <v>0</v>
      </c>
      <c r="T301">
        <f>SUMIFS(数据!$D$3:$D$998,数据!$E$3:$E$998,"仔鱼",数据!$F$3:$F$998,A301,数据!$G$3:$G$998,B301)</f>
        <v>0</v>
      </c>
      <c r="U301">
        <f>SUMIFS(数据!$D$3:$D$998,数据!$E$3:$E$998,"稚鱼",数据!$F$3:$F$998,A301,数据!$G$3:$G$998,B301)</f>
        <v>0</v>
      </c>
    </row>
    <row r="302" spans="1:21" ht="19.9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45" t="str">
        <f t="shared" si="8"/>
        <v/>
      </c>
      <c r="M302" s="45" t="str">
        <f t="shared" si="9"/>
        <v/>
      </c>
      <c r="N302" s="39" t="str">
        <f>IF(AND(A302="",B302=""),"",COUNTIFS(数据!$E$3:$E$998,"&lt;&gt;前期仔鱼",数据!$E$3:$E$998,"&lt;&gt;仔鱼",数据!$E$3:$E$998,"&lt;&gt;稚鱼",数据!$F$3:$F$998,A302,数据!$G$3:$G$998,B302))</f>
        <v/>
      </c>
      <c r="O302" s="39" t="str">
        <f>IF(AND(A302="",B302=""),"",COUNTIFS(数据!$E$3:$E$998,"&lt;&gt;鱼卵",数据!$E$3:$E$998,"&lt;&gt;死卵",数据!$F$3:$F$998,A302,数据!$G$3:$G$998,B302))</f>
        <v/>
      </c>
      <c r="P302" s="31"/>
      <c r="Q302">
        <f>SUMIFS(数据!$D$3:$D$998,数据!$E$3:$E$998,"鱼卵",数据!$F$3:$F$998,A302,数据!$G$3:$G$998,B302)</f>
        <v>0</v>
      </c>
      <c r="R302">
        <f>SUMIFS(数据!$D$3:$D$998,数据!$E$3:$E$998,"死卵",数据!$F$3:$F$998,A302,数据!$G$3:$G$998,B302)</f>
        <v>0</v>
      </c>
      <c r="S302">
        <f>SUMIFS(数据!$D$3:$D$998,数据!$E$3:$E$998,"前期仔鱼",数据!$F$3:$F$998,A302,数据!$G$3:$G$998,B302)</f>
        <v>0</v>
      </c>
      <c r="T302">
        <f>SUMIFS(数据!$D$3:$D$998,数据!$E$3:$E$998,"仔鱼",数据!$F$3:$F$998,A302,数据!$G$3:$G$998,B302)</f>
        <v>0</v>
      </c>
      <c r="U302">
        <f>SUMIFS(数据!$D$3:$D$998,数据!$E$3:$E$998,"稚鱼",数据!$F$3:$F$998,A302,数据!$G$3:$G$998,B302)</f>
        <v>0</v>
      </c>
    </row>
    <row r="303" spans="1:21" ht="19.9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45" t="str">
        <f t="shared" si="8"/>
        <v/>
      </c>
      <c r="M303" s="45" t="str">
        <f t="shared" si="9"/>
        <v/>
      </c>
      <c r="N303" s="39" t="str">
        <f>IF(AND(A303="",B303=""),"",COUNTIFS(数据!$E$3:$E$998,"&lt;&gt;前期仔鱼",数据!$E$3:$E$998,"&lt;&gt;仔鱼",数据!$E$3:$E$998,"&lt;&gt;稚鱼",数据!$F$3:$F$998,A303,数据!$G$3:$G$998,B303))</f>
        <v/>
      </c>
      <c r="O303" s="39" t="str">
        <f>IF(AND(A303="",B303=""),"",COUNTIFS(数据!$E$3:$E$998,"&lt;&gt;鱼卵",数据!$E$3:$E$998,"&lt;&gt;死卵",数据!$F$3:$F$998,A303,数据!$G$3:$G$998,B303))</f>
        <v/>
      </c>
      <c r="P303" s="31"/>
      <c r="Q303">
        <f>SUMIFS(数据!$D$3:$D$998,数据!$E$3:$E$998,"鱼卵",数据!$F$3:$F$998,A303,数据!$G$3:$G$998,B303)</f>
        <v>0</v>
      </c>
      <c r="R303">
        <f>SUMIFS(数据!$D$3:$D$998,数据!$E$3:$E$998,"死卵",数据!$F$3:$F$998,A303,数据!$G$3:$G$998,B303)</f>
        <v>0</v>
      </c>
      <c r="S303">
        <f>SUMIFS(数据!$D$3:$D$998,数据!$E$3:$E$998,"前期仔鱼",数据!$F$3:$F$998,A303,数据!$G$3:$G$998,B303)</f>
        <v>0</v>
      </c>
      <c r="T303">
        <f>SUMIFS(数据!$D$3:$D$998,数据!$E$3:$E$998,"仔鱼",数据!$F$3:$F$998,A303,数据!$G$3:$G$998,B303)</f>
        <v>0</v>
      </c>
      <c r="U303">
        <f>SUMIFS(数据!$D$3:$D$998,数据!$E$3:$E$998,"稚鱼",数据!$F$3:$F$998,A303,数据!$G$3:$G$998,B303)</f>
        <v>0</v>
      </c>
    </row>
    <row r="304" spans="1:21" ht="19.9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45" t="str">
        <f t="shared" si="8"/>
        <v/>
      </c>
      <c r="M304" s="45" t="str">
        <f t="shared" si="9"/>
        <v/>
      </c>
      <c r="N304" s="39" t="str">
        <f>IF(AND(A304="",B304=""),"",COUNTIFS(数据!$E$3:$E$998,"&lt;&gt;前期仔鱼",数据!$E$3:$E$998,"&lt;&gt;仔鱼",数据!$E$3:$E$998,"&lt;&gt;稚鱼",数据!$F$3:$F$998,A304,数据!$G$3:$G$998,B304))</f>
        <v/>
      </c>
      <c r="O304" s="39" t="str">
        <f>IF(AND(A304="",B304=""),"",COUNTIFS(数据!$E$3:$E$998,"&lt;&gt;鱼卵",数据!$E$3:$E$998,"&lt;&gt;死卵",数据!$F$3:$F$998,A304,数据!$G$3:$G$998,B304))</f>
        <v/>
      </c>
      <c r="P304" s="31"/>
      <c r="Q304">
        <f>SUMIFS(数据!$D$3:$D$998,数据!$E$3:$E$998,"鱼卵",数据!$F$3:$F$998,A304,数据!$G$3:$G$998,B304)</f>
        <v>0</v>
      </c>
      <c r="R304">
        <f>SUMIFS(数据!$D$3:$D$998,数据!$E$3:$E$998,"死卵",数据!$F$3:$F$998,A304,数据!$G$3:$G$998,B304)</f>
        <v>0</v>
      </c>
      <c r="S304">
        <f>SUMIFS(数据!$D$3:$D$998,数据!$E$3:$E$998,"前期仔鱼",数据!$F$3:$F$998,A304,数据!$G$3:$G$998,B304)</f>
        <v>0</v>
      </c>
      <c r="T304">
        <f>SUMIFS(数据!$D$3:$D$998,数据!$E$3:$E$998,"仔鱼",数据!$F$3:$F$998,A304,数据!$G$3:$G$998,B304)</f>
        <v>0</v>
      </c>
      <c r="U304">
        <f>SUMIFS(数据!$D$3:$D$998,数据!$E$3:$E$998,"稚鱼",数据!$F$3:$F$998,A304,数据!$G$3:$G$998,B304)</f>
        <v>0</v>
      </c>
    </row>
    <row r="305" spans="1:21" ht="19.9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45" t="str">
        <f t="shared" si="8"/>
        <v/>
      </c>
      <c r="M305" s="45" t="str">
        <f t="shared" si="9"/>
        <v/>
      </c>
      <c r="N305" s="39" t="str">
        <f>IF(AND(A305="",B305=""),"",COUNTIFS(数据!$E$3:$E$998,"&lt;&gt;前期仔鱼",数据!$E$3:$E$998,"&lt;&gt;仔鱼",数据!$E$3:$E$998,"&lt;&gt;稚鱼",数据!$F$3:$F$998,A305,数据!$G$3:$G$998,B305))</f>
        <v/>
      </c>
      <c r="O305" s="39" t="str">
        <f>IF(AND(A305="",B305=""),"",COUNTIFS(数据!$E$3:$E$998,"&lt;&gt;鱼卵",数据!$E$3:$E$998,"&lt;&gt;死卵",数据!$F$3:$F$998,A305,数据!$G$3:$G$998,B305))</f>
        <v/>
      </c>
      <c r="P305" s="31"/>
      <c r="Q305">
        <f>SUMIFS(数据!$D$3:$D$998,数据!$E$3:$E$998,"鱼卵",数据!$F$3:$F$998,A305,数据!$G$3:$G$998,B305)</f>
        <v>0</v>
      </c>
      <c r="R305">
        <f>SUMIFS(数据!$D$3:$D$998,数据!$E$3:$E$998,"死卵",数据!$F$3:$F$998,A305,数据!$G$3:$G$998,B305)</f>
        <v>0</v>
      </c>
      <c r="S305">
        <f>SUMIFS(数据!$D$3:$D$998,数据!$E$3:$E$998,"前期仔鱼",数据!$F$3:$F$998,A305,数据!$G$3:$G$998,B305)</f>
        <v>0</v>
      </c>
      <c r="T305">
        <f>SUMIFS(数据!$D$3:$D$998,数据!$E$3:$E$998,"仔鱼",数据!$F$3:$F$998,A305,数据!$G$3:$G$998,B305)</f>
        <v>0</v>
      </c>
      <c r="U305">
        <f>SUMIFS(数据!$D$3:$D$998,数据!$E$3:$E$998,"稚鱼",数据!$F$3:$F$998,A305,数据!$G$3:$G$998,B305)</f>
        <v>0</v>
      </c>
    </row>
    <row r="306" spans="1:21" ht="19.9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45" t="str">
        <f t="shared" si="8"/>
        <v/>
      </c>
      <c r="M306" s="45" t="str">
        <f t="shared" si="9"/>
        <v/>
      </c>
      <c r="N306" s="39" t="str">
        <f>IF(AND(A306="",B306=""),"",COUNTIFS(数据!$E$3:$E$998,"&lt;&gt;前期仔鱼",数据!$E$3:$E$998,"&lt;&gt;仔鱼",数据!$E$3:$E$998,"&lt;&gt;稚鱼",数据!$F$3:$F$998,A306,数据!$G$3:$G$998,B306))</f>
        <v/>
      </c>
      <c r="O306" s="39" t="str">
        <f>IF(AND(A306="",B306=""),"",COUNTIFS(数据!$E$3:$E$998,"&lt;&gt;鱼卵",数据!$E$3:$E$998,"&lt;&gt;死卵",数据!$F$3:$F$998,A306,数据!$G$3:$G$998,B306))</f>
        <v/>
      </c>
      <c r="P306" s="31"/>
      <c r="Q306">
        <f>SUMIFS(数据!$D$3:$D$998,数据!$E$3:$E$998,"鱼卵",数据!$F$3:$F$998,A306,数据!$G$3:$G$998,B306)</f>
        <v>0</v>
      </c>
      <c r="R306">
        <f>SUMIFS(数据!$D$3:$D$998,数据!$E$3:$E$998,"死卵",数据!$F$3:$F$998,A306,数据!$G$3:$G$998,B306)</f>
        <v>0</v>
      </c>
      <c r="S306">
        <f>SUMIFS(数据!$D$3:$D$998,数据!$E$3:$E$998,"前期仔鱼",数据!$F$3:$F$998,A306,数据!$G$3:$G$998,B306)</f>
        <v>0</v>
      </c>
      <c r="T306">
        <f>SUMIFS(数据!$D$3:$D$998,数据!$E$3:$E$998,"仔鱼",数据!$F$3:$F$998,A306,数据!$G$3:$G$998,B306)</f>
        <v>0</v>
      </c>
      <c r="U306">
        <f>SUMIFS(数据!$D$3:$D$998,数据!$E$3:$E$998,"稚鱼",数据!$F$3:$F$998,A306,数据!$G$3:$G$998,B306)</f>
        <v>0</v>
      </c>
    </row>
    <row r="307" spans="1:21" ht="19.9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45" t="str">
        <f t="shared" si="8"/>
        <v/>
      </c>
      <c r="M307" s="45" t="str">
        <f t="shared" si="9"/>
        <v/>
      </c>
      <c r="N307" s="39" t="str">
        <f>IF(AND(A307="",B307=""),"",COUNTIFS(数据!$E$3:$E$998,"&lt;&gt;前期仔鱼",数据!$E$3:$E$998,"&lt;&gt;仔鱼",数据!$E$3:$E$998,"&lt;&gt;稚鱼",数据!$F$3:$F$998,A307,数据!$G$3:$G$998,B307))</f>
        <v/>
      </c>
      <c r="O307" s="39" t="str">
        <f>IF(AND(A307="",B307=""),"",COUNTIFS(数据!$E$3:$E$998,"&lt;&gt;鱼卵",数据!$E$3:$E$998,"&lt;&gt;死卵",数据!$F$3:$F$998,A307,数据!$G$3:$G$998,B307))</f>
        <v/>
      </c>
      <c r="P307" s="31"/>
      <c r="Q307">
        <f>SUMIFS(数据!$D$3:$D$998,数据!$E$3:$E$998,"鱼卵",数据!$F$3:$F$998,A307,数据!$G$3:$G$998,B307)</f>
        <v>0</v>
      </c>
      <c r="R307">
        <f>SUMIFS(数据!$D$3:$D$998,数据!$E$3:$E$998,"死卵",数据!$F$3:$F$998,A307,数据!$G$3:$G$998,B307)</f>
        <v>0</v>
      </c>
      <c r="S307">
        <f>SUMIFS(数据!$D$3:$D$998,数据!$E$3:$E$998,"前期仔鱼",数据!$F$3:$F$998,A307,数据!$G$3:$G$998,B307)</f>
        <v>0</v>
      </c>
      <c r="T307">
        <f>SUMIFS(数据!$D$3:$D$998,数据!$E$3:$E$998,"仔鱼",数据!$F$3:$F$998,A307,数据!$G$3:$G$998,B307)</f>
        <v>0</v>
      </c>
      <c r="U307">
        <f>SUMIFS(数据!$D$3:$D$998,数据!$E$3:$E$998,"稚鱼",数据!$F$3:$F$998,A307,数据!$G$3:$G$998,B307)</f>
        <v>0</v>
      </c>
    </row>
    <row r="308" spans="1:21" ht="19.9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45" t="str">
        <f t="shared" si="8"/>
        <v/>
      </c>
      <c r="M308" s="45" t="str">
        <f t="shared" si="9"/>
        <v/>
      </c>
      <c r="N308" s="39" t="str">
        <f>IF(AND(A308="",B308=""),"",COUNTIFS(数据!$E$3:$E$998,"&lt;&gt;前期仔鱼",数据!$E$3:$E$998,"&lt;&gt;仔鱼",数据!$E$3:$E$998,"&lt;&gt;稚鱼",数据!$F$3:$F$998,A308,数据!$G$3:$G$998,B308))</f>
        <v/>
      </c>
      <c r="O308" s="39" t="str">
        <f>IF(AND(A308="",B308=""),"",COUNTIFS(数据!$E$3:$E$998,"&lt;&gt;鱼卵",数据!$E$3:$E$998,"&lt;&gt;死卵",数据!$F$3:$F$998,A308,数据!$G$3:$G$998,B308))</f>
        <v/>
      </c>
      <c r="P308" s="31"/>
      <c r="Q308">
        <f>SUMIFS(数据!$D$3:$D$998,数据!$E$3:$E$998,"鱼卵",数据!$F$3:$F$998,A308,数据!$G$3:$G$998,B308)</f>
        <v>0</v>
      </c>
      <c r="R308">
        <f>SUMIFS(数据!$D$3:$D$998,数据!$E$3:$E$998,"死卵",数据!$F$3:$F$998,A308,数据!$G$3:$G$998,B308)</f>
        <v>0</v>
      </c>
      <c r="S308">
        <f>SUMIFS(数据!$D$3:$D$998,数据!$E$3:$E$998,"前期仔鱼",数据!$F$3:$F$998,A308,数据!$G$3:$G$998,B308)</f>
        <v>0</v>
      </c>
      <c r="T308">
        <f>SUMIFS(数据!$D$3:$D$998,数据!$E$3:$E$998,"仔鱼",数据!$F$3:$F$998,A308,数据!$G$3:$G$998,B308)</f>
        <v>0</v>
      </c>
      <c r="U308">
        <f>SUMIFS(数据!$D$3:$D$998,数据!$E$3:$E$998,"稚鱼",数据!$F$3:$F$998,A308,数据!$G$3:$G$998,B308)</f>
        <v>0</v>
      </c>
    </row>
    <row r="309" spans="1:21" ht="19.9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45" t="str">
        <f t="shared" si="8"/>
        <v/>
      </c>
      <c r="M309" s="45" t="str">
        <f t="shared" si="9"/>
        <v/>
      </c>
      <c r="N309" s="39" t="str">
        <f>IF(AND(A309="",B309=""),"",COUNTIFS(数据!$E$3:$E$998,"&lt;&gt;前期仔鱼",数据!$E$3:$E$998,"&lt;&gt;仔鱼",数据!$E$3:$E$998,"&lt;&gt;稚鱼",数据!$F$3:$F$998,A309,数据!$G$3:$G$998,B309))</f>
        <v/>
      </c>
      <c r="O309" s="39" t="str">
        <f>IF(AND(A309="",B309=""),"",COUNTIFS(数据!$E$3:$E$998,"&lt;&gt;鱼卵",数据!$E$3:$E$998,"&lt;&gt;死卵",数据!$F$3:$F$998,A309,数据!$G$3:$G$998,B309))</f>
        <v/>
      </c>
      <c r="P309" s="31"/>
      <c r="Q309">
        <f>SUMIFS(数据!$D$3:$D$998,数据!$E$3:$E$998,"鱼卵",数据!$F$3:$F$998,A309,数据!$G$3:$G$998,B309)</f>
        <v>0</v>
      </c>
      <c r="R309">
        <f>SUMIFS(数据!$D$3:$D$998,数据!$E$3:$E$998,"死卵",数据!$F$3:$F$998,A309,数据!$G$3:$G$998,B309)</f>
        <v>0</v>
      </c>
      <c r="S309">
        <f>SUMIFS(数据!$D$3:$D$998,数据!$E$3:$E$998,"前期仔鱼",数据!$F$3:$F$998,A309,数据!$G$3:$G$998,B309)</f>
        <v>0</v>
      </c>
      <c r="T309">
        <f>SUMIFS(数据!$D$3:$D$998,数据!$E$3:$E$998,"仔鱼",数据!$F$3:$F$998,A309,数据!$G$3:$G$998,B309)</f>
        <v>0</v>
      </c>
      <c r="U309">
        <f>SUMIFS(数据!$D$3:$D$998,数据!$E$3:$E$998,"稚鱼",数据!$F$3:$F$998,A309,数据!$G$3:$G$998,B309)</f>
        <v>0</v>
      </c>
    </row>
    <row r="310" spans="1:21" ht="19.9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45" t="str">
        <f t="shared" si="8"/>
        <v/>
      </c>
      <c r="M310" s="45" t="str">
        <f t="shared" si="9"/>
        <v/>
      </c>
      <c r="N310" s="39" t="str">
        <f>IF(AND(A310="",B310=""),"",COUNTIFS(数据!$E$3:$E$998,"&lt;&gt;前期仔鱼",数据!$E$3:$E$998,"&lt;&gt;仔鱼",数据!$E$3:$E$998,"&lt;&gt;稚鱼",数据!$F$3:$F$998,A310,数据!$G$3:$G$998,B310))</f>
        <v/>
      </c>
      <c r="O310" s="39" t="str">
        <f>IF(AND(A310="",B310=""),"",COUNTIFS(数据!$E$3:$E$998,"&lt;&gt;鱼卵",数据!$E$3:$E$998,"&lt;&gt;死卵",数据!$F$3:$F$998,A310,数据!$G$3:$G$998,B310))</f>
        <v/>
      </c>
      <c r="P310" s="31"/>
      <c r="Q310">
        <f>SUMIFS(数据!$D$3:$D$998,数据!$E$3:$E$998,"鱼卵",数据!$F$3:$F$998,A310,数据!$G$3:$G$998,B310)</f>
        <v>0</v>
      </c>
      <c r="R310">
        <f>SUMIFS(数据!$D$3:$D$998,数据!$E$3:$E$998,"死卵",数据!$F$3:$F$998,A310,数据!$G$3:$G$998,B310)</f>
        <v>0</v>
      </c>
      <c r="S310">
        <f>SUMIFS(数据!$D$3:$D$998,数据!$E$3:$E$998,"前期仔鱼",数据!$F$3:$F$998,A310,数据!$G$3:$G$998,B310)</f>
        <v>0</v>
      </c>
      <c r="T310">
        <f>SUMIFS(数据!$D$3:$D$998,数据!$E$3:$E$998,"仔鱼",数据!$F$3:$F$998,A310,数据!$G$3:$G$998,B310)</f>
        <v>0</v>
      </c>
      <c r="U310">
        <f>SUMIFS(数据!$D$3:$D$998,数据!$E$3:$E$998,"稚鱼",数据!$F$3:$F$998,A310,数据!$G$3:$G$998,B310)</f>
        <v>0</v>
      </c>
    </row>
    <row r="311" spans="1:21" ht="19.9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45" t="str">
        <f t="shared" si="8"/>
        <v/>
      </c>
      <c r="M311" s="45" t="str">
        <f t="shared" si="9"/>
        <v/>
      </c>
      <c r="N311" s="39" t="str">
        <f>IF(AND(A311="",B311=""),"",COUNTIFS(数据!$E$3:$E$998,"&lt;&gt;前期仔鱼",数据!$E$3:$E$998,"&lt;&gt;仔鱼",数据!$E$3:$E$998,"&lt;&gt;稚鱼",数据!$F$3:$F$998,A311,数据!$G$3:$G$998,B311))</f>
        <v/>
      </c>
      <c r="O311" s="39" t="str">
        <f>IF(AND(A311="",B311=""),"",COUNTIFS(数据!$E$3:$E$998,"&lt;&gt;鱼卵",数据!$E$3:$E$998,"&lt;&gt;死卵",数据!$F$3:$F$998,A311,数据!$G$3:$G$998,B311))</f>
        <v/>
      </c>
      <c r="P311" s="31"/>
      <c r="Q311">
        <f>SUMIFS(数据!$D$3:$D$998,数据!$E$3:$E$998,"鱼卵",数据!$F$3:$F$998,A311,数据!$G$3:$G$998,B311)</f>
        <v>0</v>
      </c>
      <c r="R311">
        <f>SUMIFS(数据!$D$3:$D$998,数据!$E$3:$E$998,"死卵",数据!$F$3:$F$998,A311,数据!$G$3:$G$998,B311)</f>
        <v>0</v>
      </c>
      <c r="S311">
        <f>SUMIFS(数据!$D$3:$D$998,数据!$E$3:$E$998,"前期仔鱼",数据!$F$3:$F$998,A311,数据!$G$3:$G$998,B311)</f>
        <v>0</v>
      </c>
      <c r="T311">
        <f>SUMIFS(数据!$D$3:$D$998,数据!$E$3:$E$998,"仔鱼",数据!$F$3:$F$998,A311,数据!$G$3:$G$998,B311)</f>
        <v>0</v>
      </c>
      <c r="U311">
        <f>SUMIFS(数据!$D$3:$D$998,数据!$E$3:$E$998,"稚鱼",数据!$F$3:$F$998,A311,数据!$G$3:$G$998,B311)</f>
        <v>0</v>
      </c>
    </row>
    <row r="312" spans="1:21" ht="19.9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45" t="str">
        <f t="shared" si="8"/>
        <v/>
      </c>
      <c r="M312" s="45" t="str">
        <f t="shared" si="9"/>
        <v/>
      </c>
      <c r="N312" s="39" t="str">
        <f>IF(AND(A312="",B312=""),"",COUNTIFS(数据!$E$3:$E$998,"&lt;&gt;前期仔鱼",数据!$E$3:$E$998,"&lt;&gt;仔鱼",数据!$E$3:$E$998,"&lt;&gt;稚鱼",数据!$F$3:$F$998,A312,数据!$G$3:$G$998,B312))</f>
        <v/>
      </c>
      <c r="O312" s="39" t="str">
        <f>IF(AND(A312="",B312=""),"",COUNTIFS(数据!$E$3:$E$998,"&lt;&gt;鱼卵",数据!$E$3:$E$998,"&lt;&gt;死卵",数据!$F$3:$F$998,A312,数据!$G$3:$G$998,B312))</f>
        <v/>
      </c>
      <c r="P312" s="31"/>
      <c r="Q312">
        <f>SUMIFS(数据!$D$3:$D$998,数据!$E$3:$E$998,"鱼卵",数据!$F$3:$F$998,A312,数据!$G$3:$G$998,B312)</f>
        <v>0</v>
      </c>
      <c r="R312">
        <f>SUMIFS(数据!$D$3:$D$998,数据!$E$3:$E$998,"死卵",数据!$F$3:$F$998,A312,数据!$G$3:$G$998,B312)</f>
        <v>0</v>
      </c>
      <c r="S312">
        <f>SUMIFS(数据!$D$3:$D$998,数据!$E$3:$E$998,"前期仔鱼",数据!$F$3:$F$998,A312,数据!$G$3:$G$998,B312)</f>
        <v>0</v>
      </c>
      <c r="T312">
        <f>SUMIFS(数据!$D$3:$D$998,数据!$E$3:$E$998,"仔鱼",数据!$F$3:$F$998,A312,数据!$G$3:$G$998,B312)</f>
        <v>0</v>
      </c>
      <c r="U312">
        <f>SUMIFS(数据!$D$3:$D$998,数据!$E$3:$E$998,"稚鱼",数据!$F$3:$F$998,A312,数据!$G$3:$G$998,B312)</f>
        <v>0</v>
      </c>
    </row>
    <row r="313" spans="1:21" ht="19.9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45" t="str">
        <f t="shared" si="8"/>
        <v/>
      </c>
      <c r="M313" s="45" t="str">
        <f t="shared" si="9"/>
        <v/>
      </c>
      <c r="N313" s="39" t="str">
        <f>IF(AND(A313="",B313=""),"",COUNTIFS(数据!$E$3:$E$998,"&lt;&gt;前期仔鱼",数据!$E$3:$E$998,"&lt;&gt;仔鱼",数据!$E$3:$E$998,"&lt;&gt;稚鱼",数据!$F$3:$F$998,A313,数据!$G$3:$G$998,B313))</f>
        <v/>
      </c>
      <c r="O313" s="39" t="str">
        <f>IF(AND(A313="",B313=""),"",COUNTIFS(数据!$E$3:$E$998,"&lt;&gt;鱼卵",数据!$E$3:$E$998,"&lt;&gt;死卵",数据!$F$3:$F$998,A313,数据!$G$3:$G$998,B313))</f>
        <v/>
      </c>
      <c r="P313" s="31"/>
      <c r="Q313">
        <f>SUMIFS(数据!$D$3:$D$998,数据!$E$3:$E$998,"鱼卵",数据!$F$3:$F$998,A313,数据!$G$3:$G$998,B313)</f>
        <v>0</v>
      </c>
      <c r="R313">
        <f>SUMIFS(数据!$D$3:$D$998,数据!$E$3:$E$998,"死卵",数据!$F$3:$F$998,A313,数据!$G$3:$G$998,B313)</f>
        <v>0</v>
      </c>
      <c r="S313">
        <f>SUMIFS(数据!$D$3:$D$998,数据!$E$3:$E$998,"前期仔鱼",数据!$F$3:$F$998,A313,数据!$G$3:$G$998,B313)</f>
        <v>0</v>
      </c>
      <c r="T313">
        <f>SUMIFS(数据!$D$3:$D$998,数据!$E$3:$E$998,"仔鱼",数据!$F$3:$F$998,A313,数据!$G$3:$G$998,B313)</f>
        <v>0</v>
      </c>
      <c r="U313">
        <f>SUMIFS(数据!$D$3:$D$998,数据!$E$3:$E$998,"稚鱼",数据!$F$3:$F$998,A313,数据!$G$3:$G$998,B313)</f>
        <v>0</v>
      </c>
    </row>
    <row r="314" spans="1:21" ht="19.9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45" t="str">
        <f t="shared" si="8"/>
        <v/>
      </c>
      <c r="M314" s="45" t="str">
        <f t="shared" si="9"/>
        <v/>
      </c>
      <c r="N314" s="39" t="str">
        <f>IF(AND(A314="",B314=""),"",COUNTIFS(数据!$E$3:$E$998,"&lt;&gt;前期仔鱼",数据!$E$3:$E$998,"&lt;&gt;仔鱼",数据!$E$3:$E$998,"&lt;&gt;稚鱼",数据!$F$3:$F$998,A314,数据!$G$3:$G$998,B314))</f>
        <v/>
      </c>
      <c r="O314" s="39" t="str">
        <f>IF(AND(A314="",B314=""),"",COUNTIFS(数据!$E$3:$E$998,"&lt;&gt;鱼卵",数据!$E$3:$E$998,"&lt;&gt;死卵",数据!$F$3:$F$998,A314,数据!$G$3:$G$998,B314))</f>
        <v/>
      </c>
      <c r="P314" s="31"/>
      <c r="Q314">
        <f>SUMIFS(数据!$D$3:$D$998,数据!$E$3:$E$998,"鱼卵",数据!$F$3:$F$998,A314,数据!$G$3:$G$998,B314)</f>
        <v>0</v>
      </c>
      <c r="R314">
        <f>SUMIFS(数据!$D$3:$D$998,数据!$E$3:$E$998,"死卵",数据!$F$3:$F$998,A314,数据!$G$3:$G$998,B314)</f>
        <v>0</v>
      </c>
      <c r="S314">
        <f>SUMIFS(数据!$D$3:$D$998,数据!$E$3:$E$998,"前期仔鱼",数据!$F$3:$F$998,A314,数据!$G$3:$G$998,B314)</f>
        <v>0</v>
      </c>
      <c r="T314">
        <f>SUMIFS(数据!$D$3:$D$998,数据!$E$3:$E$998,"仔鱼",数据!$F$3:$F$998,A314,数据!$G$3:$G$998,B314)</f>
        <v>0</v>
      </c>
      <c r="U314">
        <f>SUMIFS(数据!$D$3:$D$998,数据!$E$3:$E$998,"稚鱼",数据!$F$3:$F$998,A314,数据!$G$3:$G$998,B314)</f>
        <v>0</v>
      </c>
    </row>
    <row r="315" spans="1:21" ht="19.9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45" t="str">
        <f t="shared" si="8"/>
        <v/>
      </c>
      <c r="M315" s="45" t="str">
        <f t="shared" si="9"/>
        <v/>
      </c>
      <c r="N315" s="39" t="str">
        <f>IF(AND(A315="",B315=""),"",COUNTIFS(数据!$E$3:$E$998,"&lt;&gt;前期仔鱼",数据!$E$3:$E$998,"&lt;&gt;仔鱼",数据!$E$3:$E$998,"&lt;&gt;稚鱼",数据!$F$3:$F$998,A315,数据!$G$3:$G$998,B315))</f>
        <v/>
      </c>
      <c r="O315" s="39" t="str">
        <f>IF(AND(A315="",B315=""),"",COUNTIFS(数据!$E$3:$E$998,"&lt;&gt;鱼卵",数据!$E$3:$E$998,"&lt;&gt;死卵",数据!$F$3:$F$998,A315,数据!$G$3:$G$998,B315))</f>
        <v/>
      </c>
      <c r="P315" s="31"/>
      <c r="Q315">
        <f>SUMIFS(数据!$D$3:$D$998,数据!$E$3:$E$998,"鱼卵",数据!$F$3:$F$998,A315,数据!$G$3:$G$998,B315)</f>
        <v>0</v>
      </c>
      <c r="R315">
        <f>SUMIFS(数据!$D$3:$D$998,数据!$E$3:$E$998,"死卵",数据!$F$3:$F$998,A315,数据!$G$3:$G$998,B315)</f>
        <v>0</v>
      </c>
      <c r="S315">
        <f>SUMIFS(数据!$D$3:$D$998,数据!$E$3:$E$998,"前期仔鱼",数据!$F$3:$F$998,A315,数据!$G$3:$G$998,B315)</f>
        <v>0</v>
      </c>
      <c r="T315">
        <f>SUMIFS(数据!$D$3:$D$998,数据!$E$3:$E$998,"仔鱼",数据!$F$3:$F$998,A315,数据!$G$3:$G$998,B315)</f>
        <v>0</v>
      </c>
      <c r="U315">
        <f>SUMIFS(数据!$D$3:$D$998,数据!$E$3:$E$998,"稚鱼",数据!$F$3:$F$998,A315,数据!$G$3:$G$998,B315)</f>
        <v>0</v>
      </c>
    </row>
    <row r="316" spans="1:21" ht="19.9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45" t="str">
        <f t="shared" si="8"/>
        <v/>
      </c>
      <c r="M316" s="45" t="str">
        <f t="shared" si="9"/>
        <v/>
      </c>
      <c r="N316" s="39" t="str">
        <f>IF(AND(A316="",B316=""),"",COUNTIFS(数据!$E$3:$E$998,"&lt;&gt;前期仔鱼",数据!$E$3:$E$998,"&lt;&gt;仔鱼",数据!$E$3:$E$998,"&lt;&gt;稚鱼",数据!$F$3:$F$998,A316,数据!$G$3:$G$998,B316))</f>
        <v/>
      </c>
      <c r="O316" s="39" t="str">
        <f>IF(AND(A316="",B316=""),"",COUNTIFS(数据!$E$3:$E$998,"&lt;&gt;鱼卵",数据!$E$3:$E$998,"&lt;&gt;死卵",数据!$F$3:$F$998,A316,数据!$G$3:$G$998,B316))</f>
        <v/>
      </c>
      <c r="P316" s="31"/>
      <c r="Q316">
        <f>SUMIFS(数据!$D$3:$D$998,数据!$E$3:$E$998,"鱼卵",数据!$F$3:$F$998,A316,数据!$G$3:$G$998,B316)</f>
        <v>0</v>
      </c>
      <c r="R316">
        <f>SUMIFS(数据!$D$3:$D$998,数据!$E$3:$E$998,"死卵",数据!$F$3:$F$998,A316,数据!$G$3:$G$998,B316)</f>
        <v>0</v>
      </c>
      <c r="S316">
        <f>SUMIFS(数据!$D$3:$D$998,数据!$E$3:$E$998,"前期仔鱼",数据!$F$3:$F$998,A316,数据!$G$3:$G$998,B316)</f>
        <v>0</v>
      </c>
      <c r="T316">
        <f>SUMIFS(数据!$D$3:$D$998,数据!$E$3:$E$998,"仔鱼",数据!$F$3:$F$998,A316,数据!$G$3:$G$998,B316)</f>
        <v>0</v>
      </c>
      <c r="U316">
        <f>SUMIFS(数据!$D$3:$D$998,数据!$E$3:$E$998,"稚鱼",数据!$F$3:$F$998,A316,数据!$G$3:$G$998,B316)</f>
        <v>0</v>
      </c>
    </row>
    <row r="317" spans="1:21" ht="19.9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45" t="str">
        <f t="shared" si="8"/>
        <v/>
      </c>
      <c r="M317" s="45" t="str">
        <f t="shared" si="9"/>
        <v/>
      </c>
      <c r="N317" s="39" t="str">
        <f>IF(AND(A317="",B317=""),"",COUNTIFS(数据!$E$3:$E$998,"&lt;&gt;前期仔鱼",数据!$E$3:$E$998,"&lt;&gt;仔鱼",数据!$E$3:$E$998,"&lt;&gt;稚鱼",数据!$F$3:$F$998,A317,数据!$G$3:$G$998,B317))</f>
        <v/>
      </c>
      <c r="O317" s="39" t="str">
        <f>IF(AND(A317="",B317=""),"",COUNTIFS(数据!$E$3:$E$998,"&lt;&gt;鱼卵",数据!$E$3:$E$998,"&lt;&gt;死卵",数据!$F$3:$F$998,A317,数据!$G$3:$G$998,B317))</f>
        <v/>
      </c>
      <c r="P317" s="31"/>
      <c r="Q317">
        <f>SUMIFS(数据!$D$3:$D$998,数据!$E$3:$E$998,"鱼卵",数据!$F$3:$F$998,A317,数据!$G$3:$G$998,B317)</f>
        <v>0</v>
      </c>
      <c r="R317">
        <f>SUMIFS(数据!$D$3:$D$998,数据!$E$3:$E$998,"死卵",数据!$F$3:$F$998,A317,数据!$G$3:$G$998,B317)</f>
        <v>0</v>
      </c>
      <c r="S317">
        <f>SUMIFS(数据!$D$3:$D$998,数据!$E$3:$E$998,"前期仔鱼",数据!$F$3:$F$998,A317,数据!$G$3:$G$998,B317)</f>
        <v>0</v>
      </c>
      <c r="T317">
        <f>SUMIFS(数据!$D$3:$D$998,数据!$E$3:$E$998,"仔鱼",数据!$F$3:$F$998,A317,数据!$G$3:$G$998,B317)</f>
        <v>0</v>
      </c>
      <c r="U317">
        <f>SUMIFS(数据!$D$3:$D$998,数据!$E$3:$E$998,"稚鱼",数据!$F$3:$F$998,A317,数据!$G$3:$G$998,B317)</f>
        <v>0</v>
      </c>
    </row>
    <row r="318" spans="1:21" ht="19.9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45" t="str">
        <f t="shared" si="8"/>
        <v/>
      </c>
      <c r="M318" s="45" t="str">
        <f t="shared" si="9"/>
        <v/>
      </c>
      <c r="N318" s="39" t="str">
        <f>IF(AND(A318="",B318=""),"",COUNTIFS(数据!$E$3:$E$998,"&lt;&gt;前期仔鱼",数据!$E$3:$E$998,"&lt;&gt;仔鱼",数据!$E$3:$E$998,"&lt;&gt;稚鱼",数据!$F$3:$F$998,A318,数据!$G$3:$G$998,B318))</f>
        <v/>
      </c>
      <c r="O318" s="39" t="str">
        <f>IF(AND(A318="",B318=""),"",COUNTIFS(数据!$E$3:$E$998,"&lt;&gt;鱼卵",数据!$E$3:$E$998,"&lt;&gt;死卵",数据!$F$3:$F$998,A318,数据!$G$3:$G$998,B318))</f>
        <v/>
      </c>
      <c r="P318" s="31"/>
      <c r="Q318">
        <f>SUMIFS(数据!$D$3:$D$998,数据!$E$3:$E$998,"鱼卵",数据!$F$3:$F$998,A318,数据!$G$3:$G$998,B318)</f>
        <v>0</v>
      </c>
      <c r="R318">
        <f>SUMIFS(数据!$D$3:$D$998,数据!$E$3:$E$998,"死卵",数据!$F$3:$F$998,A318,数据!$G$3:$G$998,B318)</f>
        <v>0</v>
      </c>
      <c r="S318">
        <f>SUMIFS(数据!$D$3:$D$998,数据!$E$3:$E$998,"前期仔鱼",数据!$F$3:$F$998,A318,数据!$G$3:$G$998,B318)</f>
        <v>0</v>
      </c>
      <c r="T318">
        <f>SUMIFS(数据!$D$3:$D$998,数据!$E$3:$E$998,"仔鱼",数据!$F$3:$F$998,A318,数据!$G$3:$G$998,B318)</f>
        <v>0</v>
      </c>
      <c r="U318">
        <f>SUMIFS(数据!$D$3:$D$998,数据!$E$3:$E$998,"稚鱼",数据!$F$3:$F$998,A318,数据!$G$3:$G$998,B318)</f>
        <v>0</v>
      </c>
    </row>
    <row r="319" spans="1:21" ht="19.9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45" t="str">
        <f t="shared" si="8"/>
        <v/>
      </c>
      <c r="M319" s="45" t="str">
        <f t="shared" si="9"/>
        <v/>
      </c>
      <c r="N319" s="39" t="str">
        <f>IF(AND(A319="",B319=""),"",COUNTIFS(数据!$E$3:$E$998,"&lt;&gt;前期仔鱼",数据!$E$3:$E$998,"&lt;&gt;仔鱼",数据!$E$3:$E$998,"&lt;&gt;稚鱼",数据!$F$3:$F$998,A319,数据!$G$3:$G$998,B319))</f>
        <v/>
      </c>
      <c r="O319" s="39" t="str">
        <f>IF(AND(A319="",B319=""),"",COUNTIFS(数据!$E$3:$E$998,"&lt;&gt;鱼卵",数据!$E$3:$E$998,"&lt;&gt;死卵",数据!$F$3:$F$998,A319,数据!$G$3:$G$998,B319))</f>
        <v/>
      </c>
      <c r="P319" s="31"/>
      <c r="Q319">
        <f>SUMIFS(数据!$D$3:$D$998,数据!$E$3:$E$998,"鱼卵",数据!$F$3:$F$998,A319,数据!$G$3:$G$998,B319)</f>
        <v>0</v>
      </c>
      <c r="R319">
        <f>SUMIFS(数据!$D$3:$D$998,数据!$E$3:$E$998,"死卵",数据!$F$3:$F$998,A319,数据!$G$3:$G$998,B319)</f>
        <v>0</v>
      </c>
      <c r="S319">
        <f>SUMIFS(数据!$D$3:$D$998,数据!$E$3:$E$998,"前期仔鱼",数据!$F$3:$F$998,A319,数据!$G$3:$G$998,B319)</f>
        <v>0</v>
      </c>
      <c r="T319">
        <f>SUMIFS(数据!$D$3:$D$998,数据!$E$3:$E$998,"仔鱼",数据!$F$3:$F$998,A319,数据!$G$3:$G$998,B319)</f>
        <v>0</v>
      </c>
      <c r="U319">
        <f>SUMIFS(数据!$D$3:$D$998,数据!$E$3:$E$998,"稚鱼",数据!$F$3:$F$998,A319,数据!$G$3:$G$998,B319)</f>
        <v>0</v>
      </c>
    </row>
    <row r="320" spans="1:21" ht="19.9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45" t="str">
        <f t="shared" si="8"/>
        <v/>
      </c>
      <c r="M320" s="45" t="str">
        <f t="shared" si="9"/>
        <v/>
      </c>
      <c r="N320" s="39" t="str">
        <f>IF(AND(A320="",B320=""),"",COUNTIFS(数据!$E$3:$E$998,"&lt;&gt;前期仔鱼",数据!$E$3:$E$998,"&lt;&gt;仔鱼",数据!$E$3:$E$998,"&lt;&gt;稚鱼",数据!$F$3:$F$998,A320,数据!$G$3:$G$998,B320))</f>
        <v/>
      </c>
      <c r="O320" s="39" t="str">
        <f>IF(AND(A320="",B320=""),"",COUNTIFS(数据!$E$3:$E$998,"&lt;&gt;鱼卵",数据!$E$3:$E$998,"&lt;&gt;死卵",数据!$F$3:$F$998,A320,数据!$G$3:$G$998,B320))</f>
        <v/>
      </c>
      <c r="P320" s="31"/>
      <c r="Q320">
        <f>SUMIFS(数据!$D$3:$D$998,数据!$E$3:$E$998,"鱼卵",数据!$F$3:$F$998,A320,数据!$G$3:$G$998,B320)</f>
        <v>0</v>
      </c>
      <c r="R320">
        <f>SUMIFS(数据!$D$3:$D$998,数据!$E$3:$E$998,"死卵",数据!$F$3:$F$998,A320,数据!$G$3:$G$998,B320)</f>
        <v>0</v>
      </c>
      <c r="S320">
        <f>SUMIFS(数据!$D$3:$D$998,数据!$E$3:$E$998,"前期仔鱼",数据!$F$3:$F$998,A320,数据!$G$3:$G$998,B320)</f>
        <v>0</v>
      </c>
      <c r="T320">
        <f>SUMIFS(数据!$D$3:$D$998,数据!$E$3:$E$998,"仔鱼",数据!$F$3:$F$998,A320,数据!$G$3:$G$998,B320)</f>
        <v>0</v>
      </c>
      <c r="U320">
        <f>SUMIFS(数据!$D$3:$D$998,数据!$E$3:$E$998,"稚鱼",数据!$F$3:$F$998,A320,数据!$G$3:$G$998,B320)</f>
        <v>0</v>
      </c>
    </row>
    <row r="321" spans="1:21" ht="19.9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45" t="str">
        <f t="shared" si="8"/>
        <v/>
      </c>
      <c r="M321" s="45" t="str">
        <f t="shared" si="9"/>
        <v/>
      </c>
      <c r="N321" s="39" t="str">
        <f>IF(AND(A321="",B321=""),"",COUNTIFS(数据!$E$3:$E$998,"&lt;&gt;前期仔鱼",数据!$E$3:$E$998,"&lt;&gt;仔鱼",数据!$E$3:$E$998,"&lt;&gt;稚鱼",数据!$F$3:$F$998,A321,数据!$G$3:$G$998,B321))</f>
        <v/>
      </c>
      <c r="O321" s="39" t="str">
        <f>IF(AND(A321="",B321=""),"",COUNTIFS(数据!$E$3:$E$998,"&lt;&gt;鱼卵",数据!$E$3:$E$998,"&lt;&gt;死卵",数据!$F$3:$F$998,A321,数据!$G$3:$G$998,B321))</f>
        <v/>
      </c>
      <c r="P321" s="31"/>
      <c r="Q321">
        <f>SUMIFS(数据!$D$3:$D$998,数据!$E$3:$E$998,"鱼卵",数据!$F$3:$F$998,A321,数据!$G$3:$G$998,B321)</f>
        <v>0</v>
      </c>
      <c r="R321">
        <f>SUMIFS(数据!$D$3:$D$998,数据!$E$3:$E$998,"死卵",数据!$F$3:$F$998,A321,数据!$G$3:$G$998,B321)</f>
        <v>0</v>
      </c>
      <c r="S321">
        <f>SUMIFS(数据!$D$3:$D$998,数据!$E$3:$E$998,"前期仔鱼",数据!$F$3:$F$998,A321,数据!$G$3:$G$998,B321)</f>
        <v>0</v>
      </c>
      <c r="T321">
        <f>SUMIFS(数据!$D$3:$D$998,数据!$E$3:$E$998,"仔鱼",数据!$F$3:$F$998,A321,数据!$G$3:$G$998,B321)</f>
        <v>0</v>
      </c>
      <c r="U321">
        <f>SUMIFS(数据!$D$3:$D$998,数据!$E$3:$E$998,"稚鱼",数据!$F$3:$F$998,A321,数据!$G$3:$G$998,B321)</f>
        <v>0</v>
      </c>
    </row>
    <row r="322" spans="1:21" ht="19.9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45" t="str">
        <f t="shared" si="8"/>
        <v/>
      </c>
      <c r="M322" s="45" t="str">
        <f t="shared" si="9"/>
        <v/>
      </c>
      <c r="N322" s="39" t="str">
        <f>IF(AND(A322="",B322=""),"",COUNTIFS(数据!$E$3:$E$998,"&lt;&gt;前期仔鱼",数据!$E$3:$E$998,"&lt;&gt;仔鱼",数据!$E$3:$E$998,"&lt;&gt;稚鱼",数据!$F$3:$F$998,A322,数据!$G$3:$G$998,B322))</f>
        <v/>
      </c>
      <c r="O322" s="39" t="str">
        <f>IF(AND(A322="",B322=""),"",COUNTIFS(数据!$E$3:$E$998,"&lt;&gt;鱼卵",数据!$E$3:$E$998,"&lt;&gt;死卵",数据!$F$3:$F$998,A322,数据!$G$3:$G$998,B322))</f>
        <v/>
      </c>
      <c r="P322" s="31"/>
      <c r="Q322">
        <f>SUMIFS(数据!$D$3:$D$998,数据!$E$3:$E$998,"鱼卵",数据!$F$3:$F$998,A322,数据!$G$3:$G$998,B322)</f>
        <v>0</v>
      </c>
      <c r="R322">
        <f>SUMIFS(数据!$D$3:$D$998,数据!$E$3:$E$998,"死卵",数据!$F$3:$F$998,A322,数据!$G$3:$G$998,B322)</f>
        <v>0</v>
      </c>
      <c r="S322">
        <f>SUMIFS(数据!$D$3:$D$998,数据!$E$3:$E$998,"前期仔鱼",数据!$F$3:$F$998,A322,数据!$G$3:$G$998,B322)</f>
        <v>0</v>
      </c>
      <c r="T322">
        <f>SUMIFS(数据!$D$3:$D$998,数据!$E$3:$E$998,"仔鱼",数据!$F$3:$F$998,A322,数据!$G$3:$G$998,B322)</f>
        <v>0</v>
      </c>
      <c r="U322">
        <f>SUMIFS(数据!$D$3:$D$998,数据!$E$3:$E$998,"稚鱼",数据!$F$3:$F$998,A322,数据!$G$3:$G$998,B322)</f>
        <v>0</v>
      </c>
    </row>
    <row r="323" spans="1:21" ht="19.9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45" t="str">
        <f t="shared" si="8"/>
        <v/>
      </c>
      <c r="M323" s="45" t="str">
        <f t="shared" si="9"/>
        <v/>
      </c>
      <c r="N323" s="39" t="str">
        <f>IF(AND(A323="",B323=""),"",COUNTIFS(数据!$E$3:$E$998,"&lt;&gt;前期仔鱼",数据!$E$3:$E$998,"&lt;&gt;仔鱼",数据!$E$3:$E$998,"&lt;&gt;稚鱼",数据!$F$3:$F$998,A323,数据!$G$3:$G$998,B323))</f>
        <v/>
      </c>
      <c r="O323" s="39" t="str">
        <f>IF(AND(A323="",B323=""),"",COUNTIFS(数据!$E$3:$E$998,"&lt;&gt;鱼卵",数据!$E$3:$E$998,"&lt;&gt;死卵",数据!$F$3:$F$998,A323,数据!$G$3:$G$998,B323))</f>
        <v/>
      </c>
      <c r="P323" s="31"/>
      <c r="Q323">
        <f>SUMIFS(数据!$D$3:$D$998,数据!$E$3:$E$998,"鱼卵",数据!$F$3:$F$998,A323,数据!$G$3:$G$998,B323)</f>
        <v>0</v>
      </c>
      <c r="R323">
        <f>SUMIFS(数据!$D$3:$D$998,数据!$E$3:$E$998,"死卵",数据!$F$3:$F$998,A323,数据!$G$3:$G$998,B323)</f>
        <v>0</v>
      </c>
      <c r="S323">
        <f>SUMIFS(数据!$D$3:$D$998,数据!$E$3:$E$998,"前期仔鱼",数据!$F$3:$F$998,A323,数据!$G$3:$G$998,B323)</f>
        <v>0</v>
      </c>
      <c r="T323">
        <f>SUMIFS(数据!$D$3:$D$998,数据!$E$3:$E$998,"仔鱼",数据!$F$3:$F$998,A323,数据!$G$3:$G$998,B323)</f>
        <v>0</v>
      </c>
      <c r="U323">
        <f>SUMIFS(数据!$D$3:$D$998,数据!$E$3:$E$998,"稚鱼",数据!$F$3:$F$998,A323,数据!$G$3:$G$998,B323)</f>
        <v>0</v>
      </c>
    </row>
    <row r="324" spans="1:21" ht="19.9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45" t="str">
        <f t="shared" si="10" ref="L324:L387">IF(OR(Q324&amp;R324="",A324&amp;B324=""),"",Q324+R324)</f>
        <v/>
      </c>
      <c r="M324" s="45" t="str">
        <f t="shared" si="11" ref="M324:M387">IF(OR(A324&amp;B324="",S324&amp;T324&amp;U324=""),"",S324+T324+U324)</f>
        <v/>
      </c>
      <c r="N324" s="39" t="str">
        <f>IF(AND(A324="",B324=""),"",COUNTIFS(数据!$E$3:$E$998,"&lt;&gt;前期仔鱼",数据!$E$3:$E$998,"&lt;&gt;仔鱼",数据!$E$3:$E$998,"&lt;&gt;稚鱼",数据!$F$3:$F$998,A324,数据!$G$3:$G$998,B324))</f>
        <v/>
      </c>
      <c r="O324" s="39" t="str">
        <f>IF(AND(A324="",B324=""),"",COUNTIFS(数据!$E$3:$E$998,"&lt;&gt;鱼卵",数据!$E$3:$E$998,"&lt;&gt;死卵",数据!$F$3:$F$998,A324,数据!$G$3:$G$998,B324))</f>
        <v/>
      </c>
      <c r="P324" s="31"/>
      <c r="Q324">
        <f>SUMIFS(数据!$D$3:$D$998,数据!$E$3:$E$998,"鱼卵",数据!$F$3:$F$998,A324,数据!$G$3:$G$998,B324)</f>
        <v>0</v>
      </c>
      <c r="R324">
        <f>SUMIFS(数据!$D$3:$D$998,数据!$E$3:$E$998,"死卵",数据!$F$3:$F$998,A324,数据!$G$3:$G$998,B324)</f>
        <v>0</v>
      </c>
      <c r="S324">
        <f>SUMIFS(数据!$D$3:$D$998,数据!$E$3:$E$998,"前期仔鱼",数据!$F$3:$F$998,A324,数据!$G$3:$G$998,B324)</f>
        <v>0</v>
      </c>
      <c r="T324">
        <f>SUMIFS(数据!$D$3:$D$998,数据!$E$3:$E$998,"仔鱼",数据!$F$3:$F$998,A324,数据!$G$3:$G$998,B324)</f>
        <v>0</v>
      </c>
      <c r="U324">
        <f>SUMIFS(数据!$D$3:$D$998,数据!$E$3:$E$998,"稚鱼",数据!$F$3:$F$998,A324,数据!$G$3:$G$998,B324)</f>
        <v>0</v>
      </c>
    </row>
    <row r="325" spans="1:21" ht="19.9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45" t="str">
        <f t="shared" si="10"/>
        <v/>
      </c>
      <c r="M325" s="45" t="str">
        <f t="shared" si="11"/>
        <v/>
      </c>
      <c r="N325" s="39" t="str">
        <f>IF(AND(A325="",B325=""),"",COUNTIFS(数据!$E$3:$E$998,"&lt;&gt;前期仔鱼",数据!$E$3:$E$998,"&lt;&gt;仔鱼",数据!$E$3:$E$998,"&lt;&gt;稚鱼",数据!$F$3:$F$998,A325,数据!$G$3:$G$998,B325))</f>
        <v/>
      </c>
      <c r="O325" s="39" t="str">
        <f>IF(AND(A325="",B325=""),"",COUNTIFS(数据!$E$3:$E$998,"&lt;&gt;鱼卵",数据!$E$3:$E$998,"&lt;&gt;死卵",数据!$F$3:$F$998,A325,数据!$G$3:$G$998,B325))</f>
        <v/>
      </c>
      <c r="P325" s="31"/>
      <c r="Q325">
        <f>SUMIFS(数据!$D$3:$D$998,数据!$E$3:$E$998,"鱼卵",数据!$F$3:$F$998,A325,数据!$G$3:$G$998,B325)</f>
        <v>0</v>
      </c>
      <c r="R325">
        <f>SUMIFS(数据!$D$3:$D$998,数据!$E$3:$E$998,"死卵",数据!$F$3:$F$998,A325,数据!$G$3:$G$998,B325)</f>
        <v>0</v>
      </c>
      <c r="S325">
        <f>SUMIFS(数据!$D$3:$D$998,数据!$E$3:$E$998,"前期仔鱼",数据!$F$3:$F$998,A325,数据!$G$3:$G$998,B325)</f>
        <v>0</v>
      </c>
      <c r="T325">
        <f>SUMIFS(数据!$D$3:$D$998,数据!$E$3:$E$998,"仔鱼",数据!$F$3:$F$998,A325,数据!$G$3:$G$998,B325)</f>
        <v>0</v>
      </c>
      <c r="U325">
        <f>SUMIFS(数据!$D$3:$D$998,数据!$E$3:$E$998,"稚鱼",数据!$F$3:$F$998,A325,数据!$G$3:$G$998,B325)</f>
        <v>0</v>
      </c>
    </row>
    <row r="326" spans="1:21" ht="19.9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45" t="str">
        <f t="shared" si="10"/>
        <v/>
      </c>
      <c r="M326" s="45" t="str">
        <f t="shared" si="11"/>
        <v/>
      </c>
      <c r="N326" s="39" t="str">
        <f>IF(AND(A326="",B326=""),"",COUNTIFS(数据!$E$3:$E$998,"&lt;&gt;前期仔鱼",数据!$E$3:$E$998,"&lt;&gt;仔鱼",数据!$E$3:$E$998,"&lt;&gt;稚鱼",数据!$F$3:$F$998,A326,数据!$G$3:$G$998,B326))</f>
        <v/>
      </c>
      <c r="O326" s="39" t="str">
        <f>IF(AND(A326="",B326=""),"",COUNTIFS(数据!$E$3:$E$998,"&lt;&gt;鱼卵",数据!$E$3:$E$998,"&lt;&gt;死卵",数据!$F$3:$F$998,A326,数据!$G$3:$G$998,B326))</f>
        <v/>
      </c>
      <c r="P326" s="31"/>
      <c r="Q326">
        <f>SUMIFS(数据!$D$3:$D$998,数据!$E$3:$E$998,"鱼卵",数据!$F$3:$F$998,A326,数据!$G$3:$G$998,B326)</f>
        <v>0</v>
      </c>
      <c r="R326">
        <f>SUMIFS(数据!$D$3:$D$998,数据!$E$3:$E$998,"死卵",数据!$F$3:$F$998,A326,数据!$G$3:$G$998,B326)</f>
        <v>0</v>
      </c>
      <c r="S326">
        <f>SUMIFS(数据!$D$3:$D$998,数据!$E$3:$E$998,"前期仔鱼",数据!$F$3:$F$998,A326,数据!$G$3:$G$998,B326)</f>
        <v>0</v>
      </c>
      <c r="T326">
        <f>SUMIFS(数据!$D$3:$D$998,数据!$E$3:$E$998,"仔鱼",数据!$F$3:$F$998,A326,数据!$G$3:$G$998,B326)</f>
        <v>0</v>
      </c>
      <c r="U326">
        <f>SUMIFS(数据!$D$3:$D$998,数据!$E$3:$E$998,"稚鱼",数据!$F$3:$F$998,A326,数据!$G$3:$G$998,B326)</f>
        <v>0</v>
      </c>
    </row>
    <row r="327" spans="1:21" ht="19.9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45" t="str">
        <f t="shared" si="10"/>
        <v/>
      </c>
      <c r="M327" s="45" t="str">
        <f t="shared" si="11"/>
        <v/>
      </c>
      <c r="N327" s="39" t="str">
        <f>IF(AND(A327="",B327=""),"",COUNTIFS(数据!$E$3:$E$998,"&lt;&gt;前期仔鱼",数据!$E$3:$E$998,"&lt;&gt;仔鱼",数据!$E$3:$E$998,"&lt;&gt;稚鱼",数据!$F$3:$F$998,A327,数据!$G$3:$G$998,B327))</f>
        <v/>
      </c>
      <c r="O327" s="39" t="str">
        <f>IF(AND(A327="",B327=""),"",COUNTIFS(数据!$E$3:$E$998,"&lt;&gt;鱼卵",数据!$E$3:$E$998,"&lt;&gt;死卵",数据!$F$3:$F$998,A327,数据!$G$3:$G$998,B327))</f>
        <v/>
      </c>
      <c r="P327" s="31"/>
      <c r="Q327">
        <f>SUMIFS(数据!$D$3:$D$998,数据!$E$3:$E$998,"鱼卵",数据!$F$3:$F$998,A327,数据!$G$3:$G$998,B327)</f>
        <v>0</v>
      </c>
      <c r="R327">
        <f>SUMIFS(数据!$D$3:$D$998,数据!$E$3:$E$998,"死卵",数据!$F$3:$F$998,A327,数据!$G$3:$G$998,B327)</f>
        <v>0</v>
      </c>
      <c r="S327">
        <f>SUMIFS(数据!$D$3:$D$998,数据!$E$3:$E$998,"前期仔鱼",数据!$F$3:$F$998,A327,数据!$G$3:$G$998,B327)</f>
        <v>0</v>
      </c>
      <c r="T327">
        <f>SUMIFS(数据!$D$3:$D$998,数据!$E$3:$E$998,"仔鱼",数据!$F$3:$F$998,A327,数据!$G$3:$G$998,B327)</f>
        <v>0</v>
      </c>
      <c r="U327">
        <f>SUMIFS(数据!$D$3:$D$998,数据!$E$3:$E$998,"稚鱼",数据!$F$3:$F$998,A327,数据!$G$3:$G$998,B327)</f>
        <v>0</v>
      </c>
    </row>
    <row r="328" spans="1:21" ht="19.9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45" t="str">
        <f t="shared" si="10"/>
        <v/>
      </c>
      <c r="M328" s="45" t="str">
        <f t="shared" si="11"/>
        <v/>
      </c>
      <c r="N328" s="39" t="str">
        <f>IF(AND(A328="",B328=""),"",COUNTIFS(数据!$E$3:$E$998,"&lt;&gt;前期仔鱼",数据!$E$3:$E$998,"&lt;&gt;仔鱼",数据!$E$3:$E$998,"&lt;&gt;稚鱼",数据!$F$3:$F$998,A328,数据!$G$3:$G$998,B328))</f>
        <v/>
      </c>
      <c r="O328" s="39" t="str">
        <f>IF(AND(A328="",B328=""),"",COUNTIFS(数据!$E$3:$E$998,"&lt;&gt;鱼卵",数据!$E$3:$E$998,"&lt;&gt;死卵",数据!$F$3:$F$998,A328,数据!$G$3:$G$998,B328))</f>
        <v/>
      </c>
      <c r="P328" s="31"/>
      <c r="Q328">
        <f>SUMIFS(数据!$D$3:$D$998,数据!$E$3:$E$998,"鱼卵",数据!$F$3:$F$998,A328,数据!$G$3:$G$998,B328)</f>
        <v>0</v>
      </c>
      <c r="R328">
        <f>SUMIFS(数据!$D$3:$D$998,数据!$E$3:$E$998,"死卵",数据!$F$3:$F$998,A328,数据!$G$3:$G$998,B328)</f>
        <v>0</v>
      </c>
      <c r="S328">
        <f>SUMIFS(数据!$D$3:$D$998,数据!$E$3:$E$998,"前期仔鱼",数据!$F$3:$F$998,A328,数据!$G$3:$G$998,B328)</f>
        <v>0</v>
      </c>
      <c r="T328">
        <f>SUMIFS(数据!$D$3:$D$998,数据!$E$3:$E$998,"仔鱼",数据!$F$3:$F$998,A328,数据!$G$3:$G$998,B328)</f>
        <v>0</v>
      </c>
      <c r="U328">
        <f>SUMIFS(数据!$D$3:$D$998,数据!$E$3:$E$998,"稚鱼",数据!$F$3:$F$998,A328,数据!$G$3:$G$998,B328)</f>
        <v>0</v>
      </c>
    </row>
    <row r="329" spans="1:21" ht="19.9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45" t="str">
        <f t="shared" si="10"/>
        <v/>
      </c>
      <c r="M329" s="45" t="str">
        <f t="shared" si="11"/>
        <v/>
      </c>
      <c r="N329" s="39" t="str">
        <f>IF(AND(A329="",B329=""),"",COUNTIFS(数据!$E$3:$E$998,"&lt;&gt;前期仔鱼",数据!$E$3:$E$998,"&lt;&gt;仔鱼",数据!$E$3:$E$998,"&lt;&gt;稚鱼",数据!$F$3:$F$998,A329,数据!$G$3:$G$998,B329))</f>
        <v/>
      </c>
      <c r="O329" s="39" t="str">
        <f>IF(AND(A329="",B329=""),"",COUNTIFS(数据!$E$3:$E$998,"&lt;&gt;鱼卵",数据!$E$3:$E$998,"&lt;&gt;死卵",数据!$F$3:$F$998,A329,数据!$G$3:$G$998,B329))</f>
        <v/>
      </c>
      <c r="P329" s="31"/>
      <c r="Q329">
        <f>SUMIFS(数据!$D$3:$D$998,数据!$E$3:$E$998,"鱼卵",数据!$F$3:$F$998,A329,数据!$G$3:$G$998,B329)</f>
        <v>0</v>
      </c>
      <c r="R329">
        <f>SUMIFS(数据!$D$3:$D$998,数据!$E$3:$E$998,"死卵",数据!$F$3:$F$998,A329,数据!$G$3:$G$998,B329)</f>
        <v>0</v>
      </c>
      <c r="S329">
        <f>SUMIFS(数据!$D$3:$D$998,数据!$E$3:$E$998,"前期仔鱼",数据!$F$3:$F$998,A329,数据!$G$3:$G$998,B329)</f>
        <v>0</v>
      </c>
      <c r="T329">
        <f>SUMIFS(数据!$D$3:$D$998,数据!$E$3:$E$998,"仔鱼",数据!$F$3:$F$998,A329,数据!$G$3:$G$998,B329)</f>
        <v>0</v>
      </c>
      <c r="U329">
        <f>SUMIFS(数据!$D$3:$D$998,数据!$E$3:$E$998,"稚鱼",数据!$F$3:$F$998,A329,数据!$G$3:$G$998,B329)</f>
        <v>0</v>
      </c>
    </row>
    <row r="330" spans="1:21" ht="19.9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45" t="str">
        <f t="shared" si="10"/>
        <v/>
      </c>
      <c r="M330" s="45" t="str">
        <f t="shared" si="11"/>
        <v/>
      </c>
      <c r="N330" s="39" t="str">
        <f>IF(AND(A330="",B330=""),"",COUNTIFS(数据!$E$3:$E$998,"&lt;&gt;前期仔鱼",数据!$E$3:$E$998,"&lt;&gt;仔鱼",数据!$E$3:$E$998,"&lt;&gt;稚鱼",数据!$F$3:$F$998,A330,数据!$G$3:$G$998,B330))</f>
        <v/>
      </c>
      <c r="O330" s="39" t="str">
        <f>IF(AND(A330="",B330=""),"",COUNTIFS(数据!$E$3:$E$998,"&lt;&gt;鱼卵",数据!$E$3:$E$998,"&lt;&gt;死卵",数据!$F$3:$F$998,A330,数据!$G$3:$G$998,B330))</f>
        <v/>
      </c>
      <c r="P330" s="31"/>
      <c r="Q330">
        <f>SUMIFS(数据!$D$3:$D$998,数据!$E$3:$E$998,"鱼卵",数据!$F$3:$F$998,A330,数据!$G$3:$G$998,B330)</f>
        <v>0</v>
      </c>
      <c r="R330">
        <f>SUMIFS(数据!$D$3:$D$998,数据!$E$3:$E$998,"死卵",数据!$F$3:$F$998,A330,数据!$G$3:$G$998,B330)</f>
        <v>0</v>
      </c>
      <c r="S330">
        <f>SUMIFS(数据!$D$3:$D$998,数据!$E$3:$E$998,"前期仔鱼",数据!$F$3:$F$998,A330,数据!$G$3:$G$998,B330)</f>
        <v>0</v>
      </c>
      <c r="T330">
        <f>SUMIFS(数据!$D$3:$D$998,数据!$E$3:$E$998,"仔鱼",数据!$F$3:$F$998,A330,数据!$G$3:$G$998,B330)</f>
        <v>0</v>
      </c>
      <c r="U330">
        <f>SUMIFS(数据!$D$3:$D$998,数据!$E$3:$E$998,"稚鱼",数据!$F$3:$F$998,A330,数据!$G$3:$G$998,B330)</f>
        <v>0</v>
      </c>
    </row>
    <row r="331" spans="1:21" ht="19.9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45" t="str">
        <f t="shared" si="10"/>
        <v/>
      </c>
      <c r="M331" s="45" t="str">
        <f t="shared" si="11"/>
        <v/>
      </c>
      <c r="N331" s="39" t="str">
        <f>IF(AND(A331="",B331=""),"",COUNTIFS(数据!$E$3:$E$998,"&lt;&gt;前期仔鱼",数据!$E$3:$E$998,"&lt;&gt;仔鱼",数据!$E$3:$E$998,"&lt;&gt;稚鱼",数据!$F$3:$F$998,A331,数据!$G$3:$G$998,B331))</f>
        <v/>
      </c>
      <c r="O331" s="39" t="str">
        <f>IF(AND(A331="",B331=""),"",COUNTIFS(数据!$E$3:$E$998,"&lt;&gt;鱼卵",数据!$E$3:$E$998,"&lt;&gt;死卵",数据!$F$3:$F$998,A331,数据!$G$3:$G$998,B331))</f>
        <v/>
      </c>
      <c r="P331" s="31"/>
      <c r="Q331">
        <f>SUMIFS(数据!$D$3:$D$998,数据!$E$3:$E$998,"鱼卵",数据!$F$3:$F$998,A331,数据!$G$3:$G$998,B331)</f>
        <v>0</v>
      </c>
      <c r="R331">
        <f>SUMIFS(数据!$D$3:$D$998,数据!$E$3:$E$998,"死卵",数据!$F$3:$F$998,A331,数据!$G$3:$G$998,B331)</f>
        <v>0</v>
      </c>
      <c r="S331">
        <f>SUMIFS(数据!$D$3:$D$998,数据!$E$3:$E$998,"前期仔鱼",数据!$F$3:$F$998,A331,数据!$G$3:$G$998,B331)</f>
        <v>0</v>
      </c>
      <c r="T331">
        <f>SUMIFS(数据!$D$3:$D$998,数据!$E$3:$E$998,"仔鱼",数据!$F$3:$F$998,A331,数据!$G$3:$G$998,B331)</f>
        <v>0</v>
      </c>
      <c r="U331">
        <f>SUMIFS(数据!$D$3:$D$998,数据!$E$3:$E$998,"稚鱼",数据!$F$3:$F$998,A331,数据!$G$3:$G$998,B331)</f>
        <v>0</v>
      </c>
    </row>
    <row r="332" spans="1:21" ht="19.9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45" t="str">
        <f t="shared" si="10"/>
        <v/>
      </c>
      <c r="M332" s="45" t="str">
        <f t="shared" si="11"/>
        <v/>
      </c>
      <c r="N332" s="39" t="str">
        <f>IF(AND(A332="",B332=""),"",COUNTIFS(数据!$E$3:$E$998,"&lt;&gt;前期仔鱼",数据!$E$3:$E$998,"&lt;&gt;仔鱼",数据!$E$3:$E$998,"&lt;&gt;稚鱼",数据!$F$3:$F$998,A332,数据!$G$3:$G$998,B332))</f>
        <v/>
      </c>
      <c r="O332" s="39" t="str">
        <f>IF(AND(A332="",B332=""),"",COUNTIFS(数据!$E$3:$E$998,"&lt;&gt;鱼卵",数据!$E$3:$E$998,"&lt;&gt;死卵",数据!$F$3:$F$998,A332,数据!$G$3:$G$998,B332))</f>
        <v/>
      </c>
      <c r="P332" s="31"/>
      <c r="Q332">
        <f>SUMIFS(数据!$D$3:$D$998,数据!$E$3:$E$998,"鱼卵",数据!$F$3:$F$998,A332,数据!$G$3:$G$998,B332)</f>
        <v>0</v>
      </c>
      <c r="R332">
        <f>SUMIFS(数据!$D$3:$D$998,数据!$E$3:$E$998,"死卵",数据!$F$3:$F$998,A332,数据!$G$3:$G$998,B332)</f>
        <v>0</v>
      </c>
      <c r="S332">
        <f>SUMIFS(数据!$D$3:$D$998,数据!$E$3:$E$998,"前期仔鱼",数据!$F$3:$F$998,A332,数据!$G$3:$G$998,B332)</f>
        <v>0</v>
      </c>
      <c r="T332">
        <f>SUMIFS(数据!$D$3:$D$998,数据!$E$3:$E$998,"仔鱼",数据!$F$3:$F$998,A332,数据!$G$3:$G$998,B332)</f>
        <v>0</v>
      </c>
      <c r="U332">
        <f>SUMIFS(数据!$D$3:$D$998,数据!$E$3:$E$998,"稚鱼",数据!$F$3:$F$998,A332,数据!$G$3:$G$998,B332)</f>
        <v>0</v>
      </c>
    </row>
    <row r="333" spans="1:21" ht="19.9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45" t="str">
        <f t="shared" si="10"/>
        <v/>
      </c>
      <c r="M333" s="45" t="str">
        <f t="shared" si="11"/>
        <v/>
      </c>
      <c r="N333" s="39" t="str">
        <f>IF(AND(A333="",B333=""),"",COUNTIFS(数据!$E$3:$E$998,"&lt;&gt;前期仔鱼",数据!$E$3:$E$998,"&lt;&gt;仔鱼",数据!$E$3:$E$998,"&lt;&gt;稚鱼",数据!$F$3:$F$998,A333,数据!$G$3:$G$998,B333))</f>
        <v/>
      </c>
      <c r="O333" s="39" t="str">
        <f>IF(AND(A333="",B333=""),"",COUNTIFS(数据!$E$3:$E$998,"&lt;&gt;鱼卵",数据!$E$3:$E$998,"&lt;&gt;死卵",数据!$F$3:$F$998,A333,数据!$G$3:$G$998,B333))</f>
        <v/>
      </c>
      <c r="P333" s="31"/>
      <c r="Q333">
        <f>SUMIFS(数据!$D$3:$D$998,数据!$E$3:$E$998,"鱼卵",数据!$F$3:$F$998,A333,数据!$G$3:$G$998,B333)</f>
        <v>0</v>
      </c>
      <c r="R333">
        <f>SUMIFS(数据!$D$3:$D$998,数据!$E$3:$E$998,"死卵",数据!$F$3:$F$998,A333,数据!$G$3:$G$998,B333)</f>
        <v>0</v>
      </c>
      <c r="S333">
        <f>SUMIFS(数据!$D$3:$D$998,数据!$E$3:$E$998,"前期仔鱼",数据!$F$3:$F$998,A333,数据!$G$3:$G$998,B333)</f>
        <v>0</v>
      </c>
      <c r="T333">
        <f>SUMIFS(数据!$D$3:$D$998,数据!$E$3:$E$998,"仔鱼",数据!$F$3:$F$998,A333,数据!$G$3:$G$998,B333)</f>
        <v>0</v>
      </c>
      <c r="U333">
        <f>SUMIFS(数据!$D$3:$D$998,数据!$E$3:$E$998,"稚鱼",数据!$F$3:$F$998,A333,数据!$G$3:$G$998,B333)</f>
        <v>0</v>
      </c>
    </row>
    <row r="334" spans="1:21" ht="19.9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45" t="str">
        <f t="shared" si="10"/>
        <v/>
      </c>
      <c r="M334" s="45" t="str">
        <f t="shared" si="11"/>
        <v/>
      </c>
      <c r="N334" s="39" t="str">
        <f>IF(AND(A334="",B334=""),"",COUNTIFS(数据!$E$3:$E$998,"&lt;&gt;前期仔鱼",数据!$E$3:$E$998,"&lt;&gt;仔鱼",数据!$E$3:$E$998,"&lt;&gt;稚鱼",数据!$F$3:$F$998,A334,数据!$G$3:$G$998,B334))</f>
        <v/>
      </c>
      <c r="O334" s="39" t="str">
        <f>IF(AND(A334="",B334=""),"",COUNTIFS(数据!$E$3:$E$998,"&lt;&gt;鱼卵",数据!$E$3:$E$998,"&lt;&gt;死卵",数据!$F$3:$F$998,A334,数据!$G$3:$G$998,B334))</f>
        <v/>
      </c>
      <c r="P334" s="31"/>
      <c r="Q334">
        <f>SUMIFS(数据!$D$3:$D$998,数据!$E$3:$E$998,"鱼卵",数据!$F$3:$F$998,A334,数据!$G$3:$G$998,B334)</f>
        <v>0</v>
      </c>
      <c r="R334">
        <f>SUMIFS(数据!$D$3:$D$998,数据!$E$3:$E$998,"死卵",数据!$F$3:$F$998,A334,数据!$G$3:$G$998,B334)</f>
        <v>0</v>
      </c>
      <c r="S334">
        <f>SUMIFS(数据!$D$3:$D$998,数据!$E$3:$E$998,"前期仔鱼",数据!$F$3:$F$998,A334,数据!$G$3:$G$998,B334)</f>
        <v>0</v>
      </c>
      <c r="T334">
        <f>SUMIFS(数据!$D$3:$D$998,数据!$E$3:$E$998,"仔鱼",数据!$F$3:$F$998,A334,数据!$G$3:$G$998,B334)</f>
        <v>0</v>
      </c>
      <c r="U334">
        <f>SUMIFS(数据!$D$3:$D$998,数据!$E$3:$E$998,"稚鱼",数据!$F$3:$F$998,A334,数据!$G$3:$G$998,B334)</f>
        <v>0</v>
      </c>
    </row>
    <row r="335" spans="1:21" ht="19.9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45" t="str">
        <f t="shared" si="10"/>
        <v/>
      </c>
      <c r="M335" s="45" t="str">
        <f t="shared" si="11"/>
        <v/>
      </c>
      <c r="N335" s="39" t="str">
        <f>IF(AND(A335="",B335=""),"",COUNTIFS(数据!$E$3:$E$998,"&lt;&gt;前期仔鱼",数据!$E$3:$E$998,"&lt;&gt;仔鱼",数据!$E$3:$E$998,"&lt;&gt;稚鱼",数据!$F$3:$F$998,A335,数据!$G$3:$G$998,B335))</f>
        <v/>
      </c>
      <c r="O335" s="39" t="str">
        <f>IF(AND(A335="",B335=""),"",COUNTIFS(数据!$E$3:$E$998,"&lt;&gt;鱼卵",数据!$E$3:$E$998,"&lt;&gt;死卵",数据!$F$3:$F$998,A335,数据!$G$3:$G$998,B335))</f>
        <v/>
      </c>
      <c r="P335" s="31"/>
      <c r="Q335">
        <f>SUMIFS(数据!$D$3:$D$998,数据!$E$3:$E$998,"鱼卵",数据!$F$3:$F$998,A335,数据!$G$3:$G$998,B335)</f>
        <v>0</v>
      </c>
      <c r="R335">
        <f>SUMIFS(数据!$D$3:$D$998,数据!$E$3:$E$998,"死卵",数据!$F$3:$F$998,A335,数据!$G$3:$G$998,B335)</f>
        <v>0</v>
      </c>
      <c r="S335">
        <f>SUMIFS(数据!$D$3:$D$998,数据!$E$3:$E$998,"前期仔鱼",数据!$F$3:$F$998,A335,数据!$G$3:$G$998,B335)</f>
        <v>0</v>
      </c>
      <c r="T335">
        <f>SUMIFS(数据!$D$3:$D$998,数据!$E$3:$E$998,"仔鱼",数据!$F$3:$F$998,A335,数据!$G$3:$G$998,B335)</f>
        <v>0</v>
      </c>
      <c r="U335">
        <f>SUMIFS(数据!$D$3:$D$998,数据!$E$3:$E$998,"稚鱼",数据!$F$3:$F$998,A335,数据!$G$3:$G$998,B335)</f>
        <v>0</v>
      </c>
    </row>
    <row r="336" spans="1:21" ht="19.9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45" t="str">
        <f t="shared" si="10"/>
        <v/>
      </c>
      <c r="M336" s="45" t="str">
        <f t="shared" si="11"/>
        <v/>
      </c>
      <c r="N336" s="39" t="str">
        <f>IF(AND(A336="",B336=""),"",COUNTIFS(数据!$E$3:$E$998,"&lt;&gt;前期仔鱼",数据!$E$3:$E$998,"&lt;&gt;仔鱼",数据!$E$3:$E$998,"&lt;&gt;稚鱼",数据!$F$3:$F$998,A336,数据!$G$3:$G$998,B336))</f>
        <v/>
      </c>
      <c r="O336" s="39" t="str">
        <f>IF(AND(A336="",B336=""),"",COUNTIFS(数据!$E$3:$E$998,"&lt;&gt;鱼卵",数据!$E$3:$E$998,"&lt;&gt;死卵",数据!$F$3:$F$998,A336,数据!$G$3:$G$998,B336))</f>
        <v/>
      </c>
      <c r="P336" s="31"/>
      <c r="Q336">
        <f>SUMIFS(数据!$D$3:$D$998,数据!$E$3:$E$998,"鱼卵",数据!$F$3:$F$998,A336,数据!$G$3:$G$998,B336)</f>
        <v>0</v>
      </c>
      <c r="R336">
        <f>SUMIFS(数据!$D$3:$D$998,数据!$E$3:$E$998,"死卵",数据!$F$3:$F$998,A336,数据!$G$3:$G$998,B336)</f>
        <v>0</v>
      </c>
      <c r="S336">
        <f>SUMIFS(数据!$D$3:$D$998,数据!$E$3:$E$998,"前期仔鱼",数据!$F$3:$F$998,A336,数据!$G$3:$G$998,B336)</f>
        <v>0</v>
      </c>
      <c r="T336">
        <f>SUMIFS(数据!$D$3:$D$998,数据!$E$3:$E$998,"仔鱼",数据!$F$3:$F$998,A336,数据!$G$3:$G$998,B336)</f>
        <v>0</v>
      </c>
      <c r="U336">
        <f>SUMIFS(数据!$D$3:$D$998,数据!$E$3:$E$998,"稚鱼",数据!$F$3:$F$998,A336,数据!$G$3:$G$998,B336)</f>
        <v>0</v>
      </c>
    </row>
    <row r="337" spans="1:21" ht="19.9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45" t="str">
        <f t="shared" si="10"/>
        <v/>
      </c>
      <c r="M337" s="45" t="str">
        <f t="shared" si="11"/>
        <v/>
      </c>
      <c r="N337" s="39" t="str">
        <f>IF(AND(A337="",B337=""),"",COUNTIFS(数据!$E$3:$E$998,"&lt;&gt;前期仔鱼",数据!$E$3:$E$998,"&lt;&gt;仔鱼",数据!$E$3:$E$998,"&lt;&gt;稚鱼",数据!$F$3:$F$998,A337,数据!$G$3:$G$998,B337))</f>
        <v/>
      </c>
      <c r="O337" s="39" t="str">
        <f>IF(AND(A337="",B337=""),"",COUNTIFS(数据!$E$3:$E$998,"&lt;&gt;鱼卵",数据!$E$3:$E$998,"&lt;&gt;死卵",数据!$F$3:$F$998,A337,数据!$G$3:$G$998,B337))</f>
        <v/>
      </c>
      <c r="P337" s="31"/>
      <c r="Q337">
        <f>SUMIFS(数据!$D$3:$D$998,数据!$E$3:$E$998,"鱼卵",数据!$F$3:$F$998,A337,数据!$G$3:$G$998,B337)</f>
        <v>0</v>
      </c>
      <c r="R337">
        <f>SUMIFS(数据!$D$3:$D$998,数据!$E$3:$E$998,"死卵",数据!$F$3:$F$998,A337,数据!$G$3:$G$998,B337)</f>
        <v>0</v>
      </c>
      <c r="S337">
        <f>SUMIFS(数据!$D$3:$D$998,数据!$E$3:$E$998,"前期仔鱼",数据!$F$3:$F$998,A337,数据!$G$3:$G$998,B337)</f>
        <v>0</v>
      </c>
      <c r="T337">
        <f>SUMIFS(数据!$D$3:$D$998,数据!$E$3:$E$998,"仔鱼",数据!$F$3:$F$998,A337,数据!$G$3:$G$998,B337)</f>
        <v>0</v>
      </c>
      <c r="U337">
        <f>SUMIFS(数据!$D$3:$D$998,数据!$E$3:$E$998,"稚鱼",数据!$F$3:$F$998,A337,数据!$G$3:$G$998,B337)</f>
        <v>0</v>
      </c>
    </row>
    <row r="338" spans="1:21" ht="19.9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45" t="str">
        <f t="shared" si="10"/>
        <v/>
      </c>
      <c r="M338" s="45" t="str">
        <f t="shared" si="11"/>
        <v/>
      </c>
      <c r="N338" s="39" t="str">
        <f>IF(AND(A338="",B338=""),"",COUNTIFS(数据!$E$3:$E$998,"&lt;&gt;前期仔鱼",数据!$E$3:$E$998,"&lt;&gt;仔鱼",数据!$E$3:$E$998,"&lt;&gt;稚鱼",数据!$F$3:$F$998,A338,数据!$G$3:$G$998,B338))</f>
        <v/>
      </c>
      <c r="O338" s="39" t="str">
        <f>IF(AND(A338="",B338=""),"",COUNTIFS(数据!$E$3:$E$998,"&lt;&gt;鱼卵",数据!$E$3:$E$998,"&lt;&gt;死卵",数据!$F$3:$F$998,A338,数据!$G$3:$G$998,B338))</f>
        <v/>
      </c>
      <c r="P338" s="31"/>
      <c r="Q338">
        <f>SUMIFS(数据!$D$3:$D$998,数据!$E$3:$E$998,"鱼卵",数据!$F$3:$F$998,A338,数据!$G$3:$G$998,B338)</f>
        <v>0</v>
      </c>
      <c r="R338">
        <f>SUMIFS(数据!$D$3:$D$998,数据!$E$3:$E$998,"死卵",数据!$F$3:$F$998,A338,数据!$G$3:$G$998,B338)</f>
        <v>0</v>
      </c>
      <c r="S338">
        <f>SUMIFS(数据!$D$3:$D$998,数据!$E$3:$E$998,"前期仔鱼",数据!$F$3:$F$998,A338,数据!$G$3:$G$998,B338)</f>
        <v>0</v>
      </c>
      <c r="T338">
        <f>SUMIFS(数据!$D$3:$D$998,数据!$E$3:$E$998,"仔鱼",数据!$F$3:$F$998,A338,数据!$G$3:$G$998,B338)</f>
        <v>0</v>
      </c>
      <c r="U338">
        <f>SUMIFS(数据!$D$3:$D$998,数据!$E$3:$E$998,"稚鱼",数据!$F$3:$F$998,A338,数据!$G$3:$G$998,B338)</f>
        <v>0</v>
      </c>
    </row>
    <row r="339" spans="1:21" ht="19.9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45" t="str">
        <f t="shared" si="10"/>
        <v/>
      </c>
      <c r="M339" s="45" t="str">
        <f t="shared" si="11"/>
        <v/>
      </c>
      <c r="N339" s="39" t="str">
        <f>IF(AND(A339="",B339=""),"",COUNTIFS(数据!$E$3:$E$998,"&lt;&gt;前期仔鱼",数据!$E$3:$E$998,"&lt;&gt;仔鱼",数据!$E$3:$E$998,"&lt;&gt;稚鱼",数据!$F$3:$F$998,A339,数据!$G$3:$G$998,B339))</f>
        <v/>
      </c>
      <c r="O339" s="39" t="str">
        <f>IF(AND(A339="",B339=""),"",COUNTIFS(数据!$E$3:$E$998,"&lt;&gt;鱼卵",数据!$E$3:$E$998,"&lt;&gt;死卵",数据!$F$3:$F$998,A339,数据!$G$3:$G$998,B339))</f>
        <v/>
      </c>
      <c r="P339" s="31"/>
      <c r="Q339">
        <f>SUMIFS(数据!$D$3:$D$998,数据!$E$3:$E$998,"鱼卵",数据!$F$3:$F$998,A339,数据!$G$3:$G$998,B339)</f>
        <v>0</v>
      </c>
      <c r="R339">
        <f>SUMIFS(数据!$D$3:$D$998,数据!$E$3:$E$998,"死卵",数据!$F$3:$F$998,A339,数据!$G$3:$G$998,B339)</f>
        <v>0</v>
      </c>
      <c r="S339">
        <f>SUMIFS(数据!$D$3:$D$998,数据!$E$3:$E$998,"前期仔鱼",数据!$F$3:$F$998,A339,数据!$G$3:$G$998,B339)</f>
        <v>0</v>
      </c>
      <c r="T339">
        <f>SUMIFS(数据!$D$3:$D$998,数据!$E$3:$E$998,"仔鱼",数据!$F$3:$F$998,A339,数据!$G$3:$G$998,B339)</f>
        <v>0</v>
      </c>
      <c r="U339">
        <f>SUMIFS(数据!$D$3:$D$998,数据!$E$3:$E$998,"稚鱼",数据!$F$3:$F$998,A339,数据!$G$3:$G$998,B339)</f>
        <v>0</v>
      </c>
    </row>
    <row r="340" spans="1:21" ht="19.9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45" t="str">
        <f t="shared" si="10"/>
        <v/>
      </c>
      <c r="M340" s="45" t="str">
        <f t="shared" si="11"/>
        <v/>
      </c>
      <c r="N340" s="39" t="str">
        <f>IF(AND(A340="",B340=""),"",COUNTIFS(数据!$E$3:$E$998,"&lt;&gt;前期仔鱼",数据!$E$3:$E$998,"&lt;&gt;仔鱼",数据!$E$3:$E$998,"&lt;&gt;稚鱼",数据!$F$3:$F$998,A340,数据!$G$3:$G$998,B340))</f>
        <v/>
      </c>
      <c r="O340" s="39" t="str">
        <f>IF(AND(A340="",B340=""),"",COUNTIFS(数据!$E$3:$E$998,"&lt;&gt;鱼卵",数据!$E$3:$E$998,"&lt;&gt;死卵",数据!$F$3:$F$998,A340,数据!$G$3:$G$998,B340))</f>
        <v/>
      </c>
      <c r="P340" s="31"/>
      <c r="Q340">
        <f>SUMIFS(数据!$D$3:$D$998,数据!$E$3:$E$998,"鱼卵",数据!$F$3:$F$998,A340,数据!$G$3:$G$998,B340)</f>
        <v>0</v>
      </c>
      <c r="R340">
        <f>SUMIFS(数据!$D$3:$D$998,数据!$E$3:$E$998,"死卵",数据!$F$3:$F$998,A340,数据!$G$3:$G$998,B340)</f>
        <v>0</v>
      </c>
      <c r="S340">
        <f>SUMIFS(数据!$D$3:$D$998,数据!$E$3:$E$998,"前期仔鱼",数据!$F$3:$F$998,A340,数据!$G$3:$G$998,B340)</f>
        <v>0</v>
      </c>
      <c r="T340">
        <f>SUMIFS(数据!$D$3:$D$998,数据!$E$3:$E$998,"仔鱼",数据!$F$3:$F$998,A340,数据!$G$3:$G$998,B340)</f>
        <v>0</v>
      </c>
      <c r="U340">
        <f>SUMIFS(数据!$D$3:$D$998,数据!$E$3:$E$998,"稚鱼",数据!$F$3:$F$998,A340,数据!$G$3:$G$998,B340)</f>
        <v>0</v>
      </c>
    </row>
    <row r="341" spans="1:21" ht="19.9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45" t="str">
        <f t="shared" si="10"/>
        <v/>
      </c>
      <c r="M341" s="45" t="str">
        <f t="shared" si="11"/>
        <v/>
      </c>
      <c r="N341" s="39" t="str">
        <f>IF(AND(A341="",B341=""),"",COUNTIFS(数据!$E$3:$E$998,"&lt;&gt;前期仔鱼",数据!$E$3:$E$998,"&lt;&gt;仔鱼",数据!$E$3:$E$998,"&lt;&gt;稚鱼",数据!$F$3:$F$998,A341,数据!$G$3:$G$998,B341))</f>
        <v/>
      </c>
      <c r="O341" s="39" t="str">
        <f>IF(AND(A341="",B341=""),"",COUNTIFS(数据!$E$3:$E$998,"&lt;&gt;鱼卵",数据!$E$3:$E$998,"&lt;&gt;死卵",数据!$F$3:$F$998,A341,数据!$G$3:$G$998,B341))</f>
        <v/>
      </c>
      <c r="P341" s="31"/>
      <c r="Q341">
        <f>SUMIFS(数据!$D$3:$D$998,数据!$E$3:$E$998,"鱼卵",数据!$F$3:$F$998,A341,数据!$G$3:$G$998,B341)</f>
        <v>0</v>
      </c>
      <c r="R341">
        <f>SUMIFS(数据!$D$3:$D$998,数据!$E$3:$E$998,"死卵",数据!$F$3:$F$998,A341,数据!$G$3:$G$998,B341)</f>
        <v>0</v>
      </c>
      <c r="S341">
        <f>SUMIFS(数据!$D$3:$D$998,数据!$E$3:$E$998,"前期仔鱼",数据!$F$3:$F$998,A341,数据!$G$3:$G$998,B341)</f>
        <v>0</v>
      </c>
      <c r="T341">
        <f>SUMIFS(数据!$D$3:$D$998,数据!$E$3:$E$998,"仔鱼",数据!$F$3:$F$998,A341,数据!$G$3:$G$998,B341)</f>
        <v>0</v>
      </c>
      <c r="U341">
        <f>SUMIFS(数据!$D$3:$D$998,数据!$E$3:$E$998,"稚鱼",数据!$F$3:$F$998,A341,数据!$G$3:$G$998,B341)</f>
        <v>0</v>
      </c>
    </row>
    <row r="342" spans="1:21" ht="19.9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45" t="str">
        <f t="shared" si="10"/>
        <v/>
      </c>
      <c r="M342" s="45" t="str">
        <f t="shared" si="11"/>
        <v/>
      </c>
      <c r="N342" s="39" t="str">
        <f>IF(AND(A342="",B342=""),"",COUNTIFS(数据!$E$3:$E$998,"&lt;&gt;前期仔鱼",数据!$E$3:$E$998,"&lt;&gt;仔鱼",数据!$E$3:$E$998,"&lt;&gt;稚鱼",数据!$F$3:$F$998,A342,数据!$G$3:$G$998,B342))</f>
        <v/>
      </c>
      <c r="O342" s="39" t="str">
        <f>IF(AND(A342="",B342=""),"",COUNTIFS(数据!$E$3:$E$998,"&lt;&gt;鱼卵",数据!$E$3:$E$998,"&lt;&gt;死卵",数据!$F$3:$F$998,A342,数据!$G$3:$G$998,B342))</f>
        <v/>
      </c>
      <c r="P342" s="31"/>
      <c r="Q342">
        <f>SUMIFS(数据!$D$3:$D$998,数据!$E$3:$E$998,"鱼卵",数据!$F$3:$F$998,A342,数据!$G$3:$G$998,B342)</f>
        <v>0</v>
      </c>
      <c r="R342">
        <f>SUMIFS(数据!$D$3:$D$998,数据!$E$3:$E$998,"死卵",数据!$F$3:$F$998,A342,数据!$G$3:$G$998,B342)</f>
        <v>0</v>
      </c>
      <c r="S342">
        <f>SUMIFS(数据!$D$3:$D$998,数据!$E$3:$E$998,"前期仔鱼",数据!$F$3:$F$998,A342,数据!$G$3:$G$998,B342)</f>
        <v>0</v>
      </c>
      <c r="T342">
        <f>SUMIFS(数据!$D$3:$D$998,数据!$E$3:$E$998,"仔鱼",数据!$F$3:$F$998,A342,数据!$G$3:$G$998,B342)</f>
        <v>0</v>
      </c>
      <c r="U342">
        <f>SUMIFS(数据!$D$3:$D$998,数据!$E$3:$E$998,"稚鱼",数据!$F$3:$F$998,A342,数据!$G$3:$G$998,B342)</f>
        <v>0</v>
      </c>
    </row>
    <row r="343" spans="1:21" ht="19.9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45" t="str">
        <f t="shared" si="10"/>
        <v/>
      </c>
      <c r="M343" s="45" t="str">
        <f t="shared" si="11"/>
        <v/>
      </c>
      <c r="N343" s="39" t="str">
        <f>IF(AND(A343="",B343=""),"",COUNTIFS(数据!$E$3:$E$998,"&lt;&gt;前期仔鱼",数据!$E$3:$E$998,"&lt;&gt;仔鱼",数据!$E$3:$E$998,"&lt;&gt;稚鱼",数据!$F$3:$F$998,A343,数据!$G$3:$G$998,B343))</f>
        <v/>
      </c>
      <c r="O343" s="39" t="str">
        <f>IF(AND(A343="",B343=""),"",COUNTIFS(数据!$E$3:$E$998,"&lt;&gt;鱼卵",数据!$E$3:$E$998,"&lt;&gt;死卵",数据!$F$3:$F$998,A343,数据!$G$3:$G$998,B343))</f>
        <v/>
      </c>
      <c r="P343" s="31"/>
      <c r="Q343">
        <f>SUMIFS(数据!$D$3:$D$998,数据!$E$3:$E$998,"鱼卵",数据!$F$3:$F$998,A343,数据!$G$3:$G$998,B343)</f>
        <v>0</v>
      </c>
      <c r="R343">
        <f>SUMIFS(数据!$D$3:$D$998,数据!$E$3:$E$998,"死卵",数据!$F$3:$F$998,A343,数据!$G$3:$G$998,B343)</f>
        <v>0</v>
      </c>
      <c r="S343">
        <f>SUMIFS(数据!$D$3:$D$998,数据!$E$3:$E$998,"前期仔鱼",数据!$F$3:$F$998,A343,数据!$G$3:$G$998,B343)</f>
        <v>0</v>
      </c>
      <c r="T343">
        <f>SUMIFS(数据!$D$3:$D$998,数据!$E$3:$E$998,"仔鱼",数据!$F$3:$F$998,A343,数据!$G$3:$G$998,B343)</f>
        <v>0</v>
      </c>
      <c r="U343">
        <f>SUMIFS(数据!$D$3:$D$998,数据!$E$3:$E$998,"稚鱼",数据!$F$3:$F$998,A343,数据!$G$3:$G$998,B343)</f>
        <v>0</v>
      </c>
    </row>
    <row r="344" spans="1:21" ht="19.9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45" t="str">
        <f t="shared" si="10"/>
        <v/>
      </c>
      <c r="M344" s="45" t="str">
        <f t="shared" si="11"/>
        <v/>
      </c>
      <c r="N344" s="39" t="str">
        <f>IF(AND(A344="",B344=""),"",COUNTIFS(数据!$E$3:$E$998,"&lt;&gt;前期仔鱼",数据!$E$3:$E$998,"&lt;&gt;仔鱼",数据!$E$3:$E$998,"&lt;&gt;稚鱼",数据!$F$3:$F$998,A344,数据!$G$3:$G$998,B344))</f>
        <v/>
      </c>
      <c r="O344" s="39" t="str">
        <f>IF(AND(A344="",B344=""),"",COUNTIFS(数据!$E$3:$E$998,"&lt;&gt;鱼卵",数据!$E$3:$E$998,"&lt;&gt;死卵",数据!$F$3:$F$998,A344,数据!$G$3:$G$998,B344))</f>
        <v/>
      </c>
      <c r="P344" s="31"/>
      <c r="Q344">
        <f>SUMIFS(数据!$D$3:$D$998,数据!$E$3:$E$998,"鱼卵",数据!$F$3:$F$998,A344,数据!$G$3:$G$998,B344)</f>
        <v>0</v>
      </c>
      <c r="R344">
        <f>SUMIFS(数据!$D$3:$D$998,数据!$E$3:$E$998,"死卵",数据!$F$3:$F$998,A344,数据!$G$3:$G$998,B344)</f>
        <v>0</v>
      </c>
      <c r="S344">
        <f>SUMIFS(数据!$D$3:$D$998,数据!$E$3:$E$998,"前期仔鱼",数据!$F$3:$F$998,A344,数据!$G$3:$G$998,B344)</f>
        <v>0</v>
      </c>
      <c r="T344">
        <f>SUMIFS(数据!$D$3:$D$998,数据!$E$3:$E$998,"仔鱼",数据!$F$3:$F$998,A344,数据!$G$3:$G$998,B344)</f>
        <v>0</v>
      </c>
      <c r="U344">
        <f>SUMIFS(数据!$D$3:$D$998,数据!$E$3:$E$998,"稚鱼",数据!$F$3:$F$998,A344,数据!$G$3:$G$998,B344)</f>
        <v>0</v>
      </c>
    </row>
    <row r="345" spans="1:21" ht="19.9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45" t="str">
        <f t="shared" si="10"/>
        <v/>
      </c>
      <c r="M345" s="45" t="str">
        <f t="shared" si="11"/>
        <v/>
      </c>
      <c r="N345" s="39" t="str">
        <f>IF(AND(A345="",B345=""),"",COUNTIFS(数据!$E$3:$E$998,"&lt;&gt;前期仔鱼",数据!$E$3:$E$998,"&lt;&gt;仔鱼",数据!$E$3:$E$998,"&lt;&gt;稚鱼",数据!$F$3:$F$998,A345,数据!$G$3:$G$998,B345))</f>
        <v/>
      </c>
      <c r="O345" s="39" t="str">
        <f>IF(AND(A345="",B345=""),"",COUNTIFS(数据!$E$3:$E$998,"&lt;&gt;鱼卵",数据!$E$3:$E$998,"&lt;&gt;死卵",数据!$F$3:$F$998,A345,数据!$G$3:$G$998,B345))</f>
        <v/>
      </c>
      <c r="P345" s="31"/>
      <c r="Q345">
        <f>SUMIFS(数据!$D$3:$D$998,数据!$E$3:$E$998,"鱼卵",数据!$F$3:$F$998,A345,数据!$G$3:$G$998,B345)</f>
        <v>0</v>
      </c>
      <c r="R345">
        <f>SUMIFS(数据!$D$3:$D$998,数据!$E$3:$E$998,"死卵",数据!$F$3:$F$998,A345,数据!$G$3:$G$998,B345)</f>
        <v>0</v>
      </c>
      <c r="S345">
        <f>SUMIFS(数据!$D$3:$D$998,数据!$E$3:$E$998,"前期仔鱼",数据!$F$3:$F$998,A345,数据!$G$3:$G$998,B345)</f>
        <v>0</v>
      </c>
      <c r="T345">
        <f>SUMIFS(数据!$D$3:$D$998,数据!$E$3:$E$998,"仔鱼",数据!$F$3:$F$998,A345,数据!$G$3:$G$998,B345)</f>
        <v>0</v>
      </c>
      <c r="U345">
        <f>SUMIFS(数据!$D$3:$D$998,数据!$E$3:$E$998,"稚鱼",数据!$F$3:$F$998,A345,数据!$G$3:$G$998,B345)</f>
        <v>0</v>
      </c>
    </row>
    <row r="346" spans="1:21" ht="19.9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45" t="str">
        <f t="shared" si="10"/>
        <v/>
      </c>
      <c r="M346" s="45" t="str">
        <f t="shared" si="11"/>
        <v/>
      </c>
      <c r="N346" s="39" t="str">
        <f>IF(AND(A346="",B346=""),"",COUNTIFS(数据!$E$3:$E$998,"&lt;&gt;前期仔鱼",数据!$E$3:$E$998,"&lt;&gt;仔鱼",数据!$E$3:$E$998,"&lt;&gt;稚鱼",数据!$F$3:$F$998,A346,数据!$G$3:$G$998,B346))</f>
        <v/>
      </c>
      <c r="O346" s="39" t="str">
        <f>IF(AND(A346="",B346=""),"",COUNTIFS(数据!$E$3:$E$998,"&lt;&gt;鱼卵",数据!$E$3:$E$998,"&lt;&gt;死卵",数据!$F$3:$F$998,A346,数据!$G$3:$G$998,B346))</f>
        <v/>
      </c>
      <c r="P346" s="31"/>
      <c r="Q346">
        <f>SUMIFS(数据!$D$3:$D$998,数据!$E$3:$E$998,"鱼卵",数据!$F$3:$F$998,A346,数据!$G$3:$G$998,B346)</f>
        <v>0</v>
      </c>
      <c r="R346">
        <f>SUMIFS(数据!$D$3:$D$998,数据!$E$3:$E$998,"死卵",数据!$F$3:$F$998,A346,数据!$G$3:$G$998,B346)</f>
        <v>0</v>
      </c>
      <c r="S346">
        <f>SUMIFS(数据!$D$3:$D$998,数据!$E$3:$E$998,"前期仔鱼",数据!$F$3:$F$998,A346,数据!$G$3:$G$998,B346)</f>
        <v>0</v>
      </c>
      <c r="T346">
        <f>SUMIFS(数据!$D$3:$D$998,数据!$E$3:$E$998,"仔鱼",数据!$F$3:$F$998,A346,数据!$G$3:$G$998,B346)</f>
        <v>0</v>
      </c>
      <c r="U346">
        <f>SUMIFS(数据!$D$3:$D$998,数据!$E$3:$E$998,"稚鱼",数据!$F$3:$F$998,A346,数据!$G$3:$G$998,B346)</f>
        <v>0</v>
      </c>
    </row>
    <row r="347" spans="1:21" ht="19.9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45" t="str">
        <f t="shared" si="10"/>
        <v/>
      </c>
      <c r="M347" s="45" t="str">
        <f t="shared" si="11"/>
        <v/>
      </c>
      <c r="N347" s="39" t="str">
        <f>IF(AND(A347="",B347=""),"",COUNTIFS(数据!$E$3:$E$998,"&lt;&gt;前期仔鱼",数据!$E$3:$E$998,"&lt;&gt;仔鱼",数据!$E$3:$E$998,"&lt;&gt;稚鱼",数据!$F$3:$F$998,A347,数据!$G$3:$G$998,B347))</f>
        <v/>
      </c>
      <c r="O347" s="39" t="str">
        <f>IF(AND(A347="",B347=""),"",COUNTIFS(数据!$E$3:$E$998,"&lt;&gt;鱼卵",数据!$E$3:$E$998,"&lt;&gt;死卵",数据!$F$3:$F$998,A347,数据!$G$3:$G$998,B347))</f>
        <v/>
      </c>
      <c r="P347" s="31"/>
      <c r="Q347">
        <f>SUMIFS(数据!$D$3:$D$998,数据!$E$3:$E$998,"鱼卵",数据!$F$3:$F$998,A347,数据!$G$3:$G$998,B347)</f>
        <v>0</v>
      </c>
      <c r="R347">
        <f>SUMIFS(数据!$D$3:$D$998,数据!$E$3:$E$998,"死卵",数据!$F$3:$F$998,A347,数据!$G$3:$G$998,B347)</f>
        <v>0</v>
      </c>
      <c r="S347">
        <f>SUMIFS(数据!$D$3:$D$998,数据!$E$3:$E$998,"前期仔鱼",数据!$F$3:$F$998,A347,数据!$G$3:$G$998,B347)</f>
        <v>0</v>
      </c>
      <c r="T347">
        <f>SUMIFS(数据!$D$3:$D$998,数据!$E$3:$E$998,"仔鱼",数据!$F$3:$F$998,A347,数据!$G$3:$G$998,B347)</f>
        <v>0</v>
      </c>
      <c r="U347">
        <f>SUMIFS(数据!$D$3:$D$998,数据!$E$3:$E$998,"稚鱼",数据!$F$3:$F$998,A347,数据!$G$3:$G$998,B347)</f>
        <v>0</v>
      </c>
    </row>
    <row r="348" spans="1:21" ht="19.9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45" t="str">
        <f t="shared" si="10"/>
        <v/>
      </c>
      <c r="M348" s="45" t="str">
        <f t="shared" si="11"/>
        <v/>
      </c>
      <c r="N348" s="39" t="str">
        <f>IF(AND(A348="",B348=""),"",COUNTIFS(数据!$E$3:$E$998,"&lt;&gt;前期仔鱼",数据!$E$3:$E$998,"&lt;&gt;仔鱼",数据!$E$3:$E$998,"&lt;&gt;稚鱼",数据!$F$3:$F$998,A348,数据!$G$3:$G$998,B348))</f>
        <v/>
      </c>
      <c r="O348" s="39" t="str">
        <f>IF(AND(A348="",B348=""),"",COUNTIFS(数据!$E$3:$E$998,"&lt;&gt;鱼卵",数据!$E$3:$E$998,"&lt;&gt;死卵",数据!$F$3:$F$998,A348,数据!$G$3:$G$998,B348))</f>
        <v/>
      </c>
      <c r="P348" s="31"/>
      <c r="Q348">
        <f>SUMIFS(数据!$D$3:$D$998,数据!$E$3:$E$998,"鱼卵",数据!$F$3:$F$998,A348,数据!$G$3:$G$998,B348)</f>
        <v>0</v>
      </c>
      <c r="R348">
        <f>SUMIFS(数据!$D$3:$D$998,数据!$E$3:$E$998,"死卵",数据!$F$3:$F$998,A348,数据!$G$3:$G$998,B348)</f>
        <v>0</v>
      </c>
      <c r="S348">
        <f>SUMIFS(数据!$D$3:$D$998,数据!$E$3:$E$998,"前期仔鱼",数据!$F$3:$F$998,A348,数据!$G$3:$G$998,B348)</f>
        <v>0</v>
      </c>
      <c r="T348">
        <f>SUMIFS(数据!$D$3:$D$998,数据!$E$3:$E$998,"仔鱼",数据!$F$3:$F$998,A348,数据!$G$3:$G$998,B348)</f>
        <v>0</v>
      </c>
      <c r="U348">
        <f>SUMIFS(数据!$D$3:$D$998,数据!$E$3:$E$998,"稚鱼",数据!$F$3:$F$998,A348,数据!$G$3:$G$998,B348)</f>
        <v>0</v>
      </c>
    </row>
    <row r="349" spans="1:21" ht="19.9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45" t="str">
        <f t="shared" si="10"/>
        <v/>
      </c>
      <c r="M349" s="45" t="str">
        <f t="shared" si="11"/>
        <v/>
      </c>
      <c r="N349" s="39" t="str">
        <f>IF(AND(A349="",B349=""),"",COUNTIFS(数据!$E$3:$E$998,"&lt;&gt;前期仔鱼",数据!$E$3:$E$998,"&lt;&gt;仔鱼",数据!$E$3:$E$998,"&lt;&gt;稚鱼",数据!$F$3:$F$998,A349,数据!$G$3:$G$998,B349))</f>
        <v/>
      </c>
      <c r="O349" s="39" t="str">
        <f>IF(AND(A349="",B349=""),"",COUNTIFS(数据!$E$3:$E$998,"&lt;&gt;鱼卵",数据!$E$3:$E$998,"&lt;&gt;死卵",数据!$F$3:$F$998,A349,数据!$G$3:$G$998,B349))</f>
        <v/>
      </c>
      <c r="P349" s="31"/>
      <c r="Q349">
        <f>SUMIFS(数据!$D$3:$D$998,数据!$E$3:$E$998,"鱼卵",数据!$F$3:$F$998,A349,数据!$G$3:$G$998,B349)</f>
        <v>0</v>
      </c>
      <c r="R349">
        <f>SUMIFS(数据!$D$3:$D$998,数据!$E$3:$E$998,"死卵",数据!$F$3:$F$998,A349,数据!$G$3:$G$998,B349)</f>
        <v>0</v>
      </c>
      <c r="S349">
        <f>SUMIFS(数据!$D$3:$D$998,数据!$E$3:$E$998,"前期仔鱼",数据!$F$3:$F$998,A349,数据!$G$3:$G$998,B349)</f>
        <v>0</v>
      </c>
      <c r="T349">
        <f>SUMIFS(数据!$D$3:$D$998,数据!$E$3:$E$998,"仔鱼",数据!$F$3:$F$998,A349,数据!$G$3:$G$998,B349)</f>
        <v>0</v>
      </c>
      <c r="U349">
        <f>SUMIFS(数据!$D$3:$D$998,数据!$E$3:$E$998,"稚鱼",数据!$F$3:$F$998,A349,数据!$G$3:$G$998,B349)</f>
        <v>0</v>
      </c>
    </row>
    <row r="350" spans="1:21" ht="19.9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45" t="str">
        <f t="shared" si="10"/>
        <v/>
      </c>
      <c r="M350" s="45" t="str">
        <f t="shared" si="11"/>
        <v/>
      </c>
      <c r="N350" s="39" t="str">
        <f>IF(AND(A350="",B350=""),"",COUNTIFS(数据!$E$3:$E$998,"&lt;&gt;前期仔鱼",数据!$E$3:$E$998,"&lt;&gt;仔鱼",数据!$E$3:$E$998,"&lt;&gt;稚鱼",数据!$F$3:$F$998,A350,数据!$G$3:$G$998,B350))</f>
        <v/>
      </c>
      <c r="O350" s="39" t="str">
        <f>IF(AND(A350="",B350=""),"",COUNTIFS(数据!$E$3:$E$998,"&lt;&gt;鱼卵",数据!$E$3:$E$998,"&lt;&gt;死卵",数据!$F$3:$F$998,A350,数据!$G$3:$G$998,B350))</f>
        <v/>
      </c>
      <c r="P350" s="31"/>
      <c r="Q350">
        <f>SUMIFS(数据!$D$3:$D$998,数据!$E$3:$E$998,"鱼卵",数据!$F$3:$F$998,A350,数据!$G$3:$G$998,B350)</f>
        <v>0</v>
      </c>
      <c r="R350">
        <f>SUMIFS(数据!$D$3:$D$998,数据!$E$3:$E$998,"死卵",数据!$F$3:$F$998,A350,数据!$G$3:$G$998,B350)</f>
        <v>0</v>
      </c>
      <c r="S350">
        <f>SUMIFS(数据!$D$3:$D$998,数据!$E$3:$E$998,"前期仔鱼",数据!$F$3:$F$998,A350,数据!$G$3:$G$998,B350)</f>
        <v>0</v>
      </c>
      <c r="T350">
        <f>SUMIFS(数据!$D$3:$D$998,数据!$E$3:$E$998,"仔鱼",数据!$F$3:$F$998,A350,数据!$G$3:$G$998,B350)</f>
        <v>0</v>
      </c>
      <c r="U350">
        <f>SUMIFS(数据!$D$3:$D$998,数据!$E$3:$E$998,"稚鱼",数据!$F$3:$F$998,A350,数据!$G$3:$G$998,B350)</f>
        <v>0</v>
      </c>
    </row>
    <row r="351" spans="1:21" ht="19.9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45" t="str">
        <f t="shared" si="10"/>
        <v/>
      </c>
      <c r="M351" s="45" t="str">
        <f t="shared" si="11"/>
        <v/>
      </c>
      <c r="N351" s="39" t="str">
        <f>IF(AND(A351="",B351=""),"",COUNTIFS(数据!$E$3:$E$998,"&lt;&gt;前期仔鱼",数据!$E$3:$E$998,"&lt;&gt;仔鱼",数据!$E$3:$E$998,"&lt;&gt;稚鱼",数据!$F$3:$F$998,A351,数据!$G$3:$G$998,B351))</f>
        <v/>
      </c>
      <c r="O351" s="39" t="str">
        <f>IF(AND(A351="",B351=""),"",COUNTIFS(数据!$E$3:$E$998,"&lt;&gt;鱼卵",数据!$E$3:$E$998,"&lt;&gt;死卵",数据!$F$3:$F$998,A351,数据!$G$3:$G$998,B351))</f>
        <v/>
      </c>
      <c r="P351" s="31"/>
      <c r="Q351">
        <f>SUMIFS(数据!$D$3:$D$998,数据!$E$3:$E$998,"鱼卵",数据!$F$3:$F$998,A351,数据!$G$3:$G$998,B351)</f>
        <v>0</v>
      </c>
      <c r="R351">
        <f>SUMIFS(数据!$D$3:$D$998,数据!$E$3:$E$998,"死卵",数据!$F$3:$F$998,A351,数据!$G$3:$G$998,B351)</f>
        <v>0</v>
      </c>
      <c r="S351">
        <f>SUMIFS(数据!$D$3:$D$998,数据!$E$3:$E$998,"前期仔鱼",数据!$F$3:$F$998,A351,数据!$G$3:$G$998,B351)</f>
        <v>0</v>
      </c>
      <c r="T351">
        <f>SUMIFS(数据!$D$3:$D$998,数据!$E$3:$E$998,"仔鱼",数据!$F$3:$F$998,A351,数据!$G$3:$G$998,B351)</f>
        <v>0</v>
      </c>
      <c r="U351">
        <f>SUMIFS(数据!$D$3:$D$998,数据!$E$3:$E$998,"稚鱼",数据!$F$3:$F$998,A351,数据!$G$3:$G$998,B351)</f>
        <v>0</v>
      </c>
    </row>
    <row r="352" spans="1:21" ht="19.9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45" t="str">
        <f t="shared" si="10"/>
        <v/>
      </c>
      <c r="M352" s="45" t="str">
        <f t="shared" si="11"/>
        <v/>
      </c>
      <c r="N352" s="39" t="str">
        <f>IF(AND(A352="",B352=""),"",COUNTIFS(数据!$E$3:$E$998,"&lt;&gt;前期仔鱼",数据!$E$3:$E$998,"&lt;&gt;仔鱼",数据!$E$3:$E$998,"&lt;&gt;稚鱼",数据!$F$3:$F$998,A352,数据!$G$3:$G$998,B352))</f>
        <v/>
      </c>
      <c r="O352" s="39" t="str">
        <f>IF(AND(A352="",B352=""),"",COUNTIFS(数据!$E$3:$E$998,"&lt;&gt;鱼卵",数据!$E$3:$E$998,"&lt;&gt;死卵",数据!$F$3:$F$998,A352,数据!$G$3:$G$998,B352))</f>
        <v/>
      </c>
      <c r="P352" s="31"/>
      <c r="Q352">
        <f>SUMIFS(数据!$D$3:$D$998,数据!$E$3:$E$998,"鱼卵",数据!$F$3:$F$998,A352,数据!$G$3:$G$998,B352)</f>
        <v>0</v>
      </c>
      <c r="R352">
        <f>SUMIFS(数据!$D$3:$D$998,数据!$E$3:$E$998,"死卵",数据!$F$3:$F$998,A352,数据!$G$3:$G$998,B352)</f>
        <v>0</v>
      </c>
      <c r="S352">
        <f>SUMIFS(数据!$D$3:$D$998,数据!$E$3:$E$998,"前期仔鱼",数据!$F$3:$F$998,A352,数据!$G$3:$G$998,B352)</f>
        <v>0</v>
      </c>
      <c r="T352">
        <f>SUMIFS(数据!$D$3:$D$998,数据!$E$3:$E$998,"仔鱼",数据!$F$3:$F$998,A352,数据!$G$3:$G$998,B352)</f>
        <v>0</v>
      </c>
      <c r="U352">
        <f>SUMIFS(数据!$D$3:$D$998,数据!$E$3:$E$998,"稚鱼",数据!$F$3:$F$998,A352,数据!$G$3:$G$998,B352)</f>
        <v>0</v>
      </c>
    </row>
    <row r="353" spans="1:21" ht="19.9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45" t="str">
        <f t="shared" si="10"/>
        <v/>
      </c>
      <c r="M353" s="45" t="str">
        <f t="shared" si="11"/>
        <v/>
      </c>
      <c r="N353" s="39" t="str">
        <f>IF(AND(A353="",B353=""),"",COUNTIFS(数据!$E$3:$E$998,"&lt;&gt;前期仔鱼",数据!$E$3:$E$998,"&lt;&gt;仔鱼",数据!$E$3:$E$998,"&lt;&gt;稚鱼",数据!$F$3:$F$998,A353,数据!$G$3:$G$998,B353))</f>
        <v/>
      </c>
      <c r="O353" s="39" t="str">
        <f>IF(AND(A353="",B353=""),"",COUNTIFS(数据!$E$3:$E$998,"&lt;&gt;鱼卵",数据!$E$3:$E$998,"&lt;&gt;死卵",数据!$F$3:$F$998,A353,数据!$G$3:$G$998,B353))</f>
        <v/>
      </c>
      <c r="P353" s="31"/>
      <c r="Q353">
        <f>SUMIFS(数据!$D$3:$D$998,数据!$E$3:$E$998,"鱼卵",数据!$F$3:$F$998,A353,数据!$G$3:$G$998,B353)</f>
        <v>0</v>
      </c>
      <c r="R353">
        <f>SUMIFS(数据!$D$3:$D$998,数据!$E$3:$E$998,"死卵",数据!$F$3:$F$998,A353,数据!$G$3:$G$998,B353)</f>
        <v>0</v>
      </c>
      <c r="S353">
        <f>SUMIFS(数据!$D$3:$D$998,数据!$E$3:$E$998,"前期仔鱼",数据!$F$3:$F$998,A353,数据!$G$3:$G$998,B353)</f>
        <v>0</v>
      </c>
      <c r="T353">
        <f>SUMIFS(数据!$D$3:$D$998,数据!$E$3:$E$998,"仔鱼",数据!$F$3:$F$998,A353,数据!$G$3:$G$998,B353)</f>
        <v>0</v>
      </c>
      <c r="U353">
        <f>SUMIFS(数据!$D$3:$D$998,数据!$E$3:$E$998,"稚鱼",数据!$F$3:$F$998,A353,数据!$G$3:$G$998,B353)</f>
        <v>0</v>
      </c>
    </row>
    <row r="354" spans="1:21" ht="19.9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45" t="str">
        <f t="shared" si="10"/>
        <v/>
      </c>
      <c r="M354" s="45" t="str">
        <f t="shared" si="11"/>
        <v/>
      </c>
      <c r="N354" s="39" t="str">
        <f>IF(AND(A354="",B354=""),"",COUNTIFS(数据!$E$3:$E$998,"&lt;&gt;前期仔鱼",数据!$E$3:$E$998,"&lt;&gt;仔鱼",数据!$E$3:$E$998,"&lt;&gt;稚鱼",数据!$F$3:$F$998,A354,数据!$G$3:$G$998,B354))</f>
        <v/>
      </c>
      <c r="O354" s="39" t="str">
        <f>IF(AND(A354="",B354=""),"",COUNTIFS(数据!$E$3:$E$998,"&lt;&gt;鱼卵",数据!$E$3:$E$998,"&lt;&gt;死卵",数据!$F$3:$F$998,A354,数据!$G$3:$G$998,B354))</f>
        <v/>
      </c>
      <c r="P354" s="31"/>
      <c r="Q354">
        <f>SUMIFS(数据!$D$3:$D$998,数据!$E$3:$E$998,"鱼卵",数据!$F$3:$F$998,A354,数据!$G$3:$G$998,B354)</f>
        <v>0</v>
      </c>
      <c r="R354">
        <f>SUMIFS(数据!$D$3:$D$998,数据!$E$3:$E$998,"死卵",数据!$F$3:$F$998,A354,数据!$G$3:$G$998,B354)</f>
        <v>0</v>
      </c>
      <c r="S354">
        <f>SUMIFS(数据!$D$3:$D$998,数据!$E$3:$E$998,"前期仔鱼",数据!$F$3:$F$998,A354,数据!$G$3:$G$998,B354)</f>
        <v>0</v>
      </c>
      <c r="T354">
        <f>SUMIFS(数据!$D$3:$D$998,数据!$E$3:$E$998,"仔鱼",数据!$F$3:$F$998,A354,数据!$G$3:$G$998,B354)</f>
        <v>0</v>
      </c>
      <c r="U354">
        <f>SUMIFS(数据!$D$3:$D$998,数据!$E$3:$E$998,"稚鱼",数据!$F$3:$F$998,A354,数据!$G$3:$G$998,B354)</f>
        <v>0</v>
      </c>
    </row>
    <row r="355" spans="1:21" ht="19.9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45" t="str">
        <f t="shared" si="10"/>
        <v/>
      </c>
      <c r="M355" s="45" t="str">
        <f t="shared" si="11"/>
        <v/>
      </c>
      <c r="N355" s="39" t="str">
        <f>IF(AND(A355="",B355=""),"",COUNTIFS(数据!$E$3:$E$998,"&lt;&gt;前期仔鱼",数据!$E$3:$E$998,"&lt;&gt;仔鱼",数据!$E$3:$E$998,"&lt;&gt;稚鱼",数据!$F$3:$F$998,A355,数据!$G$3:$G$998,B355))</f>
        <v/>
      </c>
      <c r="O355" s="39" t="str">
        <f>IF(AND(A355="",B355=""),"",COUNTIFS(数据!$E$3:$E$998,"&lt;&gt;鱼卵",数据!$E$3:$E$998,"&lt;&gt;死卵",数据!$F$3:$F$998,A355,数据!$G$3:$G$998,B355))</f>
        <v/>
      </c>
      <c r="P355" s="31"/>
      <c r="Q355">
        <f>SUMIFS(数据!$D$3:$D$998,数据!$E$3:$E$998,"鱼卵",数据!$F$3:$F$998,A355,数据!$G$3:$G$998,B355)</f>
        <v>0</v>
      </c>
      <c r="R355">
        <f>SUMIFS(数据!$D$3:$D$998,数据!$E$3:$E$998,"死卵",数据!$F$3:$F$998,A355,数据!$G$3:$G$998,B355)</f>
        <v>0</v>
      </c>
      <c r="S355">
        <f>SUMIFS(数据!$D$3:$D$998,数据!$E$3:$E$998,"前期仔鱼",数据!$F$3:$F$998,A355,数据!$G$3:$G$998,B355)</f>
        <v>0</v>
      </c>
      <c r="T355">
        <f>SUMIFS(数据!$D$3:$D$998,数据!$E$3:$E$998,"仔鱼",数据!$F$3:$F$998,A355,数据!$G$3:$G$998,B355)</f>
        <v>0</v>
      </c>
      <c r="U355">
        <f>SUMIFS(数据!$D$3:$D$998,数据!$E$3:$E$998,"稚鱼",数据!$F$3:$F$998,A355,数据!$G$3:$G$998,B355)</f>
        <v>0</v>
      </c>
    </row>
    <row r="356" spans="1:21" ht="19.9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45" t="str">
        <f t="shared" si="10"/>
        <v/>
      </c>
      <c r="M356" s="45" t="str">
        <f t="shared" si="11"/>
        <v/>
      </c>
      <c r="N356" s="39" t="str">
        <f>IF(AND(A356="",B356=""),"",COUNTIFS(数据!$E$3:$E$998,"&lt;&gt;前期仔鱼",数据!$E$3:$E$998,"&lt;&gt;仔鱼",数据!$E$3:$E$998,"&lt;&gt;稚鱼",数据!$F$3:$F$998,A356,数据!$G$3:$G$998,B356))</f>
        <v/>
      </c>
      <c r="O356" s="39" t="str">
        <f>IF(AND(A356="",B356=""),"",COUNTIFS(数据!$E$3:$E$998,"&lt;&gt;鱼卵",数据!$E$3:$E$998,"&lt;&gt;死卵",数据!$F$3:$F$998,A356,数据!$G$3:$G$998,B356))</f>
        <v/>
      </c>
      <c r="P356" s="31"/>
      <c r="Q356">
        <f>SUMIFS(数据!$D$3:$D$998,数据!$E$3:$E$998,"鱼卵",数据!$F$3:$F$998,A356,数据!$G$3:$G$998,B356)</f>
        <v>0</v>
      </c>
      <c r="R356">
        <f>SUMIFS(数据!$D$3:$D$998,数据!$E$3:$E$998,"死卵",数据!$F$3:$F$998,A356,数据!$G$3:$G$998,B356)</f>
        <v>0</v>
      </c>
      <c r="S356">
        <f>SUMIFS(数据!$D$3:$D$998,数据!$E$3:$E$998,"前期仔鱼",数据!$F$3:$F$998,A356,数据!$G$3:$G$998,B356)</f>
        <v>0</v>
      </c>
      <c r="T356">
        <f>SUMIFS(数据!$D$3:$D$998,数据!$E$3:$E$998,"仔鱼",数据!$F$3:$F$998,A356,数据!$G$3:$G$998,B356)</f>
        <v>0</v>
      </c>
      <c r="U356">
        <f>SUMIFS(数据!$D$3:$D$998,数据!$E$3:$E$998,"稚鱼",数据!$F$3:$F$998,A356,数据!$G$3:$G$998,B356)</f>
        <v>0</v>
      </c>
    </row>
    <row r="357" spans="1:21" ht="19.9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45" t="str">
        <f t="shared" si="10"/>
        <v/>
      </c>
      <c r="M357" s="45" t="str">
        <f t="shared" si="11"/>
        <v/>
      </c>
      <c r="N357" s="39" t="str">
        <f>IF(AND(A357="",B357=""),"",COUNTIFS(数据!$E$3:$E$998,"&lt;&gt;前期仔鱼",数据!$E$3:$E$998,"&lt;&gt;仔鱼",数据!$E$3:$E$998,"&lt;&gt;稚鱼",数据!$F$3:$F$998,A357,数据!$G$3:$G$998,B357))</f>
        <v/>
      </c>
      <c r="O357" s="39" t="str">
        <f>IF(AND(A357="",B357=""),"",COUNTIFS(数据!$E$3:$E$998,"&lt;&gt;鱼卵",数据!$E$3:$E$998,"&lt;&gt;死卵",数据!$F$3:$F$998,A357,数据!$G$3:$G$998,B357))</f>
        <v/>
      </c>
      <c r="P357" s="31"/>
      <c r="Q357">
        <f>SUMIFS(数据!$D$3:$D$998,数据!$E$3:$E$998,"鱼卵",数据!$F$3:$F$998,A357,数据!$G$3:$G$998,B357)</f>
        <v>0</v>
      </c>
      <c r="R357">
        <f>SUMIFS(数据!$D$3:$D$998,数据!$E$3:$E$998,"死卵",数据!$F$3:$F$998,A357,数据!$G$3:$G$998,B357)</f>
        <v>0</v>
      </c>
      <c r="S357">
        <f>SUMIFS(数据!$D$3:$D$998,数据!$E$3:$E$998,"前期仔鱼",数据!$F$3:$F$998,A357,数据!$G$3:$G$998,B357)</f>
        <v>0</v>
      </c>
      <c r="T357">
        <f>SUMIFS(数据!$D$3:$D$998,数据!$E$3:$E$998,"仔鱼",数据!$F$3:$F$998,A357,数据!$G$3:$G$998,B357)</f>
        <v>0</v>
      </c>
      <c r="U357">
        <f>SUMIFS(数据!$D$3:$D$998,数据!$E$3:$E$998,"稚鱼",数据!$F$3:$F$998,A357,数据!$G$3:$G$998,B357)</f>
        <v>0</v>
      </c>
    </row>
    <row r="358" spans="1:21" ht="19.9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45" t="str">
        <f t="shared" si="10"/>
        <v/>
      </c>
      <c r="M358" s="45" t="str">
        <f t="shared" si="11"/>
        <v/>
      </c>
      <c r="N358" s="39" t="str">
        <f>IF(AND(A358="",B358=""),"",COUNTIFS(数据!$E$3:$E$998,"&lt;&gt;前期仔鱼",数据!$E$3:$E$998,"&lt;&gt;仔鱼",数据!$E$3:$E$998,"&lt;&gt;稚鱼",数据!$F$3:$F$998,A358,数据!$G$3:$G$998,B358))</f>
        <v/>
      </c>
      <c r="O358" s="39" t="str">
        <f>IF(AND(A358="",B358=""),"",COUNTIFS(数据!$E$3:$E$998,"&lt;&gt;鱼卵",数据!$E$3:$E$998,"&lt;&gt;死卵",数据!$F$3:$F$998,A358,数据!$G$3:$G$998,B358))</f>
        <v/>
      </c>
      <c r="P358" s="31"/>
      <c r="Q358">
        <f>SUMIFS(数据!$D$3:$D$998,数据!$E$3:$E$998,"鱼卵",数据!$F$3:$F$998,A358,数据!$G$3:$G$998,B358)</f>
        <v>0</v>
      </c>
      <c r="R358">
        <f>SUMIFS(数据!$D$3:$D$998,数据!$E$3:$E$998,"死卵",数据!$F$3:$F$998,A358,数据!$G$3:$G$998,B358)</f>
        <v>0</v>
      </c>
      <c r="S358">
        <f>SUMIFS(数据!$D$3:$D$998,数据!$E$3:$E$998,"前期仔鱼",数据!$F$3:$F$998,A358,数据!$G$3:$G$998,B358)</f>
        <v>0</v>
      </c>
      <c r="T358">
        <f>SUMIFS(数据!$D$3:$D$998,数据!$E$3:$E$998,"仔鱼",数据!$F$3:$F$998,A358,数据!$G$3:$G$998,B358)</f>
        <v>0</v>
      </c>
      <c r="U358">
        <f>SUMIFS(数据!$D$3:$D$998,数据!$E$3:$E$998,"稚鱼",数据!$F$3:$F$998,A358,数据!$G$3:$G$998,B358)</f>
        <v>0</v>
      </c>
    </row>
    <row r="359" spans="1:21" ht="19.9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45" t="str">
        <f t="shared" si="10"/>
        <v/>
      </c>
      <c r="M359" s="45" t="str">
        <f t="shared" si="11"/>
        <v/>
      </c>
      <c r="N359" s="39" t="str">
        <f>IF(AND(A359="",B359=""),"",COUNTIFS(数据!$E$3:$E$998,"&lt;&gt;前期仔鱼",数据!$E$3:$E$998,"&lt;&gt;仔鱼",数据!$E$3:$E$998,"&lt;&gt;稚鱼",数据!$F$3:$F$998,A359,数据!$G$3:$G$998,B359))</f>
        <v/>
      </c>
      <c r="O359" s="39" t="str">
        <f>IF(AND(A359="",B359=""),"",COUNTIFS(数据!$E$3:$E$998,"&lt;&gt;鱼卵",数据!$E$3:$E$998,"&lt;&gt;死卵",数据!$F$3:$F$998,A359,数据!$G$3:$G$998,B359))</f>
        <v/>
      </c>
      <c r="P359" s="31"/>
      <c r="Q359">
        <f>SUMIFS(数据!$D$3:$D$998,数据!$E$3:$E$998,"鱼卵",数据!$F$3:$F$998,A359,数据!$G$3:$G$998,B359)</f>
        <v>0</v>
      </c>
      <c r="R359">
        <f>SUMIFS(数据!$D$3:$D$998,数据!$E$3:$E$998,"死卵",数据!$F$3:$F$998,A359,数据!$G$3:$G$998,B359)</f>
        <v>0</v>
      </c>
      <c r="S359">
        <f>SUMIFS(数据!$D$3:$D$998,数据!$E$3:$E$998,"前期仔鱼",数据!$F$3:$F$998,A359,数据!$G$3:$G$998,B359)</f>
        <v>0</v>
      </c>
      <c r="T359">
        <f>SUMIFS(数据!$D$3:$D$998,数据!$E$3:$E$998,"仔鱼",数据!$F$3:$F$998,A359,数据!$G$3:$G$998,B359)</f>
        <v>0</v>
      </c>
      <c r="U359">
        <f>SUMIFS(数据!$D$3:$D$998,数据!$E$3:$E$998,"稚鱼",数据!$F$3:$F$998,A359,数据!$G$3:$G$998,B359)</f>
        <v>0</v>
      </c>
    </row>
    <row r="360" spans="1:21" ht="19.9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45" t="str">
        <f t="shared" si="10"/>
        <v/>
      </c>
      <c r="M360" s="45" t="str">
        <f t="shared" si="11"/>
        <v/>
      </c>
      <c r="N360" s="39" t="str">
        <f>IF(AND(A360="",B360=""),"",COUNTIFS(数据!$E$3:$E$998,"&lt;&gt;前期仔鱼",数据!$E$3:$E$998,"&lt;&gt;仔鱼",数据!$E$3:$E$998,"&lt;&gt;稚鱼",数据!$F$3:$F$998,A360,数据!$G$3:$G$998,B360))</f>
        <v/>
      </c>
      <c r="O360" s="39" t="str">
        <f>IF(AND(A360="",B360=""),"",COUNTIFS(数据!$E$3:$E$998,"&lt;&gt;鱼卵",数据!$E$3:$E$998,"&lt;&gt;死卵",数据!$F$3:$F$998,A360,数据!$G$3:$G$998,B360))</f>
        <v/>
      </c>
      <c r="P360" s="31"/>
      <c r="Q360">
        <f>SUMIFS(数据!$D$3:$D$998,数据!$E$3:$E$998,"鱼卵",数据!$F$3:$F$998,A360,数据!$G$3:$G$998,B360)</f>
        <v>0</v>
      </c>
      <c r="R360">
        <f>SUMIFS(数据!$D$3:$D$998,数据!$E$3:$E$998,"死卵",数据!$F$3:$F$998,A360,数据!$G$3:$G$998,B360)</f>
        <v>0</v>
      </c>
      <c r="S360">
        <f>SUMIFS(数据!$D$3:$D$998,数据!$E$3:$E$998,"前期仔鱼",数据!$F$3:$F$998,A360,数据!$G$3:$G$998,B360)</f>
        <v>0</v>
      </c>
      <c r="T360">
        <f>SUMIFS(数据!$D$3:$D$998,数据!$E$3:$E$998,"仔鱼",数据!$F$3:$F$998,A360,数据!$G$3:$G$998,B360)</f>
        <v>0</v>
      </c>
      <c r="U360">
        <f>SUMIFS(数据!$D$3:$D$998,数据!$E$3:$E$998,"稚鱼",数据!$F$3:$F$998,A360,数据!$G$3:$G$998,B360)</f>
        <v>0</v>
      </c>
    </row>
    <row r="361" spans="1:21" ht="19.9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45" t="str">
        <f t="shared" si="10"/>
        <v/>
      </c>
      <c r="M361" s="45" t="str">
        <f t="shared" si="11"/>
        <v/>
      </c>
      <c r="N361" s="39" t="str">
        <f>IF(AND(A361="",B361=""),"",COUNTIFS(数据!$E$3:$E$998,"&lt;&gt;前期仔鱼",数据!$E$3:$E$998,"&lt;&gt;仔鱼",数据!$E$3:$E$998,"&lt;&gt;稚鱼",数据!$F$3:$F$998,A361,数据!$G$3:$G$998,B361))</f>
        <v/>
      </c>
      <c r="O361" s="39" t="str">
        <f>IF(AND(A361="",B361=""),"",COUNTIFS(数据!$E$3:$E$998,"&lt;&gt;鱼卵",数据!$E$3:$E$998,"&lt;&gt;死卵",数据!$F$3:$F$998,A361,数据!$G$3:$G$998,B361))</f>
        <v/>
      </c>
      <c r="P361" s="31"/>
      <c r="Q361">
        <f>SUMIFS(数据!$D$3:$D$998,数据!$E$3:$E$998,"鱼卵",数据!$F$3:$F$998,A361,数据!$G$3:$G$998,B361)</f>
        <v>0</v>
      </c>
      <c r="R361">
        <f>SUMIFS(数据!$D$3:$D$998,数据!$E$3:$E$998,"死卵",数据!$F$3:$F$998,A361,数据!$G$3:$G$998,B361)</f>
        <v>0</v>
      </c>
      <c r="S361">
        <f>SUMIFS(数据!$D$3:$D$998,数据!$E$3:$E$998,"前期仔鱼",数据!$F$3:$F$998,A361,数据!$G$3:$G$998,B361)</f>
        <v>0</v>
      </c>
      <c r="T361">
        <f>SUMIFS(数据!$D$3:$D$998,数据!$E$3:$E$998,"仔鱼",数据!$F$3:$F$998,A361,数据!$G$3:$G$998,B361)</f>
        <v>0</v>
      </c>
      <c r="U361">
        <f>SUMIFS(数据!$D$3:$D$998,数据!$E$3:$E$998,"稚鱼",数据!$F$3:$F$998,A361,数据!$G$3:$G$998,B361)</f>
        <v>0</v>
      </c>
    </row>
    <row r="362" spans="1:21" ht="19.9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45" t="str">
        <f t="shared" si="10"/>
        <v/>
      </c>
      <c r="M362" s="45" t="str">
        <f t="shared" si="11"/>
        <v/>
      </c>
      <c r="N362" s="39" t="str">
        <f>IF(AND(A362="",B362=""),"",COUNTIFS(数据!$E$3:$E$998,"&lt;&gt;前期仔鱼",数据!$E$3:$E$998,"&lt;&gt;仔鱼",数据!$E$3:$E$998,"&lt;&gt;稚鱼",数据!$F$3:$F$998,A362,数据!$G$3:$G$998,B362))</f>
        <v/>
      </c>
      <c r="O362" s="39" t="str">
        <f>IF(AND(A362="",B362=""),"",COUNTIFS(数据!$E$3:$E$998,"&lt;&gt;鱼卵",数据!$E$3:$E$998,"&lt;&gt;死卵",数据!$F$3:$F$998,A362,数据!$G$3:$G$998,B362))</f>
        <v/>
      </c>
      <c r="P362" s="31"/>
      <c r="Q362">
        <f>SUMIFS(数据!$D$3:$D$998,数据!$E$3:$E$998,"鱼卵",数据!$F$3:$F$998,A362,数据!$G$3:$G$998,B362)</f>
        <v>0</v>
      </c>
      <c r="R362">
        <f>SUMIFS(数据!$D$3:$D$998,数据!$E$3:$E$998,"死卵",数据!$F$3:$F$998,A362,数据!$G$3:$G$998,B362)</f>
        <v>0</v>
      </c>
      <c r="S362">
        <f>SUMIFS(数据!$D$3:$D$998,数据!$E$3:$E$998,"前期仔鱼",数据!$F$3:$F$998,A362,数据!$G$3:$G$998,B362)</f>
        <v>0</v>
      </c>
      <c r="T362">
        <f>SUMIFS(数据!$D$3:$D$998,数据!$E$3:$E$998,"仔鱼",数据!$F$3:$F$998,A362,数据!$G$3:$G$998,B362)</f>
        <v>0</v>
      </c>
      <c r="U362">
        <f>SUMIFS(数据!$D$3:$D$998,数据!$E$3:$E$998,"稚鱼",数据!$F$3:$F$998,A362,数据!$G$3:$G$998,B362)</f>
        <v>0</v>
      </c>
    </row>
    <row r="363" spans="1:21" ht="19.9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45" t="str">
        <f t="shared" si="10"/>
        <v/>
      </c>
      <c r="M363" s="45" t="str">
        <f t="shared" si="11"/>
        <v/>
      </c>
      <c r="N363" s="39" t="str">
        <f>IF(AND(A363="",B363=""),"",COUNTIFS(数据!$E$3:$E$998,"&lt;&gt;前期仔鱼",数据!$E$3:$E$998,"&lt;&gt;仔鱼",数据!$E$3:$E$998,"&lt;&gt;稚鱼",数据!$F$3:$F$998,A363,数据!$G$3:$G$998,B363))</f>
        <v/>
      </c>
      <c r="O363" s="39" t="str">
        <f>IF(AND(A363="",B363=""),"",COUNTIFS(数据!$E$3:$E$998,"&lt;&gt;鱼卵",数据!$E$3:$E$998,"&lt;&gt;死卵",数据!$F$3:$F$998,A363,数据!$G$3:$G$998,B363))</f>
        <v/>
      </c>
      <c r="P363" s="31"/>
      <c r="Q363">
        <f>SUMIFS(数据!$D$3:$D$998,数据!$E$3:$E$998,"鱼卵",数据!$F$3:$F$998,A363,数据!$G$3:$G$998,B363)</f>
        <v>0</v>
      </c>
      <c r="R363">
        <f>SUMIFS(数据!$D$3:$D$998,数据!$E$3:$E$998,"死卵",数据!$F$3:$F$998,A363,数据!$G$3:$G$998,B363)</f>
        <v>0</v>
      </c>
      <c r="S363">
        <f>SUMIFS(数据!$D$3:$D$998,数据!$E$3:$E$998,"前期仔鱼",数据!$F$3:$F$998,A363,数据!$G$3:$G$998,B363)</f>
        <v>0</v>
      </c>
      <c r="T363">
        <f>SUMIFS(数据!$D$3:$D$998,数据!$E$3:$E$998,"仔鱼",数据!$F$3:$F$998,A363,数据!$G$3:$G$998,B363)</f>
        <v>0</v>
      </c>
      <c r="U363">
        <f>SUMIFS(数据!$D$3:$D$998,数据!$E$3:$E$998,"稚鱼",数据!$F$3:$F$998,A363,数据!$G$3:$G$998,B363)</f>
        <v>0</v>
      </c>
    </row>
    <row r="364" spans="1:21" ht="19.9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45" t="str">
        <f t="shared" si="10"/>
        <v/>
      </c>
      <c r="M364" s="45" t="str">
        <f t="shared" si="11"/>
        <v/>
      </c>
      <c r="N364" s="39" t="str">
        <f>IF(AND(A364="",B364=""),"",COUNTIFS(数据!$E$3:$E$998,"&lt;&gt;前期仔鱼",数据!$E$3:$E$998,"&lt;&gt;仔鱼",数据!$E$3:$E$998,"&lt;&gt;稚鱼",数据!$F$3:$F$998,A364,数据!$G$3:$G$998,B364))</f>
        <v/>
      </c>
      <c r="O364" s="39" t="str">
        <f>IF(AND(A364="",B364=""),"",COUNTIFS(数据!$E$3:$E$998,"&lt;&gt;鱼卵",数据!$E$3:$E$998,"&lt;&gt;死卵",数据!$F$3:$F$998,A364,数据!$G$3:$G$998,B364))</f>
        <v/>
      </c>
      <c r="P364" s="31"/>
      <c r="Q364">
        <f>SUMIFS(数据!$D$3:$D$998,数据!$E$3:$E$998,"鱼卵",数据!$F$3:$F$998,A364,数据!$G$3:$G$998,B364)</f>
        <v>0</v>
      </c>
      <c r="R364">
        <f>SUMIFS(数据!$D$3:$D$998,数据!$E$3:$E$998,"死卵",数据!$F$3:$F$998,A364,数据!$G$3:$G$998,B364)</f>
        <v>0</v>
      </c>
      <c r="S364">
        <f>SUMIFS(数据!$D$3:$D$998,数据!$E$3:$E$998,"前期仔鱼",数据!$F$3:$F$998,A364,数据!$G$3:$G$998,B364)</f>
        <v>0</v>
      </c>
      <c r="T364">
        <f>SUMIFS(数据!$D$3:$D$998,数据!$E$3:$E$998,"仔鱼",数据!$F$3:$F$998,A364,数据!$G$3:$G$998,B364)</f>
        <v>0</v>
      </c>
      <c r="U364">
        <f>SUMIFS(数据!$D$3:$D$998,数据!$E$3:$E$998,"稚鱼",数据!$F$3:$F$998,A364,数据!$G$3:$G$998,B364)</f>
        <v>0</v>
      </c>
    </row>
    <row r="365" spans="1:21" ht="19.9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45" t="str">
        <f t="shared" si="10"/>
        <v/>
      </c>
      <c r="M365" s="45" t="str">
        <f t="shared" si="11"/>
        <v/>
      </c>
      <c r="N365" s="39" t="str">
        <f>IF(AND(A365="",B365=""),"",COUNTIFS(数据!$E$3:$E$998,"&lt;&gt;前期仔鱼",数据!$E$3:$E$998,"&lt;&gt;仔鱼",数据!$E$3:$E$998,"&lt;&gt;稚鱼",数据!$F$3:$F$998,A365,数据!$G$3:$G$998,B365))</f>
        <v/>
      </c>
      <c r="O365" s="39" t="str">
        <f>IF(AND(A365="",B365=""),"",COUNTIFS(数据!$E$3:$E$998,"&lt;&gt;鱼卵",数据!$E$3:$E$998,"&lt;&gt;死卵",数据!$F$3:$F$998,A365,数据!$G$3:$G$998,B365))</f>
        <v/>
      </c>
      <c r="P365" s="31"/>
      <c r="Q365">
        <f>SUMIFS(数据!$D$3:$D$998,数据!$E$3:$E$998,"鱼卵",数据!$F$3:$F$998,A365,数据!$G$3:$G$998,B365)</f>
        <v>0</v>
      </c>
      <c r="R365">
        <f>SUMIFS(数据!$D$3:$D$998,数据!$E$3:$E$998,"死卵",数据!$F$3:$F$998,A365,数据!$G$3:$G$998,B365)</f>
        <v>0</v>
      </c>
      <c r="S365">
        <f>SUMIFS(数据!$D$3:$D$998,数据!$E$3:$E$998,"前期仔鱼",数据!$F$3:$F$998,A365,数据!$G$3:$G$998,B365)</f>
        <v>0</v>
      </c>
      <c r="T365">
        <f>SUMIFS(数据!$D$3:$D$998,数据!$E$3:$E$998,"仔鱼",数据!$F$3:$F$998,A365,数据!$G$3:$G$998,B365)</f>
        <v>0</v>
      </c>
      <c r="U365">
        <f>SUMIFS(数据!$D$3:$D$998,数据!$E$3:$E$998,"稚鱼",数据!$F$3:$F$998,A365,数据!$G$3:$G$998,B365)</f>
        <v>0</v>
      </c>
    </row>
    <row r="366" spans="1:21" ht="19.9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45" t="str">
        <f t="shared" si="10"/>
        <v/>
      </c>
      <c r="M366" s="45" t="str">
        <f t="shared" si="11"/>
        <v/>
      </c>
      <c r="N366" s="39" t="str">
        <f>IF(AND(A366="",B366=""),"",COUNTIFS(数据!$E$3:$E$998,"&lt;&gt;前期仔鱼",数据!$E$3:$E$998,"&lt;&gt;仔鱼",数据!$E$3:$E$998,"&lt;&gt;稚鱼",数据!$F$3:$F$998,A366,数据!$G$3:$G$998,B366))</f>
        <v/>
      </c>
      <c r="O366" s="39" t="str">
        <f>IF(AND(A366="",B366=""),"",COUNTIFS(数据!$E$3:$E$998,"&lt;&gt;鱼卵",数据!$E$3:$E$998,"&lt;&gt;死卵",数据!$F$3:$F$998,A366,数据!$G$3:$G$998,B366))</f>
        <v/>
      </c>
      <c r="P366" s="31"/>
      <c r="Q366">
        <f>SUMIFS(数据!$D$3:$D$998,数据!$E$3:$E$998,"鱼卵",数据!$F$3:$F$998,A366,数据!$G$3:$G$998,B366)</f>
        <v>0</v>
      </c>
      <c r="R366">
        <f>SUMIFS(数据!$D$3:$D$998,数据!$E$3:$E$998,"死卵",数据!$F$3:$F$998,A366,数据!$G$3:$G$998,B366)</f>
        <v>0</v>
      </c>
      <c r="S366">
        <f>SUMIFS(数据!$D$3:$D$998,数据!$E$3:$E$998,"前期仔鱼",数据!$F$3:$F$998,A366,数据!$G$3:$G$998,B366)</f>
        <v>0</v>
      </c>
      <c r="T366">
        <f>SUMIFS(数据!$D$3:$D$998,数据!$E$3:$E$998,"仔鱼",数据!$F$3:$F$998,A366,数据!$G$3:$G$998,B366)</f>
        <v>0</v>
      </c>
      <c r="U366">
        <f>SUMIFS(数据!$D$3:$D$998,数据!$E$3:$E$998,"稚鱼",数据!$F$3:$F$998,A366,数据!$G$3:$G$998,B366)</f>
        <v>0</v>
      </c>
    </row>
    <row r="367" spans="1:21" ht="19.9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45" t="str">
        <f t="shared" si="10"/>
        <v/>
      </c>
      <c r="M367" s="45" t="str">
        <f t="shared" si="11"/>
        <v/>
      </c>
      <c r="N367" s="39" t="str">
        <f>IF(AND(A367="",B367=""),"",COUNTIFS(数据!$E$3:$E$998,"&lt;&gt;前期仔鱼",数据!$E$3:$E$998,"&lt;&gt;仔鱼",数据!$E$3:$E$998,"&lt;&gt;稚鱼",数据!$F$3:$F$998,A367,数据!$G$3:$G$998,B367))</f>
        <v/>
      </c>
      <c r="O367" s="39" t="str">
        <f>IF(AND(A367="",B367=""),"",COUNTIFS(数据!$E$3:$E$998,"&lt;&gt;鱼卵",数据!$E$3:$E$998,"&lt;&gt;死卵",数据!$F$3:$F$998,A367,数据!$G$3:$G$998,B367))</f>
        <v/>
      </c>
      <c r="P367" s="31"/>
      <c r="Q367">
        <f>SUMIFS(数据!$D$3:$D$998,数据!$E$3:$E$998,"鱼卵",数据!$F$3:$F$998,A367,数据!$G$3:$G$998,B367)</f>
        <v>0</v>
      </c>
      <c r="R367">
        <f>SUMIFS(数据!$D$3:$D$998,数据!$E$3:$E$998,"死卵",数据!$F$3:$F$998,A367,数据!$G$3:$G$998,B367)</f>
        <v>0</v>
      </c>
      <c r="S367">
        <f>SUMIFS(数据!$D$3:$D$998,数据!$E$3:$E$998,"前期仔鱼",数据!$F$3:$F$998,A367,数据!$G$3:$G$998,B367)</f>
        <v>0</v>
      </c>
      <c r="T367">
        <f>SUMIFS(数据!$D$3:$D$998,数据!$E$3:$E$998,"仔鱼",数据!$F$3:$F$998,A367,数据!$G$3:$G$998,B367)</f>
        <v>0</v>
      </c>
      <c r="U367">
        <f>SUMIFS(数据!$D$3:$D$998,数据!$E$3:$E$998,"稚鱼",数据!$F$3:$F$998,A367,数据!$G$3:$G$998,B367)</f>
        <v>0</v>
      </c>
    </row>
    <row r="368" spans="1:21" ht="19.9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45" t="str">
        <f t="shared" si="10"/>
        <v/>
      </c>
      <c r="M368" s="45" t="str">
        <f t="shared" si="11"/>
        <v/>
      </c>
      <c r="N368" s="39" t="str">
        <f>IF(AND(A368="",B368=""),"",COUNTIFS(数据!$E$3:$E$998,"&lt;&gt;前期仔鱼",数据!$E$3:$E$998,"&lt;&gt;仔鱼",数据!$E$3:$E$998,"&lt;&gt;稚鱼",数据!$F$3:$F$998,A368,数据!$G$3:$G$998,B368))</f>
        <v/>
      </c>
      <c r="O368" s="39" t="str">
        <f>IF(AND(A368="",B368=""),"",COUNTIFS(数据!$E$3:$E$998,"&lt;&gt;鱼卵",数据!$E$3:$E$998,"&lt;&gt;死卵",数据!$F$3:$F$998,A368,数据!$G$3:$G$998,B368))</f>
        <v/>
      </c>
      <c r="P368" s="31"/>
      <c r="Q368">
        <f>SUMIFS(数据!$D$3:$D$998,数据!$E$3:$E$998,"鱼卵",数据!$F$3:$F$998,A368,数据!$G$3:$G$998,B368)</f>
        <v>0</v>
      </c>
      <c r="R368">
        <f>SUMIFS(数据!$D$3:$D$998,数据!$E$3:$E$998,"死卵",数据!$F$3:$F$998,A368,数据!$G$3:$G$998,B368)</f>
        <v>0</v>
      </c>
      <c r="S368">
        <f>SUMIFS(数据!$D$3:$D$998,数据!$E$3:$E$998,"前期仔鱼",数据!$F$3:$F$998,A368,数据!$G$3:$G$998,B368)</f>
        <v>0</v>
      </c>
      <c r="T368">
        <f>SUMIFS(数据!$D$3:$D$998,数据!$E$3:$E$998,"仔鱼",数据!$F$3:$F$998,A368,数据!$G$3:$G$998,B368)</f>
        <v>0</v>
      </c>
      <c r="U368">
        <f>SUMIFS(数据!$D$3:$D$998,数据!$E$3:$E$998,"稚鱼",数据!$F$3:$F$998,A368,数据!$G$3:$G$998,B368)</f>
        <v>0</v>
      </c>
    </row>
    <row r="369" spans="1:21" ht="19.9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45" t="str">
        <f t="shared" si="10"/>
        <v/>
      </c>
      <c r="M369" s="45" t="str">
        <f t="shared" si="11"/>
        <v/>
      </c>
      <c r="N369" s="39" t="str">
        <f>IF(AND(A369="",B369=""),"",COUNTIFS(数据!$E$3:$E$998,"&lt;&gt;前期仔鱼",数据!$E$3:$E$998,"&lt;&gt;仔鱼",数据!$E$3:$E$998,"&lt;&gt;稚鱼",数据!$F$3:$F$998,A369,数据!$G$3:$G$998,B369))</f>
        <v/>
      </c>
      <c r="O369" s="39" t="str">
        <f>IF(AND(A369="",B369=""),"",COUNTIFS(数据!$E$3:$E$998,"&lt;&gt;鱼卵",数据!$E$3:$E$998,"&lt;&gt;死卵",数据!$F$3:$F$998,A369,数据!$G$3:$G$998,B369))</f>
        <v/>
      </c>
      <c r="P369" s="31"/>
      <c r="Q369">
        <f>SUMIFS(数据!$D$3:$D$998,数据!$E$3:$E$998,"鱼卵",数据!$F$3:$F$998,A369,数据!$G$3:$G$998,B369)</f>
        <v>0</v>
      </c>
      <c r="R369">
        <f>SUMIFS(数据!$D$3:$D$998,数据!$E$3:$E$998,"死卵",数据!$F$3:$F$998,A369,数据!$G$3:$G$998,B369)</f>
        <v>0</v>
      </c>
      <c r="S369">
        <f>SUMIFS(数据!$D$3:$D$998,数据!$E$3:$E$998,"前期仔鱼",数据!$F$3:$F$998,A369,数据!$G$3:$G$998,B369)</f>
        <v>0</v>
      </c>
      <c r="T369">
        <f>SUMIFS(数据!$D$3:$D$998,数据!$E$3:$E$998,"仔鱼",数据!$F$3:$F$998,A369,数据!$G$3:$G$998,B369)</f>
        <v>0</v>
      </c>
      <c r="U369">
        <f>SUMIFS(数据!$D$3:$D$998,数据!$E$3:$E$998,"稚鱼",数据!$F$3:$F$998,A369,数据!$G$3:$G$998,B369)</f>
        <v>0</v>
      </c>
    </row>
    <row r="370" spans="1:21" ht="19.9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45" t="str">
        <f t="shared" si="10"/>
        <v/>
      </c>
      <c r="M370" s="45" t="str">
        <f t="shared" si="11"/>
        <v/>
      </c>
      <c r="N370" s="39" t="str">
        <f>IF(AND(A370="",B370=""),"",COUNTIFS(数据!$E$3:$E$998,"&lt;&gt;前期仔鱼",数据!$E$3:$E$998,"&lt;&gt;仔鱼",数据!$E$3:$E$998,"&lt;&gt;稚鱼",数据!$F$3:$F$998,A370,数据!$G$3:$G$998,B370))</f>
        <v/>
      </c>
      <c r="O370" s="39" t="str">
        <f>IF(AND(A370="",B370=""),"",COUNTIFS(数据!$E$3:$E$998,"&lt;&gt;鱼卵",数据!$E$3:$E$998,"&lt;&gt;死卵",数据!$F$3:$F$998,A370,数据!$G$3:$G$998,B370))</f>
        <v/>
      </c>
      <c r="P370" s="31"/>
      <c r="Q370">
        <f>SUMIFS(数据!$D$3:$D$998,数据!$E$3:$E$998,"鱼卵",数据!$F$3:$F$998,A370,数据!$G$3:$G$998,B370)</f>
        <v>0</v>
      </c>
      <c r="R370">
        <f>SUMIFS(数据!$D$3:$D$998,数据!$E$3:$E$998,"死卵",数据!$F$3:$F$998,A370,数据!$G$3:$G$998,B370)</f>
        <v>0</v>
      </c>
      <c r="S370">
        <f>SUMIFS(数据!$D$3:$D$998,数据!$E$3:$E$998,"前期仔鱼",数据!$F$3:$F$998,A370,数据!$G$3:$G$998,B370)</f>
        <v>0</v>
      </c>
      <c r="T370">
        <f>SUMIFS(数据!$D$3:$D$998,数据!$E$3:$E$998,"仔鱼",数据!$F$3:$F$998,A370,数据!$G$3:$G$998,B370)</f>
        <v>0</v>
      </c>
      <c r="U370">
        <f>SUMIFS(数据!$D$3:$D$998,数据!$E$3:$E$998,"稚鱼",数据!$F$3:$F$998,A370,数据!$G$3:$G$998,B370)</f>
        <v>0</v>
      </c>
    </row>
    <row r="371" spans="1:21" ht="19.9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45" t="str">
        <f t="shared" si="10"/>
        <v/>
      </c>
      <c r="M371" s="45" t="str">
        <f t="shared" si="11"/>
        <v/>
      </c>
      <c r="N371" s="39" t="str">
        <f>IF(AND(A371="",B371=""),"",COUNTIFS(数据!$E$3:$E$998,"&lt;&gt;前期仔鱼",数据!$E$3:$E$998,"&lt;&gt;仔鱼",数据!$E$3:$E$998,"&lt;&gt;稚鱼",数据!$F$3:$F$998,A371,数据!$G$3:$G$998,B371))</f>
        <v/>
      </c>
      <c r="O371" s="39" t="str">
        <f>IF(AND(A371="",B371=""),"",COUNTIFS(数据!$E$3:$E$998,"&lt;&gt;鱼卵",数据!$E$3:$E$998,"&lt;&gt;死卵",数据!$F$3:$F$998,A371,数据!$G$3:$G$998,B371))</f>
        <v/>
      </c>
      <c r="P371" s="31"/>
      <c r="Q371">
        <f>SUMIFS(数据!$D$3:$D$998,数据!$E$3:$E$998,"鱼卵",数据!$F$3:$F$998,A371,数据!$G$3:$G$998,B371)</f>
        <v>0</v>
      </c>
      <c r="R371">
        <f>SUMIFS(数据!$D$3:$D$998,数据!$E$3:$E$998,"死卵",数据!$F$3:$F$998,A371,数据!$G$3:$G$998,B371)</f>
        <v>0</v>
      </c>
      <c r="S371">
        <f>SUMIFS(数据!$D$3:$D$998,数据!$E$3:$E$998,"前期仔鱼",数据!$F$3:$F$998,A371,数据!$G$3:$G$998,B371)</f>
        <v>0</v>
      </c>
      <c r="T371">
        <f>SUMIFS(数据!$D$3:$D$998,数据!$E$3:$E$998,"仔鱼",数据!$F$3:$F$998,A371,数据!$G$3:$G$998,B371)</f>
        <v>0</v>
      </c>
      <c r="U371">
        <f>SUMIFS(数据!$D$3:$D$998,数据!$E$3:$E$998,"稚鱼",数据!$F$3:$F$998,A371,数据!$G$3:$G$998,B371)</f>
        <v>0</v>
      </c>
    </row>
    <row r="372" spans="1:21" ht="19.9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45" t="str">
        <f t="shared" si="10"/>
        <v/>
      </c>
      <c r="M372" s="45" t="str">
        <f t="shared" si="11"/>
        <v/>
      </c>
      <c r="N372" s="39" t="str">
        <f>IF(AND(A372="",B372=""),"",COUNTIFS(数据!$E$3:$E$998,"&lt;&gt;前期仔鱼",数据!$E$3:$E$998,"&lt;&gt;仔鱼",数据!$E$3:$E$998,"&lt;&gt;稚鱼",数据!$F$3:$F$998,A372,数据!$G$3:$G$998,B372))</f>
        <v/>
      </c>
      <c r="O372" s="39" t="str">
        <f>IF(AND(A372="",B372=""),"",COUNTIFS(数据!$E$3:$E$998,"&lt;&gt;鱼卵",数据!$E$3:$E$998,"&lt;&gt;死卵",数据!$F$3:$F$998,A372,数据!$G$3:$G$998,B372))</f>
        <v/>
      </c>
      <c r="P372" s="31"/>
      <c r="Q372">
        <f>SUMIFS(数据!$D$3:$D$998,数据!$E$3:$E$998,"鱼卵",数据!$F$3:$F$998,A372,数据!$G$3:$G$998,B372)</f>
        <v>0</v>
      </c>
      <c r="R372">
        <f>SUMIFS(数据!$D$3:$D$998,数据!$E$3:$E$998,"死卵",数据!$F$3:$F$998,A372,数据!$G$3:$G$998,B372)</f>
        <v>0</v>
      </c>
      <c r="S372">
        <f>SUMIFS(数据!$D$3:$D$998,数据!$E$3:$E$998,"前期仔鱼",数据!$F$3:$F$998,A372,数据!$G$3:$G$998,B372)</f>
        <v>0</v>
      </c>
      <c r="T372">
        <f>SUMIFS(数据!$D$3:$D$998,数据!$E$3:$E$998,"仔鱼",数据!$F$3:$F$998,A372,数据!$G$3:$G$998,B372)</f>
        <v>0</v>
      </c>
      <c r="U372">
        <f>SUMIFS(数据!$D$3:$D$998,数据!$E$3:$E$998,"稚鱼",数据!$F$3:$F$998,A372,数据!$G$3:$G$998,B372)</f>
        <v>0</v>
      </c>
    </row>
    <row r="373" spans="1:21" ht="19.9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45" t="str">
        <f t="shared" si="10"/>
        <v/>
      </c>
      <c r="M373" s="45" t="str">
        <f t="shared" si="11"/>
        <v/>
      </c>
      <c r="N373" s="39" t="str">
        <f>IF(AND(A373="",B373=""),"",COUNTIFS(数据!$E$3:$E$998,"&lt;&gt;前期仔鱼",数据!$E$3:$E$998,"&lt;&gt;仔鱼",数据!$E$3:$E$998,"&lt;&gt;稚鱼",数据!$F$3:$F$998,A373,数据!$G$3:$G$998,B373))</f>
        <v/>
      </c>
      <c r="O373" s="39" t="str">
        <f>IF(AND(A373="",B373=""),"",COUNTIFS(数据!$E$3:$E$998,"&lt;&gt;鱼卵",数据!$E$3:$E$998,"&lt;&gt;死卵",数据!$F$3:$F$998,A373,数据!$G$3:$G$998,B373))</f>
        <v/>
      </c>
      <c r="P373" s="31"/>
      <c r="Q373">
        <f>SUMIFS(数据!$D$3:$D$998,数据!$E$3:$E$998,"鱼卵",数据!$F$3:$F$998,A373,数据!$G$3:$G$998,B373)</f>
        <v>0</v>
      </c>
      <c r="R373">
        <f>SUMIFS(数据!$D$3:$D$998,数据!$E$3:$E$998,"死卵",数据!$F$3:$F$998,A373,数据!$G$3:$G$998,B373)</f>
        <v>0</v>
      </c>
      <c r="S373">
        <f>SUMIFS(数据!$D$3:$D$998,数据!$E$3:$E$998,"前期仔鱼",数据!$F$3:$F$998,A373,数据!$G$3:$G$998,B373)</f>
        <v>0</v>
      </c>
      <c r="T373">
        <f>SUMIFS(数据!$D$3:$D$998,数据!$E$3:$E$998,"仔鱼",数据!$F$3:$F$998,A373,数据!$G$3:$G$998,B373)</f>
        <v>0</v>
      </c>
      <c r="U373">
        <f>SUMIFS(数据!$D$3:$D$998,数据!$E$3:$E$998,"稚鱼",数据!$F$3:$F$998,A373,数据!$G$3:$G$998,B373)</f>
        <v>0</v>
      </c>
    </row>
    <row r="374" spans="1:21" ht="19.9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45" t="str">
        <f t="shared" si="10"/>
        <v/>
      </c>
      <c r="M374" s="45" t="str">
        <f t="shared" si="11"/>
        <v/>
      </c>
      <c r="N374" s="39" t="str">
        <f>IF(AND(A374="",B374=""),"",COUNTIFS(数据!$E$3:$E$998,"&lt;&gt;前期仔鱼",数据!$E$3:$E$998,"&lt;&gt;仔鱼",数据!$E$3:$E$998,"&lt;&gt;稚鱼",数据!$F$3:$F$998,A374,数据!$G$3:$G$998,B374))</f>
        <v/>
      </c>
      <c r="O374" s="39" t="str">
        <f>IF(AND(A374="",B374=""),"",COUNTIFS(数据!$E$3:$E$998,"&lt;&gt;鱼卵",数据!$E$3:$E$998,"&lt;&gt;死卵",数据!$F$3:$F$998,A374,数据!$G$3:$G$998,B374))</f>
        <v/>
      </c>
      <c r="P374" s="31"/>
      <c r="Q374">
        <f>SUMIFS(数据!$D$3:$D$998,数据!$E$3:$E$998,"鱼卵",数据!$F$3:$F$998,A374,数据!$G$3:$G$998,B374)</f>
        <v>0</v>
      </c>
      <c r="R374">
        <f>SUMIFS(数据!$D$3:$D$998,数据!$E$3:$E$998,"死卵",数据!$F$3:$F$998,A374,数据!$G$3:$G$998,B374)</f>
        <v>0</v>
      </c>
      <c r="S374">
        <f>SUMIFS(数据!$D$3:$D$998,数据!$E$3:$E$998,"前期仔鱼",数据!$F$3:$F$998,A374,数据!$G$3:$G$998,B374)</f>
        <v>0</v>
      </c>
      <c r="T374">
        <f>SUMIFS(数据!$D$3:$D$998,数据!$E$3:$E$998,"仔鱼",数据!$F$3:$F$998,A374,数据!$G$3:$G$998,B374)</f>
        <v>0</v>
      </c>
      <c r="U374">
        <f>SUMIFS(数据!$D$3:$D$998,数据!$E$3:$E$998,"稚鱼",数据!$F$3:$F$998,A374,数据!$G$3:$G$998,B374)</f>
        <v>0</v>
      </c>
    </row>
    <row r="375" spans="1:21" ht="19.9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45" t="str">
        <f t="shared" si="10"/>
        <v/>
      </c>
      <c r="M375" s="45" t="str">
        <f t="shared" si="11"/>
        <v/>
      </c>
      <c r="N375" s="39" t="str">
        <f>IF(AND(A375="",B375=""),"",COUNTIFS(数据!$E$3:$E$998,"&lt;&gt;前期仔鱼",数据!$E$3:$E$998,"&lt;&gt;仔鱼",数据!$E$3:$E$998,"&lt;&gt;稚鱼",数据!$F$3:$F$998,A375,数据!$G$3:$G$998,B375))</f>
        <v/>
      </c>
      <c r="O375" s="39" t="str">
        <f>IF(AND(A375="",B375=""),"",COUNTIFS(数据!$E$3:$E$998,"&lt;&gt;鱼卵",数据!$E$3:$E$998,"&lt;&gt;死卵",数据!$F$3:$F$998,A375,数据!$G$3:$G$998,B375))</f>
        <v/>
      </c>
      <c r="P375" s="31"/>
      <c r="Q375">
        <f>SUMIFS(数据!$D$3:$D$998,数据!$E$3:$E$998,"鱼卵",数据!$F$3:$F$998,A375,数据!$G$3:$G$998,B375)</f>
        <v>0</v>
      </c>
      <c r="R375">
        <f>SUMIFS(数据!$D$3:$D$998,数据!$E$3:$E$998,"死卵",数据!$F$3:$F$998,A375,数据!$G$3:$G$998,B375)</f>
        <v>0</v>
      </c>
      <c r="S375">
        <f>SUMIFS(数据!$D$3:$D$998,数据!$E$3:$E$998,"前期仔鱼",数据!$F$3:$F$998,A375,数据!$G$3:$G$998,B375)</f>
        <v>0</v>
      </c>
      <c r="T375">
        <f>SUMIFS(数据!$D$3:$D$998,数据!$E$3:$E$998,"仔鱼",数据!$F$3:$F$998,A375,数据!$G$3:$G$998,B375)</f>
        <v>0</v>
      </c>
      <c r="U375">
        <f>SUMIFS(数据!$D$3:$D$998,数据!$E$3:$E$998,"稚鱼",数据!$F$3:$F$998,A375,数据!$G$3:$G$998,B375)</f>
        <v>0</v>
      </c>
    </row>
    <row r="376" spans="1:21" ht="19.9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45" t="str">
        <f t="shared" si="10"/>
        <v/>
      </c>
      <c r="M376" s="45" t="str">
        <f t="shared" si="11"/>
        <v/>
      </c>
      <c r="N376" s="39" t="str">
        <f>IF(AND(A376="",B376=""),"",COUNTIFS(数据!$E$3:$E$998,"&lt;&gt;前期仔鱼",数据!$E$3:$E$998,"&lt;&gt;仔鱼",数据!$E$3:$E$998,"&lt;&gt;稚鱼",数据!$F$3:$F$998,A376,数据!$G$3:$G$998,B376))</f>
        <v/>
      </c>
      <c r="O376" s="39" t="str">
        <f>IF(AND(A376="",B376=""),"",COUNTIFS(数据!$E$3:$E$998,"&lt;&gt;鱼卵",数据!$E$3:$E$998,"&lt;&gt;死卵",数据!$F$3:$F$998,A376,数据!$G$3:$G$998,B376))</f>
        <v/>
      </c>
      <c r="P376" s="31"/>
      <c r="Q376">
        <f>SUMIFS(数据!$D$3:$D$998,数据!$E$3:$E$998,"鱼卵",数据!$F$3:$F$998,A376,数据!$G$3:$G$998,B376)</f>
        <v>0</v>
      </c>
      <c r="R376">
        <f>SUMIFS(数据!$D$3:$D$998,数据!$E$3:$E$998,"死卵",数据!$F$3:$F$998,A376,数据!$G$3:$G$998,B376)</f>
        <v>0</v>
      </c>
      <c r="S376">
        <f>SUMIFS(数据!$D$3:$D$998,数据!$E$3:$E$998,"前期仔鱼",数据!$F$3:$F$998,A376,数据!$G$3:$G$998,B376)</f>
        <v>0</v>
      </c>
      <c r="T376">
        <f>SUMIFS(数据!$D$3:$D$998,数据!$E$3:$E$998,"仔鱼",数据!$F$3:$F$998,A376,数据!$G$3:$G$998,B376)</f>
        <v>0</v>
      </c>
      <c r="U376">
        <f>SUMIFS(数据!$D$3:$D$998,数据!$E$3:$E$998,"稚鱼",数据!$F$3:$F$998,A376,数据!$G$3:$G$998,B376)</f>
        <v>0</v>
      </c>
    </row>
    <row r="377" spans="1:21" ht="19.9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45" t="str">
        <f t="shared" si="10"/>
        <v/>
      </c>
      <c r="M377" s="45" t="str">
        <f t="shared" si="11"/>
        <v/>
      </c>
      <c r="N377" s="39" t="str">
        <f>IF(AND(A377="",B377=""),"",COUNTIFS(数据!$E$3:$E$998,"&lt;&gt;前期仔鱼",数据!$E$3:$E$998,"&lt;&gt;仔鱼",数据!$E$3:$E$998,"&lt;&gt;稚鱼",数据!$F$3:$F$998,A377,数据!$G$3:$G$998,B377))</f>
        <v/>
      </c>
      <c r="O377" s="39" t="str">
        <f>IF(AND(A377="",B377=""),"",COUNTIFS(数据!$E$3:$E$998,"&lt;&gt;鱼卵",数据!$E$3:$E$998,"&lt;&gt;死卵",数据!$F$3:$F$998,A377,数据!$G$3:$G$998,B377))</f>
        <v/>
      </c>
      <c r="P377" s="31"/>
      <c r="Q377">
        <f>SUMIFS(数据!$D$3:$D$998,数据!$E$3:$E$998,"鱼卵",数据!$F$3:$F$998,A377,数据!$G$3:$G$998,B377)</f>
        <v>0</v>
      </c>
      <c r="R377">
        <f>SUMIFS(数据!$D$3:$D$998,数据!$E$3:$E$998,"死卵",数据!$F$3:$F$998,A377,数据!$G$3:$G$998,B377)</f>
        <v>0</v>
      </c>
      <c r="S377">
        <f>SUMIFS(数据!$D$3:$D$998,数据!$E$3:$E$998,"前期仔鱼",数据!$F$3:$F$998,A377,数据!$G$3:$G$998,B377)</f>
        <v>0</v>
      </c>
      <c r="T377">
        <f>SUMIFS(数据!$D$3:$D$998,数据!$E$3:$E$998,"仔鱼",数据!$F$3:$F$998,A377,数据!$G$3:$G$998,B377)</f>
        <v>0</v>
      </c>
      <c r="U377">
        <f>SUMIFS(数据!$D$3:$D$998,数据!$E$3:$E$998,"稚鱼",数据!$F$3:$F$998,A377,数据!$G$3:$G$998,B377)</f>
        <v>0</v>
      </c>
    </row>
    <row r="378" spans="1:21" ht="19.9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45" t="str">
        <f t="shared" si="10"/>
        <v/>
      </c>
      <c r="M378" s="45" t="str">
        <f t="shared" si="11"/>
        <v/>
      </c>
      <c r="N378" s="39" t="str">
        <f>IF(AND(A378="",B378=""),"",COUNTIFS(数据!$E$3:$E$998,"&lt;&gt;前期仔鱼",数据!$E$3:$E$998,"&lt;&gt;仔鱼",数据!$E$3:$E$998,"&lt;&gt;稚鱼",数据!$F$3:$F$998,A378,数据!$G$3:$G$998,B378))</f>
        <v/>
      </c>
      <c r="O378" s="39" t="str">
        <f>IF(AND(A378="",B378=""),"",COUNTIFS(数据!$E$3:$E$998,"&lt;&gt;鱼卵",数据!$E$3:$E$998,"&lt;&gt;死卵",数据!$F$3:$F$998,A378,数据!$G$3:$G$998,B378))</f>
        <v/>
      </c>
      <c r="P378" s="31"/>
      <c r="Q378">
        <f>SUMIFS(数据!$D$3:$D$998,数据!$E$3:$E$998,"鱼卵",数据!$F$3:$F$998,A378,数据!$G$3:$G$998,B378)</f>
        <v>0</v>
      </c>
      <c r="R378">
        <f>SUMIFS(数据!$D$3:$D$998,数据!$E$3:$E$998,"死卵",数据!$F$3:$F$998,A378,数据!$G$3:$G$998,B378)</f>
        <v>0</v>
      </c>
      <c r="S378">
        <f>SUMIFS(数据!$D$3:$D$998,数据!$E$3:$E$998,"前期仔鱼",数据!$F$3:$F$998,A378,数据!$G$3:$G$998,B378)</f>
        <v>0</v>
      </c>
      <c r="T378">
        <f>SUMIFS(数据!$D$3:$D$998,数据!$E$3:$E$998,"仔鱼",数据!$F$3:$F$998,A378,数据!$G$3:$G$998,B378)</f>
        <v>0</v>
      </c>
      <c r="U378">
        <f>SUMIFS(数据!$D$3:$D$998,数据!$E$3:$E$998,"稚鱼",数据!$F$3:$F$998,A378,数据!$G$3:$G$998,B378)</f>
        <v>0</v>
      </c>
    </row>
    <row r="379" spans="1:21" ht="19.9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45" t="str">
        <f t="shared" si="10"/>
        <v/>
      </c>
      <c r="M379" s="45" t="str">
        <f t="shared" si="11"/>
        <v/>
      </c>
      <c r="N379" s="39" t="str">
        <f>IF(AND(A379="",B379=""),"",COUNTIFS(数据!$E$3:$E$998,"&lt;&gt;前期仔鱼",数据!$E$3:$E$998,"&lt;&gt;仔鱼",数据!$E$3:$E$998,"&lt;&gt;稚鱼",数据!$F$3:$F$998,A379,数据!$G$3:$G$998,B379))</f>
        <v/>
      </c>
      <c r="O379" s="39" t="str">
        <f>IF(AND(A379="",B379=""),"",COUNTIFS(数据!$E$3:$E$998,"&lt;&gt;鱼卵",数据!$E$3:$E$998,"&lt;&gt;死卵",数据!$F$3:$F$998,A379,数据!$G$3:$G$998,B379))</f>
        <v/>
      </c>
      <c r="P379" s="31"/>
      <c r="Q379">
        <f>SUMIFS(数据!$D$3:$D$998,数据!$E$3:$E$998,"鱼卵",数据!$F$3:$F$998,A379,数据!$G$3:$G$998,B379)</f>
        <v>0</v>
      </c>
      <c r="R379">
        <f>SUMIFS(数据!$D$3:$D$998,数据!$E$3:$E$998,"死卵",数据!$F$3:$F$998,A379,数据!$G$3:$G$998,B379)</f>
        <v>0</v>
      </c>
      <c r="S379">
        <f>SUMIFS(数据!$D$3:$D$998,数据!$E$3:$E$998,"前期仔鱼",数据!$F$3:$F$998,A379,数据!$G$3:$G$998,B379)</f>
        <v>0</v>
      </c>
      <c r="T379">
        <f>SUMIFS(数据!$D$3:$D$998,数据!$E$3:$E$998,"仔鱼",数据!$F$3:$F$998,A379,数据!$G$3:$G$998,B379)</f>
        <v>0</v>
      </c>
      <c r="U379">
        <f>SUMIFS(数据!$D$3:$D$998,数据!$E$3:$E$998,"稚鱼",数据!$F$3:$F$998,A379,数据!$G$3:$G$998,B379)</f>
        <v>0</v>
      </c>
    </row>
    <row r="380" spans="1:21" ht="19.9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45" t="str">
        <f t="shared" si="10"/>
        <v/>
      </c>
      <c r="M380" s="45" t="str">
        <f t="shared" si="11"/>
        <v/>
      </c>
      <c r="N380" s="39" t="str">
        <f>IF(AND(A380="",B380=""),"",COUNTIFS(数据!$E$3:$E$998,"&lt;&gt;前期仔鱼",数据!$E$3:$E$998,"&lt;&gt;仔鱼",数据!$E$3:$E$998,"&lt;&gt;稚鱼",数据!$F$3:$F$998,A380,数据!$G$3:$G$998,B380))</f>
        <v/>
      </c>
      <c r="O380" s="39" t="str">
        <f>IF(AND(A380="",B380=""),"",COUNTIFS(数据!$E$3:$E$998,"&lt;&gt;鱼卵",数据!$E$3:$E$998,"&lt;&gt;死卵",数据!$F$3:$F$998,A380,数据!$G$3:$G$998,B380))</f>
        <v/>
      </c>
      <c r="P380" s="31"/>
      <c r="Q380">
        <f>SUMIFS(数据!$D$3:$D$998,数据!$E$3:$E$998,"鱼卵",数据!$F$3:$F$998,A380,数据!$G$3:$G$998,B380)</f>
        <v>0</v>
      </c>
      <c r="R380">
        <f>SUMIFS(数据!$D$3:$D$998,数据!$E$3:$E$998,"死卵",数据!$F$3:$F$998,A380,数据!$G$3:$G$998,B380)</f>
        <v>0</v>
      </c>
      <c r="S380">
        <f>SUMIFS(数据!$D$3:$D$998,数据!$E$3:$E$998,"前期仔鱼",数据!$F$3:$F$998,A380,数据!$G$3:$G$998,B380)</f>
        <v>0</v>
      </c>
      <c r="T380">
        <f>SUMIFS(数据!$D$3:$D$998,数据!$E$3:$E$998,"仔鱼",数据!$F$3:$F$998,A380,数据!$G$3:$G$998,B380)</f>
        <v>0</v>
      </c>
      <c r="U380">
        <f>SUMIFS(数据!$D$3:$D$998,数据!$E$3:$E$998,"稚鱼",数据!$F$3:$F$998,A380,数据!$G$3:$G$998,B380)</f>
        <v>0</v>
      </c>
    </row>
    <row r="381" spans="1:21" ht="19.9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45" t="str">
        <f t="shared" si="10"/>
        <v/>
      </c>
      <c r="M381" s="45" t="str">
        <f t="shared" si="11"/>
        <v/>
      </c>
      <c r="N381" s="39" t="str">
        <f>IF(AND(A381="",B381=""),"",COUNTIFS(数据!$E$3:$E$998,"&lt;&gt;前期仔鱼",数据!$E$3:$E$998,"&lt;&gt;仔鱼",数据!$E$3:$E$998,"&lt;&gt;稚鱼",数据!$F$3:$F$998,A381,数据!$G$3:$G$998,B381))</f>
        <v/>
      </c>
      <c r="O381" s="39" t="str">
        <f>IF(AND(A381="",B381=""),"",COUNTIFS(数据!$E$3:$E$998,"&lt;&gt;鱼卵",数据!$E$3:$E$998,"&lt;&gt;死卵",数据!$F$3:$F$998,A381,数据!$G$3:$G$998,B381))</f>
        <v/>
      </c>
      <c r="P381" s="31"/>
      <c r="Q381">
        <f>SUMIFS(数据!$D$3:$D$998,数据!$E$3:$E$998,"鱼卵",数据!$F$3:$F$998,A381,数据!$G$3:$G$998,B381)</f>
        <v>0</v>
      </c>
      <c r="R381">
        <f>SUMIFS(数据!$D$3:$D$998,数据!$E$3:$E$998,"死卵",数据!$F$3:$F$998,A381,数据!$G$3:$G$998,B381)</f>
        <v>0</v>
      </c>
      <c r="S381">
        <f>SUMIFS(数据!$D$3:$D$998,数据!$E$3:$E$998,"前期仔鱼",数据!$F$3:$F$998,A381,数据!$G$3:$G$998,B381)</f>
        <v>0</v>
      </c>
      <c r="T381">
        <f>SUMIFS(数据!$D$3:$D$998,数据!$E$3:$E$998,"仔鱼",数据!$F$3:$F$998,A381,数据!$G$3:$G$998,B381)</f>
        <v>0</v>
      </c>
      <c r="U381">
        <f>SUMIFS(数据!$D$3:$D$998,数据!$E$3:$E$998,"稚鱼",数据!$F$3:$F$998,A381,数据!$G$3:$G$998,B381)</f>
        <v>0</v>
      </c>
    </row>
    <row r="382" spans="1:21" ht="19.9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45" t="str">
        <f t="shared" si="10"/>
        <v/>
      </c>
      <c r="M382" s="45" t="str">
        <f t="shared" si="11"/>
        <v/>
      </c>
      <c r="N382" s="39" t="str">
        <f>IF(AND(A382="",B382=""),"",COUNTIFS(数据!$E$3:$E$998,"&lt;&gt;前期仔鱼",数据!$E$3:$E$998,"&lt;&gt;仔鱼",数据!$E$3:$E$998,"&lt;&gt;稚鱼",数据!$F$3:$F$998,A382,数据!$G$3:$G$998,B382))</f>
        <v/>
      </c>
      <c r="O382" s="39" t="str">
        <f>IF(AND(A382="",B382=""),"",COUNTIFS(数据!$E$3:$E$998,"&lt;&gt;鱼卵",数据!$E$3:$E$998,"&lt;&gt;死卵",数据!$F$3:$F$998,A382,数据!$G$3:$G$998,B382))</f>
        <v/>
      </c>
      <c r="P382" s="31"/>
      <c r="Q382">
        <f>SUMIFS(数据!$D$3:$D$998,数据!$E$3:$E$998,"鱼卵",数据!$F$3:$F$998,A382,数据!$G$3:$G$998,B382)</f>
        <v>0</v>
      </c>
      <c r="R382">
        <f>SUMIFS(数据!$D$3:$D$998,数据!$E$3:$E$998,"死卵",数据!$F$3:$F$998,A382,数据!$G$3:$G$998,B382)</f>
        <v>0</v>
      </c>
      <c r="S382">
        <f>SUMIFS(数据!$D$3:$D$998,数据!$E$3:$E$998,"前期仔鱼",数据!$F$3:$F$998,A382,数据!$G$3:$G$998,B382)</f>
        <v>0</v>
      </c>
      <c r="T382">
        <f>SUMIFS(数据!$D$3:$D$998,数据!$E$3:$E$998,"仔鱼",数据!$F$3:$F$998,A382,数据!$G$3:$G$998,B382)</f>
        <v>0</v>
      </c>
      <c r="U382">
        <f>SUMIFS(数据!$D$3:$D$998,数据!$E$3:$E$998,"稚鱼",数据!$F$3:$F$998,A382,数据!$G$3:$G$998,B382)</f>
        <v>0</v>
      </c>
    </row>
    <row r="383" spans="1:21" ht="19.9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45" t="str">
        <f t="shared" si="10"/>
        <v/>
      </c>
      <c r="M383" s="45" t="str">
        <f t="shared" si="11"/>
        <v/>
      </c>
      <c r="N383" s="39" t="str">
        <f>IF(AND(A383="",B383=""),"",COUNTIFS(数据!$E$3:$E$998,"&lt;&gt;前期仔鱼",数据!$E$3:$E$998,"&lt;&gt;仔鱼",数据!$E$3:$E$998,"&lt;&gt;稚鱼",数据!$F$3:$F$998,A383,数据!$G$3:$G$998,B383))</f>
        <v/>
      </c>
      <c r="O383" s="39" t="str">
        <f>IF(AND(A383="",B383=""),"",COUNTIFS(数据!$E$3:$E$998,"&lt;&gt;鱼卵",数据!$E$3:$E$998,"&lt;&gt;死卵",数据!$F$3:$F$998,A383,数据!$G$3:$G$998,B383))</f>
        <v/>
      </c>
      <c r="P383" s="31"/>
      <c r="Q383">
        <f>SUMIFS(数据!$D$3:$D$998,数据!$E$3:$E$998,"鱼卵",数据!$F$3:$F$998,A383,数据!$G$3:$G$998,B383)</f>
        <v>0</v>
      </c>
      <c r="R383">
        <f>SUMIFS(数据!$D$3:$D$998,数据!$E$3:$E$998,"死卵",数据!$F$3:$F$998,A383,数据!$G$3:$G$998,B383)</f>
        <v>0</v>
      </c>
      <c r="S383">
        <f>SUMIFS(数据!$D$3:$D$998,数据!$E$3:$E$998,"前期仔鱼",数据!$F$3:$F$998,A383,数据!$G$3:$G$998,B383)</f>
        <v>0</v>
      </c>
      <c r="T383">
        <f>SUMIFS(数据!$D$3:$D$998,数据!$E$3:$E$998,"仔鱼",数据!$F$3:$F$998,A383,数据!$G$3:$G$998,B383)</f>
        <v>0</v>
      </c>
      <c r="U383">
        <f>SUMIFS(数据!$D$3:$D$998,数据!$E$3:$E$998,"稚鱼",数据!$F$3:$F$998,A383,数据!$G$3:$G$998,B383)</f>
        <v>0</v>
      </c>
    </row>
    <row r="384" spans="1:21" ht="19.9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45" t="str">
        <f t="shared" si="10"/>
        <v/>
      </c>
      <c r="M384" s="45" t="str">
        <f t="shared" si="11"/>
        <v/>
      </c>
      <c r="N384" s="39" t="str">
        <f>IF(AND(A384="",B384=""),"",COUNTIFS(数据!$E$3:$E$998,"&lt;&gt;前期仔鱼",数据!$E$3:$E$998,"&lt;&gt;仔鱼",数据!$E$3:$E$998,"&lt;&gt;稚鱼",数据!$F$3:$F$998,A384,数据!$G$3:$G$998,B384))</f>
        <v/>
      </c>
      <c r="O384" s="39" t="str">
        <f>IF(AND(A384="",B384=""),"",COUNTIFS(数据!$E$3:$E$998,"&lt;&gt;鱼卵",数据!$E$3:$E$998,"&lt;&gt;死卵",数据!$F$3:$F$998,A384,数据!$G$3:$G$998,B384))</f>
        <v/>
      </c>
      <c r="P384" s="31"/>
      <c r="Q384">
        <f>SUMIFS(数据!$D$3:$D$998,数据!$E$3:$E$998,"鱼卵",数据!$F$3:$F$998,A384,数据!$G$3:$G$998,B384)</f>
        <v>0</v>
      </c>
      <c r="R384">
        <f>SUMIFS(数据!$D$3:$D$998,数据!$E$3:$E$998,"死卵",数据!$F$3:$F$998,A384,数据!$G$3:$G$998,B384)</f>
        <v>0</v>
      </c>
      <c r="S384">
        <f>SUMIFS(数据!$D$3:$D$998,数据!$E$3:$E$998,"前期仔鱼",数据!$F$3:$F$998,A384,数据!$G$3:$G$998,B384)</f>
        <v>0</v>
      </c>
      <c r="T384">
        <f>SUMIFS(数据!$D$3:$D$998,数据!$E$3:$E$998,"仔鱼",数据!$F$3:$F$998,A384,数据!$G$3:$G$998,B384)</f>
        <v>0</v>
      </c>
      <c r="U384">
        <f>SUMIFS(数据!$D$3:$D$998,数据!$E$3:$E$998,"稚鱼",数据!$F$3:$F$998,A384,数据!$G$3:$G$998,B384)</f>
        <v>0</v>
      </c>
    </row>
    <row r="385" spans="1:21" ht="19.9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45" t="str">
        <f t="shared" si="10"/>
        <v/>
      </c>
      <c r="M385" s="45" t="str">
        <f t="shared" si="11"/>
        <v/>
      </c>
      <c r="N385" s="39" t="str">
        <f>IF(AND(A385="",B385=""),"",COUNTIFS(数据!$E$3:$E$998,"&lt;&gt;前期仔鱼",数据!$E$3:$E$998,"&lt;&gt;仔鱼",数据!$E$3:$E$998,"&lt;&gt;稚鱼",数据!$F$3:$F$998,A385,数据!$G$3:$G$998,B385))</f>
        <v/>
      </c>
      <c r="O385" s="39" t="str">
        <f>IF(AND(A385="",B385=""),"",COUNTIFS(数据!$E$3:$E$998,"&lt;&gt;鱼卵",数据!$E$3:$E$998,"&lt;&gt;死卵",数据!$F$3:$F$998,A385,数据!$G$3:$G$998,B385))</f>
        <v/>
      </c>
      <c r="P385" s="31"/>
      <c r="Q385">
        <f>SUMIFS(数据!$D$3:$D$998,数据!$E$3:$E$998,"鱼卵",数据!$F$3:$F$998,A385,数据!$G$3:$G$998,B385)</f>
        <v>0</v>
      </c>
      <c r="R385">
        <f>SUMIFS(数据!$D$3:$D$998,数据!$E$3:$E$998,"死卵",数据!$F$3:$F$998,A385,数据!$G$3:$G$998,B385)</f>
        <v>0</v>
      </c>
      <c r="S385">
        <f>SUMIFS(数据!$D$3:$D$998,数据!$E$3:$E$998,"前期仔鱼",数据!$F$3:$F$998,A385,数据!$G$3:$G$998,B385)</f>
        <v>0</v>
      </c>
      <c r="T385">
        <f>SUMIFS(数据!$D$3:$D$998,数据!$E$3:$E$998,"仔鱼",数据!$F$3:$F$998,A385,数据!$G$3:$G$998,B385)</f>
        <v>0</v>
      </c>
      <c r="U385">
        <f>SUMIFS(数据!$D$3:$D$998,数据!$E$3:$E$998,"稚鱼",数据!$F$3:$F$998,A385,数据!$G$3:$G$998,B385)</f>
        <v>0</v>
      </c>
    </row>
    <row r="386" spans="1:21" ht="19.9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45" t="str">
        <f t="shared" si="10"/>
        <v/>
      </c>
      <c r="M386" s="45" t="str">
        <f t="shared" si="11"/>
        <v/>
      </c>
      <c r="N386" s="39" t="str">
        <f>IF(AND(A386="",B386=""),"",COUNTIFS(数据!$E$3:$E$998,"&lt;&gt;前期仔鱼",数据!$E$3:$E$998,"&lt;&gt;仔鱼",数据!$E$3:$E$998,"&lt;&gt;稚鱼",数据!$F$3:$F$998,A386,数据!$G$3:$G$998,B386))</f>
        <v/>
      </c>
      <c r="O386" s="39" t="str">
        <f>IF(AND(A386="",B386=""),"",COUNTIFS(数据!$E$3:$E$998,"&lt;&gt;鱼卵",数据!$E$3:$E$998,"&lt;&gt;死卵",数据!$F$3:$F$998,A386,数据!$G$3:$G$998,B386))</f>
        <v/>
      </c>
      <c r="P386" s="31"/>
      <c r="Q386">
        <f>SUMIFS(数据!$D$3:$D$998,数据!$E$3:$E$998,"鱼卵",数据!$F$3:$F$998,A386,数据!$G$3:$G$998,B386)</f>
        <v>0</v>
      </c>
      <c r="R386">
        <f>SUMIFS(数据!$D$3:$D$998,数据!$E$3:$E$998,"死卵",数据!$F$3:$F$998,A386,数据!$G$3:$G$998,B386)</f>
        <v>0</v>
      </c>
      <c r="S386">
        <f>SUMIFS(数据!$D$3:$D$998,数据!$E$3:$E$998,"前期仔鱼",数据!$F$3:$F$998,A386,数据!$G$3:$G$998,B386)</f>
        <v>0</v>
      </c>
      <c r="T386">
        <f>SUMIFS(数据!$D$3:$D$998,数据!$E$3:$E$998,"仔鱼",数据!$F$3:$F$998,A386,数据!$G$3:$G$998,B386)</f>
        <v>0</v>
      </c>
      <c r="U386">
        <f>SUMIFS(数据!$D$3:$D$998,数据!$E$3:$E$998,"稚鱼",数据!$F$3:$F$998,A386,数据!$G$3:$G$998,B386)</f>
        <v>0</v>
      </c>
    </row>
    <row r="387" spans="1:21" ht="19.9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45" t="str">
        <f t="shared" si="10"/>
        <v/>
      </c>
      <c r="M387" s="45" t="str">
        <f t="shared" si="11"/>
        <v/>
      </c>
      <c r="N387" s="39" t="str">
        <f>IF(AND(A387="",B387=""),"",COUNTIFS(数据!$E$3:$E$998,"&lt;&gt;前期仔鱼",数据!$E$3:$E$998,"&lt;&gt;仔鱼",数据!$E$3:$E$998,"&lt;&gt;稚鱼",数据!$F$3:$F$998,A387,数据!$G$3:$G$998,B387))</f>
        <v/>
      </c>
      <c r="O387" s="39" t="str">
        <f>IF(AND(A387="",B387=""),"",COUNTIFS(数据!$E$3:$E$998,"&lt;&gt;鱼卵",数据!$E$3:$E$998,"&lt;&gt;死卵",数据!$F$3:$F$998,A387,数据!$G$3:$G$998,B387))</f>
        <v/>
      </c>
      <c r="P387" s="31"/>
      <c r="Q387">
        <f>SUMIFS(数据!$D$3:$D$998,数据!$E$3:$E$998,"鱼卵",数据!$F$3:$F$998,A387,数据!$G$3:$G$998,B387)</f>
        <v>0</v>
      </c>
      <c r="R387">
        <f>SUMIFS(数据!$D$3:$D$998,数据!$E$3:$E$998,"死卵",数据!$F$3:$F$998,A387,数据!$G$3:$G$998,B387)</f>
        <v>0</v>
      </c>
      <c r="S387">
        <f>SUMIFS(数据!$D$3:$D$998,数据!$E$3:$E$998,"前期仔鱼",数据!$F$3:$F$998,A387,数据!$G$3:$G$998,B387)</f>
        <v>0</v>
      </c>
      <c r="T387">
        <f>SUMIFS(数据!$D$3:$D$998,数据!$E$3:$E$998,"仔鱼",数据!$F$3:$F$998,A387,数据!$G$3:$G$998,B387)</f>
        <v>0</v>
      </c>
      <c r="U387">
        <f>SUMIFS(数据!$D$3:$D$998,数据!$E$3:$E$998,"稚鱼",数据!$F$3:$F$998,A387,数据!$G$3:$G$998,B387)</f>
        <v>0</v>
      </c>
    </row>
    <row r="388" spans="1:21" ht="19.9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45" t="str">
        <f t="shared" si="12" ref="L388:L451">IF(OR(Q388&amp;R388="",A388&amp;B388=""),"",Q388+R388)</f>
        <v/>
      </c>
      <c r="M388" s="45" t="str">
        <f t="shared" si="13" ref="M388:M451">IF(OR(A388&amp;B388="",S388&amp;T388&amp;U388=""),"",S388+T388+U388)</f>
        <v/>
      </c>
      <c r="N388" s="39" t="str">
        <f>IF(AND(A388="",B388=""),"",COUNTIFS(数据!$E$3:$E$998,"&lt;&gt;前期仔鱼",数据!$E$3:$E$998,"&lt;&gt;仔鱼",数据!$E$3:$E$998,"&lt;&gt;稚鱼",数据!$F$3:$F$998,A388,数据!$G$3:$G$998,B388))</f>
        <v/>
      </c>
      <c r="O388" s="39" t="str">
        <f>IF(AND(A388="",B388=""),"",COUNTIFS(数据!$E$3:$E$998,"&lt;&gt;鱼卵",数据!$E$3:$E$998,"&lt;&gt;死卵",数据!$F$3:$F$998,A388,数据!$G$3:$G$998,B388))</f>
        <v/>
      </c>
      <c r="P388" s="31"/>
      <c r="Q388">
        <f>SUMIFS(数据!$D$3:$D$998,数据!$E$3:$E$998,"鱼卵",数据!$F$3:$F$998,A388,数据!$G$3:$G$998,B388)</f>
        <v>0</v>
      </c>
      <c r="R388">
        <f>SUMIFS(数据!$D$3:$D$998,数据!$E$3:$E$998,"死卵",数据!$F$3:$F$998,A388,数据!$G$3:$G$998,B388)</f>
        <v>0</v>
      </c>
      <c r="S388">
        <f>SUMIFS(数据!$D$3:$D$998,数据!$E$3:$E$998,"前期仔鱼",数据!$F$3:$F$998,A388,数据!$G$3:$G$998,B388)</f>
        <v>0</v>
      </c>
      <c r="T388">
        <f>SUMIFS(数据!$D$3:$D$998,数据!$E$3:$E$998,"仔鱼",数据!$F$3:$F$998,A388,数据!$G$3:$G$998,B388)</f>
        <v>0</v>
      </c>
      <c r="U388">
        <f>SUMIFS(数据!$D$3:$D$998,数据!$E$3:$E$998,"稚鱼",数据!$F$3:$F$998,A388,数据!$G$3:$G$998,B388)</f>
        <v>0</v>
      </c>
    </row>
    <row r="389" spans="1:21" ht="19.9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45" t="str">
        <f t="shared" si="12"/>
        <v/>
      </c>
      <c r="M389" s="45" t="str">
        <f t="shared" si="13"/>
        <v/>
      </c>
      <c r="N389" s="39" t="str">
        <f>IF(AND(A389="",B389=""),"",COUNTIFS(数据!$E$3:$E$998,"&lt;&gt;前期仔鱼",数据!$E$3:$E$998,"&lt;&gt;仔鱼",数据!$E$3:$E$998,"&lt;&gt;稚鱼",数据!$F$3:$F$998,A389,数据!$G$3:$G$998,B389))</f>
        <v/>
      </c>
      <c r="O389" s="39" t="str">
        <f>IF(AND(A389="",B389=""),"",COUNTIFS(数据!$E$3:$E$998,"&lt;&gt;鱼卵",数据!$E$3:$E$998,"&lt;&gt;死卵",数据!$F$3:$F$998,A389,数据!$G$3:$G$998,B389))</f>
        <v/>
      </c>
      <c r="P389" s="31"/>
      <c r="Q389">
        <f>SUMIFS(数据!$D$3:$D$998,数据!$E$3:$E$998,"鱼卵",数据!$F$3:$F$998,A389,数据!$G$3:$G$998,B389)</f>
        <v>0</v>
      </c>
      <c r="R389">
        <f>SUMIFS(数据!$D$3:$D$998,数据!$E$3:$E$998,"死卵",数据!$F$3:$F$998,A389,数据!$G$3:$G$998,B389)</f>
        <v>0</v>
      </c>
      <c r="S389">
        <f>SUMIFS(数据!$D$3:$D$998,数据!$E$3:$E$998,"前期仔鱼",数据!$F$3:$F$998,A389,数据!$G$3:$G$998,B389)</f>
        <v>0</v>
      </c>
      <c r="T389">
        <f>SUMIFS(数据!$D$3:$D$998,数据!$E$3:$E$998,"仔鱼",数据!$F$3:$F$998,A389,数据!$G$3:$G$998,B389)</f>
        <v>0</v>
      </c>
      <c r="U389">
        <f>SUMIFS(数据!$D$3:$D$998,数据!$E$3:$E$998,"稚鱼",数据!$F$3:$F$998,A389,数据!$G$3:$G$998,B389)</f>
        <v>0</v>
      </c>
    </row>
    <row r="390" spans="1:21" ht="19.9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45" t="str">
        <f t="shared" si="12"/>
        <v/>
      </c>
      <c r="M390" s="45" t="str">
        <f t="shared" si="13"/>
        <v/>
      </c>
      <c r="N390" s="39" t="str">
        <f>IF(AND(A390="",B390=""),"",COUNTIFS(数据!$E$3:$E$998,"&lt;&gt;前期仔鱼",数据!$E$3:$E$998,"&lt;&gt;仔鱼",数据!$E$3:$E$998,"&lt;&gt;稚鱼",数据!$F$3:$F$998,A390,数据!$G$3:$G$998,B390))</f>
        <v/>
      </c>
      <c r="O390" s="39" t="str">
        <f>IF(AND(A390="",B390=""),"",COUNTIFS(数据!$E$3:$E$998,"&lt;&gt;鱼卵",数据!$E$3:$E$998,"&lt;&gt;死卵",数据!$F$3:$F$998,A390,数据!$G$3:$G$998,B390))</f>
        <v/>
      </c>
      <c r="P390" s="31"/>
      <c r="Q390">
        <f>SUMIFS(数据!$D$3:$D$998,数据!$E$3:$E$998,"鱼卵",数据!$F$3:$F$998,A390,数据!$G$3:$G$998,B390)</f>
        <v>0</v>
      </c>
      <c r="R390">
        <f>SUMIFS(数据!$D$3:$D$998,数据!$E$3:$E$998,"死卵",数据!$F$3:$F$998,A390,数据!$G$3:$G$998,B390)</f>
        <v>0</v>
      </c>
      <c r="S390">
        <f>SUMIFS(数据!$D$3:$D$998,数据!$E$3:$E$998,"前期仔鱼",数据!$F$3:$F$998,A390,数据!$G$3:$G$998,B390)</f>
        <v>0</v>
      </c>
      <c r="T390">
        <f>SUMIFS(数据!$D$3:$D$998,数据!$E$3:$E$998,"仔鱼",数据!$F$3:$F$998,A390,数据!$G$3:$G$998,B390)</f>
        <v>0</v>
      </c>
      <c r="U390">
        <f>SUMIFS(数据!$D$3:$D$998,数据!$E$3:$E$998,"稚鱼",数据!$F$3:$F$998,A390,数据!$G$3:$G$998,B390)</f>
        <v>0</v>
      </c>
    </row>
    <row r="391" spans="1:21" ht="19.9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45" t="str">
        <f t="shared" si="12"/>
        <v/>
      </c>
      <c r="M391" s="45" t="str">
        <f t="shared" si="13"/>
        <v/>
      </c>
      <c r="N391" s="39" t="str">
        <f>IF(AND(A391="",B391=""),"",COUNTIFS(数据!$E$3:$E$998,"&lt;&gt;前期仔鱼",数据!$E$3:$E$998,"&lt;&gt;仔鱼",数据!$E$3:$E$998,"&lt;&gt;稚鱼",数据!$F$3:$F$998,A391,数据!$G$3:$G$998,B391))</f>
        <v/>
      </c>
      <c r="O391" s="39" t="str">
        <f>IF(AND(A391="",B391=""),"",COUNTIFS(数据!$E$3:$E$998,"&lt;&gt;鱼卵",数据!$E$3:$E$998,"&lt;&gt;死卵",数据!$F$3:$F$998,A391,数据!$G$3:$G$998,B391))</f>
        <v/>
      </c>
      <c r="P391" s="31"/>
      <c r="Q391">
        <f>SUMIFS(数据!$D$3:$D$998,数据!$E$3:$E$998,"鱼卵",数据!$F$3:$F$998,A391,数据!$G$3:$G$998,B391)</f>
        <v>0</v>
      </c>
      <c r="R391">
        <f>SUMIFS(数据!$D$3:$D$998,数据!$E$3:$E$998,"死卵",数据!$F$3:$F$998,A391,数据!$G$3:$G$998,B391)</f>
        <v>0</v>
      </c>
      <c r="S391">
        <f>SUMIFS(数据!$D$3:$D$998,数据!$E$3:$E$998,"前期仔鱼",数据!$F$3:$F$998,A391,数据!$G$3:$G$998,B391)</f>
        <v>0</v>
      </c>
      <c r="T391">
        <f>SUMIFS(数据!$D$3:$D$998,数据!$E$3:$E$998,"仔鱼",数据!$F$3:$F$998,A391,数据!$G$3:$G$998,B391)</f>
        <v>0</v>
      </c>
      <c r="U391">
        <f>SUMIFS(数据!$D$3:$D$998,数据!$E$3:$E$998,"稚鱼",数据!$F$3:$F$998,A391,数据!$G$3:$G$998,B391)</f>
        <v>0</v>
      </c>
    </row>
    <row r="392" spans="1:21" ht="19.9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45" t="str">
        <f t="shared" si="12"/>
        <v/>
      </c>
      <c r="M392" s="45" t="str">
        <f t="shared" si="13"/>
        <v/>
      </c>
      <c r="N392" s="39" t="str">
        <f>IF(AND(A392="",B392=""),"",COUNTIFS(数据!$E$3:$E$998,"&lt;&gt;前期仔鱼",数据!$E$3:$E$998,"&lt;&gt;仔鱼",数据!$E$3:$E$998,"&lt;&gt;稚鱼",数据!$F$3:$F$998,A392,数据!$G$3:$G$998,B392))</f>
        <v/>
      </c>
      <c r="O392" s="39" t="str">
        <f>IF(AND(A392="",B392=""),"",COUNTIFS(数据!$E$3:$E$998,"&lt;&gt;鱼卵",数据!$E$3:$E$998,"&lt;&gt;死卵",数据!$F$3:$F$998,A392,数据!$G$3:$G$998,B392))</f>
        <v/>
      </c>
      <c r="P392" s="31"/>
      <c r="Q392">
        <f>SUMIFS(数据!$D$3:$D$998,数据!$E$3:$E$998,"鱼卵",数据!$F$3:$F$998,A392,数据!$G$3:$G$998,B392)</f>
        <v>0</v>
      </c>
      <c r="R392">
        <f>SUMIFS(数据!$D$3:$D$998,数据!$E$3:$E$998,"死卵",数据!$F$3:$F$998,A392,数据!$G$3:$G$998,B392)</f>
        <v>0</v>
      </c>
      <c r="S392">
        <f>SUMIFS(数据!$D$3:$D$998,数据!$E$3:$E$998,"前期仔鱼",数据!$F$3:$F$998,A392,数据!$G$3:$G$998,B392)</f>
        <v>0</v>
      </c>
      <c r="T392">
        <f>SUMIFS(数据!$D$3:$D$998,数据!$E$3:$E$998,"仔鱼",数据!$F$3:$F$998,A392,数据!$G$3:$G$998,B392)</f>
        <v>0</v>
      </c>
      <c r="U392">
        <f>SUMIFS(数据!$D$3:$D$998,数据!$E$3:$E$998,"稚鱼",数据!$F$3:$F$998,A392,数据!$G$3:$G$998,B392)</f>
        <v>0</v>
      </c>
    </row>
    <row r="393" spans="1:21" ht="19.9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45" t="str">
        <f t="shared" si="12"/>
        <v/>
      </c>
      <c r="M393" s="45" t="str">
        <f t="shared" si="13"/>
        <v/>
      </c>
      <c r="N393" s="39" t="str">
        <f>IF(AND(A393="",B393=""),"",COUNTIFS(数据!$E$3:$E$998,"&lt;&gt;前期仔鱼",数据!$E$3:$E$998,"&lt;&gt;仔鱼",数据!$E$3:$E$998,"&lt;&gt;稚鱼",数据!$F$3:$F$998,A393,数据!$G$3:$G$998,B393))</f>
        <v/>
      </c>
      <c r="O393" s="39" t="str">
        <f>IF(AND(A393="",B393=""),"",COUNTIFS(数据!$E$3:$E$998,"&lt;&gt;鱼卵",数据!$E$3:$E$998,"&lt;&gt;死卵",数据!$F$3:$F$998,A393,数据!$G$3:$G$998,B393))</f>
        <v/>
      </c>
      <c r="P393" s="31"/>
      <c r="Q393">
        <f>SUMIFS(数据!$D$3:$D$998,数据!$E$3:$E$998,"鱼卵",数据!$F$3:$F$998,A393,数据!$G$3:$G$998,B393)</f>
        <v>0</v>
      </c>
      <c r="R393">
        <f>SUMIFS(数据!$D$3:$D$998,数据!$E$3:$E$998,"死卵",数据!$F$3:$F$998,A393,数据!$G$3:$G$998,B393)</f>
        <v>0</v>
      </c>
      <c r="S393">
        <f>SUMIFS(数据!$D$3:$D$998,数据!$E$3:$E$998,"前期仔鱼",数据!$F$3:$F$998,A393,数据!$G$3:$G$998,B393)</f>
        <v>0</v>
      </c>
      <c r="T393">
        <f>SUMIFS(数据!$D$3:$D$998,数据!$E$3:$E$998,"仔鱼",数据!$F$3:$F$998,A393,数据!$G$3:$G$998,B393)</f>
        <v>0</v>
      </c>
      <c r="U393">
        <f>SUMIFS(数据!$D$3:$D$998,数据!$E$3:$E$998,"稚鱼",数据!$F$3:$F$998,A393,数据!$G$3:$G$998,B393)</f>
        <v>0</v>
      </c>
    </row>
    <row r="394" spans="1:21" ht="19.9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45" t="str">
        <f t="shared" si="12"/>
        <v/>
      </c>
      <c r="M394" s="45" t="str">
        <f t="shared" si="13"/>
        <v/>
      </c>
      <c r="N394" s="39" t="str">
        <f>IF(AND(A394="",B394=""),"",COUNTIFS(数据!$E$3:$E$998,"&lt;&gt;前期仔鱼",数据!$E$3:$E$998,"&lt;&gt;仔鱼",数据!$E$3:$E$998,"&lt;&gt;稚鱼",数据!$F$3:$F$998,A394,数据!$G$3:$G$998,B394))</f>
        <v/>
      </c>
      <c r="O394" s="39" t="str">
        <f>IF(AND(A394="",B394=""),"",COUNTIFS(数据!$E$3:$E$998,"&lt;&gt;鱼卵",数据!$E$3:$E$998,"&lt;&gt;死卵",数据!$F$3:$F$998,A394,数据!$G$3:$G$998,B394))</f>
        <v/>
      </c>
      <c r="P394" s="31"/>
      <c r="Q394">
        <f>SUMIFS(数据!$D$3:$D$998,数据!$E$3:$E$998,"鱼卵",数据!$F$3:$F$998,A394,数据!$G$3:$G$998,B394)</f>
        <v>0</v>
      </c>
      <c r="R394">
        <f>SUMIFS(数据!$D$3:$D$998,数据!$E$3:$E$998,"死卵",数据!$F$3:$F$998,A394,数据!$G$3:$G$998,B394)</f>
        <v>0</v>
      </c>
      <c r="S394">
        <f>SUMIFS(数据!$D$3:$D$998,数据!$E$3:$E$998,"前期仔鱼",数据!$F$3:$F$998,A394,数据!$G$3:$G$998,B394)</f>
        <v>0</v>
      </c>
      <c r="T394">
        <f>SUMIFS(数据!$D$3:$D$998,数据!$E$3:$E$998,"仔鱼",数据!$F$3:$F$998,A394,数据!$G$3:$G$998,B394)</f>
        <v>0</v>
      </c>
      <c r="U394">
        <f>SUMIFS(数据!$D$3:$D$998,数据!$E$3:$E$998,"稚鱼",数据!$F$3:$F$998,A394,数据!$G$3:$G$998,B394)</f>
        <v>0</v>
      </c>
    </row>
    <row r="395" spans="1:21" ht="19.9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45" t="str">
        <f t="shared" si="12"/>
        <v/>
      </c>
      <c r="M395" s="45" t="str">
        <f t="shared" si="13"/>
        <v/>
      </c>
      <c r="N395" s="39" t="str">
        <f>IF(AND(A395="",B395=""),"",COUNTIFS(数据!$E$3:$E$998,"&lt;&gt;前期仔鱼",数据!$E$3:$E$998,"&lt;&gt;仔鱼",数据!$E$3:$E$998,"&lt;&gt;稚鱼",数据!$F$3:$F$998,A395,数据!$G$3:$G$998,B395))</f>
        <v/>
      </c>
      <c r="O395" s="39" t="str">
        <f>IF(AND(A395="",B395=""),"",COUNTIFS(数据!$E$3:$E$998,"&lt;&gt;鱼卵",数据!$E$3:$E$998,"&lt;&gt;死卵",数据!$F$3:$F$998,A395,数据!$G$3:$G$998,B395))</f>
        <v/>
      </c>
      <c r="P395" s="31"/>
      <c r="Q395">
        <f>SUMIFS(数据!$D$3:$D$998,数据!$E$3:$E$998,"鱼卵",数据!$F$3:$F$998,A395,数据!$G$3:$G$998,B395)</f>
        <v>0</v>
      </c>
      <c r="R395">
        <f>SUMIFS(数据!$D$3:$D$998,数据!$E$3:$E$998,"死卵",数据!$F$3:$F$998,A395,数据!$G$3:$G$998,B395)</f>
        <v>0</v>
      </c>
      <c r="S395">
        <f>SUMIFS(数据!$D$3:$D$998,数据!$E$3:$E$998,"前期仔鱼",数据!$F$3:$F$998,A395,数据!$G$3:$G$998,B395)</f>
        <v>0</v>
      </c>
      <c r="T395">
        <f>SUMIFS(数据!$D$3:$D$998,数据!$E$3:$E$998,"仔鱼",数据!$F$3:$F$998,A395,数据!$G$3:$G$998,B395)</f>
        <v>0</v>
      </c>
      <c r="U395">
        <f>SUMIFS(数据!$D$3:$D$998,数据!$E$3:$E$998,"稚鱼",数据!$F$3:$F$998,A395,数据!$G$3:$G$998,B395)</f>
        <v>0</v>
      </c>
    </row>
    <row r="396" spans="1:21" ht="19.9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45" t="str">
        <f t="shared" si="12"/>
        <v/>
      </c>
      <c r="M396" s="45" t="str">
        <f t="shared" si="13"/>
        <v/>
      </c>
      <c r="N396" s="39" t="str">
        <f>IF(AND(A396="",B396=""),"",COUNTIFS(数据!$E$3:$E$998,"&lt;&gt;前期仔鱼",数据!$E$3:$E$998,"&lt;&gt;仔鱼",数据!$E$3:$E$998,"&lt;&gt;稚鱼",数据!$F$3:$F$998,A396,数据!$G$3:$G$998,B396))</f>
        <v/>
      </c>
      <c r="O396" s="39" t="str">
        <f>IF(AND(A396="",B396=""),"",COUNTIFS(数据!$E$3:$E$998,"&lt;&gt;鱼卵",数据!$E$3:$E$998,"&lt;&gt;死卵",数据!$F$3:$F$998,A396,数据!$G$3:$G$998,B396))</f>
        <v/>
      </c>
      <c r="P396" s="31"/>
      <c r="Q396">
        <f>SUMIFS(数据!$D$3:$D$998,数据!$E$3:$E$998,"鱼卵",数据!$F$3:$F$998,A396,数据!$G$3:$G$998,B396)</f>
        <v>0</v>
      </c>
      <c r="R396">
        <f>SUMIFS(数据!$D$3:$D$998,数据!$E$3:$E$998,"死卵",数据!$F$3:$F$998,A396,数据!$G$3:$G$998,B396)</f>
        <v>0</v>
      </c>
      <c r="S396">
        <f>SUMIFS(数据!$D$3:$D$998,数据!$E$3:$E$998,"前期仔鱼",数据!$F$3:$F$998,A396,数据!$G$3:$G$998,B396)</f>
        <v>0</v>
      </c>
      <c r="T396">
        <f>SUMIFS(数据!$D$3:$D$998,数据!$E$3:$E$998,"仔鱼",数据!$F$3:$F$998,A396,数据!$G$3:$G$998,B396)</f>
        <v>0</v>
      </c>
      <c r="U396">
        <f>SUMIFS(数据!$D$3:$D$998,数据!$E$3:$E$998,"稚鱼",数据!$F$3:$F$998,A396,数据!$G$3:$G$998,B396)</f>
        <v>0</v>
      </c>
    </row>
    <row r="397" spans="1:21" ht="19.9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45" t="str">
        <f t="shared" si="12"/>
        <v/>
      </c>
      <c r="M397" s="45" t="str">
        <f t="shared" si="13"/>
        <v/>
      </c>
      <c r="N397" s="39" t="str">
        <f>IF(AND(A397="",B397=""),"",COUNTIFS(数据!$E$3:$E$998,"&lt;&gt;前期仔鱼",数据!$E$3:$E$998,"&lt;&gt;仔鱼",数据!$E$3:$E$998,"&lt;&gt;稚鱼",数据!$F$3:$F$998,A397,数据!$G$3:$G$998,B397))</f>
        <v/>
      </c>
      <c r="O397" s="39" t="str">
        <f>IF(AND(A397="",B397=""),"",COUNTIFS(数据!$E$3:$E$998,"&lt;&gt;鱼卵",数据!$E$3:$E$998,"&lt;&gt;死卵",数据!$F$3:$F$998,A397,数据!$G$3:$G$998,B397))</f>
        <v/>
      </c>
      <c r="P397" s="31"/>
      <c r="Q397">
        <f>SUMIFS(数据!$D$3:$D$998,数据!$E$3:$E$998,"鱼卵",数据!$F$3:$F$998,A397,数据!$G$3:$G$998,B397)</f>
        <v>0</v>
      </c>
      <c r="R397">
        <f>SUMIFS(数据!$D$3:$D$998,数据!$E$3:$E$998,"死卵",数据!$F$3:$F$998,A397,数据!$G$3:$G$998,B397)</f>
        <v>0</v>
      </c>
      <c r="S397">
        <f>SUMIFS(数据!$D$3:$D$998,数据!$E$3:$E$998,"前期仔鱼",数据!$F$3:$F$998,A397,数据!$G$3:$G$998,B397)</f>
        <v>0</v>
      </c>
      <c r="T397">
        <f>SUMIFS(数据!$D$3:$D$998,数据!$E$3:$E$998,"仔鱼",数据!$F$3:$F$998,A397,数据!$G$3:$G$998,B397)</f>
        <v>0</v>
      </c>
      <c r="U397">
        <f>SUMIFS(数据!$D$3:$D$998,数据!$E$3:$E$998,"稚鱼",数据!$F$3:$F$998,A397,数据!$G$3:$G$998,B397)</f>
        <v>0</v>
      </c>
    </row>
    <row r="398" spans="1:21" ht="19.9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45" t="str">
        <f t="shared" si="12"/>
        <v/>
      </c>
      <c r="M398" s="45" t="str">
        <f t="shared" si="13"/>
        <v/>
      </c>
      <c r="N398" s="39" t="str">
        <f>IF(AND(A398="",B398=""),"",COUNTIFS(数据!$E$3:$E$998,"&lt;&gt;前期仔鱼",数据!$E$3:$E$998,"&lt;&gt;仔鱼",数据!$E$3:$E$998,"&lt;&gt;稚鱼",数据!$F$3:$F$998,A398,数据!$G$3:$G$998,B398))</f>
        <v/>
      </c>
      <c r="O398" s="39" t="str">
        <f>IF(AND(A398="",B398=""),"",COUNTIFS(数据!$E$3:$E$998,"&lt;&gt;鱼卵",数据!$E$3:$E$998,"&lt;&gt;死卵",数据!$F$3:$F$998,A398,数据!$G$3:$G$998,B398))</f>
        <v/>
      </c>
      <c r="P398" s="31"/>
      <c r="Q398">
        <f>SUMIFS(数据!$D$3:$D$998,数据!$E$3:$E$998,"鱼卵",数据!$F$3:$F$998,A398,数据!$G$3:$G$998,B398)</f>
        <v>0</v>
      </c>
      <c r="R398">
        <f>SUMIFS(数据!$D$3:$D$998,数据!$E$3:$E$998,"死卵",数据!$F$3:$F$998,A398,数据!$G$3:$G$998,B398)</f>
        <v>0</v>
      </c>
      <c r="S398">
        <f>SUMIFS(数据!$D$3:$D$998,数据!$E$3:$E$998,"前期仔鱼",数据!$F$3:$F$998,A398,数据!$G$3:$G$998,B398)</f>
        <v>0</v>
      </c>
      <c r="T398">
        <f>SUMIFS(数据!$D$3:$D$998,数据!$E$3:$E$998,"仔鱼",数据!$F$3:$F$998,A398,数据!$G$3:$G$998,B398)</f>
        <v>0</v>
      </c>
      <c r="U398">
        <f>SUMIFS(数据!$D$3:$D$998,数据!$E$3:$E$998,"稚鱼",数据!$F$3:$F$998,A398,数据!$G$3:$G$998,B398)</f>
        <v>0</v>
      </c>
    </row>
    <row r="399" spans="1:21" ht="19.9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45" t="str">
        <f t="shared" si="12"/>
        <v/>
      </c>
      <c r="M399" s="45" t="str">
        <f t="shared" si="13"/>
        <v/>
      </c>
      <c r="N399" s="39" t="str">
        <f>IF(AND(A399="",B399=""),"",COUNTIFS(数据!$E$3:$E$998,"&lt;&gt;前期仔鱼",数据!$E$3:$E$998,"&lt;&gt;仔鱼",数据!$E$3:$E$998,"&lt;&gt;稚鱼",数据!$F$3:$F$998,A399,数据!$G$3:$G$998,B399))</f>
        <v/>
      </c>
      <c r="O399" s="39" t="str">
        <f>IF(AND(A399="",B399=""),"",COUNTIFS(数据!$E$3:$E$998,"&lt;&gt;鱼卵",数据!$E$3:$E$998,"&lt;&gt;死卵",数据!$F$3:$F$998,A399,数据!$G$3:$G$998,B399))</f>
        <v/>
      </c>
      <c r="P399" s="31"/>
      <c r="Q399">
        <f>SUMIFS(数据!$D$3:$D$998,数据!$E$3:$E$998,"鱼卵",数据!$F$3:$F$998,A399,数据!$G$3:$G$998,B399)</f>
        <v>0</v>
      </c>
      <c r="R399">
        <f>SUMIFS(数据!$D$3:$D$998,数据!$E$3:$E$998,"死卵",数据!$F$3:$F$998,A399,数据!$G$3:$G$998,B399)</f>
        <v>0</v>
      </c>
      <c r="S399">
        <f>SUMIFS(数据!$D$3:$D$998,数据!$E$3:$E$998,"前期仔鱼",数据!$F$3:$F$998,A399,数据!$G$3:$G$998,B399)</f>
        <v>0</v>
      </c>
      <c r="T399">
        <f>SUMIFS(数据!$D$3:$D$998,数据!$E$3:$E$998,"仔鱼",数据!$F$3:$F$998,A399,数据!$G$3:$G$998,B399)</f>
        <v>0</v>
      </c>
      <c r="U399">
        <f>SUMIFS(数据!$D$3:$D$998,数据!$E$3:$E$998,"稚鱼",数据!$F$3:$F$998,A399,数据!$G$3:$G$998,B399)</f>
        <v>0</v>
      </c>
    </row>
    <row r="400" spans="1:21" ht="19.9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45" t="str">
        <f t="shared" si="12"/>
        <v/>
      </c>
      <c r="M400" s="45" t="str">
        <f t="shared" si="13"/>
        <v/>
      </c>
      <c r="N400" s="39" t="str">
        <f>IF(AND(A400="",B400=""),"",COUNTIFS(数据!$E$3:$E$998,"&lt;&gt;前期仔鱼",数据!$E$3:$E$998,"&lt;&gt;仔鱼",数据!$E$3:$E$998,"&lt;&gt;稚鱼",数据!$F$3:$F$998,A400,数据!$G$3:$G$998,B400))</f>
        <v/>
      </c>
      <c r="O400" s="39" t="str">
        <f>IF(AND(A400="",B400=""),"",COUNTIFS(数据!$E$3:$E$998,"&lt;&gt;鱼卵",数据!$E$3:$E$998,"&lt;&gt;死卵",数据!$F$3:$F$998,A400,数据!$G$3:$G$998,B400))</f>
        <v/>
      </c>
      <c r="P400" s="31"/>
      <c r="Q400">
        <f>SUMIFS(数据!$D$3:$D$998,数据!$E$3:$E$998,"鱼卵",数据!$F$3:$F$998,A400,数据!$G$3:$G$998,B400)</f>
        <v>0</v>
      </c>
      <c r="R400">
        <f>SUMIFS(数据!$D$3:$D$998,数据!$E$3:$E$998,"死卵",数据!$F$3:$F$998,A400,数据!$G$3:$G$998,B400)</f>
        <v>0</v>
      </c>
      <c r="S400">
        <f>SUMIFS(数据!$D$3:$D$998,数据!$E$3:$E$998,"前期仔鱼",数据!$F$3:$F$998,A400,数据!$G$3:$G$998,B400)</f>
        <v>0</v>
      </c>
      <c r="T400">
        <f>SUMIFS(数据!$D$3:$D$998,数据!$E$3:$E$998,"仔鱼",数据!$F$3:$F$998,A400,数据!$G$3:$G$998,B400)</f>
        <v>0</v>
      </c>
      <c r="U400">
        <f>SUMIFS(数据!$D$3:$D$998,数据!$E$3:$E$998,"稚鱼",数据!$F$3:$F$998,A400,数据!$G$3:$G$998,B400)</f>
        <v>0</v>
      </c>
    </row>
    <row r="401" spans="1:21" ht="19.9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45" t="str">
        <f t="shared" si="12"/>
        <v/>
      </c>
      <c r="M401" s="45" t="str">
        <f t="shared" si="13"/>
        <v/>
      </c>
      <c r="N401" s="39" t="str">
        <f>IF(AND(A401="",B401=""),"",COUNTIFS(数据!$E$3:$E$998,"&lt;&gt;前期仔鱼",数据!$E$3:$E$998,"&lt;&gt;仔鱼",数据!$E$3:$E$998,"&lt;&gt;稚鱼",数据!$F$3:$F$998,A401,数据!$G$3:$G$998,B401))</f>
        <v/>
      </c>
      <c r="O401" s="39" t="str">
        <f>IF(AND(A401="",B401=""),"",COUNTIFS(数据!$E$3:$E$998,"&lt;&gt;鱼卵",数据!$E$3:$E$998,"&lt;&gt;死卵",数据!$F$3:$F$998,A401,数据!$G$3:$G$998,B401))</f>
        <v/>
      </c>
      <c r="P401" s="31"/>
      <c r="Q401">
        <f>SUMIFS(数据!$D$3:$D$998,数据!$E$3:$E$998,"鱼卵",数据!$F$3:$F$998,A401,数据!$G$3:$G$998,B401)</f>
        <v>0</v>
      </c>
      <c r="R401">
        <f>SUMIFS(数据!$D$3:$D$998,数据!$E$3:$E$998,"死卵",数据!$F$3:$F$998,A401,数据!$G$3:$G$998,B401)</f>
        <v>0</v>
      </c>
      <c r="S401">
        <f>SUMIFS(数据!$D$3:$D$998,数据!$E$3:$E$998,"前期仔鱼",数据!$F$3:$F$998,A401,数据!$G$3:$G$998,B401)</f>
        <v>0</v>
      </c>
      <c r="T401">
        <f>SUMIFS(数据!$D$3:$D$998,数据!$E$3:$E$998,"仔鱼",数据!$F$3:$F$998,A401,数据!$G$3:$G$998,B401)</f>
        <v>0</v>
      </c>
      <c r="U401">
        <f>SUMIFS(数据!$D$3:$D$998,数据!$E$3:$E$998,"稚鱼",数据!$F$3:$F$998,A401,数据!$G$3:$G$998,B401)</f>
        <v>0</v>
      </c>
    </row>
    <row r="402" spans="1:21" ht="19.9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45" t="str">
        <f t="shared" si="12"/>
        <v/>
      </c>
      <c r="M402" s="45" t="str">
        <f t="shared" si="13"/>
        <v/>
      </c>
      <c r="N402" s="39" t="str">
        <f>IF(AND(A402="",B402=""),"",COUNTIFS(数据!$E$3:$E$998,"&lt;&gt;前期仔鱼",数据!$E$3:$E$998,"&lt;&gt;仔鱼",数据!$E$3:$E$998,"&lt;&gt;稚鱼",数据!$F$3:$F$998,A402,数据!$G$3:$G$998,B402))</f>
        <v/>
      </c>
      <c r="O402" s="39" t="str">
        <f>IF(AND(A402="",B402=""),"",COUNTIFS(数据!$E$3:$E$998,"&lt;&gt;鱼卵",数据!$E$3:$E$998,"&lt;&gt;死卵",数据!$F$3:$F$998,A402,数据!$G$3:$G$998,B402))</f>
        <v/>
      </c>
      <c r="P402" s="31"/>
      <c r="Q402">
        <f>SUMIFS(数据!$D$3:$D$998,数据!$E$3:$E$998,"鱼卵",数据!$F$3:$F$998,A402,数据!$G$3:$G$998,B402)</f>
        <v>0</v>
      </c>
      <c r="R402">
        <f>SUMIFS(数据!$D$3:$D$998,数据!$E$3:$E$998,"死卵",数据!$F$3:$F$998,A402,数据!$G$3:$G$998,B402)</f>
        <v>0</v>
      </c>
      <c r="S402">
        <f>SUMIFS(数据!$D$3:$D$998,数据!$E$3:$E$998,"前期仔鱼",数据!$F$3:$F$998,A402,数据!$G$3:$G$998,B402)</f>
        <v>0</v>
      </c>
      <c r="T402">
        <f>SUMIFS(数据!$D$3:$D$998,数据!$E$3:$E$998,"仔鱼",数据!$F$3:$F$998,A402,数据!$G$3:$G$998,B402)</f>
        <v>0</v>
      </c>
      <c r="U402">
        <f>SUMIFS(数据!$D$3:$D$998,数据!$E$3:$E$998,"稚鱼",数据!$F$3:$F$998,A402,数据!$G$3:$G$998,B402)</f>
        <v>0</v>
      </c>
    </row>
    <row r="403" spans="1:21" ht="19.9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45" t="str">
        <f t="shared" si="12"/>
        <v/>
      </c>
      <c r="M403" s="45" t="str">
        <f t="shared" si="13"/>
        <v/>
      </c>
      <c r="N403" s="39" t="str">
        <f>IF(AND(A403="",B403=""),"",COUNTIFS(数据!$E$3:$E$998,"&lt;&gt;前期仔鱼",数据!$E$3:$E$998,"&lt;&gt;仔鱼",数据!$E$3:$E$998,"&lt;&gt;稚鱼",数据!$F$3:$F$998,A403,数据!$G$3:$G$998,B403))</f>
        <v/>
      </c>
      <c r="O403" s="39" t="str">
        <f>IF(AND(A403="",B403=""),"",COUNTIFS(数据!$E$3:$E$998,"&lt;&gt;鱼卵",数据!$E$3:$E$998,"&lt;&gt;死卵",数据!$F$3:$F$998,A403,数据!$G$3:$G$998,B403))</f>
        <v/>
      </c>
      <c r="P403" s="31"/>
      <c r="Q403">
        <f>SUMIFS(数据!$D$3:$D$998,数据!$E$3:$E$998,"鱼卵",数据!$F$3:$F$998,A403,数据!$G$3:$G$998,B403)</f>
        <v>0</v>
      </c>
      <c r="R403">
        <f>SUMIFS(数据!$D$3:$D$998,数据!$E$3:$E$998,"死卵",数据!$F$3:$F$998,A403,数据!$G$3:$G$998,B403)</f>
        <v>0</v>
      </c>
      <c r="S403">
        <f>SUMIFS(数据!$D$3:$D$998,数据!$E$3:$E$998,"前期仔鱼",数据!$F$3:$F$998,A403,数据!$G$3:$G$998,B403)</f>
        <v>0</v>
      </c>
      <c r="T403">
        <f>SUMIFS(数据!$D$3:$D$998,数据!$E$3:$E$998,"仔鱼",数据!$F$3:$F$998,A403,数据!$G$3:$G$998,B403)</f>
        <v>0</v>
      </c>
      <c r="U403">
        <f>SUMIFS(数据!$D$3:$D$998,数据!$E$3:$E$998,"稚鱼",数据!$F$3:$F$998,A403,数据!$G$3:$G$998,B403)</f>
        <v>0</v>
      </c>
    </row>
    <row r="404" spans="1:21" ht="19.9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45" t="str">
        <f t="shared" si="12"/>
        <v/>
      </c>
      <c r="M404" s="45" t="str">
        <f t="shared" si="13"/>
        <v/>
      </c>
      <c r="N404" s="39" t="str">
        <f>IF(AND(A404="",B404=""),"",COUNTIFS(数据!$E$3:$E$998,"&lt;&gt;前期仔鱼",数据!$E$3:$E$998,"&lt;&gt;仔鱼",数据!$E$3:$E$998,"&lt;&gt;稚鱼",数据!$F$3:$F$998,A404,数据!$G$3:$G$998,B404))</f>
        <v/>
      </c>
      <c r="O404" s="39" t="str">
        <f>IF(AND(A404="",B404=""),"",COUNTIFS(数据!$E$3:$E$998,"&lt;&gt;鱼卵",数据!$E$3:$E$998,"&lt;&gt;死卵",数据!$F$3:$F$998,A404,数据!$G$3:$G$998,B404))</f>
        <v/>
      </c>
      <c r="P404" s="31"/>
      <c r="Q404">
        <f>SUMIFS(数据!$D$3:$D$998,数据!$E$3:$E$998,"鱼卵",数据!$F$3:$F$998,A404,数据!$G$3:$G$998,B404)</f>
        <v>0</v>
      </c>
      <c r="R404">
        <f>SUMIFS(数据!$D$3:$D$998,数据!$E$3:$E$998,"死卵",数据!$F$3:$F$998,A404,数据!$G$3:$G$998,B404)</f>
        <v>0</v>
      </c>
      <c r="S404">
        <f>SUMIFS(数据!$D$3:$D$998,数据!$E$3:$E$998,"前期仔鱼",数据!$F$3:$F$998,A404,数据!$G$3:$G$998,B404)</f>
        <v>0</v>
      </c>
      <c r="T404">
        <f>SUMIFS(数据!$D$3:$D$998,数据!$E$3:$E$998,"仔鱼",数据!$F$3:$F$998,A404,数据!$G$3:$G$998,B404)</f>
        <v>0</v>
      </c>
      <c r="U404">
        <f>SUMIFS(数据!$D$3:$D$998,数据!$E$3:$E$998,"稚鱼",数据!$F$3:$F$998,A404,数据!$G$3:$G$998,B404)</f>
        <v>0</v>
      </c>
    </row>
    <row r="405" spans="1:21" ht="19.9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45" t="str">
        <f t="shared" si="12"/>
        <v/>
      </c>
      <c r="M405" s="45" t="str">
        <f t="shared" si="13"/>
        <v/>
      </c>
      <c r="N405" s="39" t="str">
        <f>IF(AND(A405="",B405=""),"",COUNTIFS(数据!$E$3:$E$998,"&lt;&gt;前期仔鱼",数据!$E$3:$E$998,"&lt;&gt;仔鱼",数据!$E$3:$E$998,"&lt;&gt;稚鱼",数据!$F$3:$F$998,A405,数据!$G$3:$G$998,B405))</f>
        <v/>
      </c>
      <c r="O405" s="39" t="str">
        <f>IF(AND(A405="",B405=""),"",COUNTIFS(数据!$E$3:$E$998,"&lt;&gt;鱼卵",数据!$E$3:$E$998,"&lt;&gt;死卵",数据!$F$3:$F$998,A405,数据!$G$3:$G$998,B405))</f>
        <v/>
      </c>
      <c r="P405" s="31"/>
      <c r="Q405">
        <f>SUMIFS(数据!$D$3:$D$998,数据!$E$3:$E$998,"鱼卵",数据!$F$3:$F$998,A405,数据!$G$3:$G$998,B405)</f>
        <v>0</v>
      </c>
      <c r="R405">
        <f>SUMIFS(数据!$D$3:$D$998,数据!$E$3:$E$998,"死卵",数据!$F$3:$F$998,A405,数据!$G$3:$G$998,B405)</f>
        <v>0</v>
      </c>
      <c r="S405">
        <f>SUMIFS(数据!$D$3:$D$998,数据!$E$3:$E$998,"前期仔鱼",数据!$F$3:$F$998,A405,数据!$G$3:$G$998,B405)</f>
        <v>0</v>
      </c>
      <c r="T405">
        <f>SUMIFS(数据!$D$3:$D$998,数据!$E$3:$E$998,"仔鱼",数据!$F$3:$F$998,A405,数据!$G$3:$G$998,B405)</f>
        <v>0</v>
      </c>
      <c r="U405">
        <f>SUMIFS(数据!$D$3:$D$998,数据!$E$3:$E$998,"稚鱼",数据!$F$3:$F$998,A405,数据!$G$3:$G$998,B405)</f>
        <v>0</v>
      </c>
    </row>
    <row r="406" spans="1:21" ht="19.9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45" t="str">
        <f t="shared" si="12"/>
        <v/>
      </c>
      <c r="M406" s="45" t="str">
        <f t="shared" si="13"/>
        <v/>
      </c>
      <c r="N406" s="39" t="str">
        <f>IF(AND(A406="",B406=""),"",COUNTIFS(数据!$E$3:$E$998,"&lt;&gt;前期仔鱼",数据!$E$3:$E$998,"&lt;&gt;仔鱼",数据!$E$3:$E$998,"&lt;&gt;稚鱼",数据!$F$3:$F$998,A406,数据!$G$3:$G$998,B406))</f>
        <v/>
      </c>
      <c r="O406" s="39" t="str">
        <f>IF(AND(A406="",B406=""),"",COUNTIFS(数据!$E$3:$E$998,"&lt;&gt;鱼卵",数据!$E$3:$E$998,"&lt;&gt;死卵",数据!$F$3:$F$998,A406,数据!$G$3:$G$998,B406))</f>
        <v/>
      </c>
      <c r="P406" s="31"/>
      <c r="Q406">
        <f>SUMIFS(数据!$D$3:$D$998,数据!$E$3:$E$998,"鱼卵",数据!$F$3:$F$998,A406,数据!$G$3:$G$998,B406)</f>
        <v>0</v>
      </c>
      <c r="R406">
        <f>SUMIFS(数据!$D$3:$D$998,数据!$E$3:$E$998,"死卵",数据!$F$3:$F$998,A406,数据!$G$3:$G$998,B406)</f>
        <v>0</v>
      </c>
      <c r="S406">
        <f>SUMIFS(数据!$D$3:$D$998,数据!$E$3:$E$998,"前期仔鱼",数据!$F$3:$F$998,A406,数据!$G$3:$G$998,B406)</f>
        <v>0</v>
      </c>
      <c r="T406">
        <f>SUMIFS(数据!$D$3:$D$998,数据!$E$3:$E$998,"仔鱼",数据!$F$3:$F$998,A406,数据!$G$3:$G$998,B406)</f>
        <v>0</v>
      </c>
      <c r="U406">
        <f>SUMIFS(数据!$D$3:$D$998,数据!$E$3:$E$998,"稚鱼",数据!$F$3:$F$998,A406,数据!$G$3:$G$998,B406)</f>
        <v>0</v>
      </c>
    </row>
    <row r="407" spans="1:21" ht="19.9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45" t="str">
        <f t="shared" si="12"/>
        <v/>
      </c>
      <c r="M407" s="45" t="str">
        <f t="shared" si="13"/>
        <v/>
      </c>
      <c r="N407" s="39" t="str">
        <f>IF(AND(A407="",B407=""),"",COUNTIFS(数据!$E$3:$E$998,"&lt;&gt;前期仔鱼",数据!$E$3:$E$998,"&lt;&gt;仔鱼",数据!$E$3:$E$998,"&lt;&gt;稚鱼",数据!$F$3:$F$998,A407,数据!$G$3:$G$998,B407))</f>
        <v/>
      </c>
      <c r="O407" s="39" t="str">
        <f>IF(AND(A407="",B407=""),"",COUNTIFS(数据!$E$3:$E$998,"&lt;&gt;鱼卵",数据!$E$3:$E$998,"&lt;&gt;死卵",数据!$F$3:$F$998,A407,数据!$G$3:$G$998,B407))</f>
        <v/>
      </c>
      <c r="P407" s="31"/>
      <c r="Q407">
        <f>SUMIFS(数据!$D$3:$D$998,数据!$E$3:$E$998,"鱼卵",数据!$F$3:$F$998,A407,数据!$G$3:$G$998,B407)</f>
        <v>0</v>
      </c>
      <c r="R407">
        <f>SUMIFS(数据!$D$3:$D$998,数据!$E$3:$E$998,"死卵",数据!$F$3:$F$998,A407,数据!$G$3:$G$998,B407)</f>
        <v>0</v>
      </c>
      <c r="S407">
        <f>SUMIFS(数据!$D$3:$D$998,数据!$E$3:$E$998,"前期仔鱼",数据!$F$3:$F$998,A407,数据!$G$3:$G$998,B407)</f>
        <v>0</v>
      </c>
      <c r="T407">
        <f>SUMIFS(数据!$D$3:$D$998,数据!$E$3:$E$998,"仔鱼",数据!$F$3:$F$998,A407,数据!$G$3:$G$998,B407)</f>
        <v>0</v>
      </c>
      <c r="U407">
        <f>SUMIFS(数据!$D$3:$D$998,数据!$E$3:$E$998,"稚鱼",数据!$F$3:$F$998,A407,数据!$G$3:$G$998,B407)</f>
        <v>0</v>
      </c>
    </row>
    <row r="408" spans="1:21" ht="19.9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45" t="str">
        <f t="shared" si="12"/>
        <v/>
      </c>
      <c r="M408" s="45" t="str">
        <f t="shared" si="13"/>
        <v/>
      </c>
      <c r="N408" s="39" t="str">
        <f>IF(AND(A408="",B408=""),"",COUNTIFS(数据!$E$3:$E$998,"&lt;&gt;前期仔鱼",数据!$E$3:$E$998,"&lt;&gt;仔鱼",数据!$E$3:$E$998,"&lt;&gt;稚鱼",数据!$F$3:$F$998,A408,数据!$G$3:$G$998,B408))</f>
        <v/>
      </c>
      <c r="O408" s="39" t="str">
        <f>IF(AND(A408="",B408=""),"",COUNTIFS(数据!$E$3:$E$998,"&lt;&gt;鱼卵",数据!$E$3:$E$998,"&lt;&gt;死卵",数据!$F$3:$F$998,A408,数据!$G$3:$G$998,B408))</f>
        <v/>
      </c>
      <c r="P408" s="31"/>
      <c r="Q408">
        <f>SUMIFS(数据!$D$3:$D$998,数据!$E$3:$E$998,"鱼卵",数据!$F$3:$F$998,A408,数据!$G$3:$G$998,B408)</f>
        <v>0</v>
      </c>
      <c r="R408">
        <f>SUMIFS(数据!$D$3:$D$998,数据!$E$3:$E$998,"死卵",数据!$F$3:$F$998,A408,数据!$G$3:$G$998,B408)</f>
        <v>0</v>
      </c>
      <c r="S408">
        <f>SUMIFS(数据!$D$3:$D$998,数据!$E$3:$E$998,"前期仔鱼",数据!$F$3:$F$998,A408,数据!$G$3:$G$998,B408)</f>
        <v>0</v>
      </c>
      <c r="T408">
        <f>SUMIFS(数据!$D$3:$D$998,数据!$E$3:$E$998,"仔鱼",数据!$F$3:$F$998,A408,数据!$G$3:$G$998,B408)</f>
        <v>0</v>
      </c>
      <c r="U408">
        <f>SUMIFS(数据!$D$3:$D$998,数据!$E$3:$E$998,"稚鱼",数据!$F$3:$F$998,A408,数据!$G$3:$G$998,B408)</f>
        <v>0</v>
      </c>
    </row>
    <row r="409" spans="1:21" ht="19.9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45" t="str">
        <f t="shared" si="12"/>
        <v/>
      </c>
      <c r="M409" s="45" t="str">
        <f t="shared" si="13"/>
        <v/>
      </c>
      <c r="N409" s="39" t="str">
        <f>IF(AND(A409="",B409=""),"",COUNTIFS(数据!$E$3:$E$998,"&lt;&gt;前期仔鱼",数据!$E$3:$E$998,"&lt;&gt;仔鱼",数据!$E$3:$E$998,"&lt;&gt;稚鱼",数据!$F$3:$F$998,A409,数据!$G$3:$G$998,B409))</f>
        <v/>
      </c>
      <c r="O409" s="39" t="str">
        <f>IF(AND(A409="",B409=""),"",COUNTIFS(数据!$E$3:$E$998,"&lt;&gt;鱼卵",数据!$E$3:$E$998,"&lt;&gt;死卵",数据!$F$3:$F$998,A409,数据!$G$3:$G$998,B409))</f>
        <v/>
      </c>
      <c r="P409" s="31"/>
      <c r="Q409">
        <f>SUMIFS(数据!$D$3:$D$998,数据!$E$3:$E$998,"鱼卵",数据!$F$3:$F$998,A409,数据!$G$3:$G$998,B409)</f>
        <v>0</v>
      </c>
      <c r="R409">
        <f>SUMIFS(数据!$D$3:$D$998,数据!$E$3:$E$998,"死卵",数据!$F$3:$F$998,A409,数据!$G$3:$G$998,B409)</f>
        <v>0</v>
      </c>
      <c r="S409">
        <f>SUMIFS(数据!$D$3:$D$998,数据!$E$3:$E$998,"前期仔鱼",数据!$F$3:$F$998,A409,数据!$G$3:$G$998,B409)</f>
        <v>0</v>
      </c>
      <c r="T409">
        <f>SUMIFS(数据!$D$3:$D$998,数据!$E$3:$E$998,"仔鱼",数据!$F$3:$F$998,A409,数据!$G$3:$G$998,B409)</f>
        <v>0</v>
      </c>
      <c r="U409">
        <f>SUMIFS(数据!$D$3:$D$998,数据!$E$3:$E$998,"稚鱼",数据!$F$3:$F$998,A409,数据!$G$3:$G$998,B409)</f>
        <v>0</v>
      </c>
    </row>
    <row r="410" spans="1:21" ht="19.9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45" t="str">
        <f t="shared" si="12"/>
        <v/>
      </c>
      <c r="M410" s="45" t="str">
        <f t="shared" si="13"/>
        <v/>
      </c>
      <c r="N410" s="39" t="str">
        <f>IF(AND(A410="",B410=""),"",COUNTIFS(数据!$E$3:$E$998,"&lt;&gt;前期仔鱼",数据!$E$3:$E$998,"&lt;&gt;仔鱼",数据!$E$3:$E$998,"&lt;&gt;稚鱼",数据!$F$3:$F$998,A410,数据!$G$3:$G$998,B410))</f>
        <v/>
      </c>
      <c r="O410" s="39" t="str">
        <f>IF(AND(A410="",B410=""),"",COUNTIFS(数据!$E$3:$E$998,"&lt;&gt;鱼卵",数据!$E$3:$E$998,"&lt;&gt;死卵",数据!$F$3:$F$998,A410,数据!$G$3:$G$998,B410))</f>
        <v/>
      </c>
      <c r="P410" s="31"/>
      <c r="Q410">
        <f>SUMIFS(数据!$D$3:$D$998,数据!$E$3:$E$998,"鱼卵",数据!$F$3:$F$998,A410,数据!$G$3:$G$998,B410)</f>
        <v>0</v>
      </c>
      <c r="R410">
        <f>SUMIFS(数据!$D$3:$D$998,数据!$E$3:$E$998,"死卵",数据!$F$3:$F$998,A410,数据!$G$3:$G$998,B410)</f>
        <v>0</v>
      </c>
      <c r="S410">
        <f>SUMIFS(数据!$D$3:$D$998,数据!$E$3:$E$998,"前期仔鱼",数据!$F$3:$F$998,A410,数据!$G$3:$G$998,B410)</f>
        <v>0</v>
      </c>
      <c r="T410">
        <f>SUMIFS(数据!$D$3:$D$998,数据!$E$3:$E$998,"仔鱼",数据!$F$3:$F$998,A410,数据!$G$3:$G$998,B410)</f>
        <v>0</v>
      </c>
      <c r="U410">
        <f>SUMIFS(数据!$D$3:$D$998,数据!$E$3:$E$998,"稚鱼",数据!$F$3:$F$998,A410,数据!$G$3:$G$998,B410)</f>
        <v>0</v>
      </c>
    </row>
    <row r="411" spans="1:21" ht="19.9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45" t="str">
        <f t="shared" si="12"/>
        <v/>
      </c>
      <c r="M411" s="45" t="str">
        <f t="shared" si="13"/>
        <v/>
      </c>
      <c r="N411" s="39" t="str">
        <f>IF(AND(A411="",B411=""),"",COUNTIFS(数据!$E$3:$E$998,"&lt;&gt;前期仔鱼",数据!$E$3:$E$998,"&lt;&gt;仔鱼",数据!$E$3:$E$998,"&lt;&gt;稚鱼",数据!$F$3:$F$998,A411,数据!$G$3:$G$998,B411))</f>
        <v/>
      </c>
      <c r="O411" s="39" t="str">
        <f>IF(AND(A411="",B411=""),"",COUNTIFS(数据!$E$3:$E$998,"&lt;&gt;鱼卵",数据!$E$3:$E$998,"&lt;&gt;死卵",数据!$F$3:$F$998,A411,数据!$G$3:$G$998,B411))</f>
        <v/>
      </c>
      <c r="P411" s="31"/>
      <c r="Q411">
        <f>SUMIFS(数据!$D$3:$D$998,数据!$E$3:$E$998,"鱼卵",数据!$F$3:$F$998,A411,数据!$G$3:$G$998,B411)</f>
        <v>0</v>
      </c>
      <c r="R411">
        <f>SUMIFS(数据!$D$3:$D$998,数据!$E$3:$E$998,"死卵",数据!$F$3:$F$998,A411,数据!$G$3:$G$998,B411)</f>
        <v>0</v>
      </c>
      <c r="S411">
        <f>SUMIFS(数据!$D$3:$D$998,数据!$E$3:$E$998,"前期仔鱼",数据!$F$3:$F$998,A411,数据!$G$3:$G$998,B411)</f>
        <v>0</v>
      </c>
      <c r="T411">
        <f>SUMIFS(数据!$D$3:$D$998,数据!$E$3:$E$998,"仔鱼",数据!$F$3:$F$998,A411,数据!$G$3:$G$998,B411)</f>
        <v>0</v>
      </c>
      <c r="U411">
        <f>SUMIFS(数据!$D$3:$D$998,数据!$E$3:$E$998,"稚鱼",数据!$F$3:$F$998,A411,数据!$G$3:$G$998,B411)</f>
        <v>0</v>
      </c>
    </row>
    <row r="412" spans="1:21" ht="19.9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45" t="str">
        <f t="shared" si="12"/>
        <v/>
      </c>
      <c r="M412" s="45" t="str">
        <f t="shared" si="13"/>
        <v/>
      </c>
      <c r="N412" s="39" t="str">
        <f>IF(AND(A412="",B412=""),"",COUNTIFS(数据!$E$3:$E$998,"&lt;&gt;前期仔鱼",数据!$E$3:$E$998,"&lt;&gt;仔鱼",数据!$E$3:$E$998,"&lt;&gt;稚鱼",数据!$F$3:$F$998,A412,数据!$G$3:$G$998,B412))</f>
        <v/>
      </c>
      <c r="O412" s="39" t="str">
        <f>IF(AND(A412="",B412=""),"",COUNTIFS(数据!$E$3:$E$998,"&lt;&gt;鱼卵",数据!$E$3:$E$998,"&lt;&gt;死卵",数据!$F$3:$F$998,A412,数据!$G$3:$G$998,B412))</f>
        <v/>
      </c>
      <c r="P412" s="31"/>
      <c r="Q412">
        <f>SUMIFS(数据!$D$3:$D$998,数据!$E$3:$E$998,"鱼卵",数据!$F$3:$F$998,A412,数据!$G$3:$G$998,B412)</f>
        <v>0</v>
      </c>
      <c r="R412">
        <f>SUMIFS(数据!$D$3:$D$998,数据!$E$3:$E$998,"死卵",数据!$F$3:$F$998,A412,数据!$G$3:$G$998,B412)</f>
        <v>0</v>
      </c>
      <c r="S412">
        <f>SUMIFS(数据!$D$3:$D$998,数据!$E$3:$E$998,"前期仔鱼",数据!$F$3:$F$998,A412,数据!$G$3:$G$998,B412)</f>
        <v>0</v>
      </c>
      <c r="T412">
        <f>SUMIFS(数据!$D$3:$D$998,数据!$E$3:$E$998,"仔鱼",数据!$F$3:$F$998,A412,数据!$G$3:$G$998,B412)</f>
        <v>0</v>
      </c>
      <c r="U412">
        <f>SUMIFS(数据!$D$3:$D$998,数据!$E$3:$E$998,"稚鱼",数据!$F$3:$F$998,A412,数据!$G$3:$G$998,B412)</f>
        <v>0</v>
      </c>
    </row>
    <row r="413" spans="1:21" ht="19.9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45" t="str">
        <f t="shared" si="12"/>
        <v/>
      </c>
      <c r="M413" s="45" t="str">
        <f t="shared" si="13"/>
        <v/>
      </c>
      <c r="N413" s="39" t="str">
        <f>IF(AND(A413="",B413=""),"",COUNTIFS(数据!$E$3:$E$998,"&lt;&gt;前期仔鱼",数据!$E$3:$E$998,"&lt;&gt;仔鱼",数据!$E$3:$E$998,"&lt;&gt;稚鱼",数据!$F$3:$F$998,A413,数据!$G$3:$G$998,B413))</f>
        <v/>
      </c>
      <c r="O413" s="39" t="str">
        <f>IF(AND(A413="",B413=""),"",COUNTIFS(数据!$E$3:$E$998,"&lt;&gt;鱼卵",数据!$E$3:$E$998,"&lt;&gt;死卵",数据!$F$3:$F$998,A413,数据!$G$3:$G$998,B413))</f>
        <v/>
      </c>
      <c r="P413" s="31"/>
      <c r="Q413">
        <f>SUMIFS(数据!$D$3:$D$998,数据!$E$3:$E$998,"鱼卵",数据!$F$3:$F$998,A413,数据!$G$3:$G$998,B413)</f>
        <v>0</v>
      </c>
      <c r="R413">
        <f>SUMIFS(数据!$D$3:$D$998,数据!$E$3:$E$998,"死卵",数据!$F$3:$F$998,A413,数据!$G$3:$G$998,B413)</f>
        <v>0</v>
      </c>
      <c r="S413">
        <f>SUMIFS(数据!$D$3:$D$998,数据!$E$3:$E$998,"前期仔鱼",数据!$F$3:$F$998,A413,数据!$G$3:$G$998,B413)</f>
        <v>0</v>
      </c>
      <c r="T413">
        <f>SUMIFS(数据!$D$3:$D$998,数据!$E$3:$E$998,"仔鱼",数据!$F$3:$F$998,A413,数据!$G$3:$G$998,B413)</f>
        <v>0</v>
      </c>
      <c r="U413">
        <f>SUMIFS(数据!$D$3:$D$998,数据!$E$3:$E$998,"稚鱼",数据!$F$3:$F$998,A413,数据!$G$3:$G$998,B413)</f>
        <v>0</v>
      </c>
    </row>
    <row r="414" spans="1:21" ht="19.9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45" t="str">
        <f t="shared" si="12"/>
        <v/>
      </c>
      <c r="M414" s="45" t="str">
        <f t="shared" si="13"/>
        <v/>
      </c>
      <c r="N414" s="39" t="str">
        <f>IF(AND(A414="",B414=""),"",COUNTIFS(数据!$E$3:$E$998,"&lt;&gt;前期仔鱼",数据!$E$3:$E$998,"&lt;&gt;仔鱼",数据!$E$3:$E$998,"&lt;&gt;稚鱼",数据!$F$3:$F$998,A414,数据!$G$3:$G$998,B414))</f>
        <v/>
      </c>
      <c r="O414" s="39" t="str">
        <f>IF(AND(A414="",B414=""),"",COUNTIFS(数据!$E$3:$E$998,"&lt;&gt;鱼卵",数据!$E$3:$E$998,"&lt;&gt;死卵",数据!$F$3:$F$998,A414,数据!$G$3:$G$998,B414))</f>
        <v/>
      </c>
      <c r="P414" s="31"/>
      <c r="Q414">
        <f>SUMIFS(数据!$D$3:$D$998,数据!$E$3:$E$998,"鱼卵",数据!$F$3:$F$998,A414,数据!$G$3:$G$998,B414)</f>
        <v>0</v>
      </c>
      <c r="R414">
        <f>SUMIFS(数据!$D$3:$D$998,数据!$E$3:$E$998,"死卵",数据!$F$3:$F$998,A414,数据!$G$3:$G$998,B414)</f>
        <v>0</v>
      </c>
      <c r="S414">
        <f>SUMIFS(数据!$D$3:$D$998,数据!$E$3:$E$998,"前期仔鱼",数据!$F$3:$F$998,A414,数据!$G$3:$G$998,B414)</f>
        <v>0</v>
      </c>
      <c r="T414">
        <f>SUMIFS(数据!$D$3:$D$998,数据!$E$3:$E$998,"仔鱼",数据!$F$3:$F$998,A414,数据!$G$3:$G$998,B414)</f>
        <v>0</v>
      </c>
      <c r="U414">
        <f>SUMIFS(数据!$D$3:$D$998,数据!$E$3:$E$998,"稚鱼",数据!$F$3:$F$998,A414,数据!$G$3:$G$998,B414)</f>
        <v>0</v>
      </c>
    </row>
    <row r="415" spans="1:21" ht="19.9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45" t="str">
        <f t="shared" si="12"/>
        <v/>
      </c>
      <c r="M415" s="45" t="str">
        <f t="shared" si="13"/>
        <v/>
      </c>
      <c r="N415" s="39" t="str">
        <f>IF(AND(A415="",B415=""),"",COUNTIFS(数据!$E$3:$E$998,"&lt;&gt;前期仔鱼",数据!$E$3:$E$998,"&lt;&gt;仔鱼",数据!$E$3:$E$998,"&lt;&gt;稚鱼",数据!$F$3:$F$998,A415,数据!$G$3:$G$998,B415))</f>
        <v/>
      </c>
      <c r="O415" s="39" t="str">
        <f>IF(AND(A415="",B415=""),"",COUNTIFS(数据!$E$3:$E$998,"&lt;&gt;鱼卵",数据!$E$3:$E$998,"&lt;&gt;死卵",数据!$F$3:$F$998,A415,数据!$G$3:$G$998,B415))</f>
        <v/>
      </c>
      <c r="P415" s="31"/>
      <c r="Q415">
        <f>SUMIFS(数据!$D$3:$D$998,数据!$E$3:$E$998,"鱼卵",数据!$F$3:$F$998,A415,数据!$G$3:$G$998,B415)</f>
        <v>0</v>
      </c>
      <c r="R415">
        <f>SUMIFS(数据!$D$3:$D$998,数据!$E$3:$E$998,"死卵",数据!$F$3:$F$998,A415,数据!$G$3:$G$998,B415)</f>
        <v>0</v>
      </c>
      <c r="S415">
        <f>SUMIFS(数据!$D$3:$D$998,数据!$E$3:$E$998,"前期仔鱼",数据!$F$3:$F$998,A415,数据!$G$3:$G$998,B415)</f>
        <v>0</v>
      </c>
      <c r="T415">
        <f>SUMIFS(数据!$D$3:$D$998,数据!$E$3:$E$998,"仔鱼",数据!$F$3:$F$998,A415,数据!$G$3:$G$998,B415)</f>
        <v>0</v>
      </c>
      <c r="U415">
        <f>SUMIFS(数据!$D$3:$D$998,数据!$E$3:$E$998,"稚鱼",数据!$F$3:$F$998,A415,数据!$G$3:$G$998,B415)</f>
        <v>0</v>
      </c>
    </row>
    <row r="416" spans="1:21" ht="19.9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45" t="str">
        <f t="shared" si="12"/>
        <v/>
      </c>
      <c r="M416" s="45" t="str">
        <f t="shared" si="13"/>
        <v/>
      </c>
      <c r="N416" s="39" t="str">
        <f>IF(AND(A416="",B416=""),"",COUNTIFS(数据!$E$3:$E$998,"&lt;&gt;前期仔鱼",数据!$E$3:$E$998,"&lt;&gt;仔鱼",数据!$E$3:$E$998,"&lt;&gt;稚鱼",数据!$F$3:$F$998,A416,数据!$G$3:$G$998,B416))</f>
        <v/>
      </c>
      <c r="O416" s="39" t="str">
        <f>IF(AND(A416="",B416=""),"",COUNTIFS(数据!$E$3:$E$998,"&lt;&gt;鱼卵",数据!$E$3:$E$998,"&lt;&gt;死卵",数据!$F$3:$F$998,A416,数据!$G$3:$G$998,B416))</f>
        <v/>
      </c>
      <c r="P416" s="31"/>
      <c r="Q416">
        <f>SUMIFS(数据!$D$3:$D$998,数据!$E$3:$E$998,"鱼卵",数据!$F$3:$F$998,A416,数据!$G$3:$G$998,B416)</f>
        <v>0</v>
      </c>
      <c r="R416">
        <f>SUMIFS(数据!$D$3:$D$998,数据!$E$3:$E$998,"死卵",数据!$F$3:$F$998,A416,数据!$G$3:$G$998,B416)</f>
        <v>0</v>
      </c>
      <c r="S416">
        <f>SUMIFS(数据!$D$3:$D$998,数据!$E$3:$E$998,"前期仔鱼",数据!$F$3:$F$998,A416,数据!$G$3:$G$998,B416)</f>
        <v>0</v>
      </c>
      <c r="T416">
        <f>SUMIFS(数据!$D$3:$D$998,数据!$E$3:$E$998,"仔鱼",数据!$F$3:$F$998,A416,数据!$G$3:$G$998,B416)</f>
        <v>0</v>
      </c>
      <c r="U416">
        <f>SUMIFS(数据!$D$3:$D$998,数据!$E$3:$E$998,"稚鱼",数据!$F$3:$F$998,A416,数据!$G$3:$G$998,B416)</f>
        <v>0</v>
      </c>
    </row>
    <row r="417" spans="1:21" ht="19.9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45" t="str">
        <f t="shared" si="12"/>
        <v/>
      </c>
      <c r="M417" s="45" t="str">
        <f t="shared" si="13"/>
        <v/>
      </c>
      <c r="N417" s="39" t="str">
        <f>IF(AND(A417="",B417=""),"",COUNTIFS(数据!$E$3:$E$998,"&lt;&gt;前期仔鱼",数据!$E$3:$E$998,"&lt;&gt;仔鱼",数据!$E$3:$E$998,"&lt;&gt;稚鱼",数据!$F$3:$F$998,A417,数据!$G$3:$G$998,B417))</f>
        <v/>
      </c>
      <c r="O417" s="39" t="str">
        <f>IF(AND(A417="",B417=""),"",COUNTIFS(数据!$E$3:$E$998,"&lt;&gt;鱼卵",数据!$E$3:$E$998,"&lt;&gt;死卵",数据!$F$3:$F$998,A417,数据!$G$3:$G$998,B417))</f>
        <v/>
      </c>
      <c r="P417" s="31"/>
      <c r="Q417">
        <f>SUMIFS(数据!$D$3:$D$998,数据!$E$3:$E$998,"鱼卵",数据!$F$3:$F$998,A417,数据!$G$3:$G$998,B417)</f>
        <v>0</v>
      </c>
      <c r="R417">
        <f>SUMIFS(数据!$D$3:$D$998,数据!$E$3:$E$998,"死卵",数据!$F$3:$F$998,A417,数据!$G$3:$G$998,B417)</f>
        <v>0</v>
      </c>
      <c r="S417">
        <f>SUMIFS(数据!$D$3:$D$998,数据!$E$3:$E$998,"前期仔鱼",数据!$F$3:$F$998,A417,数据!$G$3:$G$998,B417)</f>
        <v>0</v>
      </c>
      <c r="T417">
        <f>SUMIFS(数据!$D$3:$D$998,数据!$E$3:$E$998,"仔鱼",数据!$F$3:$F$998,A417,数据!$G$3:$G$998,B417)</f>
        <v>0</v>
      </c>
      <c r="U417">
        <f>SUMIFS(数据!$D$3:$D$998,数据!$E$3:$E$998,"稚鱼",数据!$F$3:$F$998,A417,数据!$G$3:$G$998,B417)</f>
        <v>0</v>
      </c>
    </row>
    <row r="418" spans="1:21" ht="19.9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45" t="str">
        <f t="shared" si="12"/>
        <v/>
      </c>
      <c r="M418" s="45" t="str">
        <f t="shared" si="13"/>
        <v/>
      </c>
      <c r="N418" s="39" t="str">
        <f>IF(AND(A418="",B418=""),"",COUNTIFS(数据!$E$3:$E$998,"&lt;&gt;前期仔鱼",数据!$E$3:$E$998,"&lt;&gt;仔鱼",数据!$E$3:$E$998,"&lt;&gt;稚鱼",数据!$F$3:$F$998,A418,数据!$G$3:$G$998,B418))</f>
        <v/>
      </c>
      <c r="O418" s="39" t="str">
        <f>IF(AND(A418="",B418=""),"",COUNTIFS(数据!$E$3:$E$998,"&lt;&gt;鱼卵",数据!$E$3:$E$998,"&lt;&gt;死卵",数据!$F$3:$F$998,A418,数据!$G$3:$G$998,B418))</f>
        <v/>
      </c>
      <c r="P418" s="31"/>
      <c r="Q418">
        <f>SUMIFS(数据!$D$3:$D$998,数据!$E$3:$E$998,"鱼卵",数据!$F$3:$F$998,A418,数据!$G$3:$G$998,B418)</f>
        <v>0</v>
      </c>
      <c r="R418">
        <f>SUMIFS(数据!$D$3:$D$998,数据!$E$3:$E$998,"死卵",数据!$F$3:$F$998,A418,数据!$G$3:$G$998,B418)</f>
        <v>0</v>
      </c>
      <c r="S418">
        <f>SUMIFS(数据!$D$3:$D$998,数据!$E$3:$E$998,"前期仔鱼",数据!$F$3:$F$998,A418,数据!$G$3:$G$998,B418)</f>
        <v>0</v>
      </c>
      <c r="T418">
        <f>SUMIFS(数据!$D$3:$D$998,数据!$E$3:$E$998,"仔鱼",数据!$F$3:$F$998,A418,数据!$G$3:$G$998,B418)</f>
        <v>0</v>
      </c>
      <c r="U418">
        <f>SUMIFS(数据!$D$3:$D$998,数据!$E$3:$E$998,"稚鱼",数据!$F$3:$F$998,A418,数据!$G$3:$G$998,B418)</f>
        <v>0</v>
      </c>
    </row>
    <row r="419" spans="1:21" ht="19.9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45" t="str">
        <f t="shared" si="12"/>
        <v/>
      </c>
      <c r="M419" s="45" t="str">
        <f t="shared" si="13"/>
        <v/>
      </c>
      <c r="N419" s="39" t="str">
        <f>IF(AND(A419="",B419=""),"",COUNTIFS(数据!$E$3:$E$998,"&lt;&gt;前期仔鱼",数据!$E$3:$E$998,"&lt;&gt;仔鱼",数据!$E$3:$E$998,"&lt;&gt;稚鱼",数据!$F$3:$F$998,A419,数据!$G$3:$G$998,B419))</f>
        <v/>
      </c>
      <c r="O419" s="39" t="str">
        <f>IF(AND(A419="",B419=""),"",COUNTIFS(数据!$E$3:$E$998,"&lt;&gt;鱼卵",数据!$E$3:$E$998,"&lt;&gt;死卵",数据!$F$3:$F$998,A419,数据!$G$3:$G$998,B419))</f>
        <v/>
      </c>
      <c r="P419" s="31"/>
      <c r="Q419">
        <f>SUMIFS(数据!$D$3:$D$998,数据!$E$3:$E$998,"鱼卵",数据!$F$3:$F$998,A419,数据!$G$3:$G$998,B419)</f>
        <v>0</v>
      </c>
      <c r="R419">
        <f>SUMIFS(数据!$D$3:$D$998,数据!$E$3:$E$998,"死卵",数据!$F$3:$F$998,A419,数据!$G$3:$G$998,B419)</f>
        <v>0</v>
      </c>
      <c r="S419">
        <f>SUMIFS(数据!$D$3:$D$998,数据!$E$3:$E$998,"前期仔鱼",数据!$F$3:$F$998,A419,数据!$G$3:$G$998,B419)</f>
        <v>0</v>
      </c>
      <c r="T419">
        <f>SUMIFS(数据!$D$3:$D$998,数据!$E$3:$E$998,"仔鱼",数据!$F$3:$F$998,A419,数据!$G$3:$G$998,B419)</f>
        <v>0</v>
      </c>
      <c r="U419">
        <f>SUMIFS(数据!$D$3:$D$998,数据!$E$3:$E$998,"稚鱼",数据!$F$3:$F$998,A419,数据!$G$3:$G$998,B419)</f>
        <v>0</v>
      </c>
    </row>
    <row r="420" spans="1:21" ht="19.9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45" t="str">
        <f t="shared" si="12"/>
        <v/>
      </c>
      <c r="M420" s="45" t="str">
        <f t="shared" si="13"/>
        <v/>
      </c>
      <c r="N420" s="39" t="str">
        <f>IF(AND(A420="",B420=""),"",COUNTIFS(数据!$E$3:$E$998,"&lt;&gt;前期仔鱼",数据!$E$3:$E$998,"&lt;&gt;仔鱼",数据!$E$3:$E$998,"&lt;&gt;稚鱼",数据!$F$3:$F$998,A420,数据!$G$3:$G$998,B420))</f>
        <v/>
      </c>
      <c r="O420" s="39" t="str">
        <f>IF(AND(A420="",B420=""),"",COUNTIFS(数据!$E$3:$E$998,"&lt;&gt;鱼卵",数据!$E$3:$E$998,"&lt;&gt;死卵",数据!$F$3:$F$998,A420,数据!$G$3:$G$998,B420))</f>
        <v/>
      </c>
      <c r="P420" s="31"/>
      <c r="Q420">
        <f>SUMIFS(数据!$D$3:$D$998,数据!$E$3:$E$998,"鱼卵",数据!$F$3:$F$998,A420,数据!$G$3:$G$998,B420)</f>
        <v>0</v>
      </c>
      <c r="R420">
        <f>SUMIFS(数据!$D$3:$D$998,数据!$E$3:$E$998,"死卵",数据!$F$3:$F$998,A420,数据!$G$3:$G$998,B420)</f>
        <v>0</v>
      </c>
      <c r="S420">
        <f>SUMIFS(数据!$D$3:$D$998,数据!$E$3:$E$998,"前期仔鱼",数据!$F$3:$F$998,A420,数据!$G$3:$G$998,B420)</f>
        <v>0</v>
      </c>
      <c r="T420">
        <f>SUMIFS(数据!$D$3:$D$998,数据!$E$3:$E$998,"仔鱼",数据!$F$3:$F$998,A420,数据!$G$3:$G$998,B420)</f>
        <v>0</v>
      </c>
      <c r="U420">
        <f>SUMIFS(数据!$D$3:$D$998,数据!$E$3:$E$998,"稚鱼",数据!$F$3:$F$998,A420,数据!$G$3:$G$998,B420)</f>
        <v>0</v>
      </c>
    </row>
    <row r="421" spans="1:21" ht="19.9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45" t="str">
        <f t="shared" si="12"/>
        <v/>
      </c>
      <c r="M421" s="45" t="str">
        <f t="shared" si="13"/>
        <v/>
      </c>
      <c r="N421" s="39" t="str">
        <f>IF(AND(A421="",B421=""),"",COUNTIFS(数据!$E$3:$E$998,"&lt;&gt;前期仔鱼",数据!$E$3:$E$998,"&lt;&gt;仔鱼",数据!$E$3:$E$998,"&lt;&gt;稚鱼",数据!$F$3:$F$998,A421,数据!$G$3:$G$998,B421))</f>
        <v/>
      </c>
      <c r="O421" s="39" t="str">
        <f>IF(AND(A421="",B421=""),"",COUNTIFS(数据!$E$3:$E$998,"&lt;&gt;鱼卵",数据!$E$3:$E$998,"&lt;&gt;死卵",数据!$F$3:$F$998,A421,数据!$G$3:$G$998,B421))</f>
        <v/>
      </c>
      <c r="P421" s="31"/>
      <c r="Q421">
        <f>SUMIFS(数据!$D$3:$D$998,数据!$E$3:$E$998,"鱼卵",数据!$F$3:$F$998,A421,数据!$G$3:$G$998,B421)</f>
        <v>0</v>
      </c>
      <c r="R421">
        <f>SUMIFS(数据!$D$3:$D$998,数据!$E$3:$E$998,"死卵",数据!$F$3:$F$998,A421,数据!$G$3:$G$998,B421)</f>
        <v>0</v>
      </c>
      <c r="S421">
        <f>SUMIFS(数据!$D$3:$D$998,数据!$E$3:$E$998,"前期仔鱼",数据!$F$3:$F$998,A421,数据!$G$3:$G$998,B421)</f>
        <v>0</v>
      </c>
      <c r="T421">
        <f>SUMIFS(数据!$D$3:$D$998,数据!$E$3:$E$998,"仔鱼",数据!$F$3:$F$998,A421,数据!$G$3:$G$998,B421)</f>
        <v>0</v>
      </c>
      <c r="U421">
        <f>SUMIFS(数据!$D$3:$D$998,数据!$E$3:$E$998,"稚鱼",数据!$F$3:$F$998,A421,数据!$G$3:$G$998,B421)</f>
        <v>0</v>
      </c>
    </row>
    <row r="422" spans="1:21" ht="19.9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45" t="str">
        <f t="shared" si="12"/>
        <v/>
      </c>
      <c r="M422" s="45" t="str">
        <f t="shared" si="13"/>
        <v/>
      </c>
      <c r="N422" s="39" t="str">
        <f>IF(AND(A422="",B422=""),"",COUNTIFS(数据!$E$3:$E$998,"&lt;&gt;前期仔鱼",数据!$E$3:$E$998,"&lt;&gt;仔鱼",数据!$E$3:$E$998,"&lt;&gt;稚鱼",数据!$F$3:$F$998,A422,数据!$G$3:$G$998,B422))</f>
        <v/>
      </c>
      <c r="O422" s="39" t="str">
        <f>IF(AND(A422="",B422=""),"",COUNTIFS(数据!$E$3:$E$998,"&lt;&gt;鱼卵",数据!$E$3:$E$998,"&lt;&gt;死卵",数据!$F$3:$F$998,A422,数据!$G$3:$G$998,B422))</f>
        <v/>
      </c>
      <c r="P422" s="31"/>
      <c r="Q422">
        <f>SUMIFS(数据!$D$3:$D$998,数据!$E$3:$E$998,"鱼卵",数据!$F$3:$F$998,A422,数据!$G$3:$G$998,B422)</f>
        <v>0</v>
      </c>
      <c r="R422">
        <f>SUMIFS(数据!$D$3:$D$998,数据!$E$3:$E$998,"死卵",数据!$F$3:$F$998,A422,数据!$G$3:$G$998,B422)</f>
        <v>0</v>
      </c>
      <c r="S422">
        <f>SUMIFS(数据!$D$3:$D$998,数据!$E$3:$E$998,"前期仔鱼",数据!$F$3:$F$998,A422,数据!$G$3:$G$998,B422)</f>
        <v>0</v>
      </c>
      <c r="T422">
        <f>SUMIFS(数据!$D$3:$D$998,数据!$E$3:$E$998,"仔鱼",数据!$F$3:$F$998,A422,数据!$G$3:$G$998,B422)</f>
        <v>0</v>
      </c>
      <c r="U422">
        <f>SUMIFS(数据!$D$3:$D$998,数据!$E$3:$E$998,"稚鱼",数据!$F$3:$F$998,A422,数据!$G$3:$G$998,B422)</f>
        <v>0</v>
      </c>
    </row>
    <row r="423" spans="1:21" ht="19.9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45" t="str">
        <f t="shared" si="12"/>
        <v/>
      </c>
      <c r="M423" s="45" t="str">
        <f t="shared" si="13"/>
        <v/>
      </c>
      <c r="N423" s="39" t="str">
        <f>IF(AND(A423="",B423=""),"",COUNTIFS(数据!$E$3:$E$998,"&lt;&gt;前期仔鱼",数据!$E$3:$E$998,"&lt;&gt;仔鱼",数据!$E$3:$E$998,"&lt;&gt;稚鱼",数据!$F$3:$F$998,A423,数据!$G$3:$G$998,B423))</f>
        <v/>
      </c>
      <c r="O423" s="39" t="str">
        <f>IF(AND(A423="",B423=""),"",COUNTIFS(数据!$E$3:$E$998,"&lt;&gt;鱼卵",数据!$E$3:$E$998,"&lt;&gt;死卵",数据!$F$3:$F$998,A423,数据!$G$3:$G$998,B423))</f>
        <v/>
      </c>
      <c r="P423" s="31"/>
      <c r="Q423">
        <f>SUMIFS(数据!$D$3:$D$998,数据!$E$3:$E$998,"鱼卵",数据!$F$3:$F$998,A423,数据!$G$3:$G$998,B423)</f>
        <v>0</v>
      </c>
      <c r="R423">
        <f>SUMIFS(数据!$D$3:$D$998,数据!$E$3:$E$998,"死卵",数据!$F$3:$F$998,A423,数据!$G$3:$G$998,B423)</f>
        <v>0</v>
      </c>
      <c r="S423">
        <f>SUMIFS(数据!$D$3:$D$998,数据!$E$3:$E$998,"前期仔鱼",数据!$F$3:$F$998,A423,数据!$G$3:$G$998,B423)</f>
        <v>0</v>
      </c>
      <c r="T423">
        <f>SUMIFS(数据!$D$3:$D$998,数据!$E$3:$E$998,"仔鱼",数据!$F$3:$F$998,A423,数据!$G$3:$G$998,B423)</f>
        <v>0</v>
      </c>
      <c r="U423">
        <f>SUMIFS(数据!$D$3:$D$998,数据!$E$3:$E$998,"稚鱼",数据!$F$3:$F$998,A423,数据!$G$3:$G$998,B423)</f>
        <v>0</v>
      </c>
    </row>
    <row r="424" spans="1:21" ht="19.9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45" t="str">
        <f t="shared" si="12"/>
        <v/>
      </c>
      <c r="M424" s="45" t="str">
        <f t="shared" si="13"/>
        <v/>
      </c>
      <c r="N424" s="39" t="str">
        <f>IF(AND(A424="",B424=""),"",COUNTIFS(数据!$E$3:$E$998,"&lt;&gt;前期仔鱼",数据!$E$3:$E$998,"&lt;&gt;仔鱼",数据!$E$3:$E$998,"&lt;&gt;稚鱼",数据!$F$3:$F$998,A424,数据!$G$3:$G$998,B424))</f>
        <v/>
      </c>
      <c r="O424" s="39" t="str">
        <f>IF(AND(A424="",B424=""),"",COUNTIFS(数据!$E$3:$E$998,"&lt;&gt;鱼卵",数据!$E$3:$E$998,"&lt;&gt;死卵",数据!$F$3:$F$998,A424,数据!$G$3:$G$998,B424))</f>
        <v/>
      </c>
      <c r="P424" s="31"/>
      <c r="Q424">
        <f>SUMIFS(数据!$D$3:$D$998,数据!$E$3:$E$998,"鱼卵",数据!$F$3:$F$998,A424,数据!$G$3:$G$998,B424)</f>
        <v>0</v>
      </c>
      <c r="R424">
        <f>SUMIFS(数据!$D$3:$D$998,数据!$E$3:$E$998,"死卵",数据!$F$3:$F$998,A424,数据!$G$3:$G$998,B424)</f>
        <v>0</v>
      </c>
      <c r="S424">
        <f>SUMIFS(数据!$D$3:$D$998,数据!$E$3:$E$998,"前期仔鱼",数据!$F$3:$F$998,A424,数据!$G$3:$G$998,B424)</f>
        <v>0</v>
      </c>
      <c r="T424">
        <f>SUMIFS(数据!$D$3:$D$998,数据!$E$3:$E$998,"仔鱼",数据!$F$3:$F$998,A424,数据!$G$3:$G$998,B424)</f>
        <v>0</v>
      </c>
      <c r="U424">
        <f>SUMIFS(数据!$D$3:$D$998,数据!$E$3:$E$998,"稚鱼",数据!$F$3:$F$998,A424,数据!$G$3:$G$998,B424)</f>
        <v>0</v>
      </c>
    </row>
    <row r="425" spans="1:21" ht="19.9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45" t="str">
        <f t="shared" si="12"/>
        <v/>
      </c>
      <c r="M425" s="45" t="str">
        <f t="shared" si="13"/>
        <v/>
      </c>
      <c r="N425" s="39" t="str">
        <f>IF(AND(A425="",B425=""),"",COUNTIFS(数据!$E$3:$E$998,"&lt;&gt;前期仔鱼",数据!$E$3:$E$998,"&lt;&gt;仔鱼",数据!$E$3:$E$998,"&lt;&gt;稚鱼",数据!$F$3:$F$998,A425,数据!$G$3:$G$998,B425))</f>
        <v/>
      </c>
      <c r="O425" s="39" t="str">
        <f>IF(AND(A425="",B425=""),"",COUNTIFS(数据!$E$3:$E$998,"&lt;&gt;鱼卵",数据!$E$3:$E$998,"&lt;&gt;死卵",数据!$F$3:$F$998,A425,数据!$G$3:$G$998,B425))</f>
        <v/>
      </c>
      <c r="P425" s="31"/>
      <c r="Q425">
        <f>SUMIFS(数据!$D$3:$D$998,数据!$E$3:$E$998,"鱼卵",数据!$F$3:$F$998,A425,数据!$G$3:$G$998,B425)</f>
        <v>0</v>
      </c>
      <c r="R425">
        <f>SUMIFS(数据!$D$3:$D$998,数据!$E$3:$E$998,"死卵",数据!$F$3:$F$998,A425,数据!$G$3:$G$998,B425)</f>
        <v>0</v>
      </c>
      <c r="S425">
        <f>SUMIFS(数据!$D$3:$D$998,数据!$E$3:$E$998,"前期仔鱼",数据!$F$3:$F$998,A425,数据!$G$3:$G$998,B425)</f>
        <v>0</v>
      </c>
      <c r="T425">
        <f>SUMIFS(数据!$D$3:$D$998,数据!$E$3:$E$998,"仔鱼",数据!$F$3:$F$998,A425,数据!$G$3:$G$998,B425)</f>
        <v>0</v>
      </c>
      <c r="U425">
        <f>SUMIFS(数据!$D$3:$D$998,数据!$E$3:$E$998,"稚鱼",数据!$F$3:$F$998,A425,数据!$G$3:$G$998,B425)</f>
        <v>0</v>
      </c>
    </row>
    <row r="426" spans="1:21" ht="19.9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45" t="str">
        <f t="shared" si="12"/>
        <v/>
      </c>
      <c r="M426" s="45" t="str">
        <f t="shared" si="13"/>
        <v/>
      </c>
      <c r="N426" s="39" t="str">
        <f>IF(AND(A426="",B426=""),"",COUNTIFS(数据!$E$3:$E$998,"&lt;&gt;前期仔鱼",数据!$E$3:$E$998,"&lt;&gt;仔鱼",数据!$E$3:$E$998,"&lt;&gt;稚鱼",数据!$F$3:$F$998,A426,数据!$G$3:$G$998,B426))</f>
        <v/>
      </c>
      <c r="O426" s="39" t="str">
        <f>IF(AND(A426="",B426=""),"",COUNTIFS(数据!$E$3:$E$998,"&lt;&gt;鱼卵",数据!$E$3:$E$998,"&lt;&gt;死卵",数据!$F$3:$F$998,A426,数据!$G$3:$G$998,B426))</f>
        <v/>
      </c>
      <c r="P426" s="31"/>
      <c r="Q426">
        <f>SUMIFS(数据!$D$3:$D$998,数据!$E$3:$E$998,"鱼卵",数据!$F$3:$F$998,A426,数据!$G$3:$G$998,B426)</f>
        <v>0</v>
      </c>
      <c r="R426">
        <f>SUMIFS(数据!$D$3:$D$998,数据!$E$3:$E$998,"死卵",数据!$F$3:$F$998,A426,数据!$G$3:$G$998,B426)</f>
        <v>0</v>
      </c>
      <c r="S426">
        <f>SUMIFS(数据!$D$3:$D$998,数据!$E$3:$E$998,"前期仔鱼",数据!$F$3:$F$998,A426,数据!$G$3:$G$998,B426)</f>
        <v>0</v>
      </c>
      <c r="T426">
        <f>SUMIFS(数据!$D$3:$D$998,数据!$E$3:$E$998,"仔鱼",数据!$F$3:$F$998,A426,数据!$G$3:$G$998,B426)</f>
        <v>0</v>
      </c>
      <c r="U426">
        <f>SUMIFS(数据!$D$3:$D$998,数据!$E$3:$E$998,"稚鱼",数据!$F$3:$F$998,A426,数据!$G$3:$G$998,B426)</f>
        <v>0</v>
      </c>
    </row>
    <row r="427" spans="1:21" ht="19.9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45" t="str">
        <f t="shared" si="12"/>
        <v/>
      </c>
      <c r="M427" s="45" t="str">
        <f t="shared" si="13"/>
        <v/>
      </c>
      <c r="N427" s="39" t="str">
        <f>IF(AND(A427="",B427=""),"",COUNTIFS(数据!$E$3:$E$998,"&lt;&gt;前期仔鱼",数据!$E$3:$E$998,"&lt;&gt;仔鱼",数据!$E$3:$E$998,"&lt;&gt;稚鱼",数据!$F$3:$F$998,A427,数据!$G$3:$G$998,B427))</f>
        <v/>
      </c>
      <c r="O427" s="39" t="str">
        <f>IF(AND(A427="",B427=""),"",COUNTIFS(数据!$E$3:$E$998,"&lt;&gt;鱼卵",数据!$E$3:$E$998,"&lt;&gt;死卵",数据!$F$3:$F$998,A427,数据!$G$3:$G$998,B427))</f>
        <v/>
      </c>
      <c r="P427" s="31"/>
      <c r="Q427">
        <f>SUMIFS(数据!$D$3:$D$998,数据!$E$3:$E$998,"鱼卵",数据!$F$3:$F$998,A427,数据!$G$3:$G$998,B427)</f>
        <v>0</v>
      </c>
      <c r="R427">
        <f>SUMIFS(数据!$D$3:$D$998,数据!$E$3:$E$998,"死卵",数据!$F$3:$F$998,A427,数据!$G$3:$G$998,B427)</f>
        <v>0</v>
      </c>
      <c r="S427">
        <f>SUMIFS(数据!$D$3:$D$998,数据!$E$3:$E$998,"前期仔鱼",数据!$F$3:$F$998,A427,数据!$G$3:$G$998,B427)</f>
        <v>0</v>
      </c>
      <c r="T427">
        <f>SUMIFS(数据!$D$3:$D$998,数据!$E$3:$E$998,"仔鱼",数据!$F$3:$F$998,A427,数据!$G$3:$G$998,B427)</f>
        <v>0</v>
      </c>
      <c r="U427">
        <f>SUMIFS(数据!$D$3:$D$998,数据!$E$3:$E$998,"稚鱼",数据!$F$3:$F$998,A427,数据!$G$3:$G$998,B427)</f>
        <v>0</v>
      </c>
    </row>
    <row r="428" spans="1:21" ht="19.9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45" t="str">
        <f t="shared" si="12"/>
        <v/>
      </c>
      <c r="M428" s="45" t="str">
        <f t="shared" si="13"/>
        <v/>
      </c>
      <c r="N428" s="39" t="str">
        <f>IF(AND(A428="",B428=""),"",COUNTIFS(数据!$E$3:$E$998,"&lt;&gt;前期仔鱼",数据!$E$3:$E$998,"&lt;&gt;仔鱼",数据!$E$3:$E$998,"&lt;&gt;稚鱼",数据!$F$3:$F$998,A428,数据!$G$3:$G$998,B428))</f>
        <v/>
      </c>
      <c r="O428" s="39" t="str">
        <f>IF(AND(A428="",B428=""),"",COUNTIFS(数据!$E$3:$E$998,"&lt;&gt;鱼卵",数据!$E$3:$E$998,"&lt;&gt;死卵",数据!$F$3:$F$998,A428,数据!$G$3:$G$998,B428))</f>
        <v/>
      </c>
      <c r="P428" s="31"/>
      <c r="Q428">
        <f>SUMIFS(数据!$D$3:$D$998,数据!$E$3:$E$998,"鱼卵",数据!$F$3:$F$998,A428,数据!$G$3:$G$998,B428)</f>
        <v>0</v>
      </c>
      <c r="R428">
        <f>SUMIFS(数据!$D$3:$D$998,数据!$E$3:$E$998,"死卵",数据!$F$3:$F$998,A428,数据!$G$3:$G$998,B428)</f>
        <v>0</v>
      </c>
      <c r="S428">
        <f>SUMIFS(数据!$D$3:$D$998,数据!$E$3:$E$998,"前期仔鱼",数据!$F$3:$F$998,A428,数据!$G$3:$G$998,B428)</f>
        <v>0</v>
      </c>
      <c r="T428">
        <f>SUMIFS(数据!$D$3:$D$998,数据!$E$3:$E$998,"仔鱼",数据!$F$3:$F$998,A428,数据!$G$3:$G$998,B428)</f>
        <v>0</v>
      </c>
      <c r="U428">
        <f>SUMIFS(数据!$D$3:$D$998,数据!$E$3:$E$998,"稚鱼",数据!$F$3:$F$998,A428,数据!$G$3:$G$998,B428)</f>
        <v>0</v>
      </c>
    </row>
    <row r="429" spans="1:21" ht="19.9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45" t="str">
        <f t="shared" si="12"/>
        <v/>
      </c>
      <c r="M429" s="45" t="str">
        <f t="shared" si="13"/>
        <v/>
      </c>
      <c r="N429" s="39" t="str">
        <f>IF(AND(A429="",B429=""),"",COUNTIFS(数据!$E$3:$E$998,"&lt;&gt;前期仔鱼",数据!$E$3:$E$998,"&lt;&gt;仔鱼",数据!$E$3:$E$998,"&lt;&gt;稚鱼",数据!$F$3:$F$998,A429,数据!$G$3:$G$998,B429))</f>
        <v/>
      </c>
      <c r="O429" s="39" t="str">
        <f>IF(AND(A429="",B429=""),"",COUNTIFS(数据!$E$3:$E$998,"&lt;&gt;鱼卵",数据!$E$3:$E$998,"&lt;&gt;死卵",数据!$F$3:$F$998,A429,数据!$G$3:$G$998,B429))</f>
        <v/>
      </c>
      <c r="P429" s="31"/>
      <c r="Q429">
        <f>SUMIFS(数据!$D$3:$D$998,数据!$E$3:$E$998,"鱼卵",数据!$F$3:$F$998,A429,数据!$G$3:$G$998,B429)</f>
        <v>0</v>
      </c>
      <c r="R429">
        <f>SUMIFS(数据!$D$3:$D$998,数据!$E$3:$E$998,"死卵",数据!$F$3:$F$998,A429,数据!$G$3:$G$998,B429)</f>
        <v>0</v>
      </c>
      <c r="S429">
        <f>SUMIFS(数据!$D$3:$D$998,数据!$E$3:$E$998,"前期仔鱼",数据!$F$3:$F$998,A429,数据!$G$3:$G$998,B429)</f>
        <v>0</v>
      </c>
      <c r="T429">
        <f>SUMIFS(数据!$D$3:$D$998,数据!$E$3:$E$998,"仔鱼",数据!$F$3:$F$998,A429,数据!$G$3:$G$998,B429)</f>
        <v>0</v>
      </c>
      <c r="U429">
        <f>SUMIFS(数据!$D$3:$D$998,数据!$E$3:$E$998,"稚鱼",数据!$F$3:$F$998,A429,数据!$G$3:$G$998,B429)</f>
        <v>0</v>
      </c>
    </row>
    <row r="430" spans="1:21" ht="19.9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45" t="str">
        <f t="shared" si="12"/>
        <v/>
      </c>
      <c r="M430" s="45" t="str">
        <f t="shared" si="13"/>
        <v/>
      </c>
      <c r="N430" s="39" t="str">
        <f>IF(AND(A430="",B430=""),"",COUNTIFS(数据!$E$3:$E$998,"&lt;&gt;前期仔鱼",数据!$E$3:$E$998,"&lt;&gt;仔鱼",数据!$E$3:$E$998,"&lt;&gt;稚鱼",数据!$F$3:$F$998,A430,数据!$G$3:$G$998,B430))</f>
        <v/>
      </c>
      <c r="O430" s="39" t="str">
        <f>IF(AND(A430="",B430=""),"",COUNTIFS(数据!$E$3:$E$998,"&lt;&gt;鱼卵",数据!$E$3:$E$998,"&lt;&gt;死卵",数据!$F$3:$F$998,A430,数据!$G$3:$G$998,B430))</f>
        <v/>
      </c>
      <c r="P430" s="31"/>
      <c r="Q430">
        <f>SUMIFS(数据!$D$3:$D$998,数据!$E$3:$E$998,"鱼卵",数据!$F$3:$F$998,A430,数据!$G$3:$G$998,B430)</f>
        <v>0</v>
      </c>
      <c r="R430">
        <f>SUMIFS(数据!$D$3:$D$998,数据!$E$3:$E$998,"死卵",数据!$F$3:$F$998,A430,数据!$G$3:$G$998,B430)</f>
        <v>0</v>
      </c>
      <c r="S430">
        <f>SUMIFS(数据!$D$3:$D$998,数据!$E$3:$E$998,"前期仔鱼",数据!$F$3:$F$998,A430,数据!$G$3:$G$998,B430)</f>
        <v>0</v>
      </c>
      <c r="T430">
        <f>SUMIFS(数据!$D$3:$D$998,数据!$E$3:$E$998,"仔鱼",数据!$F$3:$F$998,A430,数据!$G$3:$G$998,B430)</f>
        <v>0</v>
      </c>
      <c r="U430">
        <f>SUMIFS(数据!$D$3:$D$998,数据!$E$3:$E$998,"稚鱼",数据!$F$3:$F$998,A430,数据!$G$3:$G$998,B430)</f>
        <v>0</v>
      </c>
    </row>
    <row r="431" spans="1:21" ht="19.9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45" t="str">
        <f t="shared" si="12"/>
        <v/>
      </c>
      <c r="M431" s="45" t="str">
        <f t="shared" si="13"/>
        <v/>
      </c>
      <c r="N431" s="39" t="str">
        <f>IF(AND(A431="",B431=""),"",COUNTIFS(数据!$E$3:$E$998,"&lt;&gt;前期仔鱼",数据!$E$3:$E$998,"&lt;&gt;仔鱼",数据!$E$3:$E$998,"&lt;&gt;稚鱼",数据!$F$3:$F$998,A431,数据!$G$3:$G$998,B431))</f>
        <v/>
      </c>
      <c r="O431" s="39" t="str">
        <f>IF(AND(A431="",B431=""),"",COUNTIFS(数据!$E$3:$E$998,"&lt;&gt;鱼卵",数据!$E$3:$E$998,"&lt;&gt;死卵",数据!$F$3:$F$998,A431,数据!$G$3:$G$998,B431))</f>
        <v/>
      </c>
      <c r="P431" s="31"/>
      <c r="Q431">
        <f>SUMIFS(数据!$D$3:$D$998,数据!$E$3:$E$998,"鱼卵",数据!$F$3:$F$998,A431,数据!$G$3:$G$998,B431)</f>
        <v>0</v>
      </c>
      <c r="R431">
        <f>SUMIFS(数据!$D$3:$D$998,数据!$E$3:$E$998,"死卵",数据!$F$3:$F$998,A431,数据!$G$3:$G$998,B431)</f>
        <v>0</v>
      </c>
      <c r="S431">
        <f>SUMIFS(数据!$D$3:$D$998,数据!$E$3:$E$998,"前期仔鱼",数据!$F$3:$F$998,A431,数据!$G$3:$G$998,B431)</f>
        <v>0</v>
      </c>
      <c r="T431">
        <f>SUMIFS(数据!$D$3:$D$998,数据!$E$3:$E$998,"仔鱼",数据!$F$3:$F$998,A431,数据!$G$3:$G$998,B431)</f>
        <v>0</v>
      </c>
      <c r="U431">
        <f>SUMIFS(数据!$D$3:$D$998,数据!$E$3:$E$998,"稚鱼",数据!$F$3:$F$998,A431,数据!$G$3:$G$998,B431)</f>
        <v>0</v>
      </c>
    </row>
    <row r="432" spans="1:21" ht="19.9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45" t="str">
        <f t="shared" si="12"/>
        <v/>
      </c>
      <c r="M432" s="45" t="str">
        <f t="shared" si="13"/>
        <v/>
      </c>
      <c r="N432" s="39" t="str">
        <f>IF(AND(A432="",B432=""),"",COUNTIFS(数据!$E$3:$E$998,"&lt;&gt;前期仔鱼",数据!$E$3:$E$998,"&lt;&gt;仔鱼",数据!$E$3:$E$998,"&lt;&gt;稚鱼",数据!$F$3:$F$998,A432,数据!$G$3:$G$998,B432))</f>
        <v/>
      </c>
      <c r="O432" s="39" t="str">
        <f>IF(AND(A432="",B432=""),"",COUNTIFS(数据!$E$3:$E$998,"&lt;&gt;鱼卵",数据!$E$3:$E$998,"&lt;&gt;死卵",数据!$F$3:$F$998,A432,数据!$G$3:$G$998,B432))</f>
        <v/>
      </c>
      <c r="P432" s="31"/>
      <c r="Q432">
        <f>SUMIFS(数据!$D$3:$D$998,数据!$E$3:$E$998,"鱼卵",数据!$F$3:$F$998,A432,数据!$G$3:$G$998,B432)</f>
        <v>0</v>
      </c>
      <c r="R432">
        <f>SUMIFS(数据!$D$3:$D$998,数据!$E$3:$E$998,"死卵",数据!$F$3:$F$998,A432,数据!$G$3:$G$998,B432)</f>
        <v>0</v>
      </c>
      <c r="S432">
        <f>SUMIFS(数据!$D$3:$D$998,数据!$E$3:$E$998,"前期仔鱼",数据!$F$3:$F$998,A432,数据!$G$3:$G$998,B432)</f>
        <v>0</v>
      </c>
      <c r="T432">
        <f>SUMIFS(数据!$D$3:$D$998,数据!$E$3:$E$998,"仔鱼",数据!$F$3:$F$998,A432,数据!$G$3:$G$998,B432)</f>
        <v>0</v>
      </c>
      <c r="U432">
        <f>SUMIFS(数据!$D$3:$D$998,数据!$E$3:$E$998,"稚鱼",数据!$F$3:$F$998,A432,数据!$G$3:$G$998,B432)</f>
        <v>0</v>
      </c>
    </row>
    <row r="433" spans="1:21" ht="19.9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45" t="str">
        <f t="shared" si="12"/>
        <v/>
      </c>
      <c r="M433" s="45" t="str">
        <f t="shared" si="13"/>
        <v/>
      </c>
      <c r="N433" s="39" t="str">
        <f>IF(AND(A433="",B433=""),"",COUNTIFS(数据!$E$3:$E$998,"&lt;&gt;前期仔鱼",数据!$E$3:$E$998,"&lt;&gt;仔鱼",数据!$E$3:$E$998,"&lt;&gt;稚鱼",数据!$F$3:$F$998,A433,数据!$G$3:$G$998,B433))</f>
        <v/>
      </c>
      <c r="O433" s="39" t="str">
        <f>IF(AND(A433="",B433=""),"",COUNTIFS(数据!$E$3:$E$998,"&lt;&gt;鱼卵",数据!$E$3:$E$998,"&lt;&gt;死卵",数据!$F$3:$F$998,A433,数据!$G$3:$G$998,B433))</f>
        <v/>
      </c>
      <c r="P433" s="31"/>
      <c r="Q433">
        <f>SUMIFS(数据!$D$3:$D$998,数据!$E$3:$E$998,"鱼卵",数据!$F$3:$F$998,A433,数据!$G$3:$G$998,B433)</f>
        <v>0</v>
      </c>
      <c r="R433">
        <f>SUMIFS(数据!$D$3:$D$998,数据!$E$3:$E$998,"死卵",数据!$F$3:$F$998,A433,数据!$G$3:$G$998,B433)</f>
        <v>0</v>
      </c>
      <c r="S433">
        <f>SUMIFS(数据!$D$3:$D$998,数据!$E$3:$E$998,"前期仔鱼",数据!$F$3:$F$998,A433,数据!$G$3:$G$998,B433)</f>
        <v>0</v>
      </c>
      <c r="T433">
        <f>SUMIFS(数据!$D$3:$D$998,数据!$E$3:$E$998,"仔鱼",数据!$F$3:$F$998,A433,数据!$G$3:$G$998,B433)</f>
        <v>0</v>
      </c>
      <c r="U433">
        <f>SUMIFS(数据!$D$3:$D$998,数据!$E$3:$E$998,"稚鱼",数据!$F$3:$F$998,A433,数据!$G$3:$G$998,B433)</f>
        <v>0</v>
      </c>
    </row>
    <row r="434" spans="1:21" ht="19.9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45" t="str">
        <f t="shared" si="12"/>
        <v/>
      </c>
      <c r="M434" s="45" t="str">
        <f t="shared" si="13"/>
        <v/>
      </c>
      <c r="N434" s="39" t="str">
        <f>IF(AND(A434="",B434=""),"",COUNTIFS(数据!$E$3:$E$998,"&lt;&gt;前期仔鱼",数据!$E$3:$E$998,"&lt;&gt;仔鱼",数据!$E$3:$E$998,"&lt;&gt;稚鱼",数据!$F$3:$F$998,A434,数据!$G$3:$G$998,B434))</f>
        <v/>
      </c>
      <c r="O434" s="39" t="str">
        <f>IF(AND(A434="",B434=""),"",COUNTIFS(数据!$E$3:$E$998,"&lt;&gt;鱼卵",数据!$E$3:$E$998,"&lt;&gt;死卵",数据!$F$3:$F$998,A434,数据!$G$3:$G$998,B434))</f>
        <v/>
      </c>
      <c r="P434" s="31"/>
      <c r="Q434">
        <f>SUMIFS(数据!$D$3:$D$998,数据!$E$3:$E$998,"鱼卵",数据!$F$3:$F$998,A434,数据!$G$3:$G$998,B434)</f>
        <v>0</v>
      </c>
      <c r="R434">
        <f>SUMIFS(数据!$D$3:$D$998,数据!$E$3:$E$998,"死卵",数据!$F$3:$F$998,A434,数据!$G$3:$G$998,B434)</f>
        <v>0</v>
      </c>
      <c r="S434">
        <f>SUMIFS(数据!$D$3:$D$998,数据!$E$3:$E$998,"前期仔鱼",数据!$F$3:$F$998,A434,数据!$G$3:$G$998,B434)</f>
        <v>0</v>
      </c>
      <c r="T434">
        <f>SUMIFS(数据!$D$3:$D$998,数据!$E$3:$E$998,"仔鱼",数据!$F$3:$F$998,A434,数据!$G$3:$G$998,B434)</f>
        <v>0</v>
      </c>
      <c r="U434">
        <f>SUMIFS(数据!$D$3:$D$998,数据!$E$3:$E$998,"稚鱼",数据!$F$3:$F$998,A434,数据!$G$3:$G$998,B434)</f>
        <v>0</v>
      </c>
    </row>
    <row r="435" spans="1:21" ht="19.9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45" t="str">
        <f t="shared" si="12"/>
        <v/>
      </c>
      <c r="M435" s="45" t="str">
        <f t="shared" si="13"/>
        <v/>
      </c>
      <c r="N435" s="39" t="str">
        <f>IF(AND(A435="",B435=""),"",COUNTIFS(数据!$E$3:$E$998,"&lt;&gt;前期仔鱼",数据!$E$3:$E$998,"&lt;&gt;仔鱼",数据!$E$3:$E$998,"&lt;&gt;稚鱼",数据!$F$3:$F$998,A435,数据!$G$3:$G$998,B435))</f>
        <v/>
      </c>
      <c r="O435" s="39" t="str">
        <f>IF(AND(A435="",B435=""),"",COUNTIFS(数据!$E$3:$E$998,"&lt;&gt;鱼卵",数据!$E$3:$E$998,"&lt;&gt;死卵",数据!$F$3:$F$998,A435,数据!$G$3:$G$998,B435))</f>
        <v/>
      </c>
      <c r="P435" s="31"/>
      <c r="Q435">
        <f>SUMIFS(数据!$D$3:$D$998,数据!$E$3:$E$998,"鱼卵",数据!$F$3:$F$998,A435,数据!$G$3:$G$998,B435)</f>
        <v>0</v>
      </c>
      <c r="R435">
        <f>SUMIFS(数据!$D$3:$D$998,数据!$E$3:$E$998,"死卵",数据!$F$3:$F$998,A435,数据!$G$3:$G$998,B435)</f>
        <v>0</v>
      </c>
      <c r="S435">
        <f>SUMIFS(数据!$D$3:$D$998,数据!$E$3:$E$998,"前期仔鱼",数据!$F$3:$F$998,A435,数据!$G$3:$G$998,B435)</f>
        <v>0</v>
      </c>
      <c r="T435">
        <f>SUMIFS(数据!$D$3:$D$998,数据!$E$3:$E$998,"仔鱼",数据!$F$3:$F$998,A435,数据!$G$3:$G$998,B435)</f>
        <v>0</v>
      </c>
      <c r="U435">
        <f>SUMIFS(数据!$D$3:$D$998,数据!$E$3:$E$998,"稚鱼",数据!$F$3:$F$998,A435,数据!$G$3:$G$998,B435)</f>
        <v>0</v>
      </c>
    </row>
    <row r="436" spans="1:21" ht="19.9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45" t="str">
        <f t="shared" si="12"/>
        <v/>
      </c>
      <c r="M436" s="45" t="str">
        <f t="shared" si="13"/>
        <v/>
      </c>
      <c r="N436" s="39" t="str">
        <f>IF(AND(A436="",B436=""),"",COUNTIFS(数据!$E$3:$E$998,"&lt;&gt;前期仔鱼",数据!$E$3:$E$998,"&lt;&gt;仔鱼",数据!$E$3:$E$998,"&lt;&gt;稚鱼",数据!$F$3:$F$998,A436,数据!$G$3:$G$998,B436))</f>
        <v/>
      </c>
      <c r="O436" s="39" t="str">
        <f>IF(AND(A436="",B436=""),"",COUNTIFS(数据!$E$3:$E$998,"&lt;&gt;鱼卵",数据!$E$3:$E$998,"&lt;&gt;死卵",数据!$F$3:$F$998,A436,数据!$G$3:$G$998,B436))</f>
        <v/>
      </c>
      <c r="P436" s="31"/>
      <c r="Q436">
        <f>SUMIFS(数据!$D$3:$D$998,数据!$E$3:$E$998,"鱼卵",数据!$F$3:$F$998,A436,数据!$G$3:$G$998,B436)</f>
        <v>0</v>
      </c>
      <c r="R436">
        <f>SUMIFS(数据!$D$3:$D$998,数据!$E$3:$E$998,"死卵",数据!$F$3:$F$998,A436,数据!$G$3:$G$998,B436)</f>
        <v>0</v>
      </c>
      <c r="S436">
        <f>SUMIFS(数据!$D$3:$D$998,数据!$E$3:$E$998,"前期仔鱼",数据!$F$3:$F$998,A436,数据!$G$3:$G$998,B436)</f>
        <v>0</v>
      </c>
      <c r="T436">
        <f>SUMIFS(数据!$D$3:$D$998,数据!$E$3:$E$998,"仔鱼",数据!$F$3:$F$998,A436,数据!$G$3:$G$998,B436)</f>
        <v>0</v>
      </c>
      <c r="U436">
        <f>SUMIFS(数据!$D$3:$D$998,数据!$E$3:$E$998,"稚鱼",数据!$F$3:$F$998,A436,数据!$G$3:$G$998,B436)</f>
        <v>0</v>
      </c>
    </row>
    <row r="437" spans="1:21" ht="19.9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45" t="str">
        <f t="shared" si="12"/>
        <v/>
      </c>
      <c r="M437" s="45" t="str">
        <f t="shared" si="13"/>
        <v/>
      </c>
      <c r="N437" s="39" t="str">
        <f>IF(AND(A437="",B437=""),"",COUNTIFS(数据!$E$3:$E$998,"&lt;&gt;前期仔鱼",数据!$E$3:$E$998,"&lt;&gt;仔鱼",数据!$E$3:$E$998,"&lt;&gt;稚鱼",数据!$F$3:$F$998,A437,数据!$G$3:$G$998,B437))</f>
        <v/>
      </c>
      <c r="O437" s="39" t="str">
        <f>IF(AND(A437="",B437=""),"",COUNTIFS(数据!$E$3:$E$998,"&lt;&gt;鱼卵",数据!$E$3:$E$998,"&lt;&gt;死卵",数据!$F$3:$F$998,A437,数据!$G$3:$G$998,B437))</f>
        <v/>
      </c>
      <c r="P437" s="31"/>
      <c r="Q437">
        <f>SUMIFS(数据!$D$3:$D$998,数据!$E$3:$E$998,"鱼卵",数据!$F$3:$F$998,A437,数据!$G$3:$G$998,B437)</f>
        <v>0</v>
      </c>
      <c r="R437">
        <f>SUMIFS(数据!$D$3:$D$998,数据!$E$3:$E$998,"死卵",数据!$F$3:$F$998,A437,数据!$G$3:$G$998,B437)</f>
        <v>0</v>
      </c>
      <c r="S437">
        <f>SUMIFS(数据!$D$3:$D$998,数据!$E$3:$E$998,"前期仔鱼",数据!$F$3:$F$998,A437,数据!$G$3:$G$998,B437)</f>
        <v>0</v>
      </c>
      <c r="T437">
        <f>SUMIFS(数据!$D$3:$D$998,数据!$E$3:$E$998,"仔鱼",数据!$F$3:$F$998,A437,数据!$G$3:$G$998,B437)</f>
        <v>0</v>
      </c>
      <c r="U437">
        <f>SUMIFS(数据!$D$3:$D$998,数据!$E$3:$E$998,"稚鱼",数据!$F$3:$F$998,A437,数据!$G$3:$G$998,B437)</f>
        <v>0</v>
      </c>
    </row>
    <row r="438" spans="1:21" ht="19.9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45" t="str">
        <f t="shared" si="12"/>
        <v/>
      </c>
      <c r="M438" s="45" t="str">
        <f t="shared" si="13"/>
        <v/>
      </c>
      <c r="N438" s="39" t="str">
        <f>IF(AND(A438="",B438=""),"",COUNTIFS(数据!$E$3:$E$998,"&lt;&gt;前期仔鱼",数据!$E$3:$E$998,"&lt;&gt;仔鱼",数据!$E$3:$E$998,"&lt;&gt;稚鱼",数据!$F$3:$F$998,A438,数据!$G$3:$G$998,B438))</f>
        <v/>
      </c>
      <c r="O438" s="39" t="str">
        <f>IF(AND(A438="",B438=""),"",COUNTIFS(数据!$E$3:$E$998,"&lt;&gt;鱼卵",数据!$E$3:$E$998,"&lt;&gt;死卵",数据!$F$3:$F$998,A438,数据!$G$3:$G$998,B438))</f>
        <v/>
      </c>
      <c r="P438" s="31"/>
      <c r="Q438">
        <f>SUMIFS(数据!$D$3:$D$998,数据!$E$3:$E$998,"鱼卵",数据!$F$3:$F$998,A438,数据!$G$3:$G$998,B438)</f>
        <v>0</v>
      </c>
      <c r="R438">
        <f>SUMIFS(数据!$D$3:$D$998,数据!$E$3:$E$998,"死卵",数据!$F$3:$F$998,A438,数据!$G$3:$G$998,B438)</f>
        <v>0</v>
      </c>
      <c r="S438">
        <f>SUMIFS(数据!$D$3:$D$998,数据!$E$3:$E$998,"前期仔鱼",数据!$F$3:$F$998,A438,数据!$G$3:$G$998,B438)</f>
        <v>0</v>
      </c>
      <c r="T438">
        <f>SUMIFS(数据!$D$3:$D$998,数据!$E$3:$E$998,"仔鱼",数据!$F$3:$F$998,A438,数据!$G$3:$G$998,B438)</f>
        <v>0</v>
      </c>
      <c r="U438">
        <f>SUMIFS(数据!$D$3:$D$998,数据!$E$3:$E$998,"稚鱼",数据!$F$3:$F$998,A438,数据!$G$3:$G$998,B438)</f>
        <v>0</v>
      </c>
    </row>
    <row r="439" spans="1:21" ht="19.9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45" t="str">
        <f t="shared" si="12"/>
        <v/>
      </c>
      <c r="M439" s="45" t="str">
        <f t="shared" si="13"/>
        <v/>
      </c>
      <c r="N439" s="39" t="str">
        <f>IF(AND(A439="",B439=""),"",COUNTIFS(数据!$E$3:$E$998,"&lt;&gt;前期仔鱼",数据!$E$3:$E$998,"&lt;&gt;仔鱼",数据!$E$3:$E$998,"&lt;&gt;稚鱼",数据!$F$3:$F$998,A439,数据!$G$3:$G$998,B439))</f>
        <v/>
      </c>
      <c r="O439" s="39" t="str">
        <f>IF(AND(A439="",B439=""),"",COUNTIFS(数据!$E$3:$E$998,"&lt;&gt;鱼卵",数据!$E$3:$E$998,"&lt;&gt;死卵",数据!$F$3:$F$998,A439,数据!$G$3:$G$998,B439))</f>
        <v/>
      </c>
      <c r="P439" s="31"/>
      <c r="Q439">
        <f>SUMIFS(数据!$D$3:$D$998,数据!$E$3:$E$998,"鱼卵",数据!$F$3:$F$998,A439,数据!$G$3:$G$998,B439)</f>
        <v>0</v>
      </c>
      <c r="R439">
        <f>SUMIFS(数据!$D$3:$D$998,数据!$E$3:$E$998,"死卵",数据!$F$3:$F$998,A439,数据!$G$3:$G$998,B439)</f>
        <v>0</v>
      </c>
      <c r="S439">
        <f>SUMIFS(数据!$D$3:$D$998,数据!$E$3:$E$998,"前期仔鱼",数据!$F$3:$F$998,A439,数据!$G$3:$G$998,B439)</f>
        <v>0</v>
      </c>
      <c r="T439">
        <f>SUMIFS(数据!$D$3:$D$998,数据!$E$3:$E$998,"仔鱼",数据!$F$3:$F$998,A439,数据!$G$3:$G$998,B439)</f>
        <v>0</v>
      </c>
      <c r="U439">
        <f>SUMIFS(数据!$D$3:$D$998,数据!$E$3:$E$998,"稚鱼",数据!$F$3:$F$998,A439,数据!$G$3:$G$998,B439)</f>
        <v>0</v>
      </c>
    </row>
    <row r="440" spans="1:21" ht="19.9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45" t="str">
        <f t="shared" si="12"/>
        <v/>
      </c>
      <c r="M440" s="45" t="str">
        <f t="shared" si="13"/>
        <v/>
      </c>
      <c r="N440" s="39" t="str">
        <f>IF(AND(A440="",B440=""),"",COUNTIFS(数据!$E$3:$E$998,"&lt;&gt;前期仔鱼",数据!$E$3:$E$998,"&lt;&gt;仔鱼",数据!$E$3:$E$998,"&lt;&gt;稚鱼",数据!$F$3:$F$998,A440,数据!$G$3:$G$998,B440))</f>
        <v/>
      </c>
      <c r="O440" s="39" t="str">
        <f>IF(AND(A440="",B440=""),"",COUNTIFS(数据!$E$3:$E$998,"&lt;&gt;鱼卵",数据!$E$3:$E$998,"&lt;&gt;死卵",数据!$F$3:$F$998,A440,数据!$G$3:$G$998,B440))</f>
        <v/>
      </c>
      <c r="P440" s="31"/>
      <c r="Q440">
        <f>SUMIFS(数据!$D$3:$D$998,数据!$E$3:$E$998,"鱼卵",数据!$F$3:$F$998,A440,数据!$G$3:$G$998,B440)</f>
        <v>0</v>
      </c>
      <c r="R440">
        <f>SUMIFS(数据!$D$3:$D$998,数据!$E$3:$E$998,"死卵",数据!$F$3:$F$998,A440,数据!$G$3:$G$998,B440)</f>
        <v>0</v>
      </c>
      <c r="S440">
        <f>SUMIFS(数据!$D$3:$D$998,数据!$E$3:$E$998,"前期仔鱼",数据!$F$3:$F$998,A440,数据!$G$3:$G$998,B440)</f>
        <v>0</v>
      </c>
      <c r="T440">
        <f>SUMIFS(数据!$D$3:$D$998,数据!$E$3:$E$998,"仔鱼",数据!$F$3:$F$998,A440,数据!$G$3:$G$998,B440)</f>
        <v>0</v>
      </c>
      <c r="U440">
        <f>SUMIFS(数据!$D$3:$D$998,数据!$E$3:$E$998,"稚鱼",数据!$F$3:$F$998,A440,数据!$G$3:$G$998,B440)</f>
        <v>0</v>
      </c>
    </row>
    <row r="441" spans="1:21" ht="19.9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45" t="str">
        <f t="shared" si="12"/>
        <v/>
      </c>
      <c r="M441" s="45" t="str">
        <f t="shared" si="13"/>
        <v/>
      </c>
      <c r="N441" s="39" t="str">
        <f>IF(AND(A441="",B441=""),"",COUNTIFS(数据!$E$3:$E$998,"&lt;&gt;前期仔鱼",数据!$E$3:$E$998,"&lt;&gt;仔鱼",数据!$E$3:$E$998,"&lt;&gt;稚鱼",数据!$F$3:$F$998,A441,数据!$G$3:$G$998,B441))</f>
        <v/>
      </c>
      <c r="O441" s="39" t="str">
        <f>IF(AND(A441="",B441=""),"",COUNTIFS(数据!$E$3:$E$998,"&lt;&gt;鱼卵",数据!$E$3:$E$998,"&lt;&gt;死卵",数据!$F$3:$F$998,A441,数据!$G$3:$G$998,B441))</f>
        <v/>
      </c>
      <c r="P441" s="31"/>
      <c r="Q441">
        <f>SUMIFS(数据!$D$3:$D$998,数据!$E$3:$E$998,"鱼卵",数据!$F$3:$F$998,A441,数据!$G$3:$G$998,B441)</f>
        <v>0</v>
      </c>
      <c r="R441">
        <f>SUMIFS(数据!$D$3:$D$998,数据!$E$3:$E$998,"死卵",数据!$F$3:$F$998,A441,数据!$G$3:$G$998,B441)</f>
        <v>0</v>
      </c>
      <c r="S441">
        <f>SUMIFS(数据!$D$3:$D$998,数据!$E$3:$E$998,"前期仔鱼",数据!$F$3:$F$998,A441,数据!$G$3:$G$998,B441)</f>
        <v>0</v>
      </c>
      <c r="T441">
        <f>SUMIFS(数据!$D$3:$D$998,数据!$E$3:$E$998,"仔鱼",数据!$F$3:$F$998,A441,数据!$G$3:$G$998,B441)</f>
        <v>0</v>
      </c>
      <c r="U441">
        <f>SUMIFS(数据!$D$3:$D$998,数据!$E$3:$E$998,"稚鱼",数据!$F$3:$F$998,A441,数据!$G$3:$G$998,B441)</f>
        <v>0</v>
      </c>
    </row>
    <row r="442" spans="1:21" ht="19.9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45" t="str">
        <f t="shared" si="12"/>
        <v/>
      </c>
      <c r="M442" s="45" t="str">
        <f t="shared" si="13"/>
        <v/>
      </c>
      <c r="N442" s="39" t="str">
        <f>IF(AND(A442="",B442=""),"",COUNTIFS(数据!$E$3:$E$998,"&lt;&gt;前期仔鱼",数据!$E$3:$E$998,"&lt;&gt;仔鱼",数据!$E$3:$E$998,"&lt;&gt;稚鱼",数据!$F$3:$F$998,A442,数据!$G$3:$G$998,B442))</f>
        <v/>
      </c>
      <c r="O442" s="39" t="str">
        <f>IF(AND(A442="",B442=""),"",COUNTIFS(数据!$E$3:$E$998,"&lt;&gt;鱼卵",数据!$E$3:$E$998,"&lt;&gt;死卵",数据!$F$3:$F$998,A442,数据!$G$3:$G$998,B442))</f>
        <v/>
      </c>
      <c r="P442" s="31"/>
      <c r="Q442">
        <f>SUMIFS(数据!$D$3:$D$998,数据!$E$3:$E$998,"鱼卵",数据!$F$3:$F$998,A442,数据!$G$3:$G$998,B442)</f>
        <v>0</v>
      </c>
      <c r="R442">
        <f>SUMIFS(数据!$D$3:$D$998,数据!$E$3:$E$998,"死卵",数据!$F$3:$F$998,A442,数据!$G$3:$G$998,B442)</f>
        <v>0</v>
      </c>
      <c r="S442">
        <f>SUMIFS(数据!$D$3:$D$998,数据!$E$3:$E$998,"前期仔鱼",数据!$F$3:$F$998,A442,数据!$G$3:$G$998,B442)</f>
        <v>0</v>
      </c>
      <c r="T442">
        <f>SUMIFS(数据!$D$3:$D$998,数据!$E$3:$E$998,"仔鱼",数据!$F$3:$F$998,A442,数据!$G$3:$G$998,B442)</f>
        <v>0</v>
      </c>
      <c r="U442">
        <f>SUMIFS(数据!$D$3:$D$998,数据!$E$3:$E$998,"稚鱼",数据!$F$3:$F$998,A442,数据!$G$3:$G$998,B442)</f>
        <v>0</v>
      </c>
    </row>
    <row r="443" spans="1:21" ht="19.9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45" t="str">
        <f t="shared" si="12"/>
        <v/>
      </c>
      <c r="M443" s="45" t="str">
        <f t="shared" si="13"/>
        <v/>
      </c>
      <c r="N443" s="39" t="str">
        <f>IF(AND(A443="",B443=""),"",COUNTIFS(数据!$E$3:$E$998,"&lt;&gt;前期仔鱼",数据!$E$3:$E$998,"&lt;&gt;仔鱼",数据!$E$3:$E$998,"&lt;&gt;稚鱼",数据!$F$3:$F$998,A443,数据!$G$3:$G$998,B443))</f>
        <v/>
      </c>
      <c r="O443" s="39" t="str">
        <f>IF(AND(A443="",B443=""),"",COUNTIFS(数据!$E$3:$E$998,"&lt;&gt;鱼卵",数据!$E$3:$E$998,"&lt;&gt;死卵",数据!$F$3:$F$998,A443,数据!$G$3:$G$998,B443))</f>
        <v/>
      </c>
      <c r="P443" s="31"/>
      <c r="Q443">
        <f>SUMIFS(数据!$D$3:$D$998,数据!$E$3:$E$998,"鱼卵",数据!$F$3:$F$998,A443,数据!$G$3:$G$998,B443)</f>
        <v>0</v>
      </c>
      <c r="R443">
        <f>SUMIFS(数据!$D$3:$D$998,数据!$E$3:$E$998,"死卵",数据!$F$3:$F$998,A443,数据!$G$3:$G$998,B443)</f>
        <v>0</v>
      </c>
      <c r="S443">
        <f>SUMIFS(数据!$D$3:$D$998,数据!$E$3:$E$998,"前期仔鱼",数据!$F$3:$F$998,A443,数据!$G$3:$G$998,B443)</f>
        <v>0</v>
      </c>
      <c r="T443">
        <f>SUMIFS(数据!$D$3:$D$998,数据!$E$3:$E$998,"仔鱼",数据!$F$3:$F$998,A443,数据!$G$3:$G$998,B443)</f>
        <v>0</v>
      </c>
      <c r="U443">
        <f>SUMIFS(数据!$D$3:$D$998,数据!$E$3:$E$998,"稚鱼",数据!$F$3:$F$998,A443,数据!$G$3:$G$998,B443)</f>
        <v>0</v>
      </c>
    </row>
    <row r="444" spans="1:21" ht="19.9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45" t="str">
        <f t="shared" si="12"/>
        <v/>
      </c>
      <c r="M444" s="45" t="str">
        <f t="shared" si="13"/>
        <v/>
      </c>
      <c r="N444" s="39" t="str">
        <f>IF(AND(A444="",B444=""),"",COUNTIFS(数据!$E$3:$E$998,"&lt;&gt;前期仔鱼",数据!$E$3:$E$998,"&lt;&gt;仔鱼",数据!$E$3:$E$998,"&lt;&gt;稚鱼",数据!$F$3:$F$998,A444,数据!$G$3:$G$998,B444))</f>
        <v/>
      </c>
      <c r="O444" s="39" t="str">
        <f>IF(AND(A444="",B444=""),"",COUNTIFS(数据!$E$3:$E$998,"&lt;&gt;鱼卵",数据!$E$3:$E$998,"&lt;&gt;死卵",数据!$F$3:$F$998,A444,数据!$G$3:$G$998,B444))</f>
        <v/>
      </c>
      <c r="P444" s="31"/>
      <c r="Q444">
        <f>SUMIFS(数据!$D$3:$D$998,数据!$E$3:$E$998,"鱼卵",数据!$F$3:$F$998,A444,数据!$G$3:$G$998,B444)</f>
        <v>0</v>
      </c>
      <c r="R444">
        <f>SUMIFS(数据!$D$3:$D$998,数据!$E$3:$E$998,"死卵",数据!$F$3:$F$998,A444,数据!$G$3:$G$998,B444)</f>
        <v>0</v>
      </c>
      <c r="S444">
        <f>SUMIFS(数据!$D$3:$D$998,数据!$E$3:$E$998,"前期仔鱼",数据!$F$3:$F$998,A444,数据!$G$3:$G$998,B444)</f>
        <v>0</v>
      </c>
      <c r="T444">
        <f>SUMIFS(数据!$D$3:$D$998,数据!$E$3:$E$998,"仔鱼",数据!$F$3:$F$998,A444,数据!$G$3:$G$998,B444)</f>
        <v>0</v>
      </c>
      <c r="U444">
        <f>SUMIFS(数据!$D$3:$D$998,数据!$E$3:$E$998,"稚鱼",数据!$F$3:$F$998,A444,数据!$G$3:$G$998,B444)</f>
        <v>0</v>
      </c>
    </row>
    <row r="445" spans="1:21" ht="19.9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45" t="str">
        <f t="shared" si="12"/>
        <v/>
      </c>
      <c r="M445" s="45" t="str">
        <f t="shared" si="13"/>
        <v/>
      </c>
      <c r="N445" s="39" t="str">
        <f>IF(AND(A445="",B445=""),"",COUNTIFS(数据!$E$3:$E$998,"&lt;&gt;前期仔鱼",数据!$E$3:$E$998,"&lt;&gt;仔鱼",数据!$E$3:$E$998,"&lt;&gt;稚鱼",数据!$F$3:$F$998,A445,数据!$G$3:$G$998,B445))</f>
        <v/>
      </c>
      <c r="O445" s="39" t="str">
        <f>IF(AND(A445="",B445=""),"",COUNTIFS(数据!$E$3:$E$998,"&lt;&gt;鱼卵",数据!$E$3:$E$998,"&lt;&gt;死卵",数据!$F$3:$F$998,A445,数据!$G$3:$G$998,B445))</f>
        <v/>
      </c>
      <c r="P445" s="31"/>
      <c r="Q445">
        <f>SUMIFS(数据!$D$3:$D$998,数据!$E$3:$E$998,"鱼卵",数据!$F$3:$F$998,A445,数据!$G$3:$G$998,B445)</f>
        <v>0</v>
      </c>
      <c r="R445">
        <f>SUMIFS(数据!$D$3:$D$998,数据!$E$3:$E$998,"死卵",数据!$F$3:$F$998,A445,数据!$G$3:$G$998,B445)</f>
        <v>0</v>
      </c>
      <c r="S445">
        <f>SUMIFS(数据!$D$3:$D$998,数据!$E$3:$E$998,"前期仔鱼",数据!$F$3:$F$998,A445,数据!$G$3:$G$998,B445)</f>
        <v>0</v>
      </c>
      <c r="T445">
        <f>SUMIFS(数据!$D$3:$D$998,数据!$E$3:$E$998,"仔鱼",数据!$F$3:$F$998,A445,数据!$G$3:$G$998,B445)</f>
        <v>0</v>
      </c>
      <c r="U445">
        <f>SUMIFS(数据!$D$3:$D$998,数据!$E$3:$E$998,"稚鱼",数据!$F$3:$F$998,A445,数据!$G$3:$G$998,B445)</f>
        <v>0</v>
      </c>
    </row>
    <row r="446" spans="1:21" ht="19.9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45" t="str">
        <f t="shared" si="12"/>
        <v/>
      </c>
      <c r="M446" s="45" t="str">
        <f t="shared" si="13"/>
        <v/>
      </c>
      <c r="N446" s="39" t="str">
        <f>IF(AND(A446="",B446=""),"",COUNTIFS(数据!$E$3:$E$998,"&lt;&gt;前期仔鱼",数据!$E$3:$E$998,"&lt;&gt;仔鱼",数据!$E$3:$E$998,"&lt;&gt;稚鱼",数据!$F$3:$F$998,A446,数据!$G$3:$G$998,B446))</f>
        <v/>
      </c>
      <c r="O446" s="39" t="str">
        <f>IF(AND(A446="",B446=""),"",COUNTIFS(数据!$E$3:$E$998,"&lt;&gt;鱼卵",数据!$E$3:$E$998,"&lt;&gt;死卵",数据!$F$3:$F$998,A446,数据!$G$3:$G$998,B446))</f>
        <v/>
      </c>
      <c r="P446" s="31"/>
      <c r="Q446">
        <f>SUMIFS(数据!$D$3:$D$998,数据!$E$3:$E$998,"鱼卵",数据!$F$3:$F$998,A446,数据!$G$3:$G$998,B446)</f>
        <v>0</v>
      </c>
      <c r="R446">
        <f>SUMIFS(数据!$D$3:$D$998,数据!$E$3:$E$998,"死卵",数据!$F$3:$F$998,A446,数据!$G$3:$G$998,B446)</f>
        <v>0</v>
      </c>
      <c r="S446">
        <f>SUMIFS(数据!$D$3:$D$998,数据!$E$3:$E$998,"前期仔鱼",数据!$F$3:$F$998,A446,数据!$G$3:$G$998,B446)</f>
        <v>0</v>
      </c>
      <c r="T446">
        <f>SUMIFS(数据!$D$3:$D$998,数据!$E$3:$E$998,"仔鱼",数据!$F$3:$F$998,A446,数据!$G$3:$G$998,B446)</f>
        <v>0</v>
      </c>
      <c r="U446">
        <f>SUMIFS(数据!$D$3:$D$998,数据!$E$3:$E$998,"稚鱼",数据!$F$3:$F$998,A446,数据!$G$3:$G$998,B446)</f>
        <v>0</v>
      </c>
    </row>
    <row r="447" spans="1:21" ht="19.9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45" t="str">
        <f t="shared" si="12"/>
        <v/>
      </c>
      <c r="M447" s="45" t="str">
        <f t="shared" si="13"/>
        <v/>
      </c>
      <c r="N447" s="39" t="str">
        <f>IF(AND(A447="",B447=""),"",COUNTIFS(数据!$E$3:$E$998,"&lt;&gt;前期仔鱼",数据!$E$3:$E$998,"&lt;&gt;仔鱼",数据!$E$3:$E$998,"&lt;&gt;稚鱼",数据!$F$3:$F$998,A447,数据!$G$3:$G$998,B447))</f>
        <v/>
      </c>
      <c r="O447" s="39" t="str">
        <f>IF(AND(A447="",B447=""),"",COUNTIFS(数据!$E$3:$E$998,"&lt;&gt;鱼卵",数据!$E$3:$E$998,"&lt;&gt;死卵",数据!$F$3:$F$998,A447,数据!$G$3:$G$998,B447))</f>
        <v/>
      </c>
      <c r="P447" s="31"/>
      <c r="Q447">
        <f>SUMIFS(数据!$D$3:$D$998,数据!$E$3:$E$998,"鱼卵",数据!$F$3:$F$998,A447,数据!$G$3:$G$998,B447)</f>
        <v>0</v>
      </c>
      <c r="R447">
        <f>SUMIFS(数据!$D$3:$D$998,数据!$E$3:$E$998,"死卵",数据!$F$3:$F$998,A447,数据!$G$3:$G$998,B447)</f>
        <v>0</v>
      </c>
      <c r="S447">
        <f>SUMIFS(数据!$D$3:$D$998,数据!$E$3:$E$998,"前期仔鱼",数据!$F$3:$F$998,A447,数据!$G$3:$G$998,B447)</f>
        <v>0</v>
      </c>
      <c r="T447">
        <f>SUMIFS(数据!$D$3:$D$998,数据!$E$3:$E$998,"仔鱼",数据!$F$3:$F$998,A447,数据!$G$3:$G$998,B447)</f>
        <v>0</v>
      </c>
      <c r="U447">
        <f>SUMIFS(数据!$D$3:$D$998,数据!$E$3:$E$998,"稚鱼",数据!$F$3:$F$998,A447,数据!$G$3:$G$998,B447)</f>
        <v>0</v>
      </c>
    </row>
    <row r="448" spans="1:21" ht="19.9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45" t="str">
        <f t="shared" si="12"/>
        <v/>
      </c>
      <c r="M448" s="45" t="str">
        <f t="shared" si="13"/>
        <v/>
      </c>
      <c r="N448" s="39" t="str">
        <f>IF(AND(A448="",B448=""),"",COUNTIFS(数据!$E$3:$E$998,"&lt;&gt;前期仔鱼",数据!$E$3:$E$998,"&lt;&gt;仔鱼",数据!$E$3:$E$998,"&lt;&gt;稚鱼",数据!$F$3:$F$998,A448,数据!$G$3:$G$998,B448))</f>
        <v/>
      </c>
      <c r="O448" s="39" t="str">
        <f>IF(AND(A448="",B448=""),"",COUNTIFS(数据!$E$3:$E$998,"&lt;&gt;鱼卵",数据!$E$3:$E$998,"&lt;&gt;死卵",数据!$F$3:$F$998,A448,数据!$G$3:$G$998,B448))</f>
        <v/>
      </c>
      <c r="P448" s="31"/>
      <c r="Q448">
        <f>SUMIFS(数据!$D$3:$D$998,数据!$E$3:$E$998,"鱼卵",数据!$F$3:$F$998,A448,数据!$G$3:$G$998,B448)</f>
        <v>0</v>
      </c>
      <c r="R448">
        <f>SUMIFS(数据!$D$3:$D$998,数据!$E$3:$E$998,"死卵",数据!$F$3:$F$998,A448,数据!$G$3:$G$998,B448)</f>
        <v>0</v>
      </c>
      <c r="S448">
        <f>SUMIFS(数据!$D$3:$D$998,数据!$E$3:$E$998,"前期仔鱼",数据!$F$3:$F$998,A448,数据!$G$3:$G$998,B448)</f>
        <v>0</v>
      </c>
      <c r="T448">
        <f>SUMIFS(数据!$D$3:$D$998,数据!$E$3:$E$998,"仔鱼",数据!$F$3:$F$998,A448,数据!$G$3:$G$998,B448)</f>
        <v>0</v>
      </c>
      <c r="U448">
        <f>SUMIFS(数据!$D$3:$D$998,数据!$E$3:$E$998,"稚鱼",数据!$F$3:$F$998,A448,数据!$G$3:$G$998,B448)</f>
        <v>0</v>
      </c>
    </row>
    <row r="449" spans="1:21" ht="19.9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45" t="str">
        <f t="shared" si="12"/>
        <v/>
      </c>
      <c r="M449" s="45" t="str">
        <f t="shared" si="13"/>
        <v/>
      </c>
      <c r="N449" s="39" t="str">
        <f>IF(AND(A449="",B449=""),"",COUNTIFS(数据!$E$3:$E$998,"&lt;&gt;前期仔鱼",数据!$E$3:$E$998,"&lt;&gt;仔鱼",数据!$E$3:$E$998,"&lt;&gt;稚鱼",数据!$F$3:$F$998,A449,数据!$G$3:$G$998,B449))</f>
        <v/>
      </c>
      <c r="O449" s="39" t="str">
        <f>IF(AND(A449="",B449=""),"",COUNTIFS(数据!$E$3:$E$998,"&lt;&gt;鱼卵",数据!$E$3:$E$998,"&lt;&gt;死卵",数据!$F$3:$F$998,A449,数据!$G$3:$G$998,B449))</f>
        <v/>
      </c>
      <c r="P449" s="31"/>
      <c r="Q449">
        <f>SUMIFS(数据!$D$3:$D$998,数据!$E$3:$E$998,"鱼卵",数据!$F$3:$F$998,A449,数据!$G$3:$G$998,B449)</f>
        <v>0</v>
      </c>
      <c r="R449">
        <f>SUMIFS(数据!$D$3:$D$998,数据!$E$3:$E$998,"死卵",数据!$F$3:$F$998,A449,数据!$G$3:$G$998,B449)</f>
        <v>0</v>
      </c>
      <c r="S449">
        <f>SUMIFS(数据!$D$3:$D$998,数据!$E$3:$E$998,"前期仔鱼",数据!$F$3:$F$998,A449,数据!$G$3:$G$998,B449)</f>
        <v>0</v>
      </c>
      <c r="T449">
        <f>SUMIFS(数据!$D$3:$D$998,数据!$E$3:$E$998,"仔鱼",数据!$F$3:$F$998,A449,数据!$G$3:$G$998,B449)</f>
        <v>0</v>
      </c>
      <c r="U449">
        <f>SUMIFS(数据!$D$3:$D$998,数据!$E$3:$E$998,"稚鱼",数据!$F$3:$F$998,A449,数据!$G$3:$G$998,B449)</f>
        <v>0</v>
      </c>
    </row>
    <row r="450" spans="1:21" ht="19.9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45" t="str">
        <f t="shared" si="12"/>
        <v/>
      </c>
      <c r="M450" s="45" t="str">
        <f t="shared" si="13"/>
        <v/>
      </c>
      <c r="N450" s="39" t="str">
        <f>IF(AND(A450="",B450=""),"",COUNTIFS(数据!$E$3:$E$998,"&lt;&gt;前期仔鱼",数据!$E$3:$E$998,"&lt;&gt;仔鱼",数据!$E$3:$E$998,"&lt;&gt;稚鱼",数据!$F$3:$F$998,A450,数据!$G$3:$G$998,B450))</f>
        <v/>
      </c>
      <c r="O450" s="39" t="str">
        <f>IF(AND(A450="",B450=""),"",COUNTIFS(数据!$E$3:$E$998,"&lt;&gt;鱼卵",数据!$E$3:$E$998,"&lt;&gt;死卵",数据!$F$3:$F$998,A450,数据!$G$3:$G$998,B450))</f>
        <v/>
      </c>
      <c r="P450" s="31"/>
      <c r="Q450">
        <f>SUMIFS(数据!$D$3:$D$998,数据!$E$3:$E$998,"鱼卵",数据!$F$3:$F$998,A450,数据!$G$3:$G$998,B450)</f>
        <v>0</v>
      </c>
      <c r="R450">
        <f>SUMIFS(数据!$D$3:$D$998,数据!$E$3:$E$998,"死卵",数据!$F$3:$F$998,A450,数据!$G$3:$G$998,B450)</f>
        <v>0</v>
      </c>
      <c r="S450">
        <f>SUMIFS(数据!$D$3:$D$998,数据!$E$3:$E$998,"前期仔鱼",数据!$F$3:$F$998,A450,数据!$G$3:$G$998,B450)</f>
        <v>0</v>
      </c>
      <c r="T450">
        <f>SUMIFS(数据!$D$3:$D$998,数据!$E$3:$E$998,"仔鱼",数据!$F$3:$F$998,A450,数据!$G$3:$G$998,B450)</f>
        <v>0</v>
      </c>
      <c r="U450">
        <f>SUMIFS(数据!$D$3:$D$998,数据!$E$3:$E$998,"稚鱼",数据!$F$3:$F$998,A450,数据!$G$3:$G$998,B450)</f>
        <v>0</v>
      </c>
    </row>
    <row r="451" spans="1:21" ht="19.9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45" t="str">
        <f t="shared" si="12"/>
        <v/>
      </c>
      <c r="M451" s="45" t="str">
        <f t="shared" si="13"/>
        <v/>
      </c>
      <c r="N451" s="39" t="str">
        <f>IF(AND(A451="",B451=""),"",COUNTIFS(数据!$E$3:$E$998,"&lt;&gt;前期仔鱼",数据!$E$3:$E$998,"&lt;&gt;仔鱼",数据!$E$3:$E$998,"&lt;&gt;稚鱼",数据!$F$3:$F$998,A451,数据!$G$3:$G$998,B451))</f>
        <v/>
      </c>
      <c r="O451" s="39" t="str">
        <f>IF(AND(A451="",B451=""),"",COUNTIFS(数据!$E$3:$E$998,"&lt;&gt;鱼卵",数据!$E$3:$E$998,"&lt;&gt;死卵",数据!$F$3:$F$998,A451,数据!$G$3:$G$998,B451))</f>
        <v/>
      </c>
      <c r="P451" s="31"/>
      <c r="Q451">
        <f>SUMIFS(数据!$D$3:$D$998,数据!$E$3:$E$998,"鱼卵",数据!$F$3:$F$998,A451,数据!$G$3:$G$998,B451)</f>
        <v>0</v>
      </c>
      <c r="R451">
        <f>SUMIFS(数据!$D$3:$D$998,数据!$E$3:$E$998,"死卵",数据!$F$3:$F$998,A451,数据!$G$3:$G$998,B451)</f>
        <v>0</v>
      </c>
      <c r="S451">
        <f>SUMIFS(数据!$D$3:$D$998,数据!$E$3:$E$998,"前期仔鱼",数据!$F$3:$F$998,A451,数据!$G$3:$G$998,B451)</f>
        <v>0</v>
      </c>
      <c r="T451">
        <f>SUMIFS(数据!$D$3:$D$998,数据!$E$3:$E$998,"仔鱼",数据!$F$3:$F$998,A451,数据!$G$3:$G$998,B451)</f>
        <v>0</v>
      </c>
      <c r="U451">
        <f>SUMIFS(数据!$D$3:$D$998,数据!$E$3:$E$998,"稚鱼",数据!$F$3:$F$998,A451,数据!$G$3:$G$998,B451)</f>
        <v>0</v>
      </c>
    </row>
    <row r="452" spans="1:21" ht="19.9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45" t="str">
        <f t="shared" si="14" ref="L452:L515">IF(OR(Q452&amp;R452="",A452&amp;B452=""),"",Q452+R452)</f>
        <v/>
      </c>
      <c r="M452" s="45" t="str">
        <f t="shared" si="15" ref="M452:M515">IF(OR(A452&amp;B452="",S452&amp;T452&amp;U452=""),"",S452+T452+U452)</f>
        <v/>
      </c>
      <c r="N452" s="39" t="str">
        <f>IF(AND(A452="",B452=""),"",COUNTIFS(数据!$E$3:$E$998,"&lt;&gt;前期仔鱼",数据!$E$3:$E$998,"&lt;&gt;仔鱼",数据!$E$3:$E$998,"&lt;&gt;稚鱼",数据!$F$3:$F$998,A452,数据!$G$3:$G$998,B452))</f>
        <v/>
      </c>
      <c r="O452" s="39" t="str">
        <f>IF(AND(A452="",B452=""),"",COUNTIFS(数据!$E$3:$E$998,"&lt;&gt;鱼卵",数据!$E$3:$E$998,"&lt;&gt;死卵",数据!$F$3:$F$998,A452,数据!$G$3:$G$998,B452))</f>
        <v/>
      </c>
      <c r="P452" s="31"/>
      <c r="Q452">
        <f>SUMIFS(数据!$D$3:$D$998,数据!$E$3:$E$998,"鱼卵",数据!$F$3:$F$998,A452,数据!$G$3:$G$998,B452)</f>
        <v>0</v>
      </c>
      <c r="R452">
        <f>SUMIFS(数据!$D$3:$D$998,数据!$E$3:$E$998,"死卵",数据!$F$3:$F$998,A452,数据!$G$3:$G$998,B452)</f>
        <v>0</v>
      </c>
      <c r="S452">
        <f>SUMIFS(数据!$D$3:$D$998,数据!$E$3:$E$998,"前期仔鱼",数据!$F$3:$F$998,A452,数据!$G$3:$G$998,B452)</f>
        <v>0</v>
      </c>
      <c r="T452">
        <f>SUMIFS(数据!$D$3:$D$998,数据!$E$3:$E$998,"仔鱼",数据!$F$3:$F$998,A452,数据!$G$3:$G$998,B452)</f>
        <v>0</v>
      </c>
      <c r="U452">
        <f>SUMIFS(数据!$D$3:$D$998,数据!$E$3:$E$998,"稚鱼",数据!$F$3:$F$998,A452,数据!$G$3:$G$998,B452)</f>
        <v>0</v>
      </c>
    </row>
    <row r="453" spans="1:21" ht="19.9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45" t="str">
        <f t="shared" si="14"/>
        <v/>
      </c>
      <c r="M453" s="45" t="str">
        <f t="shared" si="15"/>
        <v/>
      </c>
      <c r="N453" s="39" t="str">
        <f>IF(AND(A453="",B453=""),"",COUNTIFS(数据!$E$3:$E$998,"&lt;&gt;前期仔鱼",数据!$E$3:$E$998,"&lt;&gt;仔鱼",数据!$E$3:$E$998,"&lt;&gt;稚鱼",数据!$F$3:$F$998,A453,数据!$G$3:$G$998,B453))</f>
        <v/>
      </c>
      <c r="O453" s="39" t="str">
        <f>IF(AND(A453="",B453=""),"",COUNTIFS(数据!$E$3:$E$998,"&lt;&gt;鱼卵",数据!$E$3:$E$998,"&lt;&gt;死卵",数据!$F$3:$F$998,A453,数据!$G$3:$G$998,B453))</f>
        <v/>
      </c>
      <c r="P453" s="31"/>
      <c r="Q453">
        <f>SUMIFS(数据!$D$3:$D$998,数据!$E$3:$E$998,"鱼卵",数据!$F$3:$F$998,A453,数据!$G$3:$G$998,B453)</f>
        <v>0</v>
      </c>
      <c r="R453">
        <f>SUMIFS(数据!$D$3:$D$998,数据!$E$3:$E$998,"死卵",数据!$F$3:$F$998,A453,数据!$G$3:$G$998,B453)</f>
        <v>0</v>
      </c>
      <c r="S453">
        <f>SUMIFS(数据!$D$3:$D$998,数据!$E$3:$E$998,"前期仔鱼",数据!$F$3:$F$998,A453,数据!$G$3:$G$998,B453)</f>
        <v>0</v>
      </c>
      <c r="T453">
        <f>SUMIFS(数据!$D$3:$D$998,数据!$E$3:$E$998,"仔鱼",数据!$F$3:$F$998,A453,数据!$G$3:$G$998,B453)</f>
        <v>0</v>
      </c>
      <c r="U453">
        <f>SUMIFS(数据!$D$3:$D$998,数据!$E$3:$E$998,"稚鱼",数据!$F$3:$F$998,A453,数据!$G$3:$G$998,B453)</f>
        <v>0</v>
      </c>
    </row>
    <row r="454" spans="1:21" ht="19.9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45" t="str">
        <f t="shared" si="14"/>
        <v/>
      </c>
      <c r="M454" s="45" t="str">
        <f t="shared" si="15"/>
        <v/>
      </c>
      <c r="N454" s="39" t="str">
        <f>IF(AND(A454="",B454=""),"",COUNTIFS(数据!$E$3:$E$998,"&lt;&gt;前期仔鱼",数据!$E$3:$E$998,"&lt;&gt;仔鱼",数据!$E$3:$E$998,"&lt;&gt;稚鱼",数据!$F$3:$F$998,A454,数据!$G$3:$G$998,B454))</f>
        <v/>
      </c>
      <c r="O454" s="39" t="str">
        <f>IF(AND(A454="",B454=""),"",COUNTIFS(数据!$E$3:$E$998,"&lt;&gt;鱼卵",数据!$E$3:$E$998,"&lt;&gt;死卵",数据!$F$3:$F$998,A454,数据!$G$3:$G$998,B454))</f>
        <v/>
      </c>
      <c r="P454" s="31"/>
      <c r="Q454">
        <f>SUMIFS(数据!$D$3:$D$998,数据!$E$3:$E$998,"鱼卵",数据!$F$3:$F$998,A454,数据!$G$3:$G$998,B454)</f>
        <v>0</v>
      </c>
      <c r="R454">
        <f>SUMIFS(数据!$D$3:$D$998,数据!$E$3:$E$998,"死卵",数据!$F$3:$F$998,A454,数据!$G$3:$G$998,B454)</f>
        <v>0</v>
      </c>
      <c r="S454">
        <f>SUMIFS(数据!$D$3:$D$998,数据!$E$3:$E$998,"前期仔鱼",数据!$F$3:$F$998,A454,数据!$G$3:$G$998,B454)</f>
        <v>0</v>
      </c>
      <c r="T454">
        <f>SUMIFS(数据!$D$3:$D$998,数据!$E$3:$E$998,"仔鱼",数据!$F$3:$F$998,A454,数据!$G$3:$G$998,B454)</f>
        <v>0</v>
      </c>
      <c r="U454">
        <f>SUMIFS(数据!$D$3:$D$998,数据!$E$3:$E$998,"稚鱼",数据!$F$3:$F$998,A454,数据!$G$3:$G$998,B454)</f>
        <v>0</v>
      </c>
    </row>
    <row r="455" spans="1:21" ht="19.9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45" t="str">
        <f t="shared" si="14"/>
        <v/>
      </c>
      <c r="M455" s="45" t="str">
        <f t="shared" si="15"/>
        <v/>
      </c>
      <c r="N455" s="39" t="str">
        <f>IF(AND(A455="",B455=""),"",COUNTIFS(数据!$E$3:$E$998,"&lt;&gt;前期仔鱼",数据!$E$3:$E$998,"&lt;&gt;仔鱼",数据!$E$3:$E$998,"&lt;&gt;稚鱼",数据!$F$3:$F$998,A455,数据!$G$3:$G$998,B455))</f>
        <v/>
      </c>
      <c r="O455" s="39" t="str">
        <f>IF(AND(A455="",B455=""),"",COUNTIFS(数据!$E$3:$E$998,"&lt;&gt;鱼卵",数据!$E$3:$E$998,"&lt;&gt;死卵",数据!$F$3:$F$998,A455,数据!$G$3:$G$998,B455))</f>
        <v/>
      </c>
      <c r="P455" s="31"/>
      <c r="Q455">
        <f>SUMIFS(数据!$D$3:$D$998,数据!$E$3:$E$998,"鱼卵",数据!$F$3:$F$998,A455,数据!$G$3:$G$998,B455)</f>
        <v>0</v>
      </c>
      <c r="R455">
        <f>SUMIFS(数据!$D$3:$D$998,数据!$E$3:$E$998,"死卵",数据!$F$3:$F$998,A455,数据!$G$3:$G$998,B455)</f>
        <v>0</v>
      </c>
      <c r="S455">
        <f>SUMIFS(数据!$D$3:$D$998,数据!$E$3:$E$998,"前期仔鱼",数据!$F$3:$F$998,A455,数据!$G$3:$G$998,B455)</f>
        <v>0</v>
      </c>
      <c r="T455">
        <f>SUMIFS(数据!$D$3:$D$998,数据!$E$3:$E$998,"仔鱼",数据!$F$3:$F$998,A455,数据!$G$3:$G$998,B455)</f>
        <v>0</v>
      </c>
      <c r="U455">
        <f>SUMIFS(数据!$D$3:$D$998,数据!$E$3:$E$998,"稚鱼",数据!$F$3:$F$998,A455,数据!$G$3:$G$998,B455)</f>
        <v>0</v>
      </c>
    </row>
    <row r="456" spans="1:21" ht="19.9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45" t="str">
        <f t="shared" si="14"/>
        <v/>
      </c>
      <c r="M456" s="45" t="str">
        <f t="shared" si="15"/>
        <v/>
      </c>
      <c r="N456" s="39" t="str">
        <f>IF(AND(A456="",B456=""),"",COUNTIFS(数据!$E$3:$E$998,"&lt;&gt;前期仔鱼",数据!$E$3:$E$998,"&lt;&gt;仔鱼",数据!$E$3:$E$998,"&lt;&gt;稚鱼",数据!$F$3:$F$998,A456,数据!$G$3:$G$998,B456))</f>
        <v/>
      </c>
      <c r="O456" s="39" t="str">
        <f>IF(AND(A456="",B456=""),"",COUNTIFS(数据!$E$3:$E$998,"&lt;&gt;鱼卵",数据!$E$3:$E$998,"&lt;&gt;死卵",数据!$F$3:$F$998,A456,数据!$G$3:$G$998,B456))</f>
        <v/>
      </c>
      <c r="P456" s="31"/>
      <c r="Q456">
        <f>SUMIFS(数据!$D$3:$D$998,数据!$E$3:$E$998,"鱼卵",数据!$F$3:$F$998,A456,数据!$G$3:$G$998,B456)</f>
        <v>0</v>
      </c>
      <c r="R456">
        <f>SUMIFS(数据!$D$3:$D$998,数据!$E$3:$E$998,"死卵",数据!$F$3:$F$998,A456,数据!$G$3:$G$998,B456)</f>
        <v>0</v>
      </c>
      <c r="S456">
        <f>SUMIFS(数据!$D$3:$D$998,数据!$E$3:$E$998,"前期仔鱼",数据!$F$3:$F$998,A456,数据!$G$3:$G$998,B456)</f>
        <v>0</v>
      </c>
      <c r="T456">
        <f>SUMIFS(数据!$D$3:$D$998,数据!$E$3:$E$998,"仔鱼",数据!$F$3:$F$998,A456,数据!$G$3:$G$998,B456)</f>
        <v>0</v>
      </c>
      <c r="U456">
        <f>SUMIFS(数据!$D$3:$D$998,数据!$E$3:$E$998,"稚鱼",数据!$F$3:$F$998,A456,数据!$G$3:$G$998,B456)</f>
        <v>0</v>
      </c>
    </row>
    <row r="457" spans="1:21" ht="19.9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45" t="str">
        <f t="shared" si="14"/>
        <v/>
      </c>
      <c r="M457" s="45" t="str">
        <f t="shared" si="15"/>
        <v/>
      </c>
      <c r="N457" s="39" t="str">
        <f>IF(AND(A457="",B457=""),"",COUNTIFS(数据!$E$3:$E$998,"&lt;&gt;前期仔鱼",数据!$E$3:$E$998,"&lt;&gt;仔鱼",数据!$E$3:$E$998,"&lt;&gt;稚鱼",数据!$F$3:$F$998,A457,数据!$G$3:$G$998,B457))</f>
        <v/>
      </c>
      <c r="O457" s="39" t="str">
        <f>IF(AND(A457="",B457=""),"",COUNTIFS(数据!$E$3:$E$998,"&lt;&gt;鱼卵",数据!$E$3:$E$998,"&lt;&gt;死卵",数据!$F$3:$F$998,A457,数据!$G$3:$G$998,B457))</f>
        <v/>
      </c>
      <c r="P457" s="31"/>
      <c r="Q457">
        <f>SUMIFS(数据!$D$3:$D$998,数据!$E$3:$E$998,"鱼卵",数据!$F$3:$F$998,A457,数据!$G$3:$G$998,B457)</f>
        <v>0</v>
      </c>
      <c r="R457">
        <f>SUMIFS(数据!$D$3:$D$998,数据!$E$3:$E$998,"死卵",数据!$F$3:$F$998,A457,数据!$G$3:$G$998,B457)</f>
        <v>0</v>
      </c>
      <c r="S457">
        <f>SUMIFS(数据!$D$3:$D$998,数据!$E$3:$E$998,"前期仔鱼",数据!$F$3:$F$998,A457,数据!$G$3:$G$998,B457)</f>
        <v>0</v>
      </c>
      <c r="T457">
        <f>SUMIFS(数据!$D$3:$D$998,数据!$E$3:$E$998,"仔鱼",数据!$F$3:$F$998,A457,数据!$G$3:$G$998,B457)</f>
        <v>0</v>
      </c>
      <c r="U457">
        <f>SUMIFS(数据!$D$3:$D$998,数据!$E$3:$E$998,"稚鱼",数据!$F$3:$F$998,A457,数据!$G$3:$G$998,B457)</f>
        <v>0</v>
      </c>
    </row>
    <row r="458" spans="1:21" ht="19.9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45" t="str">
        <f t="shared" si="14"/>
        <v/>
      </c>
      <c r="M458" s="45" t="str">
        <f t="shared" si="15"/>
        <v/>
      </c>
      <c r="N458" s="39" t="str">
        <f>IF(AND(A458="",B458=""),"",COUNTIFS(数据!$E$3:$E$998,"&lt;&gt;前期仔鱼",数据!$E$3:$E$998,"&lt;&gt;仔鱼",数据!$E$3:$E$998,"&lt;&gt;稚鱼",数据!$F$3:$F$998,A458,数据!$G$3:$G$998,B458))</f>
        <v/>
      </c>
      <c r="O458" s="39" t="str">
        <f>IF(AND(A458="",B458=""),"",COUNTIFS(数据!$E$3:$E$998,"&lt;&gt;鱼卵",数据!$E$3:$E$998,"&lt;&gt;死卵",数据!$F$3:$F$998,A458,数据!$G$3:$G$998,B458))</f>
        <v/>
      </c>
      <c r="P458" s="31"/>
      <c r="Q458">
        <f>SUMIFS(数据!$D$3:$D$998,数据!$E$3:$E$998,"鱼卵",数据!$F$3:$F$998,A458,数据!$G$3:$G$998,B458)</f>
        <v>0</v>
      </c>
      <c r="R458">
        <f>SUMIFS(数据!$D$3:$D$998,数据!$E$3:$E$998,"死卵",数据!$F$3:$F$998,A458,数据!$G$3:$G$998,B458)</f>
        <v>0</v>
      </c>
      <c r="S458">
        <f>SUMIFS(数据!$D$3:$D$998,数据!$E$3:$E$998,"前期仔鱼",数据!$F$3:$F$998,A458,数据!$G$3:$G$998,B458)</f>
        <v>0</v>
      </c>
      <c r="T458">
        <f>SUMIFS(数据!$D$3:$D$998,数据!$E$3:$E$998,"仔鱼",数据!$F$3:$F$998,A458,数据!$G$3:$G$998,B458)</f>
        <v>0</v>
      </c>
      <c r="U458">
        <f>SUMIFS(数据!$D$3:$D$998,数据!$E$3:$E$998,"稚鱼",数据!$F$3:$F$998,A458,数据!$G$3:$G$998,B458)</f>
        <v>0</v>
      </c>
    </row>
    <row r="459" spans="1:21" ht="19.9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45" t="str">
        <f t="shared" si="14"/>
        <v/>
      </c>
      <c r="M459" s="45" t="str">
        <f t="shared" si="15"/>
        <v/>
      </c>
      <c r="N459" s="39" t="str">
        <f>IF(AND(A459="",B459=""),"",COUNTIFS(数据!$E$3:$E$998,"&lt;&gt;前期仔鱼",数据!$E$3:$E$998,"&lt;&gt;仔鱼",数据!$E$3:$E$998,"&lt;&gt;稚鱼",数据!$F$3:$F$998,A459,数据!$G$3:$G$998,B459))</f>
        <v/>
      </c>
      <c r="O459" s="39" t="str">
        <f>IF(AND(A459="",B459=""),"",COUNTIFS(数据!$E$3:$E$998,"&lt;&gt;鱼卵",数据!$E$3:$E$998,"&lt;&gt;死卵",数据!$F$3:$F$998,A459,数据!$G$3:$G$998,B459))</f>
        <v/>
      </c>
      <c r="P459" s="31"/>
      <c r="Q459">
        <f>SUMIFS(数据!$D$3:$D$998,数据!$E$3:$E$998,"鱼卵",数据!$F$3:$F$998,A459,数据!$G$3:$G$998,B459)</f>
        <v>0</v>
      </c>
      <c r="R459">
        <f>SUMIFS(数据!$D$3:$D$998,数据!$E$3:$E$998,"死卵",数据!$F$3:$F$998,A459,数据!$G$3:$G$998,B459)</f>
        <v>0</v>
      </c>
      <c r="S459">
        <f>SUMIFS(数据!$D$3:$D$998,数据!$E$3:$E$998,"前期仔鱼",数据!$F$3:$F$998,A459,数据!$G$3:$G$998,B459)</f>
        <v>0</v>
      </c>
      <c r="T459">
        <f>SUMIFS(数据!$D$3:$D$998,数据!$E$3:$E$998,"仔鱼",数据!$F$3:$F$998,A459,数据!$G$3:$G$998,B459)</f>
        <v>0</v>
      </c>
      <c r="U459">
        <f>SUMIFS(数据!$D$3:$D$998,数据!$E$3:$E$998,"稚鱼",数据!$F$3:$F$998,A459,数据!$G$3:$G$998,B459)</f>
        <v>0</v>
      </c>
    </row>
    <row r="460" spans="1:21" ht="19.9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45" t="str">
        <f t="shared" si="14"/>
        <v/>
      </c>
      <c r="M460" s="45" t="str">
        <f t="shared" si="15"/>
        <v/>
      </c>
      <c r="N460" s="39" t="str">
        <f>IF(AND(A460="",B460=""),"",COUNTIFS(数据!$E$3:$E$998,"&lt;&gt;前期仔鱼",数据!$E$3:$E$998,"&lt;&gt;仔鱼",数据!$E$3:$E$998,"&lt;&gt;稚鱼",数据!$F$3:$F$998,A460,数据!$G$3:$G$998,B460))</f>
        <v/>
      </c>
      <c r="O460" s="39" t="str">
        <f>IF(AND(A460="",B460=""),"",COUNTIFS(数据!$E$3:$E$998,"&lt;&gt;鱼卵",数据!$E$3:$E$998,"&lt;&gt;死卵",数据!$F$3:$F$998,A460,数据!$G$3:$G$998,B460))</f>
        <v/>
      </c>
      <c r="P460" s="31"/>
      <c r="Q460">
        <f>SUMIFS(数据!$D$3:$D$998,数据!$E$3:$E$998,"鱼卵",数据!$F$3:$F$998,A460,数据!$G$3:$G$998,B460)</f>
        <v>0</v>
      </c>
      <c r="R460">
        <f>SUMIFS(数据!$D$3:$D$998,数据!$E$3:$E$998,"死卵",数据!$F$3:$F$998,A460,数据!$G$3:$G$998,B460)</f>
        <v>0</v>
      </c>
      <c r="S460">
        <f>SUMIFS(数据!$D$3:$D$998,数据!$E$3:$E$998,"前期仔鱼",数据!$F$3:$F$998,A460,数据!$G$3:$G$998,B460)</f>
        <v>0</v>
      </c>
      <c r="T460">
        <f>SUMIFS(数据!$D$3:$D$998,数据!$E$3:$E$998,"仔鱼",数据!$F$3:$F$998,A460,数据!$G$3:$G$998,B460)</f>
        <v>0</v>
      </c>
      <c r="U460">
        <f>SUMIFS(数据!$D$3:$D$998,数据!$E$3:$E$998,"稚鱼",数据!$F$3:$F$998,A460,数据!$G$3:$G$998,B460)</f>
        <v>0</v>
      </c>
    </row>
    <row r="461" spans="1:21" ht="19.9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45" t="str">
        <f t="shared" si="14"/>
        <v/>
      </c>
      <c r="M461" s="45" t="str">
        <f t="shared" si="15"/>
        <v/>
      </c>
      <c r="N461" s="39" t="str">
        <f>IF(AND(A461="",B461=""),"",COUNTIFS(数据!$E$3:$E$998,"&lt;&gt;前期仔鱼",数据!$E$3:$E$998,"&lt;&gt;仔鱼",数据!$E$3:$E$998,"&lt;&gt;稚鱼",数据!$F$3:$F$998,A461,数据!$G$3:$G$998,B461))</f>
        <v/>
      </c>
      <c r="O461" s="39" t="str">
        <f>IF(AND(A461="",B461=""),"",COUNTIFS(数据!$E$3:$E$998,"&lt;&gt;鱼卵",数据!$E$3:$E$998,"&lt;&gt;死卵",数据!$F$3:$F$998,A461,数据!$G$3:$G$998,B461))</f>
        <v/>
      </c>
      <c r="P461" s="31"/>
      <c r="Q461">
        <f>SUMIFS(数据!$D$3:$D$998,数据!$E$3:$E$998,"鱼卵",数据!$F$3:$F$998,A461,数据!$G$3:$G$998,B461)</f>
        <v>0</v>
      </c>
      <c r="R461">
        <f>SUMIFS(数据!$D$3:$D$998,数据!$E$3:$E$998,"死卵",数据!$F$3:$F$998,A461,数据!$G$3:$G$998,B461)</f>
        <v>0</v>
      </c>
      <c r="S461">
        <f>SUMIFS(数据!$D$3:$D$998,数据!$E$3:$E$998,"前期仔鱼",数据!$F$3:$F$998,A461,数据!$G$3:$G$998,B461)</f>
        <v>0</v>
      </c>
      <c r="T461">
        <f>SUMIFS(数据!$D$3:$D$998,数据!$E$3:$E$998,"仔鱼",数据!$F$3:$F$998,A461,数据!$G$3:$G$998,B461)</f>
        <v>0</v>
      </c>
      <c r="U461">
        <f>SUMIFS(数据!$D$3:$D$998,数据!$E$3:$E$998,"稚鱼",数据!$F$3:$F$998,A461,数据!$G$3:$G$998,B461)</f>
        <v>0</v>
      </c>
    </row>
    <row r="462" spans="1:21" ht="19.9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45" t="str">
        <f t="shared" si="14"/>
        <v/>
      </c>
      <c r="M462" s="45" t="str">
        <f t="shared" si="15"/>
        <v/>
      </c>
      <c r="N462" s="39" t="str">
        <f>IF(AND(A462="",B462=""),"",COUNTIFS(数据!$E$3:$E$998,"&lt;&gt;前期仔鱼",数据!$E$3:$E$998,"&lt;&gt;仔鱼",数据!$E$3:$E$998,"&lt;&gt;稚鱼",数据!$F$3:$F$998,A462,数据!$G$3:$G$998,B462))</f>
        <v/>
      </c>
      <c r="O462" s="39" t="str">
        <f>IF(AND(A462="",B462=""),"",COUNTIFS(数据!$E$3:$E$998,"&lt;&gt;鱼卵",数据!$E$3:$E$998,"&lt;&gt;死卵",数据!$F$3:$F$998,A462,数据!$G$3:$G$998,B462))</f>
        <v/>
      </c>
      <c r="P462" s="31"/>
      <c r="Q462">
        <f>SUMIFS(数据!$D$3:$D$998,数据!$E$3:$E$998,"鱼卵",数据!$F$3:$F$998,A462,数据!$G$3:$G$998,B462)</f>
        <v>0</v>
      </c>
      <c r="R462">
        <f>SUMIFS(数据!$D$3:$D$998,数据!$E$3:$E$998,"死卵",数据!$F$3:$F$998,A462,数据!$G$3:$G$998,B462)</f>
        <v>0</v>
      </c>
      <c r="S462">
        <f>SUMIFS(数据!$D$3:$D$998,数据!$E$3:$E$998,"前期仔鱼",数据!$F$3:$F$998,A462,数据!$G$3:$G$998,B462)</f>
        <v>0</v>
      </c>
      <c r="T462">
        <f>SUMIFS(数据!$D$3:$D$998,数据!$E$3:$E$998,"仔鱼",数据!$F$3:$F$998,A462,数据!$G$3:$G$998,B462)</f>
        <v>0</v>
      </c>
      <c r="U462">
        <f>SUMIFS(数据!$D$3:$D$998,数据!$E$3:$E$998,"稚鱼",数据!$F$3:$F$998,A462,数据!$G$3:$G$998,B462)</f>
        <v>0</v>
      </c>
    </row>
    <row r="463" spans="1:21" ht="19.9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45" t="str">
        <f t="shared" si="14"/>
        <v/>
      </c>
      <c r="M463" s="45" t="str">
        <f t="shared" si="15"/>
        <v/>
      </c>
      <c r="N463" s="39" t="str">
        <f>IF(AND(A463="",B463=""),"",COUNTIFS(数据!$E$3:$E$998,"&lt;&gt;前期仔鱼",数据!$E$3:$E$998,"&lt;&gt;仔鱼",数据!$E$3:$E$998,"&lt;&gt;稚鱼",数据!$F$3:$F$998,A463,数据!$G$3:$G$998,B463))</f>
        <v/>
      </c>
      <c r="O463" s="39" t="str">
        <f>IF(AND(A463="",B463=""),"",COUNTIFS(数据!$E$3:$E$998,"&lt;&gt;鱼卵",数据!$E$3:$E$998,"&lt;&gt;死卵",数据!$F$3:$F$998,A463,数据!$G$3:$G$998,B463))</f>
        <v/>
      </c>
      <c r="P463" s="31"/>
      <c r="Q463">
        <f>SUMIFS(数据!$D$3:$D$998,数据!$E$3:$E$998,"鱼卵",数据!$F$3:$F$998,A463,数据!$G$3:$G$998,B463)</f>
        <v>0</v>
      </c>
      <c r="R463">
        <f>SUMIFS(数据!$D$3:$D$998,数据!$E$3:$E$998,"死卵",数据!$F$3:$F$998,A463,数据!$G$3:$G$998,B463)</f>
        <v>0</v>
      </c>
      <c r="S463">
        <f>SUMIFS(数据!$D$3:$D$998,数据!$E$3:$E$998,"前期仔鱼",数据!$F$3:$F$998,A463,数据!$G$3:$G$998,B463)</f>
        <v>0</v>
      </c>
      <c r="T463">
        <f>SUMIFS(数据!$D$3:$D$998,数据!$E$3:$E$998,"仔鱼",数据!$F$3:$F$998,A463,数据!$G$3:$G$998,B463)</f>
        <v>0</v>
      </c>
      <c r="U463">
        <f>SUMIFS(数据!$D$3:$D$998,数据!$E$3:$E$998,"稚鱼",数据!$F$3:$F$998,A463,数据!$G$3:$G$998,B463)</f>
        <v>0</v>
      </c>
    </row>
    <row r="464" spans="1:21" ht="19.9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45" t="str">
        <f t="shared" si="14"/>
        <v/>
      </c>
      <c r="M464" s="45" t="str">
        <f t="shared" si="15"/>
        <v/>
      </c>
      <c r="N464" s="39" t="str">
        <f>IF(AND(A464="",B464=""),"",COUNTIFS(数据!$E$3:$E$998,"&lt;&gt;前期仔鱼",数据!$E$3:$E$998,"&lt;&gt;仔鱼",数据!$E$3:$E$998,"&lt;&gt;稚鱼",数据!$F$3:$F$998,A464,数据!$G$3:$G$998,B464))</f>
        <v/>
      </c>
      <c r="O464" s="39" t="str">
        <f>IF(AND(A464="",B464=""),"",COUNTIFS(数据!$E$3:$E$998,"&lt;&gt;鱼卵",数据!$E$3:$E$998,"&lt;&gt;死卵",数据!$F$3:$F$998,A464,数据!$G$3:$G$998,B464))</f>
        <v/>
      </c>
      <c r="P464" s="31"/>
      <c r="Q464">
        <f>SUMIFS(数据!$D$3:$D$998,数据!$E$3:$E$998,"鱼卵",数据!$F$3:$F$998,A464,数据!$G$3:$G$998,B464)</f>
        <v>0</v>
      </c>
      <c r="R464">
        <f>SUMIFS(数据!$D$3:$D$998,数据!$E$3:$E$998,"死卵",数据!$F$3:$F$998,A464,数据!$G$3:$G$998,B464)</f>
        <v>0</v>
      </c>
      <c r="S464">
        <f>SUMIFS(数据!$D$3:$D$998,数据!$E$3:$E$998,"前期仔鱼",数据!$F$3:$F$998,A464,数据!$G$3:$G$998,B464)</f>
        <v>0</v>
      </c>
      <c r="T464">
        <f>SUMIFS(数据!$D$3:$D$998,数据!$E$3:$E$998,"仔鱼",数据!$F$3:$F$998,A464,数据!$G$3:$G$998,B464)</f>
        <v>0</v>
      </c>
      <c r="U464">
        <f>SUMIFS(数据!$D$3:$D$998,数据!$E$3:$E$998,"稚鱼",数据!$F$3:$F$998,A464,数据!$G$3:$G$998,B464)</f>
        <v>0</v>
      </c>
    </row>
    <row r="465" spans="1:21" ht="19.9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45" t="str">
        <f t="shared" si="14"/>
        <v/>
      </c>
      <c r="M465" s="45" t="str">
        <f t="shared" si="15"/>
        <v/>
      </c>
      <c r="N465" s="39" t="str">
        <f>IF(AND(A465="",B465=""),"",COUNTIFS(数据!$E$3:$E$998,"&lt;&gt;前期仔鱼",数据!$E$3:$E$998,"&lt;&gt;仔鱼",数据!$E$3:$E$998,"&lt;&gt;稚鱼",数据!$F$3:$F$998,A465,数据!$G$3:$G$998,B465))</f>
        <v/>
      </c>
      <c r="O465" s="39" t="str">
        <f>IF(AND(A465="",B465=""),"",COUNTIFS(数据!$E$3:$E$998,"&lt;&gt;鱼卵",数据!$E$3:$E$998,"&lt;&gt;死卵",数据!$F$3:$F$998,A465,数据!$G$3:$G$998,B465))</f>
        <v/>
      </c>
      <c r="P465" s="31"/>
      <c r="Q465">
        <f>SUMIFS(数据!$D$3:$D$998,数据!$E$3:$E$998,"鱼卵",数据!$F$3:$F$998,A465,数据!$G$3:$G$998,B465)</f>
        <v>0</v>
      </c>
      <c r="R465">
        <f>SUMIFS(数据!$D$3:$D$998,数据!$E$3:$E$998,"死卵",数据!$F$3:$F$998,A465,数据!$G$3:$G$998,B465)</f>
        <v>0</v>
      </c>
      <c r="S465">
        <f>SUMIFS(数据!$D$3:$D$998,数据!$E$3:$E$998,"前期仔鱼",数据!$F$3:$F$998,A465,数据!$G$3:$G$998,B465)</f>
        <v>0</v>
      </c>
      <c r="T465">
        <f>SUMIFS(数据!$D$3:$D$998,数据!$E$3:$E$998,"仔鱼",数据!$F$3:$F$998,A465,数据!$G$3:$G$998,B465)</f>
        <v>0</v>
      </c>
      <c r="U465">
        <f>SUMIFS(数据!$D$3:$D$998,数据!$E$3:$E$998,"稚鱼",数据!$F$3:$F$998,A465,数据!$G$3:$G$998,B465)</f>
        <v>0</v>
      </c>
    </row>
    <row r="466" spans="1:21" ht="19.9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45" t="str">
        <f t="shared" si="14"/>
        <v/>
      </c>
      <c r="M466" s="45" t="str">
        <f t="shared" si="15"/>
        <v/>
      </c>
      <c r="N466" s="39" t="str">
        <f>IF(AND(A466="",B466=""),"",COUNTIFS(数据!$E$3:$E$998,"&lt;&gt;前期仔鱼",数据!$E$3:$E$998,"&lt;&gt;仔鱼",数据!$E$3:$E$998,"&lt;&gt;稚鱼",数据!$F$3:$F$998,A466,数据!$G$3:$G$998,B466))</f>
        <v/>
      </c>
      <c r="O466" s="39" t="str">
        <f>IF(AND(A466="",B466=""),"",COUNTIFS(数据!$E$3:$E$998,"&lt;&gt;鱼卵",数据!$E$3:$E$998,"&lt;&gt;死卵",数据!$F$3:$F$998,A466,数据!$G$3:$G$998,B466))</f>
        <v/>
      </c>
      <c r="P466" s="31"/>
      <c r="Q466">
        <f>SUMIFS(数据!$D$3:$D$998,数据!$E$3:$E$998,"鱼卵",数据!$F$3:$F$998,A466,数据!$G$3:$G$998,B466)</f>
        <v>0</v>
      </c>
      <c r="R466">
        <f>SUMIFS(数据!$D$3:$D$998,数据!$E$3:$E$998,"死卵",数据!$F$3:$F$998,A466,数据!$G$3:$G$998,B466)</f>
        <v>0</v>
      </c>
      <c r="S466">
        <f>SUMIFS(数据!$D$3:$D$998,数据!$E$3:$E$998,"前期仔鱼",数据!$F$3:$F$998,A466,数据!$G$3:$G$998,B466)</f>
        <v>0</v>
      </c>
      <c r="T466">
        <f>SUMIFS(数据!$D$3:$D$998,数据!$E$3:$E$998,"仔鱼",数据!$F$3:$F$998,A466,数据!$G$3:$G$998,B466)</f>
        <v>0</v>
      </c>
      <c r="U466">
        <f>SUMIFS(数据!$D$3:$D$998,数据!$E$3:$E$998,"稚鱼",数据!$F$3:$F$998,A466,数据!$G$3:$G$998,B466)</f>
        <v>0</v>
      </c>
    </row>
    <row r="467" spans="1:21" ht="19.9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45" t="str">
        <f t="shared" si="14"/>
        <v/>
      </c>
      <c r="M467" s="45" t="str">
        <f t="shared" si="15"/>
        <v/>
      </c>
      <c r="N467" s="39" t="str">
        <f>IF(AND(A467="",B467=""),"",COUNTIFS(数据!$E$3:$E$998,"&lt;&gt;前期仔鱼",数据!$E$3:$E$998,"&lt;&gt;仔鱼",数据!$E$3:$E$998,"&lt;&gt;稚鱼",数据!$F$3:$F$998,A467,数据!$G$3:$G$998,B467))</f>
        <v/>
      </c>
      <c r="O467" s="39" t="str">
        <f>IF(AND(A467="",B467=""),"",COUNTIFS(数据!$E$3:$E$998,"&lt;&gt;鱼卵",数据!$E$3:$E$998,"&lt;&gt;死卵",数据!$F$3:$F$998,A467,数据!$G$3:$G$998,B467))</f>
        <v/>
      </c>
      <c r="P467" s="31"/>
      <c r="Q467">
        <f>SUMIFS(数据!$D$3:$D$998,数据!$E$3:$E$998,"鱼卵",数据!$F$3:$F$998,A467,数据!$G$3:$G$998,B467)</f>
        <v>0</v>
      </c>
      <c r="R467">
        <f>SUMIFS(数据!$D$3:$D$998,数据!$E$3:$E$998,"死卵",数据!$F$3:$F$998,A467,数据!$G$3:$G$998,B467)</f>
        <v>0</v>
      </c>
      <c r="S467">
        <f>SUMIFS(数据!$D$3:$D$998,数据!$E$3:$E$998,"前期仔鱼",数据!$F$3:$F$998,A467,数据!$G$3:$G$998,B467)</f>
        <v>0</v>
      </c>
      <c r="T467">
        <f>SUMIFS(数据!$D$3:$D$998,数据!$E$3:$E$998,"仔鱼",数据!$F$3:$F$998,A467,数据!$G$3:$G$998,B467)</f>
        <v>0</v>
      </c>
      <c r="U467">
        <f>SUMIFS(数据!$D$3:$D$998,数据!$E$3:$E$998,"稚鱼",数据!$F$3:$F$998,A467,数据!$G$3:$G$998,B467)</f>
        <v>0</v>
      </c>
    </row>
    <row r="468" spans="1:21" ht="19.9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45" t="str">
        <f t="shared" si="14"/>
        <v/>
      </c>
      <c r="M468" s="45" t="str">
        <f t="shared" si="15"/>
        <v/>
      </c>
      <c r="N468" s="39" t="str">
        <f>IF(AND(A468="",B468=""),"",COUNTIFS(数据!$E$3:$E$998,"&lt;&gt;前期仔鱼",数据!$E$3:$E$998,"&lt;&gt;仔鱼",数据!$E$3:$E$998,"&lt;&gt;稚鱼",数据!$F$3:$F$998,A468,数据!$G$3:$G$998,B468))</f>
        <v/>
      </c>
      <c r="O468" s="39" t="str">
        <f>IF(AND(A468="",B468=""),"",COUNTIFS(数据!$E$3:$E$998,"&lt;&gt;鱼卵",数据!$E$3:$E$998,"&lt;&gt;死卵",数据!$F$3:$F$998,A468,数据!$G$3:$G$998,B468))</f>
        <v/>
      </c>
      <c r="P468" s="31"/>
      <c r="Q468">
        <f>SUMIFS(数据!$D$3:$D$998,数据!$E$3:$E$998,"鱼卵",数据!$F$3:$F$998,A468,数据!$G$3:$G$998,B468)</f>
        <v>0</v>
      </c>
      <c r="R468">
        <f>SUMIFS(数据!$D$3:$D$998,数据!$E$3:$E$998,"死卵",数据!$F$3:$F$998,A468,数据!$G$3:$G$998,B468)</f>
        <v>0</v>
      </c>
      <c r="S468">
        <f>SUMIFS(数据!$D$3:$D$998,数据!$E$3:$E$998,"前期仔鱼",数据!$F$3:$F$998,A468,数据!$G$3:$G$998,B468)</f>
        <v>0</v>
      </c>
      <c r="T468">
        <f>SUMIFS(数据!$D$3:$D$998,数据!$E$3:$E$998,"仔鱼",数据!$F$3:$F$998,A468,数据!$G$3:$G$998,B468)</f>
        <v>0</v>
      </c>
      <c r="U468">
        <f>SUMIFS(数据!$D$3:$D$998,数据!$E$3:$E$998,"稚鱼",数据!$F$3:$F$998,A468,数据!$G$3:$G$998,B468)</f>
        <v>0</v>
      </c>
    </row>
    <row r="469" spans="1:21" ht="19.9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45" t="str">
        <f t="shared" si="14"/>
        <v/>
      </c>
      <c r="M469" s="45" t="str">
        <f t="shared" si="15"/>
        <v/>
      </c>
      <c r="N469" s="39" t="str">
        <f>IF(AND(A469="",B469=""),"",COUNTIFS(数据!$E$3:$E$998,"&lt;&gt;前期仔鱼",数据!$E$3:$E$998,"&lt;&gt;仔鱼",数据!$E$3:$E$998,"&lt;&gt;稚鱼",数据!$F$3:$F$998,A469,数据!$G$3:$G$998,B469))</f>
        <v/>
      </c>
      <c r="O469" s="39" t="str">
        <f>IF(AND(A469="",B469=""),"",COUNTIFS(数据!$E$3:$E$998,"&lt;&gt;鱼卵",数据!$E$3:$E$998,"&lt;&gt;死卵",数据!$F$3:$F$998,A469,数据!$G$3:$G$998,B469))</f>
        <v/>
      </c>
      <c r="P469" s="31"/>
      <c r="Q469">
        <f>SUMIFS(数据!$D$3:$D$998,数据!$E$3:$E$998,"鱼卵",数据!$F$3:$F$998,A469,数据!$G$3:$G$998,B469)</f>
        <v>0</v>
      </c>
      <c r="R469">
        <f>SUMIFS(数据!$D$3:$D$998,数据!$E$3:$E$998,"死卵",数据!$F$3:$F$998,A469,数据!$G$3:$G$998,B469)</f>
        <v>0</v>
      </c>
      <c r="S469">
        <f>SUMIFS(数据!$D$3:$D$998,数据!$E$3:$E$998,"前期仔鱼",数据!$F$3:$F$998,A469,数据!$G$3:$G$998,B469)</f>
        <v>0</v>
      </c>
      <c r="T469">
        <f>SUMIFS(数据!$D$3:$D$998,数据!$E$3:$E$998,"仔鱼",数据!$F$3:$F$998,A469,数据!$G$3:$G$998,B469)</f>
        <v>0</v>
      </c>
      <c r="U469">
        <f>SUMIFS(数据!$D$3:$D$998,数据!$E$3:$E$998,"稚鱼",数据!$F$3:$F$998,A469,数据!$G$3:$G$998,B469)</f>
        <v>0</v>
      </c>
    </row>
    <row r="470" spans="1:21" ht="19.9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45" t="str">
        <f t="shared" si="14"/>
        <v/>
      </c>
      <c r="M470" s="45" t="str">
        <f t="shared" si="15"/>
        <v/>
      </c>
      <c r="N470" s="39" t="str">
        <f>IF(AND(A470="",B470=""),"",COUNTIFS(数据!$E$3:$E$998,"&lt;&gt;前期仔鱼",数据!$E$3:$E$998,"&lt;&gt;仔鱼",数据!$E$3:$E$998,"&lt;&gt;稚鱼",数据!$F$3:$F$998,A470,数据!$G$3:$G$998,B470))</f>
        <v/>
      </c>
      <c r="O470" s="39" t="str">
        <f>IF(AND(A470="",B470=""),"",COUNTIFS(数据!$E$3:$E$998,"&lt;&gt;鱼卵",数据!$E$3:$E$998,"&lt;&gt;死卵",数据!$F$3:$F$998,A470,数据!$G$3:$G$998,B470))</f>
        <v/>
      </c>
      <c r="P470" s="31"/>
      <c r="Q470">
        <f>SUMIFS(数据!$D$3:$D$998,数据!$E$3:$E$998,"鱼卵",数据!$F$3:$F$998,A470,数据!$G$3:$G$998,B470)</f>
        <v>0</v>
      </c>
      <c r="R470">
        <f>SUMIFS(数据!$D$3:$D$998,数据!$E$3:$E$998,"死卵",数据!$F$3:$F$998,A470,数据!$G$3:$G$998,B470)</f>
        <v>0</v>
      </c>
      <c r="S470">
        <f>SUMIFS(数据!$D$3:$D$998,数据!$E$3:$E$998,"前期仔鱼",数据!$F$3:$F$998,A470,数据!$G$3:$G$998,B470)</f>
        <v>0</v>
      </c>
      <c r="T470">
        <f>SUMIFS(数据!$D$3:$D$998,数据!$E$3:$E$998,"仔鱼",数据!$F$3:$F$998,A470,数据!$G$3:$G$998,B470)</f>
        <v>0</v>
      </c>
      <c r="U470">
        <f>SUMIFS(数据!$D$3:$D$998,数据!$E$3:$E$998,"稚鱼",数据!$F$3:$F$998,A470,数据!$G$3:$G$998,B470)</f>
        <v>0</v>
      </c>
    </row>
    <row r="471" spans="1:21" ht="19.9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45" t="str">
        <f t="shared" si="14"/>
        <v/>
      </c>
      <c r="M471" s="45" t="str">
        <f t="shared" si="15"/>
        <v/>
      </c>
      <c r="N471" s="39" t="str">
        <f>IF(AND(A471="",B471=""),"",COUNTIFS(数据!$E$3:$E$998,"&lt;&gt;前期仔鱼",数据!$E$3:$E$998,"&lt;&gt;仔鱼",数据!$E$3:$E$998,"&lt;&gt;稚鱼",数据!$F$3:$F$998,A471,数据!$G$3:$G$998,B471))</f>
        <v/>
      </c>
      <c r="O471" s="39" t="str">
        <f>IF(AND(A471="",B471=""),"",COUNTIFS(数据!$E$3:$E$998,"&lt;&gt;鱼卵",数据!$E$3:$E$998,"&lt;&gt;死卵",数据!$F$3:$F$998,A471,数据!$G$3:$G$998,B471))</f>
        <v/>
      </c>
      <c r="P471" s="31"/>
      <c r="Q471">
        <f>SUMIFS(数据!$D$3:$D$998,数据!$E$3:$E$998,"鱼卵",数据!$F$3:$F$998,A471,数据!$G$3:$G$998,B471)</f>
        <v>0</v>
      </c>
      <c r="R471">
        <f>SUMIFS(数据!$D$3:$D$998,数据!$E$3:$E$998,"死卵",数据!$F$3:$F$998,A471,数据!$G$3:$G$998,B471)</f>
        <v>0</v>
      </c>
      <c r="S471">
        <f>SUMIFS(数据!$D$3:$D$998,数据!$E$3:$E$998,"前期仔鱼",数据!$F$3:$F$998,A471,数据!$G$3:$G$998,B471)</f>
        <v>0</v>
      </c>
      <c r="T471">
        <f>SUMIFS(数据!$D$3:$D$998,数据!$E$3:$E$998,"仔鱼",数据!$F$3:$F$998,A471,数据!$G$3:$G$998,B471)</f>
        <v>0</v>
      </c>
      <c r="U471">
        <f>SUMIFS(数据!$D$3:$D$998,数据!$E$3:$E$998,"稚鱼",数据!$F$3:$F$998,A471,数据!$G$3:$G$998,B471)</f>
        <v>0</v>
      </c>
    </row>
    <row r="472" spans="1:21" ht="19.9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45" t="str">
        <f t="shared" si="14"/>
        <v/>
      </c>
      <c r="M472" s="45" t="str">
        <f t="shared" si="15"/>
        <v/>
      </c>
      <c r="N472" s="39" t="str">
        <f>IF(AND(A472="",B472=""),"",COUNTIFS(数据!$E$3:$E$998,"&lt;&gt;前期仔鱼",数据!$E$3:$E$998,"&lt;&gt;仔鱼",数据!$E$3:$E$998,"&lt;&gt;稚鱼",数据!$F$3:$F$998,A472,数据!$G$3:$G$998,B472))</f>
        <v/>
      </c>
      <c r="O472" s="39" t="str">
        <f>IF(AND(A472="",B472=""),"",COUNTIFS(数据!$E$3:$E$998,"&lt;&gt;鱼卵",数据!$E$3:$E$998,"&lt;&gt;死卵",数据!$F$3:$F$998,A472,数据!$G$3:$G$998,B472))</f>
        <v/>
      </c>
      <c r="P472" s="31"/>
      <c r="Q472">
        <f>SUMIFS(数据!$D$3:$D$998,数据!$E$3:$E$998,"鱼卵",数据!$F$3:$F$998,A472,数据!$G$3:$G$998,B472)</f>
        <v>0</v>
      </c>
      <c r="R472">
        <f>SUMIFS(数据!$D$3:$D$998,数据!$E$3:$E$998,"死卵",数据!$F$3:$F$998,A472,数据!$G$3:$G$998,B472)</f>
        <v>0</v>
      </c>
      <c r="S472">
        <f>SUMIFS(数据!$D$3:$D$998,数据!$E$3:$E$998,"前期仔鱼",数据!$F$3:$F$998,A472,数据!$G$3:$G$998,B472)</f>
        <v>0</v>
      </c>
      <c r="T472">
        <f>SUMIFS(数据!$D$3:$D$998,数据!$E$3:$E$998,"仔鱼",数据!$F$3:$F$998,A472,数据!$G$3:$G$998,B472)</f>
        <v>0</v>
      </c>
      <c r="U472">
        <f>SUMIFS(数据!$D$3:$D$998,数据!$E$3:$E$998,"稚鱼",数据!$F$3:$F$998,A472,数据!$G$3:$G$998,B472)</f>
        <v>0</v>
      </c>
    </row>
    <row r="473" spans="1:21" ht="19.9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45" t="str">
        <f t="shared" si="14"/>
        <v/>
      </c>
      <c r="M473" s="45" t="str">
        <f t="shared" si="15"/>
        <v/>
      </c>
      <c r="N473" s="39" t="str">
        <f>IF(AND(A473="",B473=""),"",COUNTIFS(数据!$E$3:$E$998,"&lt;&gt;前期仔鱼",数据!$E$3:$E$998,"&lt;&gt;仔鱼",数据!$E$3:$E$998,"&lt;&gt;稚鱼",数据!$F$3:$F$998,A473,数据!$G$3:$G$998,B473))</f>
        <v/>
      </c>
      <c r="O473" s="39" t="str">
        <f>IF(AND(A473="",B473=""),"",COUNTIFS(数据!$E$3:$E$998,"&lt;&gt;鱼卵",数据!$E$3:$E$998,"&lt;&gt;死卵",数据!$F$3:$F$998,A473,数据!$G$3:$G$998,B473))</f>
        <v/>
      </c>
      <c r="P473" s="31"/>
      <c r="Q473">
        <f>SUMIFS(数据!$D$3:$D$998,数据!$E$3:$E$998,"鱼卵",数据!$F$3:$F$998,A473,数据!$G$3:$G$998,B473)</f>
        <v>0</v>
      </c>
      <c r="R473">
        <f>SUMIFS(数据!$D$3:$D$998,数据!$E$3:$E$998,"死卵",数据!$F$3:$F$998,A473,数据!$G$3:$G$998,B473)</f>
        <v>0</v>
      </c>
      <c r="S473">
        <f>SUMIFS(数据!$D$3:$D$998,数据!$E$3:$E$998,"前期仔鱼",数据!$F$3:$F$998,A473,数据!$G$3:$G$998,B473)</f>
        <v>0</v>
      </c>
      <c r="T473">
        <f>SUMIFS(数据!$D$3:$D$998,数据!$E$3:$E$998,"仔鱼",数据!$F$3:$F$998,A473,数据!$G$3:$G$998,B473)</f>
        <v>0</v>
      </c>
      <c r="U473">
        <f>SUMIFS(数据!$D$3:$D$998,数据!$E$3:$E$998,"稚鱼",数据!$F$3:$F$998,A473,数据!$G$3:$G$998,B473)</f>
        <v>0</v>
      </c>
    </row>
    <row r="474" spans="1:21" ht="19.9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45" t="str">
        <f t="shared" si="14"/>
        <v/>
      </c>
      <c r="M474" s="45" t="str">
        <f t="shared" si="15"/>
        <v/>
      </c>
      <c r="N474" s="39" t="str">
        <f>IF(AND(A474="",B474=""),"",COUNTIFS(数据!$E$3:$E$998,"&lt;&gt;前期仔鱼",数据!$E$3:$E$998,"&lt;&gt;仔鱼",数据!$E$3:$E$998,"&lt;&gt;稚鱼",数据!$F$3:$F$998,A474,数据!$G$3:$G$998,B474))</f>
        <v/>
      </c>
      <c r="O474" s="39" t="str">
        <f>IF(AND(A474="",B474=""),"",COUNTIFS(数据!$E$3:$E$998,"&lt;&gt;鱼卵",数据!$E$3:$E$998,"&lt;&gt;死卵",数据!$F$3:$F$998,A474,数据!$G$3:$G$998,B474))</f>
        <v/>
      </c>
      <c r="P474" s="31"/>
      <c r="Q474">
        <f>SUMIFS(数据!$D$3:$D$998,数据!$E$3:$E$998,"鱼卵",数据!$F$3:$F$998,A474,数据!$G$3:$G$998,B474)</f>
        <v>0</v>
      </c>
      <c r="R474">
        <f>SUMIFS(数据!$D$3:$D$998,数据!$E$3:$E$998,"死卵",数据!$F$3:$F$998,A474,数据!$G$3:$G$998,B474)</f>
        <v>0</v>
      </c>
      <c r="S474">
        <f>SUMIFS(数据!$D$3:$D$998,数据!$E$3:$E$998,"前期仔鱼",数据!$F$3:$F$998,A474,数据!$G$3:$G$998,B474)</f>
        <v>0</v>
      </c>
      <c r="T474">
        <f>SUMIFS(数据!$D$3:$D$998,数据!$E$3:$E$998,"仔鱼",数据!$F$3:$F$998,A474,数据!$G$3:$G$998,B474)</f>
        <v>0</v>
      </c>
      <c r="U474">
        <f>SUMIFS(数据!$D$3:$D$998,数据!$E$3:$E$998,"稚鱼",数据!$F$3:$F$998,A474,数据!$G$3:$G$998,B474)</f>
        <v>0</v>
      </c>
    </row>
    <row r="475" spans="1:21" ht="19.9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45" t="str">
        <f t="shared" si="14"/>
        <v/>
      </c>
      <c r="M475" s="45" t="str">
        <f t="shared" si="15"/>
        <v/>
      </c>
      <c r="N475" s="39" t="str">
        <f>IF(AND(A475="",B475=""),"",COUNTIFS(数据!$E$3:$E$998,"&lt;&gt;前期仔鱼",数据!$E$3:$E$998,"&lt;&gt;仔鱼",数据!$E$3:$E$998,"&lt;&gt;稚鱼",数据!$F$3:$F$998,A475,数据!$G$3:$G$998,B475))</f>
        <v/>
      </c>
      <c r="O475" s="39" t="str">
        <f>IF(AND(A475="",B475=""),"",COUNTIFS(数据!$E$3:$E$998,"&lt;&gt;鱼卵",数据!$E$3:$E$998,"&lt;&gt;死卵",数据!$F$3:$F$998,A475,数据!$G$3:$G$998,B475))</f>
        <v/>
      </c>
      <c r="P475" s="31"/>
      <c r="Q475">
        <f>SUMIFS(数据!$D$3:$D$998,数据!$E$3:$E$998,"鱼卵",数据!$F$3:$F$998,A475,数据!$G$3:$G$998,B475)</f>
        <v>0</v>
      </c>
      <c r="R475">
        <f>SUMIFS(数据!$D$3:$D$998,数据!$E$3:$E$998,"死卵",数据!$F$3:$F$998,A475,数据!$G$3:$G$998,B475)</f>
        <v>0</v>
      </c>
      <c r="S475">
        <f>SUMIFS(数据!$D$3:$D$998,数据!$E$3:$E$998,"前期仔鱼",数据!$F$3:$F$998,A475,数据!$G$3:$G$998,B475)</f>
        <v>0</v>
      </c>
      <c r="T475">
        <f>SUMIFS(数据!$D$3:$D$998,数据!$E$3:$E$998,"仔鱼",数据!$F$3:$F$998,A475,数据!$G$3:$G$998,B475)</f>
        <v>0</v>
      </c>
      <c r="U475">
        <f>SUMIFS(数据!$D$3:$D$998,数据!$E$3:$E$998,"稚鱼",数据!$F$3:$F$998,A475,数据!$G$3:$G$998,B475)</f>
        <v>0</v>
      </c>
    </row>
    <row r="476" spans="1:21" ht="19.9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45" t="str">
        <f t="shared" si="14"/>
        <v/>
      </c>
      <c r="M476" s="45" t="str">
        <f t="shared" si="15"/>
        <v/>
      </c>
      <c r="N476" s="39" t="str">
        <f>IF(AND(A476="",B476=""),"",COUNTIFS(数据!$E$3:$E$998,"&lt;&gt;前期仔鱼",数据!$E$3:$E$998,"&lt;&gt;仔鱼",数据!$E$3:$E$998,"&lt;&gt;稚鱼",数据!$F$3:$F$998,A476,数据!$G$3:$G$998,B476))</f>
        <v/>
      </c>
      <c r="O476" s="39" t="str">
        <f>IF(AND(A476="",B476=""),"",COUNTIFS(数据!$E$3:$E$998,"&lt;&gt;鱼卵",数据!$E$3:$E$998,"&lt;&gt;死卵",数据!$F$3:$F$998,A476,数据!$G$3:$G$998,B476))</f>
        <v/>
      </c>
      <c r="P476" s="31"/>
      <c r="Q476">
        <f>SUMIFS(数据!$D$3:$D$998,数据!$E$3:$E$998,"鱼卵",数据!$F$3:$F$998,A476,数据!$G$3:$G$998,B476)</f>
        <v>0</v>
      </c>
      <c r="R476">
        <f>SUMIFS(数据!$D$3:$D$998,数据!$E$3:$E$998,"死卵",数据!$F$3:$F$998,A476,数据!$G$3:$G$998,B476)</f>
        <v>0</v>
      </c>
      <c r="S476">
        <f>SUMIFS(数据!$D$3:$D$998,数据!$E$3:$E$998,"前期仔鱼",数据!$F$3:$F$998,A476,数据!$G$3:$G$998,B476)</f>
        <v>0</v>
      </c>
      <c r="T476">
        <f>SUMIFS(数据!$D$3:$D$998,数据!$E$3:$E$998,"仔鱼",数据!$F$3:$F$998,A476,数据!$G$3:$G$998,B476)</f>
        <v>0</v>
      </c>
      <c r="U476">
        <f>SUMIFS(数据!$D$3:$D$998,数据!$E$3:$E$998,"稚鱼",数据!$F$3:$F$998,A476,数据!$G$3:$G$998,B476)</f>
        <v>0</v>
      </c>
    </row>
    <row r="477" spans="1:21" ht="19.9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45" t="str">
        <f t="shared" si="14"/>
        <v/>
      </c>
      <c r="M477" s="45" t="str">
        <f t="shared" si="15"/>
        <v/>
      </c>
      <c r="N477" s="39" t="str">
        <f>IF(AND(A477="",B477=""),"",COUNTIFS(数据!$E$3:$E$998,"&lt;&gt;前期仔鱼",数据!$E$3:$E$998,"&lt;&gt;仔鱼",数据!$E$3:$E$998,"&lt;&gt;稚鱼",数据!$F$3:$F$998,A477,数据!$G$3:$G$998,B477))</f>
        <v/>
      </c>
      <c r="O477" s="39" t="str">
        <f>IF(AND(A477="",B477=""),"",COUNTIFS(数据!$E$3:$E$998,"&lt;&gt;鱼卵",数据!$E$3:$E$998,"&lt;&gt;死卵",数据!$F$3:$F$998,A477,数据!$G$3:$G$998,B477))</f>
        <v/>
      </c>
      <c r="P477" s="31"/>
      <c r="Q477">
        <f>SUMIFS(数据!$D$3:$D$998,数据!$E$3:$E$998,"鱼卵",数据!$F$3:$F$998,A477,数据!$G$3:$G$998,B477)</f>
        <v>0</v>
      </c>
      <c r="R477">
        <f>SUMIFS(数据!$D$3:$D$998,数据!$E$3:$E$998,"死卵",数据!$F$3:$F$998,A477,数据!$G$3:$G$998,B477)</f>
        <v>0</v>
      </c>
      <c r="S477">
        <f>SUMIFS(数据!$D$3:$D$998,数据!$E$3:$E$998,"前期仔鱼",数据!$F$3:$F$998,A477,数据!$G$3:$G$998,B477)</f>
        <v>0</v>
      </c>
      <c r="T477">
        <f>SUMIFS(数据!$D$3:$D$998,数据!$E$3:$E$998,"仔鱼",数据!$F$3:$F$998,A477,数据!$G$3:$G$998,B477)</f>
        <v>0</v>
      </c>
      <c r="U477">
        <f>SUMIFS(数据!$D$3:$D$998,数据!$E$3:$E$998,"稚鱼",数据!$F$3:$F$998,A477,数据!$G$3:$G$998,B477)</f>
        <v>0</v>
      </c>
    </row>
    <row r="478" spans="1:21" ht="19.9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45" t="str">
        <f t="shared" si="14"/>
        <v/>
      </c>
      <c r="M478" s="45" t="str">
        <f t="shared" si="15"/>
        <v/>
      </c>
      <c r="N478" s="39" t="str">
        <f>IF(AND(A478="",B478=""),"",COUNTIFS(数据!$E$3:$E$998,"&lt;&gt;前期仔鱼",数据!$E$3:$E$998,"&lt;&gt;仔鱼",数据!$E$3:$E$998,"&lt;&gt;稚鱼",数据!$F$3:$F$998,A478,数据!$G$3:$G$998,B478))</f>
        <v/>
      </c>
      <c r="O478" s="39" t="str">
        <f>IF(AND(A478="",B478=""),"",COUNTIFS(数据!$E$3:$E$998,"&lt;&gt;鱼卵",数据!$E$3:$E$998,"&lt;&gt;死卵",数据!$F$3:$F$998,A478,数据!$G$3:$G$998,B478))</f>
        <v/>
      </c>
      <c r="P478" s="31"/>
      <c r="Q478">
        <f>SUMIFS(数据!$D$3:$D$998,数据!$E$3:$E$998,"鱼卵",数据!$F$3:$F$998,A478,数据!$G$3:$G$998,B478)</f>
        <v>0</v>
      </c>
      <c r="R478">
        <f>SUMIFS(数据!$D$3:$D$998,数据!$E$3:$E$998,"死卵",数据!$F$3:$F$998,A478,数据!$G$3:$G$998,B478)</f>
        <v>0</v>
      </c>
      <c r="S478">
        <f>SUMIFS(数据!$D$3:$D$998,数据!$E$3:$E$998,"前期仔鱼",数据!$F$3:$F$998,A478,数据!$G$3:$G$998,B478)</f>
        <v>0</v>
      </c>
      <c r="T478">
        <f>SUMIFS(数据!$D$3:$D$998,数据!$E$3:$E$998,"仔鱼",数据!$F$3:$F$998,A478,数据!$G$3:$G$998,B478)</f>
        <v>0</v>
      </c>
      <c r="U478">
        <f>SUMIFS(数据!$D$3:$D$998,数据!$E$3:$E$998,"稚鱼",数据!$F$3:$F$998,A478,数据!$G$3:$G$998,B478)</f>
        <v>0</v>
      </c>
    </row>
    <row r="479" spans="1:21" ht="19.9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45" t="str">
        <f t="shared" si="14"/>
        <v/>
      </c>
      <c r="M479" s="45" t="str">
        <f t="shared" si="15"/>
        <v/>
      </c>
      <c r="N479" s="39" t="str">
        <f>IF(AND(A479="",B479=""),"",COUNTIFS(数据!$E$3:$E$998,"&lt;&gt;前期仔鱼",数据!$E$3:$E$998,"&lt;&gt;仔鱼",数据!$E$3:$E$998,"&lt;&gt;稚鱼",数据!$F$3:$F$998,A479,数据!$G$3:$G$998,B479))</f>
        <v/>
      </c>
      <c r="O479" s="39" t="str">
        <f>IF(AND(A479="",B479=""),"",COUNTIFS(数据!$E$3:$E$998,"&lt;&gt;鱼卵",数据!$E$3:$E$998,"&lt;&gt;死卵",数据!$F$3:$F$998,A479,数据!$G$3:$G$998,B479))</f>
        <v/>
      </c>
      <c r="P479" s="31"/>
      <c r="Q479">
        <f>SUMIFS(数据!$D$3:$D$998,数据!$E$3:$E$998,"鱼卵",数据!$F$3:$F$998,A479,数据!$G$3:$G$998,B479)</f>
        <v>0</v>
      </c>
      <c r="R479">
        <f>SUMIFS(数据!$D$3:$D$998,数据!$E$3:$E$998,"死卵",数据!$F$3:$F$998,A479,数据!$G$3:$G$998,B479)</f>
        <v>0</v>
      </c>
      <c r="S479">
        <f>SUMIFS(数据!$D$3:$D$998,数据!$E$3:$E$998,"前期仔鱼",数据!$F$3:$F$998,A479,数据!$G$3:$G$998,B479)</f>
        <v>0</v>
      </c>
      <c r="T479">
        <f>SUMIFS(数据!$D$3:$D$998,数据!$E$3:$E$998,"仔鱼",数据!$F$3:$F$998,A479,数据!$G$3:$G$998,B479)</f>
        <v>0</v>
      </c>
      <c r="U479">
        <f>SUMIFS(数据!$D$3:$D$998,数据!$E$3:$E$998,"稚鱼",数据!$F$3:$F$998,A479,数据!$G$3:$G$998,B479)</f>
        <v>0</v>
      </c>
    </row>
    <row r="480" spans="1:21" ht="19.9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45" t="str">
        <f t="shared" si="14"/>
        <v/>
      </c>
      <c r="M480" s="45" t="str">
        <f t="shared" si="15"/>
        <v/>
      </c>
      <c r="N480" s="39" t="str">
        <f>IF(AND(A480="",B480=""),"",COUNTIFS(数据!$E$3:$E$998,"&lt;&gt;前期仔鱼",数据!$E$3:$E$998,"&lt;&gt;仔鱼",数据!$E$3:$E$998,"&lt;&gt;稚鱼",数据!$F$3:$F$998,A480,数据!$G$3:$G$998,B480))</f>
        <v/>
      </c>
      <c r="O480" s="39" t="str">
        <f>IF(AND(A480="",B480=""),"",COUNTIFS(数据!$E$3:$E$998,"&lt;&gt;鱼卵",数据!$E$3:$E$998,"&lt;&gt;死卵",数据!$F$3:$F$998,A480,数据!$G$3:$G$998,B480))</f>
        <v/>
      </c>
      <c r="P480" s="31"/>
      <c r="Q480">
        <f>SUMIFS(数据!$D$3:$D$998,数据!$E$3:$E$998,"鱼卵",数据!$F$3:$F$998,A480,数据!$G$3:$G$998,B480)</f>
        <v>0</v>
      </c>
      <c r="R480">
        <f>SUMIFS(数据!$D$3:$D$998,数据!$E$3:$E$998,"死卵",数据!$F$3:$F$998,A480,数据!$G$3:$G$998,B480)</f>
        <v>0</v>
      </c>
      <c r="S480">
        <f>SUMIFS(数据!$D$3:$D$998,数据!$E$3:$E$998,"前期仔鱼",数据!$F$3:$F$998,A480,数据!$G$3:$G$998,B480)</f>
        <v>0</v>
      </c>
      <c r="T480">
        <f>SUMIFS(数据!$D$3:$D$998,数据!$E$3:$E$998,"仔鱼",数据!$F$3:$F$998,A480,数据!$G$3:$G$998,B480)</f>
        <v>0</v>
      </c>
      <c r="U480">
        <f>SUMIFS(数据!$D$3:$D$998,数据!$E$3:$E$998,"稚鱼",数据!$F$3:$F$998,A480,数据!$G$3:$G$998,B480)</f>
        <v>0</v>
      </c>
    </row>
    <row r="481" spans="1:21" ht="19.9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45" t="str">
        <f t="shared" si="14"/>
        <v/>
      </c>
      <c r="M481" s="45" t="str">
        <f t="shared" si="15"/>
        <v/>
      </c>
      <c r="N481" s="39" t="str">
        <f>IF(AND(A481="",B481=""),"",COUNTIFS(数据!$E$3:$E$998,"&lt;&gt;前期仔鱼",数据!$E$3:$E$998,"&lt;&gt;仔鱼",数据!$E$3:$E$998,"&lt;&gt;稚鱼",数据!$F$3:$F$998,A481,数据!$G$3:$G$998,B481))</f>
        <v/>
      </c>
      <c r="O481" s="39" t="str">
        <f>IF(AND(A481="",B481=""),"",COUNTIFS(数据!$E$3:$E$998,"&lt;&gt;鱼卵",数据!$E$3:$E$998,"&lt;&gt;死卵",数据!$F$3:$F$998,A481,数据!$G$3:$G$998,B481))</f>
        <v/>
      </c>
      <c r="P481" s="31"/>
      <c r="Q481">
        <f>SUMIFS(数据!$D$3:$D$998,数据!$E$3:$E$998,"鱼卵",数据!$F$3:$F$998,A481,数据!$G$3:$G$998,B481)</f>
        <v>0</v>
      </c>
      <c r="R481">
        <f>SUMIFS(数据!$D$3:$D$998,数据!$E$3:$E$998,"死卵",数据!$F$3:$F$998,A481,数据!$G$3:$G$998,B481)</f>
        <v>0</v>
      </c>
      <c r="S481">
        <f>SUMIFS(数据!$D$3:$D$998,数据!$E$3:$E$998,"前期仔鱼",数据!$F$3:$F$998,A481,数据!$G$3:$G$998,B481)</f>
        <v>0</v>
      </c>
      <c r="T481">
        <f>SUMIFS(数据!$D$3:$D$998,数据!$E$3:$E$998,"仔鱼",数据!$F$3:$F$998,A481,数据!$G$3:$G$998,B481)</f>
        <v>0</v>
      </c>
      <c r="U481">
        <f>SUMIFS(数据!$D$3:$D$998,数据!$E$3:$E$998,"稚鱼",数据!$F$3:$F$998,A481,数据!$G$3:$G$998,B481)</f>
        <v>0</v>
      </c>
    </row>
    <row r="482" spans="1:21" ht="19.9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45" t="str">
        <f t="shared" si="14"/>
        <v/>
      </c>
      <c r="M482" s="45" t="str">
        <f t="shared" si="15"/>
        <v/>
      </c>
      <c r="N482" s="39" t="str">
        <f>IF(AND(A482="",B482=""),"",COUNTIFS(数据!$E$3:$E$998,"&lt;&gt;前期仔鱼",数据!$E$3:$E$998,"&lt;&gt;仔鱼",数据!$E$3:$E$998,"&lt;&gt;稚鱼",数据!$F$3:$F$998,A482,数据!$G$3:$G$998,B482))</f>
        <v/>
      </c>
      <c r="O482" s="39" t="str">
        <f>IF(AND(A482="",B482=""),"",COUNTIFS(数据!$E$3:$E$998,"&lt;&gt;鱼卵",数据!$E$3:$E$998,"&lt;&gt;死卵",数据!$F$3:$F$998,A482,数据!$G$3:$G$998,B482))</f>
        <v/>
      </c>
      <c r="P482" s="31"/>
      <c r="Q482">
        <f>SUMIFS(数据!$D$3:$D$998,数据!$E$3:$E$998,"鱼卵",数据!$F$3:$F$998,A482,数据!$G$3:$G$998,B482)</f>
        <v>0</v>
      </c>
      <c r="R482">
        <f>SUMIFS(数据!$D$3:$D$998,数据!$E$3:$E$998,"死卵",数据!$F$3:$F$998,A482,数据!$G$3:$G$998,B482)</f>
        <v>0</v>
      </c>
      <c r="S482">
        <f>SUMIFS(数据!$D$3:$D$998,数据!$E$3:$E$998,"前期仔鱼",数据!$F$3:$F$998,A482,数据!$G$3:$G$998,B482)</f>
        <v>0</v>
      </c>
      <c r="T482">
        <f>SUMIFS(数据!$D$3:$D$998,数据!$E$3:$E$998,"仔鱼",数据!$F$3:$F$998,A482,数据!$G$3:$G$998,B482)</f>
        <v>0</v>
      </c>
      <c r="U482">
        <f>SUMIFS(数据!$D$3:$D$998,数据!$E$3:$E$998,"稚鱼",数据!$F$3:$F$998,A482,数据!$G$3:$G$998,B482)</f>
        <v>0</v>
      </c>
    </row>
    <row r="483" spans="1:21" ht="19.9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45" t="str">
        <f t="shared" si="14"/>
        <v/>
      </c>
      <c r="M483" s="45" t="str">
        <f t="shared" si="15"/>
        <v/>
      </c>
      <c r="N483" s="39" t="str">
        <f>IF(AND(A483="",B483=""),"",COUNTIFS(数据!$E$3:$E$998,"&lt;&gt;前期仔鱼",数据!$E$3:$E$998,"&lt;&gt;仔鱼",数据!$E$3:$E$998,"&lt;&gt;稚鱼",数据!$F$3:$F$998,A483,数据!$G$3:$G$998,B483))</f>
        <v/>
      </c>
      <c r="O483" s="39" t="str">
        <f>IF(AND(A483="",B483=""),"",COUNTIFS(数据!$E$3:$E$998,"&lt;&gt;鱼卵",数据!$E$3:$E$998,"&lt;&gt;死卵",数据!$F$3:$F$998,A483,数据!$G$3:$G$998,B483))</f>
        <v/>
      </c>
      <c r="P483" s="31"/>
      <c r="Q483">
        <f>SUMIFS(数据!$D$3:$D$998,数据!$E$3:$E$998,"鱼卵",数据!$F$3:$F$998,A483,数据!$G$3:$G$998,B483)</f>
        <v>0</v>
      </c>
      <c r="R483">
        <f>SUMIFS(数据!$D$3:$D$998,数据!$E$3:$E$998,"死卵",数据!$F$3:$F$998,A483,数据!$G$3:$G$998,B483)</f>
        <v>0</v>
      </c>
      <c r="S483">
        <f>SUMIFS(数据!$D$3:$D$998,数据!$E$3:$E$998,"前期仔鱼",数据!$F$3:$F$998,A483,数据!$G$3:$G$998,B483)</f>
        <v>0</v>
      </c>
      <c r="T483">
        <f>SUMIFS(数据!$D$3:$D$998,数据!$E$3:$E$998,"仔鱼",数据!$F$3:$F$998,A483,数据!$G$3:$G$998,B483)</f>
        <v>0</v>
      </c>
      <c r="U483">
        <f>SUMIFS(数据!$D$3:$D$998,数据!$E$3:$E$998,"稚鱼",数据!$F$3:$F$998,A483,数据!$G$3:$G$998,B483)</f>
        <v>0</v>
      </c>
    </row>
    <row r="484" spans="1:21" ht="19.9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45" t="str">
        <f t="shared" si="14"/>
        <v/>
      </c>
      <c r="M484" s="45" t="str">
        <f t="shared" si="15"/>
        <v/>
      </c>
      <c r="N484" s="39" t="str">
        <f>IF(AND(A484="",B484=""),"",COUNTIFS(数据!$E$3:$E$998,"&lt;&gt;前期仔鱼",数据!$E$3:$E$998,"&lt;&gt;仔鱼",数据!$E$3:$E$998,"&lt;&gt;稚鱼",数据!$F$3:$F$998,A484,数据!$G$3:$G$998,B484))</f>
        <v/>
      </c>
      <c r="O484" s="39" t="str">
        <f>IF(AND(A484="",B484=""),"",COUNTIFS(数据!$E$3:$E$998,"&lt;&gt;鱼卵",数据!$E$3:$E$998,"&lt;&gt;死卵",数据!$F$3:$F$998,A484,数据!$G$3:$G$998,B484))</f>
        <v/>
      </c>
      <c r="P484" s="31"/>
      <c r="Q484">
        <f>SUMIFS(数据!$D$3:$D$998,数据!$E$3:$E$998,"鱼卵",数据!$F$3:$F$998,A484,数据!$G$3:$G$998,B484)</f>
        <v>0</v>
      </c>
      <c r="R484">
        <f>SUMIFS(数据!$D$3:$D$998,数据!$E$3:$E$998,"死卵",数据!$F$3:$F$998,A484,数据!$G$3:$G$998,B484)</f>
        <v>0</v>
      </c>
      <c r="S484">
        <f>SUMIFS(数据!$D$3:$D$998,数据!$E$3:$E$998,"前期仔鱼",数据!$F$3:$F$998,A484,数据!$G$3:$G$998,B484)</f>
        <v>0</v>
      </c>
      <c r="T484">
        <f>SUMIFS(数据!$D$3:$D$998,数据!$E$3:$E$998,"仔鱼",数据!$F$3:$F$998,A484,数据!$G$3:$G$998,B484)</f>
        <v>0</v>
      </c>
      <c r="U484">
        <f>SUMIFS(数据!$D$3:$D$998,数据!$E$3:$E$998,"稚鱼",数据!$F$3:$F$998,A484,数据!$G$3:$G$998,B484)</f>
        <v>0</v>
      </c>
    </row>
    <row r="485" spans="1:21" ht="19.9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45" t="str">
        <f t="shared" si="14"/>
        <v/>
      </c>
      <c r="M485" s="45" t="str">
        <f t="shared" si="15"/>
        <v/>
      </c>
      <c r="N485" s="39" t="str">
        <f>IF(AND(A485="",B485=""),"",COUNTIFS(数据!$E$3:$E$998,"&lt;&gt;前期仔鱼",数据!$E$3:$E$998,"&lt;&gt;仔鱼",数据!$E$3:$E$998,"&lt;&gt;稚鱼",数据!$F$3:$F$998,A485,数据!$G$3:$G$998,B485))</f>
        <v/>
      </c>
      <c r="O485" s="39" t="str">
        <f>IF(AND(A485="",B485=""),"",COUNTIFS(数据!$E$3:$E$998,"&lt;&gt;鱼卵",数据!$E$3:$E$998,"&lt;&gt;死卵",数据!$F$3:$F$998,A485,数据!$G$3:$G$998,B485))</f>
        <v/>
      </c>
      <c r="P485" s="31"/>
      <c r="Q485">
        <f>SUMIFS(数据!$D$3:$D$998,数据!$E$3:$E$998,"鱼卵",数据!$F$3:$F$998,A485,数据!$G$3:$G$998,B485)</f>
        <v>0</v>
      </c>
      <c r="R485">
        <f>SUMIFS(数据!$D$3:$D$998,数据!$E$3:$E$998,"死卵",数据!$F$3:$F$998,A485,数据!$G$3:$G$998,B485)</f>
        <v>0</v>
      </c>
      <c r="S485">
        <f>SUMIFS(数据!$D$3:$D$998,数据!$E$3:$E$998,"前期仔鱼",数据!$F$3:$F$998,A485,数据!$G$3:$G$998,B485)</f>
        <v>0</v>
      </c>
      <c r="T485">
        <f>SUMIFS(数据!$D$3:$D$998,数据!$E$3:$E$998,"仔鱼",数据!$F$3:$F$998,A485,数据!$G$3:$G$998,B485)</f>
        <v>0</v>
      </c>
      <c r="U485">
        <f>SUMIFS(数据!$D$3:$D$998,数据!$E$3:$E$998,"稚鱼",数据!$F$3:$F$998,A485,数据!$G$3:$G$998,B485)</f>
        <v>0</v>
      </c>
    </row>
    <row r="486" spans="1:21" ht="19.9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45" t="str">
        <f t="shared" si="14"/>
        <v/>
      </c>
      <c r="M486" s="45" t="str">
        <f t="shared" si="15"/>
        <v/>
      </c>
      <c r="N486" s="39" t="str">
        <f>IF(AND(A486="",B486=""),"",COUNTIFS(数据!$E$3:$E$998,"&lt;&gt;前期仔鱼",数据!$E$3:$E$998,"&lt;&gt;仔鱼",数据!$E$3:$E$998,"&lt;&gt;稚鱼",数据!$F$3:$F$998,A486,数据!$G$3:$G$998,B486))</f>
        <v/>
      </c>
      <c r="O486" s="39" t="str">
        <f>IF(AND(A486="",B486=""),"",COUNTIFS(数据!$E$3:$E$998,"&lt;&gt;鱼卵",数据!$E$3:$E$998,"&lt;&gt;死卵",数据!$F$3:$F$998,A486,数据!$G$3:$G$998,B486))</f>
        <v/>
      </c>
      <c r="P486" s="31"/>
      <c r="Q486">
        <f>SUMIFS(数据!$D$3:$D$998,数据!$E$3:$E$998,"鱼卵",数据!$F$3:$F$998,A486,数据!$G$3:$G$998,B486)</f>
        <v>0</v>
      </c>
      <c r="R486">
        <f>SUMIFS(数据!$D$3:$D$998,数据!$E$3:$E$998,"死卵",数据!$F$3:$F$998,A486,数据!$G$3:$G$998,B486)</f>
        <v>0</v>
      </c>
      <c r="S486">
        <f>SUMIFS(数据!$D$3:$D$998,数据!$E$3:$E$998,"前期仔鱼",数据!$F$3:$F$998,A486,数据!$G$3:$G$998,B486)</f>
        <v>0</v>
      </c>
      <c r="T486">
        <f>SUMIFS(数据!$D$3:$D$998,数据!$E$3:$E$998,"仔鱼",数据!$F$3:$F$998,A486,数据!$G$3:$G$998,B486)</f>
        <v>0</v>
      </c>
      <c r="U486">
        <f>SUMIFS(数据!$D$3:$D$998,数据!$E$3:$E$998,"稚鱼",数据!$F$3:$F$998,A486,数据!$G$3:$G$998,B486)</f>
        <v>0</v>
      </c>
    </row>
    <row r="487" spans="1:21" ht="19.9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45" t="str">
        <f t="shared" si="14"/>
        <v/>
      </c>
      <c r="M487" s="45" t="str">
        <f t="shared" si="15"/>
        <v/>
      </c>
      <c r="N487" s="39" t="str">
        <f>IF(AND(A487="",B487=""),"",COUNTIFS(数据!$E$3:$E$998,"&lt;&gt;前期仔鱼",数据!$E$3:$E$998,"&lt;&gt;仔鱼",数据!$E$3:$E$998,"&lt;&gt;稚鱼",数据!$F$3:$F$998,A487,数据!$G$3:$G$998,B487))</f>
        <v/>
      </c>
      <c r="O487" s="39" t="str">
        <f>IF(AND(A487="",B487=""),"",COUNTIFS(数据!$E$3:$E$998,"&lt;&gt;鱼卵",数据!$E$3:$E$998,"&lt;&gt;死卵",数据!$F$3:$F$998,A487,数据!$G$3:$G$998,B487))</f>
        <v/>
      </c>
      <c r="P487" s="31"/>
      <c r="Q487">
        <f>SUMIFS(数据!$D$3:$D$998,数据!$E$3:$E$998,"鱼卵",数据!$F$3:$F$998,A487,数据!$G$3:$G$998,B487)</f>
        <v>0</v>
      </c>
      <c r="R487">
        <f>SUMIFS(数据!$D$3:$D$998,数据!$E$3:$E$998,"死卵",数据!$F$3:$F$998,A487,数据!$G$3:$G$998,B487)</f>
        <v>0</v>
      </c>
      <c r="S487">
        <f>SUMIFS(数据!$D$3:$D$998,数据!$E$3:$E$998,"前期仔鱼",数据!$F$3:$F$998,A487,数据!$G$3:$G$998,B487)</f>
        <v>0</v>
      </c>
      <c r="T487">
        <f>SUMIFS(数据!$D$3:$D$998,数据!$E$3:$E$998,"仔鱼",数据!$F$3:$F$998,A487,数据!$G$3:$G$998,B487)</f>
        <v>0</v>
      </c>
      <c r="U487">
        <f>SUMIFS(数据!$D$3:$D$998,数据!$E$3:$E$998,"稚鱼",数据!$F$3:$F$998,A487,数据!$G$3:$G$998,B487)</f>
        <v>0</v>
      </c>
    </row>
    <row r="488" spans="1:21" ht="19.9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45" t="str">
        <f t="shared" si="14"/>
        <v/>
      </c>
      <c r="M488" s="45" t="str">
        <f t="shared" si="15"/>
        <v/>
      </c>
      <c r="N488" s="39" t="str">
        <f>IF(AND(A488="",B488=""),"",COUNTIFS(数据!$E$3:$E$998,"&lt;&gt;前期仔鱼",数据!$E$3:$E$998,"&lt;&gt;仔鱼",数据!$E$3:$E$998,"&lt;&gt;稚鱼",数据!$F$3:$F$998,A488,数据!$G$3:$G$998,B488))</f>
        <v/>
      </c>
      <c r="O488" s="39" t="str">
        <f>IF(AND(A488="",B488=""),"",COUNTIFS(数据!$E$3:$E$998,"&lt;&gt;鱼卵",数据!$E$3:$E$998,"&lt;&gt;死卵",数据!$F$3:$F$998,A488,数据!$G$3:$G$998,B488))</f>
        <v/>
      </c>
      <c r="P488" s="31"/>
      <c r="Q488">
        <f>SUMIFS(数据!$D$3:$D$998,数据!$E$3:$E$998,"鱼卵",数据!$F$3:$F$998,A488,数据!$G$3:$G$998,B488)</f>
        <v>0</v>
      </c>
      <c r="R488">
        <f>SUMIFS(数据!$D$3:$D$998,数据!$E$3:$E$998,"死卵",数据!$F$3:$F$998,A488,数据!$G$3:$G$998,B488)</f>
        <v>0</v>
      </c>
      <c r="S488">
        <f>SUMIFS(数据!$D$3:$D$998,数据!$E$3:$E$998,"前期仔鱼",数据!$F$3:$F$998,A488,数据!$G$3:$G$998,B488)</f>
        <v>0</v>
      </c>
      <c r="T488">
        <f>SUMIFS(数据!$D$3:$D$998,数据!$E$3:$E$998,"仔鱼",数据!$F$3:$F$998,A488,数据!$G$3:$G$998,B488)</f>
        <v>0</v>
      </c>
      <c r="U488">
        <f>SUMIFS(数据!$D$3:$D$998,数据!$E$3:$E$998,"稚鱼",数据!$F$3:$F$998,A488,数据!$G$3:$G$998,B488)</f>
        <v>0</v>
      </c>
    </row>
    <row r="489" spans="1:21" ht="19.9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45" t="str">
        <f t="shared" si="14"/>
        <v/>
      </c>
      <c r="M489" s="45" t="str">
        <f t="shared" si="15"/>
        <v/>
      </c>
      <c r="N489" s="39" t="str">
        <f>IF(AND(A489="",B489=""),"",COUNTIFS(数据!$E$3:$E$998,"&lt;&gt;前期仔鱼",数据!$E$3:$E$998,"&lt;&gt;仔鱼",数据!$E$3:$E$998,"&lt;&gt;稚鱼",数据!$F$3:$F$998,A489,数据!$G$3:$G$998,B489))</f>
        <v/>
      </c>
      <c r="O489" s="39" t="str">
        <f>IF(AND(A489="",B489=""),"",COUNTIFS(数据!$E$3:$E$998,"&lt;&gt;鱼卵",数据!$E$3:$E$998,"&lt;&gt;死卵",数据!$F$3:$F$998,A489,数据!$G$3:$G$998,B489))</f>
        <v/>
      </c>
      <c r="P489" s="31"/>
      <c r="Q489">
        <f>SUMIFS(数据!$D$3:$D$998,数据!$E$3:$E$998,"鱼卵",数据!$F$3:$F$998,A489,数据!$G$3:$G$998,B489)</f>
        <v>0</v>
      </c>
      <c r="R489">
        <f>SUMIFS(数据!$D$3:$D$998,数据!$E$3:$E$998,"死卵",数据!$F$3:$F$998,A489,数据!$G$3:$G$998,B489)</f>
        <v>0</v>
      </c>
      <c r="S489">
        <f>SUMIFS(数据!$D$3:$D$998,数据!$E$3:$E$998,"前期仔鱼",数据!$F$3:$F$998,A489,数据!$G$3:$G$998,B489)</f>
        <v>0</v>
      </c>
      <c r="T489">
        <f>SUMIFS(数据!$D$3:$D$998,数据!$E$3:$E$998,"仔鱼",数据!$F$3:$F$998,A489,数据!$G$3:$G$998,B489)</f>
        <v>0</v>
      </c>
      <c r="U489">
        <f>SUMIFS(数据!$D$3:$D$998,数据!$E$3:$E$998,"稚鱼",数据!$F$3:$F$998,A489,数据!$G$3:$G$998,B489)</f>
        <v>0</v>
      </c>
    </row>
    <row r="490" spans="1:21" ht="19.9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45" t="str">
        <f t="shared" si="14"/>
        <v/>
      </c>
      <c r="M490" s="45" t="str">
        <f t="shared" si="15"/>
        <v/>
      </c>
      <c r="N490" s="39" t="str">
        <f>IF(AND(A490="",B490=""),"",COUNTIFS(数据!$E$3:$E$998,"&lt;&gt;前期仔鱼",数据!$E$3:$E$998,"&lt;&gt;仔鱼",数据!$E$3:$E$998,"&lt;&gt;稚鱼",数据!$F$3:$F$998,A490,数据!$G$3:$G$998,B490))</f>
        <v/>
      </c>
      <c r="O490" s="39" t="str">
        <f>IF(AND(A490="",B490=""),"",COUNTIFS(数据!$E$3:$E$998,"&lt;&gt;鱼卵",数据!$E$3:$E$998,"&lt;&gt;死卵",数据!$F$3:$F$998,A490,数据!$G$3:$G$998,B490))</f>
        <v/>
      </c>
      <c r="P490" s="31"/>
      <c r="Q490">
        <f>SUMIFS(数据!$D$3:$D$998,数据!$E$3:$E$998,"鱼卵",数据!$F$3:$F$998,A490,数据!$G$3:$G$998,B490)</f>
        <v>0</v>
      </c>
      <c r="R490">
        <f>SUMIFS(数据!$D$3:$D$998,数据!$E$3:$E$998,"死卵",数据!$F$3:$F$998,A490,数据!$G$3:$G$998,B490)</f>
        <v>0</v>
      </c>
      <c r="S490">
        <f>SUMIFS(数据!$D$3:$D$998,数据!$E$3:$E$998,"前期仔鱼",数据!$F$3:$F$998,A490,数据!$G$3:$G$998,B490)</f>
        <v>0</v>
      </c>
      <c r="T490">
        <f>SUMIFS(数据!$D$3:$D$998,数据!$E$3:$E$998,"仔鱼",数据!$F$3:$F$998,A490,数据!$G$3:$G$998,B490)</f>
        <v>0</v>
      </c>
      <c r="U490">
        <f>SUMIFS(数据!$D$3:$D$998,数据!$E$3:$E$998,"稚鱼",数据!$F$3:$F$998,A490,数据!$G$3:$G$998,B490)</f>
        <v>0</v>
      </c>
    </row>
    <row r="491" spans="1:21" ht="19.9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45" t="str">
        <f t="shared" si="14"/>
        <v/>
      </c>
      <c r="M491" s="45" t="str">
        <f t="shared" si="15"/>
        <v/>
      </c>
      <c r="N491" s="39" t="str">
        <f>IF(AND(A491="",B491=""),"",COUNTIFS(数据!$E$3:$E$998,"&lt;&gt;前期仔鱼",数据!$E$3:$E$998,"&lt;&gt;仔鱼",数据!$E$3:$E$998,"&lt;&gt;稚鱼",数据!$F$3:$F$998,A491,数据!$G$3:$G$998,B491))</f>
        <v/>
      </c>
      <c r="O491" s="39" t="str">
        <f>IF(AND(A491="",B491=""),"",COUNTIFS(数据!$E$3:$E$998,"&lt;&gt;鱼卵",数据!$E$3:$E$998,"&lt;&gt;死卵",数据!$F$3:$F$998,A491,数据!$G$3:$G$998,B491))</f>
        <v/>
      </c>
      <c r="P491" s="31"/>
      <c r="Q491">
        <f>SUMIFS(数据!$D$3:$D$998,数据!$E$3:$E$998,"鱼卵",数据!$F$3:$F$998,A491,数据!$G$3:$G$998,B491)</f>
        <v>0</v>
      </c>
      <c r="R491">
        <f>SUMIFS(数据!$D$3:$D$998,数据!$E$3:$E$998,"死卵",数据!$F$3:$F$998,A491,数据!$G$3:$G$998,B491)</f>
        <v>0</v>
      </c>
      <c r="S491">
        <f>SUMIFS(数据!$D$3:$D$998,数据!$E$3:$E$998,"前期仔鱼",数据!$F$3:$F$998,A491,数据!$G$3:$G$998,B491)</f>
        <v>0</v>
      </c>
      <c r="T491">
        <f>SUMIFS(数据!$D$3:$D$998,数据!$E$3:$E$998,"仔鱼",数据!$F$3:$F$998,A491,数据!$G$3:$G$998,B491)</f>
        <v>0</v>
      </c>
      <c r="U491">
        <f>SUMIFS(数据!$D$3:$D$998,数据!$E$3:$E$998,"稚鱼",数据!$F$3:$F$998,A491,数据!$G$3:$G$998,B491)</f>
        <v>0</v>
      </c>
    </row>
    <row r="492" spans="1:21" ht="19.9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45" t="str">
        <f t="shared" si="14"/>
        <v/>
      </c>
      <c r="M492" s="45" t="str">
        <f t="shared" si="15"/>
        <v/>
      </c>
      <c r="N492" s="39" t="str">
        <f>IF(AND(A492="",B492=""),"",COUNTIFS(数据!$E$3:$E$998,"&lt;&gt;前期仔鱼",数据!$E$3:$E$998,"&lt;&gt;仔鱼",数据!$E$3:$E$998,"&lt;&gt;稚鱼",数据!$F$3:$F$998,A492,数据!$G$3:$G$998,B492))</f>
        <v/>
      </c>
      <c r="O492" s="39" t="str">
        <f>IF(AND(A492="",B492=""),"",COUNTIFS(数据!$E$3:$E$998,"&lt;&gt;鱼卵",数据!$E$3:$E$998,"&lt;&gt;死卵",数据!$F$3:$F$998,A492,数据!$G$3:$G$998,B492))</f>
        <v/>
      </c>
      <c r="P492" s="31"/>
      <c r="Q492">
        <f>SUMIFS(数据!$D$3:$D$998,数据!$E$3:$E$998,"鱼卵",数据!$F$3:$F$998,A492,数据!$G$3:$G$998,B492)</f>
        <v>0</v>
      </c>
      <c r="R492">
        <f>SUMIFS(数据!$D$3:$D$998,数据!$E$3:$E$998,"死卵",数据!$F$3:$F$998,A492,数据!$G$3:$G$998,B492)</f>
        <v>0</v>
      </c>
      <c r="S492">
        <f>SUMIFS(数据!$D$3:$D$998,数据!$E$3:$E$998,"前期仔鱼",数据!$F$3:$F$998,A492,数据!$G$3:$G$998,B492)</f>
        <v>0</v>
      </c>
      <c r="T492">
        <f>SUMIFS(数据!$D$3:$D$998,数据!$E$3:$E$998,"仔鱼",数据!$F$3:$F$998,A492,数据!$G$3:$G$998,B492)</f>
        <v>0</v>
      </c>
      <c r="U492">
        <f>SUMIFS(数据!$D$3:$D$998,数据!$E$3:$E$998,"稚鱼",数据!$F$3:$F$998,A492,数据!$G$3:$G$998,B492)</f>
        <v>0</v>
      </c>
    </row>
    <row r="493" spans="1:21" ht="19.9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45" t="str">
        <f t="shared" si="14"/>
        <v/>
      </c>
      <c r="M493" s="45" t="str">
        <f t="shared" si="15"/>
        <v/>
      </c>
      <c r="N493" s="39" t="str">
        <f>IF(AND(A493="",B493=""),"",COUNTIFS(数据!$E$3:$E$998,"&lt;&gt;前期仔鱼",数据!$E$3:$E$998,"&lt;&gt;仔鱼",数据!$E$3:$E$998,"&lt;&gt;稚鱼",数据!$F$3:$F$998,A493,数据!$G$3:$G$998,B493))</f>
        <v/>
      </c>
      <c r="O493" s="39" t="str">
        <f>IF(AND(A493="",B493=""),"",COUNTIFS(数据!$E$3:$E$998,"&lt;&gt;鱼卵",数据!$E$3:$E$998,"&lt;&gt;死卵",数据!$F$3:$F$998,A493,数据!$G$3:$G$998,B493))</f>
        <v/>
      </c>
      <c r="P493" s="31"/>
      <c r="Q493">
        <f>SUMIFS(数据!$D$3:$D$998,数据!$E$3:$E$998,"鱼卵",数据!$F$3:$F$998,A493,数据!$G$3:$G$998,B493)</f>
        <v>0</v>
      </c>
      <c r="R493">
        <f>SUMIFS(数据!$D$3:$D$998,数据!$E$3:$E$998,"死卵",数据!$F$3:$F$998,A493,数据!$G$3:$G$998,B493)</f>
        <v>0</v>
      </c>
      <c r="S493">
        <f>SUMIFS(数据!$D$3:$D$998,数据!$E$3:$E$998,"前期仔鱼",数据!$F$3:$F$998,A493,数据!$G$3:$G$998,B493)</f>
        <v>0</v>
      </c>
      <c r="T493">
        <f>SUMIFS(数据!$D$3:$D$998,数据!$E$3:$E$998,"仔鱼",数据!$F$3:$F$998,A493,数据!$G$3:$G$998,B493)</f>
        <v>0</v>
      </c>
      <c r="U493">
        <f>SUMIFS(数据!$D$3:$D$998,数据!$E$3:$E$998,"稚鱼",数据!$F$3:$F$998,A493,数据!$G$3:$G$998,B493)</f>
        <v>0</v>
      </c>
    </row>
    <row r="494" spans="1:21" ht="19.9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45" t="str">
        <f t="shared" si="14"/>
        <v/>
      </c>
      <c r="M494" s="45" t="str">
        <f t="shared" si="15"/>
        <v/>
      </c>
      <c r="N494" s="39" t="str">
        <f>IF(AND(A494="",B494=""),"",COUNTIFS(数据!$E$3:$E$998,"&lt;&gt;前期仔鱼",数据!$E$3:$E$998,"&lt;&gt;仔鱼",数据!$E$3:$E$998,"&lt;&gt;稚鱼",数据!$F$3:$F$998,A494,数据!$G$3:$G$998,B494))</f>
        <v/>
      </c>
      <c r="O494" s="39" t="str">
        <f>IF(AND(A494="",B494=""),"",COUNTIFS(数据!$E$3:$E$998,"&lt;&gt;鱼卵",数据!$E$3:$E$998,"&lt;&gt;死卵",数据!$F$3:$F$998,A494,数据!$G$3:$G$998,B494))</f>
        <v/>
      </c>
      <c r="P494" s="31"/>
      <c r="Q494">
        <f>SUMIFS(数据!$D$3:$D$998,数据!$E$3:$E$998,"鱼卵",数据!$F$3:$F$998,A494,数据!$G$3:$G$998,B494)</f>
        <v>0</v>
      </c>
      <c r="R494">
        <f>SUMIFS(数据!$D$3:$D$998,数据!$E$3:$E$998,"死卵",数据!$F$3:$F$998,A494,数据!$G$3:$G$998,B494)</f>
        <v>0</v>
      </c>
      <c r="S494">
        <f>SUMIFS(数据!$D$3:$D$998,数据!$E$3:$E$998,"前期仔鱼",数据!$F$3:$F$998,A494,数据!$G$3:$G$998,B494)</f>
        <v>0</v>
      </c>
      <c r="T494">
        <f>SUMIFS(数据!$D$3:$D$998,数据!$E$3:$E$998,"仔鱼",数据!$F$3:$F$998,A494,数据!$G$3:$G$998,B494)</f>
        <v>0</v>
      </c>
      <c r="U494">
        <f>SUMIFS(数据!$D$3:$D$998,数据!$E$3:$E$998,"稚鱼",数据!$F$3:$F$998,A494,数据!$G$3:$G$998,B494)</f>
        <v>0</v>
      </c>
    </row>
    <row r="495" spans="1:21" ht="19.9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45" t="str">
        <f t="shared" si="14"/>
        <v/>
      </c>
      <c r="M495" s="45" t="str">
        <f t="shared" si="15"/>
        <v/>
      </c>
      <c r="N495" s="39" t="str">
        <f>IF(AND(A495="",B495=""),"",COUNTIFS(数据!$E$3:$E$998,"&lt;&gt;前期仔鱼",数据!$E$3:$E$998,"&lt;&gt;仔鱼",数据!$E$3:$E$998,"&lt;&gt;稚鱼",数据!$F$3:$F$998,A495,数据!$G$3:$G$998,B495))</f>
        <v/>
      </c>
      <c r="O495" s="39" t="str">
        <f>IF(AND(A495="",B495=""),"",COUNTIFS(数据!$E$3:$E$998,"&lt;&gt;鱼卵",数据!$E$3:$E$998,"&lt;&gt;死卵",数据!$F$3:$F$998,A495,数据!$G$3:$G$998,B495))</f>
        <v/>
      </c>
      <c r="P495" s="31"/>
      <c r="Q495">
        <f>SUMIFS(数据!$D$3:$D$998,数据!$E$3:$E$998,"鱼卵",数据!$F$3:$F$998,A495,数据!$G$3:$G$998,B495)</f>
        <v>0</v>
      </c>
      <c r="R495">
        <f>SUMIFS(数据!$D$3:$D$998,数据!$E$3:$E$998,"死卵",数据!$F$3:$F$998,A495,数据!$G$3:$G$998,B495)</f>
        <v>0</v>
      </c>
      <c r="S495">
        <f>SUMIFS(数据!$D$3:$D$998,数据!$E$3:$E$998,"前期仔鱼",数据!$F$3:$F$998,A495,数据!$G$3:$G$998,B495)</f>
        <v>0</v>
      </c>
      <c r="T495">
        <f>SUMIFS(数据!$D$3:$D$998,数据!$E$3:$E$998,"仔鱼",数据!$F$3:$F$998,A495,数据!$G$3:$G$998,B495)</f>
        <v>0</v>
      </c>
      <c r="U495">
        <f>SUMIFS(数据!$D$3:$D$998,数据!$E$3:$E$998,"稚鱼",数据!$F$3:$F$998,A495,数据!$G$3:$G$998,B495)</f>
        <v>0</v>
      </c>
    </row>
    <row r="496" spans="1:21" ht="19.9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45" t="str">
        <f t="shared" si="14"/>
        <v/>
      </c>
      <c r="M496" s="45" t="str">
        <f t="shared" si="15"/>
        <v/>
      </c>
      <c r="N496" s="39" t="str">
        <f>IF(AND(A496="",B496=""),"",COUNTIFS(数据!$E$3:$E$998,"&lt;&gt;前期仔鱼",数据!$E$3:$E$998,"&lt;&gt;仔鱼",数据!$E$3:$E$998,"&lt;&gt;稚鱼",数据!$F$3:$F$998,A496,数据!$G$3:$G$998,B496))</f>
        <v/>
      </c>
      <c r="O496" s="39" t="str">
        <f>IF(AND(A496="",B496=""),"",COUNTIFS(数据!$E$3:$E$998,"&lt;&gt;鱼卵",数据!$E$3:$E$998,"&lt;&gt;死卵",数据!$F$3:$F$998,A496,数据!$G$3:$G$998,B496))</f>
        <v/>
      </c>
      <c r="P496" s="31"/>
      <c r="Q496">
        <f>SUMIFS(数据!$D$3:$D$998,数据!$E$3:$E$998,"鱼卵",数据!$F$3:$F$998,A496,数据!$G$3:$G$998,B496)</f>
        <v>0</v>
      </c>
      <c r="R496">
        <f>SUMIFS(数据!$D$3:$D$998,数据!$E$3:$E$998,"死卵",数据!$F$3:$F$998,A496,数据!$G$3:$G$998,B496)</f>
        <v>0</v>
      </c>
      <c r="S496">
        <f>SUMIFS(数据!$D$3:$D$998,数据!$E$3:$E$998,"前期仔鱼",数据!$F$3:$F$998,A496,数据!$G$3:$G$998,B496)</f>
        <v>0</v>
      </c>
      <c r="T496">
        <f>SUMIFS(数据!$D$3:$D$998,数据!$E$3:$E$998,"仔鱼",数据!$F$3:$F$998,A496,数据!$G$3:$G$998,B496)</f>
        <v>0</v>
      </c>
      <c r="U496">
        <f>SUMIFS(数据!$D$3:$D$998,数据!$E$3:$E$998,"稚鱼",数据!$F$3:$F$998,A496,数据!$G$3:$G$998,B496)</f>
        <v>0</v>
      </c>
    </row>
    <row r="497" spans="1:21" ht="19.9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45" t="str">
        <f t="shared" si="14"/>
        <v/>
      </c>
      <c r="M497" s="45" t="str">
        <f t="shared" si="15"/>
        <v/>
      </c>
      <c r="N497" s="39" t="str">
        <f>IF(AND(A497="",B497=""),"",COUNTIFS(数据!$E$3:$E$998,"&lt;&gt;前期仔鱼",数据!$E$3:$E$998,"&lt;&gt;仔鱼",数据!$E$3:$E$998,"&lt;&gt;稚鱼",数据!$F$3:$F$998,A497,数据!$G$3:$G$998,B497))</f>
        <v/>
      </c>
      <c r="O497" s="39" t="str">
        <f>IF(AND(A497="",B497=""),"",COUNTIFS(数据!$E$3:$E$998,"&lt;&gt;鱼卵",数据!$E$3:$E$998,"&lt;&gt;死卵",数据!$F$3:$F$998,A497,数据!$G$3:$G$998,B497))</f>
        <v/>
      </c>
      <c r="P497" s="31"/>
      <c r="Q497">
        <f>SUMIFS(数据!$D$3:$D$998,数据!$E$3:$E$998,"鱼卵",数据!$F$3:$F$998,A497,数据!$G$3:$G$998,B497)</f>
        <v>0</v>
      </c>
      <c r="R497">
        <f>SUMIFS(数据!$D$3:$D$998,数据!$E$3:$E$998,"死卵",数据!$F$3:$F$998,A497,数据!$G$3:$G$998,B497)</f>
        <v>0</v>
      </c>
      <c r="S497">
        <f>SUMIFS(数据!$D$3:$D$998,数据!$E$3:$E$998,"前期仔鱼",数据!$F$3:$F$998,A497,数据!$G$3:$G$998,B497)</f>
        <v>0</v>
      </c>
      <c r="T497">
        <f>SUMIFS(数据!$D$3:$D$998,数据!$E$3:$E$998,"仔鱼",数据!$F$3:$F$998,A497,数据!$G$3:$G$998,B497)</f>
        <v>0</v>
      </c>
      <c r="U497">
        <f>SUMIFS(数据!$D$3:$D$998,数据!$E$3:$E$998,"稚鱼",数据!$F$3:$F$998,A497,数据!$G$3:$G$998,B497)</f>
        <v>0</v>
      </c>
    </row>
    <row r="498" spans="1:21" ht="19.9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45" t="str">
        <f t="shared" si="14"/>
        <v/>
      </c>
      <c r="M498" s="45" t="str">
        <f t="shared" si="15"/>
        <v/>
      </c>
      <c r="N498" s="39" t="str">
        <f>IF(AND(A498="",B498=""),"",COUNTIFS(数据!$E$3:$E$998,"&lt;&gt;前期仔鱼",数据!$E$3:$E$998,"&lt;&gt;仔鱼",数据!$E$3:$E$998,"&lt;&gt;稚鱼",数据!$F$3:$F$998,A498,数据!$G$3:$G$998,B498))</f>
        <v/>
      </c>
      <c r="O498" s="39" t="str">
        <f>IF(AND(A498="",B498=""),"",COUNTIFS(数据!$E$3:$E$998,"&lt;&gt;鱼卵",数据!$E$3:$E$998,"&lt;&gt;死卵",数据!$F$3:$F$998,A498,数据!$G$3:$G$998,B498))</f>
        <v/>
      </c>
      <c r="P498" s="31"/>
      <c r="Q498">
        <f>SUMIFS(数据!$D$3:$D$998,数据!$E$3:$E$998,"鱼卵",数据!$F$3:$F$998,A498,数据!$G$3:$G$998,B498)</f>
        <v>0</v>
      </c>
      <c r="R498">
        <f>SUMIFS(数据!$D$3:$D$998,数据!$E$3:$E$998,"死卵",数据!$F$3:$F$998,A498,数据!$G$3:$G$998,B498)</f>
        <v>0</v>
      </c>
      <c r="S498">
        <f>SUMIFS(数据!$D$3:$D$998,数据!$E$3:$E$998,"前期仔鱼",数据!$F$3:$F$998,A498,数据!$G$3:$G$998,B498)</f>
        <v>0</v>
      </c>
      <c r="T498">
        <f>SUMIFS(数据!$D$3:$D$998,数据!$E$3:$E$998,"仔鱼",数据!$F$3:$F$998,A498,数据!$G$3:$G$998,B498)</f>
        <v>0</v>
      </c>
      <c r="U498">
        <f>SUMIFS(数据!$D$3:$D$998,数据!$E$3:$E$998,"稚鱼",数据!$F$3:$F$998,A498,数据!$G$3:$G$998,B498)</f>
        <v>0</v>
      </c>
    </row>
    <row r="499" spans="1:21" ht="19.9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45" t="str">
        <f t="shared" si="14"/>
        <v/>
      </c>
      <c r="M499" s="45" t="str">
        <f t="shared" si="15"/>
        <v/>
      </c>
      <c r="N499" s="39" t="str">
        <f>IF(AND(A499="",B499=""),"",COUNTIFS(数据!$E$3:$E$998,"&lt;&gt;前期仔鱼",数据!$E$3:$E$998,"&lt;&gt;仔鱼",数据!$E$3:$E$998,"&lt;&gt;稚鱼",数据!$F$3:$F$998,A499,数据!$G$3:$G$998,B499))</f>
        <v/>
      </c>
      <c r="O499" s="39" t="str">
        <f>IF(AND(A499="",B499=""),"",COUNTIFS(数据!$E$3:$E$998,"&lt;&gt;鱼卵",数据!$E$3:$E$998,"&lt;&gt;死卵",数据!$F$3:$F$998,A499,数据!$G$3:$G$998,B499))</f>
        <v/>
      </c>
      <c r="P499" s="31"/>
      <c r="Q499">
        <f>SUMIFS(数据!$D$3:$D$998,数据!$E$3:$E$998,"鱼卵",数据!$F$3:$F$998,A499,数据!$G$3:$G$998,B499)</f>
        <v>0</v>
      </c>
      <c r="R499">
        <f>SUMIFS(数据!$D$3:$D$998,数据!$E$3:$E$998,"死卵",数据!$F$3:$F$998,A499,数据!$G$3:$G$998,B499)</f>
        <v>0</v>
      </c>
      <c r="S499">
        <f>SUMIFS(数据!$D$3:$D$998,数据!$E$3:$E$998,"前期仔鱼",数据!$F$3:$F$998,A499,数据!$G$3:$G$998,B499)</f>
        <v>0</v>
      </c>
      <c r="T499">
        <f>SUMIFS(数据!$D$3:$D$998,数据!$E$3:$E$998,"仔鱼",数据!$F$3:$F$998,A499,数据!$G$3:$G$998,B499)</f>
        <v>0</v>
      </c>
      <c r="U499">
        <f>SUMIFS(数据!$D$3:$D$998,数据!$E$3:$E$998,"稚鱼",数据!$F$3:$F$998,A499,数据!$G$3:$G$998,B499)</f>
        <v>0</v>
      </c>
    </row>
    <row r="500" spans="1:21" ht="19.9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45" t="str">
        <f t="shared" si="14"/>
        <v/>
      </c>
      <c r="M500" s="45" t="str">
        <f t="shared" si="15"/>
        <v/>
      </c>
      <c r="N500" s="39" t="str">
        <f>IF(AND(A500="",B500=""),"",COUNTIFS(数据!$E$3:$E$998,"&lt;&gt;前期仔鱼",数据!$E$3:$E$998,"&lt;&gt;仔鱼",数据!$E$3:$E$998,"&lt;&gt;稚鱼",数据!$F$3:$F$998,A500,数据!$G$3:$G$998,B500))</f>
        <v/>
      </c>
      <c r="O500" s="39" t="str">
        <f>IF(AND(A500="",B500=""),"",COUNTIFS(数据!$E$3:$E$998,"&lt;&gt;鱼卵",数据!$E$3:$E$998,"&lt;&gt;死卵",数据!$F$3:$F$998,A500,数据!$G$3:$G$998,B500))</f>
        <v/>
      </c>
      <c r="P500" s="31"/>
      <c r="Q500">
        <f>SUMIFS(数据!$D$3:$D$998,数据!$E$3:$E$998,"鱼卵",数据!$F$3:$F$998,A500,数据!$G$3:$G$998,B500)</f>
        <v>0</v>
      </c>
      <c r="R500">
        <f>SUMIFS(数据!$D$3:$D$998,数据!$E$3:$E$998,"死卵",数据!$F$3:$F$998,A500,数据!$G$3:$G$998,B500)</f>
        <v>0</v>
      </c>
      <c r="S500">
        <f>SUMIFS(数据!$D$3:$D$998,数据!$E$3:$E$998,"前期仔鱼",数据!$F$3:$F$998,A500,数据!$G$3:$G$998,B500)</f>
        <v>0</v>
      </c>
      <c r="T500">
        <f>SUMIFS(数据!$D$3:$D$998,数据!$E$3:$E$998,"仔鱼",数据!$F$3:$F$998,A500,数据!$G$3:$G$998,B500)</f>
        <v>0</v>
      </c>
      <c r="U500">
        <f>SUMIFS(数据!$D$3:$D$998,数据!$E$3:$E$998,"稚鱼",数据!$F$3:$F$998,A500,数据!$G$3:$G$998,B500)</f>
        <v>0</v>
      </c>
    </row>
    <row r="501" spans="1:21" ht="19.9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45" t="str">
        <f t="shared" si="14"/>
        <v/>
      </c>
      <c r="M501" s="45" t="str">
        <f t="shared" si="15"/>
        <v/>
      </c>
      <c r="N501" s="39" t="str">
        <f>IF(AND(A501="",B501=""),"",COUNTIFS(数据!$E$3:$E$998,"&lt;&gt;前期仔鱼",数据!$E$3:$E$998,"&lt;&gt;仔鱼",数据!$E$3:$E$998,"&lt;&gt;稚鱼",数据!$F$3:$F$998,A501,数据!$G$3:$G$998,B501))</f>
        <v/>
      </c>
      <c r="O501" s="39" t="str">
        <f>IF(AND(A501="",B501=""),"",COUNTIFS(数据!$E$3:$E$998,"&lt;&gt;鱼卵",数据!$E$3:$E$998,"&lt;&gt;死卵",数据!$F$3:$F$998,A501,数据!$G$3:$G$998,B501))</f>
        <v/>
      </c>
      <c r="P501" s="31"/>
      <c r="Q501">
        <f>SUMIFS(数据!$D$3:$D$998,数据!$E$3:$E$998,"鱼卵",数据!$F$3:$F$998,A501,数据!$G$3:$G$998,B501)</f>
        <v>0</v>
      </c>
      <c r="R501">
        <f>SUMIFS(数据!$D$3:$D$998,数据!$E$3:$E$998,"死卵",数据!$F$3:$F$998,A501,数据!$G$3:$G$998,B501)</f>
        <v>0</v>
      </c>
      <c r="S501">
        <f>SUMIFS(数据!$D$3:$D$998,数据!$E$3:$E$998,"前期仔鱼",数据!$F$3:$F$998,A501,数据!$G$3:$G$998,B501)</f>
        <v>0</v>
      </c>
      <c r="T501">
        <f>SUMIFS(数据!$D$3:$D$998,数据!$E$3:$E$998,"仔鱼",数据!$F$3:$F$998,A501,数据!$G$3:$G$998,B501)</f>
        <v>0</v>
      </c>
      <c r="U501">
        <f>SUMIFS(数据!$D$3:$D$998,数据!$E$3:$E$998,"稚鱼",数据!$F$3:$F$998,A501,数据!$G$3:$G$998,B501)</f>
        <v>0</v>
      </c>
    </row>
    <row r="502" spans="1:21" ht="19.9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45" t="str">
        <f t="shared" si="14"/>
        <v/>
      </c>
      <c r="M502" s="45" t="str">
        <f t="shared" si="15"/>
        <v/>
      </c>
      <c r="N502" s="39" t="str">
        <f>IF(AND(A502="",B502=""),"",COUNTIFS(数据!$E$3:$E$998,"&lt;&gt;前期仔鱼",数据!$E$3:$E$998,"&lt;&gt;仔鱼",数据!$E$3:$E$998,"&lt;&gt;稚鱼",数据!$F$3:$F$998,A502,数据!$G$3:$G$998,B502))</f>
        <v/>
      </c>
      <c r="O502" s="39" t="str">
        <f>IF(AND(A502="",B502=""),"",COUNTIFS(数据!$E$3:$E$998,"&lt;&gt;鱼卵",数据!$E$3:$E$998,"&lt;&gt;死卵",数据!$F$3:$F$998,A502,数据!$G$3:$G$998,B502))</f>
        <v/>
      </c>
      <c r="P502" s="31"/>
      <c r="Q502">
        <f>SUMIFS(数据!$D$3:$D$998,数据!$E$3:$E$998,"鱼卵",数据!$F$3:$F$998,A502,数据!$G$3:$G$998,B502)</f>
        <v>0</v>
      </c>
      <c r="R502">
        <f>SUMIFS(数据!$D$3:$D$998,数据!$E$3:$E$998,"死卵",数据!$F$3:$F$998,A502,数据!$G$3:$G$998,B502)</f>
        <v>0</v>
      </c>
      <c r="S502">
        <f>SUMIFS(数据!$D$3:$D$998,数据!$E$3:$E$998,"前期仔鱼",数据!$F$3:$F$998,A502,数据!$G$3:$G$998,B502)</f>
        <v>0</v>
      </c>
      <c r="T502">
        <f>SUMIFS(数据!$D$3:$D$998,数据!$E$3:$E$998,"仔鱼",数据!$F$3:$F$998,A502,数据!$G$3:$G$998,B502)</f>
        <v>0</v>
      </c>
      <c r="U502">
        <f>SUMIFS(数据!$D$3:$D$998,数据!$E$3:$E$998,"稚鱼",数据!$F$3:$F$998,A502,数据!$G$3:$G$998,B502)</f>
        <v>0</v>
      </c>
    </row>
    <row r="503" spans="1:21" ht="19.9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45" t="str">
        <f t="shared" si="14"/>
        <v/>
      </c>
      <c r="M503" s="45" t="str">
        <f t="shared" si="15"/>
        <v/>
      </c>
      <c r="N503" s="39" t="str">
        <f>IF(AND(A503="",B503=""),"",COUNTIFS(数据!$E$3:$E$998,"&lt;&gt;前期仔鱼",数据!$E$3:$E$998,"&lt;&gt;仔鱼",数据!$E$3:$E$998,"&lt;&gt;稚鱼",数据!$F$3:$F$998,A503,数据!$G$3:$G$998,B503))</f>
        <v/>
      </c>
      <c r="O503" s="39" t="str">
        <f>IF(AND(A503="",B503=""),"",COUNTIFS(数据!$E$3:$E$998,"&lt;&gt;鱼卵",数据!$E$3:$E$998,"&lt;&gt;死卵",数据!$F$3:$F$998,A503,数据!$G$3:$G$998,B503))</f>
        <v/>
      </c>
      <c r="P503" s="31"/>
      <c r="Q503">
        <f>SUMIFS(数据!$D$3:$D$998,数据!$E$3:$E$998,"鱼卵",数据!$F$3:$F$998,A503,数据!$G$3:$G$998,B503)</f>
        <v>0</v>
      </c>
      <c r="R503">
        <f>SUMIFS(数据!$D$3:$D$998,数据!$E$3:$E$998,"死卵",数据!$F$3:$F$998,A503,数据!$G$3:$G$998,B503)</f>
        <v>0</v>
      </c>
      <c r="S503">
        <f>SUMIFS(数据!$D$3:$D$998,数据!$E$3:$E$998,"前期仔鱼",数据!$F$3:$F$998,A503,数据!$G$3:$G$998,B503)</f>
        <v>0</v>
      </c>
      <c r="T503">
        <f>SUMIFS(数据!$D$3:$D$998,数据!$E$3:$E$998,"仔鱼",数据!$F$3:$F$998,A503,数据!$G$3:$G$998,B503)</f>
        <v>0</v>
      </c>
      <c r="U503">
        <f>SUMIFS(数据!$D$3:$D$998,数据!$E$3:$E$998,"稚鱼",数据!$F$3:$F$998,A503,数据!$G$3:$G$998,B503)</f>
        <v>0</v>
      </c>
    </row>
    <row r="504" spans="1:21" ht="19.9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45" t="str">
        <f t="shared" si="14"/>
        <v/>
      </c>
      <c r="M504" s="45" t="str">
        <f t="shared" si="15"/>
        <v/>
      </c>
      <c r="N504" s="39" t="str">
        <f>IF(AND(A504="",B504=""),"",COUNTIFS(数据!$E$3:$E$998,"&lt;&gt;前期仔鱼",数据!$E$3:$E$998,"&lt;&gt;仔鱼",数据!$E$3:$E$998,"&lt;&gt;稚鱼",数据!$F$3:$F$998,A504,数据!$G$3:$G$998,B504))</f>
        <v/>
      </c>
      <c r="O504" s="39" t="str">
        <f>IF(AND(A504="",B504=""),"",COUNTIFS(数据!$E$3:$E$998,"&lt;&gt;鱼卵",数据!$E$3:$E$998,"&lt;&gt;死卵",数据!$F$3:$F$998,A504,数据!$G$3:$G$998,B504))</f>
        <v/>
      </c>
      <c r="P504" s="31"/>
      <c r="Q504">
        <f>SUMIFS(数据!$D$3:$D$998,数据!$E$3:$E$998,"鱼卵",数据!$F$3:$F$998,A504,数据!$G$3:$G$998,B504)</f>
        <v>0</v>
      </c>
      <c r="R504">
        <f>SUMIFS(数据!$D$3:$D$998,数据!$E$3:$E$998,"死卵",数据!$F$3:$F$998,A504,数据!$G$3:$G$998,B504)</f>
        <v>0</v>
      </c>
      <c r="S504">
        <f>SUMIFS(数据!$D$3:$D$998,数据!$E$3:$E$998,"前期仔鱼",数据!$F$3:$F$998,A504,数据!$G$3:$G$998,B504)</f>
        <v>0</v>
      </c>
      <c r="T504">
        <f>SUMIFS(数据!$D$3:$D$998,数据!$E$3:$E$998,"仔鱼",数据!$F$3:$F$998,A504,数据!$G$3:$G$998,B504)</f>
        <v>0</v>
      </c>
      <c r="U504">
        <f>SUMIFS(数据!$D$3:$D$998,数据!$E$3:$E$998,"稚鱼",数据!$F$3:$F$998,A504,数据!$G$3:$G$998,B504)</f>
        <v>0</v>
      </c>
    </row>
    <row r="505" spans="1:21" ht="19.9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45" t="str">
        <f t="shared" si="14"/>
        <v/>
      </c>
      <c r="M505" s="45" t="str">
        <f t="shared" si="15"/>
        <v/>
      </c>
      <c r="N505" s="39" t="str">
        <f>IF(AND(A505="",B505=""),"",COUNTIFS(数据!$E$3:$E$998,"&lt;&gt;前期仔鱼",数据!$E$3:$E$998,"&lt;&gt;仔鱼",数据!$E$3:$E$998,"&lt;&gt;稚鱼",数据!$F$3:$F$998,A505,数据!$G$3:$G$998,B505))</f>
        <v/>
      </c>
      <c r="O505" s="39" t="str">
        <f>IF(AND(A505="",B505=""),"",COUNTIFS(数据!$E$3:$E$998,"&lt;&gt;鱼卵",数据!$E$3:$E$998,"&lt;&gt;死卵",数据!$F$3:$F$998,A505,数据!$G$3:$G$998,B505))</f>
        <v/>
      </c>
      <c r="P505" s="31"/>
      <c r="Q505">
        <f>SUMIFS(数据!$D$3:$D$998,数据!$E$3:$E$998,"鱼卵",数据!$F$3:$F$998,A505,数据!$G$3:$G$998,B505)</f>
        <v>0</v>
      </c>
      <c r="R505">
        <f>SUMIFS(数据!$D$3:$D$998,数据!$E$3:$E$998,"死卵",数据!$F$3:$F$998,A505,数据!$G$3:$G$998,B505)</f>
        <v>0</v>
      </c>
      <c r="S505">
        <f>SUMIFS(数据!$D$3:$D$998,数据!$E$3:$E$998,"前期仔鱼",数据!$F$3:$F$998,A505,数据!$G$3:$G$998,B505)</f>
        <v>0</v>
      </c>
      <c r="T505">
        <f>SUMIFS(数据!$D$3:$D$998,数据!$E$3:$E$998,"仔鱼",数据!$F$3:$F$998,A505,数据!$G$3:$G$998,B505)</f>
        <v>0</v>
      </c>
      <c r="U505">
        <f>SUMIFS(数据!$D$3:$D$998,数据!$E$3:$E$998,"稚鱼",数据!$F$3:$F$998,A505,数据!$G$3:$G$998,B505)</f>
        <v>0</v>
      </c>
    </row>
    <row r="506" spans="1:21" ht="19.9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45" t="str">
        <f t="shared" si="14"/>
        <v/>
      </c>
      <c r="M506" s="45" t="str">
        <f t="shared" si="15"/>
        <v/>
      </c>
      <c r="N506" s="39" t="str">
        <f>IF(AND(A506="",B506=""),"",COUNTIFS(数据!$E$3:$E$998,"&lt;&gt;前期仔鱼",数据!$E$3:$E$998,"&lt;&gt;仔鱼",数据!$E$3:$E$998,"&lt;&gt;稚鱼",数据!$F$3:$F$998,A506,数据!$G$3:$G$998,B506))</f>
        <v/>
      </c>
      <c r="O506" s="39" t="str">
        <f>IF(AND(A506="",B506=""),"",COUNTIFS(数据!$E$3:$E$998,"&lt;&gt;鱼卵",数据!$E$3:$E$998,"&lt;&gt;死卵",数据!$F$3:$F$998,A506,数据!$G$3:$G$998,B506))</f>
        <v/>
      </c>
      <c r="P506" s="31"/>
      <c r="Q506">
        <f>SUMIFS(数据!$D$3:$D$998,数据!$E$3:$E$998,"鱼卵",数据!$F$3:$F$998,A506,数据!$G$3:$G$998,B506)</f>
        <v>0</v>
      </c>
      <c r="R506">
        <f>SUMIFS(数据!$D$3:$D$998,数据!$E$3:$E$998,"死卵",数据!$F$3:$F$998,A506,数据!$G$3:$G$998,B506)</f>
        <v>0</v>
      </c>
      <c r="S506">
        <f>SUMIFS(数据!$D$3:$D$998,数据!$E$3:$E$998,"前期仔鱼",数据!$F$3:$F$998,A506,数据!$G$3:$G$998,B506)</f>
        <v>0</v>
      </c>
      <c r="T506">
        <f>SUMIFS(数据!$D$3:$D$998,数据!$E$3:$E$998,"仔鱼",数据!$F$3:$F$998,A506,数据!$G$3:$G$998,B506)</f>
        <v>0</v>
      </c>
      <c r="U506">
        <f>SUMIFS(数据!$D$3:$D$998,数据!$E$3:$E$998,"稚鱼",数据!$F$3:$F$998,A506,数据!$G$3:$G$998,B506)</f>
        <v>0</v>
      </c>
    </row>
    <row r="507" spans="1:21" ht="19.9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45" t="str">
        <f t="shared" si="14"/>
        <v/>
      </c>
      <c r="M507" s="45" t="str">
        <f t="shared" si="15"/>
        <v/>
      </c>
      <c r="N507" s="39" t="str">
        <f>IF(AND(A507="",B507=""),"",COUNTIFS(数据!$E$3:$E$998,"&lt;&gt;前期仔鱼",数据!$E$3:$E$998,"&lt;&gt;仔鱼",数据!$E$3:$E$998,"&lt;&gt;稚鱼",数据!$F$3:$F$998,A507,数据!$G$3:$G$998,B507))</f>
        <v/>
      </c>
      <c r="O507" s="39" t="str">
        <f>IF(AND(A507="",B507=""),"",COUNTIFS(数据!$E$3:$E$998,"&lt;&gt;鱼卵",数据!$E$3:$E$998,"&lt;&gt;死卵",数据!$F$3:$F$998,A507,数据!$G$3:$G$998,B507))</f>
        <v/>
      </c>
      <c r="P507" s="31"/>
      <c r="Q507">
        <f>SUMIFS(数据!$D$3:$D$998,数据!$E$3:$E$998,"鱼卵",数据!$F$3:$F$998,A507,数据!$G$3:$G$998,B507)</f>
        <v>0</v>
      </c>
      <c r="R507">
        <f>SUMIFS(数据!$D$3:$D$998,数据!$E$3:$E$998,"死卵",数据!$F$3:$F$998,A507,数据!$G$3:$G$998,B507)</f>
        <v>0</v>
      </c>
      <c r="S507">
        <f>SUMIFS(数据!$D$3:$D$998,数据!$E$3:$E$998,"前期仔鱼",数据!$F$3:$F$998,A507,数据!$G$3:$G$998,B507)</f>
        <v>0</v>
      </c>
      <c r="T507">
        <f>SUMIFS(数据!$D$3:$D$998,数据!$E$3:$E$998,"仔鱼",数据!$F$3:$F$998,A507,数据!$G$3:$G$998,B507)</f>
        <v>0</v>
      </c>
      <c r="U507">
        <f>SUMIFS(数据!$D$3:$D$998,数据!$E$3:$E$998,"稚鱼",数据!$F$3:$F$998,A507,数据!$G$3:$G$998,B507)</f>
        <v>0</v>
      </c>
    </row>
    <row r="508" spans="1:21" ht="19.9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45" t="str">
        <f t="shared" si="14"/>
        <v/>
      </c>
      <c r="M508" s="45" t="str">
        <f t="shared" si="15"/>
        <v/>
      </c>
      <c r="N508" s="39" t="str">
        <f>IF(AND(A508="",B508=""),"",COUNTIFS(数据!$E$3:$E$998,"&lt;&gt;前期仔鱼",数据!$E$3:$E$998,"&lt;&gt;仔鱼",数据!$E$3:$E$998,"&lt;&gt;稚鱼",数据!$F$3:$F$998,A508,数据!$G$3:$G$998,B508))</f>
        <v/>
      </c>
      <c r="O508" s="39" t="str">
        <f>IF(AND(A508="",B508=""),"",COUNTIFS(数据!$E$3:$E$998,"&lt;&gt;鱼卵",数据!$E$3:$E$998,"&lt;&gt;死卵",数据!$F$3:$F$998,A508,数据!$G$3:$G$998,B508))</f>
        <v/>
      </c>
      <c r="P508" s="31"/>
      <c r="Q508">
        <f>SUMIFS(数据!$D$3:$D$998,数据!$E$3:$E$998,"鱼卵",数据!$F$3:$F$998,A508,数据!$G$3:$G$998,B508)</f>
        <v>0</v>
      </c>
      <c r="R508">
        <f>SUMIFS(数据!$D$3:$D$998,数据!$E$3:$E$998,"死卵",数据!$F$3:$F$998,A508,数据!$G$3:$G$998,B508)</f>
        <v>0</v>
      </c>
      <c r="S508">
        <f>SUMIFS(数据!$D$3:$D$998,数据!$E$3:$E$998,"前期仔鱼",数据!$F$3:$F$998,A508,数据!$G$3:$G$998,B508)</f>
        <v>0</v>
      </c>
      <c r="T508">
        <f>SUMIFS(数据!$D$3:$D$998,数据!$E$3:$E$998,"仔鱼",数据!$F$3:$F$998,A508,数据!$G$3:$G$998,B508)</f>
        <v>0</v>
      </c>
      <c r="U508">
        <f>SUMIFS(数据!$D$3:$D$998,数据!$E$3:$E$998,"稚鱼",数据!$F$3:$F$998,A508,数据!$G$3:$G$998,B508)</f>
        <v>0</v>
      </c>
    </row>
    <row r="509" spans="1:21" ht="19.9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45" t="str">
        <f t="shared" si="14"/>
        <v/>
      </c>
      <c r="M509" s="45" t="str">
        <f t="shared" si="15"/>
        <v/>
      </c>
      <c r="N509" s="39" t="str">
        <f>IF(AND(A509="",B509=""),"",COUNTIFS(数据!$E$3:$E$998,"&lt;&gt;前期仔鱼",数据!$E$3:$E$998,"&lt;&gt;仔鱼",数据!$E$3:$E$998,"&lt;&gt;稚鱼",数据!$F$3:$F$998,A509,数据!$G$3:$G$998,B509))</f>
        <v/>
      </c>
      <c r="O509" s="39" t="str">
        <f>IF(AND(A509="",B509=""),"",COUNTIFS(数据!$E$3:$E$998,"&lt;&gt;鱼卵",数据!$E$3:$E$998,"&lt;&gt;死卵",数据!$F$3:$F$998,A509,数据!$G$3:$G$998,B509))</f>
        <v/>
      </c>
      <c r="P509" s="31"/>
      <c r="Q509">
        <f>SUMIFS(数据!$D$3:$D$998,数据!$E$3:$E$998,"鱼卵",数据!$F$3:$F$998,A509,数据!$G$3:$G$998,B509)</f>
        <v>0</v>
      </c>
      <c r="R509">
        <f>SUMIFS(数据!$D$3:$D$998,数据!$E$3:$E$998,"死卵",数据!$F$3:$F$998,A509,数据!$G$3:$G$998,B509)</f>
        <v>0</v>
      </c>
      <c r="S509">
        <f>SUMIFS(数据!$D$3:$D$998,数据!$E$3:$E$998,"前期仔鱼",数据!$F$3:$F$998,A509,数据!$G$3:$G$998,B509)</f>
        <v>0</v>
      </c>
      <c r="T509">
        <f>SUMIFS(数据!$D$3:$D$998,数据!$E$3:$E$998,"仔鱼",数据!$F$3:$F$998,A509,数据!$G$3:$G$998,B509)</f>
        <v>0</v>
      </c>
      <c r="U509">
        <f>SUMIFS(数据!$D$3:$D$998,数据!$E$3:$E$998,"稚鱼",数据!$F$3:$F$998,A509,数据!$G$3:$G$998,B509)</f>
        <v>0</v>
      </c>
    </row>
    <row r="510" spans="1:21" ht="19.9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45" t="str">
        <f t="shared" si="14"/>
        <v/>
      </c>
      <c r="M510" s="45" t="str">
        <f t="shared" si="15"/>
        <v/>
      </c>
      <c r="N510" s="39" t="str">
        <f>IF(AND(A510="",B510=""),"",COUNTIFS(数据!$E$3:$E$998,"&lt;&gt;前期仔鱼",数据!$E$3:$E$998,"&lt;&gt;仔鱼",数据!$E$3:$E$998,"&lt;&gt;稚鱼",数据!$F$3:$F$998,A510,数据!$G$3:$G$998,B510))</f>
        <v/>
      </c>
      <c r="O510" s="39" t="str">
        <f>IF(AND(A510="",B510=""),"",COUNTIFS(数据!$E$3:$E$998,"&lt;&gt;鱼卵",数据!$E$3:$E$998,"&lt;&gt;死卵",数据!$F$3:$F$998,A510,数据!$G$3:$G$998,B510))</f>
        <v/>
      </c>
      <c r="P510" s="31"/>
      <c r="Q510">
        <f>SUMIFS(数据!$D$3:$D$998,数据!$E$3:$E$998,"鱼卵",数据!$F$3:$F$998,A510,数据!$G$3:$G$998,B510)</f>
        <v>0</v>
      </c>
      <c r="R510">
        <f>SUMIFS(数据!$D$3:$D$998,数据!$E$3:$E$998,"死卵",数据!$F$3:$F$998,A510,数据!$G$3:$G$998,B510)</f>
        <v>0</v>
      </c>
      <c r="S510">
        <f>SUMIFS(数据!$D$3:$D$998,数据!$E$3:$E$998,"前期仔鱼",数据!$F$3:$F$998,A510,数据!$G$3:$G$998,B510)</f>
        <v>0</v>
      </c>
      <c r="T510">
        <f>SUMIFS(数据!$D$3:$D$998,数据!$E$3:$E$998,"仔鱼",数据!$F$3:$F$998,A510,数据!$G$3:$G$998,B510)</f>
        <v>0</v>
      </c>
      <c r="U510">
        <f>SUMIFS(数据!$D$3:$D$998,数据!$E$3:$E$998,"稚鱼",数据!$F$3:$F$998,A510,数据!$G$3:$G$998,B510)</f>
        <v>0</v>
      </c>
    </row>
    <row r="511" spans="1:21" ht="19.9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45" t="str">
        <f t="shared" si="14"/>
        <v/>
      </c>
      <c r="M511" s="45" t="str">
        <f t="shared" si="15"/>
        <v/>
      </c>
      <c r="N511" s="39" t="str">
        <f>IF(AND(A511="",B511=""),"",COUNTIFS(数据!$E$3:$E$998,"&lt;&gt;前期仔鱼",数据!$E$3:$E$998,"&lt;&gt;仔鱼",数据!$E$3:$E$998,"&lt;&gt;稚鱼",数据!$F$3:$F$998,A511,数据!$G$3:$G$998,B511))</f>
        <v/>
      </c>
      <c r="O511" s="39" t="str">
        <f>IF(AND(A511="",B511=""),"",COUNTIFS(数据!$E$3:$E$998,"&lt;&gt;鱼卵",数据!$E$3:$E$998,"&lt;&gt;死卵",数据!$F$3:$F$998,A511,数据!$G$3:$G$998,B511))</f>
        <v/>
      </c>
      <c r="P511" s="31"/>
      <c r="Q511">
        <f>SUMIFS(数据!$D$3:$D$998,数据!$E$3:$E$998,"鱼卵",数据!$F$3:$F$998,A511,数据!$G$3:$G$998,B511)</f>
        <v>0</v>
      </c>
      <c r="R511">
        <f>SUMIFS(数据!$D$3:$D$998,数据!$E$3:$E$998,"死卵",数据!$F$3:$F$998,A511,数据!$G$3:$G$998,B511)</f>
        <v>0</v>
      </c>
      <c r="S511">
        <f>SUMIFS(数据!$D$3:$D$998,数据!$E$3:$E$998,"前期仔鱼",数据!$F$3:$F$998,A511,数据!$G$3:$G$998,B511)</f>
        <v>0</v>
      </c>
      <c r="T511">
        <f>SUMIFS(数据!$D$3:$D$998,数据!$E$3:$E$998,"仔鱼",数据!$F$3:$F$998,A511,数据!$G$3:$G$998,B511)</f>
        <v>0</v>
      </c>
      <c r="U511">
        <f>SUMIFS(数据!$D$3:$D$998,数据!$E$3:$E$998,"稚鱼",数据!$F$3:$F$998,A511,数据!$G$3:$G$998,B511)</f>
        <v>0</v>
      </c>
    </row>
    <row r="512" spans="1:21" ht="19.9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45" t="str">
        <f t="shared" si="14"/>
        <v/>
      </c>
      <c r="M512" s="45" t="str">
        <f t="shared" si="15"/>
        <v/>
      </c>
      <c r="N512" s="39" t="str">
        <f>IF(AND(A512="",B512=""),"",COUNTIFS(数据!$E$3:$E$998,"&lt;&gt;前期仔鱼",数据!$E$3:$E$998,"&lt;&gt;仔鱼",数据!$E$3:$E$998,"&lt;&gt;稚鱼",数据!$F$3:$F$998,A512,数据!$G$3:$G$998,B512))</f>
        <v/>
      </c>
      <c r="O512" s="39" t="str">
        <f>IF(AND(A512="",B512=""),"",COUNTIFS(数据!$E$3:$E$998,"&lt;&gt;鱼卵",数据!$E$3:$E$998,"&lt;&gt;死卵",数据!$F$3:$F$998,A512,数据!$G$3:$G$998,B512))</f>
        <v/>
      </c>
      <c r="P512" s="31"/>
      <c r="Q512">
        <f>SUMIFS(数据!$D$3:$D$998,数据!$E$3:$E$998,"鱼卵",数据!$F$3:$F$998,A512,数据!$G$3:$G$998,B512)</f>
        <v>0</v>
      </c>
      <c r="R512">
        <f>SUMIFS(数据!$D$3:$D$998,数据!$E$3:$E$998,"死卵",数据!$F$3:$F$998,A512,数据!$G$3:$G$998,B512)</f>
        <v>0</v>
      </c>
      <c r="S512">
        <f>SUMIFS(数据!$D$3:$D$998,数据!$E$3:$E$998,"前期仔鱼",数据!$F$3:$F$998,A512,数据!$G$3:$G$998,B512)</f>
        <v>0</v>
      </c>
      <c r="T512">
        <f>SUMIFS(数据!$D$3:$D$998,数据!$E$3:$E$998,"仔鱼",数据!$F$3:$F$998,A512,数据!$G$3:$G$998,B512)</f>
        <v>0</v>
      </c>
      <c r="U512">
        <f>SUMIFS(数据!$D$3:$D$998,数据!$E$3:$E$998,"稚鱼",数据!$F$3:$F$998,A512,数据!$G$3:$G$998,B512)</f>
        <v>0</v>
      </c>
    </row>
    <row r="513" spans="1:21" ht="19.9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45" t="str">
        <f t="shared" si="14"/>
        <v/>
      </c>
      <c r="M513" s="45" t="str">
        <f t="shared" si="15"/>
        <v/>
      </c>
      <c r="N513" s="39" t="str">
        <f>IF(AND(A513="",B513=""),"",COUNTIFS(数据!$E$3:$E$998,"&lt;&gt;前期仔鱼",数据!$E$3:$E$998,"&lt;&gt;仔鱼",数据!$E$3:$E$998,"&lt;&gt;稚鱼",数据!$F$3:$F$998,A513,数据!$G$3:$G$998,B513))</f>
        <v/>
      </c>
      <c r="O513" s="39" t="str">
        <f>IF(AND(A513="",B513=""),"",COUNTIFS(数据!$E$3:$E$998,"&lt;&gt;鱼卵",数据!$E$3:$E$998,"&lt;&gt;死卵",数据!$F$3:$F$998,A513,数据!$G$3:$G$998,B513))</f>
        <v/>
      </c>
      <c r="P513" s="31"/>
      <c r="Q513">
        <f>SUMIFS(数据!$D$3:$D$998,数据!$E$3:$E$998,"鱼卵",数据!$F$3:$F$998,A513,数据!$G$3:$G$998,B513)</f>
        <v>0</v>
      </c>
      <c r="R513">
        <f>SUMIFS(数据!$D$3:$D$998,数据!$E$3:$E$998,"死卵",数据!$F$3:$F$998,A513,数据!$G$3:$G$998,B513)</f>
        <v>0</v>
      </c>
      <c r="S513">
        <f>SUMIFS(数据!$D$3:$D$998,数据!$E$3:$E$998,"前期仔鱼",数据!$F$3:$F$998,A513,数据!$G$3:$G$998,B513)</f>
        <v>0</v>
      </c>
      <c r="T513">
        <f>SUMIFS(数据!$D$3:$D$998,数据!$E$3:$E$998,"仔鱼",数据!$F$3:$F$998,A513,数据!$G$3:$G$998,B513)</f>
        <v>0</v>
      </c>
      <c r="U513">
        <f>SUMIFS(数据!$D$3:$D$998,数据!$E$3:$E$998,"稚鱼",数据!$F$3:$F$998,A513,数据!$G$3:$G$998,B513)</f>
        <v>0</v>
      </c>
    </row>
    <row r="514" spans="1:21" ht="19.9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45" t="str">
        <f t="shared" si="14"/>
        <v/>
      </c>
      <c r="M514" s="45" t="str">
        <f t="shared" si="15"/>
        <v/>
      </c>
      <c r="N514" s="39" t="str">
        <f>IF(AND(A514="",B514=""),"",COUNTIFS(数据!$E$3:$E$998,"&lt;&gt;前期仔鱼",数据!$E$3:$E$998,"&lt;&gt;仔鱼",数据!$E$3:$E$998,"&lt;&gt;稚鱼",数据!$F$3:$F$998,A514,数据!$G$3:$G$998,B514))</f>
        <v/>
      </c>
      <c r="O514" s="39" t="str">
        <f>IF(AND(A514="",B514=""),"",COUNTIFS(数据!$E$3:$E$998,"&lt;&gt;鱼卵",数据!$E$3:$E$998,"&lt;&gt;死卵",数据!$F$3:$F$998,A514,数据!$G$3:$G$998,B514))</f>
        <v/>
      </c>
      <c r="P514" s="31"/>
      <c r="Q514">
        <f>SUMIFS(数据!$D$3:$D$998,数据!$E$3:$E$998,"鱼卵",数据!$F$3:$F$998,A514,数据!$G$3:$G$998,B514)</f>
        <v>0</v>
      </c>
      <c r="R514">
        <f>SUMIFS(数据!$D$3:$D$998,数据!$E$3:$E$998,"死卵",数据!$F$3:$F$998,A514,数据!$G$3:$G$998,B514)</f>
        <v>0</v>
      </c>
      <c r="S514">
        <f>SUMIFS(数据!$D$3:$D$998,数据!$E$3:$E$998,"前期仔鱼",数据!$F$3:$F$998,A514,数据!$G$3:$G$998,B514)</f>
        <v>0</v>
      </c>
      <c r="T514">
        <f>SUMIFS(数据!$D$3:$D$998,数据!$E$3:$E$998,"仔鱼",数据!$F$3:$F$998,A514,数据!$G$3:$G$998,B514)</f>
        <v>0</v>
      </c>
      <c r="U514">
        <f>SUMIFS(数据!$D$3:$D$998,数据!$E$3:$E$998,"稚鱼",数据!$F$3:$F$998,A514,数据!$G$3:$G$998,B514)</f>
        <v>0</v>
      </c>
    </row>
    <row r="515" spans="1:21" ht="19.9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45" t="str">
        <f t="shared" si="14"/>
        <v/>
      </c>
      <c r="M515" s="45" t="str">
        <f t="shared" si="15"/>
        <v/>
      </c>
      <c r="N515" s="39" t="str">
        <f>IF(AND(A515="",B515=""),"",COUNTIFS(数据!$E$3:$E$998,"&lt;&gt;前期仔鱼",数据!$E$3:$E$998,"&lt;&gt;仔鱼",数据!$E$3:$E$998,"&lt;&gt;稚鱼",数据!$F$3:$F$998,A515,数据!$G$3:$G$998,B515))</f>
        <v/>
      </c>
      <c r="O515" s="39" t="str">
        <f>IF(AND(A515="",B515=""),"",COUNTIFS(数据!$E$3:$E$998,"&lt;&gt;鱼卵",数据!$E$3:$E$998,"&lt;&gt;死卵",数据!$F$3:$F$998,A515,数据!$G$3:$G$998,B515))</f>
        <v/>
      </c>
      <c r="P515" s="31"/>
      <c r="Q515">
        <f>SUMIFS(数据!$D$3:$D$998,数据!$E$3:$E$998,"鱼卵",数据!$F$3:$F$998,A515,数据!$G$3:$G$998,B515)</f>
        <v>0</v>
      </c>
      <c r="R515">
        <f>SUMIFS(数据!$D$3:$D$998,数据!$E$3:$E$998,"死卵",数据!$F$3:$F$998,A515,数据!$G$3:$G$998,B515)</f>
        <v>0</v>
      </c>
      <c r="S515">
        <f>SUMIFS(数据!$D$3:$D$998,数据!$E$3:$E$998,"前期仔鱼",数据!$F$3:$F$998,A515,数据!$G$3:$G$998,B515)</f>
        <v>0</v>
      </c>
      <c r="T515">
        <f>SUMIFS(数据!$D$3:$D$998,数据!$E$3:$E$998,"仔鱼",数据!$F$3:$F$998,A515,数据!$G$3:$G$998,B515)</f>
        <v>0</v>
      </c>
      <c r="U515">
        <f>SUMIFS(数据!$D$3:$D$998,数据!$E$3:$E$998,"稚鱼",数据!$F$3:$F$998,A515,数据!$G$3:$G$998,B515)</f>
        <v>0</v>
      </c>
    </row>
    <row r="516" spans="1:21" ht="19.9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45" t="str">
        <f t="shared" si="16" ref="L516:L579">IF(OR(Q516&amp;R516="",A516&amp;B516=""),"",Q516+R516)</f>
        <v/>
      </c>
      <c r="M516" s="45" t="str">
        <f t="shared" si="17" ref="M516:M579">IF(OR(A516&amp;B516="",S516&amp;T516&amp;U516=""),"",S516+T516+U516)</f>
        <v/>
      </c>
      <c r="N516" s="39" t="str">
        <f>IF(AND(A516="",B516=""),"",COUNTIFS(数据!$E$3:$E$998,"&lt;&gt;前期仔鱼",数据!$E$3:$E$998,"&lt;&gt;仔鱼",数据!$E$3:$E$998,"&lt;&gt;稚鱼",数据!$F$3:$F$998,A516,数据!$G$3:$G$998,B516))</f>
        <v/>
      </c>
      <c r="O516" s="39" t="str">
        <f>IF(AND(A516="",B516=""),"",COUNTIFS(数据!$E$3:$E$998,"&lt;&gt;鱼卵",数据!$E$3:$E$998,"&lt;&gt;死卵",数据!$F$3:$F$998,A516,数据!$G$3:$G$998,B516))</f>
        <v/>
      </c>
      <c r="P516" s="31"/>
      <c r="Q516">
        <f>SUMIFS(数据!$D$3:$D$998,数据!$E$3:$E$998,"鱼卵",数据!$F$3:$F$998,A516,数据!$G$3:$G$998,B516)</f>
        <v>0</v>
      </c>
      <c r="R516">
        <f>SUMIFS(数据!$D$3:$D$998,数据!$E$3:$E$998,"死卵",数据!$F$3:$F$998,A516,数据!$G$3:$G$998,B516)</f>
        <v>0</v>
      </c>
      <c r="S516">
        <f>SUMIFS(数据!$D$3:$D$998,数据!$E$3:$E$998,"前期仔鱼",数据!$F$3:$F$998,A516,数据!$G$3:$G$998,B516)</f>
        <v>0</v>
      </c>
      <c r="T516">
        <f>SUMIFS(数据!$D$3:$D$998,数据!$E$3:$E$998,"仔鱼",数据!$F$3:$F$998,A516,数据!$G$3:$G$998,B516)</f>
        <v>0</v>
      </c>
      <c r="U516">
        <f>SUMIFS(数据!$D$3:$D$998,数据!$E$3:$E$998,"稚鱼",数据!$F$3:$F$998,A516,数据!$G$3:$G$998,B516)</f>
        <v>0</v>
      </c>
    </row>
    <row r="517" spans="1:21" ht="19.9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45" t="str">
        <f t="shared" si="16"/>
        <v/>
      </c>
      <c r="M517" s="45" t="str">
        <f t="shared" si="17"/>
        <v/>
      </c>
      <c r="N517" s="39" t="str">
        <f>IF(AND(A517="",B517=""),"",COUNTIFS(数据!$E$3:$E$998,"&lt;&gt;前期仔鱼",数据!$E$3:$E$998,"&lt;&gt;仔鱼",数据!$E$3:$E$998,"&lt;&gt;稚鱼",数据!$F$3:$F$998,A517,数据!$G$3:$G$998,B517))</f>
        <v/>
      </c>
      <c r="O517" s="39" t="str">
        <f>IF(AND(A517="",B517=""),"",COUNTIFS(数据!$E$3:$E$998,"&lt;&gt;鱼卵",数据!$E$3:$E$998,"&lt;&gt;死卵",数据!$F$3:$F$998,A517,数据!$G$3:$G$998,B517))</f>
        <v/>
      </c>
      <c r="P517" s="31"/>
      <c r="Q517">
        <f>SUMIFS(数据!$D$3:$D$998,数据!$E$3:$E$998,"鱼卵",数据!$F$3:$F$998,A517,数据!$G$3:$G$998,B517)</f>
        <v>0</v>
      </c>
      <c r="R517">
        <f>SUMIFS(数据!$D$3:$D$998,数据!$E$3:$E$998,"死卵",数据!$F$3:$F$998,A517,数据!$G$3:$G$998,B517)</f>
        <v>0</v>
      </c>
      <c r="S517">
        <f>SUMIFS(数据!$D$3:$D$998,数据!$E$3:$E$998,"前期仔鱼",数据!$F$3:$F$998,A517,数据!$G$3:$G$998,B517)</f>
        <v>0</v>
      </c>
      <c r="T517">
        <f>SUMIFS(数据!$D$3:$D$998,数据!$E$3:$E$998,"仔鱼",数据!$F$3:$F$998,A517,数据!$G$3:$G$998,B517)</f>
        <v>0</v>
      </c>
      <c r="U517">
        <f>SUMIFS(数据!$D$3:$D$998,数据!$E$3:$E$998,"稚鱼",数据!$F$3:$F$998,A517,数据!$G$3:$G$998,B517)</f>
        <v>0</v>
      </c>
    </row>
    <row r="518" spans="1:21" ht="19.9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45" t="str">
        <f t="shared" si="16"/>
        <v/>
      </c>
      <c r="M518" s="45" t="str">
        <f t="shared" si="17"/>
        <v/>
      </c>
      <c r="N518" s="39" t="str">
        <f>IF(AND(A518="",B518=""),"",COUNTIFS(数据!$E$3:$E$998,"&lt;&gt;前期仔鱼",数据!$E$3:$E$998,"&lt;&gt;仔鱼",数据!$E$3:$E$998,"&lt;&gt;稚鱼",数据!$F$3:$F$998,A518,数据!$G$3:$G$998,B518))</f>
        <v/>
      </c>
      <c r="O518" s="39" t="str">
        <f>IF(AND(A518="",B518=""),"",COUNTIFS(数据!$E$3:$E$998,"&lt;&gt;鱼卵",数据!$E$3:$E$998,"&lt;&gt;死卵",数据!$F$3:$F$998,A518,数据!$G$3:$G$998,B518))</f>
        <v/>
      </c>
      <c r="P518" s="31"/>
      <c r="Q518">
        <f>SUMIFS(数据!$D$3:$D$998,数据!$E$3:$E$998,"鱼卵",数据!$F$3:$F$998,A518,数据!$G$3:$G$998,B518)</f>
        <v>0</v>
      </c>
      <c r="R518">
        <f>SUMIFS(数据!$D$3:$D$998,数据!$E$3:$E$998,"死卵",数据!$F$3:$F$998,A518,数据!$G$3:$G$998,B518)</f>
        <v>0</v>
      </c>
      <c r="S518">
        <f>SUMIFS(数据!$D$3:$D$998,数据!$E$3:$E$998,"前期仔鱼",数据!$F$3:$F$998,A518,数据!$G$3:$G$998,B518)</f>
        <v>0</v>
      </c>
      <c r="T518">
        <f>SUMIFS(数据!$D$3:$D$998,数据!$E$3:$E$998,"仔鱼",数据!$F$3:$F$998,A518,数据!$G$3:$G$998,B518)</f>
        <v>0</v>
      </c>
      <c r="U518">
        <f>SUMIFS(数据!$D$3:$D$998,数据!$E$3:$E$998,"稚鱼",数据!$F$3:$F$998,A518,数据!$G$3:$G$998,B518)</f>
        <v>0</v>
      </c>
    </row>
    <row r="519" spans="1:21" ht="19.9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45" t="str">
        <f t="shared" si="16"/>
        <v/>
      </c>
      <c r="M519" s="45" t="str">
        <f t="shared" si="17"/>
        <v/>
      </c>
      <c r="N519" s="39" t="str">
        <f>IF(AND(A519="",B519=""),"",COUNTIFS(数据!$E$3:$E$998,"&lt;&gt;前期仔鱼",数据!$E$3:$E$998,"&lt;&gt;仔鱼",数据!$E$3:$E$998,"&lt;&gt;稚鱼",数据!$F$3:$F$998,A519,数据!$G$3:$G$998,B519))</f>
        <v/>
      </c>
      <c r="O519" s="39" t="str">
        <f>IF(AND(A519="",B519=""),"",COUNTIFS(数据!$E$3:$E$998,"&lt;&gt;鱼卵",数据!$E$3:$E$998,"&lt;&gt;死卵",数据!$F$3:$F$998,A519,数据!$G$3:$G$998,B519))</f>
        <v/>
      </c>
      <c r="P519" s="31"/>
      <c r="Q519">
        <f>SUMIFS(数据!$D$3:$D$998,数据!$E$3:$E$998,"鱼卵",数据!$F$3:$F$998,A519,数据!$G$3:$G$998,B519)</f>
        <v>0</v>
      </c>
      <c r="R519">
        <f>SUMIFS(数据!$D$3:$D$998,数据!$E$3:$E$998,"死卵",数据!$F$3:$F$998,A519,数据!$G$3:$G$998,B519)</f>
        <v>0</v>
      </c>
      <c r="S519">
        <f>SUMIFS(数据!$D$3:$D$998,数据!$E$3:$E$998,"前期仔鱼",数据!$F$3:$F$998,A519,数据!$G$3:$G$998,B519)</f>
        <v>0</v>
      </c>
      <c r="T519">
        <f>SUMIFS(数据!$D$3:$D$998,数据!$E$3:$E$998,"仔鱼",数据!$F$3:$F$998,A519,数据!$G$3:$G$998,B519)</f>
        <v>0</v>
      </c>
      <c r="U519">
        <f>SUMIFS(数据!$D$3:$D$998,数据!$E$3:$E$998,"稚鱼",数据!$F$3:$F$998,A519,数据!$G$3:$G$998,B519)</f>
        <v>0</v>
      </c>
    </row>
    <row r="520" spans="1:21" ht="19.9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45" t="str">
        <f t="shared" si="16"/>
        <v/>
      </c>
      <c r="M520" s="45" t="str">
        <f t="shared" si="17"/>
        <v/>
      </c>
      <c r="N520" s="39" t="str">
        <f>IF(AND(A520="",B520=""),"",COUNTIFS(数据!$E$3:$E$998,"&lt;&gt;前期仔鱼",数据!$E$3:$E$998,"&lt;&gt;仔鱼",数据!$E$3:$E$998,"&lt;&gt;稚鱼",数据!$F$3:$F$998,A520,数据!$G$3:$G$998,B520))</f>
        <v/>
      </c>
      <c r="O520" s="39" t="str">
        <f>IF(AND(A520="",B520=""),"",COUNTIFS(数据!$E$3:$E$998,"&lt;&gt;鱼卵",数据!$E$3:$E$998,"&lt;&gt;死卵",数据!$F$3:$F$998,A520,数据!$G$3:$G$998,B520))</f>
        <v/>
      </c>
      <c r="P520" s="31"/>
      <c r="Q520">
        <f>SUMIFS(数据!$D$3:$D$998,数据!$E$3:$E$998,"鱼卵",数据!$F$3:$F$998,A520,数据!$G$3:$G$998,B520)</f>
        <v>0</v>
      </c>
      <c r="R520">
        <f>SUMIFS(数据!$D$3:$D$998,数据!$E$3:$E$998,"死卵",数据!$F$3:$F$998,A520,数据!$G$3:$G$998,B520)</f>
        <v>0</v>
      </c>
      <c r="S520">
        <f>SUMIFS(数据!$D$3:$D$998,数据!$E$3:$E$998,"前期仔鱼",数据!$F$3:$F$998,A520,数据!$G$3:$G$998,B520)</f>
        <v>0</v>
      </c>
      <c r="T520">
        <f>SUMIFS(数据!$D$3:$D$998,数据!$E$3:$E$998,"仔鱼",数据!$F$3:$F$998,A520,数据!$G$3:$G$998,B520)</f>
        <v>0</v>
      </c>
      <c r="U520">
        <f>SUMIFS(数据!$D$3:$D$998,数据!$E$3:$E$998,"稚鱼",数据!$F$3:$F$998,A520,数据!$G$3:$G$998,B520)</f>
        <v>0</v>
      </c>
    </row>
    <row r="521" spans="1:21" ht="19.9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45" t="str">
        <f t="shared" si="16"/>
        <v/>
      </c>
      <c r="M521" s="45" t="str">
        <f t="shared" si="17"/>
        <v/>
      </c>
      <c r="N521" s="39" t="str">
        <f>IF(AND(A521="",B521=""),"",COUNTIFS(数据!$E$3:$E$998,"&lt;&gt;前期仔鱼",数据!$E$3:$E$998,"&lt;&gt;仔鱼",数据!$E$3:$E$998,"&lt;&gt;稚鱼",数据!$F$3:$F$998,A521,数据!$G$3:$G$998,B521))</f>
        <v/>
      </c>
      <c r="O521" s="39" t="str">
        <f>IF(AND(A521="",B521=""),"",COUNTIFS(数据!$E$3:$E$998,"&lt;&gt;鱼卵",数据!$E$3:$E$998,"&lt;&gt;死卵",数据!$F$3:$F$998,A521,数据!$G$3:$G$998,B521))</f>
        <v/>
      </c>
      <c r="P521" s="31"/>
      <c r="Q521">
        <f>SUMIFS(数据!$D$3:$D$998,数据!$E$3:$E$998,"鱼卵",数据!$F$3:$F$998,A521,数据!$G$3:$G$998,B521)</f>
        <v>0</v>
      </c>
      <c r="R521">
        <f>SUMIFS(数据!$D$3:$D$998,数据!$E$3:$E$998,"死卵",数据!$F$3:$F$998,A521,数据!$G$3:$G$998,B521)</f>
        <v>0</v>
      </c>
      <c r="S521">
        <f>SUMIFS(数据!$D$3:$D$998,数据!$E$3:$E$998,"前期仔鱼",数据!$F$3:$F$998,A521,数据!$G$3:$G$998,B521)</f>
        <v>0</v>
      </c>
      <c r="T521">
        <f>SUMIFS(数据!$D$3:$D$998,数据!$E$3:$E$998,"仔鱼",数据!$F$3:$F$998,A521,数据!$G$3:$G$998,B521)</f>
        <v>0</v>
      </c>
      <c r="U521">
        <f>SUMIFS(数据!$D$3:$D$998,数据!$E$3:$E$998,"稚鱼",数据!$F$3:$F$998,A521,数据!$G$3:$G$998,B521)</f>
        <v>0</v>
      </c>
    </row>
    <row r="522" spans="1:21" ht="19.9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45" t="str">
        <f t="shared" si="16"/>
        <v/>
      </c>
      <c r="M522" s="45" t="str">
        <f t="shared" si="17"/>
        <v/>
      </c>
      <c r="N522" s="39" t="str">
        <f>IF(AND(A522="",B522=""),"",COUNTIFS(数据!$E$3:$E$998,"&lt;&gt;前期仔鱼",数据!$E$3:$E$998,"&lt;&gt;仔鱼",数据!$E$3:$E$998,"&lt;&gt;稚鱼",数据!$F$3:$F$998,A522,数据!$G$3:$G$998,B522))</f>
        <v/>
      </c>
      <c r="O522" s="39" t="str">
        <f>IF(AND(A522="",B522=""),"",COUNTIFS(数据!$E$3:$E$998,"&lt;&gt;鱼卵",数据!$E$3:$E$998,"&lt;&gt;死卵",数据!$F$3:$F$998,A522,数据!$G$3:$G$998,B522))</f>
        <v/>
      </c>
      <c r="P522" s="31"/>
      <c r="Q522">
        <f>SUMIFS(数据!$D$3:$D$998,数据!$E$3:$E$998,"鱼卵",数据!$F$3:$F$998,A522,数据!$G$3:$G$998,B522)</f>
        <v>0</v>
      </c>
      <c r="R522">
        <f>SUMIFS(数据!$D$3:$D$998,数据!$E$3:$E$998,"死卵",数据!$F$3:$F$998,A522,数据!$G$3:$G$998,B522)</f>
        <v>0</v>
      </c>
      <c r="S522">
        <f>SUMIFS(数据!$D$3:$D$998,数据!$E$3:$E$998,"前期仔鱼",数据!$F$3:$F$998,A522,数据!$G$3:$G$998,B522)</f>
        <v>0</v>
      </c>
      <c r="T522">
        <f>SUMIFS(数据!$D$3:$D$998,数据!$E$3:$E$998,"仔鱼",数据!$F$3:$F$998,A522,数据!$G$3:$G$998,B522)</f>
        <v>0</v>
      </c>
      <c r="U522">
        <f>SUMIFS(数据!$D$3:$D$998,数据!$E$3:$E$998,"稚鱼",数据!$F$3:$F$998,A522,数据!$G$3:$G$998,B522)</f>
        <v>0</v>
      </c>
    </row>
    <row r="523" spans="1:21" ht="19.9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45" t="str">
        <f t="shared" si="16"/>
        <v/>
      </c>
      <c r="M523" s="45" t="str">
        <f t="shared" si="17"/>
        <v/>
      </c>
      <c r="N523" s="39" t="str">
        <f>IF(AND(A523="",B523=""),"",COUNTIFS(数据!$E$3:$E$998,"&lt;&gt;前期仔鱼",数据!$E$3:$E$998,"&lt;&gt;仔鱼",数据!$E$3:$E$998,"&lt;&gt;稚鱼",数据!$F$3:$F$998,A523,数据!$G$3:$G$998,B523))</f>
        <v/>
      </c>
      <c r="O523" s="39" t="str">
        <f>IF(AND(A523="",B523=""),"",COUNTIFS(数据!$E$3:$E$998,"&lt;&gt;鱼卵",数据!$E$3:$E$998,"&lt;&gt;死卵",数据!$F$3:$F$998,A523,数据!$G$3:$G$998,B523))</f>
        <v/>
      </c>
      <c r="P523" s="31"/>
      <c r="Q523">
        <f>SUMIFS(数据!$D$3:$D$998,数据!$E$3:$E$998,"鱼卵",数据!$F$3:$F$998,A523,数据!$G$3:$G$998,B523)</f>
        <v>0</v>
      </c>
      <c r="R523">
        <f>SUMIFS(数据!$D$3:$D$998,数据!$E$3:$E$998,"死卵",数据!$F$3:$F$998,A523,数据!$G$3:$G$998,B523)</f>
        <v>0</v>
      </c>
      <c r="S523">
        <f>SUMIFS(数据!$D$3:$D$998,数据!$E$3:$E$998,"前期仔鱼",数据!$F$3:$F$998,A523,数据!$G$3:$G$998,B523)</f>
        <v>0</v>
      </c>
      <c r="T523">
        <f>SUMIFS(数据!$D$3:$D$998,数据!$E$3:$E$998,"仔鱼",数据!$F$3:$F$998,A523,数据!$G$3:$G$998,B523)</f>
        <v>0</v>
      </c>
      <c r="U523">
        <f>SUMIFS(数据!$D$3:$D$998,数据!$E$3:$E$998,"稚鱼",数据!$F$3:$F$998,A523,数据!$G$3:$G$998,B523)</f>
        <v>0</v>
      </c>
    </row>
    <row r="524" spans="1:21" ht="19.9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45" t="str">
        <f t="shared" si="16"/>
        <v/>
      </c>
      <c r="M524" s="45" t="str">
        <f t="shared" si="17"/>
        <v/>
      </c>
      <c r="N524" s="39" t="str">
        <f>IF(AND(A524="",B524=""),"",COUNTIFS(数据!$E$3:$E$998,"&lt;&gt;前期仔鱼",数据!$E$3:$E$998,"&lt;&gt;仔鱼",数据!$E$3:$E$998,"&lt;&gt;稚鱼",数据!$F$3:$F$998,A524,数据!$G$3:$G$998,B524))</f>
        <v/>
      </c>
      <c r="O524" s="39" t="str">
        <f>IF(AND(A524="",B524=""),"",COUNTIFS(数据!$E$3:$E$998,"&lt;&gt;鱼卵",数据!$E$3:$E$998,"&lt;&gt;死卵",数据!$F$3:$F$998,A524,数据!$G$3:$G$998,B524))</f>
        <v/>
      </c>
      <c r="P524" s="31"/>
      <c r="Q524">
        <f>SUMIFS(数据!$D$3:$D$998,数据!$E$3:$E$998,"鱼卵",数据!$F$3:$F$998,A524,数据!$G$3:$G$998,B524)</f>
        <v>0</v>
      </c>
      <c r="R524">
        <f>SUMIFS(数据!$D$3:$D$998,数据!$E$3:$E$998,"死卵",数据!$F$3:$F$998,A524,数据!$G$3:$G$998,B524)</f>
        <v>0</v>
      </c>
      <c r="S524">
        <f>SUMIFS(数据!$D$3:$D$998,数据!$E$3:$E$998,"前期仔鱼",数据!$F$3:$F$998,A524,数据!$G$3:$G$998,B524)</f>
        <v>0</v>
      </c>
      <c r="T524">
        <f>SUMIFS(数据!$D$3:$D$998,数据!$E$3:$E$998,"仔鱼",数据!$F$3:$F$998,A524,数据!$G$3:$G$998,B524)</f>
        <v>0</v>
      </c>
      <c r="U524">
        <f>SUMIFS(数据!$D$3:$D$998,数据!$E$3:$E$998,"稚鱼",数据!$F$3:$F$998,A524,数据!$G$3:$G$998,B524)</f>
        <v>0</v>
      </c>
    </row>
    <row r="525" spans="1:21" ht="19.9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45" t="str">
        <f t="shared" si="16"/>
        <v/>
      </c>
      <c r="M525" s="45" t="str">
        <f t="shared" si="17"/>
        <v/>
      </c>
      <c r="N525" s="39" t="str">
        <f>IF(AND(A525="",B525=""),"",COUNTIFS(数据!$E$3:$E$998,"&lt;&gt;前期仔鱼",数据!$E$3:$E$998,"&lt;&gt;仔鱼",数据!$E$3:$E$998,"&lt;&gt;稚鱼",数据!$F$3:$F$998,A525,数据!$G$3:$G$998,B525))</f>
        <v/>
      </c>
      <c r="O525" s="39" t="str">
        <f>IF(AND(A525="",B525=""),"",COUNTIFS(数据!$E$3:$E$998,"&lt;&gt;鱼卵",数据!$E$3:$E$998,"&lt;&gt;死卵",数据!$F$3:$F$998,A525,数据!$G$3:$G$998,B525))</f>
        <v/>
      </c>
      <c r="P525" s="31"/>
      <c r="Q525">
        <f>SUMIFS(数据!$D$3:$D$998,数据!$E$3:$E$998,"鱼卵",数据!$F$3:$F$998,A525,数据!$G$3:$G$998,B525)</f>
        <v>0</v>
      </c>
      <c r="R525">
        <f>SUMIFS(数据!$D$3:$D$998,数据!$E$3:$E$998,"死卵",数据!$F$3:$F$998,A525,数据!$G$3:$G$998,B525)</f>
        <v>0</v>
      </c>
      <c r="S525">
        <f>SUMIFS(数据!$D$3:$D$998,数据!$E$3:$E$998,"前期仔鱼",数据!$F$3:$F$998,A525,数据!$G$3:$G$998,B525)</f>
        <v>0</v>
      </c>
      <c r="T525">
        <f>SUMIFS(数据!$D$3:$D$998,数据!$E$3:$E$998,"仔鱼",数据!$F$3:$F$998,A525,数据!$G$3:$G$998,B525)</f>
        <v>0</v>
      </c>
      <c r="U525">
        <f>SUMIFS(数据!$D$3:$D$998,数据!$E$3:$E$998,"稚鱼",数据!$F$3:$F$998,A525,数据!$G$3:$G$998,B525)</f>
        <v>0</v>
      </c>
    </row>
    <row r="526" spans="1:21" ht="19.9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45" t="str">
        <f t="shared" si="16"/>
        <v/>
      </c>
      <c r="M526" s="45" t="str">
        <f t="shared" si="17"/>
        <v/>
      </c>
      <c r="N526" s="39" t="str">
        <f>IF(AND(A526="",B526=""),"",COUNTIFS(数据!$E$3:$E$998,"&lt;&gt;前期仔鱼",数据!$E$3:$E$998,"&lt;&gt;仔鱼",数据!$E$3:$E$998,"&lt;&gt;稚鱼",数据!$F$3:$F$998,A526,数据!$G$3:$G$998,B526))</f>
        <v/>
      </c>
      <c r="O526" s="39" t="str">
        <f>IF(AND(A526="",B526=""),"",COUNTIFS(数据!$E$3:$E$998,"&lt;&gt;鱼卵",数据!$E$3:$E$998,"&lt;&gt;死卵",数据!$F$3:$F$998,A526,数据!$G$3:$G$998,B526))</f>
        <v/>
      </c>
      <c r="P526" s="31"/>
      <c r="Q526">
        <f>SUMIFS(数据!$D$3:$D$998,数据!$E$3:$E$998,"鱼卵",数据!$F$3:$F$998,A526,数据!$G$3:$G$998,B526)</f>
        <v>0</v>
      </c>
      <c r="R526">
        <f>SUMIFS(数据!$D$3:$D$998,数据!$E$3:$E$998,"死卵",数据!$F$3:$F$998,A526,数据!$G$3:$G$998,B526)</f>
        <v>0</v>
      </c>
      <c r="S526">
        <f>SUMIFS(数据!$D$3:$D$998,数据!$E$3:$E$998,"前期仔鱼",数据!$F$3:$F$998,A526,数据!$G$3:$G$998,B526)</f>
        <v>0</v>
      </c>
      <c r="T526">
        <f>SUMIFS(数据!$D$3:$D$998,数据!$E$3:$E$998,"仔鱼",数据!$F$3:$F$998,A526,数据!$G$3:$G$998,B526)</f>
        <v>0</v>
      </c>
      <c r="U526">
        <f>SUMIFS(数据!$D$3:$D$998,数据!$E$3:$E$998,"稚鱼",数据!$F$3:$F$998,A526,数据!$G$3:$G$998,B526)</f>
        <v>0</v>
      </c>
    </row>
    <row r="527" spans="1:21" ht="19.9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45" t="str">
        <f t="shared" si="16"/>
        <v/>
      </c>
      <c r="M527" s="45" t="str">
        <f t="shared" si="17"/>
        <v/>
      </c>
      <c r="N527" s="39" t="str">
        <f>IF(AND(A527="",B527=""),"",COUNTIFS(数据!$E$3:$E$998,"&lt;&gt;前期仔鱼",数据!$E$3:$E$998,"&lt;&gt;仔鱼",数据!$E$3:$E$998,"&lt;&gt;稚鱼",数据!$F$3:$F$998,A527,数据!$G$3:$G$998,B527))</f>
        <v/>
      </c>
      <c r="O527" s="39" t="str">
        <f>IF(AND(A527="",B527=""),"",COUNTIFS(数据!$E$3:$E$998,"&lt;&gt;鱼卵",数据!$E$3:$E$998,"&lt;&gt;死卵",数据!$F$3:$F$998,A527,数据!$G$3:$G$998,B527))</f>
        <v/>
      </c>
      <c r="P527" s="31"/>
      <c r="Q527">
        <f>SUMIFS(数据!$D$3:$D$998,数据!$E$3:$E$998,"鱼卵",数据!$F$3:$F$998,A527,数据!$G$3:$G$998,B527)</f>
        <v>0</v>
      </c>
      <c r="R527">
        <f>SUMIFS(数据!$D$3:$D$998,数据!$E$3:$E$998,"死卵",数据!$F$3:$F$998,A527,数据!$G$3:$G$998,B527)</f>
        <v>0</v>
      </c>
      <c r="S527">
        <f>SUMIFS(数据!$D$3:$D$998,数据!$E$3:$E$998,"前期仔鱼",数据!$F$3:$F$998,A527,数据!$G$3:$G$998,B527)</f>
        <v>0</v>
      </c>
      <c r="T527">
        <f>SUMIFS(数据!$D$3:$D$998,数据!$E$3:$E$998,"仔鱼",数据!$F$3:$F$998,A527,数据!$G$3:$G$998,B527)</f>
        <v>0</v>
      </c>
      <c r="U527">
        <f>SUMIFS(数据!$D$3:$D$998,数据!$E$3:$E$998,"稚鱼",数据!$F$3:$F$998,A527,数据!$G$3:$G$998,B527)</f>
        <v>0</v>
      </c>
    </row>
    <row r="528" spans="1:21" ht="19.9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45" t="str">
        <f t="shared" si="16"/>
        <v/>
      </c>
      <c r="M528" s="45" t="str">
        <f t="shared" si="17"/>
        <v/>
      </c>
      <c r="N528" s="39" t="str">
        <f>IF(AND(A528="",B528=""),"",COUNTIFS(数据!$E$3:$E$998,"&lt;&gt;前期仔鱼",数据!$E$3:$E$998,"&lt;&gt;仔鱼",数据!$E$3:$E$998,"&lt;&gt;稚鱼",数据!$F$3:$F$998,A528,数据!$G$3:$G$998,B528))</f>
        <v/>
      </c>
      <c r="O528" s="39" t="str">
        <f>IF(AND(A528="",B528=""),"",COUNTIFS(数据!$E$3:$E$998,"&lt;&gt;鱼卵",数据!$E$3:$E$998,"&lt;&gt;死卵",数据!$F$3:$F$998,A528,数据!$G$3:$G$998,B528))</f>
        <v/>
      </c>
      <c r="P528" s="31"/>
      <c r="Q528">
        <f>SUMIFS(数据!$D$3:$D$998,数据!$E$3:$E$998,"鱼卵",数据!$F$3:$F$998,A528,数据!$G$3:$G$998,B528)</f>
        <v>0</v>
      </c>
      <c r="R528">
        <f>SUMIFS(数据!$D$3:$D$998,数据!$E$3:$E$998,"死卵",数据!$F$3:$F$998,A528,数据!$G$3:$G$998,B528)</f>
        <v>0</v>
      </c>
      <c r="S528">
        <f>SUMIFS(数据!$D$3:$D$998,数据!$E$3:$E$998,"前期仔鱼",数据!$F$3:$F$998,A528,数据!$G$3:$G$998,B528)</f>
        <v>0</v>
      </c>
      <c r="T528">
        <f>SUMIFS(数据!$D$3:$D$998,数据!$E$3:$E$998,"仔鱼",数据!$F$3:$F$998,A528,数据!$G$3:$G$998,B528)</f>
        <v>0</v>
      </c>
      <c r="U528">
        <f>SUMIFS(数据!$D$3:$D$998,数据!$E$3:$E$998,"稚鱼",数据!$F$3:$F$998,A528,数据!$G$3:$G$998,B528)</f>
        <v>0</v>
      </c>
    </row>
    <row r="529" spans="1:21" ht="19.9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45" t="str">
        <f t="shared" si="16"/>
        <v/>
      </c>
      <c r="M529" s="45" t="str">
        <f t="shared" si="17"/>
        <v/>
      </c>
      <c r="N529" s="39" t="str">
        <f>IF(AND(A529="",B529=""),"",COUNTIFS(数据!$E$3:$E$998,"&lt;&gt;前期仔鱼",数据!$E$3:$E$998,"&lt;&gt;仔鱼",数据!$E$3:$E$998,"&lt;&gt;稚鱼",数据!$F$3:$F$998,A529,数据!$G$3:$G$998,B529))</f>
        <v/>
      </c>
      <c r="O529" s="39" t="str">
        <f>IF(AND(A529="",B529=""),"",COUNTIFS(数据!$E$3:$E$998,"&lt;&gt;鱼卵",数据!$E$3:$E$998,"&lt;&gt;死卵",数据!$F$3:$F$998,A529,数据!$G$3:$G$998,B529))</f>
        <v/>
      </c>
      <c r="P529" s="31"/>
      <c r="Q529">
        <f>SUMIFS(数据!$D$3:$D$998,数据!$E$3:$E$998,"鱼卵",数据!$F$3:$F$998,A529,数据!$G$3:$G$998,B529)</f>
        <v>0</v>
      </c>
      <c r="R529">
        <f>SUMIFS(数据!$D$3:$D$998,数据!$E$3:$E$998,"死卵",数据!$F$3:$F$998,A529,数据!$G$3:$G$998,B529)</f>
        <v>0</v>
      </c>
      <c r="S529">
        <f>SUMIFS(数据!$D$3:$D$998,数据!$E$3:$E$998,"前期仔鱼",数据!$F$3:$F$998,A529,数据!$G$3:$G$998,B529)</f>
        <v>0</v>
      </c>
      <c r="T529">
        <f>SUMIFS(数据!$D$3:$D$998,数据!$E$3:$E$998,"仔鱼",数据!$F$3:$F$998,A529,数据!$G$3:$G$998,B529)</f>
        <v>0</v>
      </c>
      <c r="U529">
        <f>SUMIFS(数据!$D$3:$D$998,数据!$E$3:$E$998,"稚鱼",数据!$F$3:$F$998,A529,数据!$G$3:$G$998,B529)</f>
        <v>0</v>
      </c>
    </row>
    <row r="530" spans="1:21" ht="19.9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45" t="str">
        <f t="shared" si="16"/>
        <v/>
      </c>
      <c r="M530" s="45" t="str">
        <f t="shared" si="17"/>
        <v/>
      </c>
      <c r="N530" s="39" t="str">
        <f>IF(AND(A530="",B530=""),"",COUNTIFS(数据!$E$3:$E$998,"&lt;&gt;前期仔鱼",数据!$E$3:$E$998,"&lt;&gt;仔鱼",数据!$E$3:$E$998,"&lt;&gt;稚鱼",数据!$F$3:$F$998,A530,数据!$G$3:$G$998,B530))</f>
        <v/>
      </c>
      <c r="O530" s="39" t="str">
        <f>IF(AND(A530="",B530=""),"",COUNTIFS(数据!$E$3:$E$998,"&lt;&gt;鱼卵",数据!$E$3:$E$998,"&lt;&gt;死卵",数据!$F$3:$F$998,A530,数据!$G$3:$G$998,B530))</f>
        <v/>
      </c>
      <c r="P530" s="31"/>
      <c r="Q530">
        <f>SUMIFS(数据!$D$3:$D$998,数据!$E$3:$E$998,"鱼卵",数据!$F$3:$F$998,A530,数据!$G$3:$G$998,B530)</f>
        <v>0</v>
      </c>
      <c r="R530">
        <f>SUMIFS(数据!$D$3:$D$998,数据!$E$3:$E$998,"死卵",数据!$F$3:$F$998,A530,数据!$G$3:$G$998,B530)</f>
        <v>0</v>
      </c>
      <c r="S530">
        <f>SUMIFS(数据!$D$3:$D$998,数据!$E$3:$E$998,"前期仔鱼",数据!$F$3:$F$998,A530,数据!$G$3:$G$998,B530)</f>
        <v>0</v>
      </c>
      <c r="T530">
        <f>SUMIFS(数据!$D$3:$D$998,数据!$E$3:$E$998,"仔鱼",数据!$F$3:$F$998,A530,数据!$G$3:$G$998,B530)</f>
        <v>0</v>
      </c>
      <c r="U530">
        <f>SUMIFS(数据!$D$3:$D$998,数据!$E$3:$E$998,"稚鱼",数据!$F$3:$F$998,A530,数据!$G$3:$G$998,B530)</f>
        <v>0</v>
      </c>
    </row>
    <row r="531" spans="1:21" ht="19.9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45" t="str">
        <f t="shared" si="16"/>
        <v/>
      </c>
      <c r="M531" s="45" t="str">
        <f t="shared" si="17"/>
        <v/>
      </c>
      <c r="N531" s="39" t="str">
        <f>IF(AND(A531="",B531=""),"",COUNTIFS(数据!$E$3:$E$998,"&lt;&gt;前期仔鱼",数据!$E$3:$E$998,"&lt;&gt;仔鱼",数据!$E$3:$E$998,"&lt;&gt;稚鱼",数据!$F$3:$F$998,A531,数据!$G$3:$G$998,B531))</f>
        <v/>
      </c>
      <c r="O531" s="39" t="str">
        <f>IF(AND(A531="",B531=""),"",COUNTIFS(数据!$E$3:$E$998,"&lt;&gt;鱼卵",数据!$E$3:$E$998,"&lt;&gt;死卵",数据!$F$3:$F$998,A531,数据!$G$3:$G$998,B531))</f>
        <v/>
      </c>
      <c r="P531" s="31"/>
      <c r="Q531">
        <f>SUMIFS(数据!$D$3:$D$998,数据!$E$3:$E$998,"鱼卵",数据!$F$3:$F$998,A531,数据!$G$3:$G$998,B531)</f>
        <v>0</v>
      </c>
      <c r="R531">
        <f>SUMIFS(数据!$D$3:$D$998,数据!$E$3:$E$998,"死卵",数据!$F$3:$F$998,A531,数据!$G$3:$G$998,B531)</f>
        <v>0</v>
      </c>
      <c r="S531">
        <f>SUMIFS(数据!$D$3:$D$998,数据!$E$3:$E$998,"前期仔鱼",数据!$F$3:$F$998,A531,数据!$G$3:$G$998,B531)</f>
        <v>0</v>
      </c>
      <c r="T531">
        <f>SUMIFS(数据!$D$3:$D$998,数据!$E$3:$E$998,"仔鱼",数据!$F$3:$F$998,A531,数据!$G$3:$G$998,B531)</f>
        <v>0</v>
      </c>
      <c r="U531">
        <f>SUMIFS(数据!$D$3:$D$998,数据!$E$3:$E$998,"稚鱼",数据!$F$3:$F$998,A531,数据!$G$3:$G$998,B531)</f>
        <v>0</v>
      </c>
    </row>
    <row r="532" spans="1:21" ht="19.9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45" t="str">
        <f t="shared" si="16"/>
        <v/>
      </c>
      <c r="M532" s="45" t="str">
        <f t="shared" si="17"/>
        <v/>
      </c>
      <c r="N532" s="39" t="str">
        <f>IF(AND(A532="",B532=""),"",COUNTIFS(数据!$E$3:$E$998,"&lt;&gt;前期仔鱼",数据!$E$3:$E$998,"&lt;&gt;仔鱼",数据!$E$3:$E$998,"&lt;&gt;稚鱼",数据!$F$3:$F$998,A532,数据!$G$3:$G$998,B532))</f>
        <v/>
      </c>
      <c r="O532" s="39" t="str">
        <f>IF(AND(A532="",B532=""),"",COUNTIFS(数据!$E$3:$E$998,"&lt;&gt;鱼卵",数据!$E$3:$E$998,"&lt;&gt;死卵",数据!$F$3:$F$998,A532,数据!$G$3:$G$998,B532))</f>
        <v/>
      </c>
      <c r="P532" s="31"/>
      <c r="Q532">
        <f>SUMIFS(数据!$D$3:$D$998,数据!$E$3:$E$998,"鱼卵",数据!$F$3:$F$998,A532,数据!$G$3:$G$998,B532)</f>
        <v>0</v>
      </c>
      <c r="R532">
        <f>SUMIFS(数据!$D$3:$D$998,数据!$E$3:$E$998,"死卵",数据!$F$3:$F$998,A532,数据!$G$3:$G$998,B532)</f>
        <v>0</v>
      </c>
      <c r="S532">
        <f>SUMIFS(数据!$D$3:$D$998,数据!$E$3:$E$998,"前期仔鱼",数据!$F$3:$F$998,A532,数据!$G$3:$G$998,B532)</f>
        <v>0</v>
      </c>
      <c r="T532">
        <f>SUMIFS(数据!$D$3:$D$998,数据!$E$3:$E$998,"仔鱼",数据!$F$3:$F$998,A532,数据!$G$3:$G$998,B532)</f>
        <v>0</v>
      </c>
      <c r="U532">
        <f>SUMIFS(数据!$D$3:$D$998,数据!$E$3:$E$998,"稚鱼",数据!$F$3:$F$998,A532,数据!$G$3:$G$998,B532)</f>
        <v>0</v>
      </c>
    </row>
    <row r="533" spans="1:21" ht="19.9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45" t="str">
        <f t="shared" si="16"/>
        <v/>
      </c>
      <c r="M533" s="45" t="str">
        <f t="shared" si="17"/>
        <v/>
      </c>
      <c r="N533" s="39" t="str">
        <f>IF(AND(A533="",B533=""),"",COUNTIFS(数据!$E$3:$E$998,"&lt;&gt;前期仔鱼",数据!$E$3:$E$998,"&lt;&gt;仔鱼",数据!$E$3:$E$998,"&lt;&gt;稚鱼",数据!$F$3:$F$998,A533,数据!$G$3:$G$998,B533))</f>
        <v/>
      </c>
      <c r="O533" s="39" t="str">
        <f>IF(AND(A533="",B533=""),"",COUNTIFS(数据!$E$3:$E$998,"&lt;&gt;鱼卵",数据!$E$3:$E$998,"&lt;&gt;死卵",数据!$F$3:$F$998,A533,数据!$G$3:$G$998,B533))</f>
        <v/>
      </c>
      <c r="P533" s="31"/>
      <c r="Q533">
        <f>SUMIFS(数据!$D$3:$D$998,数据!$E$3:$E$998,"鱼卵",数据!$F$3:$F$998,A533,数据!$G$3:$G$998,B533)</f>
        <v>0</v>
      </c>
      <c r="R533">
        <f>SUMIFS(数据!$D$3:$D$998,数据!$E$3:$E$998,"死卵",数据!$F$3:$F$998,A533,数据!$G$3:$G$998,B533)</f>
        <v>0</v>
      </c>
      <c r="S533">
        <f>SUMIFS(数据!$D$3:$D$998,数据!$E$3:$E$998,"前期仔鱼",数据!$F$3:$F$998,A533,数据!$G$3:$G$998,B533)</f>
        <v>0</v>
      </c>
      <c r="T533">
        <f>SUMIFS(数据!$D$3:$D$998,数据!$E$3:$E$998,"仔鱼",数据!$F$3:$F$998,A533,数据!$G$3:$G$998,B533)</f>
        <v>0</v>
      </c>
      <c r="U533">
        <f>SUMIFS(数据!$D$3:$D$998,数据!$E$3:$E$998,"稚鱼",数据!$F$3:$F$998,A533,数据!$G$3:$G$998,B533)</f>
        <v>0</v>
      </c>
    </row>
    <row r="534" spans="1:21" ht="19.9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45" t="str">
        <f t="shared" si="16"/>
        <v/>
      </c>
      <c r="M534" s="45" t="str">
        <f t="shared" si="17"/>
        <v/>
      </c>
      <c r="N534" s="39" t="str">
        <f>IF(AND(A534="",B534=""),"",COUNTIFS(数据!$E$3:$E$998,"&lt;&gt;前期仔鱼",数据!$E$3:$E$998,"&lt;&gt;仔鱼",数据!$E$3:$E$998,"&lt;&gt;稚鱼",数据!$F$3:$F$998,A534,数据!$G$3:$G$998,B534))</f>
        <v/>
      </c>
      <c r="O534" s="39" t="str">
        <f>IF(AND(A534="",B534=""),"",COUNTIFS(数据!$E$3:$E$998,"&lt;&gt;鱼卵",数据!$E$3:$E$998,"&lt;&gt;死卵",数据!$F$3:$F$998,A534,数据!$G$3:$G$998,B534))</f>
        <v/>
      </c>
      <c r="P534" s="31"/>
      <c r="Q534">
        <f>SUMIFS(数据!$D$3:$D$998,数据!$E$3:$E$998,"鱼卵",数据!$F$3:$F$998,A534,数据!$G$3:$G$998,B534)</f>
        <v>0</v>
      </c>
      <c r="R534">
        <f>SUMIFS(数据!$D$3:$D$998,数据!$E$3:$E$998,"死卵",数据!$F$3:$F$998,A534,数据!$G$3:$G$998,B534)</f>
        <v>0</v>
      </c>
      <c r="S534">
        <f>SUMIFS(数据!$D$3:$D$998,数据!$E$3:$E$998,"前期仔鱼",数据!$F$3:$F$998,A534,数据!$G$3:$G$998,B534)</f>
        <v>0</v>
      </c>
      <c r="T534">
        <f>SUMIFS(数据!$D$3:$D$998,数据!$E$3:$E$998,"仔鱼",数据!$F$3:$F$998,A534,数据!$G$3:$G$998,B534)</f>
        <v>0</v>
      </c>
      <c r="U534">
        <f>SUMIFS(数据!$D$3:$D$998,数据!$E$3:$E$998,"稚鱼",数据!$F$3:$F$998,A534,数据!$G$3:$G$998,B534)</f>
        <v>0</v>
      </c>
    </row>
    <row r="535" spans="1:21" ht="19.9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45" t="str">
        <f t="shared" si="16"/>
        <v/>
      </c>
      <c r="M535" s="45" t="str">
        <f t="shared" si="17"/>
        <v/>
      </c>
      <c r="N535" s="39" t="str">
        <f>IF(AND(A535="",B535=""),"",COUNTIFS(数据!$E$3:$E$998,"&lt;&gt;前期仔鱼",数据!$E$3:$E$998,"&lt;&gt;仔鱼",数据!$E$3:$E$998,"&lt;&gt;稚鱼",数据!$F$3:$F$998,A535,数据!$G$3:$G$998,B535))</f>
        <v/>
      </c>
      <c r="O535" s="39" t="str">
        <f>IF(AND(A535="",B535=""),"",COUNTIFS(数据!$E$3:$E$998,"&lt;&gt;鱼卵",数据!$E$3:$E$998,"&lt;&gt;死卵",数据!$F$3:$F$998,A535,数据!$G$3:$G$998,B535))</f>
        <v/>
      </c>
      <c r="P535" s="31"/>
      <c r="Q535">
        <f>SUMIFS(数据!$D$3:$D$998,数据!$E$3:$E$998,"鱼卵",数据!$F$3:$F$998,A535,数据!$G$3:$G$998,B535)</f>
        <v>0</v>
      </c>
      <c r="R535">
        <f>SUMIFS(数据!$D$3:$D$998,数据!$E$3:$E$998,"死卵",数据!$F$3:$F$998,A535,数据!$G$3:$G$998,B535)</f>
        <v>0</v>
      </c>
      <c r="S535">
        <f>SUMIFS(数据!$D$3:$D$998,数据!$E$3:$E$998,"前期仔鱼",数据!$F$3:$F$998,A535,数据!$G$3:$G$998,B535)</f>
        <v>0</v>
      </c>
      <c r="T535">
        <f>SUMIFS(数据!$D$3:$D$998,数据!$E$3:$E$998,"仔鱼",数据!$F$3:$F$998,A535,数据!$G$3:$G$998,B535)</f>
        <v>0</v>
      </c>
      <c r="U535">
        <f>SUMIFS(数据!$D$3:$D$998,数据!$E$3:$E$998,"稚鱼",数据!$F$3:$F$998,A535,数据!$G$3:$G$998,B535)</f>
        <v>0</v>
      </c>
    </row>
    <row r="536" spans="1:21" ht="19.9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45" t="str">
        <f t="shared" si="16"/>
        <v/>
      </c>
      <c r="M536" s="45" t="str">
        <f t="shared" si="17"/>
        <v/>
      </c>
      <c r="N536" s="39" t="str">
        <f>IF(AND(A536="",B536=""),"",COUNTIFS(数据!$E$3:$E$998,"&lt;&gt;前期仔鱼",数据!$E$3:$E$998,"&lt;&gt;仔鱼",数据!$E$3:$E$998,"&lt;&gt;稚鱼",数据!$F$3:$F$998,A536,数据!$G$3:$G$998,B536))</f>
        <v/>
      </c>
      <c r="O536" s="39" t="str">
        <f>IF(AND(A536="",B536=""),"",COUNTIFS(数据!$E$3:$E$998,"&lt;&gt;鱼卵",数据!$E$3:$E$998,"&lt;&gt;死卵",数据!$F$3:$F$998,A536,数据!$G$3:$G$998,B536))</f>
        <v/>
      </c>
      <c r="P536" s="31"/>
      <c r="Q536">
        <f>SUMIFS(数据!$D$3:$D$998,数据!$E$3:$E$998,"鱼卵",数据!$F$3:$F$998,A536,数据!$G$3:$G$998,B536)</f>
        <v>0</v>
      </c>
      <c r="R536">
        <f>SUMIFS(数据!$D$3:$D$998,数据!$E$3:$E$998,"死卵",数据!$F$3:$F$998,A536,数据!$G$3:$G$998,B536)</f>
        <v>0</v>
      </c>
      <c r="S536">
        <f>SUMIFS(数据!$D$3:$D$998,数据!$E$3:$E$998,"前期仔鱼",数据!$F$3:$F$998,A536,数据!$G$3:$G$998,B536)</f>
        <v>0</v>
      </c>
      <c r="T536">
        <f>SUMIFS(数据!$D$3:$D$998,数据!$E$3:$E$998,"仔鱼",数据!$F$3:$F$998,A536,数据!$G$3:$G$998,B536)</f>
        <v>0</v>
      </c>
      <c r="U536">
        <f>SUMIFS(数据!$D$3:$D$998,数据!$E$3:$E$998,"稚鱼",数据!$F$3:$F$998,A536,数据!$G$3:$G$998,B536)</f>
        <v>0</v>
      </c>
    </row>
    <row r="537" spans="1:21" ht="19.9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45" t="str">
        <f t="shared" si="16"/>
        <v/>
      </c>
      <c r="M537" s="45" t="str">
        <f t="shared" si="17"/>
        <v/>
      </c>
      <c r="N537" s="39" t="str">
        <f>IF(AND(A537="",B537=""),"",COUNTIFS(数据!$E$3:$E$998,"&lt;&gt;前期仔鱼",数据!$E$3:$E$998,"&lt;&gt;仔鱼",数据!$E$3:$E$998,"&lt;&gt;稚鱼",数据!$F$3:$F$998,A537,数据!$G$3:$G$998,B537))</f>
        <v/>
      </c>
      <c r="O537" s="39" t="str">
        <f>IF(AND(A537="",B537=""),"",COUNTIFS(数据!$E$3:$E$998,"&lt;&gt;鱼卵",数据!$E$3:$E$998,"&lt;&gt;死卵",数据!$F$3:$F$998,A537,数据!$G$3:$G$998,B537))</f>
        <v/>
      </c>
      <c r="P537" s="31"/>
      <c r="Q537">
        <f>SUMIFS(数据!$D$3:$D$998,数据!$E$3:$E$998,"鱼卵",数据!$F$3:$F$998,A537,数据!$G$3:$G$998,B537)</f>
        <v>0</v>
      </c>
      <c r="R537">
        <f>SUMIFS(数据!$D$3:$D$998,数据!$E$3:$E$998,"死卵",数据!$F$3:$F$998,A537,数据!$G$3:$G$998,B537)</f>
        <v>0</v>
      </c>
      <c r="S537">
        <f>SUMIFS(数据!$D$3:$D$998,数据!$E$3:$E$998,"前期仔鱼",数据!$F$3:$F$998,A537,数据!$G$3:$G$998,B537)</f>
        <v>0</v>
      </c>
      <c r="T537">
        <f>SUMIFS(数据!$D$3:$D$998,数据!$E$3:$E$998,"仔鱼",数据!$F$3:$F$998,A537,数据!$G$3:$G$998,B537)</f>
        <v>0</v>
      </c>
      <c r="U537">
        <f>SUMIFS(数据!$D$3:$D$998,数据!$E$3:$E$998,"稚鱼",数据!$F$3:$F$998,A537,数据!$G$3:$G$998,B537)</f>
        <v>0</v>
      </c>
    </row>
    <row r="538" spans="1:21" ht="19.9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45" t="str">
        <f t="shared" si="16"/>
        <v/>
      </c>
      <c r="M538" s="45" t="str">
        <f t="shared" si="17"/>
        <v/>
      </c>
      <c r="N538" s="39" t="str">
        <f>IF(AND(A538="",B538=""),"",COUNTIFS(数据!$E$3:$E$998,"&lt;&gt;前期仔鱼",数据!$E$3:$E$998,"&lt;&gt;仔鱼",数据!$E$3:$E$998,"&lt;&gt;稚鱼",数据!$F$3:$F$998,A538,数据!$G$3:$G$998,B538))</f>
        <v/>
      </c>
      <c r="O538" s="39" t="str">
        <f>IF(AND(A538="",B538=""),"",COUNTIFS(数据!$E$3:$E$998,"&lt;&gt;鱼卵",数据!$E$3:$E$998,"&lt;&gt;死卵",数据!$F$3:$F$998,A538,数据!$G$3:$G$998,B538))</f>
        <v/>
      </c>
      <c r="P538" s="31"/>
      <c r="Q538">
        <f>SUMIFS(数据!$D$3:$D$998,数据!$E$3:$E$998,"鱼卵",数据!$F$3:$F$998,A538,数据!$G$3:$G$998,B538)</f>
        <v>0</v>
      </c>
      <c r="R538">
        <f>SUMIFS(数据!$D$3:$D$998,数据!$E$3:$E$998,"死卵",数据!$F$3:$F$998,A538,数据!$G$3:$G$998,B538)</f>
        <v>0</v>
      </c>
      <c r="S538">
        <f>SUMIFS(数据!$D$3:$D$998,数据!$E$3:$E$998,"前期仔鱼",数据!$F$3:$F$998,A538,数据!$G$3:$G$998,B538)</f>
        <v>0</v>
      </c>
      <c r="T538">
        <f>SUMIFS(数据!$D$3:$D$998,数据!$E$3:$E$998,"仔鱼",数据!$F$3:$F$998,A538,数据!$G$3:$G$998,B538)</f>
        <v>0</v>
      </c>
      <c r="U538">
        <f>SUMIFS(数据!$D$3:$D$998,数据!$E$3:$E$998,"稚鱼",数据!$F$3:$F$998,A538,数据!$G$3:$G$998,B538)</f>
        <v>0</v>
      </c>
    </row>
    <row r="539" spans="1:21" ht="19.9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45" t="str">
        <f t="shared" si="16"/>
        <v/>
      </c>
      <c r="M539" s="45" t="str">
        <f t="shared" si="17"/>
        <v/>
      </c>
      <c r="N539" s="39" t="str">
        <f>IF(AND(A539="",B539=""),"",COUNTIFS(数据!$E$3:$E$998,"&lt;&gt;前期仔鱼",数据!$E$3:$E$998,"&lt;&gt;仔鱼",数据!$E$3:$E$998,"&lt;&gt;稚鱼",数据!$F$3:$F$998,A539,数据!$G$3:$G$998,B539))</f>
        <v/>
      </c>
      <c r="O539" s="39" t="str">
        <f>IF(AND(A539="",B539=""),"",COUNTIFS(数据!$E$3:$E$998,"&lt;&gt;鱼卵",数据!$E$3:$E$998,"&lt;&gt;死卵",数据!$F$3:$F$998,A539,数据!$G$3:$G$998,B539))</f>
        <v/>
      </c>
      <c r="P539" s="31"/>
      <c r="Q539">
        <f>SUMIFS(数据!$D$3:$D$998,数据!$E$3:$E$998,"鱼卵",数据!$F$3:$F$998,A539,数据!$G$3:$G$998,B539)</f>
        <v>0</v>
      </c>
      <c r="R539">
        <f>SUMIFS(数据!$D$3:$D$998,数据!$E$3:$E$998,"死卵",数据!$F$3:$F$998,A539,数据!$G$3:$G$998,B539)</f>
        <v>0</v>
      </c>
      <c r="S539">
        <f>SUMIFS(数据!$D$3:$D$998,数据!$E$3:$E$998,"前期仔鱼",数据!$F$3:$F$998,A539,数据!$G$3:$G$998,B539)</f>
        <v>0</v>
      </c>
      <c r="T539">
        <f>SUMIFS(数据!$D$3:$D$998,数据!$E$3:$E$998,"仔鱼",数据!$F$3:$F$998,A539,数据!$G$3:$G$998,B539)</f>
        <v>0</v>
      </c>
      <c r="U539">
        <f>SUMIFS(数据!$D$3:$D$998,数据!$E$3:$E$998,"稚鱼",数据!$F$3:$F$998,A539,数据!$G$3:$G$998,B539)</f>
        <v>0</v>
      </c>
    </row>
    <row r="540" spans="1:21" ht="19.9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45" t="str">
        <f t="shared" si="16"/>
        <v/>
      </c>
      <c r="M540" s="45" t="str">
        <f t="shared" si="17"/>
        <v/>
      </c>
      <c r="N540" s="39" t="str">
        <f>IF(AND(A540="",B540=""),"",COUNTIFS(数据!$E$3:$E$998,"&lt;&gt;前期仔鱼",数据!$E$3:$E$998,"&lt;&gt;仔鱼",数据!$E$3:$E$998,"&lt;&gt;稚鱼",数据!$F$3:$F$998,A540,数据!$G$3:$G$998,B540))</f>
        <v/>
      </c>
      <c r="O540" s="39" t="str">
        <f>IF(AND(A540="",B540=""),"",COUNTIFS(数据!$E$3:$E$998,"&lt;&gt;鱼卵",数据!$E$3:$E$998,"&lt;&gt;死卵",数据!$F$3:$F$998,A540,数据!$G$3:$G$998,B540))</f>
        <v/>
      </c>
      <c r="P540" s="31"/>
      <c r="Q540">
        <f>SUMIFS(数据!$D$3:$D$998,数据!$E$3:$E$998,"鱼卵",数据!$F$3:$F$998,A540,数据!$G$3:$G$998,B540)</f>
        <v>0</v>
      </c>
      <c r="R540">
        <f>SUMIFS(数据!$D$3:$D$998,数据!$E$3:$E$998,"死卵",数据!$F$3:$F$998,A540,数据!$G$3:$G$998,B540)</f>
        <v>0</v>
      </c>
      <c r="S540">
        <f>SUMIFS(数据!$D$3:$D$998,数据!$E$3:$E$998,"前期仔鱼",数据!$F$3:$F$998,A540,数据!$G$3:$G$998,B540)</f>
        <v>0</v>
      </c>
      <c r="T540">
        <f>SUMIFS(数据!$D$3:$D$998,数据!$E$3:$E$998,"仔鱼",数据!$F$3:$F$998,A540,数据!$G$3:$G$998,B540)</f>
        <v>0</v>
      </c>
      <c r="U540">
        <f>SUMIFS(数据!$D$3:$D$998,数据!$E$3:$E$998,"稚鱼",数据!$F$3:$F$998,A540,数据!$G$3:$G$998,B540)</f>
        <v>0</v>
      </c>
    </row>
    <row r="541" spans="1:21" ht="19.9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45" t="str">
        <f t="shared" si="16"/>
        <v/>
      </c>
      <c r="M541" s="45" t="str">
        <f t="shared" si="17"/>
        <v/>
      </c>
      <c r="N541" s="39" t="str">
        <f>IF(AND(A541="",B541=""),"",COUNTIFS(数据!$E$3:$E$998,"&lt;&gt;前期仔鱼",数据!$E$3:$E$998,"&lt;&gt;仔鱼",数据!$E$3:$E$998,"&lt;&gt;稚鱼",数据!$F$3:$F$998,A541,数据!$G$3:$G$998,B541))</f>
        <v/>
      </c>
      <c r="O541" s="39" t="str">
        <f>IF(AND(A541="",B541=""),"",COUNTIFS(数据!$E$3:$E$998,"&lt;&gt;鱼卵",数据!$E$3:$E$998,"&lt;&gt;死卵",数据!$F$3:$F$998,A541,数据!$G$3:$G$998,B541))</f>
        <v/>
      </c>
      <c r="P541" s="31"/>
      <c r="Q541">
        <f>SUMIFS(数据!$D$3:$D$998,数据!$E$3:$E$998,"鱼卵",数据!$F$3:$F$998,A541,数据!$G$3:$G$998,B541)</f>
        <v>0</v>
      </c>
      <c r="R541">
        <f>SUMIFS(数据!$D$3:$D$998,数据!$E$3:$E$998,"死卵",数据!$F$3:$F$998,A541,数据!$G$3:$G$998,B541)</f>
        <v>0</v>
      </c>
      <c r="S541">
        <f>SUMIFS(数据!$D$3:$D$998,数据!$E$3:$E$998,"前期仔鱼",数据!$F$3:$F$998,A541,数据!$G$3:$G$998,B541)</f>
        <v>0</v>
      </c>
      <c r="T541">
        <f>SUMIFS(数据!$D$3:$D$998,数据!$E$3:$E$998,"仔鱼",数据!$F$3:$F$998,A541,数据!$G$3:$G$998,B541)</f>
        <v>0</v>
      </c>
      <c r="U541">
        <f>SUMIFS(数据!$D$3:$D$998,数据!$E$3:$E$998,"稚鱼",数据!$F$3:$F$998,A541,数据!$G$3:$G$998,B541)</f>
        <v>0</v>
      </c>
    </row>
    <row r="542" spans="1:21" ht="19.9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45" t="str">
        <f t="shared" si="16"/>
        <v/>
      </c>
      <c r="M542" s="45" t="str">
        <f t="shared" si="17"/>
        <v/>
      </c>
      <c r="N542" s="39" t="str">
        <f>IF(AND(A542="",B542=""),"",COUNTIFS(数据!$E$3:$E$998,"&lt;&gt;前期仔鱼",数据!$E$3:$E$998,"&lt;&gt;仔鱼",数据!$E$3:$E$998,"&lt;&gt;稚鱼",数据!$F$3:$F$998,A542,数据!$G$3:$G$998,B542))</f>
        <v/>
      </c>
      <c r="O542" s="39" t="str">
        <f>IF(AND(A542="",B542=""),"",COUNTIFS(数据!$E$3:$E$998,"&lt;&gt;鱼卵",数据!$E$3:$E$998,"&lt;&gt;死卵",数据!$F$3:$F$998,A542,数据!$G$3:$G$998,B542))</f>
        <v/>
      </c>
      <c r="P542" s="31"/>
      <c r="Q542">
        <f>SUMIFS(数据!$D$3:$D$998,数据!$E$3:$E$998,"鱼卵",数据!$F$3:$F$998,A542,数据!$G$3:$G$998,B542)</f>
        <v>0</v>
      </c>
      <c r="R542">
        <f>SUMIFS(数据!$D$3:$D$998,数据!$E$3:$E$998,"死卵",数据!$F$3:$F$998,A542,数据!$G$3:$G$998,B542)</f>
        <v>0</v>
      </c>
      <c r="S542">
        <f>SUMIFS(数据!$D$3:$D$998,数据!$E$3:$E$998,"前期仔鱼",数据!$F$3:$F$998,A542,数据!$G$3:$G$998,B542)</f>
        <v>0</v>
      </c>
      <c r="T542">
        <f>SUMIFS(数据!$D$3:$D$998,数据!$E$3:$E$998,"仔鱼",数据!$F$3:$F$998,A542,数据!$G$3:$G$998,B542)</f>
        <v>0</v>
      </c>
      <c r="U542">
        <f>SUMIFS(数据!$D$3:$D$998,数据!$E$3:$E$998,"稚鱼",数据!$F$3:$F$998,A542,数据!$G$3:$G$998,B542)</f>
        <v>0</v>
      </c>
    </row>
    <row r="543" spans="1:21" ht="19.9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45" t="str">
        <f t="shared" si="16"/>
        <v/>
      </c>
      <c r="M543" s="45" t="str">
        <f t="shared" si="17"/>
        <v/>
      </c>
      <c r="N543" s="39" t="str">
        <f>IF(AND(A543="",B543=""),"",COUNTIFS(数据!$E$3:$E$998,"&lt;&gt;前期仔鱼",数据!$E$3:$E$998,"&lt;&gt;仔鱼",数据!$E$3:$E$998,"&lt;&gt;稚鱼",数据!$F$3:$F$998,A543,数据!$G$3:$G$998,B543))</f>
        <v/>
      </c>
      <c r="O543" s="39" t="str">
        <f>IF(AND(A543="",B543=""),"",COUNTIFS(数据!$E$3:$E$998,"&lt;&gt;鱼卵",数据!$E$3:$E$998,"&lt;&gt;死卵",数据!$F$3:$F$998,A543,数据!$G$3:$G$998,B543))</f>
        <v/>
      </c>
      <c r="P543" s="31"/>
      <c r="Q543">
        <f>SUMIFS(数据!$D$3:$D$998,数据!$E$3:$E$998,"鱼卵",数据!$F$3:$F$998,A543,数据!$G$3:$G$998,B543)</f>
        <v>0</v>
      </c>
      <c r="R543">
        <f>SUMIFS(数据!$D$3:$D$998,数据!$E$3:$E$998,"死卵",数据!$F$3:$F$998,A543,数据!$G$3:$G$998,B543)</f>
        <v>0</v>
      </c>
      <c r="S543">
        <f>SUMIFS(数据!$D$3:$D$998,数据!$E$3:$E$998,"前期仔鱼",数据!$F$3:$F$998,A543,数据!$G$3:$G$998,B543)</f>
        <v>0</v>
      </c>
      <c r="T543">
        <f>SUMIFS(数据!$D$3:$D$998,数据!$E$3:$E$998,"仔鱼",数据!$F$3:$F$998,A543,数据!$G$3:$G$998,B543)</f>
        <v>0</v>
      </c>
      <c r="U543">
        <f>SUMIFS(数据!$D$3:$D$998,数据!$E$3:$E$998,"稚鱼",数据!$F$3:$F$998,A543,数据!$G$3:$G$998,B543)</f>
        <v>0</v>
      </c>
    </row>
    <row r="544" spans="1:21" ht="19.9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45" t="str">
        <f t="shared" si="16"/>
        <v/>
      </c>
      <c r="M544" s="45" t="str">
        <f t="shared" si="17"/>
        <v/>
      </c>
      <c r="N544" s="39" t="str">
        <f>IF(AND(A544="",B544=""),"",COUNTIFS(数据!$E$3:$E$998,"&lt;&gt;前期仔鱼",数据!$E$3:$E$998,"&lt;&gt;仔鱼",数据!$E$3:$E$998,"&lt;&gt;稚鱼",数据!$F$3:$F$998,A544,数据!$G$3:$G$998,B544))</f>
        <v/>
      </c>
      <c r="O544" s="39" t="str">
        <f>IF(AND(A544="",B544=""),"",COUNTIFS(数据!$E$3:$E$998,"&lt;&gt;鱼卵",数据!$E$3:$E$998,"&lt;&gt;死卵",数据!$F$3:$F$998,A544,数据!$G$3:$G$998,B544))</f>
        <v/>
      </c>
      <c r="P544" s="31"/>
      <c r="Q544">
        <f>SUMIFS(数据!$D$3:$D$998,数据!$E$3:$E$998,"鱼卵",数据!$F$3:$F$998,A544,数据!$G$3:$G$998,B544)</f>
        <v>0</v>
      </c>
      <c r="R544">
        <f>SUMIFS(数据!$D$3:$D$998,数据!$E$3:$E$998,"死卵",数据!$F$3:$F$998,A544,数据!$G$3:$G$998,B544)</f>
        <v>0</v>
      </c>
      <c r="S544">
        <f>SUMIFS(数据!$D$3:$D$998,数据!$E$3:$E$998,"前期仔鱼",数据!$F$3:$F$998,A544,数据!$G$3:$G$998,B544)</f>
        <v>0</v>
      </c>
      <c r="T544">
        <f>SUMIFS(数据!$D$3:$D$998,数据!$E$3:$E$998,"仔鱼",数据!$F$3:$F$998,A544,数据!$G$3:$G$998,B544)</f>
        <v>0</v>
      </c>
      <c r="U544">
        <f>SUMIFS(数据!$D$3:$D$998,数据!$E$3:$E$998,"稚鱼",数据!$F$3:$F$998,A544,数据!$G$3:$G$998,B544)</f>
        <v>0</v>
      </c>
    </row>
    <row r="545" spans="1:21" ht="19.9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45" t="str">
        <f t="shared" si="16"/>
        <v/>
      </c>
      <c r="M545" s="45" t="str">
        <f t="shared" si="17"/>
        <v/>
      </c>
      <c r="N545" s="39" t="str">
        <f>IF(AND(A545="",B545=""),"",COUNTIFS(数据!$E$3:$E$998,"&lt;&gt;前期仔鱼",数据!$E$3:$E$998,"&lt;&gt;仔鱼",数据!$E$3:$E$998,"&lt;&gt;稚鱼",数据!$F$3:$F$998,A545,数据!$G$3:$G$998,B545))</f>
        <v/>
      </c>
      <c r="O545" s="39" t="str">
        <f>IF(AND(A545="",B545=""),"",COUNTIFS(数据!$E$3:$E$998,"&lt;&gt;鱼卵",数据!$E$3:$E$998,"&lt;&gt;死卵",数据!$F$3:$F$998,A545,数据!$G$3:$G$998,B545))</f>
        <v/>
      </c>
      <c r="P545" s="31"/>
      <c r="Q545">
        <f>SUMIFS(数据!$D$3:$D$998,数据!$E$3:$E$998,"鱼卵",数据!$F$3:$F$998,A545,数据!$G$3:$G$998,B545)</f>
        <v>0</v>
      </c>
      <c r="R545">
        <f>SUMIFS(数据!$D$3:$D$998,数据!$E$3:$E$998,"死卵",数据!$F$3:$F$998,A545,数据!$G$3:$G$998,B545)</f>
        <v>0</v>
      </c>
      <c r="S545">
        <f>SUMIFS(数据!$D$3:$D$998,数据!$E$3:$E$998,"前期仔鱼",数据!$F$3:$F$998,A545,数据!$G$3:$G$998,B545)</f>
        <v>0</v>
      </c>
      <c r="T545">
        <f>SUMIFS(数据!$D$3:$D$998,数据!$E$3:$E$998,"仔鱼",数据!$F$3:$F$998,A545,数据!$G$3:$G$998,B545)</f>
        <v>0</v>
      </c>
      <c r="U545">
        <f>SUMIFS(数据!$D$3:$D$998,数据!$E$3:$E$998,"稚鱼",数据!$F$3:$F$998,A545,数据!$G$3:$G$998,B545)</f>
        <v>0</v>
      </c>
    </row>
    <row r="546" spans="1:21" ht="19.9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45" t="str">
        <f t="shared" si="16"/>
        <v/>
      </c>
      <c r="M546" s="45" t="str">
        <f t="shared" si="17"/>
        <v/>
      </c>
      <c r="N546" s="39" t="str">
        <f>IF(AND(A546="",B546=""),"",COUNTIFS(数据!$E$3:$E$998,"&lt;&gt;前期仔鱼",数据!$E$3:$E$998,"&lt;&gt;仔鱼",数据!$E$3:$E$998,"&lt;&gt;稚鱼",数据!$F$3:$F$998,A546,数据!$G$3:$G$998,B546))</f>
        <v/>
      </c>
      <c r="O546" s="39" t="str">
        <f>IF(AND(A546="",B546=""),"",COUNTIFS(数据!$E$3:$E$998,"&lt;&gt;鱼卵",数据!$E$3:$E$998,"&lt;&gt;死卵",数据!$F$3:$F$998,A546,数据!$G$3:$G$998,B546))</f>
        <v/>
      </c>
      <c r="P546" s="31"/>
      <c r="Q546">
        <f>SUMIFS(数据!$D$3:$D$998,数据!$E$3:$E$998,"鱼卵",数据!$F$3:$F$998,A546,数据!$G$3:$G$998,B546)</f>
        <v>0</v>
      </c>
      <c r="R546">
        <f>SUMIFS(数据!$D$3:$D$998,数据!$E$3:$E$998,"死卵",数据!$F$3:$F$998,A546,数据!$G$3:$G$998,B546)</f>
        <v>0</v>
      </c>
      <c r="S546">
        <f>SUMIFS(数据!$D$3:$D$998,数据!$E$3:$E$998,"前期仔鱼",数据!$F$3:$F$998,A546,数据!$G$3:$G$998,B546)</f>
        <v>0</v>
      </c>
      <c r="T546">
        <f>SUMIFS(数据!$D$3:$D$998,数据!$E$3:$E$998,"仔鱼",数据!$F$3:$F$998,A546,数据!$G$3:$G$998,B546)</f>
        <v>0</v>
      </c>
      <c r="U546">
        <f>SUMIFS(数据!$D$3:$D$998,数据!$E$3:$E$998,"稚鱼",数据!$F$3:$F$998,A546,数据!$G$3:$G$998,B546)</f>
        <v>0</v>
      </c>
    </row>
    <row r="547" spans="1:21" ht="19.9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45" t="str">
        <f t="shared" si="16"/>
        <v/>
      </c>
      <c r="M547" s="45" t="str">
        <f t="shared" si="17"/>
        <v/>
      </c>
      <c r="N547" s="39" t="str">
        <f>IF(AND(A547="",B547=""),"",COUNTIFS(数据!$E$3:$E$998,"&lt;&gt;前期仔鱼",数据!$E$3:$E$998,"&lt;&gt;仔鱼",数据!$E$3:$E$998,"&lt;&gt;稚鱼",数据!$F$3:$F$998,A547,数据!$G$3:$G$998,B547))</f>
        <v/>
      </c>
      <c r="O547" s="39" t="str">
        <f>IF(AND(A547="",B547=""),"",COUNTIFS(数据!$E$3:$E$998,"&lt;&gt;鱼卵",数据!$E$3:$E$998,"&lt;&gt;死卵",数据!$F$3:$F$998,A547,数据!$G$3:$G$998,B547))</f>
        <v/>
      </c>
      <c r="P547" s="31"/>
      <c r="Q547">
        <f>SUMIFS(数据!$D$3:$D$998,数据!$E$3:$E$998,"鱼卵",数据!$F$3:$F$998,A547,数据!$G$3:$G$998,B547)</f>
        <v>0</v>
      </c>
      <c r="R547">
        <f>SUMIFS(数据!$D$3:$D$998,数据!$E$3:$E$998,"死卵",数据!$F$3:$F$998,A547,数据!$G$3:$G$998,B547)</f>
        <v>0</v>
      </c>
      <c r="S547">
        <f>SUMIFS(数据!$D$3:$D$998,数据!$E$3:$E$998,"前期仔鱼",数据!$F$3:$F$998,A547,数据!$G$3:$G$998,B547)</f>
        <v>0</v>
      </c>
      <c r="T547">
        <f>SUMIFS(数据!$D$3:$D$998,数据!$E$3:$E$998,"仔鱼",数据!$F$3:$F$998,A547,数据!$G$3:$G$998,B547)</f>
        <v>0</v>
      </c>
      <c r="U547">
        <f>SUMIFS(数据!$D$3:$D$998,数据!$E$3:$E$998,"稚鱼",数据!$F$3:$F$998,A547,数据!$G$3:$G$998,B547)</f>
        <v>0</v>
      </c>
    </row>
    <row r="548" spans="1:21" ht="19.9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45" t="str">
        <f t="shared" si="16"/>
        <v/>
      </c>
      <c r="M548" s="45" t="str">
        <f t="shared" si="17"/>
        <v/>
      </c>
      <c r="N548" s="39" t="str">
        <f>IF(AND(A548="",B548=""),"",COUNTIFS(数据!$E$3:$E$998,"&lt;&gt;前期仔鱼",数据!$E$3:$E$998,"&lt;&gt;仔鱼",数据!$E$3:$E$998,"&lt;&gt;稚鱼",数据!$F$3:$F$998,A548,数据!$G$3:$G$998,B548))</f>
        <v/>
      </c>
      <c r="O548" s="39" t="str">
        <f>IF(AND(A548="",B548=""),"",COUNTIFS(数据!$E$3:$E$998,"&lt;&gt;鱼卵",数据!$E$3:$E$998,"&lt;&gt;死卵",数据!$F$3:$F$998,A548,数据!$G$3:$G$998,B548))</f>
        <v/>
      </c>
      <c r="P548" s="31"/>
      <c r="Q548">
        <f>SUMIFS(数据!$D$3:$D$998,数据!$E$3:$E$998,"鱼卵",数据!$F$3:$F$998,A548,数据!$G$3:$G$998,B548)</f>
        <v>0</v>
      </c>
      <c r="R548">
        <f>SUMIFS(数据!$D$3:$D$998,数据!$E$3:$E$998,"死卵",数据!$F$3:$F$998,A548,数据!$G$3:$G$998,B548)</f>
        <v>0</v>
      </c>
      <c r="S548">
        <f>SUMIFS(数据!$D$3:$D$998,数据!$E$3:$E$998,"前期仔鱼",数据!$F$3:$F$998,A548,数据!$G$3:$G$998,B548)</f>
        <v>0</v>
      </c>
      <c r="T548">
        <f>SUMIFS(数据!$D$3:$D$998,数据!$E$3:$E$998,"仔鱼",数据!$F$3:$F$998,A548,数据!$G$3:$G$998,B548)</f>
        <v>0</v>
      </c>
      <c r="U548">
        <f>SUMIFS(数据!$D$3:$D$998,数据!$E$3:$E$998,"稚鱼",数据!$F$3:$F$998,A548,数据!$G$3:$G$998,B548)</f>
        <v>0</v>
      </c>
    </row>
    <row r="549" spans="1:21" ht="19.9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45" t="str">
        <f t="shared" si="16"/>
        <v/>
      </c>
      <c r="M549" s="45" t="str">
        <f t="shared" si="17"/>
        <v/>
      </c>
      <c r="N549" s="39" t="str">
        <f>IF(AND(A549="",B549=""),"",COUNTIFS(数据!$E$3:$E$998,"&lt;&gt;前期仔鱼",数据!$E$3:$E$998,"&lt;&gt;仔鱼",数据!$E$3:$E$998,"&lt;&gt;稚鱼",数据!$F$3:$F$998,A549,数据!$G$3:$G$998,B549))</f>
        <v/>
      </c>
      <c r="O549" s="39" t="str">
        <f>IF(AND(A549="",B549=""),"",COUNTIFS(数据!$E$3:$E$998,"&lt;&gt;鱼卵",数据!$E$3:$E$998,"&lt;&gt;死卵",数据!$F$3:$F$998,A549,数据!$G$3:$G$998,B549))</f>
        <v/>
      </c>
      <c r="P549" s="31"/>
      <c r="Q549">
        <f>SUMIFS(数据!$D$3:$D$998,数据!$E$3:$E$998,"鱼卵",数据!$F$3:$F$998,A549,数据!$G$3:$G$998,B549)</f>
        <v>0</v>
      </c>
      <c r="R549">
        <f>SUMIFS(数据!$D$3:$D$998,数据!$E$3:$E$998,"死卵",数据!$F$3:$F$998,A549,数据!$G$3:$G$998,B549)</f>
        <v>0</v>
      </c>
      <c r="S549">
        <f>SUMIFS(数据!$D$3:$D$998,数据!$E$3:$E$998,"前期仔鱼",数据!$F$3:$F$998,A549,数据!$G$3:$G$998,B549)</f>
        <v>0</v>
      </c>
      <c r="T549">
        <f>SUMIFS(数据!$D$3:$D$998,数据!$E$3:$E$998,"仔鱼",数据!$F$3:$F$998,A549,数据!$G$3:$G$998,B549)</f>
        <v>0</v>
      </c>
      <c r="U549">
        <f>SUMIFS(数据!$D$3:$D$998,数据!$E$3:$E$998,"稚鱼",数据!$F$3:$F$998,A549,数据!$G$3:$G$998,B549)</f>
        <v>0</v>
      </c>
    </row>
    <row r="550" spans="1:21" ht="19.9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45" t="str">
        <f t="shared" si="16"/>
        <v/>
      </c>
      <c r="M550" s="45" t="str">
        <f t="shared" si="17"/>
        <v/>
      </c>
      <c r="N550" s="39" t="str">
        <f>IF(AND(A550="",B550=""),"",COUNTIFS(数据!$E$3:$E$998,"&lt;&gt;前期仔鱼",数据!$E$3:$E$998,"&lt;&gt;仔鱼",数据!$E$3:$E$998,"&lt;&gt;稚鱼",数据!$F$3:$F$998,A550,数据!$G$3:$G$998,B550))</f>
        <v/>
      </c>
      <c r="O550" s="39" t="str">
        <f>IF(AND(A550="",B550=""),"",COUNTIFS(数据!$E$3:$E$998,"&lt;&gt;鱼卵",数据!$E$3:$E$998,"&lt;&gt;死卵",数据!$F$3:$F$998,A550,数据!$G$3:$G$998,B550))</f>
        <v/>
      </c>
      <c r="P550" s="31"/>
      <c r="Q550">
        <f>SUMIFS(数据!$D$3:$D$998,数据!$E$3:$E$998,"鱼卵",数据!$F$3:$F$998,A550,数据!$G$3:$G$998,B550)</f>
        <v>0</v>
      </c>
      <c r="R550">
        <f>SUMIFS(数据!$D$3:$D$998,数据!$E$3:$E$998,"死卵",数据!$F$3:$F$998,A550,数据!$G$3:$G$998,B550)</f>
        <v>0</v>
      </c>
      <c r="S550">
        <f>SUMIFS(数据!$D$3:$D$998,数据!$E$3:$E$998,"前期仔鱼",数据!$F$3:$F$998,A550,数据!$G$3:$G$998,B550)</f>
        <v>0</v>
      </c>
      <c r="T550">
        <f>SUMIFS(数据!$D$3:$D$998,数据!$E$3:$E$998,"仔鱼",数据!$F$3:$F$998,A550,数据!$G$3:$G$998,B550)</f>
        <v>0</v>
      </c>
      <c r="U550">
        <f>SUMIFS(数据!$D$3:$D$998,数据!$E$3:$E$998,"稚鱼",数据!$F$3:$F$998,A550,数据!$G$3:$G$998,B550)</f>
        <v>0</v>
      </c>
    </row>
    <row r="551" spans="1:21" ht="19.9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45" t="str">
        <f t="shared" si="16"/>
        <v/>
      </c>
      <c r="M551" s="45" t="str">
        <f t="shared" si="17"/>
        <v/>
      </c>
      <c r="N551" s="39" t="str">
        <f>IF(AND(A551="",B551=""),"",COUNTIFS(数据!$E$3:$E$998,"&lt;&gt;前期仔鱼",数据!$E$3:$E$998,"&lt;&gt;仔鱼",数据!$E$3:$E$998,"&lt;&gt;稚鱼",数据!$F$3:$F$998,A551,数据!$G$3:$G$998,B551))</f>
        <v/>
      </c>
      <c r="O551" s="39" t="str">
        <f>IF(AND(A551="",B551=""),"",COUNTIFS(数据!$E$3:$E$998,"&lt;&gt;鱼卵",数据!$E$3:$E$998,"&lt;&gt;死卵",数据!$F$3:$F$998,A551,数据!$G$3:$G$998,B551))</f>
        <v/>
      </c>
      <c r="P551" s="31"/>
      <c r="Q551">
        <f>SUMIFS(数据!$D$3:$D$998,数据!$E$3:$E$998,"鱼卵",数据!$F$3:$F$998,A551,数据!$G$3:$G$998,B551)</f>
        <v>0</v>
      </c>
      <c r="R551">
        <f>SUMIFS(数据!$D$3:$D$998,数据!$E$3:$E$998,"死卵",数据!$F$3:$F$998,A551,数据!$G$3:$G$998,B551)</f>
        <v>0</v>
      </c>
      <c r="S551">
        <f>SUMIFS(数据!$D$3:$D$998,数据!$E$3:$E$998,"前期仔鱼",数据!$F$3:$F$998,A551,数据!$G$3:$G$998,B551)</f>
        <v>0</v>
      </c>
      <c r="T551">
        <f>SUMIFS(数据!$D$3:$D$998,数据!$E$3:$E$998,"仔鱼",数据!$F$3:$F$998,A551,数据!$G$3:$G$998,B551)</f>
        <v>0</v>
      </c>
      <c r="U551">
        <f>SUMIFS(数据!$D$3:$D$998,数据!$E$3:$E$998,"稚鱼",数据!$F$3:$F$998,A551,数据!$G$3:$G$998,B551)</f>
        <v>0</v>
      </c>
    </row>
    <row r="552" spans="1:21" ht="19.9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45" t="str">
        <f t="shared" si="16"/>
        <v/>
      </c>
      <c r="M552" s="45" t="str">
        <f t="shared" si="17"/>
        <v/>
      </c>
      <c r="N552" s="39" t="str">
        <f>IF(AND(A552="",B552=""),"",COUNTIFS(数据!$E$3:$E$998,"&lt;&gt;前期仔鱼",数据!$E$3:$E$998,"&lt;&gt;仔鱼",数据!$E$3:$E$998,"&lt;&gt;稚鱼",数据!$F$3:$F$998,A552,数据!$G$3:$G$998,B552))</f>
        <v/>
      </c>
      <c r="O552" s="39" t="str">
        <f>IF(AND(A552="",B552=""),"",COUNTIFS(数据!$E$3:$E$998,"&lt;&gt;鱼卵",数据!$E$3:$E$998,"&lt;&gt;死卵",数据!$F$3:$F$998,A552,数据!$G$3:$G$998,B552))</f>
        <v/>
      </c>
      <c r="P552" s="31"/>
      <c r="Q552">
        <f>SUMIFS(数据!$D$3:$D$998,数据!$E$3:$E$998,"鱼卵",数据!$F$3:$F$998,A552,数据!$G$3:$G$998,B552)</f>
        <v>0</v>
      </c>
      <c r="R552">
        <f>SUMIFS(数据!$D$3:$D$998,数据!$E$3:$E$998,"死卵",数据!$F$3:$F$998,A552,数据!$G$3:$G$998,B552)</f>
        <v>0</v>
      </c>
      <c r="S552">
        <f>SUMIFS(数据!$D$3:$D$998,数据!$E$3:$E$998,"前期仔鱼",数据!$F$3:$F$998,A552,数据!$G$3:$G$998,B552)</f>
        <v>0</v>
      </c>
      <c r="T552">
        <f>SUMIFS(数据!$D$3:$D$998,数据!$E$3:$E$998,"仔鱼",数据!$F$3:$F$998,A552,数据!$G$3:$G$998,B552)</f>
        <v>0</v>
      </c>
      <c r="U552">
        <f>SUMIFS(数据!$D$3:$D$998,数据!$E$3:$E$998,"稚鱼",数据!$F$3:$F$998,A552,数据!$G$3:$G$998,B552)</f>
        <v>0</v>
      </c>
    </row>
    <row r="553" spans="1:21" ht="19.9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45" t="str">
        <f t="shared" si="16"/>
        <v/>
      </c>
      <c r="M553" s="45" t="str">
        <f t="shared" si="17"/>
        <v/>
      </c>
      <c r="N553" s="39" t="str">
        <f>IF(AND(A553="",B553=""),"",COUNTIFS(数据!$E$3:$E$998,"&lt;&gt;前期仔鱼",数据!$E$3:$E$998,"&lt;&gt;仔鱼",数据!$E$3:$E$998,"&lt;&gt;稚鱼",数据!$F$3:$F$998,A553,数据!$G$3:$G$998,B553))</f>
        <v/>
      </c>
      <c r="O553" s="39" t="str">
        <f>IF(AND(A553="",B553=""),"",COUNTIFS(数据!$E$3:$E$998,"&lt;&gt;鱼卵",数据!$E$3:$E$998,"&lt;&gt;死卵",数据!$F$3:$F$998,A553,数据!$G$3:$G$998,B553))</f>
        <v/>
      </c>
      <c r="P553" s="31"/>
      <c r="Q553">
        <f>SUMIFS(数据!$D$3:$D$998,数据!$E$3:$E$998,"鱼卵",数据!$F$3:$F$998,A553,数据!$G$3:$G$998,B553)</f>
        <v>0</v>
      </c>
      <c r="R553">
        <f>SUMIFS(数据!$D$3:$D$998,数据!$E$3:$E$998,"死卵",数据!$F$3:$F$998,A553,数据!$G$3:$G$998,B553)</f>
        <v>0</v>
      </c>
      <c r="S553">
        <f>SUMIFS(数据!$D$3:$D$998,数据!$E$3:$E$998,"前期仔鱼",数据!$F$3:$F$998,A553,数据!$G$3:$G$998,B553)</f>
        <v>0</v>
      </c>
      <c r="T553">
        <f>SUMIFS(数据!$D$3:$D$998,数据!$E$3:$E$998,"仔鱼",数据!$F$3:$F$998,A553,数据!$G$3:$G$998,B553)</f>
        <v>0</v>
      </c>
      <c r="U553">
        <f>SUMIFS(数据!$D$3:$D$998,数据!$E$3:$E$998,"稚鱼",数据!$F$3:$F$998,A553,数据!$G$3:$G$998,B553)</f>
        <v>0</v>
      </c>
    </row>
    <row r="554" spans="1:21" ht="19.9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45" t="str">
        <f t="shared" si="16"/>
        <v/>
      </c>
      <c r="M554" s="45" t="str">
        <f t="shared" si="17"/>
        <v/>
      </c>
      <c r="N554" s="39" t="str">
        <f>IF(AND(A554="",B554=""),"",COUNTIFS(数据!$E$3:$E$998,"&lt;&gt;前期仔鱼",数据!$E$3:$E$998,"&lt;&gt;仔鱼",数据!$E$3:$E$998,"&lt;&gt;稚鱼",数据!$F$3:$F$998,A554,数据!$G$3:$G$998,B554))</f>
        <v/>
      </c>
      <c r="O554" s="39" t="str">
        <f>IF(AND(A554="",B554=""),"",COUNTIFS(数据!$E$3:$E$998,"&lt;&gt;鱼卵",数据!$E$3:$E$998,"&lt;&gt;死卵",数据!$F$3:$F$998,A554,数据!$G$3:$G$998,B554))</f>
        <v/>
      </c>
      <c r="P554" s="31"/>
      <c r="Q554">
        <f>SUMIFS(数据!$D$3:$D$998,数据!$E$3:$E$998,"鱼卵",数据!$F$3:$F$998,A554,数据!$G$3:$G$998,B554)</f>
        <v>0</v>
      </c>
      <c r="R554">
        <f>SUMIFS(数据!$D$3:$D$998,数据!$E$3:$E$998,"死卵",数据!$F$3:$F$998,A554,数据!$G$3:$G$998,B554)</f>
        <v>0</v>
      </c>
      <c r="S554">
        <f>SUMIFS(数据!$D$3:$D$998,数据!$E$3:$E$998,"前期仔鱼",数据!$F$3:$F$998,A554,数据!$G$3:$G$998,B554)</f>
        <v>0</v>
      </c>
      <c r="T554">
        <f>SUMIFS(数据!$D$3:$D$998,数据!$E$3:$E$998,"仔鱼",数据!$F$3:$F$998,A554,数据!$G$3:$G$998,B554)</f>
        <v>0</v>
      </c>
      <c r="U554">
        <f>SUMIFS(数据!$D$3:$D$998,数据!$E$3:$E$998,"稚鱼",数据!$F$3:$F$998,A554,数据!$G$3:$G$998,B554)</f>
        <v>0</v>
      </c>
    </row>
    <row r="555" spans="1:21" ht="19.9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45" t="str">
        <f t="shared" si="16"/>
        <v/>
      </c>
      <c r="M555" s="45" t="str">
        <f t="shared" si="17"/>
        <v/>
      </c>
      <c r="N555" s="39" t="str">
        <f>IF(AND(A555="",B555=""),"",COUNTIFS(数据!$E$3:$E$998,"&lt;&gt;前期仔鱼",数据!$E$3:$E$998,"&lt;&gt;仔鱼",数据!$E$3:$E$998,"&lt;&gt;稚鱼",数据!$F$3:$F$998,A555,数据!$G$3:$G$998,B555))</f>
        <v/>
      </c>
      <c r="O555" s="39" t="str">
        <f>IF(AND(A555="",B555=""),"",COUNTIFS(数据!$E$3:$E$998,"&lt;&gt;鱼卵",数据!$E$3:$E$998,"&lt;&gt;死卵",数据!$F$3:$F$998,A555,数据!$G$3:$G$998,B555))</f>
        <v/>
      </c>
      <c r="P555" s="31"/>
      <c r="Q555">
        <f>SUMIFS(数据!$D$3:$D$998,数据!$E$3:$E$998,"鱼卵",数据!$F$3:$F$998,A555,数据!$G$3:$G$998,B555)</f>
        <v>0</v>
      </c>
      <c r="R555">
        <f>SUMIFS(数据!$D$3:$D$998,数据!$E$3:$E$998,"死卵",数据!$F$3:$F$998,A555,数据!$G$3:$G$998,B555)</f>
        <v>0</v>
      </c>
      <c r="S555">
        <f>SUMIFS(数据!$D$3:$D$998,数据!$E$3:$E$998,"前期仔鱼",数据!$F$3:$F$998,A555,数据!$G$3:$G$998,B555)</f>
        <v>0</v>
      </c>
      <c r="T555">
        <f>SUMIFS(数据!$D$3:$D$998,数据!$E$3:$E$998,"仔鱼",数据!$F$3:$F$998,A555,数据!$G$3:$G$998,B555)</f>
        <v>0</v>
      </c>
      <c r="U555">
        <f>SUMIFS(数据!$D$3:$D$998,数据!$E$3:$E$998,"稚鱼",数据!$F$3:$F$998,A555,数据!$G$3:$G$998,B555)</f>
        <v>0</v>
      </c>
    </row>
    <row r="556" spans="1:21" ht="19.9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45" t="str">
        <f t="shared" si="16"/>
        <v/>
      </c>
      <c r="M556" s="45" t="str">
        <f t="shared" si="17"/>
        <v/>
      </c>
      <c r="N556" s="39" t="str">
        <f>IF(AND(A556="",B556=""),"",COUNTIFS(数据!$E$3:$E$998,"&lt;&gt;前期仔鱼",数据!$E$3:$E$998,"&lt;&gt;仔鱼",数据!$E$3:$E$998,"&lt;&gt;稚鱼",数据!$F$3:$F$998,A556,数据!$G$3:$G$998,B556))</f>
        <v/>
      </c>
      <c r="O556" s="39" t="str">
        <f>IF(AND(A556="",B556=""),"",COUNTIFS(数据!$E$3:$E$998,"&lt;&gt;鱼卵",数据!$E$3:$E$998,"&lt;&gt;死卵",数据!$F$3:$F$998,A556,数据!$G$3:$G$998,B556))</f>
        <v/>
      </c>
      <c r="P556" s="31"/>
      <c r="Q556">
        <f>SUMIFS(数据!$D$3:$D$998,数据!$E$3:$E$998,"鱼卵",数据!$F$3:$F$998,A556,数据!$G$3:$G$998,B556)</f>
        <v>0</v>
      </c>
      <c r="R556">
        <f>SUMIFS(数据!$D$3:$D$998,数据!$E$3:$E$998,"死卵",数据!$F$3:$F$998,A556,数据!$G$3:$G$998,B556)</f>
        <v>0</v>
      </c>
      <c r="S556">
        <f>SUMIFS(数据!$D$3:$D$998,数据!$E$3:$E$998,"前期仔鱼",数据!$F$3:$F$998,A556,数据!$G$3:$G$998,B556)</f>
        <v>0</v>
      </c>
      <c r="T556">
        <f>SUMIFS(数据!$D$3:$D$998,数据!$E$3:$E$998,"仔鱼",数据!$F$3:$F$998,A556,数据!$G$3:$G$998,B556)</f>
        <v>0</v>
      </c>
      <c r="U556">
        <f>SUMIFS(数据!$D$3:$D$998,数据!$E$3:$E$998,"稚鱼",数据!$F$3:$F$998,A556,数据!$G$3:$G$998,B556)</f>
        <v>0</v>
      </c>
    </row>
    <row r="557" spans="1:21" ht="19.9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45" t="str">
        <f t="shared" si="16"/>
        <v/>
      </c>
      <c r="M557" s="45" t="str">
        <f t="shared" si="17"/>
        <v/>
      </c>
      <c r="N557" s="39" t="str">
        <f>IF(AND(A557="",B557=""),"",COUNTIFS(数据!$E$3:$E$998,"&lt;&gt;前期仔鱼",数据!$E$3:$E$998,"&lt;&gt;仔鱼",数据!$E$3:$E$998,"&lt;&gt;稚鱼",数据!$F$3:$F$998,A557,数据!$G$3:$G$998,B557))</f>
        <v/>
      </c>
      <c r="O557" s="39" t="str">
        <f>IF(AND(A557="",B557=""),"",COUNTIFS(数据!$E$3:$E$998,"&lt;&gt;鱼卵",数据!$E$3:$E$998,"&lt;&gt;死卵",数据!$F$3:$F$998,A557,数据!$G$3:$G$998,B557))</f>
        <v/>
      </c>
      <c r="P557" s="31"/>
      <c r="Q557">
        <f>SUMIFS(数据!$D$3:$D$998,数据!$E$3:$E$998,"鱼卵",数据!$F$3:$F$998,A557,数据!$G$3:$G$998,B557)</f>
        <v>0</v>
      </c>
      <c r="R557">
        <f>SUMIFS(数据!$D$3:$D$998,数据!$E$3:$E$998,"死卵",数据!$F$3:$F$998,A557,数据!$G$3:$G$998,B557)</f>
        <v>0</v>
      </c>
      <c r="S557">
        <f>SUMIFS(数据!$D$3:$D$998,数据!$E$3:$E$998,"前期仔鱼",数据!$F$3:$F$998,A557,数据!$G$3:$G$998,B557)</f>
        <v>0</v>
      </c>
      <c r="T557">
        <f>SUMIFS(数据!$D$3:$D$998,数据!$E$3:$E$998,"仔鱼",数据!$F$3:$F$998,A557,数据!$G$3:$G$998,B557)</f>
        <v>0</v>
      </c>
      <c r="U557">
        <f>SUMIFS(数据!$D$3:$D$998,数据!$E$3:$E$998,"稚鱼",数据!$F$3:$F$998,A557,数据!$G$3:$G$998,B557)</f>
        <v>0</v>
      </c>
    </row>
    <row r="558" spans="1:21" ht="19.9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45" t="str">
        <f t="shared" si="16"/>
        <v/>
      </c>
      <c r="M558" s="45" t="str">
        <f t="shared" si="17"/>
        <v/>
      </c>
      <c r="N558" s="39" t="str">
        <f>IF(AND(A558="",B558=""),"",COUNTIFS(数据!$E$3:$E$998,"&lt;&gt;前期仔鱼",数据!$E$3:$E$998,"&lt;&gt;仔鱼",数据!$E$3:$E$998,"&lt;&gt;稚鱼",数据!$F$3:$F$998,A558,数据!$G$3:$G$998,B558))</f>
        <v/>
      </c>
      <c r="O558" s="39" t="str">
        <f>IF(AND(A558="",B558=""),"",COUNTIFS(数据!$E$3:$E$998,"&lt;&gt;鱼卵",数据!$E$3:$E$998,"&lt;&gt;死卵",数据!$F$3:$F$998,A558,数据!$G$3:$G$998,B558))</f>
        <v/>
      </c>
      <c r="P558" s="31"/>
      <c r="Q558">
        <f>SUMIFS(数据!$D$3:$D$998,数据!$E$3:$E$998,"鱼卵",数据!$F$3:$F$998,A558,数据!$G$3:$G$998,B558)</f>
        <v>0</v>
      </c>
      <c r="R558">
        <f>SUMIFS(数据!$D$3:$D$998,数据!$E$3:$E$998,"死卵",数据!$F$3:$F$998,A558,数据!$G$3:$G$998,B558)</f>
        <v>0</v>
      </c>
      <c r="S558">
        <f>SUMIFS(数据!$D$3:$D$998,数据!$E$3:$E$998,"前期仔鱼",数据!$F$3:$F$998,A558,数据!$G$3:$G$998,B558)</f>
        <v>0</v>
      </c>
      <c r="T558">
        <f>SUMIFS(数据!$D$3:$D$998,数据!$E$3:$E$998,"仔鱼",数据!$F$3:$F$998,A558,数据!$G$3:$G$998,B558)</f>
        <v>0</v>
      </c>
      <c r="U558">
        <f>SUMIFS(数据!$D$3:$D$998,数据!$E$3:$E$998,"稚鱼",数据!$F$3:$F$998,A558,数据!$G$3:$G$998,B558)</f>
        <v>0</v>
      </c>
    </row>
    <row r="559" spans="1:21" ht="19.9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45" t="str">
        <f t="shared" si="16"/>
        <v/>
      </c>
      <c r="M559" s="45" t="str">
        <f t="shared" si="17"/>
        <v/>
      </c>
      <c r="N559" s="39" t="str">
        <f>IF(AND(A559="",B559=""),"",COUNTIFS(数据!$E$3:$E$998,"&lt;&gt;前期仔鱼",数据!$E$3:$E$998,"&lt;&gt;仔鱼",数据!$E$3:$E$998,"&lt;&gt;稚鱼",数据!$F$3:$F$998,A559,数据!$G$3:$G$998,B559))</f>
        <v/>
      </c>
      <c r="O559" s="39" t="str">
        <f>IF(AND(A559="",B559=""),"",COUNTIFS(数据!$E$3:$E$998,"&lt;&gt;鱼卵",数据!$E$3:$E$998,"&lt;&gt;死卵",数据!$F$3:$F$998,A559,数据!$G$3:$G$998,B559))</f>
        <v/>
      </c>
      <c r="P559" s="31"/>
      <c r="Q559">
        <f>SUMIFS(数据!$D$3:$D$998,数据!$E$3:$E$998,"鱼卵",数据!$F$3:$F$998,A559,数据!$G$3:$G$998,B559)</f>
        <v>0</v>
      </c>
      <c r="R559">
        <f>SUMIFS(数据!$D$3:$D$998,数据!$E$3:$E$998,"死卵",数据!$F$3:$F$998,A559,数据!$G$3:$G$998,B559)</f>
        <v>0</v>
      </c>
      <c r="S559">
        <f>SUMIFS(数据!$D$3:$D$998,数据!$E$3:$E$998,"前期仔鱼",数据!$F$3:$F$998,A559,数据!$G$3:$G$998,B559)</f>
        <v>0</v>
      </c>
      <c r="T559">
        <f>SUMIFS(数据!$D$3:$D$998,数据!$E$3:$E$998,"仔鱼",数据!$F$3:$F$998,A559,数据!$G$3:$G$998,B559)</f>
        <v>0</v>
      </c>
      <c r="U559">
        <f>SUMIFS(数据!$D$3:$D$998,数据!$E$3:$E$998,"稚鱼",数据!$F$3:$F$998,A559,数据!$G$3:$G$998,B559)</f>
        <v>0</v>
      </c>
    </row>
    <row r="560" spans="1:21" ht="19.9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45" t="str">
        <f t="shared" si="16"/>
        <v/>
      </c>
      <c r="M560" s="45" t="str">
        <f t="shared" si="17"/>
        <v/>
      </c>
      <c r="N560" s="39" t="str">
        <f>IF(AND(A560="",B560=""),"",COUNTIFS(数据!$E$3:$E$998,"&lt;&gt;前期仔鱼",数据!$E$3:$E$998,"&lt;&gt;仔鱼",数据!$E$3:$E$998,"&lt;&gt;稚鱼",数据!$F$3:$F$998,A560,数据!$G$3:$G$998,B560))</f>
        <v/>
      </c>
      <c r="O560" s="39" t="str">
        <f>IF(AND(A560="",B560=""),"",COUNTIFS(数据!$E$3:$E$998,"&lt;&gt;鱼卵",数据!$E$3:$E$998,"&lt;&gt;死卵",数据!$F$3:$F$998,A560,数据!$G$3:$G$998,B560))</f>
        <v/>
      </c>
      <c r="P560" s="31"/>
      <c r="Q560">
        <f>SUMIFS(数据!$D$3:$D$998,数据!$E$3:$E$998,"鱼卵",数据!$F$3:$F$998,A560,数据!$G$3:$G$998,B560)</f>
        <v>0</v>
      </c>
      <c r="R560">
        <f>SUMIFS(数据!$D$3:$D$998,数据!$E$3:$E$998,"死卵",数据!$F$3:$F$998,A560,数据!$G$3:$G$998,B560)</f>
        <v>0</v>
      </c>
      <c r="S560">
        <f>SUMIFS(数据!$D$3:$D$998,数据!$E$3:$E$998,"前期仔鱼",数据!$F$3:$F$998,A560,数据!$G$3:$G$998,B560)</f>
        <v>0</v>
      </c>
      <c r="T560">
        <f>SUMIFS(数据!$D$3:$D$998,数据!$E$3:$E$998,"仔鱼",数据!$F$3:$F$998,A560,数据!$G$3:$G$998,B560)</f>
        <v>0</v>
      </c>
      <c r="U560">
        <f>SUMIFS(数据!$D$3:$D$998,数据!$E$3:$E$998,"稚鱼",数据!$F$3:$F$998,A560,数据!$G$3:$G$998,B560)</f>
        <v>0</v>
      </c>
    </row>
    <row r="561" spans="1:21" ht="19.9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45" t="str">
        <f t="shared" si="16"/>
        <v/>
      </c>
      <c r="M561" s="45" t="str">
        <f t="shared" si="17"/>
        <v/>
      </c>
      <c r="N561" s="39" t="str">
        <f>IF(AND(A561="",B561=""),"",COUNTIFS(数据!$E$3:$E$998,"&lt;&gt;前期仔鱼",数据!$E$3:$E$998,"&lt;&gt;仔鱼",数据!$E$3:$E$998,"&lt;&gt;稚鱼",数据!$F$3:$F$998,A561,数据!$G$3:$G$998,B561))</f>
        <v/>
      </c>
      <c r="O561" s="39" t="str">
        <f>IF(AND(A561="",B561=""),"",COUNTIFS(数据!$E$3:$E$998,"&lt;&gt;鱼卵",数据!$E$3:$E$998,"&lt;&gt;死卵",数据!$F$3:$F$998,A561,数据!$G$3:$G$998,B561))</f>
        <v/>
      </c>
      <c r="P561" s="31"/>
      <c r="Q561">
        <f>SUMIFS(数据!$D$3:$D$998,数据!$E$3:$E$998,"鱼卵",数据!$F$3:$F$998,A561,数据!$G$3:$G$998,B561)</f>
        <v>0</v>
      </c>
      <c r="R561">
        <f>SUMIFS(数据!$D$3:$D$998,数据!$E$3:$E$998,"死卵",数据!$F$3:$F$998,A561,数据!$G$3:$G$998,B561)</f>
        <v>0</v>
      </c>
      <c r="S561">
        <f>SUMIFS(数据!$D$3:$D$998,数据!$E$3:$E$998,"前期仔鱼",数据!$F$3:$F$998,A561,数据!$G$3:$G$998,B561)</f>
        <v>0</v>
      </c>
      <c r="T561">
        <f>SUMIFS(数据!$D$3:$D$998,数据!$E$3:$E$998,"仔鱼",数据!$F$3:$F$998,A561,数据!$G$3:$G$998,B561)</f>
        <v>0</v>
      </c>
      <c r="U561">
        <f>SUMIFS(数据!$D$3:$D$998,数据!$E$3:$E$998,"稚鱼",数据!$F$3:$F$998,A561,数据!$G$3:$G$998,B561)</f>
        <v>0</v>
      </c>
    </row>
    <row r="562" spans="1:21" ht="19.9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45" t="str">
        <f t="shared" si="16"/>
        <v/>
      </c>
      <c r="M562" s="45" t="str">
        <f t="shared" si="17"/>
        <v/>
      </c>
      <c r="N562" s="39" t="str">
        <f>IF(AND(A562="",B562=""),"",COUNTIFS(数据!$E$3:$E$998,"&lt;&gt;前期仔鱼",数据!$E$3:$E$998,"&lt;&gt;仔鱼",数据!$E$3:$E$998,"&lt;&gt;稚鱼",数据!$F$3:$F$998,A562,数据!$G$3:$G$998,B562))</f>
        <v/>
      </c>
      <c r="O562" s="39" t="str">
        <f>IF(AND(A562="",B562=""),"",COUNTIFS(数据!$E$3:$E$998,"&lt;&gt;鱼卵",数据!$E$3:$E$998,"&lt;&gt;死卵",数据!$F$3:$F$998,A562,数据!$G$3:$G$998,B562))</f>
        <v/>
      </c>
      <c r="P562" s="31"/>
      <c r="Q562">
        <f>SUMIFS(数据!$D$3:$D$998,数据!$E$3:$E$998,"鱼卵",数据!$F$3:$F$998,A562,数据!$G$3:$G$998,B562)</f>
        <v>0</v>
      </c>
      <c r="R562">
        <f>SUMIFS(数据!$D$3:$D$998,数据!$E$3:$E$998,"死卵",数据!$F$3:$F$998,A562,数据!$G$3:$G$998,B562)</f>
        <v>0</v>
      </c>
      <c r="S562">
        <f>SUMIFS(数据!$D$3:$D$998,数据!$E$3:$E$998,"前期仔鱼",数据!$F$3:$F$998,A562,数据!$G$3:$G$998,B562)</f>
        <v>0</v>
      </c>
      <c r="T562">
        <f>SUMIFS(数据!$D$3:$D$998,数据!$E$3:$E$998,"仔鱼",数据!$F$3:$F$998,A562,数据!$G$3:$G$998,B562)</f>
        <v>0</v>
      </c>
      <c r="U562">
        <f>SUMIFS(数据!$D$3:$D$998,数据!$E$3:$E$998,"稚鱼",数据!$F$3:$F$998,A562,数据!$G$3:$G$998,B562)</f>
        <v>0</v>
      </c>
    </row>
    <row r="563" spans="1:21" ht="19.9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45" t="str">
        <f t="shared" si="16"/>
        <v/>
      </c>
      <c r="M563" s="45" t="str">
        <f t="shared" si="17"/>
        <v/>
      </c>
      <c r="N563" s="39" t="str">
        <f>IF(AND(A563="",B563=""),"",COUNTIFS(数据!$E$3:$E$998,"&lt;&gt;前期仔鱼",数据!$E$3:$E$998,"&lt;&gt;仔鱼",数据!$E$3:$E$998,"&lt;&gt;稚鱼",数据!$F$3:$F$998,A563,数据!$G$3:$G$998,B563))</f>
        <v/>
      </c>
      <c r="O563" s="39" t="str">
        <f>IF(AND(A563="",B563=""),"",COUNTIFS(数据!$E$3:$E$998,"&lt;&gt;鱼卵",数据!$E$3:$E$998,"&lt;&gt;死卵",数据!$F$3:$F$998,A563,数据!$G$3:$G$998,B563))</f>
        <v/>
      </c>
      <c r="P563" s="31"/>
      <c r="Q563">
        <f>SUMIFS(数据!$D$3:$D$998,数据!$E$3:$E$998,"鱼卵",数据!$F$3:$F$998,A563,数据!$G$3:$G$998,B563)</f>
        <v>0</v>
      </c>
      <c r="R563">
        <f>SUMIFS(数据!$D$3:$D$998,数据!$E$3:$E$998,"死卵",数据!$F$3:$F$998,A563,数据!$G$3:$G$998,B563)</f>
        <v>0</v>
      </c>
      <c r="S563">
        <f>SUMIFS(数据!$D$3:$D$998,数据!$E$3:$E$998,"前期仔鱼",数据!$F$3:$F$998,A563,数据!$G$3:$G$998,B563)</f>
        <v>0</v>
      </c>
      <c r="T563">
        <f>SUMIFS(数据!$D$3:$D$998,数据!$E$3:$E$998,"仔鱼",数据!$F$3:$F$998,A563,数据!$G$3:$G$998,B563)</f>
        <v>0</v>
      </c>
      <c r="U563">
        <f>SUMIFS(数据!$D$3:$D$998,数据!$E$3:$E$998,"稚鱼",数据!$F$3:$F$998,A563,数据!$G$3:$G$998,B563)</f>
        <v>0</v>
      </c>
    </row>
    <row r="564" spans="1:21" ht="19.9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45" t="str">
        <f t="shared" si="16"/>
        <v/>
      </c>
      <c r="M564" s="45" t="str">
        <f t="shared" si="17"/>
        <v/>
      </c>
      <c r="N564" s="39" t="str">
        <f>IF(AND(A564="",B564=""),"",COUNTIFS(数据!$E$3:$E$998,"&lt;&gt;前期仔鱼",数据!$E$3:$E$998,"&lt;&gt;仔鱼",数据!$E$3:$E$998,"&lt;&gt;稚鱼",数据!$F$3:$F$998,A564,数据!$G$3:$G$998,B564))</f>
        <v/>
      </c>
      <c r="O564" s="39" t="str">
        <f>IF(AND(A564="",B564=""),"",COUNTIFS(数据!$E$3:$E$998,"&lt;&gt;鱼卵",数据!$E$3:$E$998,"&lt;&gt;死卵",数据!$F$3:$F$998,A564,数据!$G$3:$G$998,B564))</f>
        <v/>
      </c>
      <c r="P564" s="31"/>
      <c r="Q564">
        <f>SUMIFS(数据!$D$3:$D$998,数据!$E$3:$E$998,"鱼卵",数据!$F$3:$F$998,A564,数据!$G$3:$G$998,B564)</f>
        <v>0</v>
      </c>
      <c r="R564">
        <f>SUMIFS(数据!$D$3:$D$998,数据!$E$3:$E$998,"死卵",数据!$F$3:$F$998,A564,数据!$G$3:$G$998,B564)</f>
        <v>0</v>
      </c>
      <c r="S564">
        <f>SUMIFS(数据!$D$3:$D$998,数据!$E$3:$E$998,"前期仔鱼",数据!$F$3:$F$998,A564,数据!$G$3:$G$998,B564)</f>
        <v>0</v>
      </c>
      <c r="T564">
        <f>SUMIFS(数据!$D$3:$D$998,数据!$E$3:$E$998,"仔鱼",数据!$F$3:$F$998,A564,数据!$G$3:$G$998,B564)</f>
        <v>0</v>
      </c>
      <c r="U564">
        <f>SUMIFS(数据!$D$3:$D$998,数据!$E$3:$E$998,"稚鱼",数据!$F$3:$F$998,A564,数据!$G$3:$G$998,B564)</f>
        <v>0</v>
      </c>
    </row>
    <row r="565" spans="1:21" ht="19.9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45" t="str">
        <f t="shared" si="16"/>
        <v/>
      </c>
      <c r="M565" s="45" t="str">
        <f t="shared" si="17"/>
        <v/>
      </c>
      <c r="N565" s="39" t="str">
        <f>IF(AND(A565="",B565=""),"",COUNTIFS(数据!$E$3:$E$998,"&lt;&gt;前期仔鱼",数据!$E$3:$E$998,"&lt;&gt;仔鱼",数据!$E$3:$E$998,"&lt;&gt;稚鱼",数据!$F$3:$F$998,A565,数据!$G$3:$G$998,B565))</f>
        <v/>
      </c>
      <c r="O565" s="39" t="str">
        <f>IF(AND(A565="",B565=""),"",COUNTIFS(数据!$E$3:$E$998,"&lt;&gt;鱼卵",数据!$E$3:$E$998,"&lt;&gt;死卵",数据!$F$3:$F$998,A565,数据!$G$3:$G$998,B565))</f>
        <v/>
      </c>
      <c r="P565" s="31"/>
      <c r="Q565">
        <f>SUMIFS(数据!$D$3:$D$998,数据!$E$3:$E$998,"鱼卵",数据!$F$3:$F$998,A565,数据!$G$3:$G$998,B565)</f>
        <v>0</v>
      </c>
      <c r="R565">
        <f>SUMIFS(数据!$D$3:$D$998,数据!$E$3:$E$998,"死卵",数据!$F$3:$F$998,A565,数据!$G$3:$G$998,B565)</f>
        <v>0</v>
      </c>
      <c r="S565">
        <f>SUMIFS(数据!$D$3:$D$998,数据!$E$3:$E$998,"前期仔鱼",数据!$F$3:$F$998,A565,数据!$G$3:$G$998,B565)</f>
        <v>0</v>
      </c>
      <c r="T565">
        <f>SUMIFS(数据!$D$3:$D$998,数据!$E$3:$E$998,"仔鱼",数据!$F$3:$F$998,A565,数据!$G$3:$G$998,B565)</f>
        <v>0</v>
      </c>
      <c r="U565">
        <f>SUMIFS(数据!$D$3:$D$998,数据!$E$3:$E$998,"稚鱼",数据!$F$3:$F$998,A565,数据!$G$3:$G$998,B565)</f>
        <v>0</v>
      </c>
    </row>
    <row r="566" spans="1:21" ht="19.9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45" t="str">
        <f t="shared" si="16"/>
        <v/>
      </c>
      <c r="M566" s="45" t="str">
        <f t="shared" si="17"/>
        <v/>
      </c>
      <c r="N566" s="39" t="str">
        <f>IF(AND(A566="",B566=""),"",COUNTIFS(数据!$E$3:$E$998,"&lt;&gt;前期仔鱼",数据!$E$3:$E$998,"&lt;&gt;仔鱼",数据!$E$3:$E$998,"&lt;&gt;稚鱼",数据!$F$3:$F$998,A566,数据!$G$3:$G$998,B566))</f>
        <v/>
      </c>
      <c r="O566" s="39" t="str">
        <f>IF(AND(A566="",B566=""),"",COUNTIFS(数据!$E$3:$E$998,"&lt;&gt;鱼卵",数据!$E$3:$E$998,"&lt;&gt;死卵",数据!$F$3:$F$998,A566,数据!$G$3:$G$998,B566))</f>
        <v/>
      </c>
      <c r="P566" s="31"/>
      <c r="Q566">
        <f>SUMIFS(数据!$D$3:$D$998,数据!$E$3:$E$998,"鱼卵",数据!$F$3:$F$998,A566,数据!$G$3:$G$998,B566)</f>
        <v>0</v>
      </c>
      <c r="R566">
        <f>SUMIFS(数据!$D$3:$D$998,数据!$E$3:$E$998,"死卵",数据!$F$3:$F$998,A566,数据!$G$3:$G$998,B566)</f>
        <v>0</v>
      </c>
      <c r="S566">
        <f>SUMIFS(数据!$D$3:$D$998,数据!$E$3:$E$998,"前期仔鱼",数据!$F$3:$F$998,A566,数据!$G$3:$G$998,B566)</f>
        <v>0</v>
      </c>
      <c r="T566">
        <f>SUMIFS(数据!$D$3:$D$998,数据!$E$3:$E$998,"仔鱼",数据!$F$3:$F$998,A566,数据!$G$3:$G$998,B566)</f>
        <v>0</v>
      </c>
      <c r="U566">
        <f>SUMIFS(数据!$D$3:$D$998,数据!$E$3:$E$998,"稚鱼",数据!$F$3:$F$998,A566,数据!$G$3:$G$998,B566)</f>
        <v>0</v>
      </c>
    </row>
    <row r="567" spans="1:21" ht="19.9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45" t="str">
        <f t="shared" si="16"/>
        <v/>
      </c>
      <c r="M567" s="45" t="str">
        <f t="shared" si="17"/>
        <v/>
      </c>
      <c r="N567" s="39" t="str">
        <f>IF(AND(A567="",B567=""),"",COUNTIFS(数据!$E$3:$E$998,"&lt;&gt;前期仔鱼",数据!$E$3:$E$998,"&lt;&gt;仔鱼",数据!$E$3:$E$998,"&lt;&gt;稚鱼",数据!$F$3:$F$998,A567,数据!$G$3:$G$998,B567))</f>
        <v/>
      </c>
      <c r="O567" s="39" t="str">
        <f>IF(AND(A567="",B567=""),"",COUNTIFS(数据!$E$3:$E$998,"&lt;&gt;鱼卵",数据!$E$3:$E$998,"&lt;&gt;死卵",数据!$F$3:$F$998,A567,数据!$G$3:$G$998,B567))</f>
        <v/>
      </c>
      <c r="P567" s="31"/>
      <c r="Q567">
        <f>SUMIFS(数据!$D$3:$D$998,数据!$E$3:$E$998,"鱼卵",数据!$F$3:$F$998,A567,数据!$G$3:$G$998,B567)</f>
        <v>0</v>
      </c>
      <c r="R567">
        <f>SUMIFS(数据!$D$3:$D$998,数据!$E$3:$E$998,"死卵",数据!$F$3:$F$998,A567,数据!$G$3:$G$998,B567)</f>
        <v>0</v>
      </c>
      <c r="S567">
        <f>SUMIFS(数据!$D$3:$D$998,数据!$E$3:$E$998,"前期仔鱼",数据!$F$3:$F$998,A567,数据!$G$3:$G$998,B567)</f>
        <v>0</v>
      </c>
      <c r="T567">
        <f>SUMIFS(数据!$D$3:$D$998,数据!$E$3:$E$998,"仔鱼",数据!$F$3:$F$998,A567,数据!$G$3:$G$998,B567)</f>
        <v>0</v>
      </c>
      <c r="U567">
        <f>SUMIFS(数据!$D$3:$D$998,数据!$E$3:$E$998,"稚鱼",数据!$F$3:$F$998,A567,数据!$G$3:$G$998,B567)</f>
        <v>0</v>
      </c>
    </row>
    <row r="568" spans="1:21" ht="19.9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45" t="str">
        <f t="shared" si="16"/>
        <v/>
      </c>
      <c r="M568" s="45" t="str">
        <f t="shared" si="17"/>
        <v/>
      </c>
      <c r="N568" s="39" t="str">
        <f>IF(AND(A568="",B568=""),"",COUNTIFS(数据!$E$3:$E$998,"&lt;&gt;前期仔鱼",数据!$E$3:$E$998,"&lt;&gt;仔鱼",数据!$E$3:$E$998,"&lt;&gt;稚鱼",数据!$F$3:$F$998,A568,数据!$G$3:$G$998,B568))</f>
        <v/>
      </c>
      <c r="O568" s="39" t="str">
        <f>IF(AND(A568="",B568=""),"",COUNTIFS(数据!$E$3:$E$998,"&lt;&gt;鱼卵",数据!$E$3:$E$998,"&lt;&gt;死卵",数据!$F$3:$F$998,A568,数据!$G$3:$G$998,B568))</f>
        <v/>
      </c>
      <c r="P568" s="31"/>
      <c r="Q568">
        <f>SUMIFS(数据!$D$3:$D$998,数据!$E$3:$E$998,"鱼卵",数据!$F$3:$F$998,A568,数据!$G$3:$G$998,B568)</f>
        <v>0</v>
      </c>
      <c r="R568">
        <f>SUMIFS(数据!$D$3:$D$998,数据!$E$3:$E$998,"死卵",数据!$F$3:$F$998,A568,数据!$G$3:$G$998,B568)</f>
        <v>0</v>
      </c>
      <c r="S568">
        <f>SUMIFS(数据!$D$3:$D$998,数据!$E$3:$E$998,"前期仔鱼",数据!$F$3:$F$998,A568,数据!$G$3:$G$998,B568)</f>
        <v>0</v>
      </c>
      <c r="T568">
        <f>SUMIFS(数据!$D$3:$D$998,数据!$E$3:$E$998,"仔鱼",数据!$F$3:$F$998,A568,数据!$G$3:$G$998,B568)</f>
        <v>0</v>
      </c>
      <c r="U568">
        <f>SUMIFS(数据!$D$3:$D$998,数据!$E$3:$E$998,"稚鱼",数据!$F$3:$F$998,A568,数据!$G$3:$G$998,B568)</f>
        <v>0</v>
      </c>
    </row>
    <row r="569" spans="1:21" ht="19.9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45" t="str">
        <f t="shared" si="16"/>
        <v/>
      </c>
      <c r="M569" s="45" t="str">
        <f t="shared" si="17"/>
        <v/>
      </c>
      <c r="N569" s="39" t="str">
        <f>IF(AND(A569="",B569=""),"",COUNTIFS(数据!$E$3:$E$998,"&lt;&gt;前期仔鱼",数据!$E$3:$E$998,"&lt;&gt;仔鱼",数据!$E$3:$E$998,"&lt;&gt;稚鱼",数据!$F$3:$F$998,A569,数据!$G$3:$G$998,B569))</f>
        <v/>
      </c>
      <c r="O569" s="39" t="str">
        <f>IF(AND(A569="",B569=""),"",COUNTIFS(数据!$E$3:$E$998,"&lt;&gt;鱼卵",数据!$E$3:$E$998,"&lt;&gt;死卵",数据!$F$3:$F$998,A569,数据!$G$3:$G$998,B569))</f>
        <v/>
      </c>
      <c r="P569" s="31"/>
      <c r="Q569">
        <f>SUMIFS(数据!$D$3:$D$998,数据!$E$3:$E$998,"鱼卵",数据!$F$3:$F$998,A569,数据!$G$3:$G$998,B569)</f>
        <v>0</v>
      </c>
      <c r="R569">
        <f>SUMIFS(数据!$D$3:$D$998,数据!$E$3:$E$998,"死卵",数据!$F$3:$F$998,A569,数据!$G$3:$G$998,B569)</f>
        <v>0</v>
      </c>
      <c r="S569">
        <f>SUMIFS(数据!$D$3:$D$998,数据!$E$3:$E$998,"前期仔鱼",数据!$F$3:$F$998,A569,数据!$G$3:$G$998,B569)</f>
        <v>0</v>
      </c>
      <c r="T569">
        <f>SUMIFS(数据!$D$3:$D$998,数据!$E$3:$E$998,"仔鱼",数据!$F$3:$F$998,A569,数据!$G$3:$G$998,B569)</f>
        <v>0</v>
      </c>
      <c r="U569">
        <f>SUMIFS(数据!$D$3:$D$998,数据!$E$3:$E$998,"稚鱼",数据!$F$3:$F$998,A569,数据!$G$3:$G$998,B569)</f>
        <v>0</v>
      </c>
    </row>
    <row r="570" spans="1:21" ht="19.9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45" t="str">
        <f t="shared" si="16"/>
        <v/>
      </c>
      <c r="M570" s="45" t="str">
        <f t="shared" si="17"/>
        <v/>
      </c>
      <c r="N570" s="39" t="str">
        <f>IF(AND(A570="",B570=""),"",COUNTIFS(数据!$E$3:$E$998,"&lt;&gt;前期仔鱼",数据!$E$3:$E$998,"&lt;&gt;仔鱼",数据!$E$3:$E$998,"&lt;&gt;稚鱼",数据!$F$3:$F$998,A570,数据!$G$3:$G$998,B570))</f>
        <v/>
      </c>
      <c r="O570" s="39" t="str">
        <f>IF(AND(A570="",B570=""),"",COUNTIFS(数据!$E$3:$E$998,"&lt;&gt;鱼卵",数据!$E$3:$E$998,"&lt;&gt;死卵",数据!$F$3:$F$998,A570,数据!$G$3:$G$998,B570))</f>
        <v/>
      </c>
      <c r="P570" s="31"/>
      <c r="Q570">
        <f>SUMIFS(数据!$D$3:$D$998,数据!$E$3:$E$998,"鱼卵",数据!$F$3:$F$998,A570,数据!$G$3:$G$998,B570)</f>
        <v>0</v>
      </c>
      <c r="R570">
        <f>SUMIFS(数据!$D$3:$D$998,数据!$E$3:$E$998,"死卵",数据!$F$3:$F$998,A570,数据!$G$3:$G$998,B570)</f>
        <v>0</v>
      </c>
      <c r="S570">
        <f>SUMIFS(数据!$D$3:$D$998,数据!$E$3:$E$998,"前期仔鱼",数据!$F$3:$F$998,A570,数据!$G$3:$G$998,B570)</f>
        <v>0</v>
      </c>
      <c r="T570">
        <f>SUMIFS(数据!$D$3:$D$998,数据!$E$3:$E$998,"仔鱼",数据!$F$3:$F$998,A570,数据!$G$3:$G$998,B570)</f>
        <v>0</v>
      </c>
      <c r="U570">
        <f>SUMIFS(数据!$D$3:$D$998,数据!$E$3:$E$998,"稚鱼",数据!$F$3:$F$998,A570,数据!$G$3:$G$998,B570)</f>
        <v>0</v>
      </c>
    </row>
    <row r="571" spans="1:21" ht="19.9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45" t="str">
        <f t="shared" si="16"/>
        <v/>
      </c>
      <c r="M571" s="45" t="str">
        <f t="shared" si="17"/>
        <v/>
      </c>
      <c r="N571" s="39" t="str">
        <f>IF(AND(A571="",B571=""),"",COUNTIFS(数据!$E$3:$E$998,"&lt;&gt;前期仔鱼",数据!$E$3:$E$998,"&lt;&gt;仔鱼",数据!$E$3:$E$998,"&lt;&gt;稚鱼",数据!$F$3:$F$998,A571,数据!$G$3:$G$998,B571))</f>
        <v/>
      </c>
      <c r="O571" s="39" t="str">
        <f>IF(AND(A571="",B571=""),"",COUNTIFS(数据!$E$3:$E$998,"&lt;&gt;鱼卵",数据!$E$3:$E$998,"&lt;&gt;死卵",数据!$F$3:$F$998,A571,数据!$G$3:$G$998,B571))</f>
        <v/>
      </c>
      <c r="P571" s="31"/>
      <c r="Q571">
        <f>SUMIFS(数据!$D$3:$D$998,数据!$E$3:$E$998,"鱼卵",数据!$F$3:$F$998,A571,数据!$G$3:$G$998,B571)</f>
        <v>0</v>
      </c>
      <c r="R571">
        <f>SUMIFS(数据!$D$3:$D$998,数据!$E$3:$E$998,"死卵",数据!$F$3:$F$998,A571,数据!$G$3:$G$998,B571)</f>
        <v>0</v>
      </c>
      <c r="S571">
        <f>SUMIFS(数据!$D$3:$D$998,数据!$E$3:$E$998,"前期仔鱼",数据!$F$3:$F$998,A571,数据!$G$3:$G$998,B571)</f>
        <v>0</v>
      </c>
      <c r="T571">
        <f>SUMIFS(数据!$D$3:$D$998,数据!$E$3:$E$998,"仔鱼",数据!$F$3:$F$998,A571,数据!$G$3:$G$998,B571)</f>
        <v>0</v>
      </c>
      <c r="U571">
        <f>SUMIFS(数据!$D$3:$D$998,数据!$E$3:$E$998,"稚鱼",数据!$F$3:$F$998,A571,数据!$G$3:$G$998,B571)</f>
        <v>0</v>
      </c>
    </row>
    <row r="572" spans="1:21" ht="19.9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45" t="str">
        <f t="shared" si="16"/>
        <v/>
      </c>
      <c r="M572" s="45" t="str">
        <f t="shared" si="17"/>
        <v/>
      </c>
      <c r="N572" s="39" t="str">
        <f>IF(AND(A572="",B572=""),"",COUNTIFS(数据!$E$3:$E$998,"&lt;&gt;前期仔鱼",数据!$E$3:$E$998,"&lt;&gt;仔鱼",数据!$E$3:$E$998,"&lt;&gt;稚鱼",数据!$F$3:$F$998,A572,数据!$G$3:$G$998,B572))</f>
        <v/>
      </c>
      <c r="O572" s="39" t="str">
        <f>IF(AND(A572="",B572=""),"",COUNTIFS(数据!$E$3:$E$998,"&lt;&gt;鱼卵",数据!$E$3:$E$998,"&lt;&gt;死卵",数据!$F$3:$F$998,A572,数据!$G$3:$G$998,B572))</f>
        <v/>
      </c>
      <c r="P572" s="31"/>
      <c r="Q572">
        <f>SUMIFS(数据!$D$3:$D$998,数据!$E$3:$E$998,"鱼卵",数据!$F$3:$F$998,A572,数据!$G$3:$G$998,B572)</f>
        <v>0</v>
      </c>
      <c r="R572">
        <f>SUMIFS(数据!$D$3:$D$998,数据!$E$3:$E$998,"死卵",数据!$F$3:$F$998,A572,数据!$G$3:$G$998,B572)</f>
        <v>0</v>
      </c>
      <c r="S572">
        <f>SUMIFS(数据!$D$3:$D$998,数据!$E$3:$E$998,"前期仔鱼",数据!$F$3:$F$998,A572,数据!$G$3:$G$998,B572)</f>
        <v>0</v>
      </c>
      <c r="T572">
        <f>SUMIFS(数据!$D$3:$D$998,数据!$E$3:$E$998,"仔鱼",数据!$F$3:$F$998,A572,数据!$G$3:$G$998,B572)</f>
        <v>0</v>
      </c>
      <c r="U572">
        <f>SUMIFS(数据!$D$3:$D$998,数据!$E$3:$E$998,"稚鱼",数据!$F$3:$F$998,A572,数据!$G$3:$G$998,B572)</f>
        <v>0</v>
      </c>
    </row>
    <row r="573" spans="1:21" ht="19.9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45" t="str">
        <f t="shared" si="16"/>
        <v/>
      </c>
      <c r="M573" s="45" t="str">
        <f t="shared" si="17"/>
        <v/>
      </c>
      <c r="N573" s="39" t="str">
        <f>IF(AND(A573="",B573=""),"",COUNTIFS(数据!$E$3:$E$998,"&lt;&gt;前期仔鱼",数据!$E$3:$E$998,"&lt;&gt;仔鱼",数据!$E$3:$E$998,"&lt;&gt;稚鱼",数据!$F$3:$F$998,A573,数据!$G$3:$G$998,B573))</f>
        <v/>
      </c>
      <c r="O573" s="39" t="str">
        <f>IF(AND(A573="",B573=""),"",COUNTIFS(数据!$E$3:$E$998,"&lt;&gt;鱼卵",数据!$E$3:$E$998,"&lt;&gt;死卵",数据!$F$3:$F$998,A573,数据!$G$3:$G$998,B573))</f>
        <v/>
      </c>
      <c r="P573" s="31"/>
      <c r="Q573">
        <f>SUMIFS(数据!$D$3:$D$998,数据!$E$3:$E$998,"鱼卵",数据!$F$3:$F$998,A573,数据!$G$3:$G$998,B573)</f>
        <v>0</v>
      </c>
      <c r="R573">
        <f>SUMIFS(数据!$D$3:$D$998,数据!$E$3:$E$998,"死卵",数据!$F$3:$F$998,A573,数据!$G$3:$G$998,B573)</f>
        <v>0</v>
      </c>
      <c r="S573">
        <f>SUMIFS(数据!$D$3:$D$998,数据!$E$3:$E$998,"前期仔鱼",数据!$F$3:$F$998,A573,数据!$G$3:$G$998,B573)</f>
        <v>0</v>
      </c>
      <c r="T573">
        <f>SUMIFS(数据!$D$3:$D$998,数据!$E$3:$E$998,"仔鱼",数据!$F$3:$F$998,A573,数据!$G$3:$G$998,B573)</f>
        <v>0</v>
      </c>
      <c r="U573">
        <f>SUMIFS(数据!$D$3:$D$998,数据!$E$3:$E$998,"稚鱼",数据!$F$3:$F$998,A573,数据!$G$3:$G$998,B573)</f>
        <v>0</v>
      </c>
    </row>
    <row r="574" spans="1:21" ht="19.9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45" t="str">
        <f t="shared" si="16"/>
        <v/>
      </c>
      <c r="M574" s="45" t="str">
        <f t="shared" si="17"/>
        <v/>
      </c>
      <c r="N574" s="39" t="str">
        <f>IF(AND(A574="",B574=""),"",COUNTIFS(数据!$E$3:$E$998,"&lt;&gt;前期仔鱼",数据!$E$3:$E$998,"&lt;&gt;仔鱼",数据!$E$3:$E$998,"&lt;&gt;稚鱼",数据!$F$3:$F$998,A574,数据!$G$3:$G$998,B574))</f>
        <v/>
      </c>
      <c r="O574" s="39" t="str">
        <f>IF(AND(A574="",B574=""),"",COUNTIFS(数据!$E$3:$E$998,"&lt;&gt;鱼卵",数据!$E$3:$E$998,"&lt;&gt;死卵",数据!$F$3:$F$998,A574,数据!$G$3:$G$998,B574))</f>
        <v/>
      </c>
      <c r="P574" s="31"/>
      <c r="Q574">
        <f>SUMIFS(数据!$D$3:$D$998,数据!$E$3:$E$998,"鱼卵",数据!$F$3:$F$998,A574,数据!$G$3:$G$998,B574)</f>
        <v>0</v>
      </c>
      <c r="R574">
        <f>SUMIFS(数据!$D$3:$D$998,数据!$E$3:$E$998,"死卵",数据!$F$3:$F$998,A574,数据!$G$3:$G$998,B574)</f>
        <v>0</v>
      </c>
      <c r="S574">
        <f>SUMIFS(数据!$D$3:$D$998,数据!$E$3:$E$998,"前期仔鱼",数据!$F$3:$F$998,A574,数据!$G$3:$G$998,B574)</f>
        <v>0</v>
      </c>
      <c r="T574">
        <f>SUMIFS(数据!$D$3:$D$998,数据!$E$3:$E$998,"仔鱼",数据!$F$3:$F$998,A574,数据!$G$3:$G$998,B574)</f>
        <v>0</v>
      </c>
      <c r="U574">
        <f>SUMIFS(数据!$D$3:$D$998,数据!$E$3:$E$998,"稚鱼",数据!$F$3:$F$998,A574,数据!$G$3:$G$998,B574)</f>
        <v>0</v>
      </c>
    </row>
    <row r="575" spans="1:21" ht="19.9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45" t="str">
        <f t="shared" si="16"/>
        <v/>
      </c>
      <c r="M575" s="45" t="str">
        <f t="shared" si="17"/>
        <v/>
      </c>
      <c r="N575" s="39" t="str">
        <f>IF(AND(A575="",B575=""),"",COUNTIFS(数据!$E$3:$E$998,"&lt;&gt;前期仔鱼",数据!$E$3:$E$998,"&lt;&gt;仔鱼",数据!$E$3:$E$998,"&lt;&gt;稚鱼",数据!$F$3:$F$998,A575,数据!$G$3:$G$998,B575))</f>
        <v/>
      </c>
      <c r="O575" s="39" t="str">
        <f>IF(AND(A575="",B575=""),"",COUNTIFS(数据!$E$3:$E$998,"&lt;&gt;鱼卵",数据!$E$3:$E$998,"&lt;&gt;死卵",数据!$F$3:$F$998,A575,数据!$G$3:$G$998,B575))</f>
        <v/>
      </c>
      <c r="P575" s="31"/>
      <c r="Q575">
        <f>SUMIFS(数据!$D$3:$D$998,数据!$E$3:$E$998,"鱼卵",数据!$F$3:$F$998,A575,数据!$G$3:$G$998,B575)</f>
        <v>0</v>
      </c>
      <c r="R575">
        <f>SUMIFS(数据!$D$3:$D$998,数据!$E$3:$E$998,"死卵",数据!$F$3:$F$998,A575,数据!$G$3:$G$998,B575)</f>
        <v>0</v>
      </c>
      <c r="S575">
        <f>SUMIFS(数据!$D$3:$D$998,数据!$E$3:$E$998,"前期仔鱼",数据!$F$3:$F$998,A575,数据!$G$3:$G$998,B575)</f>
        <v>0</v>
      </c>
      <c r="T575">
        <f>SUMIFS(数据!$D$3:$D$998,数据!$E$3:$E$998,"仔鱼",数据!$F$3:$F$998,A575,数据!$G$3:$G$998,B575)</f>
        <v>0</v>
      </c>
      <c r="U575">
        <f>SUMIFS(数据!$D$3:$D$998,数据!$E$3:$E$998,"稚鱼",数据!$F$3:$F$998,A575,数据!$G$3:$G$998,B575)</f>
        <v>0</v>
      </c>
    </row>
    <row r="576" spans="1:21" ht="19.9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45" t="str">
        <f t="shared" si="16"/>
        <v/>
      </c>
      <c r="M576" s="45" t="str">
        <f t="shared" si="17"/>
        <v/>
      </c>
      <c r="N576" s="39" t="str">
        <f>IF(AND(A576="",B576=""),"",COUNTIFS(数据!$E$3:$E$998,"&lt;&gt;前期仔鱼",数据!$E$3:$E$998,"&lt;&gt;仔鱼",数据!$E$3:$E$998,"&lt;&gt;稚鱼",数据!$F$3:$F$998,A576,数据!$G$3:$G$998,B576))</f>
        <v/>
      </c>
      <c r="O576" s="39" t="str">
        <f>IF(AND(A576="",B576=""),"",COUNTIFS(数据!$E$3:$E$998,"&lt;&gt;鱼卵",数据!$E$3:$E$998,"&lt;&gt;死卵",数据!$F$3:$F$998,A576,数据!$G$3:$G$998,B576))</f>
        <v/>
      </c>
      <c r="P576" s="31"/>
      <c r="Q576">
        <f>SUMIFS(数据!$D$3:$D$998,数据!$E$3:$E$998,"鱼卵",数据!$F$3:$F$998,A576,数据!$G$3:$G$998,B576)</f>
        <v>0</v>
      </c>
      <c r="R576">
        <f>SUMIFS(数据!$D$3:$D$998,数据!$E$3:$E$998,"死卵",数据!$F$3:$F$998,A576,数据!$G$3:$G$998,B576)</f>
        <v>0</v>
      </c>
      <c r="S576">
        <f>SUMIFS(数据!$D$3:$D$998,数据!$E$3:$E$998,"前期仔鱼",数据!$F$3:$F$998,A576,数据!$G$3:$G$998,B576)</f>
        <v>0</v>
      </c>
      <c r="T576">
        <f>SUMIFS(数据!$D$3:$D$998,数据!$E$3:$E$998,"仔鱼",数据!$F$3:$F$998,A576,数据!$G$3:$G$998,B576)</f>
        <v>0</v>
      </c>
      <c r="U576">
        <f>SUMIFS(数据!$D$3:$D$998,数据!$E$3:$E$998,"稚鱼",数据!$F$3:$F$998,A576,数据!$G$3:$G$998,B576)</f>
        <v>0</v>
      </c>
    </row>
    <row r="577" spans="1:21" ht="19.9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45" t="str">
        <f t="shared" si="16"/>
        <v/>
      </c>
      <c r="M577" s="45" t="str">
        <f t="shared" si="17"/>
        <v/>
      </c>
      <c r="N577" s="39" t="str">
        <f>IF(AND(A577="",B577=""),"",COUNTIFS(数据!$E$3:$E$998,"&lt;&gt;前期仔鱼",数据!$E$3:$E$998,"&lt;&gt;仔鱼",数据!$E$3:$E$998,"&lt;&gt;稚鱼",数据!$F$3:$F$998,A577,数据!$G$3:$G$998,B577))</f>
        <v/>
      </c>
      <c r="O577" s="39" t="str">
        <f>IF(AND(A577="",B577=""),"",COUNTIFS(数据!$E$3:$E$998,"&lt;&gt;鱼卵",数据!$E$3:$E$998,"&lt;&gt;死卵",数据!$F$3:$F$998,A577,数据!$G$3:$G$998,B577))</f>
        <v/>
      </c>
      <c r="P577" s="31"/>
      <c r="Q577">
        <f>SUMIFS(数据!$D$3:$D$998,数据!$E$3:$E$998,"鱼卵",数据!$F$3:$F$998,A577,数据!$G$3:$G$998,B577)</f>
        <v>0</v>
      </c>
      <c r="R577">
        <f>SUMIFS(数据!$D$3:$D$998,数据!$E$3:$E$998,"死卵",数据!$F$3:$F$998,A577,数据!$G$3:$G$998,B577)</f>
        <v>0</v>
      </c>
      <c r="S577">
        <f>SUMIFS(数据!$D$3:$D$998,数据!$E$3:$E$998,"前期仔鱼",数据!$F$3:$F$998,A577,数据!$G$3:$G$998,B577)</f>
        <v>0</v>
      </c>
      <c r="T577">
        <f>SUMIFS(数据!$D$3:$D$998,数据!$E$3:$E$998,"仔鱼",数据!$F$3:$F$998,A577,数据!$G$3:$G$998,B577)</f>
        <v>0</v>
      </c>
      <c r="U577">
        <f>SUMIFS(数据!$D$3:$D$998,数据!$E$3:$E$998,"稚鱼",数据!$F$3:$F$998,A577,数据!$G$3:$G$998,B577)</f>
        <v>0</v>
      </c>
    </row>
    <row r="578" spans="1:21" ht="19.9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45" t="str">
        <f t="shared" si="16"/>
        <v/>
      </c>
      <c r="M578" s="45" t="str">
        <f t="shared" si="17"/>
        <v/>
      </c>
      <c r="N578" s="39" t="str">
        <f>IF(AND(A578="",B578=""),"",COUNTIFS(数据!$E$3:$E$998,"&lt;&gt;前期仔鱼",数据!$E$3:$E$998,"&lt;&gt;仔鱼",数据!$E$3:$E$998,"&lt;&gt;稚鱼",数据!$F$3:$F$998,A578,数据!$G$3:$G$998,B578))</f>
        <v/>
      </c>
      <c r="O578" s="39" t="str">
        <f>IF(AND(A578="",B578=""),"",COUNTIFS(数据!$E$3:$E$998,"&lt;&gt;鱼卵",数据!$E$3:$E$998,"&lt;&gt;死卵",数据!$F$3:$F$998,A578,数据!$G$3:$G$998,B578))</f>
        <v/>
      </c>
      <c r="P578" s="31"/>
      <c r="Q578">
        <f>SUMIFS(数据!$D$3:$D$998,数据!$E$3:$E$998,"鱼卵",数据!$F$3:$F$998,A578,数据!$G$3:$G$998,B578)</f>
        <v>0</v>
      </c>
      <c r="R578">
        <f>SUMIFS(数据!$D$3:$D$998,数据!$E$3:$E$998,"死卵",数据!$F$3:$F$998,A578,数据!$G$3:$G$998,B578)</f>
        <v>0</v>
      </c>
      <c r="S578">
        <f>SUMIFS(数据!$D$3:$D$998,数据!$E$3:$E$998,"前期仔鱼",数据!$F$3:$F$998,A578,数据!$G$3:$G$998,B578)</f>
        <v>0</v>
      </c>
      <c r="T578">
        <f>SUMIFS(数据!$D$3:$D$998,数据!$E$3:$E$998,"仔鱼",数据!$F$3:$F$998,A578,数据!$G$3:$G$998,B578)</f>
        <v>0</v>
      </c>
      <c r="U578">
        <f>SUMIFS(数据!$D$3:$D$998,数据!$E$3:$E$998,"稚鱼",数据!$F$3:$F$998,A578,数据!$G$3:$G$998,B578)</f>
        <v>0</v>
      </c>
    </row>
    <row r="579" spans="1:21" ht="19.9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45" t="str">
        <f t="shared" si="16"/>
        <v/>
      </c>
      <c r="M579" s="45" t="str">
        <f t="shared" si="17"/>
        <v/>
      </c>
      <c r="N579" s="39" t="str">
        <f>IF(AND(A579="",B579=""),"",COUNTIFS(数据!$E$3:$E$998,"&lt;&gt;前期仔鱼",数据!$E$3:$E$998,"&lt;&gt;仔鱼",数据!$E$3:$E$998,"&lt;&gt;稚鱼",数据!$F$3:$F$998,A579,数据!$G$3:$G$998,B579))</f>
        <v/>
      </c>
      <c r="O579" s="39" t="str">
        <f>IF(AND(A579="",B579=""),"",COUNTIFS(数据!$E$3:$E$998,"&lt;&gt;鱼卵",数据!$E$3:$E$998,"&lt;&gt;死卵",数据!$F$3:$F$998,A579,数据!$G$3:$G$998,B579))</f>
        <v/>
      </c>
      <c r="P579" s="31"/>
      <c r="Q579">
        <f>SUMIFS(数据!$D$3:$D$998,数据!$E$3:$E$998,"鱼卵",数据!$F$3:$F$998,A579,数据!$G$3:$G$998,B579)</f>
        <v>0</v>
      </c>
      <c r="R579">
        <f>SUMIFS(数据!$D$3:$D$998,数据!$E$3:$E$998,"死卵",数据!$F$3:$F$998,A579,数据!$G$3:$G$998,B579)</f>
        <v>0</v>
      </c>
      <c r="S579">
        <f>SUMIFS(数据!$D$3:$D$998,数据!$E$3:$E$998,"前期仔鱼",数据!$F$3:$F$998,A579,数据!$G$3:$G$998,B579)</f>
        <v>0</v>
      </c>
      <c r="T579">
        <f>SUMIFS(数据!$D$3:$D$998,数据!$E$3:$E$998,"仔鱼",数据!$F$3:$F$998,A579,数据!$G$3:$G$998,B579)</f>
        <v>0</v>
      </c>
      <c r="U579">
        <f>SUMIFS(数据!$D$3:$D$998,数据!$E$3:$E$998,"稚鱼",数据!$F$3:$F$998,A579,数据!$G$3:$G$998,B579)</f>
        <v>0</v>
      </c>
    </row>
    <row r="580" spans="1:21" ht="19.9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45" t="str">
        <f t="shared" si="18" ref="L580:L643">IF(OR(Q580&amp;R580="",A580&amp;B580=""),"",Q580+R580)</f>
        <v/>
      </c>
      <c r="M580" s="45" t="str">
        <f t="shared" si="19" ref="M580:M643">IF(OR(A580&amp;B580="",S580&amp;T580&amp;U580=""),"",S580+T580+U580)</f>
        <v/>
      </c>
      <c r="N580" s="39" t="str">
        <f>IF(AND(A580="",B580=""),"",COUNTIFS(数据!$E$3:$E$998,"&lt;&gt;前期仔鱼",数据!$E$3:$E$998,"&lt;&gt;仔鱼",数据!$E$3:$E$998,"&lt;&gt;稚鱼",数据!$F$3:$F$998,A580,数据!$G$3:$G$998,B580))</f>
        <v/>
      </c>
      <c r="O580" s="39" t="str">
        <f>IF(AND(A580="",B580=""),"",COUNTIFS(数据!$E$3:$E$998,"&lt;&gt;鱼卵",数据!$E$3:$E$998,"&lt;&gt;死卵",数据!$F$3:$F$998,A580,数据!$G$3:$G$998,B580))</f>
        <v/>
      </c>
      <c r="P580" s="31"/>
      <c r="Q580">
        <f>SUMIFS(数据!$D$3:$D$998,数据!$E$3:$E$998,"鱼卵",数据!$F$3:$F$998,A580,数据!$G$3:$G$998,B580)</f>
        <v>0</v>
      </c>
      <c r="R580">
        <f>SUMIFS(数据!$D$3:$D$998,数据!$E$3:$E$998,"死卵",数据!$F$3:$F$998,A580,数据!$G$3:$G$998,B580)</f>
        <v>0</v>
      </c>
      <c r="S580">
        <f>SUMIFS(数据!$D$3:$D$998,数据!$E$3:$E$998,"前期仔鱼",数据!$F$3:$F$998,A580,数据!$G$3:$G$998,B580)</f>
        <v>0</v>
      </c>
      <c r="T580">
        <f>SUMIFS(数据!$D$3:$D$998,数据!$E$3:$E$998,"仔鱼",数据!$F$3:$F$998,A580,数据!$G$3:$G$998,B580)</f>
        <v>0</v>
      </c>
      <c r="U580">
        <f>SUMIFS(数据!$D$3:$D$998,数据!$E$3:$E$998,"稚鱼",数据!$F$3:$F$998,A580,数据!$G$3:$G$998,B580)</f>
        <v>0</v>
      </c>
    </row>
    <row r="581" spans="1:21" ht="19.9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45" t="str">
        <f t="shared" si="18"/>
        <v/>
      </c>
      <c r="M581" s="45" t="str">
        <f t="shared" si="19"/>
        <v/>
      </c>
      <c r="N581" s="39" t="str">
        <f>IF(AND(A581="",B581=""),"",COUNTIFS(数据!$E$3:$E$998,"&lt;&gt;前期仔鱼",数据!$E$3:$E$998,"&lt;&gt;仔鱼",数据!$E$3:$E$998,"&lt;&gt;稚鱼",数据!$F$3:$F$998,A581,数据!$G$3:$G$998,B581))</f>
        <v/>
      </c>
      <c r="O581" s="39" t="str">
        <f>IF(AND(A581="",B581=""),"",COUNTIFS(数据!$E$3:$E$998,"&lt;&gt;鱼卵",数据!$E$3:$E$998,"&lt;&gt;死卵",数据!$F$3:$F$998,A581,数据!$G$3:$G$998,B581))</f>
        <v/>
      </c>
      <c r="P581" s="31"/>
      <c r="Q581">
        <f>SUMIFS(数据!$D$3:$D$998,数据!$E$3:$E$998,"鱼卵",数据!$F$3:$F$998,A581,数据!$G$3:$G$998,B581)</f>
        <v>0</v>
      </c>
      <c r="R581">
        <f>SUMIFS(数据!$D$3:$D$998,数据!$E$3:$E$998,"死卵",数据!$F$3:$F$998,A581,数据!$G$3:$G$998,B581)</f>
        <v>0</v>
      </c>
      <c r="S581">
        <f>SUMIFS(数据!$D$3:$D$998,数据!$E$3:$E$998,"前期仔鱼",数据!$F$3:$F$998,A581,数据!$G$3:$G$998,B581)</f>
        <v>0</v>
      </c>
      <c r="T581">
        <f>SUMIFS(数据!$D$3:$D$998,数据!$E$3:$E$998,"仔鱼",数据!$F$3:$F$998,A581,数据!$G$3:$G$998,B581)</f>
        <v>0</v>
      </c>
      <c r="U581">
        <f>SUMIFS(数据!$D$3:$D$998,数据!$E$3:$E$998,"稚鱼",数据!$F$3:$F$998,A581,数据!$G$3:$G$998,B581)</f>
        <v>0</v>
      </c>
    </row>
    <row r="582" spans="1:21" ht="19.9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45" t="str">
        <f t="shared" si="18"/>
        <v/>
      </c>
      <c r="M582" s="45" t="str">
        <f t="shared" si="19"/>
        <v/>
      </c>
      <c r="N582" s="39" t="str">
        <f>IF(AND(A582="",B582=""),"",COUNTIFS(数据!$E$3:$E$998,"&lt;&gt;前期仔鱼",数据!$E$3:$E$998,"&lt;&gt;仔鱼",数据!$E$3:$E$998,"&lt;&gt;稚鱼",数据!$F$3:$F$998,A582,数据!$G$3:$G$998,B582))</f>
        <v/>
      </c>
      <c r="O582" s="39" t="str">
        <f>IF(AND(A582="",B582=""),"",COUNTIFS(数据!$E$3:$E$998,"&lt;&gt;鱼卵",数据!$E$3:$E$998,"&lt;&gt;死卵",数据!$F$3:$F$998,A582,数据!$G$3:$G$998,B582))</f>
        <v/>
      </c>
      <c r="P582" s="31"/>
      <c r="Q582">
        <f>SUMIFS(数据!$D$3:$D$998,数据!$E$3:$E$998,"鱼卵",数据!$F$3:$F$998,A582,数据!$G$3:$G$998,B582)</f>
        <v>0</v>
      </c>
      <c r="R582">
        <f>SUMIFS(数据!$D$3:$D$998,数据!$E$3:$E$998,"死卵",数据!$F$3:$F$998,A582,数据!$G$3:$G$998,B582)</f>
        <v>0</v>
      </c>
      <c r="S582">
        <f>SUMIFS(数据!$D$3:$D$998,数据!$E$3:$E$998,"前期仔鱼",数据!$F$3:$F$998,A582,数据!$G$3:$G$998,B582)</f>
        <v>0</v>
      </c>
      <c r="T582">
        <f>SUMIFS(数据!$D$3:$D$998,数据!$E$3:$E$998,"仔鱼",数据!$F$3:$F$998,A582,数据!$G$3:$G$998,B582)</f>
        <v>0</v>
      </c>
      <c r="U582">
        <f>SUMIFS(数据!$D$3:$D$998,数据!$E$3:$E$998,"稚鱼",数据!$F$3:$F$998,A582,数据!$G$3:$G$998,B582)</f>
        <v>0</v>
      </c>
    </row>
    <row r="583" spans="1:21" ht="19.9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45" t="str">
        <f t="shared" si="18"/>
        <v/>
      </c>
      <c r="M583" s="45" t="str">
        <f t="shared" si="19"/>
        <v/>
      </c>
      <c r="N583" s="39" t="str">
        <f>IF(AND(A583="",B583=""),"",COUNTIFS(数据!$E$3:$E$998,"&lt;&gt;前期仔鱼",数据!$E$3:$E$998,"&lt;&gt;仔鱼",数据!$E$3:$E$998,"&lt;&gt;稚鱼",数据!$F$3:$F$998,A583,数据!$G$3:$G$998,B583))</f>
        <v/>
      </c>
      <c r="O583" s="39" t="str">
        <f>IF(AND(A583="",B583=""),"",COUNTIFS(数据!$E$3:$E$998,"&lt;&gt;鱼卵",数据!$E$3:$E$998,"&lt;&gt;死卵",数据!$F$3:$F$998,A583,数据!$G$3:$G$998,B583))</f>
        <v/>
      </c>
      <c r="P583" s="31"/>
      <c r="Q583">
        <f>SUMIFS(数据!$D$3:$D$998,数据!$E$3:$E$998,"鱼卵",数据!$F$3:$F$998,A583,数据!$G$3:$G$998,B583)</f>
        <v>0</v>
      </c>
      <c r="R583">
        <f>SUMIFS(数据!$D$3:$D$998,数据!$E$3:$E$998,"死卵",数据!$F$3:$F$998,A583,数据!$G$3:$G$998,B583)</f>
        <v>0</v>
      </c>
      <c r="S583">
        <f>SUMIFS(数据!$D$3:$D$998,数据!$E$3:$E$998,"前期仔鱼",数据!$F$3:$F$998,A583,数据!$G$3:$G$998,B583)</f>
        <v>0</v>
      </c>
      <c r="T583">
        <f>SUMIFS(数据!$D$3:$D$998,数据!$E$3:$E$998,"仔鱼",数据!$F$3:$F$998,A583,数据!$G$3:$G$998,B583)</f>
        <v>0</v>
      </c>
      <c r="U583">
        <f>SUMIFS(数据!$D$3:$D$998,数据!$E$3:$E$998,"稚鱼",数据!$F$3:$F$998,A583,数据!$G$3:$G$998,B583)</f>
        <v>0</v>
      </c>
    </row>
    <row r="584" spans="1:21" ht="19.9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45" t="str">
        <f t="shared" si="18"/>
        <v/>
      </c>
      <c r="M584" s="45" t="str">
        <f t="shared" si="19"/>
        <v/>
      </c>
      <c r="N584" s="39" t="str">
        <f>IF(AND(A584="",B584=""),"",COUNTIFS(数据!$E$3:$E$998,"&lt;&gt;前期仔鱼",数据!$E$3:$E$998,"&lt;&gt;仔鱼",数据!$E$3:$E$998,"&lt;&gt;稚鱼",数据!$F$3:$F$998,A584,数据!$G$3:$G$998,B584))</f>
        <v/>
      </c>
      <c r="O584" s="39" t="str">
        <f>IF(AND(A584="",B584=""),"",COUNTIFS(数据!$E$3:$E$998,"&lt;&gt;鱼卵",数据!$E$3:$E$998,"&lt;&gt;死卵",数据!$F$3:$F$998,A584,数据!$G$3:$G$998,B584))</f>
        <v/>
      </c>
      <c r="P584" s="31"/>
      <c r="Q584">
        <f>SUMIFS(数据!$D$3:$D$998,数据!$E$3:$E$998,"鱼卵",数据!$F$3:$F$998,A584,数据!$G$3:$G$998,B584)</f>
        <v>0</v>
      </c>
      <c r="R584">
        <f>SUMIFS(数据!$D$3:$D$998,数据!$E$3:$E$998,"死卵",数据!$F$3:$F$998,A584,数据!$G$3:$G$998,B584)</f>
        <v>0</v>
      </c>
      <c r="S584">
        <f>SUMIFS(数据!$D$3:$D$998,数据!$E$3:$E$998,"前期仔鱼",数据!$F$3:$F$998,A584,数据!$G$3:$G$998,B584)</f>
        <v>0</v>
      </c>
      <c r="T584">
        <f>SUMIFS(数据!$D$3:$D$998,数据!$E$3:$E$998,"仔鱼",数据!$F$3:$F$998,A584,数据!$G$3:$G$998,B584)</f>
        <v>0</v>
      </c>
      <c r="U584">
        <f>SUMIFS(数据!$D$3:$D$998,数据!$E$3:$E$998,"稚鱼",数据!$F$3:$F$998,A584,数据!$G$3:$G$998,B584)</f>
        <v>0</v>
      </c>
    </row>
    <row r="585" spans="1:21" ht="19.9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45" t="str">
        <f t="shared" si="18"/>
        <v/>
      </c>
      <c r="M585" s="45" t="str">
        <f t="shared" si="19"/>
        <v/>
      </c>
      <c r="N585" s="39" t="str">
        <f>IF(AND(A585="",B585=""),"",COUNTIFS(数据!$E$3:$E$998,"&lt;&gt;前期仔鱼",数据!$E$3:$E$998,"&lt;&gt;仔鱼",数据!$E$3:$E$998,"&lt;&gt;稚鱼",数据!$F$3:$F$998,A585,数据!$G$3:$G$998,B585))</f>
        <v/>
      </c>
      <c r="O585" s="39" t="str">
        <f>IF(AND(A585="",B585=""),"",COUNTIFS(数据!$E$3:$E$998,"&lt;&gt;鱼卵",数据!$E$3:$E$998,"&lt;&gt;死卵",数据!$F$3:$F$998,A585,数据!$G$3:$G$998,B585))</f>
        <v/>
      </c>
      <c r="P585" s="31"/>
      <c r="Q585">
        <f>SUMIFS(数据!$D$3:$D$998,数据!$E$3:$E$998,"鱼卵",数据!$F$3:$F$998,A585,数据!$G$3:$G$998,B585)</f>
        <v>0</v>
      </c>
      <c r="R585">
        <f>SUMIFS(数据!$D$3:$D$998,数据!$E$3:$E$998,"死卵",数据!$F$3:$F$998,A585,数据!$G$3:$G$998,B585)</f>
        <v>0</v>
      </c>
      <c r="S585">
        <f>SUMIFS(数据!$D$3:$D$998,数据!$E$3:$E$998,"前期仔鱼",数据!$F$3:$F$998,A585,数据!$G$3:$G$998,B585)</f>
        <v>0</v>
      </c>
      <c r="T585">
        <f>SUMIFS(数据!$D$3:$D$998,数据!$E$3:$E$998,"仔鱼",数据!$F$3:$F$998,A585,数据!$G$3:$G$998,B585)</f>
        <v>0</v>
      </c>
      <c r="U585">
        <f>SUMIFS(数据!$D$3:$D$998,数据!$E$3:$E$998,"稚鱼",数据!$F$3:$F$998,A585,数据!$G$3:$G$998,B585)</f>
        <v>0</v>
      </c>
    </row>
    <row r="586" spans="1:21" ht="19.9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45" t="str">
        <f t="shared" si="18"/>
        <v/>
      </c>
      <c r="M586" s="45" t="str">
        <f t="shared" si="19"/>
        <v/>
      </c>
      <c r="N586" s="39" t="str">
        <f>IF(AND(A586="",B586=""),"",COUNTIFS(数据!$E$3:$E$998,"&lt;&gt;前期仔鱼",数据!$E$3:$E$998,"&lt;&gt;仔鱼",数据!$E$3:$E$998,"&lt;&gt;稚鱼",数据!$F$3:$F$998,A586,数据!$G$3:$G$998,B586))</f>
        <v/>
      </c>
      <c r="O586" s="39" t="str">
        <f>IF(AND(A586="",B586=""),"",COUNTIFS(数据!$E$3:$E$998,"&lt;&gt;鱼卵",数据!$E$3:$E$998,"&lt;&gt;死卵",数据!$F$3:$F$998,A586,数据!$G$3:$G$998,B586))</f>
        <v/>
      </c>
      <c r="P586" s="31"/>
      <c r="Q586">
        <f>SUMIFS(数据!$D$3:$D$998,数据!$E$3:$E$998,"鱼卵",数据!$F$3:$F$998,A586,数据!$G$3:$G$998,B586)</f>
        <v>0</v>
      </c>
      <c r="R586">
        <f>SUMIFS(数据!$D$3:$D$998,数据!$E$3:$E$998,"死卵",数据!$F$3:$F$998,A586,数据!$G$3:$G$998,B586)</f>
        <v>0</v>
      </c>
      <c r="S586">
        <f>SUMIFS(数据!$D$3:$D$998,数据!$E$3:$E$998,"前期仔鱼",数据!$F$3:$F$998,A586,数据!$G$3:$G$998,B586)</f>
        <v>0</v>
      </c>
      <c r="T586">
        <f>SUMIFS(数据!$D$3:$D$998,数据!$E$3:$E$998,"仔鱼",数据!$F$3:$F$998,A586,数据!$G$3:$G$998,B586)</f>
        <v>0</v>
      </c>
      <c r="U586">
        <f>SUMIFS(数据!$D$3:$D$998,数据!$E$3:$E$998,"稚鱼",数据!$F$3:$F$998,A586,数据!$G$3:$G$998,B586)</f>
        <v>0</v>
      </c>
    </row>
    <row r="587" spans="1:21" ht="19.9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45" t="str">
        <f t="shared" si="18"/>
        <v/>
      </c>
      <c r="M587" s="45" t="str">
        <f t="shared" si="19"/>
        <v/>
      </c>
      <c r="N587" s="39" t="str">
        <f>IF(AND(A587="",B587=""),"",COUNTIFS(数据!$E$3:$E$998,"&lt;&gt;前期仔鱼",数据!$E$3:$E$998,"&lt;&gt;仔鱼",数据!$E$3:$E$998,"&lt;&gt;稚鱼",数据!$F$3:$F$998,A587,数据!$G$3:$G$998,B587))</f>
        <v/>
      </c>
      <c r="O587" s="39" t="str">
        <f>IF(AND(A587="",B587=""),"",COUNTIFS(数据!$E$3:$E$998,"&lt;&gt;鱼卵",数据!$E$3:$E$998,"&lt;&gt;死卵",数据!$F$3:$F$998,A587,数据!$G$3:$G$998,B587))</f>
        <v/>
      </c>
      <c r="P587" s="31"/>
      <c r="Q587">
        <f>SUMIFS(数据!$D$3:$D$998,数据!$E$3:$E$998,"鱼卵",数据!$F$3:$F$998,A587,数据!$G$3:$G$998,B587)</f>
        <v>0</v>
      </c>
      <c r="R587">
        <f>SUMIFS(数据!$D$3:$D$998,数据!$E$3:$E$998,"死卵",数据!$F$3:$F$998,A587,数据!$G$3:$G$998,B587)</f>
        <v>0</v>
      </c>
      <c r="S587">
        <f>SUMIFS(数据!$D$3:$D$998,数据!$E$3:$E$998,"前期仔鱼",数据!$F$3:$F$998,A587,数据!$G$3:$G$998,B587)</f>
        <v>0</v>
      </c>
      <c r="T587">
        <f>SUMIFS(数据!$D$3:$D$998,数据!$E$3:$E$998,"仔鱼",数据!$F$3:$F$998,A587,数据!$G$3:$G$998,B587)</f>
        <v>0</v>
      </c>
      <c r="U587">
        <f>SUMIFS(数据!$D$3:$D$998,数据!$E$3:$E$998,"稚鱼",数据!$F$3:$F$998,A587,数据!$G$3:$G$998,B587)</f>
        <v>0</v>
      </c>
    </row>
    <row r="588" spans="1:21" ht="19.9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45" t="str">
        <f t="shared" si="18"/>
        <v/>
      </c>
      <c r="M588" s="45" t="str">
        <f t="shared" si="19"/>
        <v/>
      </c>
      <c r="N588" s="39" t="str">
        <f>IF(AND(A588="",B588=""),"",COUNTIFS(数据!$E$3:$E$998,"&lt;&gt;前期仔鱼",数据!$E$3:$E$998,"&lt;&gt;仔鱼",数据!$E$3:$E$998,"&lt;&gt;稚鱼",数据!$F$3:$F$998,A588,数据!$G$3:$G$998,B588))</f>
        <v/>
      </c>
      <c r="O588" s="39" t="str">
        <f>IF(AND(A588="",B588=""),"",COUNTIFS(数据!$E$3:$E$998,"&lt;&gt;鱼卵",数据!$E$3:$E$998,"&lt;&gt;死卵",数据!$F$3:$F$998,A588,数据!$G$3:$G$998,B588))</f>
        <v/>
      </c>
      <c r="P588" s="31"/>
      <c r="Q588">
        <f>SUMIFS(数据!$D$3:$D$998,数据!$E$3:$E$998,"鱼卵",数据!$F$3:$F$998,A588,数据!$G$3:$G$998,B588)</f>
        <v>0</v>
      </c>
      <c r="R588">
        <f>SUMIFS(数据!$D$3:$D$998,数据!$E$3:$E$998,"死卵",数据!$F$3:$F$998,A588,数据!$G$3:$G$998,B588)</f>
        <v>0</v>
      </c>
      <c r="S588">
        <f>SUMIFS(数据!$D$3:$D$998,数据!$E$3:$E$998,"前期仔鱼",数据!$F$3:$F$998,A588,数据!$G$3:$G$998,B588)</f>
        <v>0</v>
      </c>
      <c r="T588">
        <f>SUMIFS(数据!$D$3:$D$998,数据!$E$3:$E$998,"仔鱼",数据!$F$3:$F$998,A588,数据!$G$3:$G$998,B588)</f>
        <v>0</v>
      </c>
      <c r="U588">
        <f>SUMIFS(数据!$D$3:$D$998,数据!$E$3:$E$998,"稚鱼",数据!$F$3:$F$998,A588,数据!$G$3:$G$998,B588)</f>
        <v>0</v>
      </c>
    </row>
    <row r="589" spans="1:21" ht="19.9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45" t="str">
        <f t="shared" si="18"/>
        <v/>
      </c>
      <c r="M589" s="45" t="str">
        <f t="shared" si="19"/>
        <v/>
      </c>
      <c r="N589" s="39" t="str">
        <f>IF(AND(A589="",B589=""),"",COUNTIFS(数据!$E$3:$E$998,"&lt;&gt;前期仔鱼",数据!$E$3:$E$998,"&lt;&gt;仔鱼",数据!$E$3:$E$998,"&lt;&gt;稚鱼",数据!$F$3:$F$998,A589,数据!$G$3:$G$998,B589))</f>
        <v/>
      </c>
      <c r="O589" s="39" t="str">
        <f>IF(AND(A589="",B589=""),"",COUNTIFS(数据!$E$3:$E$998,"&lt;&gt;鱼卵",数据!$E$3:$E$998,"&lt;&gt;死卵",数据!$F$3:$F$998,A589,数据!$G$3:$G$998,B589))</f>
        <v/>
      </c>
      <c r="P589" s="31"/>
      <c r="Q589">
        <f>SUMIFS(数据!$D$3:$D$998,数据!$E$3:$E$998,"鱼卵",数据!$F$3:$F$998,A589,数据!$G$3:$G$998,B589)</f>
        <v>0</v>
      </c>
      <c r="R589">
        <f>SUMIFS(数据!$D$3:$D$998,数据!$E$3:$E$998,"死卵",数据!$F$3:$F$998,A589,数据!$G$3:$G$998,B589)</f>
        <v>0</v>
      </c>
      <c r="S589">
        <f>SUMIFS(数据!$D$3:$D$998,数据!$E$3:$E$998,"前期仔鱼",数据!$F$3:$F$998,A589,数据!$G$3:$G$998,B589)</f>
        <v>0</v>
      </c>
      <c r="T589">
        <f>SUMIFS(数据!$D$3:$D$998,数据!$E$3:$E$998,"仔鱼",数据!$F$3:$F$998,A589,数据!$G$3:$G$998,B589)</f>
        <v>0</v>
      </c>
      <c r="U589">
        <f>SUMIFS(数据!$D$3:$D$998,数据!$E$3:$E$998,"稚鱼",数据!$F$3:$F$998,A589,数据!$G$3:$G$998,B589)</f>
        <v>0</v>
      </c>
    </row>
    <row r="590" spans="1:21" ht="19.9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45" t="str">
        <f t="shared" si="18"/>
        <v/>
      </c>
      <c r="M590" s="45" t="str">
        <f t="shared" si="19"/>
        <v/>
      </c>
      <c r="N590" s="39" t="str">
        <f>IF(AND(A590="",B590=""),"",COUNTIFS(数据!$E$3:$E$998,"&lt;&gt;前期仔鱼",数据!$E$3:$E$998,"&lt;&gt;仔鱼",数据!$E$3:$E$998,"&lt;&gt;稚鱼",数据!$F$3:$F$998,A590,数据!$G$3:$G$998,B590))</f>
        <v/>
      </c>
      <c r="O590" s="39" t="str">
        <f>IF(AND(A590="",B590=""),"",COUNTIFS(数据!$E$3:$E$998,"&lt;&gt;鱼卵",数据!$E$3:$E$998,"&lt;&gt;死卵",数据!$F$3:$F$998,A590,数据!$G$3:$G$998,B590))</f>
        <v/>
      </c>
      <c r="P590" s="31"/>
      <c r="Q590">
        <f>SUMIFS(数据!$D$3:$D$998,数据!$E$3:$E$998,"鱼卵",数据!$F$3:$F$998,A590,数据!$G$3:$G$998,B590)</f>
        <v>0</v>
      </c>
      <c r="R590">
        <f>SUMIFS(数据!$D$3:$D$998,数据!$E$3:$E$998,"死卵",数据!$F$3:$F$998,A590,数据!$G$3:$G$998,B590)</f>
        <v>0</v>
      </c>
      <c r="S590">
        <f>SUMIFS(数据!$D$3:$D$998,数据!$E$3:$E$998,"前期仔鱼",数据!$F$3:$F$998,A590,数据!$G$3:$G$998,B590)</f>
        <v>0</v>
      </c>
      <c r="T590">
        <f>SUMIFS(数据!$D$3:$D$998,数据!$E$3:$E$998,"仔鱼",数据!$F$3:$F$998,A590,数据!$G$3:$G$998,B590)</f>
        <v>0</v>
      </c>
      <c r="U590">
        <f>SUMIFS(数据!$D$3:$D$998,数据!$E$3:$E$998,"稚鱼",数据!$F$3:$F$998,A590,数据!$G$3:$G$998,B590)</f>
        <v>0</v>
      </c>
    </row>
    <row r="591" spans="1:21" ht="19.9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45" t="str">
        <f t="shared" si="18"/>
        <v/>
      </c>
      <c r="M591" s="45" t="str">
        <f t="shared" si="19"/>
        <v/>
      </c>
      <c r="N591" s="39" t="str">
        <f>IF(AND(A591="",B591=""),"",COUNTIFS(数据!$E$3:$E$998,"&lt;&gt;前期仔鱼",数据!$E$3:$E$998,"&lt;&gt;仔鱼",数据!$E$3:$E$998,"&lt;&gt;稚鱼",数据!$F$3:$F$998,A591,数据!$G$3:$G$998,B591))</f>
        <v/>
      </c>
      <c r="O591" s="39" t="str">
        <f>IF(AND(A591="",B591=""),"",COUNTIFS(数据!$E$3:$E$998,"&lt;&gt;鱼卵",数据!$E$3:$E$998,"&lt;&gt;死卵",数据!$F$3:$F$998,A591,数据!$G$3:$G$998,B591))</f>
        <v/>
      </c>
      <c r="P591" s="31"/>
      <c r="Q591">
        <f>SUMIFS(数据!$D$3:$D$998,数据!$E$3:$E$998,"鱼卵",数据!$F$3:$F$998,A591,数据!$G$3:$G$998,B591)</f>
        <v>0</v>
      </c>
      <c r="R591">
        <f>SUMIFS(数据!$D$3:$D$998,数据!$E$3:$E$998,"死卵",数据!$F$3:$F$998,A591,数据!$G$3:$G$998,B591)</f>
        <v>0</v>
      </c>
      <c r="S591">
        <f>SUMIFS(数据!$D$3:$D$998,数据!$E$3:$E$998,"前期仔鱼",数据!$F$3:$F$998,A591,数据!$G$3:$G$998,B591)</f>
        <v>0</v>
      </c>
      <c r="T591">
        <f>SUMIFS(数据!$D$3:$D$998,数据!$E$3:$E$998,"仔鱼",数据!$F$3:$F$998,A591,数据!$G$3:$G$998,B591)</f>
        <v>0</v>
      </c>
      <c r="U591">
        <f>SUMIFS(数据!$D$3:$D$998,数据!$E$3:$E$998,"稚鱼",数据!$F$3:$F$998,A591,数据!$G$3:$G$998,B591)</f>
        <v>0</v>
      </c>
    </row>
    <row r="592" spans="1:21" ht="19.9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45" t="str">
        <f t="shared" si="18"/>
        <v/>
      </c>
      <c r="M592" s="45" t="str">
        <f t="shared" si="19"/>
        <v/>
      </c>
      <c r="N592" s="39" t="str">
        <f>IF(AND(A592="",B592=""),"",COUNTIFS(数据!$E$3:$E$998,"&lt;&gt;前期仔鱼",数据!$E$3:$E$998,"&lt;&gt;仔鱼",数据!$E$3:$E$998,"&lt;&gt;稚鱼",数据!$F$3:$F$998,A592,数据!$G$3:$G$998,B592))</f>
        <v/>
      </c>
      <c r="O592" s="39" t="str">
        <f>IF(AND(A592="",B592=""),"",COUNTIFS(数据!$E$3:$E$998,"&lt;&gt;鱼卵",数据!$E$3:$E$998,"&lt;&gt;死卵",数据!$F$3:$F$998,A592,数据!$G$3:$G$998,B592))</f>
        <v/>
      </c>
      <c r="P592" s="31"/>
      <c r="Q592">
        <f>SUMIFS(数据!$D$3:$D$998,数据!$E$3:$E$998,"鱼卵",数据!$F$3:$F$998,A592,数据!$G$3:$G$998,B592)</f>
        <v>0</v>
      </c>
      <c r="R592">
        <f>SUMIFS(数据!$D$3:$D$998,数据!$E$3:$E$998,"死卵",数据!$F$3:$F$998,A592,数据!$G$3:$G$998,B592)</f>
        <v>0</v>
      </c>
      <c r="S592">
        <f>SUMIFS(数据!$D$3:$D$998,数据!$E$3:$E$998,"前期仔鱼",数据!$F$3:$F$998,A592,数据!$G$3:$G$998,B592)</f>
        <v>0</v>
      </c>
      <c r="T592">
        <f>SUMIFS(数据!$D$3:$D$998,数据!$E$3:$E$998,"仔鱼",数据!$F$3:$F$998,A592,数据!$G$3:$G$998,B592)</f>
        <v>0</v>
      </c>
      <c r="U592">
        <f>SUMIFS(数据!$D$3:$D$998,数据!$E$3:$E$998,"稚鱼",数据!$F$3:$F$998,A592,数据!$G$3:$G$998,B592)</f>
        <v>0</v>
      </c>
    </row>
    <row r="593" spans="1:21" ht="19.9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45" t="str">
        <f t="shared" si="18"/>
        <v/>
      </c>
      <c r="M593" s="45" t="str">
        <f t="shared" si="19"/>
        <v/>
      </c>
      <c r="N593" s="39" t="str">
        <f>IF(AND(A593="",B593=""),"",COUNTIFS(数据!$E$3:$E$998,"&lt;&gt;前期仔鱼",数据!$E$3:$E$998,"&lt;&gt;仔鱼",数据!$E$3:$E$998,"&lt;&gt;稚鱼",数据!$F$3:$F$998,A593,数据!$G$3:$G$998,B593))</f>
        <v/>
      </c>
      <c r="O593" s="39" t="str">
        <f>IF(AND(A593="",B593=""),"",COUNTIFS(数据!$E$3:$E$998,"&lt;&gt;鱼卵",数据!$E$3:$E$998,"&lt;&gt;死卵",数据!$F$3:$F$998,A593,数据!$G$3:$G$998,B593))</f>
        <v/>
      </c>
      <c r="P593" s="31"/>
      <c r="Q593">
        <f>SUMIFS(数据!$D$3:$D$998,数据!$E$3:$E$998,"鱼卵",数据!$F$3:$F$998,A593,数据!$G$3:$G$998,B593)</f>
        <v>0</v>
      </c>
      <c r="R593">
        <f>SUMIFS(数据!$D$3:$D$998,数据!$E$3:$E$998,"死卵",数据!$F$3:$F$998,A593,数据!$G$3:$G$998,B593)</f>
        <v>0</v>
      </c>
      <c r="S593">
        <f>SUMIFS(数据!$D$3:$D$998,数据!$E$3:$E$998,"前期仔鱼",数据!$F$3:$F$998,A593,数据!$G$3:$G$998,B593)</f>
        <v>0</v>
      </c>
      <c r="T593">
        <f>SUMIFS(数据!$D$3:$D$998,数据!$E$3:$E$998,"仔鱼",数据!$F$3:$F$998,A593,数据!$G$3:$G$998,B593)</f>
        <v>0</v>
      </c>
      <c r="U593">
        <f>SUMIFS(数据!$D$3:$D$998,数据!$E$3:$E$998,"稚鱼",数据!$F$3:$F$998,A593,数据!$G$3:$G$998,B593)</f>
        <v>0</v>
      </c>
    </row>
    <row r="594" spans="1:21" ht="19.9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45" t="str">
        <f t="shared" si="18"/>
        <v/>
      </c>
      <c r="M594" s="45" t="str">
        <f t="shared" si="19"/>
        <v/>
      </c>
      <c r="N594" s="39" t="str">
        <f>IF(AND(A594="",B594=""),"",COUNTIFS(数据!$E$3:$E$998,"&lt;&gt;前期仔鱼",数据!$E$3:$E$998,"&lt;&gt;仔鱼",数据!$E$3:$E$998,"&lt;&gt;稚鱼",数据!$F$3:$F$998,A594,数据!$G$3:$G$998,B594))</f>
        <v/>
      </c>
      <c r="O594" s="39" t="str">
        <f>IF(AND(A594="",B594=""),"",COUNTIFS(数据!$E$3:$E$998,"&lt;&gt;鱼卵",数据!$E$3:$E$998,"&lt;&gt;死卵",数据!$F$3:$F$998,A594,数据!$G$3:$G$998,B594))</f>
        <v/>
      </c>
      <c r="P594" s="31"/>
      <c r="Q594">
        <f>SUMIFS(数据!$D$3:$D$998,数据!$E$3:$E$998,"鱼卵",数据!$F$3:$F$998,A594,数据!$G$3:$G$998,B594)</f>
        <v>0</v>
      </c>
      <c r="R594">
        <f>SUMIFS(数据!$D$3:$D$998,数据!$E$3:$E$998,"死卵",数据!$F$3:$F$998,A594,数据!$G$3:$G$998,B594)</f>
        <v>0</v>
      </c>
      <c r="S594">
        <f>SUMIFS(数据!$D$3:$D$998,数据!$E$3:$E$998,"前期仔鱼",数据!$F$3:$F$998,A594,数据!$G$3:$G$998,B594)</f>
        <v>0</v>
      </c>
      <c r="T594">
        <f>SUMIFS(数据!$D$3:$D$998,数据!$E$3:$E$998,"仔鱼",数据!$F$3:$F$998,A594,数据!$G$3:$G$998,B594)</f>
        <v>0</v>
      </c>
      <c r="U594">
        <f>SUMIFS(数据!$D$3:$D$998,数据!$E$3:$E$998,"稚鱼",数据!$F$3:$F$998,A594,数据!$G$3:$G$998,B594)</f>
        <v>0</v>
      </c>
    </row>
    <row r="595" spans="1:21" ht="19.9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45" t="str">
        <f t="shared" si="18"/>
        <v/>
      </c>
      <c r="M595" s="45" t="str">
        <f t="shared" si="19"/>
        <v/>
      </c>
      <c r="N595" s="39" t="str">
        <f>IF(AND(A595="",B595=""),"",COUNTIFS(数据!$E$3:$E$998,"&lt;&gt;前期仔鱼",数据!$E$3:$E$998,"&lt;&gt;仔鱼",数据!$E$3:$E$998,"&lt;&gt;稚鱼",数据!$F$3:$F$998,A595,数据!$G$3:$G$998,B595))</f>
        <v/>
      </c>
      <c r="O595" s="39" t="str">
        <f>IF(AND(A595="",B595=""),"",COUNTIFS(数据!$E$3:$E$998,"&lt;&gt;鱼卵",数据!$E$3:$E$998,"&lt;&gt;死卵",数据!$F$3:$F$998,A595,数据!$G$3:$G$998,B595))</f>
        <v/>
      </c>
      <c r="P595" s="31"/>
      <c r="Q595">
        <f>SUMIFS(数据!$D$3:$D$998,数据!$E$3:$E$998,"鱼卵",数据!$F$3:$F$998,A595,数据!$G$3:$G$998,B595)</f>
        <v>0</v>
      </c>
      <c r="R595">
        <f>SUMIFS(数据!$D$3:$D$998,数据!$E$3:$E$998,"死卵",数据!$F$3:$F$998,A595,数据!$G$3:$G$998,B595)</f>
        <v>0</v>
      </c>
      <c r="S595">
        <f>SUMIFS(数据!$D$3:$D$998,数据!$E$3:$E$998,"前期仔鱼",数据!$F$3:$F$998,A595,数据!$G$3:$G$998,B595)</f>
        <v>0</v>
      </c>
      <c r="T595">
        <f>SUMIFS(数据!$D$3:$D$998,数据!$E$3:$E$998,"仔鱼",数据!$F$3:$F$998,A595,数据!$G$3:$G$998,B595)</f>
        <v>0</v>
      </c>
      <c r="U595">
        <f>SUMIFS(数据!$D$3:$D$998,数据!$E$3:$E$998,"稚鱼",数据!$F$3:$F$998,A595,数据!$G$3:$G$998,B595)</f>
        <v>0</v>
      </c>
    </row>
    <row r="596" spans="1:21" ht="19.9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45" t="str">
        <f t="shared" si="18"/>
        <v/>
      </c>
      <c r="M596" s="45" t="str">
        <f t="shared" si="19"/>
        <v/>
      </c>
      <c r="N596" s="39" t="str">
        <f>IF(AND(A596="",B596=""),"",COUNTIFS(数据!$E$3:$E$998,"&lt;&gt;前期仔鱼",数据!$E$3:$E$998,"&lt;&gt;仔鱼",数据!$E$3:$E$998,"&lt;&gt;稚鱼",数据!$F$3:$F$998,A596,数据!$G$3:$G$998,B596))</f>
        <v/>
      </c>
      <c r="O596" s="39" t="str">
        <f>IF(AND(A596="",B596=""),"",COUNTIFS(数据!$E$3:$E$998,"&lt;&gt;鱼卵",数据!$E$3:$E$998,"&lt;&gt;死卵",数据!$F$3:$F$998,A596,数据!$G$3:$G$998,B596))</f>
        <v/>
      </c>
      <c r="P596" s="31"/>
      <c r="Q596">
        <f>SUMIFS(数据!$D$3:$D$998,数据!$E$3:$E$998,"鱼卵",数据!$F$3:$F$998,A596,数据!$G$3:$G$998,B596)</f>
        <v>0</v>
      </c>
      <c r="R596">
        <f>SUMIFS(数据!$D$3:$D$998,数据!$E$3:$E$998,"死卵",数据!$F$3:$F$998,A596,数据!$G$3:$G$998,B596)</f>
        <v>0</v>
      </c>
      <c r="S596">
        <f>SUMIFS(数据!$D$3:$D$998,数据!$E$3:$E$998,"前期仔鱼",数据!$F$3:$F$998,A596,数据!$G$3:$G$998,B596)</f>
        <v>0</v>
      </c>
      <c r="T596">
        <f>SUMIFS(数据!$D$3:$D$998,数据!$E$3:$E$998,"仔鱼",数据!$F$3:$F$998,A596,数据!$G$3:$G$998,B596)</f>
        <v>0</v>
      </c>
      <c r="U596">
        <f>SUMIFS(数据!$D$3:$D$998,数据!$E$3:$E$998,"稚鱼",数据!$F$3:$F$998,A596,数据!$G$3:$G$998,B596)</f>
        <v>0</v>
      </c>
    </row>
    <row r="597" spans="1:21" ht="19.9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45" t="str">
        <f t="shared" si="18"/>
        <v/>
      </c>
      <c r="M597" s="45" t="str">
        <f t="shared" si="19"/>
        <v/>
      </c>
      <c r="N597" s="39" t="str">
        <f>IF(AND(A597="",B597=""),"",COUNTIFS(数据!$E$3:$E$998,"&lt;&gt;前期仔鱼",数据!$E$3:$E$998,"&lt;&gt;仔鱼",数据!$E$3:$E$998,"&lt;&gt;稚鱼",数据!$F$3:$F$998,A597,数据!$G$3:$G$998,B597))</f>
        <v/>
      </c>
      <c r="O597" s="39" t="str">
        <f>IF(AND(A597="",B597=""),"",COUNTIFS(数据!$E$3:$E$998,"&lt;&gt;鱼卵",数据!$E$3:$E$998,"&lt;&gt;死卵",数据!$F$3:$F$998,A597,数据!$G$3:$G$998,B597))</f>
        <v/>
      </c>
      <c r="P597" s="31"/>
      <c r="Q597">
        <f>SUMIFS(数据!$D$3:$D$998,数据!$E$3:$E$998,"鱼卵",数据!$F$3:$F$998,A597,数据!$G$3:$G$998,B597)</f>
        <v>0</v>
      </c>
      <c r="R597">
        <f>SUMIFS(数据!$D$3:$D$998,数据!$E$3:$E$998,"死卵",数据!$F$3:$F$998,A597,数据!$G$3:$G$998,B597)</f>
        <v>0</v>
      </c>
      <c r="S597">
        <f>SUMIFS(数据!$D$3:$D$998,数据!$E$3:$E$998,"前期仔鱼",数据!$F$3:$F$998,A597,数据!$G$3:$G$998,B597)</f>
        <v>0</v>
      </c>
      <c r="T597">
        <f>SUMIFS(数据!$D$3:$D$998,数据!$E$3:$E$998,"仔鱼",数据!$F$3:$F$998,A597,数据!$G$3:$G$998,B597)</f>
        <v>0</v>
      </c>
      <c r="U597">
        <f>SUMIFS(数据!$D$3:$D$998,数据!$E$3:$E$998,"稚鱼",数据!$F$3:$F$998,A597,数据!$G$3:$G$998,B597)</f>
        <v>0</v>
      </c>
    </row>
    <row r="598" spans="1:21" ht="19.9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45" t="str">
        <f t="shared" si="18"/>
        <v/>
      </c>
      <c r="M598" s="45" t="str">
        <f t="shared" si="19"/>
        <v/>
      </c>
      <c r="N598" s="39" t="str">
        <f>IF(AND(A598="",B598=""),"",COUNTIFS(数据!$E$3:$E$998,"&lt;&gt;前期仔鱼",数据!$E$3:$E$998,"&lt;&gt;仔鱼",数据!$E$3:$E$998,"&lt;&gt;稚鱼",数据!$F$3:$F$998,A598,数据!$G$3:$G$998,B598))</f>
        <v/>
      </c>
      <c r="O598" s="39" t="str">
        <f>IF(AND(A598="",B598=""),"",COUNTIFS(数据!$E$3:$E$998,"&lt;&gt;鱼卵",数据!$E$3:$E$998,"&lt;&gt;死卵",数据!$F$3:$F$998,A598,数据!$G$3:$G$998,B598))</f>
        <v/>
      </c>
      <c r="P598" s="31"/>
      <c r="Q598">
        <f>SUMIFS(数据!$D$3:$D$998,数据!$E$3:$E$998,"鱼卵",数据!$F$3:$F$998,A598,数据!$G$3:$G$998,B598)</f>
        <v>0</v>
      </c>
      <c r="R598">
        <f>SUMIFS(数据!$D$3:$D$998,数据!$E$3:$E$998,"死卵",数据!$F$3:$F$998,A598,数据!$G$3:$G$998,B598)</f>
        <v>0</v>
      </c>
      <c r="S598">
        <f>SUMIFS(数据!$D$3:$D$998,数据!$E$3:$E$998,"前期仔鱼",数据!$F$3:$F$998,A598,数据!$G$3:$G$998,B598)</f>
        <v>0</v>
      </c>
      <c r="T598">
        <f>SUMIFS(数据!$D$3:$D$998,数据!$E$3:$E$998,"仔鱼",数据!$F$3:$F$998,A598,数据!$G$3:$G$998,B598)</f>
        <v>0</v>
      </c>
      <c r="U598">
        <f>SUMIFS(数据!$D$3:$D$998,数据!$E$3:$E$998,"稚鱼",数据!$F$3:$F$998,A598,数据!$G$3:$G$998,B598)</f>
        <v>0</v>
      </c>
    </row>
    <row r="599" spans="1:21" ht="19.9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45" t="str">
        <f t="shared" si="18"/>
        <v/>
      </c>
      <c r="M599" s="45" t="str">
        <f t="shared" si="19"/>
        <v/>
      </c>
      <c r="N599" s="39" t="str">
        <f>IF(AND(A599="",B599=""),"",COUNTIFS(数据!$E$3:$E$998,"&lt;&gt;前期仔鱼",数据!$E$3:$E$998,"&lt;&gt;仔鱼",数据!$E$3:$E$998,"&lt;&gt;稚鱼",数据!$F$3:$F$998,A599,数据!$G$3:$G$998,B599))</f>
        <v/>
      </c>
      <c r="O599" s="39" t="str">
        <f>IF(AND(A599="",B599=""),"",COUNTIFS(数据!$E$3:$E$998,"&lt;&gt;鱼卵",数据!$E$3:$E$998,"&lt;&gt;死卵",数据!$F$3:$F$998,A599,数据!$G$3:$G$998,B599))</f>
        <v/>
      </c>
      <c r="P599" s="31"/>
      <c r="Q599">
        <f>SUMIFS(数据!$D$3:$D$998,数据!$E$3:$E$998,"鱼卵",数据!$F$3:$F$998,A599,数据!$G$3:$G$998,B599)</f>
        <v>0</v>
      </c>
      <c r="R599">
        <f>SUMIFS(数据!$D$3:$D$998,数据!$E$3:$E$998,"死卵",数据!$F$3:$F$998,A599,数据!$G$3:$G$998,B599)</f>
        <v>0</v>
      </c>
      <c r="S599">
        <f>SUMIFS(数据!$D$3:$D$998,数据!$E$3:$E$998,"前期仔鱼",数据!$F$3:$F$998,A599,数据!$G$3:$G$998,B599)</f>
        <v>0</v>
      </c>
      <c r="T599">
        <f>SUMIFS(数据!$D$3:$D$998,数据!$E$3:$E$998,"仔鱼",数据!$F$3:$F$998,A599,数据!$G$3:$G$998,B599)</f>
        <v>0</v>
      </c>
      <c r="U599">
        <f>SUMIFS(数据!$D$3:$D$998,数据!$E$3:$E$998,"稚鱼",数据!$F$3:$F$998,A599,数据!$G$3:$G$998,B599)</f>
        <v>0</v>
      </c>
    </row>
    <row r="600" spans="1:21" ht="19.9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45" t="str">
        <f t="shared" si="18"/>
        <v/>
      </c>
      <c r="M600" s="45" t="str">
        <f t="shared" si="19"/>
        <v/>
      </c>
      <c r="N600" s="39" t="str">
        <f>IF(AND(A600="",B600=""),"",COUNTIFS(数据!$E$3:$E$998,"&lt;&gt;前期仔鱼",数据!$E$3:$E$998,"&lt;&gt;仔鱼",数据!$E$3:$E$998,"&lt;&gt;稚鱼",数据!$F$3:$F$998,A600,数据!$G$3:$G$998,B600))</f>
        <v/>
      </c>
      <c r="O600" s="39" t="str">
        <f>IF(AND(A600="",B600=""),"",COUNTIFS(数据!$E$3:$E$998,"&lt;&gt;鱼卵",数据!$E$3:$E$998,"&lt;&gt;死卵",数据!$F$3:$F$998,A600,数据!$G$3:$G$998,B600))</f>
        <v/>
      </c>
      <c r="P600" s="31"/>
      <c r="Q600">
        <f>SUMIFS(数据!$D$3:$D$998,数据!$E$3:$E$998,"鱼卵",数据!$F$3:$F$998,A600,数据!$G$3:$G$998,B600)</f>
        <v>0</v>
      </c>
      <c r="R600">
        <f>SUMIFS(数据!$D$3:$D$998,数据!$E$3:$E$998,"死卵",数据!$F$3:$F$998,A600,数据!$G$3:$G$998,B600)</f>
        <v>0</v>
      </c>
      <c r="S600">
        <f>SUMIFS(数据!$D$3:$D$998,数据!$E$3:$E$998,"前期仔鱼",数据!$F$3:$F$998,A600,数据!$G$3:$G$998,B600)</f>
        <v>0</v>
      </c>
      <c r="T600">
        <f>SUMIFS(数据!$D$3:$D$998,数据!$E$3:$E$998,"仔鱼",数据!$F$3:$F$998,A600,数据!$G$3:$G$998,B600)</f>
        <v>0</v>
      </c>
      <c r="U600">
        <f>SUMIFS(数据!$D$3:$D$998,数据!$E$3:$E$998,"稚鱼",数据!$F$3:$F$998,A600,数据!$G$3:$G$998,B600)</f>
        <v>0</v>
      </c>
    </row>
    <row r="601" spans="1:21" ht="19.9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45" t="str">
        <f t="shared" si="18"/>
        <v/>
      </c>
      <c r="M601" s="45" t="str">
        <f t="shared" si="19"/>
        <v/>
      </c>
      <c r="N601" s="39" t="str">
        <f>IF(AND(A601="",B601=""),"",COUNTIFS(数据!$E$3:$E$998,"&lt;&gt;前期仔鱼",数据!$E$3:$E$998,"&lt;&gt;仔鱼",数据!$E$3:$E$998,"&lt;&gt;稚鱼",数据!$F$3:$F$998,A601,数据!$G$3:$G$998,B601))</f>
        <v/>
      </c>
      <c r="O601" s="39" t="str">
        <f>IF(AND(A601="",B601=""),"",COUNTIFS(数据!$E$3:$E$998,"&lt;&gt;鱼卵",数据!$E$3:$E$998,"&lt;&gt;死卵",数据!$F$3:$F$998,A601,数据!$G$3:$G$998,B601))</f>
        <v/>
      </c>
      <c r="P601" s="31"/>
      <c r="Q601">
        <f>SUMIFS(数据!$D$3:$D$998,数据!$E$3:$E$998,"鱼卵",数据!$F$3:$F$998,A601,数据!$G$3:$G$998,B601)</f>
        <v>0</v>
      </c>
      <c r="R601">
        <f>SUMIFS(数据!$D$3:$D$998,数据!$E$3:$E$998,"死卵",数据!$F$3:$F$998,A601,数据!$G$3:$G$998,B601)</f>
        <v>0</v>
      </c>
      <c r="S601">
        <f>SUMIFS(数据!$D$3:$D$998,数据!$E$3:$E$998,"前期仔鱼",数据!$F$3:$F$998,A601,数据!$G$3:$G$998,B601)</f>
        <v>0</v>
      </c>
      <c r="T601">
        <f>SUMIFS(数据!$D$3:$D$998,数据!$E$3:$E$998,"仔鱼",数据!$F$3:$F$998,A601,数据!$G$3:$G$998,B601)</f>
        <v>0</v>
      </c>
      <c r="U601">
        <f>SUMIFS(数据!$D$3:$D$998,数据!$E$3:$E$998,"稚鱼",数据!$F$3:$F$998,A601,数据!$G$3:$G$998,B601)</f>
        <v>0</v>
      </c>
    </row>
    <row r="602" spans="1:21" ht="19.9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45" t="str">
        <f t="shared" si="18"/>
        <v/>
      </c>
      <c r="M602" s="45" t="str">
        <f t="shared" si="19"/>
        <v/>
      </c>
      <c r="N602" s="39" t="str">
        <f>IF(AND(A602="",B602=""),"",COUNTIFS(数据!$E$3:$E$998,"&lt;&gt;前期仔鱼",数据!$E$3:$E$998,"&lt;&gt;仔鱼",数据!$E$3:$E$998,"&lt;&gt;稚鱼",数据!$F$3:$F$998,A602,数据!$G$3:$G$998,B602))</f>
        <v/>
      </c>
      <c r="O602" s="39" t="str">
        <f>IF(AND(A602="",B602=""),"",COUNTIFS(数据!$E$3:$E$998,"&lt;&gt;鱼卵",数据!$E$3:$E$998,"&lt;&gt;死卵",数据!$F$3:$F$998,A602,数据!$G$3:$G$998,B602))</f>
        <v/>
      </c>
      <c r="P602" s="31"/>
      <c r="Q602">
        <f>SUMIFS(数据!$D$3:$D$998,数据!$E$3:$E$998,"鱼卵",数据!$F$3:$F$998,A602,数据!$G$3:$G$998,B602)</f>
        <v>0</v>
      </c>
      <c r="R602">
        <f>SUMIFS(数据!$D$3:$D$998,数据!$E$3:$E$998,"死卵",数据!$F$3:$F$998,A602,数据!$G$3:$G$998,B602)</f>
        <v>0</v>
      </c>
      <c r="S602">
        <f>SUMIFS(数据!$D$3:$D$998,数据!$E$3:$E$998,"前期仔鱼",数据!$F$3:$F$998,A602,数据!$G$3:$G$998,B602)</f>
        <v>0</v>
      </c>
      <c r="T602">
        <f>SUMIFS(数据!$D$3:$D$998,数据!$E$3:$E$998,"仔鱼",数据!$F$3:$F$998,A602,数据!$G$3:$G$998,B602)</f>
        <v>0</v>
      </c>
      <c r="U602">
        <f>SUMIFS(数据!$D$3:$D$998,数据!$E$3:$E$998,"稚鱼",数据!$F$3:$F$998,A602,数据!$G$3:$G$998,B602)</f>
        <v>0</v>
      </c>
    </row>
    <row r="603" spans="1:21" ht="19.9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45" t="str">
        <f t="shared" si="18"/>
        <v/>
      </c>
      <c r="M603" s="45" t="str">
        <f t="shared" si="19"/>
        <v/>
      </c>
      <c r="N603" s="39" t="str">
        <f>IF(AND(A603="",B603=""),"",COUNTIFS(数据!$E$3:$E$998,"&lt;&gt;前期仔鱼",数据!$E$3:$E$998,"&lt;&gt;仔鱼",数据!$E$3:$E$998,"&lt;&gt;稚鱼",数据!$F$3:$F$998,A603,数据!$G$3:$G$998,B603))</f>
        <v/>
      </c>
      <c r="O603" s="39" t="str">
        <f>IF(AND(A603="",B603=""),"",COUNTIFS(数据!$E$3:$E$998,"&lt;&gt;鱼卵",数据!$E$3:$E$998,"&lt;&gt;死卵",数据!$F$3:$F$998,A603,数据!$G$3:$G$998,B603))</f>
        <v/>
      </c>
      <c r="P603" s="31"/>
      <c r="Q603">
        <f>SUMIFS(数据!$D$3:$D$998,数据!$E$3:$E$998,"鱼卵",数据!$F$3:$F$998,A603,数据!$G$3:$G$998,B603)</f>
        <v>0</v>
      </c>
      <c r="R603">
        <f>SUMIFS(数据!$D$3:$D$998,数据!$E$3:$E$998,"死卵",数据!$F$3:$F$998,A603,数据!$G$3:$G$998,B603)</f>
        <v>0</v>
      </c>
      <c r="S603">
        <f>SUMIFS(数据!$D$3:$D$998,数据!$E$3:$E$998,"前期仔鱼",数据!$F$3:$F$998,A603,数据!$G$3:$G$998,B603)</f>
        <v>0</v>
      </c>
      <c r="T603">
        <f>SUMIFS(数据!$D$3:$D$998,数据!$E$3:$E$998,"仔鱼",数据!$F$3:$F$998,A603,数据!$G$3:$G$998,B603)</f>
        <v>0</v>
      </c>
      <c r="U603">
        <f>SUMIFS(数据!$D$3:$D$998,数据!$E$3:$E$998,"稚鱼",数据!$F$3:$F$998,A603,数据!$G$3:$G$998,B603)</f>
        <v>0</v>
      </c>
    </row>
    <row r="604" spans="1:21" ht="19.9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45" t="str">
        <f t="shared" si="18"/>
        <v/>
      </c>
      <c r="M604" s="45" t="str">
        <f t="shared" si="19"/>
        <v/>
      </c>
      <c r="N604" s="39" t="str">
        <f>IF(AND(A604="",B604=""),"",COUNTIFS(数据!$E$3:$E$998,"&lt;&gt;前期仔鱼",数据!$E$3:$E$998,"&lt;&gt;仔鱼",数据!$E$3:$E$998,"&lt;&gt;稚鱼",数据!$F$3:$F$998,A604,数据!$G$3:$G$998,B604))</f>
        <v/>
      </c>
      <c r="O604" s="39" t="str">
        <f>IF(AND(A604="",B604=""),"",COUNTIFS(数据!$E$3:$E$998,"&lt;&gt;鱼卵",数据!$E$3:$E$998,"&lt;&gt;死卵",数据!$F$3:$F$998,A604,数据!$G$3:$G$998,B604))</f>
        <v/>
      </c>
      <c r="P604" s="31"/>
      <c r="Q604">
        <f>SUMIFS(数据!$D$3:$D$998,数据!$E$3:$E$998,"鱼卵",数据!$F$3:$F$998,A604,数据!$G$3:$G$998,B604)</f>
        <v>0</v>
      </c>
      <c r="R604">
        <f>SUMIFS(数据!$D$3:$D$998,数据!$E$3:$E$998,"死卵",数据!$F$3:$F$998,A604,数据!$G$3:$G$998,B604)</f>
        <v>0</v>
      </c>
      <c r="S604">
        <f>SUMIFS(数据!$D$3:$D$998,数据!$E$3:$E$998,"前期仔鱼",数据!$F$3:$F$998,A604,数据!$G$3:$G$998,B604)</f>
        <v>0</v>
      </c>
      <c r="T604">
        <f>SUMIFS(数据!$D$3:$D$998,数据!$E$3:$E$998,"仔鱼",数据!$F$3:$F$998,A604,数据!$G$3:$G$998,B604)</f>
        <v>0</v>
      </c>
      <c r="U604">
        <f>SUMIFS(数据!$D$3:$D$998,数据!$E$3:$E$998,"稚鱼",数据!$F$3:$F$998,A604,数据!$G$3:$G$998,B604)</f>
        <v>0</v>
      </c>
    </row>
    <row r="605" spans="1:21" ht="19.9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45" t="str">
        <f t="shared" si="18"/>
        <v/>
      </c>
      <c r="M605" s="45" t="str">
        <f t="shared" si="19"/>
        <v/>
      </c>
      <c r="N605" s="39" t="str">
        <f>IF(AND(A605="",B605=""),"",COUNTIFS(数据!$E$3:$E$998,"&lt;&gt;前期仔鱼",数据!$E$3:$E$998,"&lt;&gt;仔鱼",数据!$E$3:$E$998,"&lt;&gt;稚鱼",数据!$F$3:$F$998,A605,数据!$G$3:$G$998,B605))</f>
        <v/>
      </c>
      <c r="O605" s="39" t="str">
        <f>IF(AND(A605="",B605=""),"",COUNTIFS(数据!$E$3:$E$998,"&lt;&gt;鱼卵",数据!$E$3:$E$998,"&lt;&gt;死卵",数据!$F$3:$F$998,A605,数据!$G$3:$G$998,B605))</f>
        <v/>
      </c>
      <c r="P605" s="31"/>
      <c r="Q605">
        <f>SUMIFS(数据!$D$3:$D$998,数据!$E$3:$E$998,"鱼卵",数据!$F$3:$F$998,A605,数据!$G$3:$G$998,B605)</f>
        <v>0</v>
      </c>
      <c r="R605">
        <f>SUMIFS(数据!$D$3:$D$998,数据!$E$3:$E$998,"死卵",数据!$F$3:$F$998,A605,数据!$G$3:$G$998,B605)</f>
        <v>0</v>
      </c>
      <c r="S605">
        <f>SUMIFS(数据!$D$3:$D$998,数据!$E$3:$E$998,"前期仔鱼",数据!$F$3:$F$998,A605,数据!$G$3:$G$998,B605)</f>
        <v>0</v>
      </c>
      <c r="T605">
        <f>SUMIFS(数据!$D$3:$D$998,数据!$E$3:$E$998,"仔鱼",数据!$F$3:$F$998,A605,数据!$G$3:$G$998,B605)</f>
        <v>0</v>
      </c>
      <c r="U605">
        <f>SUMIFS(数据!$D$3:$D$998,数据!$E$3:$E$998,"稚鱼",数据!$F$3:$F$998,A605,数据!$G$3:$G$998,B605)</f>
        <v>0</v>
      </c>
    </row>
    <row r="606" spans="1:21" ht="19.9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45" t="str">
        <f t="shared" si="18"/>
        <v/>
      </c>
      <c r="M606" s="45" t="str">
        <f t="shared" si="19"/>
        <v/>
      </c>
      <c r="N606" s="39" t="str">
        <f>IF(AND(A606="",B606=""),"",COUNTIFS(数据!$E$3:$E$998,"&lt;&gt;前期仔鱼",数据!$E$3:$E$998,"&lt;&gt;仔鱼",数据!$E$3:$E$998,"&lt;&gt;稚鱼",数据!$F$3:$F$998,A606,数据!$G$3:$G$998,B606))</f>
        <v/>
      </c>
      <c r="O606" s="39" t="str">
        <f>IF(AND(A606="",B606=""),"",COUNTIFS(数据!$E$3:$E$998,"&lt;&gt;鱼卵",数据!$E$3:$E$998,"&lt;&gt;死卵",数据!$F$3:$F$998,A606,数据!$G$3:$G$998,B606))</f>
        <v/>
      </c>
      <c r="P606" s="31"/>
      <c r="Q606">
        <f>SUMIFS(数据!$D$3:$D$998,数据!$E$3:$E$998,"鱼卵",数据!$F$3:$F$998,A606,数据!$G$3:$G$998,B606)</f>
        <v>0</v>
      </c>
      <c r="R606">
        <f>SUMIFS(数据!$D$3:$D$998,数据!$E$3:$E$998,"死卵",数据!$F$3:$F$998,A606,数据!$G$3:$G$998,B606)</f>
        <v>0</v>
      </c>
      <c r="S606">
        <f>SUMIFS(数据!$D$3:$D$998,数据!$E$3:$E$998,"前期仔鱼",数据!$F$3:$F$998,A606,数据!$G$3:$G$998,B606)</f>
        <v>0</v>
      </c>
      <c r="T606">
        <f>SUMIFS(数据!$D$3:$D$998,数据!$E$3:$E$998,"仔鱼",数据!$F$3:$F$998,A606,数据!$G$3:$G$998,B606)</f>
        <v>0</v>
      </c>
      <c r="U606">
        <f>SUMIFS(数据!$D$3:$D$998,数据!$E$3:$E$998,"稚鱼",数据!$F$3:$F$998,A606,数据!$G$3:$G$998,B606)</f>
        <v>0</v>
      </c>
    </row>
    <row r="607" spans="1:21" ht="19.9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45" t="str">
        <f t="shared" si="18"/>
        <v/>
      </c>
      <c r="M607" s="45" t="str">
        <f t="shared" si="19"/>
        <v/>
      </c>
      <c r="N607" s="39" t="str">
        <f>IF(AND(A607="",B607=""),"",COUNTIFS(数据!$E$3:$E$998,"&lt;&gt;前期仔鱼",数据!$E$3:$E$998,"&lt;&gt;仔鱼",数据!$E$3:$E$998,"&lt;&gt;稚鱼",数据!$F$3:$F$998,A607,数据!$G$3:$G$998,B607))</f>
        <v/>
      </c>
      <c r="O607" s="39" t="str">
        <f>IF(AND(A607="",B607=""),"",COUNTIFS(数据!$E$3:$E$998,"&lt;&gt;鱼卵",数据!$E$3:$E$998,"&lt;&gt;死卵",数据!$F$3:$F$998,A607,数据!$G$3:$G$998,B607))</f>
        <v/>
      </c>
      <c r="P607" s="31"/>
      <c r="Q607">
        <f>SUMIFS(数据!$D$3:$D$998,数据!$E$3:$E$998,"鱼卵",数据!$F$3:$F$998,A607,数据!$G$3:$G$998,B607)</f>
        <v>0</v>
      </c>
      <c r="R607">
        <f>SUMIFS(数据!$D$3:$D$998,数据!$E$3:$E$998,"死卵",数据!$F$3:$F$998,A607,数据!$G$3:$G$998,B607)</f>
        <v>0</v>
      </c>
      <c r="S607">
        <f>SUMIFS(数据!$D$3:$D$998,数据!$E$3:$E$998,"前期仔鱼",数据!$F$3:$F$998,A607,数据!$G$3:$G$998,B607)</f>
        <v>0</v>
      </c>
      <c r="T607">
        <f>SUMIFS(数据!$D$3:$D$998,数据!$E$3:$E$998,"仔鱼",数据!$F$3:$F$998,A607,数据!$G$3:$G$998,B607)</f>
        <v>0</v>
      </c>
      <c r="U607">
        <f>SUMIFS(数据!$D$3:$D$998,数据!$E$3:$E$998,"稚鱼",数据!$F$3:$F$998,A607,数据!$G$3:$G$998,B607)</f>
        <v>0</v>
      </c>
    </row>
    <row r="608" spans="1:21" ht="19.9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45" t="str">
        <f t="shared" si="18"/>
        <v/>
      </c>
      <c r="M608" s="45" t="str">
        <f t="shared" si="19"/>
        <v/>
      </c>
      <c r="N608" s="39" t="str">
        <f>IF(AND(A608="",B608=""),"",COUNTIFS(数据!$E$3:$E$998,"&lt;&gt;前期仔鱼",数据!$E$3:$E$998,"&lt;&gt;仔鱼",数据!$E$3:$E$998,"&lt;&gt;稚鱼",数据!$F$3:$F$998,A608,数据!$G$3:$G$998,B608))</f>
        <v/>
      </c>
      <c r="O608" s="39" t="str">
        <f>IF(AND(A608="",B608=""),"",COUNTIFS(数据!$E$3:$E$998,"&lt;&gt;鱼卵",数据!$E$3:$E$998,"&lt;&gt;死卵",数据!$F$3:$F$998,A608,数据!$G$3:$G$998,B608))</f>
        <v/>
      </c>
      <c r="P608" s="31"/>
      <c r="Q608">
        <f>SUMIFS(数据!$D$3:$D$998,数据!$E$3:$E$998,"鱼卵",数据!$F$3:$F$998,A608,数据!$G$3:$G$998,B608)</f>
        <v>0</v>
      </c>
      <c r="R608">
        <f>SUMIFS(数据!$D$3:$D$998,数据!$E$3:$E$998,"死卵",数据!$F$3:$F$998,A608,数据!$G$3:$G$998,B608)</f>
        <v>0</v>
      </c>
      <c r="S608">
        <f>SUMIFS(数据!$D$3:$D$998,数据!$E$3:$E$998,"前期仔鱼",数据!$F$3:$F$998,A608,数据!$G$3:$G$998,B608)</f>
        <v>0</v>
      </c>
      <c r="T608">
        <f>SUMIFS(数据!$D$3:$D$998,数据!$E$3:$E$998,"仔鱼",数据!$F$3:$F$998,A608,数据!$G$3:$G$998,B608)</f>
        <v>0</v>
      </c>
      <c r="U608">
        <f>SUMIFS(数据!$D$3:$D$998,数据!$E$3:$E$998,"稚鱼",数据!$F$3:$F$998,A608,数据!$G$3:$G$998,B608)</f>
        <v>0</v>
      </c>
    </row>
    <row r="609" spans="1:21" ht="19.9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45" t="str">
        <f t="shared" si="18"/>
        <v/>
      </c>
      <c r="M609" s="45" t="str">
        <f t="shared" si="19"/>
        <v/>
      </c>
      <c r="N609" s="39" t="str">
        <f>IF(AND(A609="",B609=""),"",COUNTIFS(数据!$E$3:$E$998,"&lt;&gt;前期仔鱼",数据!$E$3:$E$998,"&lt;&gt;仔鱼",数据!$E$3:$E$998,"&lt;&gt;稚鱼",数据!$F$3:$F$998,A609,数据!$G$3:$G$998,B609))</f>
        <v/>
      </c>
      <c r="O609" s="39" t="str">
        <f>IF(AND(A609="",B609=""),"",COUNTIFS(数据!$E$3:$E$998,"&lt;&gt;鱼卵",数据!$E$3:$E$998,"&lt;&gt;死卵",数据!$F$3:$F$998,A609,数据!$G$3:$G$998,B609))</f>
        <v/>
      </c>
      <c r="P609" s="31"/>
      <c r="Q609">
        <f>SUMIFS(数据!$D$3:$D$998,数据!$E$3:$E$998,"鱼卵",数据!$F$3:$F$998,A609,数据!$G$3:$G$998,B609)</f>
        <v>0</v>
      </c>
      <c r="R609">
        <f>SUMIFS(数据!$D$3:$D$998,数据!$E$3:$E$998,"死卵",数据!$F$3:$F$998,A609,数据!$G$3:$G$998,B609)</f>
        <v>0</v>
      </c>
      <c r="S609">
        <f>SUMIFS(数据!$D$3:$D$998,数据!$E$3:$E$998,"前期仔鱼",数据!$F$3:$F$998,A609,数据!$G$3:$G$998,B609)</f>
        <v>0</v>
      </c>
      <c r="T609">
        <f>SUMIFS(数据!$D$3:$D$998,数据!$E$3:$E$998,"仔鱼",数据!$F$3:$F$998,A609,数据!$G$3:$G$998,B609)</f>
        <v>0</v>
      </c>
      <c r="U609">
        <f>SUMIFS(数据!$D$3:$D$998,数据!$E$3:$E$998,"稚鱼",数据!$F$3:$F$998,A609,数据!$G$3:$G$998,B609)</f>
        <v>0</v>
      </c>
    </row>
    <row r="610" spans="1:21" ht="19.9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45" t="str">
        <f t="shared" si="18"/>
        <v/>
      </c>
      <c r="M610" s="45" t="str">
        <f t="shared" si="19"/>
        <v/>
      </c>
      <c r="N610" s="39" t="str">
        <f>IF(AND(A610="",B610=""),"",COUNTIFS(数据!$E$3:$E$998,"&lt;&gt;前期仔鱼",数据!$E$3:$E$998,"&lt;&gt;仔鱼",数据!$E$3:$E$998,"&lt;&gt;稚鱼",数据!$F$3:$F$998,A610,数据!$G$3:$G$998,B610))</f>
        <v/>
      </c>
      <c r="O610" s="39" t="str">
        <f>IF(AND(A610="",B610=""),"",COUNTIFS(数据!$E$3:$E$998,"&lt;&gt;鱼卵",数据!$E$3:$E$998,"&lt;&gt;死卵",数据!$F$3:$F$998,A610,数据!$G$3:$G$998,B610))</f>
        <v/>
      </c>
      <c r="P610" s="31"/>
      <c r="Q610">
        <f>SUMIFS(数据!$D$3:$D$998,数据!$E$3:$E$998,"鱼卵",数据!$F$3:$F$998,A610,数据!$G$3:$G$998,B610)</f>
        <v>0</v>
      </c>
      <c r="R610">
        <f>SUMIFS(数据!$D$3:$D$998,数据!$E$3:$E$998,"死卵",数据!$F$3:$F$998,A610,数据!$G$3:$G$998,B610)</f>
        <v>0</v>
      </c>
      <c r="S610">
        <f>SUMIFS(数据!$D$3:$D$998,数据!$E$3:$E$998,"前期仔鱼",数据!$F$3:$F$998,A610,数据!$G$3:$G$998,B610)</f>
        <v>0</v>
      </c>
      <c r="T610">
        <f>SUMIFS(数据!$D$3:$D$998,数据!$E$3:$E$998,"仔鱼",数据!$F$3:$F$998,A610,数据!$G$3:$G$998,B610)</f>
        <v>0</v>
      </c>
      <c r="U610">
        <f>SUMIFS(数据!$D$3:$D$998,数据!$E$3:$E$998,"稚鱼",数据!$F$3:$F$998,A610,数据!$G$3:$G$998,B610)</f>
        <v>0</v>
      </c>
    </row>
    <row r="611" spans="1:21" ht="19.9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45" t="str">
        <f t="shared" si="18"/>
        <v/>
      </c>
      <c r="M611" s="45" t="str">
        <f t="shared" si="19"/>
        <v/>
      </c>
      <c r="N611" s="39" t="str">
        <f>IF(AND(A611="",B611=""),"",COUNTIFS(数据!$E$3:$E$998,"&lt;&gt;前期仔鱼",数据!$E$3:$E$998,"&lt;&gt;仔鱼",数据!$E$3:$E$998,"&lt;&gt;稚鱼",数据!$F$3:$F$998,A611,数据!$G$3:$G$998,B611))</f>
        <v/>
      </c>
      <c r="O611" s="39" t="str">
        <f>IF(AND(A611="",B611=""),"",COUNTIFS(数据!$E$3:$E$998,"&lt;&gt;鱼卵",数据!$E$3:$E$998,"&lt;&gt;死卵",数据!$F$3:$F$998,A611,数据!$G$3:$G$998,B611))</f>
        <v/>
      </c>
      <c r="P611" s="31"/>
      <c r="Q611">
        <f>SUMIFS(数据!$D$3:$D$998,数据!$E$3:$E$998,"鱼卵",数据!$F$3:$F$998,A611,数据!$G$3:$G$998,B611)</f>
        <v>0</v>
      </c>
      <c r="R611">
        <f>SUMIFS(数据!$D$3:$D$998,数据!$E$3:$E$998,"死卵",数据!$F$3:$F$998,A611,数据!$G$3:$G$998,B611)</f>
        <v>0</v>
      </c>
      <c r="S611">
        <f>SUMIFS(数据!$D$3:$D$998,数据!$E$3:$E$998,"前期仔鱼",数据!$F$3:$F$998,A611,数据!$G$3:$G$998,B611)</f>
        <v>0</v>
      </c>
      <c r="T611">
        <f>SUMIFS(数据!$D$3:$D$998,数据!$E$3:$E$998,"仔鱼",数据!$F$3:$F$998,A611,数据!$G$3:$G$998,B611)</f>
        <v>0</v>
      </c>
      <c r="U611">
        <f>SUMIFS(数据!$D$3:$D$998,数据!$E$3:$E$998,"稚鱼",数据!$F$3:$F$998,A611,数据!$G$3:$G$998,B611)</f>
        <v>0</v>
      </c>
    </row>
    <row r="612" spans="1:21" ht="19.9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45" t="str">
        <f t="shared" si="18"/>
        <v/>
      </c>
      <c r="M612" s="45" t="str">
        <f t="shared" si="19"/>
        <v/>
      </c>
      <c r="N612" s="39" t="str">
        <f>IF(AND(A612="",B612=""),"",COUNTIFS(数据!$E$3:$E$998,"&lt;&gt;前期仔鱼",数据!$E$3:$E$998,"&lt;&gt;仔鱼",数据!$E$3:$E$998,"&lt;&gt;稚鱼",数据!$F$3:$F$998,A612,数据!$G$3:$G$998,B612))</f>
        <v/>
      </c>
      <c r="O612" s="39" t="str">
        <f>IF(AND(A612="",B612=""),"",COUNTIFS(数据!$E$3:$E$998,"&lt;&gt;鱼卵",数据!$E$3:$E$998,"&lt;&gt;死卵",数据!$F$3:$F$998,A612,数据!$G$3:$G$998,B612))</f>
        <v/>
      </c>
      <c r="P612" s="31"/>
      <c r="Q612">
        <f>SUMIFS(数据!$D$3:$D$998,数据!$E$3:$E$998,"鱼卵",数据!$F$3:$F$998,A612,数据!$G$3:$G$998,B612)</f>
        <v>0</v>
      </c>
      <c r="R612">
        <f>SUMIFS(数据!$D$3:$D$998,数据!$E$3:$E$998,"死卵",数据!$F$3:$F$998,A612,数据!$G$3:$G$998,B612)</f>
        <v>0</v>
      </c>
      <c r="S612">
        <f>SUMIFS(数据!$D$3:$D$998,数据!$E$3:$E$998,"前期仔鱼",数据!$F$3:$F$998,A612,数据!$G$3:$G$998,B612)</f>
        <v>0</v>
      </c>
      <c r="T612">
        <f>SUMIFS(数据!$D$3:$D$998,数据!$E$3:$E$998,"仔鱼",数据!$F$3:$F$998,A612,数据!$G$3:$G$998,B612)</f>
        <v>0</v>
      </c>
      <c r="U612">
        <f>SUMIFS(数据!$D$3:$D$998,数据!$E$3:$E$998,"稚鱼",数据!$F$3:$F$998,A612,数据!$G$3:$G$998,B612)</f>
        <v>0</v>
      </c>
    </row>
    <row r="613" spans="1:21" ht="19.9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45" t="str">
        <f t="shared" si="18"/>
        <v/>
      </c>
      <c r="M613" s="45" t="str">
        <f t="shared" si="19"/>
        <v/>
      </c>
      <c r="N613" s="39" t="str">
        <f>IF(AND(A613="",B613=""),"",COUNTIFS(数据!$E$3:$E$998,"&lt;&gt;前期仔鱼",数据!$E$3:$E$998,"&lt;&gt;仔鱼",数据!$E$3:$E$998,"&lt;&gt;稚鱼",数据!$F$3:$F$998,A613,数据!$G$3:$G$998,B613))</f>
        <v/>
      </c>
      <c r="O613" s="39" t="str">
        <f>IF(AND(A613="",B613=""),"",COUNTIFS(数据!$E$3:$E$998,"&lt;&gt;鱼卵",数据!$E$3:$E$998,"&lt;&gt;死卵",数据!$F$3:$F$998,A613,数据!$G$3:$G$998,B613))</f>
        <v/>
      </c>
      <c r="P613" s="31"/>
      <c r="Q613">
        <f>SUMIFS(数据!$D$3:$D$998,数据!$E$3:$E$998,"鱼卵",数据!$F$3:$F$998,A613,数据!$G$3:$G$998,B613)</f>
        <v>0</v>
      </c>
      <c r="R613">
        <f>SUMIFS(数据!$D$3:$D$998,数据!$E$3:$E$998,"死卵",数据!$F$3:$F$998,A613,数据!$G$3:$G$998,B613)</f>
        <v>0</v>
      </c>
      <c r="S613">
        <f>SUMIFS(数据!$D$3:$D$998,数据!$E$3:$E$998,"前期仔鱼",数据!$F$3:$F$998,A613,数据!$G$3:$G$998,B613)</f>
        <v>0</v>
      </c>
      <c r="T613">
        <f>SUMIFS(数据!$D$3:$D$998,数据!$E$3:$E$998,"仔鱼",数据!$F$3:$F$998,A613,数据!$G$3:$G$998,B613)</f>
        <v>0</v>
      </c>
      <c r="U613">
        <f>SUMIFS(数据!$D$3:$D$998,数据!$E$3:$E$998,"稚鱼",数据!$F$3:$F$998,A613,数据!$G$3:$G$998,B613)</f>
        <v>0</v>
      </c>
    </row>
    <row r="614" spans="1:21" ht="19.9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45" t="str">
        <f t="shared" si="18"/>
        <v/>
      </c>
      <c r="M614" s="45" t="str">
        <f t="shared" si="19"/>
        <v/>
      </c>
      <c r="N614" s="39" t="str">
        <f>IF(AND(A614="",B614=""),"",COUNTIFS(数据!$E$3:$E$998,"&lt;&gt;前期仔鱼",数据!$E$3:$E$998,"&lt;&gt;仔鱼",数据!$E$3:$E$998,"&lt;&gt;稚鱼",数据!$F$3:$F$998,A614,数据!$G$3:$G$998,B614))</f>
        <v/>
      </c>
      <c r="O614" s="39" t="str">
        <f>IF(AND(A614="",B614=""),"",COUNTIFS(数据!$E$3:$E$998,"&lt;&gt;鱼卵",数据!$E$3:$E$998,"&lt;&gt;死卵",数据!$F$3:$F$998,A614,数据!$G$3:$G$998,B614))</f>
        <v/>
      </c>
      <c r="P614" s="31"/>
      <c r="Q614">
        <f>SUMIFS(数据!$D$3:$D$998,数据!$E$3:$E$998,"鱼卵",数据!$F$3:$F$998,A614,数据!$G$3:$G$998,B614)</f>
        <v>0</v>
      </c>
      <c r="R614">
        <f>SUMIFS(数据!$D$3:$D$998,数据!$E$3:$E$998,"死卵",数据!$F$3:$F$998,A614,数据!$G$3:$G$998,B614)</f>
        <v>0</v>
      </c>
      <c r="S614">
        <f>SUMIFS(数据!$D$3:$D$998,数据!$E$3:$E$998,"前期仔鱼",数据!$F$3:$F$998,A614,数据!$G$3:$G$998,B614)</f>
        <v>0</v>
      </c>
      <c r="T614">
        <f>SUMIFS(数据!$D$3:$D$998,数据!$E$3:$E$998,"仔鱼",数据!$F$3:$F$998,A614,数据!$G$3:$G$998,B614)</f>
        <v>0</v>
      </c>
      <c r="U614">
        <f>SUMIFS(数据!$D$3:$D$998,数据!$E$3:$E$998,"稚鱼",数据!$F$3:$F$998,A614,数据!$G$3:$G$998,B614)</f>
        <v>0</v>
      </c>
    </row>
    <row r="615" spans="1:21" ht="19.9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45" t="str">
        <f t="shared" si="18"/>
        <v/>
      </c>
      <c r="M615" s="45" t="str">
        <f t="shared" si="19"/>
        <v/>
      </c>
      <c r="N615" s="39" t="str">
        <f>IF(AND(A615="",B615=""),"",COUNTIFS(数据!$E$3:$E$998,"&lt;&gt;前期仔鱼",数据!$E$3:$E$998,"&lt;&gt;仔鱼",数据!$E$3:$E$998,"&lt;&gt;稚鱼",数据!$F$3:$F$998,A615,数据!$G$3:$G$998,B615))</f>
        <v/>
      </c>
      <c r="O615" s="39" t="str">
        <f>IF(AND(A615="",B615=""),"",COUNTIFS(数据!$E$3:$E$998,"&lt;&gt;鱼卵",数据!$E$3:$E$998,"&lt;&gt;死卵",数据!$F$3:$F$998,A615,数据!$G$3:$G$998,B615))</f>
        <v/>
      </c>
      <c r="P615" s="31"/>
      <c r="Q615">
        <f>SUMIFS(数据!$D$3:$D$998,数据!$E$3:$E$998,"鱼卵",数据!$F$3:$F$998,A615,数据!$G$3:$G$998,B615)</f>
        <v>0</v>
      </c>
      <c r="R615">
        <f>SUMIFS(数据!$D$3:$D$998,数据!$E$3:$E$998,"死卵",数据!$F$3:$F$998,A615,数据!$G$3:$G$998,B615)</f>
        <v>0</v>
      </c>
      <c r="S615">
        <f>SUMIFS(数据!$D$3:$D$998,数据!$E$3:$E$998,"前期仔鱼",数据!$F$3:$F$998,A615,数据!$G$3:$G$998,B615)</f>
        <v>0</v>
      </c>
      <c r="T615">
        <f>SUMIFS(数据!$D$3:$D$998,数据!$E$3:$E$998,"仔鱼",数据!$F$3:$F$998,A615,数据!$G$3:$G$998,B615)</f>
        <v>0</v>
      </c>
      <c r="U615">
        <f>SUMIFS(数据!$D$3:$D$998,数据!$E$3:$E$998,"稚鱼",数据!$F$3:$F$998,A615,数据!$G$3:$G$998,B615)</f>
        <v>0</v>
      </c>
    </row>
    <row r="616" spans="1:21" ht="19.9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45" t="str">
        <f t="shared" si="18"/>
        <v/>
      </c>
      <c r="M616" s="45" t="str">
        <f t="shared" si="19"/>
        <v/>
      </c>
      <c r="N616" s="39" t="str">
        <f>IF(AND(A616="",B616=""),"",COUNTIFS(数据!$E$3:$E$998,"&lt;&gt;前期仔鱼",数据!$E$3:$E$998,"&lt;&gt;仔鱼",数据!$E$3:$E$998,"&lt;&gt;稚鱼",数据!$F$3:$F$998,A616,数据!$G$3:$G$998,B616))</f>
        <v/>
      </c>
      <c r="O616" s="39" t="str">
        <f>IF(AND(A616="",B616=""),"",COUNTIFS(数据!$E$3:$E$998,"&lt;&gt;鱼卵",数据!$E$3:$E$998,"&lt;&gt;死卵",数据!$F$3:$F$998,A616,数据!$G$3:$G$998,B616))</f>
        <v/>
      </c>
      <c r="P616" s="31"/>
      <c r="Q616">
        <f>SUMIFS(数据!$D$3:$D$998,数据!$E$3:$E$998,"鱼卵",数据!$F$3:$F$998,A616,数据!$G$3:$G$998,B616)</f>
        <v>0</v>
      </c>
      <c r="R616">
        <f>SUMIFS(数据!$D$3:$D$998,数据!$E$3:$E$998,"死卵",数据!$F$3:$F$998,A616,数据!$G$3:$G$998,B616)</f>
        <v>0</v>
      </c>
      <c r="S616">
        <f>SUMIFS(数据!$D$3:$D$998,数据!$E$3:$E$998,"前期仔鱼",数据!$F$3:$F$998,A616,数据!$G$3:$G$998,B616)</f>
        <v>0</v>
      </c>
      <c r="T616">
        <f>SUMIFS(数据!$D$3:$D$998,数据!$E$3:$E$998,"仔鱼",数据!$F$3:$F$998,A616,数据!$G$3:$G$998,B616)</f>
        <v>0</v>
      </c>
      <c r="U616">
        <f>SUMIFS(数据!$D$3:$D$998,数据!$E$3:$E$998,"稚鱼",数据!$F$3:$F$998,A616,数据!$G$3:$G$998,B616)</f>
        <v>0</v>
      </c>
    </row>
    <row r="617" spans="1:21" ht="19.9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45" t="str">
        <f t="shared" si="18"/>
        <v/>
      </c>
      <c r="M617" s="45" t="str">
        <f t="shared" si="19"/>
        <v/>
      </c>
      <c r="N617" s="39" t="str">
        <f>IF(AND(A617="",B617=""),"",COUNTIFS(数据!$E$3:$E$998,"&lt;&gt;前期仔鱼",数据!$E$3:$E$998,"&lt;&gt;仔鱼",数据!$E$3:$E$998,"&lt;&gt;稚鱼",数据!$F$3:$F$998,A617,数据!$G$3:$G$998,B617))</f>
        <v/>
      </c>
      <c r="O617" s="39" t="str">
        <f>IF(AND(A617="",B617=""),"",COUNTIFS(数据!$E$3:$E$998,"&lt;&gt;鱼卵",数据!$E$3:$E$998,"&lt;&gt;死卵",数据!$F$3:$F$998,A617,数据!$G$3:$G$998,B617))</f>
        <v/>
      </c>
      <c r="P617" s="31"/>
      <c r="Q617">
        <f>SUMIFS(数据!$D$3:$D$998,数据!$E$3:$E$998,"鱼卵",数据!$F$3:$F$998,A617,数据!$G$3:$G$998,B617)</f>
        <v>0</v>
      </c>
      <c r="R617">
        <f>SUMIFS(数据!$D$3:$D$998,数据!$E$3:$E$998,"死卵",数据!$F$3:$F$998,A617,数据!$G$3:$G$998,B617)</f>
        <v>0</v>
      </c>
      <c r="S617">
        <f>SUMIFS(数据!$D$3:$D$998,数据!$E$3:$E$998,"前期仔鱼",数据!$F$3:$F$998,A617,数据!$G$3:$G$998,B617)</f>
        <v>0</v>
      </c>
      <c r="T617">
        <f>SUMIFS(数据!$D$3:$D$998,数据!$E$3:$E$998,"仔鱼",数据!$F$3:$F$998,A617,数据!$G$3:$G$998,B617)</f>
        <v>0</v>
      </c>
      <c r="U617">
        <f>SUMIFS(数据!$D$3:$D$998,数据!$E$3:$E$998,"稚鱼",数据!$F$3:$F$998,A617,数据!$G$3:$G$998,B617)</f>
        <v>0</v>
      </c>
    </row>
    <row r="618" spans="1:21" ht="19.9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45" t="str">
        <f t="shared" si="18"/>
        <v/>
      </c>
      <c r="M618" s="45" t="str">
        <f t="shared" si="19"/>
        <v/>
      </c>
      <c r="N618" s="39" t="str">
        <f>IF(AND(A618="",B618=""),"",COUNTIFS(数据!$E$3:$E$998,"&lt;&gt;前期仔鱼",数据!$E$3:$E$998,"&lt;&gt;仔鱼",数据!$E$3:$E$998,"&lt;&gt;稚鱼",数据!$F$3:$F$998,A618,数据!$G$3:$G$998,B618))</f>
        <v/>
      </c>
      <c r="O618" s="39" t="str">
        <f>IF(AND(A618="",B618=""),"",COUNTIFS(数据!$E$3:$E$998,"&lt;&gt;鱼卵",数据!$E$3:$E$998,"&lt;&gt;死卵",数据!$F$3:$F$998,A618,数据!$G$3:$G$998,B618))</f>
        <v/>
      </c>
      <c r="P618" s="31"/>
      <c r="Q618">
        <f>SUMIFS(数据!$D$3:$D$998,数据!$E$3:$E$998,"鱼卵",数据!$F$3:$F$998,A618,数据!$G$3:$G$998,B618)</f>
        <v>0</v>
      </c>
      <c r="R618">
        <f>SUMIFS(数据!$D$3:$D$998,数据!$E$3:$E$998,"死卵",数据!$F$3:$F$998,A618,数据!$G$3:$G$998,B618)</f>
        <v>0</v>
      </c>
      <c r="S618">
        <f>SUMIFS(数据!$D$3:$D$998,数据!$E$3:$E$998,"前期仔鱼",数据!$F$3:$F$998,A618,数据!$G$3:$G$998,B618)</f>
        <v>0</v>
      </c>
      <c r="T618">
        <f>SUMIFS(数据!$D$3:$D$998,数据!$E$3:$E$998,"仔鱼",数据!$F$3:$F$998,A618,数据!$G$3:$G$998,B618)</f>
        <v>0</v>
      </c>
      <c r="U618">
        <f>SUMIFS(数据!$D$3:$D$998,数据!$E$3:$E$998,"稚鱼",数据!$F$3:$F$998,A618,数据!$G$3:$G$998,B618)</f>
        <v>0</v>
      </c>
    </row>
    <row r="619" spans="1:21" ht="19.9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45" t="str">
        <f t="shared" si="18"/>
        <v/>
      </c>
      <c r="M619" s="45" t="str">
        <f t="shared" si="19"/>
        <v/>
      </c>
      <c r="N619" s="39" t="str">
        <f>IF(AND(A619="",B619=""),"",COUNTIFS(数据!$E$3:$E$998,"&lt;&gt;前期仔鱼",数据!$E$3:$E$998,"&lt;&gt;仔鱼",数据!$E$3:$E$998,"&lt;&gt;稚鱼",数据!$F$3:$F$998,A619,数据!$G$3:$G$998,B619))</f>
        <v/>
      </c>
      <c r="O619" s="39" t="str">
        <f>IF(AND(A619="",B619=""),"",COUNTIFS(数据!$E$3:$E$998,"&lt;&gt;鱼卵",数据!$E$3:$E$998,"&lt;&gt;死卵",数据!$F$3:$F$998,A619,数据!$G$3:$G$998,B619))</f>
        <v/>
      </c>
      <c r="P619" s="31"/>
      <c r="Q619">
        <f>SUMIFS(数据!$D$3:$D$998,数据!$E$3:$E$998,"鱼卵",数据!$F$3:$F$998,A619,数据!$G$3:$G$998,B619)</f>
        <v>0</v>
      </c>
      <c r="R619">
        <f>SUMIFS(数据!$D$3:$D$998,数据!$E$3:$E$998,"死卵",数据!$F$3:$F$998,A619,数据!$G$3:$G$998,B619)</f>
        <v>0</v>
      </c>
      <c r="S619">
        <f>SUMIFS(数据!$D$3:$D$998,数据!$E$3:$E$998,"前期仔鱼",数据!$F$3:$F$998,A619,数据!$G$3:$G$998,B619)</f>
        <v>0</v>
      </c>
      <c r="T619">
        <f>SUMIFS(数据!$D$3:$D$998,数据!$E$3:$E$998,"仔鱼",数据!$F$3:$F$998,A619,数据!$G$3:$G$998,B619)</f>
        <v>0</v>
      </c>
      <c r="U619">
        <f>SUMIFS(数据!$D$3:$D$998,数据!$E$3:$E$998,"稚鱼",数据!$F$3:$F$998,A619,数据!$G$3:$G$998,B619)</f>
        <v>0</v>
      </c>
    </row>
    <row r="620" spans="1:21" ht="19.9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45" t="str">
        <f t="shared" si="18"/>
        <v/>
      </c>
      <c r="M620" s="45" t="str">
        <f t="shared" si="19"/>
        <v/>
      </c>
      <c r="N620" s="39" t="str">
        <f>IF(AND(A620="",B620=""),"",COUNTIFS(数据!$E$3:$E$998,"&lt;&gt;前期仔鱼",数据!$E$3:$E$998,"&lt;&gt;仔鱼",数据!$E$3:$E$998,"&lt;&gt;稚鱼",数据!$F$3:$F$998,A620,数据!$G$3:$G$998,B620))</f>
        <v/>
      </c>
      <c r="O620" s="39" t="str">
        <f>IF(AND(A620="",B620=""),"",COUNTIFS(数据!$E$3:$E$998,"&lt;&gt;鱼卵",数据!$E$3:$E$998,"&lt;&gt;死卵",数据!$F$3:$F$998,A620,数据!$G$3:$G$998,B620))</f>
        <v/>
      </c>
      <c r="P620" s="31"/>
      <c r="Q620">
        <f>SUMIFS(数据!$D$3:$D$998,数据!$E$3:$E$998,"鱼卵",数据!$F$3:$F$998,A620,数据!$G$3:$G$998,B620)</f>
        <v>0</v>
      </c>
      <c r="R620">
        <f>SUMIFS(数据!$D$3:$D$998,数据!$E$3:$E$998,"死卵",数据!$F$3:$F$998,A620,数据!$G$3:$G$998,B620)</f>
        <v>0</v>
      </c>
      <c r="S620">
        <f>SUMIFS(数据!$D$3:$D$998,数据!$E$3:$E$998,"前期仔鱼",数据!$F$3:$F$998,A620,数据!$G$3:$G$998,B620)</f>
        <v>0</v>
      </c>
      <c r="T620">
        <f>SUMIFS(数据!$D$3:$D$998,数据!$E$3:$E$998,"仔鱼",数据!$F$3:$F$998,A620,数据!$G$3:$G$998,B620)</f>
        <v>0</v>
      </c>
      <c r="U620">
        <f>SUMIFS(数据!$D$3:$D$998,数据!$E$3:$E$998,"稚鱼",数据!$F$3:$F$998,A620,数据!$G$3:$G$998,B620)</f>
        <v>0</v>
      </c>
    </row>
    <row r="621" spans="1:21" ht="19.9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45" t="str">
        <f t="shared" si="18"/>
        <v/>
      </c>
      <c r="M621" s="45" t="str">
        <f t="shared" si="19"/>
        <v/>
      </c>
      <c r="N621" s="39" t="str">
        <f>IF(AND(A621="",B621=""),"",COUNTIFS(数据!$E$3:$E$998,"&lt;&gt;前期仔鱼",数据!$E$3:$E$998,"&lt;&gt;仔鱼",数据!$E$3:$E$998,"&lt;&gt;稚鱼",数据!$F$3:$F$998,A621,数据!$G$3:$G$998,B621))</f>
        <v/>
      </c>
      <c r="O621" s="39" t="str">
        <f>IF(AND(A621="",B621=""),"",COUNTIFS(数据!$E$3:$E$998,"&lt;&gt;鱼卵",数据!$E$3:$E$998,"&lt;&gt;死卵",数据!$F$3:$F$998,A621,数据!$G$3:$G$998,B621))</f>
        <v/>
      </c>
      <c r="P621" s="31"/>
      <c r="Q621">
        <f>SUMIFS(数据!$D$3:$D$998,数据!$E$3:$E$998,"鱼卵",数据!$F$3:$F$998,A621,数据!$G$3:$G$998,B621)</f>
        <v>0</v>
      </c>
      <c r="R621">
        <f>SUMIFS(数据!$D$3:$D$998,数据!$E$3:$E$998,"死卵",数据!$F$3:$F$998,A621,数据!$G$3:$G$998,B621)</f>
        <v>0</v>
      </c>
      <c r="S621">
        <f>SUMIFS(数据!$D$3:$D$998,数据!$E$3:$E$998,"前期仔鱼",数据!$F$3:$F$998,A621,数据!$G$3:$G$998,B621)</f>
        <v>0</v>
      </c>
      <c r="T621">
        <f>SUMIFS(数据!$D$3:$D$998,数据!$E$3:$E$998,"仔鱼",数据!$F$3:$F$998,A621,数据!$G$3:$G$998,B621)</f>
        <v>0</v>
      </c>
      <c r="U621">
        <f>SUMIFS(数据!$D$3:$D$998,数据!$E$3:$E$998,"稚鱼",数据!$F$3:$F$998,A621,数据!$G$3:$G$998,B621)</f>
        <v>0</v>
      </c>
    </row>
    <row r="622" spans="1:21" ht="19.9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45" t="str">
        <f t="shared" si="18"/>
        <v/>
      </c>
      <c r="M622" s="45" t="str">
        <f t="shared" si="19"/>
        <v/>
      </c>
      <c r="N622" s="39" t="str">
        <f>IF(AND(A622="",B622=""),"",COUNTIFS(数据!$E$3:$E$998,"&lt;&gt;前期仔鱼",数据!$E$3:$E$998,"&lt;&gt;仔鱼",数据!$E$3:$E$998,"&lt;&gt;稚鱼",数据!$F$3:$F$998,A622,数据!$G$3:$G$998,B622))</f>
        <v/>
      </c>
      <c r="O622" s="39" t="str">
        <f>IF(AND(A622="",B622=""),"",COUNTIFS(数据!$E$3:$E$998,"&lt;&gt;鱼卵",数据!$E$3:$E$998,"&lt;&gt;死卵",数据!$F$3:$F$998,A622,数据!$G$3:$G$998,B622))</f>
        <v/>
      </c>
      <c r="P622" s="31"/>
      <c r="Q622">
        <f>SUMIFS(数据!$D$3:$D$998,数据!$E$3:$E$998,"鱼卵",数据!$F$3:$F$998,A622,数据!$G$3:$G$998,B622)</f>
        <v>0</v>
      </c>
      <c r="R622">
        <f>SUMIFS(数据!$D$3:$D$998,数据!$E$3:$E$998,"死卵",数据!$F$3:$F$998,A622,数据!$G$3:$G$998,B622)</f>
        <v>0</v>
      </c>
      <c r="S622">
        <f>SUMIFS(数据!$D$3:$D$998,数据!$E$3:$E$998,"前期仔鱼",数据!$F$3:$F$998,A622,数据!$G$3:$G$998,B622)</f>
        <v>0</v>
      </c>
      <c r="T622">
        <f>SUMIFS(数据!$D$3:$D$998,数据!$E$3:$E$998,"仔鱼",数据!$F$3:$F$998,A622,数据!$G$3:$G$998,B622)</f>
        <v>0</v>
      </c>
      <c r="U622">
        <f>SUMIFS(数据!$D$3:$D$998,数据!$E$3:$E$998,"稚鱼",数据!$F$3:$F$998,A622,数据!$G$3:$G$998,B622)</f>
        <v>0</v>
      </c>
    </row>
    <row r="623" spans="1:21" ht="19.9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45" t="str">
        <f t="shared" si="18"/>
        <v/>
      </c>
      <c r="M623" s="45" t="str">
        <f t="shared" si="19"/>
        <v/>
      </c>
      <c r="N623" s="39" t="str">
        <f>IF(AND(A623="",B623=""),"",COUNTIFS(数据!$E$3:$E$998,"&lt;&gt;前期仔鱼",数据!$E$3:$E$998,"&lt;&gt;仔鱼",数据!$E$3:$E$998,"&lt;&gt;稚鱼",数据!$F$3:$F$998,A623,数据!$G$3:$G$998,B623))</f>
        <v/>
      </c>
      <c r="O623" s="39" t="str">
        <f>IF(AND(A623="",B623=""),"",COUNTIFS(数据!$E$3:$E$998,"&lt;&gt;鱼卵",数据!$E$3:$E$998,"&lt;&gt;死卵",数据!$F$3:$F$998,A623,数据!$G$3:$G$998,B623))</f>
        <v/>
      </c>
      <c r="P623" s="31"/>
      <c r="Q623">
        <f>SUMIFS(数据!$D$3:$D$998,数据!$E$3:$E$998,"鱼卵",数据!$F$3:$F$998,A623,数据!$G$3:$G$998,B623)</f>
        <v>0</v>
      </c>
      <c r="R623">
        <f>SUMIFS(数据!$D$3:$D$998,数据!$E$3:$E$998,"死卵",数据!$F$3:$F$998,A623,数据!$G$3:$G$998,B623)</f>
        <v>0</v>
      </c>
      <c r="S623">
        <f>SUMIFS(数据!$D$3:$D$998,数据!$E$3:$E$998,"前期仔鱼",数据!$F$3:$F$998,A623,数据!$G$3:$G$998,B623)</f>
        <v>0</v>
      </c>
      <c r="T623">
        <f>SUMIFS(数据!$D$3:$D$998,数据!$E$3:$E$998,"仔鱼",数据!$F$3:$F$998,A623,数据!$G$3:$G$998,B623)</f>
        <v>0</v>
      </c>
      <c r="U623">
        <f>SUMIFS(数据!$D$3:$D$998,数据!$E$3:$E$998,"稚鱼",数据!$F$3:$F$998,A623,数据!$G$3:$G$998,B623)</f>
        <v>0</v>
      </c>
    </row>
    <row r="624" spans="1:21" ht="19.9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45" t="str">
        <f t="shared" si="18"/>
        <v/>
      </c>
      <c r="M624" s="45" t="str">
        <f t="shared" si="19"/>
        <v/>
      </c>
      <c r="N624" s="39" t="str">
        <f>IF(AND(A624="",B624=""),"",COUNTIFS(数据!$E$3:$E$998,"&lt;&gt;前期仔鱼",数据!$E$3:$E$998,"&lt;&gt;仔鱼",数据!$E$3:$E$998,"&lt;&gt;稚鱼",数据!$F$3:$F$998,A624,数据!$G$3:$G$998,B624))</f>
        <v/>
      </c>
      <c r="O624" s="39" t="str">
        <f>IF(AND(A624="",B624=""),"",COUNTIFS(数据!$E$3:$E$998,"&lt;&gt;鱼卵",数据!$E$3:$E$998,"&lt;&gt;死卵",数据!$F$3:$F$998,A624,数据!$G$3:$G$998,B624))</f>
        <v/>
      </c>
      <c r="P624" s="31"/>
      <c r="Q624">
        <f>SUMIFS(数据!$D$3:$D$998,数据!$E$3:$E$998,"鱼卵",数据!$F$3:$F$998,A624,数据!$G$3:$G$998,B624)</f>
        <v>0</v>
      </c>
      <c r="R624">
        <f>SUMIFS(数据!$D$3:$D$998,数据!$E$3:$E$998,"死卵",数据!$F$3:$F$998,A624,数据!$G$3:$G$998,B624)</f>
        <v>0</v>
      </c>
      <c r="S624">
        <f>SUMIFS(数据!$D$3:$D$998,数据!$E$3:$E$998,"前期仔鱼",数据!$F$3:$F$998,A624,数据!$G$3:$G$998,B624)</f>
        <v>0</v>
      </c>
      <c r="T624">
        <f>SUMIFS(数据!$D$3:$D$998,数据!$E$3:$E$998,"仔鱼",数据!$F$3:$F$998,A624,数据!$G$3:$G$998,B624)</f>
        <v>0</v>
      </c>
      <c r="U624">
        <f>SUMIFS(数据!$D$3:$D$998,数据!$E$3:$E$998,"稚鱼",数据!$F$3:$F$998,A624,数据!$G$3:$G$998,B624)</f>
        <v>0</v>
      </c>
    </row>
    <row r="625" spans="1:21" ht="19.9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45" t="str">
        <f t="shared" si="18"/>
        <v/>
      </c>
      <c r="M625" s="45" t="str">
        <f t="shared" si="19"/>
        <v/>
      </c>
      <c r="N625" s="39" t="str">
        <f>IF(AND(A625="",B625=""),"",COUNTIFS(数据!$E$3:$E$998,"&lt;&gt;前期仔鱼",数据!$E$3:$E$998,"&lt;&gt;仔鱼",数据!$E$3:$E$998,"&lt;&gt;稚鱼",数据!$F$3:$F$998,A625,数据!$G$3:$G$998,B625))</f>
        <v/>
      </c>
      <c r="O625" s="39" t="str">
        <f>IF(AND(A625="",B625=""),"",COUNTIFS(数据!$E$3:$E$998,"&lt;&gt;鱼卵",数据!$E$3:$E$998,"&lt;&gt;死卵",数据!$F$3:$F$998,A625,数据!$G$3:$G$998,B625))</f>
        <v/>
      </c>
      <c r="P625" s="31"/>
      <c r="Q625">
        <f>SUMIFS(数据!$D$3:$D$998,数据!$E$3:$E$998,"鱼卵",数据!$F$3:$F$998,A625,数据!$G$3:$G$998,B625)</f>
        <v>0</v>
      </c>
      <c r="R625">
        <f>SUMIFS(数据!$D$3:$D$998,数据!$E$3:$E$998,"死卵",数据!$F$3:$F$998,A625,数据!$G$3:$G$998,B625)</f>
        <v>0</v>
      </c>
      <c r="S625">
        <f>SUMIFS(数据!$D$3:$D$998,数据!$E$3:$E$998,"前期仔鱼",数据!$F$3:$F$998,A625,数据!$G$3:$G$998,B625)</f>
        <v>0</v>
      </c>
      <c r="T625">
        <f>SUMIFS(数据!$D$3:$D$998,数据!$E$3:$E$998,"仔鱼",数据!$F$3:$F$998,A625,数据!$G$3:$G$998,B625)</f>
        <v>0</v>
      </c>
      <c r="U625">
        <f>SUMIFS(数据!$D$3:$D$998,数据!$E$3:$E$998,"稚鱼",数据!$F$3:$F$998,A625,数据!$G$3:$G$998,B625)</f>
        <v>0</v>
      </c>
    </row>
    <row r="626" spans="1:21" ht="19.9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45" t="str">
        <f t="shared" si="18"/>
        <v/>
      </c>
      <c r="M626" s="45" t="str">
        <f t="shared" si="19"/>
        <v/>
      </c>
      <c r="N626" s="39" t="str">
        <f>IF(AND(A626="",B626=""),"",COUNTIFS(数据!$E$3:$E$998,"&lt;&gt;前期仔鱼",数据!$E$3:$E$998,"&lt;&gt;仔鱼",数据!$E$3:$E$998,"&lt;&gt;稚鱼",数据!$F$3:$F$998,A626,数据!$G$3:$G$998,B626))</f>
        <v/>
      </c>
      <c r="O626" s="39" t="str">
        <f>IF(AND(A626="",B626=""),"",COUNTIFS(数据!$E$3:$E$998,"&lt;&gt;鱼卵",数据!$E$3:$E$998,"&lt;&gt;死卵",数据!$F$3:$F$998,A626,数据!$G$3:$G$998,B626))</f>
        <v/>
      </c>
      <c r="P626" s="31"/>
      <c r="Q626">
        <f>SUMIFS(数据!$D$3:$D$998,数据!$E$3:$E$998,"鱼卵",数据!$F$3:$F$998,A626,数据!$G$3:$G$998,B626)</f>
        <v>0</v>
      </c>
      <c r="R626">
        <f>SUMIFS(数据!$D$3:$D$998,数据!$E$3:$E$998,"死卵",数据!$F$3:$F$998,A626,数据!$G$3:$G$998,B626)</f>
        <v>0</v>
      </c>
      <c r="S626">
        <f>SUMIFS(数据!$D$3:$D$998,数据!$E$3:$E$998,"前期仔鱼",数据!$F$3:$F$998,A626,数据!$G$3:$G$998,B626)</f>
        <v>0</v>
      </c>
      <c r="T626">
        <f>SUMIFS(数据!$D$3:$D$998,数据!$E$3:$E$998,"仔鱼",数据!$F$3:$F$998,A626,数据!$G$3:$G$998,B626)</f>
        <v>0</v>
      </c>
      <c r="U626">
        <f>SUMIFS(数据!$D$3:$D$998,数据!$E$3:$E$998,"稚鱼",数据!$F$3:$F$998,A626,数据!$G$3:$G$998,B626)</f>
        <v>0</v>
      </c>
    </row>
    <row r="627" spans="1:21" ht="19.9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45" t="str">
        <f t="shared" si="18"/>
        <v/>
      </c>
      <c r="M627" s="45" t="str">
        <f t="shared" si="19"/>
        <v/>
      </c>
      <c r="N627" s="39" t="str">
        <f>IF(AND(A627="",B627=""),"",COUNTIFS(数据!$E$3:$E$998,"&lt;&gt;前期仔鱼",数据!$E$3:$E$998,"&lt;&gt;仔鱼",数据!$E$3:$E$998,"&lt;&gt;稚鱼",数据!$F$3:$F$998,A627,数据!$G$3:$G$998,B627))</f>
        <v/>
      </c>
      <c r="O627" s="39" t="str">
        <f>IF(AND(A627="",B627=""),"",COUNTIFS(数据!$E$3:$E$998,"&lt;&gt;鱼卵",数据!$E$3:$E$998,"&lt;&gt;死卵",数据!$F$3:$F$998,A627,数据!$G$3:$G$998,B627))</f>
        <v/>
      </c>
      <c r="P627" s="31"/>
      <c r="Q627">
        <f>SUMIFS(数据!$D$3:$D$998,数据!$E$3:$E$998,"鱼卵",数据!$F$3:$F$998,A627,数据!$G$3:$G$998,B627)</f>
        <v>0</v>
      </c>
      <c r="R627">
        <f>SUMIFS(数据!$D$3:$D$998,数据!$E$3:$E$998,"死卵",数据!$F$3:$F$998,A627,数据!$G$3:$G$998,B627)</f>
        <v>0</v>
      </c>
      <c r="S627">
        <f>SUMIFS(数据!$D$3:$D$998,数据!$E$3:$E$998,"前期仔鱼",数据!$F$3:$F$998,A627,数据!$G$3:$G$998,B627)</f>
        <v>0</v>
      </c>
      <c r="T627">
        <f>SUMIFS(数据!$D$3:$D$998,数据!$E$3:$E$998,"仔鱼",数据!$F$3:$F$998,A627,数据!$G$3:$G$998,B627)</f>
        <v>0</v>
      </c>
      <c r="U627">
        <f>SUMIFS(数据!$D$3:$D$998,数据!$E$3:$E$998,"稚鱼",数据!$F$3:$F$998,A627,数据!$G$3:$G$998,B627)</f>
        <v>0</v>
      </c>
    </row>
    <row r="628" spans="1:21" ht="19.9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45" t="str">
        <f t="shared" si="18"/>
        <v/>
      </c>
      <c r="M628" s="45" t="str">
        <f t="shared" si="19"/>
        <v/>
      </c>
      <c r="N628" s="39" t="str">
        <f>IF(AND(A628="",B628=""),"",COUNTIFS(数据!$E$3:$E$998,"&lt;&gt;前期仔鱼",数据!$E$3:$E$998,"&lt;&gt;仔鱼",数据!$E$3:$E$998,"&lt;&gt;稚鱼",数据!$F$3:$F$998,A628,数据!$G$3:$G$998,B628))</f>
        <v/>
      </c>
      <c r="O628" s="39" t="str">
        <f>IF(AND(A628="",B628=""),"",COUNTIFS(数据!$E$3:$E$998,"&lt;&gt;鱼卵",数据!$E$3:$E$998,"&lt;&gt;死卵",数据!$F$3:$F$998,A628,数据!$G$3:$G$998,B628))</f>
        <v/>
      </c>
      <c r="P628" s="31"/>
      <c r="Q628">
        <f>SUMIFS(数据!$D$3:$D$998,数据!$E$3:$E$998,"鱼卵",数据!$F$3:$F$998,A628,数据!$G$3:$G$998,B628)</f>
        <v>0</v>
      </c>
      <c r="R628">
        <f>SUMIFS(数据!$D$3:$D$998,数据!$E$3:$E$998,"死卵",数据!$F$3:$F$998,A628,数据!$G$3:$G$998,B628)</f>
        <v>0</v>
      </c>
      <c r="S628">
        <f>SUMIFS(数据!$D$3:$D$998,数据!$E$3:$E$998,"前期仔鱼",数据!$F$3:$F$998,A628,数据!$G$3:$G$998,B628)</f>
        <v>0</v>
      </c>
      <c r="T628">
        <f>SUMIFS(数据!$D$3:$D$998,数据!$E$3:$E$998,"仔鱼",数据!$F$3:$F$998,A628,数据!$G$3:$G$998,B628)</f>
        <v>0</v>
      </c>
      <c r="U628">
        <f>SUMIFS(数据!$D$3:$D$998,数据!$E$3:$E$998,"稚鱼",数据!$F$3:$F$998,A628,数据!$G$3:$G$998,B628)</f>
        <v>0</v>
      </c>
    </row>
    <row r="629" spans="1:21" ht="19.9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45" t="str">
        <f t="shared" si="18"/>
        <v/>
      </c>
      <c r="M629" s="45" t="str">
        <f t="shared" si="19"/>
        <v/>
      </c>
      <c r="N629" s="39" t="str">
        <f>IF(AND(A629="",B629=""),"",COUNTIFS(数据!$E$3:$E$998,"&lt;&gt;前期仔鱼",数据!$E$3:$E$998,"&lt;&gt;仔鱼",数据!$E$3:$E$998,"&lt;&gt;稚鱼",数据!$F$3:$F$998,A629,数据!$G$3:$G$998,B629))</f>
        <v/>
      </c>
      <c r="O629" s="39" t="str">
        <f>IF(AND(A629="",B629=""),"",COUNTIFS(数据!$E$3:$E$998,"&lt;&gt;鱼卵",数据!$E$3:$E$998,"&lt;&gt;死卵",数据!$F$3:$F$998,A629,数据!$G$3:$G$998,B629))</f>
        <v/>
      </c>
      <c r="P629" s="31"/>
      <c r="Q629">
        <f>SUMIFS(数据!$D$3:$D$998,数据!$E$3:$E$998,"鱼卵",数据!$F$3:$F$998,A629,数据!$G$3:$G$998,B629)</f>
        <v>0</v>
      </c>
      <c r="R629">
        <f>SUMIFS(数据!$D$3:$D$998,数据!$E$3:$E$998,"死卵",数据!$F$3:$F$998,A629,数据!$G$3:$G$998,B629)</f>
        <v>0</v>
      </c>
      <c r="S629">
        <f>SUMIFS(数据!$D$3:$D$998,数据!$E$3:$E$998,"前期仔鱼",数据!$F$3:$F$998,A629,数据!$G$3:$G$998,B629)</f>
        <v>0</v>
      </c>
      <c r="T629">
        <f>SUMIFS(数据!$D$3:$D$998,数据!$E$3:$E$998,"仔鱼",数据!$F$3:$F$998,A629,数据!$G$3:$G$998,B629)</f>
        <v>0</v>
      </c>
      <c r="U629">
        <f>SUMIFS(数据!$D$3:$D$998,数据!$E$3:$E$998,"稚鱼",数据!$F$3:$F$998,A629,数据!$G$3:$G$998,B629)</f>
        <v>0</v>
      </c>
    </row>
    <row r="630" spans="1:21" ht="19.9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45" t="str">
        <f t="shared" si="18"/>
        <v/>
      </c>
      <c r="M630" s="45" t="str">
        <f t="shared" si="19"/>
        <v/>
      </c>
      <c r="N630" s="39" t="str">
        <f>IF(AND(A630="",B630=""),"",COUNTIFS(数据!$E$3:$E$998,"&lt;&gt;前期仔鱼",数据!$E$3:$E$998,"&lt;&gt;仔鱼",数据!$E$3:$E$998,"&lt;&gt;稚鱼",数据!$F$3:$F$998,A630,数据!$G$3:$G$998,B630))</f>
        <v/>
      </c>
      <c r="O630" s="39" t="str">
        <f>IF(AND(A630="",B630=""),"",COUNTIFS(数据!$E$3:$E$998,"&lt;&gt;鱼卵",数据!$E$3:$E$998,"&lt;&gt;死卵",数据!$F$3:$F$998,A630,数据!$G$3:$G$998,B630))</f>
        <v/>
      </c>
      <c r="P630" s="31"/>
      <c r="Q630">
        <f>SUMIFS(数据!$D$3:$D$998,数据!$E$3:$E$998,"鱼卵",数据!$F$3:$F$998,A630,数据!$G$3:$G$998,B630)</f>
        <v>0</v>
      </c>
      <c r="R630">
        <f>SUMIFS(数据!$D$3:$D$998,数据!$E$3:$E$998,"死卵",数据!$F$3:$F$998,A630,数据!$G$3:$G$998,B630)</f>
        <v>0</v>
      </c>
      <c r="S630">
        <f>SUMIFS(数据!$D$3:$D$998,数据!$E$3:$E$998,"前期仔鱼",数据!$F$3:$F$998,A630,数据!$G$3:$G$998,B630)</f>
        <v>0</v>
      </c>
      <c r="T630">
        <f>SUMIFS(数据!$D$3:$D$998,数据!$E$3:$E$998,"仔鱼",数据!$F$3:$F$998,A630,数据!$G$3:$G$998,B630)</f>
        <v>0</v>
      </c>
      <c r="U630">
        <f>SUMIFS(数据!$D$3:$D$998,数据!$E$3:$E$998,"稚鱼",数据!$F$3:$F$998,A630,数据!$G$3:$G$998,B630)</f>
        <v>0</v>
      </c>
    </row>
    <row r="631" spans="1:21" ht="19.9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45" t="str">
        <f t="shared" si="18"/>
        <v/>
      </c>
      <c r="M631" s="45" t="str">
        <f t="shared" si="19"/>
        <v/>
      </c>
      <c r="N631" s="39" t="str">
        <f>IF(AND(A631="",B631=""),"",COUNTIFS(数据!$E$3:$E$998,"&lt;&gt;前期仔鱼",数据!$E$3:$E$998,"&lt;&gt;仔鱼",数据!$E$3:$E$998,"&lt;&gt;稚鱼",数据!$F$3:$F$998,A631,数据!$G$3:$G$998,B631))</f>
        <v/>
      </c>
      <c r="O631" s="39" t="str">
        <f>IF(AND(A631="",B631=""),"",COUNTIFS(数据!$E$3:$E$998,"&lt;&gt;鱼卵",数据!$E$3:$E$998,"&lt;&gt;死卵",数据!$F$3:$F$998,A631,数据!$G$3:$G$998,B631))</f>
        <v/>
      </c>
      <c r="P631" s="31"/>
      <c r="Q631">
        <f>SUMIFS(数据!$D$3:$D$998,数据!$E$3:$E$998,"鱼卵",数据!$F$3:$F$998,A631,数据!$G$3:$G$998,B631)</f>
        <v>0</v>
      </c>
      <c r="R631">
        <f>SUMIFS(数据!$D$3:$D$998,数据!$E$3:$E$998,"死卵",数据!$F$3:$F$998,A631,数据!$G$3:$G$998,B631)</f>
        <v>0</v>
      </c>
      <c r="S631">
        <f>SUMIFS(数据!$D$3:$D$998,数据!$E$3:$E$998,"前期仔鱼",数据!$F$3:$F$998,A631,数据!$G$3:$G$998,B631)</f>
        <v>0</v>
      </c>
      <c r="T631">
        <f>SUMIFS(数据!$D$3:$D$998,数据!$E$3:$E$998,"仔鱼",数据!$F$3:$F$998,A631,数据!$G$3:$G$998,B631)</f>
        <v>0</v>
      </c>
      <c r="U631">
        <f>SUMIFS(数据!$D$3:$D$998,数据!$E$3:$E$998,"稚鱼",数据!$F$3:$F$998,A631,数据!$G$3:$G$998,B631)</f>
        <v>0</v>
      </c>
    </row>
    <row r="632" spans="1:21" ht="19.9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45" t="str">
        <f t="shared" si="18"/>
        <v/>
      </c>
      <c r="M632" s="45" t="str">
        <f t="shared" si="19"/>
        <v/>
      </c>
      <c r="N632" s="39" t="str">
        <f>IF(AND(A632="",B632=""),"",COUNTIFS(数据!$E$3:$E$998,"&lt;&gt;前期仔鱼",数据!$E$3:$E$998,"&lt;&gt;仔鱼",数据!$E$3:$E$998,"&lt;&gt;稚鱼",数据!$F$3:$F$998,A632,数据!$G$3:$G$998,B632))</f>
        <v/>
      </c>
      <c r="O632" s="39" t="str">
        <f>IF(AND(A632="",B632=""),"",COUNTIFS(数据!$E$3:$E$998,"&lt;&gt;鱼卵",数据!$E$3:$E$998,"&lt;&gt;死卵",数据!$F$3:$F$998,A632,数据!$G$3:$G$998,B632))</f>
        <v/>
      </c>
      <c r="P632" s="31"/>
      <c r="Q632">
        <f>SUMIFS(数据!$D$3:$D$998,数据!$E$3:$E$998,"鱼卵",数据!$F$3:$F$998,A632,数据!$G$3:$G$998,B632)</f>
        <v>0</v>
      </c>
      <c r="R632">
        <f>SUMIFS(数据!$D$3:$D$998,数据!$E$3:$E$998,"死卵",数据!$F$3:$F$998,A632,数据!$G$3:$G$998,B632)</f>
        <v>0</v>
      </c>
      <c r="S632">
        <f>SUMIFS(数据!$D$3:$D$998,数据!$E$3:$E$998,"前期仔鱼",数据!$F$3:$F$998,A632,数据!$G$3:$G$998,B632)</f>
        <v>0</v>
      </c>
      <c r="T632">
        <f>SUMIFS(数据!$D$3:$D$998,数据!$E$3:$E$998,"仔鱼",数据!$F$3:$F$998,A632,数据!$G$3:$G$998,B632)</f>
        <v>0</v>
      </c>
      <c r="U632">
        <f>SUMIFS(数据!$D$3:$D$998,数据!$E$3:$E$998,"稚鱼",数据!$F$3:$F$998,A632,数据!$G$3:$G$998,B632)</f>
        <v>0</v>
      </c>
    </row>
    <row r="633" spans="1:21" ht="19.9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45" t="str">
        <f t="shared" si="18"/>
        <v/>
      </c>
      <c r="M633" s="45" t="str">
        <f t="shared" si="19"/>
        <v/>
      </c>
      <c r="N633" s="39" t="str">
        <f>IF(AND(A633="",B633=""),"",COUNTIFS(数据!$E$3:$E$998,"&lt;&gt;前期仔鱼",数据!$E$3:$E$998,"&lt;&gt;仔鱼",数据!$E$3:$E$998,"&lt;&gt;稚鱼",数据!$F$3:$F$998,A633,数据!$G$3:$G$998,B633))</f>
        <v/>
      </c>
      <c r="O633" s="39" t="str">
        <f>IF(AND(A633="",B633=""),"",COUNTIFS(数据!$E$3:$E$998,"&lt;&gt;鱼卵",数据!$E$3:$E$998,"&lt;&gt;死卵",数据!$F$3:$F$998,A633,数据!$G$3:$G$998,B633))</f>
        <v/>
      </c>
      <c r="P633" s="31"/>
      <c r="Q633">
        <f>SUMIFS(数据!$D$3:$D$998,数据!$E$3:$E$998,"鱼卵",数据!$F$3:$F$998,A633,数据!$G$3:$G$998,B633)</f>
        <v>0</v>
      </c>
      <c r="R633">
        <f>SUMIFS(数据!$D$3:$D$998,数据!$E$3:$E$998,"死卵",数据!$F$3:$F$998,A633,数据!$G$3:$G$998,B633)</f>
        <v>0</v>
      </c>
      <c r="S633">
        <f>SUMIFS(数据!$D$3:$D$998,数据!$E$3:$E$998,"前期仔鱼",数据!$F$3:$F$998,A633,数据!$G$3:$G$998,B633)</f>
        <v>0</v>
      </c>
      <c r="T633">
        <f>SUMIFS(数据!$D$3:$D$998,数据!$E$3:$E$998,"仔鱼",数据!$F$3:$F$998,A633,数据!$G$3:$G$998,B633)</f>
        <v>0</v>
      </c>
      <c r="U633">
        <f>SUMIFS(数据!$D$3:$D$998,数据!$E$3:$E$998,"稚鱼",数据!$F$3:$F$998,A633,数据!$G$3:$G$998,B633)</f>
        <v>0</v>
      </c>
    </row>
    <row r="634" spans="1:21" ht="19.9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45" t="str">
        <f t="shared" si="18"/>
        <v/>
      </c>
      <c r="M634" s="45" t="str">
        <f t="shared" si="19"/>
        <v/>
      </c>
      <c r="N634" s="39" t="str">
        <f>IF(AND(A634="",B634=""),"",COUNTIFS(数据!$E$3:$E$998,"&lt;&gt;前期仔鱼",数据!$E$3:$E$998,"&lt;&gt;仔鱼",数据!$E$3:$E$998,"&lt;&gt;稚鱼",数据!$F$3:$F$998,A634,数据!$G$3:$G$998,B634))</f>
        <v/>
      </c>
      <c r="O634" s="39" t="str">
        <f>IF(AND(A634="",B634=""),"",COUNTIFS(数据!$E$3:$E$998,"&lt;&gt;鱼卵",数据!$E$3:$E$998,"&lt;&gt;死卵",数据!$F$3:$F$998,A634,数据!$G$3:$G$998,B634))</f>
        <v/>
      </c>
      <c r="P634" s="31"/>
      <c r="Q634">
        <f>SUMIFS(数据!$D$3:$D$998,数据!$E$3:$E$998,"鱼卵",数据!$F$3:$F$998,A634,数据!$G$3:$G$998,B634)</f>
        <v>0</v>
      </c>
      <c r="R634">
        <f>SUMIFS(数据!$D$3:$D$998,数据!$E$3:$E$998,"死卵",数据!$F$3:$F$998,A634,数据!$G$3:$G$998,B634)</f>
        <v>0</v>
      </c>
      <c r="S634">
        <f>SUMIFS(数据!$D$3:$D$998,数据!$E$3:$E$998,"前期仔鱼",数据!$F$3:$F$998,A634,数据!$G$3:$G$998,B634)</f>
        <v>0</v>
      </c>
      <c r="T634">
        <f>SUMIFS(数据!$D$3:$D$998,数据!$E$3:$E$998,"仔鱼",数据!$F$3:$F$998,A634,数据!$G$3:$G$998,B634)</f>
        <v>0</v>
      </c>
      <c r="U634">
        <f>SUMIFS(数据!$D$3:$D$998,数据!$E$3:$E$998,"稚鱼",数据!$F$3:$F$998,A634,数据!$G$3:$G$998,B634)</f>
        <v>0</v>
      </c>
    </row>
    <row r="635" spans="1:21" ht="19.9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45" t="str">
        <f t="shared" si="18"/>
        <v/>
      </c>
      <c r="M635" s="45" t="str">
        <f t="shared" si="19"/>
        <v/>
      </c>
      <c r="N635" s="39" t="str">
        <f>IF(AND(A635="",B635=""),"",COUNTIFS(数据!$E$3:$E$998,"&lt;&gt;前期仔鱼",数据!$E$3:$E$998,"&lt;&gt;仔鱼",数据!$E$3:$E$998,"&lt;&gt;稚鱼",数据!$F$3:$F$998,A635,数据!$G$3:$G$998,B635))</f>
        <v/>
      </c>
      <c r="O635" s="39" t="str">
        <f>IF(AND(A635="",B635=""),"",COUNTIFS(数据!$E$3:$E$998,"&lt;&gt;鱼卵",数据!$E$3:$E$998,"&lt;&gt;死卵",数据!$F$3:$F$998,A635,数据!$G$3:$G$998,B635))</f>
        <v/>
      </c>
      <c r="P635" s="31"/>
      <c r="Q635">
        <f>SUMIFS(数据!$D$3:$D$998,数据!$E$3:$E$998,"鱼卵",数据!$F$3:$F$998,A635,数据!$G$3:$G$998,B635)</f>
        <v>0</v>
      </c>
      <c r="R635">
        <f>SUMIFS(数据!$D$3:$D$998,数据!$E$3:$E$998,"死卵",数据!$F$3:$F$998,A635,数据!$G$3:$G$998,B635)</f>
        <v>0</v>
      </c>
      <c r="S635">
        <f>SUMIFS(数据!$D$3:$D$998,数据!$E$3:$E$998,"前期仔鱼",数据!$F$3:$F$998,A635,数据!$G$3:$G$998,B635)</f>
        <v>0</v>
      </c>
      <c r="T635">
        <f>SUMIFS(数据!$D$3:$D$998,数据!$E$3:$E$998,"仔鱼",数据!$F$3:$F$998,A635,数据!$G$3:$G$998,B635)</f>
        <v>0</v>
      </c>
      <c r="U635">
        <f>SUMIFS(数据!$D$3:$D$998,数据!$E$3:$E$998,"稚鱼",数据!$F$3:$F$998,A635,数据!$G$3:$G$998,B635)</f>
        <v>0</v>
      </c>
    </row>
    <row r="636" spans="1:21" ht="19.9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45" t="str">
        <f t="shared" si="18"/>
        <v/>
      </c>
      <c r="M636" s="45" t="str">
        <f t="shared" si="19"/>
        <v/>
      </c>
      <c r="N636" s="39" t="str">
        <f>IF(AND(A636="",B636=""),"",COUNTIFS(数据!$E$3:$E$998,"&lt;&gt;前期仔鱼",数据!$E$3:$E$998,"&lt;&gt;仔鱼",数据!$E$3:$E$998,"&lt;&gt;稚鱼",数据!$F$3:$F$998,A636,数据!$G$3:$G$998,B636))</f>
        <v/>
      </c>
      <c r="O636" s="39" t="str">
        <f>IF(AND(A636="",B636=""),"",COUNTIFS(数据!$E$3:$E$998,"&lt;&gt;鱼卵",数据!$E$3:$E$998,"&lt;&gt;死卵",数据!$F$3:$F$998,A636,数据!$G$3:$G$998,B636))</f>
        <v/>
      </c>
      <c r="P636" s="31"/>
      <c r="Q636">
        <f>SUMIFS(数据!$D$3:$D$998,数据!$E$3:$E$998,"鱼卵",数据!$F$3:$F$998,A636,数据!$G$3:$G$998,B636)</f>
        <v>0</v>
      </c>
      <c r="R636">
        <f>SUMIFS(数据!$D$3:$D$998,数据!$E$3:$E$998,"死卵",数据!$F$3:$F$998,A636,数据!$G$3:$G$998,B636)</f>
        <v>0</v>
      </c>
      <c r="S636">
        <f>SUMIFS(数据!$D$3:$D$998,数据!$E$3:$E$998,"前期仔鱼",数据!$F$3:$F$998,A636,数据!$G$3:$G$998,B636)</f>
        <v>0</v>
      </c>
      <c r="T636">
        <f>SUMIFS(数据!$D$3:$D$998,数据!$E$3:$E$998,"仔鱼",数据!$F$3:$F$998,A636,数据!$G$3:$G$998,B636)</f>
        <v>0</v>
      </c>
      <c r="U636">
        <f>SUMIFS(数据!$D$3:$D$998,数据!$E$3:$E$998,"稚鱼",数据!$F$3:$F$998,A636,数据!$G$3:$G$998,B636)</f>
        <v>0</v>
      </c>
    </row>
    <row r="637" spans="1:21" ht="19.9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45" t="str">
        <f t="shared" si="18"/>
        <v/>
      </c>
      <c r="M637" s="45" t="str">
        <f t="shared" si="19"/>
        <v/>
      </c>
      <c r="N637" s="39" t="str">
        <f>IF(AND(A637="",B637=""),"",COUNTIFS(数据!$E$3:$E$998,"&lt;&gt;前期仔鱼",数据!$E$3:$E$998,"&lt;&gt;仔鱼",数据!$E$3:$E$998,"&lt;&gt;稚鱼",数据!$F$3:$F$998,A637,数据!$G$3:$G$998,B637))</f>
        <v/>
      </c>
      <c r="O637" s="39" t="str">
        <f>IF(AND(A637="",B637=""),"",COUNTIFS(数据!$E$3:$E$998,"&lt;&gt;鱼卵",数据!$E$3:$E$998,"&lt;&gt;死卵",数据!$F$3:$F$998,A637,数据!$G$3:$G$998,B637))</f>
        <v/>
      </c>
      <c r="P637" s="31"/>
      <c r="Q637">
        <f>SUMIFS(数据!$D$3:$D$998,数据!$E$3:$E$998,"鱼卵",数据!$F$3:$F$998,A637,数据!$G$3:$G$998,B637)</f>
        <v>0</v>
      </c>
      <c r="R637">
        <f>SUMIFS(数据!$D$3:$D$998,数据!$E$3:$E$998,"死卵",数据!$F$3:$F$998,A637,数据!$G$3:$G$998,B637)</f>
        <v>0</v>
      </c>
      <c r="S637">
        <f>SUMIFS(数据!$D$3:$D$998,数据!$E$3:$E$998,"前期仔鱼",数据!$F$3:$F$998,A637,数据!$G$3:$G$998,B637)</f>
        <v>0</v>
      </c>
      <c r="T637">
        <f>SUMIFS(数据!$D$3:$D$998,数据!$E$3:$E$998,"仔鱼",数据!$F$3:$F$998,A637,数据!$G$3:$G$998,B637)</f>
        <v>0</v>
      </c>
      <c r="U637">
        <f>SUMIFS(数据!$D$3:$D$998,数据!$E$3:$E$998,"稚鱼",数据!$F$3:$F$998,A637,数据!$G$3:$G$998,B637)</f>
        <v>0</v>
      </c>
    </row>
    <row r="638" spans="1:21" ht="19.9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45" t="str">
        <f t="shared" si="18"/>
        <v/>
      </c>
      <c r="M638" s="45" t="str">
        <f t="shared" si="19"/>
        <v/>
      </c>
      <c r="N638" s="39" t="str">
        <f>IF(AND(A638="",B638=""),"",COUNTIFS(数据!$E$3:$E$998,"&lt;&gt;前期仔鱼",数据!$E$3:$E$998,"&lt;&gt;仔鱼",数据!$E$3:$E$998,"&lt;&gt;稚鱼",数据!$F$3:$F$998,A638,数据!$G$3:$G$998,B638))</f>
        <v/>
      </c>
      <c r="O638" s="39" t="str">
        <f>IF(AND(A638="",B638=""),"",COUNTIFS(数据!$E$3:$E$998,"&lt;&gt;鱼卵",数据!$E$3:$E$998,"&lt;&gt;死卵",数据!$F$3:$F$998,A638,数据!$G$3:$G$998,B638))</f>
        <v/>
      </c>
      <c r="P638" s="31"/>
      <c r="Q638">
        <f>SUMIFS(数据!$D$3:$D$998,数据!$E$3:$E$998,"鱼卵",数据!$F$3:$F$998,A638,数据!$G$3:$G$998,B638)</f>
        <v>0</v>
      </c>
      <c r="R638">
        <f>SUMIFS(数据!$D$3:$D$998,数据!$E$3:$E$998,"死卵",数据!$F$3:$F$998,A638,数据!$G$3:$G$998,B638)</f>
        <v>0</v>
      </c>
      <c r="S638">
        <f>SUMIFS(数据!$D$3:$D$998,数据!$E$3:$E$998,"前期仔鱼",数据!$F$3:$F$998,A638,数据!$G$3:$G$998,B638)</f>
        <v>0</v>
      </c>
      <c r="T638">
        <f>SUMIFS(数据!$D$3:$D$998,数据!$E$3:$E$998,"仔鱼",数据!$F$3:$F$998,A638,数据!$G$3:$G$998,B638)</f>
        <v>0</v>
      </c>
      <c r="U638">
        <f>SUMIFS(数据!$D$3:$D$998,数据!$E$3:$E$998,"稚鱼",数据!$F$3:$F$998,A638,数据!$G$3:$G$998,B638)</f>
        <v>0</v>
      </c>
    </row>
    <row r="639" spans="1:21" ht="19.9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45" t="str">
        <f t="shared" si="18"/>
        <v/>
      </c>
      <c r="M639" s="45" t="str">
        <f t="shared" si="19"/>
        <v/>
      </c>
      <c r="N639" s="39" t="str">
        <f>IF(AND(A639="",B639=""),"",COUNTIFS(数据!$E$3:$E$998,"&lt;&gt;前期仔鱼",数据!$E$3:$E$998,"&lt;&gt;仔鱼",数据!$E$3:$E$998,"&lt;&gt;稚鱼",数据!$F$3:$F$998,A639,数据!$G$3:$G$998,B639))</f>
        <v/>
      </c>
      <c r="O639" s="39" t="str">
        <f>IF(AND(A639="",B639=""),"",COUNTIFS(数据!$E$3:$E$998,"&lt;&gt;鱼卵",数据!$E$3:$E$998,"&lt;&gt;死卵",数据!$F$3:$F$998,A639,数据!$G$3:$G$998,B639))</f>
        <v/>
      </c>
      <c r="P639" s="31"/>
      <c r="Q639">
        <f>SUMIFS(数据!$D$3:$D$998,数据!$E$3:$E$998,"鱼卵",数据!$F$3:$F$998,A639,数据!$G$3:$G$998,B639)</f>
        <v>0</v>
      </c>
      <c r="R639">
        <f>SUMIFS(数据!$D$3:$D$998,数据!$E$3:$E$998,"死卵",数据!$F$3:$F$998,A639,数据!$G$3:$G$998,B639)</f>
        <v>0</v>
      </c>
      <c r="S639">
        <f>SUMIFS(数据!$D$3:$D$998,数据!$E$3:$E$998,"前期仔鱼",数据!$F$3:$F$998,A639,数据!$G$3:$G$998,B639)</f>
        <v>0</v>
      </c>
      <c r="T639">
        <f>SUMIFS(数据!$D$3:$D$998,数据!$E$3:$E$998,"仔鱼",数据!$F$3:$F$998,A639,数据!$G$3:$G$998,B639)</f>
        <v>0</v>
      </c>
      <c r="U639">
        <f>SUMIFS(数据!$D$3:$D$998,数据!$E$3:$E$998,"稚鱼",数据!$F$3:$F$998,A639,数据!$G$3:$G$998,B639)</f>
        <v>0</v>
      </c>
    </row>
    <row r="640" spans="1:21" ht="19.9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45" t="str">
        <f t="shared" si="18"/>
        <v/>
      </c>
      <c r="M640" s="45" t="str">
        <f t="shared" si="19"/>
        <v/>
      </c>
      <c r="N640" s="39" t="str">
        <f>IF(AND(A640="",B640=""),"",COUNTIFS(数据!$E$3:$E$998,"&lt;&gt;前期仔鱼",数据!$E$3:$E$998,"&lt;&gt;仔鱼",数据!$E$3:$E$998,"&lt;&gt;稚鱼",数据!$F$3:$F$998,A640,数据!$G$3:$G$998,B640))</f>
        <v/>
      </c>
      <c r="O640" s="39" t="str">
        <f>IF(AND(A640="",B640=""),"",COUNTIFS(数据!$E$3:$E$998,"&lt;&gt;鱼卵",数据!$E$3:$E$998,"&lt;&gt;死卵",数据!$F$3:$F$998,A640,数据!$G$3:$G$998,B640))</f>
        <v/>
      </c>
      <c r="P640" s="31"/>
      <c r="Q640">
        <f>SUMIFS(数据!$D$3:$D$998,数据!$E$3:$E$998,"鱼卵",数据!$F$3:$F$998,A640,数据!$G$3:$G$998,B640)</f>
        <v>0</v>
      </c>
      <c r="R640">
        <f>SUMIFS(数据!$D$3:$D$998,数据!$E$3:$E$998,"死卵",数据!$F$3:$F$998,A640,数据!$G$3:$G$998,B640)</f>
        <v>0</v>
      </c>
      <c r="S640">
        <f>SUMIFS(数据!$D$3:$D$998,数据!$E$3:$E$998,"前期仔鱼",数据!$F$3:$F$998,A640,数据!$G$3:$G$998,B640)</f>
        <v>0</v>
      </c>
      <c r="T640">
        <f>SUMIFS(数据!$D$3:$D$998,数据!$E$3:$E$998,"仔鱼",数据!$F$3:$F$998,A640,数据!$G$3:$G$998,B640)</f>
        <v>0</v>
      </c>
      <c r="U640">
        <f>SUMIFS(数据!$D$3:$D$998,数据!$E$3:$E$998,"稚鱼",数据!$F$3:$F$998,A640,数据!$G$3:$G$998,B640)</f>
        <v>0</v>
      </c>
    </row>
    <row r="641" spans="1:21" ht="19.9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45" t="str">
        <f t="shared" si="18"/>
        <v/>
      </c>
      <c r="M641" s="45" t="str">
        <f t="shared" si="19"/>
        <v/>
      </c>
      <c r="N641" s="39" t="str">
        <f>IF(AND(A641="",B641=""),"",COUNTIFS(数据!$E$3:$E$998,"&lt;&gt;前期仔鱼",数据!$E$3:$E$998,"&lt;&gt;仔鱼",数据!$E$3:$E$998,"&lt;&gt;稚鱼",数据!$F$3:$F$998,A641,数据!$G$3:$G$998,B641))</f>
        <v/>
      </c>
      <c r="O641" s="39" t="str">
        <f>IF(AND(A641="",B641=""),"",COUNTIFS(数据!$E$3:$E$998,"&lt;&gt;鱼卵",数据!$E$3:$E$998,"&lt;&gt;死卵",数据!$F$3:$F$998,A641,数据!$G$3:$G$998,B641))</f>
        <v/>
      </c>
      <c r="P641" s="31"/>
      <c r="Q641">
        <f>SUMIFS(数据!$D$3:$D$998,数据!$E$3:$E$998,"鱼卵",数据!$F$3:$F$998,A641,数据!$G$3:$G$998,B641)</f>
        <v>0</v>
      </c>
      <c r="R641">
        <f>SUMIFS(数据!$D$3:$D$998,数据!$E$3:$E$998,"死卵",数据!$F$3:$F$998,A641,数据!$G$3:$G$998,B641)</f>
        <v>0</v>
      </c>
      <c r="S641">
        <f>SUMIFS(数据!$D$3:$D$998,数据!$E$3:$E$998,"前期仔鱼",数据!$F$3:$F$998,A641,数据!$G$3:$G$998,B641)</f>
        <v>0</v>
      </c>
      <c r="T641">
        <f>SUMIFS(数据!$D$3:$D$998,数据!$E$3:$E$998,"仔鱼",数据!$F$3:$F$998,A641,数据!$G$3:$G$998,B641)</f>
        <v>0</v>
      </c>
      <c r="U641">
        <f>SUMIFS(数据!$D$3:$D$998,数据!$E$3:$E$998,"稚鱼",数据!$F$3:$F$998,A641,数据!$G$3:$G$998,B641)</f>
        <v>0</v>
      </c>
    </row>
    <row r="642" spans="1:21" ht="19.9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45" t="str">
        <f t="shared" si="18"/>
        <v/>
      </c>
      <c r="M642" s="45" t="str">
        <f t="shared" si="19"/>
        <v/>
      </c>
      <c r="N642" s="39" t="str">
        <f>IF(AND(A642="",B642=""),"",COUNTIFS(数据!$E$3:$E$998,"&lt;&gt;前期仔鱼",数据!$E$3:$E$998,"&lt;&gt;仔鱼",数据!$E$3:$E$998,"&lt;&gt;稚鱼",数据!$F$3:$F$998,A642,数据!$G$3:$G$998,B642))</f>
        <v/>
      </c>
      <c r="O642" s="39" t="str">
        <f>IF(AND(A642="",B642=""),"",COUNTIFS(数据!$E$3:$E$998,"&lt;&gt;鱼卵",数据!$E$3:$E$998,"&lt;&gt;死卵",数据!$F$3:$F$998,A642,数据!$G$3:$G$998,B642))</f>
        <v/>
      </c>
      <c r="P642" s="31"/>
      <c r="Q642">
        <f>SUMIFS(数据!$D$3:$D$998,数据!$E$3:$E$998,"鱼卵",数据!$F$3:$F$998,A642,数据!$G$3:$G$998,B642)</f>
        <v>0</v>
      </c>
      <c r="R642">
        <f>SUMIFS(数据!$D$3:$D$998,数据!$E$3:$E$998,"死卵",数据!$F$3:$F$998,A642,数据!$G$3:$G$998,B642)</f>
        <v>0</v>
      </c>
      <c r="S642">
        <f>SUMIFS(数据!$D$3:$D$998,数据!$E$3:$E$998,"前期仔鱼",数据!$F$3:$F$998,A642,数据!$G$3:$G$998,B642)</f>
        <v>0</v>
      </c>
      <c r="T642">
        <f>SUMIFS(数据!$D$3:$D$998,数据!$E$3:$E$998,"仔鱼",数据!$F$3:$F$998,A642,数据!$G$3:$G$998,B642)</f>
        <v>0</v>
      </c>
      <c r="U642">
        <f>SUMIFS(数据!$D$3:$D$998,数据!$E$3:$E$998,"稚鱼",数据!$F$3:$F$998,A642,数据!$G$3:$G$998,B642)</f>
        <v>0</v>
      </c>
    </row>
    <row r="643" spans="1:21" ht="19.9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45" t="str">
        <f t="shared" si="18"/>
        <v/>
      </c>
      <c r="M643" s="45" t="str">
        <f t="shared" si="19"/>
        <v/>
      </c>
      <c r="N643" s="39" t="str">
        <f>IF(AND(A643="",B643=""),"",COUNTIFS(数据!$E$3:$E$998,"&lt;&gt;前期仔鱼",数据!$E$3:$E$998,"&lt;&gt;仔鱼",数据!$E$3:$E$998,"&lt;&gt;稚鱼",数据!$F$3:$F$998,A643,数据!$G$3:$G$998,B643))</f>
        <v/>
      </c>
      <c r="O643" s="39" t="str">
        <f>IF(AND(A643="",B643=""),"",COUNTIFS(数据!$E$3:$E$998,"&lt;&gt;鱼卵",数据!$E$3:$E$998,"&lt;&gt;死卵",数据!$F$3:$F$998,A643,数据!$G$3:$G$998,B643))</f>
        <v/>
      </c>
      <c r="P643" s="31"/>
      <c r="Q643">
        <f>SUMIFS(数据!$D$3:$D$998,数据!$E$3:$E$998,"鱼卵",数据!$F$3:$F$998,A643,数据!$G$3:$G$998,B643)</f>
        <v>0</v>
      </c>
      <c r="R643">
        <f>SUMIFS(数据!$D$3:$D$998,数据!$E$3:$E$998,"死卵",数据!$F$3:$F$998,A643,数据!$G$3:$G$998,B643)</f>
        <v>0</v>
      </c>
      <c r="S643">
        <f>SUMIFS(数据!$D$3:$D$998,数据!$E$3:$E$998,"前期仔鱼",数据!$F$3:$F$998,A643,数据!$G$3:$G$998,B643)</f>
        <v>0</v>
      </c>
      <c r="T643">
        <f>SUMIFS(数据!$D$3:$D$998,数据!$E$3:$E$998,"仔鱼",数据!$F$3:$F$998,A643,数据!$G$3:$G$998,B643)</f>
        <v>0</v>
      </c>
      <c r="U643">
        <f>SUMIFS(数据!$D$3:$D$998,数据!$E$3:$E$998,"稚鱼",数据!$F$3:$F$998,A643,数据!$G$3:$G$998,B643)</f>
        <v>0</v>
      </c>
    </row>
    <row r="644" spans="1:21" ht="19.9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45" t="str">
        <f t="shared" si="20" ref="L644:L707">IF(OR(Q644&amp;R644="",A644&amp;B644=""),"",Q644+R644)</f>
        <v/>
      </c>
      <c r="M644" s="45" t="str">
        <f t="shared" si="21" ref="M644:M707">IF(OR(A644&amp;B644="",S644&amp;T644&amp;U644=""),"",S644+T644+U644)</f>
        <v/>
      </c>
      <c r="N644" s="39" t="str">
        <f>IF(AND(A644="",B644=""),"",COUNTIFS(数据!$E$3:$E$998,"&lt;&gt;前期仔鱼",数据!$E$3:$E$998,"&lt;&gt;仔鱼",数据!$E$3:$E$998,"&lt;&gt;稚鱼",数据!$F$3:$F$998,A644,数据!$G$3:$G$998,B644))</f>
        <v/>
      </c>
      <c r="O644" s="39" t="str">
        <f>IF(AND(A644="",B644=""),"",COUNTIFS(数据!$E$3:$E$998,"&lt;&gt;鱼卵",数据!$E$3:$E$998,"&lt;&gt;死卵",数据!$F$3:$F$998,A644,数据!$G$3:$G$998,B644))</f>
        <v/>
      </c>
      <c r="P644" s="31"/>
      <c r="Q644">
        <f>SUMIFS(数据!$D$3:$D$998,数据!$E$3:$E$998,"鱼卵",数据!$F$3:$F$998,A644,数据!$G$3:$G$998,B644)</f>
        <v>0</v>
      </c>
      <c r="R644">
        <f>SUMIFS(数据!$D$3:$D$998,数据!$E$3:$E$998,"死卵",数据!$F$3:$F$998,A644,数据!$G$3:$G$998,B644)</f>
        <v>0</v>
      </c>
      <c r="S644">
        <f>SUMIFS(数据!$D$3:$D$998,数据!$E$3:$E$998,"前期仔鱼",数据!$F$3:$F$998,A644,数据!$G$3:$G$998,B644)</f>
        <v>0</v>
      </c>
      <c r="T644">
        <f>SUMIFS(数据!$D$3:$D$998,数据!$E$3:$E$998,"仔鱼",数据!$F$3:$F$998,A644,数据!$G$3:$G$998,B644)</f>
        <v>0</v>
      </c>
      <c r="U644">
        <f>SUMIFS(数据!$D$3:$D$998,数据!$E$3:$E$998,"稚鱼",数据!$F$3:$F$998,A644,数据!$G$3:$G$998,B644)</f>
        <v>0</v>
      </c>
    </row>
    <row r="645" spans="1:21" ht="19.9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45" t="str">
        <f t="shared" si="20"/>
        <v/>
      </c>
      <c r="M645" s="45" t="str">
        <f t="shared" si="21"/>
        <v/>
      </c>
      <c r="N645" s="39" t="str">
        <f>IF(AND(A645="",B645=""),"",COUNTIFS(数据!$E$3:$E$998,"&lt;&gt;前期仔鱼",数据!$E$3:$E$998,"&lt;&gt;仔鱼",数据!$E$3:$E$998,"&lt;&gt;稚鱼",数据!$F$3:$F$998,A645,数据!$G$3:$G$998,B645))</f>
        <v/>
      </c>
      <c r="O645" s="39" t="str">
        <f>IF(AND(A645="",B645=""),"",COUNTIFS(数据!$E$3:$E$998,"&lt;&gt;鱼卵",数据!$E$3:$E$998,"&lt;&gt;死卵",数据!$F$3:$F$998,A645,数据!$G$3:$G$998,B645))</f>
        <v/>
      </c>
      <c r="P645" s="31"/>
      <c r="Q645">
        <f>SUMIFS(数据!$D$3:$D$998,数据!$E$3:$E$998,"鱼卵",数据!$F$3:$F$998,A645,数据!$G$3:$G$998,B645)</f>
        <v>0</v>
      </c>
      <c r="R645">
        <f>SUMIFS(数据!$D$3:$D$998,数据!$E$3:$E$998,"死卵",数据!$F$3:$F$998,A645,数据!$G$3:$G$998,B645)</f>
        <v>0</v>
      </c>
      <c r="S645">
        <f>SUMIFS(数据!$D$3:$D$998,数据!$E$3:$E$998,"前期仔鱼",数据!$F$3:$F$998,A645,数据!$G$3:$G$998,B645)</f>
        <v>0</v>
      </c>
      <c r="T645">
        <f>SUMIFS(数据!$D$3:$D$998,数据!$E$3:$E$998,"仔鱼",数据!$F$3:$F$998,A645,数据!$G$3:$G$998,B645)</f>
        <v>0</v>
      </c>
      <c r="U645">
        <f>SUMIFS(数据!$D$3:$D$998,数据!$E$3:$E$998,"稚鱼",数据!$F$3:$F$998,A645,数据!$G$3:$G$998,B645)</f>
        <v>0</v>
      </c>
    </row>
    <row r="646" spans="1:21" ht="19.9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45" t="str">
        <f t="shared" si="20"/>
        <v/>
      </c>
      <c r="M646" s="45" t="str">
        <f t="shared" si="21"/>
        <v/>
      </c>
      <c r="N646" s="39" t="str">
        <f>IF(AND(A646="",B646=""),"",COUNTIFS(数据!$E$3:$E$998,"&lt;&gt;前期仔鱼",数据!$E$3:$E$998,"&lt;&gt;仔鱼",数据!$E$3:$E$998,"&lt;&gt;稚鱼",数据!$F$3:$F$998,A646,数据!$G$3:$G$998,B646))</f>
        <v/>
      </c>
      <c r="O646" s="39" t="str">
        <f>IF(AND(A646="",B646=""),"",COUNTIFS(数据!$E$3:$E$998,"&lt;&gt;鱼卵",数据!$E$3:$E$998,"&lt;&gt;死卵",数据!$F$3:$F$998,A646,数据!$G$3:$G$998,B646))</f>
        <v/>
      </c>
      <c r="P646" s="31"/>
      <c r="Q646">
        <f>SUMIFS(数据!$D$3:$D$998,数据!$E$3:$E$998,"鱼卵",数据!$F$3:$F$998,A646,数据!$G$3:$G$998,B646)</f>
        <v>0</v>
      </c>
      <c r="R646">
        <f>SUMIFS(数据!$D$3:$D$998,数据!$E$3:$E$998,"死卵",数据!$F$3:$F$998,A646,数据!$G$3:$G$998,B646)</f>
        <v>0</v>
      </c>
      <c r="S646">
        <f>SUMIFS(数据!$D$3:$D$998,数据!$E$3:$E$998,"前期仔鱼",数据!$F$3:$F$998,A646,数据!$G$3:$G$998,B646)</f>
        <v>0</v>
      </c>
      <c r="T646">
        <f>SUMIFS(数据!$D$3:$D$998,数据!$E$3:$E$998,"仔鱼",数据!$F$3:$F$998,A646,数据!$G$3:$G$998,B646)</f>
        <v>0</v>
      </c>
      <c r="U646">
        <f>SUMIFS(数据!$D$3:$D$998,数据!$E$3:$E$998,"稚鱼",数据!$F$3:$F$998,A646,数据!$G$3:$G$998,B646)</f>
        <v>0</v>
      </c>
    </row>
    <row r="647" spans="1:21" ht="19.9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45" t="str">
        <f t="shared" si="20"/>
        <v/>
      </c>
      <c r="M647" s="45" t="str">
        <f t="shared" si="21"/>
        <v/>
      </c>
      <c r="N647" s="39" t="str">
        <f>IF(AND(A647="",B647=""),"",COUNTIFS(数据!$E$3:$E$998,"&lt;&gt;前期仔鱼",数据!$E$3:$E$998,"&lt;&gt;仔鱼",数据!$E$3:$E$998,"&lt;&gt;稚鱼",数据!$F$3:$F$998,A647,数据!$G$3:$G$998,B647))</f>
        <v/>
      </c>
      <c r="O647" s="39" t="str">
        <f>IF(AND(A647="",B647=""),"",COUNTIFS(数据!$E$3:$E$998,"&lt;&gt;鱼卵",数据!$E$3:$E$998,"&lt;&gt;死卵",数据!$F$3:$F$998,A647,数据!$G$3:$G$998,B647))</f>
        <v/>
      </c>
      <c r="P647" s="31"/>
      <c r="Q647">
        <f>SUMIFS(数据!$D$3:$D$998,数据!$E$3:$E$998,"鱼卵",数据!$F$3:$F$998,A647,数据!$G$3:$G$998,B647)</f>
        <v>0</v>
      </c>
      <c r="R647">
        <f>SUMIFS(数据!$D$3:$D$998,数据!$E$3:$E$998,"死卵",数据!$F$3:$F$998,A647,数据!$G$3:$G$998,B647)</f>
        <v>0</v>
      </c>
      <c r="S647">
        <f>SUMIFS(数据!$D$3:$D$998,数据!$E$3:$E$998,"前期仔鱼",数据!$F$3:$F$998,A647,数据!$G$3:$G$998,B647)</f>
        <v>0</v>
      </c>
      <c r="T647">
        <f>SUMIFS(数据!$D$3:$D$998,数据!$E$3:$E$998,"仔鱼",数据!$F$3:$F$998,A647,数据!$G$3:$G$998,B647)</f>
        <v>0</v>
      </c>
      <c r="U647">
        <f>SUMIFS(数据!$D$3:$D$998,数据!$E$3:$E$998,"稚鱼",数据!$F$3:$F$998,A647,数据!$G$3:$G$998,B647)</f>
        <v>0</v>
      </c>
    </row>
    <row r="648" spans="1:21" ht="19.9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45" t="str">
        <f t="shared" si="20"/>
        <v/>
      </c>
      <c r="M648" s="45" t="str">
        <f t="shared" si="21"/>
        <v/>
      </c>
      <c r="N648" s="39" t="str">
        <f>IF(AND(A648="",B648=""),"",COUNTIFS(数据!$E$3:$E$998,"&lt;&gt;前期仔鱼",数据!$E$3:$E$998,"&lt;&gt;仔鱼",数据!$E$3:$E$998,"&lt;&gt;稚鱼",数据!$F$3:$F$998,A648,数据!$G$3:$G$998,B648))</f>
        <v/>
      </c>
      <c r="O648" s="39" t="str">
        <f>IF(AND(A648="",B648=""),"",COUNTIFS(数据!$E$3:$E$998,"&lt;&gt;鱼卵",数据!$E$3:$E$998,"&lt;&gt;死卵",数据!$F$3:$F$998,A648,数据!$G$3:$G$998,B648))</f>
        <v/>
      </c>
      <c r="P648" s="31"/>
      <c r="Q648">
        <f>SUMIFS(数据!$D$3:$D$998,数据!$E$3:$E$998,"鱼卵",数据!$F$3:$F$998,A648,数据!$G$3:$G$998,B648)</f>
        <v>0</v>
      </c>
      <c r="R648">
        <f>SUMIFS(数据!$D$3:$D$998,数据!$E$3:$E$998,"死卵",数据!$F$3:$F$998,A648,数据!$G$3:$G$998,B648)</f>
        <v>0</v>
      </c>
      <c r="S648">
        <f>SUMIFS(数据!$D$3:$D$998,数据!$E$3:$E$998,"前期仔鱼",数据!$F$3:$F$998,A648,数据!$G$3:$G$998,B648)</f>
        <v>0</v>
      </c>
      <c r="T648">
        <f>SUMIFS(数据!$D$3:$D$998,数据!$E$3:$E$998,"仔鱼",数据!$F$3:$F$998,A648,数据!$G$3:$G$998,B648)</f>
        <v>0</v>
      </c>
      <c r="U648">
        <f>SUMIFS(数据!$D$3:$D$998,数据!$E$3:$E$998,"稚鱼",数据!$F$3:$F$998,A648,数据!$G$3:$G$998,B648)</f>
        <v>0</v>
      </c>
    </row>
    <row r="649" spans="1:21" ht="19.9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45" t="str">
        <f t="shared" si="20"/>
        <v/>
      </c>
      <c r="M649" s="45" t="str">
        <f t="shared" si="21"/>
        <v/>
      </c>
      <c r="N649" s="39" t="str">
        <f>IF(AND(A649="",B649=""),"",COUNTIFS(数据!$E$3:$E$998,"&lt;&gt;前期仔鱼",数据!$E$3:$E$998,"&lt;&gt;仔鱼",数据!$E$3:$E$998,"&lt;&gt;稚鱼",数据!$F$3:$F$998,A649,数据!$G$3:$G$998,B649))</f>
        <v/>
      </c>
      <c r="O649" s="39" t="str">
        <f>IF(AND(A649="",B649=""),"",COUNTIFS(数据!$E$3:$E$998,"&lt;&gt;鱼卵",数据!$E$3:$E$998,"&lt;&gt;死卵",数据!$F$3:$F$998,A649,数据!$G$3:$G$998,B649))</f>
        <v/>
      </c>
      <c r="P649" s="31"/>
      <c r="Q649">
        <f>SUMIFS(数据!$D$3:$D$998,数据!$E$3:$E$998,"鱼卵",数据!$F$3:$F$998,A649,数据!$G$3:$G$998,B649)</f>
        <v>0</v>
      </c>
      <c r="R649">
        <f>SUMIFS(数据!$D$3:$D$998,数据!$E$3:$E$998,"死卵",数据!$F$3:$F$998,A649,数据!$G$3:$G$998,B649)</f>
        <v>0</v>
      </c>
      <c r="S649">
        <f>SUMIFS(数据!$D$3:$D$998,数据!$E$3:$E$998,"前期仔鱼",数据!$F$3:$F$998,A649,数据!$G$3:$G$998,B649)</f>
        <v>0</v>
      </c>
      <c r="T649">
        <f>SUMIFS(数据!$D$3:$D$998,数据!$E$3:$E$998,"仔鱼",数据!$F$3:$F$998,A649,数据!$G$3:$G$998,B649)</f>
        <v>0</v>
      </c>
      <c r="U649">
        <f>SUMIFS(数据!$D$3:$D$998,数据!$E$3:$E$998,"稚鱼",数据!$F$3:$F$998,A649,数据!$G$3:$G$998,B649)</f>
        <v>0</v>
      </c>
    </row>
    <row r="650" spans="1:21" ht="19.9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45" t="str">
        <f t="shared" si="20"/>
        <v/>
      </c>
      <c r="M650" s="45" t="str">
        <f t="shared" si="21"/>
        <v/>
      </c>
      <c r="N650" s="39" t="str">
        <f>IF(AND(A650="",B650=""),"",COUNTIFS(数据!$E$3:$E$998,"&lt;&gt;前期仔鱼",数据!$E$3:$E$998,"&lt;&gt;仔鱼",数据!$E$3:$E$998,"&lt;&gt;稚鱼",数据!$F$3:$F$998,A650,数据!$G$3:$G$998,B650))</f>
        <v/>
      </c>
      <c r="O650" s="39" t="str">
        <f>IF(AND(A650="",B650=""),"",COUNTIFS(数据!$E$3:$E$998,"&lt;&gt;鱼卵",数据!$E$3:$E$998,"&lt;&gt;死卵",数据!$F$3:$F$998,A650,数据!$G$3:$G$998,B650))</f>
        <v/>
      </c>
      <c r="P650" s="31"/>
      <c r="Q650">
        <f>SUMIFS(数据!$D$3:$D$998,数据!$E$3:$E$998,"鱼卵",数据!$F$3:$F$998,A650,数据!$G$3:$G$998,B650)</f>
        <v>0</v>
      </c>
      <c r="R650">
        <f>SUMIFS(数据!$D$3:$D$998,数据!$E$3:$E$998,"死卵",数据!$F$3:$F$998,A650,数据!$G$3:$G$998,B650)</f>
        <v>0</v>
      </c>
      <c r="S650">
        <f>SUMIFS(数据!$D$3:$D$998,数据!$E$3:$E$998,"前期仔鱼",数据!$F$3:$F$998,A650,数据!$G$3:$G$998,B650)</f>
        <v>0</v>
      </c>
      <c r="T650">
        <f>SUMIFS(数据!$D$3:$D$998,数据!$E$3:$E$998,"仔鱼",数据!$F$3:$F$998,A650,数据!$G$3:$G$998,B650)</f>
        <v>0</v>
      </c>
      <c r="U650">
        <f>SUMIFS(数据!$D$3:$D$998,数据!$E$3:$E$998,"稚鱼",数据!$F$3:$F$998,A650,数据!$G$3:$G$998,B650)</f>
        <v>0</v>
      </c>
    </row>
    <row r="651" spans="1:21" ht="19.9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45" t="str">
        <f t="shared" si="20"/>
        <v/>
      </c>
      <c r="M651" s="45" t="str">
        <f t="shared" si="21"/>
        <v/>
      </c>
      <c r="N651" s="39" t="str">
        <f>IF(AND(A651="",B651=""),"",COUNTIFS(数据!$E$3:$E$998,"&lt;&gt;前期仔鱼",数据!$E$3:$E$998,"&lt;&gt;仔鱼",数据!$E$3:$E$998,"&lt;&gt;稚鱼",数据!$F$3:$F$998,A651,数据!$G$3:$G$998,B651))</f>
        <v/>
      </c>
      <c r="O651" s="39" t="str">
        <f>IF(AND(A651="",B651=""),"",COUNTIFS(数据!$E$3:$E$998,"&lt;&gt;鱼卵",数据!$E$3:$E$998,"&lt;&gt;死卵",数据!$F$3:$F$998,A651,数据!$G$3:$G$998,B651))</f>
        <v/>
      </c>
      <c r="P651" s="31"/>
      <c r="Q651">
        <f>SUMIFS(数据!$D$3:$D$998,数据!$E$3:$E$998,"鱼卵",数据!$F$3:$F$998,A651,数据!$G$3:$G$998,B651)</f>
        <v>0</v>
      </c>
      <c r="R651">
        <f>SUMIFS(数据!$D$3:$D$998,数据!$E$3:$E$998,"死卵",数据!$F$3:$F$998,A651,数据!$G$3:$G$998,B651)</f>
        <v>0</v>
      </c>
      <c r="S651">
        <f>SUMIFS(数据!$D$3:$D$998,数据!$E$3:$E$998,"前期仔鱼",数据!$F$3:$F$998,A651,数据!$G$3:$G$998,B651)</f>
        <v>0</v>
      </c>
      <c r="T651">
        <f>SUMIFS(数据!$D$3:$D$998,数据!$E$3:$E$998,"仔鱼",数据!$F$3:$F$998,A651,数据!$G$3:$G$998,B651)</f>
        <v>0</v>
      </c>
      <c r="U651">
        <f>SUMIFS(数据!$D$3:$D$998,数据!$E$3:$E$998,"稚鱼",数据!$F$3:$F$998,A651,数据!$G$3:$G$998,B651)</f>
        <v>0</v>
      </c>
    </row>
    <row r="652" spans="1:21" ht="19.9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45" t="str">
        <f t="shared" si="20"/>
        <v/>
      </c>
      <c r="M652" s="45" t="str">
        <f t="shared" si="21"/>
        <v/>
      </c>
      <c r="N652" s="39" t="str">
        <f>IF(AND(A652="",B652=""),"",COUNTIFS(数据!$E$3:$E$998,"&lt;&gt;前期仔鱼",数据!$E$3:$E$998,"&lt;&gt;仔鱼",数据!$E$3:$E$998,"&lt;&gt;稚鱼",数据!$F$3:$F$998,A652,数据!$G$3:$G$998,B652))</f>
        <v/>
      </c>
      <c r="O652" s="39" t="str">
        <f>IF(AND(A652="",B652=""),"",COUNTIFS(数据!$E$3:$E$998,"&lt;&gt;鱼卵",数据!$E$3:$E$998,"&lt;&gt;死卵",数据!$F$3:$F$998,A652,数据!$G$3:$G$998,B652))</f>
        <v/>
      </c>
      <c r="P652" s="31"/>
      <c r="Q652">
        <f>SUMIFS(数据!$D$3:$D$998,数据!$E$3:$E$998,"鱼卵",数据!$F$3:$F$998,A652,数据!$G$3:$G$998,B652)</f>
        <v>0</v>
      </c>
      <c r="R652">
        <f>SUMIFS(数据!$D$3:$D$998,数据!$E$3:$E$998,"死卵",数据!$F$3:$F$998,A652,数据!$G$3:$G$998,B652)</f>
        <v>0</v>
      </c>
      <c r="S652">
        <f>SUMIFS(数据!$D$3:$D$998,数据!$E$3:$E$998,"前期仔鱼",数据!$F$3:$F$998,A652,数据!$G$3:$G$998,B652)</f>
        <v>0</v>
      </c>
      <c r="T652">
        <f>SUMIFS(数据!$D$3:$D$998,数据!$E$3:$E$998,"仔鱼",数据!$F$3:$F$998,A652,数据!$G$3:$G$998,B652)</f>
        <v>0</v>
      </c>
      <c r="U652">
        <f>SUMIFS(数据!$D$3:$D$998,数据!$E$3:$E$998,"稚鱼",数据!$F$3:$F$998,A652,数据!$G$3:$G$998,B652)</f>
        <v>0</v>
      </c>
    </row>
    <row r="653" spans="1:21" ht="19.9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45" t="str">
        <f t="shared" si="20"/>
        <v/>
      </c>
      <c r="M653" s="45" t="str">
        <f t="shared" si="21"/>
        <v/>
      </c>
      <c r="N653" s="39" t="str">
        <f>IF(AND(A653="",B653=""),"",COUNTIFS(数据!$E$3:$E$998,"&lt;&gt;前期仔鱼",数据!$E$3:$E$998,"&lt;&gt;仔鱼",数据!$E$3:$E$998,"&lt;&gt;稚鱼",数据!$F$3:$F$998,A653,数据!$G$3:$G$998,B653))</f>
        <v/>
      </c>
      <c r="O653" s="39" t="str">
        <f>IF(AND(A653="",B653=""),"",COUNTIFS(数据!$E$3:$E$998,"&lt;&gt;鱼卵",数据!$E$3:$E$998,"&lt;&gt;死卵",数据!$F$3:$F$998,A653,数据!$G$3:$G$998,B653))</f>
        <v/>
      </c>
      <c r="P653" s="31"/>
      <c r="Q653">
        <f>SUMIFS(数据!$D$3:$D$998,数据!$E$3:$E$998,"鱼卵",数据!$F$3:$F$998,A653,数据!$G$3:$G$998,B653)</f>
        <v>0</v>
      </c>
      <c r="R653">
        <f>SUMIFS(数据!$D$3:$D$998,数据!$E$3:$E$998,"死卵",数据!$F$3:$F$998,A653,数据!$G$3:$G$998,B653)</f>
        <v>0</v>
      </c>
      <c r="S653">
        <f>SUMIFS(数据!$D$3:$D$998,数据!$E$3:$E$998,"前期仔鱼",数据!$F$3:$F$998,A653,数据!$G$3:$G$998,B653)</f>
        <v>0</v>
      </c>
      <c r="T653">
        <f>SUMIFS(数据!$D$3:$D$998,数据!$E$3:$E$998,"仔鱼",数据!$F$3:$F$998,A653,数据!$G$3:$G$998,B653)</f>
        <v>0</v>
      </c>
      <c r="U653">
        <f>SUMIFS(数据!$D$3:$D$998,数据!$E$3:$E$998,"稚鱼",数据!$F$3:$F$998,A653,数据!$G$3:$G$998,B653)</f>
        <v>0</v>
      </c>
    </row>
    <row r="654" spans="1:21" ht="19.9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45" t="str">
        <f t="shared" si="20"/>
        <v/>
      </c>
      <c r="M654" s="45" t="str">
        <f t="shared" si="21"/>
        <v/>
      </c>
      <c r="N654" s="39" t="str">
        <f>IF(AND(A654="",B654=""),"",COUNTIFS(数据!$E$3:$E$998,"&lt;&gt;前期仔鱼",数据!$E$3:$E$998,"&lt;&gt;仔鱼",数据!$E$3:$E$998,"&lt;&gt;稚鱼",数据!$F$3:$F$998,A654,数据!$G$3:$G$998,B654))</f>
        <v/>
      </c>
      <c r="O654" s="39" t="str">
        <f>IF(AND(A654="",B654=""),"",COUNTIFS(数据!$E$3:$E$998,"&lt;&gt;鱼卵",数据!$E$3:$E$998,"&lt;&gt;死卵",数据!$F$3:$F$998,A654,数据!$G$3:$G$998,B654))</f>
        <v/>
      </c>
      <c r="P654" s="31"/>
      <c r="Q654">
        <f>SUMIFS(数据!$D$3:$D$998,数据!$E$3:$E$998,"鱼卵",数据!$F$3:$F$998,A654,数据!$G$3:$G$998,B654)</f>
        <v>0</v>
      </c>
      <c r="R654">
        <f>SUMIFS(数据!$D$3:$D$998,数据!$E$3:$E$998,"死卵",数据!$F$3:$F$998,A654,数据!$G$3:$G$998,B654)</f>
        <v>0</v>
      </c>
      <c r="S654">
        <f>SUMIFS(数据!$D$3:$D$998,数据!$E$3:$E$998,"前期仔鱼",数据!$F$3:$F$998,A654,数据!$G$3:$G$998,B654)</f>
        <v>0</v>
      </c>
      <c r="T654">
        <f>SUMIFS(数据!$D$3:$D$998,数据!$E$3:$E$998,"仔鱼",数据!$F$3:$F$998,A654,数据!$G$3:$G$998,B654)</f>
        <v>0</v>
      </c>
      <c r="U654">
        <f>SUMIFS(数据!$D$3:$D$998,数据!$E$3:$E$998,"稚鱼",数据!$F$3:$F$998,A654,数据!$G$3:$G$998,B654)</f>
        <v>0</v>
      </c>
    </row>
    <row r="655" spans="1:21" ht="19.9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45" t="str">
        <f t="shared" si="20"/>
        <v/>
      </c>
      <c r="M655" s="45" t="str">
        <f t="shared" si="21"/>
        <v/>
      </c>
      <c r="N655" s="39" t="str">
        <f>IF(AND(A655="",B655=""),"",COUNTIFS(数据!$E$3:$E$998,"&lt;&gt;前期仔鱼",数据!$E$3:$E$998,"&lt;&gt;仔鱼",数据!$E$3:$E$998,"&lt;&gt;稚鱼",数据!$F$3:$F$998,A655,数据!$G$3:$G$998,B655))</f>
        <v/>
      </c>
      <c r="O655" s="39" t="str">
        <f>IF(AND(A655="",B655=""),"",COUNTIFS(数据!$E$3:$E$998,"&lt;&gt;鱼卵",数据!$E$3:$E$998,"&lt;&gt;死卵",数据!$F$3:$F$998,A655,数据!$G$3:$G$998,B655))</f>
        <v/>
      </c>
      <c r="P655" s="31"/>
      <c r="Q655">
        <f>SUMIFS(数据!$D$3:$D$998,数据!$E$3:$E$998,"鱼卵",数据!$F$3:$F$998,A655,数据!$G$3:$G$998,B655)</f>
        <v>0</v>
      </c>
      <c r="R655">
        <f>SUMIFS(数据!$D$3:$D$998,数据!$E$3:$E$998,"死卵",数据!$F$3:$F$998,A655,数据!$G$3:$G$998,B655)</f>
        <v>0</v>
      </c>
      <c r="S655">
        <f>SUMIFS(数据!$D$3:$D$998,数据!$E$3:$E$998,"前期仔鱼",数据!$F$3:$F$998,A655,数据!$G$3:$G$998,B655)</f>
        <v>0</v>
      </c>
      <c r="T655">
        <f>SUMIFS(数据!$D$3:$D$998,数据!$E$3:$E$998,"仔鱼",数据!$F$3:$F$998,A655,数据!$G$3:$G$998,B655)</f>
        <v>0</v>
      </c>
      <c r="U655">
        <f>SUMIFS(数据!$D$3:$D$998,数据!$E$3:$E$998,"稚鱼",数据!$F$3:$F$998,A655,数据!$G$3:$G$998,B655)</f>
        <v>0</v>
      </c>
    </row>
    <row r="656" spans="1:21" ht="19.9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45" t="str">
        <f t="shared" si="20"/>
        <v/>
      </c>
      <c r="M656" s="45" t="str">
        <f t="shared" si="21"/>
        <v/>
      </c>
      <c r="N656" s="39" t="str">
        <f>IF(AND(A656="",B656=""),"",COUNTIFS(数据!$E$3:$E$998,"&lt;&gt;前期仔鱼",数据!$E$3:$E$998,"&lt;&gt;仔鱼",数据!$E$3:$E$998,"&lt;&gt;稚鱼",数据!$F$3:$F$998,A656,数据!$G$3:$G$998,B656))</f>
        <v/>
      </c>
      <c r="O656" s="39" t="str">
        <f>IF(AND(A656="",B656=""),"",COUNTIFS(数据!$E$3:$E$998,"&lt;&gt;鱼卵",数据!$E$3:$E$998,"&lt;&gt;死卵",数据!$F$3:$F$998,A656,数据!$G$3:$G$998,B656))</f>
        <v/>
      </c>
      <c r="P656" s="31"/>
      <c r="Q656">
        <f>SUMIFS(数据!$D$3:$D$998,数据!$E$3:$E$998,"鱼卵",数据!$F$3:$F$998,A656,数据!$G$3:$G$998,B656)</f>
        <v>0</v>
      </c>
      <c r="R656">
        <f>SUMIFS(数据!$D$3:$D$998,数据!$E$3:$E$998,"死卵",数据!$F$3:$F$998,A656,数据!$G$3:$G$998,B656)</f>
        <v>0</v>
      </c>
      <c r="S656">
        <f>SUMIFS(数据!$D$3:$D$998,数据!$E$3:$E$998,"前期仔鱼",数据!$F$3:$F$998,A656,数据!$G$3:$G$998,B656)</f>
        <v>0</v>
      </c>
      <c r="T656">
        <f>SUMIFS(数据!$D$3:$D$998,数据!$E$3:$E$998,"仔鱼",数据!$F$3:$F$998,A656,数据!$G$3:$G$998,B656)</f>
        <v>0</v>
      </c>
      <c r="U656">
        <f>SUMIFS(数据!$D$3:$D$998,数据!$E$3:$E$998,"稚鱼",数据!$F$3:$F$998,A656,数据!$G$3:$G$998,B656)</f>
        <v>0</v>
      </c>
    </row>
    <row r="657" spans="1:21" ht="19.9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45" t="str">
        <f t="shared" si="20"/>
        <v/>
      </c>
      <c r="M657" s="45" t="str">
        <f t="shared" si="21"/>
        <v/>
      </c>
      <c r="N657" s="39" t="str">
        <f>IF(AND(A657="",B657=""),"",COUNTIFS(数据!$E$3:$E$998,"&lt;&gt;前期仔鱼",数据!$E$3:$E$998,"&lt;&gt;仔鱼",数据!$E$3:$E$998,"&lt;&gt;稚鱼",数据!$F$3:$F$998,A657,数据!$G$3:$G$998,B657))</f>
        <v/>
      </c>
      <c r="O657" s="39" t="str">
        <f>IF(AND(A657="",B657=""),"",COUNTIFS(数据!$E$3:$E$998,"&lt;&gt;鱼卵",数据!$E$3:$E$998,"&lt;&gt;死卵",数据!$F$3:$F$998,A657,数据!$G$3:$G$998,B657))</f>
        <v/>
      </c>
      <c r="P657" s="31"/>
      <c r="Q657">
        <f>SUMIFS(数据!$D$3:$D$998,数据!$E$3:$E$998,"鱼卵",数据!$F$3:$F$998,A657,数据!$G$3:$G$998,B657)</f>
        <v>0</v>
      </c>
      <c r="R657">
        <f>SUMIFS(数据!$D$3:$D$998,数据!$E$3:$E$998,"死卵",数据!$F$3:$F$998,A657,数据!$G$3:$G$998,B657)</f>
        <v>0</v>
      </c>
      <c r="S657">
        <f>SUMIFS(数据!$D$3:$D$998,数据!$E$3:$E$998,"前期仔鱼",数据!$F$3:$F$998,A657,数据!$G$3:$G$998,B657)</f>
        <v>0</v>
      </c>
      <c r="T657">
        <f>SUMIFS(数据!$D$3:$D$998,数据!$E$3:$E$998,"仔鱼",数据!$F$3:$F$998,A657,数据!$G$3:$G$998,B657)</f>
        <v>0</v>
      </c>
      <c r="U657">
        <f>SUMIFS(数据!$D$3:$D$998,数据!$E$3:$E$998,"稚鱼",数据!$F$3:$F$998,A657,数据!$G$3:$G$998,B657)</f>
        <v>0</v>
      </c>
    </row>
    <row r="658" spans="1:21" ht="19.9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45" t="str">
        <f t="shared" si="20"/>
        <v/>
      </c>
      <c r="M658" s="45" t="str">
        <f t="shared" si="21"/>
        <v/>
      </c>
      <c r="N658" s="39" t="str">
        <f>IF(AND(A658="",B658=""),"",COUNTIFS(数据!$E$3:$E$998,"&lt;&gt;前期仔鱼",数据!$E$3:$E$998,"&lt;&gt;仔鱼",数据!$E$3:$E$998,"&lt;&gt;稚鱼",数据!$F$3:$F$998,A658,数据!$G$3:$G$998,B658))</f>
        <v/>
      </c>
      <c r="O658" s="39" t="str">
        <f>IF(AND(A658="",B658=""),"",COUNTIFS(数据!$E$3:$E$998,"&lt;&gt;鱼卵",数据!$E$3:$E$998,"&lt;&gt;死卵",数据!$F$3:$F$998,A658,数据!$G$3:$G$998,B658))</f>
        <v/>
      </c>
      <c r="P658" s="31"/>
      <c r="Q658">
        <f>SUMIFS(数据!$D$3:$D$998,数据!$E$3:$E$998,"鱼卵",数据!$F$3:$F$998,A658,数据!$G$3:$G$998,B658)</f>
        <v>0</v>
      </c>
      <c r="R658">
        <f>SUMIFS(数据!$D$3:$D$998,数据!$E$3:$E$998,"死卵",数据!$F$3:$F$998,A658,数据!$G$3:$G$998,B658)</f>
        <v>0</v>
      </c>
      <c r="S658">
        <f>SUMIFS(数据!$D$3:$D$998,数据!$E$3:$E$998,"前期仔鱼",数据!$F$3:$F$998,A658,数据!$G$3:$G$998,B658)</f>
        <v>0</v>
      </c>
      <c r="T658">
        <f>SUMIFS(数据!$D$3:$D$998,数据!$E$3:$E$998,"仔鱼",数据!$F$3:$F$998,A658,数据!$G$3:$G$998,B658)</f>
        <v>0</v>
      </c>
      <c r="U658">
        <f>SUMIFS(数据!$D$3:$D$998,数据!$E$3:$E$998,"稚鱼",数据!$F$3:$F$998,A658,数据!$G$3:$G$998,B658)</f>
        <v>0</v>
      </c>
    </row>
    <row r="659" spans="1:21" ht="19.9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45" t="str">
        <f t="shared" si="20"/>
        <v/>
      </c>
      <c r="M659" s="45" t="str">
        <f t="shared" si="21"/>
        <v/>
      </c>
      <c r="N659" s="39" t="str">
        <f>IF(AND(A659="",B659=""),"",COUNTIFS(数据!$E$3:$E$998,"&lt;&gt;前期仔鱼",数据!$E$3:$E$998,"&lt;&gt;仔鱼",数据!$E$3:$E$998,"&lt;&gt;稚鱼",数据!$F$3:$F$998,A659,数据!$G$3:$G$998,B659))</f>
        <v/>
      </c>
      <c r="O659" s="39" t="str">
        <f>IF(AND(A659="",B659=""),"",COUNTIFS(数据!$E$3:$E$998,"&lt;&gt;鱼卵",数据!$E$3:$E$998,"&lt;&gt;死卵",数据!$F$3:$F$998,A659,数据!$G$3:$G$998,B659))</f>
        <v/>
      </c>
      <c r="P659" s="31"/>
      <c r="Q659">
        <f>SUMIFS(数据!$D$3:$D$998,数据!$E$3:$E$998,"鱼卵",数据!$F$3:$F$998,A659,数据!$G$3:$G$998,B659)</f>
        <v>0</v>
      </c>
      <c r="R659">
        <f>SUMIFS(数据!$D$3:$D$998,数据!$E$3:$E$998,"死卵",数据!$F$3:$F$998,A659,数据!$G$3:$G$998,B659)</f>
        <v>0</v>
      </c>
      <c r="S659">
        <f>SUMIFS(数据!$D$3:$D$998,数据!$E$3:$E$998,"前期仔鱼",数据!$F$3:$F$998,A659,数据!$G$3:$G$998,B659)</f>
        <v>0</v>
      </c>
      <c r="T659">
        <f>SUMIFS(数据!$D$3:$D$998,数据!$E$3:$E$998,"仔鱼",数据!$F$3:$F$998,A659,数据!$G$3:$G$998,B659)</f>
        <v>0</v>
      </c>
      <c r="U659">
        <f>SUMIFS(数据!$D$3:$D$998,数据!$E$3:$E$998,"稚鱼",数据!$F$3:$F$998,A659,数据!$G$3:$G$998,B659)</f>
        <v>0</v>
      </c>
    </row>
    <row r="660" spans="1:21" ht="19.9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45" t="str">
        <f t="shared" si="20"/>
        <v/>
      </c>
      <c r="M660" s="45" t="str">
        <f t="shared" si="21"/>
        <v/>
      </c>
      <c r="N660" s="39" t="str">
        <f>IF(AND(A660="",B660=""),"",COUNTIFS(数据!$E$3:$E$998,"&lt;&gt;前期仔鱼",数据!$E$3:$E$998,"&lt;&gt;仔鱼",数据!$E$3:$E$998,"&lt;&gt;稚鱼",数据!$F$3:$F$998,A660,数据!$G$3:$G$998,B660))</f>
        <v/>
      </c>
      <c r="O660" s="39" t="str">
        <f>IF(AND(A660="",B660=""),"",COUNTIFS(数据!$E$3:$E$998,"&lt;&gt;鱼卵",数据!$E$3:$E$998,"&lt;&gt;死卵",数据!$F$3:$F$998,A660,数据!$G$3:$G$998,B660))</f>
        <v/>
      </c>
      <c r="P660" s="31"/>
      <c r="Q660">
        <f>SUMIFS(数据!$D$3:$D$998,数据!$E$3:$E$998,"鱼卵",数据!$F$3:$F$998,A660,数据!$G$3:$G$998,B660)</f>
        <v>0</v>
      </c>
      <c r="R660">
        <f>SUMIFS(数据!$D$3:$D$998,数据!$E$3:$E$998,"死卵",数据!$F$3:$F$998,A660,数据!$G$3:$G$998,B660)</f>
        <v>0</v>
      </c>
      <c r="S660">
        <f>SUMIFS(数据!$D$3:$D$998,数据!$E$3:$E$998,"前期仔鱼",数据!$F$3:$F$998,A660,数据!$G$3:$G$998,B660)</f>
        <v>0</v>
      </c>
      <c r="T660">
        <f>SUMIFS(数据!$D$3:$D$998,数据!$E$3:$E$998,"仔鱼",数据!$F$3:$F$998,A660,数据!$G$3:$G$998,B660)</f>
        <v>0</v>
      </c>
      <c r="U660">
        <f>SUMIFS(数据!$D$3:$D$998,数据!$E$3:$E$998,"稚鱼",数据!$F$3:$F$998,A660,数据!$G$3:$G$998,B660)</f>
        <v>0</v>
      </c>
    </row>
    <row r="661" spans="1:21" ht="19.9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45" t="str">
        <f t="shared" si="20"/>
        <v/>
      </c>
      <c r="M661" s="45" t="str">
        <f t="shared" si="21"/>
        <v/>
      </c>
      <c r="N661" s="39" t="str">
        <f>IF(AND(A661="",B661=""),"",COUNTIFS(数据!$E$3:$E$998,"&lt;&gt;前期仔鱼",数据!$E$3:$E$998,"&lt;&gt;仔鱼",数据!$E$3:$E$998,"&lt;&gt;稚鱼",数据!$F$3:$F$998,A661,数据!$G$3:$G$998,B661))</f>
        <v/>
      </c>
      <c r="O661" s="39" t="str">
        <f>IF(AND(A661="",B661=""),"",COUNTIFS(数据!$E$3:$E$998,"&lt;&gt;鱼卵",数据!$E$3:$E$998,"&lt;&gt;死卵",数据!$F$3:$F$998,A661,数据!$G$3:$G$998,B661))</f>
        <v/>
      </c>
      <c r="P661" s="31"/>
      <c r="Q661">
        <f>SUMIFS(数据!$D$3:$D$998,数据!$E$3:$E$998,"鱼卵",数据!$F$3:$F$998,A661,数据!$G$3:$G$998,B661)</f>
        <v>0</v>
      </c>
      <c r="R661">
        <f>SUMIFS(数据!$D$3:$D$998,数据!$E$3:$E$998,"死卵",数据!$F$3:$F$998,A661,数据!$G$3:$G$998,B661)</f>
        <v>0</v>
      </c>
      <c r="S661">
        <f>SUMIFS(数据!$D$3:$D$998,数据!$E$3:$E$998,"前期仔鱼",数据!$F$3:$F$998,A661,数据!$G$3:$G$998,B661)</f>
        <v>0</v>
      </c>
      <c r="T661">
        <f>SUMIFS(数据!$D$3:$D$998,数据!$E$3:$E$998,"仔鱼",数据!$F$3:$F$998,A661,数据!$G$3:$G$998,B661)</f>
        <v>0</v>
      </c>
      <c r="U661">
        <f>SUMIFS(数据!$D$3:$D$998,数据!$E$3:$E$998,"稚鱼",数据!$F$3:$F$998,A661,数据!$G$3:$G$998,B661)</f>
        <v>0</v>
      </c>
    </row>
    <row r="662" spans="1:21" ht="19.9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45" t="str">
        <f t="shared" si="20"/>
        <v/>
      </c>
      <c r="M662" s="45" t="str">
        <f t="shared" si="21"/>
        <v/>
      </c>
      <c r="N662" s="39" t="str">
        <f>IF(AND(A662="",B662=""),"",COUNTIFS(数据!$E$3:$E$998,"&lt;&gt;前期仔鱼",数据!$E$3:$E$998,"&lt;&gt;仔鱼",数据!$E$3:$E$998,"&lt;&gt;稚鱼",数据!$F$3:$F$998,A662,数据!$G$3:$G$998,B662))</f>
        <v/>
      </c>
      <c r="O662" s="39" t="str">
        <f>IF(AND(A662="",B662=""),"",COUNTIFS(数据!$E$3:$E$998,"&lt;&gt;鱼卵",数据!$E$3:$E$998,"&lt;&gt;死卵",数据!$F$3:$F$998,A662,数据!$G$3:$G$998,B662))</f>
        <v/>
      </c>
      <c r="P662" s="31"/>
      <c r="Q662">
        <f>SUMIFS(数据!$D$3:$D$998,数据!$E$3:$E$998,"鱼卵",数据!$F$3:$F$998,A662,数据!$G$3:$G$998,B662)</f>
        <v>0</v>
      </c>
      <c r="R662">
        <f>SUMIFS(数据!$D$3:$D$998,数据!$E$3:$E$998,"死卵",数据!$F$3:$F$998,A662,数据!$G$3:$G$998,B662)</f>
        <v>0</v>
      </c>
      <c r="S662">
        <f>SUMIFS(数据!$D$3:$D$998,数据!$E$3:$E$998,"前期仔鱼",数据!$F$3:$F$998,A662,数据!$G$3:$G$998,B662)</f>
        <v>0</v>
      </c>
      <c r="T662">
        <f>SUMIFS(数据!$D$3:$D$998,数据!$E$3:$E$998,"仔鱼",数据!$F$3:$F$998,A662,数据!$G$3:$G$998,B662)</f>
        <v>0</v>
      </c>
      <c r="U662">
        <f>SUMIFS(数据!$D$3:$D$998,数据!$E$3:$E$998,"稚鱼",数据!$F$3:$F$998,A662,数据!$G$3:$G$998,B662)</f>
        <v>0</v>
      </c>
    </row>
    <row r="663" spans="1:21" ht="19.9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45" t="str">
        <f t="shared" si="20"/>
        <v/>
      </c>
      <c r="M663" s="45" t="str">
        <f t="shared" si="21"/>
        <v/>
      </c>
      <c r="N663" s="39" t="str">
        <f>IF(AND(A663="",B663=""),"",COUNTIFS(数据!$E$3:$E$998,"&lt;&gt;前期仔鱼",数据!$E$3:$E$998,"&lt;&gt;仔鱼",数据!$E$3:$E$998,"&lt;&gt;稚鱼",数据!$F$3:$F$998,A663,数据!$G$3:$G$998,B663))</f>
        <v/>
      </c>
      <c r="O663" s="39" t="str">
        <f>IF(AND(A663="",B663=""),"",COUNTIFS(数据!$E$3:$E$998,"&lt;&gt;鱼卵",数据!$E$3:$E$998,"&lt;&gt;死卵",数据!$F$3:$F$998,A663,数据!$G$3:$G$998,B663))</f>
        <v/>
      </c>
      <c r="P663" s="31"/>
      <c r="Q663">
        <f>SUMIFS(数据!$D$3:$D$998,数据!$E$3:$E$998,"鱼卵",数据!$F$3:$F$998,A663,数据!$G$3:$G$998,B663)</f>
        <v>0</v>
      </c>
      <c r="R663">
        <f>SUMIFS(数据!$D$3:$D$998,数据!$E$3:$E$998,"死卵",数据!$F$3:$F$998,A663,数据!$G$3:$G$998,B663)</f>
        <v>0</v>
      </c>
      <c r="S663">
        <f>SUMIFS(数据!$D$3:$D$998,数据!$E$3:$E$998,"前期仔鱼",数据!$F$3:$F$998,A663,数据!$G$3:$G$998,B663)</f>
        <v>0</v>
      </c>
      <c r="T663">
        <f>SUMIFS(数据!$D$3:$D$998,数据!$E$3:$E$998,"仔鱼",数据!$F$3:$F$998,A663,数据!$G$3:$G$998,B663)</f>
        <v>0</v>
      </c>
      <c r="U663">
        <f>SUMIFS(数据!$D$3:$D$998,数据!$E$3:$E$998,"稚鱼",数据!$F$3:$F$998,A663,数据!$G$3:$G$998,B663)</f>
        <v>0</v>
      </c>
    </row>
    <row r="664" spans="1:21" ht="19.9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45" t="str">
        <f t="shared" si="20"/>
        <v/>
      </c>
      <c r="M664" s="45" t="str">
        <f t="shared" si="21"/>
        <v/>
      </c>
      <c r="N664" s="39" t="str">
        <f>IF(AND(A664="",B664=""),"",COUNTIFS(数据!$E$3:$E$998,"&lt;&gt;前期仔鱼",数据!$E$3:$E$998,"&lt;&gt;仔鱼",数据!$E$3:$E$998,"&lt;&gt;稚鱼",数据!$F$3:$F$998,A664,数据!$G$3:$G$998,B664))</f>
        <v/>
      </c>
      <c r="O664" s="39" t="str">
        <f>IF(AND(A664="",B664=""),"",COUNTIFS(数据!$E$3:$E$998,"&lt;&gt;鱼卵",数据!$E$3:$E$998,"&lt;&gt;死卵",数据!$F$3:$F$998,A664,数据!$G$3:$G$998,B664))</f>
        <v/>
      </c>
      <c r="P664" s="31"/>
      <c r="Q664">
        <f>SUMIFS(数据!$D$3:$D$998,数据!$E$3:$E$998,"鱼卵",数据!$F$3:$F$998,A664,数据!$G$3:$G$998,B664)</f>
        <v>0</v>
      </c>
      <c r="R664">
        <f>SUMIFS(数据!$D$3:$D$998,数据!$E$3:$E$998,"死卵",数据!$F$3:$F$998,A664,数据!$G$3:$G$998,B664)</f>
        <v>0</v>
      </c>
      <c r="S664">
        <f>SUMIFS(数据!$D$3:$D$998,数据!$E$3:$E$998,"前期仔鱼",数据!$F$3:$F$998,A664,数据!$G$3:$G$998,B664)</f>
        <v>0</v>
      </c>
      <c r="T664">
        <f>SUMIFS(数据!$D$3:$D$998,数据!$E$3:$E$998,"仔鱼",数据!$F$3:$F$998,A664,数据!$G$3:$G$998,B664)</f>
        <v>0</v>
      </c>
      <c r="U664">
        <f>SUMIFS(数据!$D$3:$D$998,数据!$E$3:$E$998,"稚鱼",数据!$F$3:$F$998,A664,数据!$G$3:$G$998,B664)</f>
        <v>0</v>
      </c>
    </row>
    <row r="665" spans="1:21" ht="19.9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45" t="str">
        <f t="shared" si="20"/>
        <v/>
      </c>
      <c r="M665" s="45" t="str">
        <f t="shared" si="21"/>
        <v/>
      </c>
      <c r="N665" s="39" t="str">
        <f>IF(AND(A665="",B665=""),"",COUNTIFS(数据!$E$3:$E$998,"&lt;&gt;前期仔鱼",数据!$E$3:$E$998,"&lt;&gt;仔鱼",数据!$E$3:$E$998,"&lt;&gt;稚鱼",数据!$F$3:$F$998,A665,数据!$G$3:$G$998,B665))</f>
        <v/>
      </c>
      <c r="O665" s="39" t="str">
        <f>IF(AND(A665="",B665=""),"",COUNTIFS(数据!$E$3:$E$998,"&lt;&gt;鱼卵",数据!$E$3:$E$998,"&lt;&gt;死卵",数据!$F$3:$F$998,A665,数据!$G$3:$G$998,B665))</f>
        <v/>
      </c>
      <c r="P665" s="31"/>
      <c r="Q665">
        <f>SUMIFS(数据!$D$3:$D$998,数据!$E$3:$E$998,"鱼卵",数据!$F$3:$F$998,A665,数据!$G$3:$G$998,B665)</f>
        <v>0</v>
      </c>
      <c r="R665">
        <f>SUMIFS(数据!$D$3:$D$998,数据!$E$3:$E$998,"死卵",数据!$F$3:$F$998,A665,数据!$G$3:$G$998,B665)</f>
        <v>0</v>
      </c>
      <c r="S665">
        <f>SUMIFS(数据!$D$3:$D$998,数据!$E$3:$E$998,"前期仔鱼",数据!$F$3:$F$998,A665,数据!$G$3:$G$998,B665)</f>
        <v>0</v>
      </c>
      <c r="T665">
        <f>SUMIFS(数据!$D$3:$D$998,数据!$E$3:$E$998,"仔鱼",数据!$F$3:$F$998,A665,数据!$G$3:$G$998,B665)</f>
        <v>0</v>
      </c>
      <c r="U665">
        <f>SUMIFS(数据!$D$3:$D$998,数据!$E$3:$E$998,"稚鱼",数据!$F$3:$F$998,A665,数据!$G$3:$G$998,B665)</f>
        <v>0</v>
      </c>
    </row>
    <row r="666" spans="1:21" ht="19.9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45" t="str">
        <f t="shared" si="20"/>
        <v/>
      </c>
      <c r="M666" s="45" t="str">
        <f t="shared" si="21"/>
        <v/>
      </c>
      <c r="N666" s="39" t="str">
        <f>IF(AND(A666="",B666=""),"",COUNTIFS(数据!$E$3:$E$998,"&lt;&gt;前期仔鱼",数据!$E$3:$E$998,"&lt;&gt;仔鱼",数据!$E$3:$E$998,"&lt;&gt;稚鱼",数据!$F$3:$F$998,A666,数据!$G$3:$G$998,B666))</f>
        <v/>
      </c>
      <c r="O666" s="39" t="str">
        <f>IF(AND(A666="",B666=""),"",COUNTIFS(数据!$E$3:$E$998,"&lt;&gt;鱼卵",数据!$E$3:$E$998,"&lt;&gt;死卵",数据!$F$3:$F$998,A666,数据!$G$3:$G$998,B666))</f>
        <v/>
      </c>
      <c r="P666" s="31"/>
      <c r="Q666">
        <f>SUMIFS(数据!$D$3:$D$998,数据!$E$3:$E$998,"鱼卵",数据!$F$3:$F$998,A666,数据!$G$3:$G$998,B666)</f>
        <v>0</v>
      </c>
      <c r="R666">
        <f>SUMIFS(数据!$D$3:$D$998,数据!$E$3:$E$998,"死卵",数据!$F$3:$F$998,A666,数据!$G$3:$G$998,B666)</f>
        <v>0</v>
      </c>
      <c r="S666">
        <f>SUMIFS(数据!$D$3:$D$998,数据!$E$3:$E$998,"前期仔鱼",数据!$F$3:$F$998,A666,数据!$G$3:$G$998,B666)</f>
        <v>0</v>
      </c>
      <c r="T666">
        <f>SUMIFS(数据!$D$3:$D$998,数据!$E$3:$E$998,"仔鱼",数据!$F$3:$F$998,A666,数据!$G$3:$G$998,B666)</f>
        <v>0</v>
      </c>
      <c r="U666">
        <f>SUMIFS(数据!$D$3:$D$998,数据!$E$3:$E$998,"稚鱼",数据!$F$3:$F$998,A666,数据!$G$3:$G$998,B666)</f>
        <v>0</v>
      </c>
    </row>
    <row r="667" spans="1:21" ht="19.9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45" t="str">
        <f t="shared" si="20"/>
        <v/>
      </c>
      <c r="M667" s="45" t="str">
        <f t="shared" si="21"/>
        <v/>
      </c>
      <c r="N667" s="39" t="str">
        <f>IF(AND(A667="",B667=""),"",COUNTIFS(数据!$E$3:$E$998,"&lt;&gt;前期仔鱼",数据!$E$3:$E$998,"&lt;&gt;仔鱼",数据!$E$3:$E$998,"&lt;&gt;稚鱼",数据!$F$3:$F$998,A667,数据!$G$3:$G$998,B667))</f>
        <v/>
      </c>
      <c r="O667" s="39" t="str">
        <f>IF(AND(A667="",B667=""),"",COUNTIFS(数据!$E$3:$E$998,"&lt;&gt;鱼卵",数据!$E$3:$E$998,"&lt;&gt;死卵",数据!$F$3:$F$998,A667,数据!$G$3:$G$998,B667))</f>
        <v/>
      </c>
      <c r="P667" s="31"/>
      <c r="Q667">
        <f>SUMIFS(数据!$D$3:$D$998,数据!$E$3:$E$998,"鱼卵",数据!$F$3:$F$998,A667,数据!$G$3:$G$998,B667)</f>
        <v>0</v>
      </c>
      <c r="R667">
        <f>SUMIFS(数据!$D$3:$D$998,数据!$E$3:$E$998,"死卵",数据!$F$3:$F$998,A667,数据!$G$3:$G$998,B667)</f>
        <v>0</v>
      </c>
      <c r="S667">
        <f>SUMIFS(数据!$D$3:$D$998,数据!$E$3:$E$998,"前期仔鱼",数据!$F$3:$F$998,A667,数据!$G$3:$G$998,B667)</f>
        <v>0</v>
      </c>
      <c r="T667">
        <f>SUMIFS(数据!$D$3:$D$998,数据!$E$3:$E$998,"仔鱼",数据!$F$3:$F$998,A667,数据!$G$3:$G$998,B667)</f>
        <v>0</v>
      </c>
      <c r="U667">
        <f>SUMIFS(数据!$D$3:$D$998,数据!$E$3:$E$998,"稚鱼",数据!$F$3:$F$998,A667,数据!$G$3:$G$998,B667)</f>
        <v>0</v>
      </c>
    </row>
    <row r="668" spans="1:21" ht="19.9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45" t="str">
        <f t="shared" si="20"/>
        <v/>
      </c>
      <c r="M668" s="45" t="str">
        <f t="shared" si="21"/>
        <v/>
      </c>
      <c r="N668" s="39" t="str">
        <f>IF(AND(A668="",B668=""),"",COUNTIFS(数据!$E$3:$E$998,"&lt;&gt;前期仔鱼",数据!$E$3:$E$998,"&lt;&gt;仔鱼",数据!$E$3:$E$998,"&lt;&gt;稚鱼",数据!$F$3:$F$998,A668,数据!$G$3:$G$998,B668))</f>
        <v/>
      </c>
      <c r="O668" s="39" t="str">
        <f>IF(AND(A668="",B668=""),"",COUNTIFS(数据!$E$3:$E$998,"&lt;&gt;鱼卵",数据!$E$3:$E$998,"&lt;&gt;死卵",数据!$F$3:$F$998,A668,数据!$G$3:$G$998,B668))</f>
        <v/>
      </c>
      <c r="P668" s="31"/>
      <c r="Q668">
        <f>SUMIFS(数据!$D$3:$D$998,数据!$E$3:$E$998,"鱼卵",数据!$F$3:$F$998,A668,数据!$G$3:$G$998,B668)</f>
        <v>0</v>
      </c>
      <c r="R668">
        <f>SUMIFS(数据!$D$3:$D$998,数据!$E$3:$E$998,"死卵",数据!$F$3:$F$998,A668,数据!$G$3:$G$998,B668)</f>
        <v>0</v>
      </c>
      <c r="S668">
        <f>SUMIFS(数据!$D$3:$D$998,数据!$E$3:$E$998,"前期仔鱼",数据!$F$3:$F$998,A668,数据!$G$3:$G$998,B668)</f>
        <v>0</v>
      </c>
      <c r="T668">
        <f>SUMIFS(数据!$D$3:$D$998,数据!$E$3:$E$998,"仔鱼",数据!$F$3:$F$998,A668,数据!$G$3:$G$998,B668)</f>
        <v>0</v>
      </c>
      <c r="U668">
        <f>SUMIFS(数据!$D$3:$D$998,数据!$E$3:$E$998,"稚鱼",数据!$F$3:$F$998,A668,数据!$G$3:$G$998,B668)</f>
        <v>0</v>
      </c>
    </row>
    <row r="669" spans="1:21" ht="19.9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45" t="str">
        <f t="shared" si="20"/>
        <v/>
      </c>
      <c r="M669" s="45" t="str">
        <f t="shared" si="21"/>
        <v/>
      </c>
      <c r="N669" s="39" t="str">
        <f>IF(AND(A669="",B669=""),"",COUNTIFS(数据!$E$3:$E$998,"&lt;&gt;前期仔鱼",数据!$E$3:$E$998,"&lt;&gt;仔鱼",数据!$E$3:$E$998,"&lt;&gt;稚鱼",数据!$F$3:$F$998,A669,数据!$G$3:$G$998,B669))</f>
        <v/>
      </c>
      <c r="O669" s="39" t="str">
        <f>IF(AND(A669="",B669=""),"",COUNTIFS(数据!$E$3:$E$998,"&lt;&gt;鱼卵",数据!$E$3:$E$998,"&lt;&gt;死卵",数据!$F$3:$F$998,A669,数据!$G$3:$G$998,B669))</f>
        <v/>
      </c>
      <c r="P669" s="31"/>
      <c r="Q669">
        <f>SUMIFS(数据!$D$3:$D$998,数据!$E$3:$E$998,"鱼卵",数据!$F$3:$F$998,A669,数据!$G$3:$G$998,B669)</f>
        <v>0</v>
      </c>
      <c r="R669">
        <f>SUMIFS(数据!$D$3:$D$998,数据!$E$3:$E$998,"死卵",数据!$F$3:$F$998,A669,数据!$G$3:$G$998,B669)</f>
        <v>0</v>
      </c>
      <c r="S669">
        <f>SUMIFS(数据!$D$3:$D$998,数据!$E$3:$E$998,"前期仔鱼",数据!$F$3:$F$998,A669,数据!$G$3:$G$998,B669)</f>
        <v>0</v>
      </c>
      <c r="T669">
        <f>SUMIFS(数据!$D$3:$D$998,数据!$E$3:$E$998,"仔鱼",数据!$F$3:$F$998,A669,数据!$G$3:$G$998,B669)</f>
        <v>0</v>
      </c>
      <c r="U669">
        <f>SUMIFS(数据!$D$3:$D$998,数据!$E$3:$E$998,"稚鱼",数据!$F$3:$F$998,A669,数据!$G$3:$G$998,B669)</f>
        <v>0</v>
      </c>
    </row>
    <row r="670" spans="1:21" ht="19.9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45" t="str">
        <f t="shared" si="20"/>
        <v/>
      </c>
      <c r="M670" s="45" t="str">
        <f t="shared" si="21"/>
        <v/>
      </c>
      <c r="N670" s="39" t="str">
        <f>IF(AND(A670="",B670=""),"",COUNTIFS(数据!$E$3:$E$998,"&lt;&gt;前期仔鱼",数据!$E$3:$E$998,"&lt;&gt;仔鱼",数据!$E$3:$E$998,"&lt;&gt;稚鱼",数据!$F$3:$F$998,A670,数据!$G$3:$G$998,B670))</f>
        <v/>
      </c>
      <c r="O670" s="39" t="str">
        <f>IF(AND(A670="",B670=""),"",COUNTIFS(数据!$E$3:$E$998,"&lt;&gt;鱼卵",数据!$E$3:$E$998,"&lt;&gt;死卵",数据!$F$3:$F$998,A670,数据!$G$3:$G$998,B670))</f>
        <v/>
      </c>
      <c r="P670" s="31"/>
      <c r="Q670">
        <f>SUMIFS(数据!$D$3:$D$998,数据!$E$3:$E$998,"鱼卵",数据!$F$3:$F$998,A670,数据!$G$3:$G$998,B670)</f>
        <v>0</v>
      </c>
      <c r="R670">
        <f>SUMIFS(数据!$D$3:$D$998,数据!$E$3:$E$998,"死卵",数据!$F$3:$F$998,A670,数据!$G$3:$G$998,B670)</f>
        <v>0</v>
      </c>
      <c r="S670">
        <f>SUMIFS(数据!$D$3:$D$998,数据!$E$3:$E$998,"前期仔鱼",数据!$F$3:$F$998,A670,数据!$G$3:$G$998,B670)</f>
        <v>0</v>
      </c>
      <c r="T670">
        <f>SUMIFS(数据!$D$3:$D$998,数据!$E$3:$E$998,"仔鱼",数据!$F$3:$F$998,A670,数据!$G$3:$G$998,B670)</f>
        <v>0</v>
      </c>
      <c r="U670">
        <f>SUMIFS(数据!$D$3:$D$998,数据!$E$3:$E$998,"稚鱼",数据!$F$3:$F$998,A670,数据!$G$3:$G$998,B670)</f>
        <v>0</v>
      </c>
    </row>
    <row r="671" spans="1:21" ht="19.9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45" t="str">
        <f t="shared" si="20"/>
        <v/>
      </c>
      <c r="M671" s="45" t="str">
        <f t="shared" si="21"/>
        <v/>
      </c>
      <c r="N671" s="39" t="str">
        <f>IF(AND(A671="",B671=""),"",COUNTIFS(数据!$E$3:$E$998,"&lt;&gt;前期仔鱼",数据!$E$3:$E$998,"&lt;&gt;仔鱼",数据!$E$3:$E$998,"&lt;&gt;稚鱼",数据!$F$3:$F$998,A671,数据!$G$3:$G$998,B671))</f>
        <v/>
      </c>
      <c r="O671" s="39" t="str">
        <f>IF(AND(A671="",B671=""),"",COUNTIFS(数据!$E$3:$E$998,"&lt;&gt;鱼卵",数据!$E$3:$E$998,"&lt;&gt;死卵",数据!$F$3:$F$998,A671,数据!$G$3:$G$998,B671))</f>
        <v/>
      </c>
      <c r="P671" s="31"/>
      <c r="Q671">
        <f>SUMIFS(数据!$D$3:$D$998,数据!$E$3:$E$998,"鱼卵",数据!$F$3:$F$998,A671,数据!$G$3:$G$998,B671)</f>
        <v>0</v>
      </c>
      <c r="R671">
        <f>SUMIFS(数据!$D$3:$D$998,数据!$E$3:$E$998,"死卵",数据!$F$3:$F$998,A671,数据!$G$3:$G$998,B671)</f>
        <v>0</v>
      </c>
      <c r="S671">
        <f>SUMIFS(数据!$D$3:$D$998,数据!$E$3:$E$998,"前期仔鱼",数据!$F$3:$F$998,A671,数据!$G$3:$G$998,B671)</f>
        <v>0</v>
      </c>
      <c r="T671">
        <f>SUMIFS(数据!$D$3:$D$998,数据!$E$3:$E$998,"仔鱼",数据!$F$3:$F$998,A671,数据!$G$3:$G$998,B671)</f>
        <v>0</v>
      </c>
      <c r="U671">
        <f>SUMIFS(数据!$D$3:$D$998,数据!$E$3:$E$998,"稚鱼",数据!$F$3:$F$998,A671,数据!$G$3:$G$998,B671)</f>
        <v>0</v>
      </c>
    </row>
    <row r="672" spans="1:21" ht="19.9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45" t="str">
        <f t="shared" si="20"/>
        <v/>
      </c>
      <c r="M672" s="45" t="str">
        <f t="shared" si="21"/>
        <v/>
      </c>
      <c r="N672" s="39" t="str">
        <f>IF(AND(A672="",B672=""),"",COUNTIFS(数据!$E$3:$E$998,"&lt;&gt;前期仔鱼",数据!$E$3:$E$998,"&lt;&gt;仔鱼",数据!$E$3:$E$998,"&lt;&gt;稚鱼",数据!$F$3:$F$998,A672,数据!$G$3:$G$998,B672))</f>
        <v/>
      </c>
      <c r="O672" s="39" t="str">
        <f>IF(AND(A672="",B672=""),"",COUNTIFS(数据!$E$3:$E$998,"&lt;&gt;鱼卵",数据!$E$3:$E$998,"&lt;&gt;死卵",数据!$F$3:$F$998,A672,数据!$G$3:$G$998,B672))</f>
        <v/>
      </c>
      <c r="P672" s="31"/>
      <c r="Q672">
        <f>SUMIFS(数据!$D$3:$D$998,数据!$E$3:$E$998,"鱼卵",数据!$F$3:$F$998,A672,数据!$G$3:$G$998,B672)</f>
        <v>0</v>
      </c>
      <c r="R672">
        <f>SUMIFS(数据!$D$3:$D$998,数据!$E$3:$E$998,"死卵",数据!$F$3:$F$998,A672,数据!$G$3:$G$998,B672)</f>
        <v>0</v>
      </c>
      <c r="S672">
        <f>SUMIFS(数据!$D$3:$D$998,数据!$E$3:$E$998,"前期仔鱼",数据!$F$3:$F$998,A672,数据!$G$3:$G$998,B672)</f>
        <v>0</v>
      </c>
      <c r="T672">
        <f>SUMIFS(数据!$D$3:$D$998,数据!$E$3:$E$998,"仔鱼",数据!$F$3:$F$998,A672,数据!$G$3:$G$998,B672)</f>
        <v>0</v>
      </c>
      <c r="U672">
        <f>SUMIFS(数据!$D$3:$D$998,数据!$E$3:$E$998,"稚鱼",数据!$F$3:$F$998,A672,数据!$G$3:$G$998,B672)</f>
        <v>0</v>
      </c>
    </row>
    <row r="673" spans="1:21" ht="19.9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45" t="str">
        <f t="shared" si="20"/>
        <v/>
      </c>
      <c r="M673" s="45" t="str">
        <f t="shared" si="21"/>
        <v/>
      </c>
      <c r="N673" s="39" t="str">
        <f>IF(AND(A673="",B673=""),"",COUNTIFS(数据!$E$3:$E$998,"&lt;&gt;前期仔鱼",数据!$E$3:$E$998,"&lt;&gt;仔鱼",数据!$E$3:$E$998,"&lt;&gt;稚鱼",数据!$F$3:$F$998,A673,数据!$G$3:$G$998,B673))</f>
        <v/>
      </c>
      <c r="O673" s="39" t="str">
        <f>IF(AND(A673="",B673=""),"",COUNTIFS(数据!$E$3:$E$998,"&lt;&gt;鱼卵",数据!$E$3:$E$998,"&lt;&gt;死卵",数据!$F$3:$F$998,A673,数据!$G$3:$G$998,B673))</f>
        <v/>
      </c>
      <c r="P673" s="31"/>
      <c r="Q673">
        <f>SUMIFS(数据!$D$3:$D$998,数据!$E$3:$E$998,"鱼卵",数据!$F$3:$F$998,A673,数据!$G$3:$G$998,B673)</f>
        <v>0</v>
      </c>
      <c r="R673">
        <f>SUMIFS(数据!$D$3:$D$998,数据!$E$3:$E$998,"死卵",数据!$F$3:$F$998,A673,数据!$G$3:$G$998,B673)</f>
        <v>0</v>
      </c>
      <c r="S673">
        <f>SUMIFS(数据!$D$3:$D$998,数据!$E$3:$E$998,"前期仔鱼",数据!$F$3:$F$998,A673,数据!$G$3:$G$998,B673)</f>
        <v>0</v>
      </c>
      <c r="T673">
        <f>SUMIFS(数据!$D$3:$D$998,数据!$E$3:$E$998,"仔鱼",数据!$F$3:$F$998,A673,数据!$G$3:$G$998,B673)</f>
        <v>0</v>
      </c>
      <c r="U673">
        <f>SUMIFS(数据!$D$3:$D$998,数据!$E$3:$E$998,"稚鱼",数据!$F$3:$F$998,A673,数据!$G$3:$G$998,B673)</f>
        <v>0</v>
      </c>
    </row>
    <row r="674" spans="1:21" ht="19.9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45" t="str">
        <f t="shared" si="20"/>
        <v/>
      </c>
      <c r="M674" s="45" t="str">
        <f t="shared" si="21"/>
        <v/>
      </c>
      <c r="N674" s="39" t="str">
        <f>IF(AND(A674="",B674=""),"",COUNTIFS(数据!$E$3:$E$998,"&lt;&gt;前期仔鱼",数据!$E$3:$E$998,"&lt;&gt;仔鱼",数据!$E$3:$E$998,"&lt;&gt;稚鱼",数据!$F$3:$F$998,A674,数据!$G$3:$G$998,B674))</f>
        <v/>
      </c>
      <c r="O674" s="39" t="str">
        <f>IF(AND(A674="",B674=""),"",COUNTIFS(数据!$E$3:$E$998,"&lt;&gt;鱼卵",数据!$E$3:$E$998,"&lt;&gt;死卵",数据!$F$3:$F$998,A674,数据!$G$3:$G$998,B674))</f>
        <v/>
      </c>
      <c r="P674" s="31"/>
      <c r="Q674">
        <f>SUMIFS(数据!$D$3:$D$998,数据!$E$3:$E$998,"鱼卵",数据!$F$3:$F$998,A674,数据!$G$3:$G$998,B674)</f>
        <v>0</v>
      </c>
      <c r="R674">
        <f>SUMIFS(数据!$D$3:$D$998,数据!$E$3:$E$998,"死卵",数据!$F$3:$F$998,A674,数据!$G$3:$G$998,B674)</f>
        <v>0</v>
      </c>
      <c r="S674">
        <f>SUMIFS(数据!$D$3:$D$998,数据!$E$3:$E$998,"前期仔鱼",数据!$F$3:$F$998,A674,数据!$G$3:$G$998,B674)</f>
        <v>0</v>
      </c>
      <c r="T674">
        <f>SUMIFS(数据!$D$3:$D$998,数据!$E$3:$E$998,"仔鱼",数据!$F$3:$F$998,A674,数据!$G$3:$G$998,B674)</f>
        <v>0</v>
      </c>
      <c r="U674">
        <f>SUMIFS(数据!$D$3:$D$998,数据!$E$3:$E$998,"稚鱼",数据!$F$3:$F$998,A674,数据!$G$3:$G$998,B674)</f>
        <v>0</v>
      </c>
    </row>
    <row r="675" spans="1:21" ht="19.9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45" t="str">
        <f t="shared" si="20"/>
        <v/>
      </c>
      <c r="M675" s="45" t="str">
        <f t="shared" si="21"/>
        <v/>
      </c>
      <c r="N675" s="39" t="str">
        <f>IF(AND(A675="",B675=""),"",COUNTIFS(数据!$E$3:$E$998,"&lt;&gt;前期仔鱼",数据!$E$3:$E$998,"&lt;&gt;仔鱼",数据!$E$3:$E$998,"&lt;&gt;稚鱼",数据!$F$3:$F$998,A675,数据!$G$3:$G$998,B675))</f>
        <v/>
      </c>
      <c r="O675" s="39" t="str">
        <f>IF(AND(A675="",B675=""),"",COUNTIFS(数据!$E$3:$E$998,"&lt;&gt;鱼卵",数据!$E$3:$E$998,"&lt;&gt;死卵",数据!$F$3:$F$998,A675,数据!$G$3:$G$998,B675))</f>
        <v/>
      </c>
      <c r="P675" s="31"/>
      <c r="Q675">
        <f>SUMIFS(数据!$D$3:$D$998,数据!$E$3:$E$998,"鱼卵",数据!$F$3:$F$998,A675,数据!$G$3:$G$998,B675)</f>
        <v>0</v>
      </c>
      <c r="R675">
        <f>SUMIFS(数据!$D$3:$D$998,数据!$E$3:$E$998,"死卵",数据!$F$3:$F$998,A675,数据!$G$3:$G$998,B675)</f>
        <v>0</v>
      </c>
      <c r="S675">
        <f>SUMIFS(数据!$D$3:$D$998,数据!$E$3:$E$998,"前期仔鱼",数据!$F$3:$F$998,A675,数据!$G$3:$G$998,B675)</f>
        <v>0</v>
      </c>
      <c r="T675">
        <f>SUMIFS(数据!$D$3:$D$998,数据!$E$3:$E$998,"仔鱼",数据!$F$3:$F$998,A675,数据!$G$3:$G$998,B675)</f>
        <v>0</v>
      </c>
      <c r="U675">
        <f>SUMIFS(数据!$D$3:$D$998,数据!$E$3:$E$998,"稚鱼",数据!$F$3:$F$998,A675,数据!$G$3:$G$998,B675)</f>
        <v>0</v>
      </c>
    </row>
    <row r="676" spans="1:21" ht="19.9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45" t="str">
        <f t="shared" si="20"/>
        <v/>
      </c>
      <c r="M676" s="45" t="str">
        <f t="shared" si="21"/>
        <v/>
      </c>
      <c r="N676" s="39" t="str">
        <f>IF(AND(A676="",B676=""),"",COUNTIFS(数据!$E$3:$E$998,"&lt;&gt;前期仔鱼",数据!$E$3:$E$998,"&lt;&gt;仔鱼",数据!$E$3:$E$998,"&lt;&gt;稚鱼",数据!$F$3:$F$998,A676,数据!$G$3:$G$998,B676))</f>
        <v/>
      </c>
      <c r="O676" s="39" t="str">
        <f>IF(AND(A676="",B676=""),"",COUNTIFS(数据!$E$3:$E$998,"&lt;&gt;鱼卵",数据!$E$3:$E$998,"&lt;&gt;死卵",数据!$F$3:$F$998,A676,数据!$G$3:$G$998,B676))</f>
        <v/>
      </c>
      <c r="P676" s="31"/>
      <c r="Q676">
        <f>SUMIFS(数据!$D$3:$D$998,数据!$E$3:$E$998,"鱼卵",数据!$F$3:$F$998,A676,数据!$G$3:$G$998,B676)</f>
        <v>0</v>
      </c>
      <c r="R676">
        <f>SUMIFS(数据!$D$3:$D$998,数据!$E$3:$E$998,"死卵",数据!$F$3:$F$998,A676,数据!$G$3:$G$998,B676)</f>
        <v>0</v>
      </c>
      <c r="S676">
        <f>SUMIFS(数据!$D$3:$D$998,数据!$E$3:$E$998,"前期仔鱼",数据!$F$3:$F$998,A676,数据!$G$3:$G$998,B676)</f>
        <v>0</v>
      </c>
      <c r="T676">
        <f>SUMIFS(数据!$D$3:$D$998,数据!$E$3:$E$998,"仔鱼",数据!$F$3:$F$998,A676,数据!$G$3:$G$998,B676)</f>
        <v>0</v>
      </c>
      <c r="U676">
        <f>SUMIFS(数据!$D$3:$D$998,数据!$E$3:$E$998,"稚鱼",数据!$F$3:$F$998,A676,数据!$G$3:$G$998,B676)</f>
        <v>0</v>
      </c>
    </row>
    <row r="677" spans="1:21" ht="19.9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45" t="str">
        <f t="shared" si="20"/>
        <v/>
      </c>
      <c r="M677" s="45" t="str">
        <f t="shared" si="21"/>
        <v/>
      </c>
      <c r="N677" s="39" t="str">
        <f>IF(AND(A677="",B677=""),"",COUNTIFS(数据!$E$3:$E$998,"&lt;&gt;前期仔鱼",数据!$E$3:$E$998,"&lt;&gt;仔鱼",数据!$E$3:$E$998,"&lt;&gt;稚鱼",数据!$F$3:$F$998,A677,数据!$G$3:$G$998,B677))</f>
        <v/>
      </c>
      <c r="O677" s="39" t="str">
        <f>IF(AND(A677="",B677=""),"",COUNTIFS(数据!$E$3:$E$998,"&lt;&gt;鱼卵",数据!$E$3:$E$998,"&lt;&gt;死卵",数据!$F$3:$F$998,A677,数据!$G$3:$G$998,B677))</f>
        <v/>
      </c>
      <c r="P677" s="31"/>
      <c r="Q677">
        <f>SUMIFS(数据!$D$3:$D$998,数据!$E$3:$E$998,"鱼卵",数据!$F$3:$F$998,A677,数据!$G$3:$G$998,B677)</f>
        <v>0</v>
      </c>
      <c r="R677">
        <f>SUMIFS(数据!$D$3:$D$998,数据!$E$3:$E$998,"死卵",数据!$F$3:$F$998,A677,数据!$G$3:$G$998,B677)</f>
        <v>0</v>
      </c>
      <c r="S677">
        <f>SUMIFS(数据!$D$3:$D$998,数据!$E$3:$E$998,"前期仔鱼",数据!$F$3:$F$998,A677,数据!$G$3:$G$998,B677)</f>
        <v>0</v>
      </c>
      <c r="T677">
        <f>SUMIFS(数据!$D$3:$D$998,数据!$E$3:$E$998,"仔鱼",数据!$F$3:$F$998,A677,数据!$G$3:$G$998,B677)</f>
        <v>0</v>
      </c>
      <c r="U677">
        <f>SUMIFS(数据!$D$3:$D$998,数据!$E$3:$E$998,"稚鱼",数据!$F$3:$F$998,A677,数据!$G$3:$G$998,B677)</f>
        <v>0</v>
      </c>
    </row>
    <row r="678" spans="1:21" ht="19.9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45" t="str">
        <f t="shared" si="20"/>
        <v/>
      </c>
      <c r="M678" s="45" t="str">
        <f t="shared" si="21"/>
        <v/>
      </c>
      <c r="N678" s="39" t="str">
        <f>IF(AND(A678="",B678=""),"",COUNTIFS(数据!$E$3:$E$998,"&lt;&gt;前期仔鱼",数据!$E$3:$E$998,"&lt;&gt;仔鱼",数据!$E$3:$E$998,"&lt;&gt;稚鱼",数据!$F$3:$F$998,A678,数据!$G$3:$G$998,B678))</f>
        <v/>
      </c>
      <c r="O678" s="39" t="str">
        <f>IF(AND(A678="",B678=""),"",COUNTIFS(数据!$E$3:$E$998,"&lt;&gt;鱼卵",数据!$E$3:$E$998,"&lt;&gt;死卵",数据!$F$3:$F$998,A678,数据!$G$3:$G$998,B678))</f>
        <v/>
      </c>
      <c r="P678" s="31"/>
      <c r="Q678">
        <f>SUMIFS(数据!$D$3:$D$998,数据!$E$3:$E$998,"鱼卵",数据!$F$3:$F$998,A678,数据!$G$3:$G$998,B678)</f>
        <v>0</v>
      </c>
      <c r="R678">
        <f>SUMIFS(数据!$D$3:$D$998,数据!$E$3:$E$998,"死卵",数据!$F$3:$F$998,A678,数据!$G$3:$G$998,B678)</f>
        <v>0</v>
      </c>
      <c r="S678">
        <f>SUMIFS(数据!$D$3:$D$998,数据!$E$3:$E$998,"前期仔鱼",数据!$F$3:$F$998,A678,数据!$G$3:$G$998,B678)</f>
        <v>0</v>
      </c>
      <c r="T678">
        <f>SUMIFS(数据!$D$3:$D$998,数据!$E$3:$E$998,"仔鱼",数据!$F$3:$F$998,A678,数据!$G$3:$G$998,B678)</f>
        <v>0</v>
      </c>
      <c r="U678">
        <f>SUMIFS(数据!$D$3:$D$998,数据!$E$3:$E$998,"稚鱼",数据!$F$3:$F$998,A678,数据!$G$3:$G$998,B678)</f>
        <v>0</v>
      </c>
    </row>
    <row r="679" spans="1:21" ht="19.9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45" t="str">
        <f t="shared" si="20"/>
        <v/>
      </c>
      <c r="M679" s="45" t="str">
        <f t="shared" si="21"/>
        <v/>
      </c>
      <c r="N679" s="39" t="str">
        <f>IF(AND(A679="",B679=""),"",COUNTIFS(数据!$E$3:$E$998,"&lt;&gt;前期仔鱼",数据!$E$3:$E$998,"&lt;&gt;仔鱼",数据!$E$3:$E$998,"&lt;&gt;稚鱼",数据!$F$3:$F$998,A679,数据!$G$3:$G$998,B679))</f>
        <v/>
      </c>
      <c r="O679" s="39" t="str">
        <f>IF(AND(A679="",B679=""),"",COUNTIFS(数据!$E$3:$E$998,"&lt;&gt;鱼卵",数据!$E$3:$E$998,"&lt;&gt;死卵",数据!$F$3:$F$998,A679,数据!$G$3:$G$998,B679))</f>
        <v/>
      </c>
      <c r="P679" s="31"/>
      <c r="Q679">
        <f>SUMIFS(数据!$D$3:$D$998,数据!$E$3:$E$998,"鱼卵",数据!$F$3:$F$998,A679,数据!$G$3:$G$998,B679)</f>
        <v>0</v>
      </c>
      <c r="R679">
        <f>SUMIFS(数据!$D$3:$D$998,数据!$E$3:$E$998,"死卵",数据!$F$3:$F$998,A679,数据!$G$3:$G$998,B679)</f>
        <v>0</v>
      </c>
      <c r="S679">
        <f>SUMIFS(数据!$D$3:$D$998,数据!$E$3:$E$998,"前期仔鱼",数据!$F$3:$F$998,A679,数据!$G$3:$G$998,B679)</f>
        <v>0</v>
      </c>
      <c r="T679">
        <f>SUMIFS(数据!$D$3:$D$998,数据!$E$3:$E$998,"仔鱼",数据!$F$3:$F$998,A679,数据!$G$3:$G$998,B679)</f>
        <v>0</v>
      </c>
      <c r="U679">
        <f>SUMIFS(数据!$D$3:$D$998,数据!$E$3:$E$998,"稚鱼",数据!$F$3:$F$998,A679,数据!$G$3:$G$998,B679)</f>
        <v>0</v>
      </c>
    </row>
    <row r="680" spans="1:21" ht="19.9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45" t="str">
        <f t="shared" si="20"/>
        <v/>
      </c>
      <c r="M680" s="45" t="str">
        <f t="shared" si="21"/>
        <v/>
      </c>
      <c r="N680" s="39" t="str">
        <f>IF(AND(A680="",B680=""),"",COUNTIFS(数据!$E$3:$E$998,"&lt;&gt;前期仔鱼",数据!$E$3:$E$998,"&lt;&gt;仔鱼",数据!$E$3:$E$998,"&lt;&gt;稚鱼",数据!$F$3:$F$998,A680,数据!$G$3:$G$998,B680))</f>
        <v/>
      </c>
      <c r="O680" s="39" t="str">
        <f>IF(AND(A680="",B680=""),"",COUNTIFS(数据!$E$3:$E$998,"&lt;&gt;鱼卵",数据!$E$3:$E$998,"&lt;&gt;死卵",数据!$F$3:$F$998,A680,数据!$G$3:$G$998,B680))</f>
        <v/>
      </c>
      <c r="P680" s="31"/>
      <c r="Q680">
        <f>SUMIFS(数据!$D$3:$D$998,数据!$E$3:$E$998,"鱼卵",数据!$F$3:$F$998,A680,数据!$G$3:$G$998,B680)</f>
        <v>0</v>
      </c>
      <c r="R680">
        <f>SUMIFS(数据!$D$3:$D$998,数据!$E$3:$E$998,"死卵",数据!$F$3:$F$998,A680,数据!$G$3:$G$998,B680)</f>
        <v>0</v>
      </c>
      <c r="S680">
        <f>SUMIFS(数据!$D$3:$D$998,数据!$E$3:$E$998,"前期仔鱼",数据!$F$3:$F$998,A680,数据!$G$3:$G$998,B680)</f>
        <v>0</v>
      </c>
      <c r="T680">
        <f>SUMIFS(数据!$D$3:$D$998,数据!$E$3:$E$998,"仔鱼",数据!$F$3:$F$998,A680,数据!$G$3:$G$998,B680)</f>
        <v>0</v>
      </c>
      <c r="U680">
        <f>SUMIFS(数据!$D$3:$D$998,数据!$E$3:$E$998,"稚鱼",数据!$F$3:$F$998,A680,数据!$G$3:$G$998,B680)</f>
        <v>0</v>
      </c>
    </row>
    <row r="681" spans="1:21" ht="19.9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45" t="str">
        <f t="shared" si="20"/>
        <v/>
      </c>
      <c r="M681" s="45" t="str">
        <f t="shared" si="21"/>
        <v/>
      </c>
      <c r="N681" s="39" t="str">
        <f>IF(AND(A681="",B681=""),"",COUNTIFS(数据!$E$3:$E$998,"&lt;&gt;前期仔鱼",数据!$E$3:$E$998,"&lt;&gt;仔鱼",数据!$E$3:$E$998,"&lt;&gt;稚鱼",数据!$F$3:$F$998,A681,数据!$G$3:$G$998,B681))</f>
        <v/>
      </c>
      <c r="O681" s="39" t="str">
        <f>IF(AND(A681="",B681=""),"",COUNTIFS(数据!$E$3:$E$998,"&lt;&gt;鱼卵",数据!$E$3:$E$998,"&lt;&gt;死卵",数据!$F$3:$F$998,A681,数据!$G$3:$G$998,B681))</f>
        <v/>
      </c>
      <c r="P681" s="31"/>
      <c r="Q681">
        <f>SUMIFS(数据!$D$3:$D$998,数据!$E$3:$E$998,"鱼卵",数据!$F$3:$F$998,A681,数据!$G$3:$G$998,B681)</f>
        <v>0</v>
      </c>
      <c r="R681">
        <f>SUMIFS(数据!$D$3:$D$998,数据!$E$3:$E$998,"死卵",数据!$F$3:$F$998,A681,数据!$G$3:$G$998,B681)</f>
        <v>0</v>
      </c>
      <c r="S681">
        <f>SUMIFS(数据!$D$3:$D$998,数据!$E$3:$E$998,"前期仔鱼",数据!$F$3:$F$998,A681,数据!$G$3:$G$998,B681)</f>
        <v>0</v>
      </c>
      <c r="T681">
        <f>SUMIFS(数据!$D$3:$D$998,数据!$E$3:$E$998,"仔鱼",数据!$F$3:$F$998,A681,数据!$G$3:$G$998,B681)</f>
        <v>0</v>
      </c>
      <c r="U681">
        <f>SUMIFS(数据!$D$3:$D$998,数据!$E$3:$E$998,"稚鱼",数据!$F$3:$F$998,A681,数据!$G$3:$G$998,B681)</f>
        <v>0</v>
      </c>
    </row>
    <row r="682" spans="1:21" ht="19.9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45" t="str">
        <f t="shared" si="20"/>
        <v/>
      </c>
      <c r="M682" s="45" t="str">
        <f t="shared" si="21"/>
        <v/>
      </c>
      <c r="N682" s="39" t="str">
        <f>IF(AND(A682="",B682=""),"",COUNTIFS(数据!$E$3:$E$998,"&lt;&gt;前期仔鱼",数据!$E$3:$E$998,"&lt;&gt;仔鱼",数据!$E$3:$E$998,"&lt;&gt;稚鱼",数据!$F$3:$F$998,A682,数据!$G$3:$G$998,B682))</f>
        <v/>
      </c>
      <c r="O682" s="39" t="str">
        <f>IF(AND(A682="",B682=""),"",COUNTIFS(数据!$E$3:$E$998,"&lt;&gt;鱼卵",数据!$E$3:$E$998,"&lt;&gt;死卵",数据!$F$3:$F$998,A682,数据!$G$3:$G$998,B682))</f>
        <v/>
      </c>
      <c r="P682" s="31"/>
      <c r="Q682">
        <f>SUMIFS(数据!$D$3:$D$998,数据!$E$3:$E$998,"鱼卵",数据!$F$3:$F$998,A682,数据!$G$3:$G$998,B682)</f>
        <v>0</v>
      </c>
      <c r="R682">
        <f>SUMIFS(数据!$D$3:$D$998,数据!$E$3:$E$998,"死卵",数据!$F$3:$F$998,A682,数据!$G$3:$G$998,B682)</f>
        <v>0</v>
      </c>
      <c r="S682">
        <f>SUMIFS(数据!$D$3:$D$998,数据!$E$3:$E$998,"前期仔鱼",数据!$F$3:$F$998,A682,数据!$G$3:$G$998,B682)</f>
        <v>0</v>
      </c>
      <c r="T682">
        <f>SUMIFS(数据!$D$3:$D$998,数据!$E$3:$E$998,"仔鱼",数据!$F$3:$F$998,A682,数据!$G$3:$G$998,B682)</f>
        <v>0</v>
      </c>
      <c r="U682">
        <f>SUMIFS(数据!$D$3:$D$998,数据!$E$3:$E$998,"稚鱼",数据!$F$3:$F$998,A682,数据!$G$3:$G$998,B682)</f>
        <v>0</v>
      </c>
    </row>
    <row r="683" spans="1:21" ht="19.9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45" t="str">
        <f t="shared" si="20"/>
        <v/>
      </c>
      <c r="M683" s="45" t="str">
        <f t="shared" si="21"/>
        <v/>
      </c>
      <c r="N683" s="39" t="str">
        <f>IF(AND(A683="",B683=""),"",COUNTIFS(数据!$E$3:$E$998,"&lt;&gt;前期仔鱼",数据!$E$3:$E$998,"&lt;&gt;仔鱼",数据!$E$3:$E$998,"&lt;&gt;稚鱼",数据!$F$3:$F$998,A683,数据!$G$3:$G$998,B683))</f>
        <v/>
      </c>
      <c r="O683" s="39" t="str">
        <f>IF(AND(A683="",B683=""),"",COUNTIFS(数据!$E$3:$E$998,"&lt;&gt;鱼卵",数据!$E$3:$E$998,"&lt;&gt;死卵",数据!$F$3:$F$998,A683,数据!$G$3:$G$998,B683))</f>
        <v/>
      </c>
      <c r="P683" s="31"/>
      <c r="Q683">
        <f>SUMIFS(数据!$D$3:$D$998,数据!$E$3:$E$998,"鱼卵",数据!$F$3:$F$998,A683,数据!$G$3:$G$998,B683)</f>
        <v>0</v>
      </c>
      <c r="R683">
        <f>SUMIFS(数据!$D$3:$D$998,数据!$E$3:$E$998,"死卵",数据!$F$3:$F$998,A683,数据!$G$3:$G$998,B683)</f>
        <v>0</v>
      </c>
      <c r="S683">
        <f>SUMIFS(数据!$D$3:$D$998,数据!$E$3:$E$998,"前期仔鱼",数据!$F$3:$F$998,A683,数据!$G$3:$G$998,B683)</f>
        <v>0</v>
      </c>
      <c r="T683">
        <f>SUMIFS(数据!$D$3:$D$998,数据!$E$3:$E$998,"仔鱼",数据!$F$3:$F$998,A683,数据!$G$3:$G$998,B683)</f>
        <v>0</v>
      </c>
      <c r="U683">
        <f>SUMIFS(数据!$D$3:$D$998,数据!$E$3:$E$998,"稚鱼",数据!$F$3:$F$998,A683,数据!$G$3:$G$998,B683)</f>
        <v>0</v>
      </c>
    </row>
    <row r="684" spans="1:21" ht="19.9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45" t="str">
        <f t="shared" si="20"/>
        <v/>
      </c>
      <c r="M684" s="45" t="str">
        <f t="shared" si="21"/>
        <v/>
      </c>
      <c r="N684" s="39" t="str">
        <f>IF(AND(A684="",B684=""),"",COUNTIFS(数据!$E$3:$E$998,"&lt;&gt;前期仔鱼",数据!$E$3:$E$998,"&lt;&gt;仔鱼",数据!$E$3:$E$998,"&lt;&gt;稚鱼",数据!$F$3:$F$998,A684,数据!$G$3:$G$998,B684))</f>
        <v/>
      </c>
      <c r="O684" s="39" t="str">
        <f>IF(AND(A684="",B684=""),"",COUNTIFS(数据!$E$3:$E$998,"&lt;&gt;鱼卵",数据!$E$3:$E$998,"&lt;&gt;死卵",数据!$F$3:$F$998,A684,数据!$G$3:$G$998,B684))</f>
        <v/>
      </c>
      <c r="P684" s="31"/>
      <c r="Q684">
        <f>SUMIFS(数据!$D$3:$D$998,数据!$E$3:$E$998,"鱼卵",数据!$F$3:$F$998,A684,数据!$G$3:$G$998,B684)</f>
        <v>0</v>
      </c>
      <c r="R684">
        <f>SUMIFS(数据!$D$3:$D$998,数据!$E$3:$E$998,"死卵",数据!$F$3:$F$998,A684,数据!$G$3:$G$998,B684)</f>
        <v>0</v>
      </c>
      <c r="S684">
        <f>SUMIFS(数据!$D$3:$D$998,数据!$E$3:$E$998,"前期仔鱼",数据!$F$3:$F$998,A684,数据!$G$3:$G$998,B684)</f>
        <v>0</v>
      </c>
      <c r="T684">
        <f>SUMIFS(数据!$D$3:$D$998,数据!$E$3:$E$998,"仔鱼",数据!$F$3:$F$998,A684,数据!$G$3:$G$998,B684)</f>
        <v>0</v>
      </c>
      <c r="U684">
        <f>SUMIFS(数据!$D$3:$D$998,数据!$E$3:$E$998,"稚鱼",数据!$F$3:$F$998,A684,数据!$G$3:$G$998,B684)</f>
        <v>0</v>
      </c>
    </row>
    <row r="685" spans="1:21" ht="19.9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45" t="str">
        <f t="shared" si="20"/>
        <v/>
      </c>
      <c r="M685" s="45" t="str">
        <f t="shared" si="21"/>
        <v/>
      </c>
      <c r="N685" s="39" t="str">
        <f>IF(AND(A685="",B685=""),"",COUNTIFS(数据!$E$3:$E$998,"&lt;&gt;前期仔鱼",数据!$E$3:$E$998,"&lt;&gt;仔鱼",数据!$E$3:$E$998,"&lt;&gt;稚鱼",数据!$F$3:$F$998,A685,数据!$G$3:$G$998,B685))</f>
        <v/>
      </c>
      <c r="O685" s="39" t="str">
        <f>IF(AND(A685="",B685=""),"",COUNTIFS(数据!$E$3:$E$998,"&lt;&gt;鱼卵",数据!$E$3:$E$998,"&lt;&gt;死卵",数据!$F$3:$F$998,A685,数据!$G$3:$G$998,B685))</f>
        <v/>
      </c>
      <c r="P685" s="31"/>
      <c r="Q685">
        <f>SUMIFS(数据!$D$3:$D$998,数据!$E$3:$E$998,"鱼卵",数据!$F$3:$F$998,A685,数据!$G$3:$G$998,B685)</f>
        <v>0</v>
      </c>
      <c r="R685">
        <f>SUMIFS(数据!$D$3:$D$998,数据!$E$3:$E$998,"死卵",数据!$F$3:$F$998,A685,数据!$G$3:$G$998,B685)</f>
        <v>0</v>
      </c>
      <c r="S685">
        <f>SUMIFS(数据!$D$3:$D$998,数据!$E$3:$E$998,"前期仔鱼",数据!$F$3:$F$998,A685,数据!$G$3:$G$998,B685)</f>
        <v>0</v>
      </c>
      <c r="T685">
        <f>SUMIFS(数据!$D$3:$D$998,数据!$E$3:$E$998,"仔鱼",数据!$F$3:$F$998,A685,数据!$G$3:$G$998,B685)</f>
        <v>0</v>
      </c>
      <c r="U685">
        <f>SUMIFS(数据!$D$3:$D$998,数据!$E$3:$E$998,"稚鱼",数据!$F$3:$F$998,A685,数据!$G$3:$G$998,B685)</f>
        <v>0</v>
      </c>
    </row>
    <row r="686" spans="1:21" ht="19.9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45" t="str">
        <f t="shared" si="20"/>
        <v/>
      </c>
      <c r="M686" s="45" t="str">
        <f t="shared" si="21"/>
        <v/>
      </c>
      <c r="N686" s="39" t="str">
        <f>IF(AND(A686="",B686=""),"",COUNTIFS(数据!$E$3:$E$998,"&lt;&gt;前期仔鱼",数据!$E$3:$E$998,"&lt;&gt;仔鱼",数据!$E$3:$E$998,"&lt;&gt;稚鱼",数据!$F$3:$F$998,A686,数据!$G$3:$G$998,B686))</f>
        <v/>
      </c>
      <c r="O686" s="39" t="str">
        <f>IF(AND(A686="",B686=""),"",COUNTIFS(数据!$E$3:$E$998,"&lt;&gt;鱼卵",数据!$E$3:$E$998,"&lt;&gt;死卵",数据!$F$3:$F$998,A686,数据!$G$3:$G$998,B686))</f>
        <v/>
      </c>
      <c r="P686" s="31"/>
      <c r="Q686">
        <f>SUMIFS(数据!$D$3:$D$998,数据!$E$3:$E$998,"鱼卵",数据!$F$3:$F$998,A686,数据!$G$3:$G$998,B686)</f>
        <v>0</v>
      </c>
      <c r="R686">
        <f>SUMIFS(数据!$D$3:$D$998,数据!$E$3:$E$998,"死卵",数据!$F$3:$F$998,A686,数据!$G$3:$G$998,B686)</f>
        <v>0</v>
      </c>
      <c r="S686">
        <f>SUMIFS(数据!$D$3:$D$998,数据!$E$3:$E$998,"前期仔鱼",数据!$F$3:$F$998,A686,数据!$G$3:$G$998,B686)</f>
        <v>0</v>
      </c>
      <c r="T686">
        <f>SUMIFS(数据!$D$3:$D$998,数据!$E$3:$E$998,"仔鱼",数据!$F$3:$F$998,A686,数据!$G$3:$G$998,B686)</f>
        <v>0</v>
      </c>
      <c r="U686">
        <f>SUMIFS(数据!$D$3:$D$998,数据!$E$3:$E$998,"稚鱼",数据!$F$3:$F$998,A686,数据!$G$3:$G$998,B686)</f>
        <v>0</v>
      </c>
    </row>
    <row r="687" spans="1:21" ht="19.9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45" t="str">
        <f t="shared" si="20"/>
        <v/>
      </c>
      <c r="M687" s="45" t="str">
        <f t="shared" si="21"/>
        <v/>
      </c>
      <c r="N687" s="39" t="str">
        <f>IF(AND(A687="",B687=""),"",COUNTIFS(数据!$E$3:$E$998,"&lt;&gt;前期仔鱼",数据!$E$3:$E$998,"&lt;&gt;仔鱼",数据!$E$3:$E$998,"&lt;&gt;稚鱼",数据!$F$3:$F$998,A687,数据!$G$3:$G$998,B687))</f>
        <v/>
      </c>
      <c r="O687" s="39" t="str">
        <f>IF(AND(A687="",B687=""),"",COUNTIFS(数据!$E$3:$E$998,"&lt;&gt;鱼卵",数据!$E$3:$E$998,"&lt;&gt;死卵",数据!$F$3:$F$998,A687,数据!$G$3:$G$998,B687))</f>
        <v/>
      </c>
      <c r="P687" s="31"/>
      <c r="Q687">
        <f>SUMIFS(数据!$D$3:$D$998,数据!$E$3:$E$998,"鱼卵",数据!$F$3:$F$998,A687,数据!$G$3:$G$998,B687)</f>
        <v>0</v>
      </c>
      <c r="R687">
        <f>SUMIFS(数据!$D$3:$D$998,数据!$E$3:$E$998,"死卵",数据!$F$3:$F$998,A687,数据!$G$3:$G$998,B687)</f>
        <v>0</v>
      </c>
      <c r="S687">
        <f>SUMIFS(数据!$D$3:$D$998,数据!$E$3:$E$998,"前期仔鱼",数据!$F$3:$F$998,A687,数据!$G$3:$G$998,B687)</f>
        <v>0</v>
      </c>
      <c r="T687">
        <f>SUMIFS(数据!$D$3:$D$998,数据!$E$3:$E$998,"仔鱼",数据!$F$3:$F$998,A687,数据!$G$3:$G$998,B687)</f>
        <v>0</v>
      </c>
      <c r="U687">
        <f>SUMIFS(数据!$D$3:$D$998,数据!$E$3:$E$998,"稚鱼",数据!$F$3:$F$998,A687,数据!$G$3:$G$998,B687)</f>
        <v>0</v>
      </c>
    </row>
    <row r="688" spans="1:21" ht="19.9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45" t="str">
        <f t="shared" si="20"/>
        <v/>
      </c>
      <c r="M688" s="45" t="str">
        <f t="shared" si="21"/>
        <v/>
      </c>
      <c r="N688" s="39" t="str">
        <f>IF(AND(A688="",B688=""),"",COUNTIFS(数据!$E$3:$E$998,"&lt;&gt;前期仔鱼",数据!$E$3:$E$998,"&lt;&gt;仔鱼",数据!$E$3:$E$998,"&lt;&gt;稚鱼",数据!$F$3:$F$998,A688,数据!$G$3:$G$998,B688))</f>
        <v/>
      </c>
      <c r="O688" s="39" t="str">
        <f>IF(AND(A688="",B688=""),"",COUNTIFS(数据!$E$3:$E$998,"&lt;&gt;鱼卵",数据!$E$3:$E$998,"&lt;&gt;死卵",数据!$F$3:$F$998,A688,数据!$G$3:$G$998,B688))</f>
        <v/>
      </c>
      <c r="P688" s="31"/>
      <c r="Q688">
        <f>SUMIFS(数据!$D$3:$D$998,数据!$E$3:$E$998,"鱼卵",数据!$F$3:$F$998,A688,数据!$G$3:$G$998,B688)</f>
        <v>0</v>
      </c>
      <c r="R688">
        <f>SUMIFS(数据!$D$3:$D$998,数据!$E$3:$E$998,"死卵",数据!$F$3:$F$998,A688,数据!$G$3:$G$998,B688)</f>
        <v>0</v>
      </c>
      <c r="S688">
        <f>SUMIFS(数据!$D$3:$D$998,数据!$E$3:$E$998,"前期仔鱼",数据!$F$3:$F$998,A688,数据!$G$3:$G$998,B688)</f>
        <v>0</v>
      </c>
      <c r="T688">
        <f>SUMIFS(数据!$D$3:$D$998,数据!$E$3:$E$998,"仔鱼",数据!$F$3:$F$998,A688,数据!$G$3:$G$998,B688)</f>
        <v>0</v>
      </c>
      <c r="U688">
        <f>SUMIFS(数据!$D$3:$D$998,数据!$E$3:$E$998,"稚鱼",数据!$F$3:$F$998,A688,数据!$G$3:$G$998,B688)</f>
        <v>0</v>
      </c>
    </row>
    <row r="689" spans="1:21" ht="19.9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45" t="str">
        <f t="shared" si="20"/>
        <v/>
      </c>
      <c r="M689" s="45" t="str">
        <f t="shared" si="21"/>
        <v/>
      </c>
      <c r="N689" s="39" t="str">
        <f>IF(AND(A689="",B689=""),"",COUNTIFS(数据!$E$3:$E$998,"&lt;&gt;前期仔鱼",数据!$E$3:$E$998,"&lt;&gt;仔鱼",数据!$E$3:$E$998,"&lt;&gt;稚鱼",数据!$F$3:$F$998,A689,数据!$G$3:$G$998,B689))</f>
        <v/>
      </c>
      <c r="O689" s="39" t="str">
        <f>IF(AND(A689="",B689=""),"",COUNTIFS(数据!$E$3:$E$998,"&lt;&gt;鱼卵",数据!$E$3:$E$998,"&lt;&gt;死卵",数据!$F$3:$F$998,A689,数据!$G$3:$G$998,B689))</f>
        <v/>
      </c>
      <c r="P689" s="31"/>
      <c r="Q689">
        <f>SUMIFS(数据!$D$3:$D$998,数据!$E$3:$E$998,"鱼卵",数据!$F$3:$F$998,A689,数据!$G$3:$G$998,B689)</f>
        <v>0</v>
      </c>
      <c r="R689">
        <f>SUMIFS(数据!$D$3:$D$998,数据!$E$3:$E$998,"死卵",数据!$F$3:$F$998,A689,数据!$G$3:$G$998,B689)</f>
        <v>0</v>
      </c>
      <c r="S689">
        <f>SUMIFS(数据!$D$3:$D$998,数据!$E$3:$E$998,"前期仔鱼",数据!$F$3:$F$998,A689,数据!$G$3:$G$998,B689)</f>
        <v>0</v>
      </c>
      <c r="T689">
        <f>SUMIFS(数据!$D$3:$D$998,数据!$E$3:$E$998,"仔鱼",数据!$F$3:$F$998,A689,数据!$G$3:$G$998,B689)</f>
        <v>0</v>
      </c>
      <c r="U689">
        <f>SUMIFS(数据!$D$3:$D$998,数据!$E$3:$E$998,"稚鱼",数据!$F$3:$F$998,A689,数据!$G$3:$G$998,B689)</f>
        <v>0</v>
      </c>
    </row>
    <row r="690" spans="1:21" ht="19.9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45" t="str">
        <f t="shared" si="20"/>
        <v/>
      </c>
      <c r="M690" s="45" t="str">
        <f t="shared" si="21"/>
        <v/>
      </c>
      <c r="N690" s="39" t="str">
        <f>IF(AND(A690="",B690=""),"",COUNTIFS(数据!$E$3:$E$998,"&lt;&gt;前期仔鱼",数据!$E$3:$E$998,"&lt;&gt;仔鱼",数据!$E$3:$E$998,"&lt;&gt;稚鱼",数据!$F$3:$F$998,A690,数据!$G$3:$G$998,B690))</f>
        <v/>
      </c>
      <c r="O690" s="39" t="str">
        <f>IF(AND(A690="",B690=""),"",COUNTIFS(数据!$E$3:$E$998,"&lt;&gt;鱼卵",数据!$E$3:$E$998,"&lt;&gt;死卵",数据!$F$3:$F$998,A690,数据!$G$3:$G$998,B690))</f>
        <v/>
      </c>
      <c r="P690" s="31"/>
      <c r="Q690">
        <f>SUMIFS(数据!$D$3:$D$998,数据!$E$3:$E$998,"鱼卵",数据!$F$3:$F$998,A690,数据!$G$3:$G$998,B690)</f>
        <v>0</v>
      </c>
      <c r="R690">
        <f>SUMIFS(数据!$D$3:$D$998,数据!$E$3:$E$998,"死卵",数据!$F$3:$F$998,A690,数据!$G$3:$G$998,B690)</f>
        <v>0</v>
      </c>
      <c r="S690">
        <f>SUMIFS(数据!$D$3:$D$998,数据!$E$3:$E$998,"前期仔鱼",数据!$F$3:$F$998,A690,数据!$G$3:$G$998,B690)</f>
        <v>0</v>
      </c>
      <c r="T690">
        <f>SUMIFS(数据!$D$3:$D$998,数据!$E$3:$E$998,"仔鱼",数据!$F$3:$F$998,A690,数据!$G$3:$G$998,B690)</f>
        <v>0</v>
      </c>
      <c r="U690">
        <f>SUMIFS(数据!$D$3:$D$998,数据!$E$3:$E$998,"稚鱼",数据!$F$3:$F$998,A690,数据!$G$3:$G$998,B690)</f>
        <v>0</v>
      </c>
    </row>
    <row r="691" spans="1:21" ht="19.9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45" t="str">
        <f t="shared" si="20"/>
        <v/>
      </c>
      <c r="M691" s="45" t="str">
        <f t="shared" si="21"/>
        <v/>
      </c>
      <c r="N691" s="39" t="str">
        <f>IF(AND(A691="",B691=""),"",COUNTIFS(数据!$E$3:$E$998,"&lt;&gt;前期仔鱼",数据!$E$3:$E$998,"&lt;&gt;仔鱼",数据!$E$3:$E$998,"&lt;&gt;稚鱼",数据!$F$3:$F$998,A691,数据!$G$3:$G$998,B691))</f>
        <v/>
      </c>
      <c r="O691" s="39" t="str">
        <f>IF(AND(A691="",B691=""),"",COUNTIFS(数据!$E$3:$E$998,"&lt;&gt;鱼卵",数据!$E$3:$E$998,"&lt;&gt;死卵",数据!$F$3:$F$998,A691,数据!$G$3:$G$998,B691))</f>
        <v/>
      </c>
      <c r="P691" s="31"/>
      <c r="Q691">
        <f>SUMIFS(数据!$D$3:$D$998,数据!$E$3:$E$998,"鱼卵",数据!$F$3:$F$998,A691,数据!$G$3:$G$998,B691)</f>
        <v>0</v>
      </c>
      <c r="R691">
        <f>SUMIFS(数据!$D$3:$D$998,数据!$E$3:$E$998,"死卵",数据!$F$3:$F$998,A691,数据!$G$3:$G$998,B691)</f>
        <v>0</v>
      </c>
      <c r="S691">
        <f>SUMIFS(数据!$D$3:$D$998,数据!$E$3:$E$998,"前期仔鱼",数据!$F$3:$F$998,A691,数据!$G$3:$G$998,B691)</f>
        <v>0</v>
      </c>
      <c r="T691">
        <f>SUMIFS(数据!$D$3:$D$998,数据!$E$3:$E$998,"仔鱼",数据!$F$3:$F$998,A691,数据!$G$3:$G$998,B691)</f>
        <v>0</v>
      </c>
      <c r="U691">
        <f>SUMIFS(数据!$D$3:$D$998,数据!$E$3:$E$998,"稚鱼",数据!$F$3:$F$998,A691,数据!$G$3:$G$998,B691)</f>
        <v>0</v>
      </c>
    </row>
    <row r="692" spans="1:21" ht="19.9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45" t="str">
        <f t="shared" si="20"/>
        <v/>
      </c>
      <c r="M692" s="45" t="str">
        <f t="shared" si="21"/>
        <v/>
      </c>
      <c r="N692" s="39" t="str">
        <f>IF(AND(A692="",B692=""),"",COUNTIFS(数据!$E$3:$E$998,"&lt;&gt;前期仔鱼",数据!$E$3:$E$998,"&lt;&gt;仔鱼",数据!$E$3:$E$998,"&lt;&gt;稚鱼",数据!$F$3:$F$998,A692,数据!$G$3:$G$998,B692))</f>
        <v/>
      </c>
      <c r="O692" s="39" t="str">
        <f>IF(AND(A692="",B692=""),"",COUNTIFS(数据!$E$3:$E$998,"&lt;&gt;鱼卵",数据!$E$3:$E$998,"&lt;&gt;死卵",数据!$F$3:$F$998,A692,数据!$G$3:$G$998,B692))</f>
        <v/>
      </c>
      <c r="P692" s="31"/>
      <c r="Q692">
        <f>SUMIFS(数据!$D$3:$D$998,数据!$E$3:$E$998,"鱼卵",数据!$F$3:$F$998,A692,数据!$G$3:$G$998,B692)</f>
        <v>0</v>
      </c>
      <c r="R692">
        <f>SUMIFS(数据!$D$3:$D$998,数据!$E$3:$E$998,"死卵",数据!$F$3:$F$998,A692,数据!$G$3:$G$998,B692)</f>
        <v>0</v>
      </c>
      <c r="S692">
        <f>SUMIFS(数据!$D$3:$D$998,数据!$E$3:$E$998,"前期仔鱼",数据!$F$3:$F$998,A692,数据!$G$3:$G$998,B692)</f>
        <v>0</v>
      </c>
      <c r="T692">
        <f>SUMIFS(数据!$D$3:$D$998,数据!$E$3:$E$998,"仔鱼",数据!$F$3:$F$998,A692,数据!$G$3:$G$998,B692)</f>
        <v>0</v>
      </c>
      <c r="U692">
        <f>SUMIFS(数据!$D$3:$D$998,数据!$E$3:$E$998,"稚鱼",数据!$F$3:$F$998,A692,数据!$G$3:$G$998,B692)</f>
        <v>0</v>
      </c>
    </row>
    <row r="693" spans="1:21" ht="19.9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45" t="str">
        <f t="shared" si="20"/>
        <v/>
      </c>
      <c r="M693" s="45" t="str">
        <f t="shared" si="21"/>
        <v/>
      </c>
      <c r="N693" s="39" t="str">
        <f>IF(AND(A693="",B693=""),"",COUNTIFS(数据!$E$3:$E$998,"&lt;&gt;前期仔鱼",数据!$E$3:$E$998,"&lt;&gt;仔鱼",数据!$E$3:$E$998,"&lt;&gt;稚鱼",数据!$F$3:$F$998,A693,数据!$G$3:$G$998,B693))</f>
        <v/>
      </c>
      <c r="O693" s="39" t="str">
        <f>IF(AND(A693="",B693=""),"",COUNTIFS(数据!$E$3:$E$998,"&lt;&gt;鱼卵",数据!$E$3:$E$998,"&lt;&gt;死卵",数据!$F$3:$F$998,A693,数据!$G$3:$G$998,B693))</f>
        <v/>
      </c>
      <c r="P693" s="31"/>
      <c r="Q693">
        <f>SUMIFS(数据!$D$3:$D$998,数据!$E$3:$E$998,"鱼卵",数据!$F$3:$F$998,A693,数据!$G$3:$G$998,B693)</f>
        <v>0</v>
      </c>
      <c r="R693">
        <f>SUMIFS(数据!$D$3:$D$998,数据!$E$3:$E$998,"死卵",数据!$F$3:$F$998,A693,数据!$G$3:$G$998,B693)</f>
        <v>0</v>
      </c>
      <c r="S693">
        <f>SUMIFS(数据!$D$3:$D$998,数据!$E$3:$E$998,"前期仔鱼",数据!$F$3:$F$998,A693,数据!$G$3:$G$998,B693)</f>
        <v>0</v>
      </c>
      <c r="T693">
        <f>SUMIFS(数据!$D$3:$D$998,数据!$E$3:$E$998,"仔鱼",数据!$F$3:$F$998,A693,数据!$G$3:$G$998,B693)</f>
        <v>0</v>
      </c>
      <c r="U693">
        <f>SUMIFS(数据!$D$3:$D$998,数据!$E$3:$E$998,"稚鱼",数据!$F$3:$F$998,A693,数据!$G$3:$G$998,B693)</f>
        <v>0</v>
      </c>
    </row>
    <row r="694" spans="1:21" ht="19.9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45" t="str">
        <f t="shared" si="20"/>
        <v/>
      </c>
      <c r="M694" s="45" t="str">
        <f t="shared" si="21"/>
        <v/>
      </c>
      <c r="N694" s="39" t="str">
        <f>IF(AND(A694="",B694=""),"",COUNTIFS(数据!$E$3:$E$998,"&lt;&gt;前期仔鱼",数据!$E$3:$E$998,"&lt;&gt;仔鱼",数据!$E$3:$E$998,"&lt;&gt;稚鱼",数据!$F$3:$F$998,A694,数据!$G$3:$G$998,B694))</f>
        <v/>
      </c>
      <c r="O694" s="39" t="str">
        <f>IF(AND(A694="",B694=""),"",COUNTIFS(数据!$E$3:$E$998,"&lt;&gt;鱼卵",数据!$E$3:$E$998,"&lt;&gt;死卵",数据!$F$3:$F$998,A694,数据!$G$3:$G$998,B694))</f>
        <v/>
      </c>
      <c r="P694" s="31"/>
      <c r="Q694">
        <f>SUMIFS(数据!$D$3:$D$998,数据!$E$3:$E$998,"鱼卵",数据!$F$3:$F$998,A694,数据!$G$3:$G$998,B694)</f>
        <v>0</v>
      </c>
      <c r="R694">
        <f>SUMIFS(数据!$D$3:$D$998,数据!$E$3:$E$998,"死卵",数据!$F$3:$F$998,A694,数据!$G$3:$G$998,B694)</f>
        <v>0</v>
      </c>
      <c r="S694">
        <f>SUMIFS(数据!$D$3:$D$998,数据!$E$3:$E$998,"前期仔鱼",数据!$F$3:$F$998,A694,数据!$G$3:$G$998,B694)</f>
        <v>0</v>
      </c>
      <c r="T694">
        <f>SUMIFS(数据!$D$3:$D$998,数据!$E$3:$E$998,"仔鱼",数据!$F$3:$F$998,A694,数据!$G$3:$G$998,B694)</f>
        <v>0</v>
      </c>
      <c r="U694">
        <f>SUMIFS(数据!$D$3:$D$998,数据!$E$3:$E$998,"稚鱼",数据!$F$3:$F$998,A694,数据!$G$3:$G$998,B694)</f>
        <v>0</v>
      </c>
    </row>
    <row r="695" spans="1:21" ht="19.9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45" t="str">
        <f t="shared" si="20"/>
        <v/>
      </c>
      <c r="M695" s="45" t="str">
        <f t="shared" si="21"/>
        <v/>
      </c>
      <c r="N695" s="39" t="str">
        <f>IF(AND(A695="",B695=""),"",COUNTIFS(数据!$E$3:$E$998,"&lt;&gt;前期仔鱼",数据!$E$3:$E$998,"&lt;&gt;仔鱼",数据!$E$3:$E$998,"&lt;&gt;稚鱼",数据!$F$3:$F$998,A695,数据!$G$3:$G$998,B695))</f>
        <v/>
      </c>
      <c r="O695" s="39" t="str">
        <f>IF(AND(A695="",B695=""),"",COUNTIFS(数据!$E$3:$E$998,"&lt;&gt;鱼卵",数据!$E$3:$E$998,"&lt;&gt;死卵",数据!$F$3:$F$998,A695,数据!$G$3:$G$998,B695))</f>
        <v/>
      </c>
      <c r="P695" s="31"/>
      <c r="Q695">
        <f>SUMIFS(数据!$D$3:$D$998,数据!$E$3:$E$998,"鱼卵",数据!$F$3:$F$998,A695,数据!$G$3:$G$998,B695)</f>
        <v>0</v>
      </c>
      <c r="R695">
        <f>SUMIFS(数据!$D$3:$D$998,数据!$E$3:$E$998,"死卵",数据!$F$3:$F$998,A695,数据!$G$3:$G$998,B695)</f>
        <v>0</v>
      </c>
      <c r="S695">
        <f>SUMIFS(数据!$D$3:$D$998,数据!$E$3:$E$998,"前期仔鱼",数据!$F$3:$F$998,A695,数据!$G$3:$G$998,B695)</f>
        <v>0</v>
      </c>
      <c r="T695">
        <f>SUMIFS(数据!$D$3:$D$998,数据!$E$3:$E$998,"仔鱼",数据!$F$3:$F$998,A695,数据!$G$3:$G$998,B695)</f>
        <v>0</v>
      </c>
      <c r="U695">
        <f>SUMIFS(数据!$D$3:$D$998,数据!$E$3:$E$998,"稚鱼",数据!$F$3:$F$998,A695,数据!$G$3:$G$998,B695)</f>
        <v>0</v>
      </c>
    </row>
    <row r="696" spans="1:21" ht="19.9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45" t="str">
        <f t="shared" si="20"/>
        <v/>
      </c>
      <c r="M696" s="45" t="str">
        <f t="shared" si="21"/>
        <v/>
      </c>
      <c r="N696" s="39" t="str">
        <f>IF(AND(A696="",B696=""),"",COUNTIFS(数据!$E$3:$E$998,"&lt;&gt;前期仔鱼",数据!$E$3:$E$998,"&lt;&gt;仔鱼",数据!$E$3:$E$998,"&lt;&gt;稚鱼",数据!$F$3:$F$998,A696,数据!$G$3:$G$998,B696))</f>
        <v/>
      </c>
      <c r="O696" s="39" t="str">
        <f>IF(AND(A696="",B696=""),"",COUNTIFS(数据!$E$3:$E$998,"&lt;&gt;鱼卵",数据!$E$3:$E$998,"&lt;&gt;死卵",数据!$F$3:$F$998,A696,数据!$G$3:$G$998,B696))</f>
        <v/>
      </c>
      <c r="P696" s="31"/>
      <c r="Q696">
        <f>SUMIFS(数据!$D$3:$D$998,数据!$E$3:$E$998,"鱼卵",数据!$F$3:$F$998,A696,数据!$G$3:$G$998,B696)</f>
        <v>0</v>
      </c>
      <c r="R696">
        <f>SUMIFS(数据!$D$3:$D$998,数据!$E$3:$E$998,"死卵",数据!$F$3:$F$998,A696,数据!$G$3:$G$998,B696)</f>
        <v>0</v>
      </c>
      <c r="S696">
        <f>SUMIFS(数据!$D$3:$D$998,数据!$E$3:$E$998,"前期仔鱼",数据!$F$3:$F$998,A696,数据!$G$3:$G$998,B696)</f>
        <v>0</v>
      </c>
      <c r="T696">
        <f>SUMIFS(数据!$D$3:$D$998,数据!$E$3:$E$998,"仔鱼",数据!$F$3:$F$998,A696,数据!$G$3:$G$998,B696)</f>
        <v>0</v>
      </c>
      <c r="U696">
        <f>SUMIFS(数据!$D$3:$D$998,数据!$E$3:$E$998,"稚鱼",数据!$F$3:$F$998,A696,数据!$G$3:$G$998,B696)</f>
        <v>0</v>
      </c>
    </row>
    <row r="697" spans="1:21" ht="19.9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45" t="str">
        <f t="shared" si="20"/>
        <v/>
      </c>
      <c r="M697" s="45" t="str">
        <f t="shared" si="21"/>
        <v/>
      </c>
      <c r="N697" s="39" t="str">
        <f>IF(AND(A697="",B697=""),"",COUNTIFS(数据!$E$3:$E$998,"&lt;&gt;前期仔鱼",数据!$E$3:$E$998,"&lt;&gt;仔鱼",数据!$E$3:$E$998,"&lt;&gt;稚鱼",数据!$F$3:$F$998,A697,数据!$G$3:$G$998,B697))</f>
        <v/>
      </c>
      <c r="O697" s="39" t="str">
        <f>IF(AND(A697="",B697=""),"",COUNTIFS(数据!$E$3:$E$998,"&lt;&gt;鱼卵",数据!$E$3:$E$998,"&lt;&gt;死卵",数据!$F$3:$F$998,A697,数据!$G$3:$G$998,B697))</f>
        <v/>
      </c>
      <c r="P697" s="31"/>
      <c r="Q697">
        <f>SUMIFS(数据!$D$3:$D$998,数据!$E$3:$E$998,"鱼卵",数据!$F$3:$F$998,A697,数据!$G$3:$G$998,B697)</f>
        <v>0</v>
      </c>
      <c r="R697">
        <f>SUMIFS(数据!$D$3:$D$998,数据!$E$3:$E$998,"死卵",数据!$F$3:$F$998,A697,数据!$G$3:$G$998,B697)</f>
        <v>0</v>
      </c>
      <c r="S697">
        <f>SUMIFS(数据!$D$3:$D$998,数据!$E$3:$E$998,"前期仔鱼",数据!$F$3:$F$998,A697,数据!$G$3:$G$998,B697)</f>
        <v>0</v>
      </c>
      <c r="T697">
        <f>SUMIFS(数据!$D$3:$D$998,数据!$E$3:$E$998,"仔鱼",数据!$F$3:$F$998,A697,数据!$G$3:$G$998,B697)</f>
        <v>0</v>
      </c>
      <c r="U697">
        <f>SUMIFS(数据!$D$3:$D$998,数据!$E$3:$E$998,"稚鱼",数据!$F$3:$F$998,A697,数据!$G$3:$G$998,B697)</f>
        <v>0</v>
      </c>
    </row>
    <row r="698" spans="1:21" ht="19.9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45" t="str">
        <f t="shared" si="20"/>
        <v/>
      </c>
      <c r="M698" s="45" t="str">
        <f t="shared" si="21"/>
        <v/>
      </c>
      <c r="N698" s="39" t="str">
        <f>IF(AND(A698="",B698=""),"",COUNTIFS(数据!$E$3:$E$998,"&lt;&gt;前期仔鱼",数据!$E$3:$E$998,"&lt;&gt;仔鱼",数据!$E$3:$E$998,"&lt;&gt;稚鱼",数据!$F$3:$F$998,A698,数据!$G$3:$G$998,B698))</f>
        <v/>
      </c>
      <c r="O698" s="39" t="str">
        <f>IF(AND(A698="",B698=""),"",COUNTIFS(数据!$E$3:$E$998,"&lt;&gt;鱼卵",数据!$E$3:$E$998,"&lt;&gt;死卵",数据!$F$3:$F$998,A698,数据!$G$3:$G$998,B698))</f>
        <v/>
      </c>
      <c r="P698" s="31"/>
      <c r="Q698">
        <f>SUMIFS(数据!$D$3:$D$998,数据!$E$3:$E$998,"鱼卵",数据!$F$3:$F$998,A698,数据!$G$3:$G$998,B698)</f>
        <v>0</v>
      </c>
      <c r="R698">
        <f>SUMIFS(数据!$D$3:$D$998,数据!$E$3:$E$998,"死卵",数据!$F$3:$F$998,A698,数据!$G$3:$G$998,B698)</f>
        <v>0</v>
      </c>
      <c r="S698">
        <f>SUMIFS(数据!$D$3:$D$998,数据!$E$3:$E$998,"前期仔鱼",数据!$F$3:$F$998,A698,数据!$G$3:$G$998,B698)</f>
        <v>0</v>
      </c>
      <c r="T698">
        <f>SUMIFS(数据!$D$3:$D$998,数据!$E$3:$E$998,"仔鱼",数据!$F$3:$F$998,A698,数据!$G$3:$G$998,B698)</f>
        <v>0</v>
      </c>
      <c r="U698">
        <f>SUMIFS(数据!$D$3:$D$998,数据!$E$3:$E$998,"稚鱼",数据!$F$3:$F$998,A698,数据!$G$3:$G$998,B698)</f>
        <v>0</v>
      </c>
    </row>
    <row r="699" spans="1:21" ht="19.9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45" t="str">
        <f t="shared" si="20"/>
        <v/>
      </c>
      <c r="M699" s="45" t="str">
        <f t="shared" si="21"/>
        <v/>
      </c>
      <c r="N699" s="39" t="str">
        <f>IF(AND(A699="",B699=""),"",COUNTIFS(数据!$E$3:$E$998,"&lt;&gt;前期仔鱼",数据!$E$3:$E$998,"&lt;&gt;仔鱼",数据!$E$3:$E$998,"&lt;&gt;稚鱼",数据!$F$3:$F$998,A699,数据!$G$3:$G$998,B699))</f>
        <v/>
      </c>
      <c r="O699" s="39" t="str">
        <f>IF(AND(A699="",B699=""),"",COUNTIFS(数据!$E$3:$E$998,"&lt;&gt;鱼卵",数据!$E$3:$E$998,"&lt;&gt;死卵",数据!$F$3:$F$998,A699,数据!$G$3:$G$998,B699))</f>
        <v/>
      </c>
      <c r="P699" s="31"/>
      <c r="Q699">
        <f>SUMIFS(数据!$D$3:$D$998,数据!$E$3:$E$998,"鱼卵",数据!$F$3:$F$998,A699,数据!$G$3:$G$998,B699)</f>
        <v>0</v>
      </c>
      <c r="R699">
        <f>SUMIFS(数据!$D$3:$D$998,数据!$E$3:$E$998,"死卵",数据!$F$3:$F$998,A699,数据!$G$3:$G$998,B699)</f>
        <v>0</v>
      </c>
      <c r="S699">
        <f>SUMIFS(数据!$D$3:$D$998,数据!$E$3:$E$998,"前期仔鱼",数据!$F$3:$F$998,A699,数据!$G$3:$G$998,B699)</f>
        <v>0</v>
      </c>
      <c r="T699">
        <f>SUMIFS(数据!$D$3:$D$998,数据!$E$3:$E$998,"仔鱼",数据!$F$3:$F$998,A699,数据!$G$3:$G$998,B699)</f>
        <v>0</v>
      </c>
      <c r="U699">
        <f>SUMIFS(数据!$D$3:$D$998,数据!$E$3:$E$998,"稚鱼",数据!$F$3:$F$998,A699,数据!$G$3:$G$998,B699)</f>
        <v>0</v>
      </c>
    </row>
    <row r="700" spans="1:21" ht="19.9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45" t="str">
        <f t="shared" si="20"/>
        <v/>
      </c>
      <c r="M700" s="45" t="str">
        <f t="shared" si="21"/>
        <v/>
      </c>
      <c r="N700" s="39" t="str">
        <f>IF(AND(A700="",B700=""),"",COUNTIFS(数据!$E$3:$E$998,"&lt;&gt;前期仔鱼",数据!$E$3:$E$998,"&lt;&gt;仔鱼",数据!$E$3:$E$998,"&lt;&gt;稚鱼",数据!$F$3:$F$998,A700,数据!$G$3:$G$998,B700))</f>
        <v/>
      </c>
      <c r="O700" s="39" t="str">
        <f>IF(AND(A700="",B700=""),"",COUNTIFS(数据!$E$3:$E$998,"&lt;&gt;鱼卵",数据!$E$3:$E$998,"&lt;&gt;死卵",数据!$F$3:$F$998,A700,数据!$G$3:$G$998,B700))</f>
        <v/>
      </c>
      <c r="P700" s="31"/>
      <c r="Q700">
        <f>SUMIFS(数据!$D$3:$D$998,数据!$E$3:$E$998,"鱼卵",数据!$F$3:$F$998,A700,数据!$G$3:$G$998,B700)</f>
        <v>0</v>
      </c>
      <c r="R700">
        <f>SUMIFS(数据!$D$3:$D$998,数据!$E$3:$E$998,"死卵",数据!$F$3:$F$998,A700,数据!$G$3:$G$998,B700)</f>
        <v>0</v>
      </c>
      <c r="S700">
        <f>SUMIFS(数据!$D$3:$D$998,数据!$E$3:$E$998,"前期仔鱼",数据!$F$3:$F$998,A700,数据!$G$3:$G$998,B700)</f>
        <v>0</v>
      </c>
      <c r="T700">
        <f>SUMIFS(数据!$D$3:$D$998,数据!$E$3:$E$998,"仔鱼",数据!$F$3:$F$998,A700,数据!$G$3:$G$998,B700)</f>
        <v>0</v>
      </c>
      <c r="U700">
        <f>SUMIFS(数据!$D$3:$D$998,数据!$E$3:$E$998,"稚鱼",数据!$F$3:$F$998,A700,数据!$G$3:$G$998,B700)</f>
        <v>0</v>
      </c>
    </row>
    <row r="701" spans="1:21" ht="19.9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45" t="str">
        <f t="shared" si="20"/>
        <v/>
      </c>
      <c r="M701" s="45" t="str">
        <f t="shared" si="21"/>
        <v/>
      </c>
      <c r="N701" s="39" t="str">
        <f>IF(AND(A701="",B701=""),"",COUNTIFS(数据!$E$3:$E$998,"&lt;&gt;前期仔鱼",数据!$E$3:$E$998,"&lt;&gt;仔鱼",数据!$E$3:$E$998,"&lt;&gt;稚鱼",数据!$F$3:$F$998,A701,数据!$G$3:$G$998,B701))</f>
        <v/>
      </c>
      <c r="O701" s="39" t="str">
        <f>IF(AND(A701="",B701=""),"",COUNTIFS(数据!$E$3:$E$998,"&lt;&gt;鱼卵",数据!$E$3:$E$998,"&lt;&gt;死卵",数据!$F$3:$F$998,A701,数据!$G$3:$G$998,B701))</f>
        <v/>
      </c>
      <c r="P701" s="31"/>
      <c r="Q701">
        <f>SUMIFS(数据!$D$3:$D$998,数据!$E$3:$E$998,"鱼卵",数据!$F$3:$F$998,A701,数据!$G$3:$G$998,B701)</f>
        <v>0</v>
      </c>
      <c r="R701">
        <f>SUMIFS(数据!$D$3:$D$998,数据!$E$3:$E$998,"死卵",数据!$F$3:$F$998,A701,数据!$G$3:$G$998,B701)</f>
        <v>0</v>
      </c>
      <c r="S701">
        <f>SUMIFS(数据!$D$3:$D$998,数据!$E$3:$E$998,"前期仔鱼",数据!$F$3:$F$998,A701,数据!$G$3:$G$998,B701)</f>
        <v>0</v>
      </c>
      <c r="T701">
        <f>SUMIFS(数据!$D$3:$D$998,数据!$E$3:$E$998,"仔鱼",数据!$F$3:$F$998,A701,数据!$G$3:$G$998,B701)</f>
        <v>0</v>
      </c>
      <c r="U701">
        <f>SUMIFS(数据!$D$3:$D$998,数据!$E$3:$E$998,"稚鱼",数据!$F$3:$F$998,A701,数据!$G$3:$G$998,B701)</f>
        <v>0</v>
      </c>
    </row>
    <row r="702" spans="1:21" ht="19.9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45" t="str">
        <f t="shared" si="20"/>
        <v/>
      </c>
      <c r="M702" s="45" t="str">
        <f t="shared" si="21"/>
        <v/>
      </c>
      <c r="N702" s="39" t="str">
        <f>IF(AND(A702="",B702=""),"",COUNTIFS(数据!$E$3:$E$998,"&lt;&gt;前期仔鱼",数据!$E$3:$E$998,"&lt;&gt;仔鱼",数据!$E$3:$E$998,"&lt;&gt;稚鱼",数据!$F$3:$F$998,A702,数据!$G$3:$G$998,B702))</f>
        <v/>
      </c>
      <c r="O702" s="39" t="str">
        <f>IF(AND(A702="",B702=""),"",COUNTIFS(数据!$E$3:$E$998,"&lt;&gt;鱼卵",数据!$E$3:$E$998,"&lt;&gt;死卵",数据!$F$3:$F$998,A702,数据!$G$3:$G$998,B702))</f>
        <v/>
      </c>
      <c r="P702" s="31"/>
      <c r="Q702">
        <f>SUMIFS(数据!$D$3:$D$998,数据!$E$3:$E$998,"鱼卵",数据!$F$3:$F$998,A702,数据!$G$3:$G$998,B702)</f>
        <v>0</v>
      </c>
      <c r="R702">
        <f>SUMIFS(数据!$D$3:$D$998,数据!$E$3:$E$998,"死卵",数据!$F$3:$F$998,A702,数据!$G$3:$G$998,B702)</f>
        <v>0</v>
      </c>
      <c r="S702">
        <f>SUMIFS(数据!$D$3:$D$998,数据!$E$3:$E$998,"前期仔鱼",数据!$F$3:$F$998,A702,数据!$G$3:$G$998,B702)</f>
        <v>0</v>
      </c>
      <c r="T702">
        <f>SUMIFS(数据!$D$3:$D$998,数据!$E$3:$E$998,"仔鱼",数据!$F$3:$F$998,A702,数据!$G$3:$G$998,B702)</f>
        <v>0</v>
      </c>
      <c r="U702">
        <f>SUMIFS(数据!$D$3:$D$998,数据!$E$3:$E$998,"稚鱼",数据!$F$3:$F$998,A702,数据!$G$3:$G$998,B702)</f>
        <v>0</v>
      </c>
    </row>
    <row r="703" spans="1:21" ht="19.9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45" t="str">
        <f t="shared" si="20"/>
        <v/>
      </c>
      <c r="M703" s="45" t="str">
        <f t="shared" si="21"/>
        <v/>
      </c>
      <c r="N703" s="39" t="str">
        <f>IF(AND(A703="",B703=""),"",COUNTIFS(数据!$E$3:$E$998,"&lt;&gt;前期仔鱼",数据!$E$3:$E$998,"&lt;&gt;仔鱼",数据!$E$3:$E$998,"&lt;&gt;稚鱼",数据!$F$3:$F$998,A703,数据!$G$3:$G$998,B703))</f>
        <v/>
      </c>
      <c r="O703" s="39" t="str">
        <f>IF(AND(A703="",B703=""),"",COUNTIFS(数据!$E$3:$E$998,"&lt;&gt;鱼卵",数据!$E$3:$E$998,"&lt;&gt;死卵",数据!$F$3:$F$998,A703,数据!$G$3:$G$998,B703))</f>
        <v/>
      </c>
      <c r="P703" s="31"/>
      <c r="Q703">
        <f>SUMIFS(数据!$D$3:$D$998,数据!$E$3:$E$998,"鱼卵",数据!$F$3:$F$998,A703,数据!$G$3:$G$998,B703)</f>
        <v>0</v>
      </c>
      <c r="R703">
        <f>SUMIFS(数据!$D$3:$D$998,数据!$E$3:$E$998,"死卵",数据!$F$3:$F$998,A703,数据!$G$3:$G$998,B703)</f>
        <v>0</v>
      </c>
      <c r="S703">
        <f>SUMIFS(数据!$D$3:$D$998,数据!$E$3:$E$998,"前期仔鱼",数据!$F$3:$F$998,A703,数据!$G$3:$G$998,B703)</f>
        <v>0</v>
      </c>
      <c r="T703">
        <f>SUMIFS(数据!$D$3:$D$998,数据!$E$3:$E$998,"仔鱼",数据!$F$3:$F$998,A703,数据!$G$3:$G$998,B703)</f>
        <v>0</v>
      </c>
      <c r="U703">
        <f>SUMIFS(数据!$D$3:$D$998,数据!$E$3:$E$998,"稚鱼",数据!$F$3:$F$998,A703,数据!$G$3:$G$998,B703)</f>
        <v>0</v>
      </c>
    </row>
    <row r="704" spans="1:21" ht="19.9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45" t="str">
        <f t="shared" si="20"/>
        <v/>
      </c>
      <c r="M704" s="45" t="str">
        <f t="shared" si="21"/>
        <v/>
      </c>
      <c r="N704" s="39" t="str">
        <f>IF(AND(A704="",B704=""),"",COUNTIFS(数据!$E$3:$E$998,"&lt;&gt;前期仔鱼",数据!$E$3:$E$998,"&lt;&gt;仔鱼",数据!$E$3:$E$998,"&lt;&gt;稚鱼",数据!$F$3:$F$998,A704,数据!$G$3:$G$998,B704))</f>
        <v/>
      </c>
      <c r="O704" s="39" t="str">
        <f>IF(AND(A704="",B704=""),"",COUNTIFS(数据!$E$3:$E$998,"&lt;&gt;鱼卵",数据!$E$3:$E$998,"&lt;&gt;死卵",数据!$F$3:$F$998,A704,数据!$G$3:$G$998,B704))</f>
        <v/>
      </c>
      <c r="P704" s="31"/>
      <c r="Q704">
        <f>SUMIFS(数据!$D$3:$D$998,数据!$E$3:$E$998,"鱼卵",数据!$F$3:$F$998,A704,数据!$G$3:$G$998,B704)</f>
        <v>0</v>
      </c>
      <c r="R704">
        <f>SUMIFS(数据!$D$3:$D$998,数据!$E$3:$E$998,"死卵",数据!$F$3:$F$998,A704,数据!$G$3:$G$998,B704)</f>
        <v>0</v>
      </c>
      <c r="S704">
        <f>SUMIFS(数据!$D$3:$D$998,数据!$E$3:$E$998,"前期仔鱼",数据!$F$3:$F$998,A704,数据!$G$3:$G$998,B704)</f>
        <v>0</v>
      </c>
      <c r="T704">
        <f>SUMIFS(数据!$D$3:$D$998,数据!$E$3:$E$998,"仔鱼",数据!$F$3:$F$998,A704,数据!$G$3:$G$998,B704)</f>
        <v>0</v>
      </c>
      <c r="U704">
        <f>SUMIFS(数据!$D$3:$D$998,数据!$E$3:$E$998,"稚鱼",数据!$F$3:$F$998,A704,数据!$G$3:$G$998,B704)</f>
        <v>0</v>
      </c>
    </row>
    <row r="705" spans="1:21" ht="19.9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45" t="str">
        <f t="shared" si="20"/>
        <v/>
      </c>
      <c r="M705" s="45" t="str">
        <f t="shared" si="21"/>
        <v/>
      </c>
      <c r="N705" s="39" t="str">
        <f>IF(AND(A705="",B705=""),"",COUNTIFS(数据!$E$3:$E$998,"&lt;&gt;前期仔鱼",数据!$E$3:$E$998,"&lt;&gt;仔鱼",数据!$E$3:$E$998,"&lt;&gt;稚鱼",数据!$F$3:$F$998,A705,数据!$G$3:$G$998,B705))</f>
        <v/>
      </c>
      <c r="O705" s="39" t="str">
        <f>IF(AND(A705="",B705=""),"",COUNTIFS(数据!$E$3:$E$998,"&lt;&gt;鱼卵",数据!$E$3:$E$998,"&lt;&gt;死卵",数据!$F$3:$F$998,A705,数据!$G$3:$G$998,B705))</f>
        <v/>
      </c>
      <c r="P705" s="31"/>
      <c r="Q705">
        <f>SUMIFS(数据!$D$3:$D$998,数据!$E$3:$E$998,"鱼卵",数据!$F$3:$F$998,A705,数据!$G$3:$G$998,B705)</f>
        <v>0</v>
      </c>
      <c r="R705">
        <f>SUMIFS(数据!$D$3:$D$998,数据!$E$3:$E$998,"死卵",数据!$F$3:$F$998,A705,数据!$G$3:$G$998,B705)</f>
        <v>0</v>
      </c>
      <c r="S705">
        <f>SUMIFS(数据!$D$3:$D$998,数据!$E$3:$E$998,"前期仔鱼",数据!$F$3:$F$998,A705,数据!$G$3:$G$998,B705)</f>
        <v>0</v>
      </c>
      <c r="T705">
        <f>SUMIFS(数据!$D$3:$D$998,数据!$E$3:$E$998,"仔鱼",数据!$F$3:$F$998,A705,数据!$G$3:$G$998,B705)</f>
        <v>0</v>
      </c>
      <c r="U705">
        <f>SUMIFS(数据!$D$3:$D$998,数据!$E$3:$E$998,"稚鱼",数据!$F$3:$F$998,A705,数据!$G$3:$G$998,B705)</f>
        <v>0</v>
      </c>
    </row>
    <row r="706" spans="1:21" ht="19.9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45" t="str">
        <f t="shared" si="20"/>
        <v/>
      </c>
      <c r="M706" s="45" t="str">
        <f t="shared" si="21"/>
        <v/>
      </c>
      <c r="N706" s="39" t="str">
        <f>IF(AND(A706="",B706=""),"",COUNTIFS(数据!$E$3:$E$998,"&lt;&gt;前期仔鱼",数据!$E$3:$E$998,"&lt;&gt;仔鱼",数据!$E$3:$E$998,"&lt;&gt;稚鱼",数据!$F$3:$F$998,A706,数据!$G$3:$G$998,B706))</f>
        <v/>
      </c>
      <c r="O706" s="39" t="str">
        <f>IF(AND(A706="",B706=""),"",COUNTIFS(数据!$E$3:$E$998,"&lt;&gt;鱼卵",数据!$E$3:$E$998,"&lt;&gt;死卵",数据!$F$3:$F$998,A706,数据!$G$3:$G$998,B706))</f>
        <v/>
      </c>
      <c r="P706" s="31"/>
      <c r="Q706">
        <f>SUMIFS(数据!$D$3:$D$998,数据!$E$3:$E$998,"鱼卵",数据!$F$3:$F$998,A706,数据!$G$3:$G$998,B706)</f>
        <v>0</v>
      </c>
      <c r="R706">
        <f>SUMIFS(数据!$D$3:$D$998,数据!$E$3:$E$998,"死卵",数据!$F$3:$F$998,A706,数据!$G$3:$G$998,B706)</f>
        <v>0</v>
      </c>
      <c r="S706">
        <f>SUMIFS(数据!$D$3:$D$998,数据!$E$3:$E$998,"前期仔鱼",数据!$F$3:$F$998,A706,数据!$G$3:$G$998,B706)</f>
        <v>0</v>
      </c>
      <c r="T706">
        <f>SUMIFS(数据!$D$3:$D$998,数据!$E$3:$E$998,"仔鱼",数据!$F$3:$F$998,A706,数据!$G$3:$G$998,B706)</f>
        <v>0</v>
      </c>
      <c r="U706">
        <f>SUMIFS(数据!$D$3:$D$998,数据!$E$3:$E$998,"稚鱼",数据!$F$3:$F$998,A706,数据!$G$3:$G$998,B706)</f>
        <v>0</v>
      </c>
    </row>
    <row r="707" spans="1:21" ht="19.9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45" t="str">
        <f t="shared" si="20"/>
        <v/>
      </c>
      <c r="M707" s="45" t="str">
        <f t="shared" si="21"/>
        <v/>
      </c>
      <c r="N707" s="39" t="str">
        <f>IF(AND(A707="",B707=""),"",COUNTIFS(数据!$E$3:$E$998,"&lt;&gt;前期仔鱼",数据!$E$3:$E$998,"&lt;&gt;仔鱼",数据!$E$3:$E$998,"&lt;&gt;稚鱼",数据!$F$3:$F$998,A707,数据!$G$3:$G$998,B707))</f>
        <v/>
      </c>
      <c r="O707" s="39" t="str">
        <f>IF(AND(A707="",B707=""),"",COUNTIFS(数据!$E$3:$E$998,"&lt;&gt;鱼卵",数据!$E$3:$E$998,"&lt;&gt;死卵",数据!$F$3:$F$998,A707,数据!$G$3:$G$998,B707))</f>
        <v/>
      </c>
      <c r="P707" s="31"/>
      <c r="Q707">
        <f>SUMIFS(数据!$D$3:$D$998,数据!$E$3:$E$998,"鱼卵",数据!$F$3:$F$998,A707,数据!$G$3:$G$998,B707)</f>
        <v>0</v>
      </c>
      <c r="R707">
        <f>SUMIFS(数据!$D$3:$D$998,数据!$E$3:$E$998,"死卵",数据!$F$3:$F$998,A707,数据!$G$3:$G$998,B707)</f>
        <v>0</v>
      </c>
      <c r="S707">
        <f>SUMIFS(数据!$D$3:$D$998,数据!$E$3:$E$998,"前期仔鱼",数据!$F$3:$F$998,A707,数据!$G$3:$G$998,B707)</f>
        <v>0</v>
      </c>
      <c r="T707">
        <f>SUMIFS(数据!$D$3:$D$998,数据!$E$3:$E$998,"仔鱼",数据!$F$3:$F$998,A707,数据!$G$3:$G$998,B707)</f>
        <v>0</v>
      </c>
      <c r="U707">
        <f>SUMIFS(数据!$D$3:$D$998,数据!$E$3:$E$998,"稚鱼",数据!$F$3:$F$998,A707,数据!$G$3:$G$998,B707)</f>
        <v>0</v>
      </c>
    </row>
    <row r="708" spans="1:21" ht="19.9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45" t="str">
        <f t="shared" si="22" ref="L708:L771">IF(OR(Q708&amp;R708="",A708&amp;B708=""),"",Q708+R708)</f>
        <v/>
      </c>
      <c r="M708" s="45" t="str">
        <f t="shared" si="23" ref="M708:M771">IF(OR(A708&amp;B708="",S708&amp;T708&amp;U708=""),"",S708+T708+U708)</f>
        <v/>
      </c>
      <c r="N708" s="39" t="str">
        <f>IF(AND(A708="",B708=""),"",COUNTIFS(数据!$E$3:$E$998,"&lt;&gt;前期仔鱼",数据!$E$3:$E$998,"&lt;&gt;仔鱼",数据!$E$3:$E$998,"&lt;&gt;稚鱼",数据!$F$3:$F$998,A708,数据!$G$3:$G$998,B708))</f>
        <v/>
      </c>
      <c r="O708" s="39" t="str">
        <f>IF(AND(A708="",B708=""),"",COUNTIFS(数据!$E$3:$E$998,"&lt;&gt;鱼卵",数据!$E$3:$E$998,"&lt;&gt;死卵",数据!$F$3:$F$998,A708,数据!$G$3:$G$998,B708))</f>
        <v/>
      </c>
      <c r="P708" s="31"/>
      <c r="Q708">
        <f>SUMIFS(数据!$D$3:$D$998,数据!$E$3:$E$998,"鱼卵",数据!$F$3:$F$998,A708,数据!$G$3:$G$998,B708)</f>
        <v>0</v>
      </c>
      <c r="R708">
        <f>SUMIFS(数据!$D$3:$D$998,数据!$E$3:$E$998,"死卵",数据!$F$3:$F$998,A708,数据!$G$3:$G$998,B708)</f>
        <v>0</v>
      </c>
      <c r="S708">
        <f>SUMIFS(数据!$D$3:$D$998,数据!$E$3:$E$998,"前期仔鱼",数据!$F$3:$F$998,A708,数据!$G$3:$G$998,B708)</f>
        <v>0</v>
      </c>
      <c r="T708">
        <f>SUMIFS(数据!$D$3:$D$998,数据!$E$3:$E$998,"仔鱼",数据!$F$3:$F$998,A708,数据!$G$3:$G$998,B708)</f>
        <v>0</v>
      </c>
      <c r="U708">
        <f>SUMIFS(数据!$D$3:$D$998,数据!$E$3:$E$998,"稚鱼",数据!$F$3:$F$998,A708,数据!$G$3:$G$998,B708)</f>
        <v>0</v>
      </c>
    </row>
    <row r="709" spans="1:21" ht="19.9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45" t="str">
        <f t="shared" si="22"/>
        <v/>
      </c>
      <c r="M709" s="45" t="str">
        <f t="shared" si="23"/>
        <v/>
      </c>
      <c r="N709" s="39" t="str">
        <f>IF(AND(A709="",B709=""),"",COUNTIFS(数据!$E$3:$E$998,"&lt;&gt;前期仔鱼",数据!$E$3:$E$998,"&lt;&gt;仔鱼",数据!$E$3:$E$998,"&lt;&gt;稚鱼",数据!$F$3:$F$998,A709,数据!$G$3:$G$998,B709))</f>
        <v/>
      </c>
      <c r="O709" s="39" t="str">
        <f>IF(AND(A709="",B709=""),"",COUNTIFS(数据!$E$3:$E$998,"&lt;&gt;鱼卵",数据!$E$3:$E$998,"&lt;&gt;死卵",数据!$F$3:$F$998,A709,数据!$G$3:$G$998,B709))</f>
        <v/>
      </c>
      <c r="P709" s="31"/>
      <c r="Q709">
        <f>SUMIFS(数据!$D$3:$D$998,数据!$E$3:$E$998,"鱼卵",数据!$F$3:$F$998,A709,数据!$G$3:$G$998,B709)</f>
        <v>0</v>
      </c>
      <c r="R709">
        <f>SUMIFS(数据!$D$3:$D$998,数据!$E$3:$E$998,"死卵",数据!$F$3:$F$998,A709,数据!$G$3:$G$998,B709)</f>
        <v>0</v>
      </c>
      <c r="S709">
        <f>SUMIFS(数据!$D$3:$D$998,数据!$E$3:$E$998,"前期仔鱼",数据!$F$3:$F$998,A709,数据!$G$3:$G$998,B709)</f>
        <v>0</v>
      </c>
      <c r="T709">
        <f>SUMIFS(数据!$D$3:$D$998,数据!$E$3:$E$998,"仔鱼",数据!$F$3:$F$998,A709,数据!$G$3:$G$998,B709)</f>
        <v>0</v>
      </c>
      <c r="U709">
        <f>SUMIFS(数据!$D$3:$D$998,数据!$E$3:$E$998,"稚鱼",数据!$F$3:$F$998,A709,数据!$G$3:$G$998,B709)</f>
        <v>0</v>
      </c>
    </row>
    <row r="710" spans="1:21" ht="19.9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45" t="str">
        <f t="shared" si="22"/>
        <v/>
      </c>
      <c r="M710" s="45" t="str">
        <f t="shared" si="23"/>
        <v/>
      </c>
      <c r="N710" s="39" t="str">
        <f>IF(AND(A710="",B710=""),"",COUNTIFS(数据!$E$3:$E$998,"&lt;&gt;前期仔鱼",数据!$E$3:$E$998,"&lt;&gt;仔鱼",数据!$E$3:$E$998,"&lt;&gt;稚鱼",数据!$F$3:$F$998,A710,数据!$G$3:$G$998,B710))</f>
        <v/>
      </c>
      <c r="O710" s="39" t="str">
        <f>IF(AND(A710="",B710=""),"",COUNTIFS(数据!$E$3:$E$998,"&lt;&gt;鱼卵",数据!$E$3:$E$998,"&lt;&gt;死卵",数据!$F$3:$F$998,A710,数据!$G$3:$G$998,B710))</f>
        <v/>
      </c>
      <c r="P710" s="31"/>
      <c r="Q710">
        <f>SUMIFS(数据!$D$3:$D$998,数据!$E$3:$E$998,"鱼卵",数据!$F$3:$F$998,A710,数据!$G$3:$G$998,B710)</f>
        <v>0</v>
      </c>
      <c r="R710">
        <f>SUMIFS(数据!$D$3:$D$998,数据!$E$3:$E$998,"死卵",数据!$F$3:$F$998,A710,数据!$G$3:$G$998,B710)</f>
        <v>0</v>
      </c>
      <c r="S710">
        <f>SUMIFS(数据!$D$3:$D$998,数据!$E$3:$E$998,"前期仔鱼",数据!$F$3:$F$998,A710,数据!$G$3:$G$998,B710)</f>
        <v>0</v>
      </c>
      <c r="T710">
        <f>SUMIFS(数据!$D$3:$D$998,数据!$E$3:$E$998,"仔鱼",数据!$F$3:$F$998,A710,数据!$G$3:$G$998,B710)</f>
        <v>0</v>
      </c>
      <c r="U710">
        <f>SUMIFS(数据!$D$3:$D$998,数据!$E$3:$E$998,"稚鱼",数据!$F$3:$F$998,A710,数据!$G$3:$G$998,B710)</f>
        <v>0</v>
      </c>
    </row>
    <row r="711" spans="1:21" ht="19.9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45" t="str">
        <f t="shared" si="22"/>
        <v/>
      </c>
      <c r="M711" s="45" t="str">
        <f t="shared" si="23"/>
        <v/>
      </c>
      <c r="N711" s="39" t="str">
        <f>IF(AND(A711="",B711=""),"",COUNTIFS(数据!$E$3:$E$998,"&lt;&gt;前期仔鱼",数据!$E$3:$E$998,"&lt;&gt;仔鱼",数据!$E$3:$E$998,"&lt;&gt;稚鱼",数据!$F$3:$F$998,A711,数据!$G$3:$G$998,B711))</f>
        <v/>
      </c>
      <c r="O711" s="39" t="str">
        <f>IF(AND(A711="",B711=""),"",COUNTIFS(数据!$E$3:$E$998,"&lt;&gt;鱼卵",数据!$E$3:$E$998,"&lt;&gt;死卵",数据!$F$3:$F$998,A711,数据!$G$3:$G$998,B711))</f>
        <v/>
      </c>
      <c r="P711" s="31"/>
      <c r="Q711">
        <f>SUMIFS(数据!$D$3:$D$998,数据!$E$3:$E$998,"鱼卵",数据!$F$3:$F$998,A711,数据!$G$3:$G$998,B711)</f>
        <v>0</v>
      </c>
      <c r="R711">
        <f>SUMIFS(数据!$D$3:$D$998,数据!$E$3:$E$998,"死卵",数据!$F$3:$F$998,A711,数据!$G$3:$G$998,B711)</f>
        <v>0</v>
      </c>
      <c r="S711">
        <f>SUMIFS(数据!$D$3:$D$998,数据!$E$3:$E$998,"前期仔鱼",数据!$F$3:$F$998,A711,数据!$G$3:$G$998,B711)</f>
        <v>0</v>
      </c>
      <c r="T711">
        <f>SUMIFS(数据!$D$3:$D$998,数据!$E$3:$E$998,"仔鱼",数据!$F$3:$F$998,A711,数据!$G$3:$G$998,B711)</f>
        <v>0</v>
      </c>
      <c r="U711">
        <f>SUMIFS(数据!$D$3:$D$998,数据!$E$3:$E$998,"稚鱼",数据!$F$3:$F$998,A711,数据!$G$3:$G$998,B711)</f>
        <v>0</v>
      </c>
    </row>
    <row r="712" spans="1:21" ht="19.9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45" t="str">
        <f t="shared" si="22"/>
        <v/>
      </c>
      <c r="M712" s="45" t="str">
        <f t="shared" si="23"/>
        <v/>
      </c>
      <c r="N712" s="39" t="str">
        <f>IF(AND(A712="",B712=""),"",COUNTIFS(数据!$E$3:$E$998,"&lt;&gt;前期仔鱼",数据!$E$3:$E$998,"&lt;&gt;仔鱼",数据!$E$3:$E$998,"&lt;&gt;稚鱼",数据!$F$3:$F$998,A712,数据!$G$3:$G$998,B712))</f>
        <v/>
      </c>
      <c r="O712" s="39" t="str">
        <f>IF(AND(A712="",B712=""),"",COUNTIFS(数据!$E$3:$E$998,"&lt;&gt;鱼卵",数据!$E$3:$E$998,"&lt;&gt;死卵",数据!$F$3:$F$998,A712,数据!$G$3:$G$998,B712))</f>
        <v/>
      </c>
      <c r="P712" s="31"/>
      <c r="Q712">
        <f>SUMIFS(数据!$D$3:$D$998,数据!$E$3:$E$998,"鱼卵",数据!$F$3:$F$998,A712,数据!$G$3:$G$998,B712)</f>
        <v>0</v>
      </c>
      <c r="R712">
        <f>SUMIFS(数据!$D$3:$D$998,数据!$E$3:$E$998,"死卵",数据!$F$3:$F$998,A712,数据!$G$3:$G$998,B712)</f>
        <v>0</v>
      </c>
      <c r="S712">
        <f>SUMIFS(数据!$D$3:$D$998,数据!$E$3:$E$998,"前期仔鱼",数据!$F$3:$F$998,A712,数据!$G$3:$G$998,B712)</f>
        <v>0</v>
      </c>
      <c r="T712">
        <f>SUMIFS(数据!$D$3:$D$998,数据!$E$3:$E$998,"仔鱼",数据!$F$3:$F$998,A712,数据!$G$3:$G$998,B712)</f>
        <v>0</v>
      </c>
      <c r="U712">
        <f>SUMIFS(数据!$D$3:$D$998,数据!$E$3:$E$998,"稚鱼",数据!$F$3:$F$998,A712,数据!$G$3:$G$998,B712)</f>
        <v>0</v>
      </c>
    </row>
    <row r="713" spans="1:21" ht="19.9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45" t="str">
        <f t="shared" si="22"/>
        <v/>
      </c>
      <c r="M713" s="45" t="str">
        <f t="shared" si="23"/>
        <v/>
      </c>
      <c r="N713" s="39" t="str">
        <f>IF(AND(A713="",B713=""),"",COUNTIFS(数据!$E$3:$E$998,"&lt;&gt;前期仔鱼",数据!$E$3:$E$998,"&lt;&gt;仔鱼",数据!$E$3:$E$998,"&lt;&gt;稚鱼",数据!$F$3:$F$998,A713,数据!$G$3:$G$998,B713))</f>
        <v/>
      </c>
      <c r="O713" s="39" t="str">
        <f>IF(AND(A713="",B713=""),"",COUNTIFS(数据!$E$3:$E$998,"&lt;&gt;鱼卵",数据!$E$3:$E$998,"&lt;&gt;死卵",数据!$F$3:$F$998,A713,数据!$G$3:$G$998,B713))</f>
        <v/>
      </c>
      <c r="P713" s="31"/>
      <c r="Q713">
        <f>SUMIFS(数据!$D$3:$D$998,数据!$E$3:$E$998,"鱼卵",数据!$F$3:$F$998,A713,数据!$G$3:$G$998,B713)</f>
        <v>0</v>
      </c>
      <c r="R713">
        <f>SUMIFS(数据!$D$3:$D$998,数据!$E$3:$E$998,"死卵",数据!$F$3:$F$998,A713,数据!$G$3:$G$998,B713)</f>
        <v>0</v>
      </c>
      <c r="S713">
        <f>SUMIFS(数据!$D$3:$D$998,数据!$E$3:$E$998,"前期仔鱼",数据!$F$3:$F$998,A713,数据!$G$3:$G$998,B713)</f>
        <v>0</v>
      </c>
      <c r="T713">
        <f>SUMIFS(数据!$D$3:$D$998,数据!$E$3:$E$998,"仔鱼",数据!$F$3:$F$998,A713,数据!$G$3:$G$998,B713)</f>
        <v>0</v>
      </c>
      <c r="U713">
        <f>SUMIFS(数据!$D$3:$D$998,数据!$E$3:$E$998,"稚鱼",数据!$F$3:$F$998,A713,数据!$G$3:$G$998,B713)</f>
        <v>0</v>
      </c>
    </row>
    <row r="714" spans="1:21" ht="19.9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45" t="str">
        <f t="shared" si="22"/>
        <v/>
      </c>
      <c r="M714" s="45" t="str">
        <f t="shared" si="23"/>
        <v/>
      </c>
      <c r="N714" s="39" t="str">
        <f>IF(AND(A714="",B714=""),"",COUNTIFS(数据!$E$3:$E$998,"&lt;&gt;前期仔鱼",数据!$E$3:$E$998,"&lt;&gt;仔鱼",数据!$E$3:$E$998,"&lt;&gt;稚鱼",数据!$F$3:$F$998,A714,数据!$G$3:$G$998,B714))</f>
        <v/>
      </c>
      <c r="O714" s="39" t="str">
        <f>IF(AND(A714="",B714=""),"",COUNTIFS(数据!$E$3:$E$998,"&lt;&gt;鱼卵",数据!$E$3:$E$998,"&lt;&gt;死卵",数据!$F$3:$F$998,A714,数据!$G$3:$G$998,B714))</f>
        <v/>
      </c>
      <c r="P714" s="31"/>
      <c r="Q714">
        <f>SUMIFS(数据!$D$3:$D$998,数据!$E$3:$E$998,"鱼卵",数据!$F$3:$F$998,A714,数据!$G$3:$G$998,B714)</f>
        <v>0</v>
      </c>
      <c r="R714">
        <f>SUMIFS(数据!$D$3:$D$998,数据!$E$3:$E$998,"死卵",数据!$F$3:$F$998,A714,数据!$G$3:$G$998,B714)</f>
        <v>0</v>
      </c>
      <c r="S714">
        <f>SUMIFS(数据!$D$3:$D$998,数据!$E$3:$E$998,"前期仔鱼",数据!$F$3:$F$998,A714,数据!$G$3:$G$998,B714)</f>
        <v>0</v>
      </c>
      <c r="T714">
        <f>SUMIFS(数据!$D$3:$D$998,数据!$E$3:$E$998,"仔鱼",数据!$F$3:$F$998,A714,数据!$G$3:$G$998,B714)</f>
        <v>0</v>
      </c>
      <c r="U714">
        <f>SUMIFS(数据!$D$3:$D$998,数据!$E$3:$E$998,"稚鱼",数据!$F$3:$F$998,A714,数据!$G$3:$G$998,B714)</f>
        <v>0</v>
      </c>
    </row>
    <row r="715" spans="1:21" ht="19.9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45" t="str">
        <f t="shared" si="22"/>
        <v/>
      </c>
      <c r="M715" s="45" t="str">
        <f t="shared" si="23"/>
        <v/>
      </c>
      <c r="N715" s="39" t="str">
        <f>IF(AND(A715="",B715=""),"",COUNTIFS(数据!$E$3:$E$998,"&lt;&gt;前期仔鱼",数据!$E$3:$E$998,"&lt;&gt;仔鱼",数据!$E$3:$E$998,"&lt;&gt;稚鱼",数据!$F$3:$F$998,A715,数据!$G$3:$G$998,B715))</f>
        <v/>
      </c>
      <c r="O715" s="39" t="str">
        <f>IF(AND(A715="",B715=""),"",COUNTIFS(数据!$E$3:$E$998,"&lt;&gt;鱼卵",数据!$E$3:$E$998,"&lt;&gt;死卵",数据!$F$3:$F$998,A715,数据!$G$3:$G$998,B715))</f>
        <v/>
      </c>
      <c r="P715" s="31"/>
      <c r="Q715">
        <f>SUMIFS(数据!$D$3:$D$998,数据!$E$3:$E$998,"鱼卵",数据!$F$3:$F$998,A715,数据!$G$3:$G$998,B715)</f>
        <v>0</v>
      </c>
      <c r="R715">
        <f>SUMIFS(数据!$D$3:$D$998,数据!$E$3:$E$998,"死卵",数据!$F$3:$F$998,A715,数据!$G$3:$G$998,B715)</f>
        <v>0</v>
      </c>
      <c r="S715">
        <f>SUMIFS(数据!$D$3:$D$998,数据!$E$3:$E$998,"前期仔鱼",数据!$F$3:$F$998,A715,数据!$G$3:$G$998,B715)</f>
        <v>0</v>
      </c>
      <c r="T715">
        <f>SUMIFS(数据!$D$3:$D$998,数据!$E$3:$E$998,"仔鱼",数据!$F$3:$F$998,A715,数据!$G$3:$G$998,B715)</f>
        <v>0</v>
      </c>
      <c r="U715">
        <f>SUMIFS(数据!$D$3:$D$998,数据!$E$3:$E$998,"稚鱼",数据!$F$3:$F$998,A715,数据!$G$3:$G$998,B715)</f>
        <v>0</v>
      </c>
    </row>
    <row r="716" spans="1:21" ht="19.9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45" t="str">
        <f t="shared" si="22"/>
        <v/>
      </c>
      <c r="M716" s="45" t="str">
        <f t="shared" si="23"/>
        <v/>
      </c>
      <c r="N716" s="39" t="str">
        <f>IF(AND(A716="",B716=""),"",COUNTIFS(数据!$E$3:$E$998,"&lt;&gt;前期仔鱼",数据!$E$3:$E$998,"&lt;&gt;仔鱼",数据!$E$3:$E$998,"&lt;&gt;稚鱼",数据!$F$3:$F$998,A716,数据!$G$3:$G$998,B716))</f>
        <v/>
      </c>
      <c r="O716" s="39" t="str">
        <f>IF(AND(A716="",B716=""),"",COUNTIFS(数据!$E$3:$E$998,"&lt;&gt;鱼卵",数据!$E$3:$E$998,"&lt;&gt;死卵",数据!$F$3:$F$998,A716,数据!$G$3:$G$998,B716))</f>
        <v/>
      </c>
      <c r="P716" s="31"/>
      <c r="Q716">
        <f>SUMIFS(数据!$D$3:$D$998,数据!$E$3:$E$998,"鱼卵",数据!$F$3:$F$998,A716,数据!$G$3:$G$998,B716)</f>
        <v>0</v>
      </c>
      <c r="R716">
        <f>SUMIFS(数据!$D$3:$D$998,数据!$E$3:$E$998,"死卵",数据!$F$3:$F$998,A716,数据!$G$3:$G$998,B716)</f>
        <v>0</v>
      </c>
      <c r="S716">
        <f>SUMIFS(数据!$D$3:$D$998,数据!$E$3:$E$998,"前期仔鱼",数据!$F$3:$F$998,A716,数据!$G$3:$G$998,B716)</f>
        <v>0</v>
      </c>
      <c r="T716">
        <f>SUMIFS(数据!$D$3:$D$998,数据!$E$3:$E$998,"仔鱼",数据!$F$3:$F$998,A716,数据!$G$3:$G$998,B716)</f>
        <v>0</v>
      </c>
      <c r="U716">
        <f>SUMIFS(数据!$D$3:$D$998,数据!$E$3:$E$998,"稚鱼",数据!$F$3:$F$998,A716,数据!$G$3:$G$998,B716)</f>
        <v>0</v>
      </c>
    </row>
    <row r="717" spans="1:21" ht="19.9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45" t="str">
        <f t="shared" si="22"/>
        <v/>
      </c>
      <c r="M717" s="45" t="str">
        <f t="shared" si="23"/>
        <v/>
      </c>
      <c r="N717" s="39" t="str">
        <f>IF(AND(A717="",B717=""),"",COUNTIFS(数据!$E$3:$E$998,"&lt;&gt;前期仔鱼",数据!$E$3:$E$998,"&lt;&gt;仔鱼",数据!$E$3:$E$998,"&lt;&gt;稚鱼",数据!$F$3:$F$998,A717,数据!$G$3:$G$998,B717))</f>
        <v/>
      </c>
      <c r="O717" s="39" t="str">
        <f>IF(AND(A717="",B717=""),"",COUNTIFS(数据!$E$3:$E$998,"&lt;&gt;鱼卵",数据!$E$3:$E$998,"&lt;&gt;死卵",数据!$F$3:$F$998,A717,数据!$G$3:$G$998,B717))</f>
        <v/>
      </c>
      <c r="P717" s="31"/>
      <c r="Q717">
        <f>SUMIFS(数据!$D$3:$D$998,数据!$E$3:$E$998,"鱼卵",数据!$F$3:$F$998,A717,数据!$G$3:$G$998,B717)</f>
        <v>0</v>
      </c>
      <c r="R717">
        <f>SUMIFS(数据!$D$3:$D$998,数据!$E$3:$E$998,"死卵",数据!$F$3:$F$998,A717,数据!$G$3:$G$998,B717)</f>
        <v>0</v>
      </c>
      <c r="S717">
        <f>SUMIFS(数据!$D$3:$D$998,数据!$E$3:$E$998,"前期仔鱼",数据!$F$3:$F$998,A717,数据!$G$3:$G$998,B717)</f>
        <v>0</v>
      </c>
      <c r="T717">
        <f>SUMIFS(数据!$D$3:$D$998,数据!$E$3:$E$998,"仔鱼",数据!$F$3:$F$998,A717,数据!$G$3:$G$998,B717)</f>
        <v>0</v>
      </c>
      <c r="U717">
        <f>SUMIFS(数据!$D$3:$D$998,数据!$E$3:$E$998,"稚鱼",数据!$F$3:$F$998,A717,数据!$G$3:$G$998,B717)</f>
        <v>0</v>
      </c>
    </row>
    <row r="718" spans="1:21" ht="19.9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45" t="str">
        <f t="shared" si="22"/>
        <v/>
      </c>
      <c r="M718" s="45" t="str">
        <f t="shared" si="23"/>
        <v/>
      </c>
      <c r="N718" s="39" t="str">
        <f>IF(AND(A718="",B718=""),"",COUNTIFS(数据!$E$3:$E$998,"&lt;&gt;前期仔鱼",数据!$E$3:$E$998,"&lt;&gt;仔鱼",数据!$E$3:$E$998,"&lt;&gt;稚鱼",数据!$F$3:$F$998,A718,数据!$G$3:$G$998,B718))</f>
        <v/>
      </c>
      <c r="O718" s="39" t="str">
        <f>IF(AND(A718="",B718=""),"",COUNTIFS(数据!$E$3:$E$998,"&lt;&gt;鱼卵",数据!$E$3:$E$998,"&lt;&gt;死卵",数据!$F$3:$F$998,A718,数据!$G$3:$G$998,B718))</f>
        <v/>
      </c>
      <c r="P718" s="31"/>
      <c r="Q718">
        <f>SUMIFS(数据!$D$3:$D$998,数据!$E$3:$E$998,"鱼卵",数据!$F$3:$F$998,A718,数据!$G$3:$G$998,B718)</f>
        <v>0</v>
      </c>
      <c r="R718">
        <f>SUMIFS(数据!$D$3:$D$998,数据!$E$3:$E$998,"死卵",数据!$F$3:$F$998,A718,数据!$G$3:$G$998,B718)</f>
        <v>0</v>
      </c>
      <c r="S718">
        <f>SUMIFS(数据!$D$3:$D$998,数据!$E$3:$E$998,"前期仔鱼",数据!$F$3:$F$998,A718,数据!$G$3:$G$998,B718)</f>
        <v>0</v>
      </c>
      <c r="T718">
        <f>SUMIFS(数据!$D$3:$D$998,数据!$E$3:$E$998,"仔鱼",数据!$F$3:$F$998,A718,数据!$G$3:$G$998,B718)</f>
        <v>0</v>
      </c>
      <c r="U718">
        <f>SUMIFS(数据!$D$3:$D$998,数据!$E$3:$E$998,"稚鱼",数据!$F$3:$F$998,A718,数据!$G$3:$G$998,B718)</f>
        <v>0</v>
      </c>
    </row>
    <row r="719" spans="1:21" ht="19.9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45" t="str">
        <f t="shared" si="22"/>
        <v/>
      </c>
      <c r="M719" s="45" t="str">
        <f t="shared" si="23"/>
        <v/>
      </c>
      <c r="N719" s="39" t="str">
        <f>IF(AND(A719="",B719=""),"",COUNTIFS(数据!$E$3:$E$998,"&lt;&gt;前期仔鱼",数据!$E$3:$E$998,"&lt;&gt;仔鱼",数据!$E$3:$E$998,"&lt;&gt;稚鱼",数据!$F$3:$F$998,A719,数据!$G$3:$G$998,B719))</f>
        <v/>
      </c>
      <c r="O719" s="39" t="str">
        <f>IF(AND(A719="",B719=""),"",COUNTIFS(数据!$E$3:$E$998,"&lt;&gt;鱼卵",数据!$E$3:$E$998,"&lt;&gt;死卵",数据!$F$3:$F$998,A719,数据!$G$3:$G$998,B719))</f>
        <v/>
      </c>
      <c r="P719" s="31"/>
      <c r="Q719">
        <f>SUMIFS(数据!$D$3:$D$998,数据!$E$3:$E$998,"鱼卵",数据!$F$3:$F$998,A719,数据!$G$3:$G$998,B719)</f>
        <v>0</v>
      </c>
      <c r="R719">
        <f>SUMIFS(数据!$D$3:$D$998,数据!$E$3:$E$998,"死卵",数据!$F$3:$F$998,A719,数据!$G$3:$G$998,B719)</f>
        <v>0</v>
      </c>
      <c r="S719">
        <f>SUMIFS(数据!$D$3:$D$998,数据!$E$3:$E$998,"前期仔鱼",数据!$F$3:$F$998,A719,数据!$G$3:$G$998,B719)</f>
        <v>0</v>
      </c>
      <c r="T719">
        <f>SUMIFS(数据!$D$3:$D$998,数据!$E$3:$E$998,"仔鱼",数据!$F$3:$F$998,A719,数据!$G$3:$G$998,B719)</f>
        <v>0</v>
      </c>
      <c r="U719">
        <f>SUMIFS(数据!$D$3:$D$998,数据!$E$3:$E$998,"稚鱼",数据!$F$3:$F$998,A719,数据!$G$3:$G$998,B719)</f>
        <v>0</v>
      </c>
    </row>
    <row r="720" spans="1:21" ht="19.9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45" t="str">
        <f t="shared" si="22"/>
        <v/>
      </c>
      <c r="M720" s="45" t="str">
        <f t="shared" si="23"/>
        <v/>
      </c>
      <c r="N720" s="39" t="str">
        <f>IF(AND(A720="",B720=""),"",COUNTIFS(数据!$E$3:$E$998,"&lt;&gt;前期仔鱼",数据!$E$3:$E$998,"&lt;&gt;仔鱼",数据!$E$3:$E$998,"&lt;&gt;稚鱼",数据!$F$3:$F$998,A720,数据!$G$3:$G$998,B720))</f>
        <v/>
      </c>
      <c r="O720" s="39" t="str">
        <f>IF(AND(A720="",B720=""),"",COUNTIFS(数据!$E$3:$E$998,"&lt;&gt;鱼卵",数据!$E$3:$E$998,"&lt;&gt;死卵",数据!$F$3:$F$998,A720,数据!$G$3:$G$998,B720))</f>
        <v/>
      </c>
      <c r="P720" s="31"/>
      <c r="Q720">
        <f>SUMIFS(数据!$D$3:$D$998,数据!$E$3:$E$998,"鱼卵",数据!$F$3:$F$998,A720,数据!$G$3:$G$998,B720)</f>
        <v>0</v>
      </c>
      <c r="R720">
        <f>SUMIFS(数据!$D$3:$D$998,数据!$E$3:$E$998,"死卵",数据!$F$3:$F$998,A720,数据!$G$3:$G$998,B720)</f>
        <v>0</v>
      </c>
      <c r="S720">
        <f>SUMIFS(数据!$D$3:$D$998,数据!$E$3:$E$998,"前期仔鱼",数据!$F$3:$F$998,A720,数据!$G$3:$G$998,B720)</f>
        <v>0</v>
      </c>
      <c r="T720">
        <f>SUMIFS(数据!$D$3:$D$998,数据!$E$3:$E$998,"仔鱼",数据!$F$3:$F$998,A720,数据!$G$3:$G$998,B720)</f>
        <v>0</v>
      </c>
      <c r="U720">
        <f>SUMIFS(数据!$D$3:$D$998,数据!$E$3:$E$998,"稚鱼",数据!$F$3:$F$998,A720,数据!$G$3:$G$998,B720)</f>
        <v>0</v>
      </c>
    </row>
    <row r="721" spans="1:21" ht="19.9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45" t="str">
        <f t="shared" si="22"/>
        <v/>
      </c>
      <c r="M721" s="45" t="str">
        <f t="shared" si="23"/>
        <v/>
      </c>
      <c r="N721" s="39" t="str">
        <f>IF(AND(A721="",B721=""),"",COUNTIFS(数据!$E$3:$E$998,"&lt;&gt;前期仔鱼",数据!$E$3:$E$998,"&lt;&gt;仔鱼",数据!$E$3:$E$998,"&lt;&gt;稚鱼",数据!$F$3:$F$998,A721,数据!$G$3:$G$998,B721))</f>
        <v/>
      </c>
      <c r="O721" s="39" t="str">
        <f>IF(AND(A721="",B721=""),"",COUNTIFS(数据!$E$3:$E$998,"&lt;&gt;鱼卵",数据!$E$3:$E$998,"&lt;&gt;死卵",数据!$F$3:$F$998,A721,数据!$G$3:$G$998,B721))</f>
        <v/>
      </c>
      <c r="P721" s="31"/>
      <c r="Q721">
        <f>SUMIFS(数据!$D$3:$D$998,数据!$E$3:$E$998,"鱼卵",数据!$F$3:$F$998,A721,数据!$G$3:$G$998,B721)</f>
        <v>0</v>
      </c>
      <c r="R721">
        <f>SUMIFS(数据!$D$3:$D$998,数据!$E$3:$E$998,"死卵",数据!$F$3:$F$998,A721,数据!$G$3:$G$998,B721)</f>
        <v>0</v>
      </c>
      <c r="S721">
        <f>SUMIFS(数据!$D$3:$D$998,数据!$E$3:$E$998,"前期仔鱼",数据!$F$3:$F$998,A721,数据!$G$3:$G$998,B721)</f>
        <v>0</v>
      </c>
      <c r="T721">
        <f>SUMIFS(数据!$D$3:$D$998,数据!$E$3:$E$998,"仔鱼",数据!$F$3:$F$998,A721,数据!$G$3:$G$998,B721)</f>
        <v>0</v>
      </c>
      <c r="U721">
        <f>SUMIFS(数据!$D$3:$D$998,数据!$E$3:$E$998,"稚鱼",数据!$F$3:$F$998,A721,数据!$G$3:$G$998,B721)</f>
        <v>0</v>
      </c>
    </row>
    <row r="722" spans="1:21" ht="19.9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45" t="str">
        <f t="shared" si="22"/>
        <v/>
      </c>
      <c r="M722" s="45" t="str">
        <f t="shared" si="23"/>
        <v/>
      </c>
      <c r="N722" s="39" t="str">
        <f>IF(AND(A722="",B722=""),"",COUNTIFS(数据!$E$3:$E$998,"&lt;&gt;前期仔鱼",数据!$E$3:$E$998,"&lt;&gt;仔鱼",数据!$E$3:$E$998,"&lt;&gt;稚鱼",数据!$F$3:$F$998,A722,数据!$G$3:$G$998,B722))</f>
        <v/>
      </c>
      <c r="O722" s="39" t="str">
        <f>IF(AND(A722="",B722=""),"",COUNTIFS(数据!$E$3:$E$998,"&lt;&gt;鱼卵",数据!$E$3:$E$998,"&lt;&gt;死卵",数据!$F$3:$F$998,A722,数据!$G$3:$G$998,B722))</f>
        <v/>
      </c>
      <c r="P722" s="31"/>
      <c r="Q722">
        <f>SUMIFS(数据!$D$3:$D$998,数据!$E$3:$E$998,"鱼卵",数据!$F$3:$F$998,A722,数据!$G$3:$G$998,B722)</f>
        <v>0</v>
      </c>
      <c r="R722">
        <f>SUMIFS(数据!$D$3:$D$998,数据!$E$3:$E$998,"死卵",数据!$F$3:$F$998,A722,数据!$G$3:$G$998,B722)</f>
        <v>0</v>
      </c>
      <c r="S722">
        <f>SUMIFS(数据!$D$3:$D$998,数据!$E$3:$E$998,"前期仔鱼",数据!$F$3:$F$998,A722,数据!$G$3:$G$998,B722)</f>
        <v>0</v>
      </c>
      <c r="T722">
        <f>SUMIFS(数据!$D$3:$D$998,数据!$E$3:$E$998,"仔鱼",数据!$F$3:$F$998,A722,数据!$G$3:$G$998,B722)</f>
        <v>0</v>
      </c>
      <c r="U722">
        <f>SUMIFS(数据!$D$3:$D$998,数据!$E$3:$E$998,"稚鱼",数据!$F$3:$F$998,A722,数据!$G$3:$G$998,B722)</f>
        <v>0</v>
      </c>
    </row>
    <row r="723" spans="1:21" ht="19.9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45" t="str">
        <f t="shared" si="22"/>
        <v/>
      </c>
      <c r="M723" s="45" t="str">
        <f t="shared" si="23"/>
        <v/>
      </c>
      <c r="N723" s="39" t="str">
        <f>IF(AND(A723="",B723=""),"",COUNTIFS(数据!$E$3:$E$998,"&lt;&gt;前期仔鱼",数据!$E$3:$E$998,"&lt;&gt;仔鱼",数据!$E$3:$E$998,"&lt;&gt;稚鱼",数据!$F$3:$F$998,A723,数据!$G$3:$G$998,B723))</f>
        <v/>
      </c>
      <c r="O723" s="39" t="str">
        <f>IF(AND(A723="",B723=""),"",COUNTIFS(数据!$E$3:$E$998,"&lt;&gt;鱼卵",数据!$E$3:$E$998,"&lt;&gt;死卵",数据!$F$3:$F$998,A723,数据!$G$3:$G$998,B723))</f>
        <v/>
      </c>
      <c r="P723" s="31"/>
      <c r="Q723">
        <f>SUMIFS(数据!$D$3:$D$998,数据!$E$3:$E$998,"鱼卵",数据!$F$3:$F$998,A723,数据!$G$3:$G$998,B723)</f>
        <v>0</v>
      </c>
      <c r="R723">
        <f>SUMIFS(数据!$D$3:$D$998,数据!$E$3:$E$998,"死卵",数据!$F$3:$F$998,A723,数据!$G$3:$G$998,B723)</f>
        <v>0</v>
      </c>
      <c r="S723">
        <f>SUMIFS(数据!$D$3:$D$998,数据!$E$3:$E$998,"前期仔鱼",数据!$F$3:$F$998,A723,数据!$G$3:$G$998,B723)</f>
        <v>0</v>
      </c>
      <c r="T723">
        <f>SUMIFS(数据!$D$3:$D$998,数据!$E$3:$E$998,"仔鱼",数据!$F$3:$F$998,A723,数据!$G$3:$G$998,B723)</f>
        <v>0</v>
      </c>
      <c r="U723">
        <f>SUMIFS(数据!$D$3:$D$998,数据!$E$3:$E$998,"稚鱼",数据!$F$3:$F$998,A723,数据!$G$3:$G$998,B723)</f>
        <v>0</v>
      </c>
    </row>
    <row r="724" spans="1:21" ht="19.9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45" t="str">
        <f t="shared" si="22"/>
        <v/>
      </c>
      <c r="M724" s="45" t="str">
        <f t="shared" si="23"/>
        <v/>
      </c>
      <c r="N724" s="39" t="str">
        <f>IF(AND(A724="",B724=""),"",COUNTIFS(数据!$E$3:$E$998,"&lt;&gt;前期仔鱼",数据!$E$3:$E$998,"&lt;&gt;仔鱼",数据!$E$3:$E$998,"&lt;&gt;稚鱼",数据!$F$3:$F$998,A724,数据!$G$3:$G$998,B724))</f>
        <v/>
      </c>
      <c r="O724" s="39" t="str">
        <f>IF(AND(A724="",B724=""),"",COUNTIFS(数据!$E$3:$E$998,"&lt;&gt;鱼卵",数据!$E$3:$E$998,"&lt;&gt;死卵",数据!$F$3:$F$998,A724,数据!$G$3:$G$998,B724))</f>
        <v/>
      </c>
      <c r="P724" s="31"/>
      <c r="Q724">
        <f>SUMIFS(数据!$D$3:$D$998,数据!$E$3:$E$998,"鱼卵",数据!$F$3:$F$998,A724,数据!$G$3:$G$998,B724)</f>
        <v>0</v>
      </c>
      <c r="R724">
        <f>SUMIFS(数据!$D$3:$D$998,数据!$E$3:$E$998,"死卵",数据!$F$3:$F$998,A724,数据!$G$3:$G$998,B724)</f>
        <v>0</v>
      </c>
      <c r="S724">
        <f>SUMIFS(数据!$D$3:$D$998,数据!$E$3:$E$998,"前期仔鱼",数据!$F$3:$F$998,A724,数据!$G$3:$G$998,B724)</f>
        <v>0</v>
      </c>
      <c r="T724">
        <f>SUMIFS(数据!$D$3:$D$998,数据!$E$3:$E$998,"仔鱼",数据!$F$3:$F$998,A724,数据!$G$3:$G$998,B724)</f>
        <v>0</v>
      </c>
      <c r="U724">
        <f>SUMIFS(数据!$D$3:$D$998,数据!$E$3:$E$998,"稚鱼",数据!$F$3:$F$998,A724,数据!$G$3:$G$998,B724)</f>
        <v>0</v>
      </c>
    </row>
    <row r="725" spans="1:21" ht="19.9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45" t="str">
        <f t="shared" si="22"/>
        <v/>
      </c>
      <c r="M725" s="45" t="str">
        <f t="shared" si="23"/>
        <v/>
      </c>
      <c r="N725" s="39" t="str">
        <f>IF(AND(A725="",B725=""),"",COUNTIFS(数据!$E$3:$E$998,"&lt;&gt;前期仔鱼",数据!$E$3:$E$998,"&lt;&gt;仔鱼",数据!$E$3:$E$998,"&lt;&gt;稚鱼",数据!$F$3:$F$998,A725,数据!$G$3:$G$998,B725))</f>
        <v/>
      </c>
      <c r="O725" s="39" t="str">
        <f>IF(AND(A725="",B725=""),"",COUNTIFS(数据!$E$3:$E$998,"&lt;&gt;鱼卵",数据!$E$3:$E$998,"&lt;&gt;死卵",数据!$F$3:$F$998,A725,数据!$G$3:$G$998,B725))</f>
        <v/>
      </c>
      <c r="P725" s="31"/>
      <c r="Q725">
        <f>SUMIFS(数据!$D$3:$D$998,数据!$E$3:$E$998,"鱼卵",数据!$F$3:$F$998,A725,数据!$G$3:$G$998,B725)</f>
        <v>0</v>
      </c>
      <c r="R725">
        <f>SUMIFS(数据!$D$3:$D$998,数据!$E$3:$E$998,"死卵",数据!$F$3:$F$998,A725,数据!$G$3:$G$998,B725)</f>
        <v>0</v>
      </c>
      <c r="S725">
        <f>SUMIFS(数据!$D$3:$D$998,数据!$E$3:$E$998,"前期仔鱼",数据!$F$3:$F$998,A725,数据!$G$3:$G$998,B725)</f>
        <v>0</v>
      </c>
      <c r="T725">
        <f>SUMIFS(数据!$D$3:$D$998,数据!$E$3:$E$998,"仔鱼",数据!$F$3:$F$998,A725,数据!$G$3:$G$998,B725)</f>
        <v>0</v>
      </c>
      <c r="U725">
        <f>SUMIFS(数据!$D$3:$D$998,数据!$E$3:$E$998,"稚鱼",数据!$F$3:$F$998,A725,数据!$G$3:$G$998,B725)</f>
        <v>0</v>
      </c>
    </row>
    <row r="726" spans="1:21" ht="19.9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45" t="str">
        <f t="shared" si="22"/>
        <v/>
      </c>
      <c r="M726" s="45" t="str">
        <f t="shared" si="23"/>
        <v/>
      </c>
      <c r="N726" s="39" t="str">
        <f>IF(AND(A726="",B726=""),"",COUNTIFS(数据!$E$3:$E$998,"&lt;&gt;前期仔鱼",数据!$E$3:$E$998,"&lt;&gt;仔鱼",数据!$E$3:$E$998,"&lt;&gt;稚鱼",数据!$F$3:$F$998,A726,数据!$G$3:$G$998,B726))</f>
        <v/>
      </c>
      <c r="O726" s="39" t="str">
        <f>IF(AND(A726="",B726=""),"",COUNTIFS(数据!$E$3:$E$998,"&lt;&gt;鱼卵",数据!$E$3:$E$998,"&lt;&gt;死卵",数据!$F$3:$F$998,A726,数据!$G$3:$G$998,B726))</f>
        <v/>
      </c>
      <c r="P726" s="31"/>
      <c r="Q726">
        <f>SUMIFS(数据!$D$3:$D$998,数据!$E$3:$E$998,"鱼卵",数据!$F$3:$F$998,A726,数据!$G$3:$G$998,B726)</f>
        <v>0</v>
      </c>
      <c r="R726">
        <f>SUMIFS(数据!$D$3:$D$998,数据!$E$3:$E$998,"死卵",数据!$F$3:$F$998,A726,数据!$G$3:$G$998,B726)</f>
        <v>0</v>
      </c>
      <c r="S726">
        <f>SUMIFS(数据!$D$3:$D$998,数据!$E$3:$E$998,"前期仔鱼",数据!$F$3:$F$998,A726,数据!$G$3:$G$998,B726)</f>
        <v>0</v>
      </c>
      <c r="T726">
        <f>SUMIFS(数据!$D$3:$D$998,数据!$E$3:$E$998,"仔鱼",数据!$F$3:$F$998,A726,数据!$G$3:$G$998,B726)</f>
        <v>0</v>
      </c>
      <c r="U726">
        <f>SUMIFS(数据!$D$3:$D$998,数据!$E$3:$E$998,"稚鱼",数据!$F$3:$F$998,A726,数据!$G$3:$G$998,B726)</f>
        <v>0</v>
      </c>
    </row>
    <row r="727" spans="1:21" ht="19.9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45" t="str">
        <f t="shared" si="22"/>
        <v/>
      </c>
      <c r="M727" s="45" t="str">
        <f t="shared" si="23"/>
        <v/>
      </c>
      <c r="N727" s="39" t="str">
        <f>IF(AND(A727="",B727=""),"",COUNTIFS(数据!$E$3:$E$998,"&lt;&gt;前期仔鱼",数据!$E$3:$E$998,"&lt;&gt;仔鱼",数据!$E$3:$E$998,"&lt;&gt;稚鱼",数据!$F$3:$F$998,A727,数据!$G$3:$G$998,B727))</f>
        <v/>
      </c>
      <c r="O727" s="39" t="str">
        <f>IF(AND(A727="",B727=""),"",COUNTIFS(数据!$E$3:$E$998,"&lt;&gt;鱼卵",数据!$E$3:$E$998,"&lt;&gt;死卵",数据!$F$3:$F$998,A727,数据!$G$3:$G$998,B727))</f>
        <v/>
      </c>
      <c r="P727" s="31"/>
      <c r="Q727">
        <f>SUMIFS(数据!$D$3:$D$998,数据!$E$3:$E$998,"鱼卵",数据!$F$3:$F$998,A727,数据!$G$3:$G$998,B727)</f>
        <v>0</v>
      </c>
      <c r="R727">
        <f>SUMIFS(数据!$D$3:$D$998,数据!$E$3:$E$998,"死卵",数据!$F$3:$F$998,A727,数据!$G$3:$G$998,B727)</f>
        <v>0</v>
      </c>
      <c r="S727">
        <f>SUMIFS(数据!$D$3:$D$998,数据!$E$3:$E$998,"前期仔鱼",数据!$F$3:$F$998,A727,数据!$G$3:$G$998,B727)</f>
        <v>0</v>
      </c>
      <c r="T727">
        <f>SUMIFS(数据!$D$3:$D$998,数据!$E$3:$E$998,"仔鱼",数据!$F$3:$F$998,A727,数据!$G$3:$G$998,B727)</f>
        <v>0</v>
      </c>
      <c r="U727">
        <f>SUMIFS(数据!$D$3:$D$998,数据!$E$3:$E$998,"稚鱼",数据!$F$3:$F$998,A727,数据!$G$3:$G$998,B727)</f>
        <v>0</v>
      </c>
    </row>
    <row r="728" spans="1:21" ht="19.9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45" t="str">
        <f t="shared" si="22"/>
        <v/>
      </c>
      <c r="M728" s="45" t="str">
        <f t="shared" si="23"/>
        <v/>
      </c>
      <c r="N728" s="39" t="str">
        <f>IF(AND(A728="",B728=""),"",COUNTIFS(数据!$E$3:$E$998,"&lt;&gt;前期仔鱼",数据!$E$3:$E$998,"&lt;&gt;仔鱼",数据!$E$3:$E$998,"&lt;&gt;稚鱼",数据!$F$3:$F$998,A728,数据!$G$3:$G$998,B728))</f>
        <v/>
      </c>
      <c r="O728" s="39" t="str">
        <f>IF(AND(A728="",B728=""),"",COUNTIFS(数据!$E$3:$E$998,"&lt;&gt;鱼卵",数据!$E$3:$E$998,"&lt;&gt;死卵",数据!$F$3:$F$998,A728,数据!$G$3:$G$998,B728))</f>
        <v/>
      </c>
      <c r="P728" s="31"/>
      <c r="Q728">
        <f>SUMIFS(数据!$D$3:$D$998,数据!$E$3:$E$998,"鱼卵",数据!$F$3:$F$998,A728,数据!$G$3:$G$998,B728)</f>
        <v>0</v>
      </c>
      <c r="R728">
        <f>SUMIFS(数据!$D$3:$D$998,数据!$E$3:$E$998,"死卵",数据!$F$3:$F$998,A728,数据!$G$3:$G$998,B728)</f>
        <v>0</v>
      </c>
      <c r="S728">
        <f>SUMIFS(数据!$D$3:$D$998,数据!$E$3:$E$998,"前期仔鱼",数据!$F$3:$F$998,A728,数据!$G$3:$G$998,B728)</f>
        <v>0</v>
      </c>
      <c r="T728">
        <f>SUMIFS(数据!$D$3:$D$998,数据!$E$3:$E$998,"仔鱼",数据!$F$3:$F$998,A728,数据!$G$3:$G$998,B728)</f>
        <v>0</v>
      </c>
      <c r="U728">
        <f>SUMIFS(数据!$D$3:$D$998,数据!$E$3:$E$998,"稚鱼",数据!$F$3:$F$998,A728,数据!$G$3:$G$998,B728)</f>
        <v>0</v>
      </c>
    </row>
    <row r="729" spans="1:21" ht="19.9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45" t="str">
        <f t="shared" si="22"/>
        <v/>
      </c>
      <c r="M729" s="45" t="str">
        <f t="shared" si="23"/>
        <v/>
      </c>
      <c r="N729" s="39" t="str">
        <f>IF(AND(A729="",B729=""),"",COUNTIFS(数据!$E$3:$E$998,"&lt;&gt;前期仔鱼",数据!$E$3:$E$998,"&lt;&gt;仔鱼",数据!$E$3:$E$998,"&lt;&gt;稚鱼",数据!$F$3:$F$998,A729,数据!$G$3:$G$998,B729))</f>
        <v/>
      </c>
      <c r="O729" s="39" t="str">
        <f>IF(AND(A729="",B729=""),"",COUNTIFS(数据!$E$3:$E$998,"&lt;&gt;鱼卵",数据!$E$3:$E$998,"&lt;&gt;死卵",数据!$F$3:$F$998,A729,数据!$G$3:$G$998,B729))</f>
        <v/>
      </c>
      <c r="P729" s="31"/>
      <c r="Q729">
        <f>SUMIFS(数据!$D$3:$D$998,数据!$E$3:$E$998,"鱼卵",数据!$F$3:$F$998,A729,数据!$G$3:$G$998,B729)</f>
        <v>0</v>
      </c>
      <c r="R729">
        <f>SUMIFS(数据!$D$3:$D$998,数据!$E$3:$E$998,"死卵",数据!$F$3:$F$998,A729,数据!$G$3:$G$998,B729)</f>
        <v>0</v>
      </c>
      <c r="S729">
        <f>SUMIFS(数据!$D$3:$D$998,数据!$E$3:$E$998,"前期仔鱼",数据!$F$3:$F$998,A729,数据!$G$3:$G$998,B729)</f>
        <v>0</v>
      </c>
      <c r="T729">
        <f>SUMIFS(数据!$D$3:$D$998,数据!$E$3:$E$998,"仔鱼",数据!$F$3:$F$998,A729,数据!$G$3:$G$998,B729)</f>
        <v>0</v>
      </c>
      <c r="U729">
        <f>SUMIFS(数据!$D$3:$D$998,数据!$E$3:$E$998,"稚鱼",数据!$F$3:$F$998,A729,数据!$G$3:$G$998,B729)</f>
        <v>0</v>
      </c>
    </row>
    <row r="730" spans="1:21" ht="19.9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45" t="str">
        <f t="shared" si="22"/>
        <v/>
      </c>
      <c r="M730" s="45" t="str">
        <f t="shared" si="23"/>
        <v/>
      </c>
      <c r="N730" s="39" t="str">
        <f>IF(AND(A730="",B730=""),"",COUNTIFS(数据!$E$3:$E$998,"&lt;&gt;前期仔鱼",数据!$E$3:$E$998,"&lt;&gt;仔鱼",数据!$E$3:$E$998,"&lt;&gt;稚鱼",数据!$F$3:$F$998,A730,数据!$G$3:$G$998,B730))</f>
        <v/>
      </c>
      <c r="O730" s="39" t="str">
        <f>IF(AND(A730="",B730=""),"",COUNTIFS(数据!$E$3:$E$998,"&lt;&gt;鱼卵",数据!$E$3:$E$998,"&lt;&gt;死卵",数据!$F$3:$F$998,A730,数据!$G$3:$G$998,B730))</f>
        <v/>
      </c>
      <c r="P730" s="31"/>
      <c r="Q730">
        <f>SUMIFS(数据!$D$3:$D$998,数据!$E$3:$E$998,"鱼卵",数据!$F$3:$F$998,A730,数据!$G$3:$G$998,B730)</f>
        <v>0</v>
      </c>
      <c r="R730">
        <f>SUMIFS(数据!$D$3:$D$998,数据!$E$3:$E$998,"死卵",数据!$F$3:$F$998,A730,数据!$G$3:$G$998,B730)</f>
        <v>0</v>
      </c>
      <c r="S730">
        <f>SUMIFS(数据!$D$3:$D$998,数据!$E$3:$E$998,"前期仔鱼",数据!$F$3:$F$998,A730,数据!$G$3:$G$998,B730)</f>
        <v>0</v>
      </c>
      <c r="T730">
        <f>SUMIFS(数据!$D$3:$D$998,数据!$E$3:$E$998,"仔鱼",数据!$F$3:$F$998,A730,数据!$G$3:$G$998,B730)</f>
        <v>0</v>
      </c>
      <c r="U730">
        <f>SUMIFS(数据!$D$3:$D$998,数据!$E$3:$E$998,"稚鱼",数据!$F$3:$F$998,A730,数据!$G$3:$G$998,B730)</f>
        <v>0</v>
      </c>
    </row>
    <row r="731" spans="1:21" ht="19.9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45" t="str">
        <f t="shared" si="22"/>
        <v/>
      </c>
      <c r="M731" s="45" t="str">
        <f t="shared" si="23"/>
        <v/>
      </c>
      <c r="N731" s="39" t="str">
        <f>IF(AND(A731="",B731=""),"",COUNTIFS(数据!$E$3:$E$998,"&lt;&gt;前期仔鱼",数据!$E$3:$E$998,"&lt;&gt;仔鱼",数据!$E$3:$E$998,"&lt;&gt;稚鱼",数据!$F$3:$F$998,A731,数据!$G$3:$G$998,B731))</f>
        <v/>
      </c>
      <c r="O731" s="39" t="str">
        <f>IF(AND(A731="",B731=""),"",COUNTIFS(数据!$E$3:$E$998,"&lt;&gt;鱼卵",数据!$E$3:$E$998,"&lt;&gt;死卵",数据!$F$3:$F$998,A731,数据!$G$3:$G$998,B731))</f>
        <v/>
      </c>
      <c r="P731" s="31"/>
      <c r="Q731">
        <f>SUMIFS(数据!$D$3:$D$998,数据!$E$3:$E$998,"鱼卵",数据!$F$3:$F$998,A731,数据!$G$3:$G$998,B731)</f>
        <v>0</v>
      </c>
      <c r="R731">
        <f>SUMIFS(数据!$D$3:$D$998,数据!$E$3:$E$998,"死卵",数据!$F$3:$F$998,A731,数据!$G$3:$G$998,B731)</f>
        <v>0</v>
      </c>
      <c r="S731">
        <f>SUMIFS(数据!$D$3:$D$998,数据!$E$3:$E$998,"前期仔鱼",数据!$F$3:$F$998,A731,数据!$G$3:$G$998,B731)</f>
        <v>0</v>
      </c>
      <c r="T731">
        <f>SUMIFS(数据!$D$3:$D$998,数据!$E$3:$E$998,"仔鱼",数据!$F$3:$F$998,A731,数据!$G$3:$G$998,B731)</f>
        <v>0</v>
      </c>
      <c r="U731">
        <f>SUMIFS(数据!$D$3:$D$998,数据!$E$3:$E$998,"稚鱼",数据!$F$3:$F$998,A731,数据!$G$3:$G$998,B731)</f>
        <v>0</v>
      </c>
    </row>
    <row r="732" spans="1:21" ht="19.9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45" t="str">
        <f t="shared" si="22"/>
        <v/>
      </c>
      <c r="M732" s="45" t="str">
        <f t="shared" si="23"/>
        <v/>
      </c>
      <c r="N732" s="39" t="str">
        <f>IF(AND(A732="",B732=""),"",COUNTIFS(数据!$E$3:$E$998,"&lt;&gt;前期仔鱼",数据!$E$3:$E$998,"&lt;&gt;仔鱼",数据!$E$3:$E$998,"&lt;&gt;稚鱼",数据!$F$3:$F$998,A732,数据!$G$3:$G$998,B732))</f>
        <v/>
      </c>
      <c r="O732" s="39" t="str">
        <f>IF(AND(A732="",B732=""),"",COUNTIFS(数据!$E$3:$E$998,"&lt;&gt;鱼卵",数据!$E$3:$E$998,"&lt;&gt;死卵",数据!$F$3:$F$998,A732,数据!$G$3:$G$998,B732))</f>
        <v/>
      </c>
      <c r="P732" s="31"/>
      <c r="Q732">
        <f>SUMIFS(数据!$D$3:$D$998,数据!$E$3:$E$998,"鱼卵",数据!$F$3:$F$998,A732,数据!$G$3:$G$998,B732)</f>
        <v>0</v>
      </c>
      <c r="R732">
        <f>SUMIFS(数据!$D$3:$D$998,数据!$E$3:$E$998,"死卵",数据!$F$3:$F$998,A732,数据!$G$3:$G$998,B732)</f>
        <v>0</v>
      </c>
      <c r="S732">
        <f>SUMIFS(数据!$D$3:$D$998,数据!$E$3:$E$998,"前期仔鱼",数据!$F$3:$F$998,A732,数据!$G$3:$G$998,B732)</f>
        <v>0</v>
      </c>
      <c r="T732">
        <f>SUMIFS(数据!$D$3:$D$998,数据!$E$3:$E$998,"仔鱼",数据!$F$3:$F$998,A732,数据!$G$3:$G$998,B732)</f>
        <v>0</v>
      </c>
      <c r="U732">
        <f>SUMIFS(数据!$D$3:$D$998,数据!$E$3:$E$998,"稚鱼",数据!$F$3:$F$998,A732,数据!$G$3:$G$998,B732)</f>
        <v>0</v>
      </c>
    </row>
    <row r="733" spans="1:21" ht="19.9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45" t="str">
        <f t="shared" si="22"/>
        <v/>
      </c>
      <c r="M733" s="45" t="str">
        <f t="shared" si="23"/>
        <v/>
      </c>
      <c r="N733" s="39" t="str">
        <f>IF(AND(A733="",B733=""),"",COUNTIFS(数据!$E$3:$E$998,"&lt;&gt;前期仔鱼",数据!$E$3:$E$998,"&lt;&gt;仔鱼",数据!$E$3:$E$998,"&lt;&gt;稚鱼",数据!$F$3:$F$998,A733,数据!$G$3:$G$998,B733))</f>
        <v/>
      </c>
      <c r="O733" s="39" t="str">
        <f>IF(AND(A733="",B733=""),"",COUNTIFS(数据!$E$3:$E$998,"&lt;&gt;鱼卵",数据!$E$3:$E$998,"&lt;&gt;死卵",数据!$F$3:$F$998,A733,数据!$G$3:$G$998,B733))</f>
        <v/>
      </c>
      <c r="P733" s="31"/>
      <c r="Q733">
        <f>SUMIFS(数据!$D$3:$D$998,数据!$E$3:$E$998,"鱼卵",数据!$F$3:$F$998,A733,数据!$G$3:$G$998,B733)</f>
        <v>0</v>
      </c>
      <c r="R733">
        <f>SUMIFS(数据!$D$3:$D$998,数据!$E$3:$E$998,"死卵",数据!$F$3:$F$998,A733,数据!$G$3:$G$998,B733)</f>
        <v>0</v>
      </c>
      <c r="S733">
        <f>SUMIFS(数据!$D$3:$D$998,数据!$E$3:$E$998,"前期仔鱼",数据!$F$3:$F$998,A733,数据!$G$3:$G$998,B733)</f>
        <v>0</v>
      </c>
      <c r="T733">
        <f>SUMIFS(数据!$D$3:$D$998,数据!$E$3:$E$998,"仔鱼",数据!$F$3:$F$998,A733,数据!$G$3:$G$998,B733)</f>
        <v>0</v>
      </c>
      <c r="U733">
        <f>SUMIFS(数据!$D$3:$D$998,数据!$E$3:$E$998,"稚鱼",数据!$F$3:$F$998,A733,数据!$G$3:$G$998,B733)</f>
        <v>0</v>
      </c>
    </row>
    <row r="734" spans="1:21" ht="19.9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45" t="str">
        <f t="shared" si="22"/>
        <v/>
      </c>
      <c r="M734" s="45" t="str">
        <f t="shared" si="23"/>
        <v/>
      </c>
      <c r="N734" s="39" t="str">
        <f>IF(AND(A734="",B734=""),"",COUNTIFS(数据!$E$3:$E$998,"&lt;&gt;前期仔鱼",数据!$E$3:$E$998,"&lt;&gt;仔鱼",数据!$E$3:$E$998,"&lt;&gt;稚鱼",数据!$F$3:$F$998,A734,数据!$G$3:$G$998,B734))</f>
        <v/>
      </c>
      <c r="O734" s="39" t="str">
        <f>IF(AND(A734="",B734=""),"",COUNTIFS(数据!$E$3:$E$998,"&lt;&gt;鱼卵",数据!$E$3:$E$998,"&lt;&gt;死卵",数据!$F$3:$F$998,A734,数据!$G$3:$G$998,B734))</f>
        <v/>
      </c>
      <c r="P734" s="31"/>
      <c r="Q734">
        <f>SUMIFS(数据!$D$3:$D$998,数据!$E$3:$E$998,"鱼卵",数据!$F$3:$F$998,A734,数据!$G$3:$G$998,B734)</f>
        <v>0</v>
      </c>
      <c r="R734">
        <f>SUMIFS(数据!$D$3:$D$998,数据!$E$3:$E$998,"死卵",数据!$F$3:$F$998,A734,数据!$G$3:$G$998,B734)</f>
        <v>0</v>
      </c>
      <c r="S734">
        <f>SUMIFS(数据!$D$3:$D$998,数据!$E$3:$E$998,"前期仔鱼",数据!$F$3:$F$998,A734,数据!$G$3:$G$998,B734)</f>
        <v>0</v>
      </c>
      <c r="T734">
        <f>SUMIFS(数据!$D$3:$D$998,数据!$E$3:$E$998,"仔鱼",数据!$F$3:$F$998,A734,数据!$G$3:$G$998,B734)</f>
        <v>0</v>
      </c>
      <c r="U734">
        <f>SUMIFS(数据!$D$3:$D$998,数据!$E$3:$E$998,"稚鱼",数据!$F$3:$F$998,A734,数据!$G$3:$G$998,B734)</f>
        <v>0</v>
      </c>
    </row>
    <row r="735" spans="1:21" ht="19.9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45" t="str">
        <f t="shared" si="22"/>
        <v/>
      </c>
      <c r="M735" s="45" t="str">
        <f t="shared" si="23"/>
        <v/>
      </c>
      <c r="N735" s="39" t="str">
        <f>IF(AND(A735="",B735=""),"",COUNTIFS(数据!$E$3:$E$998,"&lt;&gt;前期仔鱼",数据!$E$3:$E$998,"&lt;&gt;仔鱼",数据!$E$3:$E$998,"&lt;&gt;稚鱼",数据!$F$3:$F$998,A735,数据!$G$3:$G$998,B735))</f>
        <v/>
      </c>
      <c r="O735" s="39" t="str">
        <f>IF(AND(A735="",B735=""),"",COUNTIFS(数据!$E$3:$E$998,"&lt;&gt;鱼卵",数据!$E$3:$E$998,"&lt;&gt;死卵",数据!$F$3:$F$998,A735,数据!$G$3:$G$998,B735))</f>
        <v/>
      </c>
      <c r="P735" s="31"/>
      <c r="Q735">
        <f>SUMIFS(数据!$D$3:$D$998,数据!$E$3:$E$998,"鱼卵",数据!$F$3:$F$998,A735,数据!$G$3:$G$998,B735)</f>
        <v>0</v>
      </c>
      <c r="R735">
        <f>SUMIFS(数据!$D$3:$D$998,数据!$E$3:$E$998,"死卵",数据!$F$3:$F$998,A735,数据!$G$3:$G$998,B735)</f>
        <v>0</v>
      </c>
      <c r="S735">
        <f>SUMIFS(数据!$D$3:$D$998,数据!$E$3:$E$998,"前期仔鱼",数据!$F$3:$F$998,A735,数据!$G$3:$G$998,B735)</f>
        <v>0</v>
      </c>
      <c r="T735">
        <f>SUMIFS(数据!$D$3:$D$998,数据!$E$3:$E$998,"仔鱼",数据!$F$3:$F$998,A735,数据!$G$3:$G$998,B735)</f>
        <v>0</v>
      </c>
      <c r="U735">
        <f>SUMIFS(数据!$D$3:$D$998,数据!$E$3:$E$998,"稚鱼",数据!$F$3:$F$998,A735,数据!$G$3:$G$998,B735)</f>
        <v>0</v>
      </c>
    </row>
    <row r="736" spans="1:21" ht="19.9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45" t="str">
        <f t="shared" si="22"/>
        <v/>
      </c>
      <c r="M736" s="45" t="str">
        <f t="shared" si="23"/>
        <v/>
      </c>
      <c r="N736" s="39" t="str">
        <f>IF(AND(A736="",B736=""),"",COUNTIFS(数据!$E$3:$E$998,"&lt;&gt;前期仔鱼",数据!$E$3:$E$998,"&lt;&gt;仔鱼",数据!$E$3:$E$998,"&lt;&gt;稚鱼",数据!$F$3:$F$998,A736,数据!$G$3:$G$998,B736))</f>
        <v/>
      </c>
      <c r="O736" s="39" t="str">
        <f>IF(AND(A736="",B736=""),"",COUNTIFS(数据!$E$3:$E$998,"&lt;&gt;鱼卵",数据!$E$3:$E$998,"&lt;&gt;死卵",数据!$F$3:$F$998,A736,数据!$G$3:$G$998,B736))</f>
        <v/>
      </c>
      <c r="P736" s="31"/>
      <c r="Q736">
        <f>SUMIFS(数据!$D$3:$D$998,数据!$E$3:$E$998,"鱼卵",数据!$F$3:$F$998,A736,数据!$G$3:$G$998,B736)</f>
        <v>0</v>
      </c>
      <c r="R736">
        <f>SUMIFS(数据!$D$3:$D$998,数据!$E$3:$E$998,"死卵",数据!$F$3:$F$998,A736,数据!$G$3:$G$998,B736)</f>
        <v>0</v>
      </c>
      <c r="S736">
        <f>SUMIFS(数据!$D$3:$D$998,数据!$E$3:$E$998,"前期仔鱼",数据!$F$3:$F$998,A736,数据!$G$3:$G$998,B736)</f>
        <v>0</v>
      </c>
      <c r="T736">
        <f>SUMIFS(数据!$D$3:$D$998,数据!$E$3:$E$998,"仔鱼",数据!$F$3:$F$998,A736,数据!$G$3:$G$998,B736)</f>
        <v>0</v>
      </c>
      <c r="U736">
        <f>SUMIFS(数据!$D$3:$D$998,数据!$E$3:$E$998,"稚鱼",数据!$F$3:$F$998,A736,数据!$G$3:$G$998,B736)</f>
        <v>0</v>
      </c>
    </row>
    <row r="737" spans="1:21" ht="19.9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45" t="str">
        <f t="shared" si="22"/>
        <v/>
      </c>
      <c r="M737" s="45" t="str">
        <f t="shared" si="23"/>
        <v/>
      </c>
      <c r="N737" s="39" t="str">
        <f>IF(AND(A737="",B737=""),"",COUNTIFS(数据!$E$3:$E$998,"&lt;&gt;前期仔鱼",数据!$E$3:$E$998,"&lt;&gt;仔鱼",数据!$E$3:$E$998,"&lt;&gt;稚鱼",数据!$F$3:$F$998,A737,数据!$G$3:$G$998,B737))</f>
        <v/>
      </c>
      <c r="O737" s="39" t="str">
        <f>IF(AND(A737="",B737=""),"",COUNTIFS(数据!$E$3:$E$998,"&lt;&gt;鱼卵",数据!$E$3:$E$998,"&lt;&gt;死卵",数据!$F$3:$F$998,A737,数据!$G$3:$G$998,B737))</f>
        <v/>
      </c>
      <c r="P737" s="31"/>
      <c r="Q737">
        <f>SUMIFS(数据!$D$3:$D$998,数据!$E$3:$E$998,"鱼卵",数据!$F$3:$F$998,A737,数据!$G$3:$G$998,B737)</f>
        <v>0</v>
      </c>
      <c r="R737">
        <f>SUMIFS(数据!$D$3:$D$998,数据!$E$3:$E$998,"死卵",数据!$F$3:$F$998,A737,数据!$G$3:$G$998,B737)</f>
        <v>0</v>
      </c>
      <c r="S737">
        <f>SUMIFS(数据!$D$3:$D$998,数据!$E$3:$E$998,"前期仔鱼",数据!$F$3:$F$998,A737,数据!$G$3:$G$998,B737)</f>
        <v>0</v>
      </c>
      <c r="T737">
        <f>SUMIFS(数据!$D$3:$D$998,数据!$E$3:$E$998,"仔鱼",数据!$F$3:$F$998,A737,数据!$G$3:$G$998,B737)</f>
        <v>0</v>
      </c>
      <c r="U737">
        <f>SUMIFS(数据!$D$3:$D$998,数据!$E$3:$E$998,"稚鱼",数据!$F$3:$F$998,A737,数据!$G$3:$G$998,B737)</f>
        <v>0</v>
      </c>
    </row>
    <row r="738" spans="1:21" ht="19.9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45" t="str">
        <f t="shared" si="22"/>
        <v/>
      </c>
      <c r="M738" s="45" t="str">
        <f t="shared" si="23"/>
        <v/>
      </c>
      <c r="N738" s="39" t="str">
        <f>IF(AND(A738="",B738=""),"",COUNTIFS(数据!$E$3:$E$998,"&lt;&gt;前期仔鱼",数据!$E$3:$E$998,"&lt;&gt;仔鱼",数据!$E$3:$E$998,"&lt;&gt;稚鱼",数据!$F$3:$F$998,A738,数据!$G$3:$G$998,B738))</f>
        <v/>
      </c>
      <c r="O738" s="39" t="str">
        <f>IF(AND(A738="",B738=""),"",COUNTIFS(数据!$E$3:$E$998,"&lt;&gt;鱼卵",数据!$E$3:$E$998,"&lt;&gt;死卵",数据!$F$3:$F$998,A738,数据!$G$3:$G$998,B738))</f>
        <v/>
      </c>
      <c r="P738" s="31"/>
      <c r="Q738">
        <f>SUMIFS(数据!$D$3:$D$998,数据!$E$3:$E$998,"鱼卵",数据!$F$3:$F$998,A738,数据!$G$3:$G$998,B738)</f>
        <v>0</v>
      </c>
      <c r="R738">
        <f>SUMIFS(数据!$D$3:$D$998,数据!$E$3:$E$998,"死卵",数据!$F$3:$F$998,A738,数据!$G$3:$G$998,B738)</f>
        <v>0</v>
      </c>
      <c r="S738">
        <f>SUMIFS(数据!$D$3:$D$998,数据!$E$3:$E$998,"前期仔鱼",数据!$F$3:$F$998,A738,数据!$G$3:$G$998,B738)</f>
        <v>0</v>
      </c>
      <c r="T738">
        <f>SUMIFS(数据!$D$3:$D$998,数据!$E$3:$E$998,"仔鱼",数据!$F$3:$F$998,A738,数据!$G$3:$G$998,B738)</f>
        <v>0</v>
      </c>
      <c r="U738">
        <f>SUMIFS(数据!$D$3:$D$998,数据!$E$3:$E$998,"稚鱼",数据!$F$3:$F$998,A738,数据!$G$3:$G$998,B738)</f>
        <v>0</v>
      </c>
    </row>
    <row r="739" spans="1:21" ht="19.9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45" t="str">
        <f t="shared" si="22"/>
        <v/>
      </c>
      <c r="M739" s="45" t="str">
        <f t="shared" si="23"/>
        <v/>
      </c>
      <c r="N739" s="39" t="str">
        <f>IF(AND(A739="",B739=""),"",COUNTIFS(数据!$E$3:$E$998,"&lt;&gt;前期仔鱼",数据!$E$3:$E$998,"&lt;&gt;仔鱼",数据!$E$3:$E$998,"&lt;&gt;稚鱼",数据!$F$3:$F$998,A739,数据!$G$3:$G$998,B739))</f>
        <v/>
      </c>
      <c r="O739" s="39" t="str">
        <f>IF(AND(A739="",B739=""),"",COUNTIFS(数据!$E$3:$E$998,"&lt;&gt;鱼卵",数据!$E$3:$E$998,"&lt;&gt;死卵",数据!$F$3:$F$998,A739,数据!$G$3:$G$998,B739))</f>
        <v/>
      </c>
      <c r="P739" s="31"/>
      <c r="Q739">
        <f>SUMIFS(数据!$D$3:$D$998,数据!$E$3:$E$998,"鱼卵",数据!$F$3:$F$998,A739,数据!$G$3:$G$998,B739)</f>
        <v>0</v>
      </c>
      <c r="R739">
        <f>SUMIFS(数据!$D$3:$D$998,数据!$E$3:$E$998,"死卵",数据!$F$3:$F$998,A739,数据!$G$3:$G$998,B739)</f>
        <v>0</v>
      </c>
      <c r="S739">
        <f>SUMIFS(数据!$D$3:$D$998,数据!$E$3:$E$998,"前期仔鱼",数据!$F$3:$F$998,A739,数据!$G$3:$G$998,B739)</f>
        <v>0</v>
      </c>
      <c r="T739">
        <f>SUMIFS(数据!$D$3:$D$998,数据!$E$3:$E$998,"仔鱼",数据!$F$3:$F$998,A739,数据!$G$3:$G$998,B739)</f>
        <v>0</v>
      </c>
      <c r="U739">
        <f>SUMIFS(数据!$D$3:$D$998,数据!$E$3:$E$998,"稚鱼",数据!$F$3:$F$998,A739,数据!$G$3:$G$998,B739)</f>
        <v>0</v>
      </c>
    </row>
    <row r="740" spans="1:21" ht="19.9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45" t="str">
        <f t="shared" si="22"/>
        <v/>
      </c>
      <c r="M740" s="45" t="str">
        <f t="shared" si="23"/>
        <v/>
      </c>
      <c r="N740" s="39" t="str">
        <f>IF(AND(A740="",B740=""),"",COUNTIFS(数据!$E$3:$E$998,"&lt;&gt;前期仔鱼",数据!$E$3:$E$998,"&lt;&gt;仔鱼",数据!$E$3:$E$998,"&lt;&gt;稚鱼",数据!$F$3:$F$998,A740,数据!$G$3:$G$998,B740))</f>
        <v/>
      </c>
      <c r="O740" s="39" t="str">
        <f>IF(AND(A740="",B740=""),"",COUNTIFS(数据!$E$3:$E$998,"&lt;&gt;鱼卵",数据!$E$3:$E$998,"&lt;&gt;死卵",数据!$F$3:$F$998,A740,数据!$G$3:$G$998,B740))</f>
        <v/>
      </c>
      <c r="P740" s="31"/>
      <c r="Q740">
        <f>SUMIFS(数据!$D$3:$D$998,数据!$E$3:$E$998,"鱼卵",数据!$F$3:$F$998,A740,数据!$G$3:$G$998,B740)</f>
        <v>0</v>
      </c>
      <c r="R740">
        <f>SUMIFS(数据!$D$3:$D$998,数据!$E$3:$E$998,"死卵",数据!$F$3:$F$998,A740,数据!$G$3:$G$998,B740)</f>
        <v>0</v>
      </c>
      <c r="S740">
        <f>SUMIFS(数据!$D$3:$D$998,数据!$E$3:$E$998,"前期仔鱼",数据!$F$3:$F$998,A740,数据!$G$3:$G$998,B740)</f>
        <v>0</v>
      </c>
      <c r="T740">
        <f>SUMIFS(数据!$D$3:$D$998,数据!$E$3:$E$998,"仔鱼",数据!$F$3:$F$998,A740,数据!$G$3:$G$998,B740)</f>
        <v>0</v>
      </c>
      <c r="U740">
        <f>SUMIFS(数据!$D$3:$D$998,数据!$E$3:$E$998,"稚鱼",数据!$F$3:$F$998,A740,数据!$G$3:$G$998,B740)</f>
        <v>0</v>
      </c>
    </row>
    <row r="741" spans="1:21" ht="19.9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45" t="str">
        <f t="shared" si="22"/>
        <v/>
      </c>
      <c r="M741" s="45" t="str">
        <f t="shared" si="23"/>
        <v/>
      </c>
      <c r="N741" s="39" t="str">
        <f>IF(AND(A741="",B741=""),"",COUNTIFS(数据!$E$3:$E$998,"&lt;&gt;前期仔鱼",数据!$E$3:$E$998,"&lt;&gt;仔鱼",数据!$E$3:$E$998,"&lt;&gt;稚鱼",数据!$F$3:$F$998,A741,数据!$G$3:$G$998,B741))</f>
        <v/>
      </c>
      <c r="O741" s="39" t="str">
        <f>IF(AND(A741="",B741=""),"",COUNTIFS(数据!$E$3:$E$998,"&lt;&gt;鱼卵",数据!$E$3:$E$998,"&lt;&gt;死卵",数据!$F$3:$F$998,A741,数据!$G$3:$G$998,B741))</f>
        <v/>
      </c>
      <c r="P741" s="31"/>
      <c r="Q741">
        <f>SUMIFS(数据!$D$3:$D$998,数据!$E$3:$E$998,"鱼卵",数据!$F$3:$F$998,A741,数据!$G$3:$G$998,B741)</f>
        <v>0</v>
      </c>
      <c r="R741">
        <f>SUMIFS(数据!$D$3:$D$998,数据!$E$3:$E$998,"死卵",数据!$F$3:$F$998,A741,数据!$G$3:$G$998,B741)</f>
        <v>0</v>
      </c>
      <c r="S741">
        <f>SUMIFS(数据!$D$3:$D$998,数据!$E$3:$E$998,"前期仔鱼",数据!$F$3:$F$998,A741,数据!$G$3:$G$998,B741)</f>
        <v>0</v>
      </c>
      <c r="T741">
        <f>SUMIFS(数据!$D$3:$D$998,数据!$E$3:$E$998,"仔鱼",数据!$F$3:$F$998,A741,数据!$G$3:$G$998,B741)</f>
        <v>0</v>
      </c>
      <c r="U741">
        <f>SUMIFS(数据!$D$3:$D$998,数据!$E$3:$E$998,"稚鱼",数据!$F$3:$F$998,A741,数据!$G$3:$G$998,B741)</f>
        <v>0</v>
      </c>
    </row>
    <row r="742" spans="1:21" ht="19.9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45" t="str">
        <f t="shared" si="22"/>
        <v/>
      </c>
      <c r="M742" s="45" t="str">
        <f t="shared" si="23"/>
        <v/>
      </c>
      <c r="N742" s="39" t="str">
        <f>IF(AND(A742="",B742=""),"",COUNTIFS(数据!$E$3:$E$998,"&lt;&gt;前期仔鱼",数据!$E$3:$E$998,"&lt;&gt;仔鱼",数据!$E$3:$E$998,"&lt;&gt;稚鱼",数据!$F$3:$F$998,A742,数据!$G$3:$G$998,B742))</f>
        <v/>
      </c>
      <c r="O742" s="39" t="str">
        <f>IF(AND(A742="",B742=""),"",COUNTIFS(数据!$E$3:$E$998,"&lt;&gt;鱼卵",数据!$E$3:$E$998,"&lt;&gt;死卵",数据!$F$3:$F$998,A742,数据!$G$3:$G$998,B742))</f>
        <v/>
      </c>
      <c r="P742" s="31"/>
      <c r="Q742">
        <f>SUMIFS(数据!$D$3:$D$998,数据!$E$3:$E$998,"鱼卵",数据!$F$3:$F$998,A742,数据!$G$3:$G$998,B742)</f>
        <v>0</v>
      </c>
      <c r="R742">
        <f>SUMIFS(数据!$D$3:$D$998,数据!$E$3:$E$998,"死卵",数据!$F$3:$F$998,A742,数据!$G$3:$G$998,B742)</f>
        <v>0</v>
      </c>
      <c r="S742">
        <f>SUMIFS(数据!$D$3:$D$998,数据!$E$3:$E$998,"前期仔鱼",数据!$F$3:$F$998,A742,数据!$G$3:$G$998,B742)</f>
        <v>0</v>
      </c>
      <c r="T742">
        <f>SUMIFS(数据!$D$3:$D$998,数据!$E$3:$E$998,"仔鱼",数据!$F$3:$F$998,A742,数据!$G$3:$G$998,B742)</f>
        <v>0</v>
      </c>
      <c r="U742">
        <f>SUMIFS(数据!$D$3:$D$998,数据!$E$3:$E$998,"稚鱼",数据!$F$3:$F$998,A742,数据!$G$3:$G$998,B742)</f>
        <v>0</v>
      </c>
    </row>
    <row r="743" spans="1:21" ht="19.9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45" t="str">
        <f t="shared" si="22"/>
        <v/>
      </c>
      <c r="M743" s="45" t="str">
        <f t="shared" si="23"/>
        <v/>
      </c>
      <c r="N743" s="39" t="str">
        <f>IF(AND(A743="",B743=""),"",COUNTIFS(数据!$E$3:$E$998,"&lt;&gt;前期仔鱼",数据!$E$3:$E$998,"&lt;&gt;仔鱼",数据!$E$3:$E$998,"&lt;&gt;稚鱼",数据!$F$3:$F$998,A743,数据!$G$3:$G$998,B743))</f>
        <v/>
      </c>
      <c r="O743" s="39" t="str">
        <f>IF(AND(A743="",B743=""),"",COUNTIFS(数据!$E$3:$E$998,"&lt;&gt;鱼卵",数据!$E$3:$E$998,"&lt;&gt;死卵",数据!$F$3:$F$998,A743,数据!$G$3:$G$998,B743))</f>
        <v/>
      </c>
      <c r="P743" s="31"/>
      <c r="Q743">
        <f>SUMIFS(数据!$D$3:$D$998,数据!$E$3:$E$998,"鱼卵",数据!$F$3:$F$998,A743,数据!$G$3:$G$998,B743)</f>
        <v>0</v>
      </c>
      <c r="R743">
        <f>SUMIFS(数据!$D$3:$D$998,数据!$E$3:$E$998,"死卵",数据!$F$3:$F$998,A743,数据!$G$3:$G$998,B743)</f>
        <v>0</v>
      </c>
      <c r="S743">
        <f>SUMIFS(数据!$D$3:$D$998,数据!$E$3:$E$998,"前期仔鱼",数据!$F$3:$F$998,A743,数据!$G$3:$G$998,B743)</f>
        <v>0</v>
      </c>
      <c r="T743">
        <f>SUMIFS(数据!$D$3:$D$998,数据!$E$3:$E$998,"仔鱼",数据!$F$3:$F$998,A743,数据!$G$3:$G$998,B743)</f>
        <v>0</v>
      </c>
      <c r="U743">
        <f>SUMIFS(数据!$D$3:$D$998,数据!$E$3:$E$998,"稚鱼",数据!$F$3:$F$998,A743,数据!$G$3:$G$998,B743)</f>
        <v>0</v>
      </c>
    </row>
    <row r="744" spans="1:21" ht="19.9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45" t="str">
        <f t="shared" si="22"/>
        <v/>
      </c>
      <c r="M744" s="45" t="str">
        <f t="shared" si="23"/>
        <v/>
      </c>
      <c r="N744" s="39" t="str">
        <f>IF(AND(A744="",B744=""),"",COUNTIFS(数据!$E$3:$E$998,"&lt;&gt;前期仔鱼",数据!$E$3:$E$998,"&lt;&gt;仔鱼",数据!$E$3:$E$998,"&lt;&gt;稚鱼",数据!$F$3:$F$998,A744,数据!$G$3:$G$998,B744))</f>
        <v/>
      </c>
      <c r="O744" s="39" t="str">
        <f>IF(AND(A744="",B744=""),"",COUNTIFS(数据!$E$3:$E$998,"&lt;&gt;鱼卵",数据!$E$3:$E$998,"&lt;&gt;死卵",数据!$F$3:$F$998,A744,数据!$G$3:$G$998,B744))</f>
        <v/>
      </c>
      <c r="P744" s="31"/>
      <c r="Q744">
        <f>SUMIFS(数据!$D$3:$D$998,数据!$E$3:$E$998,"鱼卵",数据!$F$3:$F$998,A744,数据!$G$3:$G$998,B744)</f>
        <v>0</v>
      </c>
      <c r="R744">
        <f>SUMIFS(数据!$D$3:$D$998,数据!$E$3:$E$998,"死卵",数据!$F$3:$F$998,A744,数据!$G$3:$G$998,B744)</f>
        <v>0</v>
      </c>
      <c r="S744">
        <f>SUMIFS(数据!$D$3:$D$998,数据!$E$3:$E$998,"前期仔鱼",数据!$F$3:$F$998,A744,数据!$G$3:$G$998,B744)</f>
        <v>0</v>
      </c>
      <c r="T744">
        <f>SUMIFS(数据!$D$3:$D$998,数据!$E$3:$E$998,"仔鱼",数据!$F$3:$F$998,A744,数据!$G$3:$G$998,B744)</f>
        <v>0</v>
      </c>
      <c r="U744">
        <f>SUMIFS(数据!$D$3:$D$998,数据!$E$3:$E$998,"稚鱼",数据!$F$3:$F$998,A744,数据!$G$3:$G$998,B744)</f>
        <v>0</v>
      </c>
    </row>
    <row r="745" spans="1:21" ht="19.9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45" t="str">
        <f t="shared" si="22"/>
        <v/>
      </c>
      <c r="M745" s="45" t="str">
        <f t="shared" si="23"/>
        <v/>
      </c>
      <c r="N745" s="39" t="str">
        <f>IF(AND(A745="",B745=""),"",COUNTIFS(数据!$E$3:$E$998,"&lt;&gt;前期仔鱼",数据!$E$3:$E$998,"&lt;&gt;仔鱼",数据!$E$3:$E$998,"&lt;&gt;稚鱼",数据!$F$3:$F$998,A745,数据!$G$3:$G$998,B745))</f>
        <v/>
      </c>
      <c r="O745" s="39" t="str">
        <f>IF(AND(A745="",B745=""),"",COUNTIFS(数据!$E$3:$E$998,"&lt;&gt;鱼卵",数据!$E$3:$E$998,"&lt;&gt;死卵",数据!$F$3:$F$998,A745,数据!$G$3:$G$998,B745))</f>
        <v/>
      </c>
      <c r="P745" s="31"/>
      <c r="Q745">
        <f>SUMIFS(数据!$D$3:$D$998,数据!$E$3:$E$998,"鱼卵",数据!$F$3:$F$998,A745,数据!$G$3:$G$998,B745)</f>
        <v>0</v>
      </c>
      <c r="R745">
        <f>SUMIFS(数据!$D$3:$D$998,数据!$E$3:$E$998,"死卵",数据!$F$3:$F$998,A745,数据!$G$3:$G$998,B745)</f>
        <v>0</v>
      </c>
      <c r="S745">
        <f>SUMIFS(数据!$D$3:$D$998,数据!$E$3:$E$998,"前期仔鱼",数据!$F$3:$F$998,A745,数据!$G$3:$G$998,B745)</f>
        <v>0</v>
      </c>
      <c r="T745">
        <f>SUMIFS(数据!$D$3:$D$998,数据!$E$3:$E$998,"仔鱼",数据!$F$3:$F$998,A745,数据!$G$3:$G$998,B745)</f>
        <v>0</v>
      </c>
      <c r="U745">
        <f>SUMIFS(数据!$D$3:$D$998,数据!$E$3:$E$998,"稚鱼",数据!$F$3:$F$998,A745,数据!$G$3:$G$998,B745)</f>
        <v>0</v>
      </c>
    </row>
    <row r="746" spans="1:21" ht="19.9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45" t="str">
        <f t="shared" si="22"/>
        <v/>
      </c>
      <c r="M746" s="45" t="str">
        <f t="shared" si="23"/>
        <v/>
      </c>
      <c r="N746" s="39" t="str">
        <f>IF(AND(A746="",B746=""),"",COUNTIFS(数据!$E$3:$E$998,"&lt;&gt;前期仔鱼",数据!$E$3:$E$998,"&lt;&gt;仔鱼",数据!$E$3:$E$998,"&lt;&gt;稚鱼",数据!$F$3:$F$998,A746,数据!$G$3:$G$998,B746))</f>
        <v/>
      </c>
      <c r="O746" s="39" t="str">
        <f>IF(AND(A746="",B746=""),"",COUNTIFS(数据!$E$3:$E$998,"&lt;&gt;鱼卵",数据!$E$3:$E$998,"&lt;&gt;死卵",数据!$F$3:$F$998,A746,数据!$G$3:$G$998,B746))</f>
        <v/>
      </c>
      <c r="P746" s="31"/>
      <c r="Q746">
        <f>SUMIFS(数据!$D$3:$D$998,数据!$E$3:$E$998,"鱼卵",数据!$F$3:$F$998,A746,数据!$G$3:$G$998,B746)</f>
        <v>0</v>
      </c>
      <c r="R746">
        <f>SUMIFS(数据!$D$3:$D$998,数据!$E$3:$E$998,"死卵",数据!$F$3:$F$998,A746,数据!$G$3:$G$998,B746)</f>
        <v>0</v>
      </c>
      <c r="S746">
        <f>SUMIFS(数据!$D$3:$D$998,数据!$E$3:$E$998,"前期仔鱼",数据!$F$3:$F$998,A746,数据!$G$3:$G$998,B746)</f>
        <v>0</v>
      </c>
      <c r="T746">
        <f>SUMIFS(数据!$D$3:$D$998,数据!$E$3:$E$998,"仔鱼",数据!$F$3:$F$998,A746,数据!$G$3:$G$998,B746)</f>
        <v>0</v>
      </c>
      <c r="U746">
        <f>SUMIFS(数据!$D$3:$D$998,数据!$E$3:$E$998,"稚鱼",数据!$F$3:$F$998,A746,数据!$G$3:$G$998,B746)</f>
        <v>0</v>
      </c>
    </row>
    <row r="747" spans="1:21" ht="19.9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45" t="str">
        <f t="shared" si="22"/>
        <v/>
      </c>
      <c r="M747" s="45" t="str">
        <f t="shared" si="23"/>
        <v/>
      </c>
      <c r="N747" s="39" t="str">
        <f>IF(AND(A747="",B747=""),"",COUNTIFS(数据!$E$3:$E$998,"&lt;&gt;前期仔鱼",数据!$E$3:$E$998,"&lt;&gt;仔鱼",数据!$E$3:$E$998,"&lt;&gt;稚鱼",数据!$F$3:$F$998,A747,数据!$G$3:$G$998,B747))</f>
        <v/>
      </c>
      <c r="O747" s="39" t="str">
        <f>IF(AND(A747="",B747=""),"",COUNTIFS(数据!$E$3:$E$998,"&lt;&gt;鱼卵",数据!$E$3:$E$998,"&lt;&gt;死卵",数据!$F$3:$F$998,A747,数据!$G$3:$G$998,B747))</f>
        <v/>
      </c>
      <c r="P747" s="31"/>
      <c r="Q747">
        <f>SUMIFS(数据!$D$3:$D$998,数据!$E$3:$E$998,"鱼卵",数据!$F$3:$F$998,A747,数据!$G$3:$G$998,B747)</f>
        <v>0</v>
      </c>
      <c r="R747">
        <f>SUMIFS(数据!$D$3:$D$998,数据!$E$3:$E$998,"死卵",数据!$F$3:$F$998,A747,数据!$G$3:$G$998,B747)</f>
        <v>0</v>
      </c>
      <c r="S747">
        <f>SUMIFS(数据!$D$3:$D$998,数据!$E$3:$E$998,"前期仔鱼",数据!$F$3:$F$998,A747,数据!$G$3:$G$998,B747)</f>
        <v>0</v>
      </c>
      <c r="T747">
        <f>SUMIFS(数据!$D$3:$D$998,数据!$E$3:$E$998,"仔鱼",数据!$F$3:$F$998,A747,数据!$G$3:$G$998,B747)</f>
        <v>0</v>
      </c>
      <c r="U747">
        <f>SUMIFS(数据!$D$3:$D$998,数据!$E$3:$E$998,"稚鱼",数据!$F$3:$F$998,A747,数据!$G$3:$G$998,B747)</f>
        <v>0</v>
      </c>
    </row>
    <row r="748" spans="1:21" ht="19.9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45" t="str">
        <f t="shared" si="22"/>
        <v/>
      </c>
      <c r="M748" s="45" t="str">
        <f t="shared" si="23"/>
        <v/>
      </c>
      <c r="N748" s="39" t="str">
        <f>IF(AND(A748="",B748=""),"",COUNTIFS(数据!$E$3:$E$998,"&lt;&gt;前期仔鱼",数据!$E$3:$E$998,"&lt;&gt;仔鱼",数据!$E$3:$E$998,"&lt;&gt;稚鱼",数据!$F$3:$F$998,A748,数据!$G$3:$G$998,B748))</f>
        <v/>
      </c>
      <c r="O748" s="39" t="str">
        <f>IF(AND(A748="",B748=""),"",COUNTIFS(数据!$E$3:$E$998,"&lt;&gt;鱼卵",数据!$E$3:$E$998,"&lt;&gt;死卵",数据!$F$3:$F$998,A748,数据!$G$3:$G$998,B748))</f>
        <v/>
      </c>
      <c r="P748" s="31"/>
      <c r="Q748">
        <f>SUMIFS(数据!$D$3:$D$998,数据!$E$3:$E$998,"鱼卵",数据!$F$3:$F$998,A748,数据!$G$3:$G$998,B748)</f>
        <v>0</v>
      </c>
      <c r="R748">
        <f>SUMIFS(数据!$D$3:$D$998,数据!$E$3:$E$998,"死卵",数据!$F$3:$F$998,A748,数据!$G$3:$G$998,B748)</f>
        <v>0</v>
      </c>
      <c r="S748">
        <f>SUMIFS(数据!$D$3:$D$998,数据!$E$3:$E$998,"前期仔鱼",数据!$F$3:$F$998,A748,数据!$G$3:$G$998,B748)</f>
        <v>0</v>
      </c>
      <c r="T748">
        <f>SUMIFS(数据!$D$3:$D$998,数据!$E$3:$E$998,"仔鱼",数据!$F$3:$F$998,A748,数据!$G$3:$G$998,B748)</f>
        <v>0</v>
      </c>
      <c r="U748">
        <f>SUMIFS(数据!$D$3:$D$998,数据!$E$3:$E$998,"稚鱼",数据!$F$3:$F$998,A748,数据!$G$3:$G$998,B748)</f>
        <v>0</v>
      </c>
    </row>
    <row r="749" spans="1:21" ht="19.9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45" t="str">
        <f t="shared" si="22"/>
        <v/>
      </c>
      <c r="M749" s="45" t="str">
        <f t="shared" si="23"/>
        <v/>
      </c>
      <c r="N749" s="39" t="str">
        <f>IF(AND(A749="",B749=""),"",COUNTIFS(数据!$E$3:$E$998,"&lt;&gt;前期仔鱼",数据!$E$3:$E$998,"&lt;&gt;仔鱼",数据!$E$3:$E$998,"&lt;&gt;稚鱼",数据!$F$3:$F$998,A749,数据!$G$3:$G$998,B749))</f>
        <v/>
      </c>
      <c r="O749" s="39" t="str">
        <f>IF(AND(A749="",B749=""),"",COUNTIFS(数据!$E$3:$E$998,"&lt;&gt;鱼卵",数据!$E$3:$E$998,"&lt;&gt;死卵",数据!$F$3:$F$998,A749,数据!$G$3:$G$998,B749))</f>
        <v/>
      </c>
      <c r="P749" s="31"/>
      <c r="Q749">
        <f>SUMIFS(数据!$D$3:$D$998,数据!$E$3:$E$998,"鱼卵",数据!$F$3:$F$998,A749,数据!$G$3:$G$998,B749)</f>
        <v>0</v>
      </c>
      <c r="R749">
        <f>SUMIFS(数据!$D$3:$D$998,数据!$E$3:$E$998,"死卵",数据!$F$3:$F$998,A749,数据!$G$3:$G$998,B749)</f>
        <v>0</v>
      </c>
      <c r="S749">
        <f>SUMIFS(数据!$D$3:$D$998,数据!$E$3:$E$998,"前期仔鱼",数据!$F$3:$F$998,A749,数据!$G$3:$G$998,B749)</f>
        <v>0</v>
      </c>
      <c r="T749">
        <f>SUMIFS(数据!$D$3:$D$998,数据!$E$3:$E$998,"仔鱼",数据!$F$3:$F$998,A749,数据!$G$3:$G$998,B749)</f>
        <v>0</v>
      </c>
      <c r="U749">
        <f>SUMIFS(数据!$D$3:$D$998,数据!$E$3:$E$998,"稚鱼",数据!$F$3:$F$998,A749,数据!$G$3:$G$998,B749)</f>
        <v>0</v>
      </c>
    </row>
    <row r="750" spans="1:21" ht="19.9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45" t="str">
        <f t="shared" si="22"/>
        <v/>
      </c>
      <c r="M750" s="45" t="str">
        <f t="shared" si="23"/>
        <v/>
      </c>
      <c r="N750" s="39" t="str">
        <f>IF(AND(A750="",B750=""),"",COUNTIFS(数据!$E$3:$E$998,"&lt;&gt;前期仔鱼",数据!$E$3:$E$998,"&lt;&gt;仔鱼",数据!$E$3:$E$998,"&lt;&gt;稚鱼",数据!$F$3:$F$998,A750,数据!$G$3:$G$998,B750))</f>
        <v/>
      </c>
      <c r="O750" s="39" t="str">
        <f>IF(AND(A750="",B750=""),"",COUNTIFS(数据!$E$3:$E$998,"&lt;&gt;鱼卵",数据!$E$3:$E$998,"&lt;&gt;死卵",数据!$F$3:$F$998,A750,数据!$G$3:$G$998,B750))</f>
        <v/>
      </c>
      <c r="P750" s="31"/>
      <c r="Q750">
        <f>SUMIFS(数据!$D$3:$D$998,数据!$E$3:$E$998,"鱼卵",数据!$F$3:$F$998,A750,数据!$G$3:$G$998,B750)</f>
        <v>0</v>
      </c>
      <c r="R750">
        <f>SUMIFS(数据!$D$3:$D$998,数据!$E$3:$E$998,"死卵",数据!$F$3:$F$998,A750,数据!$G$3:$G$998,B750)</f>
        <v>0</v>
      </c>
      <c r="S750">
        <f>SUMIFS(数据!$D$3:$D$998,数据!$E$3:$E$998,"前期仔鱼",数据!$F$3:$F$998,A750,数据!$G$3:$G$998,B750)</f>
        <v>0</v>
      </c>
      <c r="T750">
        <f>SUMIFS(数据!$D$3:$D$998,数据!$E$3:$E$998,"仔鱼",数据!$F$3:$F$998,A750,数据!$G$3:$G$998,B750)</f>
        <v>0</v>
      </c>
      <c r="U750">
        <f>SUMIFS(数据!$D$3:$D$998,数据!$E$3:$E$998,"稚鱼",数据!$F$3:$F$998,A750,数据!$G$3:$G$998,B750)</f>
        <v>0</v>
      </c>
    </row>
    <row r="751" spans="1:21" ht="19.9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45" t="str">
        <f t="shared" si="22"/>
        <v/>
      </c>
      <c r="M751" s="45" t="str">
        <f t="shared" si="23"/>
        <v/>
      </c>
      <c r="N751" s="39" t="str">
        <f>IF(AND(A751="",B751=""),"",COUNTIFS(数据!$E$3:$E$998,"&lt;&gt;前期仔鱼",数据!$E$3:$E$998,"&lt;&gt;仔鱼",数据!$E$3:$E$998,"&lt;&gt;稚鱼",数据!$F$3:$F$998,A751,数据!$G$3:$G$998,B751))</f>
        <v/>
      </c>
      <c r="O751" s="39" t="str">
        <f>IF(AND(A751="",B751=""),"",COUNTIFS(数据!$E$3:$E$998,"&lt;&gt;鱼卵",数据!$E$3:$E$998,"&lt;&gt;死卵",数据!$F$3:$F$998,A751,数据!$G$3:$G$998,B751))</f>
        <v/>
      </c>
      <c r="P751" s="31"/>
      <c r="Q751">
        <f>SUMIFS(数据!$D$3:$D$998,数据!$E$3:$E$998,"鱼卵",数据!$F$3:$F$998,A751,数据!$G$3:$G$998,B751)</f>
        <v>0</v>
      </c>
      <c r="R751">
        <f>SUMIFS(数据!$D$3:$D$998,数据!$E$3:$E$998,"死卵",数据!$F$3:$F$998,A751,数据!$G$3:$G$998,B751)</f>
        <v>0</v>
      </c>
      <c r="S751">
        <f>SUMIFS(数据!$D$3:$D$998,数据!$E$3:$E$998,"前期仔鱼",数据!$F$3:$F$998,A751,数据!$G$3:$G$998,B751)</f>
        <v>0</v>
      </c>
      <c r="T751">
        <f>SUMIFS(数据!$D$3:$D$998,数据!$E$3:$E$998,"仔鱼",数据!$F$3:$F$998,A751,数据!$G$3:$G$998,B751)</f>
        <v>0</v>
      </c>
      <c r="U751">
        <f>SUMIFS(数据!$D$3:$D$998,数据!$E$3:$E$998,"稚鱼",数据!$F$3:$F$998,A751,数据!$G$3:$G$998,B751)</f>
        <v>0</v>
      </c>
    </row>
    <row r="752" spans="1:21" ht="19.9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45" t="str">
        <f t="shared" si="22"/>
        <v/>
      </c>
      <c r="M752" s="45" t="str">
        <f t="shared" si="23"/>
        <v/>
      </c>
      <c r="N752" s="39" t="str">
        <f>IF(AND(A752="",B752=""),"",COUNTIFS(数据!$E$3:$E$998,"&lt;&gt;前期仔鱼",数据!$E$3:$E$998,"&lt;&gt;仔鱼",数据!$E$3:$E$998,"&lt;&gt;稚鱼",数据!$F$3:$F$998,A752,数据!$G$3:$G$998,B752))</f>
        <v/>
      </c>
      <c r="O752" s="39" t="str">
        <f>IF(AND(A752="",B752=""),"",COUNTIFS(数据!$E$3:$E$998,"&lt;&gt;鱼卵",数据!$E$3:$E$998,"&lt;&gt;死卵",数据!$F$3:$F$998,A752,数据!$G$3:$G$998,B752))</f>
        <v/>
      </c>
      <c r="P752" s="31"/>
      <c r="Q752">
        <f>SUMIFS(数据!$D$3:$D$998,数据!$E$3:$E$998,"鱼卵",数据!$F$3:$F$998,A752,数据!$G$3:$G$998,B752)</f>
        <v>0</v>
      </c>
      <c r="R752">
        <f>SUMIFS(数据!$D$3:$D$998,数据!$E$3:$E$998,"死卵",数据!$F$3:$F$998,A752,数据!$G$3:$G$998,B752)</f>
        <v>0</v>
      </c>
      <c r="S752">
        <f>SUMIFS(数据!$D$3:$D$998,数据!$E$3:$E$998,"前期仔鱼",数据!$F$3:$F$998,A752,数据!$G$3:$G$998,B752)</f>
        <v>0</v>
      </c>
      <c r="T752">
        <f>SUMIFS(数据!$D$3:$D$998,数据!$E$3:$E$998,"仔鱼",数据!$F$3:$F$998,A752,数据!$G$3:$G$998,B752)</f>
        <v>0</v>
      </c>
      <c r="U752">
        <f>SUMIFS(数据!$D$3:$D$998,数据!$E$3:$E$998,"稚鱼",数据!$F$3:$F$998,A752,数据!$G$3:$G$998,B752)</f>
        <v>0</v>
      </c>
    </row>
    <row r="753" spans="1:21" ht="19.9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45" t="str">
        <f t="shared" si="22"/>
        <v/>
      </c>
      <c r="M753" s="45" t="str">
        <f t="shared" si="23"/>
        <v/>
      </c>
      <c r="N753" s="39" t="str">
        <f>IF(AND(A753="",B753=""),"",COUNTIFS(数据!$E$3:$E$998,"&lt;&gt;前期仔鱼",数据!$E$3:$E$998,"&lt;&gt;仔鱼",数据!$E$3:$E$998,"&lt;&gt;稚鱼",数据!$F$3:$F$998,A753,数据!$G$3:$G$998,B753))</f>
        <v/>
      </c>
      <c r="O753" s="39" t="str">
        <f>IF(AND(A753="",B753=""),"",COUNTIFS(数据!$E$3:$E$998,"&lt;&gt;鱼卵",数据!$E$3:$E$998,"&lt;&gt;死卵",数据!$F$3:$F$998,A753,数据!$G$3:$G$998,B753))</f>
        <v/>
      </c>
      <c r="P753" s="31"/>
      <c r="Q753">
        <f>SUMIFS(数据!$D$3:$D$998,数据!$E$3:$E$998,"鱼卵",数据!$F$3:$F$998,A753,数据!$G$3:$G$998,B753)</f>
        <v>0</v>
      </c>
      <c r="R753">
        <f>SUMIFS(数据!$D$3:$D$998,数据!$E$3:$E$998,"死卵",数据!$F$3:$F$998,A753,数据!$G$3:$G$998,B753)</f>
        <v>0</v>
      </c>
      <c r="S753">
        <f>SUMIFS(数据!$D$3:$D$998,数据!$E$3:$E$998,"前期仔鱼",数据!$F$3:$F$998,A753,数据!$G$3:$G$998,B753)</f>
        <v>0</v>
      </c>
      <c r="T753">
        <f>SUMIFS(数据!$D$3:$D$998,数据!$E$3:$E$998,"仔鱼",数据!$F$3:$F$998,A753,数据!$G$3:$G$998,B753)</f>
        <v>0</v>
      </c>
      <c r="U753">
        <f>SUMIFS(数据!$D$3:$D$998,数据!$E$3:$E$998,"稚鱼",数据!$F$3:$F$998,A753,数据!$G$3:$G$998,B753)</f>
        <v>0</v>
      </c>
    </row>
    <row r="754" spans="1:21" ht="19.9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45" t="str">
        <f t="shared" si="22"/>
        <v/>
      </c>
      <c r="M754" s="45" t="str">
        <f t="shared" si="23"/>
        <v/>
      </c>
      <c r="N754" s="39" t="str">
        <f>IF(AND(A754="",B754=""),"",COUNTIFS(数据!$E$3:$E$998,"&lt;&gt;前期仔鱼",数据!$E$3:$E$998,"&lt;&gt;仔鱼",数据!$E$3:$E$998,"&lt;&gt;稚鱼",数据!$F$3:$F$998,A754,数据!$G$3:$G$998,B754))</f>
        <v/>
      </c>
      <c r="O754" s="39" t="str">
        <f>IF(AND(A754="",B754=""),"",COUNTIFS(数据!$E$3:$E$998,"&lt;&gt;鱼卵",数据!$E$3:$E$998,"&lt;&gt;死卵",数据!$F$3:$F$998,A754,数据!$G$3:$G$998,B754))</f>
        <v/>
      </c>
      <c r="P754" s="31"/>
      <c r="Q754">
        <f>SUMIFS(数据!$D$3:$D$998,数据!$E$3:$E$998,"鱼卵",数据!$F$3:$F$998,A754,数据!$G$3:$G$998,B754)</f>
        <v>0</v>
      </c>
      <c r="R754">
        <f>SUMIFS(数据!$D$3:$D$998,数据!$E$3:$E$998,"死卵",数据!$F$3:$F$998,A754,数据!$G$3:$G$998,B754)</f>
        <v>0</v>
      </c>
      <c r="S754">
        <f>SUMIFS(数据!$D$3:$D$998,数据!$E$3:$E$998,"前期仔鱼",数据!$F$3:$F$998,A754,数据!$G$3:$G$998,B754)</f>
        <v>0</v>
      </c>
      <c r="T754">
        <f>SUMIFS(数据!$D$3:$D$998,数据!$E$3:$E$998,"仔鱼",数据!$F$3:$F$998,A754,数据!$G$3:$G$998,B754)</f>
        <v>0</v>
      </c>
      <c r="U754">
        <f>SUMIFS(数据!$D$3:$D$998,数据!$E$3:$E$998,"稚鱼",数据!$F$3:$F$998,A754,数据!$G$3:$G$998,B754)</f>
        <v>0</v>
      </c>
    </row>
    <row r="755" spans="1:21" ht="19.9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45" t="str">
        <f t="shared" si="22"/>
        <v/>
      </c>
      <c r="M755" s="45" t="str">
        <f t="shared" si="23"/>
        <v/>
      </c>
      <c r="N755" s="39" t="str">
        <f>IF(AND(A755="",B755=""),"",COUNTIFS(数据!$E$3:$E$998,"&lt;&gt;前期仔鱼",数据!$E$3:$E$998,"&lt;&gt;仔鱼",数据!$E$3:$E$998,"&lt;&gt;稚鱼",数据!$F$3:$F$998,A755,数据!$G$3:$G$998,B755))</f>
        <v/>
      </c>
      <c r="O755" s="39" t="str">
        <f>IF(AND(A755="",B755=""),"",COUNTIFS(数据!$E$3:$E$998,"&lt;&gt;鱼卵",数据!$E$3:$E$998,"&lt;&gt;死卵",数据!$F$3:$F$998,A755,数据!$G$3:$G$998,B755))</f>
        <v/>
      </c>
      <c r="P755" s="31"/>
      <c r="Q755">
        <f>SUMIFS(数据!$D$3:$D$998,数据!$E$3:$E$998,"鱼卵",数据!$F$3:$F$998,A755,数据!$G$3:$G$998,B755)</f>
        <v>0</v>
      </c>
      <c r="R755">
        <f>SUMIFS(数据!$D$3:$D$998,数据!$E$3:$E$998,"死卵",数据!$F$3:$F$998,A755,数据!$G$3:$G$998,B755)</f>
        <v>0</v>
      </c>
      <c r="S755">
        <f>SUMIFS(数据!$D$3:$D$998,数据!$E$3:$E$998,"前期仔鱼",数据!$F$3:$F$998,A755,数据!$G$3:$G$998,B755)</f>
        <v>0</v>
      </c>
      <c r="T755">
        <f>SUMIFS(数据!$D$3:$D$998,数据!$E$3:$E$998,"仔鱼",数据!$F$3:$F$998,A755,数据!$G$3:$G$998,B755)</f>
        <v>0</v>
      </c>
      <c r="U755">
        <f>SUMIFS(数据!$D$3:$D$998,数据!$E$3:$E$998,"稚鱼",数据!$F$3:$F$998,A755,数据!$G$3:$G$998,B755)</f>
        <v>0</v>
      </c>
    </row>
    <row r="756" spans="1:21" ht="19.9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45" t="str">
        <f t="shared" si="22"/>
        <v/>
      </c>
      <c r="M756" s="45" t="str">
        <f t="shared" si="23"/>
        <v/>
      </c>
      <c r="N756" s="39" t="str">
        <f>IF(AND(A756="",B756=""),"",COUNTIFS(数据!$E$3:$E$998,"&lt;&gt;前期仔鱼",数据!$E$3:$E$998,"&lt;&gt;仔鱼",数据!$E$3:$E$998,"&lt;&gt;稚鱼",数据!$F$3:$F$998,A756,数据!$G$3:$G$998,B756))</f>
        <v/>
      </c>
      <c r="O756" s="39" t="str">
        <f>IF(AND(A756="",B756=""),"",COUNTIFS(数据!$E$3:$E$998,"&lt;&gt;鱼卵",数据!$E$3:$E$998,"&lt;&gt;死卵",数据!$F$3:$F$998,A756,数据!$G$3:$G$998,B756))</f>
        <v/>
      </c>
      <c r="P756" s="31"/>
      <c r="Q756">
        <f>SUMIFS(数据!$D$3:$D$998,数据!$E$3:$E$998,"鱼卵",数据!$F$3:$F$998,A756,数据!$G$3:$G$998,B756)</f>
        <v>0</v>
      </c>
      <c r="R756">
        <f>SUMIFS(数据!$D$3:$D$998,数据!$E$3:$E$998,"死卵",数据!$F$3:$F$998,A756,数据!$G$3:$G$998,B756)</f>
        <v>0</v>
      </c>
      <c r="S756">
        <f>SUMIFS(数据!$D$3:$D$998,数据!$E$3:$E$998,"前期仔鱼",数据!$F$3:$F$998,A756,数据!$G$3:$G$998,B756)</f>
        <v>0</v>
      </c>
      <c r="T756">
        <f>SUMIFS(数据!$D$3:$D$998,数据!$E$3:$E$998,"仔鱼",数据!$F$3:$F$998,A756,数据!$G$3:$G$998,B756)</f>
        <v>0</v>
      </c>
      <c r="U756">
        <f>SUMIFS(数据!$D$3:$D$998,数据!$E$3:$E$998,"稚鱼",数据!$F$3:$F$998,A756,数据!$G$3:$G$998,B756)</f>
        <v>0</v>
      </c>
    </row>
    <row r="757" spans="1:21" ht="19.9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45" t="str">
        <f t="shared" si="22"/>
        <v/>
      </c>
      <c r="M757" s="45" t="str">
        <f t="shared" si="23"/>
        <v/>
      </c>
      <c r="N757" s="39" t="str">
        <f>IF(AND(A757="",B757=""),"",COUNTIFS(数据!$E$3:$E$998,"&lt;&gt;前期仔鱼",数据!$E$3:$E$998,"&lt;&gt;仔鱼",数据!$E$3:$E$998,"&lt;&gt;稚鱼",数据!$F$3:$F$998,A757,数据!$G$3:$G$998,B757))</f>
        <v/>
      </c>
      <c r="O757" s="39" t="str">
        <f>IF(AND(A757="",B757=""),"",COUNTIFS(数据!$E$3:$E$998,"&lt;&gt;鱼卵",数据!$E$3:$E$998,"&lt;&gt;死卵",数据!$F$3:$F$998,A757,数据!$G$3:$G$998,B757))</f>
        <v/>
      </c>
      <c r="P757" s="31"/>
      <c r="Q757">
        <f>SUMIFS(数据!$D$3:$D$998,数据!$E$3:$E$998,"鱼卵",数据!$F$3:$F$998,A757,数据!$G$3:$G$998,B757)</f>
        <v>0</v>
      </c>
      <c r="R757">
        <f>SUMIFS(数据!$D$3:$D$998,数据!$E$3:$E$998,"死卵",数据!$F$3:$F$998,A757,数据!$G$3:$G$998,B757)</f>
        <v>0</v>
      </c>
      <c r="S757">
        <f>SUMIFS(数据!$D$3:$D$998,数据!$E$3:$E$998,"前期仔鱼",数据!$F$3:$F$998,A757,数据!$G$3:$G$998,B757)</f>
        <v>0</v>
      </c>
      <c r="T757">
        <f>SUMIFS(数据!$D$3:$D$998,数据!$E$3:$E$998,"仔鱼",数据!$F$3:$F$998,A757,数据!$G$3:$G$998,B757)</f>
        <v>0</v>
      </c>
      <c r="U757">
        <f>SUMIFS(数据!$D$3:$D$998,数据!$E$3:$E$998,"稚鱼",数据!$F$3:$F$998,A757,数据!$G$3:$G$998,B757)</f>
        <v>0</v>
      </c>
    </row>
    <row r="758" spans="1:21" ht="19.9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45" t="str">
        <f t="shared" si="22"/>
        <v/>
      </c>
      <c r="M758" s="45" t="str">
        <f t="shared" si="23"/>
        <v/>
      </c>
      <c r="N758" s="39" t="str">
        <f>IF(AND(A758="",B758=""),"",COUNTIFS(数据!$E$3:$E$998,"&lt;&gt;前期仔鱼",数据!$E$3:$E$998,"&lt;&gt;仔鱼",数据!$E$3:$E$998,"&lt;&gt;稚鱼",数据!$F$3:$F$998,A758,数据!$G$3:$G$998,B758))</f>
        <v/>
      </c>
      <c r="O758" s="39" t="str">
        <f>IF(AND(A758="",B758=""),"",COUNTIFS(数据!$E$3:$E$998,"&lt;&gt;鱼卵",数据!$E$3:$E$998,"&lt;&gt;死卵",数据!$F$3:$F$998,A758,数据!$G$3:$G$998,B758))</f>
        <v/>
      </c>
      <c r="P758" s="31"/>
      <c r="Q758">
        <f>SUMIFS(数据!$D$3:$D$998,数据!$E$3:$E$998,"鱼卵",数据!$F$3:$F$998,A758,数据!$G$3:$G$998,B758)</f>
        <v>0</v>
      </c>
      <c r="R758">
        <f>SUMIFS(数据!$D$3:$D$998,数据!$E$3:$E$998,"死卵",数据!$F$3:$F$998,A758,数据!$G$3:$G$998,B758)</f>
        <v>0</v>
      </c>
      <c r="S758">
        <f>SUMIFS(数据!$D$3:$D$998,数据!$E$3:$E$998,"前期仔鱼",数据!$F$3:$F$998,A758,数据!$G$3:$G$998,B758)</f>
        <v>0</v>
      </c>
      <c r="T758">
        <f>SUMIFS(数据!$D$3:$D$998,数据!$E$3:$E$998,"仔鱼",数据!$F$3:$F$998,A758,数据!$G$3:$G$998,B758)</f>
        <v>0</v>
      </c>
      <c r="U758">
        <f>SUMIFS(数据!$D$3:$D$998,数据!$E$3:$E$998,"稚鱼",数据!$F$3:$F$998,A758,数据!$G$3:$G$998,B758)</f>
        <v>0</v>
      </c>
    </row>
    <row r="759" spans="1:21" ht="19.9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45" t="str">
        <f t="shared" si="22"/>
        <v/>
      </c>
      <c r="M759" s="45" t="str">
        <f t="shared" si="23"/>
        <v/>
      </c>
      <c r="N759" s="39" t="str">
        <f>IF(AND(A759="",B759=""),"",COUNTIFS(数据!$E$3:$E$998,"&lt;&gt;前期仔鱼",数据!$E$3:$E$998,"&lt;&gt;仔鱼",数据!$E$3:$E$998,"&lt;&gt;稚鱼",数据!$F$3:$F$998,A759,数据!$G$3:$G$998,B759))</f>
        <v/>
      </c>
      <c r="O759" s="39" t="str">
        <f>IF(AND(A759="",B759=""),"",COUNTIFS(数据!$E$3:$E$998,"&lt;&gt;鱼卵",数据!$E$3:$E$998,"&lt;&gt;死卵",数据!$F$3:$F$998,A759,数据!$G$3:$G$998,B759))</f>
        <v/>
      </c>
      <c r="P759" s="31"/>
      <c r="Q759">
        <f>SUMIFS(数据!$D$3:$D$998,数据!$E$3:$E$998,"鱼卵",数据!$F$3:$F$998,A759,数据!$G$3:$G$998,B759)</f>
        <v>0</v>
      </c>
      <c r="R759">
        <f>SUMIFS(数据!$D$3:$D$998,数据!$E$3:$E$998,"死卵",数据!$F$3:$F$998,A759,数据!$G$3:$G$998,B759)</f>
        <v>0</v>
      </c>
      <c r="S759">
        <f>SUMIFS(数据!$D$3:$D$998,数据!$E$3:$E$998,"前期仔鱼",数据!$F$3:$F$998,A759,数据!$G$3:$G$998,B759)</f>
        <v>0</v>
      </c>
      <c r="T759">
        <f>SUMIFS(数据!$D$3:$D$998,数据!$E$3:$E$998,"仔鱼",数据!$F$3:$F$998,A759,数据!$G$3:$G$998,B759)</f>
        <v>0</v>
      </c>
      <c r="U759">
        <f>SUMIFS(数据!$D$3:$D$998,数据!$E$3:$E$998,"稚鱼",数据!$F$3:$F$998,A759,数据!$G$3:$G$998,B759)</f>
        <v>0</v>
      </c>
    </row>
    <row r="760" spans="1:21" ht="19.9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45" t="str">
        <f t="shared" si="22"/>
        <v/>
      </c>
      <c r="M760" s="45" t="str">
        <f t="shared" si="23"/>
        <v/>
      </c>
      <c r="N760" s="39" t="str">
        <f>IF(AND(A760="",B760=""),"",COUNTIFS(数据!$E$3:$E$998,"&lt;&gt;前期仔鱼",数据!$E$3:$E$998,"&lt;&gt;仔鱼",数据!$E$3:$E$998,"&lt;&gt;稚鱼",数据!$F$3:$F$998,A760,数据!$G$3:$G$998,B760))</f>
        <v/>
      </c>
      <c r="O760" s="39" t="str">
        <f>IF(AND(A760="",B760=""),"",COUNTIFS(数据!$E$3:$E$998,"&lt;&gt;鱼卵",数据!$E$3:$E$998,"&lt;&gt;死卵",数据!$F$3:$F$998,A760,数据!$G$3:$G$998,B760))</f>
        <v/>
      </c>
      <c r="P760" s="31"/>
      <c r="Q760">
        <f>SUMIFS(数据!$D$3:$D$998,数据!$E$3:$E$998,"鱼卵",数据!$F$3:$F$998,A760,数据!$G$3:$G$998,B760)</f>
        <v>0</v>
      </c>
      <c r="R760">
        <f>SUMIFS(数据!$D$3:$D$998,数据!$E$3:$E$998,"死卵",数据!$F$3:$F$998,A760,数据!$G$3:$G$998,B760)</f>
        <v>0</v>
      </c>
      <c r="S760">
        <f>SUMIFS(数据!$D$3:$D$998,数据!$E$3:$E$998,"前期仔鱼",数据!$F$3:$F$998,A760,数据!$G$3:$G$998,B760)</f>
        <v>0</v>
      </c>
      <c r="T760">
        <f>SUMIFS(数据!$D$3:$D$998,数据!$E$3:$E$998,"仔鱼",数据!$F$3:$F$998,A760,数据!$G$3:$G$998,B760)</f>
        <v>0</v>
      </c>
      <c r="U760">
        <f>SUMIFS(数据!$D$3:$D$998,数据!$E$3:$E$998,"稚鱼",数据!$F$3:$F$998,A760,数据!$G$3:$G$998,B760)</f>
        <v>0</v>
      </c>
    </row>
    <row r="761" spans="1:21" ht="19.9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45" t="str">
        <f t="shared" si="22"/>
        <v/>
      </c>
      <c r="M761" s="45" t="str">
        <f t="shared" si="23"/>
        <v/>
      </c>
      <c r="N761" s="39" t="str">
        <f>IF(AND(A761="",B761=""),"",COUNTIFS(数据!$E$3:$E$998,"&lt;&gt;前期仔鱼",数据!$E$3:$E$998,"&lt;&gt;仔鱼",数据!$E$3:$E$998,"&lt;&gt;稚鱼",数据!$F$3:$F$998,A761,数据!$G$3:$G$998,B761))</f>
        <v/>
      </c>
      <c r="O761" s="39" t="str">
        <f>IF(AND(A761="",B761=""),"",COUNTIFS(数据!$E$3:$E$998,"&lt;&gt;鱼卵",数据!$E$3:$E$998,"&lt;&gt;死卵",数据!$F$3:$F$998,A761,数据!$G$3:$G$998,B761))</f>
        <v/>
      </c>
      <c r="P761" s="31"/>
      <c r="Q761">
        <f>SUMIFS(数据!$D$3:$D$998,数据!$E$3:$E$998,"鱼卵",数据!$F$3:$F$998,A761,数据!$G$3:$G$998,B761)</f>
        <v>0</v>
      </c>
      <c r="R761">
        <f>SUMIFS(数据!$D$3:$D$998,数据!$E$3:$E$998,"死卵",数据!$F$3:$F$998,A761,数据!$G$3:$G$998,B761)</f>
        <v>0</v>
      </c>
      <c r="S761">
        <f>SUMIFS(数据!$D$3:$D$998,数据!$E$3:$E$998,"前期仔鱼",数据!$F$3:$F$998,A761,数据!$G$3:$G$998,B761)</f>
        <v>0</v>
      </c>
      <c r="T761">
        <f>SUMIFS(数据!$D$3:$D$998,数据!$E$3:$E$998,"仔鱼",数据!$F$3:$F$998,A761,数据!$G$3:$G$998,B761)</f>
        <v>0</v>
      </c>
      <c r="U761">
        <f>SUMIFS(数据!$D$3:$D$998,数据!$E$3:$E$998,"稚鱼",数据!$F$3:$F$998,A761,数据!$G$3:$G$998,B761)</f>
        <v>0</v>
      </c>
    </row>
    <row r="762" spans="1:21" ht="19.9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45" t="str">
        <f t="shared" si="22"/>
        <v/>
      </c>
      <c r="M762" s="45" t="str">
        <f t="shared" si="23"/>
        <v/>
      </c>
      <c r="N762" s="39" t="str">
        <f>IF(AND(A762="",B762=""),"",COUNTIFS(数据!$E$3:$E$998,"&lt;&gt;前期仔鱼",数据!$E$3:$E$998,"&lt;&gt;仔鱼",数据!$E$3:$E$998,"&lt;&gt;稚鱼",数据!$F$3:$F$998,A762,数据!$G$3:$G$998,B762))</f>
        <v/>
      </c>
      <c r="O762" s="39" t="str">
        <f>IF(AND(A762="",B762=""),"",COUNTIFS(数据!$E$3:$E$998,"&lt;&gt;鱼卵",数据!$E$3:$E$998,"&lt;&gt;死卵",数据!$F$3:$F$998,A762,数据!$G$3:$G$998,B762))</f>
        <v/>
      </c>
      <c r="P762" s="31"/>
      <c r="Q762">
        <f>SUMIFS(数据!$D$3:$D$998,数据!$E$3:$E$998,"鱼卵",数据!$F$3:$F$998,A762,数据!$G$3:$G$998,B762)</f>
        <v>0</v>
      </c>
      <c r="R762">
        <f>SUMIFS(数据!$D$3:$D$998,数据!$E$3:$E$998,"死卵",数据!$F$3:$F$998,A762,数据!$G$3:$G$998,B762)</f>
        <v>0</v>
      </c>
      <c r="S762">
        <f>SUMIFS(数据!$D$3:$D$998,数据!$E$3:$E$998,"前期仔鱼",数据!$F$3:$F$998,A762,数据!$G$3:$G$998,B762)</f>
        <v>0</v>
      </c>
      <c r="T762">
        <f>SUMIFS(数据!$D$3:$D$998,数据!$E$3:$E$998,"仔鱼",数据!$F$3:$F$998,A762,数据!$G$3:$G$998,B762)</f>
        <v>0</v>
      </c>
      <c r="U762">
        <f>SUMIFS(数据!$D$3:$D$998,数据!$E$3:$E$998,"稚鱼",数据!$F$3:$F$998,A762,数据!$G$3:$G$998,B762)</f>
        <v>0</v>
      </c>
    </row>
    <row r="763" spans="1:21" ht="19.9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45" t="str">
        <f t="shared" si="22"/>
        <v/>
      </c>
      <c r="M763" s="45" t="str">
        <f t="shared" si="23"/>
        <v/>
      </c>
      <c r="N763" s="39" t="str">
        <f>IF(AND(A763="",B763=""),"",COUNTIFS(数据!$E$3:$E$998,"&lt;&gt;前期仔鱼",数据!$E$3:$E$998,"&lt;&gt;仔鱼",数据!$E$3:$E$998,"&lt;&gt;稚鱼",数据!$F$3:$F$998,A763,数据!$G$3:$G$998,B763))</f>
        <v/>
      </c>
      <c r="O763" s="39" t="str">
        <f>IF(AND(A763="",B763=""),"",COUNTIFS(数据!$E$3:$E$998,"&lt;&gt;鱼卵",数据!$E$3:$E$998,"&lt;&gt;死卵",数据!$F$3:$F$998,A763,数据!$G$3:$G$998,B763))</f>
        <v/>
      </c>
      <c r="P763" s="31"/>
      <c r="Q763">
        <f>SUMIFS(数据!$D$3:$D$998,数据!$E$3:$E$998,"鱼卵",数据!$F$3:$F$998,A763,数据!$G$3:$G$998,B763)</f>
        <v>0</v>
      </c>
      <c r="R763">
        <f>SUMIFS(数据!$D$3:$D$998,数据!$E$3:$E$998,"死卵",数据!$F$3:$F$998,A763,数据!$G$3:$G$998,B763)</f>
        <v>0</v>
      </c>
      <c r="S763">
        <f>SUMIFS(数据!$D$3:$D$998,数据!$E$3:$E$998,"前期仔鱼",数据!$F$3:$F$998,A763,数据!$G$3:$G$998,B763)</f>
        <v>0</v>
      </c>
      <c r="T763">
        <f>SUMIFS(数据!$D$3:$D$998,数据!$E$3:$E$998,"仔鱼",数据!$F$3:$F$998,A763,数据!$G$3:$G$998,B763)</f>
        <v>0</v>
      </c>
      <c r="U763">
        <f>SUMIFS(数据!$D$3:$D$998,数据!$E$3:$E$998,"稚鱼",数据!$F$3:$F$998,A763,数据!$G$3:$G$998,B763)</f>
        <v>0</v>
      </c>
    </row>
    <row r="764" spans="1:21" ht="19.9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45" t="str">
        <f t="shared" si="22"/>
        <v/>
      </c>
      <c r="M764" s="45" t="str">
        <f t="shared" si="23"/>
        <v/>
      </c>
      <c r="N764" s="39" t="str">
        <f>IF(AND(A764="",B764=""),"",COUNTIFS(数据!$E$3:$E$998,"&lt;&gt;前期仔鱼",数据!$E$3:$E$998,"&lt;&gt;仔鱼",数据!$E$3:$E$998,"&lt;&gt;稚鱼",数据!$F$3:$F$998,A764,数据!$G$3:$G$998,B764))</f>
        <v/>
      </c>
      <c r="O764" s="39" t="str">
        <f>IF(AND(A764="",B764=""),"",COUNTIFS(数据!$E$3:$E$998,"&lt;&gt;鱼卵",数据!$E$3:$E$998,"&lt;&gt;死卵",数据!$F$3:$F$998,A764,数据!$G$3:$G$998,B764))</f>
        <v/>
      </c>
      <c r="P764" s="31"/>
      <c r="Q764">
        <f>SUMIFS(数据!$D$3:$D$998,数据!$E$3:$E$998,"鱼卵",数据!$F$3:$F$998,A764,数据!$G$3:$G$998,B764)</f>
        <v>0</v>
      </c>
      <c r="R764">
        <f>SUMIFS(数据!$D$3:$D$998,数据!$E$3:$E$998,"死卵",数据!$F$3:$F$998,A764,数据!$G$3:$G$998,B764)</f>
        <v>0</v>
      </c>
      <c r="S764">
        <f>SUMIFS(数据!$D$3:$D$998,数据!$E$3:$E$998,"前期仔鱼",数据!$F$3:$F$998,A764,数据!$G$3:$G$998,B764)</f>
        <v>0</v>
      </c>
      <c r="T764">
        <f>SUMIFS(数据!$D$3:$D$998,数据!$E$3:$E$998,"仔鱼",数据!$F$3:$F$998,A764,数据!$G$3:$G$998,B764)</f>
        <v>0</v>
      </c>
      <c r="U764">
        <f>SUMIFS(数据!$D$3:$D$998,数据!$E$3:$E$998,"稚鱼",数据!$F$3:$F$998,A764,数据!$G$3:$G$998,B764)</f>
        <v>0</v>
      </c>
    </row>
    <row r="765" spans="1:21" ht="19.9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45" t="str">
        <f t="shared" si="22"/>
        <v/>
      </c>
      <c r="M765" s="45" t="str">
        <f t="shared" si="23"/>
        <v/>
      </c>
      <c r="N765" s="39" t="str">
        <f>IF(AND(A765="",B765=""),"",COUNTIFS(数据!$E$3:$E$998,"&lt;&gt;前期仔鱼",数据!$E$3:$E$998,"&lt;&gt;仔鱼",数据!$E$3:$E$998,"&lt;&gt;稚鱼",数据!$F$3:$F$998,A765,数据!$G$3:$G$998,B765))</f>
        <v/>
      </c>
      <c r="O765" s="39" t="str">
        <f>IF(AND(A765="",B765=""),"",COUNTIFS(数据!$E$3:$E$998,"&lt;&gt;鱼卵",数据!$E$3:$E$998,"&lt;&gt;死卵",数据!$F$3:$F$998,A765,数据!$G$3:$G$998,B765))</f>
        <v/>
      </c>
      <c r="P765" s="31"/>
      <c r="Q765">
        <f>SUMIFS(数据!$D$3:$D$998,数据!$E$3:$E$998,"鱼卵",数据!$F$3:$F$998,A765,数据!$G$3:$G$998,B765)</f>
        <v>0</v>
      </c>
      <c r="R765">
        <f>SUMIFS(数据!$D$3:$D$998,数据!$E$3:$E$998,"死卵",数据!$F$3:$F$998,A765,数据!$G$3:$G$998,B765)</f>
        <v>0</v>
      </c>
      <c r="S765">
        <f>SUMIFS(数据!$D$3:$D$998,数据!$E$3:$E$998,"前期仔鱼",数据!$F$3:$F$998,A765,数据!$G$3:$G$998,B765)</f>
        <v>0</v>
      </c>
      <c r="T765">
        <f>SUMIFS(数据!$D$3:$D$998,数据!$E$3:$E$998,"仔鱼",数据!$F$3:$F$998,A765,数据!$G$3:$G$998,B765)</f>
        <v>0</v>
      </c>
      <c r="U765">
        <f>SUMIFS(数据!$D$3:$D$998,数据!$E$3:$E$998,"稚鱼",数据!$F$3:$F$998,A765,数据!$G$3:$G$998,B765)</f>
        <v>0</v>
      </c>
    </row>
    <row r="766" spans="1:21" ht="19.9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45" t="str">
        <f t="shared" si="22"/>
        <v/>
      </c>
      <c r="M766" s="45" t="str">
        <f t="shared" si="23"/>
        <v/>
      </c>
      <c r="N766" s="39" t="str">
        <f>IF(AND(A766="",B766=""),"",COUNTIFS(数据!$E$3:$E$998,"&lt;&gt;前期仔鱼",数据!$E$3:$E$998,"&lt;&gt;仔鱼",数据!$E$3:$E$998,"&lt;&gt;稚鱼",数据!$F$3:$F$998,A766,数据!$G$3:$G$998,B766))</f>
        <v/>
      </c>
      <c r="O766" s="39" t="str">
        <f>IF(AND(A766="",B766=""),"",COUNTIFS(数据!$E$3:$E$998,"&lt;&gt;鱼卵",数据!$E$3:$E$998,"&lt;&gt;死卵",数据!$F$3:$F$998,A766,数据!$G$3:$G$998,B766))</f>
        <v/>
      </c>
      <c r="P766" s="31"/>
      <c r="Q766">
        <f>SUMIFS(数据!$D$3:$D$998,数据!$E$3:$E$998,"鱼卵",数据!$F$3:$F$998,A766,数据!$G$3:$G$998,B766)</f>
        <v>0</v>
      </c>
      <c r="R766">
        <f>SUMIFS(数据!$D$3:$D$998,数据!$E$3:$E$998,"死卵",数据!$F$3:$F$998,A766,数据!$G$3:$G$998,B766)</f>
        <v>0</v>
      </c>
      <c r="S766">
        <f>SUMIFS(数据!$D$3:$D$998,数据!$E$3:$E$998,"前期仔鱼",数据!$F$3:$F$998,A766,数据!$G$3:$G$998,B766)</f>
        <v>0</v>
      </c>
      <c r="T766">
        <f>SUMIFS(数据!$D$3:$D$998,数据!$E$3:$E$998,"仔鱼",数据!$F$3:$F$998,A766,数据!$G$3:$G$998,B766)</f>
        <v>0</v>
      </c>
      <c r="U766">
        <f>SUMIFS(数据!$D$3:$D$998,数据!$E$3:$E$998,"稚鱼",数据!$F$3:$F$998,A766,数据!$G$3:$G$998,B766)</f>
        <v>0</v>
      </c>
    </row>
    <row r="767" spans="1:21" ht="19.9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45" t="str">
        <f t="shared" si="22"/>
        <v/>
      </c>
      <c r="M767" s="45" t="str">
        <f t="shared" si="23"/>
        <v/>
      </c>
      <c r="N767" s="39" t="str">
        <f>IF(AND(A767="",B767=""),"",COUNTIFS(数据!$E$3:$E$998,"&lt;&gt;前期仔鱼",数据!$E$3:$E$998,"&lt;&gt;仔鱼",数据!$E$3:$E$998,"&lt;&gt;稚鱼",数据!$F$3:$F$998,A767,数据!$G$3:$G$998,B767))</f>
        <v/>
      </c>
      <c r="O767" s="39" t="str">
        <f>IF(AND(A767="",B767=""),"",COUNTIFS(数据!$E$3:$E$998,"&lt;&gt;鱼卵",数据!$E$3:$E$998,"&lt;&gt;死卵",数据!$F$3:$F$998,A767,数据!$G$3:$G$998,B767))</f>
        <v/>
      </c>
      <c r="P767" s="31"/>
      <c r="Q767">
        <f>SUMIFS(数据!$D$3:$D$998,数据!$E$3:$E$998,"鱼卵",数据!$F$3:$F$998,A767,数据!$G$3:$G$998,B767)</f>
        <v>0</v>
      </c>
      <c r="R767">
        <f>SUMIFS(数据!$D$3:$D$998,数据!$E$3:$E$998,"死卵",数据!$F$3:$F$998,A767,数据!$G$3:$G$998,B767)</f>
        <v>0</v>
      </c>
      <c r="S767">
        <f>SUMIFS(数据!$D$3:$D$998,数据!$E$3:$E$998,"前期仔鱼",数据!$F$3:$F$998,A767,数据!$G$3:$G$998,B767)</f>
        <v>0</v>
      </c>
      <c r="T767">
        <f>SUMIFS(数据!$D$3:$D$998,数据!$E$3:$E$998,"仔鱼",数据!$F$3:$F$998,A767,数据!$G$3:$G$998,B767)</f>
        <v>0</v>
      </c>
      <c r="U767">
        <f>SUMIFS(数据!$D$3:$D$998,数据!$E$3:$E$998,"稚鱼",数据!$F$3:$F$998,A767,数据!$G$3:$G$998,B767)</f>
        <v>0</v>
      </c>
    </row>
    <row r="768" spans="1:21" ht="19.9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45" t="str">
        <f t="shared" si="22"/>
        <v/>
      </c>
      <c r="M768" s="45" t="str">
        <f t="shared" si="23"/>
        <v/>
      </c>
      <c r="N768" s="39" t="str">
        <f>IF(AND(A768="",B768=""),"",COUNTIFS(数据!$E$3:$E$998,"&lt;&gt;前期仔鱼",数据!$E$3:$E$998,"&lt;&gt;仔鱼",数据!$E$3:$E$998,"&lt;&gt;稚鱼",数据!$F$3:$F$998,A768,数据!$G$3:$G$998,B768))</f>
        <v/>
      </c>
      <c r="O768" s="39" t="str">
        <f>IF(AND(A768="",B768=""),"",COUNTIFS(数据!$E$3:$E$998,"&lt;&gt;鱼卵",数据!$E$3:$E$998,"&lt;&gt;死卵",数据!$F$3:$F$998,A768,数据!$G$3:$G$998,B768))</f>
        <v/>
      </c>
      <c r="P768" s="31"/>
      <c r="Q768">
        <f>SUMIFS(数据!$D$3:$D$998,数据!$E$3:$E$998,"鱼卵",数据!$F$3:$F$998,A768,数据!$G$3:$G$998,B768)</f>
        <v>0</v>
      </c>
      <c r="R768">
        <f>SUMIFS(数据!$D$3:$D$998,数据!$E$3:$E$998,"死卵",数据!$F$3:$F$998,A768,数据!$G$3:$G$998,B768)</f>
        <v>0</v>
      </c>
      <c r="S768">
        <f>SUMIFS(数据!$D$3:$D$998,数据!$E$3:$E$998,"前期仔鱼",数据!$F$3:$F$998,A768,数据!$G$3:$G$998,B768)</f>
        <v>0</v>
      </c>
      <c r="T768">
        <f>SUMIFS(数据!$D$3:$D$998,数据!$E$3:$E$998,"仔鱼",数据!$F$3:$F$998,A768,数据!$G$3:$G$998,B768)</f>
        <v>0</v>
      </c>
      <c r="U768">
        <f>SUMIFS(数据!$D$3:$D$998,数据!$E$3:$E$998,"稚鱼",数据!$F$3:$F$998,A768,数据!$G$3:$G$998,B768)</f>
        <v>0</v>
      </c>
    </row>
    <row r="769" spans="1:21" ht="19.9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45" t="str">
        <f t="shared" si="22"/>
        <v/>
      </c>
      <c r="M769" s="45" t="str">
        <f t="shared" si="23"/>
        <v/>
      </c>
      <c r="N769" s="39" t="str">
        <f>IF(AND(A769="",B769=""),"",COUNTIFS(数据!$E$3:$E$998,"&lt;&gt;前期仔鱼",数据!$E$3:$E$998,"&lt;&gt;仔鱼",数据!$E$3:$E$998,"&lt;&gt;稚鱼",数据!$F$3:$F$998,A769,数据!$G$3:$G$998,B769))</f>
        <v/>
      </c>
      <c r="O769" s="39" t="str">
        <f>IF(AND(A769="",B769=""),"",COUNTIFS(数据!$E$3:$E$998,"&lt;&gt;鱼卵",数据!$E$3:$E$998,"&lt;&gt;死卵",数据!$F$3:$F$998,A769,数据!$G$3:$G$998,B769))</f>
        <v/>
      </c>
      <c r="P769" s="31"/>
      <c r="Q769">
        <f>SUMIFS(数据!$D$3:$D$998,数据!$E$3:$E$998,"鱼卵",数据!$F$3:$F$998,A769,数据!$G$3:$G$998,B769)</f>
        <v>0</v>
      </c>
      <c r="R769">
        <f>SUMIFS(数据!$D$3:$D$998,数据!$E$3:$E$998,"死卵",数据!$F$3:$F$998,A769,数据!$G$3:$G$998,B769)</f>
        <v>0</v>
      </c>
      <c r="S769">
        <f>SUMIFS(数据!$D$3:$D$998,数据!$E$3:$E$998,"前期仔鱼",数据!$F$3:$F$998,A769,数据!$G$3:$G$998,B769)</f>
        <v>0</v>
      </c>
      <c r="T769">
        <f>SUMIFS(数据!$D$3:$D$998,数据!$E$3:$E$998,"仔鱼",数据!$F$3:$F$998,A769,数据!$G$3:$G$998,B769)</f>
        <v>0</v>
      </c>
      <c r="U769">
        <f>SUMIFS(数据!$D$3:$D$998,数据!$E$3:$E$998,"稚鱼",数据!$F$3:$F$998,A769,数据!$G$3:$G$998,B769)</f>
        <v>0</v>
      </c>
    </row>
    <row r="770" spans="1:21" ht="19.9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45" t="str">
        <f t="shared" si="22"/>
        <v/>
      </c>
      <c r="M770" s="45" t="str">
        <f t="shared" si="23"/>
        <v/>
      </c>
      <c r="N770" s="39" t="str">
        <f>IF(AND(A770="",B770=""),"",COUNTIFS(数据!$E$3:$E$998,"&lt;&gt;前期仔鱼",数据!$E$3:$E$998,"&lt;&gt;仔鱼",数据!$E$3:$E$998,"&lt;&gt;稚鱼",数据!$F$3:$F$998,A770,数据!$G$3:$G$998,B770))</f>
        <v/>
      </c>
      <c r="O770" s="39" t="str">
        <f>IF(AND(A770="",B770=""),"",COUNTIFS(数据!$E$3:$E$998,"&lt;&gt;鱼卵",数据!$E$3:$E$998,"&lt;&gt;死卵",数据!$F$3:$F$998,A770,数据!$G$3:$G$998,B770))</f>
        <v/>
      </c>
      <c r="P770" s="31"/>
      <c r="Q770">
        <f>SUMIFS(数据!$D$3:$D$998,数据!$E$3:$E$998,"鱼卵",数据!$F$3:$F$998,A770,数据!$G$3:$G$998,B770)</f>
        <v>0</v>
      </c>
      <c r="R770">
        <f>SUMIFS(数据!$D$3:$D$998,数据!$E$3:$E$998,"死卵",数据!$F$3:$F$998,A770,数据!$G$3:$G$998,B770)</f>
        <v>0</v>
      </c>
      <c r="S770">
        <f>SUMIFS(数据!$D$3:$D$998,数据!$E$3:$E$998,"前期仔鱼",数据!$F$3:$F$998,A770,数据!$G$3:$G$998,B770)</f>
        <v>0</v>
      </c>
      <c r="T770">
        <f>SUMIFS(数据!$D$3:$D$998,数据!$E$3:$E$998,"仔鱼",数据!$F$3:$F$998,A770,数据!$G$3:$G$998,B770)</f>
        <v>0</v>
      </c>
      <c r="U770">
        <f>SUMIFS(数据!$D$3:$D$998,数据!$E$3:$E$998,"稚鱼",数据!$F$3:$F$998,A770,数据!$G$3:$G$998,B770)</f>
        <v>0</v>
      </c>
    </row>
    <row r="771" spans="1:21" ht="19.9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45" t="str">
        <f t="shared" si="22"/>
        <v/>
      </c>
      <c r="M771" s="45" t="str">
        <f t="shared" si="23"/>
        <v/>
      </c>
      <c r="N771" s="39" t="str">
        <f>IF(AND(A771="",B771=""),"",COUNTIFS(数据!$E$3:$E$998,"&lt;&gt;前期仔鱼",数据!$E$3:$E$998,"&lt;&gt;仔鱼",数据!$E$3:$E$998,"&lt;&gt;稚鱼",数据!$F$3:$F$998,A771,数据!$G$3:$G$998,B771))</f>
        <v/>
      </c>
      <c r="O771" s="39" t="str">
        <f>IF(AND(A771="",B771=""),"",COUNTIFS(数据!$E$3:$E$998,"&lt;&gt;鱼卵",数据!$E$3:$E$998,"&lt;&gt;死卵",数据!$F$3:$F$998,A771,数据!$G$3:$G$998,B771))</f>
        <v/>
      </c>
      <c r="P771" s="31"/>
      <c r="Q771">
        <f>SUMIFS(数据!$D$3:$D$998,数据!$E$3:$E$998,"鱼卵",数据!$F$3:$F$998,A771,数据!$G$3:$G$998,B771)</f>
        <v>0</v>
      </c>
      <c r="R771">
        <f>SUMIFS(数据!$D$3:$D$998,数据!$E$3:$E$998,"死卵",数据!$F$3:$F$998,A771,数据!$G$3:$G$998,B771)</f>
        <v>0</v>
      </c>
      <c r="S771">
        <f>SUMIFS(数据!$D$3:$D$998,数据!$E$3:$E$998,"前期仔鱼",数据!$F$3:$F$998,A771,数据!$G$3:$G$998,B771)</f>
        <v>0</v>
      </c>
      <c r="T771">
        <f>SUMIFS(数据!$D$3:$D$998,数据!$E$3:$E$998,"仔鱼",数据!$F$3:$F$998,A771,数据!$G$3:$G$998,B771)</f>
        <v>0</v>
      </c>
      <c r="U771">
        <f>SUMIFS(数据!$D$3:$D$998,数据!$E$3:$E$998,"稚鱼",数据!$F$3:$F$998,A771,数据!$G$3:$G$998,B771)</f>
        <v>0</v>
      </c>
    </row>
    <row r="772" spans="1:21" ht="19.9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45" t="str">
        <f t="shared" si="24" ref="L772:L835">IF(OR(Q772&amp;R772="",A772&amp;B772=""),"",Q772+R772)</f>
        <v/>
      </c>
      <c r="M772" s="45" t="str">
        <f t="shared" si="25" ref="M772:M835">IF(OR(A772&amp;B772="",S772&amp;T772&amp;U772=""),"",S772+T772+U772)</f>
        <v/>
      </c>
      <c r="N772" s="39" t="str">
        <f>IF(AND(A772="",B772=""),"",COUNTIFS(数据!$E$3:$E$998,"&lt;&gt;前期仔鱼",数据!$E$3:$E$998,"&lt;&gt;仔鱼",数据!$E$3:$E$998,"&lt;&gt;稚鱼",数据!$F$3:$F$998,A772,数据!$G$3:$G$998,B772))</f>
        <v/>
      </c>
      <c r="O772" s="39" t="str">
        <f>IF(AND(A772="",B772=""),"",COUNTIFS(数据!$E$3:$E$998,"&lt;&gt;鱼卵",数据!$E$3:$E$998,"&lt;&gt;死卵",数据!$F$3:$F$998,A772,数据!$G$3:$G$998,B772))</f>
        <v/>
      </c>
      <c r="P772" s="31"/>
      <c r="Q772">
        <f>SUMIFS(数据!$D$3:$D$998,数据!$E$3:$E$998,"鱼卵",数据!$F$3:$F$998,A772,数据!$G$3:$G$998,B772)</f>
        <v>0</v>
      </c>
      <c r="R772">
        <f>SUMIFS(数据!$D$3:$D$998,数据!$E$3:$E$998,"死卵",数据!$F$3:$F$998,A772,数据!$G$3:$G$998,B772)</f>
        <v>0</v>
      </c>
      <c r="S772">
        <f>SUMIFS(数据!$D$3:$D$998,数据!$E$3:$E$998,"前期仔鱼",数据!$F$3:$F$998,A772,数据!$G$3:$G$998,B772)</f>
        <v>0</v>
      </c>
      <c r="T772">
        <f>SUMIFS(数据!$D$3:$D$998,数据!$E$3:$E$998,"仔鱼",数据!$F$3:$F$998,A772,数据!$G$3:$G$998,B772)</f>
        <v>0</v>
      </c>
      <c r="U772">
        <f>SUMIFS(数据!$D$3:$D$998,数据!$E$3:$E$998,"稚鱼",数据!$F$3:$F$998,A772,数据!$G$3:$G$998,B772)</f>
        <v>0</v>
      </c>
    </row>
    <row r="773" spans="1:21" ht="19.9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45" t="str">
        <f t="shared" si="24"/>
        <v/>
      </c>
      <c r="M773" s="45" t="str">
        <f t="shared" si="25"/>
        <v/>
      </c>
      <c r="N773" s="39" t="str">
        <f>IF(AND(A773="",B773=""),"",COUNTIFS(数据!$E$3:$E$998,"&lt;&gt;前期仔鱼",数据!$E$3:$E$998,"&lt;&gt;仔鱼",数据!$E$3:$E$998,"&lt;&gt;稚鱼",数据!$F$3:$F$998,A773,数据!$G$3:$G$998,B773))</f>
        <v/>
      </c>
      <c r="O773" s="39" t="str">
        <f>IF(AND(A773="",B773=""),"",COUNTIFS(数据!$E$3:$E$998,"&lt;&gt;鱼卵",数据!$E$3:$E$998,"&lt;&gt;死卵",数据!$F$3:$F$998,A773,数据!$G$3:$G$998,B773))</f>
        <v/>
      </c>
      <c r="P773" s="31"/>
      <c r="Q773">
        <f>SUMIFS(数据!$D$3:$D$998,数据!$E$3:$E$998,"鱼卵",数据!$F$3:$F$998,A773,数据!$G$3:$G$998,B773)</f>
        <v>0</v>
      </c>
      <c r="R773">
        <f>SUMIFS(数据!$D$3:$D$998,数据!$E$3:$E$998,"死卵",数据!$F$3:$F$998,A773,数据!$G$3:$G$998,B773)</f>
        <v>0</v>
      </c>
      <c r="S773">
        <f>SUMIFS(数据!$D$3:$D$998,数据!$E$3:$E$998,"前期仔鱼",数据!$F$3:$F$998,A773,数据!$G$3:$G$998,B773)</f>
        <v>0</v>
      </c>
      <c r="T773">
        <f>SUMIFS(数据!$D$3:$D$998,数据!$E$3:$E$998,"仔鱼",数据!$F$3:$F$998,A773,数据!$G$3:$G$998,B773)</f>
        <v>0</v>
      </c>
      <c r="U773">
        <f>SUMIFS(数据!$D$3:$D$998,数据!$E$3:$E$998,"稚鱼",数据!$F$3:$F$998,A773,数据!$G$3:$G$998,B773)</f>
        <v>0</v>
      </c>
    </row>
    <row r="774" spans="1:21" ht="19.9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45" t="str">
        <f t="shared" si="24"/>
        <v/>
      </c>
      <c r="M774" s="45" t="str">
        <f t="shared" si="25"/>
        <v/>
      </c>
      <c r="N774" s="39" t="str">
        <f>IF(AND(A774="",B774=""),"",COUNTIFS(数据!$E$3:$E$998,"&lt;&gt;前期仔鱼",数据!$E$3:$E$998,"&lt;&gt;仔鱼",数据!$E$3:$E$998,"&lt;&gt;稚鱼",数据!$F$3:$F$998,A774,数据!$G$3:$G$998,B774))</f>
        <v/>
      </c>
      <c r="O774" s="39" t="str">
        <f>IF(AND(A774="",B774=""),"",COUNTIFS(数据!$E$3:$E$998,"&lt;&gt;鱼卵",数据!$E$3:$E$998,"&lt;&gt;死卵",数据!$F$3:$F$998,A774,数据!$G$3:$G$998,B774))</f>
        <v/>
      </c>
      <c r="P774" s="31"/>
      <c r="Q774">
        <f>SUMIFS(数据!$D$3:$D$998,数据!$E$3:$E$998,"鱼卵",数据!$F$3:$F$998,A774,数据!$G$3:$G$998,B774)</f>
        <v>0</v>
      </c>
      <c r="R774">
        <f>SUMIFS(数据!$D$3:$D$998,数据!$E$3:$E$998,"死卵",数据!$F$3:$F$998,A774,数据!$G$3:$G$998,B774)</f>
        <v>0</v>
      </c>
      <c r="S774">
        <f>SUMIFS(数据!$D$3:$D$998,数据!$E$3:$E$998,"前期仔鱼",数据!$F$3:$F$998,A774,数据!$G$3:$G$998,B774)</f>
        <v>0</v>
      </c>
      <c r="T774">
        <f>SUMIFS(数据!$D$3:$D$998,数据!$E$3:$E$998,"仔鱼",数据!$F$3:$F$998,A774,数据!$G$3:$G$998,B774)</f>
        <v>0</v>
      </c>
      <c r="U774">
        <f>SUMIFS(数据!$D$3:$D$998,数据!$E$3:$E$998,"稚鱼",数据!$F$3:$F$998,A774,数据!$G$3:$G$998,B774)</f>
        <v>0</v>
      </c>
    </row>
    <row r="775" spans="1:21" ht="19.9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45" t="str">
        <f t="shared" si="24"/>
        <v/>
      </c>
      <c r="M775" s="45" t="str">
        <f t="shared" si="25"/>
        <v/>
      </c>
      <c r="N775" s="39" t="str">
        <f>IF(AND(A775="",B775=""),"",COUNTIFS(数据!$E$3:$E$998,"&lt;&gt;前期仔鱼",数据!$E$3:$E$998,"&lt;&gt;仔鱼",数据!$E$3:$E$998,"&lt;&gt;稚鱼",数据!$F$3:$F$998,A775,数据!$G$3:$G$998,B775))</f>
        <v/>
      </c>
      <c r="O775" s="39" t="str">
        <f>IF(AND(A775="",B775=""),"",COUNTIFS(数据!$E$3:$E$998,"&lt;&gt;鱼卵",数据!$E$3:$E$998,"&lt;&gt;死卵",数据!$F$3:$F$998,A775,数据!$G$3:$G$998,B775))</f>
        <v/>
      </c>
      <c r="P775" s="31"/>
      <c r="Q775">
        <f>SUMIFS(数据!$D$3:$D$998,数据!$E$3:$E$998,"鱼卵",数据!$F$3:$F$998,A775,数据!$G$3:$G$998,B775)</f>
        <v>0</v>
      </c>
      <c r="R775">
        <f>SUMIFS(数据!$D$3:$D$998,数据!$E$3:$E$998,"死卵",数据!$F$3:$F$998,A775,数据!$G$3:$G$998,B775)</f>
        <v>0</v>
      </c>
      <c r="S775">
        <f>SUMIFS(数据!$D$3:$D$998,数据!$E$3:$E$998,"前期仔鱼",数据!$F$3:$F$998,A775,数据!$G$3:$G$998,B775)</f>
        <v>0</v>
      </c>
      <c r="T775">
        <f>SUMIFS(数据!$D$3:$D$998,数据!$E$3:$E$998,"仔鱼",数据!$F$3:$F$998,A775,数据!$G$3:$G$998,B775)</f>
        <v>0</v>
      </c>
      <c r="U775">
        <f>SUMIFS(数据!$D$3:$D$998,数据!$E$3:$E$998,"稚鱼",数据!$F$3:$F$998,A775,数据!$G$3:$G$998,B775)</f>
        <v>0</v>
      </c>
    </row>
    <row r="776" spans="1:21" ht="19.9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45" t="str">
        <f t="shared" si="24"/>
        <v/>
      </c>
      <c r="M776" s="45" t="str">
        <f t="shared" si="25"/>
        <v/>
      </c>
      <c r="N776" s="39" t="str">
        <f>IF(AND(A776="",B776=""),"",COUNTIFS(数据!$E$3:$E$998,"&lt;&gt;前期仔鱼",数据!$E$3:$E$998,"&lt;&gt;仔鱼",数据!$E$3:$E$998,"&lt;&gt;稚鱼",数据!$F$3:$F$998,A776,数据!$G$3:$G$998,B776))</f>
        <v/>
      </c>
      <c r="O776" s="39" t="str">
        <f>IF(AND(A776="",B776=""),"",COUNTIFS(数据!$E$3:$E$998,"&lt;&gt;鱼卵",数据!$E$3:$E$998,"&lt;&gt;死卵",数据!$F$3:$F$998,A776,数据!$G$3:$G$998,B776))</f>
        <v/>
      </c>
      <c r="P776" s="31"/>
      <c r="Q776">
        <f>SUMIFS(数据!$D$3:$D$998,数据!$E$3:$E$998,"鱼卵",数据!$F$3:$F$998,A776,数据!$G$3:$G$998,B776)</f>
        <v>0</v>
      </c>
      <c r="R776">
        <f>SUMIFS(数据!$D$3:$D$998,数据!$E$3:$E$998,"死卵",数据!$F$3:$F$998,A776,数据!$G$3:$G$998,B776)</f>
        <v>0</v>
      </c>
      <c r="S776">
        <f>SUMIFS(数据!$D$3:$D$998,数据!$E$3:$E$998,"前期仔鱼",数据!$F$3:$F$998,A776,数据!$G$3:$G$998,B776)</f>
        <v>0</v>
      </c>
      <c r="T776">
        <f>SUMIFS(数据!$D$3:$D$998,数据!$E$3:$E$998,"仔鱼",数据!$F$3:$F$998,A776,数据!$G$3:$G$998,B776)</f>
        <v>0</v>
      </c>
      <c r="U776">
        <f>SUMIFS(数据!$D$3:$D$998,数据!$E$3:$E$998,"稚鱼",数据!$F$3:$F$998,A776,数据!$G$3:$G$998,B776)</f>
        <v>0</v>
      </c>
    </row>
    <row r="777" spans="1:21" ht="19.9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45" t="str">
        <f t="shared" si="24"/>
        <v/>
      </c>
      <c r="M777" s="45" t="str">
        <f t="shared" si="25"/>
        <v/>
      </c>
      <c r="N777" s="39" t="str">
        <f>IF(AND(A777="",B777=""),"",COUNTIFS(数据!$E$3:$E$998,"&lt;&gt;前期仔鱼",数据!$E$3:$E$998,"&lt;&gt;仔鱼",数据!$E$3:$E$998,"&lt;&gt;稚鱼",数据!$F$3:$F$998,A777,数据!$G$3:$G$998,B777))</f>
        <v/>
      </c>
      <c r="O777" s="39" t="str">
        <f>IF(AND(A777="",B777=""),"",COUNTIFS(数据!$E$3:$E$998,"&lt;&gt;鱼卵",数据!$E$3:$E$998,"&lt;&gt;死卵",数据!$F$3:$F$998,A777,数据!$G$3:$G$998,B777))</f>
        <v/>
      </c>
      <c r="P777" s="31"/>
      <c r="Q777">
        <f>SUMIFS(数据!$D$3:$D$998,数据!$E$3:$E$998,"鱼卵",数据!$F$3:$F$998,A777,数据!$G$3:$G$998,B777)</f>
        <v>0</v>
      </c>
      <c r="R777">
        <f>SUMIFS(数据!$D$3:$D$998,数据!$E$3:$E$998,"死卵",数据!$F$3:$F$998,A777,数据!$G$3:$G$998,B777)</f>
        <v>0</v>
      </c>
      <c r="S777">
        <f>SUMIFS(数据!$D$3:$D$998,数据!$E$3:$E$998,"前期仔鱼",数据!$F$3:$F$998,A777,数据!$G$3:$G$998,B777)</f>
        <v>0</v>
      </c>
      <c r="T777">
        <f>SUMIFS(数据!$D$3:$D$998,数据!$E$3:$E$998,"仔鱼",数据!$F$3:$F$998,A777,数据!$G$3:$G$998,B777)</f>
        <v>0</v>
      </c>
      <c r="U777">
        <f>SUMIFS(数据!$D$3:$D$998,数据!$E$3:$E$998,"稚鱼",数据!$F$3:$F$998,A777,数据!$G$3:$G$998,B777)</f>
        <v>0</v>
      </c>
    </row>
    <row r="778" spans="1:21" ht="19.9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45" t="str">
        <f t="shared" si="24"/>
        <v/>
      </c>
      <c r="M778" s="45" t="str">
        <f t="shared" si="25"/>
        <v/>
      </c>
      <c r="N778" s="39" t="str">
        <f>IF(AND(A778="",B778=""),"",COUNTIFS(数据!$E$3:$E$998,"&lt;&gt;前期仔鱼",数据!$E$3:$E$998,"&lt;&gt;仔鱼",数据!$E$3:$E$998,"&lt;&gt;稚鱼",数据!$F$3:$F$998,A778,数据!$G$3:$G$998,B778))</f>
        <v/>
      </c>
      <c r="O778" s="39" t="str">
        <f>IF(AND(A778="",B778=""),"",COUNTIFS(数据!$E$3:$E$998,"&lt;&gt;鱼卵",数据!$E$3:$E$998,"&lt;&gt;死卵",数据!$F$3:$F$998,A778,数据!$G$3:$G$998,B778))</f>
        <v/>
      </c>
      <c r="P778" s="31"/>
      <c r="Q778">
        <f>SUMIFS(数据!$D$3:$D$998,数据!$E$3:$E$998,"鱼卵",数据!$F$3:$F$998,A778,数据!$G$3:$G$998,B778)</f>
        <v>0</v>
      </c>
      <c r="R778">
        <f>SUMIFS(数据!$D$3:$D$998,数据!$E$3:$E$998,"死卵",数据!$F$3:$F$998,A778,数据!$G$3:$G$998,B778)</f>
        <v>0</v>
      </c>
      <c r="S778">
        <f>SUMIFS(数据!$D$3:$D$998,数据!$E$3:$E$998,"前期仔鱼",数据!$F$3:$F$998,A778,数据!$G$3:$G$998,B778)</f>
        <v>0</v>
      </c>
      <c r="T778">
        <f>SUMIFS(数据!$D$3:$D$998,数据!$E$3:$E$998,"仔鱼",数据!$F$3:$F$998,A778,数据!$G$3:$G$998,B778)</f>
        <v>0</v>
      </c>
      <c r="U778">
        <f>SUMIFS(数据!$D$3:$D$998,数据!$E$3:$E$998,"稚鱼",数据!$F$3:$F$998,A778,数据!$G$3:$G$998,B778)</f>
        <v>0</v>
      </c>
    </row>
    <row r="779" spans="1:21" ht="19.9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45" t="str">
        <f t="shared" si="24"/>
        <v/>
      </c>
      <c r="M779" s="45" t="str">
        <f t="shared" si="25"/>
        <v/>
      </c>
      <c r="N779" s="39" t="str">
        <f>IF(AND(A779="",B779=""),"",COUNTIFS(数据!$E$3:$E$998,"&lt;&gt;前期仔鱼",数据!$E$3:$E$998,"&lt;&gt;仔鱼",数据!$E$3:$E$998,"&lt;&gt;稚鱼",数据!$F$3:$F$998,A779,数据!$G$3:$G$998,B779))</f>
        <v/>
      </c>
      <c r="O779" s="39" t="str">
        <f>IF(AND(A779="",B779=""),"",COUNTIFS(数据!$E$3:$E$998,"&lt;&gt;鱼卵",数据!$E$3:$E$998,"&lt;&gt;死卵",数据!$F$3:$F$998,A779,数据!$G$3:$G$998,B779))</f>
        <v/>
      </c>
      <c r="P779" s="31"/>
      <c r="Q779">
        <f>SUMIFS(数据!$D$3:$D$998,数据!$E$3:$E$998,"鱼卵",数据!$F$3:$F$998,A779,数据!$G$3:$G$998,B779)</f>
        <v>0</v>
      </c>
      <c r="R779">
        <f>SUMIFS(数据!$D$3:$D$998,数据!$E$3:$E$998,"死卵",数据!$F$3:$F$998,A779,数据!$G$3:$G$998,B779)</f>
        <v>0</v>
      </c>
      <c r="S779">
        <f>SUMIFS(数据!$D$3:$D$998,数据!$E$3:$E$998,"前期仔鱼",数据!$F$3:$F$998,A779,数据!$G$3:$G$998,B779)</f>
        <v>0</v>
      </c>
      <c r="T779">
        <f>SUMIFS(数据!$D$3:$D$998,数据!$E$3:$E$998,"仔鱼",数据!$F$3:$F$998,A779,数据!$G$3:$G$998,B779)</f>
        <v>0</v>
      </c>
      <c r="U779">
        <f>SUMIFS(数据!$D$3:$D$998,数据!$E$3:$E$998,"稚鱼",数据!$F$3:$F$998,A779,数据!$G$3:$G$998,B779)</f>
        <v>0</v>
      </c>
    </row>
    <row r="780" spans="1:21" ht="19.9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45" t="str">
        <f t="shared" si="24"/>
        <v/>
      </c>
      <c r="M780" s="45" t="str">
        <f t="shared" si="25"/>
        <v/>
      </c>
      <c r="N780" s="39" t="str">
        <f>IF(AND(A780="",B780=""),"",COUNTIFS(数据!$E$3:$E$998,"&lt;&gt;前期仔鱼",数据!$E$3:$E$998,"&lt;&gt;仔鱼",数据!$E$3:$E$998,"&lt;&gt;稚鱼",数据!$F$3:$F$998,A780,数据!$G$3:$G$998,B780))</f>
        <v/>
      </c>
      <c r="O780" s="39" t="str">
        <f>IF(AND(A780="",B780=""),"",COUNTIFS(数据!$E$3:$E$998,"&lt;&gt;鱼卵",数据!$E$3:$E$998,"&lt;&gt;死卵",数据!$F$3:$F$998,A780,数据!$G$3:$G$998,B780))</f>
        <v/>
      </c>
      <c r="P780" s="31"/>
      <c r="Q780">
        <f>SUMIFS(数据!$D$3:$D$998,数据!$E$3:$E$998,"鱼卵",数据!$F$3:$F$998,A780,数据!$G$3:$G$998,B780)</f>
        <v>0</v>
      </c>
      <c r="R780">
        <f>SUMIFS(数据!$D$3:$D$998,数据!$E$3:$E$998,"死卵",数据!$F$3:$F$998,A780,数据!$G$3:$G$998,B780)</f>
        <v>0</v>
      </c>
      <c r="S780">
        <f>SUMIFS(数据!$D$3:$D$998,数据!$E$3:$E$998,"前期仔鱼",数据!$F$3:$F$998,A780,数据!$G$3:$G$998,B780)</f>
        <v>0</v>
      </c>
      <c r="T780">
        <f>SUMIFS(数据!$D$3:$D$998,数据!$E$3:$E$998,"仔鱼",数据!$F$3:$F$998,A780,数据!$G$3:$G$998,B780)</f>
        <v>0</v>
      </c>
      <c r="U780">
        <f>SUMIFS(数据!$D$3:$D$998,数据!$E$3:$E$998,"稚鱼",数据!$F$3:$F$998,A780,数据!$G$3:$G$998,B780)</f>
        <v>0</v>
      </c>
    </row>
    <row r="781" spans="1:21" ht="19.9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45" t="str">
        <f t="shared" si="24"/>
        <v/>
      </c>
      <c r="M781" s="45" t="str">
        <f t="shared" si="25"/>
        <v/>
      </c>
      <c r="N781" s="39" t="str">
        <f>IF(AND(A781="",B781=""),"",COUNTIFS(数据!$E$3:$E$998,"&lt;&gt;前期仔鱼",数据!$E$3:$E$998,"&lt;&gt;仔鱼",数据!$E$3:$E$998,"&lt;&gt;稚鱼",数据!$F$3:$F$998,A781,数据!$G$3:$G$998,B781))</f>
        <v/>
      </c>
      <c r="O781" s="39" t="str">
        <f>IF(AND(A781="",B781=""),"",COUNTIFS(数据!$E$3:$E$998,"&lt;&gt;鱼卵",数据!$E$3:$E$998,"&lt;&gt;死卵",数据!$F$3:$F$998,A781,数据!$G$3:$G$998,B781))</f>
        <v/>
      </c>
      <c r="P781" s="31"/>
      <c r="Q781">
        <f>SUMIFS(数据!$D$3:$D$998,数据!$E$3:$E$998,"鱼卵",数据!$F$3:$F$998,A781,数据!$G$3:$G$998,B781)</f>
        <v>0</v>
      </c>
      <c r="R781">
        <f>SUMIFS(数据!$D$3:$D$998,数据!$E$3:$E$998,"死卵",数据!$F$3:$F$998,A781,数据!$G$3:$G$998,B781)</f>
        <v>0</v>
      </c>
      <c r="S781">
        <f>SUMIFS(数据!$D$3:$D$998,数据!$E$3:$E$998,"前期仔鱼",数据!$F$3:$F$998,A781,数据!$G$3:$G$998,B781)</f>
        <v>0</v>
      </c>
      <c r="T781">
        <f>SUMIFS(数据!$D$3:$D$998,数据!$E$3:$E$998,"仔鱼",数据!$F$3:$F$998,A781,数据!$G$3:$G$998,B781)</f>
        <v>0</v>
      </c>
      <c r="U781">
        <f>SUMIFS(数据!$D$3:$D$998,数据!$E$3:$E$998,"稚鱼",数据!$F$3:$F$998,A781,数据!$G$3:$G$998,B781)</f>
        <v>0</v>
      </c>
    </row>
    <row r="782" spans="1:21" ht="19.9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45" t="str">
        <f t="shared" si="24"/>
        <v/>
      </c>
      <c r="M782" s="45" t="str">
        <f t="shared" si="25"/>
        <v/>
      </c>
      <c r="N782" s="39" t="str">
        <f>IF(AND(A782="",B782=""),"",COUNTIFS(数据!$E$3:$E$998,"&lt;&gt;前期仔鱼",数据!$E$3:$E$998,"&lt;&gt;仔鱼",数据!$E$3:$E$998,"&lt;&gt;稚鱼",数据!$F$3:$F$998,A782,数据!$G$3:$G$998,B782))</f>
        <v/>
      </c>
      <c r="O782" s="39" t="str">
        <f>IF(AND(A782="",B782=""),"",COUNTIFS(数据!$E$3:$E$998,"&lt;&gt;鱼卵",数据!$E$3:$E$998,"&lt;&gt;死卵",数据!$F$3:$F$998,A782,数据!$G$3:$G$998,B782))</f>
        <v/>
      </c>
      <c r="P782" s="31"/>
      <c r="Q782">
        <f>SUMIFS(数据!$D$3:$D$998,数据!$E$3:$E$998,"鱼卵",数据!$F$3:$F$998,A782,数据!$G$3:$G$998,B782)</f>
        <v>0</v>
      </c>
      <c r="R782">
        <f>SUMIFS(数据!$D$3:$D$998,数据!$E$3:$E$998,"死卵",数据!$F$3:$F$998,A782,数据!$G$3:$G$998,B782)</f>
        <v>0</v>
      </c>
      <c r="S782">
        <f>SUMIFS(数据!$D$3:$D$998,数据!$E$3:$E$998,"前期仔鱼",数据!$F$3:$F$998,A782,数据!$G$3:$G$998,B782)</f>
        <v>0</v>
      </c>
      <c r="T782">
        <f>SUMIFS(数据!$D$3:$D$998,数据!$E$3:$E$998,"仔鱼",数据!$F$3:$F$998,A782,数据!$G$3:$G$998,B782)</f>
        <v>0</v>
      </c>
      <c r="U782">
        <f>SUMIFS(数据!$D$3:$D$998,数据!$E$3:$E$998,"稚鱼",数据!$F$3:$F$998,A782,数据!$G$3:$G$998,B782)</f>
        <v>0</v>
      </c>
    </row>
    <row r="783" spans="1:21" ht="19.9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45" t="str">
        <f t="shared" si="24"/>
        <v/>
      </c>
      <c r="M783" s="45" t="str">
        <f t="shared" si="25"/>
        <v/>
      </c>
      <c r="N783" s="39" t="str">
        <f>IF(AND(A783="",B783=""),"",COUNTIFS(数据!$E$3:$E$998,"&lt;&gt;前期仔鱼",数据!$E$3:$E$998,"&lt;&gt;仔鱼",数据!$E$3:$E$998,"&lt;&gt;稚鱼",数据!$F$3:$F$998,A783,数据!$G$3:$G$998,B783))</f>
        <v/>
      </c>
      <c r="O783" s="39" t="str">
        <f>IF(AND(A783="",B783=""),"",COUNTIFS(数据!$E$3:$E$998,"&lt;&gt;鱼卵",数据!$E$3:$E$998,"&lt;&gt;死卵",数据!$F$3:$F$998,A783,数据!$G$3:$G$998,B783))</f>
        <v/>
      </c>
      <c r="P783" s="31"/>
      <c r="Q783">
        <f>SUMIFS(数据!$D$3:$D$998,数据!$E$3:$E$998,"鱼卵",数据!$F$3:$F$998,A783,数据!$G$3:$G$998,B783)</f>
        <v>0</v>
      </c>
      <c r="R783">
        <f>SUMIFS(数据!$D$3:$D$998,数据!$E$3:$E$998,"死卵",数据!$F$3:$F$998,A783,数据!$G$3:$G$998,B783)</f>
        <v>0</v>
      </c>
      <c r="S783">
        <f>SUMIFS(数据!$D$3:$D$998,数据!$E$3:$E$998,"前期仔鱼",数据!$F$3:$F$998,A783,数据!$G$3:$G$998,B783)</f>
        <v>0</v>
      </c>
      <c r="T783">
        <f>SUMIFS(数据!$D$3:$D$998,数据!$E$3:$E$998,"仔鱼",数据!$F$3:$F$998,A783,数据!$G$3:$G$998,B783)</f>
        <v>0</v>
      </c>
      <c r="U783">
        <f>SUMIFS(数据!$D$3:$D$998,数据!$E$3:$E$998,"稚鱼",数据!$F$3:$F$998,A783,数据!$G$3:$G$998,B783)</f>
        <v>0</v>
      </c>
    </row>
    <row r="784" spans="1:21" ht="19.9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45" t="str">
        <f t="shared" si="24"/>
        <v/>
      </c>
      <c r="M784" s="45" t="str">
        <f t="shared" si="25"/>
        <v/>
      </c>
      <c r="N784" s="39" t="str">
        <f>IF(AND(A784="",B784=""),"",COUNTIFS(数据!$E$3:$E$998,"&lt;&gt;前期仔鱼",数据!$E$3:$E$998,"&lt;&gt;仔鱼",数据!$E$3:$E$998,"&lt;&gt;稚鱼",数据!$F$3:$F$998,A784,数据!$G$3:$G$998,B784))</f>
        <v/>
      </c>
      <c r="O784" s="39" t="str">
        <f>IF(AND(A784="",B784=""),"",COUNTIFS(数据!$E$3:$E$998,"&lt;&gt;鱼卵",数据!$E$3:$E$998,"&lt;&gt;死卵",数据!$F$3:$F$998,A784,数据!$G$3:$G$998,B784))</f>
        <v/>
      </c>
      <c r="P784" s="31"/>
      <c r="Q784">
        <f>SUMIFS(数据!$D$3:$D$998,数据!$E$3:$E$998,"鱼卵",数据!$F$3:$F$998,A784,数据!$G$3:$G$998,B784)</f>
        <v>0</v>
      </c>
      <c r="R784">
        <f>SUMIFS(数据!$D$3:$D$998,数据!$E$3:$E$998,"死卵",数据!$F$3:$F$998,A784,数据!$G$3:$G$998,B784)</f>
        <v>0</v>
      </c>
      <c r="S784">
        <f>SUMIFS(数据!$D$3:$D$998,数据!$E$3:$E$998,"前期仔鱼",数据!$F$3:$F$998,A784,数据!$G$3:$G$998,B784)</f>
        <v>0</v>
      </c>
      <c r="T784">
        <f>SUMIFS(数据!$D$3:$D$998,数据!$E$3:$E$998,"仔鱼",数据!$F$3:$F$998,A784,数据!$G$3:$G$998,B784)</f>
        <v>0</v>
      </c>
      <c r="U784">
        <f>SUMIFS(数据!$D$3:$D$998,数据!$E$3:$E$998,"稚鱼",数据!$F$3:$F$998,A784,数据!$G$3:$G$998,B784)</f>
        <v>0</v>
      </c>
    </row>
    <row r="785" spans="1:21" ht="19.9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45" t="str">
        <f t="shared" si="24"/>
        <v/>
      </c>
      <c r="M785" s="45" t="str">
        <f t="shared" si="25"/>
        <v/>
      </c>
      <c r="N785" s="39" t="str">
        <f>IF(AND(A785="",B785=""),"",COUNTIFS(数据!$E$3:$E$998,"&lt;&gt;前期仔鱼",数据!$E$3:$E$998,"&lt;&gt;仔鱼",数据!$E$3:$E$998,"&lt;&gt;稚鱼",数据!$F$3:$F$998,A785,数据!$G$3:$G$998,B785))</f>
        <v/>
      </c>
      <c r="O785" s="39" t="str">
        <f>IF(AND(A785="",B785=""),"",COUNTIFS(数据!$E$3:$E$998,"&lt;&gt;鱼卵",数据!$E$3:$E$998,"&lt;&gt;死卵",数据!$F$3:$F$998,A785,数据!$G$3:$G$998,B785))</f>
        <v/>
      </c>
      <c r="P785" s="31"/>
      <c r="Q785">
        <f>SUMIFS(数据!$D$3:$D$998,数据!$E$3:$E$998,"鱼卵",数据!$F$3:$F$998,A785,数据!$G$3:$G$998,B785)</f>
        <v>0</v>
      </c>
      <c r="R785">
        <f>SUMIFS(数据!$D$3:$D$998,数据!$E$3:$E$998,"死卵",数据!$F$3:$F$998,A785,数据!$G$3:$G$998,B785)</f>
        <v>0</v>
      </c>
      <c r="S785">
        <f>SUMIFS(数据!$D$3:$D$998,数据!$E$3:$E$998,"前期仔鱼",数据!$F$3:$F$998,A785,数据!$G$3:$G$998,B785)</f>
        <v>0</v>
      </c>
      <c r="T785">
        <f>SUMIFS(数据!$D$3:$D$998,数据!$E$3:$E$998,"仔鱼",数据!$F$3:$F$998,A785,数据!$G$3:$G$998,B785)</f>
        <v>0</v>
      </c>
      <c r="U785">
        <f>SUMIFS(数据!$D$3:$D$998,数据!$E$3:$E$998,"稚鱼",数据!$F$3:$F$998,A785,数据!$G$3:$G$998,B785)</f>
        <v>0</v>
      </c>
    </row>
    <row r="786" spans="1:21" ht="19.9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45" t="str">
        <f t="shared" si="24"/>
        <v/>
      </c>
      <c r="M786" s="45" t="str">
        <f t="shared" si="25"/>
        <v/>
      </c>
      <c r="N786" s="39" t="str">
        <f>IF(AND(A786="",B786=""),"",COUNTIFS(数据!$E$3:$E$998,"&lt;&gt;前期仔鱼",数据!$E$3:$E$998,"&lt;&gt;仔鱼",数据!$E$3:$E$998,"&lt;&gt;稚鱼",数据!$F$3:$F$998,A786,数据!$G$3:$G$998,B786))</f>
        <v/>
      </c>
      <c r="O786" s="39" t="str">
        <f>IF(AND(A786="",B786=""),"",COUNTIFS(数据!$E$3:$E$998,"&lt;&gt;鱼卵",数据!$E$3:$E$998,"&lt;&gt;死卵",数据!$F$3:$F$998,A786,数据!$G$3:$G$998,B786))</f>
        <v/>
      </c>
      <c r="P786" s="31"/>
      <c r="Q786">
        <f>SUMIFS(数据!$D$3:$D$998,数据!$E$3:$E$998,"鱼卵",数据!$F$3:$F$998,A786,数据!$G$3:$G$998,B786)</f>
        <v>0</v>
      </c>
      <c r="R786">
        <f>SUMIFS(数据!$D$3:$D$998,数据!$E$3:$E$998,"死卵",数据!$F$3:$F$998,A786,数据!$G$3:$G$998,B786)</f>
        <v>0</v>
      </c>
      <c r="S786">
        <f>SUMIFS(数据!$D$3:$D$998,数据!$E$3:$E$998,"前期仔鱼",数据!$F$3:$F$998,A786,数据!$G$3:$G$998,B786)</f>
        <v>0</v>
      </c>
      <c r="T786">
        <f>SUMIFS(数据!$D$3:$D$998,数据!$E$3:$E$998,"仔鱼",数据!$F$3:$F$998,A786,数据!$G$3:$G$998,B786)</f>
        <v>0</v>
      </c>
      <c r="U786">
        <f>SUMIFS(数据!$D$3:$D$998,数据!$E$3:$E$998,"稚鱼",数据!$F$3:$F$998,A786,数据!$G$3:$G$998,B786)</f>
        <v>0</v>
      </c>
    </row>
    <row r="787" spans="1:21" ht="19.9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45" t="str">
        <f t="shared" si="24"/>
        <v/>
      </c>
      <c r="M787" s="45" t="str">
        <f t="shared" si="25"/>
        <v/>
      </c>
      <c r="N787" s="39" t="str">
        <f>IF(AND(A787="",B787=""),"",COUNTIFS(数据!$E$3:$E$998,"&lt;&gt;前期仔鱼",数据!$E$3:$E$998,"&lt;&gt;仔鱼",数据!$E$3:$E$998,"&lt;&gt;稚鱼",数据!$F$3:$F$998,A787,数据!$G$3:$G$998,B787))</f>
        <v/>
      </c>
      <c r="O787" s="39" t="str">
        <f>IF(AND(A787="",B787=""),"",COUNTIFS(数据!$E$3:$E$998,"&lt;&gt;鱼卵",数据!$E$3:$E$998,"&lt;&gt;死卵",数据!$F$3:$F$998,A787,数据!$G$3:$G$998,B787))</f>
        <v/>
      </c>
      <c r="P787" s="31"/>
      <c r="Q787">
        <f>SUMIFS(数据!$D$3:$D$998,数据!$E$3:$E$998,"鱼卵",数据!$F$3:$F$998,A787,数据!$G$3:$G$998,B787)</f>
        <v>0</v>
      </c>
      <c r="R787">
        <f>SUMIFS(数据!$D$3:$D$998,数据!$E$3:$E$998,"死卵",数据!$F$3:$F$998,A787,数据!$G$3:$G$998,B787)</f>
        <v>0</v>
      </c>
      <c r="S787">
        <f>SUMIFS(数据!$D$3:$D$998,数据!$E$3:$E$998,"前期仔鱼",数据!$F$3:$F$998,A787,数据!$G$3:$G$998,B787)</f>
        <v>0</v>
      </c>
      <c r="T787">
        <f>SUMIFS(数据!$D$3:$D$998,数据!$E$3:$E$998,"仔鱼",数据!$F$3:$F$998,A787,数据!$G$3:$G$998,B787)</f>
        <v>0</v>
      </c>
      <c r="U787">
        <f>SUMIFS(数据!$D$3:$D$998,数据!$E$3:$E$998,"稚鱼",数据!$F$3:$F$998,A787,数据!$G$3:$G$998,B787)</f>
        <v>0</v>
      </c>
    </row>
    <row r="788" spans="1:21" ht="19.9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45" t="str">
        <f t="shared" si="24"/>
        <v/>
      </c>
      <c r="M788" s="45" t="str">
        <f t="shared" si="25"/>
        <v/>
      </c>
      <c r="N788" s="39" t="str">
        <f>IF(AND(A788="",B788=""),"",COUNTIFS(数据!$E$3:$E$998,"&lt;&gt;前期仔鱼",数据!$E$3:$E$998,"&lt;&gt;仔鱼",数据!$E$3:$E$998,"&lt;&gt;稚鱼",数据!$F$3:$F$998,A788,数据!$G$3:$G$998,B788))</f>
        <v/>
      </c>
      <c r="O788" s="39" t="str">
        <f>IF(AND(A788="",B788=""),"",COUNTIFS(数据!$E$3:$E$998,"&lt;&gt;鱼卵",数据!$E$3:$E$998,"&lt;&gt;死卵",数据!$F$3:$F$998,A788,数据!$G$3:$G$998,B788))</f>
        <v/>
      </c>
      <c r="P788" s="31"/>
      <c r="Q788">
        <f>SUMIFS(数据!$D$3:$D$998,数据!$E$3:$E$998,"鱼卵",数据!$F$3:$F$998,A788,数据!$G$3:$G$998,B788)</f>
        <v>0</v>
      </c>
      <c r="R788">
        <f>SUMIFS(数据!$D$3:$D$998,数据!$E$3:$E$998,"死卵",数据!$F$3:$F$998,A788,数据!$G$3:$G$998,B788)</f>
        <v>0</v>
      </c>
      <c r="S788">
        <f>SUMIFS(数据!$D$3:$D$998,数据!$E$3:$E$998,"前期仔鱼",数据!$F$3:$F$998,A788,数据!$G$3:$G$998,B788)</f>
        <v>0</v>
      </c>
      <c r="T788">
        <f>SUMIFS(数据!$D$3:$D$998,数据!$E$3:$E$998,"仔鱼",数据!$F$3:$F$998,A788,数据!$G$3:$G$998,B788)</f>
        <v>0</v>
      </c>
      <c r="U788">
        <f>SUMIFS(数据!$D$3:$D$998,数据!$E$3:$E$998,"稚鱼",数据!$F$3:$F$998,A788,数据!$G$3:$G$998,B788)</f>
        <v>0</v>
      </c>
    </row>
    <row r="789" spans="1:21" ht="19.9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45" t="str">
        <f t="shared" si="24"/>
        <v/>
      </c>
      <c r="M789" s="45" t="str">
        <f t="shared" si="25"/>
        <v/>
      </c>
      <c r="N789" s="39" t="str">
        <f>IF(AND(A789="",B789=""),"",COUNTIFS(数据!$E$3:$E$998,"&lt;&gt;前期仔鱼",数据!$E$3:$E$998,"&lt;&gt;仔鱼",数据!$E$3:$E$998,"&lt;&gt;稚鱼",数据!$F$3:$F$998,A789,数据!$G$3:$G$998,B789))</f>
        <v/>
      </c>
      <c r="O789" s="39" t="str">
        <f>IF(AND(A789="",B789=""),"",COUNTIFS(数据!$E$3:$E$998,"&lt;&gt;鱼卵",数据!$E$3:$E$998,"&lt;&gt;死卵",数据!$F$3:$F$998,A789,数据!$G$3:$G$998,B789))</f>
        <v/>
      </c>
      <c r="P789" s="31"/>
      <c r="Q789">
        <f>SUMIFS(数据!$D$3:$D$998,数据!$E$3:$E$998,"鱼卵",数据!$F$3:$F$998,A789,数据!$G$3:$G$998,B789)</f>
        <v>0</v>
      </c>
      <c r="R789">
        <f>SUMIFS(数据!$D$3:$D$998,数据!$E$3:$E$998,"死卵",数据!$F$3:$F$998,A789,数据!$G$3:$G$998,B789)</f>
        <v>0</v>
      </c>
      <c r="S789">
        <f>SUMIFS(数据!$D$3:$D$998,数据!$E$3:$E$998,"前期仔鱼",数据!$F$3:$F$998,A789,数据!$G$3:$G$998,B789)</f>
        <v>0</v>
      </c>
      <c r="T789">
        <f>SUMIFS(数据!$D$3:$D$998,数据!$E$3:$E$998,"仔鱼",数据!$F$3:$F$998,A789,数据!$G$3:$G$998,B789)</f>
        <v>0</v>
      </c>
      <c r="U789">
        <f>SUMIFS(数据!$D$3:$D$998,数据!$E$3:$E$998,"稚鱼",数据!$F$3:$F$998,A789,数据!$G$3:$G$998,B789)</f>
        <v>0</v>
      </c>
    </row>
    <row r="790" spans="1:21" ht="19.9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45" t="str">
        <f t="shared" si="24"/>
        <v/>
      </c>
      <c r="M790" s="45" t="str">
        <f t="shared" si="25"/>
        <v/>
      </c>
      <c r="N790" s="39" t="str">
        <f>IF(AND(A790="",B790=""),"",COUNTIFS(数据!$E$3:$E$998,"&lt;&gt;前期仔鱼",数据!$E$3:$E$998,"&lt;&gt;仔鱼",数据!$E$3:$E$998,"&lt;&gt;稚鱼",数据!$F$3:$F$998,A790,数据!$G$3:$G$998,B790))</f>
        <v/>
      </c>
      <c r="O790" s="39" t="str">
        <f>IF(AND(A790="",B790=""),"",COUNTIFS(数据!$E$3:$E$998,"&lt;&gt;鱼卵",数据!$E$3:$E$998,"&lt;&gt;死卵",数据!$F$3:$F$998,A790,数据!$G$3:$G$998,B790))</f>
        <v/>
      </c>
      <c r="P790" s="31"/>
      <c r="Q790">
        <f>SUMIFS(数据!$D$3:$D$998,数据!$E$3:$E$998,"鱼卵",数据!$F$3:$F$998,A790,数据!$G$3:$G$998,B790)</f>
        <v>0</v>
      </c>
      <c r="R790">
        <f>SUMIFS(数据!$D$3:$D$998,数据!$E$3:$E$998,"死卵",数据!$F$3:$F$998,A790,数据!$G$3:$G$998,B790)</f>
        <v>0</v>
      </c>
      <c r="S790">
        <f>SUMIFS(数据!$D$3:$D$998,数据!$E$3:$E$998,"前期仔鱼",数据!$F$3:$F$998,A790,数据!$G$3:$G$998,B790)</f>
        <v>0</v>
      </c>
      <c r="T790">
        <f>SUMIFS(数据!$D$3:$D$998,数据!$E$3:$E$998,"仔鱼",数据!$F$3:$F$998,A790,数据!$G$3:$G$998,B790)</f>
        <v>0</v>
      </c>
      <c r="U790">
        <f>SUMIFS(数据!$D$3:$D$998,数据!$E$3:$E$998,"稚鱼",数据!$F$3:$F$998,A790,数据!$G$3:$G$998,B790)</f>
        <v>0</v>
      </c>
    </row>
    <row r="791" spans="1:21" ht="19.9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45" t="str">
        <f t="shared" si="24"/>
        <v/>
      </c>
      <c r="M791" s="45" t="str">
        <f t="shared" si="25"/>
        <v/>
      </c>
      <c r="N791" s="39" t="str">
        <f>IF(AND(A791="",B791=""),"",COUNTIFS(数据!$E$3:$E$998,"&lt;&gt;前期仔鱼",数据!$E$3:$E$998,"&lt;&gt;仔鱼",数据!$E$3:$E$998,"&lt;&gt;稚鱼",数据!$F$3:$F$998,A791,数据!$G$3:$G$998,B791))</f>
        <v/>
      </c>
      <c r="O791" s="39" t="str">
        <f>IF(AND(A791="",B791=""),"",COUNTIFS(数据!$E$3:$E$998,"&lt;&gt;鱼卵",数据!$E$3:$E$998,"&lt;&gt;死卵",数据!$F$3:$F$998,A791,数据!$G$3:$G$998,B791))</f>
        <v/>
      </c>
      <c r="P791" s="31"/>
      <c r="Q791">
        <f>SUMIFS(数据!$D$3:$D$998,数据!$E$3:$E$998,"鱼卵",数据!$F$3:$F$998,A791,数据!$G$3:$G$998,B791)</f>
        <v>0</v>
      </c>
      <c r="R791">
        <f>SUMIFS(数据!$D$3:$D$998,数据!$E$3:$E$998,"死卵",数据!$F$3:$F$998,A791,数据!$G$3:$G$998,B791)</f>
        <v>0</v>
      </c>
      <c r="S791">
        <f>SUMIFS(数据!$D$3:$D$998,数据!$E$3:$E$998,"前期仔鱼",数据!$F$3:$F$998,A791,数据!$G$3:$G$998,B791)</f>
        <v>0</v>
      </c>
      <c r="T791">
        <f>SUMIFS(数据!$D$3:$D$998,数据!$E$3:$E$998,"仔鱼",数据!$F$3:$F$998,A791,数据!$G$3:$G$998,B791)</f>
        <v>0</v>
      </c>
      <c r="U791">
        <f>SUMIFS(数据!$D$3:$D$998,数据!$E$3:$E$998,"稚鱼",数据!$F$3:$F$998,A791,数据!$G$3:$G$998,B791)</f>
        <v>0</v>
      </c>
    </row>
    <row r="792" spans="1:21" ht="19.9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45" t="str">
        <f t="shared" si="24"/>
        <v/>
      </c>
      <c r="M792" s="45" t="str">
        <f t="shared" si="25"/>
        <v/>
      </c>
      <c r="N792" s="39" t="str">
        <f>IF(AND(A792="",B792=""),"",COUNTIFS(数据!$E$3:$E$998,"&lt;&gt;前期仔鱼",数据!$E$3:$E$998,"&lt;&gt;仔鱼",数据!$E$3:$E$998,"&lt;&gt;稚鱼",数据!$F$3:$F$998,A792,数据!$G$3:$G$998,B792))</f>
        <v/>
      </c>
      <c r="O792" s="39" t="str">
        <f>IF(AND(A792="",B792=""),"",COUNTIFS(数据!$E$3:$E$998,"&lt;&gt;鱼卵",数据!$E$3:$E$998,"&lt;&gt;死卵",数据!$F$3:$F$998,A792,数据!$G$3:$G$998,B792))</f>
        <v/>
      </c>
      <c r="P792" s="31"/>
      <c r="Q792">
        <f>SUMIFS(数据!$D$3:$D$998,数据!$E$3:$E$998,"鱼卵",数据!$F$3:$F$998,A792,数据!$G$3:$G$998,B792)</f>
        <v>0</v>
      </c>
      <c r="R792">
        <f>SUMIFS(数据!$D$3:$D$998,数据!$E$3:$E$998,"死卵",数据!$F$3:$F$998,A792,数据!$G$3:$G$998,B792)</f>
        <v>0</v>
      </c>
      <c r="S792">
        <f>SUMIFS(数据!$D$3:$D$998,数据!$E$3:$E$998,"前期仔鱼",数据!$F$3:$F$998,A792,数据!$G$3:$G$998,B792)</f>
        <v>0</v>
      </c>
      <c r="T792">
        <f>SUMIFS(数据!$D$3:$D$998,数据!$E$3:$E$998,"仔鱼",数据!$F$3:$F$998,A792,数据!$G$3:$G$998,B792)</f>
        <v>0</v>
      </c>
      <c r="U792">
        <f>SUMIFS(数据!$D$3:$D$998,数据!$E$3:$E$998,"稚鱼",数据!$F$3:$F$998,A792,数据!$G$3:$G$998,B792)</f>
        <v>0</v>
      </c>
    </row>
    <row r="793" spans="1:21" ht="19.9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45" t="str">
        <f t="shared" si="24"/>
        <v/>
      </c>
      <c r="M793" s="45" t="str">
        <f t="shared" si="25"/>
        <v/>
      </c>
      <c r="N793" s="39" t="str">
        <f>IF(AND(A793="",B793=""),"",COUNTIFS(数据!$E$3:$E$998,"&lt;&gt;前期仔鱼",数据!$E$3:$E$998,"&lt;&gt;仔鱼",数据!$E$3:$E$998,"&lt;&gt;稚鱼",数据!$F$3:$F$998,A793,数据!$G$3:$G$998,B793))</f>
        <v/>
      </c>
      <c r="O793" s="39" t="str">
        <f>IF(AND(A793="",B793=""),"",COUNTIFS(数据!$E$3:$E$998,"&lt;&gt;鱼卵",数据!$E$3:$E$998,"&lt;&gt;死卵",数据!$F$3:$F$998,A793,数据!$G$3:$G$998,B793))</f>
        <v/>
      </c>
      <c r="P793" s="31"/>
      <c r="Q793">
        <f>SUMIFS(数据!$D$3:$D$998,数据!$E$3:$E$998,"鱼卵",数据!$F$3:$F$998,A793,数据!$G$3:$G$998,B793)</f>
        <v>0</v>
      </c>
      <c r="R793">
        <f>SUMIFS(数据!$D$3:$D$998,数据!$E$3:$E$998,"死卵",数据!$F$3:$F$998,A793,数据!$G$3:$G$998,B793)</f>
        <v>0</v>
      </c>
      <c r="S793">
        <f>SUMIFS(数据!$D$3:$D$998,数据!$E$3:$E$998,"前期仔鱼",数据!$F$3:$F$998,A793,数据!$G$3:$G$998,B793)</f>
        <v>0</v>
      </c>
      <c r="T793">
        <f>SUMIFS(数据!$D$3:$D$998,数据!$E$3:$E$998,"仔鱼",数据!$F$3:$F$998,A793,数据!$G$3:$G$998,B793)</f>
        <v>0</v>
      </c>
      <c r="U793">
        <f>SUMIFS(数据!$D$3:$D$998,数据!$E$3:$E$998,"稚鱼",数据!$F$3:$F$998,A793,数据!$G$3:$G$998,B793)</f>
        <v>0</v>
      </c>
    </row>
    <row r="794" spans="1:21" ht="19.9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45" t="str">
        <f t="shared" si="24"/>
        <v/>
      </c>
      <c r="M794" s="45" t="str">
        <f t="shared" si="25"/>
        <v/>
      </c>
      <c r="N794" s="39" t="str">
        <f>IF(AND(A794="",B794=""),"",COUNTIFS(数据!$E$3:$E$998,"&lt;&gt;前期仔鱼",数据!$E$3:$E$998,"&lt;&gt;仔鱼",数据!$E$3:$E$998,"&lt;&gt;稚鱼",数据!$F$3:$F$998,A794,数据!$G$3:$G$998,B794))</f>
        <v/>
      </c>
      <c r="O794" s="39" t="str">
        <f>IF(AND(A794="",B794=""),"",COUNTIFS(数据!$E$3:$E$998,"&lt;&gt;鱼卵",数据!$E$3:$E$998,"&lt;&gt;死卵",数据!$F$3:$F$998,A794,数据!$G$3:$G$998,B794))</f>
        <v/>
      </c>
      <c r="P794" s="31"/>
      <c r="Q794">
        <f>SUMIFS(数据!$D$3:$D$998,数据!$E$3:$E$998,"鱼卵",数据!$F$3:$F$998,A794,数据!$G$3:$G$998,B794)</f>
        <v>0</v>
      </c>
      <c r="R794">
        <f>SUMIFS(数据!$D$3:$D$998,数据!$E$3:$E$998,"死卵",数据!$F$3:$F$998,A794,数据!$G$3:$G$998,B794)</f>
        <v>0</v>
      </c>
      <c r="S794">
        <f>SUMIFS(数据!$D$3:$D$998,数据!$E$3:$E$998,"前期仔鱼",数据!$F$3:$F$998,A794,数据!$G$3:$G$998,B794)</f>
        <v>0</v>
      </c>
      <c r="T794">
        <f>SUMIFS(数据!$D$3:$D$998,数据!$E$3:$E$998,"仔鱼",数据!$F$3:$F$998,A794,数据!$G$3:$G$998,B794)</f>
        <v>0</v>
      </c>
      <c r="U794">
        <f>SUMIFS(数据!$D$3:$D$998,数据!$E$3:$E$998,"稚鱼",数据!$F$3:$F$998,A794,数据!$G$3:$G$998,B794)</f>
        <v>0</v>
      </c>
    </row>
    <row r="795" spans="1:21" ht="19.9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45" t="str">
        <f t="shared" si="24"/>
        <v/>
      </c>
      <c r="M795" s="45" t="str">
        <f t="shared" si="25"/>
        <v/>
      </c>
      <c r="N795" s="39" t="str">
        <f>IF(AND(A795="",B795=""),"",COUNTIFS(数据!$E$3:$E$998,"&lt;&gt;前期仔鱼",数据!$E$3:$E$998,"&lt;&gt;仔鱼",数据!$E$3:$E$998,"&lt;&gt;稚鱼",数据!$F$3:$F$998,A795,数据!$G$3:$G$998,B795))</f>
        <v/>
      </c>
      <c r="O795" s="39" t="str">
        <f>IF(AND(A795="",B795=""),"",COUNTIFS(数据!$E$3:$E$998,"&lt;&gt;鱼卵",数据!$E$3:$E$998,"&lt;&gt;死卵",数据!$F$3:$F$998,A795,数据!$G$3:$G$998,B795))</f>
        <v/>
      </c>
      <c r="P795" s="31"/>
      <c r="Q795">
        <f>SUMIFS(数据!$D$3:$D$998,数据!$E$3:$E$998,"鱼卵",数据!$F$3:$F$998,A795,数据!$G$3:$G$998,B795)</f>
        <v>0</v>
      </c>
      <c r="R795">
        <f>SUMIFS(数据!$D$3:$D$998,数据!$E$3:$E$998,"死卵",数据!$F$3:$F$998,A795,数据!$G$3:$G$998,B795)</f>
        <v>0</v>
      </c>
      <c r="S795">
        <f>SUMIFS(数据!$D$3:$D$998,数据!$E$3:$E$998,"前期仔鱼",数据!$F$3:$F$998,A795,数据!$G$3:$G$998,B795)</f>
        <v>0</v>
      </c>
      <c r="T795">
        <f>SUMIFS(数据!$D$3:$D$998,数据!$E$3:$E$998,"仔鱼",数据!$F$3:$F$998,A795,数据!$G$3:$G$998,B795)</f>
        <v>0</v>
      </c>
      <c r="U795">
        <f>SUMIFS(数据!$D$3:$D$998,数据!$E$3:$E$998,"稚鱼",数据!$F$3:$F$998,A795,数据!$G$3:$G$998,B795)</f>
        <v>0</v>
      </c>
    </row>
    <row r="796" spans="1:21" ht="19.9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45" t="str">
        <f t="shared" si="24"/>
        <v/>
      </c>
      <c r="M796" s="45" t="str">
        <f t="shared" si="25"/>
        <v/>
      </c>
      <c r="N796" s="39" t="str">
        <f>IF(AND(A796="",B796=""),"",COUNTIFS(数据!$E$3:$E$998,"&lt;&gt;前期仔鱼",数据!$E$3:$E$998,"&lt;&gt;仔鱼",数据!$E$3:$E$998,"&lt;&gt;稚鱼",数据!$F$3:$F$998,A796,数据!$G$3:$G$998,B796))</f>
        <v/>
      </c>
      <c r="O796" s="39" t="str">
        <f>IF(AND(A796="",B796=""),"",COUNTIFS(数据!$E$3:$E$998,"&lt;&gt;鱼卵",数据!$E$3:$E$998,"&lt;&gt;死卵",数据!$F$3:$F$998,A796,数据!$G$3:$G$998,B796))</f>
        <v/>
      </c>
      <c r="P796" s="31"/>
      <c r="Q796">
        <f>SUMIFS(数据!$D$3:$D$998,数据!$E$3:$E$998,"鱼卵",数据!$F$3:$F$998,A796,数据!$G$3:$G$998,B796)</f>
        <v>0</v>
      </c>
      <c r="R796">
        <f>SUMIFS(数据!$D$3:$D$998,数据!$E$3:$E$998,"死卵",数据!$F$3:$F$998,A796,数据!$G$3:$G$998,B796)</f>
        <v>0</v>
      </c>
      <c r="S796">
        <f>SUMIFS(数据!$D$3:$D$998,数据!$E$3:$E$998,"前期仔鱼",数据!$F$3:$F$998,A796,数据!$G$3:$G$998,B796)</f>
        <v>0</v>
      </c>
      <c r="T796">
        <f>SUMIFS(数据!$D$3:$D$998,数据!$E$3:$E$998,"仔鱼",数据!$F$3:$F$998,A796,数据!$G$3:$G$998,B796)</f>
        <v>0</v>
      </c>
      <c r="U796">
        <f>SUMIFS(数据!$D$3:$D$998,数据!$E$3:$E$998,"稚鱼",数据!$F$3:$F$998,A796,数据!$G$3:$G$998,B796)</f>
        <v>0</v>
      </c>
    </row>
    <row r="797" spans="1:21" ht="19.9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45" t="str">
        <f t="shared" si="24"/>
        <v/>
      </c>
      <c r="M797" s="45" t="str">
        <f t="shared" si="25"/>
        <v/>
      </c>
      <c r="N797" s="39" t="str">
        <f>IF(AND(A797="",B797=""),"",COUNTIFS(数据!$E$3:$E$998,"&lt;&gt;前期仔鱼",数据!$E$3:$E$998,"&lt;&gt;仔鱼",数据!$E$3:$E$998,"&lt;&gt;稚鱼",数据!$F$3:$F$998,A797,数据!$G$3:$G$998,B797))</f>
        <v/>
      </c>
      <c r="O797" s="39" t="str">
        <f>IF(AND(A797="",B797=""),"",COUNTIFS(数据!$E$3:$E$998,"&lt;&gt;鱼卵",数据!$E$3:$E$998,"&lt;&gt;死卵",数据!$F$3:$F$998,A797,数据!$G$3:$G$998,B797))</f>
        <v/>
      </c>
      <c r="P797" s="31"/>
      <c r="Q797">
        <f>SUMIFS(数据!$D$3:$D$998,数据!$E$3:$E$998,"鱼卵",数据!$F$3:$F$998,A797,数据!$G$3:$G$998,B797)</f>
        <v>0</v>
      </c>
      <c r="R797">
        <f>SUMIFS(数据!$D$3:$D$998,数据!$E$3:$E$998,"死卵",数据!$F$3:$F$998,A797,数据!$G$3:$G$998,B797)</f>
        <v>0</v>
      </c>
      <c r="S797">
        <f>SUMIFS(数据!$D$3:$D$998,数据!$E$3:$E$998,"前期仔鱼",数据!$F$3:$F$998,A797,数据!$G$3:$G$998,B797)</f>
        <v>0</v>
      </c>
      <c r="T797">
        <f>SUMIFS(数据!$D$3:$D$998,数据!$E$3:$E$998,"仔鱼",数据!$F$3:$F$998,A797,数据!$G$3:$G$998,B797)</f>
        <v>0</v>
      </c>
      <c r="U797">
        <f>SUMIFS(数据!$D$3:$D$998,数据!$E$3:$E$998,"稚鱼",数据!$F$3:$F$998,A797,数据!$G$3:$G$998,B797)</f>
        <v>0</v>
      </c>
    </row>
    <row r="798" spans="1:21" ht="19.9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45" t="str">
        <f t="shared" si="24"/>
        <v/>
      </c>
      <c r="M798" s="45" t="str">
        <f t="shared" si="25"/>
        <v/>
      </c>
      <c r="N798" s="39" t="str">
        <f>IF(AND(A798="",B798=""),"",COUNTIFS(数据!$E$3:$E$998,"&lt;&gt;前期仔鱼",数据!$E$3:$E$998,"&lt;&gt;仔鱼",数据!$E$3:$E$998,"&lt;&gt;稚鱼",数据!$F$3:$F$998,A798,数据!$G$3:$G$998,B798))</f>
        <v/>
      </c>
      <c r="O798" s="39" t="str">
        <f>IF(AND(A798="",B798=""),"",COUNTIFS(数据!$E$3:$E$998,"&lt;&gt;鱼卵",数据!$E$3:$E$998,"&lt;&gt;死卵",数据!$F$3:$F$998,A798,数据!$G$3:$G$998,B798))</f>
        <v/>
      </c>
      <c r="P798" s="31"/>
      <c r="Q798">
        <f>SUMIFS(数据!$D$3:$D$998,数据!$E$3:$E$998,"鱼卵",数据!$F$3:$F$998,A798,数据!$G$3:$G$998,B798)</f>
        <v>0</v>
      </c>
      <c r="R798">
        <f>SUMIFS(数据!$D$3:$D$998,数据!$E$3:$E$998,"死卵",数据!$F$3:$F$998,A798,数据!$G$3:$G$998,B798)</f>
        <v>0</v>
      </c>
      <c r="S798">
        <f>SUMIFS(数据!$D$3:$D$998,数据!$E$3:$E$998,"前期仔鱼",数据!$F$3:$F$998,A798,数据!$G$3:$G$998,B798)</f>
        <v>0</v>
      </c>
      <c r="T798">
        <f>SUMIFS(数据!$D$3:$D$998,数据!$E$3:$E$998,"仔鱼",数据!$F$3:$F$998,A798,数据!$G$3:$G$998,B798)</f>
        <v>0</v>
      </c>
      <c r="U798">
        <f>SUMIFS(数据!$D$3:$D$998,数据!$E$3:$E$998,"稚鱼",数据!$F$3:$F$998,A798,数据!$G$3:$G$998,B798)</f>
        <v>0</v>
      </c>
    </row>
    <row r="799" spans="1:21" ht="19.9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45" t="str">
        <f t="shared" si="24"/>
        <v/>
      </c>
      <c r="M799" s="45" t="str">
        <f t="shared" si="25"/>
        <v/>
      </c>
      <c r="N799" s="39" t="str">
        <f>IF(AND(A799="",B799=""),"",COUNTIFS(数据!$E$3:$E$998,"&lt;&gt;前期仔鱼",数据!$E$3:$E$998,"&lt;&gt;仔鱼",数据!$E$3:$E$998,"&lt;&gt;稚鱼",数据!$F$3:$F$998,A799,数据!$G$3:$G$998,B799))</f>
        <v/>
      </c>
      <c r="O799" s="39" t="str">
        <f>IF(AND(A799="",B799=""),"",COUNTIFS(数据!$E$3:$E$998,"&lt;&gt;鱼卵",数据!$E$3:$E$998,"&lt;&gt;死卵",数据!$F$3:$F$998,A799,数据!$G$3:$G$998,B799))</f>
        <v/>
      </c>
      <c r="P799" s="31"/>
      <c r="Q799">
        <f>SUMIFS(数据!$D$3:$D$998,数据!$E$3:$E$998,"鱼卵",数据!$F$3:$F$998,A799,数据!$G$3:$G$998,B799)</f>
        <v>0</v>
      </c>
      <c r="R799">
        <f>SUMIFS(数据!$D$3:$D$998,数据!$E$3:$E$998,"死卵",数据!$F$3:$F$998,A799,数据!$G$3:$G$998,B799)</f>
        <v>0</v>
      </c>
      <c r="S799">
        <f>SUMIFS(数据!$D$3:$D$998,数据!$E$3:$E$998,"前期仔鱼",数据!$F$3:$F$998,A799,数据!$G$3:$G$998,B799)</f>
        <v>0</v>
      </c>
      <c r="T799">
        <f>SUMIFS(数据!$D$3:$D$998,数据!$E$3:$E$998,"仔鱼",数据!$F$3:$F$998,A799,数据!$G$3:$G$998,B799)</f>
        <v>0</v>
      </c>
      <c r="U799">
        <f>SUMIFS(数据!$D$3:$D$998,数据!$E$3:$E$998,"稚鱼",数据!$F$3:$F$998,A799,数据!$G$3:$G$998,B799)</f>
        <v>0</v>
      </c>
    </row>
    <row r="800" spans="1:21" ht="19.9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45" t="str">
        <f t="shared" si="24"/>
        <v/>
      </c>
      <c r="M800" s="45" t="str">
        <f t="shared" si="25"/>
        <v/>
      </c>
      <c r="N800" s="39" t="str">
        <f>IF(AND(A800="",B800=""),"",COUNTIFS(数据!$E$3:$E$998,"&lt;&gt;前期仔鱼",数据!$E$3:$E$998,"&lt;&gt;仔鱼",数据!$E$3:$E$998,"&lt;&gt;稚鱼",数据!$F$3:$F$998,A800,数据!$G$3:$G$998,B800))</f>
        <v/>
      </c>
      <c r="O800" s="39" t="str">
        <f>IF(AND(A800="",B800=""),"",COUNTIFS(数据!$E$3:$E$998,"&lt;&gt;鱼卵",数据!$E$3:$E$998,"&lt;&gt;死卵",数据!$F$3:$F$998,A800,数据!$G$3:$G$998,B800))</f>
        <v/>
      </c>
      <c r="P800" s="31"/>
      <c r="Q800">
        <f>SUMIFS(数据!$D$3:$D$998,数据!$E$3:$E$998,"鱼卵",数据!$F$3:$F$998,A800,数据!$G$3:$G$998,B800)</f>
        <v>0</v>
      </c>
      <c r="R800">
        <f>SUMIFS(数据!$D$3:$D$998,数据!$E$3:$E$998,"死卵",数据!$F$3:$F$998,A800,数据!$G$3:$G$998,B800)</f>
        <v>0</v>
      </c>
      <c r="S800">
        <f>SUMIFS(数据!$D$3:$D$998,数据!$E$3:$E$998,"前期仔鱼",数据!$F$3:$F$998,A800,数据!$G$3:$G$998,B800)</f>
        <v>0</v>
      </c>
      <c r="T800">
        <f>SUMIFS(数据!$D$3:$D$998,数据!$E$3:$E$998,"仔鱼",数据!$F$3:$F$998,A800,数据!$G$3:$G$998,B800)</f>
        <v>0</v>
      </c>
      <c r="U800">
        <f>SUMIFS(数据!$D$3:$D$998,数据!$E$3:$E$998,"稚鱼",数据!$F$3:$F$998,A800,数据!$G$3:$G$998,B800)</f>
        <v>0</v>
      </c>
    </row>
    <row r="801" spans="1:21" ht="19.9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45" t="str">
        <f t="shared" si="24"/>
        <v/>
      </c>
      <c r="M801" s="45" t="str">
        <f t="shared" si="25"/>
        <v/>
      </c>
      <c r="N801" s="39" t="str">
        <f>IF(AND(A801="",B801=""),"",COUNTIFS(数据!$E$3:$E$998,"&lt;&gt;前期仔鱼",数据!$E$3:$E$998,"&lt;&gt;仔鱼",数据!$E$3:$E$998,"&lt;&gt;稚鱼",数据!$F$3:$F$998,A801,数据!$G$3:$G$998,B801))</f>
        <v/>
      </c>
      <c r="O801" s="39" t="str">
        <f>IF(AND(A801="",B801=""),"",COUNTIFS(数据!$E$3:$E$998,"&lt;&gt;鱼卵",数据!$E$3:$E$998,"&lt;&gt;死卵",数据!$F$3:$F$998,A801,数据!$G$3:$G$998,B801))</f>
        <v/>
      </c>
      <c r="P801" s="31"/>
      <c r="Q801">
        <f>SUMIFS(数据!$D$3:$D$998,数据!$E$3:$E$998,"鱼卵",数据!$F$3:$F$998,A801,数据!$G$3:$G$998,B801)</f>
        <v>0</v>
      </c>
      <c r="R801">
        <f>SUMIFS(数据!$D$3:$D$998,数据!$E$3:$E$998,"死卵",数据!$F$3:$F$998,A801,数据!$G$3:$G$998,B801)</f>
        <v>0</v>
      </c>
      <c r="S801">
        <f>SUMIFS(数据!$D$3:$D$998,数据!$E$3:$E$998,"前期仔鱼",数据!$F$3:$F$998,A801,数据!$G$3:$G$998,B801)</f>
        <v>0</v>
      </c>
      <c r="T801">
        <f>SUMIFS(数据!$D$3:$D$998,数据!$E$3:$E$998,"仔鱼",数据!$F$3:$F$998,A801,数据!$G$3:$G$998,B801)</f>
        <v>0</v>
      </c>
      <c r="U801">
        <f>SUMIFS(数据!$D$3:$D$998,数据!$E$3:$E$998,"稚鱼",数据!$F$3:$F$998,A801,数据!$G$3:$G$998,B801)</f>
        <v>0</v>
      </c>
    </row>
    <row r="802" spans="1:21" ht="19.9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45" t="str">
        <f t="shared" si="24"/>
        <v/>
      </c>
      <c r="M802" s="45" t="str">
        <f t="shared" si="25"/>
        <v/>
      </c>
      <c r="N802" s="39" t="str">
        <f>IF(AND(A802="",B802=""),"",COUNTIFS(数据!$E$3:$E$998,"&lt;&gt;前期仔鱼",数据!$E$3:$E$998,"&lt;&gt;仔鱼",数据!$E$3:$E$998,"&lt;&gt;稚鱼",数据!$F$3:$F$998,A802,数据!$G$3:$G$998,B802))</f>
        <v/>
      </c>
      <c r="O802" s="39" t="str">
        <f>IF(AND(A802="",B802=""),"",COUNTIFS(数据!$E$3:$E$998,"&lt;&gt;鱼卵",数据!$E$3:$E$998,"&lt;&gt;死卵",数据!$F$3:$F$998,A802,数据!$G$3:$G$998,B802))</f>
        <v/>
      </c>
      <c r="P802" s="31"/>
      <c r="Q802">
        <f>SUMIFS(数据!$D$3:$D$998,数据!$E$3:$E$998,"鱼卵",数据!$F$3:$F$998,A802,数据!$G$3:$G$998,B802)</f>
        <v>0</v>
      </c>
      <c r="R802">
        <f>SUMIFS(数据!$D$3:$D$998,数据!$E$3:$E$998,"死卵",数据!$F$3:$F$998,A802,数据!$G$3:$G$998,B802)</f>
        <v>0</v>
      </c>
      <c r="S802">
        <f>SUMIFS(数据!$D$3:$D$998,数据!$E$3:$E$998,"前期仔鱼",数据!$F$3:$F$998,A802,数据!$G$3:$G$998,B802)</f>
        <v>0</v>
      </c>
      <c r="T802">
        <f>SUMIFS(数据!$D$3:$D$998,数据!$E$3:$E$998,"仔鱼",数据!$F$3:$F$998,A802,数据!$G$3:$G$998,B802)</f>
        <v>0</v>
      </c>
      <c r="U802">
        <f>SUMIFS(数据!$D$3:$D$998,数据!$E$3:$E$998,"稚鱼",数据!$F$3:$F$998,A802,数据!$G$3:$G$998,B802)</f>
        <v>0</v>
      </c>
    </row>
    <row r="803" spans="1:21" ht="19.9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45" t="str">
        <f t="shared" si="24"/>
        <v/>
      </c>
      <c r="M803" s="45" t="str">
        <f t="shared" si="25"/>
        <v/>
      </c>
      <c r="N803" s="39" t="str">
        <f>IF(AND(A803="",B803=""),"",COUNTIFS(数据!$E$3:$E$998,"&lt;&gt;前期仔鱼",数据!$E$3:$E$998,"&lt;&gt;仔鱼",数据!$E$3:$E$998,"&lt;&gt;稚鱼",数据!$F$3:$F$998,A803,数据!$G$3:$G$998,B803))</f>
        <v/>
      </c>
      <c r="O803" s="39" t="str">
        <f>IF(AND(A803="",B803=""),"",COUNTIFS(数据!$E$3:$E$998,"&lt;&gt;鱼卵",数据!$E$3:$E$998,"&lt;&gt;死卵",数据!$F$3:$F$998,A803,数据!$G$3:$G$998,B803))</f>
        <v/>
      </c>
      <c r="P803" s="31"/>
      <c r="Q803">
        <f>SUMIFS(数据!$D$3:$D$998,数据!$E$3:$E$998,"鱼卵",数据!$F$3:$F$998,A803,数据!$G$3:$G$998,B803)</f>
        <v>0</v>
      </c>
      <c r="R803">
        <f>SUMIFS(数据!$D$3:$D$998,数据!$E$3:$E$998,"死卵",数据!$F$3:$F$998,A803,数据!$G$3:$G$998,B803)</f>
        <v>0</v>
      </c>
      <c r="S803">
        <f>SUMIFS(数据!$D$3:$D$998,数据!$E$3:$E$998,"前期仔鱼",数据!$F$3:$F$998,A803,数据!$G$3:$G$998,B803)</f>
        <v>0</v>
      </c>
      <c r="T803">
        <f>SUMIFS(数据!$D$3:$D$998,数据!$E$3:$E$998,"仔鱼",数据!$F$3:$F$998,A803,数据!$G$3:$G$998,B803)</f>
        <v>0</v>
      </c>
      <c r="U803">
        <f>SUMIFS(数据!$D$3:$D$998,数据!$E$3:$E$998,"稚鱼",数据!$F$3:$F$998,A803,数据!$G$3:$G$998,B803)</f>
        <v>0</v>
      </c>
    </row>
    <row r="804" spans="1:21" ht="19.9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45" t="str">
        <f t="shared" si="24"/>
        <v/>
      </c>
      <c r="M804" s="45" t="str">
        <f t="shared" si="25"/>
        <v/>
      </c>
      <c r="N804" s="39" t="str">
        <f>IF(AND(A804="",B804=""),"",COUNTIFS(数据!$E$3:$E$998,"&lt;&gt;前期仔鱼",数据!$E$3:$E$998,"&lt;&gt;仔鱼",数据!$E$3:$E$998,"&lt;&gt;稚鱼",数据!$F$3:$F$998,A804,数据!$G$3:$G$998,B804))</f>
        <v/>
      </c>
      <c r="O804" s="39" t="str">
        <f>IF(AND(A804="",B804=""),"",COUNTIFS(数据!$E$3:$E$998,"&lt;&gt;鱼卵",数据!$E$3:$E$998,"&lt;&gt;死卵",数据!$F$3:$F$998,A804,数据!$G$3:$G$998,B804))</f>
        <v/>
      </c>
      <c r="P804" s="31"/>
      <c r="Q804">
        <f>SUMIFS(数据!$D$3:$D$998,数据!$E$3:$E$998,"鱼卵",数据!$F$3:$F$998,A804,数据!$G$3:$G$998,B804)</f>
        <v>0</v>
      </c>
      <c r="R804">
        <f>SUMIFS(数据!$D$3:$D$998,数据!$E$3:$E$998,"死卵",数据!$F$3:$F$998,A804,数据!$G$3:$G$998,B804)</f>
        <v>0</v>
      </c>
      <c r="S804">
        <f>SUMIFS(数据!$D$3:$D$998,数据!$E$3:$E$998,"前期仔鱼",数据!$F$3:$F$998,A804,数据!$G$3:$G$998,B804)</f>
        <v>0</v>
      </c>
      <c r="T804">
        <f>SUMIFS(数据!$D$3:$D$998,数据!$E$3:$E$998,"仔鱼",数据!$F$3:$F$998,A804,数据!$G$3:$G$998,B804)</f>
        <v>0</v>
      </c>
      <c r="U804">
        <f>SUMIFS(数据!$D$3:$D$998,数据!$E$3:$E$998,"稚鱼",数据!$F$3:$F$998,A804,数据!$G$3:$G$998,B804)</f>
        <v>0</v>
      </c>
    </row>
    <row r="805" spans="1:21" ht="19.9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45" t="str">
        <f t="shared" si="24"/>
        <v/>
      </c>
      <c r="M805" s="45" t="str">
        <f t="shared" si="25"/>
        <v/>
      </c>
      <c r="N805" s="39" t="str">
        <f>IF(AND(A805="",B805=""),"",COUNTIFS(数据!$E$3:$E$998,"&lt;&gt;前期仔鱼",数据!$E$3:$E$998,"&lt;&gt;仔鱼",数据!$E$3:$E$998,"&lt;&gt;稚鱼",数据!$F$3:$F$998,A805,数据!$G$3:$G$998,B805))</f>
        <v/>
      </c>
      <c r="O805" s="39" t="str">
        <f>IF(AND(A805="",B805=""),"",COUNTIFS(数据!$E$3:$E$998,"&lt;&gt;鱼卵",数据!$E$3:$E$998,"&lt;&gt;死卵",数据!$F$3:$F$998,A805,数据!$G$3:$G$998,B805))</f>
        <v/>
      </c>
      <c r="P805" s="31"/>
      <c r="Q805">
        <f>SUMIFS(数据!$D$3:$D$998,数据!$E$3:$E$998,"鱼卵",数据!$F$3:$F$998,A805,数据!$G$3:$G$998,B805)</f>
        <v>0</v>
      </c>
      <c r="R805">
        <f>SUMIFS(数据!$D$3:$D$998,数据!$E$3:$E$998,"死卵",数据!$F$3:$F$998,A805,数据!$G$3:$G$998,B805)</f>
        <v>0</v>
      </c>
      <c r="S805">
        <f>SUMIFS(数据!$D$3:$D$998,数据!$E$3:$E$998,"前期仔鱼",数据!$F$3:$F$998,A805,数据!$G$3:$G$998,B805)</f>
        <v>0</v>
      </c>
      <c r="T805">
        <f>SUMIFS(数据!$D$3:$D$998,数据!$E$3:$E$998,"仔鱼",数据!$F$3:$F$998,A805,数据!$G$3:$G$998,B805)</f>
        <v>0</v>
      </c>
      <c r="U805">
        <f>SUMIFS(数据!$D$3:$D$998,数据!$E$3:$E$998,"稚鱼",数据!$F$3:$F$998,A805,数据!$G$3:$G$998,B805)</f>
        <v>0</v>
      </c>
    </row>
    <row r="806" spans="1:21" ht="19.9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45" t="str">
        <f t="shared" si="24"/>
        <v/>
      </c>
      <c r="M806" s="45" t="str">
        <f t="shared" si="25"/>
        <v/>
      </c>
      <c r="N806" s="39" t="str">
        <f>IF(AND(A806="",B806=""),"",COUNTIFS(数据!$E$3:$E$998,"&lt;&gt;前期仔鱼",数据!$E$3:$E$998,"&lt;&gt;仔鱼",数据!$E$3:$E$998,"&lt;&gt;稚鱼",数据!$F$3:$F$998,A806,数据!$G$3:$G$998,B806))</f>
        <v/>
      </c>
      <c r="O806" s="39" t="str">
        <f>IF(AND(A806="",B806=""),"",COUNTIFS(数据!$E$3:$E$998,"&lt;&gt;鱼卵",数据!$E$3:$E$998,"&lt;&gt;死卵",数据!$F$3:$F$998,A806,数据!$G$3:$G$998,B806))</f>
        <v/>
      </c>
      <c r="P806" s="31"/>
      <c r="Q806">
        <f>SUMIFS(数据!$D$3:$D$998,数据!$E$3:$E$998,"鱼卵",数据!$F$3:$F$998,A806,数据!$G$3:$G$998,B806)</f>
        <v>0</v>
      </c>
      <c r="R806">
        <f>SUMIFS(数据!$D$3:$D$998,数据!$E$3:$E$998,"死卵",数据!$F$3:$F$998,A806,数据!$G$3:$G$998,B806)</f>
        <v>0</v>
      </c>
      <c r="S806">
        <f>SUMIFS(数据!$D$3:$D$998,数据!$E$3:$E$998,"前期仔鱼",数据!$F$3:$F$998,A806,数据!$G$3:$G$998,B806)</f>
        <v>0</v>
      </c>
      <c r="T806">
        <f>SUMIFS(数据!$D$3:$D$998,数据!$E$3:$E$998,"仔鱼",数据!$F$3:$F$998,A806,数据!$G$3:$G$998,B806)</f>
        <v>0</v>
      </c>
      <c r="U806">
        <f>SUMIFS(数据!$D$3:$D$998,数据!$E$3:$E$998,"稚鱼",数据!$F$3:$F$998,A806,数据!$G$3:$G$998,B806)</f>
        <v>0</v>
      </c>
    </row>
    <row r="807" spans="1:21" ht="19.9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45" t="str">
        <f t="shared" si="24"/>
        <v/>
      </c>
      <c r="M807" s="45" t="str">
        <f t="shared" si="25"/>
        <v/>
      </c>
      <c r="N807" s="39" t="str">
        <f>IF(AND(A807="",B807=""),"",COUNTIFS(数据!$E$3:$E$998,"&lt;&gt;前期仔鱼",数据!$E$3:$E$998,"&lt;&gt;仔鱼",数据!$E$3:$E$998,"&lt;&gt;稚鱼",数据!$F$3:$F$998,A807,数据!$G$3:$G$998,B807))</f>
        <v/>
      </c>
      <c r="O807" s="39" t="str">
        <f>IF(AND(A807="",B807=""),"",COUNTIFS(数据!$E$3:$E$998,"&lt;&gt;鱼卵",数据!$E$3:$E$998,"&lt;&gt;死卵",数据!$F$3:$F$998,A807,数据!$G$3:$G$998,B807))</f>
        <v/>
      </c>
      <c r="P807" s="31"/>
      <c r="Q807">
        <f>SUMIFS(数据!$D$3:$D$998,数据!$E$3:$E$998,"鱼卵",数据!$F$3:$F$998,A807,数据!$G$3:$G$998,B807)</f>
        <v>0</v>
      </c>
      <c r="R807">
        <f>SUMIFS(数据!$D$3:$D$998,数据!$E$3:$E$998,"死卵",数据!$F$3:$F$998,A807,数据!$G$3:$G$998,B807)</f>
        <v>0</v>
      </c>
      <c r="S807">
        <f>SUMIFS(数据!$D$3:$D$998,数据!$E$3:$E$998,"前期仔鱼",数据!$F$3:$F$998,A807,数据!$G$3:$G$998,B807)</f>
        <v>0</v>
      </c>
      <c r="T807">
        <f>SUMIFS(数据!$D$3:$D$998,数据!$E$3:$E$998,"仔鱼",数据!$F$3:$F$998,A807,数据!$G$3:$G$998,B807)</f>
        <v>0</v>
      </c>
      <c r="U807">
        <f>SUMIFS(数据!$D$3:$D$998,数据!$E$3:$E$998,"稚鱼",数据!$F$3:$F$998,A807,数据!$G$3:$G$998,B807)</f>
        <v>0</v>
      </c>
    </row>
    <row r="808" spans="1:21" ht="19.9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45" t="str">
        <f t="shared" si="24"/>
        <v/>
      </c>
      <c r="M808" s="45" t="str">
        <f t="shared" si="25"/>
        <v/>
      </c>
      <c r="N808" s="39" t="str">
        <f>IF(AND(A808="",B808=""),"",COUNTIFS(数据!$E$3:$E$998,"&lt;&gt;前期仔鱼",数据!$E$3:$E$998,"&lt;&gt;仔鱼",数据!$E$3:$E$998,"&lt;&gt;稚鱼",数据!$F$3:$F$998,A808,数据!$G$3:$G$998,B808))</f>
        <v/>
      </c>
      <c r="O808" s="39" t="str">
        <f>IF(AND(A808="",B808=""),"",COUNTIFS(数据!$E$3:$E$998,"&lt;&gt;鱼卵",数据!$E$3:$E$998,"&lt;&gt;死卵",数据!$F$3:$F$998,A808,数据!$G$3:$G$998,B808))</f>
        <v/>
      </c>
      <c r="P808" s="31"/>
      <c r="Q808">
        <f>SUMIFS(数据!$D$3:$D$998,数据!$E$3:$E$998,"鱼卵",数据!$F$3:$F$998,A808,数据!$G$3:$G$998,B808)</f>
        <v>0</v>
      </c>
      <c r="R808">
        <f>SUMIFS(数据!$D$3:$D$998,数据!$E$3:$E$998,"死卵",数据!$F$3:$F$998,A808,数据!$G$3:$G$998,B808)</f>
        <v>0</v>
      </c>
      <c r="S808">
        <f>SUMIFS(数据!$D$3:$D$998,数据!$E$3:$E$998,"前期仔鱼",数据!$F$3:$F$998,A808,数据!$G$3:$G$998,B808)</f>
        <v>0</v>
      </c>
      <c r="T808">
        <f>SUMIFS(数据!$D$3:$D$998,数据!$E$3:$E$998,"仔鱼",数据!$F$3:$F$998,A808,数据!$G$3:$G$998,B808)</f>
        <v>0</v>
      </c>
      <c r="U808">
        <f>SUMIFS(数据!$D$3:$D$998,数据!$E$3:$E$998,"稚鱼",数据!$F$3:$F$998,A808,数据!$G$3:$G$998,B808)</f>
        <v>0</v>
      </c>
    </row>
    <row r="809" spans="1:21" ht="19.9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45" t="str">
        <f t="shared" si="24"/>
        <v/>
      </c>
      <c r="M809" s="45" t="str">
        <f t="shared" si="25"/>
        <v/>
      </c>
      <c r="N809" s="39" t="str">
        <f>IF(AND(A809="",B809=""),"",COUNTIFS(数据!$E$3:$E$998,"&lt;&gt;前期仔鱼",数据!$E$3:$E$998,"&lt;&gt;仔鱼",数据!$E$3:$E$998,"&lt;&gt;稚鱼",数据!$F$3:$F$998,A809,数据!$G$3:$G$998,B809))</f>
        <v/>
      </c>
      <c r="O809" s="39" t="str">
        <f>IF(AND(A809="",B809=""),"",COUNTIFS(数据!$E$3:$E$998,"&lt;&gt;鱼卵",数据!$E$3:$E$998,"&lt;&gt;死卵",数据!$F$3:$F$998,A809,数据!$G$3:$G$998,B809))</f>
        <v/>
      </c>
      <c r="P809" s="31"/>
      <c r="Q809">
        <f>SUMIFS(数据!$D$3:$D$998,数据!$E$3:$E$998,"鱼卵",数据!$F$3:$F$998,A809,数据!$G$3:$G$998,B809)</f>
        <v>0</v>
      </c>
      <c r="R809">
        <f>SUMIFS(数据!$D$3:$D$998,数据!$E$3:$E$998,"死卵",数据!$F$3:$F$998,A809,数据!$G$3:$G$998,B809)</f>
        <v>0</v>
      </c>
      <c r="S809">
        <f>SUMIFS(数据!$D$3:$D$998,数据!$E$3:$E$998,"前期仔鱼",数据!$F$3:$F$998,A809,数据!$G$3:$G$998,B809)</f>
        <v>0</v>
      </c>
      <c r="T809">
        <f>SUMIFS(数据!$D$3:$D$998,数据!$E$3:$E$998,"仔鱼",数据!$F$3:$F$998,A809,数据!$G$3:$G$998,B809)</f>
        <v>0</v>
      </c>
      <c r="U809">
        <f>SUMIFS(数据!$D$3:$D$998,数据!$E$3:$E$998,"稚鱼",数据!$F$3:$F$998,A809,数据!$G$3:$G$998,B809)</f>
        <v>0</v>
      </c>
    </row>
    <row r="810" spans="1:21" ht="19.9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45" t="str">
        <f t="shared" si="24"/>
        <v/>
      </c>
      <c r="M810" s="45" t="str">
        <f t="shared" si="25"/>
        <v/>
      </c>
      <c r="N810" s="39" t="str">
        <f>IF(AND(A810="",B810=""),"",COUNTIFS(数据!$E$3:$E$998,"&lt;&gt;前期仔鱼",数据!$E$3:$E$998,"&lt;&gt;仔鱼",数据!$E$3:$E$998,"&lt;&gt;稚鱼",数据!$F$3:$F$998,A810,数据!$G$3:$G$998,B810))</f>
        <v/>
      </c>
      <c r="O810" s="39" t="str">
        <f>IF(AND(A810="",B810=""),"",COUNTIFS(数据!$E$3:$E$998,"&lt;&gt;鱼卵",数据!$E$3:$E$998,"&lt;&gt;死卵",数据!$F$3:$F$998,A810,数据!$G$3:$G$998,B810))</f>
        <v/>
      </c>
      <c r="P810" s="31"/>
      <c r="Q810">
        <f>SUMIFS(数据!$D$3:$D$998,数据!$E$3:$E$998,"鱼卵",数据!$F$3:$F$998,A810,数据!$G$3:$G$998,B810)</f>
        <v>0</v>
      </c>
      <c r="R810">
        <f>SUMIFS(数据!$D$3:$D$998,数据!$E$3:$E$998,"死卵",数据!$F$3:$F$998,A810,数据!$G$3:$G$998,B810)</f>
        <v>0</v>
      </c>
      <c r="S810">
        <f>SUMIFS(数据!$D$3:$D$998,数据!$E$3:$E$998,"前期仔鱼",数据!$F$3:$F$998,A810,数据!$G$3:$G$998,B810)</f>
        <v>0</v>
      </c>
      <c r="T810">
        <f>SUMIFS(数据!$D$3:$D$998,数据!$E$3:$E$998,"仔鱼",数据!$F$3:$F$998,A810,数据!$G$3:$G$998,B810)</f>
        <v>0</v>
      </c>
      <c r="U810">
        <f>SUMIFS(数据!$D$3:$D$998,数据!$E$3:$E$998,"稚鱼",数据!$F$3:$F$998,A810,数据!$G$3:$G$998,B810)</f>
        <v>0</v>
      </c>
    </row>
    <row r="811" spans="1:21" ht="19.9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45" t="str">
        <f t="shared" si="24"/>
        <v/>
      </c>
      <c r="M811" s="45" t="str">
        <f t="shared" si="25"/>
        <v/>
      </c>
      <c r="N811" s="39" t="str">
        <f>IF(AND(A811="",B811=""),"",COUNTIFS(数据!$E$3:$E$998,"&lt;&gt;前期仔鱼",数据!$E$3:$E$998,"&lt;&gt;仔鱼",数据!$E$3:$E$998,"&lt;&gt;稚鱼",数据!$F$3:$F$998,A811,数据!$G$3:$G$998,B811))</f>
        <v/>
      </c>
      <c r="O811" s="39" t="str">
        <f>IF(AND(A811="",B811=""),"",COUNTIFS(数据!$E$3:$E$998,"&lt;&gt;鱼卵",数据!$E$3:$E$998,"&lt;&gt;死卵",数据!$F$3:$F$998,A811,数据!$G$3:$G$998,B811))</f>
        <v/>
      </c>
      <c r="P811" s="31"/>
      <c r="Q811">
        <f>SUMIFS(数据!$D$3:$D$998,数据!$E$3:$E$998,"鱼卵",数据!$F$3:$F$998,A811,数据!$G$3:$G$998,B811)</f>
        <v>0</v>
      </c>
      <c r="R811">
        <f>SUMIFS(数据!$D$3:$D$998,数据!$E$3:$E$998,"死卵",数据!$F$3:$F$998,A811,数据!$G$3:$G$998,B811)</f>
        <v>0</v>
      </c>
      <c r="S811">
        <f>SUMIFS(数据!$D$3:$D$998,数据!$E$3:$E$998,"前期仔鱼",数据!$F$3:$F$998,A811,数据!$G$3:$G$998,B811)</f>
        <v>0</v>
      </c>
      <c r="T811">
        <f>SUMIFS(数据!$D$3:$D$998,数据!$E$3:$E$998,"仔鱼",数据!$F$3:$F$998,A811,数据!$G$3:$G$998,B811)</f>
        <v>0</v>
      </c>
      <c r="U811">
        <f>SUMIFS(数据!$D$3:$D$998,数据!$E$3:$E$998,"稚鱼",数据!$F$3:$F$998,A811,数据!$G$3:$G$998,B811)</f>
        <v>0</v>
      </c>
    </row>
    <row r="812" spans="1:21" ht="19.9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45" t="str">
        <f t="shared" si="24"/>
        <v/>
      </c>
      <c r="M812" s="45" t="str">
        <f t="shared" si="25"/>
        <v/>
      </c>
      <c r="N812" s="39" t="str">
        <f>IF(AND(A812="",B812=""),"",COUNTIFS(数据!$E$3:$E$998,"&lt;&gt;前期仔鱼",数据!$E$3:$E$998,"&lt;&gt;仔鱼",数据!$E$3:$E$998,"&lt;&gt;稚鱼",数据!$F$3:$F$998,A812,数据!$G$3:$G$998,B812))</f>
        <v/>
      </c>
      <c r="O812" s="39" t="str">
        <f>IF(AND(A812="",B812=""),"",COUNTIFS(数据!$E$3:$E$998,"&lt;&gt;鱼卵",数据!$E$3:$E$998,"&lt;&gt;死卵",数据!$F$3:$F$998,A812,数据!$G$3:$G$998,B812))</f>
        <v/>
      </c>
      <c r="P812" s="31"/>
      <c r="Q812">
        <f>SUMIFS(数据!$D$3:$D$998,数据!$E$3:$E$998,"鱼卵",数据!$F$3:$F$998,A812,数据!$G$3:$G$998,B812)</f>
        <v>0</v>
      </c>
      <c r="R812">
        <f>SUMIFS(数据!$D$3:$D$998,数据!$E$3:$E$998,"死卵",数据!$F$3:$F$998,A812,数据!$G$3:$G$998,B812)</f>
        <v>0</v>
      </c>
      <c r="S812">
        <f>SUMIFS(数据!$D$3:$D$998,数据!$E$3:$E$998,"前期仔鱼",数据!$F$3:$F$998,A812,数据!$G$3:$G$998,B812)</f>
        <v>0</v>
      </c>
      <c r="T812">
        <f>SUMIFS(数据!$D$3:$D$998,数据!$E$3:$E$998,"仔鱼",数据!$F$3:$F$998,A812,数据!$G$3:$G$998,B812)</f>
        <v>0</v>
      </c>
      <c r="U812">
        <f>SUMIFS(数据!$D$3:$D$998,数据!$E$3:$E$998,"稚鱼",数据!$F$3:$F$998,A812,数据!$G$3:$G$998,B812)</f>
        <v>0</v>
      </c>
    </row>
    <row r="813" spans="1:21" ht="19.9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45" t="str">
        <f t="shared" si="24"/>
        <v/>
      </c>
      <c r="M813" s="45" t="str">
        <f t="shared" si="25"/>
        <v/>
      </c>
      <c r="N813" s="39" t="str">
        <f>IF(AND(A813="",B813=""),"",COUNTIFS(数据!$E$3:$E$998,"&lt;&gt;前期仔鱼",数据!$E$3:$E$998,"&lt;&gt;仔鱼",数据!$E$3:$E$998,"&lt;&gt;稚鱼",数据!$F$3:$F$998,A813,数据!$G$3:$G$998,B813))</f>
        <v/>
      </c>
      <c r="O813" s="39" t="str">
        <f>IF(AND(A813="",B813=""),"",COUNTIFS(数据!$E$3:$E$998,"&lt;&gt;鱼卵",数据!$E$3:$E$998,"&lt;&gt;死卵",数据!$F$3:$F$998,A813,数据!$G$3:$G$998,B813))</f>
        <v/>
      </c>
      <c r="P813" s="31"/>
      <c r="Q813">
        <f>SUMIFS(数据!$D$3:$D$998,数据!$E$3:$E$998,"鱼卵",数据!$F$3:$F$998,A813,数据!$G$3:$G$998,B813)</f>
        <v>0</v>
      </c>
      <c r="R813">
        <f>SUMIFS(数据!$D$3:$D$998,数据!$E$3:$E$998,"死卵",数据!$F$3:$F$998,A813,数据!$G$3:$G$998,B813)</f>
        <v>0</v>
      </c>
      <c r="S813">
        <f>SUMIFS(数据!$D$3:$D$998,数据!$E$3:$E$998,"前期仔鱼",数据!$F$3:$F$998,A813,数据!$G$3:$G$998,B813)</f>
        <v>0</v>
      </c>
      <c r="T813">
        <f>SUMIFS(数据!$D$3:$D$998,数据!$E$3:$E$998,"仔鱼",数据!$F$3:$F$998,A813,数据!$G$3:$G$998,B813)</f>
        <v>0</v>
      </c>
      <c r="U813">
        <f>SUMIFS(数据!$D$3:$D$998,数据!$E$3:$E$998,"稚鱼",数据!$F$3:$F$998,A813,数据!$G$3:$G$998,B813)</f>
        <v>0</v>
      </c>
    </row>
    <row r="814" spans="1:21" ht="19.9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45" t="str">
        <f t="shared" si="24"/>
        <v/>
      </c>
      <c r="M814" s="45" t="str">
        <f t="shared" si="25"/>
        <v/>
      </c>
      <c r="N814" s="39" t="str">
        <f>IF(AND(A814="",B814=""),"",COUNTIFS(数据!$E$3:$E$998,"&lt;&gt;前期仔鱼",数据!$E$3:$E$998,"&lt;&gt;仔鱼",数据!$E$3:$E$998,"&lt;&gt;稚鱼",数据!$F$3:$F$998,A814,数据!$G$3:$G$998,B814))</f>
        <v/>
      </c>
      <c r="O814" s="39" t="str">
        <f>IF(AND(A814="",B814=""),"",COUNTIFS(数据!$E$3:$E$998,"&lt;&gt;鱼卵",数据!$E$3:$E$998,"&lt;&gt;死卵",数据!$F$3:$F$998,A814,数据!$G$3:$G$998,B814))</f>
        <v/>
      </c>
      <c r="P814" s="31"/>
      <c r="Q814">
        <f>SUMIFS(数据!$D$3:$D$998,数据!$E$3:$E$998,"鱼卵",数据!$F$3:$F$998,A814,数据!$G$3:$G$998,B814)</f>
        <v>0</v>
      </c>
      <c r="R814">
        <f>SUMIFS(数据!$D$3:$D$998,数据!$E$3:$E$998,"死卵",数据!$F$3:$F$998,A814,数据!$G$3:$G$998,B814)</f>
        <v>0</v>
      </c>
      <c r="S814">
        <f>SUMIFS(数据!$D$3:$D$998,数据!$E$3:$E$998,"前期仔鱼",数据!$F$3:$F$998,A814,数据!$G$3:$G$998,B814)</f>
        <v>0</v>
      </c>
      <c r="T814">
        <f>SUMIFS(数据!$D$3:$D$998,数据!$E$3:$E$998,"仔鱼",数据!$F$3:$F$998,A814,数据!$G$3:$G$998,B814)</f>
        <v>0</v>
      </c>
      <c r="U814">
        <f>SUMIFS(数据!$D$3:$D$998,数据!$E$3:$E$998,"稚鱼",数据!$F$3:$F$998,A814,数据!$G$3:$G$998,B814)</f>
        <v>0</v>
      </c>
    </row>
    <row r="815" spans="1:21" ht="19.9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45" t="str">
        <f t="shared" si="24"/>
        <v/>
      </c>
      <c r="M815" s="45" t="str">
        <f t="shared" si="25"/>
        <v/>
      </c>
      <c r="N815" s="39" t="str">
        <f>IF(AND(A815="",B815=""),"",COUNTIFS(数据!$E$3:$E$998,"&lt;&gt;前期仔鱼",数据!$E$3:$E$998,"&lt;&gt;仔鱼",数据!$E$3:$E$998,"&lt;&gt;稚鱼",数据!$F$3:$F$998,A815,数据!$G$3:$G$998,B815))</f>
        <v/>
      </c>
      <c r="O815" s="39" t="str">
        <f>IF(AND(A815="",B815=""),"",COUNTIFS(数据!$E$3:$E$998,"&lt;&gt;鱼卵",数据!$E$3:$E$998,"&lt;&gt;死卵",数据!$F$3:$F$998,A815,数据!$G$3:$G$998,B815))</f>
        <v/>
      </c>
      <c r="P815" s="31"/>
      <c r="Q815">
        <f>SUMIFS(数据!$D$3:$D$998,数据!$E$3:$E$998,"鱼卵",数据!$F$3:$F$998,A815,数据!$G$3:$G$998,B815)</f>
        <v>0</v>
      </c>
      <c r="R815">
        <f>SUMIFS(数据!$D$3:$D$998,数据!$E$3:$E$998,"死卵",数据!$F$3:$F$998,A815,数据!$G$3:$G$998,B815)</f>
        <v>0</v>
      </c>
      <c r="S815">
        <f>SUMIFS(数据!$D$3:$D$998,数据!$E$3:$E$998,"前期仔鱼",数据!$F$3:$F$998,A815,数据!$G$3:$G$998,B815)</f>
        <v>0</v>
      </c>
      <c r="T815">
        <f>SUMIFS(数据!$D$3:$D$998,数据!$E$3:$E$998,"仔鱼",数据!$F$3:$F$998,A815,数据!$G$3:$G$998,B815)</f>
        <v>0</v>
      </c>
      <c r="U815">
        <f>SUMIFS(数据!$D$3:$D$998,数据!$E$3:$E$998,"稚鱼",数据!$F$3:$F$998,A815,数据!$G$3:$G$998,B815)</f>
        <v>0</v>
      </c>
    </row>
    <row r="816" spans="1:21" ht="19.9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45" t="str">
        <f t="shared" si="24"/>
        <v/>
      </c>
      <c r="M816" s="45" t="str">
        <f t="shared" si="25"/>
        <v/>
      </c>
      <c r="N816" s="39" t="str">
        <f>IF(AND(A816="",B816=""),"",COUNTIFS(数据!$E$3:$E$998,"&lt;&gt;前期仔鱼",数据!$E$3:$E$998,"&lt;&gt;仔鱼",数据!$E$3:$E$998,"&lt;&gt;稚鱼",数据!$F$3:$F$998,A816,数据!$G$3:$G$998,B816))</f>
        <v/>
      </c>
      <c r="O816" s="39" t="str">
        <f>IF(AND(A816="",B816=""),"",COUNTIFS(数据!$E$3:$E$998,"&lt;&gt;鱼卵",数据!$E$3:$E$998,"&lt;&gt;死卵",数据!$F$3:$F$998,A816,数据!$G$3:$G$998,B816))</f>
        <v/>
      </c>
      <c r="P816" s="31"/>
      <c r="Q816">
        <f>SUMIFS(数据!$D$3:$D$998,数据!$E$3:$E$998,"鱼卵",数据!$F$3:$F$998,A816,数据!$G$3:$G$998,B816)</f>
        <v>0</v>
      </c>
      <c r="R816">
        <f>SUMIFS(数据!$D$3:$D$998,数据!$E$3:$E$998,"死卵",数据!$F$3:$F$998,A816,数据!$G$3:$G$998,B816)</f>
        <v>0</v>
      </c>
      <c r="S816">
        <f>SUMIFS(数据!$D$3:$D$998,数据!$E$3:$E$998,"前期仔鱼",数据!$F$3:$F$998,A816,数据!$G$3:$G$998,B816)</f>
        <v>0</v>
      </c>
      <c r="T816">
        <f>SUMIFS(数据!$D$3:$D$998,数据!$E$3:$E$998,"仔鱼",数据!$F$3:$F$998,A816,数据!$G$3:$G$998,B816)</f>
        <v>0</v>
      </c>
      <c r="U816">
        <f>SUMIFS(数据!$D$3:$D$998,数据!$E$3:$E$998,"稚鱼",数据!$F$3:$F$998,A816,数据!$G$3:$G$998,B816)</f>
        <v>0</v>
      </c>
    </row>
    <row r="817" spans="1:21" ht="19.9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45" t="str">
        <f t="shared" si="24"/>
        <v/>
      </c>
      <c r="M817" s="45" t="str">
        <f t="shared" si="25"/>
        <v/>
      </c>
      <c r="N817" s="39" t="str">
        <f>IF(AND(A817="",B817=""),"",COUNTIFS(数据!$E$3:$E$998,"&lt;&gt;前期仔鱼",数据!$E$3:$E$998,"&lt;&gt;仔鱼",数据!$E$3:$E$998,"&lt;&gt;稚鱼",数据!$F$3:$F$998,A817,数据!$G$3:$G$998,B817))</f>
        <v/>
      </c>
      <c r="O817" s="39" t="str">
        <f>IF(AND(A817="",B817=""),"",COUNTIFS(数据!$E$3:$E$998,"&lt;&gt;鱼卵",数据!$E$3:$E$998,"&lt;&gt;死卵",数据!$F$3:$F$998,A817,数据!$G$3:$G$998,B817))</f>
        <v/>
      </c>
      <c r="P817" s="31"/>
      <c r="Q817">
        <f>SUMIFS(数据!$D$3:$D$998,数据!$E$3:$E$998,"鱼卵",数据!$F$3:$F$998,A817,数据!$G$3:$G$998,B817)</f>
        <v>0</v>
      </c>
      <c r="R817">
        <f>SUMIFS(数据!$D$3:$D$998,数据!$E$3:$E$998,"死卵",数据!$F$3:$F$998,A817,数据!$G$3:$G$998,B817)</f>
        <v>0</v>
      </c>
      <c r="S817">
        <f>SUMIFS(数据!$D$3:$D$998,数据!$E$3:$E$998,"前期仔鱼",数据!$F$3:$F$998,A817,数据!$G$3:$G$998,B817)</f>
        <v>0</v>
      </c>
      <c r="T817">
        <f>SUMIFS(数据!$D$3:$D$998,数据!$E$3:$E$998,"仔鱼",数据!$F$3:$F$998,A817,数据!$G$3:$G$998,B817)</f>
        <v>0</v>
      </c>
      <c r="U817">
        <f>SUMIFS(数据!$D$3:$D$998,数据!$E$3:$E$998,"稚鱼",数据!$F$3:$F$998,A817,数据!$G$3:$G$998,B817)</f>
        <v>0</v>
      </c>
    </row>
    <row r="818" spans="1:21" ht="19.9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45" t="str">
        <f t="shared" si="24"/>
        <v/>
      </c>
      <c r="M818" s="45" t="str">
        <f t="shared" si="25"/>
        <v/>
      </c>
      <c r="N818" s="39" t="str">
        <f>IF(AND(A818="",B818=""),"",COUNTIFS(数据!$E$3:$E$998,"&lt;&gt;前期仔鱼",数据!$E$3:$E$998,"&lt;&gt;仔鱼",数据!$E$3:$E$998,"&lt;&gt;稚鱼",数据!$F$3:$F$998,A818,数据!$G$3:$G$998,B818))</f>
        <v/>
      </c>
      <c r="O818" s="39" t="str">
        <f>IF(AND(A818="",B818=""),"",COUNTIFS(数据!$E$3:$E$998,"&lt;&gt;鱼卵",数据!$E$3:$E$998,"&lt;&gt;死卵",数据!$F$3:$F$998,A818,数据!$G$3:$G$998,B818))</f>
        <v/>
      </c>
      <c r="P818" s="31"/>
      <c r="Q818">
        <f>SUMIFS(数据!$D$3:$D$998,数据!$E$3:$E$998,"鱼卵",数据!$F$3:$F$998,A818,数据!$G$3:$G$998,B818)</f>
        <v>0</v>
      </c>
      <c r="R818">
        <f>SUMIFS(数据!$D$3:$D$998,数据!$E$3:$E$998,"死卵",数据!$F$3:$F$998,A818,数据!$G$3:$G$998,B818)</f>
        <v>0</v>
      </c>
      <c r="S818">
        <f>SUMIFS(数据!$D$3:$D$998,数据!$E$3:$E$998,"前期仔鱼",数据!$F$3:$F$998,A818,数据!$G$3:$G$998,B818)</f>
        <v>0</v>
      </c>
      <c r="T818">
        <f>SUMIFS(数据!$D$3:$D$998,数据!$E$3:$E$998,"仔鱼",数据!$F$3:$F$998,A818,数据!$G$3:$G$998,B818)</f>
        <v>0</v>
      </c>
      <c r="U818">
        <f>SUMIFS(数据!$D$3:$D$998,数据!$E$3:$E$998,"稚鱼",数据!$F$3:$F$998,A818,数据!$G$3:$G$998,B818)</f>
        <v>0</v>
      </c>
    </row>
    <row r="819" spans="1:21" ht="19.9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45" t="str">
        <f t="shared" si="24"/>
        <v/>
      </c>
      <c r="M819" s="45" t="str">
        <f t="shared" si="25"/>
        <v/>
      </c>
      <c r="N819" s="39" t="str">
        <f>IF(AND(A819="",B819=""),"",COUNTIFS(数据!$E$3:$E$998,"&lt;&gt;前期仔鱼",数据!$E$3:$E$998,"&lt;&gt;仔鱼",数据!$E$3:$E$998,"&lt;&gt;稚鱼",数据!$F$3:$F$998,A819,数据!$G$3:$G$998,B819))</f>
        <v/>
      </c>
      <c r="O819" s="39" t="str">
        <f>IF(AND(A819="",B819=""),"",COUNTIFS(数据!$E$3:$E$998,"&lt;&gt;鱼卵",数据!$E$3:$E$998,"&lt;&gt;死卵",数据!$F$3:$F$998,A819,数据!$G$3:$G$998,B819))</f>
        <v/>
      </c>
      <c r="P819" s="31"/>
      <c r="Q819">
        <f>SUMIFS(数据!$D$3:$D$998,数据!$E$3:$E$998,"鱼卵",数据!$F$3:$F$998,A819,数据!$G$3:$G$998,B819)</f>
        <v>0</v>
      </c>
      <c r="R819">
        <f>SUMIFS(数据!$D$3:$D$998,数据!$E$3:$E$998,"死卵",数据!$F$3:$F$998,A819,数据!$G$3:$G$998,B819)</f>
        <v>0</v>
      </c>
      <c r="S819">
        <f>SUMIFS(数据!$D$3:$D$998,数据!$E$3:$E$998,"前期仔鱼",数据!$F$3:$F$998,A819,数据!$G$3:$G$998,B819)</f>
        <v>0</v>
      </c>
      <c r="T819">
        <f>SUMIFS(数据!$D$3:$D$998,数据!$E$3:$E$998,"仔鱼",数据!$F$3:$F$998,A819,数据!$G$3:$G$998,B819)</f>
        <v>0</v>
      </c>
      <c r="U819">
        <f>SUMIFS(数据!$D$3:$D$998,数据!$E$3:$E$998,"稚鱼",数据!$F$3:$F$998,A819,数据!$G$3:$G$998,B819)</f>
        <v>0</v>
      </c>
    </row>
    <row r="820" spans="1:21" ht="19.9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45" t="str">
        <f t="shared" si="24"/>
        <v/>
      </c>
      <c r="M820" s="45" t="str">
        <f t="shared" si="25"/>
        <v/>
      </c>
      <c r="N820" s="39" t="str">
        <f>IF(AND(A820="",B820=""),"",COUNTIFS(数据!$E$3:$E$998,"&lt;&gt;前期仔鱼",数据!$E$3:$E$998,"&lt;&gt;仔鱼",数据!$E$3:$E$998,"&lt;&gt;稚鱼",数据!$F$3:$F$998,A820,数据!$G$3:$G$998,B820))</f>
        <v/>
      </c>
      <c r="O820" s="39" t="str">
        <f>IF(AND(A820="",B820=""),"",COUNTIFS(数据!$E$3:$E$998,"&lt;&gt;鱼卵",数据!$E$3:$E$998,"&lt;&gt;死卵",数据!$F$3:$F$998,A820,数据!$G$3:$G$998,B820))</f>
        <v/>
      </c>
      <c r="P820" s="31"/>
      <c r="Q820">
        <f>SUMIFS(数据!$D$3:$D$998,数据!$E$3:$E$998,"鱼卵",数据!$F$3:$F$998,A820,数据!$G$3:$G$998,B820)</f>
        <v>0</v>
      </c>
      <c r="R820">
        <f>SUMIFS(数据!$D$3:$D$998,数据!$E$3:$E$998,"死卵",数据!$F$3:$F$998,A820,数据!$G$3:$G$998,B820)</f>
        <v>0</v>
      </c>
      <c r="S820">
        <f>SUMIFS(数据!$D$3:$D$998,数据!$E$3:$E$998,"前期仔鱼",数据!$F$3:$F$998,A820,数据!$G$3:$G$998,B820)</f>
        <v>0</v>
      </c>
      <c r="T820">
        <f>SUMIFS(数据!$D$3:$D$998,数据!$E$3:$E$998,"仔鱼",数据!$F$3:$F$998,A820,数据!$G$3:$G$998,B820)</f>
        <v>0</v>
      </c>
      <c r="U820">
        <f>SUMIFS(数据!$D$3:$D$998,数据!$E$3:$E$998,"稚鱼",数据!$F$3:$F$998,A820,数据!$G$3:$G$998,B820)</f>
        <v>0</v>
      </c>
    </row>
    <row r="821" spans="1:21" ht="19.9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45" t="str">
        <f t="shared" si="24"/>
        <v/>
      </c>
      <c r="M821" s="45" t="str">
        <f t="shared" si="25"/>
        <v/>
      </c>
      <c r="N821" s="39" t="str">
        <f>IF(AND(A821="",B821=""),"",COUNTIFS(数据!$E$3:$E$998,"&lt;&gt;前期仔鱼",数据!$E$3:$E$998,"&lt;&gt;仔鱼",数据!$E$3:$E$998,"&lt;&gt;稚鱼",数据!$F$3:$F$998,A821,数据!$G$3:$G$998,B821))</f>
        <v/>
      </c>
      <c r="O821" s="39" t="str">
        <f>IF(AND(A821="",B821=""),"",COUNTIFS(数据!$E$3:$E$998,"&lt;&gt;鱼卵",数据!$E$3:$E$998,"&lt;&gt;死卵",数据!$F$3:$F$998,A821,数据!$G$3:$G$998,B821))</f>
        <v/>
      </c>
      <c r="P821" s="31"/>
      <c r="Q821">
        <f>SUMIFS(数据!$D$3:$D$998,数据!$E$3:$E$998,"鱼卵",数据!$F$3:$F$998,A821,数据!$G$3:$G$998,B821)</f>
        <v>0</v>
      </c>
      <c r="R821">
        <f>SUMIFS(数据!$D$3:$D$998,数据!$E$3:$E$998,"死卵",数据!$F$3:$F$998,A821,数据!$G$3:$G$998,B821)</f>
        <v>0</v>
      </c>
      <c r="S821">
        <f>SUMIFS(数据!$D$3:$D$998,数据!$E$3:$E$998,"前期仔鱼",数据!$F$3:$F$998,A821,数据!$G$3:$G$998,B821)</f>
        <v>0</v>
      </c>
      <c r="T821">
        <f>SUMIFS(数据!$D$3:$D$998,数据!$E$3:$E$998,"仔鱼",数据!$F$3:$F$998,A821,数据!$G$3:$G$998,B821)</f>
        <v>0</v>
      </c>
      <c r="U821">
        <f>SUMIFS(数据!$D$3:$D$998,数据!$E$3:$E$998,"稚鱼",数据!$F$3:$F$998,A821,数据!$G$3:$G$998,B821)</f>
        <v>0</v>
      </c>
    </row>
    <row r="822" spans="1:21" ht="19.9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45" t="str">
        <f t="shared" si="24"/>
        <v/>
      </c>
      <c r="M822" s="45" t="str">
        <f t="shared" si="25"/>
        <v/>
      </c>
      <c r="N822" s="39" t="str">
        <f>IF(AND(A822="",B822=""),"",COUNTIFS(数据!$E$3:$E$998,"&lt;&gt;前期仔鱼",数据!$E$3:$E$998,"&lt;&gt;仔鱼",数据!$E$3:$E$998,"&lt;&gt;稚鱼",数据!$F$3:$F$998,A822,数据!$G$3:$G$998,B822))</f>
        <v/>
      </c>
      <c r="O822" s="39" t="str">
        <f>IF(AND(A822="",B822=""),"",COUNTIFS(数据!$E$3:$E$998,"&lt;&gt;鱼卵",数据!$E$3:$E$998,"&lt;&gt;死卵",数据!$F$3:$F$998,A822,数据!$G$3:$G$998,B822))</f>
        <v/>
      </c>
      <c r="P822" s="31"/>
      <c r="Q822">
        <f>SUMIFS(数据!$D$3:$D$998,数据!$E$3:$E$998,"鱼卵",数据!$F$3:$F$998,A822,数据!$G$3:$G$998,B822)</f>
        <v>0</v>
      </c>
      <c r="R822">
        <f>SUMIFS(数据!$D$3:$D$998,数据!$E$3:$E$998,"死卵",数据!$F$3:$F$998,A822,数据!$G$3:$G$998,B822)</f>
        <v>0</v>
      </c>
      <c r="S822">
        <f>SUMIFS(数据!$D$3:$D$998,数据!$E$3:$E$998,"前期仔鱼",数据!$F$3:$F$998,A822,数据!$G$3:$G$998,B822)</f>
        <v>0</v>
      </c>
      <c r="T822">
        <f>SUMIFS(数据!$D$3:$D$998,数据!$E$3:$E$998,"仔鱼",数据!$F$3:$F$998,A822,数据!$G$3:$G$998,B822)</f>
        <v>0</v>
      </c>
      <c r="U822">
        <f>SUMIFS(数据!$D$3:$D$998,数据!$E$3:$E$998,"稚鱼",数据!$F$3:$F$998,A822,数据!$G$3:$G$998,B822)</f>
        <v>0</v>
      </c>
    </row>
    <row r="823" spans="1:21" ht="19.9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45" t="str">
        <f t="shared" si="24"/>
        <v/>
      </c>
      <c r="M823" s="45" t="str">
        <f t="shared" si="25"/>
        <v/>
      </c>
      <c r="N823" s="39" t="str">
        <f>IF(AND(A823="",B823=""),"",COUNTIFS(数据!$E$3:$E$998,"&lt;&gt;前期仔鱼",数据!$E$3:$E$998,"&lt;&gt;仔鱼",数据!$E$3:$E$998,"&lt;&gt;稚鱼",数据!$F$3:$F$998,A823,数据!$G$3:$G$998,B823))</f>
        <v/>
      </c>
      <c r="O823" s="39" t="str">
        <f>IF(AND(A823="",B823=""),"",COUNTIFS(数据!$E$3:$E$998,"&lt;&gt;鱼卵",数据!$E$3:$E$998,"&lt;&gt;死卵",数据!$F$3:$F$998,A823,数据!$G$3:$G$998,B823))</f>
        <v/>
      </c>
      <c r="P823" s="31"/>
      <c r="Q823">
        <f>SUMIFS(数据!$D$3:$D$998,数据!$E$3:$E$998,"鱼卵",数据!$F$3:$F$998,A823,数据!$G$3:$G$998,B823)</f>
        <v>0</v>
      </c>
      <c r="R823">
        <f>SUMIFS(数据!$D$3:$D$998,数据!$E$3:$E$998,"死卵",数据!$F$3:$F$998,A823,数据!$G$3:$G$998,B823)</f>
        <v>0</v>
      </c>
      <c r="S823">
        <f>SUMIFS(数据!$D$3:$D$998,数据!$E$3:$E$998,"前期仔鱼",数据!$F$3:$F$998,A823,数据!$G$3:$G$998,B823)</f>
        <v>0</v>
      </c>
      <c r="T823">
        <f>SUMIFS(数据!$D$3:$D$998,数据!$E$3:$E$998,"仔鱼",数据!$F$3:$F$998,A823,数据!$G$3:$G$998,B823)</f>
        <v>0</v>
      </c>
      <c r="U823">
        <f>SUMIFS(数据!$D$3:$D$998,数据!$E$3:$E$998,"稚鱼",数据!$F$3:$F$998,A823,数据!$G$3:$G$998,B823)</f>
        <v>0</v>
      </c>
    </row>
    <row r="824" spans="1:21" ht="19.9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45" t="str">
        <f t="shared" si="24"/>
        <v/>
      </c>
      <c r="M824" s="45" t="str">
        <f t="shared" si="25"/>
        <v/>
      </c>
      <c r="N824" s="39" t="str">
        <f>IF(AND(A824="",B824=""),"",COUNTIFS(数据!$E$3:$E$998,"&lt;&gt;前期仔鱼",数据!$E$3:$E$998,"&lt;&gt;仔鱼",数据!$E$3:$E$998,"&lt;&gt;稚鱼",数据!$F$3:$F$998,A824,数据!$G$3:$G$998,B824))</f>
        <v/>
      </c>
      <c r="O824" s="39" t="str">
        <f>IF(AND(A824="",B824=""),"",COUNTIFS(数据!$E$3:$E$998,"&lt;&gt;鱼卵",数据!$E$3:$E$998,"&lt;&gt;死卵",数据!$F$3:$F$998,A824,数据!$G$3:$G$998,B824))</f>
        <v/>
      </c>
      <c r="P824" s="31"/>
      <c r="Q824">
        <f>SUMIFS(数据!$D$3:$D$998,数据!$E$3:$E$998,"鱼卵",数据!$F$3:$F$998,A824,数据!$G$3:$G$998,B824)</f>
        <v>0</v>
      </c>
      <c r="R824">
        <f>SUMIFS(数据!$D$3:$D$998,数据!$E$3:$E$998,"死卵",数据!$F$3:$F$998,A824,数据!$G$3:$G$998,B824)</f>
        <v>0</v>
      </c>
      <c r="S824">
        <f>SUMIFS(数据!$D$3:$D$998,数据!$E$3:$E$998,"前期仔鱼",数据!$F$3:$F$998,A824,数据!$G$3:$G$998,B824)</f>
        <v>0</v>
      </c>
      <c r="T824">
        <f>SUMIFS(数据!$D$3:$D$998,数据!$E$3:$E$998,"仔鱼",数据!$F$3:$F$998,A824,数据!$G$3:$G$998,B824)</f>
        <v>0</v>
      </c>
      <c r="U824">
        <f>SUMIFS(数据!$D$3:$D$998,数据!$E$3:$E$998,"稚鱼",数据!$F$3:$F$998,A824,数据!$G$3:$G$998,B824)</f>
        <v>0</v>
      </c>
    </row>
    <row r="825" spans="1:21" ht="19.9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45" t="str">
        <f t="shared" si="24"/>
        <v/>
      </c>
      <c r="M825" s="45" t="str">
        <f t="shared" si="25"/>
        <v/>
      </c>
      <c r="N825" s="39" t="str">
        <f>IF(AND(A825="",B825=""),"",COUNTIFS(数据!$E$3:$E$998,"&lt;&gt;前期仔鱼",数据!$E$3:$E$998,"&lt;&gt;仔鱼",数据!$E$3:$E$998,"&lt;&gt;稚鱼",数据!$F$3:$F$998,A825,数据!$G$3:$G$998,B825))</f>
        <v/>
      </c>
      <c r="O825" s="39" t="str">
        <f>IF(AND(A825="",B825=""),"",COUNTIFS(数据!$E$3:$E$998,"&lt;&gt;鱼卵",数据!$E$3:$E$998,"&lt;&gt;死卵",数据!$F$3:$F$998,A825,数据!$G$3:$G$998,B825))</f>
        <v/>
      </c>
      <c r="P825" s="31"/>
      <c r="Q825">
        <f>SUMIFS(数据!$D$3:$D$998,数据!$E$3:$E$998,"鱼卵",数据!$F$3:$F$998,A825,数据!$G$3:$G$998,B825)</f>
        <v>0</v>
      </c>
      <c r="R825">
        <f>SUMIFS(数据!$D$3:$D$998,数据!$E$3:$E$998,"死卵",数据!$F$3:$F$998,A825,数据!$G$3:$G$998,B825)</f>
        <v>0</v>
      </c>
      <c r="S825">
        <f>SUMIFS(数据!$D$3:$D$998,数据!$E$3:$E$998,"前期仔鱼",数据!$F$3:$F$998,A825,数据!$G$3:$G$998,B825)</f>
        <v>0</v>
      </c>
      <c r="T825">
        <f>SUMIFS(数据!$D$3:$D$998,数据!$E$3:$E$998,"仔鱼",数据!$F$3:$F$998,A825,数据!$G$3:$G$998,B825)</f>
        <v>0</v>
      </c>
      <c r="U825">
        <f>SUMIFS(数据!$D$3:$D$998,数据!$E$3:$E$998,"稚鱼",数据!$F$3:$F$998,A825,数据!$G$3:$G$998,B825)</f>
        <v>0</v>
      </c>
    </row>
    <row r="826" spans="1:21" ht="19.9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45" t="str">
        <f t="shared" si="24"/>
        <v/>
      </c>
      <c r="M826" s="45" t="str">
        <f t="shared" si="25"/>
        <v/>
      </c>
      <c r="N826" s="39" t="str">
        <f>IF(AND(A826="",B826=""),"",COUNTIFS(数据!$E$3:$E$998,"&lt;&gt;前期仔鱼",数据!$E$3:$E$998,"&lt;&gt;仔鱼",数据!$E$3:$E$998,"&lt;&gt;稚鱼",数据!$F$3:$F$998,A826,数据!$G$3:$G$998,B826))</f>
        <v/>
      </c>
      <c r="O826" s="39" t="str">
        <f>IF(AND(A826="",B826=""),"",COUNTIFS(数据!$E$3:$E$998,"&lt;&gt;鱼卵",数据!$E$3:$E$998,"&lt;&gt;死卵",数据!$F$3:$F$998,A826,数据!$G$3:$G$998,B826))</f>
        <v/>
      </c>
      <c r="P826" s="31"/>
      <c r="Q826">
        <f>SUMIFS(数据!$D$3:$D$998,数据!$E$3:$E$998,"鱼卵",数据!$F$3:$F$998,A826,数据!$G$3:$G$998,B826)</f>
        <v>0</v>
      </c>
      <c r="R826">
        <f>SUMIFS(数据!$D$3:$D$998,数据!$E$3:$E$998,"死卵",数据!$F$3:$F$998,A826,数据!$G$3:$G$998,B826)</f>
        <v>0</v>
      </c>
      <c r="S826">
        <f>SUMIFS(数据!$D$3:$D$998,数据!$E$3:$E$998,"前期仔鱼",数据!$F$3:$F$998,A826,数据!$G$3:$G$998,B826)</f>
        <v>0</v>
      </c>
      <c r="T826">
        <f>SUMIFS(数据!$D$3:$D$998,数据!$E$3:$E$998,"仔鱼",数据!$F$3:$F$998,A826,数据!$G$3:$G$998,B826)</f>
        <v>0</v>
      </c>
      <c r="U826">
        <f>SUMIFS(数据!$D$3:$D$998,数据!$E$3:$E$998,"稚鱼",数据!$F$3:$F$998,A826,数据!$G$3:$G$998,B826)</f>
        <v>0</v>
      </c>
    </row>
    <row r="827" spans="1:21" ht="19.9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45" t="str">
        <f t="shared" si="24"/>
        <v/>
      </c>
      <c r="M827" s="45" t="str">
        <f t="shared" si="25"/>
        <v/>
      </c>
      <c r="N827" s="39" t="str">
        <f>IF(AND(A827="",B827=""),"",COUNTIFS(数据!$E$3:$E$998,"&lt;&gt;前期仔鱼",数据!$E$3:$E$998,"&lt;&gt;仔鱼",数据!$E$3:$E$998,"&lt;&gt;稚鱼",数据!$F$3:$F$998,A827,数据!$G$3:$G$998,B827))</f>
        <v/>
      </c>
      <c r="O827" s="39" t="str">
        <f>IF(AND(A827="",B827=""),"",COUNTIFS(数据!$E$3:$E$998,"&lt;&gt;鱼卵",数据!$E$3:$E$998,"&lt;&gt;死卵",数据!$F$3:$F$998,A827,数据!$G$3:$G$998,B827))</f>
        <v/>
      </c>
      <c r="P827" s="31"/>
      <c r="Q827">
        <f>SUMIFS(数据!$D$3:$D$998,数据!$E$3:$E$998,"鱼卵",数据!$F$3:$F$998,A827,数据!$G$3:$G$998,B827)</f>
        <v>0</v>
      </c>
      <c r="R827">
        <f>SUMIFS(数据!$D$3:$D$998,数据!$E$3:$E$998,"死卵",数据!$F$3:$F$998,A827,数据!$G$3:$G$998,B827)</f>
        <v>0</v>
      </c>
      <c r="S827">
        <f>SUMIFS(数据!$D$3:$D$998,数据!$E$3:$E$998,"前期仔鱼",数据!$F$3:$F$998,A827,数据!$G$3:$G$998,B827)</f>
        <v>0</v>
      </c>
      <c r="T827">
        <f>SUMIFS(数据!$D$3:$D$998,数据!$E$3:$E$998,"仔鱼",数据!$F$3:$F$998,A827,数据!$G$3:$G$998,B827)</f>
        <v>0</v>
      </c>
      <c r="U827">
        <f>SUMIFS(数据!$D$3:$D$998,数据!$E$3:$E$998,"稚鱼",数据!$F$3:$F$998,A827,数据!$G$3:$G$998,B827)</f>
        <v>0</v>
      </c>
    </row>
    <row r="828" spans="1:21" ht="19.9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45" t="str">
        <f t="shared" si="24"/>
        <v/>
      </c>
      <c r="M828" s="45" t="str">
        <f t="shared" si="25"/>
        <v/>
      </c>
      <c r="N828" s="39" t="str">
        <f>IF(AND(A828="",B828=""),"",COUNTIFS(数据!$E$3:$E$998,"&lt;&gt;前期仔鱼",数据!$E$3:$E$998,"&lt;&gt;仔鱼",数据!$E$3:$E$998,"&lt;&gt;稚鱼",数据!$F$3:$F$998,A828,数据!$G$3:$G$998,B828))</f>
        <v/>
      </c>
      <c r="O828" s="39" t="str">
        <f>IF(AND(A828="",B828=""),"",COUNTIFS(数据!$E$3:$E$998,"&lt;&gt;鱼卵",数据!$E$3:$E$998,"&lt;&gt;死卵",数据!$F$3:$F$998,A828,数据!$G$3:$G$998,B828))</f>
        <v/>
      </c>
      <c r="P828" s="31"/>
      <c r="Q828">
        <f>SUMIFS(数据!$D$3:$D$998,数据!$E$3:$E$998,"鱼卵",数据!$F$3:$F$998,A828,数据!$G$3:$G$998,B828)</f>
        <v>0</v>
      </c>
      <c r="R828">
        <f>SUMIFS(数据!$D$3:$D$998,数据!$E$3:$E$998,"死卵",数据!$F$3:$F$998,A828,数据!$G$3:$G$998,B828)</f>
        <v>0</v>
      </c>
      <c r="S828">
        <f>SUMIFS(数据!$D$3:$D$998,数据!$E$3:$E$998,"前期仔鱼",数据!$F$3:$F$998,A828,数据!$G$3:$G$998,B828)</f>
        <v>0</v>
      </c>
      <c r="T828">
        <f>SUMIFS(数据!$D$3:$D$998,数据!$E$3:$E$998,"仔鱼",数据!$F$3:$F$998,A828,数据!$G$3:$G$998,B828)</f>
        <v>0</v>
      </c>
      <c r="U828">
        <f>SUMIFS(数据!$D$3:$D$998,数据!$E$3:$E$998,"稚鱼",数据!$F$3:$F$998,A828,数据!$G$3:$G$998,B828)</f>
        <v>0</v>
      </c>
    </row>
    <row r="829" spans="1:21" ht="19.9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45" t="str">
        <f t="shared" si="24"/>
        <v/>
      </c>
      <c r="M829" s="45" t="str">
        <f t="shared" si="25"/>
        <v/>
      </c>
      <c r="N829" s="39" t="str">
        <f>IF(AND(A829="",B829=""),"",COUNTIFS(数据!$E$3:$E$998,"&lt;&gt;前期仔鱼",数据!$E$3:$E$998,"&lt;&gt;仔鱼",数据!$E$3:$E$998,"&lt;&gt;稚鱼",数据!$F$3:$F$998,A829,数据!$G$3:$G$998,B829))</f>
        <v/>
      </c>
      <c r="O829" s="39" t="str">
        <f>IF(AND(A829="",B829=""),"",COUNTIFS(数据!$E$3:$E$998,"&lt;&gt;鱼卵",数据!$E$3:$E$998,"&lt;&gt;死卵",数据!$F$3:$F$998,A829,数据!$G$3:$G$998,B829))</f>
        <v/>
      </c>
      <c r="P829" s="31"/>
      <c r="Q829">
        <f>SUMIFS(数据!$D$3:$D$998,数据!$E$3:$E$998,"鱼卵",数据!$F$3:$F$998,A829,数据!$G$3:$G$998,B829)</f>
        <v>0</v>
      </c>
      <c r="R829">
        <f>SUMIFS(数据!$D$3:$D$998,数据!$E$3:$E$998,"死卵",数据!$F$3:$F$998,A829,数据!$G$3:$G$998,B829)</f>
        <v>0</v>
      </c>
      <c r="S829">
        <f>SUMIFS(数据!$D$3:$D$998,数据!$E$3:$E$998,"前期仔鱼",数据!$F$3:$F$998,A829,数据!$G$3:$G$998,B829)</f>
        <v>0</v>
      </c>
      <c r="T829">
        <f>SUMIFS(数据!$D$3:$D$998,数据!$E$3:$E$998,"仔鱼",数据!$F$3:$F$998,A829,数据!$G$3:$G$998,B829)</f>
        <v>0</v>
      </c>
      <c r="U829">
        <f>SUMIFS(数据!$D$3:$D$998,数据!$E$3:$E$998,"稚鱼",数据!$F$3:$F$998,A829,数据!$G$3:$G$998,B829)</f>
        <v>0</v>
      </c>
    </row>
    <row r="830" spans="1:21" ht="19.9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45" t="str">
        <f t="shared" si="24"/>
        <v/>
      </c>
      <c r="M830" s="45" t="str">
        <f t="shared" si="25"/>
        <v/>
      </c>
      <c r="N830" s="39" t="str">
        <f>IF(AND(A830="",B830=""),"",COUNTIFS(数据!$E$3:$E$998,"&lt;&gt;前期仔鱼",数据!$E$3:$E$998,"&lt;&gt;仔鱼",数据!$E$3:$E$998,"&lt;&gt;稚鱼",数据!$F$3:$F$998,A830,数据!$G$3:$G$998,B830))</f>
        <v/>
      </c>
      <c r="O830" s="39" t="str">
        <f>IF(AND(A830="",B830=""),"",COUNTIFS(数据!$E$3:$E$998,"&lt;&gt;鱼卵",数据!$E$3:$E$998,"&lt;&gt;死卵",数据!$F$3:$F$998,A830,数据!$G$3:$G$998,B830))</f>
        <v/>
      </c>
      <c r="P830" s="31"/>
      <c r="Q830">
        <f>SUMIFS(数据!$D$3:$D$998,数据!$E$3:$E$998,"鱼卵",数据!$F$3:$F$998,A830,数据!$G$3:$G$998,B830)</f>
        <v>0</v>
      </c>
      <c r="R830">
        <f>SUMIFS(数据!$D$3:$D$998,数据!$E$3:$E$998,"死卵",数据!$F$3:$F$998,A830,数据!$G$3:$G$998,B830)</f>
        <v>0</v>
      </c>
      <c r="S830">
        <f>SUMIFS(数据!$D$3:$D$998,数据!$E$3:$E$998,"前期仔鱼",数据!$F$3:$F$998,A830,数据!$G$3:$G$998,B830)</f>
        <v>0</v>
      </c>
      <c r="T830">
        <f>SUMIFS(数据!$D$3:$D$998,数据!$E$3:$E$998,"仔鱼",数据!$F$3:$F$998,A830,数据!$G$3:$G$998,B830)</f>
        <v>0</v>
      </c>
      <c r="U830">
        <f>SUMIFS(数据!$D$3:$D$998,数据!$E$3:$E$998,"稚鱼",数据!$F$3:$F$998,A830,数据!$G$3:$G$998,B830)</f>
        <v>0</v>
      </c>
    </row>
    <row r="831" spans="1:21" ht="19.9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45" t="str">
        <f t="shared" si="24"/>
        <v/>
      </c>
      <c r="M831" s="45" t="str">
        <f t="shared" si="25"/>
        <v/>
      </c>
      <c r="N831" s="39" t="str">
        <f>IF(AND(A831="",B831=""),"",COUNTIFS(数据!$E$3:$E$998,"&lt;&gt;前期仔鱼",数据!$E$3:$E$998,"&lt;&gt;仔鱼",数据!$E$3:$E$998,"&lt;&gt;稚鱼",数据!$F$3:$F$998,A831,数据!$G$3:$G$998,B831))</f>
        <v/>
      </c>
      <c r="O831" s="39" t="str">
        <f>IF(AND(A831="",B831=""),"",COUNTIFS(数据!$E$3:$E$998,"&lt;&gt;鱼卵",数据!$E$3:$E$998,"&lt;&gt;死卵",数据!$F$3:$F$998,A831,数据!$G$3:$G$998,B831))</f>
        <v/>
      </c>
      <c r="P831" s="31"/>
      <c r="Q831">
        <f>SUMIFS(数据!$D$3:$D$998,数据!$E$3:$E$998,"鱼卵",数据!$F$3:$F$998,A831,数据!$G$3:$G$998,B831)</f>
        <v>0</v>
      </c>
      <c r="R831">
        <f>SUMIFS(数据!$D$3:$D$998,数据!$E$3:$E$998,"死卵",数据!$F$3:$F$998,A831,数据!$G$3:$G$998,B831)</f>
        <v>0</v>
      </c>
      <c r="S831">
        <f>SUMIFS(数据!$D$3:$D$998,数据!$E$3:$E$998,"前期仔鱼",数据!$F$3:$F$998,A831,数据!$G$3:$G$998,B831)</f>
        <v>0</v>
      </c>
      <c r="T831">
        <f>SUMIFS(数据!$D$3:$D$998,数据!$E$3:$E$998,"仔鱼",数据!$F$3:$F$998,A831,数据!$G$3:$G$998,B831)</f>
        <v>0</v>
      </c>
      <c r="U831">
        <f>SUMIFS(数据!$D$3:$D$998,数据!$E$3:$E$998,"稚鱼",数据!$F$3:$F$998,A831,数据!$G$3:$G$998,B831)</f>
        <v>0</v>
      </c>
    </row>
    <row r="832" spans="1:21" ht="19.9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45" t="str">
        <f t="shared" si="24"/>
        <v/>
      </c>
      <c r="M832" s="45" t="str">
        <f t="shared" si="25"/>
        <v/>
      </c>
      <c r="N832" s="39" t="str">
        <f>IF(AND(A832="",B832=""),"",COUNTIFS(数据!$E$3:$E$998,"&lt;&gt;前期仔鱼",数据!$E$3:$E$998,"&lt;&gt;仔鱼",数据!$E$3:$E$998,"&lt;&gt;稚鱼",数据!$F$3:$F$998,A832,数据!$G$3:$G$998,B832))</f>
        <v/>
      </c>
      <c r="O832" s="39" t="str">
        <f>IF(AND(A832="",B832=""),"",COUNTIFS(数据!$E$3:$E$998,"&lt;&gt;鱼卵",数据!$E$3:$E$998,"&lt;&gt;死卵",数据!$F$3:$F$998,A832,数据!$G$3:$G$998,B832))</f>
        <v/>
      </c>
      <c r="P832" s="31"/>
      <c r="Q832">
        <f>SUMIFS(数据!$D$3:$D$998,数据!$E$3:$E$998,"鱼卵",数据!$F$3:$F$998,A832,数据!$G$3:$G$998,B832)</f>
        <v>0</v>
      </c>
      <c r="R832">
        <f>SUMIFS(数据!$D$3:$D$998,数据!$E$3:$E$998,"死卵",数据!$F$3:$F$998,A832,数据!$G$3:$G$998,B832)</f>
        <v>0</v>
      </c>
      <c r="S832">
        <f>SUMIFS(数据!$D$3:$D$998,数据!$E$3:$E$998,"前期仔鱼",数据!$F$3:$F$998,A832,数据!$G$3:$G$998,B832)</f>
        <v>0</v>
      </c>
      <c r="T832">
        <f>SUMIFS(数据!$D$3:$D$998,数据!$E$3:$E$998,"仔鱼",数据!$F$3:$F$998,A832,数据!$G$3:$G$998,B832)</f>
        <v>0</v>
      </c>
      <c r="U832">
        <f>SUMIFS(数据!$D$3:$D$998,数据!$E$3:$E$998,"稚鱼",数据!$F$3:$F$998,A832,数据!$G$3:$G$998,B832)</f>
        <v>0</v>
      </c>
    </row>
    <row r="833" spans="1:21" ht="19.9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45" t="str">
        <f t="shared" si="24"/>
        <v/>
      </c>
      <c r="M833" s="45" t="str">
        <f t="shared" si="25"/>
        <v/>
      </c>
      <c r="N833" s="39" t="str">
        <f>IF(AND(A833="",B833=""),"",COUNTIFS(数据!$E$3:$E$998,"&lt;&gt;前期仔鱼",数据!$E$3:$E$998,"&lt;&gt;仔鱼",数据!$E$3:$E$998,"&lt;&gt;稚鱼",数据!$F$3:$F$998,A833,数据!$G$3:$G$998,B833))</f>
        <v/>
      </c>
      <c r="O833" s="39" t="str">
        <f>IF(AND(A833="",B833=""),"",COUNTIFS(数据!$E$3:$E$998,"&lt;&gt;鱼卵",数据!$E$3:$E$998,"&lt;&gt;死卵",数据!$F$3:$F$998,A833,数据!$G$3:$G$998,B833))</f>
        <v/>
      </c>
      <c r="P833" s="31"/>
      <c r="Q833">
        <f>SUMIFS(数据!$D$3:$D$998,数据!$E$3:$E$998,"鱼卵",数据!$F$3:$F$998,A833,数据!$G$3:$G$998,B833)</f>
        <v>0</v>
      </c>
      <c r="R833">
        <f>SUMIFS(数据!$D$3:$D$998,数据!$E$3:$E$998,"死卵",数据!$F$3:$F$998,A833,数据!$G$3:$G$998,B833)</f>
        <v>0</v>
      </c>
      <c r="S833">
        <f>SUMIFS(数据!$D$3:$D$998,数据!$E$3:$E$998,"前期仔鱼",数据!$F$3:$F$998,A833,数据!$G$3:$G$998,B833)</f>
        <v>0</v>
      </c>
      <c r="T833">
        <f>SUMIFS(数据!$D$3:$D$998,数据!$E$3:$E$998,"仔鱼",数据!$F$3:$F$998,A833,数据!$G$3:$G$998,B833)</f>
        <v>0</v>
      </c>
      <c r="U833">
        <f>SUMIFS(数据!$D$3:$D$998,数据!$E$3:$E$998,"稚鱼",数据!$F$3:$F$998,A833,数据!$G$3:$G$998,B833)</f>
        <v>0</v>
      </c>
    </row>
    <row r="834" spans="1:21" ht="19.9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45" t="str">
        <f t="shared" si="24"/>
        <v/>
      </c>
      <c r="M834" s="45" t="str">
        <f t="shared" si="25"/>
        <v/>
      </c>
      <c r="N834" s="39" t="str">
        <f>IF(AND(A834="",B834=""),"",COUNTIFS(数据!$E$3:$E$998,"&lt;&gt;前期仔鱼",数据!$E$3:$E$998,"&lt;&gt;仔鱼",数据!$E$3:$E$998,"&lt;&gt;稚鱼",数据!$F$3:$F$998,A834,数据!$G$3:$G$998,B834))</f>
        <v/>
      </c>
      <c r="O834" s="39" t="str">
        <f>IF(AND(A834="",B834=""),"",COUNTIFS(数据!$E$3:$E$998,"&lt;&gt;鱼卵",数据!$E$3:$E$998,"&lt;&gt;死卵",数据!$F$3:$F$998,A834,数据!$G$3:$G$998,B834))</f>
        <v/>
      </c>
      <c r="P834" s="31"/>
      <c r="Q834">
        <f>SUMIFS(数据!$D$3:$D$998,数据!$E$3:$E$998,"鱼卵",数据!$F$3:$F$998,A834,数据!$G$3:$G$998,B834)</f>
        <v>0</v>
      </c>
      <c r="R834">
        <f>SUMIFS(数据!$D$3:$D$998,数据!$E$3:$E$998,"死卵",数据!$F$3:$F$998,A834,数据!$G$3:$G$998,B834)</f>
        <v>0</v>
      </c>
      <c r="S834">
        <f>SUMIFS(数据!$D$3:$D$998,数据!$E$3:$E$998,"前期仔鱼",数据!$F$3:$F$998,A834,数据!$G$3:$G$998,B834)</f>
        <v>0</v>
      </c>
      <c r="T834">
        <f>SUMIFS(数据!$D$3:$D$998,数据!$E$3:$E$998,"仔鱼",数据!$F$3:$F$998,A834,数据!$G$3:$G$998,B834)</f>
        <v>0</v>
      </c>
      <c r="U834">
        <f>SUMIFS(数据!$D$3:$D$998,数据!$E$3:$E$998,"稚鱼",数据!$F$3:$F$998,A834,数据!$G$3:$G$998,B834)</f>
        <v>0</v>
      </c>
    </row>
    <row r="835" spans="1:21" ht="19.9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45" t="str">
        <f t="shared" si="24"/>
        <v/>
      </c>
      <c r="M835" s="45" t="str">
        <f t="shared" si="25"/>
        <v/>
      </c>
      <c r="N835" s="39" t="str">
        <f>IF(AND(A835="",B835=""),"",COUNTIFS(数据!$E$3:$E$998,"&lt;&gt;前期仔鱼",数据!$E$3:$E$998,"&lt;&gt;仔鱼",数据!$E$3:$E$998,"&lt;&gt;稚鱼",数据!$F$3:$F$998,A835,数据!$G$3:$G$998,B835))</f>
        <v/>
      </c>
      <c r="O835" s="39" t="str">
        <f>IF(AND(A835="",B835=""),"",COUNTIFS(数据!$E$3:$E$998,"&lt;&gt;鱼卵",数据!$E$3:$E$998,"&lt;&gt;死卵",数据!$F$3:$F$998,A835,数据!$G$3:$G$998,B835))</f>
        <v/>
      </c>
      <c r="P835" s="31"/>
      <c r="Q835">
        <f>SUMIFS(数据!$D$3:$D$998,数据!$E$3:$E$998,"鱼卵",数据!$F$3:$F$998,A835,数据!$G$3:$G$998,B835)</f>
        <v>0</v>
      </c>
      <c r="R835">
        <f>SUMIFS(数据!$D$3:$D$998,数据!$E$3:$E$998,"死卵",数据!$F$3:$F$998,A835,数据!$G$3:$G$998,B835)</f>
        <v>0</v>
      </c>
      <c r="S835">
        <f>SUMIFS(数据!$D$3:$D$998,数据!$E$3:$E$998,"前期仔鱼",数据!$F$3:$F$998,A835,数据!$G$3:$G$998,B835)</f>
        <v>0</v>
      </c>
      <c r="T835">
        <f>SUMIFS(数据!$D$3:$D$998,数据!$E$3:$E$998,"仔鱼",数据!$F$3:$F$998,A835,数据!$G$3:$G$998,B835)</f>
        <v>0</v>
      </c>
      <c r="U835">
        <f>SUMIFS(数据!$D$3:$D$998,数据!$E$3:$E$998,"稚鱼",数据!$F$3:$F$998,A835,数据!$G$3:$G$998,B835)</f>
        <v>0</v>
      </c>
    </row>
    <row r="836" spans="1:21" ht="19.9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45" t="str">
        <f t="shared" si="26" ref="L836:L899">IF(OR(Q836&amp;R836="",A836&amp;B836=""),"",Q836+R836)</f>
        <v/>
      </c>
      <c r="M836" s="45" t="str">
        <f t="shared" si="27" ref="M836:M899">IF(OR(A836&amp;B836="",S836&amp;T836&amp;U836=""),"",S836+T836+U836)</f>
        <v/>
      </c>
      <c r="N836" s="39" t="str">
        <f>IF(AND(A836="",B836=""),"",COUNTIFS(数据!$E$3:$E$998,"&lt;&gt;前期仔鱼",数据!$E$3:$E$998,"&lt;&gt;仔鱼",数据!$E$3:$E$998,"&lt;&gt;稚鱼",数据!$F$3:$F$998,A836,数据!$G$3:$G$998,B836))</f>
        <v/>
      </c>
      <c r="O836" s="39" t="str">
        <f>IF(AND(A836="",B836=""),"",COUNTIFS(数据!$E$3:$E$998,"&lt;&gt;鱼卵",数据!$E$3:$E$998,"&lt;&gt;死卵",数据!$F$3:$F$998,A836,数据!$G$3:$G$998,B836))</f>
        <v/>
      </c>
      <c r="P836" s="31"/>
      <c r="Q836">
        <f>SUMIFS(数据!$D$3:$D$998,数据!$E$3:$E$998,"鱼卵",数据!$F$3:$F$998,A836,数据!$G$3:$G$998,B836)</f>
        <v>0</v>
      </c>
      <c r="R836">
        <f>SUMIFS(数据!$D$3:$D$998,数据!$E$3:$E$998,"死卵",数据!$F$3:$F$998,A836,数据!$G$3:$G$998,B836)</f>
        <v>0</v>
      </c>
      <c r="S836">
        <f>SUMIFS(数据!$D$3:$D$998,数据!$E$3:$E$998,"前期仔鱼",数据!$F$3:$F$998,A836,数据!$G$3:$G$998,B836)</f>
        <v>0</v>
      </c>
      <c r="T836">
        <f>SUMIFS(数据!$D$3:$D$998,数据!$E$3:$E$998,"仔鱼",数据!$F$3:$F$998,A836,数据!$G$3:$G$998,B836)</f>
        <v>0</v>
      </c>
      <c r="U836">
        <f>SUMIFS(数据!$D$3:$D$998,数据!$E$3:$E$998,"稚鱼",数据!$F$3:$F$998,A836,数据!$G$3:$G$998,B836)</f>
        <v>0</v>
      </c>
    </row>
    <row r="837" spans="1:21" ht="19.9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45" t="str">
        <f t="shared" si="26"/>
        <v/>
      </c>
      <c r="M837" s="45" t="str">
        <f t="shared" si="27"/>
        <v/>
      </c>
      <c r="N837" s="39" t="str">
        <f>IF(AND(A837="",B837=""),"",COUNTIFS(数据!$E$3:$E$998,"&lt;&gt;前期仔鱼",数据!$E$3:$E$998,"&lt;&gt;仔鱼",数据!$E$3:$E$998,"&lt;&gt;稚鱼",数据!$F$3:$F$998,A837,数据!$G$3:$G$998,B837))</f>
        <v/>
      </c>
      <c r="O837" s="39" t="str">
        <f>IF(AND(A837="",B837=""),"",COUNTIFS(数据!$E$3:$E$998,"&lt;&gt;鱼卵",数据!$E$3:$E$998,"&lt;&gt;死卵",数据!$F$3:$F$998,A837,数据!$G$3:$G$998,B837))</f>
        <v/>
      </c>
      <c r="P837" s="31"/>
      <c r="Q837">
        <f>SUMIFS(数据!$D$3:$D$998,数据!$E$3:$E$998,"鱼卵",数据!$F$3:$F$998,A837,数据!$G$3:$G$998,B837)</f>
        <v>0</v>
      </c>
      <c r="R837">
        <f>SUMIFS(数据!$D$3:$D$998,数据!$E$3:$E$998,"死卵",数据!$F$3:$F$998,A837,数据!$G$3:$G$998,B837)</f>
        <v>0</v>
      </c>
      <c r="S837">
        <f>SUMIFS(数据!$D$3:$D$998,数据!$E$3:$E$998,"前期仔鱼",数据!$F$3:$F$998,A837,数据!$G$3:$G$998,B837)</f>
        <v>0</v>
      </c>
      <c r="T837">
        <f>SUMIFS(数据!$D$3:$D$998,数据!$E$3:$E$998,"仔鱼",数据!$F$3:$F$998,A837,数据!$G$3:$G$998,B837)</f>
        <v>0</v>
      </c>
      <c r="U837">
        <f>SUMIFS(数据!$D$3:$D$998,数据!$E$3:$E$998,"稚鱼",数据!$F$3:$F$998,A837,数据!$G$3:$G$998,B837)</f>
        <v>0</v>
      </c>
    </row>
    <row r="838" spans="1:21" ht="19.9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45" t="str">
        <f t="shared" si="26"/>
        <v/>
      </c>
      <c r="M838" s="45" t="str">
        <f t="shared" si="27"/>
        <v/>
      </c>
      <c r="N838" s="39" t="str">
        <f>IF(AND(A838="",B838=""),"",COUNTIFS(数据!$E$3:$E$998,"&lt;&gt;前期仔鱼",数据!$E$3:$E$998,"&lt;&gt;仔鱼",数据!$E$3:$E$998,"&lt;&gt;稚鱼",数据!$F$3:$F$998,A838,数据!$G$3:$G$998,B838))</f>
        <v/>
      </c>
      <c r="O838" s="39" t="str">
        <f>IF(AND(A838="",B838=""),"",COUNTIFS(数据!$E$3:$E$998,"&lt;&gt;鱼卵",数据!$E$3:$E$998,"&lt;&gt;死卵",数据!$F$3:$F$998,A838,数据!$G$3:$G$998,B838))</f>
        <v/>
      </c>
      <c r="P838" s="31"/>
      <c r="Q838">
        <f>SUMIFS(数据!$D$3:$D$998,数据!$E$3:$E$998,"鱼卵",数据!$F$3:$F$998,A838,数据!$G$3:$G$998,B838)</f>
        <v>0</v>
      </c>
      <c r="R838">
        <f>SUMIFS(数据!$D$3:$D$998,数据!$E$3:$E$998,"死卵",数据!$F$3:$F$998,A838,数据!$G$3:$G$998,B838)</f>
        <v>0</v>
      </c>
      <c r="S838">
        <f>SUMIFS(数据!$D$3:$D$998,数据!$E$3:$E$998,"前期仔鱼",数据!$F$3:$F$998,A838,数据!$G$3:$G$998,B838)</f>
        <v>0</v>
      </c>
      <c r="T838">
        <f>SUMIFS(数据!$D$3:$D$998,数据!$E$3:$E$998,"仔鱼",数据!$F$3:$F$998,A838,数据!$G$3:$G$998,B838)</f>
        <v>0</v>
      </c>
      <c r="U838">
        <f>SUMIFS(数据!$D$3:$D$998,数据!$E$3:$E$998,"稚鱼",数据!$F$3:$F$998,A838,数据!$G$3:$G$998,B838)</f>
        <v>0</v>
      </c>
    </row>
    <row r="839" spans="1:21" ht="19.9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45" t="str">
        <f t="shared" si="26"/>
        <v/>
      </c>
      <c r="M839" s="45" t="str">
        <f t="shared" si="27"/>
        <v/>
      </c>
      <c r="N839" s="39" t="str">
        <f>IF(AND(A839="",B839=""),"",COUNTIFS(数据!$E$3:$E$998,"&lt;&gt;前期仔鱼",数据!$E$3:$E$998,"&lt;&gt;仔鱼",数据!$E$3:$E$998,"&lt;&gt;稚鱼",数据!$F$3:$F$998,A839,数据!$G$3:$G$998,B839))</f>
        <v/>
      </c>
      <c r="O839" s="39" t="str">
        <f>IF(AND(A839="",B839=""),"",COUNTIFS(数据!$E$3:$E$998,"&lt;&gt;鱼卵",数据!$E$3:$E$998,"&lt;&gt;死卵",数据!$F$3:$F$998,A839,数据!$G$3:$G$998,B839))</f>
        <v/>
      </c>
      <c r="P839" s="31"/>
      <c r="Q839">
        <f>SUMIFS(数据!$D$3:$D$998,数据!$E$3:$E$998,"鱼卵",数据!$F$3:$F$998,A839,数据!$G$3:$G$998,B839)</f>
        <v>0</v>
      </c>
      <c r="R839">
        <f>SUMIFS(数据!$D$3:$D$998,数据!$E$3:$E$998,"死卵",数据!$F$3:$F$998,A839,数据!$G$3:$G$998,B839)</f>
        <v>0</v>
      </c>
      <c r="S839">
        <f>SUMIFS(数据!$D$3:$D$998,数据!$E$3:$E$998,"前期仔鱼",数据!$F$3:$F$998,A839,数据!$G$3:$G$998,B839)</f>
        <v>0</v>
      </c>
      <c r="T839">
        <f>SUMIFS(数据!$D$3:$D$998,数据!$E$3:$E$998,"仔鱼",数据!$F$3:$F$998,A839,数据!$G$3:$G$998,B839)</f>
        <v>0</v>
      </c>
      <c r="U839">
        <f>SUMIFS(数据!$D$3:$D$998,数据!$E$3:$E$998,"稚鱼",数据!$F$3:$F$998,A839,数据!$G$3:$G$998,B839)</f>
        <v>0</v>
      </c>
    </row>
    <row r="840" spans="1:21" ht="19.9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45" t="str">
        <f t="shared" si="26"/>
        <v/>
      </c>
      <c r="M840" s="45" t="str">
        <f t="shared" si="27"/>
        <v/>
      </c>
      <c r="N840" s="39" t="str">
        <f>IF(AND(A840="",B840=""),"",COUNTIFS(数据!$E$3:$E$998,"&lt;&gt;前期仔鱼",数据!$E$3:$E$998,"&lt;&gt;仔鱼",数据!$E$3:$E$998,"&lt;&gt;稚鱼",数据!$F$3:$F$998,A840,数据!$G$3:$G$998,B840))</f>
        <v/>
      </c>
      <c r="O840" s="39" t="str">
        <f>IF(AND(A840="",B840=""),"",COUNTIFS(数据!$E$3:$E$998,"&lt;&gt;鱼卵",数据!$E$3:$E$998,"&lt;&gt;死卵",数据!$F$3:$F$998,A840,数据!$G$3:$G$998,B840))</f>
        <v/>
      </c>
      <c r="P840" s="31"/>
      <c r="Q840">
        <f>SUMIFS(数据!$D$3:$D$998,数据!$E$3:$E$998,"鱼卵",数据!$F$3:$F$998,A840,数据!$G$3:$G$998,B840)</f>
        <v>0</v>
      </c>
      <c r="R840">
        <f>SUMIFS(数据!$D$3:$D$998,数据!$E$3:$E$998,"死卵",数据!$F$3:$F$998,A840,数据!$G$3:$G$998,B840)</f>
        <v>0</v>
      </c>
      <c r="S840">
        <f>SUMIFS(数据!$D$3:$D$998,数据!$E$3:$E$998,"前期仔鱼",数据!$F$3:$F$998,A840,数据!$G$3:$G$998,B840)</f>
        <v>0</v>
      </c>
      <c r="T840">
        <f>SUMIFS(数据!$D$3:$D$998,数据!$E$3:$E$998,"仔鱼",数据!$F$3:$F$998,A840,数据!$G$3:$G$998,B840)</f>
        <v>0</v>
      </c>
      <c r="U840">
        <f>SUMIFS(数据!$D$3:$D$998,数据!$E$3:$E$998,"稚鱼",数据!$F$3:$F$998,A840,数据!$G$3:$G$998,B840)</f>
        <v>0</v>
      </c>
    </row>
    <row r="841" spans="1:21" ht="19.9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45" t="str">
        <f t="shared" si="26"/>
        <v/>
      </c>
      <c r="M841" s="45" t="str">
        <f t="shared" si="27"/>
        <v/>
      </c>
      <c r="N841" s="39" t="str">
        <f>IF(AND(A841="",B841=""),"",COUNTIFS(数据!$E$3:$E$998,"&lt;&gt;前期仔鱼",数据!$E$3:$E$998,"&lt;&gt;仔鱼",数据!$E$3:$E$998,"&lt;&gt;稚鱼",数据!$F$3:$F$998,A841,数据!$G$3:$G$998,B841))</f>
        <v/>
      </c>
      <c r="O841" s="39" t="str">
        <f>IF(AND(A841="",B841=""),"",COUNTIFS(数据!$E$3:$E$998,"&lt;&gt;鱼卵",数据!$E$3:$E$998,"&lt;&gt;死卵",数据!$F$3:$F$998,A841,数据!$G$3:$G$998,B841))</f>
        <v/>
      </c>
      <c r="P841" s="31"/>
      <c r="Q841">
        <f>SUMIFS(数据!$D$3:$D$998,数据!$E$3:$E$998,"鱼卵",数据!$F$3:$F$998,A841,数据!$G$3:$G$998,B841)</f>
        <v>0</v>
      </c>
      <c r="R841">
        <f>SUMIFS(数据!$D$3:$D$998,数据!$E$3:$E$998,"死卵",数据!$F$3:$F$998,A841,数据!$G$3:$G$998,B841)</f>
        <v>0</v>
      </c>
      <c r="S841">
        <f>SUMIFS(数据!$D$3:$D$998,数据!$E$3:$E$998,"前期仔鱼",数据!$F$3:$F$998,A841,数据!$G$3:$G$998,B841)</f>
        <v>0</v>
      </c>
      <c r="T841">
        <f>SUMIFS(数据!$D$3:$D$998,数据!$E$3:$E$998,"仔鱼",数据!$F$3:$F$998,A841,数据!$G$3:$G$998,B841)</f>
        <v>0</v>
      </c>
      <c r="U841">
        <f>SUMIFS(数据!$D$3:$D$998,数据!$E$3:$E$998,"稚鱼",数据!$F$3:$F$998,A841,数据!$G$3:$G$998,B841)</f>
        <v>0</v>
      </c>
    </row>
    <row r="842" spans="1:21" ht="19.9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45" t="str">
        <f t="shared" si="26"/>
        <v/>
      </c>
      <c r="M842" s="45" t="str">
        <f t="shared" si="27"/>
        <v/>
      </c>
      <c r="N842" s="39" t="str">
        <f>IF(AND(A842="",B842=""),"",COUNTIFS(数据!$E$3:$E$998,"&lt;&gt;前期仔鱼",数据!$E$3:$E$998,"&lt;&gt;仔鱼",数据!$E$3:$E$998,"&lt;&gt;稚鱼",数据!$F$3:$F$998,A842,数据!$G$3:$G$998,B842))</f>
        <v/>
      </c>
      <c r="O842" s="39" t="str">
        <f>IF(AND(A842="",B842=""),"",COUNTIFS(数据!$E$3:$E$998,"&lt;&gt;鱼卵",数据!$E$3:$E$998,"&lt;&gt;死卵",数据!$F$3:$F$998,A842,数据!$G$3:$G$998,B842))</f>
        <v/>
      </c>
      <c r="P842" s="31"/>
      <c r="Q842">
        <f>SUMIFS(数据!$D$3:$D$998,数据!$E$3:$E$998,"鱼卵",数据!$F$3:$F$998,A842,数据!$G$3:$G$998,B842)</f>
        <v>0</v>
      </c>
      <c r="R842">
        <f>SUMIFS(数据!$D$3:$D$998,数据!$E$3:$E$998,"死卵",数据!$F$3:$F$998,A842,数据!$G$3:$G$998,B842)</f>
        <v>0</v>
      </c>
      <c r="S842">
        <f>SUMIFS(数据!$D$3:$D$998,数据!$E$3:$E$998,"前期仔鱼",数据!$F$3:$F$998,A842,数据!$G$3:$G$998,B842)</f>
        <v>0</v>
      </c>
      <c r="T842">
        <f>SUMIFS(数据!$D$3:$D$998,数据!$E$3:$E$998,"仔鱼",数据!$F$3:$F$998,A842,数据!$G$3:$G$998,B842)</f>
        <v>0</v>
      </c>
      <c r="U842">
        <f>SUMIFS(数据!$D$3:$D$998,数据!$E$3:$E$998,"稚鱼",数据!$F$3:$F$998,A842,数据!$G$3:$G$998,B842)</f>
        <v>0</v>
      </c>
    </row>
    <row r="843" spans="1:21" ht="19.9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45" t="str">
        <f t="shared" si="26"/>
        <v/>
      </c>
      <c r="M843" s="45" t="str">
        <f t="shared" si="27"/>
        <v/>
      </c>
      <c r="N843" s="39" t="str">
        <f>IF(AND(A843="",B843=""),"",COUNTIFS(数据!$E$3:$E$998,"&lt;&gt;前期仔鱼",数据!$E$3:$E$998,"&lt;&gt;仔鱼",数据!$E$3:$E$998,"&lt;&gt;稚鱼",数据!$F$3:$F$998,A843,数据!$G$3:$G$998,B843))</f>
        <v/>
      </c>
      <c r="O843" s="39" t="str">
        <f>IF(AND(A843="",B843=""),"",COUNTIFS(数据!$E$3:$E$998,"&lt;&gt;鱼卵",数据!$E$3:$E$998,"&lt;&gt;死卵",数据!$F$3:$F$998,A843,数据!$G$3:$G$998,B843))</f>
        <v/>
      </c>
      <c r="P843" s="31"/>
      <c r="Q843">
        <f>SUMIFS(数据!$D$3:$D$998,数据!$E$3:$E$998,"鱼卵",数据!$F$3:$F$998,A843,数据!$G$3:$G$998,B843)</f>
        <v>0</v>
      </c>
      <c r="R843">
        <f>SUMIFS(数据!$D$3:$D$998,数据!$E$3:$E$998,"死卵",数据!$F$3:$F$998,A843,数据!$G$3:$G$998,B843)</f>
        <v>0</v>
      </c>
      <c r="S843">
        <f>SUMIFS(数据!$D$3:$D$998,数据!$E$3:$E$998,"前期仔鱼",数据!$F$3:$F$998,A843,数据!$G$3:$G$998,B843)</f>
        <v>0</v>
      </c>
      <c r="T843">
        <f>SUMIFS(数据!$D$3:$D$998,数据!$E$3:$E$998,"仔鱼",数据!$F$3:$F$998,A843,数据!$G$3:$G$998,B843)</f>
        <v>0</v>
      </c>
      <c r="U843">
        <f>SUMIFS(数据!$D$3:$D$998,数据!$E$3:$E$998,"稚鱼",数据!$F$3:$F$998,A843,数据!$G$3:$G$998,B843)</f>
        <v>0</v>
      </c>
    </row>
    <row r="844" spans="1:21" ht="19.9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45" t="str">
        <f t="shared" si="26"/>
        <v/>
      </c>
      <c r="M844" s="45" t="str">
        <f t="shared" si="27"/>
        <v/>
      </c>
      <c r="N844" s="39" t="str">
        <f>IF(AND(A844="",B844=""),"",COUNTIFS(数据!$E$3:$E$998,"&lt;&gt;前期仔鱼",数据!$E$3:$E$998,"&lt;&gt;仔鱼",数据!$E$3:$E$998,"&lt;&gt;稚鱼",数据!$F$3:$F$998,A844,数据!$G$3:$G$998,B844))</f>
        <v/>
      </c>
      <c r="O844" s="39" t="str">
        <f>IF(AND(A844="",B844=""),"",COUNTIFS(数据!$E$3:$E$998,"&lt;&gt;鱼卵",数据!$E$3:$E$998,"&lt;&gt;死卵",数据!$F$3:$F$998,A844,数据!$G$3:$G$998,B844))</f>
        <v/>
      </c>
      <c r="P844" s="31"/>
      <c r="Q844">
        <f>SUMIFS(数据!$D$3:$D$998,数据!$E$3:$E$998,"鱼卵",数据!$F$3:$F$998,A844,数据!$G$3:$G$998,B844)</f>
        <v>0</v>
      </c>
      <c r="R844">
        <f>SUMIFS(数据!$D$3:$D$998,数据!$E$3:$E$998,"死卵",数据!$F$3:$F$998,A844,数据!$G$3:$G$998,B844)</f>
        <v>0</v>
      </c>
      <c r="S844">
        <f>SUMIFS(数据!$D$3:$D$998,数据!$E$3:$E$998,"前期仔鱼",数据!$F$3:$F$998,A844,数据!$G$3:$G$998,B844)</f>
        <v>0</v>
      </c>
      <c r="T844">
        <f>SUMIFS(数据!$D$3:$D$998,数据!$E$3:$E$998,"仔鱼",数据!$F$3:$F$998,A844,数据!$G$3:$G$998,B844)</f>
        <v>0</v>
      </c>
      <c r="U844">
        <f>SUMIFS(数据!$D$3:$D$998,数据!$E$3:$E$998,"稚鱼",数据!$F$3:$F$998,A844,数据!$G$3:$G$998,B844)</f>
        <v>0</v>
      </c>
    </row>
    <row r="845" spans="1:21" ht="19.9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45" t="str">
        <f t="shared" si="26"/>
        <v/>
      </c>
      <c r="M845" s="45" t="str">
        <f t="shared" si="27"/>
        <v/>
      </c>
      <c r="N845" s="39" t="str">
        <f>IF(AND(A845="",B845=""),"",COUNTIFS(数据!$E$3:$E$998,"&lt;&gt;前期仔鱼",数据!$E$3:$E$998,"&lt;&gt;仔鱼",数据!$E$3:$E$998,"&lt;&gt;稚鱼",数据!$F$3:$F$998,A845,数据!$G$3:$G$998,B845))</f>
        <v/>
      </c>
      <c r="O845" s="39" t="str">
        <f>IF(AND(A845="",B845=""),"",COUNTIFS(数据!$E$3:$E$998,"&lt;&gt;鱼卵",数据!$E$3:$E$998,"&lt;&gt;死卵",数据!$F$3:$F$998,A845,数据!$G$3:$G$998,B845))</f>
        <v/>
      </c>
      <c r="P845" s="31"/>
      <c r="Q845">
        <f>SUMIFS(数据!$D$3:$D$998,数据!$E$3:$E$998,"鱼卵",数据!$F$3:$F$998,A845,数据!$G$3:$G$998,B845)</f>
        <v>0</v>
      </c>
      <c r="R845">
        <f>SUMIFS(数据!$D$3:$D$998,数据!$E$3:$E$998,"死卵",数据!$F$3:$F$998,A845,数据!$G$3:$G$998,B845)</f>
        <v>0</v>
      </c>
      <c r="S845">
        <f>SUMIFS(数据!$D$3:$D$998,数据!$E$3:$E$998,"前期仔鱼",数据!$F$3:$F$998,A845,数据!$G$3:$G$998,B845)</f>
        <v>0</v>
      </c>
      <c r="T845">
        <f>SUMIFS(数据!$D$3:$D$998,数据!$E$3:$E$998,"仔鱼",数据!$F$3:$F$998,A845,数据!$G$3:$G$998,B845)</f>
        <v>0</v>
      </c>
      <c r="U845">
        <f>SUMIFS(数据!$D$3:$D$998,数据!$E$3:$E$998,"稚鱼",数据!$F$3:$F$998,A845,数据!$G$3:$G$998,B845)</f>
        <v>0</v>
      </c>
    </row>
    <row r="846" spans="1:21" ht="19.9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45" t="str">
        <f t="shared" si="26"/>
        <v/>
      </c>
      <c r="M846" s="45" t="str">
        <f t="shared" si="27"/>
        <v/>
      </c>
      <c r="N846" s="39" t="str">
        <f>IF(AND(A846="",B846=""),"",COUNTIFS(数据!$E$3:$E$998,"&lt;&gt;前期仔鱼",数据!$E$3:$E$998,"&lt;&gt;仔鱼",数据!$E$3:$E$998,"&lt;&gt;稚鱼",数据!$F$3:$F$998,A846,数据!$G$3:$G$998,B846))</f>
        <v/>
      </c>
      <c r="O846" s="39" t="str">
        <f>IF(AND(A846="",B846=""),"",COUNTIFS(数据!$E$3:$E$998,"&lt;&gt;鱼卵",数据!$E$3:$E$998,"&lt;&gt;死卵",数据!$F$3:$F$998,A846,数据!$G$3:$G$998,B846))</f>
        <v/>
      </c>
      <c r="P846" s="31"/>
      <c r="Q846">
        <f>SUMIFS(数据!$D$3:$D$998,数据!$E$3:$E$998,"鱼卵",数据!$F$3:$F$998,A846,数据!$G$3:$G$998,B846)</f>
        <v>0</v>
      </c>
      <c r="R846">
        <f>SUMIFS(数据!$D$3:$D$998,数据!$E$3:$E$998,"死卵",数据!$F$3:$F$998,A846,数据!$G$3:$G$998,B846)</f>
        <v>0</v>
      </c>
      <c r="S846">
        <f>SUMIFS(数据!$D$3:$D$998,数据!$E$3:$E$998,"前期仔鱼",数据!$F$3:$F$998,A846,数据!$G$3:$G$998,B846)</f>
        <v>0</v>
      </c>
      <c r="T846">
        <f>SUMIFS(数据!$D$3:$D$998,数据!$E$3:$E$998,"仔鱼",数据!$F$3:$F$998,A846,数据!$G$3:$G$998,B846)</f>
        <v>0</v>
      </c>
      <c r="U846">
        <f>SUMIFS(数据!$D$3:$D$998,数据!$E$3:$E$998,"稚鱼",数据!$F$3:$F$998,A846,数据!$G$3:$G$998,B846)</f>
        <v>0</v>
      </c>
    </row>
    <row r="847" spans="1:21" ht="19.9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45" t="str">
        <f t="shared" si="26"/>
        <v/>
      </c>
      <c r="M847" s="45" t="str">
        <f t="shared" si="27"/>
        <v/>
      </c>
      <c r="N847" s="39" t="str">
        <f>IF(AND(A847="",B847=""),"",COUNTIFS(数据!$E$3:$E$998,"&lt;&gt;前期仔鱼",数据!$E$3:$E$998,"&lt;&gt;仔鱼",数据!$E$3:$E$998,"&lt;&gt;稚鱼",数据!$F$3:$F$998,A847,数据!$G$3:$G$998,B847))</f>
        <v/>
      </c>
      <c r="O847" s="39" t="str">
        <f>IF(AND(A847="",B847=""),"",COUNTIFS(数据!$E$3:$E$998,"&lt;&gt;鱼卵",数据!$E$3:$E$998,"&lt;&gt;死卵",数据!$F$3:$F$998,A847,数据!$G$3:$G$998,B847))</f>
        <v/>
      </c>
      <c r="P847" s="31"/>
      <c r="Q847">
        <f>SUMIFS(数据!$D$3:$D$998,数据!$E$3:$E$998,"鱼卵",数据!$F$3:$F$998,A847,数据!$G$3:$G$998,B847)</f>
        <v>0</v>
      </c>
      <c r="R847">
        <f>SUMIFS(数据!$D$3:$D$998,数据!$E$3:$E$998,"死卵",数据!$F$3:$F$998,A847,数据!$G$3:$G$998,B847)</f>
        <v>0</v>
      </c>
      <c r="S847">
        <f>SUMIFS(数据!$D$3:$D$998,数据!$E$3:$E$998,"前期仔鱼",数据!$F$3:$F$998,A847,数据!$G$3:$G$998,B847)</f>
        <v>0</v>
      </c>
      <c r="T847">
        <f>SUMIFS(数据!$D$3:$D$998,数据!$E$3:$E$998,"仔鱼",数据!$F$3:$F$998,A847,数据!$G$3:$G$998,B847)</f>
        <v>0</v>
      </c>
      <c r="U847">
        <f>SUMIFS(数据!$D$3:$D$998,数据!$E$3:$E$998,"稚鱼",数据!$F$3:$F$998,A847,数据!$G$3:$G$998,B847)</f>
        <v>0</v>
      </c>
    </row>
    <row r="848" spans="1:21" ht="19.9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45" t="str">
        <f t="shared" si="26"/>
        <v/>
      </c>
      <c r="M848" s="45" t="str">
        <f t="shared" si="27"/>
        <v/>
      </c>
      <c r="N848" s="39" t="str">
        <f>IF(AND(A848="",B848=""),"",COUNTIFS(数据!$E$3:$E$998,"&lt;&gt;前期仔鱼",数据!$E$3:$E$998,"&lt;&gt;仔鱼",数据!$E$3:$E$998,"&lt;&gt;稚鱼",数据!$F$3:$F$998,A848,数据!$G$3:$G$998,B848))</f>
        <v/>
      </c>
      <c r="O848" s="39" t="str">
        <f>IF(AND(A848="",B848=""),"",COUNTIFS(数据!$E$3:$E$998,"&lt;&gt;鱼卵",数据!$E$3:$E$998,"&lt;&gt;死卵",数据!$F$3:$F$998,A848,数据!$G$3:$G$998,B848))</f>
        <v/>
      </c>
      <c r="P848" s="31"/>
      <c r="Q848">
        <f>SUMIFS(数据!$D$3:$D$998,数据!$E$3:$E$998,"鱼卵",数据!$F$3:$F$998,A848,数据!$G$3:$G$998,B848)</f>
        <v>0</v>
      </c>
      <c r="R848">
        <f>SUMIFS(数据!$D$3:$D$998,数据!$E$3:$E$998,"死卵",数据!$F$3:$F$998,A848,数据!$G$3:$G$998,B848)</f>
        <v>0</v>
      </c>
      <c r="S848">
        <f>SUMIFS(数据!$D$3:$D$998,数据!$E$3:$E$998,"前期仔鱼",数据!$F$3:$F$998,A848,数据!$G$3:$G$998,B848)</f>
        <v>0</v>
      </c>
      <c r="T848">
        <f>SUMIFS(数据!$D$3:$D$998,数据!$E$3:$E$998,"仔鱼",数据!$F$3:$F$998,A848,数据!$G$3:$G$998,B848)</f>
        <v>0</v>
      </c>
      <c r="U848">
        <f>SUMIFS(数据!$D$3:$D$998,数据!$E$3:$E$998,"稚鱼",数据!$F$3:$F$998,A848,数据!$G$3:$G$998,B848)</f>
        <v>0</v>
      </c>
    </row>
    <row r="849" spans="1:21" ht="19.9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45" t="str">
        <f t="shared" si="26"/>
        <v/>
      </c>
      <c r="M849" s="45" t="str">
        <f t="shared" si="27"/>
        <v/>
      </c>
      <c r="N849" s="39" t="str">
        <f>IF(AND(A849="",B849=""),"",COUNTIFS(数据!$E$3:$E$998,"&lt;&gt;前期仔鱼",数据!$E$3:$E$998,"&lt;&gt;仔鱼",数据!$E$3:$E$998,"&lt;&gt;稚鱼",数据!$F$3:$F$998,A849,数据!$G$3:$G$998,B849))</f>
        <v/>
      </c>
      <c r="O849" s="39" t="str">
        <f>IF(AND(A849="",B849=""),"",COUNTIFS(数据!$E$3:$E$998,"&lt;&gt;鱼卵",数据!$E$3:$E$998,"&lt;&gt;死卵",数据!$F$3:$F$998,A849,数据!$G$3:$G$998,B849))</f>
        <v/>
      </c>
      <c r="P849" s="31"/>
      <c r="Q849">
        <f>SUMIFS(数据!$D$3:$D$998,数据!$E$3:$E$998,"鱼卵",数据!$F$3:$F$998,A849,数据!$G$3:$G$998,B849)</f>
        <v>0</v>
      </c>
      <c r="R849">
        <f>SUMIFS(数据!$D$3:$D$998,数据!$E$3:$E$998,"死卵",数据!$F$3:$F$998,A849,数据!$G$3:$G$998,B849)</f>
        <v>0</v>
      </c>
      <c r="S849">
        <f>SUMIFS(数据!$D$3:$D$998,数据!$E$3:$E$998,"前期仔鱼",数据!$F$3:$F$998,A849,数据!$G$3:$G$998,B849)</f>
        <v>0</v>
      </c>
      <c r="T849">
        <f>SUMIFS(数据!$D$3:$D$998,数据!$E$3:$E$998,"仔鱼",数据!$F$3:$F$998,A849,数据!$G$3:$G$998,B849)</f>
        <v>0</v>
      </c>
      <c r="U849">
        <f>SUMIFS(数据!$D$3:$D$998,数据!$E$3:$E$998,"稚鱼",数据!$F$3:$F$998,A849,数据!$G$3:$G$998,B849)</f>
        <v>0</v>
      </c>
    </row>
    <row r="850" spans="1:21" ht="19.9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45" t="str">
        <f t="shared" si="26"/>
        <v/>
      </c>
      <c r="M850" s="45" t="str">
        <f t="shared" si="27"/>
        <v/>
      </c>
      <c r="N850" s="39" t="str">
        <f>IF(AND(A850="",B850=""),"",COUNTIFS(数据!$E$3:$E$998,"&lt;&gt;前期仔鱼",数据!$E$3:$E$998,"&lt;&gt;仔鱼",数据!$E$3:$E$998,"&lt;&gt;稚鱼",数据!$F$3:$F$998,A850,数据!$G$3:$G$998,B850))</f>
        <v/>
      </c>
      <c r="O850" s="39" t="str">
        <f>IF(AND(A850="",B850=""),"",COUNTIFS(数据!$E$3:$E$998,"&lt;&gt;鱼卵",数据!$E$3:$E$998,"&lt;&gt;死卵",数据!$F$3:$F$998,A850,数据!$G$3:$G$998,B850))</f>
        <v/>
      </c>
      <c r="P850" s="31"/>
      <c r="Q850">
        <f>SUMIFS(数据!$D$3:$D$998,数据!$E$3:$E$998,"鱼卵",数据!$F$3:$F$998,A850,数据!$G$3:$G$998,B850)</f>
        <v>0</v>
      </c>
      <c r="R850">
        <f>SUMIFS(数据!$D$3:$D$998,数据!$E$3:$E$998,"死卵",数据!$F$3:$F$998,A850,数据!$G$3:$G$998,B850)</f>
        <v>0</v>
      </c>
      <c r="S850">
        <f>SUMIFS(数据!$D$3:$D$998,数据!$E$3:$E$998,"前期仔鱼",数据!$F$3:$F$998,A850,数据!$G$3:$G$998,B850)</f>
        <v>0</v>
      </c>
      <c r="T850">
        <f>SUMIFS(数据!$D$3:$D$998,数据!$E$3:$E$998,"仔鱼",数据!$F$3:$F$998,A850,数据!$G$3:$G$998,B850)</f>
        <v>0</v>
      </c>
      <c r="U850">
        <f>SUMIFS(数据!$D$3:$D$998,数据!$E$3:$E$998,"稚鱼",数据!$F$3:$F$998,A850,数据!$G$3:$G$998,B850)</f>
        <v>0</v>
      </c>
    </row>
    <row r="851" spans="1:21" ht="19.9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45" t="str">
        <f t="shared" si="26"/>
        <v/>
      </c>
      <c r="M851" s="45" t="str">
        <f t="shared" si="27"/>
        <v/>
      </c>
      <c r="N851" s="39" t="str">
        <f>IF(AND(A851="",B851=""),"",COUNTIFS(数据!$E$3:$E$998,"&lt;&gt;前期仔鱼",数据!$E$3:$E$998,"&lt;&gt;仔鱼",数据!$E$3:$E$998,"&lt;&gt;稚鱼",数据!$F$3:$F$998,A851,数据!$G$3:$G$998,B851))</f>
        <v/>
      </c>
      <c r="O851" s="39" t="str">
        <f>IF(AND(A851="",B851=""),"",COUNTIFS(数据!$E$3:$E$998,"&lt;&gt;鱼卵",数据!$E$3:$E$998,"&lt;&gt;死卵",数据!$F$3:$F$998,A851,数据!$G$3:$G$998,B851))</f>
        <v/>
      </c>
      <c r="P851" s="31"/>
      <c r="Q851">
        <f>SUMIFS(数据!$D$3:$D$998,数据!$E$3:$E$998,"鱼卵",数据!$F$3:$F$998,A851,数据!$G$3:$G$998,B851)</f>
        <v>0</v>
      </c>
      <c r="R851">
        <f>SUMIFS(数据!$D$3:$D$998,数据!$E$3:$E$998,"死卵",数据!$F$3:$F$998,A851,数据!$G$3:$G$998,B851)</f>
        <v>0</v>
      </c>
      <c r="S851">
        <f>SUMIFS(数据!$D$3:$D$998,数据!$E$3:$E$998,"前期仔鱼",数据!$F$3:$F$998,A851,数据!$G$3:$G$998,B851)</f>
        <v>0</v>
      </c>
      <c r="T851">
        <f>SUMIFS(数据!$D$3:$D$998,数据!$E$3:$E$998,"仔鱼",数据!$F$3:$F$998,A851,数据!$G$3:$G$998,B851)</f>
        <v>0</v>
      </c>
      <c r="U851">
        <f>SUMIFS(数据!$D$3:$D$998,数据!$E$3:$E$998,"稚鱼",数据!$F$3:$F$998,A851,数据!$G$3:$G$998,B851)</f>
        <v>0</v>
      </c>
    </row>
    <row r="852" spans="1:21" ht="19.9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45" t="str">
        <f t="shared" si="26"/>
        <v/>
      </c>
      <c r="M852" s="45" t="str">
        <f t="shared" si="27"/>
        <v/>
      </c>
      <c r="N852" s="39" t="str">
        <f>IF(AND(A852="",B852=""),"",COUNTIFS(数据!$E$3:$E$998,"&lt;&gt;前期仔鱼",数据!$E$3:$E$998,"&lt;&gt;仔鱼",数据!$E$3:$E$998,"&lt;&gt;稚鱼",数据!$F$3:$F$998,A852,数据!$G$3:$G$998,B852))</f>
        <v/>
      </c>
      <c r="O852" s="39" t="str">
        <f>IF(AND(A852="",B852=""),"",COUNTIFS(数据!$E$3:$E$998,"&lt;&gt;鱼卵",数据!$E$3:$E$998,"&lt;&gt;死卵",数据!$F$3:$F$998,A852,数据!$G$3:$G$998,B852))</f>
        <v/>
      </c>
      <c r="P852" s="31"/>
      <c r="Q852">
        <f>SUMIFS(数据!$D$3:$D$998,数据!$E$3:$E$998,"鱼卵",数据!$F$3:$F$998,A852,数据!$G$3:$G$998,B852)</f>
        <v>0</v>
      </c>
      <c r="R852">
        <f>SUMIFS(数据!$D$3:$D$998,数据!$E$3:$E$998,"死卵",数据!$F$3:$F$998,A852,数据!$G$3:$G$998,B852)</f>
        <v>0</v>
      </c>
      <c r="S852">
        <f>SUMIFS(数据!$D$3:$D$998,数据!$E$3:$E$998,"前期仔鱼",数据!$F$3:$F$998,A852,数据!$G$3:$G$998,B852)</f>
        <v>0</v>
      </c>
      <c r="T852">
        <f>SUMIFS(数据!$D$3:$D$998,数据!$E$3:$E$998,"仔鱼",数据!$F$3:$F$998,A852,数据!$G$3:$G$998,B852)</f>
        <v>0</v>
      </c>
      <c r="U852">
        <f>SUMIFS(数据!$D$3:$D$998,数据!$E$3:$E$998,"稚鱼",数据!$F$3:$F$998,A852,数据!$G$3:$G$998,B852)</f>
        <v>0</v>
      </c>
    </row>
    <row r="853" spans="1:21" ht="19.9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45" t="str">
        <f t="shared" si="26"/>
        <v/>
      </c>
      <c r="M853" s="45" t="str">
        <f t="shared" si="27"/>
        <v/>
      </c>
      <c r="N853" s="39" t="str">
        <f>IF(AND(A853="",B853=""),"",COUNTIFS(数据!$E$3:$E$998,"&lt;&gt;前期仔鱼",数据!$E$3:$E$998,"&lt;&gt;仔鱼",数据!$E$3:$E$998,"&lt;&gt;稚鱼",数据!$F$3:$F$998,A853,数据!$G$3:$G$998,B853))</f>
        <v/>
      </c>
      <c r="O853" s="39" t="str">
        <f>IF(AND(A853="",B853=""),"",COUNTIFS(数据!$E$3:$E$998,"&lt;&gt;鱼卵",数据!$E$3:$E$998,"&lt;&gt;死卵",数据!$F$3:$F$998,A853,数据!$G$3:$G$998,B853))</f>
        <v/>
      </c>
      <c r="P853" s="31"/>
      <c r="Q853">
        <f>SUMIFS(数据!$D$3:$D$998,数据!$E$3:$E$998,"鱼卵",数据!$F$3:$F$998,A853,数据!$G$3:$G$998,B853)</f>
        <v>0</v>
      </c>
      <c r="R853">
        <f>SUMIFS(数据!$D$3:$D$998,数据!$E$3:$E$998,"死卵",数据!$F$3:$F$998,A853,数据!$G$3:$G$998,B853)</f>
        <v>0</v>
      </c>
      <c r="S853">
        <f>SUMIFS(数据!$D$3:$D$998,数据!$E$3:$E$998,"前期仔鱼",数据!$F$3:$F$998,A853,数据!$G$3:$G$998,B853)</f>
        <v>0</v>
      </c>
      <c r="T853">
        <f>SUMIFS(数据!$D$3:$D$998,数据!$E$3:$E$998,"仔鱼",数据!$F$3:$F$998,A853,数据!$G$3:$G$998,B853)</f>
        <v>0</v>
      </c>
      <c r="U853">
        <f>SUMIFS(数据!$D$3:$D$998,数据!$E$3:$E$998,"稚鱼",数据!$F$3:$F$998,A853,数据!$G$3:$G$998,B853)</f>
        <v>0</v>
      </c>
    </row>
    <row r="854" spans="1:21" ht="19.9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45" t="str">
        <f t="shared" si="26"/>
        <v/>
      </c>
      <c r="M854" s="45" t="str">
        <f t="shared" si="27"/>
        <v/>
      </c>
      <c r="N854" s="39" t="str">
        <f>IF(AND(A854="",B854=""),"",COUNTIFS(数据!$E$3:$E$998,"&lt;&gt;前期仔鱼",数据!$E$3:$E$998,"&lt;&gt;仔鱼",数据!$E$3:$E$998,"&lt;&gt;稚鱼",数据!$F$3:$F$998,A854,数据!$G$3:$G$998,B854))</f>
        <v/>
      </c>
      <c r="O854" s="39" t="str">
        <f>IF(AND(A854="",B854=""),"",COUNTIFS(数据!$E$3:$E$998,"&lt;&gt;鱼卵",数据!$E$3:$E$998,"&lt;&gt;死卵",数据!$F$3:$F$998,A854,数据!$G$3:$G$998,B854))</f>
        <v/>
      </c>
      <c r="P854" s="31"/>
      <c r="Q854">
        <f>SUMIFS(数据!$D$3:$D$998,数据!$E$3:$E$998,"鱼卵",数据!$F$3:$F$998,A854,数据!$G$3:$G$998,B854)</f>
        <v>0</v>
      </c>
      <c r="R854">
        <f>SUMIFS(数据!$D$3:$D$998,数据!$E$3:$E$998,"死卵",数据!$F$3:$F$998,A854,数据!$G$3:$G$998,B854)</f>
        <v>0</v>
      </c>
      <c r="S854">
        <f>SUMIFS(数据!$D$3:$D$998,数据!$E$3:$E$998,"前期仔鱼",数据!$F$3:$F$998,A854,数据!$G$3:$G$998,B854)</f>
        <v>0</v>
      </c>
      <c r="T854">
        <f>SUMIFS(数据!$D$3:$D$998,数据!$E$3:$E$998,"仔鱼",数据!$F$3:$F$998,A854,数据!$G$3:$G$998,B854)</f>
        <v>0</v>
      </c>
      <c r="U854">
        <f>SUMIFS(数据!$D$3:$D$998,数据!$E$3:$E$998,"稚鱼",数据!$F$3:$F$998,A854,数据!$G$3:$G$998,B854)</f>
        <v>0</v>
      </c>
    </row>
    <row r="855" spans="1:21" ht="19.9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45" t="str">
        <f t="shared" si="26"/>
        <v/>
      </c>
      <c r="M855" s="45" t="str">
        <f t="shared" si="27"/>
        <v/>
      </c>
      <c r="N855" s="39" t="str">
        <f>IF(AND(A855="",B855=""),"",COUNTIFS(数据!$E$3:$E$998,"&lt;&gt;前期仔鱼",数据!$E$3:$E$998,"&lt;&gt;仔鱼",数据!$E$3:$E$998,"&lt;&gt;稚鱼",数据!$F$3:$F$998,A855,数据!$G$3:$G$998,B855))</f>
        <v/>
      </c>
      <c r="O855" s="39" t="str">
        <f>IF(AND(A855="",B855=""),"",COUNTIFS(数据!$E$3:$E$998,"&lt;&gt;鱼卵",数据!$E$3:$E$998,"&lt;&gt;死卵",数据!$F$3:$F$998,A855,数据!$G$3:$G$998,B855))</f>
        <v/>
      </c>
      <c r="P855" s="31"/>
      <c r="Q855">
        <f>SUMIFS(数据!$D$3:$D$998,数据!$E$3:$E$998,"鱼卵",数据!$F$3:$F$998,A855,数据!$G$3:$G$998,B855)</f>
        <v>0</v>
      </c>
      <c r="R855">
        <f>SUMIFS(数据!$D$3:$D$998,数据!$E$3:$E$998,"死卵",数据!$F$3:$F$998,A855,数据!$G$3:$G$998,B855)</f>
        <v>0</v>
      </c>
      <c r="S855">
        <f>SUMIFS(数据!$D$3:$D$998,数据!$E$3:$E$998,"前期仔鱼",数据!$F$3:$F$998,A855,数据!$G$3:$G$998,B855)</f>
        <v>0</v>
      </c>
      <c r="T855">
        <f>SUMIFS(数据!$D$3:$D$998,数据!$E$3:$E$998,"仔鱼",数据!$F$3:$F$998,A855,数据!$G$3:$G$998,B855)</f>
        <v>0</v>
      </c>
      <c r="U855">
        <f>SUMIFS(数据!$D$3:$D$998,数据!$E$3:$E$998,"稚鱼",数据!$F$3:$F$998,A855,数据!$G$3:$G$998,B855)</f>
        <v>0</v>
      </c>
    </row>
    <row r="856" spans="1:21" ht="19.9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45" t="str">
        <f t="shared" si="26"/>
        <v/>
      </c>
      <c r="M856" s="45" t="str">
        <f t="shared" si="27"/>
        <v/>
      </c>
      <c r="N856" s="39" t="str">
        <f>IF(AND(A856="",B856=""),"",COUNTIFS(数据!$E$3:$E$998,"&lt;&gt;前期仔鱼",数据!$E$3:$E$998,"&lt;&gt;仔鱼",数据!$E$3:$E$998,"&lt;&gt;稚鱼",数据!$F$3:$F$998,A856,数据!$G$3:$G$998,B856))</f>
        <v/>
      </c>
      <c r="O856" s="39" t="str">
        <f>IF(AND(A856="",B856=""),"",COUNTIFS(数据!$E$3:$E$998,"&lt;&gt;鱼卵",数据!$E$3:$E$998,"&lt;&gt;死卵",数据!$F$3:$F$998,A856,数据!$G$3:$G$998,B856))</f>
        <v/>
      </c>
      <c r="P856" s="31"/>
      <c r="Q856">
        <f>SUMIFS(数据!$D$3:$D$998,数据!$E$3:$E$998,"鱼卵",数据!$F$3:$F$998,A856,数据!$G$3:$G$998,B856)</f>
        <v>0</v>
      </c>
      <c r="R856">
        <f>SUMIFS(数据!$D$3:$D$998,数据!$E$3:$E$998,"死卵",数据!$F$3:$F$998,A856,数据!$G$3:$G$998,B856)</f>
        <v>0</v>
      </c>
      <c r="S856">
        <f>SUMIFS(数据!$D$3:$D$998,数据!$E$3:$E$998,"前期仔鱼",数据!$F$3:$F$998,A856,数据!$G$3:$G$998,B856)</f>
        <v>0</v>
      </c>
      <c r="T856">
        <f>SUMIFS(数据!$D$3:$D$998,数据!$E$3:$E$998,"仔鱼",数据!$F$3:$F$998,A856,数据!$G$3:$G$998,B856)</f>
        <v>0</v>
      </c>
      <c r="U856">
        <f>SUMIFS(数据!$D$3:$D$998,数据!$E$3:$E$998,"稚鱼",数据!$F$3:$F$998,A856,数据!$G$3:$G$998,B856)</f>
        <v>0</v>
      </c>
    </row>
    <row r="857" spans="1:21" ht="19.9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45" t="str">
        <f t="shared" si="26"/>
        <v/>
      </c>
      <c r="M857" s="45" t="str">
        <f t="shared" si="27"/>
        <v/>
      </c>
      <c r="N857" s="39" t="str">
        <f>IF(AND(A857="",B857=""),"",COUNTIFS(数据!$E$3:$E$998,"&lt;&gt;前期仔鱼",数据!$E$3:$E$998,"&lt;&gt;仔鱼",数据!$E$3:$E$998,"&lt;&gt;稚鱼",数据!$F$3:$F$998,A857,数据!$G$3:$G$998,B857))</f>
        <v/>
      </c>
      <c r="O857" s="39" t="str">
        <f>IF(AND(A857="",B857=""),"",COUNTIFS(数据!$E$3:$E$998,"&lt;&gt;鱼卵",数据!$E$3:$E$998,"&lt;&gt;死卵",数据!$F$3:$F$998,A857,数据!$G$3:$G$998,B857))</f>
        <v/>
      </c>
      <c r="P857" s="31"/>
      <c r="Q857">
        <f>SUMIFS(数据!$D$3:$D$998,数据!$E$3:$E$998,"鱼卵",数据!$F$3:$F$998,A857,数据!$G$3:$G$998,B857)</f>
        <v>0</v>
      </c>
      <c r="R857">
        <f>SUMIFS(数据!$D$3:$D$998,数据!$E$3:$E$998,"死卵",数据!$F$3:$F$998,A857,数据!$G$3:$G$998,B857)</f>
        <v>0</v>
      </c>
      <c r="S857">
        <f>SUMIFS(数据!$D$3:$D$998,数据!$E$3:$E$998,"前期仔鱼",数据!$F$3:$F$998,A857,数据!$G$3:$G$998,B857)</f>
        <v>0</v>
      </c>
      <c r="T857">
        <f>SUMIFS(数据!$D$3:$D$998,数据!$E$3:$E$998,"仔鱼",数据!$F$3:$F$998,A857,数据!$G$3:$G$998,B857)</f>
        <v>0</v>
      </c>
      <c r="U857">
        <f>SUMIFS(数据!$D$3:$D$998,数据!$E$3:$E$998,"稚鱼",数据!$F$3:$F$998,A857,数据!$G$3:$G$998,B857)</f>
        <v>0</v>
      </c>
    </row>
    <row r="858" spans="1:21" ht="19.9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45" t="str">
        <f t="shared" si="26"/>
        <v/>
      </c>
      <c r="M858" s="45" t="str">
        <f t="shared" si="27"/>
        <v/>
      </c>
      <c r="N858" s="39" t="str">
        <f>IF(AND(A858="",B858=""),"",COUNTIFS(数据!$E$3:$E$998,"&lt;&gt;前期仔鱼",数据!$E$3:$E$998,"&lt;&gt;仔鱼",数据!$E$3:$E$998,"&lt;&gt;稚鱼",数据!$F$3:$F$998,A858,数据!$G$3:$G$998,B858))</f>
        <v/>
      </c>
      <c r="O858" s="39" t="str">
        <f>IF(AND(A858="",B858=""),"",COUNTIFS(数据!$E$3:$E$998,"&lt;&gt;鱼卵",数据!$E$3:$E$998,"&lt;&gt;死卵",数据!$F$3:$F$998,A858,数据!$G$3:$G$998,B858))</f>
        <v/>
      </c>
      <c r="P858" s="31"/>
      <c r="Q858">
        <f>SUMIFS(数据!$D$3:$D$998,数据!$E$3:$E$998,"鱼卵",数据!$F$3:$F$998,A858,数据!$G$3:$G$998,B858)</f>
        <v>0</v>
      </c>
      <c r="R858">
        <f>SUMIFS(数据!$D$3:$D$998,数据!$E$3:$E$998,"死卵",数据!$F$3:$F$998,A858,数据!$G$3:$G$998,B858)</f>
        <v>0</v>
      </c>
      <c r="S858">
        <f>SUMIFS(数据!$D$3:$D$998,数据!$E$3:$E$998,"前期仔鱼",数据!$F$3:$F$998,A858,数据!$G$3:$G$998,B858)</f>
        <v>0</v>
      </c>
      <c r="T858">
        <f>SUMIFS(数据!$D$3:$D$998,数据!$E$3:$E$998,"仔鱼",数据!$F$3:$F$998,A858,数据!$G$3:$G$998,B858)</f>
        <v>0</v>
      </c>
      <c r="U858">
        <f>SUMIFS(数据!$D$3:$D$998,数据!$E$3:$E$998,"稚鱼",数据!$F$3:$F$998,A858,数据!$G$3:$G$998,B858)</f>
        <v>0</v>
      </c>
    </row>
    <row r="859" spans="1:21" ht="19.9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45" t="str">
        <f t="shared" si="26"/>
        <v/>
      </c>
      <c r="M859" s="45" t="str">
        <f t="shared" si="27"/>
        <v/>
      </c>
      <c r="N859" s="39" t="str">
        <f>IF(AND(A859="",B859=""),"",COUNTIFS(数据!$E$3:$E$998,"&lt;&gt;前期仔鱼",数据!$E$3:$E$998,"&lt;&gt;仔鱼",数据!$E$3:$E$998,"&lt;&gt;稚鱼",数据!$F$3:$F$998,A859,数据!$G$3:$G$998,B859))</f>
        <v/>
      </c>
      <c r="O859" s="39" t="str">
        <f>IF(AND(A859="",B859=""),"",COUNTIFS(数据!$E$3:$E$998,"&lt;&gt;鱼卵",数据!$E$3:$E$998,"&lt;&gt;死卵",数据!$F$3:$F$998,A859,数据!$G$3:$G$998,B859))</f>
        <v/>
      </c>
      <c r="P859" s="31"/>
      <c r="Q859">
        <f>SUMIFS(数据!$D$3:$D$998,数据!$E$3:$E$998,"鱼卵",数据!$F$3:$F$998,A859,数据!$G$3:$G$998,B859)</f>
        <v>0</v>
      </c>
      <c r="R859">
        <f>SUMIFS(数据!$D$3:$D$998,数据!$E$3:$E$998,"死卵",数据!$F$3:$F$998,A859,数据!$G$3:$G$998,B859)</f>
        <v>0</v>
      </c>
      <c r="S859">
        <f>SUMIFS(数据!$D$3:$D$998,数据!$E$3:$E$998,"前期仔鱼",数据!$F$3:$F$998,A859,数据!$G$3:$G$998,B859)</f>
        <v>0</v>
      </c>
      <c r="T859">
        <f>SUMIFS(数据!$D$3:$D$998,数据!$E$3:$E$998,"仔鱼",数据!$F$3:$F$998,A859,数据!$G$3:$G$998,B859)</f>
        <v>0</v>
      </c>
      <c r="U859">
        <f>SUMIFS(数据!$D$3:$D$998,数据!$E$3:$E$998,"稚鱼",数据!$F$3:$F$998,A859,数据!$G$3:$G$998,B859)</f>
        <v>0</v>
      </c>
    </row>
    <row r="860" spans="1:21" ht="19.9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45" t="str">
        <f t="shared" si="26"/>
        <v/>
      </c>
      <c r="M860" s="45" t="str">
        <f t="shared" si="27"/>
        <v/>
      </c>
      <c r="N860" s="39" t="str">
        <f>IF(AND(A860="",B860=""),"",COUNTIFS(数据!$E$3:$E$998,"&lt;&gt;前期仔鱼",数据!$E$3:$E$998,"&lt;&gt;仔鱼",数据!$E$3:$E$998,"&lt;&gt;稚鱼",数据!$F$3:$F$998,A860,数据!$G$3:$G$998,B860))</f>
        <v/>
      </c>
      <c r="O860" s="39" t="str">
        <f>IF(AND(A860="",B860=""),"",COUNTIFS(数据!$E$3:$E$998,"&lt;&gt;鱼卵",数据!$E$3:$E$998,"&lt;&gt;死卵",数据!$F$3:$F$998,A860,数据!$G$3:$G$998,B860))</f>
        <v/>
      </c>
      <c r="P860" s="31"/>
      <c r="Q860">
        <f>SUMIFS(数据!$D$3:$D$998,数据!$E$3:$E$998,"鱼卵",数据!$F$3:$F$998,A860,数据!$G$3:$G$998,B860)</f>
        <v>0</v>
      </c>
      <c r="R860">
        <f>SUMIFS(数据!$D$3:$D$998,数据!$E$3:$E$998,"死卵",数据!$F$3:$F$998,A860,数据!$G$3:$G$998,B860)</f>
        <v>0</v>
      </c>
      <c r="S860">
        <f>SUMIFS(数据!$D$3:$D$998,数据!$E$3:$E$998,"前期仔鱼",数据!$F$3:$F$998,A860,数据!$G$3:$G$998,B860)</f>
        <v>0</v>
      </c>
      <c r="T860">
        <f>SUMIFS(数据!$D$3:$D$998,数据!$E$3:$E$998,"仔鱼",数据!$F$3:$F$998,A860,数据!$G$3:$G$998,B860)</f>
        <v>0</v>
      </c>
      <c r="U860">
        <f>SUMIFS(数据!$D$3:$D$998,数据!$E$3:$E$998,"稚鱼",数据!$F$3:$F$998,A860,数据!$G$3:$G$998,B860)</f>
        <v>0</v>
      </c>
    </row>
    <row r="861" spans="1:21" ht="19.9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45" t="str">
        <f t="shared" si="26"/>
        <v/>
      </c>
      <c r="M861" s="45" t="str">
        <f t="shared" si="27"/>
        <v/>
      </c>
      <c r="N861" s="39" t="str">
        <f>IF(AND(A861="",B861=""),"",COUNTIFS(数据!$E$3:$E$998,"&lt;&gt;前期仔鱼",数据!$E$3:$E$998,"&lt;&gt;仔鱼",数据!$E$3:$E$998,"&lt;&gt;稚鱼",数据!$F$3:$F$998,A861,数据!$G$3:$G$998,B861))</f>
        <v/>
      </c>
      <c r="O861" s="39" t="str">
        <f>IF(AND(A861="",B861=""),"",COUNTIFS(数据!$E$3:$E$998,"&lt;&gt;鱼卵",数据!$E$3:$E$998,"&lt;&gt;死卵",数据!$F$3:$F$998,A861,数据!$G$3:$G$998,B861))</f>
        <v/>
      </c>
      <c r="P861" s="31"/>
      <c r="Q861">
        <f>SUMIFS(数据!$D$3:$D$998,数据!$E$3:$E$998,"鱼卵",数据!$F$3:$F$998,A861,数据!$G$3:$G$998,B861)</f>
        <v>0</v>
      </c>
      <c r="R861">
        <f>SUMIFS(数据!$D$3:$D$998,数据!$E$3:$E$998,"死卵",数据!$F$3:$F$998,A861,数据!$G$3:$G$998,B861)</f>
        <v>0</v>
      </c>
      <c r="S861">
        <f>SUMIFS(数据!$D$3:$D$998,数据!$E$3:$E$998,"前期仔鱼",数据!$F$3:$F$998,A861,数据!$G$3:$G$998,B861)</f>
        <v>0</v>
      </c>
      <c r="T861">
        <f>SUMIFS(数据!$D$3:$D$998,数据!$E$3:$E$998,"仔鱼",数据!$F$3:$F$998,A861,数据!$G$3:$G$998,B861)</f>
        <v>0</v>
      </c>
      <c r="U861">
        <f>SUMIFS(数据!$D$3:$D$998,数据!$E$3:$E$998,"稚鱼",数据!$F$3:$F$998,A861,数据!$G$3:$G$998,B861)</f>
        <v>0</v>
      </c>
    </row>
    <row r="862" spans="1:21" ht="19.9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45" t="str">
        <f t="shared" si="26"/>
        <v/>
      </c>
      <c r="M862" s="45" t="str">
        <f t="shared" si="27"/>
        <v/>
      </c>
      <c r="N862" s="39" t="str">
        <f>IF(AND(A862="",B862=""),"",COUNTIFS(数据!$E$3:$E$998,"&lt;&gt;前期仔鱼",数据!$E$3:$E$998,"&lt;&gt;仔鱼",数据!$E$3:$E$998,"&lt;&gt;稚鱼",数据!$F$3:$F$998,A862,数据!$G$3:$G$998,B862))</f>
        <v/>
      </c>
      <c r="O862" s="39" t="str">
        <f>IF(AND(A862="",B862=""),"",COUNTIFS(数据!$E$3:$E$998,"&lt;&gt;鱼卵",数据!$E$3:$E$998,"&lt;&gt;死卵",数据!$F$3:$F$998,A862,数据!$G$3:$G$998,B862))</f>
        <v/>
      </c>
      <c r="P862" s="31"/>
      <c r="Q862">
        <f>SUMIFS(数据!$D$3:$D$998,数据!$E$3:$E$998,"鱼卵",数据!$F$3:$F$998,A862,数据!$G$3:$G$998,B862)</f>
        <v>0</v>
      </c>
      <c r="R862">
        <f>SUMIFS(数据!$D$3:$D$998,数据!$E$3:$E$998,"死卵",数据!$F$3:$F$998,A862,数据!$G$3:$G$998,B862)</f>
        <v>0</v>
      </c>
      <c r="S862">
        <f>SUMIFS(数据!$D$3:$D$998,数据!$E$3:$E$998,"前期仔鱼",数据!$F$3:$F$998,A862,数据!$G$3:$G$998,B862)</f>
        <v>0</v>
      </c>
      <c r="T862">
        <f>SUMIFS(数据!$D$3:$D$998,数据!$E$3:$E$998,"仔鱼",数据!$F$3:$F$998,A862,数据!$G$3:$G$998,B862)</f>
        <v>0</v>
      </c>
      <c r="U862">
        <f>SUMIFS(数据!$D$3:$D$998,数据!$E$3:$E$998,"稚鱼",数据!$F$3:$F$998,A862,数据!$G$3:$G$998,B862)</f>
        <v>0</v>
      </c>
    </row>
    <row r="863" spans="1:21" ht="19.9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45" t="str">
        <f t="shared" si="26"/>
        <v/>
      </c>
      <c r="M863" s="45" t="str">
        <f t="shared" si="27"/>
        <v/>
      </c>
      <c r="N863" s="39" t="str">
        <f>IF(AND(A863="",B863=""),"",COUNTIFS(数据!$E$3:$E$998,"&lt;&gt;前期仔鱼",数据!$E$3:$E$998,"&lt;&gt;仔鱼",数据!$E$3:$E$998,"&lt;&gt;稚鱼",数据!$F$3:$F$998,A863,数据!$G$3:$G$998,B863))</f>
        <v/>
      </c>
      <c r="O863" s="39" t="str">
        <f>IF(AND(A863="",B863=""),"",COUNTIFS(数据!$E$3:$E$998,"&lt;&gt;鱼卵",数据!$E$3:$E$998,"&lt;&gt;死卵",数据!$F$3:$F$998,A863,数据!$G$3:$G$998,B863))</f>
        <v/>
      </c>
      <c r="P863" s="31"/>
      <c r="Q863">
        <f>SUMIFS(数据!$D$3:$D$998,数据!$E$3:$E$998,"鱼卵",数据!$F$3:$F$998,A863,数据!$G$3:$G$998,B863)</f>
        <v>0</v>
      </c>
      <c r="R863">
        <f>SUMIFS(数据!$D$3:$D$998,数据!$E$3:$E$998,"死卵",数据!$F$3:$F$998,A863,数据!$G$3:$G$998,B863)</f>
        <v>0</v>
      </c>
      <c r="S863">
        <f>SUMIFS(数据!$D$3:$D$998,数据!$E$3:$E$998,"前期仔鱼",数据!$F$3:$F$998,A863,数据!$G$3:$G$998,B863)</f>
        <v>0</v>
      </c>
      <c r="T863">
        <f>SUMIFS(数据!$D$3:$D$998,数据!$E$3:$E$998,"仔鱼",数据!$F$3:$F$998,A863,数据!$G$3:$G$998,B863)</f>
        <v>0</v>
      </c>
      <c r="U863">
        <f>SUMIFS(数据!$D$3:$D$998,数据!$E$3:$E$998,"稚鱼",数据!$F$3:$F$998,A863,数据!$G$3:$G$998,B863)</f>
        <v>0</v>
      </c>
    </row>
    <row r="864" spans="1:21" ht="19.9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45" t="str">
        <f t="shared" si="26"/>
        <v/>
      </c>
      <c r="M864" s="45" t="str">
        <f t="shared" si="27"/>
        <v/>
      </c>
      <c r="N864" s="39" t="str">
        <f>IF(AND(A864="",B864=""),"",COUNTIFS(数据!$E$3:$E$998,"&lt;&gt;前期仔鱼",数据!$E$3:$E$998,"&lt;&gt;仔鱼",数据!$E$3:$E$998,"&lt;&gt;稚鱼",数据!$F$3:$F$998,A864,数据!$G$3:$G$998,B864))</f>
        <v/>
      </c>
      <c r="O864" s="39" t="str">
        <f>IF(AND(A864="",B864=""),"",COUNTIFS(数据!$E$3:$E$998,"&lt;&gt;鱼卵",数据!$E$3:$E$998,"&lt;&gt;死卵",数据!$F$3:$F$998,A864,数据!$G$3:$G$998,B864))</f>
        <v/>
      </c>
      <c r="P864" s="31"/>
      <c r="Q864">
        <f>SUMIFS(数据!$D$3:$D$998,数据!$E$3:$E$998,"鱼卵",数据!$F$3:$F$998,A864,数据!$G$3:$G$998,B864)</f>
        <v>0</v>
      </c>
      <c r="R864">
        <f>SUMIFS(数据!$D$3:$D$998,数据!$E$3:$E$998,"死卵",数据!$F$3:$F$998,A864,数据!$G$3:$G$998,B864)</f>
        <v>0</v>
      </c>
      <c r="S864">
        <f>SUMIFS(数据!$D$3:$D$998,数据!$E$3:$E$998,"前期仔鱼",数据!$F$3:$F$998,A864,数据!$G$3:$G$998,B864)</f>
        <v>0</v>
      </c>
      <c r="T864">
        <f>SUMIFS(数据!$D$3:$D$998,数据!$E$3:$E$998,"仔鱼",数据!$F$3:$F$998,A864,数据!$G$3:$G$998,B864)</f>
        <v>0</v>
      </c>
      <c r="U864">
        <f>SUMIFS(数据!$D$3:$D$998,数据!$E$3:$E$998,"稚鱼",数据!$F$3:$F$998,A864,数据!$G$3:$G$998,B864)</f>
        <v>0</v>
      </c>
    </row>
    <row r="865" spans="1:21" ht="19.9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45" t="str">
        <f t="shared" si="26"/>
        <v/>
      </c>
      <c r="M865" s="45" t="str">
        <f t="shared" si="27"/>
        <v/>
      </c>
      <c r="N865" s="39" t="str">
        <f>IF(AND(A865="",B865=""),"",COUNTIFS(数据!$E$3:$E$998,"&lt;&gt;前期仔鱼",数据!$E$3:$E$998,"&lt;&gt;仔鱼",数据!$E$3:$E$998,"&lt;&gt;稚鱼",数据!$F$3:$F$998,A865,数据!$G$3:$G$998,B865))</f>
        <v/>
      </c>
      <c r="O865" s="39" t="str">
        <f>IF(AND(A865="",B865=""),"",COUNTIFS(数据!$E$3:$E$998,"&lt;&gt;鱼卵",数据!$E$3:$E$998,"&lt;&gt;死卵",数据!$F$3:$F$998,A865,数据!$G$3:$G$998,B865))</f>
        <v/>
      </c>
      <c r="P865" s="31"/>
      <c r="Q865">
        <f>SUMIFS(数据!$D$3:$D$998,数据!$E$3:$E$998,"鱼卵",数据!$F$3:$F$998,A865,数据!$G$3:$G$998,B865)</f>
        <v>0</v>
      </c>
      <c r="R865">
        <f>SUMIFS(数据!$D$3:$D$998,数据!$E$3:$E$998,"死卵",数据!$F$3:$F$998,A865,数据!$G$3:$G$998,B865)</f>
        <v>0</v>
      </c>
      <c r="S865">
        <f>SUMIFS(数据!$D$3:$D$998,数据!$E$3:$E$998,"前期仔鱼",数据!$F$3:$F$998,A865,数据!$G$3:$G$998,B865)</f>
        <v>0</v>
      </c>
      <c r="T865">
        <f>SUMIFS(数据!$D$3:$D$998,数据!$E$3:$E$998,"仔鱼",数据!$F$3:$F$998,A865,数据!$G$3:$G$998,B865)</f>
        <v>0</v>
      </c>
      <c r="U865">
        <f>SUMIFS(数据!$D$3:$D$998,数据!$E$3:$E$998,"稚鱼",数据!$F$3:$F$998,A865,数据!$G$3:$G$998,B865)</f>
        <v>0</v>
      </c>
    </row>
    <row r="866" spans="1:21" ht="19.9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45" t="str">
        <f t="shared" si="26"/>
        <v/>
      </c>
      <c r="M866" s="45" t="str">
        <f t="shared" si="27"/>
        <v/>
      </c>
      <c r="N866" s="39" t="str">
        <f>IF(AND(A866="",B866=""),"",COUNTIFS(数据!$E$3:$E$998,"&lt;&gt;前期仔鱼",数据!$E$3:$E$998,"&lt;&gt;仔鱼",数据!$E$3:$E$998,"&lt;&gt;稚鱼",数据!$F$3:$F$998,A866,数据!$G$3:$G$998,B866))</f>
        <v/>
      </c>
      <c r="O866" s="39" t="str">
        <f>IF(AND(A866="",B866=""),"",COUNTIFS(数据!$E$3:$E$998,"&lt;&gt;鱼卵",数据!$E$3:$E$998,"&lt;&gt;死卵",数据!$F$3:$F$998,A866,数据!$G$3:$G$998,B866))</f>
        <v/>
      </c>
      <c r="P866" s="31"/>
      <c r="Q866">
        <f>SUMIFS(数据!$D$3:$D$998,数据!$E$3:$E$998,"鱼卵",数据!$F$3:$F$998,A866,数据!$G$3:$G$998,B866)</f>
        <v>0</v>
      </c>
      <c r="R866">
        <f>SUMIFS(数据!$D$3:$D$998,数据!$E$3:$E$998,"死卵",数据!$F$3:$F$998,A866,数据!$G$3:$G$998,B866)</f>
        <v>0</v>
      </c>
      <c r="S866">
        <f>SUMIFS(数据!$D$3:$D$998,数据!$E$3:$E$998,"前期仔鱼",数据!$F$3:$F$998,A866,数据!$G$3:$G$998,B866)</f>
        <v>0</v>
      </c>
      <c r="T866">
        <f>SUMIFS(数据!$D$3:$D$998,数据!$E$3:$E$998,"仔鱼",数据!$F$3:$F$998,A866,数据!$G$3:$G$998,B866)</f>
        <v>0</v>
      </c>
      <c r="U866">
        <f>SUMIFS(数据!$D$3:$D$998,数据!$E$3:$E$998,"稚鱼",数据!$F$3:$F$998,A866,数据!$G$3:$G$998,B866)</f>
        <v>0</v>
      </c>
    </row>
    <row r="867" spans="1:21" ht="19.9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45" t="str">
        <f t="shared" si="26"/>
        <v/>
      </c>
      <c r="M867" s="45" t="str">
        <f t="shared" si="27"/>
        <v/>
      </c>
      <c r="N867" s="39" t="str">
        <f>IF(AND(A867="",B867=""),"",COUNTIFS(数据!$E$3:$E$998,"&lt;&gt;前期仔鱼",数据!$E$3:$E$998,"&lt;&gt;仔鱼",数据!$E$3:$E$998,"&lt;&gt;稚鱼",数据!$F$3:$F$998,A867,数据!$G$3:$G$998,B867))</f>
        <v/>
      </c>
      <c r="O867" s="39" t="str">
        <f>IF(AND(A867="",B867=""),"",COUNTIFS(数据!$E$3:$E$998,"&lt;&gt;鱼卵",数据!$E$3:$E$998,"&lt;&gt;死卵",数据!$F$3:$F$998,A867,数据!$G$3:$G$998,B867))</f>
        <v/>
      </c>
      <c r="P867" s="31"/>
      <c r="Q867">
        <f>SUMIFS(数据!$D$3:$D$998,数据!$E$3:$E$998,"鱼卵",数据!$F$3:$F$998,A867,数据!$G$3:$G$998,B867)</f>
        <v>0</v>
      </c>
      <c r="R867">
        <f>SUMIFS(数据!$D$3:$D$998,数据!$E$3:$E$998,"死卵",数据!$F$3:$F$998,A867,数据!$G$3:$G$998,B867)</f>
        <v>0</v>
      </c>
      <c r="S867">
        <f>SUMIFS(数据!$D$3:$D$998,数据!$E$3:$E$998,"前期仔鱼",数据!$F$3:$F$998,A867,数据!$G$3:$G$998,B867)</f>
        <v>0</v>
      </c>
      <c r="T867">
        <f>SUMIFS(数据!$D$3:$D$998,数据!$E$3:$E$998,"仔鱼",数据!$F$3:$F$998,A867,数据!$G$3:$G$998,B867)</f>
        <v>0</v>
      </c>
      <c r="U867">
        <f>SUMIFS(数据!$D$3:$D$998,数据!$E$3:$E$998,"稚鱼",数据!$F$3:$F$998,A867,数据!$G$3:$G$998,B867)</f>
        <v>0</v>
      </c>
    </row>
    <row r="868" spans="1:21" ht="19.9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45" t="str">
        <f t="shared" si="26"/>
        <v/>
      </c>
      <c r="M868" s="45" t="str">
        <f t="shared" si="27"/>
        <v/>
      </c>
      <c r="N868" s="39" t="str">
        <f>IF(AND(A868="",B868=""),"",COUNTIFS(数据!$E$3:$E$998,"&lt;&gt;前期仔鱼",数据!$E$3:$E$998,"&lt;&gt;仔鱼",数据!$E$3:$E$998,"&lt;&gt;稚鱼",数据!$F$3:$F$998,A868,数据!$G$3:$G$998,B868))</f>
        <v/>
      </c>
      <c r="O868" s="39" t="str">
        <f>IF(AND(A868="",B868=""),"",COUNTIFS(数据!$E$3:$E$998,"&lt;&gt;鱼卵",数据!$E$3:$E$998,"&lt;&gt;死卵",数据!$F$3:$F$998,A868,数据!$G$3:$G$998,B868))</f>
        <v/>
      </c>
      <c r="P868" s="31"/>
      <c r="Q868">
        <f>SUMIFS(数据!$D$3:$D$998,数据!$E$3:$E$998,"鱼卵",数据!$F$3:$F$998,A868,数据!$G$3:$G$998,B868)</f>
        <v>0</v>
      </c>
      <c r="R868">
        <f>SUMIFS(数据!$D$3:$D$998,数据!$E$3:$E$998,"死卵",数据!$F$3:$F$998,A868,数据!$G$3:$G$998,B868)</f>
        <v>0</v>
      </c>
      <c r="S868">
        <f>SUMIFS(数据!$D$3:$D$998,数据!$E$3:$E$998,"前期仔鱼",数据!$F$3:$F$998,A868,数据!$G$3:$G$998,B868)</f>
        <v>0</v>
      </c>
      <c r="T868">
        <f>SUMIFS(数据!$D$3:$D$998,数据!$E$3:$E$998,"仔鱼",数据!$F$3:$F$998,A868,数据!$G$3:$G$998,B868)</f>
        <v>0</v>
      </c>
      <c r="U868">
        <f>SUMIFS(数据!$D$3:$D$998,数据!$E$3:$E$998,"稚鱼",数据!$F$3:$F$998,A868,数据!$G$3:$G$998,B868)</f>
        <v>0</v>
      </c>
    </row>
    <row r="869" spans="1:21" ht="19.9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45" t="str">
        <f t="shared" si="26"/>
        <v/>
      </c>
      <c r="M869" s="45" t="str">
        <f t="shared" si="27"/>
        <v/>
      </c>
      <c r="N869" s="39" t="str">
        <f>IF(AND(A869="",B869=""),"",COUNTIFS(数据!$E$3:$E$998,"&lt;&gt;前期仔鱼",数据!$E$3:$E$998,"&lt;&gt;仔鱼",数据!$E$3:$E$998,"&lt;&gt;稚鱼",数据!$F$3:$F$998,A869,数据!$G$3:$G$998,B869))</f>
        <v/>
      </c>
      <c r="O869" s="39" t="str">
        <f>IF(AND(A869="",B869=""),"",COUNTIFS(数据!$E$3:$E$998,"&lt;&gt;鱼卵",数据!$E$3:$E$998,"&lt;&gt;死卵",数据!$F$3:$F$998,A869,数据!$G$3:$G$998,B869))</f>
        <v/>
      </c>
      <c r="P869" s="31"/>
      <c r="Q869">
        <f>SUMIFS(数据!$D$3:$D$998,数据!$E$3:$E$998,"鱼卵",数据!$F$3:$F$998,A869,数据!$G$3:$G$998,B869)</f>
        <v>0</v>
      </c>
      <c r="R869">
        <f>SUMIFS(数据!$D$3:$D$998,数据!$E$3:$E$998,"死卵",数据!$F$3:$F$998,A869,数据!$G$3:$G$998,B869)</f>
        <v>0</v>
      </c>
      <c r="S869">
        <f>SUMIFS(数据!$D$3:$D$998,数据!$E$3:$E$998,"前期仔鱼",数据!$F$3:$F$998,A869,数据!$G$3:$G$998,B869)</f>
        <v>0</v>
      </c>
      <c r="T869">
        <f>SUMIFS(数据!$D$3:$D$998,数据!$E$3:$E$998,"仔鱼",数据!$F$3:$F$998,A869,数据!$G$3:$G$998,B869)</f>
        <v>0</v>
      </c>
      <c r="U869">
        <f>SUMIFS(数据!$D$3:$D$998,数据!$E$3:$E$998,"稚鱼",数据!$F$3:$F$998,A869,数据!$G$3:$G$998,B869)</f>
        <v>0</v>
      </c>
    </row>
    <row r="870" spans="1:21" ht="19.9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45" t="str">
        <f t="shared" si="26"/>
        <v/>
      </c>
      <c r="M870" s="45" t="str">
        <f t="shared" si="27"/>
        <v/>
      </c>
      <c r="N870" s="39" t="str">
        <f>IF(AND(A870="",B870=""),"",COUNTIFS(数据!$E$3:$E$998,"&lt;&gt;前期仔鱼",数据!$E$3:$E$998,"&lt;&gt;仔鱼",数据!$E$3:$E$998,"&lt;&gt;稚鱼",数据!$F$3:$F$998,A870,数据!$G$3:$G$998,B870))</f>
        <v/>
      </c>
      <c r="O870" s="39" t="str">
        <f>IF(AND(A870="",B870=""),"",COUNTIFS(数据!$E$3:$E$998,"&lt;&gt;鱼卵",数据!$E$3:$E$998,"&lt;&gt;死卵",数据!$F$3:$F$998,A870,数据!$G$3:$G$998,B870))</f>
        <v/>
      </c>
      <c r="P870" s="31"/>
      <c r="Q870">
        <f>SUMIFS(数据!$D$3:$D$998,数据!$E$3:$E$998,"鱼卵",数据!$F$3:$F$998,A870,数据!$G$3:$G$998,B870)</f>
        <v>0</v>
      </c>
      <c r="R870">
        <f>SUMIFS(数据!$D$3:$D$998,数据!$E$3:$E$998,"死卵",数据!$F$3:$F$998,A870,数据!$G$3:$G$998,B870)</f>
        <v>0</v>
      </c>
      <c r="S870">
        <f>SUMIFS(数据!$D$3:$D$998,数据!$E$3:$E$998,"前期仔鱼",数据!$F$3:$F$998,A870,数据!$G$3:$G$998,B870)</f>
        <v>0</v>
      </c>
      <c r="T870">
        <f>SUMIFS(数据!$D$3:$D$998,数据!$E$3:$E$998,"仔鱼",数据!$F$3:$F$998,A870,数据!$G$3:$G$998,B870)</f>
        <v>0</v>
      </c>
      <c r="U870">
        <f>SUMIFS(数据!$D$3:$D$998,数据!$E$3:$E$998,"稚鱼",数据!$F$3:$F$998,A870,数据!$G$3:$G$998,B870)</f>
        <v>0</v>
      </c>
    </row>
    <row r="871" spans="1:21" ht="19.9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45" t="str">
        <f t="shared" si="26"/>
        <v/>
      </c>
      <c r="M871" s="45" t="str">
        <f t="shared" si="27"/>
        <v/>
      </c>
      <c r="N871" s="39" t="str">
        <f>IF(AND(A871="",B871=""),"",COUNTIFS(数据!$E$3:$E$998,"&lt;&gt;前期仔鱼",数据!$E$3:$E$998,"&lt;&gt;仔鱼",数据!$E$3:$E$998,"&lt;&gt;稚鱼",数据!$F$3:$F$998,A871,数据!$G$3:$G$998,B871))</f>
        <v/>
      </c>
      <c r="O871" s="39" t="str">
        <f>IF(AND(A871="",B871=""),"",COUNTIFS(数据!$E$3:$E$998,"&lt;&gt;鱼卵",数据!$E$3:$E$998,"&lt;&gt;死卵",数据!$F$3:$F$998,A871,数据!$G$3:$G$998,B871))</f>
        <v/>
      </c>
      <c r="P871" s="31"/>
      <c r="Q871">
        <f>SUMIFS(数据!$D$3:$D$998,数据!$E$3:$E$998,"鱼卵",数据!$F$3:$F$998,A871,数据!$G$3:$G$998,B871)</f>
        <v>0</v>
      </c>
      <c r="R871">
        <f>SUMIFS(数据!$D$3:$D$998,数据!$E$3:$E$998,"死卵",数据!$F$3:$F$998,A871,数据!$G$3:$G$998,B871)</f>
        <v>0</v>
      </c>
      <c r="S871">
        <f>SUMIFS(数据!$D$3:$D$998,数据!$E$3:$E$998,"前期仔鱼",数据!$F$3:$F$998,A871,数据!$G$3:$G$998,B871)</f>
        <v>0</v>
      </c>
      <c r="T871">
        <f>SUMIFS(数据!$D$3:$D$998,数据!$E$3:$E$998,"仔鱼",数据!$F$3:$F$998,A871,数据!$G$3:$G$998,B871)</f>
        <v>0</v>
      </c>
      <c r="U871">
        <f>SUMIFS(数据!$D$3:$D$998,数据!$E$3:$E$998,"稚鱼",数据!$F$3:$F$998,A871,数据!$G$3:$G$998,B871)</f>
        <v>0</v>
      </c>
    </row>
    <row r="872" spans="1:21" ht="19.9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45" t="str">
        <f t="shared" si="26"/>
        <v/>
      </c>
      <c r="M872" s="45" t="str">
        <f t="shared" si="27"/>
        <v/>
      </c>
      <c r="N872" s="39" t="str">
        <f>IF(AND(A872="",B872=""),"",COUNTIFS(数据!$E$3:$E$998,"&lt;&gt;前期仔鱼",数据!$E$3:$E$998,"&lt;&gt;仔鱼",数据!$E$3:$E$998,"&lt;&gt;稚鱼",数据!$F$3:$F$998,A872,数据!$G$3:$G$998,B872))</f>
        <v/>
      </c>
      <c r="O872" s="39" t="str">
        <f>IF(AND(A872="",B872=""),"",COUNTIFS(数据!$E$3:$E$998,"&lt;&gt;鱼卵",数据!$E$3:$E$998,"&lt;&gt;死卵",数据!$F$3:$F$998,A872,数据!$G$3:$G$998,B872))</f>
        <v/>
      </c>
      <c r="P872" s="31"/>
      <c r="Q872">
        <f>SUMIFS(数据!$D$3:$D$998,数据!$E$3:$E$998,"鱼卵",数据!$F$3:$F$998,A872,数据!$G$3:$G$998,B872)</f>
        <v>0</v>
      </c>
      <c r="R872">
        <f>SUMIFS(数据!$D$3:$D$998,数据!$E$3:$E$998,"死卵",数据!$F$3:$F$998,A872,数据!$G$3:$G$998,B872)</f>
        <v>0</v>
      </c>
      <c r="S872">
        <f>SUMIFS(数据!$D$3:$D$998,数据!$E$3:$E$998,"前期仔鱼",数据!$F$3:$F$998,A872,数据!$G$3:$G$998,B872)</f>
        <v>0</v>
      </c>
      <c r="T872">
        <f>SUMIFS(数据!$D$3:$D$998,数据!$E$3:$E$998,"仔鱼",数据!$F$3:$F$998,A872,数据!$G$3:$G$998,B872)</f>
        <v>0</v>
      </c>
      <c r="U872">
        <f>SUMIFS(数据!$D$3:$D$998,数据!$E$3:$E$998,"稚鱼",数据!$F$3:$F$998,A872,数据!$G$3:$G$998,B872)</f>
        <v>0</v>
      </c>
    </row>
    <row r="873" spans="1:21" ht="19.9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45" t="str">
        <f t="shared" si="26"/>
        <v/>
      </c>
      <c r="M873" s="45" t="str">
        <f t="shared" si="27"/>
        <v/>
      </c>
      <c r="N873" s="39" t="str">
        <f>IF(AND(A873="",B873=""),"",COUNTIFS(数据!$E$3:$E$998,"&lt;&gt;前期仔鱼",数据!$E$3:$E$998,"&lt;&gt;仔鱼",数据!$E$3:$E$998,"&lt;&gt;稚鱼",数据!$F$3:$F$998,A873,数据!$G$3:$G$998,B873))</f>
        <v/>
      </c>
      <c r="O873" s="39" t="str">
        <f>IF(AND(A873="",B873=""),"",COUNTIFS(数据!$E$3:$E$998,"&lt;&gt;鱼卵",数据!$E$3:$E$998,"&lt;&gt;死卵",数据!$F$3:$F$998,A873,数据!$G$3:$G$998,B873))</f>
        <v/>
      </c>
      <c r="P873" s="31"/>
      <c r="Q873">
        <f>SUMIFS(数据!$D$3:$D$998,数据!$E$3:$E$998,"鱼卵",数据!$F$3:$F$998,A873,数据!$G$3:$G$998,B873)</f>
        <v>0</v>
      </c>
      <c r="R873">
        <f>SUMIFS(数据!$D$3:$D$998,数据!$E$3:$E$998,"死卵",数据!$F$3:$F$998,A873,数据!$G$3:$G$998,B873)</f>
        <v>0</v>
      </c>
      <c r="S873">
        <f>SUMIFS(数据!$D$3:$D$998,数据!$E$3:$E$998,"前期仔鱼",数据!$F$3:$F$998,A873,数据!$G$3:$G$998,B873)</f>
        <v>0</v>
      </c>
      <c r="T873">
        <f>SUMIFS(数据!$D$3:$D$998,数据!$E$3:$E$998,"仔鱼",数据!$F$3:$F$998,A873,数据!$G$3:$G$998,B873)</f>
        <v>0</v>
      </c>
      <c r="U873">
        <f>SUMIFS(数据!$D$3:$D$998,数据!$E$3:$E$998,"稚鱼",数据!$F$3:$F$998,A873,数据!$G$3:$G$998,B873)</f>
        <v>0</v>
      </c>
    </row>
    <row r="874" spans="1:21" ht="19.9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45" t="str">
        <f t="shared" si="26"/>
        <v/>
      </c>
      <c r="M874" s="45" t="str">
        <f t="shared" si="27"/>
        <v/>
      </c>
      <c r="N874" s="39" t="str">
        <f>IF(AND(A874="",B874=""),"",COUNTIFS(数据!$E$3:$E$998,"&lt;&gt;前期仔鱼",数据!$E$3:$E$998,"&lt;&gt;仔鱼",数据!$E$3:$E$998,"&lt;&gt;稚鱼",数据!$F$3:$F$998,A874,数据!$G$3:$G$998,B874))</f>
        <v/>
      </c>
      <c r="O874" s="39" t="str">
        <f>IF(AND(A874="",B874=""),"",COUNTIFS(数据!$E$3:$E$998,"&lt;&gt;鱼卵",数据!$E$3:$E$998,"&lt;&gt;死卵",数据!$F$3:$F$998,A874,数据!$G$3:$G$998,B874))</f>
        <v/>
      </c>
      <c r="P874" s="31"/>
      <c r="Q874">
        <f>SUMIFS(数据!$D$3:$D$998,数据!$E$3:$E$998,"鱼卵",数据!$F$3:$F$998,A874,数据!$G$3:$G$998,B874)</f>
        <v>0</v>
      </c>
      <c r="R874">
        <f>SUMIFS(数据!$D$3:$D$998,数据!$E$3:$E$998,"死卵",数据!$F$3:$F$998,A874,数据!$G$3:$G$998,B874)</f>
        <v>0</v>
      </c>
      <c r="S874">
        <f>SUMIFS(数据!$D$3:$D$998,数据!$E$3:$E$998,"前期仔鱼",数据!$F$3:$F$998,A874,数据!$G$3:$G$998,B874)</f>
        <v>0</v>
      </c>
      <c r="T874">
        <f>SUMIFS(数据!$D$3:$D$998,数据!$E$3:$E$998,"仔鱼",数据!$F$3:$F$998,A874,数据!$G$3:$G$998,B874)</f>
        <v>0</v>
      </c>
      <c r="U874">
        <f>SUMIFS(数据!$D$3:$D$998,数据!$E$3:$E$998,"稚鱼",数据!$F$3:$F$998,A874,数据!$G$3:$G$998,B874)</f>
        <v>0</v>
      </c>
    </row>
    <row r="875" spans="1:21" ht="19.9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45" t="str">
        <f t="shared" si="26"/>
        <v/>
      </c>
      <c r="M875" s="45" t="str">
        <f t="shared" si="27"/>
        <v/>
      </c>
      <c r="N875" s="39" t="str">
        <f>IF(AND(A875="",B875=""),"",COUNTIFS(数据!$E$3:$E$998,"&lt;&gt;前期仔鱼",数据!$E$3:$E$998,"&lt;&gt;仔鱼",数据!$E$3:$E$998,"&lt;&gt;稚鱼",数据!$F$3:$F$998,A875,数据!$G$3:$G$998,B875))</f>
        <v/>
      </c>
      <c r="O875" s="39" t="str">
        <f>IF(AND(A875="",B875=""),"",COUNTIFS(数据!$E$3:$E$998,"&lt;&gt;鱼卵",数据!$E$3:$E$998,"&lt;&gt;死卵",数据!$F$3:$F$998,A875,数据!$G$3:$G$998,B875))</f>
        <v/>
      </c>
      <c r="P875" s="31"/>
      <c r="Q875">
        <f>SUMIFS(数据!$D$3:$D$998,数据!$E$3:$E$998,"鱼卵",数据!$F$3:$F$998,A875,数据!$G$3:$G$998,B875)</f>
        <v>0</v>
      </c>
      <c r="R875">
        <f>SUMIFS(数据!$D$3:$D$998,数据!$E$3:$E$998,"死卵",数据!$F$3:$F$998,A875,数据!$G$3:$G$998,B875)</f>
        <v>0</v>
      </c>
      <c r="S875">
        <f>SUMIFS(数据!$D$3:$D$998,数据!$E$3:$E$998,"前期仔鱼",数据!$F$3:$F$998,A875,数据!$G$3:$G$998,B875)</f>
        <v>0</v>
      </c>
      <c r="T875">
        <f>SUMIFS(数据!$D$3:$D$998,数据!$E$3:$E$998,"仔鱼",数据!$F$3:$F$998,A875,数据!$G$3:$G$998,B875)</f>
        <v>0</v>
      </c>
      <c r="U875">
        <f>SUMIFS(数据!$D$3:$D$998,数据!$E$3:$E$998,"稚鱼",数据!$F$3:$F$998,A875,数据!$G$3:$G$998,B875)</f>
        <v>0</v>
      </c>
    </row>
    <row r="876" spans="1:21" ht="19.9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45" t="str">
        <f t="shared" si="26"/>
        <v/>
      </c>
      <c r="M876" s="45" t="str">
        <f t="shared" si="27"/>
        <v/>
      </c>
      <c r="N876" s="39" t="str">
        <f>IF(AND(A876="",B876=""),"",COUNTIFS(数据!$E$3:$E$998,"&lt;&gt;前期仔鱼",数据!$E$3:$E$998,"&lt;&gt;仔鱼",数据!$E$3:$E$998,"&lt;&gt;稚鱼",数据!$F$3:$F$998,A876,数据!$G$3:$G$998,B876))</f>
        <v/>
      </c>
      <c r="O876" s="39" t="str">
        <f>IF(AND(A876="",B876=""),"",COUNTIFS(数据!$E$3:$E$998,"&lt;&gt;鱼卵",数据!$E$3:$E$998,"&lt;&gt;死卵",数据!$F$3:$F$998,A876,数据!$G$3:$G$998,B876))</f>
        <v/>
      </c>
      <c r="P876" s="31"/>
      <c r="Q876">
        <f>SUMIFS(数据!$D$3:$D$998,数据!$E$3:$E$998,"鱼卵",数据!$F$3:$F$998,A876,数据!$G$3:$G$998,B876)</f>
        <v>0</v>
      </c>
      <c r="R876">
        <f>SUMIFS(数据!$D$3:$D$998,数据!$E$3:$E$998,"死卵",数据!$F$3:$F$998,A876,数据!$G$3:$G$998,B876)</f>
        <v>0</v>
      </c>
      <c r="S876">
        <f>SUMIFS(数据!$D$3:$D$998,数据!$E$3:$E$998,"前期仔鱼",数据!$F$3:$F$998,A876,数据!$G$3:$G$998,B876)</f>
        <v>0</v>
      </c>
      <c r="T876">
        <f>SUMIFS(数据!$D$3:$D$998,数据!$E$3:$E$998,"仔鱼",数据!$F$3:$F$998,A876,数据!$G$3:$G$998,B876)</f>
        <v>0</v>
      </c>
      <c r="U876">
        <f>SUMIFS(数据!$D$3:$D$998,数据!$E$3:$E$998,"稚鱼",数据!$F$3:$F$998,A876,数据!$G$3:$G$998,B876)</f>
        <v>0</v>
      </c>
    </row>
    <row r="877" spans="1:21" ht="19.9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45" t="str">
        <f t="shared" si="26"/>
        <v/>
      </c>
      <c r="M877" s="45" t="str">
        <f t="shared" si="27"/>
        <v/>
      </c>
      <c r="N877" s="39" t="str">
        <f>IF(AND(A877="",B877=""),"",COUNTIFS(数据!$E$3:$E$998,"&lt;&gt;前期仔鱼",数据!$E$3:$E$998,"&lt;&gt;仔鱼",数据!$E$3:$E$998,"&lt;&gt;稚鱼",数据!$F$3:$F$998,A877,数据!$G$3:$G$998,B877))</f>
        <v/>
      </c>
      <c r="O877" s="39" t="str">
        <f>IF(AND(A877="",B877=""),"",COUNTIFS(数据!$E$3:$E$998,"&lt;&gt;鱼卵",数据!$E$3:$E$998,"&lt;&gt;死卵",数据!$F$3:$F$998,A877,数据!$G$3:$G$998,B877))</f>
        <v/>
      </c>
      <c r="P877" s="31"/>
      <c r="Q877">
        <f>SUMIFS(数据!$D$3:$D$998,数据!$E$3:$E$998,"鱼卵",数据!$F$3:$F$998,A877,数据!$G$3:$G$998,B877)</f>
        <v>0</v>
      </c>
      <c r="R877">
        <f>SUMIFS(数据!$D$3:$D$998,数据!$E$3:$E$998,"死卵",数据!$F$3:$F$998,A877,数据!$G$3:$G$998,B877)</f>
        <v>0</v>
      </c>
      <c r="S877">
        <f>SUMIFS(数据!$D$3:$D$998,数据!$E$3:$E$998,"前期仔鱼",数据!$F$3:$F$998,A877,数据!$G$3:$G$998,B877)</f>
        <v>0</v>
      </c>
      <c r="T877">
        <f>SUMIFS(数据!$D$3:$D$998,数据!$E$3:$E$998,"仔鱼",数据!$F$3:$F$998,A877,数据!$G$3:$G$998,B877)</f>
        <v>0</v>
      </c>
      <c r="U877">
        <f>SUMIFS(数据!$D$3:$D$998,数据!$E$3:$E$998,"稚鱼",数据!$F$3:$F$998,A877,数据!$G$3:$G$998,B877)</f>
        <v>0</v>
      </c>
    </row>
    <row r="878" spans="1:21" ht="19.9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45" t="str">
        <f t="shared" si="26"/>
        <v/>
      </c>
      <c r="M878" s="45" t="str">
        <f t="shared" si="27"/>
        <v/>
      </c>
      <c r="N878" s="39" t="str">
        <f>IF(AND(A878="",B878=""),"",COUNTIFS(数据!$E$3:$E$998,"&lt;&gt;前期仔鱼",数据!$E$3:$E$998,"&lt;&gt;仔鱼",数据!$E$3:$E$998,"&lt;&gt;稚鱼",数据!$F$3:$F$998,A878,数据!$G$3:$G$998,B878))</f>
        <v/>
      </c>
      <c r="O878" s="39" t="str">
        <f>IF(AND(A878="",B878=""),"",COUNTIFS(数据!$E$3:$E$998,"&lt;&gt;鱼卵",数据!$E$3:$E$998,"&lt;&gt;死卵",数据!$F$3:$F$998,A878,数据!$G$3:$G$998,B878))</f>
        <v/>
      </c>
      <c r="P878" s="31"/>
      <c r="Q878">
        <f>SUMIFS(数据!$D$3:$D$998,数据!$E$3:$E$998,"鱼卵",数据!$F$3:$F$998,A878,数据!$G$3:$G$998,B878)</f>
        <v>0</v>
      </c>
      <c r="R878">
        <f>SUMIFS(数据!$D$3:$D$998,数据!$E$3:$E$998,"死卵",数据!$F$3:$F$998,A878,数据!$G$3:$G$998,B878)</f>
        <v>0</v>
      </c>
      <c r="S878">
        <f>SUMIFS(数据!$D$3:$D$998,数据!$E$3:$E$998,"前期仔鱼",数据!$F$3:$F$998,A878,数据!$G$3:$G$998,B878)</f>
        <v>0</v>
      </c>
      <c r="T878">
        <f>SUMIFS(数据!$D$3:$D$998,数据!$E$3:$E$998,"仔鱼",数据!$F$3:$F$998,A878,数据!$G$3:$G$998,B878)</f>
        <v>0</v>
      </c>
      <c r="U878">
        <f>SUMIFS(数据!$D$3:$D$998,数据!$E$3:$E$998,"稚鱼",数据!$F$3:$F$998,A878,数据!$G$3:$G$998,B878)</f>
        <v>0</v>
      </c>
    </row>
    <row r="879" spans="1:21" ht="19.9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45" t="str">
        <f t="shared" si="26"/>
        <v/>
      </c>
      <c r="M879" s="45" t="str">
        <f t="shared" si="27"/>
        <v/>
      </c>
      <c r="N879" s="39" t="str">
        <f>IF(AND(A879="",B879=""),"",COUNTIFS(数据!$E$3:$E$998,"&lt;&gt;前期仔鱼",数据!$E$3:$E$998,"&lt;&gt;仔鱼",数据!$E$3:$E$998,"&lt;&gt;稚鱼",数据!$F$3:$F$998,A879,数据!$G$3:$G$998,B879))</f>
        <v/>
      </c>
      <c r="O879" s="39" t="str">
        <f>IF(AND(A879="",B879=""),"",COUNTIFS(数据!$E$3:$E$998,"&lt;&gt;鱼卵",数据!$E$3:$E$998,"&lt;&gt;死卵",数据!$F$3:$F$998,A879,数据!$G$3:$G$998,B879))</f>
        <v/>
      </c>
      <c r="P879" s="31"/>
      <c r="Q879">
        <f>SUMIFS(数据!$D$3:$D$998,数据!$E$3:$E$998,"鱼卵",数据!$F$3:$F$998,A879,数据!$G$3:$G$998,B879)</f>
        <v>0</v>
      </c>
      <c r="R879">
        <f>SUMIFS(数据!$D$3:$D$998,数据!$E$3:$E$998,"死卵",数据!$F$3:$F$998,A879,数据!$G$3:$G$998,B879)</f>
        <v>0</v>
      </c>
      <c r="S879">
        <f>SUMIFS(数据!$D$3:$D$998,数据!$E$3:$E$998,"前期仔鱼",数据!$F$3:$F$998,A879,数据!$G$3:$G$998,B879)</f>
        <v>0</v>
      </c>
      <c r="T879">
        <f>SUMIFS(数据!$D$3:$D$998,数据!$E$3:$E$998,"仔鱼",数据!$F$3:$F$998,A879,数据!$G$3:$G$998,B879)</f>
        <v>0</v>
      </c>
      <c r="U879">
        <f>SUMIFS(数据!$D$3:$D$998,数据!$E$3:$E$998,"稚鱼",数据!$F$3:$F$998,A879,数据!$G$3:$G$998,B879)</f>
        <v>0</v>
      </c>
    </row>
    <row r="880" spans="1:21" ht="19.9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45" t="str">
        <f t="shared" si="26"/>
        <v/>
      </c>
      <c r="M880" s="45" t="str">
        <f t="shared" si="27"/>
        <v/>
      </c>
      <c r="N880" s="39" t="str">
        <f>IF(AND(A880="",B880=""),"",COUNTIFS(数据!$E$3:$E$998,"&lt;&gt;前期仔鱼",数据!$E$3:$E$998,"&lt;&gt;仔鱼",数据!$E$3:$E$998,"&lt;&gt;稚鱼",数据!$F$3:$F$998,A880,数据!$G$3:$G$998,B880))</f>
        <v/>
      </c>
      <c r="O880" s="39" t="str">
        <f>IF(AND(A880="",B880=""),"",COUNTIFS(数据!$E$3:$E$998,"&lt;&gt;鱼卵",数据!$E$3:$E$998,"&lt;&gt;死卵",数据!$F$3:$F$998,A880,数据!$G$3:$G$998,B880))</f>
        <v/>
      </c>
      <c r="P880" s="31"/>
      <c r="Q880">
        <f>SUMIFS(数据!$D$3:$D$998,数据!$E$3:$E$998,"鱼卵",数据!$F$3:$F$998,A880,数据!$G$3:$G$998,B880)</f>
        <v>0</v>
      </c>
      <c r="R880">
        <f>SUMIFS(数据!$D$3:$D$998,数据!$E$3:$E$998,"死卵",数据!$F$3:$F$998,A880,数据!$G$3:$G$998,B880)</f>
        <v>0</v>
      </c>
      <c r="S880">
        <f>SUMIFS(数据!$D$3:$D$998,数据!$E$3:$E$998,"前期仔鱼",数据!$F$3:$F$998,A880,数据!$G$3:$G$998,B880)</f>
        <v>0</v>
      </c>
      <c r="T880">
        <f>SUMIFS(数据!$D$3:$D$998,数据!$E$3:$E$998,"仔鱼",数据!$F$3:$F$998,A880,数据!$G$3:$G$998,B880)</f>
        <v>0</v>
      </c>
      <c r="U880">
        <f>SUMIFS(数据!$D$3:$D$998,数据!$E$3:$E$998,"稚鱼",数据!$F$3:$F$998,A880,数据!$G$3:$G$998,B880)</f>
        <v>0</v>
      </c>
    </row>
    <row r="881" spans="1:21" ht="19.9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45" t="str">
        <f t="shared" si="26"/>
        <v/>
      </c>
      <c r="M881" s="45" t="str">
        <f t="shared" si="27"/>
        <v/>
      </c>
      <c r="N881" s="39" t="str">
        <f>IF(AND(A881="",B881=""),"",COUNTIFS(数据!$E$3:$E$998,"&lt;&gt;前期仔鱼",数据!$E$3:$E$998,"&lt;&gt;仔鱼",数据!$E$3:$E$998,"&lt;&gt;稚鱼",数据!$F$3:$F$998,A881,数据!$G$3:$G$998,B881))</f>
        <v/>
      </c>
      <c r="O881" s="39" t="str">
        <f>IF(AND(A881="",B881=""),"",COUNTIFS(数据!$E$3:$E$998,"&lt;&gt;鱼卵",数据!$E$3:$E$998,"&lt;&gt;死卵",数据!$F$3:$F$998,A881,数据!$G$3:$G$998,B881))</f>
        <v/>
      </c>
      <c r="P881" s="31"/>
      <c r="Q881">
        <f>SUMIFS(数据!$D$3:$D$998,数据!$E$3:$E$998,"鱼卵",数据!$F$3:$F$998,A881,数据!$G$3:$G$998,B881)</f>
        <v>0</v>
      </c>
      <c r="R881">
        <f>SUMIFS(数据!$D$3:$D$998,数据!$E$3:$E$998,"死卵",数据!$F$3:$F$998,A881,数据!$G$3:$G$998,B881)</f>
        <v>0</v>
      </c>
      <c r="S881">
        <f>SUMIFS(数据!$D$3:$D$998,数据!$E$3:$E$998,"前期仔鱼",数据!$F$3:$F$998,A881,数据!$G$3:$G$998,B881)</f>
        <v>0</v>
      </c>
      <c r="T881">
        <f>SUMIFS(数据!$D$3:$D$998,数据!$E$3:$E$998,"仔鱼",数据!$F$3:$F$998,A881,数据!$G$3:$G$998,B881)</f>
        <v>0</v>
      </c>
      <c r="U881">
        <f>SUMIFS(数据!$D$3:$D$998,数据!$E$3:$E$998,"稚鱼",数据!$F$3:$F$998,A881,数据!$G$3:$G$998,B881)</f>
        <v>0</v>
      </c>
    </row>
    <row r="882" spans="1:21" ht="19.9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45" t="str">
        <f t="shared" si="26"/>
        <v/>
      </c>
      <c r="M882" s="45" t="str">
        <f t="shared" si="27"/>
        <v/>
      </c>
      <c r="N882" s="39" t="str">
        <f>IF(AND(A882="",B882=""),"",COUNTIFS(数据!$E$3:$E$998,"&lt;&gt;前期仔鱼",数据!$E$3:$E$998,"&lt;&gt;仔鱼",数据!$E$3:$E$998,"&lt;&gt;稚鱼",数据!$F$3:$F$998,A882,数据!$G$3:$G$998,B882))</f>
        <v/>
      </c>
      <c r="O882" s="39" t="str">
        <f>IF(AND(A882="",B882=""),"",COUNTIFS(数据!$E$3:$E$998,"&lt;&gt;鱼卵",数据!$E$3:$E$998,"&lt;&gt;死卵",数据!$F$3:$F$998,A882,数据!$G$3:$G$998,B882))</f>
        <v/>
      </c>
      <c r="P882" s="31"/>
      <c r="Q882">
        <f>SUMIFS(数据!$D$3:$D$998,数据!$E$3:$E$998,"鱼卵",数据!$F$3:$F$998,A882,数据!$G$3:$G$998,B882)</f>
        <v>0</v>
      </c>
      <c r="R882">
        <f>SUMIFS(数据!$D$3:$D$998,数据!$E$3:$E$998,"死卵",数据!$F$3:$F$998,A882,数据!$G$3:$G$998,B882)</f>
        <v>0</v>
      </c>
      <c r="S882">
        <f>SUMIFS(数据!$D$3:$D$998,数据!$E$3:$E$998,"前期仔鱼",数据!$F$3:$F$998,A882,数据!$G$3:$G$998,B882)</f>
        <v>0</v>
      </c>
      <c r="T882">
        <f>SUMIFS(数据!$D$3:$D$998,数据!$E$3:$E$998,"仔鱼",数据!$F$3:$F$998,A882,数据!$G$3:$G$998,B882)</f>
        <v>0</v>
      </c>
      <c r="U882">
        <f>SUMIFS(数据!$D$3:$D$998,数据!$E$3:$E$998,"稚鱼",数据!$F$3:$F$998,A882,数据!$G$3:$G$998,B882)</f>
        <v>0</v>
      </c>
    </row>
    <row r="883" spans="1:21" ht="19.9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45" t="str">
        <f t="shared" si="26"/>
        <v/>
      </c>
      <c r="M883" s="45" t="str">
        <f t="shared" si="27"/>
        <v/>
      </c>
      <c r="N883" s="39" t="str">
        <f>IF(AND(A883="",B883=""),"",COUNTIFS(数据!$E$3:$E$998,"&lt;&gt;前期仔鱼",数据!$E$3:$E$998,"&lt;&gt;仔鱼",数据!$E$3:$E$998,"&lt;&gt;稚鱼",数据!$F$3:$F$998,A883,数据!$G$3:$G$998,B883))</f>
        <v/>
      </c>
      <c r="O883" s="39" t="str">
        <f>IF(AND(A883="",B883=""),"",COUNTIFS(数据!$E$3:$E$998,"&lt;&gt;鱼卵",数据!$E$3:$E$998,"&lt;&gt;死卵",数据!$F$3:$F$998,A883,数据!$G$3:$G$998,B883))</f>
        <v/>
      </c>
      <c r="P883" s="31"/>
      <c r="Q883">
        <f>SUMIFS(数据!$D$3:$D$998,数据!$E$3:$E$998,"鱼卵",数据!$F$3:$F$998,A883,数据!$G$3:$G$998,B883)</f>
        <v>0</v>
      </c>
      <c r="R883">
        <f>SUMIFS(数据!$D$3:$D$998,数据!$E$3:$E$998,"死卵",数据!$F$3:$F$998,A883,数据!$G$3:$G$998,B883)</f>
        <v>0</v>
      </c>
      <c r="S883">
        <f>SUMIFS(数据!$D$3:$D$998,数据!$E$3:$E$998,"前期仔鱼",数据!$F$3:$F$998,A883,数据!$G$3:$G$998,B883)</f>
        <v>0</v>
      </c>
      <c r="T883">
        <f>SUMIFS(数据!$D$3:$D$998,数据!$E$3:$E$998,"仔鱼",数据!$F$3:$F$998,A883,数据!$G$3:$G$998,B883)</f>
        <v>0</v>
      </c>
      <c r="U883">
        <f>SUMIFS(数据!$D$3:$D$998,数据!$E$3:$E$998,"稚鱼",数据!$F$3:$F$998,A883,数据!$G$3:$G$998,B883)</f>
        <v>0</v>
      </c>
    </row>
    <row r="884" spans="1:21" ht="19.9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45" t="str">
        <f t="shared" si="26"/>
        <v/>
      </c>
      <c r="M884" s="45" t="str">
        <f t="shared" si="27"/>
        <v/>
      </c>
      <c r="N884" s="39" t="str">
        <f>IF(AND(A884="",B884=""),"",COUNTIFS(数据!$E$3:$E$998,"&lt;&gt;前期仔鱼",数据!$E$3:$E$998,"&lt;&gt;仔鱼",数据!$E$3:$E$998,"&lt;&gt;稚鱼",数据!$F$3:$F$998,A884,数据!$G$3:$G$998,B884))</f>
        <v/>
      </c>
      <c r="O884" s="39" t="str">
        <f>IF(AND(A884="",B884=""),"",COUNTIFS(数据!$E$3:$E$998,"&lt;&gt;鱼卵",数据!$E$3:$E$998,"&lt;&gt;死卵",数据!$F$3:$F$998,A884,数据!$G$3:$G$998,B884))</f>
        <v/>
      </c>
      <c r="P884" s="31"/>
      <c r="Q884">
        <f>SUMIFS(数据!$D$3:$D$998,数据!$E$3:$E$998,"鱼卵",数据!$F$3:$F$998,A884,数据!$G$3:$G$998,B884)</f>
        <v>0</v>
      </c>
      <c r="R884">
        <f>SUMIFS(数据!$D$3:$D$998,数据!$E$3:$E$998,"死卵",数据!$F$3:$F$998,A884,数据!$G$3:$G$998,B884)</f>
        <v>0</v>
      </c>
      <c r="S884">
        <f>SUMIFS(数据!$D$3:$D$998,数据!$E$3:$E$998,"前期仔鱼",数据!$F$3:$F$998,A884,数据!$G$3:$G$998,B884)</f>
        <v>0</v>
      </c>
      <c r="T884">
        <f>SUMIFS(数据!$D$3:$D$998,数据!$E$3:$E$998,"仔鱼",数据!$F$3:$F$998,A884,数据!$G$3:$G$998,B884)</f>
        <v>0</v>
      </c>
      <c r="U884">
        <f>SUMIFS(数据!$D$3:$D$998,数据!$E$3:$E$998,"稚鱼",数据!$F$3:$F$998,A884,数据!$G$3:$G$998,B884)</f>
        <v>0</v>
      </c>
    </row>
    <row r="885" spans="1:21" ht="19.9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45" t="str">
        <f t="shared" si="26"/>
        <v/>
      </c>
      <c r="M885" s="45" t="str">
        <f t="shared" si="27"/>
        <v/>
      </c>
      <c r="N885" s="39" t="str">
        <f>IF(AND(A885="",B885=""),"",COUNTIFS(数据!$E$3:$E$998,"&lt;&gt;前期仔鱼",数据!$E$3:$E$998,"&lt;&gt;仔鱼",数据!$E$3:$E$998,"&lt;&gt;稚鱼",数据!$F$3:$F$998,A885,数据!$G$3:$G$998,B885))</f>
        <v/>
      </c>
      <c r="O885" s="39" t="str">
        <f>IF(AND(A885="",B885=""),"",COUNTIFS(数据!$E$3:$E$998,"&lt;&gt;鱼卵",数据!$E$3:$E$998,"&lt;&gt;死卵",数据!$F$3:$F$998,A885,数据!$G$3:$G$998,B885))</f>
        <v/>
      </c>
      <c r="P885" s="31"/>
      <c r="Q885">
        <f>SUMIFS(数据!$D$3:$D$998,数据!$E$3:$E$998,"鱼卵",数据!$F$3:$F$998,A885,数据!$G$3:$G$998,B885)</f>
        <v>0</v>
      </c>
      <c r="R885">
        <f>SUMIFS(数据!$D$3:$D$998,数据!$E$3:$E$998,"死卵",数据!$F$3:$F$998,A885,数据!$G$3:$G$998,B885)</f>
        <v>0</v>
      </c>
      <c r="S885">
        <f>SUMIFS(数据!$D$3:$D$998,数据!$E$3:$E$998,"前期仔鱼",数据!$F$3:$F$998,A885,数据!$G$3:$G$998,B885)</f>
        <v>0</v>
      </c>
      <c r="T885">
        <f>SUMIFS(数据!$D$3:$D$998,数据!$E$3:$E$998,"仔鱼",数据!$F$3:$F$998,A885,数据!$G$3:$G$998,B885)</f>
        <v>0</v>
      </c>
      <c r="U885">
        <f>SUMIFS(数据!$D$3:$D$998,数据!$E$3:$E$998,"稚鱼",数据!$F$3:$F$998,A885,数据!$G$3:$G$998,B885)</f>
        <v>0</v>
      </c>
    </row>
    <row r="886" spans="1:21" ht="19.9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45" t="str">
        <f t="shared" si="26"/>
        <v/>
      </c>
      <c r="M886" s="45" t="str">
        <f t="shared" si="27"/>
        <v/>
      </c>
      <c r="N886" s="39" t="str">
        <f>IF(AND(A886="",B886=""),"",COUNTIFS(数据!$E$3:$E$998,"&lt;&gt;前期仔鱼",数据!$E$3:$E$998,"&lt;&gt;仔鱼",数据!$E$3:$E$998,"&lt;&gt;稚鱼",数据!$F$3:$F$998,A886,数据!$G$3:$G$998,B886))</f>
        <v/>
      </c>
      <c r="O886" s="39" t="str">
        <f>IF(AND(A886="",B886=""),"",COUNTIFS(数据!$E$3:$E$998,"&lt;&gt;鱼卵",数据!$E$3:$E$998,"&lt;&gt;死卵",数据!$F$3:$F$998,A886,数据!$G$3:$G$998,B886))</f>
        <v/>
      </c>
      <c r="P886" s="31"/>
      <c r="Q886">
        <f>SUMIFS(数据!$D$3:$D$998,数据!$E$3:$E$998,"鱼卵",数据!$F$3:$F$998,A886,数据!$G$3:$G$998,B886)</f>
        <v>0</v>
      </c>
      <c r="R886">
        <f>SUMIFS(数据!$D$3:$D$998,数据!$E$3:$E$998,"死卵",数据!$F$3:$F$998,A886,数据!$G$3:$G$998,B886)</f>
        <v>0</v>
      </c>
      <c r="S886">
        <f>SUMIFS(数据!$D$3:$D$998,数据!$E$3:$E$998,"前期仔鱼",数据!$F$3:$F$998,A886,数据!$G$3:$G$998,B886)</f>
        <v>0</v>
      </c>
      <c r="T886">
        <f>SUMIFS(数据!$D$3:$D$998,数据!$E$3:$E$998,"仔鱼",数据!$F$3:$F$998,A886,数据!$G$3:$G$998,B886)</f>
        <v>0</v>
      </c>
      <c r="U886">
        <f>SUMIFS(数据!$D$3:$D$998,数据!$E$3:$E$998,"稚鱼",数据!$F$3:$F$998,A886,数据!$G$3:$G$998,B886)</f>
        <v>0</v>
      </c>
    </row>
    <row r="887" spans="1:21" ht="19.9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45" t="str">
        <f t="shared" si="26"/>
        <v/>
      </c>
      <c r="M887" s="45" t="str">
        <f t="shared" si="27"/>
        <v/>
      </c>
      <c r="N887" s="39" t="str">
        <f>IF(AND(A887="",B887=""),"",COUNTIFS(数据!$E$3:$E$998,"&lt;&gt;前期仔鱼",数据!$E$3:$E$998,"&lt;&gt;仔鱼",数据!$E$3:$E$998,"&lt;&gt;稚鱼",数据!$F$3:$F$998,A887,数据!$G$3:$G$998,B887))</f>
        <v/>
      </c>
      <c r="O887" s="39" t="str">
        <f>IF(AND(A887="",B887=""),"",COUNTIFS(数据!$E$3:$E$998,"&lt;&gt;鱼卵",数据!$E$3:$E$998,"&lt;&gt;死卵",数据!$F$3:$F$998,A887,数据!$G$3:$G$998,B887))</f>
        <v/>
      </c>
      <c r="P887" s="31"/>
      <c r="Q887">
        <f>SUMIFS(数据!$D$3:$D$998,数据!$E$3:$E$998,"鱼卵",数据!$F$3:$F$998,A887,数据!$G$3:$G$998,B887)</f>
        <v>0</v>
      </c>
      <c r="R887">
        <f>SUMIFS(数据!$D$3:$D$998,数据!$E$3:$E$998,"死卵",数据!$F$3:$F$998,A887,数据!$G$3:$G$998,B887)</f>
        <v>0</v>
      </c>
      <c r="S887">
        <f>SUMIFS(数据!$D$3:$D$998,数据!$E$3:$E$998,"前期仔鱼",数据!$F$3:$F$998,A887,数据!$G$3:$G$998,B887)</f>
        <v>0</v>
      </c>
      <c r="T887">
        <f>SUMIFS(数据!$D$3:$D$998,数据!$E$3:$E$998,"仔鱼",数据!$F$3:$F$998,A887,数据!$G$3:$G$998,B887)</f>
        <v>0</v>
      </c>
      <c r="U887">
        <f>SUMIFS(数据!$D$3:$D$998,数据!$E$3:$E$998,"稚鱼",数据!$F$3:$F$998,A887,数据!$G$3:$G$998,B887)</f>
        <v>0</v>
      </c>
    </row>
    <row r="888" spans="1:21" ht="19.9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45" t="str">
        <f t="shared" si="26"/>
        <v/>
      </c>
      <c r="M888" s="45" t="str">
        <f t="shared" si="27"/>
        <v/>
      </c>
      <c r="N888" s="39" t="str">
        <f>IF(AND(A888="",B888=""),"",COUNTIFS(数据!$E$3:$E$998,"&lt;&gt;前期仔鱼",数据!$E$3:$E$998,"&lt;&gt;仔鱼",数据!$E$3:$E$998,"&lt;&gt;稚鱼",数据!$F$3:$F$998,A888,数据!$G$3:$G$998,B888))</f>
        <v/>
      </c>
      <c r="O888" s="39" t="str">
        <f>IF(AND(A888="",B888=""),"",COUNTIFS(数据!$E$3:$E$998,"&lt;&gt;鱼卵",数据!$E$3:$E$998,"&lt;&gt;死卵",数据!$F$3:$F$998,A888,数据!$G$3:$G$998,B888))</f>
        <v/>
      </c>
      <c r="P888" s="31"/>
      <c r="Q888">
        <f>SUMIFS(数据!$D$3:$D$998,数据!$E$3:$E$998,"鱼卵",数据!$F$3:$F$998,A888,数据!$G$3:$G$998,B888)</f>
        <v>0</v>
      </c>
      <c r="R888">
        <f>SUMIFS(数据!$D$3:$D$998,数据!$E$3:$E$998,"死卵",数据!$F$3:$F$998,A888,数据!$G$3:$G$998,B888)</f>
        <v>0</v>
      </c>
      <c r="S888">
        <f>SUMIFS(数据!$D$3:$D$998,数据!$E$3:$E$998,"前期仔鱼",数据!$F$3:$F$998,A888,数据!$G$3:$G$998,B888)</f>
        <v>0</v>
      </c>
      <c r="T888">
        <f>SUMIFS(数据!$D$3:$D$998,数据!$E$3:$E$998,"仔鱼",数据!$F$3:$F$998,A888,数据!$G$3:$G$998,B888)</f>
        <v>0</v>
      </c>
      <c r="U888">
        <f>SUMIFS(数据!$D$3:$D$998,数据!$E$3:$E$998,"稚鱼",数据!$F$3:$F$998,A888,数据!$G$3:$G$998,B888)</f>
        <v>0</v>
      </c>
    </row>
    <row r="889" spans="1:21" ht="19.9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45" t="str">
        <f t="shared" si="26"/>
        <v/>
      </c>
      <c r="M889" s="45" t="str">
        <f t="shared" si="27"/>
        <v/>
      </c>
      <c r="N889" s="39" t="str">
        <f>IF(AND(A889="",B889=""),"",COUNTIFS(数据!$E$3:$E$998,"&lt;&gt;前期仔鱼",数据!$E$3:$E$998,"&lt;&gt;仔鱼",数据!$E$3:$E$998,"&lt;&gt;稚鱼",数据!$F$3:$F$998,A889,数据!$G$3:$G$998,B889))</f>
        <v/>
      </c>
      <c r="O889" s="39" t="str">
        <f>IF(AND(A889="",B889=""),"",COUNTIFS(数据!$E$3:$E$998,"&lt;&gt;鱼卵",数据!$E$3:$E$998,"&lt;&gt;死卵",数据!$F$3:$F$998,A889,数据!$G$3:$G$998,B889))</f>
        <v/>
      </c>
      <c r="P889" s="31"/>
      <c r="Q889">
        <f>SUMIFS(数据!$D$3:$D$998,数据!$E$3:$E$998,"鱼卵",数据!$F$3:$F$998,A889,数据!$G$3:$G$998,B889)</f>
        <v>0</v>
      </c>
      <c r="R889">
        <f>SUMIFS(数据!$D$3:$D$998,数据!$E$3:$E$998,"死卵",数据!$F$3:$F$998,A889,数据!$G$3:$G$998,B889)</f>
        <v>0</v>
      </c>
      <c r="S889">
        <f>SUMIFS(数据!$D$3:$D$998,数据!$E$3:$E$998,"前期仔鱼",数据!$F$3:$F$998,A889,数据!$G$3:$G$998,B889)</f>
        <v>0</v>
      </c>
      <c r="T889">
        <f>SUMIFS(数据!$D$3:$D$998,数据!$E$3:$E$998,"仔鱼",数据!$F$3:$F$998,A889,数据!$G$3:$G$998,B889)</f>
        <v>0</v>
      </c>
      <c r="U889">
        <f>SUMIFS(数据!$D$3:$D$998,数据!$E$3:$E$998,"稚鱼",数据!$F$3:$F$998,A889,数据!$G$3:$G$998,B889)</f>
        <v>0</v>
      </c>
    </row>
    <row r="890" spans="1:21" ht="19.9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45" t="str">
        <f t="shared" si="26"/>
        <v/>
      </c>
      <c r="M890" s="45" t="str">
        <f t="shared" si="27"/>
        <v/>
      </c>
      <c r="N890" s="39" t="str">
        <f>IF(AND(A890="",B890=""),"",COUNTIFS(数据!$E$3:$E$998,"&lt;&gt;前期仔鱼",数据!$E$3:$E$998,"&lt;&gt;仔鱼",数据!$E$3:$E$998,"&lt;&gt;稚鱼",数据!$F$3:$F$998,A890,数据!$G$3:$G$998,B890))</f>
        <v/>
      </c>
      <c r="O890" s="39" t="str">
        <f>IF(AND(A890="",B890=""),"",COUNTIFS(数据!$E$3:$E$998,"&lt;&gt;鱼卵",数据!$E$3:$E$998,"&lt;&gt;死卵",数据!$F$3:$F$998,A890,数据!$G$3:$G$998,B890))</f>
        <v/>
      </c>
      <c r="P890" s="31"/>
      <c r="Q890">
        <f>SUMIFS(数据!$D$3:$D$998,数据!$E$3:$E$998,"鱼卵",数据!$F$3:$F$998,A890,数据!$G$3:$G$998,B890)</f>
        <v>0</v>
      </c>
      <c r="R890">
        <f>SUMIFS(数据!$D$3:$D$998,数据!$E$3:$E$998,"死卵",数据!$F$3:$F$998,A890,数据!$G$3:$G$998,B890)</f>
        <v>0</v>
      </c>
      <c r="S890">
        <f>SUMIFS(数据!$D$3:$D$998,数据!$E$3:$E$998,"前期仔鱼",数据!$F$3:$F$998,A890,数据!$G$3:$G$998,B890)</f>
        <v>0</v>
      </c>
      <c r="T890">
        <f>SUMIFS(数据!$D$3:$D$998,数据!$E$3:$E$998,"仔鱼",数据!$F$3:$F$998,A890,数据!$G$3:$G$998,B890)</f>
        <v>0</v>
      </c>
      <c r="U890">
        <f>SUMIFS(数据!$D$3:$D$998,数据!$E$3:$E$998,"稚鱼",数据!$F$3:$F$998,A890,数据!$G$3:$G$998,B890)</f>
        <v>0</v>
      </c>
    </row>
    <row r="891" spans="1:21" ht="19.9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45" t="str">
        <f t="shared" si="26"/>
        <v/>
      </c>
      <c r="M891" s="45" t="str">
        <f t="shared" si="27"/>
        <v/>
      </c>
      <c r="N891" s="39" t="str">
        <f>IF(AND(A891="",B891=""),"",COUNTIFS(数据!$E$3:$E$998,"&lt;&gt;前期仔鱼",数据!$E$3:$E$998,"&lt;&gt;仔鱼",数据!$E$3:$E$998,"&lt;&gt;稚鱼",数据!$F$3:$F$998,A891,数据!$G$3:$G$998,B891))</f>
        <v/>
      </c>
      <c r="O891" s="39" t="str">
        <f>IF(AND(A891="",B891=""),"",COUNTIFS(数据!$E$3:$E$998,"&lt;&gt;鱼卵",数据!$E$3:$E$998,"&lt;&gt;死卵",数据!$F$3:$F$998,A891,数据!$G$3:$G$998,B891))</f>
        <v/>
      </c>
      <c r="P891" s="31"/>
      <c r="Q891">
        <f>SUMIFS(数据!$D$3:$D$998,数据!$E$3:$E$998,"鱼卵",数据!$F$3:$F$998,A891,数据!$G$3:$G$998,B891)</f>
        <v>0</v>
      </c>
      <c r="R891">
        <f>SUMIFS(数据!$D$3:$D$998,数据!$E$3:$E$998,"死卵",数据!$F$3:$F$998,A891,数据!$G$3:$G$998,B891)</f>
        <v>0</v>
      </c>
      <c r="S891">
        <f>SUMIFS(数据!$D$3:$D$998,数据!$E$3:$E$998,"前期仔鱼",数据!$F$3:$F$998,A891,数据!$G$3:$G$998,B891)</f>
        <v>0</v>
      </c>
      <c r="T891">
        <f>SUMIFS(数据!$D$3:$D$998,数据!$E$3:$E$998,"仔鱼",数据!$F$3:$F$998,A891,数据!$G$3:$G$998,B891)</f>
        <v>0</v>
      </c>
      <c r="U891">
        <f>SUMIFS(数据!$D$3:$D$998,数据!$E$3:$E$998,"稚鱼",数据!$F$3:$F$998,A891,数据!$G$3:$G$998,B891)</f>
        <v>0</v>
      </c>
    </row>
    <row r="892" spans="1:21" ht="19.9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45" t="str">
        <f t="shared" si="26"/>
        <v/>
      </c>
      <c r="M892" s="45" t="str">
        <f t="shared" si="27"/>
        <v/>
      </c>
      <c r="N892" s="39" t="str">
        <f>IF(AND(A892="",B892=""),"",COUNTIFS(数据!$E$3:$E$998,"&lt;&gt;前期仔鱼",数据!$E$3:$E$998,"&lt;&gt;仔鱼",数据!$E$3:$E$998,"&lt;&gt;稚鱼",数据!$F$3:$F$998,A892,数据!$G$3:$G$998,B892))</f>
        <v/>
      </c>
      <c r="O892" s="39" t="str">
        <f>IF(AND(A892="",B892=""),"",COUNTIFS(数据!$E$3:$E$998,"&lt;&gt;鱼卵",数据!$E$3:$E$998,"&lt;&gt;死卵",数据!$F$3:$F$998,A892,数据!$G$3:$G$998,B892))</f>
        <v/>
      </c>
      <c r="P892" s="31"/>
      <c r="Q892">
        <f>SUMIFS(数据!$D$3:$D$998,数据!$E$3:$E$998,"鱼卵",数据!$F$3:$F$998,A892,数据!$G$3:$G$998,B892)</f>
        <v>0</v>
      </c>
      <c r="R892">
        <f>SUMIFS(数据!$D$3:$D$998,数据!$E$3:$E$998,"死卵",数据!$F$3:$F$998,A892,数据!$G$3:$G$998,B892)</f>
        <v>0</v>
      </c>
      <c r="S892">
        <f>SUMIFS(数据!$D$3:$D$998,数据!$E$3:$E$998,"前期仔鱼",数据!$F$3:$F$998,A892,数据!$G$3:$G$998,B892)</f>
        <v>0</v>
      </c>
      <c r="T892">
        <f>SUMIFS(数据!$D$3:$D$998,数据!$E$3:$E$998,"仔鱼",数据!$F$3:$F$998,A892,数据!$G$3:$G$998,B892)</f>
        <v>0</v>
      </c>
      <c r="U892">
        <f>SUMIFS(数据!$D$3:$D$998,数据!$E$3:$E$998,"稚鱼",数据!$F$3:$F$998,A892,数据!$G$3:$G$998,B892)</f>
        <v>0</v>
      </c>
    </row>
    <row r="893" spans="1:21" ht="19.9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45" t="str">
        <f t="shared" si="26"/>
        <v/>
      </c>
      <c r="M893" s="45" t="str">
        <f t="shared" si="27"/>
        <v/>
      </c>
      <c r="N893" s="39" t="str">
        <f>IF(AND(A893="",B893=""),"",COUNTIFS(数据!$E$3:$E$998,"&lt;&gt;前期仔鱼",数据!$E$3:$E$998,"&lt;&gt;仔鱼",数据!$E$3:$E$998,"&lt;&gt;稚鱼",数据!$F$3:$F$998,A893,数据!$G$3:$G$998,B893))</f>
        <v/>
      </c>
      <c r="O893" s="39" t="str">
        <f>IF(AND(A893="",B893=""),"",COUNTIFS(数据!$E$3:$E$998,"&lt;&gt;鱼卵",数据!$E$3:$E$998,"&lt;&gt;死卵",数据!$F$3:$F$998,A893,数据!$G$3:$G$998,B893))</f>
        <v/>
      </c>
      <c r="P893" s="31"/>
      <c r="Q893">
        <f>SUMIFS(数据!$D$3:$D$998,数据!$E$3:$E$998,"鱼卵",数据!$F$3:$F$998,A893,数据!$G$3:$G$998,B893)</f>
        <v>0</v>
      </c>
      <c r="R893">
        <f>SUMIFS(数据!$D$3:$D$998,数据!$E$3:$E$998,"死卵",数据!$F$3:$F$998,A893,数据!$G$3:$G$998,B893)</f>
        <v>0</v>
      </c>
      <c r="S893">
        <f>SUMIFS(数据!$D$3:$D$998,数据!$E$3:$E$998,"前期仔鱼",数据!$F$3:$F$998,A893,数据!$G$3:$G$998,B893)</f>
        <v>0</v>
      </c>
      <c r="T893">
        <f>SUMIFS(数据!$D$3:$D$998,数据!$E$3:$E$998,"仔鱼",数据!$F$3:$F$998,A893,数据!$G$3:$G$998,B893)</f>
        <v>0</v>
      </c>
      <c r="U893">
        <f>SUMIFS(数据!$D$3:$D$998,数据!$E$3:$E$998,"稚鱼",数据!$F$3:$F$998,A893,数据!$G$3:$G$998,B893)</f>
        <v>0</v>
      </c>
    </row>
    <row r="894" spans="1:21" ht="19.9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45" t="str">
        <f t="shared" si="26"/>
        <v/>
      </c>
      <c r="M894" s="45" t="str">
        <f t="shared" si="27"/>
        <v/>
      </c>
      <c r="N894" s="39" t="str">
        <f>IF(AND(A894="",B894=""),"",COUNTIFS(数据!$E$3:$E$998,"&lt;&gt;前期仔鱼",数据!$E$3:$E$998,"&lt;&gt;仔鱼",数据!$E$3:$E$998,"&lt;&gt;稚鱼",数据!$F$3:$F$998,A894,数据!$G$3:$G$998,B894))</f>
        <v/>
      </c>
      <c r="O894" s="39" t="str">
        <f>IF(AND(A894="",B894=""),"",COUNTIFS(数据!$E$3:$E$998,"&lt;&gt;鱼卵",数据!$E$3:$E$998,"&lt;&gt;死卵",数据!$F$3:$F$998,A894,数据!$G$3:$G$998,B894))</f>
        <v/>
      </c>
      <c r="P894" s="31"/>
      <c r="Q894">
        <f>SUMIFS(数据!$D$3:$D$998,数据!$E$3:$E$998,"鱼卵",数据!$F$3:$F$998,A894,数据!$G$3:$G$998,B894)</f>
        <v>0</v>
      </c>
      <c r="R894">
        <f>SUMIFS(数据!$D$3:$D$998,数据!$E$3:$E$998,"死卵",数据!$F$3:$F$998,A894,数据!$G$3:$G$998,B894)</f>
        <v>0</v>
      </c>
      <c r="S894">
        <f>SUMIFS(数据!$D$3:$D$998,数据!$E$3:$E$998,"前期仔鱼",数据!$F$3:$F$998,A894,数据!$G$3:$G$998,B894)</f>
        <v>0</v>
      </c>
      <c r="T894">
        <f>SUMIFS(数据!$D$3:$D$998,数据!$E$3:$E$998,"仔鱼",数据!$F$3:$F$998,A894,数据!$G$3:$G$998,B894)</f>
        <v>0</v>
      </c>
      <c r="U894">
        <f>SUMIFS(数据!$D$3:$D$998,数据!$E$3:$E$998,"稚鱼",数据!$F$3:$F$998,A894,数据!$G$3:$G$998,B894)</f>
        <v>0</v>
      </c>
    </row>
    <row r="895" spans="1:21" ht="19.9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45" t="str">
        <f t="shared" si="26"/>
        <v/>
      </c>
      <c r="M895" s="45" t="str">
        <f t="shared" si="27"/>
        <v/>
      </c>
      <c r="N895" s="39" t="str">
        <f>IF(AND(A895="",B895=""),"",COUNTIFS(数据!$E$3:$E$998,"&lt;&gt;前期仔鱼",数据!$E$3:$E$998,"&lt;&gt;仔鱼",数据!$E$3:$E$998,"&lt;&gt;稚鱼",数据!$F$3:$F$998,A895,数据!$G$3:$G$998,B895))</f>
        <v/>
      </c>
      <c r="O895" s="39" t="str">
        <f>IF(AND(A895="",B895=""),"",COUNTIFS(数据!$E$3:$E$998,"&lt;&gt;鱼卵",数据!$E$3:$E$998,"&lt;&gt;死卵",数据!$F$3:$F$998,A895,数据!$G$3:$G$998,B895))</f>
        <v/>
      </c>
      <c r="P895" s="31"/>
      <c r="Q895">
        <f>SUMIFS(数据!$D$3:$D$998,数据!$E$3:$E$998,"鱼卵",数据!$F$3:$F$998,A895,数据!$G$3:$G$998,B895)</f>
        <v>0</v>
      </c>
      <c r="R895">
        <f>SUMIFS(数据!$D$3:$D$998,数据!$E$3:$E$998,"死卵",数据!$F$3:$F$998,A895,数据!$G$3:$G$998,B895)</f>
        <v>0</v>
      </c>
      <c r="S895">
        <f>SUMIFS(数据!$D$3:$D$998,数据!$E$3:$E$998,"前期仔鱼",数据!$F$3:$F$998,A895,数据!$G$3:$G$998,B895)</f>
        <v>0</v>
      </c>
      <c r="T895">
        <f>SUMIFS(数据!$D$3:$D$998,数据!$E$3:$E$998,"仔鱼",数据!$F$3:$F$998,A895,数据!$G$3:$G$998,B895)</f>
        <v>0</v>
      </c>
      <c r="U895">
        <f>SUMIFS(数据!$D$3:$D$998,数据!$E$3:$E$998,"稚鱼",数据!$F$3:$F$998,A895,数据!$G$3:$G$998,B895)</f>
        <v>0</v>
      </c>
    </row>
    <row r="896" spans="1:21" ht="19.9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45" t="str">
        <f t="shared" si="26"/>
        <v/>
      </c>
      <c r="M896" s="45" t="str">
        <f t="shared" si="27"/>
        <v/>
      </c>
      <c r="N896" s="39" t="str">
        <f>IF(AND(A896="",B896=""),"",COUNTIFS(数据!$E$3:$E$998,"&lt;&gt;前期仔鱼",数据!$E$3:$E$998,"&lt;&gt;仔鱼",数据!$E$3:$E$998,"&lt;&gt;稚鱼",数据!$F$3:$F$998,A896,数据!$G$3:$G$998,B896))</f>
        <v/>
      </c>
      <c r="O896" s="39" t="str">
        <f>IF(AND(A896="",B896=""),"",COUNTIFS(数据!$E$3:$E$998,"&lt;&gt;鱼卵",数据!$E$3:$E$998,"&lt;&gt;死卵",数据!$F$3:$F$998,A896,数据!$G$3:$G$998,B896))</f>
        <v/>
      </c>
      <c r="P896" s="31"/>
      <c r="Q896">
        <f>SUMIFS(数据!$D$3:$D$998,数据!$E$3:$E$998,"鱼卵",数据!$F$3:$F$998,A896,数据!$G$3:$G$998,B896)</f>
        <v>0</v>
      </c>
      <c r="R896">
        <f>SUMIFS(数据!$D$3:$D$998,数据!$E$3:$E$998,"死卵",数据!$F$3:$F$998,A896,数据!$G$3:$G$998,B896)</f>
        <v>0</v>
      </c>
      <c r="S896">
        <f>SUMIFS(数据!$D$3:$D$998,数据!$E$3:$E$998,"前期仔鱼",数据!$F$3:$F$998,A896,数据!$G$3:$G$998,B896)</f>
        <v>0</v>
      </c>
      <c r="T896">
        <f>SUMIFS(数据!$D$3:$D$998,数据!$E$3:$E$998,"仔鱼",数据!$F$3:$F$998,A896,数据!$G$3:$G$998,B896)</f>
        <v>0</v>
      </c>
      <c r="U896">
        <f>SUMIFS(数据!$D$3:$D$998,数据!$E$3:$E$998,"稚鱼",数据!$F$3:$F$998,A896,数据!$G$3:$G$998,B896)</f>
        <v>0</v>
      </c>
    </row>
    <row r="897" spans="1:21" ht="19.9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45" t="str">
        <f t="shared" si="26"/>
        <v/>
      </c>
      <c r="M897" s="45" t="str">
        <f t="shared" si="27"/>
        <v/>
      </c>
      <c r="N897" s="39" t="str">
        <f>IF(AND(A897="",B897=""),"",COUNTIFS(数据!$E$3:$E$998,"&lt;&gt;前期仔鱼",数据!$E$3:$E$998,"&lt;&gt;仔鱼",数据!$E$3:$E$998,"&lt;&gt;稚鱼",数据!$F$3:$F$998,A897,数据!$G$3:$G$998,B897))</f>
        <v/>
      </c>
      <c r="O897" s="39" t="str">
        <f>IF(AND(A897="",B897=""),"",COUNTIFS(数据!$E$3:$E$998,"&lt;&gt;鱼卵",数据!$E$3:$E$998,"&lt;&gt;死卵",数据!$F$3:$F$998,A897,数据!$G$3:$G$998,B897))</f>
        <v/>
      </c>
      <c r="P897" s="31"/>
      <c r="Q897">
        <f>SUMIFS(数据!$D$3:$D$998,数据!$E$3:$E$998,"鱼卵",数据!$F$3:$F$998,A897,数据!$G$3:$G$998,B897)</f>
        <v>0</v>
      </c>
      <c r="R897">
        <f>SUMIFS(数据!$D$3:$D$998,数据!$E$3:$E$998,"死卵",数据!$F$3:$F$998,A897,数据!$G$3:$G$998,B897)</f>
        <v>0</v>
      </c>
      <c r="S897">
        <f>SUMIFS(数据!$D$3:$D$998,数据!$E$3:$E$998,"前期仔鱼",数据!$F$3:$F$998,A897,数据!$G$3:$G$998,B897)</f>
        <v>0</v>
      </c>
      <c r="T897">
        <f>SUMIFS(数据!$D$3:$D$998,数据!$E$3:$E$998,"仔鱼",数据!$F$3:$F$998,A897,数据!$G$3:$G$998,B897)</f>
        <v>0</v>
      </c>
      <c r="U897">
        <f>SUMIFS(数据!$D$3:$D$998,数据!$E$3:$E$998,"稚鱼",数据!$F$3:$F$998,A897,数据!$G$3:$G$998,B897)</f>
        <v>0</v>
      </c>
    </row>
    <row r="898" spans="1:21" ht="19.9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45" t="str">
        <f t="shared" si="26"/>
        <v/>
      </c>
      <c r="M898" s="45" t="str">
        <f t="shared" si="27"/>
        <v/>
      </c>
      <c r="N898" s="39" t="str">
        <f>IF(AND(A898="",B898=""),"",COUNTIFS(数据!$E$3:$E$998,"&lt;&gt;前期仔鱼",数据!$E$3:$E$998,"&lt;&gt;仔鱼",数据!$E$3:$E$998,"&lt;&gt;稚鱼",数据!$F$3:$F$998,A898,数据!$G$3:$G$998,B898))</f>
        <v/>
      </c>
      <c r="O898" s="39" t="str">
        <f>IF(AND(A898="",B898=""),"",COUNTIFS(数据!$E$3:$E$998,"&lt;&gt;鱼卵",数据!$E$3:$E$998,"&lt;&gt;死卵",数据!$F$3:$F$998,A898,数据!$G$3:$G$998,B898))</f>
        <v/>
      </c>
      <c r="P898" s="31"/>
      <c r="Q898">
        <f>SUMIFS(数据!$D$3:$D$998,数据!$E$3:$E$998,"鱼卵",数据!$F$3:$F$998,A898,数据!$G$3:$G$998,B898)</f>
        <v>0</v>
      </c>
      <c r="R898">
        <f>SUMIFS(数据!$D$3:$D$998,数据!$E$3:$E$998,"死卵",数据!$F$3:$F$998,A898,数据!$G$3:$G$998,B898)</f>
        <v>0</v>
      </c>
      <c r="S898">
        <f>SUMIFS(数据!$D$3:$D$998,数据!$E$3:$E$998,"前期仔鱼",数据!$F$3:$F$998,A898,数据!$G$3:$G$998,B898)</f>
        <v>0</v>
      </c>
      <c r="T898">
        <f>SUMIFS(数据!$D$3:$D$998,数据!$E$3:$E$998,"仔鱼",数据!$F$3:$F$998,A898,数据!$G$3:$G$998,B898)</f>
        <v>0</v>
      </c>
      <c r="U898">
        <f>SUMIFS(数据!$D$3:$D$998,数据!$E$3:$E$998,"稚鱼",数据!$F$3:$F$998,A898,数据!$G$3:$G$998,B898)</f>
        <v>0</v>
      </c>
    </row>
    <row r="899" spans="1:21" ht="19.9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45" t="str">
        <f t="shared" si="26"/>
        <v/>
      </c>
      <c r="M899" s="45" t="str">
        <f t="shared" si="27"/>
        <v/>
      </c>
      <c r="N899" s="39" t="str">
        <f>IF(AND(A899="",B899=""),"",COUNTIFS(数据!$E$3:$E$998,"&lt;&gt;前期仔鱼",数据!$E$3:$E$998,"&lt;&gt;仔鱼",数据!$E$3:$E$998,"&lt;&gt;稚鱼",数据!$F$3:$F$998,A899,数据!$G$3:$G$998,B899))</f>
        <v/>
      </c>
      <c r="O899" s="39" t="str">
        <f>IF(AND(A899="",B899=""),"",COUNTIFS(数据!$E$3:$E$998,"&lt;&gt;鱼卵",数据!$E$3:$E$998,"&lt;&gt;死卵",数据!$F$3:$F$998,A899,数据!$G$3:$G$998,B899))</f>
        <v/>
      </c>
      <c r="P899" s="31"/>
      <c r="Q899">
        <f>SUMIFS(数据!$D$3:$D$998,数据!$E$3:$E$998,"鱼卵",数据!$F$3:$F$998,A899,数据!$G$3:$G$998,B899)</f>
        <v>0</v>
      </c>
      <c r="R899">
        <f>SUMIFS(数据!$D$3:$D$998,数据!$E$3:$E$998,"死卵",数据!$F$3:$F$998,A899,数据!$G$3:$G$998,B899)</f>
        <v>0</v>
      </c>
      <c r="S899">
        <f>SUMIFS(数据!$D$3:$D$998,数据!$E$3:$E$998,"前期仔鱼",数据!$F$3:$F$998,A899,数据!$G$3:$G$998,B899)</f>
        <v>0</v>
      </c>
      <c r="T899">
        <f>SUMIFS(数据!$D$3:$D$998,数据!$E$3:$E$998,"仔鱼",数据!$F$3:$F$998,A899,数据!$G$3:$G$998,B899)</f>
        <v>0</v>
      </c>
      <c r="U899">
        <f>SUMIFS(数据!$D$3:$D$998,数据!$E$3:$E$998,"稚鱼",数据!$F$3:$F$998,A899,数据!$G$3:$G$998,B899)</f>
        <v>0</v>
      </c>
    </row>
    <row r="900" spans="1:21" ht="19.9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45" t="str">
        <f t="shared" si="28" ref="L900:L963">IF(OR(Q900&amp;R900="",A900&amp;B900=""),"",Q900+R900)</f>
        <v/>
      </c>
      <c r="M900" s="45" t="str">
        <f t="shared" si="29" ref="M900:M963">IF(OR(A900&amp;B900="",S900&amp;T900&amp;U900=""),"",S900+T900+U900)</f>
        <v/>
      </c>
      <c r="N900" s="39" t="str">
        <f>IF(AND(A900="",B900=""),"",COUNTIFS(数据!$E$3:$E$998,"&lt;&gt;前期仔鱼",数据!$E$3:$E$998,"&lt;&gt;仔鱼",数据!$E$3:$E$998,"&lt;&gt;稚鱼",数据!$F$3:$F$998,A900,数据!$G$3:$G$998,B900))</f>
        <v/>
      </c>
      <c r="O900" s="39" t="str">
        <f>IF(AND(A900="",B900=""),"",COUNTIFS(数据!$E$3:$E$998,"&lt;&gt;鱼卵",数据!$E$3:$E$998,"&lt;&gt;死卵",数据!$F$3:$F$998,A900,数据!$G$3:$G$998,B900))</f>
        <v/>
      </c>
      <c r="P900" s="31"/>
      <c r="Q900">
        <f>SUMIFS(数据!$D$3:$D$998,数据!$E$3:$E$998,"鱼卵",数据!$F$3:$F$998,A900,数据!$G$3:$G$998,B900)</f>
        <v>0</v>
      </c>
      <c r="R900">
        <f>SUMIFS(数据!$D$3:$D$998,数据!$E$3:$E$998,"死卵",数据!$F$3:$F$998,A900,数据!$G$3:$G$998,B900)</f>
        <v>0</v>
      </c>
      <c r="S900">
        <f>SUMIFS(数据!$D$3:$D$998,数据!$E$3:$E$998,"前期仔鱼",数据!$F$3:$F$998,A900,数据!$G$3:$G$998,B900)</f>
        <v>0</v>
      </c>
      <c r="T900">
        <f>SUMIFS(数据!$D$3:$D$998,数据!$E$3:$E$998,"仔鱼",数据!$F$3:$F$998,A900,数据!$G$3:$G$998,B900)</f>
        <v>0</v>
      </c>
      <c r="U900">
        <f>SUMIFS(数据!$D$3:$D$998,数据!$E$3:$E$998,"稚鱼",数据!$F$3:$F$998,A900,数据!$G$3:$G$998,B900)</f>
        <v>0</v>
      </c>
    </row>
    <row r="901" spans="1:21" ht="19.9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45" t="str">
        <f t="shared" si="28"/>
        <v/>
      </c>
      <c r="M901" s="45" t="str">
        <f t="shared" si="29"/>
        <v/>
      </c>
      <c r="N901" s="39" t="str">
        <f>IF(AND(A901="",B901=""),"",COUNTIFS(数据!$E$3:$E$998,"&lt;&gt;前期仔鱼",数据!$E$3:$E$998,"&lt;&gt;仔鱼",数据!$E$3:$E$998,"&lt;&gt;稚鱼",数据!$F$3:$F$998,A901,数据!$G$3:$G$998,B901))</f>
        <v/>
      </c>
      <c r="O901" s="39" t="str">
        <f>IF(AND(A901="",B901=""),"",COUNTIFS(数据!$E$3:$E$998,"&lt;&gt;鱼卵",数据!$E$3:$E$998,"&lt;&gt;死卵",数据!$F$3:$F$998,A901,数据!$G$3:$G$998,B901))</f>
        <v/>
      </c>
      <c r="P901" s="31"/>
      <c r="Q901">
        <f>SUMIFS(数据!$D$3:$D$998,数据!$E$3:$E$998,"鱼卵",数据!$F$3:$F$998,A901,数据!$G$3:$G$998,B901)</f>
        <v>0</v>
      </c>
      <c r="R901">
        <f>SUMIFS(数据!$D$3:$D$998,数据!$E$3:$E$998,"死卵",数据!$F$3:$F$998,A901,数据!$G$3:$G$998,B901)</f>
        <v>0</v>
      </c>
      <c r="S901">
        <f>SUMIFS(数据!$D$3:$D$998,数据!$E$3:$E$998,"前期仔鱼",数据!$F$3:$F$998,A901,数据!$G$3:$G$998,B901)</f>
        <v>0</v>
      </c>
      <c r="T901">
        <f>SUMIFS(数据!$D$3:$D$998,数据!$E$3:$E$998,"仔鱼",数据!$F$3:$F$998,A901,数据!$G$3:$G$998,B901)</f>
        <v>0</v>
      </c>
      <c r="U901">
        <f>SUMIFS(数据!$D$3:$D$998,数据!$E$3:$E$998,"稚鱼",数据!$F$3:$F$998,A901,数据!$G$3:$G$998,B901)</f>
        <v>0</v>
      </c>
    </row>
    <row r="902" spans="1:21" ht="19.9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45" t="str">
        <f t="shared" si="28"/>
        <v/>
      </c>
      <c r="M902" s="45" t="str">
        <f t="shared" si="29"/>
        <v/>
      </c>
      <c r="N902" s="39" t="str">
        <f>IF(AND(A902="",B902=""),"",COUNTIFS(数据!$E$3:$E$998,"&lt;&gt;前期仔鱼",数据!$E$3:$E$998,"&lt;&gt;仔鱼",数据!$E$3:$E$998,"&lt;&gt;稚鱼",数据!$F$3:$F$998,A902,数据!$G$3:$G$998,B902))</f>
        <v/>
      </c>
      <c r="O902" s="39" t="str">
        <f>IF(AND(A902="",B902=""),"",COUNTIFS(数据!$E$3:$E$998,"&lt;&gt;鱼卵",数据!$E$3:$E$998,"&lt;&gt;死卵",数据!$F$3:$F$998,A902,数据!$G$3:$G$998,B902))</f>
        <v/>
      </c>
      <c r="P902" s="31"/>
      <c r="Q902">
        <f>SUMIFS(数据!$D$3:$D$998,数据!$E$3:$E$998,"鱼卵",数据!$F$3:$F$998,A902,数据!$G$3:$G$998,B902)</f>
        <v>0</v>
      </c>
      <c r="R902">
        <f>SUMIFS(数据!$D$3:$D$998,数据!$E$3:$E$998,"死卵",数据!$F$3:$F$998,A902,数据!$G$3:$G$998,B902)</f>
        <v>0</v>
      </c>
      <c r="S902">
        <f>SUMIFS(数据!$D$3:$D$998,数据!$E$3:$E$998,"前期仔鱼",数据!$F$3:$F$998,A902,数据!$G$3:$G$998,B902)</f>
        <v>0</v>
      </c>
      <c r="T902">
        <f>SUMIFS(数据!$D$3:$D$998,数据!$E$3:$E$998,"仔鱼",数据!$F$3:$F$998,A902,数据!$G$3:$G$998,B902)</f>
        <v>0</v>
      </c>
      <c r="U902">
        <f>SUMIFS(数据!$D$3:$D$998,数据!$E$3:$E$998,"稚鱼",数据!$F$3:$F$998,A902,数据!$G$3:$G$998,B902)</f>
        <v>0</v>
      </c>
    </row>
    <row r="903" spans="1:21" ht="19.9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45" t="str">
        <f t="shared" si="28"/>
        <v/>
      </c>
      <c r="M903" s="45" t="str">
        <f t="shared" si="29"/>
        <v/>
      </c>
      <c r="N903" s="39" t="str">
        <f>IF(AND(A903="",B903=""),"",COUNTIFS(数据!$E$3:$E$998,"&lt;&gt;前期仔鱼",数据!$E$3:$E$998,"&lt;&gt;仔鱼",数据!$E$3:$E$998,"&lt;&gt;稚鱼",数据!$F$3:$F$998,A903,数据!$G$3:$G$998,B903))</f>
        <v/>
      </c>
      <c r="O903" s="39" t="str">
        <f>IF(AND(A903="",B903=""),"",COUNTIFS(数据!$E$3:$E$998,"&lt;&gt;鱼卵",数据!$E$3:$E$998,"&lt;&gt;死卵",数据!$F$3:$F$998,A903,数据!$G$3:$G$998,B903))</f>
        <v/>
      </c>
      <c r="P903" s="31"/>
      <c r="Q903">
        <f>SUMIFS(数据!$D$3:$D$998,数据!$E$3:$E$998,"鱼卵",数据!$F$3:$F$998,A903,数据!$G$3:$G$998,B903)</f>
        <v>0</v>
      </c>
      <c r="R903">
        <f>SUMIFS(数据!$D$3:$D$998,数据!$E$3:$E$998,"死卵",数据!$F$3:$F$998,A903,数据!$G$3:$G$998,B903)</f>
        <v>0</v>
      </c>
      <c r="S903">
        <f>SUMIFS(数据!$D$3:$D$998,数据!$E$3:$E$998,"前期仔鱼",数据!$F$3:$F$998,A903,数据!$G$3:$G$998,B903)</f>
        <v>0</v>
      </c>
      <c r="T903">
        <f>SUMIFS(数据!$D$3:$D$998,数据!$E$3:$E$998,"仔鱼",数据!$F$3:$F$998,A903,数据!$G$3:$G$998,B903)</f>
        <v>0</v>
      </c>
      <c r="U903">
        <f>SUMIFS(数据!$D$3:$D$998,数据!$E$3:$E$998,"稚鱼",数据!$F$3:$F$998,A903,数据!$G$3:$G$998,B903)</f>
        <v>0</v>
      </c>
    </row>
    <row r="904" spans="1:21" ht="19.9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45" t="str">
        <f t="shared" si="28"/>
        <v/>
      </c>
      <c r="M904" s="45" t="str">
        <f t="shared" si="29"/>
        <v/>
      </c>
      <c r="N904" s="39" t="str">
        <f>IF(AND(A904="",B904=""),"",COUNTIFS(数据!$E$3:$E$998,"&lt;&gt;前期仔鱼",数据!$E$3:$E$998,"&lt;&gt;仔鱼",数据!$E$3:$E$998,"&lt;&gt;稚鱼",数据!$F$3:$F$998,A904,数据!$G$3:$G$998,B904))</f>
        <v/>
      </c>
      <c r="O904" s="39" t="str">
        <f>IF(AND(A904="",B904=""),"",COUNTIFS(数据!$E$3:$E$998,"&lt;&gt;鱼卵",数据!$E$3:$E$998,"&lt;&gt;死卵",数据!$F$3:$F$998,A904,数据!$G$3:$G$998,B904))</f>
        <v/>
      </c>
      <c r="P904" s="31"/>
      <c r="Q904">
        <f>SUMIFS(数据!$D$3:$D$998,数据!$E$3:$E$998,"鱼卵",数据!$F$3:$F$998,A904,数据!$G$3:$G$998,B904)</f>
        <v>0</v>
      </c>
      <c r="R904">
        <f>SUMIFS(数据!$D$3:$D$998,数据!$E$3:$E$998,"死卵",数据!$F$3:$F$998,A904,数据!$G$3:$G$998,B904)</f>
        <v>0</v>
      </c>
      <c r="S904">
        <f>SUMIFS(数据!$D$3:$D$998,数据!$E$3:$E$998,"前期仔鱼",数据!$F$3:$F$998,A904,数据!$G$3:$G$998,B904)</f>
        <v>0</v>
      </c>
      <c r="T904">
        <f>SUMIFS(数据!$D$3:$D$998,数据!$E$3:$E$998,"仔鱼",数据!$F$3:$F$998,A904,数据!$G$3:$G$998,B904)</f>
        <v>0</v>
      </c>
      <c r="U904">
        <f>SUMIFS(数据!$D$3:$D$998,数据!$E$3:$E$998,"稚鱼",数据!$F$3:$F$998,A904,数据!$G$3:$G$998,B904)</f>
        <v>0</v>
      </c>
    </row>
    <row r="905" spans="1:21" ht="19.9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45" t="str">
        <f t="shared" si="28"/>
        <v/>
      </c>
      <c r="M905" s="45" t="str">
        <f t="shared" si="29"/>
        <v/>
      </c>
      <c r="N905" s="39" t="str">
        <f>IF(AND(A905="",B905=""),"",COUNTIFS(数据!$E$3:$E$998,"&lt;&gt;前期仔鱼",数据!$E$3:$E$998,"&lt;&gt;仔鱼",数据!$E$3:$E$998,"&lt;&gt;稚鱼",数据!$F$3:$F$998,A905,数据!$G$3:$G$998,B905))</f>
        <v/>
      </c>
      <c r="O905" s="39" t="str">
        <f>IF(AND(A905="",B905=""),"",COUNTIFS(数据!$E$3:$E$998,"&lt;&gt;鱼卵",数据!$E$3:$E$998,"&lt;&gt;死卵",数据!$F$3:$F$998,A905,数据!$G$3:$G$998,B905))</f>
        <v/>
      </c>
      <c r="P905" s="31"/>
      <c r="Q905">
        <f>SUMIFS(数据!$D$3:$D$998,数据!$E$3:$E$998,"鱼卵",数据!$F$3:$F$998,A905,数据!$G$3:$G$998,B905)</f>
        <v>0</v>
      </c>
      <c r="R905">
        <f>SUMIFS(数据!$D$3:$D$998,数据!$E$3:$E$998,"死卵",数据!$F$3:$F$998,A905,数据!$G$3:$G$998,B905)</f>
        <v>0</v>
      </c>
      <c r="S905">
        <f>SUMIFS(数据!$D$3:$D$998,数据!$E$3:$E$998,"前期仔鱼",数据!$F$3:$F$998,A905,数据!$G$3:$G$998,B905)</f>
        <v>0</v>
      </c>
      <c r="T905">
        <f>SUMIFS(数据!$D$3:$D$998,数据!$E$3:$E$998,"仔鱼",数据!$F$3:$F$998,A905,数据!$G$3:$G$998,B905)</f>
        <v>0</v>
      </c>
      <c r="U905">
        <f>SUMIFS(数据!$D$3:$D$998,数据!$E$3:$E$998,"稚鱼",数据!$F$3:$F$998,A905,数据!$G$3:$G$998,B905)</f>
        <v>0</v>
      </c>
    </row>
    <row r="906" spans="1:21" ht="19.9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45" t="str">
        <f t="shared" si="28"/>
        <v/>
      </c>
      <c r="M906" s="45" t="str">
        <f t="shared" si="29"/>
        <v/>
      </c>
      <c r="N906" s="39" t="str">
        <f>IF(AND(A906="",B906=""),"",COUNTIFS(数据!$E$3:$E$998,"&lt;&gt;前期仔鱼",数据!$E$3:$E$998,"&lt;&gt;仔鱼",数据!$E$3:$E$998,"&lt;&gt;稚鱼",数据!$F$3:$F$998,A906,数据!$G$3:$G$998,B906))</f>
        <v/>
      </c>
      <c r="O906" s="39" t="str">
        <f>IF(AND(A906="",B906=""),"",COUNTIFS(数据!$E$3:$E$998,"&lt;&gt;鱼卵",数据!$E$3:$E$998,"&lt;&gt;死卵",数据!$F$3:$F$998,A906,数据!$G$3:$G$998,B906))</f>
        <v/>
      </c>
      <c r="P906" s="31"/>
      <c r="Q906">
        <f>SUMIFS(数据!$D$3:$D$998,数据!$E$3:$E$998,"鱼卵",数据!$F$3:$F$998,A906,数据!$G$3:$G$998,B906)</f>
        <v>0</v>
      </c>
      <c r="R906">
        <f>SUMIFS(数据!$D$3:$D$998,数据!$E$3:$E$998,"死卵",数据!$F$3:$F$998,A906,数据!$G$3:$G$998,B906)</f>
        <v>0</v>
      </c>
      <c r="S906">
        <f>SUMIFS(数据!$D$3:$D$998,数据!$E$3:$E$998,"前期仔鱼",数据!$F$3:$F$998,A906,数据!$G$3:$G$998,B906)</f>
        <v>0</v>
      </c>
      <c r="T906">
        <f>SUMIFS(数据!$D$3:$D$998,数据!$E$3:$E$998,"仔鱼",数据!$F$3:$F$998,A906,数据!$G$3:$G$998,B906)</f>
        <v>0</v>
      </c>
      <c r="U906">
        <f>SUMIFS(数据!$D$3:$D$998,数据!$E$3:$E$998,"稚鱼",数据!$F$3:$F$998,A906,数据!$G$3:$G$998,B906)</f>
        <v>0</v>
      </c>
    </row>
    <row r="907" spans="1:21" ht="19.9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45" t="str">
        <f t="shared" si="28"/>
        <v/>
      </c>
      <c r="M907" s="45" t="str">
        <f t="shared" si="29"/>
        <v/>
      </c>
      <c r="N907" s="39" t="str">
        <f>IF(AND(A907="",B907=""),"",COUNTIFS(数据!$E$3:$E$998,"&lt;&gt;前期仔鱼",数据!$E$3:$E$998,"&lt;&gt;仔鱼",数据!$E$3:$E$998,"&lt;&gt;稚鱼",数据!$F$3:$F$998,A907,数据!$G$3:$G$998,B907))</f>
        <v/>
      </c>
      <c r="O907" s="39" t="str">
        <f>IF(AND(A907="",B907=""),"",COUNTIFS(数据!$E$3:$E$998,"&lt;&gt;鱼卵",数据!$E$3:$E$998,"&lt;&gt;死卵",数据!$F$3:$F$998,A907,数据!$G$3:$G$998,B907))</f>
        <v/>
      </c>
      <c r="P907" s="31"/>
      <c r="Q907">
        <f>SUMIFS(数据!$D$3:$D$998,数据!$E$3:$E$998,"鱼卵",数据!$F$3:$F$998,A907,数据!$G$3:$G$998,B907)</f>
        <v>0</v>
      </c>
      <c r="R907">
        <f>SUMIFS(数据!$D$3:$D$998,数据!$E$3:$E$998,"死卵",数据!$F$3:$F$998,A907,数据!$G$3:$G$998,B907)</f>
        <v>0</v>
      </c>
      <c r="S907">
        <f>SUMIFS(数据!$D$3:$D$998,数据!$E$3:$E$998,"前期仔鱼",数据!$F$3:$F$998,A907,数据!$G$3:$G$998,B907)</f>
        <v>0</v>
      </c>
      <c r="T907">
        <f>SUMIFS(数据!$D$3:$D$998,数据!$E$3:$E$998,"仔鱼",数据!$F$3:$F$998,A907,数据!$G$3:$G$998,B907)</f>
        <v>0</v>
      </c>
      <c r="U907">
        <f>SUMIFS(数据!$D$3:$D$998,数据!$E$3:$E$998,"稚鱼",数据!$F$3:$F$998,A907,数据!$G$3:$G$998,B907)</f>
        <v>0</v>
      </c>
    </row>
    <row r="908" spans="1:21" ht="19.9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45" t="str">
        <f t="shared" si="28"/>
        <v/>
      </c>
      <c r="M908" s="45" t="str">
        <f t="shared" si="29"/>
        <v/>
      </c>
      <c r="N908" s="39" t="str">
        <f>IF(AND(A908="",B908=""),"",COUNTIFS(数据!$E$3:$E$998,"&lt;&gt;前期仔鱼",数据!$E$3:$E$998,"&lt;&gt;仔鱼",数据!$E$3:$E$998,"&lt;&gt;稚鱼",数据!$F$3:$F$998,A908,数据!$G$3:$G$998,B908))</f>
        <v/>
      </c>
      <c r="O908" s="39" t="str">
        <f>IF(AND(A908="",B908=""),"",COUNTIFS(数据!$E$3:$E$998,"&lt;&gt;鱼卵",数据!$E$3:$E$998,"&lt;&gt;死卵",数据!$F$3:$F$998,A908,数据!$G$3:$G$998,B908))</f>
        <v/>
      </c>
      <c r="P908" s="31"/>
      <c r="Q908">
        <f>SUMIFS(数据!$D$3:$D$998,数据!$E$3:$E$998,"鱼卵",数据!$F$3:$F$998,A908,数据!$G$3:$G$998,B908)</f>
        <v>0</v>
      </c>
      <c r="R908">
        <f>SUMIFS(数据!$D$3:$D$998,数据!$E$3:$E$998,"死卵",数据!$F$3:$F$998,A908,数据!$G$3:$G$998,B908)</f>
        <v>0</v>
      </c>
      <c r="S908">
        <f>SUMIFS(数据!$D$3:$D$998,数据!$E$3:$E$998,"前期仔鱼",数据!$F$3:$F$998,A908,数据!$G$3:$G$998,B908)</f>
        <v>0</v>
      </c>
      <c r="T908">
        <f>SUMIFS(数据!$D$3:$D$998,数据!$E$3:$E$998,"仔鱼",数据!$F$3:$F$998,A908,数据!$G$3:$G$998,B908)</f>
        <v>0</v>
      </c>
      <c r="U908">
        <f>SUMIFS(数据!$D$3:$D$998,数据!$E$3:$E$998,"稚鱼",数据!$F$3:$F$998,A908,数据!$G$3:$G$998,B908)</f>
        <v>0</v>
      </c>
    </row>
    <row r="909" spans="1:21" ht="19.9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45" t="str">
        <f t="shared" si="28"/>
        <v/>
      </c>
      <c r="M909" s="45" t="str">
        <f t="shared" si="29"/>
        <v/>
      </c>
      <c r="N909" s="39" t="str">
        <f>IF(AND(A909="",B909=""),"",COUNTIFS(数据!$E$3:$E$998,"&lt;&gt;前期仔鱼",数据!$E$3:$E$998,"&lt;&gt;仔鱼",数据!$E$3:$E$998,"&lt;&gt;稚鱼",数据!$F$3:$F$998,A909,数据!$G$3:$G$998,B909))</f>
        <v/>
      </c>
      <c r="O909" s="39" t="str">
        <f>IF(AND(A909="",B909=""),"",COUNTIFS(数据!$E$3:$E$998,"&lt;&gt;鱼卵",数据!$E$3:$E$998,"&lt;&gt;死卵",数据!$F$3:$F$998,A909,数据!$G$3:$G$998,B909))</f>
        <v/>
      </c>
      <c r="P909" s="31"/>
      <c r="Q909">
        <f>SUMIFS(数据!$D$3:$D$998,数据!$E$3:$E$998,"鱼卵",数据!$F$3:$F$998,A909,数据!$G$3:$G$998,B909)</f>
        <v>0</v>
      </c>
      <c r="R909">
        <f>SUMIFS(数据!$D$3:$D$998,数据!$E$3:$E$998,"死卵",数据!$F$3:$F$998,A909,数据!$G$3:$G$998,B909)</f>
        <v>0</v>
      </c>
      <c r="S909">
        <f>SUMIFS(数据!$D$3:$D$998,数据!$E$3:$E$998,"前期仔鱼",数据!$F$3:$F$998,A909,数据!$G$3:$G$998,B909)</f>
        <v>0</v>
      </c>
      <c r="T909">
        <f>SUMIFS(数据!$D$3:$D$998,数据!$E$3:$E$998,"仔鱼",数据!$F$3:$F$998,A909,数据!$G$3:$G$998,B909)</f>
        <v>0</v>
      </c>
      <c r="U909">
        <f>SUMIFS(数据!$D$3:$D$998,数据!$E$3:$E$998,"稚鱼",数据!$F$3:$F$998,A909,数据!$G$3:$G$998,B909)</f>
        <v>0</v>
      </c>
    </row>
    <row r="910" spans="1:21" ht="19.9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45" t="str">
        <f t="shared" si="28"/>
        <v/>
      </c>
      <c r="M910" s="45" t="str">
        <f t="shared" si="29"/>
        <v/>
      </c>
      <c r="N910" s="39" t="str">
        <f>IF(AND(A910="",B910=""),"",COUNTIFS(数据!$E$3:$E$998,"&lt;&gt;前期仔鱼",数据!$E$3:$E$998,"&lt;&gt;仔鱼",数据!$E$3:$E$998,"&lt;&gt;稚鱼",数据!$F$3:$F$998,A910,数据!$G$3:$G$998,B910))</f>
        <v/>
      </c>
      <c r="O910" s="39" t="str">
        <f>IF(AND(A910="",B910=""),"",COUNTIFS(数据!$E$3:$E$998,"&lt;&gt;鱼卵",数据!$E$3:$E$998,"&lt;&gt;死卵",数据!$F$3:$F$998,A910,数据!$G$3:$G$998,B910))</f>
        <v/>
      </c>
      <c r="P910" s="31"/>
      <c r="Q910">
        <f>SUMIFS(数据!$D$3:$D$998,数据!$E$3:$E$998,"鱼卵",数据!$F$3:$F$998,A910,数据!$G$3:$G$998,B910)</f>
        <v>0</v>
      </c>
      <c r="R910">
        <f>SUMIFS(数据!$D$3:$D$998,数据!$E$3:$E$998,"死卵",数据!$F$3:$F$998,A910,数据!$G$3:$G$998,B910)</f>
        <v>0</v>
      </c>
      <c r="S910">
        <f>SUMIFS(数据!$D$3:$D$998,数据!$E$3:$E$998,"前期仔鱼",数据!$F$3:$F$998,A910,数据!$G$3:$G$998,B910)</f>
        <v>0</v>
      </c>
      <c r="T910">
        <f>SUMIFS(数据!$D$3:$D$998,数据!$E$3:$E$998,"仔鱼",数据!$F$3:$F$998,A910,数据!$G$3:$G$998,B910)</f>
        <v>0</v>
      </c>
      <c r="U910">
        <f>SUMIFS(数据!$D$3:$D$998,数据!$E$3:$E$998,"稚鱼",数据!$F$3:$F$998,A910,数据!$G$3:$G$998,B910)</f>
        <v>0</v>
      </c>
    </row>
    <row r="911" spans="1:21" ht="19.9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45" t="str">
        <f t="shared" si="28"/>
        <v/>
      </c>
      <c r="M911" s="45" t="str">
        <f t="shared" si="29"/>
        <v/>
      </c>
      <c r="N911" s="39" t="str">
        <f>IF(AND(A911="",B911=""),"",COUNTIFS(数据!$E$3:$E$998,"&lt;&gt;前期仔鱼",数据!$E$3:$E$998,"&lt;&gt;仔鱼",数据!$E$3:$E$998,"&lt;&gt;稚鱼",数据!$F$3:$F$998,A911,数据!$G$3:$G$998,B911))</f>
        <v/>
      </c>
      <c r="O911" s="39" t="str">
        <f>IF(AND(A911="",B911=""),"",COUNTIFS(数据!$E$3:$E$998,"&lt;&gt;鱼卵",数据!$E$3:$E$998,"&lt;&gt;死卵",数据!$F$3:$F$998,A911,数据!$G$3:$G$998,B911))</f>
        <v/>
      </c>
      <c r="P911" s="31"/>
      <c r="Q911">
        <f>SUMIFS(数据!$D$3:$D$998,数据!$E$3:$E$998,"鱼卵",数据!$F$3:$F$998,A911,数据!$G$3:$G$998,B911)</f>
        <v>0</v>
      </c>
      <c r="R911">
        <f>SUMIFS(数据!$D$3:$D$998,数据!$E$3:$E$998,"死卵",数据!$F$3:$F$998,A911,数据!$G$3:$G$998,B911)</f>
        <v>0</v>
      </c>
      <c r="S911">
        <f>SUMIFS(数据!$D$3:$D$998,数据!$E$3:$E$998,"前期仔鱼",数据!$F$3:$F$998,A911,数据!$G$3:$G$998,B911)</f>
        <v>0</v>
      </c>
      <c r="T911">
        <f>SUMIFS(数据!$D$3:$D$998,数据!$E$3:$E$998,"仔鱼",数据!$F$3:$F$998,A911,数据!$G$3:$G$998,B911)</f>
        <v>0</v>
      </c>
      <c r="U911">
        <f>SUMIFS(数据!$D$3:$D$998,数据!$E$3:$E$998,"稚鱼",数据!$F$3:$F$998,A911,数据!$G$3:$G$998,B911)</f>
        <v>0</v>
      </c>
    </row>
    <row r="912" spans="1:21" ht="19.9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45" t="str">
        <f t="shared" si="28"/>
        <v/>
      </c>
      <c r="M912" s="45" t="str">
        <f t="shared" si="29"/>
        <v/>
      </c>
      <c r="N912" s="39" t="str">
        <f>IF(AND(A912="",B912=""),"",COUNTIFS(数据!$E$3:$E$998,"&lt;&gt;前期仔鱼",数据!$E$3:$E$998,"&lt;&gt;仔鱼",数据!$E$3:$E$998,"&lt;&gt;稚鱼",数据!$F$3:$F$998,A912,数据!$G$3:$G$998,B912))</f>
        <v/>
      </c>
      <c r="O912" s="39" t="str">
        <f>IF(AND(A912="",B912=""),"",COUNTIFS(数据!$E$3:$E$998,"&lt;&gt;鱼卵",数据!$E$3:$E$998,"&lt;&gt;死卵",数据!$F$3:$F$998,A912,数据!$G$3:$G$998,B912))</f>
        <v/>
      </c>
      <c r="P912" s="31"/>
      <c r="Q912">
        <f>SUMIFS(数据!$D$3:$D$998,数据!$E$3:$E$998,"鱼卵",数据!$F$3:$F$998,A912,数据!$G$3:$G$998,B912)</f>
        <v>0</v>
      </c>
      <c r="R912">
        <f>SUMIFS(数据!$D$3:$D$998,数据!$E$3:$E$998,"死卵",数据!$F$3:$F$998,A912,数据!$G$3:$G$998,B912)</f>
        <v>0</v>
      </c>
      <c r="S912">
        <f>SUMIFS(数据!$D$3:$D$998,数据!$E$3:$E$998,"前期仔鱼",数据!$F$3:$F$998,A912,数据!$G$3:$G$998,B912)</f>
        <v>0</v>
      </c>
      <c r="T912">
        <f>SUMIFS(数据!$D$3:$D$998,数据!$E$3:$E$998,"仔鱼",数据!$F$3:$F$998,A912,数据!$G$3:$G$998,B912)</f>
        <v>0</v>
      </c>
      <c r="U912">
        <f>SUMIFS(数据!$D$3:$D$998,数据!$E$3:$E$998,"稚鱼",数据!$F$3:$F$998,A912,数据!$G$3:$G$998,B912)</f>
        <v>0</v>
      </c>
    </row>
    <row r="913" spans="1:21" ht="19.9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45" t="str">
        <f t="shared" si="28"/>
        <v/>
      </c>
      <c r="M913" s="45" t="str">
        <f t="shared" si="29"/>
        <v/>
      </c>
      <c r="N913" s="39" t="str">
        <f>IF(AND(A913="",B913=""),"",COUNTIFS(数据!$E$3:$E$998,"&lt;&gt;前期仔鱼",数据!$E$3:$E$998,"&lt;&gt;仔鱼",数据!$E$3:$E$998,"&lt;&gt;稚鱼",数据!$F$3:$F$998,A913,数据!$G$3:$G$998,B913))</f>
        <v/>
      </c>
      <c r="O913" s="39" t="str">
        <f>IF(AND(A913="",B913=""),"",COUNTIFS(数据!$E$3:$E$998,"&lt;&gt;鱼卵",数据!$E$3:$E$998,"&lt;&gt;死卵",数据!$F$3:$F$998,A913,数据!$G$3:$G$998,B913))</f>
        <v/>
      </c>
      <c r="P913" s="31"/>
      <c r="Q913">
        <f>SUMIFS(数据!$D$3:$D$998,数据!$E$3:$E$998,"鱼卵",数据!$F$3:$F$998,A913,数据!$G$3:$G$998,B913)</f>
        <v>0</v>
      </c>
      <c r="R913">
        <f>SUMIFS(数据!$D$3:$D$998,数据!$E$3:$E$998,"死卵",数据!$F$3:$F$998,A913,数据!$G$3:$G$998,B913)</f>
        <v>0</v>
      </c>
      <c r="S913">
        <f>SUMIFS(数据!$D$3:$D$998,数据!$E$3:$E$998,"前期仔鱼",数据!$F$3:$F$998,A913,数据!$G$3:$G$998,B913)</f>
        <v>0</v>
      </c>
      <c r="T913">
        <f>SUMIFS(数据!$D$3:$D$998,数据!$E$3:$E$998,"仔鱼",数据!$F$3:$F$998,A913,数据!$G$3:$G$998,B913)</f>
        <v>0</v>
      </c>
      <c r="U913">
        <f>SUMIFS(数据!$D$3:$D$998,数据!$E$3:$E$998,"稚鱼",数据!$F$3:$F$998,A913,数据!$G$3:$G$998,B913)</f>
        <v>0</v>
      </c>
    </row>
    <row r="914" spans="1:21" ht="19.9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45" t="str">
        <f t="shared" si="28"/>
        <v/>
      </c>
      <c r="M914" s="45" t="str">
        <f t="shared" si="29"/>
        <v/>
      </c>
      <c r="N914" s="39" t="str">
        <f>IF(AND(A914="",B914=""),"",COUNTIFS(数据!$E$3:$E$998,"&lt;&gt;前期仔鱼",数据!$E$3:$E$998,"&lt;&gt;仔鱼",数据!$E$3:$E$998,"&lt;&gt;稚鱼",数据!$F$3:$F$998,A914,数据!$G$3:$G$998,B914))</f>
        <v/>
      </c>
      <c r="O914" s="39" t="str">
        <f>IF(AND(A914="",B914=""),"",COUNTIFS(数据!$E$3:$E$998,"&lt;&gt;鱼卵",数据!$E$3:$E$998,"&lt;&gt;死卵",数据!$F$3:$F$998,A914,数据!$G$3:$G$998,B914))</f>
        <v/>
      </c>
      <c r="P914" s="31"/>
      <c r="Q914">
        <f>SUMIFS(数据!$D$3:$D$998,数据!$E$3:$E$998,"鱼卵",数据!$F$3:$F$998,A914,数据!$G$3:$G$998,B914)</f>
        <v>0</v>
      </c>
      <c r="R914">
        <f>SUMIFS(数据!$D$3:$D$998,数据!$E$3:$E$998,"死卵",数据!$F$3:$F$998,A914,数据!$G$3:$G$998,B914)</f>
        <v>0</v>
      </c>
      <c r="S914">
        <f>SUMIFS(数据!$D$3:$D$998,数据!$E$3:$E$998,"前期仔鱼",数据!$F$3:$F$998,A914,数据!$G$3:$G$998,B914)</f>
        <v>0</v>
      </c>
      <c r="T914">
        <f>SUMIFS(数据!$D$3:$D$998,数据!$E$3:$E$998,"仔鱼",数据!$F$3:$F$998,A914,数据!$G$3:$G$998,B914)</f>
        <v>0</v>
      </c>
      <c r="U914">
        <f>SUMIFS(数据!$D$3:$D$998,数据!$E$3:$E$998,"稚鱼",数据!$F$3:$F$998,A914,数据!$G$3:$G$998,B914)</f>
        <v>0</v>
      </c>
    </row>
    <row r="915" spans="1:21" ht="19.9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45" t="str">
        <f t="shared" si="28"/>
        <v/>
      </c>
      <c r="M915" s="45" t="str">
        <f t="shared" si="29"/>
        <v/>
      </c>
      <c r="N915" s="39" t="str">
        <f>IF(AND(A915="",B915=""),"",COUNTIFS(数据!$E$3:$E$998,"&lt;&gt;前期仔鱼",数据!$E$3:$E$998,"&lt;&gt;仔鱼",数据!$E$3:$E$998,"&lt;&gt;稚鱼",数据!$F$3:$F$998,A915,数据!$G$3:$G$998,B915))</f>
        <v/>
      </c>
      <c r="O915" s="39" t="str">
        <f>IF(AND(A915="",B915=""),"",COUNTIFS(数据!$E$3:$E$998,"&lt;&gt;鱼卵",数据!$E$3:$E$998,"&lt;&gt;死卵",数据!$F$3:$F$998,A915,数据!$G$3:$G$998,B915))</f>
        <v/>
      </c>
      <c r="P915" s="31"/>
      <c r="Q915">
        <f>SUMIFS(数据!$D$3:$D$998,数据!$E$3:$E$998,"鱼卵",数据!$F$3:$F$998,A915,数据!$G$3:$G$998,B915)</f>
        <v>0</v>
      </c>
      <c r="R915">
        <f>SUMIFS(数据!$D$3:$D$998,数据!$E$3:$E$998,"死卵",数据!$F$3:$F$998,A915,数据!$G$3:$G$998,B915)</f>
        <v>0</v>
      </c>
      <c r="S915">
        <f>SUMIFS(数据!$D$3:$D$998,数据!$E$3:$E$998,"前期仔鱼",数据!$F$3:$F$998,A915,数据!$G$3:$G$998,B915)</f>
        <v>0</v>
      </c>
      <c r="T915">
        <f>SUMIFS(数据!$D$3:$D$998,数据!$E$3:$E$998,"仔鱼",数据!$F$3:$F$998,A915,数据!$G$3:$G$998,B915)</f>
        <v>0</v>
      </c>
      <c r="U915">
        <f>SUMIFS(数据!$D$3:$D$998,数据!$E$3:$E$998,"稚鱼",数据!$F$3:$F$998,A915,数据!$G$3:$G$998,B915)</f>
        <v>0</v>
      </c>
    </row>
    <row r="916" spans="1:21" ht="19.9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45" t="str">
        <f t="shared" si="28"/>
        <v/>
      </c>
      <c r="M916" s="45" t="str">
        <f t="shared" si="29"/>
        <v/>
      </c>
      <c r="N916" s="39" t="str">
        <f>IF(AND(A916="",B916=""),"",COUNTIFS(数据!$E$3:$E$998,"&lt;&gt;前期仔鱼",数据!$E$3:$E$998,"&lt;&gt;仔鱼",数据!$E$3:$E$998,"&lt;&gt;稚鱼",数据!$F$3:$F$998,A916,数据!$G$3:$G$998,B916))</f>
        <v/>
      </c>
      <c r="O916" s="39" t="str">
        <f>IF(AND(A916="",B916=""),"",COUNTIFS(数据!$E$3:$E$998,"&lt;&gt;鱼卵",数据!$E$3:$E$998,"&lt;&gt;死卵",数据!$F$3:$F$998,A916,数据!$G$3:$G$998,B916))</f>
        <v/>
      </c>
      <c r="P916" s="31"/>
      <c r="Q916">
        <f>SUMIFS(数据!$D$3:$D$998,数据!$E$3:$E$998,"鱼卵",数据!$F$3:$F$998,A916,数据!$G$3:$G$998,B916)</f>
        <v>0</v>
      </c>
      <c r="R916">
        <f>SUMIFS(数据!$D$3:$D$998,数据!$E$3:$E$998,"死卵",数据!$F$3:$F$998,A916,数据!$G$3:$G$998,B916)</f>
        <v>0</v>
      </c>
      <c r="S916">
        <f>SUMIFS(数据!$D$3:$D$998,数据!$E$3:$E$998,"前期仔鱼",数据!$F$3:$F$998,A916,数据!$G$3:$G$998,B916)</f>
        <v>0</v>
      </c>
      <c r="T916">
        <f>SUMIFS(数据!$D$3:$D$998,数据!$E$3:$E$998,"仔鱼",数据!$F$3:$F$998,A916,数据!$G$3:$G$998,B916)</f>
        <v>0</v>
      </c>
      <c r="U916">
        <f>SUMIFS(数据!$D$3:$D$998,数据!$E$3:$E$998,"稚鱼",数据!$F$3:$F$998,A916,数据!$G$3:$G$998,B916)</f>
        <v>0</v>
      </c>
    </row>
    <row r="917" spans="1:21" ht="19.9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45" t="str">
        <f t="shared" si="28"/>
        <v/>
      </c>
      <c r="M917" s="45" t="str">
        <f t="shared" si="29"/>
        <v/>
      </c>
      <c r="N917" s="39" t="str">
        <f>IF(AND(A917="",B917=""),"",COUNTIFS(数据!$E$3:$E$998,"&lt;&gt;前期仔鱼",数据!$E$3:$E$998,"&lt;&gt;仔鱼",数据!$E$3:$E$998,"&lt;&gt;稚鱼",数据!$F$3:$F$998,A917,数据!$G$3:$G$998,B917))</f>
        <v/>
      </c>
      <c r="O917" s="39" t="str">
        <f>IF(AND(A917="",B917=""),"",COUNTIFS(数据!$E$3:$E$998,"&lt;&gt;鱼卵",数据!$E$3:$E$998,"&lt;&gt;死卵",数据!$F$3:$F$998,A917,数据!$G$3:$G$998,B917))</f>
        <v/>
      </c>
      <c r="P917" s="31"/>
      <c r="Q917">
        <f>SUMIFS(数据!$D$3:$D$998,数据!$E$3:$E$998,"鱼卵",数据!$F$3:$F$998,A917,数据!$G$3:$G$998,B917)</f>
        <v>0</v>
      </c>
      <c r="R917">
        <f>SUMIFS(数据!$D$3:$D$998,数据!$E$3:$E$998,"死卵",数据!$F$3:$F$998,A917,数据!$G$3:$G$998,B917)</f>
        <v>0</v>
      </c>
      <c r="S917">
        <f>SUMIFS(数据!$D$3:$D$998,数据!$E$3:$E$998,"前期仔鱼",数据!$F$3:$F$998,A917,数据!$G$3:$G$998,B917)</f>
        <v>0</v>
      </c>
      <c r="T917">
        <f>SUMIFS(数据!$D$3:$D$998,数据!$E$3:$E$998,"仔鱼",数据!$F$3:$F$998,A917,数据!$G$3:$G$998,B917)</f>
        <v>0</v>
      </c>
      <c r="U917">
        <f>SUMIFS(数据!$D$3:$D$998,数据!$E$3:$E$998,"稚鱼",数据!$F$3:$F$998,A917,数据!$G$3:$G$998,B917)</f>
        <v>0</v>
      </c>
    </row>
    <row r="918" spans="1:21" ht="19.9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45" t="str">
        <f t="shared" si="28"/>
        <v/>
      </c>
      <c r="M918" s="45" t="str">
        <f t="shared" si="29"/>
        <v/>
      </c>
      <c r="N918" s="39" t="str">
        <f>IF(AND(A918="",B918=""),"",COUNTIFS(数据!$E$3:$E$998,"&lt;&gt;前期仔鱼",数据!$E$3:$E$998,"&lt;&gt;仔鱼",数据!$E$3:$E$998,"&lt;&gt;稚鱼",数据!$F$3:$F$998,A918,数据!$G$3:$G$998,B918))</f>
        <v/>
      </c>
      <c r="O918" s="39" t="str">
        <f>IF(AND(A918="",B918=""),"",COUNTIFS(数据!$E$3:$E$998,"&lt;&gt;鱼卵",数据!$E$3:$E$998,"&lt;&gt;死卵",数据!$F$3:$F$998,A918,数据!$G$3:$G$998,B918))</f>
        <v/>
      </c>
      <c r="P918" s="31"/>
      <c r="Q918">
        <f>SUMIFS(数据!$D$3:$D$998,数据!$E$3:$E$998,"鱼卵",数据!$F$3:$F$998,A918,数据!$G$3:$G$998,B918)</f>
        <v>0</v>
      </c>
      <c r="R918">
        <f>SUMIFS(数据!$D$3:$D$998,数据!$E$3:$E$998,"死卵",数据!$F$3:$F$998,A918,数据!$G$3:$G$998,B918)</f>
        <v>0</v>
      </c>
      <c r="S918">
        <f>SUMIFS(数据!$D$3:$D$998,数据!$E$3:$E$998,"前期仔鱼",数据!$F$3:$F$998,A918,数据!$G$3:$G$998,B918)</f>
        <v>0</v>
      </c>
      <c r="T918">
        <f>SUMIFS(数据!$D$3:$D$998,数据!$E$3:$E$998,"仔鱼",数据!$F$3:$F$998,A918,数据!$G$3:$G$998,B918)</f>
        <v>0</v>
      </c>
      <c r="U918">
        <f>SUMIFS(数据!$D$3:$D$998,数据!$E$3:$E$998,"稚鱼",数据!$F$3:$F$998,A918,数据!$G$3:$G$998,B918)</f>
        <v>0</v>
      </c>
    </row>
    <row r="919" spans="1:21" ht="19.9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45" t="str">
        <f t="shared" si="28"/>
        <v/>
      </c>
      <c r="M919" s="45" t="str">
        <f t="shared" si="29"/>
        <v/>
      </c>
      <c r="N919" s="39" t="str">
        <f>IF(AND(A919="",B919=""),"",COUNTIFS(数据!$E$3:$E$998,"&lt;&gt;前期仔鱼",数据!$E$3:$E$998,"&lt;&gt;仔鱼",数据!$E$3:$E$998,"&lt;&gt;稚鱼",数据!$F$3:$F$998,A919,数据!$G$3:$G$998,B919))</f>
        <v/>
      </c>
      <c r="O919" s="39" t="str">
        <f>IF(AND(A919="",B919=""),"",COUNTIFS(数据!$E$3:$E$998,"&lt;&gt;鱼卵",数据!$E$3:$E$998,"&lt;&gt;死卵",数据!$F$3:$F$998,A919,数据!$G$3:$G$998,B919))</f>
        <v/>
      </c>
      <c r="P919" s="31"/>
      <c r="Q919">
        <f>SUMIFS(数据!$D$3:$D$998,数据!$E$3:$E$998,"鱼卵",数据!$F$3:$F$998,A919,数据!$G$3:$G$998,B919)</f>
        <v>0</v>
      </c>
      <c r="R919">
        <f>SUMIFS(数据!$D$3:$D$998,数据!$E$3:$E$998,"死卵",数据!$F$3:$F$998,A919,数据!$G$3:$G$998,B919)</f>
        <v>0</v>
      </c>
      <c r="S919">
        <f>SUMIFS(数据!$D$3:$D$998,数据!$E$3:$E$998,"前期仔鱼",数据!$F$3:$F$998,A919,数据!$G$3:$G$998,B919)</f>
        <v>0</v>
      </c>
      <c r="T919">
        <f>SUMIFS(数据!$D$3:$D$998,数据!$E$3:$E$998,"仔鱼",数据!$F$3:$F$998,A919,数据!$G$3:$G$998,B919)</f>
        <v>0</v>
      </c>
      <c r="U919">
        <f>SUMIFS(数据!$D$3:$D$998,数据!$E$3:$E$998,"稚鱼",数据!$F$3:$F$998,A919,数据!$G$3:$G$998,B919)</f>
        <v>0</v>
      </c>
    </row>
    <row r="920" spans="1:21" ht="19.9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45" t="str">
        <f t="shared" si="28"/>
        <v/>
      </c>
      <c r="M920" s="45" t="str">
        <f t="shared" si="29"/>
        <v/>
      </c>
      <c r="N920" s="39" t="str">
        <f>IF(AND(A920="",B920=""),"",COUNTIFS(数据!$E$3:$E$998,"&lt;&gt;前期仔鱼",数据!$E$3:$E$998,"&lt;&gt;仔鱼",数据!$E$3:$E$998,"&lt;&gt;稚鱼",数据!$F$3:$F$998,A920,数据!$G$3:$G$998,B920))</f>
        <v/>
      </c>
      <c r="O920" s="39" t="str">
        <f>IF(AND(A920="",B920=""),"",COUNTIFS(数据!$E$3:$E$998,"&lt;&gt;鱼卵",数据!$E$3:$E$998,"&lt;&gt;死卵",数据!$F$3:$F$998,A920,数据!$G$3:$G$998,B920))</f>
        <v/>
      </c>
      <c r="P920" s="31"/>
      <c r="Q920">
        <f>SUMIFS(数据!$D$3:$D$998,数据!$E$3:$E$998,"鱼卵",数据!$F$3:$F$998,A920,数据!$G$3:$G$998,B920)</f>
        <v>0</v>
      </c>
      <c r="R920">
        <f>SUMIFS(数据!$D$3:$D$998,数据!$E$3:$E$998,"死卵",数据!$F$3:$F$998,A920,数据!$G$3:$G$998,B920)</f>
        <v>0</v>
      </c>
      <c r="S920">
        <f>SUMIFS(数据!$D$3:$D$998,数据!$E$3:$E$998,"前期仔鱼",数据!$F$3:$F$998,A920,数据!$G$3:$G$998,B920)</f>
        <v>0</v>
      </c>
      <c r="T920">
        <f>SUMIFS(数据!$D$3:$D$998,数据!$E$3:$E$998,"仔鱼",数据!$F$3:$F$998,A920,数据!$G$3:$G$998,B920)</f>
        <v>0</v>
      </c>
      <c r="U920">
        <f>SUMIFS(数据!$D$3:$D$998,数据!$E$3:$E$998,"稚鱼",数据!$F$3:$F$998,A920,数据!$G$3:$G$998,B920)</f>
        <v>0</v>
      </c>
    </row>
    <row r="921" spans="1:21" ht="19.9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45" t="str">
        <f t="shared" si="28"/>
        <v/>
      </c>
      <c r="M921" s="45" t="str">
        <f t="shared" si="29"/>
        <v/>
      </c>
      <c r="N921" s="39" t="str">
        <f>IF(AND(A921="",B921=""),"",COUNTIFS(数据!$E$3:$E$998,"&lt;&gt;前期仔鱼",数据!$E$3:$E$998,"&lt;&gt;仔鱼",数据!$E$3:$E$998,"&lt;&gt;稚鱼",数据!$F$3:$F$998,A921,数据!$G$3:$G$998,B921))</f>
        <v/>
      </c>
      <c r="O921" s="39" t="str">
        <f>IF(AND(A921="",B921=""),"",COUNTIFS(数据!$E$3:$E$998,"&lt;&gt;鱼卵",数据!$E$3:$E$998,"&lt;&gt;死卵",数据!$F$3:$F$998,A921,数据!$G$3:$G$998,B921))</f>
        <v/>
      </c>
      <c r="P921" s="31"/>
      <c r="Q921">
        <f>SUMIFS(数据!$D$3:$D$998,数据!$E$3:$E$998,"鱼卵",数据!$F$3:$F$998,A921,数据!$G$3:$G$998,B921)</f>
        <v>0</v>
      </c>
      <c r="R921">
        <f>SUMIFS(数据!$D$3:$D$998,数据!$E$3:$E$998,"死卵",数据!$F$3:$F$998,A921,数据!$G$3:$G$998,B921)</f>
        <v>0</v>
      </c>
      <c r="S921">
        <f>SUMIFS(数据!$D$3:$D$998,数据!$E$3:$E$998,"前期仔鱼",数据!$F$3:$F$998,A921,数据!$G$3:$G$998,B921)</f>
        <v>0</v>
      </c>
      <c r="T921">
        <f>SUMIFS(数据!$D$3:$D$998,数据!$E$3:$E$998,"仔鱼",数据!$F$3:$F$998,A921,数据!$G$3:$G$998,B921)</f>
        <v>0</v>
      </c>
      <c r="U921">
        <f>SUMIFS(数据!$D$3:$D$998,数据!$E$3:$E$998,"稚鱼",数据!$F$3:$F$998,A921,数据!$G$3:$G$998,B921)</f>
        <v>0</v>
      </c>
    </row>
    <row r="922" spans="1:21" ht="19.9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45" t="str">
        <f t="shared" si="28"/>
        <v/>
      </c>
      <c r="M922" s="45" t="str">
        <f t="shared" si="29"/>
        <v/>
      </c>
      <c r="N922" s="39" t="str">
        <f>IF(AND(A922="",B922=""),"",COUNTIFS(数据!$E$3:$E$998,"&lt;&gt;前期仔鱼",数据!$E$3:$E$998,"&lt;&gt;仔鱼",数据!$E$3:$E$998,"&lt;&gt;稚鱼",数据!$F$3:$F$998,A922,数据!$G$3:$G$998,B922))</f>
        <v/>
      </c>
      <c r="O922" s="39" t="str">
        <f>IF(AND(A922="",B922=""),"",COUNTIFS(数据!$E$3:$E$998,"&lt;&gt;鱼卵",数据!$E$3:$E$998,"&lt;&gt;死卵",数据!$F$3:$F$998,A922,数据!$G$3:$G$998,B922))</f>
        <v/>
      </c>
      <c r="P922" s="31"/>
      <c r="Q922">
        <f>SUMIFS(数据!$D$3:$D$998,数据!$E$3:$E$998,"鱼卵",数据!$F$3:$F$998,A922,数据!$G$3:$G$998,B922)</f>
        <v>0</v>
      </c>
      <c r="R922">
        <f>SUMIFS(数据!$D$3:$D$998,数据!$E$3:$E$998,"死卵",数据!$F$3:$F$998,A922,数据!$G$3:$G$998,B922)</f>
        <v>0</v>
      </c>
      <c r="S922">
        <f>SUMIFS(数据!$D$3:$D$998,数据!$E$3:$E$998,"前期仔鱼",数据!$F$3:$F$998,A922,数据!$G$3:$G$998,B922)</f>
        <v>0</v>
      </c>
      <c r="T922">
        <f>SUMIFS(数据!$D$3:$D$998,数据!$E$3:$E$998,"仔鱼",数据!$F$3:$F$998,A922,数据!$G$3:$G$998,B922)</f>
        <v>0</v>
      </c>
      <c r="U922">
        <f>SUMIFS(数据!$D$3:$D$998,数据!$E$3:$E$998,"稚鱼",数据!$F$3:$F$998,A922,数据!$G$3:$G$998,B922)</f>
        <v>0</v>
      </c>
    </row>
    <row r="923" spans="1:21" ht="19.9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45" t="str">
        <f t="shared" si="28"/>
        <v/>
      </c>
      <c r="M923" s="45" t="str">
        <f t="shared" si="29"/>
        <v/>
      </c>
      <c r="N923" s="39" t="str">
        <f>IF(AND(A923="",B923=""),"",COUNTIFS(数据!$E$3:$E$998,"&lt;&gt;前期仔鱼",数据!$E$3:$E$998,"&lt;&gt;仔鱼",数据!$E$3:$E$998,"&lt;&gt;稚鱼",数据!$F$3:$F$998,A923,数据!$G$3:$G$998,B923))</f>
        <v/>
      </c>
      <c r="O923" s="39" t="str">
        <f>IF(AND(A923="",B923=""),"",COUNTIFS(数据!$E$3:$E$998,"&lt;&gt;鱼卵",数据!$E$3:$E$998,"&lt;&gt;死卵",数据!$F$3:$F$998,A923,数据!$G$3:$G$998,B923))</f>
        <v/>
      </c>
      <c r="P923" s="31"/>
      <c r="Q923">
        <f>SUMIFS(数据!$D$3:$D$998,数据!$E$3:$E$998,"鱼卵",数据!$F$3:$F$998,A923,数据!$G$3:$G$998,B923)</f>
        <v>0</v>
      </c>
      <c r="R923">
        <f>SUMIFS(数据!$D$3:$D$998,数据!$E$3:$E$998,"死卵",数据!$F$3:$F$998,A923,数据!$G$3:$G$998,B923)</f>
        <v>0</v>
      </c>
      <c r="S923">
        <f>SUMIFS(数据!$D$3:$D$998,数据!$E$3:$E$998,"前期仔鱼",数据!$F$3:$F$998,A923,数据!$G$3:$G$998,B923)</f>
        <v>0</v>
      </c>
      <c r="T923">
        <f>SUMIFS(数据!$D$3:$D$998,数据!$E$3:$E$998,"仔鱼",数据!$F$3:$F$998,A923,数据!$G$3:$G$998,B923)</f>
        <v>0</v>
      </c>
      <c r="U923">
        <f>SUMIFS(数据!$D$3:$D$998,数据!$E$3:$E$998,"稚鱼",数据!$F$3:$F$998,A923,数据!$G$3:$G$998,B923)</f>
        <v>0</v>
      </c>
    </row>
    <row r="924" spans="1:21" ht="19.9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45" t="str">
        <f t="shared" si="28"/>
        <v/>
      </c>
      <c r="M924" s="45" t="str">
        <f t="shared" si="29"/>
        <v/>
      </c>
      <c r="N924" s="39" t="str">
        <f>IF(AND(A924="",B924=""),"",COUNTIFS(数据!$E$3:$E$998,"&lt;&gt;前期仔鱼",数据!$E$3:$E$998,"&lt;&gt;仔鱼",数据!$E$3:$E$998,"&lt;&gt;稚鱼",数据!$F$3:$F$998,A924,数据!$G$3:$G$998,B924))</f>
        <v/>
      </c>
      <c r="O924" s="39" t="str">
        <f>IF(AND(A924="",B924=""),"",COUNTIFS(数据!$E$3:$E$998,"&lt;&gt;鱼卵",数据!$E$3:$E$998,"&lt;&gt;死卵",数据!$F$3:$F$998,A924,数据!$G$3:$G$998,B924))</f>
        <v/>
      </c>
      <c r="P924" s="31"/>
      <c r="Q924">
        <f>SUMIFS(数据!$D$3:$D$998,数据!$E$3:$E$998,"鱼卵",数据!$F$3:$F$998,A924,数据!$G$3:$G$998,B924)</f>
        <v>0</v>
      </c>
      <c r="R924">
        <f>SUMIFS(数据!$D$3:$D$998,数据!$E$3:$E$998,"死卵",数据!$F$3:$F$998,A924,数据!$G$3:$G$998,B924)</f>
        <v>0</v>
      </c>
      <c r="S924">
        <f>SUMIFS(数据!$D$3:$D$998,数据!$E$3:$E$998,"前期仔鱼",数据!$F$3:$F$998,A924,数据!$G$3:$G$998,B924)</f>
        <v>0</v>
      </c>
      <c r="T924">
        <f>SUMIFS(数据!$D$3:$D$998,数据!$E$3:$E$998,"仔鱼",数据!$F$3:$F$998,A924,数据!$G$3:$G$998,B924)</f>
        <v>0</v>
      </c>
      <c r="U924">
        <f>SUMIFS(数据!$D$3:$D$998,数据!$E$3:$E$998,"稚鱼",数据!$F$3:$F$998,A924,数据!$G$3:$G$998,B924)</f>
        <v>0</v>
      </c>
    </row>
    <row r="925" spans="1:21" ht="19.9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45" t="str">
        <f t="shared" si="28"/>
        <v/>
      </c>
      <c r="M925" s="45" t="str">
        <f t="shared" si="29"/>
        <v/>
      </c>
      <c r="N925" s="39" t="str">
        <f>IF(AND(A925="",B925=""),"",COUNTIFS(数据!$E$3:$E$998,"&lt;&gt;前期仔鱼",数据!$E$3:$E$998,"&lt;&gt;仔鱼",数据!$E$3:$E$998,"&lt;&gt;稚鱼",数据!$F$3:$F$998,A925,数据!$G$3:$G$998,B925))</f>
        <v/>
      </c>
      <c r="O925" s="39" t="str">
        <f>IF(AND(A925="",B925=""),"",COUNTIFS(数据!$E$3:$E$998,"&lt;&gt;鱼卵",数据!$E$3:$E$998,"&lt;&gt;死卵",数据!$F$3:$F$998,A925,数据!$G$3:$G$998,B925))</f>
        <v/>
      </c>
      <c r="P925" s="31"/>
      <c r="Q925">
        <f>SUMIFS(数据!$D$3:$D$998,数据!$E$3:$E$998,"鱼卵",数据!$F$3:$F$998,A925,数据!$G$3:$G$998,B925)</f>
        <v>0</v>
      </c>
      <c r="R925">
        <f>SUMIFS(数据!$D$3:$D$998,数据!$E$3:$E$998,"死卵",数据!$F$3:$F$998,A925,数据!$G$3:$G$998,B925)</f>
        <v>0</v>
      </c>
      <c r="S925">
        <f>SUMIFS(数据!$D$3:$D$998,数据!$E$3:$E$998,"前期仔鱼",数据!$F$3:$F$998,A925,数据!$G$3:$G$998,B925)</f>
        <v>0</v>
      </c>
      <c r="T925">
        <f>SUMIFS(数据!$D$3:$D$998,数据!$E$3:$E$998,"仔鱼",数据!$F$3:$F$998,A925,数据!$G$3:$G$998,B925)</f>
        <v>0</v>
      </c>
      <c r="U925">
        <f>SUMIFS(数据!$D$3:$D$998,数据!$E$3:$E$998,"稚鱼",数据!$F$3:$F$998,A925,数据!$G$3:$G$998,B925)</f>
        <v>0</v>
      </c>
    </row>
    <row r="926" spans="1:21" ht="19.9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45" t="str">
        <f t="shared" si="28"/>
        <v/>
      </c>
      <c r="M926" s="45" t="str">
        <f t="shared" si="29"/>
        <v/>
      </c>
      <c r="N926" s="39" t="str">
        <f>IF(AND(A926="",B926=""),"",COUNTIFS(数据!$E$3:$E$998,"&lt;&gt;前期仔鱼",数据!$E$3:$E$998,"&lt;&gt;仔鱼",数据!$E$3:$E$998,"&lt;&gt;稚鱼",数据!$F$3:$F$998,A926,数据!$G$3:$G$998,B926))</f>
        <v/>
      </c>
      <c r="O926" s="39" t="str">
        <f>IF(AND(A926="",B926=""),"",COUNTIFS(数据!$E$3:$E$998,"&lt;&gt;鱼卵",数据!$E$3:$E$998,"&lt;&gt;死卵",数据!$F$3:$F$998,A926,数据!$G$3:$G$998,B926))</f>
        <v/>
      </c>
      <c r="P926" s="31"/>
      <c r="Q926">
        <f>SUMIFS(数据!$D$3:$D$998,数据!$E$3:$E$998,"鱼卵",数据!$F$3:$F$998,A926,数据!$G$3:$G$998,B926)</f>
        <v>0</v>
      </c>
      <c r="R926">
        <f>SUMIFS(数据!$D$3:$D$998,数据!$E$3:$E$998,"死卵",数据!$F$3:$F$998,A926,数据!$G$3:$G$998,B926)</f>
        <v>0</v>
      </c>
      <c r="S926">
        <f>SUMIFS(数据!$D$3:$D$998,数据!$E$3:$E$998,"前期仔鱼",数据!$F$3:$F$998,A926,数据!$G$3:$G$998,B926)</f>
        <v>0</v>
      </c>
      <c r="T926">
        <f>SUMIFS(数据!$D$3:$D$998,数据!$E$3:$E$998,"仔鱼",数据!$F$3:$F$998,A926,数据!$G$3:$G$998,B926)</f>
        <v>0</v>
      </c>
      <c r="U926">
        <f>SUMIFS(数据!$D$3:$D$998,数据!$E$3:$E$998,"稚鱼",数据!$F$3:$F$998,A926,数据!$G$3:$G$998,B926)</f>
        <v>0</v>
      </c>
    </row>
    <row r="927" spans="1:21" ht="19.9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45" t="str">
        <f t="shared" si="28"/>
        <v/>
      </c>
      <c r="M927" s="45" t="str">
        <f t="shared" si="29"/>
        <v/>
      </c>
      <c r="N927" s="39" t="str">
        <f>IF(AND(A927="",B927=""),"",COUNTIFS(数据!$E$3:$E$998,"&lt;&gt;前期仔鱼",数据!$E$3:$E$998,"&lt;&gt;仔鱼",数据!$E$3:$E$998,"&lt;&gt;稚鱼",数据!$F$3:$F$998,A927,数据!$G$3:$G$998,B927))</f>
        <v/>
      </c>
      <c r="O927" s="39" t="str">
        <f>IF(AND(A927="",B927=""),"",COUNTIFS(数据!$E$3:$E$998,"&lt;&gt;鱼卵",数据!$E$3:$E$998,"&lt;&gt;死卵",数据!$F$3:$F$998,A927,数据!$G$3:$G$998,B927))</f>
        <v/>
      </c>
      <c r="P927" s="31"/>
      <c r="Q927">
        <f>SUMIFS(数据!$D$3:$D$998,数据!$E$3:$E$998,"鱼卵",数据!$F$3:$F$998,A927,数据!$G$3:$G$998,B927)</f>
        <v>0</v>
      </c>
      <c r="R927">
        <f>SUMIFS(数据!$D$3:$D$998,数据!$E$3:$E$998,"死卵",数据!$F$3:$F$998,A927,数据!$G$3:$G$998,B927)</f>
        <v>0</v>
      </c>
      <c r="S927">
        <f>SUMIFS(数据!$D$3:$D$998,数据!$E$3:$E$998,"前期仔鱼",数据!$F$3:$F$998,A927,数据!$G$3:$G$998,B927)</f>
        <v>0</v>
      </c>
      <c r="T927">
        <f>SUMIFS(数据!$D$3:$D$998,数据!$E$3:$E$998,"仔鱼",数据!$F$3:$F$998,A927,数据!$G$3:$G$998,B927)</f>
        <v>0</v>
      </c>
      <c r="U927">
        <f>SUMIFS(数据!$D$3:$D$998,数据!$E$3:$E$998,"稚鱼",数据!$F$3:$F$998,A927,数据!$G$3:$G$998,B927)</f>
        <v>0</v>
      </c>
    </row>
    <row r="928" spans="1:21" ht="19.9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45" t="str">
        <f t="shared" si="28"/>
        <v/>
      </c>
      <c r="M928" s="45" t="str">
        <f t="shared" si="29"/>
        <v/>
      </c>
      <c r="N928" s="39" t="str">
        <f>IF(AND(A928="",B928=""),"",COUNTIFS(数据!$E$3:$E$998,"&lt;&gt;前期仔鱼",数据!$E$3:$E$998,"&lt;&gt;仔鱼",数据!$E$3:$E$998,"&lt;&gt;稚鱼",数据!$F$3:$F$998,A928,数据!$G$3:$G$998,B928))</f>
        <v/>
      </c>
      <c r="O928" s="39" t="str">
        <f>IF(AND(A928="",B928=""),"",COUNTIFS(数据!$E$3:$E$998,"&lt;&gt;鱼卵",数据!$E$3:$E$998,"&lt;&gt;死卵",数据!$F$3:$F$998,A928,数据!$G$3:$G$998,B928))</f>
        <v/>
      </c>
      <c r="P928" s="31"/>
      <c r="Q928">
        <f>SUMIFS(数据!$D$3:$D$998,数据!$E$3:$E$998,"鱼卵",数据!$F$3:$F$998,A928,数据!$G$3:$G$998,B928)</f>
        <v>0</v>
      </c>
      <c r="R928">
        <f>SUMIFS(数据!$D$3:$D$998,数据!$E$3:$E$998,"死卵",数据!$F$3:$F$998,A928,数据!$G$3:$G$998,B928)</f>
        <v>0</v>
      </c>
      <c r="S928">
        <f>SUMIFS(数据!$D$3:$D$998,数据!$E$3:$E$998,"前期仔鱼",数据!$F$3:$F$998,A928,数据!$G$3:$G$998,B928)</f>
        <v>0</v>
      </c>
      <c r="T928">
        <f>SUMIFS(数据!$D$3:$D$998,数据!$E$3:$E$998,"仔鱼",数据!$F$3:$F$998,A928,数据!$G$3:$G$998,B928)</f>
        <v>0</v>
      </c>
      <c r="U928">
        <f>SUMIFS(数据!$D$3:$D$998,数据!$E$3:$E$998,"稚鱼",数据!$F$3:$F$998,A928,数据!$G$3:$G$998,B928)</f>
        <v>0</v>
      </c>
    </row>
    <row r="929" spans="1:21" ht="19.9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45" t="str">
        <f t="shared" si="28"/>
        <v/>
      </c>
      <c r="M929" s="45" t="str">
        <f t="shared" si="29"/>
        <v/>
      </c>
      <c r="N929" s="39" t="str">
        <f>IF(AND(A929="",B929=""),"",COUNTIFS(数据!$E$3:$E$998,"&lt;&gt;前期仔鱼",数据!$E$3:$E$998,"&lt;&gt;仔鱼",数据!$E$3:$E$998,"&lt;&gt;稚鱼",数据!$F$3:$F$998,A929,数据!$G$3:$G$998,B929))</f>
        <v/>
      </c>
      <c r="O929" s="39" t="str">
        <f>IF(AND(A929="",B929=""),"",COUNTIFS(数据!$E$3:$E$998,"&lt;&gt;鱼卵",数据!$E$3:$E$998,"&lt;&gt;死卵",数据!$F$3:$F$998,A929,数据!$G$3:$G$998,B929))</f>
        <v/>
      </c>
      <c r="P929" s="31"/>
      <c r="Q929">
        <f>SUMIFS(数据!$D$3:$D$998,数据!$E$3:$E$998,"鱼卵",数据!$F$3:$F$998,A929,数据!$G$3:$G$998,B929)</f>
        <v>0</v>
      </c>
      <c r="R929">
        <f>SUMIFS(数据!$D$3:$D$998,数据!$E$3:$E$998,"死卵",数据!$F$3:$F$998,A929,数据!$G$3:$G$998,B929)</f>
        <v>0</v>
      </c>
      <c r="S929">
        <f>SUMIFS(数据!$D$3:$D$998,数据!$E$3:$E$998,"前期仔鱼",数据!$F$3:$F$998,A929,数据!$G$3:$G$998,B929)</f>
        <v>0</v>
      </c>
      <c r="T929">
        <f>SUMIFS(数据!$D$3:$D$998,数据!$E$3:$E$998,"仔鱼",数据!$F$3:$F$998,A929,数据!$G$3:$G$998,B929)</f>
        <v>0</v>
      </c>
      <c r="U929">
        <f>SUMIFS(数据!$D$3:$D$998,数据!$E$3:$E$998,"稚鱼",数据!$F$3:$F$998,A929,数据!$G$3:$G$998,B929)</f>
        <v>0</v>
      </c>
    </row>
    <row r="930" spans="1:21" ht="19.9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45" t="str">
        <f t="shared" si="28"/>
        <v/>
      </c>
      <c r="M930" s="45" t="str">
        <f t="shared" si="29"/>
        <v/>
      </c>
      <c r="N930" s="39" t="str">
        <f>IF(AND(A930="",B930=""),"",COUNTIFS(数据!$E$3:$E$998,"&lt;&gt;前期仔鱼",数据!$E$3:$E$998,"&lt;&gt;仔鱼",数据!$E$3:$E$998,"&lt;&gt;稚鱼",数据!$F$3:$F$998,A930,数据!$G$3:$G$998,B930))</f>
        <v/>
      </c>
      <c r="O930" s="39" t="str">
        <f>IF(AND(A930="",B930=""),"",COUNTIFS(数据!$E$3:$E$998,"&lt;&gt;鱼卵",数据!$E$3:$E$998,"&lt;&gt;死卵",数据!$F$3:$F$998,A930,数据!$G$3:$G$998,B930))</f>
        <v/>
      </c>
      <c r="P930" s="31"/>
      <c r="Q930">
        <f>SUMIFS(数据!$D$3:$D$998,数据!$E$3:$E$998,"鱼卵",数据!$F$3:$F$998,A930,数据!$G$3:$G$998,B930)</f>
        <v>0</v>
      </c>
      <c r="R930">
        <f>SUMIFS(数据!$D$3:$D$998,数据!$E$3:$E$998,"死卵",数据!$F$3:$F$998,A930,数据!$G$3:$G$998,B930)</f>
        <v>0</v>
      </c>
      <c r="S930">
        <f>SUMIFS(数据!$D$3:$D$998,数据!$E$3:$E$998,"前期仔鱼",数据!$F$3:$F$998,A930,数据!$G$3:$G$998,B930)</f>
        <v>0</v>
      </c>
      <c r="T930">
        <f>SUMIFS(数据!$D$3:$D$998,数据!$E$3:$E$998,"仔鱼",数据!$F$3:$F$998,A930,数据!$G$3:$G$998,B930)</f>
        <v>0</v>
      </c>
      <c r="U930">
        <f>SUMIFS(数据!$D$3:$D$998,数据!$E$3:$E$998,"稚鱼",数据!$F$3:$F$998,A930,数据!$G$3:$G$998,B930)</f>
        <v>0</v>
      </c>
    </row>
    <row r="931" spans="1:21" ht="19.9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45" t="str">
        <f t="shared" si="28"/>
        <v/>
      </c>
      <c r="M931" s="45" t="str">
        <f t="shared" si="29"/>
        <v/>
      </c>
      <c r="N931" s="39" t="str">
        <f>IF(AND(A931="",B931=""),"",COUNTIFS(数据!$E$3:$E$998,"&lt;&gt;前期仔鱼",数据!$E$3:$E$998,"&lt;&gt;仔鱼",数据!$E$3:$E$998,"&lt;&gt;稚鱼",数据!$F$3:$F$998,A931,数据!$G$3:$G$998,B931))</f>
        <v/>
      </c>
      <c r="O931" s="39" t="str">
        <f>IF(AND(A931="",B931=""),"",COUNTIFS(数据!$E$3:$E$998,"&lt;&gt;鱼卵",数据!$E$3:$E$998,"&lt;&gt;死卵",数据!$F$3:$F$998,A931,数据!$G$3:$G$998,B931))</f>
        <v/>
      </c>
      <c r="P931" s="31"/>
      <c r="Q931">
        <f>SUMIFS(数据!$D$3:$D$998,数据!$E$3:$E$998,"鱼卵",数据!$F$3:$F$998,A931,数据!$G$3:$G$998,B931)</f>
        <v>0</v>
      </c>
      <c r="R931">
        <f>SUMIFS(数据!$D$3:$D$998,数据!$E$3:$E$998,"死卵",数据!$F$3:$F$998,A931,数据!$G$3:$G$998,B931)</f>
        <v>0</v>
      </c>
      <c r="S931">
        <f>SUMIFS(数据!$D$3:$D$998,数据!$E$3:$E$998,"前期仔鱼",数据!$F$3:$F$998,A931,数据!$G$3:$G$998,B931)</f>
        <v>0</v>
      </c>
      <c r="T931">
        <f>SUMIFS(数据!$D$3:$D$998,数据!$E$3:$E$998,"仔鱼",数据!$F$3:$F$998,A931,数据!$G$3:$G$998,B931)</f>
        <v>0</v>
      </c>
      <c r="U931">
        <f>SUMIFS(数据!$D$3:$D$998,数据!$E$3:$E$998,"稚鱼",数据!$F$3:$F$998,A931,数据!$G$3:$G$998,B931)</f>
        <v>0</v>
      </c>
    </row>
    <row r="932" spans="1:21" ht="19.9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45" t="str">
        <f t="shared" si="28"/>
        <v/>
      </c>
      <c r="M932" s="45" t="str">
        <f t="shared" si="29"/>
        <v/>
      </c>
      <c r="N932" s="39" t="str">
        <f>IF(AND(A932="",B932=""),"",COUNTIFS(数据!$E$3:$E$998,"&lt;&gt;前期仔鱼",数据!$E$3:$E$998,"&lt;&gt;仔鱼",数据!$E$3:$E$998,"&lt;&gt;稚鱼",数据!$F$3:$F$998,A932,数据!$G$3:$G$998,B932))</f>
        <v/>
      </c>
      <c r="O932" s="39" t="str">
        <f>IF(AND(A932="",B932=""),"",COUNTIFS(数据!$E$3:$E$998,"&lt;&gt;鱼卵",数据!$E$3:$E$998,"&lt;&gt;死卵",数据!$F$3:$F$998,A932,数据!$G$3:$G$998,B932))</f>
        <v/>
      </c>
      <c r="P932" s="31"/>
      <c r="Q932">
        <f>SUMIFS(数据!$D$3:$D$998,数据!$E$3:$E$998,"鱼卵",数据!$F$3:$F$998,A932,数据!$G$3:$G$998,B932)</f>
        <v>0</v>
      </c>
      <c r="R932">
        <f>SUMIFS(数据!$D$3:$D$998,数据!$E$3:$E$998,"死卵",数据!$F$3:$F$998,A932,数据!$G$3:$G$998,B932)</f>
        <v>0</v>
      </c>
      <c r="S932">
        <f>SUMIFS(数据!$D$3:$D$998,数据!$E$3:$E$998,"前期仔鱼",数据!$F$3:$F$998,A932,数据!$G$3:$G$998,B932)</f>
        <v>0</v>
      </c>
      <c r="T932">
        <f>SUMIFS(数据!$D$3:$D$998,数据!$E$3:$E$998,"仔鱼",数据!$F$3:$F$998,A932,数据!$G$3:$G$998,B932)</f>
        <v>0</v>
      </c>
      <c r="U932">
        <f>SUMIFS(数据!$D$3:$D$998,数据!$E$3:$E$998,"稚鱼",数据!$F$3:$F$998,A932,数据!$G$3:$G$998,B932)</f>
        <v>0</v>
      </c>
    </row>
    <row r="933" spans="1:21" ht="19.9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45" t="str">
        <f t="shared" si="28"/>
        <v/>
      </c>
      <c r="M933" s="45" t="str">
        <f t="shared" si="29"/>
        <v/>
      </c>
      <c r="N933" s="39" t="str">
        <f>IF(AND(A933="",B933=""),"",COUNTIFS(数据!$E$3:$E$998,"&lt;&gt;前期仔鱼",数据!$E$3:$E$998,"&lt;&gt;仔鱼",数据!$E$3:$E$998,"&lt;&gt;稚鱼",数据!$F$3:$F$998,A933,数据!$G$3:$G$998,B933))</f>
        <v/>
      </c>
      <c r="O933" s="39" t="str">
        <f>IF(AND(A933="",B933=""),"",COUNTIFS(数据!$E$3:$E$998,"&lt;&gt;鱼卵",数据!$E$3:$E$998,"&lt;&gt;死卵",数据!$F$3:$F$998,A933,数据!$G$3:$G$998,B933))</f>
        <v/>
      </c>
      <c r="P933" s="31"/>
      <c r="Q933">
        <f>SUMIFS(数据!$D$3:$D$998,数据!$E$3:$E$998,"鱼卵",数据!$F$3:$F$998,A933,数据!$G$3:$G$998,B933)</f>
        <v>0</v>
      </c>
      <c r="R933">
        <f>SUMIFS(数据!$D$3:$D$998,数据!$E$3:$E$998,"死卵",数据!$F$3:$F$998,A933,数据!$G$3:$G$998,B933)</f>
        <v>0</v>
      </c>
      <c r="S933">
        <f>SUMIFS(数据!$D$3:$D$998,数据!$E$3:$E$998,"前期仔鱼",数据!$F$3:$F$998,A933,数据!$G$3:$G$998,B933)</f>
        <v>0</v>
      </c>
      <c r="T933">
        <f>SUMIFS(数据!$D$3:$D$998,数据!$E$3:$E$998,"仔鱼",数据!$F$3:$F$998,A933,数据!$G$3:$G$998,B933)</f>
        <v>0</v>
      </c>
      <c r="U933">
        <f>SUMIFS(数据!$D$3:$D$998,数据!$E$3:$E$998,"稚鱼",数据!$F$3:$F$998,A933,数据!$G$3:$G$998,B933)</f>
        <v>0</v>
      </c>
    </row>
    <row r="934" spans="1:21" ht="19.9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45" t="str">
        <f t="shared" si="28"/>
        <v/>
      </c>
      <c r="M934" s="45" t="str">
        <f t="shared" si="29"/>
        <v/>
      </c>
      <c r="N934" s="39" t="str">
        <f>IF(AND(A934="",B934=""),"",COUNTIFS(数据!$E$3:$E$998,"&lt;&gt;前期仔鱼",数据!$E$3:$E$998,"&lt;&gt;仔鱼",数据!$E$3:$E$998,"&lt;&gt;稚鱼",数据!$F$3:$F$998,A934,数据!$G$3:$G$998,B934))</f>
        <v/>
      </c>
      <c r="O934" s="39" t="str">
        <f>IF(AND(A934="",B934=""),"",COUNTIFS(数据!$E$3:$E$998,"&lt;&gt;鱼卵",数据!$E$3:$E$998,"&lt;&gt;死卵",数据!$F$3:$F$998,A934,数据!$G$3:$G$998,B934))</f>
        <v/>
      </c>
      <c r="P934" s="31"/>
      <c r="Q934">
        <f>SUMIFS(数据!$D$3:$D$998,数据!$E$3:$E$998,"鱼卵",数据!$F$3:$F$998,A934,数据!$G$3:$G$998,B934)</f>
        <v>0</v>
      </c>
      <c r="R934">
        <f>SUMIFS(数据!$D$3:$D$998,数据!$E$3:$E$998,"死卵",数据!$F$3:$F$998,A934,数据!$G$3:$G$998,B934)</f>
        <v>0</v>
      </c>
      <c r="S934">
        <f>SUMIFS(数据!$D$3:$D$998,数据!$E$3:$E$998,"前期仔鱼",数据!$F$3:$F$998,A934,数据!$G$3:$G$998,B934)</f>
        <v>0</v>
      </c>
      <c r="T934">
        <f>SUMIFS(数据!$D$3:$D$998,数据!$E$3:$E$998,"仔鱼",数据!$F$3:$F$998,A934,数据!$G$3:$G$998,B934)</f>
        <v>0</v>
      </c>
      <c r="U934">
        <f>SUMIFS(数据!$D$3:$D$998,数据!$E$3:$E$998,"稚鱼",数据!$F$3:$F$998,A934,数据!$G$3:$G$998,B934)</f>
        <v>0</v>
      </c>
    </row>
    <row r="935" spans="1:21" ht="19.9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45" t="str">
        <f t="shared" si="28"/>
        <v/>
      </c>
      <c r="M935" s="45" t="str">
        <f t="shared" si="29"/>
        <v/>
      </c>
      <c r="N935" s="39" t="str">
        <f>IF(AND(A935="",B935=""),"",COUNTIFS(数据!$E$3:$E$998,"&lt;&gt;前期仔鱼",数据!$E$3:$E$998,"&lt;&gt;仔鱼",数据!$E$3:$E$998,"&lt;&gt;稚鱼",数据!$F$3:$F$998,A935,数据!$G$3:$G$998,B935))</f>
        <v/>
      </c>
      <c r="O935" s="39" t="str">
        <f>IF(AND(A935="",B935=""),"",COUNTIFS(数据!$E$3:$E$998,"&lt;&gt;鱼卵",数据!$E$3:$E$998,"&lt;&gt;死卵",数据!$F$3:$F$998,A935,数据!$G$3:$G$998,B935))</f>
        <v/>
      </c>
      <c r="P935" s="31"/>
      <c r="Q935">
        <f>SUMIFS(数据!$D$3:$D$998,数据!$E$3:$E$998,"鱼卵",数据!$F$3:$F$998,A935,数据!$G$3:$G$998,B935)</f>
        <v>0</v>
      </c>
      <c r="R935">
        <f>SUMIFS(数据!$D$3:$D$998,数据!$E$3:$E$998,"死卵",数据!$F$3:$F$998,A935,数据!$G$3:$G$998,B935)</f>
        <v>0</v>
      </c>
      <c r="S935">
        <f>SUMIFS(数据!$D$3:$D$998,数据!$E$3:$E$998,"前期仔鱼",数据!$F$3:$F$998,A935,数据!$G$3:$G$998,B935)</f>
        <v>0</v>
      </c>
      <c r="T935">
        <f>SUMIFS(数据!$D$3:$D$998,数据!$E$3:$E$998,"仔鱼",数据!$F$3:$F$998,A935,数据!$G$3:$G$998,B935)</f>
        <v>0</v>
      </c>
      <c r="U935">
        <f>SUMIFS(数据!$D$3:$D$998,数据!$E$3:$E$998,"稚鱼",数据!$F$3:$F$998,A935,数据!$G$3:$G$998,B935)</f>
        <v>0</v>
      </c>
    </row>
    <row r="936" spans="1:21" ht="19.9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45" t="str">
        <f t="shared" si="28"/>
        <v/>
      </c>
      <c r="M936" s="45" t="str">
        <f t="shared" si="29"/>
        <v/>
      </c>
      <c r="N936" s="39" t="str">
        <f>IF(AND(A936="",B936=""),"",COUNTIFS(数据!$E$3:$E$998,"&lt;&gt;前期仔鱼",数据!$E$3:$E$998,"&lt;&gt;仔鱼",数据!$E$3:$E$998,"&lt;&gt;稚鱼",数据!$F$3:$F$998,A936,数据!$G$3:$G$998,B936))</f>
        <v/>
      </c>
      <c r="O936" s="39" t="str">
        <f>IF(AND(A936="",B936=""),"",COUNTIFS(数据!$E$3:$E$998,"&lt;&gt;鱼卵",数据!$E$3:$E$998,"&lt;&gt;死卵",数据!$F$3:$F$998,A936,数据!$G$3:$G$998,B936))</f>
        <v/>
      </c>
      <c r="P936" s="31"/>
      <c r="Q936">
        <f>SUMIFS(数据!$D$3:$D$998,数据!$E$3:$E$998,"鱼卵",数据!$F$3:$F$998,A936,数据!$G$3:$G$998,B936)</f>
        <v>0</v>
      </c>
      <c r="R936">
        <f>SUMIFS(数据!$D$3:$D$998,数据!$E$3:$E$998,"死卵",数据!$F$3:$F$998,A936,数据!$G$3:$G$998,B936)</f>
        <v>0</v>
      </c>
      <c r="S936">
        <f>SUMIFS(数据!$D$3:$D$998,数据!$E$3:$E$998,"前期仔鱼",数据!$F$3:$F$998,A936,数据!$G$3:$G$998,B936)</f>
        <v>0</v>
      </c>
      <c r="T936">
        <f>SUMIFS(数据!$D$3:$D$998,数据!$E$3:$E$998,"仔鱼",数据!$F$3:$F$998,A936,数据!$G$3:$G$998,B936)</f>
        <v>0</v>
      </c>
      <c r="U936">
        <f>SUMIFS(数据!$D$3:$D$998,数据!$E$3:$E$998,"稚鱼",数据!$F$3:$F$998,A936,数据!$G$3:$G$998,B936)</f>
        <v>0</v>
      </c>
    </row>
    <row r="937" spans="1:21" ht="19.9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45" t="str">
        <f t="shared" si="28"/>
        <v/>
      </c>
      <c r="M937" s="45" t="str">
        <f t="shared" si="29"/>
        <v/>
      </c>
      <c r="N937" s="39" t="str">
        <f>IF(AND(A937="",B937=""),"",COUNTIFS(数据!$E$3:$E$998,"&lt;&gt;前期仔鱼",数据!$E$3:$E$998,"&lt;&gt;仔鱼",数据!$E$3:$E$998,"&lt;&gt;稚鱼",数据!$F$3:$F$998,A937,数据!$G$3:$G$998,B937))</f>
        <v/>
      </c>
      <c r="O937" s="39" t="str">
        <f>IF(AND(A937="",B937=""),"",COUNTIFS(数据!$E$3:$E$998,"&lt;&gt;鱼卵",数据!$E$3:$E$998,"&lt;&gt;死卵",数据!$F$3:$F$998,A937,数据!$G$3:$G$998,B937))</f>
        <v/>
      </c>
      <c r="P937" s="31"/>
      <c r="Q937">
        <f>SUMIFS(数据!$D$3:$D$998,数据!$E$3:$E$998,"鱼卵",数据!$F$3:$F$998,A937,数据!$G$3:$G$998,B937)</f>
        <v>0</v>
      </c>
      <c r="R937">
        <f>SUMIFS(数据!$D$3:$D$998,数据!$E$3:$E$998,"死卵",数据!$F$3:$F$998,A937,数据!$G$3:$G$998,B937)</f>
        <v>0</v>
      </c>
      <c r="S937">
        <f>SUMIFS(数据!$D$3:$D$998,数据!$E$3:$E$998,"前期仔鱼",数据!$F$3:$F$998,A937,数据!$G$3:$G$998,B937)</f>
        <v>0</v>
      </c>
      <c r="T937">
        <f>SUMIFS(数据!$D$3:$D$998,数据!$E$3:$E$998,"仔鱼",数据!$F$3:$F$998,A937,数据!$G$3:$G$998,B937)</f>
        <v>0</v>
      </c>
      <c r="U937">
        <f>SUMIFS(数据!$D$3:$D$998,数据!$E$3:$E$998,"稚鱼",数据!$F$3:$F$998,A937,数据!$G$3:$G$998,B937)</f>
        <v>0</v>
      </c>
    </row>
    <row r="938" spans="1:21" ht="19.9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45" t="str">
        <f t="shared" si="28"/>
        <v/>
      </c>
      <c r="M938" s="45" t="str">
        <f t="shared" si="29"/>
        <v/>
      </c>
      <c r="N938" s="39" t="str">
        <f>IF(AND(A938="",B938=""),"",COUNTIFS(数据!$E$3:$E$998,"&lt;&gt;前期仔鱼",数据!$E$3:$E$998,"&lt;&gt;仔鱼",数据!$E$3:$E$998,"&lt;&gt;稚鱼",数据!$F$3:$F$998,A938,数据!$G$3:$G$998,B938))</f>
        <v/>
      </c>
      <c r="O938" s="39" t="str">
        <f>IF(AND(A938="",B938=""),"",COUNTIFS(数据!$E$3:$E$998,"&lt;&gt;鱼卵",数据!$E$3:$E$998,"&lt;&gt;死卵",数据!$F$3:$F$998,A938,数据!$G$3:$G$998,B938))</f>
        <v/>
      </c>
      <c r="P938" s="31"/>
      <c r="Q938">
        <f>SUMIFS(数据!$D$3:$D$998,数据!$E$3:$E$998,"鱼卵",数据!$F$3:$F$998,A938,数据!$G$3:$G$998,B938)</f>
        <v>0</v>
      </c>
      <c r="R938">
        <f>SUMIFS(数据!$D$3:$D$998,数据!$E$3:$E$998,"死卵",数据!$F$3:$F$998,A938,数据!$G$3:$G$998,B938)</f>
        <v>0</v>
      </c>
      <c r="S938">
        <f>SUMIFS(数据!$D$3:$D$998,数据!$E$3:$E$998,"前期仔鱼",数据!$F$3:$F$998,A938,数据!$G$3:$G$998,B938)</f>
        <v>0</v>
      </c>
      <c r="T938">
        <f>SUMIFS(数据!$D$3:$D$998,数据!$E$3:$E$998,"仔鱼",数据!$F$3:$F$998,A938,数据!$G$3:$G$998,B938)</f>
        <v>0</v>
      </c>
      <c r="U938">
        <f>SUMIFS(数据!$D$3:$D$998,数据!$E$3:$E$998,"稚鱼",数据!$F$3:$F$998,A938,数据!$G$3:$G$998,B938)</f>
        <v>0</v>
      </c>
    </row>
    <row r="939" spans="1:21" ht="19.9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45" t="str">
        <f t="shared" si="28"/>
        <v/>
      </c>
      <c r="M939" s="45" t="str">
        <f t="shared" si="29"/>
        <v/>
      </c>
      <c r="N939" s="39" t="str">
        <f>IF(AND(A939="",B939=""),"",COUNTIFS(数据!$E$3:$E$998,"&lt;&gt;前期仔鱼",数据!$E$3:$E$998,"&lt;&gt;仔鱼",数据!$E$3:$E$998,"&lt;&gt;稚鱼",数据!$F$3:$F$998,A939,数据!$G$3:$G$998,B939))</f>
        <v/>
      </c>
      <c r="O939" s="39" t="str">
        <f>IF(AND(A939="",B939=""),"",COUNTIFS(数据!$E$3:$E$998,"&lt;&gt;鱼卵",数据!$E$3:$E$998,"&lt;&gt;死卵",数据!$F$3:$F$998,A939,数据!$G$3:$G$998,B939))</f>
        <v/>
      </c>
      <c r="P939" s="31"/>
      <c r="Q939">
        <f>SUMIFS(数据!$D$3:$D$998,数据!$E$3:$E$998,"鱼卵",数据!$F$3:$F$998,A939,数据!$G$3:$G$998,B939)</f>
        <v>0</v>
      </c>
      <c r="R939">
        <f>SUMIFS(数据!$D$3:$D$998,数据!$E$3:$E$998,"死卵",数据!$F$3:$F$998,A939,数据!$G$3:$G$998,B939)</f>
        <v>0</v>
      </c>
      <c r="S939">
        <f>SUMIFS(数据!$D$3:$D$998,数据!$E$3:$E$998,"前期仔鱼",数据!$F$3:$F$998,A939,数据!$G$3:$G$998,B939)</f>
        <v>0</v>
      </c>
      <c r="T939">
        <f>SUMIFS(数据!$D$3:$D$998,数据!$E$3:$E$998,"仔鱼",数据!$F$3:$F$998,A939,数据!$G$3:$G$998,B939)</f>
        <v>0</v>
      </c>
      <c r="U939">
        <f>SUMIFS(数据!$D$3:$D$998,数据!$E$3:$E$998,"稚鱼",数据!$F$3:$F$998,A939,数据!$G$3:$G$998,B939)</f>
        <v>0</v>
      </c>
    </row>
    <row r="940" spans="1:21" ht="19.9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45" t="str">
        <f t="shared" si="28"/>
        <v/>
      </c>
      <c r="M940" s="45" t="str">
        <f t="shared" si="29"/>
        <v/>
      </c>
      <c r="N940" s="39" t="str">
        <f>IF(AND(A940="",B940=""),"",COUNTIFS(数据!$E$3:$E$998,"&lt;&gt;前期仔鱼",数据!$E$3:$E$998,"&lt;&gt;仔鱼",数据!$E$3:$E$998,"&lt;&gt;稚鱼",数据!$F$3:$F$998,A940,数据!$G$3:$G$998,B940))</f>
        <v/>
      </c>
      <c r="O940" s="39" t="str">
        <f>IF(AND(A940="",B940=""),"",COUNTIFS(数据!$E$3:$E$998,"&lt;&gt;鱼卵",数据!$E$3:$E$998,"&lt;&gt;死卵",数据!$F$3:$F$998,A940,数据!$G$3:$G$998,B940))</f>
        <v/>
      </c>
      <c r="P940" s="31"/>
      <c r="Q940">
        <f>SUMIFS(数据!$D$3:$D$998,数据!$E$3:$E$998,"鱼卵",数据!$F$3:$F$998,A940,数据!$G$3:$G$998,B940)</f>
        <v>0</v>
      </c>
      <c r="R940">
        <f>SUMIFS(数据!$D$3:$D$998,数据!$E$3:$E$998,"死卵",数据!$F$3:$F$998,A940,数据!$G$3:$G$998,B940)</f>
        <v>0</v>
      </c>
      <c r="S940">
        <f>SUMIFS(数据!$D$3:$D$998,数据!$E$3:$E$998,"前期仔鱼",数据!$F$3:$F$998,A940,数据!$G$3:$G$998,B940)</f>
        <v>0</v>
      </c>
      <c r="T940">
        <f>SUMIFS(数据!$D$3:$D$998,数据!$E$3:$E$998,"仔鱼",数据!$F$3:$F$998,A940,数据!$G$3:$G$998,B940)</f>
        <v>0</v>
      </c>
      <c r="U940">
        <f>SUMIFS(数据!$D$3:$D$998,数据!$E$3:$E$998,"稚鱼",数据!$F$3:$F$998,A940,数据!$G$3:$G$998,B940)</f>
        <v>0</v>
      </c>
    </row>
    <row r="941" spans="1:21" ht="19.9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45" t="str">
        <f t="shared" si="28"/>
        <v/>
      </c>
      <c r="M941" s="45" t="str">
        <f t="shared" si="29"/>
        <v/>
      </c>
      <c r="N941" s="39" t="str">
        <f>IF(AND(A941="",B941=""),"",COUNTIFS(数据!$E$3:$E$998,"&lt;&gt;前期仔鱼",数据!$E$3:$E$998,"&lt;&gt;仔鱼",数据!$E$3:$E$998,"&lt;&gt;稚鱼",数据!$F$3:$F$998,A941,数据!$G$3:$G$998,B941))</f>
        <v/>
      </c>
      <c r="O941" s="39" t="str">
        <f>IF(AND(A941="",B941=""),"",COUNTIFS(数据!$E$3:$E$998,"&lt;&gt;鱼卵",数据!$E$3:$E$998,"&lt;&gt;死卵",数据!$F$3:$F$998,A941,数据!$G$3:$G$998,B941))</f>
        <v/>
      </c>
      <c r="P941" s="31"/>
      <c r="Q941">
        <f>SUMIFS(数据!$D$3:$D$998,数据!$E$3:$E$998,"鱼卵",数据!$F$3:$F$998,A941,数据!$G$3:$G$998,B941)</f>
        <v>0</v>
      </c>
      <c r="R941">
        <f>SUMIFS(数据!$D$3:$D$998,数据!$E$3:$E$998,"死卵",数据!$F$3:$F$998,A941,数据!$G$3:$G$998,B941)</f>
        <v>0</v>
      </c>
      <c r="S941">
        <f>SUMIFS(数据!$D$3:$D$998,数据!$E$3:$E$998,"前期仔鱼",数据!$F$3:$F$998,A941,数据!$G$3:$G$998,B941)</f>
        <v>0</v>
      </c>
      <c r="T941">
        <f>SUMIFS(数据!$D$3:$D$998,数据!$E$3:$E$998,"仔鱼",数据!$F$3:$F$998,A941,数据!$G$3:$G$998,B941)</f>
        <v>0</v>
      </c>
      <c r="U941">
        <f>SUMIFS(数据!$D$3:$D$998,数据!$E$3:$E$998,"稚鱼",数据!$F$3:$F$998,A941,数据!$G$3:$G$998,B941)</f>
        <v>0</v>
      </c>
    </row>
    <row r="942" spans="1:21" ht="19.9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45" t="str">
        <f t="shared" si="28"/>
        <v/>
      </c>
      <c r="M942" s="45" t="str">
        <f t="shared" si="29"/>
        <v/>
      </c>
      <c r="N942" s="39" t="str">
        <f>IF(AND(A942="",B942=""),"",COUNTIFS(数据!$E$3:$E$998,"&lt;&gt;前期仔鱼",数据!$E$3:$E$998,"&lt;&gt;仔鱼",数据!$E$3:$E$998,"&lt;&gt;稚鱼",数据!$F$3:$F$998,A942,数据!$G$3:$G$998,B942))</f>
        <v/>
      </c>
      <c r="O942" s="39" t="str">
        <f>IF(AND(A942="",B942=""),"",COUNTIFS(数据!$E$3:$E$998,"&lt;&gt;鱼卵",数据!$E$3:$E$998,"&lt;&gt;死卵",数据!$F$3:$F$998,A942,数据!$G$3:$G$998,B942))</f>
        <v/>
      </c>
      <c r="P942" s="31"/>
      <c r="Q942">
        <f>SUMIFS(数据!$D$3:$D$998,数据!$E$3:$E$998,"鱼卵",数据!$F$3:$F$998,A942,数据!$G$3:$G$998,B942)</f>
        <v>0</v>
      </c>
      <c r="R942">
        <f>SUMIFS(数据!$D$3:$D$998,数据!$E$3:$E$998,"死卵",数据!$F$3:$F$998,A942,数据!$G$3:$G$998,B942)</f>
        <v>0</v>
      </c>
      <c r="S942">
        <f>SUMIFS(数据!$D$3:$D$998,数据!$E$3:$E$998,"前期仔鱼",数据!$F$3:$F$998,A942,数据!$G$3:$G$998,B942)</f>
        <v>0</v>
      </c>
      <c r="T942">
        <f>SUMIFS(数据!$D$3:$D$998,数据!$E$3:$E$998,"仔鱼",数据!$F$3:$F$998,A942,数据!$G$3:$G$998,B942)</f>
        <v>0</v>
      </c>
      <c r="U942">
        <f>SUMIFS(数据!$D$3:$D$998,数据!$E$3:$E$998,"稚鱼",数据!$F$3:$F$998,A942,数据!$G$3:$G$998,B942)</f>
        <v>0</v>
      </c>
    </row>
    <row r="943" spans="1:21" ht="19.9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45" t="str">
        <f t="shared" si="28"/>
        <v/>
      </c>
      <c r="M943" s="45" t="str">
        <f t="shared" si="29"/>
        <v/>
      </c>
      <c r="N943" s="39" t="str">
        <f>IF(AND(A943="",B943=""),"",COUNTIFS(数据!$E$3:$E$998,"&lt;&gt;前期仔鱼",数据!$E$3:$E$998,"&lt;&gt;仔鱼",数据!$E$3:$E$998,"&lt;&gt;稚鱼",数据!$F$3:$F$998,A943,数据!$G$3:$G$998,B943))</f>
        <v/>
      </c>
      <c r="O943" s="39" t="str">
        <f>IF(AND(A943="",B943=""),"",COUNTIFS(数据!$E$3:$E$998,"&lt;&gt;鱼卵",数据!$E$3:$E$998,"&lt;&gt;死卵",数据!$F$3:$F$998,A943,数据!$G$3:$G$998,B943))</f>
        <v/>
      </c>
      <c r="P943" s="31"/>
      <c r="Q943">
        <f>SUMIFS(数据!$D$3:$D$998,数据!$E$3:$E$998,"鱼卵",数据!$F$3:$F$998,A943,数据!$G$3:$G$998,B943)</f>
        <v>0</v>
      </c>
      <c r="R943">
        <f>SUMIFS(数据!$D$3:$D$998,数据!$E$3:$E$998,"死卵",数据!$F$3:$F$998,A943,数据!$G$3:$G$998,B943)</f>
        <v>0</v>
      </c>
      <c r="S943">
        <f>SUMIFS(数据!$D$3:$D$998,数据!$E$3:$E$998,"前期仔鱼",数据!$F$3:$F$998,A943,数据!$G$3:$G$998,B943)</f>
        <v>0</v>
      </c>
      <c r="T943">
        <f>SUMIFS(数据!$D$3:$D$998,数据!$E$3:$E$998,"仔鱼",数据!$F$3:$F$998,A943,数据!$G$3:$G$998,B943)</f>
        <v>0</v>
      </c>
      <c r="U943">
        <f>SUMIFS(数据!$D$3:$D$998,数据!$E$3:$E$998,"稚鱼",数据!$F$3:$F$998,A943,数据!$G$3:$G$998,B943)</f>
        <v>0</v>
      </c>
    </row>
    <row r="944" spans="1:21" ht="19.9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45" t="str">
        <f t="shared" si="28"/>
        <v/>
      </c>
      <c r="M944" s="45" t="str">
        <f t="shared" si="29"/>
        <v/>
      </c>
      <c r="N944" s="39" t="str">
        <f>IF(AND(A944="",B944=""),"",COUNTIFS(数据!$E$3:$E$998,"&lt;&gt;前期仔鱼",数据!$E$3:$E$998,"&lt;&gt;仔鱼",数据!$E$3:$E$998,"&lt;&gt;稚鱼",数据!$F$3:$F$998,A944,数据!$G$3:$G$998,B944))</f>
        <v/>
      </c>
      <c r="O944" s="39" t="str">
        <f>IF(AND(A944="",B944=""),"",COUNTIFS(数据!$E$3:$E$998,"&lt;&gt;鱼卵",数据!$E$3:$E$998,"&lt;&gt;死卵",数据!$F$3:$F$998,A944,数据!$G$3:$G$998,B944))</f>
        <v/>
      </c>
      <c r="P944" s="31"/>
      <c r="Q944">
        <f>SUMIFS(数据!$D$3:$D$998,数据!$E$3:$E$998,"鱼卵",数据!$F$3:$F$998,A944,数据!$G$3:$G$998,B944)</f>
        <v>0</v>
      </c>
      <c r="R944">
        <f>SUMIFS(数据!$D$3:$D$998,数据!$E$3:$E$998,"死卵",数据!$F$3:$F$998,A944,数据!$G$3:$G$998,B944)</f>
        <v>0</v>
      </c>
      <c r="S944">
        <f>SUMIFS(数据!$D$3:$D$998,数据!$E$3:$E$998,"前期仔鱼",数据!$F$3:$F$998,A944,数据!$G$3:$G$998,B944)</f>
        <v>0</v>
      </c>
      <c r="T944">
        <f>SUMIFS(数据!$D$3:$D$998,数据!$E$3:$E$998,"仔鱼",数据!$F$3:$F$998,A944,数据!$G$3:$G$998,B944)</f>
        <v>0</v>
      </c>
      <c r="U944">
        <f>SUMIFS(数据!$D$3:$D$998,数据!$E$3:$E$998,"稚鱼",数据!$F$3:$F$998,A944,数据!$G$3:$G$998,B944)</f>
        <v>0</v>
      </c>
    </row>
    <row r="945" spans="1:21" ht="19.9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45" t="str">
        <f t="shared" si="28"/>
        <v/>
      </c>
      <c r="M945" s="45" t="str">
        <f t="shared" si="29"/>
        <v/>
      </c>
      <c r="N945" s="39" t="str">
        <f>IF(AND(A945="",B945=""),"",COUNTIFS(数据!$E$3:$E$998,"&lt;&gt;前期仔鱼",数据!$E$3:$E$998,"&lt;&gt;仔鱼",数据!$E$3:$E$998,"&lt;&gt;稚鱼",数据!$F$3:$F$998,A945,数据!$G$3:$G$998,B945))</f>
        <v/>
      </c>
      <c r="O945" s="39" t="str">
        <f>IF(AND(A945="",B945=""),"",COUNTIFS(数据!$E$3:$E$998,"&lt;&gt;鱼卵",数据!$E$3:$E$998,"&lt;&gt;死卵",数据!$F$3:$F$998,A945,数据!$G$3:$G$998,B945))</f>
        <v/>
      </c>
      <c r="P945" s="31"/>
      <c r="Q945">
        <f>SUMIFS(数据!$D$3:$D$998,数据!$E$3:$E$998,"鱼卵",数据!$F$3:$F$998,A945,数据!$G$3:$G$998,B945)</f>
        <v>0</v>
      </c>
      <c r="R945">
        <f>SUMIFS(数据!$D$3:$D$998,数据!$E$3:$E$998,"死卵",数据!$F$3:$F$998,A945,数据!$G$3:$G$998,B945)</f>
        <v>0</v>
      </c>
      <c r="S945">
        <f>SUMIFS(数据!$D$3:$D$998,数据!$E$3:$E$998,"前期仔鱼",数据!$F$3:$F$998,A945,数据!$G$3:$G$998,B945)</f>
        <v>0</v>
      </c>
      <c r="T945">
        <f>SUMIFS(数据!$D$3:$D$998,数据!$E$3:$E$998,"仔鱼",数据!$F$3:$F$998,A945,数据!$G$3:$G$998,B945)</f>
        <v>0</v>
      </c>
      <c r="U945">
        <f>SUMIFS(数据!$D$3:$D$998,数据!$E$3:$E$998,"稚鱼",数据!$F$3:$F$998,A945,数据!$G$3:$G$998,B945)</f>
        <v>0</v>
      </c>
    </row>
    <row r="946" spans="1:21" ht="19.9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45" t="str">
        <f t="shared" si="28"/>
        <v/>
      </c>
      <c r="M946" s="45" t="str">
        <f t="shared" si="29"/>
        <v/>
      </c>
      <c r="N946" s="39" t="str">
        <f>IF(AND(A946="",B946=""),"",COUNTIFS(数据!$E$3:$E$998,"&lt;&gt;前期仔鱼",数据!$E$3:$E$998,"&lt;&gt;仔鱼",数据!$E$3:$E$998,"&lt;&gt;稚鱼",数据!$F$3:$F$998,A946,数据!$G$3:$G$998,B946))</f>
        <v/>
      </c>
      <c r="O946" s="39" t="str">
        <f>IF(AND(A946="",B946=""),"",COUNTIFS(数据!$E$3:$E$998,"&lt;&gt;鱼卵",数据!$E$3:$E$998,"&lt;&gt;死卵",数据!$F$3:$F$998,A946,数据!$G$3:$G$998,B946))</f>
        <v/>
      </c>
      <c r="P946" s="31"/>
      <c r="Q946">
        <f>SUMIFS(数据!$D$3:$D$998,数据!$E$3:$E$998,"鱼卵",数据!$F$3:$F$998,A946,数据!$G$3:$G$998,B946)</f>
        <v>0</v>
      </c>
      <c r="R946">
        <f>SUMIFS(数据!$D$3:$D$998,数据!$E$3:$E$998,"死卵",数据!$F$3:$F$998,A946,数据!$G$3:$G$998,B946)</f>
        <v>0</v>
      </c>
      <c r="S946">
        <f>SUMIFS(数据!$D$3:$D$998,数据!$E$3:$E$998,"前期仔鱼",数据!$F$3:$F$998,A946,数据!$G$3:$G$998,B946)</f>
        <v>0</v>
      </c>
      <c r="T946">
        <f>SUMIFS(数据!$D$3:$D$998,数据!$E$3:$E$998,"仔鱼",数据!$F$3:$F$998,A946,数据!$G$3:$G$998,B946)</f>
        <v>0</v>
      </c>
      <c r="U946">
        <f>SUMIFS(数据!$D$3:$D$998,数据!$E$3:$E$998,"稚鱼",数据!$F$3:$F$998,A946,数据!$G$3:$G$998,B946)</f>
        <v>0</v>
      </c>
    </row>
    <row r="947" spans="1:21" ht="19.9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45" t="str">
        <f t="shared" si="28"/>
        <v/>
      </c>
      <c r="M947" s="45" t="str">
        <f t="shared" si="29"/>
        <v/>
      </c>
      <c r="N947" s="39" t="str">
        <f>IF(AND(A947="",B947=""),"",COUNTIFS(数据!$E$3:$E$998,"&lt;&gt;前期仔鱼",数据!$E$3:$E$998,"&lt;&gt;仔鱼",数据!$E$3:$E$998,"&lt;&gt;稚鱼",数据!$F$3:$F$998,A947,数据!$G$3:$G$998,B947))</f>
        <v/>
      </c>
      <c r="O947" s="39" t="str">
        <f>IF(AND(A947="",B947=""),"",COUNTIFS(数据!$E$3:$E$998,"&lt;&gt;鱼卵",数据!$E$3:$E$998,"&lt;&gt;死卵",数据!$F$3:$F$998,A947,数据!$G$3:$G$998,B947))</f>
        <v/>
      </c>
      <c r="P947" s="31"/>
      <c r="Q947">
        <f>SUMIFS(数据!$D$3:$D$998,数据!$E$3:$E$998,"鱼卵",数据!$F$3:$F$998,A947,数据!$G$3:$G$998,B947)</f>
        <v>0</v>
      </c>
      <c r="R947">
        <f>SUMIFS(数据!$D$3:$D$998,数据!$E$3:$E$998,"死卵",数据!$F$3:$F$998,A947,数据!$G$3:$G$998,B947)</f>
        <v>0</v>
      </c>
      <c r="S947">
        <f>SUMIFS(数据!$D$3:$D$998,数据!$E$3:$E$998,"前期仔鱼",数据!$F$3:$F$998,A947,数据!$G$3:$G$998,B947)</f>
        <v>0</v>
      </c>
      <c r="T947">
        <f>SUMIFS(数据!$D$3:$D$998,数据!$E$3:$E$998,"仔鱼",数据!$F$3:$F$998,A947,数据!$G$3:$G$998,B947)</f>
        <v>0</v>
      </c>
      <c r="U947">
        <f>SUMIFS(数据!$D$3:$D$998,数据!$E$3:$E$998,"稚鱼",数据!$F$3:$F$998,A947,数据!$G$3:$G$998,B947)</f>
        <v>0</v>
      </c>
    </row>
    <row r="948" spans="1:21" ht="19.9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45" t="str">
        <f t="shared" si="28"/>
        <v/>
      </c>
      <c r="M948" s="45" t="str">
        <f t="shared" si="29"/>
        <v/>
      </c>
      <c r="N948" s="39" t="str">
        <f>IF(AND(A948="",B948=""),"",COUNTIFS(数据!$E$3:$E$998,"&lt;&gt;前期仔鱼",数据!$E$3:$E$998,"&lt;&gt;仔鱼",数据!$E$3:$E$998,"&lt;&gt;稚鱼",数据!$F$3:$F$998,A948,数据!$G$3:$G$998,B948))</f>
        <v/>
      </c>
      <c r="O948" s="39" t="str">
        <f>IF(AND(A948="",B948=""),"",COUNTIFS(数据!$E$3:$E$998,"&lt;&gt;鱼卵",数据!$E$3:$E$998,"&lt;&gt;死卵",数据!$F$3:$F$998,A948,数据!$G$3:$G$998,B948))</f>
        <v/>
      </c>
      <c r="P948" s="31"/>
      <c r="Q948">
        <f>SUMIFS(数据!$D$3:$D$998,数据!$E$3:$E$998,"鱼卵",数据!$F$3:$F$998,A948,数据!$G$3:$G$998,B948)</f>
        <v>0</v>
      </c>
      <c r="R948">
        <f>SUMIFS(数据!$D$3:$D$998,数据!$E$3:$E$998,"死卵",数据!$F$3:$F$998,A948,数据!$G$3:$G$998,B948)</f>
        <v>0</v>
      </c>
      <c r="S948">
        <f>SUMIFS(数据!$D$3:$D$998,数据!$E$3:$E$998,"前期仔鱼",数据!$F$3:$F$998,A948,数据!$G$3:$G$998,B948)</f>
        <v>0</v>
      </c>
      <c r="T948">
        <f>SUMIFS(数据!$D$3:$D$998,数据!$E$3:$E$998,"仔鱼",数据!$F$3:$F$998,A948,数据!$G$3:$G$998,B948)</f>
        <v>0</v>
      </c>
      <c r="U948">
        <f>SUMIFS(数据!$D$3:$D$998,数据!$E$3:$E$998,"稚鱼",数据!$F$3:$F$998,A948,数据!$G$3:$G$998,B948)</f>
        <v>0</v>
      </c>
    </row>
    <row r="949" spans="1:21" ht="19.9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45" t="str">
        <f t="shared" si="28"/>
        <v/>
      </c>
      <c r="M949" s="45" t="str">
        <f t="shared" si="29"/>
        <v/>
      </c>
      <c r="N949" s="39" t="str">
        <f>IF(AND(A949="",B949=""),"",COUNTIFS(数据!$E$3:$E$998,"&lt;&gt;前期仔鱼",数据!$E$3:$E$998,"&lt;&gt;仔鱼",数据!$E$3:$E$998,"&lt;&gt;稚鱼",数据!$F$3:$F$998,A949,数据!$G$3:$G$998,B949))</f>
        <v/>
      </c>
      <c r="O949" s="39" t="str">
        <f>IF(AND(A949="",B949=""),"",COUNTIFS(数据!$E$3:$E$998,"&lt;&gt;鱼卵",数据!$E$3:$E$998,"&lt;&gt;死卵",数据!$F$3:$F$998,A949,数据!$G$3:$G$998,B949))</f>
        <v/>
      </c>
      <c r="P949" s="31"/>
      <c r="Q949">
        <f>SUMIFS(数据!$D$3:$D$998,数据!$E$3:$E$998,"鱼卵",数据!$F$3:$F$998,A949,数据!$G$3:$G$998,B949)</f>
        <v>0</v>
      </c>
      <c r="R949">
        <f>SUMIFS(数据!$D$3:$D$998,数据!$E$3:$E$998,"死卵",数据!$F$3:$F$998,A949,数据!$G$3:$G$998,B949)</f>
        <v>0</v>
      </c>
      <c r="S949">
        <f>SUMIFS(数据!$D$3:$D$998,数据!$E$3:$E$998,"前期仔鱼",数据!$F$3:$F$998,A949,数据!$G$3:$G$998,B949)</f>
        <v>0</v>
      </c>
      <c r="T949">
        <f>SUMIFS(数据!$D$3:$D$998,数据!$E$3:$E$998,"仔鱼",数据!$F$3:$F$998,A949,数据!$G$3:$G$998,B949)</f>
        <v>0</v>
      </c>
      <c r="U949">
        <f>SUMIFS(数据!$D$3:$D$998,数据!$E$3:$E$998,"稚鱼",数据!$F$3:$F$998,A949,数据!$G$3:$G$998,B949)</f>
        <v>0</v>
      </c>
    </row>
    <row r="950" spans="1:21" ht="19.9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45" t="str">
        <f t="shared" si="28"/>
        <v/>
      </c>
      <c r="M950" s="45" t="str">
        <f t="shared" si="29"/>
        <v/>
      </c>
      <c r="N950" s="39" t="str">
        <f>IF(AND(A950="",B950=""),"",COUNTIFS(数据!$E$3:$E$998,"&lt;&gt;前期仔鱼",数据!$E$3:$E$998,"&lt;&gt;仔鱼",数据!$E$3:$E$998,"&lt;&gt;稚鱼",数据!$F$3:$F$998,A950,数据!$G$3:$G$998,B950))</f>
        <v/>
      </c>
      <c r="O950" s="39" t="str">
        <f>IF(AND(A950="",B950=""),"",COUNTIFS(数据!$E$3:$E$998,"&lt;&gt;鱼卵",数据!$E$3:$E$998,"&lt;&gt;死卵",数据!$F$3:$F$998,A950,数据!$G$3:$G$998,B950))</f>
        <v/>
      </c>
      <c r="P950" s="31"/>
      <c r="Q950">
        <f>SUMIFS(数据!$D$3:$D$998,数据!$E$3:$E$998,"鱼卵",数据!$F$3:$F$998,A950,数据!$G$3:$G$998,B950)</f>
        <v>0</v>
      </c>
      <c r="R950">
        <f>SUMIFS(数据!$D$3:$D$998,数据!$E$3:$E$998,"死卵",数据!$F$3:$F$998,A950,数据!$G$3:$G$998,B950)</f>
        <v>0</v>
      </c>
      <c r="S950">
        <f>SUMIFS(数据!$D$3:$D$998,数据!$E$3:$E$998,"前期仔鱼",数据!$F$3:$F$998,A950,数据!$G$3:$G$998,B950)</f>
        <v>0</v>
      </c>
      <c r="T950">
        <f>SUMIFS(数据!$D$3:$D$998,数据!$E$3:$E$998,"仔鱼",数据!$F$3:$F$998,A950,数据!$G$3:$G$998,B950)</f>
        <v>0</v>
      </c>
      <c r="U950">
        <f>SUMIFS(数据!$D$3:$D$998,数据!$E$3:$E$998,"稚鱼",数据!$F$3:$F$998,A950,数据!$G$3:$G$998,B950)</f>
        <v>0</v>
      </c>
    </row>
    <row r="951" spans="1:21" ht="19.9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45" t="str">
        <f t="shared" si="28"/>
        <v/>
      </c>
      <c r="M951" s="45" t="str">
        <f t="shared" si="29"/>
        <v/>
      </c>
      <c r="N951" s="39" t="str">
        <f>IF(AND(A951="",B951=""),"",COUNTIFS(数据!$E$3:$E$998,"&lt;&gt;前期仔鱼",数据!$E$3:$E$998,"&lt;&gt;仔鱼",数据!$E$3:$E$998,"&lt;&gt;稚鱼",数据!$F$3:$F$998,A951,数据!$G$3:$G$998,B951))</f>
        <v/>
      </c>
      <c r="O951" s="39" t="str">
        <f>IF(AND(A951="",B951=""),"",COUNTIFS(数据!$E$3:$E$998,"&lt;&gt;鱼卵",数据!$E$3:$E$998,"&lt;&gt;死卵",数据!$F$3:$F$998,A951,数据!$G$3:$G$998,B951))</f>
        <v/>
      </c>
      <c r="P951" s="31"/>
      <c r="Q951">
        <f>SUMIFS(数据!$D$3:$D$998,数据!$E$3:$E$998,"鱼卵",数据!$F$3:$F$998,A951,数据!$G$3:$G$998,B951)</f>
        <v>0</v>
      </c>
      <c r="R951">
        <f>SUMIFS(数据!$D$3:$D$998,数据!$E$3:$E$998,"死卵",数据!$F$3:$F$998,A951,数据!$G$3:$G$998,B951)</f>
        <v>0</v>
      </c>
      <c r="S951">
        <f>SUMIFS(数据!$D$3:$D$998,数据!$E$3:$E$998,"前期仔鱼",数据!$F$3:$F$998,A951,数据!$G$3:$G$998,B951)</f>
        <v>0</v>
      </c>
      <c r="T951">
        <f>SUMIFS(数据!$D$3:$D$998,数据!$E$3:$E$998,"仔鱼",数据!$F$3:$F$998,A951,数据!$G$3:$G$998,B951)</f>
        <v>0</v>
      </c>
      <c r="U951">
        <f>SUMIFS(数据!$D$3:$D$998,数据!$E$3:$E$998,"稚鱼",数据!$F$3:$F$998,A951,数据!$G$3:$G$998,B951)</f>
        <v>0</v>
      </c>
    </row>
    <row r="952" spans="1:21" ht="19.9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45" t="str">
        <f t="shared" si="28"/>
        <v/>
      </c>
      <c r="M952" s="45" t="str">
        <f t="shared" si="29"/>
        <v/>
      </c>
      <c r="N952" s="39" t="str">
        <f>IF(AND(A952="",B952=""),"",COUNTIFS(数据!$E$3:$E$998,"&lt;&gt;前期仔鱼",数据!$E$3:$E$998,"&lt;&gt;仔鱼",数据!$E$3:$E$998,"&lt;&gt;稚鱼",数据!$F$3:$F$998,A952,数据!$G$3:$G$998,B952))</f>
        <v/>
      </c>
      <c r="O952" s="39" t="str">
        <f>IF(AND(A952="",B952=""),"",COUNTIFS(数据!$E$3:$E$998,"&lt;&gt;鱼卵",数据!$E$3:$E$998,"&lt;&gt;死卵",数据!$F$3:$F$998,A952,数据!$G$3:$G$998,B952))</f>
        <v/>
      </c>
      <c r="P952" s="31"/>
      <c r="Q952">
        <f>SUMIFS(数据!$D$3:$D$998,数据!$E$3:$E$998,"鱼卵",数据!$F$3:$F$998,A952,数据!$G$3:$G$998,B952)</f>
        <v>0</v>
      </c>
      <c r="R952">
        <f>SUMIFS(数据!$D$3:$D$998,数据!$E$3:$E$998,"死卵",数据!$F$3:$F$998,A952,数据!$G$3:$G$998,B952)</f>
        <v>0</v>
      </c>
      <c r="S952">
        <f>SUMIFS(数据!$D$3:$D$998,数据!$E$3:$E$998,"前期仔鱼",数据!$F$3:$F$998,A952,数据!$G$3:$G$998,B952)</f>
        <v>0</v>
      </c>
      <c r="T952">
        <f>SUMIFS(数据!$D$3:$D$998,数据!$E$3:$E$998,"仔鱼",数据!$F$3:$F$998,A952,数据!$G$3:$G$998,B952)</f>
        <v>0</v>
      </c>
      <c r="U952">
        <f>SUMIFS(数据!$D$3:$D$998,数据!$E$3:$E$998,"稚鱼",数据!$F$3:$F$998,A952,数据!$G$3:$G$998,B952)</f>
        <v>0</v>
      </c>
    </row>
    <row r="953" spans="1:21" ht="19.9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45" t="str">
        <f t="shared" si="28"/>
        <v/>
      </c>
      <c r="M953" s="45" t="str">
        <f t="shared" si="29"/>
        <v/>
      </c>
      <c r="N953" s="39" t="str">
        <f>IF(AND(A953="",B953=""),"",COUNTIFS(数据!$E$3:$E$998,"&lt;&gt;前期仔鱼",数据!$E$3:$E$998,"&lt;&gt;仔鱼",数据!$E$3:$E$998,"&lt;&gt;稚鱼",数据!$F$3:$F$998,A953,数据!$G$3:$G$998,B953))</f>
        <v/>
      </c>
      <c r="O953" s="39" t="str">
        <f>IF(AND(A953="",B953=""),"",COUNTIFS(数据!$E$3:$E$998,"&lt;&gt;鱼卵",数据!$E$3:$E$998,"&lt;&gt;死卵",数据!$F$3:$F$998,A953,数据!$G$3:$G$998,B953))</f>
        <v/>
      </c>
      <c r="P953" s="31"/>
      <c r="Q953">
        <f>SUMIFS(数据!$D$3:$D$998,数据!$E$3:$E$998,"鱼卵",数据!$F$3:$F$998,A953,数据!$G$3:$G$998,B953)</f>
        <v>0</v>
      </c>
      <c r="R953">
        <f>SUMIFS(数据!$D$3:$D$998,数据!$E$3:$E$998,"死卵",数据!$F$3:$F$998,A953,数据!$G$3:$G$998,B953)</f>
        <v>0</v>
      </c>
      <c r="S953">
        <f>SUMIFS(数据!$D$3:$D$998,数据!$E$3:$E$998,"前期仔鱼",数据!$F$3:$F$998,A953,数据!$G$3:$G$998,B953)</f>
        <v>0</v>
      </c>
      <c r="T953">
        <f>SUMIFS(数据!$D$3:$D$998,数据!$E$3:$E$998,"仔鱼",数据!$F$3:$F$998,A953,数据!$G$3:$G$998,B953)</f>
        <v>0</v>
      </c>
      <c r="U953">
        <f>SUMIFS(数据!$D$3:$D$998,数据!$E$3:$E$998,"稚鱼",数据!$F$3:$F$998,A953,数据!$G$3:$G$998,B953)</f>
        <v>0</v>
      </c>
    </row>
    <row r="954" spans="1:21" ht="19.9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45" t="str">
        <f t="shared" si="28"/>
        <v/>
      </c>
      <c r="M954" s="45" t="str">
        <f t="shared" si="29"/>
        <v/>
      </c>
      <c r="N954" s="39" t="str">
        <f>IF(AND(A954="",B954=""),"",COUNTIFS(数据!$E$3:$E$998,"&lt;&gt;前期仔鱼",数据!$E$3:$E$998,"&lt;&gt;仔鱼",数据!$E$3:$E$998,"&lt;&gt;稚鱼",数据!$F$3:$F$998,A954,数据!$G$3:$G$998,B954))</f>
        <v/>
      </c>
      <c r="O954" s="39" t="str">
        <f>IF(AND(A954="",B954=""),"",COUNTIFS(数据!$E$3:$E$998,"&lt;&gt;鱼卵",数据!$E$3:$E$998,"&lt;&gt;死卵",数据!$F$3:$F$998,A954,数据!$G$3:$G$998,B954))</f>
        <v/>
      </c>
      <c r="P954" s="31"/>
      <c r="Q954">
        <f>SUMIFS(数据!$D$3:$D$998,数据!$E$3:$E$998,"鱼卵",数据!$F$3:$F$998,A954,数据!$G$3:$G$998,B954)</f>
        <v>0</v>
      </c>
      <c r="R954">
        <f>SUMIFS(数据!$D$3:$D$998,数据!$E$3:$E$998,"死卵",数据!$F$3:$F$998,A954,数据!$G$3:$G$998,B954)</f>
        <v>0</v>
      </c>
      <c r="S954">
        <f>SUMIFS(数据!$D$3:$D$998,数据!$E$3:$E$998,"前期仔鱼",数据!$F$3:$F$998,A954,数据!$G$3:$G$998,B954)</f>
        <v>0</v>
      </c>
      <c r="T954">
        <f>SUMIFS(数据!$D$3:$D$998,数据!$E$3:$E$998,"仔鱼",数据!$F$3:$F$998,A954,数据!$G$3:$G$998,B954)</f>
        <v>0</v>
      </c>
      <c r="U954">
        <f>SUMIFS(数据!$D$3:$D$998,数据!$E$3:$E$998,"稚鱼",数据!$F$3:$F$998,A954,数据!$G$3:$G$998,B954)</f>
        <v>0</v>
      </c>
    </row>
    <row r="955" spans="1:21" ht="19.9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45" t="str">
        <f t="shared" si="28"/>
        <v/>
      </c>
      <c r="M955" s="45" t="str">
        <f t="shared" si="29"/>
        <v/>
      </c>
      <c r="N955" s="39" t="str">
        <f>IF(AND(A955="",B955=""),"",COUNTIFS(数据!$E$3:$E$998,"&lt;&gt;前期仔鱼",数据!$E$3:$E$998,"&lt;&gt;仔鱼",数据!$E$3:$E$998,"&lt;&gt;稚鱼",数据!$F$3:$F$998,A955,数据!$G$3:$G$998,B955))</f>
        <v/>
      </c>
      <c r="O955" s="39" t="str">
        <f>IF(AND(A955="",B955=""),"",COUNTIFS(数据!$E$3:$E$998,"&lt;&gt;鱼卵",数据!$E$3:$E$998,"&lt;&gt;死卵",数据!$F$3:$F$998,A955,数据!$G$3:$G$998,B955))</f>
        <v/>
      </c>
      <c r="P955" s="31"/>
      <c r="Q955">
        <f>SUMIFS(数据!$D$3:$D$998,数据!$E$3:$E$998,"鱼卵",数据!$F$3:$F$998,A955,数据!$G$3:$G$998,B955)</f>
        <v>0</v>
      </c>
      <c r="R955">
        <f>SUMIFS(数据!$D$3:$D$998,数据!$E$3:$E$998,"死卵",数据!$F$3:$F$998,A955,数据!$G$3:$G$998,B955)</f>
        <v>0</v>
      </c>
      <c r="S955">
        <f>SUMIFS(数据!$D$3:$D$998,数据!$E$3:$E$998,"前期仔鱼",数据!$F$3:$F$998,A955,数据!$G$3:$G$998,B955)</f>
        <v>0</v>
      </c>
      <c r="T955">
        <f>SUMIFS(数据!$D$3:$D$998,数据!$E$3:$E$998,"仔鱼",数据!$F$3:$F$998,A955,数据!$G$3:$G$998,B955)</f>
        <v>0</v>
      </c>
      <c r="U955">
        <f>SUMIFS(数据!$D$3:$D$998,数据!$E$3:$E$998,"稚鱼",数据!$F$3:$F$998,A955,数据!$G$3:$G$998,B955)</f>
        <v>0</v>
      </c>
    </row>
    <row r="956" spans="1:21" ht="19.9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45" t="str">
        <f t="shared" si="28"/>
        <v/>
      </c>
      <c r="M956" s="45" t="str">
        <f t="shared" si="29"/>
        <v/>
      </c>
      <c r="N956" s="39" t="str">
        <f>IF(AND(A956="",B956=""),"",COUNTIFS(数据!$E$3:$E$998,"&lt;&gt;前期仔鱼",数据!$E$3:$E$998,"&lt;&gt;仔鱼",数据!$E$3:$E$998,"&lt;&gt;稚鱼",数据!$F$3:$F$998,A956,数据!$G$3:$G$998,B956))</f>
        <v/>
      </c>
      <c r="O956" s="39" t="str">
        <f>IF(AND(A956="",B956=""),"",COUNTIFS(数据!$E$3:$E$998,"&lt;&gt;鱼卵",数据!$E$3:$E$998,"&lt;&gt;死卵",数据!$F$3:$F$998,A956,数据!$G$3:$G$998,B956))</f>
        <v/>
      </c>
      <c r="P956" s="31"/>
      <c r="Q956">
        <f>SUMIFS(数据!$D$3:$D$998,数据!$E$3:$E$998,"鱼卵",数据!$F$3:$F$998,A956,数据!$G$3:$G$998,B956)</f>
        <v>0</v>
      </c>
      <c r="R956">
        <f>SUMIFS(数据!$D$3:$D$998,数据!$E$3:$E$998,"死卵",数据!$F$3:$F$998,A956,数据!$G$3:$G$998,B956)</f>
        <v>0</v>
      </c>
      <c r="S956">
        <f>SUMIFS(数据!$D$3:$D$998,数据!$E$3:$E$998,"前期仔鱼",数据!$F$3:$F$998,A956,数据!$G$3:$G$998,B956)</f>
        <v>0</v>
      </c>
      <c r="T956">
        <f>SUMIFS(数据!$D$3:$D$998,数据!$E$3:$E$998,"仔鱼",数据!$F$3:$F$998,A956,数据!$G$3:$G$998,B956)</f>
        <v>0</v>
      </c>
      <c r="U956">
        <f>SUMIFS(数据!$D$3:$D$998,数据!$E$3:$E$998,"稚鱼",数据!$F$3:$F$998,A956,数据!$G$3:$G$998,B956)</f>
        <v>0</v>
      </c>
    </row>
    <row r="957" spans="1:21" ht="19.9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45" t="str">
        <f t="shared" si="28"/>
        <v/>
      </c>
      <c r="M957" s="45" t="str">
        <f t="shared" si="29"/>
        <v/>
      </c>
      <c r="N957" s="39" t="str">
        <f>IF(AND(A957="",B957=""),"",COUNTIFS(数据!$E$3:$E$998,"&lt;&gt;前期仔鱼",数据!$E$3:$E$998,"&lt;&gt;仔鱼",数据!$E$3:$E$998,"&lt;&gt;稚鱼",数据!$F$3:$F$998,A957,数据!$G$3:$G$998,B957))</f>
        <v/>
      </c>
      <c r="O957" s="39" t="str">
        <f>IF(AND(A957="",B957=""),"",COUNTIFS(数据!$E$3:$E$998,"&lt;&gt;鱼卵",数据!$E$3:$E$998,"&lt;&gt;死卵",数据!$F$3:$F$998,A957,数据!$G$3:$G$998,B957))</f>
        <v/>
      </c>
      <c r="P957" s="31"/>
      <c r="Q957">
        <f>SUMIFS(数据!$D$3:$D$998,数据!$E$3:$E$998,"鱼卵",数据!$F$3:$F$998,A957,数据!$G$3:$G$998,B957)</f>
        <v>0</v>
      </c>
      <c r="R957">
        <f>SUMIFS(数据!$D$3:$D$998,数据!$E$3:$E$998,"死卵",数据!$F$3:$F$998,A957,数据!$G$3:$G$998,B957)</f>
        <v>0</v>
      </c>
      <c r="S957">
        <f>SUMIFS(数据!$D$3:$D$998,数据!$E$3:$E$998,"前期仔鱼",数据!$F$3:$F$998,A957,数据!$G$3:$G$998,B957)</f>
        <v>0</v>
      </c>
      <c r="T957">
        <f>SUMIFS(数据!$D$3:$D$998,数据!$E$3:$E$998,"仔鱼",数据!$F$3:$F$998,A957,数据!$G$3:$G$998,B957)</f>
        <v>0</v>
      </c>
      <c r="U957">
        <f>SUMIFS(数据!$D$3:$D$998,数据!$E$3:$E$998,"稚鱼",数据!$F$3:$F$998,A957,数据!$G$3:$G$998,B957)</f>
        <v>0</v>
      </c>
    </row>
    <row r="958" spans="1:21" ht="19.9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45" t="str">
        <f t="shared" si="28"/>
        <v/>
      </c>
      <c r="M958" s="45" t="str">
        <f t="shared" si="29"/>
        <v/>
      </c>
      <c r="N958" s="39" t="str">
        <f>IF(AND(A958="",B958=""),"",COUNTIFS(数据!$E$3:$E$998,"&lt;&gt;前期仔鱼",数据!$E$3:$E$998,"&lt;&gt;仔鱼",数据!$E$3:$E$998,"&lt;&gt;稚鱼",数据!$F$3:$F$998,A958,数据!$G$3:$G$998,B958))</f>
        <v/>
      </c>
      <c r="O958" s="39" t="str">
        <f>IF(AND(A958="",B958=""),"",COUNTIFS(数据!$E$3:$E$998,"&lt;&gt;鱼卵",数据!$E$3:$E$998,"&lt;&gt;死卵",数据!$F$3:$F$998,A958,数据!$G$3:$G$998,B958))</f>
        <v/>
      </c>
      <c r="P958" s="31"/>
      <c r="Q958">
        <f>SUMIFS(数据!$D$3:$D$998,数据!$E$3:$E$998,"鱼卵",数据!$F$3:$F$998,A958,数据!$G$3:$G$998,B958)</f>
        <v>0</v>
      </c>
      <c r="R958">
        <f>SUMIFS(数据!$D$3:$D$998,数据!$E$3:$E$998,"死卵",数据!$F$3:$F$998,A958,数据!$G$3:$G$998,B958)</f>
        <v>0</v>
      </c>
      <c r="S958">
        <f>SUMIFS(数据!$D$3:$D$998,数据!$E$3:$E$998,"前期仔鱼",数据!$F$3:$F$998,A958,数据!$G$3:$G$998,B958)</f>
        <v>0</v>
      </c>
      <c r="T958">
        <f>SUMIFS(数据!$D$3:$D$998,数据!$E$3:$E$998,"仔鱼",数据!$F$3:$F$998,A958,数据!$G$3:$G$998,B958)</f>
        <v>0</v>
      </c>
      <c r="U958">
        <f>SUMIFS(数据!$D$3:$D$998,数据!$E$3:$E$998,"稚鱼",数据!$F$3:$F$998,A958,数据!$G$3:$G$998,B958)</f>
        <v>0</v>
      </c>
    </row>
    <row r="959" spans="1:21" ht="19.9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45" t="str">
        <f t="shared" si="28"/>
        <v/>
      </c>
      <c r="M959" s="45" t="str">
        <f t="shared" si="29"/>
        <v/>
      </c>
      <c r="N959" s="39" t="str">
        <f>IF(AND(A959="",B959=""),"",COUNTIFS(数据!$E$3:$E$998,"&lt;&gt;前期仔鱼",数据!$E$3:$E$998,"&lt;&gt;仔鱼",数据!$E$3:$E$998,"&lt;&gt;稚鱼",数据!$F$3:$F$998,A959,数据!$G$3:$G$998,B959))</f>
        <v/>
      </c>
      <c r="O959" s="39" t="str">
        <f>IF(AND(A959="",B959=""),"",COUNTIFS(数据!$E$3:$E$998,"&lt;&gt;鱼卵",数据!$E$3:$E$998,"&lt;&gt;死卵",数据!$F$3:$F$998,A959,数据!$G$3:$G$998,B959))</f>
        <v/>
      </c>
      <c r="P959" s="31"/>
      <c r="Q959">
        <f>SUMIFS(数据!$D$3:$D$998,数据!$E$3:$E$998,"鱼卵",数据!$F$3:$F$998,A959,数据!$G$3:$G$998,B959)</f>
        <v>0</v>
      </c>
      <c r="R959">
        <f>SUMIFS(数据!$D$3:$D$998,数据!$E$3:$E$998,"死卵",数据!$F$3:$F$998,A959,数据!$G$3:$G$998,B959)</f>
        <v>0</v>
      </c>
      <c r="S959">
        <f>SUMIFS(数据!$D$3:$D$998,数据!$E$3:$E$998,"前期仔鱼",数据!$F$3:$F$998,A959,数据!$G$3:$G$998,B959)</f>
        <v>0</v>
      </c>
      <c r="T959">
        <f>SUMIFS(数据!$D$3:$D$998,数据!$E$3:$E$998,"仔鱼",数据!$F$3:$F$998,A959,数据!$G$3:$G$998,B959)</f>
        <v>0</v>
      </c>
      <c r="U959">
        <f>SUMIFS(数据!$D$3:$D$998,数据!$E$3:$E$998,"稚鱼",数据!$F$3:$F$998,A959,数据!$G$3:$G$998,B959)</f>
        <v>0</v>
      </c>
    </row>
    <row r="960" spans="1:21" ht="19.9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45" t="str">
        <f t="shared" si="28"/>
        <v/>
      </c>
      <c r="M960" s="45" t="str">
        <f t="shared" si="29"/>
        <v/>
      </c>
      <c r="N960" s="39" t="str">
        <f>IF(AND(A960="",B960=""),"",COUNTIFS(数据!$E$3:$E$998,"&lt;&gt;前期仔鱼",数据!$E$3:$E$998,"&lt;&gt;仔鱼",数据!$E$3:$E$998,"&lt;&gt;稚鱼",数据!$F$3:$F$998,A960,数据!$G$3:$G$998,B960))</f>
        <v/>
      </c>
      <c r="O960" s="39" t="str">
        <f>IF(AND(A960="",B960=""),"",COUNTIFS(数据!$E$3:$E$998,"&lt;&gt;鱼卵",数据!$E$3:$E$998,"&lt;&gt;死卵",数据!$F$3:$F$998,A960,数据!$G$3:$G$998,B960))</f>
        <v/>
      </c>
      <c r="P960" s="31"/>
      <c r="Q960">
        <f>SUMIFS(数据!$D$3:$D$998,数据!$E$3:$E$998,"鱼卵",数据!$F$3:$F$998,A960,数据!$G$3:$G$998,B960)</f>
        <v>0</v>
      </c>
      <c r="R960">
        <f>SUMIFS(数据!$D$3:$D$998,数据!$E$3:$E$998,"死卵",数据!$F$3:$F$998,A960,数据!$G$3:$G$998,B960)</f>
        <v>0</v>
      </c>
      <c r="S960">
        <f>SUMIFS(数据!$D$3:$D$998,数据!$E$3:$E$998,"前期仔鱼",数据!$F$3:$F$998,A960,数据!$G$3:$G$998,B960)</f>
        <v>0</v>
      </c>
      <c r="T960">
        <f>SUMIFS(数据!$D$3:$D$998,数据!$E$3:$E$998,"仔鱼",数据!$F$3:$F$998,A960,数据!$G$3:$G$998,B960)</f>
        <v>0</v>
      </c>
      <c r="U960">
        <f>SUMIFS(数据!$D$3:$D$998,数据!$E$3:$E$998,"稚鱼",数据!$F$3:$F$998,A960,数据!$G$3:$G$998,B960)</f>
        <v>0</v>
      </c>
    </row>
    <row r="961" spans="1:21" ht="19.9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45" t="str">
        <f t="shared" si="28"/>
        <v/>
      </c>
      <c r="M961" s="45" t="str">
        <f t="shared" si="29"/>
        <v/>
      </c>
      <c r="N961" s="39" t="str">
        <f>IF(AND(A961="",B961=""),"",COUNTIFS(数据!$E$3:$E$998,"&lt;&gt;前期仔鱼",数据!$E$3:$E$998,"&lt;&gt;仔鱼",数据!$E$3:$E$998,"&lt;&gt;稚鱼",数据!$F$3:$F$998,A961,数据!$G$3:$G$998,B961))</f>
        <v/>
      </c>
      <c r="O961" s="39" t="str">
        <f>IF(AND(A961="",B961=""),"",COUNTIFS(数据!$E$3:$E$998,"&lt;&gt;鱼卵",数据!$E$3:$E$998,"&lt;&gt;死卵",数据!$F$3:$F$998,A961,数据!$G$3:$G$998,B961))</f>
        <v/>
      </c>
      <c r="P961" s="31"/>
      <c r="Q961">
        <f>SUMIFS(数据!$D$3:$D$998,数据!$E$3:$E$998,"鱼卵",数据!$F$3:$F$998,A961,数据!$G$3:$G$998,B961)</f>
        <v>0</v>
      </c>
      <c r="R961">
        <f>SUMIFS(数据!$D$3:$D$998,数据!$E$3:$E$998,"死卵",数据!$F$3:$F$998,A961,数据!$G$3:$G$998,B961)</f>
        <v>0</v>
      </c>
      <c r="S961">
        <f>SUMIFS(数据!$D$3:$D$998,数据!$E$3:$E$998,"前期仔鱼",数据!$F$3:$F$998,A961,数据!$G$3:$G$998,B961)</f>
        <v>0</v>
      </c>
      <c r="T961">
        <f>SUMIFS(数据!$D$3:$D$998,数据!$E$3:$E$998,"仔鱼",数据!$F$3:$F$998,A961,数据!$G$3:$G$998,B961)</f>
        <v>0</v>
      </c>
      <c r="U961">
        <f>SUMIFS(数据!$D$3:$D$998,数据!$E$3:$E$998,"稚鱼",数据!$F$3:$F$998,A961,数据!$G$3:$G$998,B961)</f>
        <v>0</v>
      </c>
    </row>
    <row r="962" spans="1:21" ht="19.9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45" t="str">
        <f t="shared" si="28"/>
        <v/>
      </c>
      <c r="M962" s="45" t="str">
        <f t="shared" si="29"/>
        <v/>
      </c>
      <c r="N962" s="39" t="str">
        <f>IF(AND(A962="",B962=""),"",COUNTIFS(数据!$E$3:$E$998,"&lt;&gt;前期仔鱼",数据!$E$3:$E$998,"&lt;&gt;仔鱼",数据!$E$3:$E$998,"&lt;&gt;稚鱼",数据!$F$3:$F$998,A962,数据!$G$3:$G$998,B962))</f>
        <v/>
      </c>
      <c r="O962" s="39" t="str">
        <f>IF(AND(A962="",B962=""),"",COUNTIFS(数据!$E$3:$E$998,"&lt;&gt;鱼卵",数据!$E$3:$E$998,"&lt;&gt;死卵",数据!$F$3:$F$998,A962,数据!$G$3:$G$998,B962))</f>
        <v/>
      </c>
      <c r="P962" s="31"/>
      <c r="Q962">
        <f>SUMIFS(数据!$D$3:$D$998,数据!$E$3:$E$998,"鱼卵",数据!$F$3:$F$998,A962,数据!$G$3:$G$998,B962)</f>
        <v>0</v>
      </c>
      <c r="R962">
        <f>SUMIFS(数据!$D$3:$D$998,数据!$E$3:$E$998,"死卵",数据!$F$3:$F$998,A962,数据!$G$3:$G$998,B962)</f>
        <v>0</v>
      </c>
      <c r="S962">
        <f>SUMIFS(数据!$D$3:$D$998,数据!$E$3:$E$998,"前期仔鱼",数据!$F$3:$F$998,A962,数据!$G$3:$G$998,B962)</f>
        <v>0</v>
      </c>
      <c r="T962">
        <f>SUMIFS(数据!$D$3:$D$998,数据!$E$3:$E$998,"仔鱼",数据!$F$3:$F$998,A962,数据!$G$3:$G$998,B962)</f>
        <v>0</v>
      </c>
      <c r="U962">
        <f>SUMIFS(数据!$D$3:$D$998,数据!$E$3:$E$998,"稚鱼",数据!$F$3:$F$998,A962,数据!$G$3:$G$998,B962)</f>
        <v>0</v>
      </c>
    </row>
    <row r="963" spans="1:21" ht="19.9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45" t="str">
        <f t="shared" si="28"/>
        <v/>
      </c>
      <c r="M963" s="45" t="str">
        <f t="shared" si="29"/>
        <v/>
      </c>
      <c r="N963" s="39" t="str">
        <f>IF(AND(A963="",B963=""),"",COUNTIFS(数据!$E$3:$E$998,"&lt;&gt;前期仔鱼",数据!$E$3:$E$998,"&lt;&gt;仔鱼",数据!$E$3:$E$998,"&lt;&gt;稚鱼",数据!$F$3:$F$998,A963,数据!$G$3:$G$998,B963))</f>
        <v/>
      </c>
      <c r="O963" s="39" t="str">
        <f>IF(AND(A963="",B963=""),"",COUNTIFS(数据!$E$3:$E$998,"&lt;&gt;鱼卵",数据!$E$3:$E$998,"&lt;&gt;死卵",数据!$F$3:$F$998,A963,数据!$G$3:$G$998,B963))</f>
        <v/>
      </c>
      <c r="P963" s="31"/>
      <c r="Q963">
        <f>SUMIFS(数据!$D$3:$D$998,数据!$E$3:$E$998,"鱼卵",数据!$F$3:$F$998,A963,数据!$G$3:$G$998,B963)</f>
        <v>0</v>
      </c>
      <c r="R963">
        <f>SUMIFS(数据!$D$3:$D$998,数据!$E$3:$E$998,"死卵",数据!$F$3:$F$998,A963,数据!$G$3:$G$998,B963)</f>
        <v>0</v>
      </c>
      <c r="S963">
        <f>SUMIFS(数据!$D$3:$D$998,数据!$E$3:$E$998,"前期仔鱼",数据!$F$3:$F$998,A963,数据!$G$3:$G$998,B963)</f>
        <v>0</v>
      </c>
      <c r="T963">
        <f>SUMIFS(数据!$D$3:$D$998,数据!$E$3:$E$998,"仔鱼",数据!$F$3:$F$998,A963,数据!$G$3:$G$998,B963)</f>
        <v>0</v>
      </c>
      <c r="U963">
        <f>SUMIFS(数据!$D$3:$D$998,数据!$E$3:$E$998,"稚鱼",数据!$F$3:$F$998,A963,数据!$G$3:$G$998,B963)</f>
        <v>0</v>
      </c>
    </row>
    <row r="964" spans="1:21" ht="19.9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45" t="str">
        <f t="shared" si="30" ref="L964:L999">IF(OR(Q964&amp;R964="",A964&amp;B964=""),"",Q964+R964)</f>
        <v/>
      </c>
      <c r="M964" s="45" t="str">
        <f t="shared" si="31" ref="M964:M999">IF(OR(A964&amp;B964="",S964&amp;T964&amp;U964=""),"",S964+T964+U964)</f>
        <v/>
      </c>
      <c r="N964" s="39" t="str">
        <f>IF(AND(A964="",B964=""),"",COUNTIFS(数据!$E$3:$E$998,"&lt;&gt;前期仔鱼",数据!$E$3:$E$998,"&lt;&gt;仔鱼",数据!$E$3:$E$998,"&lt;&gt;稚鱼",数据!$F$3:$F$998,A964,数据!$G$3:$G$998,B964))</f>
        <v/>
      </c>
      <c r="O964" s="39" t="str">
        <f>IF(AND(A964="",B964=""),"",COUNTIFS(数据!$E$3:$E$998,"&lt;&gt;鱼卵",数据!$E$3:$E$998,"&lt;&gt;死卵",数据!$F$3:$F$998,A964,数据!$G$3:$G$998,B964))</f>
        <v/>
      </c>
      <c r="P964" s="31"/>
      <c r="Q964">
        <f>SUMIFS(数据!$D$3:$D$998,数据!$E$3:$E$998,"鱼卵",数据!$F$3:$F$998,A964,数据!$G$3:$G$998,B964)</f>
        <v>0</v>
      </c>
      <c r="R964">
        <f>SUMIFS(数据!$D$3:$D$998,数据!$E$3:$E$998,"死卵",数据!$F$3:$F$998,A964,数据!$G$3:$G$998,B964)</f>
        <v>0</v>
      </c>
      <c r="S964">
        <f>SUMIFS(数据!$D$3:$D$998,数据!$E$3:$E$998,"前期仔鱼",数据!$F$3:$F$998,A964,数据!$G$3:$G$998,B964)</f>
        <v>0</v>
      </c>
      <c r="T964">
        <f>SUMIFS(数据!$D$3:$D$998,数据!$E$3:$E$998,"仔鱼",数据!$F$3:$F$998,A964,数据!$G$3:$G$998,B964)</f>
        <v>0</v>
      </c>
      <c r="U964">
        <f>SUMIFS(数据!$D$3:$D$998,数据!$E$3:$E$998,"稚鱼",数据!$F$3:$F$998,A964,数据!$G$3:$G$998,B964)</f>
        <v>0</v>
      </c>
    </row>
    <row r="965" spans="1:21" ht="19.9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45" t="str">
        <f t="shared" si="30"/>
        <v/>
      </c>
      <c r="M965" s="45" t="str">
        <f t="shared" si="31"/>
        <v/>
      </c>
      <c r="N965" s="39" t="str">
        <f>IF(AND(A965="",B965=""),"",COUNTIFS(数据!$E$3:$E$998,"&lt;&gt;前期仔鱼",数据!$E$3:$E$998,"&lt;&gt;仔鱼",数据!$E$3:$E$998,"&lt;&gt;稚鱼",数据!$F$3:$F$998,A965,数据!$G$3:$G$998,B965))</f>
        <v/>
      </c>
      <c r="O965" s="39" t="str">
        <f>IF(AND(A965="",B965=""),"",COUNTIFS(数据!$E$3:$E$998,"&lt;&gt;鱼卵",数据!$E$3:$E$998,"&lt;&gt;死卵",数据!$F$3:$F$998,A965,数据!$G$3:$G$998,B965))</f>
        <v/>
      </c>
      <c r="P965" s="31"/>
      <c r="Q965">
        <f>SUMIFS(数据!$D$3:$D$998,数据!$E$3:$E$998,"鱼卵",数据!$F$3:$F$998,A965,数据!$G$3:$G$998,B965)</f>
        <v>0</v>
      </c>
      <c r="R965">
        <f>SUMIFS(数据!$D$3:$D$998,数据!$E$3:$E$998,"死卵",数据!$F$3:$F$998,A965,数据!$G$3:$G$998,B965)</f>
        <v>0</v>
      </c>
      <c r="S965">
        <f>SUMIFS(数据!$D$3:$D$998,数据!$E$3:$E$998,"前期仔鱼",数据!$F$3:$F$998,A965,数据!$G$3:$G$998,B965)</f>
        <v>0</v>
      </c>
      <c r="T965">
        <f>SUMIFS(数据!$D$3:$D$998,数据!$E$3:$E$998,"仔鱼",数据!$F$3:$F$998,A965,数据!$G$3:$G$998,B965)</f>
        <v>0</v>
      </c>
      <c r="U965">
        <f>SUMIFS(数据!$D$3:$D$998,数据!$E$3:$E$998,"稚鱼",数据!$F$3:$F$998,A965,数据!$G$3:$G$998,B965)</f>
        <v>0</v>
      </c>
    </row>
    <row r="966" spans="1:21" ht="19.9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45" t="str">
        <f t="shared" si="30"/>
        <v/>
      </c>
      <c r="M966" s="45" t="str">
        <f t="shared" si="31"/>
        <v/>
      </c>
      <c r="N966" s="39" t="str">
        <f>IF(AND(A966="",B966=""),"",COUNTIFS(数据!$E$3:$E$998,"&lt;&gt;前期仔鱼",数据!$E$3:$E$998,"&lt;&gt;仔鱼",数据!$E$3:$E$998,"&lt;&gt;稚鱼",数据!$F$3:$F$998,A966,数据!$G$3:$G$998,B966))</f>
        <v/>
      </c>
      <c r="O966" s="39" t="str">
        <f>IF(AND(A966="",B966=""),"",COUNTIFS(数据!$E$3:$E$998,"&lt;&gt;鱼卵",数据!$E$3:$E$998,"&lt;&gt;死卵",数据!$F$3:$F$998,A966,数据!$G$3:$G$998,B966))</f>
        <v/>
      </c>
      <c r="P966" s="31"/>
      <c r="Q966">
        <f>SUMIFS(数据!$D$3:$D$998,数据!$E$3:$E$998,"鱼卵",数据!$F$3:$F$998,A966,数据!$G$3:$G$998,B966)</f>
        <v>0</v>
      </c>
      <c r="R966">
        <f>SUMIFS(数据!$D$3:$D$998,数据!$E$3:$E$998,"死卵",数据!$F$3:$F$998,A966,数据!$G$3:$G$998,B966)</f>
        <v>0</v>
      </c>
      <c r="S966">
        <f>SUMIFS(数据!$D$3:$D$998,数据!$E$3:$E$998,"前期仔鱼",数据!$F$3:$F$998,A966,数据!$G$3:$G$998,B966)</f>
        <v>0</v>
      </c>
      <c r="T966">
        <f>SUMIFS(数据!$D$3:$D$998,数据!$E$3:$E$998,"仔鱼",数据!$F$3:$F$998,A966,数据!$G$3:$G$998,B966)</f>
        <v>0</v>
      </c>
      <c r="U966">
        <f>SUMIFS(数据!$D$3:$D$998,数据!$E$3:$E$998,"稚鱼",数据!$F$3:$F$998,A966,数据!$G$3:$G$998,B966)</f>
        <v>0</v>
      </c>
    </row>
    <row r="967" spans="1:21" ht="19.9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45" t="str">
        <f t="shared" si="30"/>
        <v/>
      </c>
      <c r="M967" s="45" t="str">
        <f t="shared" si="31"/>
        <v/>
      </c>
      <c r="N967" s="39" t="str">
        <f>IF(AND(A967="",B967=""),"",COUNTIFS(数据!$E$3:$E$998,"&lt;&gt;前期仔鱼",数据!$E$3:$E$998,"&lt;&gt;仔鱼",数据!$E$3:$E$998,"&lt;&gt;稚鱼",数据!$F$3:$F$998,A967,数据!$G$3:$G$998,B967))</f>
        <v/>
      </c>
      <c r="O967" s="39" t="str">
        <f>IF(AND(A967="",B967=""),"",COUNTIFS(数据!$E$3:$E$998,"&lt;&gt;鱼卵",数据!$E$3:$E$998,"&lt;&gt;死卵",数据!$F$3:$F$998,A967,数据!$G$3:$G$998,B967))</f>
        <v/>
      </c>
      <c r="P967" s="31"/>
      <c r="Q967">
        <f>SUMIFS(数据!$D$3:$D$998,数据!$E$3:$E$998,"鱼卵",数据!$F$3:$F$998,A967,数据!$G$3:$G$998,B967)</f>
        <v>0</v>
      </c>
      <c r="R967">
        <f>SUMIFS(数据!$D$3:$D$998,数据!$E$3:$E$998,"死卵",数据!$F$3:$F$998,A967,数据!$G$3:$G$998,B967)</f>
        <v>0</v>
      </c>
      <c r="S967">
        <f>SUMIFS(数据!$D$3:$D$998,数据!$E$3:$E$998,"前期仔鱼",数据!$F$3:$F$998,A967,数据!$G$3:$G$998,B967)</f>
        <v>0</v>
      </c>
      <c r="T967">
        <f>SUMIFS(数据!$D$3:$D$998,数据!$E$3:$E$998,"仔鱼",数据!$F$3:$F$998,A967,数据!$G$3:$G$998,B967)</f>
        <v>0</v>
      </c>
      <c r="U967">
        <f>SUMIFS(数据!$D$3:$D$998,数据!$E$3:$E$998,"稚鱼",数据!$F$3:$F$998,A967,数据!$G$3:$G$998,B967)</f>
        <v>0</v>
      </c>
    </row>
    <row r="968" spans="1:21" ht="19.9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45" t="str">
        <f t="shared" si="30"/>
        <v/>
      </c>
      <c r="M968" s="45" t="str">
        <f t="shared" si="31"/>
        <v/>
      </c>
      <c r="N968" s="39" t="str">
        <f>IF(AND(A968="",B968=""),"",COUNTIFS(数据!$E$3:$E$998,"&lt;&gt;前期仔鱼",数据!$E$3:$E$998,"&lt;&gt;仔鱼",数据!$E$3:$E$998,"&lt;&gt;稚鱼",数据!$F$3:$F$998,A968,数据!$G$3:$G$998,B968))</f>
        <v/>
      </c>
      <c r="O968" s="39" t="str">
        <f>IF(AND(A968="",B968=""),"",COUNTIFS(数据!$E$3:$E$998,"&lt;&gt;鱼卵",数据!$E$3:$E$998,"&lt;&gt;死卵",数据!$F$3:$F$998,A968,数据!$G$3:$G$998,B968))</f>
        <v/>
      </c>
      <c r="P968" s="31"/>
      <c r="Q968">
        <f>SUMIFS(数据!$D$3:$D$998,数据!$E$3:$E$998,"鱼卵",数据!$F$3:$F$998,A968,数据!$G$3:$G$998,B968)</f>
        <v>0</v>
      </c>
      <c r="R968">
        <f>SUMIFS(数据!$D$3:$D$998,数据!$E$3:$E$998,"死卵",数据!$F$3:$F$998,A968,数据!$G$3:$G$998,B968)</f>
        <v>0</v>
      </c>
      <c r="S968">
        <f>SUMIFS(数据!$D$3:$D$998,数据!$E$3:$E$998,"前期仔鱼",数据!$F$3:$F$998,A968,数据!$G$3:$G$998,B968)</f>
        <v>0</v>
      </c>
      <c r="T968">
        <f>SUMIFS(数据!$D$3:$D$998,数据!$E$3:$E$998,"仔鱼",数据!$F$3:$F$998,A968,数据!$G$3:$G$998,B968)</f>
        <v>0</v>
      </c>
      <c r="U968">
        <f>SUMIFS(数据!$D$3:$D$998,数据!$E$3:$E$998,"稚鱼",数据!$F$3:$F$998,A968,数据!$G$3:$G$998,B968)</f>
        <v>0</v>
      </c>
    </row>
    <row r="969" spans="1:21" ht="19.9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45" t="str">
        <f t="shared" si="30"/>
        <v/>
      </c>
      <c r="M969" s="45" t="str">
        <f t="shared" si="31"/>
        <v/>
      </c>
      <c r="N969" s="39" t="str">
        <f>IF(AND(A969="",B969=""),"",COUNTIFS(数据!$E$3:$E$998,"&lt;&gt;前期仔鱼",数据!$E$3:$E$998,"&lt;&gt;仔鱼",数据!$E$3:$E$998,"&lt;&gt;稚鱼",数据!$F$3:$F$998,A969,数据!$G$3:$G$998,B969))</f>
        <v/>
      </c>
      <c r="O969" s="39" t="str">
        <f>IF(AND(A969="",B969=""),"",COUNTIFS(数据!$E$3:$E$998,"&lt;&gt;鱼卵",数据!$E$3:$E$998,"&lt;&gt;死卵",数据!$F$3:$F$998,A969,数据!$G$3:$G$998,B969))</f>
        <v/>
      </c>
      <c r="P969" s="31"/>
      <c r="Q969">
        <f>SUMIFS(数据!$D$3:$D$998,数据!$E$3:$E$998,"鱼卵",数据!$F$3:$F$998,A969,数据!$G$3:$G$998,B969)</f>
        <v>0</v>
      </c>
      <c r="R969">
        <f>SUMIFS(数据!$D$3:$D$998,数据!$E$3:$E$998,"死卵",数据!$F$3:$F$998,A969,数据!$G$3:$G$998,B969)</f>
        <v>0</v>
      </c>
      <c r="S969">
        <f>SUMIFS(数据!$D$3:$D$998,数据!$E$3:$E$998,"前期仔鱼",数据!$F$3:$F$998,A969,数据!$G$3:$G$998,B969)</f>
        <v>0</v>
      </c>
      <c r="T969">
        <f>SUMIFS(数据!$D$3:$D$998,数据!$E$3:$E$998,"仔鱼",数据!$F$3:$F$998,A969,数据!$G$3:$G$998,B969)</f>
        <v>0</v>
      </c>
      <c r="U969">
        <f>SUMIFS(数据!$D$3:$D$998,数据!$E$3:$E$998,"稚鱼",数据!$F$3:$F$998,A969,数据!$G$3:$G$998,B969)</f>
        <v>0</v>
      </c>
    </row>
    <row r="970" spans="1:21" ht="19.9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45" t="str">
        <f t="shared" si="30"/>
        <v/>
      </c>
      <c r="M970" s="45" t="str">
        <f t="shared" si="31"/>
        <v/>
      </c>
      <c r="N970" s="39" t="str">
        <f>IF(AND(A970="",B970=""),"",COUNTIFS(数据!$E$3:$E$998,"&lt;&gt;前期仔鱼",数据!$E$3:$E$998,"&lt;&gt;仔鱼",数据!$E$3:$E$998,"&lt;&gt;稚鱼",数据!$F$3:$F$998,A970,数据!$G$3:$G$998,B970))</f>
        <v/>
      </c>
      <c r="O970" s="39" t="str">
        <f>IF(AND(A970="",B970=""),"",COUNTIFS(数据!$E$3:$E$998,"&lt;&gt;鱼卵",数据!$E$3:$E$998,"&lt;&gt;死卵",数据!$F$3:$F$998,A970,数据!$G$3:$G$998,B970))</f>
        <v/>
      </c>
      <c r="P970" s="31"/>
      <c r="Q970">
        <f>SUMIFS(数据!$D$3:$D$998,数据!$E$3:$E$998,"鱼卵",数据!$F$3:$F$998,A970,数据!$G$3:$G$998,B970)</f>
        <v>0</v>
      </c>
      <c r="R970">
        <f>SUMIFS(数据!$D$3:$D$998,数据!$E$3:$E$998,"死卵",数据!$F$3:$F$998,A970,数据!$G$3:$G$998,B970)</f>
        <v>0</v>
      </c>
      <c r="S970">
        <f>SUMIFS(数据!$D$3:$D$998,数据!$E$3:$E$998,"前期仔鱼",数据!$F$3:$F$998,A970,数据!$G$3:$G$998,B970)</f>
        <v>0</v>
      </c>
      <c r="T970">
        <f>SUMIFS(数据!$D$3:$D$998,数据!$E$3:$E$998,"仔鱼",数据!$F$3:$F$998,A970,数据!$G$3:$G$998,B970)</f>
        <v>0</v>
      </c>
      <c r="U970">
        <f>SUMIFS(数据!$D$3:$D$998,数据!$E$3:$E$998,"稚鱼",数据!$F$3:$F$998,A970,数据!$G$3:$G$998,B970)</f>
        <v>0</v>
      </c>
    </row>
    <row r="971" spans="1:21" ht="19.9" customHeigh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45" t="str">
        <f t="shared" si="30"/>
        <v/>
      </c>
      <c r="M971" s="45" t="str">
        <f t="shared" si="31"/>
        <v/>
      </c>
      <c r="N971" s="39" t="str">
        <f>IF(AND(A971="",B971=""),"",COUNTIFS(数据!$E$3:$E$998,"&lt;&gt;前期仔鱼",数据!$E$3:$E$998,"&lt;&gt;仔鱼",数据!$E$3:$E$998,"&lt;&gt;稚鱼",数据!$F$3:$F$998,A971,数据!$G$3:$G$998,B971))</f>
        <v/>
      </c>
      <c r="O971" s="39" t="str">
        <f>IF(AND(A971="",B971=""),"",COUNTIFS(数据!$E$3:$E$998,"&lt;&gt;鱼卵",数据!$E$3:$E$998,"&lt;&gt;死卵",数据!$F$3:$F$998,A971,数据!$G$3:$G$998,B971))</f>
        <v/>
      </c>
      <c r="P971" s="31"/>
      <c r="Q971">
        <f>SUMIFS(数据!$D$3:$D$998,数据!$E$3:$E$998,"鱼卵",数据!$F$3:$F$998,A971,数据!$G$3:$G$998,B971)</f>
        <v>0</v>
      </c>
      <c r="R971">
        <f>SUMIFS(数据!$D$3:$D$998,数据!$E$3:$E$998,"死卵",数据!$F$3:$F$998,A971,数据!$G$3:$G$998,B971)</f>
        <v>0</v>
      </c>
      <c r="S971">
        <f>SUMIFS(数据!$D$3:$D$998,数据!$E$3:$E$998,"前期仔鱼",数据!$F$3:$F$998,A971,数据!$G$3:$G$998,B971)</f>
        <v>0</v>
      </c>
      <c r="T971">
        <f>SUMIFS(数据!$D$3:$D$998,数据!$E$3:$E$998,"仔鱼",数据!$F$3:$F$998,A971,数据!$G$3:$G$998,B971)</f>
        <v>0</v>
      </c>
      <c r="U971">
        <f>SUMIFS(数据!$D$3:$D$998,数据!$E$3:$E$998,"稚鱼",数据!$F$3:$F$998,A971,数据!$G$3:$G$998,B971)</f>
        <v>0</v>
      </c>
    </row>
    <row r="972" spans="1:21" ht="19.9" customHeigh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45" t="str">
        <f t="shared" si="30"/>
        <v/>
      </c>
      <c r="M972" s="45" t="str">
        <f t="shared" si="31"/>
        <v/>
      </c>
      <c r="N972" s="39" t="str">
        <f>IF(AND(A972="",B972=""),"",COUNTIFS(数据!$E$3:$E$998,"&lt;&gt;前期仔鱼",数据!$E$3:$E$998,"&lt;&gt;仔鱼",数据!$E$3:$E$998,"&lt;&gt;稚鱼",数据!$F$3:$F$998,A972,数据!$G$3:$G$998,B972))</f>
        <v/>
      </c>
      <c r="O972" s="39" t="str">
        <f>IF(AND(A972="",B972=""),"",COUNTIFS(数据!$E$3:$E$998,"&lt;&gt;鱼卵",数据!$E$3:$E$998,"&lt;&gt;死卵",数据!$F$3:$F$998,A972,数据!$G$3:$G$998,B972))</f>
        <v/>
      </c>
      <c r="P972" s="31"/>
      <c r="Q972">
        <f>SUMIFS(数据!$D$3:$D$998,数据!$E$3:$E$998,"鱼卵",数据!$F$3:$F$998,A972,数据!$G$3:$G$998,B972)</f>
        <v>0</v>
      </c>
      <c r="R972">
        <f>SUMIFS(数据!$D$3:$D$998,数据!$E$3:$E$998,"死卵",数据!$F$3:$F$998,A972,数据!$G$3:$G$998,B972)</f>
        <v>0</v>
      </c>
      <c r="S972">
        <f>SUMIFS(数据!$D$3:$D$998,数据!$E$3:$E$998,"前期仔鱼",数据!$F$3:$F$998,A972,数据!$G$3:$G$998,B972)</f>
        <v>0</v>
      </c>
      <c r="T972">
        <f>SUMIFS(数据!$D$3:$D$998,数据!$E$3:$E$998,"仔鱼",数据!$F$3:$F$998,A972,数据!$G$3:$G$998,B972)</f>
        <v>0</v>
      </c>
      <c r="U972">
        <f>SUMIFS(数据!$D$3:$D$998,数据!$E$3:$E$998,"稚鱼",数据!$F$3:$F$998,A972,数据!$G$3:$G$998,B972)</f>
        <v>0</v>
      </c>
    </row>
    <row r="973" spans="1:21" ht="19.9" customHeigh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45" t="str">
        <f t="shared" si="30"/>
        <v/>
      </c>
      <c r="M973" s="45" t="str">
        <f t="shared" si="31"/>
        <v/>
      </c>
      <c r="N973" s="39" t="str">
        <f>IF(AND(A973="",B973=""),"",COUNTIFS(数据!$E$3:$E$998,"&lt;&gt;前期仔鱼",数据!$E$3:$E$998,"&lt;&gt;仔鱼",数据!$E$3:$E$998,"&lt;&gt;稚鱼",数据!$F$3:$F$998,A973,数据!$G$3:$G$998,B973))</f>
        <v/>
      </c>
      <c r="O973" s="39" t="str">
        <f>IF(AND(A973="",B973=""),"",COUNTIFS(数据!$E$3:$E$998,"&lt;&gt;鱼卵",数据!$E$3:$E$998,"&lt;&gt;死卵",数据!$F$3:$F$998,A973,数据!$G$3:$G$998,B973))</f>
        <v/>
      </c>
      <c r="P973" s="31"/>
      <c r="Q973">
        <f>SUMIFS(数据!$D$3:$D$998,数据!$E$3:$E$998,"鱼卵",数据!$F$3:$F$998,A973,数据!$G$3:$G$998,B973)</f>
        <v>0</v>
      </c>
      <c r="R973">
        <f>SUMIFS(数据!$D$3:$D$998,数据!$E$3:$E$998,"死卵",数据!$F$3:$F$998,A973,数据!$G$3:$G$998,B973)</f>
        <v>0</v>
      </c>
      <c r="S973">
        <f>SUMIFS(数据!$D$3:$D$998,数据!$E$3:$E$998,"前期仔鱼",数据!$F$3:$F$998,A973,数据!$G$3:$G$998,B973)</f>
        <v>0</v>
      </c>
      <c r="T973">
        <f>SUMIFS(数据!$D$3:$D$998,数据!$E$3:$E$998,"仔鱼",数据!$F$3:$F$998,A973,数据!$G$3:$G$998,B973)</f>
        <v>0</v>
      </c>
      <c r="U973">
        <f>SUMIFS(数据!$D$3:$D$998,数据!$E$3:$E$998,"稚鱼",数据!$F$3:$F$998,A973,数据!$G$3:$G$998,B973)</f>
        <v>0</v>
      </c>
    </row>
    <row r="974" spans="1:21" ht="19.9" customHeigh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45" t="str">
        <f t="shared" si="30"/>
        <v/>
      </c>
      <c r="M974" s="45" t="str">
        <f t="shared" si="31"/>
        <v/>
      </c>
      <c r="N974" s="39" t="str">
        <f>IF(AND(A974="",B974=""),"",COUNTIFS(数据!$E$3:$E$998,"&lt;&gt;前期仔鱼",数据!$E$3:$E$998,"&lt;&gt;仔鱼",数据!$E$3:$E$998,"&lt;&gt;稚鱼",数据!$F$3:$F$998,A974,数据!$G$3:$G$998,B974))</f>
        <v/>
      </c>
      <c r="O974" s="39" t="str">
        <f>IF(AND(A974="",B974=""),"",COUNTIFS(数据!$E$3:$E$998,"&lt;&gt;鱼卵",数据!$E$3:$E$998,"&lt;&gt;死卵",数据!$F$3:$F$998,A974,数据!$G$3:$G$998,B974))</f>
        <v/>
      </c>
      <c r="P974" s="31"/>
      <c r="Q974">
        <f>SUMIFS(数据!$D$3:$D$998,数据!$E$3:$E$998,"鱼卵",数据!$F$3:$F$998,A974,数据!$G$3:$G$998,B974)</f>
        <v>0</v>
      </c>
      <c r="R974">
        <f>SUMIFS(数据!$D$3:$D$998,数据!$E$3:$E$998,"死卵",数据!$F$3:$F$998,A974,数据!$G$3:$G$998,B974)</f>
        <v>0</v>
      </c>
      <c r="S974">
        <f>SUMIFS(数据!$D$3:$D$998,数据!$E$3:$E$998,"前期仔鱼",数据!$F$3:$F$998,A974,数据!$G$3:$G$998,B974)</f>
        <v>0</v>
      </c>
      <c r="T974">
        <f>SUMIFS(数据!$D$3:$D$998,数据!$E$3:$E$998,"仔鱼",数据!$F$3:$F$998,A974,数据!$G$3:$G$998,B974)</f>
        <v>0</v>
      </c>
      <c r="U974">
        <f>SUMIFS(数据!$D$3:$D$998,数据!$E$3:$E$998,"稚鱼",数据!$F$3:$F$998,A974,数据!$G$3:$G$998,B974)</f>
        <v>0</v>
      </c>
    </row>
    <row r="975" spans="1:21" ht="19.9" customHeigh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45" t="str">
        <f t="shared" si="30"/>
        <v/>
      </c>
      <c r="M975" s="45" t="str">
        <f t="shared" si="31"/>
        <v/>
      </c>
      <c r="N975" s="39" t="str">
        <f>IF(AND(A975="",B975=""),"",COUNTIFS(数据!$E$3:$E$998,"&lt;&gt;前期仔鱼",数据!$E$3:$E$998,"&lt;&gt;仔鱼",数据!$E$3:$E$998,"&lt;&gt;稚鱼",数据!$F$3:$F$998,A975,数据!$G$3:$G$998,B975))</f>
        <v/>
      </c>
      <c r="O975" s="39" t="str">
        <f>IF(AND(A975="",B975=""),"",COUNTIFS(数据!$E$3:$E$998,"&lt;&gt;鱼卵",数据!$E$3:$E$998,"&lt;&gt;死卵",数据!$F$3:$F$998,A975,数据!$G$3:$G$998,B975))</f>
        <v/>
      </c>
      <c r="P975" s="31"/>
      <c r="Q975">
        <f>SUMIFS(数据!$D$3:$D$998,数据!$E$3:$E$998,"鱼卵",数据!$F$3:$F$998,A975,数据!$G$3:$G$998,B975)</f>
        <v>0</v>
      </c>
      <c r="R975">
        <f>SUMIFS(数据!$D$3:$D$998,数据!$E$3:$E$998,"死卵",数据!$F$3:$F$998,A975,数据!$G$3:$G$998,B975)</f>
        <v>0</v>
      </c>
      <c r="S975">
        <f>SUMIFS(数据!$D$3:$D$998,数据!$E$3:$E$998,"前期仔鱼",数据!$F$3:$F$998,A975,数据!$G$3:$G$998,B975)</f>
        <v>0</v>
      </c>
      <c r="T975">
        <f>SUMIFS(数据!$D$3:$D$998,数据!$E$3:$E$998,"仔鱼",数据!$F$3:$F$998,A975,数据!$G$3:$G$998,B975)</f>
        <v>0</v>
      </c>
      <c r="U975">
        <f>SUMIFS(数据!$D$3:$D$998,数据!$E$3:$E$998,"稚鱼",数据!$F$3:$F$998,A975,数据!$G$3:$G$998,B975)</f>
        <v>0</v>
      </c>
    </row>
    <row r="976" spans="1:21" ht="19.9" customHeigh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45" t="str">
        <f t="shared" si="30"/>
        <v/>
      </c>
      <c r="M976" s="45" t="str">
        <f t="shared" si="31"/>
        <v/>
      </c>
      <c r="N976" s="39" t="str">
        <f>IF(AND(A976="",B976=""),"",COUNTIFS(数据!$E$3:$E$998,"&lt;&gt;前期仔鱼",数据!$E$3:$E$998,"&lt;&gt;仔鱼",数据!$E$3:$E$998,"&lt;&gt;稚鱼",数据!$F$3:$F$998,A976,数据!$G$3:$G$998,B976))</f>
        <v/>
      </c>
      <c r="O976" s="39" t="str">
        <f>IF(AND(A976="",B976=""),"",COUNTIFS(数据!$E$3:$E$998,"&lt;&gt;鱼卵",数据!$E$3:$E$998,"&lt;&gt;死卵",数据!$F$3:$F$998,A976,数据!$G$3:$G$998,B976))</f>
        <v/>
      </c>
      <c r="P976" s="31"/>
      <c r="Q976">
        <f>SUMIFS(数据!$D$3:$D$998,数据!$E$3:$E$998,"鱼卵",数据!$F$3:$F$998,A976,数据!$G$3:$G$998,B976)</f>
        <v>0</v>
      </c>
      <c r="R976">
        <f>SUMIFS(数据!$D$3:$D$998,数据!$E$3:$E$998,"死卵",数据!$F$3:$F$998,A976,数据!$G$3:$G$998,B976)</f>
        <v>0</v>
      </c>
      <c r="S976">
        <f>SUMIFS(数据!$D$3:$D$998,数据!$E$3:$E$998,"前期仔鱼",数据!$F$3:$F$998,A976,数据!$G$3:$G$998,B976)</f>
        <v>0</v>
      </c>
      <c r="T976">
        <f>SUMIFS(数据!$D$3:$D$998,数据!$E$3:$E$998,"仔鱼",数据!$F$3:$F$998,A976,数据!$G$3:$G$998,B976)</f>
        <v>0</v>
      </c>
      <c r="U976">
        <f>SUMIFS(数据!$D$3:$D$998,数据!$E$3:$E$998,"稚鱼",数据!$F$3:$F$998,A976,数据!$G$3:$G$998,B976)</f>
        <v>0</v>
      </c>
    </row>
    <row r="977" spans="1:21" ht="19.9" customHeigh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45" t="str">
        <f t="shared" si="30"/>
        <v/>
      </c>
      <c r="M977" s="45" t="str">
        <f t="shared" si="31"/>
        <v/>
      </c>
      <c r="N977" s="39" t="str">
        <f>IF(AND(A977="",B977=""),"",COUNTIFS(数据!$E$3:$E$998,"&lt;&gt;前期仔鱼",数据!$E$3:$E$998,"&lt;&gt;仔鱼",数据!$E$3:$E$998,"&lt;&gt;稚鱼",数据!$F$3:$F$998,A977,数据!$G$3:$G$998,B977))</f>
        <v/>
      </c>
      <c r="O977" s="39" t="str">
        <f>IF(AND(A977="",B977=""),"",COUNTIFS(数据!$E$3:$E$998,"&lt;&gt;鱼卵",数据!$E$3:$E$998,"&lt;&gt;死卵",数据!$F$3:$F$998,A977,数据!$G$3:$G$998,B977))</f>
        <v/>
      </c>
      <c r="P977" s="31"/>
      <c r="Q977">
        <f>SUMIFS(数据!$D$3:$D$998,数据!$E$3:$E$998,"鱼卵",数据!$F$3:$F$998,A977,数据!$G$3:$G$998,B977)</f>
        <v>0</v>
      </c>
      <c r="R977">
        <f>SUMIFS(数据!$D$3:$D$998,数据!$E$3:$E$998,"死卵",数据!$F$3:$F$998,A977,数据!$G$3:$G$998,B977)</f>
        <v>0</v>
      </c>
      <c r="S977">
        <f>SUMIFS(数据!$D$3:$D$998,数据!$E$3:$E$998,"前期仔鱼",数据!$F$3:$F$998,A977,数据!$G$3:$G$998,B977)</f>
        <v>0</v>
      </c>
      <c r="T977">
        <f>SUMIFS(数据!$D$3:$D$998,数据!$E$3:$E$998,"仔鱼",数据!$F$3:$F$998,A977,数据!$G$3:$G$998,B977)</f>
        <v>0</v>
      </c>
      <c r="U977">
        <f>SUMIFS(数据!$D$3:$D$998,数据!$E$3:$E$998,"稚鱼",数据!$F$3:$F$998,A977,数据!$G$3:$G$998,B977)</f>
        <v>0</v>
      </c>
    </row>
    <row r="978" spans="1:21" ht="19.9" customHeigh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45" t="str">
        <f t="shared" si="30"/>
        <v/>
      </c>
      <c r="M978" s="45" t="str">
        <f t="shared" si="31"/>
        <v/>
      </c>
      <c r="N978" s="39" t="str">
        <f>IF(AND(A978="",B978=""),"",COUNTIFS(数据!$E$3:$E$998,"&lt;&gt;前期仔鱼",数据!$E$3:$E$998,"&lt;&gt;仔鱼",数据!$E$3:$E$998,"&lt;&gt;稚鱼",数据!$F$3:$F$998,A978,数据!$G$3:$G$998,B978))</f>
        <v/>
      </c>
      <c r="O978" s="39" t="str">
        <f>IF(AND(A978="",B978=""),"",COUNTIFS(数据!$E$3:$E$998,"&lt;&gt;鱼卵",数据!$E$3:$E$998,"&lt;&gt;死卵",数据!$F$3:$F$998,A978,数据!$G$3:$G$998,B978))</f>
        <v/>
      </c>
      <c r="P978" s="31"/>
      <c r="Q978">
        <f>SUMIFS(数据!$D$3:$D$998,数据!$E$3:$E$998,"鱼卵",数据!$F$3:$F$998,A978,数据!$G$3:$G$998,B978)</f>
        <v>0</v>
      </c>
      <c r="R978">
        <f>SUMIFS(数据!$D$3:$D$998,数据!$E$3:$E$998,"死卵",数据!$F$3:$F$998,A978,数据!$G$3:$G$998,B978)</f>
        <v>0</v>
      </c>
      <c r="S978">
        <f>SUMIFS(数据!$D$3:$D$998,数据!$E$3:$E$998,"前期仔鱼",数据!$F$3:$F$998,A978,数据!$G$3:$G$998,B978)</f>
        <v>0</v>
      </c>
      <c r="T978">
        <f>SUMIFS(数据!$D$3:$D$998,数据!$E$3:$E$998,"仔鱼",数据!$F$3:$F$998,A978,数据!$G$3:$G$998,B978)</f>
        <v>0</v>
      </c>
      <c r="U978">
        <f>SUMIFS(数据!$D$3:$D$998,数据!$E$3:$E$998,"稚鱼",数据!$F$3:$F$998,A978,数据!$G$3:$G$998,B978)</f>
        <v>0</v>
      </c>
    </row>
    <row r="979" spans="1:21" ht="19.9" customHeigh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45" t="str">
        <f t="shared" si="30"/>
        <v/>
      </c>
      <c r="M979" s="45" t="str">
        <f t="shared" si="31"/>
        <v/>
      </c>
      <c r="N979" s="39" t="str">
        <f>IF(AND(A979="",B979=""),"",COUNTIFS(数据!$E$3:$E$998,"&lt;&gt;前期仔鱼",数据!$E$3:$E$998,"&lt;&gt;仔鱼",数据!$E$3:$E$998,"&lt;&gt;稚鱼",数据!$F$3:$F$998,A979,数据!$G$3:$G$998,B979))</f>
        <v/>
      </c>
      <c r="O979" s="39" t="str">
        <f>IF(AND(A979="",B979=""),"",COUNTIFS(数据!$E$3:$E$998,"&lt;&gt;鱼卵",数据!$E$3:$E$998,"&lt;&gt;死卵",数据!$F$3:$F$998,A979,数据!$G$3:$G$998,B979))</f>
        <v/>
      </c>
      <c r="P979" s="31"/>
      <c r="Q979">
        <f>SUMIFS(数据!$D$3:$D$998,数据!$E$3:$E$998,"鱼卵",数据!$F$3:$F$998,A979,数据!$G$3:$G$998,B979)</f>
        <v>0</v>
      </c>
      <c r="R979">
        <f>SUMIFS(数据!$D$3:$D$998,数据!$E$3:$E$998,"死卵",数据!$F$3:$F$998,A979,数据!$G$3:$G$998,B979)</f>
        <v>0</v>
      </c>
      <c r="S979">
        <f>SUMIFS(数据!$D$3:$D$998,数据!$E$3:$E$998,"前期仔鱼",数据!$F$3:$F$998,A979,数据!$G$3:$G$998,B979)</f>
        <v>0</v>
      </c>
      <c r="T979">
        <f>SUMIFS(数据!$D$3:$D$998,数据!$E$3:$E$998,"仔鱼",数据!$F$3:$F$998,A979,数据!$G$3:$G$998,B979)</f>
        <v>0</v>
      </c>
      <c r="U979">
        <f>SUMIFS(数据!$D$3:$D$998,数据!$E$3:$E$998,"稚鱼",数据!$F$3:$F$998,A979,数据!$G$3:$G$998,B979)</f>
        <v>0</v>
      </c>
    </row>
    <row r="980" spans="1:21" ht="19.9" customHeigh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45" t="str">
        <f t="shared" si="30"/>
        <v/>
      </c>
      <c r="M980" s="45" t="str">
        <f t="shared" si="31"/>
        <v/>
      </c>
      <c r="N980" s="39" t="str">
        <f>IF(AND(A980="",B980=""),"",COUNTIFS(数据!$E$3:$E$998,"&lt;&gt;前期仔鱼",数据!$E$3:$E$998,"&lt;&gt;仔鱼",数据!$E$3:$E$998,"&lt;&gt;稚鱼",数据!$F$3:$F$998,A980,数据!$G$3:$G$998,B980))</f>
        <v/>
      </c>
      <c r="O980" s="39" t="str">
        <f>IF(AND(A980="",B980=""),"",COUNTIFS(数据!$E$3:$E$998,"&lt;&gt;鱼卵",数据!$E$3:$E$998,"&lt;&gt;死卵",数据!$F$3:$F$998,A980,数据!$G$3:$G$998,B980))</f>
        <v/>
      </c>
      <c r="P980" s="31"/>
      <c r="Q980">
        <f>SUMIFS(数据!$D$3:$D$998,数据!$E$3:$E$998,"鱼卵",数据!$F$3:$F$998,A980,数据!$G$3:$G$998,B980)</f>
        <v>0</v>
      </c>
      <c r="R980">
        <f>SUMIFS(数据!$D$3:$D$998,数据!$E$3:$E$998,"死卵",数据!$F$3:$F$998,A980,数据!$G$3:$G$998,B980)</f>
        <v>0</v>
      </c>
      <c r="S980">
        <f>SUMIFS(数据!$D$3:$D$998,数据!$E$3:$E$998,"前期仔鱼",数据!$F$3:$F$998,A980,数据!$G$3:$G$998,B980)</f>
        <v>0</v>
      </c>
      <c r="T980">
        <f>SUMIFS(数据!$D$3:$D$998,数据!$E$3:$E$998,"仔鱼",数据!$F$3:$F$998,A980,数据!$G$3:$G$998,B980)</f>
        <v>0</v>
      </c>
      <c r="U980">
        <f>SUMIFS(数据!$D$3:$D$998,数据!$E$3:$E$998,"稚鱼",数据!$F$3:$F$998,A980,数据!$G$3:$G$998,B980)</f>
        <v>0</v>
      </c>
    </row>
    <row r="981" spans="1:21" ht="19.9" customHeigh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45" t="str">
        <f t="shared" si="30"/>
        <v/>
      </c>
      <c r="M981" s="45" t="str">
        <f t="shared" si="31"/>
        <v/>
      </c>
      <c r="N981" s="39" t="str">
        <f>IF(AND(A981="",B981=""),"",COUNTIFS(数据!$E$3:$E$998,"&lt;&gt;前期仔鱼",数据!$E$3:$E$998,"&lt;&gt;仔鱼",数据!$E$3:$E$998,"&lt;&gt;稚鱼",数据!$F$3:$F$998,A981,数据!$G$3:$G$998,B981))</f>
        <v/>
      </c>
      <c r="O981" s="39" t="str">
        <f>IF(AND(A981="",B981=""),"",COUNTIFS(数据!$E$3:$E$998,"&lt;&gt;鱼卵",数据!$E$3:$E$998,"&lt;&gt;死卵",数据!$F$3:$F$998,A981,数据!$G$3:$G$998,B981))</f>
        <v/>
      </c>
      <c r="P981" s="31"/>
      <c r="Q981">
        <f>SUMIFS(数据!$D$3:$D$998,数据!$E$3:$E$998,"鱼卵",数据!$F$3:$F$998,A981,数据!$G$3:$G$998,B981)</f>
        <v>0</v>
      </c>
      <c r="R981">
        <f>SUMIFS(数据!$D$3:$D$998,数据!$E$3:$E$998,"死卵",数据!$F$3:$F$998,A981,数据!$G$3:$G$998,B981)</f>
        <v>0</v>
      </c>
      <c r="S981">
        <f>SUMIFS(数据!$D$3:$D$998,数据!$E$3:$E$998,"前期仔鱼",数据!$F$3:$F$998,A981,数据!$G$3:$G$998,B981)</f>
        <v>0</v>
      </c>
      <c r="T981">
        <f>SUMIFS(数据!$D$3:$D$998,数据!$E$3:$E$998,"仔鱼",数据!$F$3:$F$998,A981,数据!$G$3:$G$998,B981)</f>
        <v>0</v>
      </c>
      <c r="U981">
        <f>SUMIFS(数据!$D$3:$D$998,数据!$E$3:$E$998,"稚鱼",数据!$F$3:$F$998,A981,数据!$G$3:$G$998,B981)</f>
        <v>0</v>
      </c>
    </row>
    <row r="982" spans="1:21" ht="19.9" customHeigh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45" t="str">
        <f t="shared" si="30"/>
        <v/>
      </c>
      <c r="M982" s="45" t="str">
        <f t="shared" si="31"/>
        <v/>
      </c>
      <c r="N982" s="39" t="str">
        <f>IF(AND(A982="",B982=""),"",COUNTIFS(数据!$E$3:$E$998,"&lt;&gt;前期仔鱼",数据!$E$3:$E$998,"&lt;&gt;仔鱼",数据!$E$3:$E$998,"&lt;&gt;稚鱼",数据!$F$3:$F$998,A982,数据!$G$3:$G$998,B982))</f>
        <v/>
      </c>
      <c r="O982" s="39" t="str">
        <f>IF(AND(A982="",B982=""),"",COUNTIFS(数据!$E$3:$E$998,"&lt;&gt;鱼卵",数据!$E$3:$E$998,"&lt;&gt;死卵",数据!$F$3:$F$998,A982,数据!$G$3:$G$998,B982))</f>
        <v/>
      </c>
      <c r="P982" s="31"/>
      <c r="Q982">
        <f>SUMIFS(数据!$D$3:$D$998,数据!$E$3:$E$998,"鱼卵",数据!$F$3:$F$998,A982,数据!$G$3:$G$998,B982)</f>
        <v>0</v>
      </c>
      <c r="R982">
        <f>SUMIFS(数据!$D$3:$D$998,数据!$E$3:$E$998,"死卵",数据!$F$3:$F$998,A982,数据!$G$3:$G$998,B982)</f>
        <v>0</v>
      </c>
      <c r="S982">
        <f>SUMIFS(数据!$D$3:$D$998,数据!$E$3:$E$998,"前期仔鱼",数据!$F$3:$F$998,A982,数据!$G$3:$G$998,B982)</f>
        <v>0</v>
      </c>
      <c r="T982">
        <f>SUMIFS(数据!$D$3:$D$998,数据!$E$3:$E$998,"仔鱼",数据!$F$3:$F$998,A982,数据!$G$3:$G$998,B982)</f>
        <v>0</v>
      </c>
      <c r="U982">
        <f>SUMIFS(数据!$D$3:$D$998,数据!$E$3:$E$998,"稚鱼",数据!$F$3:$F$998,A982,数据!$G$3:$G$998,B982)</f>
        <v>0</v>
      </c>
    </row>
    <row r="983" spans="1:21" ht="19.9" customHeigh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45" t="str">
        <f t="shared" si="30"/>
        <v/>
      </c>
      <c r="M983" s="45" t="str">
        <f t="shared" si="31"/>
        <v/>
      </c>
      <c r="N983" s="39" t="str">
        <f>IF(AND(A983="",B983=""),"",COUNTIFS(数据!$E$3:$E$998,"&lt;&gt;前期仔鱼",数据!$E$3:$E$998,"&lt;&gt;仔鱼",数据!$E$3:$E$998,"&lt;&gt;稚鱼",数据!$F$3:$F$998,A983,数据!$G$3:$G$998,B983))</f>
        <v/>
      </c>
      <c r="O983" s="39" t="str">
        <f>IF(AND(A983="",B983=""),"",COUNTIFS(数据!$E$3:$E$998,"&lt;&gt;鱼卵",数据!$E$3:$E$998,"&lt;&gt;死卵",数据!$F$3:$F$998,A983,数据!$G$3:$G$998,B983))</f>
        <v/>
      </c>
      <c r="P983" s="31"/>
      <c r="Q983">
        <f>SUMIFS(数据!$D$3:$D$998,数据!$E$3:$E$998,"鱼卵",数据!$F$3:$F$998,A983,数据!$G$3:$G$998,B983)</f>
        <v>0</v>
      </c>
      <c r="R983">
        <f>SUMIFS(数据!$D$3:$D$998,数据!$E$3:$E$998,"死卵",数据!$F$3:$F$998,A983,数据!$G$3:$G$998,B983)</f>
        <v>0</v>
      </c>
      <c r="S983">
        <f>SUMIFS(数据!$D$3:$D$998,数据!$E$3:$E$998,"前期仔鱼",数据!$F$3:$F$998,A983,数据!$G$3:$G$998,B983)</f>
        <v>0</v>
      </c>
      <c r="T983">
        <f>SUMIFS(数据!$D$3:$D$998,数据!$E$3:$E$998,"仔鱼",数据!$F$3:$F$998,A983,数据!$G$3:$G$998,B983)</f>
        <v>0</v>
      </c>
      <c r="U983">
        <f>SUMIFS(数据!$D$3:$D$998,数据!$E$3:$E$998,"稚鱼",数据!$F$3:$F$998,A983,数据!$G$3:$G$998,B983)</f>
        <v>0</v>
      </c>
    </row>
    <row r="984" spans="1:21" ht="19.9" customHeigh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45" t="str">
        <f t="shared" si="30"/>
        <v/>
      </c>
      <c r="M984" s="45" t="str">
        <f t="shared" si="31"/>
        <v/>
      </c>
      <c r="N984" s="39" t="str">
        <f>IF(AND(A984="",B984=""),"",COUNTIFS(数据!$E$3:$E$998,"&lt;&gt;前期仔鱼",数据!$E$3:$E$998,"&lt;&gt;仔鱼",数据!$E$3:$E$998,"&lt;&gt;稚鱼",数据!$F$3:$F$998,A984,数据!$G$3:$G$998,B984))</f>
        <v/>
      </c>
      <c r="O984" s="39" t="str">
        <f>IF(AND(A984="",B984=""),"",COUNTIFS(数据!$E$3:$E$998,"&lt;&gt;鱼卵",数据!$E$3:$E$998,"&lt;&gt;死卵",数据!$F$3:$F$998,A984,数据!$G$3:$G$998,B984))</f>
        <v/>
      </c>
      <c r="P984" s="31"/>
      <c r="Q984">
        <f>SUMIFS(数据!$D$3:$D$998,数据!$E$3:$E$998,"鱼卵",数据!$F$3:$F$998,A984,数据!$G$3:$G$998,B984)</f>
        <v>0</v>
      </c>
      <c r="R984">
        <f>SUMIFS(数据!$D$3:$D$998,数据!$E$3:$E$998,"死卵",数据!$F$3:$F$998,A984,数据!$G$3:$G$998,B984)</f>
        <v>0</v>
      </c>
      <c r="S984">
        <f>SUMIFS(数据!$D$3:$D$998,数据!$E$3:$E$998,"前期仔鱼",数据!$F$3:$F$998,A984,数据!$G$3:$G$998,B984)</f>
        <v>0</v>
      </c>
      <c r="T984">
        <f>SUMIFS(数据!$D$3:$D$998,数据!$E$3:$E$998,"仔鱼",数据!$F$3:$F$998,A984,数据!$G$3:$G$998,B984)</f>
        <v>0</v>
      </c>
      <c r="U984">
        <f>SUMIFS(数据!$D$3:$D$998,数据!$E$3:$E$998,"稚鱼",数据!$F$3:$F$998,A984,数据!$G$3:$G$998,B984)</f>
        <v>0</v>
      </c>
    </row>
    <row r="985" spans="1:21" ht="19.9" customHeigh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45" t="str">
        <f t="shared" si="30"/>
        <v/>
      </c>
      <c r="M985" s="45" t="str">
        <f t="shared" si="31"/>
        <v/>
      </c>
      <c r="N985" s="39" t="str">
        <f>IF(AND(A985="",B985=""),"",COUNTIFS(数据!$E$3:$E$998,"&lt;&gt;前期仔鱼",数据!$E$3:$E$998,"&lt;&gt;仔鱼",数据!$E$3:$E$998,"&lt;&gt;稚鱼",数据!$F$3:$F$998,A985,数据!$G$3:$G$998,B985))</f>
        <v/>
      </c>
      <c r="O985" s="39" t="str">
        <f>IF(AND(A985="",B985=""),"",COUNTIFS(数据!$E$3:$E$998,"&lt;&gt;鱼卵",数据!$E$3:$E$998,"&lt;&gt;死卵",数据!$F$3:$F$998,A985,数据!$G$3:$G$998,B985))</f>
        <v/>
      </c>
      <c r="P985" s="31"/>
      <c r="Q985">
        <f>SUMIFS(数据!$D$3:$D$998,数据!$E$3:$E$998,"鱼卵",数据!$F$3:$F$998,A985,数据!$G$3:$G$998,B985)</f>
        <v>0</v>
      </c>
      <c r="R985">
        <f>SUMIFS(数据!$D$3:$D$998,数据!$E$3:$E$998,"死卵",数据!$F$3:$F$998,A985,数据!$G$3:$G$998,B985)</f>
        <v>0</v>
      </c>
      <c r="S985">
        <f>SUMIFS(数据!$D$3:$D$998,数据!$E$3:$E$998,"前期仔鱼",数据!$F$3:$F$998,A985,数据!$G$3:$G$998,B985)</f>
        <v>0</v>
      </c>
      <c r="T985">
        <f>SUMIFS(数据!$D$3:$D$998,数据!$E$3:$E$998,"仔鱼",数据!$F$3:$F$998,A985,数据!$G$3:$G$998,B985)</f>
        <v>0</v>
      </c>
      <c r="U985">
        <f>SUMIFS(数据!$D$3:$D$998,数据!$E$3:$E$998,"稚鱼",数据!$F$3:$F$998,A985,数据!$G$3:$G$998,B985)</f>
        <v>0</v>
      </c>
    </row>
    <row r="986" spans="1:21" ht="19.9" customHeigh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45" t="str">
        <f t="shared" si="30"/>
        <v/>
      </c>
      <c r="M986" s="45" t="str">
        <f t="shared" si="31"/>
        <v/>
      </c>
      <c r="N986" s="39" t="str">
        <f>IF(AND(A986="",B986=""),"",COUNTIFS(数据!$E$3:$E$998,"&lt;&gt;前期仔鱼",数据!$E$3:$E$998,"&lt;&gt;仔鱼",数据!$E$3:$E$998,"&lt;&gt;稚鱼",数据!$F$3:$F$998,A986,数据!$G$3:$G$998,B986))</f>
        <v/>
      </c>
      <c r="O986" s="39" t="str">
        <f>IF(AND(A986="",B986=""),"",COUNTIFS(数据!$E$3:$E$998,"&lt;&gt;鱼卵",数据!$E$3:$E$998,"&lt;&gt;死卵",数据!$F$3:$F$998,A986,数据!$G$3:$G$998,B986))</f>
        <v/>
      </c>
      <c r="P986" s="31"/>
      <c r="Q986">
        <f>SUMIFS(数据!$D$3:$D$998,数据!$E$3:$E$998,"鱼卵",数据!$F$3:$F$998,A986,数据!$G$3:$G$998,B986)</f>
        <v>0</v>
      </c>
      <c r="R986">
        <f>SUMIFS(数据!$D$3:$D$998,数据!$E$3:$E$998,"死卵",数据!$F$3:$F$998,A986,数据!$G$3:$G$998,B986)</f>
        <v>0</v>
      </c>
      <c r="S986">
        <f>SUMIFS(数据!$D$3:$D$998,数据!$E$3:$E$998,"前期仔鱼",数据!$F$3:$F$998,A986,数据!$G$3:$G$998,B986)</f>
        <v>0</v>
      </c>
      <c r="T986">
        <f>SUMIFS(数据!$D$3:$D$998,数据!$E$3:$E$998,"仔鱼",数据!$F$3:$F$998,A986,数据!$G$3:$G$998,B986)</f>
        <v>0</v>
      </c>
      <c r="U986">
        <f>SUMIFS(数据!$D$3:$D$998,数据!$E$3:$E$998,"稚鱼",数据!$F$3:$F$998,A986,数据!$G$3:$G$998,B986)</f>
        <v>0</v>
      </c>
    </row>
    <row r="987" spans="1:21" ht="19.9" customHeigh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45" t="str">
        <f t="shared" si="30"/>
        <v/>
      </c>
      <c r="M987" s="45" t="str">
        <f t="shared" si="31"/>
        <v/>
      </c>
      <c r="N987" s="39" t="str">
        <f>IF(AND(A987="",B987=""),"",COUNTIFS(数据!$E$3:$E$998,"&lt;&gt;前期仔鱼",数据!$E$3:$E$998,"&lt;&gt;仔鱼",数据!$E$3:$E$998,"&lt;&gt;稚鱼",数据!$F$3:$F$998,A987,数据!$G$3:$G$998,B987))</f>
        <v/>
      </c>
      <c r="O987" s="39" t="str">
        <f>IF(AND(A987="",B987=""),"",COUNTIFS(数据!$E$3:$E$998,"&lt;&gt;鱼卵",数据!$E$3:$E$998,"&lt;&gt;死卵",数据!$F$3:$F$998,A987,数据!$G$3:$G$998,B987))</f>
        <v/>
      </c>
      <c r="P987" s="31"/>
      <c r="Q987">
        <f>SUMIFS(数据!$D$3:$D$998,数据!$E$3:$E$998,"鱼卵",数据!$F$3:$F$998,A987,数据!$G$3:$G$998,B987)</f>
        <v>0</v>
      </c>
      <c r="R987">
        <f>SUMIFS(数据!$D$3:$D$998,数据!$E$3:$E$998,"死卵",数据!$F$3:$F$998,A987,数据!$G$3:$G$998,B987)</f>
        <v>0</v>
      </c>
      <c r="S987">
        <f>SUMIFS(数据!$D$3:$D$998,数据!$E$3:$E$998,"前期仔鱼",数据!$F$3:$F$998,A987,数据!$G$3:$G$998,B987)</f>
        <v>0</v>
      </c>
      <c r="T987">
        <f>SUMIFS(数据!$D$3:$D$998,数据!$E$3:$E$998,"仔鱼",数据!$F$3:$F$998,A987,数据!$G$3:$G$998,B987)</f>
        <v>0</v>
      </c>
      <c r="U987">
        <f>SUMIFS(数据!$D$3:$D$998,数据!$E$3:$E$998,"稚鱼",数据!$F$3:$F$998,A987,数据!$G$3:$G$998,B987)</f>
        <v>0</v>
      </c>
    </row>
    <row r="988" spans="1:21" ht="19.9" customHeigh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45" t="str">
        <f t="shared" si="30"/>
        <v/>
      </c>
      <c r="M988" s="45" t="str">
        <f t="shared" si="31"/>
        <v/>
      </c>
      <c r="N988" s="39" t="str">
        <f>IF(AND(A988="",B988=""),"",COUNTIFS(数据!$E$3:$E$998,"&lt;&gt;前期仔鱼",数据!$E$3:$E$998,"&lt;&gt;仔鱼",数据!$E$3:$E$998,"&lt;&gt;稚鱼",数据!$F$3:$F$998,A988,数据!$G$3:$G$998,B988))</f>
        <v/>
      </c>
      <c r="O988" s="39" t="str">
        <f>IF(AND(A988="",B988=""),"",COUNTIFS(数据!$E$3:$E$998,"&lt;&gt;鱼卵",数据!$E$3:$E$998,"&lt;&gt;死卵",数据!$F$3:$F$998,A988,数据!$G$3:$G$998,B988))</f>
        <v/>
      </c>
      <c r="P988" s="31"/>
      <c r="Q988">
        <f>SUMIFS(数据!$D$3:$D$998,数据!$E$3:$E$998,"鱼卵",数据!$F$3:$F$998,A988,数据!$G$3:$G$998,B988)</f>
        <v>0</v>
      </c>
      <c r="R988">
        <f>SUMIFS(数据!$D$3:$D$998,数据!$E$3:$E$998,"死卵",数据!$F$3:$F$998,A988,数据!$G$3:$G$998,B988)</f>
        <v>0</v>
      </c>
      <c r="S988">
        <f>SUMIFS(数据!$D$3:$D$998,数据!$E$3:$E$998,"前期仔鱼",数据!$F$3:$F$998,A988,数据!$G$3:$G$998,B988)</f>
        <v>0</v>
      </c>
      <c r="T988">
        <f>SUMIFS(数据!$D$3:$D$998,数据!$E$3:$E$998,"仔鱼",数据!$F$3:$F$998,A988,数据!$G$3:$G$998,B988)</f>
        <v>0</v>
      </c>
      <c r="U988">
        <f>SUMIFS(数据!$D$3:$D$998,数据!$E$3:$E$998,"稚鱼",数据!$F$3:$F$998,A988,数据!$G$3:$G$998,B988)</f>
        <v>0</v>
      </c>
    </row>
    <row r="989" spans="1:21" ht="19.9" customHeigh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45" t="str">
        <f t="shared" si="30"/>
        <v/>
      </c>
      <c r="M989" s="45" t="str">
        <f t="shared" si="31"/>
        <v/>
      </c>
      <c r="N989" s="39" t="str">
        <f>IF(AND(A989="",B989=""),"",COUNTIFS(数据!$E$3:$E$998,"&lt;&gt;前期仔鱼",数据!$E$3:$E$998,"&lt;&gt;仔鱼",数据!$E$3:$E$998,"&lt;&gt;稚鱼",数据!$F$3:$F$998,A989,数据!$G$3:$G$998,B989))</f>
        <v/>
      </c>
      <c r="O989" s="39" t="str">
        <f>IF(AND(A989="",B989=""),"",COUNTIFS(数据!$E$3:$E$998,"&lt;&gt;鱼卵",数据!$E$3:$E$998,"&lt;&gt;死卵",数据!$F$3:$F$998,A989,数据!$G$3:$G$998,B989))</f>
        <v/>
      </c>
      <c r="P989" s="31"/>
      <c r="Q989">
        <f>SUMIFS(数据!$D$3:$D$998,数据!$E$3:$E$998,"鱼卵",数据!$F$3:$F$998,A989,数据!$G$3:$G$998,B989)</f>
        <v>0</v>
      </c>
      <c r="R989">
        <f>SUMIFS(数据!$D$3:$D$998,数据!$E$3:$E$998,"死卵",数据!$F$3:$F$998,A989,数据!$G$3:$G$998,B989)</f>
        <v>0</v>
      </c>
      <c r="S989">
        <f>SUMIFS(数据!$D$3:$D$998,数据!$E$3:$E$998,"前期仔鱼",数据!$F$3:$F$998,A989,数据!$G$3:$G$998,B989)</f>
        <v>0</v>
      </c>
      <c r="T989">
        <f>SUMIFS(数据!$D$3:$D$998,数据!$E$3:$E$998,"仔鱼",数据!$F$3:$F$998,A989,数据!$G$3:$G$998,B989)</f>
        <v>0</v>
      </c>
      <c r="U989">
        <f>SUMIFS(数据!$D$3:$D$998,数据!$E$3:$E$998,"稚鱼",数据!$F$3:$F$998,A989,数据!$G$3:$G$998,B989)</f>
        <v>0</v>
      </c>
    </row>
    <row r="990" spans="1:21" ht="19.9" customHeigh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45" t="str">
        <f t="shared" si="30"/>
        <v/>
      </c>
      <c r="M990" s="45" t="str">
        <f t="shared" si="31"/>
        <v/>
      </c>
      <c r="N990" s="39" t="str">
        <f>IF(AND(A990="",B990=""),"",COUNTIFS(数据!$E$3:$E$998,"&lt;&gt;前期仔鱼",数据!$E$3:$E$998,"&lt;&gt;仔鱼",数据!$E$3:$E$998,"&lt;&gt;稚鱼",数据!$F$3:$F$998,A990,数据!$G$3:$G$998,B990))</f>
        <v/>
      </c>
      <c r="O990" s="39" t="str">
        <f>IF(AND(A990="",B990=""),"",COUNTIFS(数据!$E$3:$E$998,"&lt;&gt;鱼卵",数据!$E$3:$E$998,"&lt;&gt;死卵",数据!$F$3:$F$998,A990,数据!$G$3:$G$998,B990))</f>
        <v/>
      </c>
      <c r="P990" s="31"/>
      <c r="Q990">
        <f>SUMIFS(数据!$D$3:$D$998,数据!$E$3:$E$998,"鱼卵",数据!$F$3:$F$998,A990,数据!$G$3:$G$998,B990)</f>
        <v>0</v>
      </c>
      <c r="R990">
        <f>SUMIFS(数据!$D$3:$D$998,数据!$E$3:$E$998,"死卵",数据!$F$3:$F$998,A990,数据!$G$3:$G$998,B990)</f>
        <v>0</v>
      </c>
      <c r="S990">
        <f>SUMIFS(数据!$D$3:$D$998,数据!$E$3:$E$998,"前期仔鱼",数据!$F$3:$F$998,A990,数据!$G$3:$G$998,B990)</f>
        <v>0</v>
      </c>
      <c r="T990">
        <f>SUMIFS(数据!$D$3:$D$998,数据!$E$3:$E$998,"仔鱼",数据!$F$3:$F$998,A990,数据!$G$3:$G$998,B990)</f>
        <v>0</v>
      </c>
      <c r="U990">
        <f>SUMIFS(数据!$D$3:$D$998,数据!$E$3:$E$998,"稚鱼",数据!$F$3:$F$998,A990,数据!$G$3:$G$998,B990)</f>
        <v>0</v>
      </c>
    </row>
    <row r="991" spans="1:21" ht="19.9" customHeigh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45" t="str">
        <f t="shared" si="30"/>
        <v/>
      </c>
      <c r="M991" s="45" t="str">
        <f t="shared" si="31"/>
        <v/>
      </c>
      <c r="N991" s="39" t="str">
        <f>IF(AND(A991="",B991=""),"",COUNTIFS(数据!$E$3:$E$998,"&lt;&gt;前期仔鱼",数据!$E$3:$E$998,"&lt;&gt;仔鱼",数据!$E$3:$E$998,"&lt;&gt;稚鱼",数据!$F$3:$F$998,A991,数据!$G$3:$G$998,B991))</f>
        <v/>
      </c>
      <c r="O991" s="39" t="str">
        <f>IF(AND(A991="",B991=""),"",COUNTIFS(数据!$E$3:$E$998,"&lt;&gt;鱼卵",数据!$E$3:$E$998,"&lt;&gt;死卵",数据!$F$3:$F$998,A991,数据!$G$3:$G$998,B991))</f>
        <v/>
      </c>
      <c r="P991" s="31"/>
      <c r="Q991">
        <f>SUMIFS(数据!$D$3:$D$998,数据!$E$3:$E$998,"鱼卵",数据!$F$3:$F$998,A991,数据!$G$3:$G$998,B991)</f>
        <v>0</v>
      </c>
      <c r="R991">
        <f>SUMIFS(数据!$D$3:$D$998,数据!$E$3:$E$998,"死卵",数据!$F$3:$F$998,A991,数据!$G$3:$G$998,B991)</f>
        <v>0</v>
      </c>
      <c r="S991">
        <f>SUMIFS(数据!$D$3:$D$998,数据!$E$3:$E$998,"前期仔鱼",数据!$F$3:$F$998,A991,数据!$G$3:$G$998,B991)</f>
        <v>0</v>
      </c>
      <c r="T991">
        <f>SUMIFS(数据!$D$3:$D$998,数据!$E$3:$E$998,"仔鱼",数据!$F$3:$F$998,A991,数据!$G$3:$G$998,B991)</f>
        <v>0</v>
      </c>
      <c r="U991">
        <f>SUMIFS(数据!$D$3:$D$998,数据!$E$3:$E$998,"稚鱼",数据!$F$3:$F$998,A991,数据!$G$3:$G$998,B991)</f>
        <v>0</v>
      </c>
    </row>
    <row r="992" spans="1:21" ht="19.9" customHeigh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45" t="str">
        <f t="shared" si="30"/>
        <v/>
      </c>
      <c r="M992" s="45" t="str">
        <f t="shared" si="31"/>
        <v/>
      </c>
      <c r="N992" s="39" t="str">
        <f>IF(AND(A992="",B992=""),"",COUNTIFS(数据!$E$3:$E$998,"&lt;&gt;前期仔鱼",数据!$E$3:$E$998,"&lt;&gt;仔鱼",数据!$E$3:$E$998,"&lt;&gt;稚鱼",数据!$F$3:$F$998,A992,数据!$G$3:$G$998,B992))</f>
        <v/>
      </c>
      <c r="O992" s="39" t="str">
        <f>IF(AND(A992="",B992=""),"",COUNTIFS(数据!$E$3:$E$998,"&lt;&gt;鱼卵",数据!$E$3:$E$998,"&lt;&gt;死卵",数据!$F$3:$F$998,A992,数据!$G$3:$G$998,B992))</f>
        <v/>
      </c>
      <c r="P992" s="31"/>
      <c r="Q992">
        <f>SUMIFS(数据!$D$3:$D$998,数据!$E$3:$E$998,"鱼卵",数据!$F$3:$F$998,A992,数据!$G$3:$G$998,B992)</f>
        <v>0</v>
      </c>
      <c r="R992">
        <f>SUMIFS(数据!$D$3:$D$998,数据!$E$3:$E$998,"死卵",数据!$F$3:$F$998,A992,数据!$G$3:$G$998,B992)</f>
        <v>0</v>
      </c>
      <c r="S992">
        <f>SUMIFS(数据!$D$3:$D$998,数据!$E$3:$E$998,"前期仔鱼",数据!$F$3:$F$998,A992,数据!$G$3:$G$998,B992)</f>
        <v>0</v>
      </c>
      <c r="T992">
        <f>SUMIFS(数据!$D$3:$D$998,数据!$E$3:$E$998,"仔鱼",数据!$F$3:$F$998,A992,数据!$G$3:$G$998,B992)</f>
        <v>0</v>
      </c>
      <c r="U992">
        <f>SUMIFS(数据!$D$3:$D$998,数据!$E$3:$E$998,"稚鱼",数据!$F$3:$F$998,A992,数据!$G$3:$G$998,B992)</f>
        <v>0</v>
      </c>
    </row>
    <row r="993" spans="1:21" ht="19.9" customHeigh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45" t="str">
        <f t="shared" si="30"/>
        <v/>
      </c>
      <c r="M993" s="45" t="str">
        <f t="shared" si="31"/>
        <v/>
      </c>
      <c r="N993" s="39" t="str">
        <f>IF(AND(A993="",B993=""),"",COUNTIFS(数据!$E$3:$E$998,"&lt;&gt;前期仔鱼",数据!$E$3:$E$998,"&lt;&gt;仔鱼",数据!$E$3:$E$998,"&lt;&gt;稚鱼",数据!$F$3:$F$998,A993,数据!$G$3:$G$998,B993))</f>
        <v/>
      </c>
      <c r="O993" s="39" t="str">
        <f>IF(AND(A993="",B993=""),"",COUNTIFS(数据!$E$3:$E$998,"&lt;&gt;鱼卵",数据!$E$3:$E$998,"&lt;&gt;死卵",数据!$F$3:$F$998,A993,数据!$G$3:$G$998,B993))</f>
        <v/>
      </c>
      <c r="P993" s="31"/>
      <c r="Q993">
        <f>SUMIFS(数据!$D$3:$D$998,数据!$E$3:$E$998,"鱼卵",数据!$F$3:$F$998,A993,数据!$G$3:$G$998,B993)</f>
        <v>0</v>
      </c>
      <c r="R993">
        <f>SUMIFS(数据!$D$3:$D$998,数据!$E$3:$E$998,"死卵",数据!$F$3:$F$998,A993,数据!$G$3:$G$998,B993)</f>
        <v>0</v>
      </c>
      <c r="S993">
        <f>SUMIFS(数据!$D$3:$D$998,数据!$E$3:$E$998,"前期仔鱼",数据!$F$3:$F$998,A993,数据!$G$3:$G$998,B993)</f>
        <v>0</v>
      </c>
      <c r="T993">
        <f>SUMIFS(数据!$D$3:$D$998,数据!$E$3:$E$998,"仔鱼",数据!$F$3:$F$998,A993,数据!$G$3:$G$998,B993)</f>
        <v>0</v>
      </c>
      <c r="U993">
        <f>SUMIFS(数据!$D$3:$D$998,数据!$E$3:$E$998,"稚鱼",数据!$F$3:$F$998,A993,数据!$G$3:$G$998,B993)</f>
        <v>0</v>
      </c>
    </row>
    <row r="994" spans="1:21" ht="19.9" customHeigh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45" t="str">
        <f t="shared" si="30"/>
        <v/>
      </c>
      <c r="M994" s="45" t="str">
        <f t="shared" si="31"/>
        <v/>
      </c>
      <c r="N994" s="39" t="str">
        <f>IF(AND(A994="",B994=""),"",COUNTIFS(数据!$E$3:$E$998,"&lt;&gt;前期仔鱼",数据!$E$3:$E$998,"&lt;&gt;仔鱼",数据!$E$3:$E$998,"&lt;&gt;稚鱼",数据!$F$3:$F$998,A994,数据!$G$3:$G$998,B994))</f>
        <v/>
      </c>
      <c r="O994" s="39" t="str">
        <f>IF(AND(A994="",B994=""),"",COUNTIFS(数据!$E$3:$E$998,"&lt;&gt;鱼卵",数据!$E$3:$E$998,"&lt;&gt;死卵",数据!$F$3:$F$998,A994,数据!$G$3:$G$998,B994))</f>
        <v/>
      </c>
      <c r="P994" s="31"/>
      <c r="Q994">
        <f>SUMIFS(数据!$D$3:$D$998,数据!$E$3:$E$998,"鱼卵",数据!$F$3:$F$998,A994,数据!$G$3:$G$998,B994)</f>
        <v>0</v>
      </c>
      <c r="R994">
        <f>SUMIFS(数据!$D$3:$D$998,数据!$E$3:$E$998,"死卵",数据!$F$3:$F$998,A994,数据!$G$3:$G$998,B994)</f>
        <v>0</v>
      </c>
      <c r="S994">
        <f>SUMIFS(数据!$D$3:$D$998,数据!$E$3:$E$998,"前期仔鱼",数据!$F$3:$F$998,A994,数据!$G$3:$G$998,B994)</f>
        <v>0</v>
      </c>
      <c r="T994">
        <f>SUMIFS(数据!$D$3:$D$998,数据!$E$3:$E$998,"仔鱼",数据!$F$3:$F$998,A994,数据!$G$3:$G$998,B994)</f>
        <v>0</v>
      </c>
      <c r="U994">
        <f>SUMIFS(数据!$D$3:$D$998,数据!$E$3:$E$998,"稚鱼",数据!$F$3:$F$998,A994,数据!$G$3:$G$998,B994)</f>
        <v>0</v>
      </c>
    </row>
    <row r="995" spans="1:21" ht="19.9" customHeigh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45" t="str">
        <f t="shared" si="30"/>
        <v/>
      </c>
      <c r="M995" s="45" t="str">
        <f t="shared" si="31"/>
        <v/>
      </c>
      <c r="N995" s="39" t="str">
        <f>IF(AND(A995="",B995=""),"",COUNTIFS(数据!$E$3:$E$998,"&lt;&gt;前期仔鱼",数据!$E$3:$E$998,"&lt;&gt;仔鱼",数据!$E$3:$E$998,"&lt;&gt;稚鱼",数据!$F$3:$F$998,A995,数据!$G$3:$G$998,B995))</f>
        <v/>
      </c>
      <c r="O995" s="39" t="str">
        <f>IF(AND(A995="",B995=""),"",COUNTIFS(数据!$E$3:$E$998,"&lt;&gt;鱼卵",数据!$E$3:$E$998,"&lt;&gt;死卵",数据!$F$3:$F$998,A995,数据!$G$3:$G$998,B995))</f>
        <v/>
      </c>
      <c r="P995" s="31"/>
      <c r="Q995">
        <f>SUMIFS(数据!$D$3:$D$998,数据!$E$3:$E$998,"鱼卵",数据!$F$3:$F$998,A995,数据!$G$3:$G$998,B995)</f>
        <v>0</v>
      </c>
      <c r="R995">
        <f>SUMIFS(数据!$D$3:$D$998,数据!$E$3:$E$998,"死卵",数据!$F$3:$F$998,A995,数据!$G$3:$G$998,B995)</f>
        <v>0</v>
      </c>
      <c r="S995">
        <f>SUMIFS(数据!$D$3:$D$998,数据!$E$3:$E$998,"前期仔鱼",数据!$F$3:$F$998,A995,数据!$G$3:$G$998,B995)</f>
        <v>0</v>
      </c>
      <c r="T995">
        <f>SUMIFS(数据!$D$3:$D$998,数据!$E$3:$E$998,"仔鱼",数据!$F$3:$F$998,A995,数据!$G$3:$G$998,B995)</f>
        <v>0</v>
      </c>
      <c r="U995">
        <f>SUMIFS(数据!$D$3:$D$998,数据!$E$3:$E$998,"稚鱼",数据!$F$3:$F$998,A995,数据!$G$3:$G$998,B995)</f>
        <v>0</v>
      </c>
    </row>
    <row r="996" spans="1:21" ht="19.9" customHeigh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45" t="str">
        <f t="shared" si="30"/>
        <v/>
      </c>
      <c r="M996" s="45" t="str">
        <f t="shared" si="31"/>
        <v/>
      </c>
      <c r="N996" s="39" t="str">
        <f>IF(AND(A996="",B996=""),"",COUNTIFS(数据!$E$3:$E$998,"&lt;&gt;前期仔鱼",数据!$E$3:$E$998,"&lt;&gt;仔鱼",数据!$E$3:$E$998,"&lt;&gt;稚鱼",数据!$F$3:$F$998,A996,数据!$G$3:$G$998,B996))</f>
        <v/>
      </c>
      <c r="O996" s="39" t="str">
        <f>IF(AND(A996="",B996=""),"",COUNTIFS(数据!$E$3:$E$998,"&lt;&gt;鱼卵",数据!$E$3:$E$998,"&lt;&gt;死卵",数据!$F$3:$F$998,A996,数据!$G$3:$G$998,B996))</f>
        <v/>
      </c>
      <c r="P996" s="31"/>
      <c r="Q996">
        <f>SUMIFS(数据!$D$3:$D$998,数据!$E$3:$E$998,"鱼卵",数据!$F$3:$F$998,A996,数据!$G$3:$G$998,B996)</f>
        <v>0</v>
      </c>
      <c r="R996">
        <f>SUMIFS(数据!$D$3:$D$998,数据!$E$3:$E$998,"死卵",数据!$F$3:$F$998,A996,数据!$G$3:$G$998,B996)</f>
        <v>0</v>
      </c>
      <c r="S996">
        <f>SUMIFS(数据!$D$3:$D$998,数据!$E$3:$E$998,"前期仔鱼",数据!$F$3:$F$998,A996,数据!$G$3:$G$998,B996)</f>
        <v>0</v>
      </c>
      <c r="T996">
        <f>SUMIFS(数据!$D$3:$D$998,数据!$E$3:$E$998,"仔鱼",数据!$F$3:$F$998,A996,数据!$G$3:$G$998,B996)</f>
        <v>0</v>
      </c>
      <c r="U996">
        <f>SUMIFS(数据!$D$3:$D$998,数据!$E$3:$E$998,"稚鱼",数据!$F$3:$F$998,A996,数据!$G$3:$G$998,B996)</f>
        <v>0</v>
      </c>
    </row>
    <row r="997" spans="1:21" ht="19.9" customHeigh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45" t="str">
        <f t="shared" si="30"/>
        <v/>
      </c>
      <c r="M997" s="45" t="str">
        <f t="shared" si="31"/>
        <v/>
      </c>
      <c r="N997" s="39" t="str">
        <f>IF(AND(A997="",B997=""),"",COUNTIFS(数据!$E$3:$E$998,"&lt;&gt;前期仔鱼",数据!$E$3:$E$998,"&lt;&gt;仔鱼",数据!$E$3:$E$998,"&lt;&gt;稚鱼",数据!$F$3:$F$998,A997,数据!$G$3:$G$998,B997))</f>
        <v/>
      </c>
      <c r="O997" s="39" t="str">
        <f>IF(AND(A997="",B997=""),"",COUNTIFS(数据!$E$3:$E$998,"&lt;&gt;鱼卵",数据!$E$3:$E$998,"&lt;&gt;死卵",数据!$F$3:$F$998,A997,数据!$G$3:$G$998,B997))</f>
        <v/>
      </c>
      <c r="P997" s="31"/>
      <c r="Q997">
        <f>SUMIFS(数据!$D$3:$D$998,数据!$E$3:$E$998,"鱼卵",数据!$F$3:$F$998,A997,数据!$G$3:$G$998,B997)</f>
        <v>0</v>
      </c>
      <c r="R997">
        <f>SUMIFS(数据!$D$3:$D$998,数据!$E$3:$E$998,"死卵",数据!$F$3:$F$998,A997,数据!$G$3:$G$998,B997)</f>
        <v>0</v>
      </c>
      <c r="S997">
        <f>SUMIFS(数据!$D$3:$D$998,数据!$E$3:$E$998,"前期仔鱼",数据!$F$3:$F$998,A997,数据!$G$3:$G$998,B997)</f>
        <v>0</v>
      </c>
      <c r="T997">
        <f>SUMIFS(数据!$D$3:$D$998,数据!$E$3:$E$998,"仔鱼",数据!$F$3:$F$998,A997,数据!$G$3:$G$998,B997)</f>
        <v>0</v>
      </c>
      <c r="U997">
        <f>SUMIFS(数据!$D$3:$D$998,数据!$E$3:$E$998,"稚鱼",数据!$F$3:$F$998,A997,数据!$G$3:$G$998,B997)</f>
        <v>0</v>
      </c>
    </row>
    <row r="998" spans="1:21" ht="19.9" customHeigh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45" t="str">
        <f t="shared" si="30"/>
        <v/>
      </c>
      <c r="M998" s="45" t="str">
        <f t="shared" si="31"/>
        <v/>
      </c>
      <c r="N998" s="39" t="str">
        <f>IF(AND(A998="",B998=""),"",COUNTIFS(数据!$E$3:$E$998,"&lt;&gt;前期仔鱼",数据!$E$3:$E$998,"&lt;&gt;仔鱼",数据!$E$3:$E$998,"&lt;&gt;稚鱼",数据!$F$3:$F$998,A998,数据!$G$3:$G$998,B998))</f>
        <v/>
      </c>
      <c r="O998" s="39" t="str">
        <f>IF(AND(A998="",B998=""),"",COUNTIFS(数据!$E$3:$E$998,"&lt;&gt;鱼卵",数据!$E$3:$E$998,"&lt;&gt;死卵",数据!$F$3:$F$998,A998,数据!$G$3:$G$998,B998))</f>
        <v/>
      </c>
      <c r="P998" s="31"/>
      <c r="Q998">
        <f>SUMIFS(数据!$D$3:$D$998,数据!$E$3:$E$998,"鱼卵",数据!$F$3:$F$998,A998,数据!$G$3:$G$998,B998)</f>
        <v>0</v>
      </c>
      <c r="R998">
        <f>SUMIFS(数据!$D$3:$D$998,数据!$E$3:$E$998,"死卵",数据!$F$3:$F$998,A998,数据!$G$3:$G$998,B998)</f>
        <v>0</v>
      </c>
      <c r="S998">
        <f>SUMIFS(数据!$D$3:$D$998,数据!$E$3:$E$998,"前期仔鱼",数据!$F$3:$F$998,A998,数据!$G$3:$G$998,B998)</f>
        <v>0</v>
      </c>
      <c r="T998">
        <f>SUMIFS(数据!$D$3:$D$998,数据!$E$3:$E$998,"仔鱼",数据!$F$3:$F$998,A998,数据!$G$3:$G$998,B998)</f>
        <v>0</v>
      </c>
      <c r="U998">
        <f>SUMIFS(数据!$D$3:$D$998,数据!$E$3:$E$998,"稚鱼",数据!$F$3:$F$998,A998,数据!$G$3:$G$998,B998)</f>
        <v>0</v>
      </c>
    </row>
    <row r="999" spans="1:21" ht="19.9" customHeigh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45" t="str">
        <f t="shared" si="30"/>
        <v/>
      </c>
      <c r="M999" s="45" t="str">
        <f t="shared" si="31"/>
        <v/>
      </c>
      <c r="N999" s="39" t="str">
        <f>IF(AND(A999="",B999=""),"",COUNTIFS(数据!$E$3:$E$998,"&lt;&gt;前期仔鱼",数据!$E$3:$E$998,"&lt;&gt;仔鱼",数据!$E$3:$E$998,"&lt;&gt;稚鱼",数据!$F$3:$F$998,A999,数据!$G$3:$G$998,B999))</f>
        <v/>
      </c>
      <c r="O999" s="39" t="str">
        <f>IF(AND(A999="",B999=""),"",COUNTIFS(数据!$E$3:$E$998,"&lt;&gt;鱼卵",数据!$E$3:$E$998,"&lt;&gt;死卵",数据!$F$3:$F$998,A999,数据!$G$3:$G$998,B999))</f>
        <v/>
      </c>
      <c r="P999" s="31"/>
      <c r="Q999">
        <f>SUMIFS(数据!$D$3:$D$998,数据!$E$3:$E$998,"鱼卵",数据!$F$3:$F$998,A999,数据!$G$3:$G$998,B999)</f>
        <v>0</v>
      </c>
      <c r="R999">
        <f>SUMIFS(数据!$D$3:$D$998,数据!$E$3:$E$998,"死卵",数据!$F$3:$F$998,A999,数据!$G$3:$G$998,B999)</f>
        <v>0</v>
      </c>
      <c r="S999">
        <f>SUMIFS(数据!$D$3:$D$998,数据!$E$3:$E$998,"前期仔鱼",数据!$F$3:$F$998,A999,数据!$G$3:$G$998,B999)</f>
        <v>0</v>
      </c>
      <c r="T999">
        <f>SUMIFS(数据!$D$3:$D$998,数据!$E$3:$E$998,"仔鱼",数据!$F$3:$F$998,A999,数据!$G$3:$G$998,B999)</f>
        <v>0</v>
      </c>
      <c r="U999">
        <f>SUMIFS(数据!$D$3:$D$998,数据!$E$3:$E$998,"稚鱼",数据!$F$3:$F$998,A999,数据!$G$3:$G$998,B999)</f>
        <v>0</v>
      </c>
    </row>
  </sheetData>
  <sheetProtection formatCells="0" formatColumns="0" formatRows="0" sort="0" autoFilter="0" pivotTables="0"/>
  <dataValidations count="1">
    <dataValidation type="list" allowBlank="1" showInputMessage="1" showErrorMessage="1" sqref="E3:E1048576">
      <formula1>"浅水Ⅰ型浮游生物网,浅水Ⅱ型浮游生物网,浅水Ⅲ型浮游生物网,小型浮游生物网,大型浮游生物网,WP2网"</formula1>
    </dataValidation>
  </dataValidations>
  <pageMargins left="0.7" right="0.7" top="0.75" bottom="0.75" header="0.3" footer="0.3"/>
  <pageSetup orientation="portrait" paperSize="9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882"/>
  <sheetViews>
    <sheetView zoomScale="130" zoomScaleNormal="130" workbookViewId="0" topLeftCell="A1682">
      <selection pane="topLeft" activeCell="C1691" sqref="C1691"/>
    </sheetView>
  </sheetViews>
  <sheetFormatPr defaultRowHeight="13.5"/>
  <cols>
    <col min="1" max="1" width="9" style="15"/>
    <col min="2" max="2" width="18.375" style="15" customWidth="1"/>
    <col min="3" max="3" width="9.25" style="15" customWidth="1"/>
    <col min="4" max="4" width="9" style="15"/>
    <col min="5" max="5" width="9.125" style="15" customWidth="1"/>
    <col min="6" max="6" width="11.375" style="15" customWidth="1"/>
    <col min="7" max="7" width="9.875" style="15" customWidth="1"/>
    <col min="8" max="8" width="9.125" style="15" customWidth="1"/>
    <col min="9" max="10" width="9" style="15"/>
    <col min="11" max="11" width="10.125" style="15" customWidth="1"/>
    <col min="12" max="12" width="10.5" style="15" customWidth="1"/>
  </cols>
  <sheetData>
    <row r="1" spans="1:12" ht="24" customHeight="1">
      <c r="A1" s="2" t="s">
        <v>10341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25.5" customHeight="1">
      <c r="A2" s="33" t="s">
        <v>10342</v>
      </c>
      <c r="B2" s="33" t="s">
        <v>10343</v>
      </c>
      <c r="C2" s="33" t="s">
        <v>10349</v>
      </c>
      <c r="D2" s="33" t="s">
        <v>10344</v>
      </c>
      <c r="E2" s="33" t="s">
        <v>10350</v>
      </c>
      <c r="F2" s="33" t="s">
        <v>10351</v>
      </c>
      <c r="G2" s="33" t="s">
        <v>10345</v>
      </c>
      <c r="H2" s="33" t="s">
        <v>10352</v>
      </c>
      <c r="I2" s="33" t="s">
        <v>10353</v>
      </c>
      <c r="J2" s="33" t="s">
        <v>10346</v>
      </c>
      <c r="K2" s="33" t="s">
        <v>10347</v>
      </c>
      <c r="L2" s="33" t="s">
        <v>10348</v>
      </c>
    </row>
    <row r="3" spans="1:12" ht="15">
      <c r="A3" s="35" t="s">
        <v>10354</v>
      </c>
      <c r="B3" s="35" t="s">
        <v>10</v>
      </c>
      <c r="C3" s="36" t="s">
        <v>11</v>
      </c>
      <c r="D3" s="35" t="s">
        <v>12</v>
      </c>
      <c r="E3" s="35" t="s">
        <v>10354</v>
      </c>
      <c r="F3" s="35" t="s">
        <v>10355</v>
      </c>
      <c r="G3" s="35">
        <v>10100</v>
      </c>
      <c r="H3" s="35">
        <v>100000</v>
      </c>
      <c r="I3" s="35">
        <v>100000</v>
      </c>
      <c r="J3" s="34"/>
      <c r="K3" s="34" t="str">
        <f t="shared" si="0" ref="K3:K66">IF(COUNTIF(C:C,C3)&gt;=2,"重复","不重复")</f>
        <v>重复</v>
      </c>
      <c r="L3" s="34" t="str">
        <f t="shared" si="1" ref="L3:L66">IF(COUNTIF(D:D,D3)&gt;=2,"重复","不重复")</f>
        <v>重复</v>
      </c>
    </row>
    <row r="4" spans="1:12" ht="15">
      <c r="A4" s="35" t="s">
        <v>10356</v>
      </c>
      <c r="B4" s="35" t="s">
        <v>13</v>
      </c>
      <c r="C4" s="36" t="s">
        <v>14</v>
      </c>
      <c r="D4" s="35" t="s">
        <v>15</v>
      </c>
      <c r="E4" s="35" t="s">
        <v>10356</v>
      </c>
      <c r="F4" s="35" t="s">
        <v>10357</v>
      </c>
      <c r="G4" s="35">
        <v>20100</v>
      </c>
      <c r="H4" s="35">
        <v>100001</v>
      </c>
      <c r="I4" s="35">
        <v>100001</v>
      </c>
      <c r="J4" s="34" t="s">
        <v>16</v>
      </c>
      <c r="K4" s="34" t="str">
        <f t="shared" si="0"/>
        <v>不重复</v>
      </c>
      <c r="L4" s="34" t="str">
        <f t="shared" si="1"/>
        <v>不重复</v>
      </c>
    </row>
    <row r="5" spans="1:12" ht="15">
      <c r="A5" s="35" t="s">
        <v>10358</v>
      </c>
      <c r="B5" s="35" t="s">
        <v>17</v>
      </c>
      <c r="C5" s="36" t="s">
        <v>18</v>
      </c>
      <c r="D5" s="35" t="s">
        <v>19</v>
      </c>
      <c r="E5" s="35" t="s">
        <v>10358</v>
      </c>
      <c r="F5" s="35" t="s">
        <v>10357</v>
      </c>
      <c r="G5" s="35">
        <v>20200</v>
      </c>
      <c r="H5" s="35">
        <v>100002</v>
      </c>
      <c r="I5" s="35">
        <v>100002</v>
      </c>
      <c r="J5" s="34" t="s">
        <v>16</v>
      </c>
      <c r="K5" s="34" t="str">
        <f t="shared" si="0"/>
        <v>重复</v>
      </c>
      <c r="L5" s="34" t="str">
        <f t="shared" si="1"/>
        <v>不重复</v>
      </c>
    </row>
    <row r="6" spans="1:12" ht="15">
      <c r="A6" s="35" t="s">
        <v>10359</v>
      </c>
      <c r="B6" s="35" t="s">
        <v>20</v>
      </c>
      <c r="C6" s="36" t="s">
        <v>21</v>
      </c>
      <c r="D6" s="35" t="s">
        <v>22</v>
      </c>
      <c r="E6" s="35" t="s">
        <v>10358</v>
      </c>
      <c r="F6" s="35" t="s">
        <v>10357</v>
      </c>
      <c r="G6" s="35">
        <v>20201</v>
      </c>
      <c r="H6" s="35">
        <v>100002</v>
      </c>
      <c r="I6" s="35">
        <v>100002</v>
      </c>
      <c r="J6" s="34" t="s">
        <v>23</v>
      </c>
      <c r="K6" s="34" t="str">
        <f t="shared" si="0"/>
        <v>不重复</v>
      </c>
      <c r="L6" s="34" t="str">
        <f t="shared" si="1"/>
        <v>不重复</v>
      </c>
    </row>
    <row r="7" spans="1:12" ht="15">
      <c r="A7" s="35" t="s">
        <v>10360</v>
      </c>
      <c r="B7" s="35" t="s">
        <v>24</v>
      </c>
      <c r="C7" s="36" t="s">
        <v>25</v>
      </c>
      <c r="D7" s="35" t="s">
        <v>26</v>
      </c>
      <c r="E7" s="35" t="s">
        <v>10358</v>
      </c>
      <c r="F7" s="35" t="s">
        <v>10357</v>
      </c>
      <c r="G7" s="35">
        <v>20202</v>
      </c>
      <c r="H7" s="35">
        <v>100002</v>
      </c>
      <c r="I7" s="35">
        <v>100002</v>
      </c>
      <c r="J7" s="34" t="s">
        <v>27</v>
      </c>
      <c r="K7" s="34" t="str">
        <f t="shared" si="0"/>
        <v>不重复</v>
      </c>
      <c r="L7" s="34" t="str">
        <f t="shared" si="1"/>
        <v>不重复</v>
      </c>
    </row>
    <row r="8" spans="1:12" ht="27">
      <c r="A8" s="35" t="s">
        <v>10361</v>
      </c>
      <c r="B8" s="35" t="s">
        <v>28</v>
      </c>
      <c r="C8" s="36" t="s">
        <v>29</v>
      </c>
      <c r="D8" s="35" t="s">
        <v>30</v>
      </c>
      <c r="E8" s="35" t="s">
        <v>10358</v>
      </c>
      <c r="F8" s="35" t="s">
        <v>10357</v>
      </c>
      <c r="G8" s="35">
        <v>20203</v>
      </c>
      <c r="H8" s="35">
        <v>100002</v>
      </c>
      <c r="I8" s="35">
        <v>100002</v>
      </c>
      <c r="J8" s="34" t="s">
        <v>31</v>
      </c>
      <c r="K8" s="34" t="str">
        <f t="shared" si="0"/>
        <v>不重复</v>
      </c>
      <c r="L8" s="34" t="str">
        <f t="shared" si="1"/>
        <v>重复</v>
      </c>
    </row>
    <row r="9" spans="1:12" ht="27">
      <c r="A9" s="35" t="s">
        <v>10362</v>
      </c>
      <c r="B9" s="35" t="s">
        <v>32</v>
      </c>
      <c r="C9" s="36" t="s">
        <v>33</v>
      </c>
      <c r="D9" s="35" t="s">
        <v>34</v>
      </c>
      <c r="E9" s="35" t="s">
        <v>10358</v>
      </c>
      <c r="F9" s="35" t="s">
        <v>10357</v>
      </c>
      <c r="G9" s="35">
        <v>20204</v>
      </c>
      <c r="H9" s="35">
        <v>100002</v>
      </c>
      <c r="I9" s="35">
        <v>100002</v>
      </c>
      <c r="J9" s="34" t="s">
        <v>31</v>
      </c>
      <c r="K9" s="34" t="str">
        <f t="shared" si="0"/>
        <v>不重复</v>
      </c>
      <c r="L9" s="34" t="str">
        <f t="shared" si="1"/>
        <v>不重复</v>
      </c>
    </row>
    <row r="10" spans="1:12" ht="27">
      <c r="A10" s="35" t="s">
        <v>10363</v>
      </c>
      <c r="B10" s="35" t="s">
        <v>35</v>
      </c>
      <c r="C10" s="36" t="s">
        <v>36</v>
      </c>
      <c r="D10" s="35" t="s">
        <v>37</v>
      </c>
      <c r="E10" s="35" t="s">
        <v>10358</v>
      </c>
      <c r="F10" s="35" t="s">
        <v>10357</v>
      </c>
      <c r="G10" s="35">
        <v>20205</v>
      </c>
      <c r="H10" s="35">
        <v>100002</v>
      </c>
      <c r="I10" s="35">
        <v>100002</v>
      </c>
      <c r="J10" s="34" t="s">
        <v>38</v>
      </c>
      <c r="K10" s="34" t="str">
        <f t="shared" si="0"/>
        <v>不重复</v>
      </c>
      <c r="L10" s="34" t="str">
        <f t="shared" si="1"/>
        <v>不重复</v>
      </c>
    </row>
    <row r="11" spans="1:12" ht="15">
      <c r="A11" s="35" t="s">
        <v>10364</v>
      </c>
      <c r="B11" s="35" t="s">
        <v>39</v>
      </c>
      <c r="C11" s="36" t="s">
        <v>40</v>
      </c>
      <c r="D11" s="35" t="s">
        <v>41</v>
      </c>
      <c r="E11" s="35" t="s">
        <v>10364</v>
      </c>
      <c r="F11" s="35" t="s">
        <v>10365</v>
      </c>
      <c r="G11" s="35">
        <v>30100</v>
      </c>
      <c r="H11" s="35">
        <v>100003</v>
      </c>
      <c r="I11" s="35">
        <v>100003</v>
      </c>
      <c r="J11" s="34" t="s">
        <v>16</v>
      </c>
      <c r="K11" s="34" t="str">
        <f t="shared" si="0"/>
        <v>重复</v>
      </c>
      <c r="L11" s="34" t="str">
        <f t="shared" si="1"/>
        <v>重复</v>
      </c>
    </row>
    <row r="12" spans="1:12" ht="27">
      <c r="A12" s="35" t="s">
        <v>10366</v>
      </c>
      <c r="B12" s="35" t="s">
        <v>42</v>
      </c>
      <c r="C12" s="36" t="s">
        <v>43</v>
      </c>
      <c r="D12" s="35" t="s">
        <v>44</v>
      </c>
      <c r="E12" s="35" t="s">
        <v>10364</v>
      </c>
      <c r="F12" s="35" t="s">
        <v>10365</v>
      </c>
      <c r="G12" s="35">
        <v>30101</v>
      </c>
      <c r="H12" s="35">
        <v>100003</v>
      </c>
      <c r="I12" s="35">
        <v>100003</v>
      </c>
      <c r="J12" s="34" t="s">
        <v>45</v>
      </c>
      <c r="K12" s="34" t="str">
        <f t="shared" si="0"/>
        <v>重复</v>
      </c>
      <c r="L12" s="34" t="str">
        <f t="shared" si="1"/>
        <v>不重复</v>
      </c>
    </row>
    <row r="13" spans="1:12" ht="27">
      <c r="A13" s="35" t="s">
        <v>10367</v>
      </c>
      <c r="B13" s="35" t="s">
        <v>46</v>
      </c>
      <c r="C13" s="36" t="s">
        <v>47</v>
      </c>
      <c r="D13" s="35" t="s">
        <v>48</v>
      </c>
      <c r="E13" s="35" t="s">
        <v>10364</v>
      </c>
      <c r="F13" s="35" t="s">
        <v>10365</v>
      </c>
      <c r="G13" s="35">
        <v>30102</v>
      </c>
      <c r="H13" s="35">
        <v>100003</v>
      </c>
      <c r="I13" s="35">
        <v>100003</v>
      </c>
      <c r="J13" s="34" t="s">
        <v>49</v>
      </c>
      <c r="K13" s="34" t="str">
        <f t="shared" si="0"/>
        <v>重复</v>
      </c>
      <c r="L13" s="34" t="str">
        <f t="shared" si="1"/>
        <v>不重复</v>
      </c>
    </row>
    <row r="14" spans="1:12" ht="15">
      <c r="A14" s="35" t="s">
        <v>10368</v>
      </c>
      <c r="B14" s="35" t="s">
        <v>50</v>
      </c>
      <c r="C14" s="36" t="s">
        <v>51</v>
      </c>
      <c r="D14" s="35" t="s">
        <v>52</v>
      </c>
      <c r="E14" s="35" t="s">
        <v>10364</v>
      </c>
      <c r="F14" s="35" t="s">
        <v>10365</v>
      </c>
      <c r="G14" s="35">
        <v>30103</v>
      </c>
      <c r="H14" s="35">
        <v>100003</v>
      </c>
      <c r="I14" s="35">
        <v>100003</v>
      </c>
      <c r="J14" s="34" t="s">
        <v>49</v>
      </c>
      <c r="K14" s="34" t="str">
        <f t="shared" si="0"/>
        <v>重复</v>
      </c>
      <c r="L14" s="34" t="str">
        <f t="shared" si="1"/>
        <v>不重复</v>
      </c>
    </row>
    <row r="15" spans="1:12" ht="27">
      <c r="A15" s="35" t="s">
        <v>10369</v>
      </c>
      <c r="B15" s="35" t="s">
        <v>53</v>
      </c>
      <c r="C15" s="36" t="s">
        <v>54</v>
      </c>
      <c r="D15" s="35" t="s">
        <v>55</v>
      </c>
      <c r="E15" s="35" t="s">
        <v>10364</v>
      </c>
      <c r="F15" s="35" t="s">
        <v>10365</v>
      </c>
      <c r="G15" s="35">
        <v>30104</v>
      </c>
      <c r="H15" s="35">
        <v>100003</v>
      </c>
      <c r="I15" s="35">
        <v>100003</v>
      </c>
      <c r="J15" s="34" t="s">
        <v>56</v>
      </c>
      <c r="K15" s="34" t="str">
        <f t="shared" si="0"/>
        <v>重复</v>
      </c>
      <c r="L15" s="34" t="str">
        <f t="shared" si="1"/>
        <v>不重复</v>
      </c>
    </row>
    <row r="16" spans="1:12" ht="30">
      <c r="A16" s="35" t="s">
        <v>10370</v>
      </c>
      <c r="B16" s="35" t="s">
        <v>57</v>
      </c>
      <c r="C16" s="36" t="s">
        <v>58</v>
      </c>
      <c r="D16" s="35" t="s">
        <v>59</v>
      </c>
      <c r="E16" s="35" t="s">
        <v>10364</v>
      </c>
      <c r="F16" s="35" t="s">
        <v>10365</v>
      </c>
      <c r="G16" s="35">
        <v>30105</v>
      </c>
      <c r="H16" s="35">
        <v>100003</v>
      </c>
      <c r="I16" s="35">
        <v>100003</v>
      </c>
      <c r="J16" s="34" t="s">
        <v>60</v>
      </c>
      <c r="K16" s="34" t="str">
        <f t="shared" si="0"/>
        <v>重复</v>
      </c>
      <c r="L16" s="34" t="str">
        <f t="shared" si="1"/>
        <v>不重复</v>
      </c>
    </row>
    <row r="17" spans="1:12" ht="15">
      <c r="A17" s="35" t="s">
        <v>10371</v>
      </c>
      <c r="B17" s="35" t="s">
        <v>61</v>
      </c>
      <c r="C17" s="36" t="s">
        <v>62</v>
      </c>
      <c r="D17" s="35" t="s">
        <v>63</v>
      </c>
      <c r="E17" s="35" t="s">
        <v>10371</v>
      </c>
      <c r="F17" s="35" t="s">
        <v>10372</v>
      </c>
      <c r="G17" s="35">
        <v>40100</v>
      </c>
      <c r="H17" s="35">
        <v>100004</v>
      </c>
      <c r="I17" s="35">
        <v>100004</v>
      </c>
      <c r="J17" s="34" t="s">
        <v>16</v>
      </c>
      <c r="K17" s="34" t="str">
        <f t="shared" si="0"/>
        <v>重复</v>
      </c>
      <c r="L17" s="34" t="str">
        <f t="shared" si="1"/>
        <v>不重复</v>
      </c>
    </row>
    <row r="18" spans="1:12" ht="15">
      <c r="A18" s="35" t="s">
        <v>10373</v>
      </c>
      <c r="B18" s="35" t="s">
        <v>64</v>
      </c>
      <c r="C18" s="36" t="s">
        <v>65</v>
      </c>
      <c r="D18" s="35" t="s">
        <v>66</v>
      </c>
      <c r="E18" s="35" t="s">
        <v>10371</v>
      </c>
      <c r="F18" s="35" t="s">
        <v>10372</v>
      </c>
      <c r="G18" s="35">
        <v>40101</v>
      </c>
      <c r="H18" s="35">
        <v>100004</v>
      </c>
      <c r="I18" s="35">
        <v>100004</v>
      </c>
      <c r="J18" s="34" t="s">
        <v>67</v>
      </c>
      <c r="K18" s="34" t="str">
        <f t="shared" si="0"/>
        <v>重复</v>
      </c>
      <c r="L18" s="34" t="str">
        <f t="shared" si="1"/>
        <v>重复</v>
      </c>
    </row>
    <row r="19" spans="1:12" ht="15">
      <c r="A19" s="35" t="s">
        <v>10374</v>
      </c>
      <c r="B19" s="35" t="s">
        <v>68</v>
      </c>
      <c r="C19" s="36" t="s">
        <v>69</v>
      </c>
      <c r="D19" s="35" t="s">
        <v>70</v>
      </c>
      <c r="E19" s="35" t="s">
        <v>10371</v>
      </c>
      <c r="F19" s="35" t="s">
        <v>10372</v>
      </c>
      <c r="G19" s="35">
        <v>40102</v>
      </c>
      <c r="H19" s="35">
        <v>100004</v>
      </c>
      <c r="I19" s="35">
        <v>100004</v>
      </c>
      <c r="J19" s="34" t="s">
        <v>71</v>
      </c>
      <c r="K19" s="34" t="str">
        <f t="shared" si="0"/>
        <v>重复</v>
      </c>
      <c r="L19" s="34" t="str">
        <f t="shared" si="1"/>
        <v>不重复</v>
      </c>
    </row>
    <row r="20" spans="1:12" ht="15">
      <c r="A20" s="35" t="s">
        <v>10375</v>
      </c>
      <c r="B20" s="35" t="s">
        <v>72</v>
      </c>
      <c r="C20" s="36" t="s">
        <v>73</v>
      </c>
      <c r="D20" s="35" t="s">
        <v>74</v>
      </c>
      <c r="E20" s="35" t="s">
        <v>10375</v>
      </c>
      <c r="F20" s="35" t="s">
        <v>10376</v>
      </c>
      <c r="G20" s="35">
        <v>50100</v>
      </c>
      <c r="H20" s="35">
        <v>100005</v>
      </c>
      <c r="I20" s="35">
        <v>100005</v>
      </c>
      <c r="J20" s="34" t="s">
        <v>16</v>
      </c>
      <c r="K20" s="34" t="str">
        <f t="shared" si="0"/>
        <v>重复</v>
      </c>
      <c r="L20" s="34" t="str">
        <f t="shared" si="1"/>
        <v>重复</v>
      </c>
    </row>
    <row r="21" spans="1:12" ht="15">
      <c r="A21" s="35" t="s">
        <v>10377</v>
      </c>
      <c r="B21" s="35" t="s">
        <v>75</v>
      </c>
      <c r="C21" s="36" t="s">
        <v>76</v>
      </c>
      <c r="D21" s="35" t="s">
        <v>77</v>
      </c>
      <c r="E21" s="35" t="s">
        <v>10375</v>
      </c>
      <c r="F21" s="35" t="s">
        <v>10376</v>
      </c>
      <c r="G21" s="35">
        <v>50101</v>
      </c>
      <c r="H21" s="35">
        <v>100005</v>
      </c>
      <c r="I21" s="35">
        <v>100005</v>
      </c>
      <c r="J21" s="34" t="s">
        <v>78</v>
      </c>
      <c r="K21" s="34" t="str">
        <f t="shared" si="0"/>
        <v>不重复</v>
      </c>
      <c r="L21" s="34" t="str">
        <f t="shared" si="1"/>
        <v>重复</v>
      </c>
    </row>
    <row r="22" spans="1:12" ht="27">
      <c r="A22" s="35" t="s">
        <v>10378</v>
      </c>
      <c r="B22" s="35" t="s">
        <v>79</v>
      </c>
      <c r="C22" s="36" t="s">
        <v>80</v>
      </c>
      <c r="D22" s="35" t="s">
        <v>81</v>
      </c>
      <c r="E22" s="35" t="s">
        <v>10375</v>
      </c>
      <c r="F22" s="35" t="s">
        <v>10376</v>
      </c>
      <c r="G22" s="35">
        <v>50102</v>
      </c>
      <c r="H22" s="35">
        <v>100005</v>
      </c>
      <c r="I22" s="35">
        <v>100005</v>
      </c>
      <c r="J22" s="34" t="s">
        <v>82</v>
      </c>
      <c r="K22" s="34" t="str">
        <f t="shared" si="0"/>
        <v>不重复</v>
      </c>
      <c r="L22" s="34" t="str">
        <f t="shared" si="1"/>
        <v>不重复</v>
      </c>
    </row>
    <row r="23" spans="1:12" ht="15">
      <c r="A23" s="35" t="s">
        <v>10379</v>
      </c>
      <c r="B23" s="35" t="s">
        <v>83</v>
      </c>
      <c r="C23" s="36" t="s">
        <v>84</v>
      </c>
      <c r="D23" s="35" t="s">
        <v>85</v>
      </c>
      <c r="E23" s="35" t="s">
        <v>10379</v>
      </c>
      <c r="F23" s="35" t="s">
        <v>10376</v>
      </c>
      <c r="G23" s="35">
        <v>50200</v>
      </c>
      <c r="H23" s="35">
        <v>100005</v>
      </c>
      <c r="I23" s="35">
        <v>100005</v>
      </c>
      <c r="J23" s="34" t="s">
        <v>16</v>
      </c>
      <c r="K23" s="34" t="str">
        <f t="shared" si="0"/>
        <v>重复</v>
      </c>
      <c r="L23" s="34" t="str">
        <f t="shared" si="1"/>
        <v>不重复</v>
      </c>
    </row>
    <row r="24" spans="1:12" ht="15">
      <c r="A24" s="35" t="s">
        <v>10380</v>
      </c>
      <c r="B24" s="35" t="s">
        <v>86</v>
      </c>
      <c r="C24" s="36" t="s">
        <v>87</v>
      </c>
      <c r="D24" s="35" t="s">
        <v>88</v>
      </c>
      <c r="E24" s="35" t="s">
        <v>10379</v>
      </c>
      <c r="F24" s="35" t="s">
        <v>10376</v>
      </c>
      <c r="G24" s="35">
        <v>50201</v>
      </c>
      <c r="H24" s="35">
        <v>100005</v>
      </c>
      <c r="I24" s="35">
        <v>100005</v>
      </c>
      <c r="J24" s="34" t="s">
        <v>89</v>
      </c>
      <c r="K24" s="34" t="str">
        <f t="shared" si="0"/>
        <v>不重复</v>
      </c>
      <c r="L24" s="34" t="str">
        <f t="shared" si="1"/>
        <v>重复</v>
      </c>
    </row>
    <row r="25" spans="1:12" ht="15">
      <c r="A25" s="35" t="s">
        <v>10381</v>
      </c>
      <c r="B25" s="35" t="s">
        <v>90</v>
      </c>
      <c r="C25" s="36" t="s">
        <v>91</v>
      </c>
      <c r="D25" s="35" t="s">
        <v>92</v>
      </c>
      <c r="E25" s="35" t="s">
        <v>10379</v>
      </c>
      <c r="F25" s="35" t="s">
        <v>10376</v>
      </c>
      <c r="G25" s="35">
        <v>50202</v>
      </c>
      <c r="H25" s="35">
        <v>100005</v>
      </c>
      <c r="I25" s="35">
        <v>100005</v>
      </c>
      <c r="J25" s="34" t="s">
        <v>93</v>
      </c>
      <c r="K25" s="34" t="str">
        <f t="shared" si="0"/>
        <v>重复</v>
      </c>
      <c r="L25" s="34" t="str">
        <f t="shared" si="1"/>
        <v>不重复</v>
      </c>
    </row>
    <row r="26" spans="1:12" ht="27">
      <c r="A26" s="35" t="s">
        <v>10382</v>
      </c>
      <c r="B26" s="35" t="s">
        <v>94</v>
      </c>
      <c r="C26" s="36" t="s">
        <v>95</v>
      </c>
      <c r="D26" s="35" t="s">
        <v>96</v>
      </c>
      <c r="E26" s="35" t="s">
        <v>10379</v>
      </c>
      <c r="F26" s="35" t="s">
        <v>10376</v>
      </c>
      <c r="G26" s="35">
        <v>50203</v>
      </c>
      <c r="H26" s="35">
        <v>100005</v>
      </c>
      <c r="I26" s="35">
        <v>100005</v>
      </c>
      <c r="J26" s="34" t="s">
        <v>97</v>
      </c>
      <c r="K26" s="34" t="str">
        <f t="shared" si="0"/>
        <v>重复</v>
      </c>
      <c r="L26" s="34" t="str">
        <f t="shared" si="1"/>
        <v>不重复</v>
      </c>
    </row>
    <row r="27" spans="1:12" ht="27">
      <c r="A27" s="35" t="s">
        <v>10383</v>
      </c>
      <c r="B27" s="35" t="s">
        <v>98</v>
      </c>
      <c r="C27" s="36" t="s">
        <v>99</v>
      </c>
      <c r="D27" s="35" t="s">
        <v>100</v>
      </c>
      <c r="E27" s="35" t="s">
        <v>10379</v>
      </c>
      <c r="F27" s="35" t="s">
        <v>10376</v>
      </c>
      <c r="G27" s="35">
        <v>50204</v>
      </c>
      <c r="H27" s="35">
        <v>100005</v>
      </c>
      <c r="I27" s="35">
        <v>100005</v>
      </c>
      <c r="J27" s="34" t="s">
        <v>101</v>
      </c>
      <c r="K27" s="34" t="str">
        <f t="shared" si="0"/>
        <v>不重复</v>
      </c>
      <c r="L27" s="34" t="str">
        <f t="shared" si="1"/>
        <v>不重复</v>
      </c>
    </row>
    <row r="28" spans="1:12" ht="15">
      <c r="A28" s="35" t="s">
        <v>10384</v>
      </c>
      <c r="B28" s="35" t="s">
        <v>102</v>
      </c>
      <c r="C28" s="36" t="s">
        <v>103</v>
      </c>
      <c r="D28" s="35" t="s">
        <v>104</v>
      </c>
      <c r="E28" s="35" t="s">
        <v>10384</v>
      </c>
      <c r="F28" s="35" t="s">
        <v>10376</v>
      </c>
      <c r="G28" s="35">
        <v>50300</v>
      </c>
      <c r="H28" s="35">
        <v>100005</v>
      </c>
      <c r="I28" s="35">
        <v>100005</v>
      </c>
      <c r="J28" s="34" t="s">
        <v>16</v>
      </c>
      <c r="K28" s="34" t="str">
        <f t="shared" si="0"/>
        <v>重复</v>
      </c>
      <c r="L28" s="34" t="str">
        <f t="shared" si="1"/>
        <v>不重复</v>
      </c>
    </row>
    <row r="29" spans="1:12" ht="15">
      <c r="A29" s="35" t="s">
        <v>10385</v>
      </c>
      <c r="B29" s="35" t="s">
        <v>105</v>
      </c>
      <c r="C29" s="36" t="s">
        <v>106</v>
      </c>
      <c r="D29" s="35" t="s">
        <v>107</v>
      </c>
      <c r="E29" s="35" t="s">
        <v>10385</v>
      </c>
      <c r="F29" s="35" t="s">
        <v>10376</v>
      </c>
      <c r="G29" s="35">
        <v>50400</v>
      </c>
      <c r="H29" s="35">
        <v>100006</v>
      </c>
      <c r="I29" s="35">
        <v>100005</v>
      </c>
      <c r="J29" s="34" t="s">
        <v>16</v>
      </c>
      <c r="K29" s="34" t="str">
        <f t="shared" si="0"/>
        <v>重复</v>
      </c>
      <c r="L29" s="34" t="str">
        <f t="shared" si="1"/>
        <v>不重复</v>
      </c>
    </row>
    <row r="30" spans="1:12" ht="27">
      <c r="A30" s="35" t="s">
        <v>10386</v>
      </c>
      <c r="B30" s="35" t="s">
        <v>108</v>
      </c>
      <c r="C30" s="36" t="s">
        <v>109</v>
      </c>
      <c r="D30" s="35" t="s">
        <v>110</v>
      </c>
      <c r="E30" s="35" t="s">
        <v>10385</v>
      </c>
      <c r="F30" s="35" t="s">
        <v>10376</v>
      </c>
      <c r="G30" s="35">
        <v>50401</v>
      </c>
      <c r="H30" s="35">
        <v>100006</v>
      </c>
      <c r="I30" s="35">
        <v>100005</v>
      </c>
      <c r="J30" s="34" t="s">
        <v>111</v>
      </c>
      <c r="K30" s="34" t="str">
        <f t="shared" si="0"/>
        <v>不重复</v>
      </c>
      <c r="L30" s="34" t="str">
        <f t="shared" si="1"/>
        <v>不重复</v>
      </c>
    </row>
    <row r="31" spans="1:12" ht="27">
      <c r="A31" s="35" t="s">
        <v>10387</v>
      </c>
      <c r="B31" s="35" t="s">
        <v>112</v>
      </c>
      <c r="C31" s="36" t="s">
        <v>113</v>
      </c>
      <c r="D31" s="35" t="s">
        <v>114</v>
      </c>
      <c r="E31" s="35" t="s">
        <v>10385</v>
      </c>
      <c r="F31" s="35" t="s">
        <v>10376</v>
      </c>
      <c r="G31" s="35">
        <v>50402</v>
      </c>
      <c r="H31" s="35">
        <v>100006</v>
      </c>
      <c r="I31" s="35">
        <v>100005</v>
      </c>
      <c r="J31" s="34" t="s">
        <v>115</v>
      </c>
      <c r="K31" s="34" t="str">
        <f t="shared" si="0"/>
        <v>不重复</v>
      </c>
      <c r="L31" s="34" t="str">
        <f t="shared" si="1"/>
        <v>不重复</v>
      </c>
    </row>
    <row r="32" spans="1:12" ht="27">
      <c r="A32" s="35" t="s">
        <v>10388</v>
      </c>
      <c r="B32" s="35" t="s">
        <v>116</v>
      </c>
      <c r="C32" s="36" t="s">
        <v>117</v>
      </c>
      <c r="D32" s="35" t="s">
        <v>118</v>
      </c>
      <c r="E32" s="35" t="s">
        <v>10385</v>
      </c>
      <c r="F32" s="35" t="s">
        <v>10376</v>
      </c>
      <c r="G32" s="35">
        <v>50403</v>
      </c>
      <c r="H32" s="35">
        <v>100006</v>
      </c>
      <c r="I32" s="35">
        <v>100005</v>
      </c>
      <c r="J32" s="34" t="s">
        <v>49</v>
      </c>
      <c r="K32" s="34" t="str">
        <f t="shared" si="0"/>
        <v>不重复</v>
      </c>
      <c r="L32" s="34" t="str">
        <f t="shared" si="1"/>
        <v>不重复</v>
      </c>
    </row>
    <row r="33" spans="1:12" ht="15">
      <c r="A33" s="35" t="s">
        <v>10389</v>
      </c>
      <c r="B33" s="35" t="s">
        <v>119</v>
      </c>
      <c r="C33" s="36" t="s">
        <v>120</v>
      </c>
      <c r="D33" s="35" t="s">
        <v>121</v>
      </c>
      <c r="E33" s="35" t="s">
        <v>10389</v>
      </c>
      <c r="F33" s="35" t="s">
        <v>10390</v>
      </c>
      <c r="G33" s="35">
        <v>60100</v>
      </c>
      <c r="H33" s="35">
        <v>110000</v>
      </c>
      <c r="I33" s="35">
        <v>100005</v>
      </c>
      <c r="J33" s="34" t="s">
        <v>16</v>
      </c>
      <c r="K33" s="34" t="str">
        <f t="shared" si="0"/>
        <v>重复</v>
      </c>
      <c r="L33" s="34" t="str">
        <f t="shared" si="1"/>
        <v>不重复</v>
      </c>
    </row>
    <row r="34" spans="1:12" ht="27">
      <c r="A34" s="35" t="s">
        <v>10391</v>
      </c>
      <c r="B34" s="35" t="s">
        <v>122</v>
      </c>
      <c r="C34" s="36" t="s">
        <v>123</v>
      </c>
      <c r="D34" s="35" t="s">
        <v>124</v>
      </c>
      <c r="E34" s="35" t="s">
        <v>10389</v>
      </c>
      <c r="F34" s="35" t="s">
        <v>10390</v>
      </c>
      <c r="G34" s="35">
        <v>60101</v>
      </c>
      <c r="H34" s="35">
        <v>110000</v>
      </c>
      <c r="I34" s="35">
        <v>100006</v>
      </c>
      <c r="J34" s="34" t="s">
        <v>125</v>
      </c>
      <c r="K34" s="34" t="str">
        <f t="shared" si="0"/>
        <v>重复</v>
      </c>
      <c r="L34" s="34" t="str">
        <f t="shared" si="1"/>
        <v>不重复</v>
      </c>
    </row>
    <row r="35" spans="1:12" ht="15">
      <c r="A35" s="35" t="s">
        <v>10392</v>
      </c>
      <c r="B35" s="35" t="s">
        <v>126</v>
      </c>
      <c r="C35" s="36" t="s">
        <v>127</v>
      </c>
      <c r="D35" s="35" t="s">
        <v>128</v>
      </c>
      <c r="E35" s="35" t="s">
        <v>10389</v>
      </c>
      <c r="F35" s="35" t="s">
        <v>10390</v>
      </c>
      <c r="G35" s="35">
        <v>60102</v>
      </c>
      <c r="H35" s="35">
        <v>110000</v>
      </c>
      <c r="I35" s="35">
        <v>100006</v>
      </c>
      <c r="J35" s="34" t="s">
        <v>129</v>
      </c>
      <c r="K35" s="34" t="str">
        <f t="shared" si="0"/>
        <v>重复</v>
      </c>
      <c r="L35" s="34" t="str">
        <f t="shared" si="1"/>
        <v>不重复</v>
      </c>
    </row>
    <row r="36" spans="1:12" ht="27">
      <c r="A36" s="35" t="s">
        <v>10393</v>
      </c>
      <c r="B36" s="35" t="s">
        <v>130</v>
      </c>
      <c r="C36" s="36" t="s">
        <v>131</v>
      </c>
      <c r="D36" s="35" t="s">
        <v>132</v>
      </c>
      <c r="E36" s="35" t="s">
        <v>10389</v>
      </c>
      <c r="F36" s="35" t="s">
        <v>10390</v>
      </c>
      <c r="G36" s="35">
        <v>60103</v>
      </c>
      <c r="H36" s="35">
        <v>110000</v>
      </c>
      <c r="I36" s="35">
        <v>100006</v>
      </c>
      <c r="J36" s="34" t="s">
        <v>133</v>
      </c>
      <c r="K36" s="34" t="str">
        <f t="shared" si="0"/>
        <v>不重复</v>
      </c>
      <c r="L36" s="34" t="str">
        <f t="shared" si="1"/>
        <v>不重复</v>
      </c>
    </row>
    <row r="37" spans="1:12" ht="27">
      <c r="A37" s="35" t="s">
        <v>10394</v>
      </c>
      <c r="B37" s="35" t="s">
        <v>134</v>
      </c>
      <c r="C37" s="36" t="s">
        <v>135</v>
      </c>
      <c r="D37" s="35" t="s">
        <v>136</v>
      </c>
      <c r="E37" s="35" t="s">
        <v>10389</v>
      </c>
      <c r="F37" s="35" t="s">
        <v>10390</v>
      </c>
      <c r="G37" s="35">
        <v>60104</v>
      </c>
      <c r="H37" s="35">
        <v>110000</v>
      </c>
      <c r="I37" s="35">
        <v>100006</v>
      </c>
      <c r="J37" s="34" t="s">
        <v>137</v>
      </c>
      <c r="K37" s="34" t="str">
        <f t="shared" si="0"/>
        <v>重复</v>
      </c>
      <c r="L37" s="34" t="str">
        <f t="shared" si="1"/>
        <v>不重复</v>
      </c>
    </row>
    <row r="38" spans="1:12" ht="27">
      <c r="A38" s="35" t="s">
        <v>10395</v>
      </c>
      <c r="B38" s="35" t="s">
        <v>138</v>
      </c>
      <c r="C38" s="36" t="s">
        <v>139</v>
      </c>
      <c r="D38" s="35" t="s">
        <v>140</v>
      </c>
      <c r="E38" s="35" t="s">
        <v>10389</v>
      </c>
      <c r="F38" s="35" t="s">
        <v>10390</v>
      </c>
      <c r="G38" s="35">
        <v>60105</v>
      </c>
      <c r="H38" s="35">
        <v>110000</v>
      </c>
      <c r="I38" s="35">
        <v>100006</v>
      </c>
      <c r="J38" s="34" t="s">
        <v>129</v>
      </c>
      <c r="K38" s="34" t="str">
        <f t="shared" si="0"/>
        <v>重复</v>
      </c>
      <c r="L38" s="34" t="str">
        <f t="shared" si="1"/>
        <v>不重复</v>
      </c>
    </row>
    <row r="39" spans="1:12" ht="30">
      <c r="A39" s="35" t="s">
        <v>10396</v>
      </c>
      <c r="B39" s="35" t="s">
        <v>141</v>
      </c>
      <c r="C39" s="36" t="s">
        <v>142</v>
      </c>
      <c r="D39" s="35" t="s">
        <v>143</v>
      </c>
      <c r="E39" s="35" t="s">
        <v>10389</v>
      </c>
      <c r="F39" s="35" t="s">
        <v>10390</v>
      </c>
      <c r="G39" s="35">
        <v>60106</v>
      </c>
      <c r="H39" s="35">
        <v>110000</v>
      </c>
      <c r="I39" s="35">
        <v>100006</v>
      </c>
      <c r="J39" s="34" t="s">
        <v>144</v>
      </c>
      <c r="K39" s="34" t="str">
        <f t="shared" si="0"/>
        <v>重复</v>
      </c>
      <c r="L39" s="34" t="str">
        <f t="shared" si="1"/>
        <v>不重复</v>
      </c>
    </row>
    <row r="40" spans="1:12" ht="15">
      <c r="A40" s="35" t="s">
        <v>10397</v>
      </c>
      <c r="B40" s="35" t="s">
        <v>145</v>
      </c>
      <c r="C40" s="36" t="s">
        <v>146</v>
      </c>
      <c r="D40" s="35" t="s">
        <v>147</v>
      </c>
      <c r="E40" s="35" t="s">
        <v>10389</v>
      </c>
      <c r="F40" s="35" t="s">
        <v>10390</v>
      </c>
      <c r="G40" s="35">
        <v>60107</v>
      </c>
      <c r="H40" s="35">
        <v>110000</v>
      </c>
      <c r="I40" s="35">
        <v>100006</v>
      </c>
      <c r="J40" s="34" t="s">
        <v>148</v>
      </c>
      <c r="K40" s="34" t="str">
        <f t="shared" si="0"/>
        <v>重复</v>
      </c>
      <c r="L40" s="34" t="str">
        <f t="shared" si="1"/>
        <v>不重复</v>
      </c>
    </row>
    <row r="41" spans="1:12" ht="15">
      <c r="A41" s="35" t="s">
        <v>10398</v>
      </c>
      <c r="B41" s="35" t="s">
        <v>149</v>
      </c>
      <c r="C41" s="36" t="s">
        <v>150</v>
      </c>
      <c r="D41" s="35" t="s">
        <v>151</v>
      </c>
      <c r="E41" s="35" t="s">
        <v>10389</v>
      </c>
      <c r="F41" s="35" t="s">
        <v>10390</v>
      </c>
      <c r="G41" s="35">
        <v>60108</v>
      </c>
      <c r="H41" s="35">
        <v>110000</v>
      </c>
      <c r="I41" s="35">
        <v>100006</v>
      </c>
      <c r="J41" s="34" t="s">
        <v>152</v>
      </c>
      <c r="K41" s="34" t="str">
        <f t="shared" si="0"/>
        <v>重复</v>
      </c>
      <c r="L41" s="34" t="str">
        <f t="shared" si="1"/>
        <v>不重复</v>
      </c>
    </row>
    <row r="42" spans="1:12" ht="15">
      <c r="A42" s="35" t="s">
        <v>10399</v>
      </c>
      <c r="B42" s="35" t="s">
        <v>153</v>
      </c>
      <c r="C42" s="36" t="s">
        <v>154</v>
      </c>
      <c r="D42" s="35" t="s">
        <v>155</v>
      </c>
      <c r="E42" s="35" t="s">
        <v>10389</v>
      </c>
      <c r="F42" s="35" t="s">
        <v>10390</v>
      </c>
      <c r="G42" s="35">
        <v>60109</v>
      </c>
      <c r="H42" s="35">
        <v>110000</v>
      </c>
      <c r="I42" s="35">
        <v>100006</v>
      </c>
      <c r="J42" s="34" t="s">
        <v>49</v>
      </c>
      <c r="K42" s="34" t="str">
        <f t="shared" si="0"/>
        <v>重复</v>
      </c>
      <c r="L42" s="34" t="str">
        <f t="shared" si="1"/>
        <v>重复</v>
      </c>
    </row>
    <row r="43" spans="1:12" ht="15">
      <c r="A43" s="35" t="s">
        <v>10400</v>
      </c>
      <c r="B43" s="35" t="s">
        <v>156</v>
      </c>
      <c r="C43" s="36" t="s">
        <v>157</v>
      </c>
      <c r="D43" s="35" t="s">
        <v>158</v>
      </c>
      <c r="E43" s="35" t="s">
        <v>10389</v>
      </c>
      <c r="F43" s="35" t="s">
        <v>10390</v>
      </c>
      <c r="G43" s="35">
        <v>60110</v>
      </c>
      <c r="H43" s="35">
        <v>110000</v>
      </c>
      <c r="I43" s="35">
        <v>100006</v>
      </c>
      <c r="J43" s="34" t="s">
        <v>159</v>
      </c>
      <c r="K43" s="34" t="str">
        <f t="shared" si="0"/>
        <v>重复</v>
      </c>
      <c r="L43" s="34" t="str">
        <f t="shared" si="1"/>
        <v>重复</v>
      </c>
    </row>
    <row r="44" spans="1:12" ht="15">
      <c r="A44" s="35" t="s">
        <v>10401</v>
      </c>
      <c r="B44" s="35" t="s">
        <v>160</v>
      </c>
      <c r="C44" s="36" t="s">
        <v>84</v>
      </c>
      <c r="D44" s="35" t="s">
        <v>161</v>
      </c>
      <c r="E44" s="35" t="s">
        <v>10401</v>
      </c>
      <c r="F44" s="35" t="s">
        <v>10390</v>
      </c>
      <c r="G44" s="35">
        <v>70100</v>
      </c>
      <c r="H44" s="35">
        <v>110000</v>
      </c>
      <c r="I44" s="35">
        <v>100006</v>
      </c>
      <c r="J44" s="34" t="s">
        <v>16</v>
      </c>
      <c r="K44" s="34" t="str">
        <f t="shared" si="0"/>
        <v>重复</v>
      </c>
      <c r="L44" s="34" t="str">
        <f t="shared" si="1"/>
        <v>重复</v>
      </c>
    </row>
    <row r="45" spans="1:12" ht="15">
      <c r="A45" s="35" t="s">
        <v>10402</v>
      </c>
      <c r="B45" s="35" t="s">
        <v>162</v>
      </c>
      <c r="C45" s="36" t="s">
        <v>163</v>
      </c>
      <c r="D45" s="35" t="s">
        <v>164</v>
      </c>
      <c r="E45" s="35" t="s">
        <v>10402</v>
      </c>
      <c r="F45" s="35" t="s">
        <v>10403</v>
      </c>
      <c r="G45" s="35">
        <v>70200</v>
      </c>
      <c r="H45" s="35">
        <v>120000</v>
      </c>
      <c r="I45" s="35">
        <v>100007</v>
      </c>
      <c r="J45" s="34" t="s">
        <v>16</v>
      </c>
      <c r="K45" s="34" t="str">
        <f t="shared" si="0"/>
        <v>不重复</v>
      </c>
      <c r="L45" s="34" t="str">
        <f t="shared" si="1"/>
        <v>不重复</v>
      </c>
    </row>
    <row r="46" spans="1:12" ht="27">
      <c r="A46" s="35" t="s">
        <v>10404</v>
      </c>
      <c r="B46" s="35" t="s">
        <v>165</v>
      </c>
      <c r="C46" s="36" t="s">
        <v>166</v>
      </c>
      <c r="D46" s="35" t="s">
        <v>167</v>
      </c>
      <c r="E46" s="35" t="s">
        <v>10402</v>
      </c>
      <c r="F46" s="35" t="s">
        <v>10403</v>
      </c>
      <c r="G46" s="35">
        <v>70201</v>
      </c>
      <c r="H46" s="35">
        <v>120000</v>
      </c>
      <c r="I46" s="35">
        <v>100007</v>
      </c>
      <c r="J46" s="34" t="s">
        <v>168</v>
      </c>
      <c r="K46" s="34" t="str">
        <f t="shared" si="0"/>
        <v>重复</v>
      </c>
      <c r="L46" s="34" t="str">
        <f t="shared" si="1"/>
        <v>不重复</v>
      </c>
    </row>
    <row r="47" spans="1:12" ht="27">
      <c r="A47" s="35" t="s">
        <v>10405</v>
      </c>
      <c r="B47" s="35" t="s">
        <v>169</v>
      </c>
      <c r="C47" s="36" t="s">
        <v>170</v>
      </c>
      <c r="D47" s="35" t="s">
        <v>171</v>
      </c>
      <c r="E47" s="35" t="s">
        <v>10402</v>
      </c>
      <c r="F47" s="35" t="s">
        <v>10403</v>
      </c>
      <c r="G47" s="35">
        <v>70202</v>
      </c>
      <c r="H47" s="35">
        <v>120000</v>
      </c>
      <c r="I47" s="35">
        <v>100007</v>
      </c>
      <c r="J47" s="34" t="s">
        <v>172</v>
      </c>
      <c r="K47" s="34" t="str">
        <f t="shared" si="0"/>
        <v>不重复</v>
      </c>
      <c r="L47" s="34" t="str">
        <f t="shared" si="1"/>
        <v>不重复</v>
      </c>
    </row>
    <row r="48" spans="1:12" ht="15">
      <c r="A48" s="35" t="s">
        <v>10406</v>
      </c>
      <c r="B48" s="35" t="s">
        <v>173</v>
      </c>
      <c r="C48" s="36" t="s">
        <v>174</v>
      </c>
      <c r="D48" s="35" t="s">
        <v>175</v>
      </c>
      <c r="E48" s="35" t="s">
        <v>10402</v>
      </c>
      <c r="F48" s="35" t="s">
        <v>10403</v>
      </c>
      <c r="G48" s="35">
        <v>70203</v>
      </c>
      <c r="H48" s="35">
        <v>120000</v>
      </c>
      <c r="I48" s="35">
        <v>100007</v>
      </c>
      <c r="J48" s="34" t="s">
        <v>176</v>
      </c>
      <c r="K48" s="34" t="str">
        <f t="shared" si="0"/>
        <v>不重复</v>
      </c>
      <c r="L48" s="34" t="str">
        <f t="shared" si="1"/>
        <v>不重复</v>
      </c>
    </row>
    <row r="49" spans="1:12" ht="27">
      <c r="A49" s="35" t="s">
        <v>10407</v>
      </c>
      <c r="B49" s="35" t="s">
        <v>177</v>
      </c>
      <c r="C49" s="36" t="s">
        <v>178</v>
      </c>
      <c r="D49" s="35" t="s">
        <v>179</v>
      </c>
      <c r="E49" s="35" t="s">
        <v>10402</v>
      </c>
      <c r="F49" s="35" t="s">
        <v>10403</v>
      </c>
      <c r="G49" s="35">
        <v>70204</v>
      </c>
      <c r="H49" s="35">
        <v>120000</v>
      </c>
      <c r="I49" s="35">
        <v>100007</v>
      </c>
      <c r="J49" s="34" t="s">
        <v>172</v>
      </c>
      <c r="K49" s="34" t="str">
        <f t="shared" si="0"/>
        <v>不重复</v>
      </c>
      <c r="L49" s="34" t="str">
        <f t="shared" si="1"/>
        <v>不重复</v>
      </c>
    </row>
    <row r="50" spans="1:12" ht="27">
      <c r="A50" s="35" t="s">
        <v>10408</v>
      </c>
      <c r="B50" s="35" t="s">
        <v>180</v>
      </c>
      <c r="C50" s="36" t="s">
        <v>181</v>
      </c>
      <c r="D50" s="35" t="s">
        <v>182</v>
      </c>
      <c r="E50" s="35" t="s">
        <v>10402</v>
      </c>
      <c r="F50" s="35" t="s">
        <v>10403</v>
      </c>
      <c r="G50" s="35">
        <v>70205</v>
      </c>
      <c r="H50" s="35">
        <v>120000</v>
      </c>
      <c r="I50" s="35">
        <v>100007</v>
      </c>
      <c r="J50" s="34" t="s">
        <v>183</v>
      </c>
      <c r="K50" s="34" t="str">
        <f t="shared" si="0"/>
        <v>重复</v>
      </c>
      <c r="L50" s="34" t="str">
        <f t="shared" si="1"/>
        <v>不重复</v>
      </c>
    </row>
    <row r="51" spans="1:12" ht="27">
      <c r="A51" s="35" t="s">
        <v>10409</v>
      </c>
      <c r="B51" s="35" t="s">
        <v>184</v>
      </c>
      <c r="C51" s="36" t="s">
        <v>185</v>
      </c>
      <c r="D51" s="35" t="s">
        <v>186</v>
      </c>
      <c r="E51" s="35" t="s">
        <v>10402</v>
      </c>
      <c r="F51" s="35" t="s">
        <v>10403</v>
      </c>
      <c r="G51" s="35">
        <v>70206</v>
      </c>
      <c r="H51" s="35">
        <v>120000</v>
      </c>
      <c r="I51" s="35">
        <v>100007</v>
      </c>
      <c r="J51" s="34" t="s">
        <v>187</v>
      </c>
      <c r="K51" s="34" t="str">
        <f t="shared" si="0"/>
        <v>重复</v>
      </c>
      <c r="L51" s="34" t="str">
        <f t="shared" si="1"/>
        <v>不重复</v>
      </c>
    </row>
    <row r="52" spans="1:12" ht="30">
      <c r="A52" s="35" t="s">
        <v>10410</v>
      </c>
      <c r="B52" s="35" t="s">
        <v>188</v>
      </c>
      <c r="C52" s="36" t="s">
        <v>189</v>
      </c>
      <c r="D52" s="35" t="s">
        <v>190</v>
      </c>
      <c r="E52" s="35" t="s">
        <v>10402</v>
      </c>
      <c r="F52" s="35" t="s">
        <v>10403</v>
      </c>
      <c r="G52" s="35">
        <v>70207</v>
      </c>
      <c r="H52" s="35">
        <v>120000</v>
      </c>
      <c r="I52" s="35">
        <v>100007</v>
      </c>
      <c r="J52" s="34" t="s">
        <v>187</v>
      </c>
      <c r="K52" s="34" t="str">
        <f t="shared" si="0"/>
        <v>重复</v>
      </c>
      <c r="L52" s="34" t="str">
        <f t="shared" si="1"/>
        <v>不重复</v>
      </c>
    </row>
    <row r="53" spans="1:12" ht="30">
      <c r="A53" s="35" t="s">
        <v>10411</v>
      </c>
      <c r="B53" s="35" t="s">
        <v>191</v>
      </c>
      <c r="C53" s="36" t="s">
        <v>192</v>
      </c>
      <c r="D53" s="35" t="s">
        <v>193</v>
      </c>
      <c r="E53" s="35" t="s">
        <v>10402</v>
      </c>
      <c r="F53" s="35" t="s">
        <v>10403</v>
      </c>
      <c r="G53" s="35">
        <v>70208</v>
      </c>
      <c r="H53" s="35">
        <v>120000</v>
      </c>
      <c r="I53" s="35">
        <v>100007</v>
      </c>
      <c r="J53" s="34" t="s">
        <v>194</v>
      </c>
      <c r="K53" s="34" t="str">
        <f t="shared" si="0"/>
        <v>重复</v>
      </c>
      <c r="L53" s="34" t="str">
        <f t="shared" si="1"/>
        <v>重复</v>
      </c>
    </row>
    <row r="54" spans="1:12" ht="30">
      <c r="A54" s="35" t="s">
        <v>10412</v>
      </c>
      <c r="B54" s="35" t="s">
        <v>195</v>
      </c>
      <c r="C54" s="36" t="s">
        <v>196</v>
      </c>
      <c r="D54" s="35" t="s">
        <v>193</v>
      </c>
      <c r="E54" s="35" t="s">
        <v>10402</v>
      </c>
      <c r="F54" s="35" t="s">
        <v>10403</v>
      </c>
      <c r="G54" s="35">
        <v>70209</v>
      </c>
      <c r="H54" s="35">
        <v>120000</v>
      </c>
      <c r="I54" s="35">
        <v>100007</v>
      </c>
      <c r="J54" s="34" t="s">
        <v>172</v>
      </c>
      <c r="K54" s="34" t="str">
        <f t="shared" si="0"/>
        <v>不重复</v>
      </c>
      <c r="L54" s="34" t="str">
        <f t="shared" si="1"/>
        <v>重复</v>
      </c>
    </row>
    <row r="55" spans="1:12" ht="27">
      <c r="A55" s="35" t="s">
        <v>10413</v>
      </c>
      <c r="B55" s="35" t="s">
        <v>197</v>
      </c>
      <c r="C55" s="36" t="s">
        <v>198</v>
      </c>
      <c r="D55" s="35" t="s">
        <v>199</v>
      </c>
      <c r="E55" s="35" t="s">
        <v>10402</v>
      </c>
      <c r="F55" s="35" t="s">
        <v>10403</v>
      </c>
      <c r="G55" s="35">
        <v>70210</v>
      </c>
      <c r="H55" s="35">
        <v>120000</v>
      </c>
      <c r="I55" s="35">
        <v>100007</v>
      </c>
      <c r="J55" s="34" t="s">
        <v>200</v>
      </c>
      <c r="K55" s="34" t="str">
        <f t="shared" si="0"/>
        <v>重复</v>
      </c>
      <c r="L55" s="34" t="str">
        <f t="shared" si="1"/>
        <v>不重复</v>
      </c>
    </row>
    <row r="56" spans="1:12" ht="27">
      <c r="A56" s="35" t="s">
        <v>10414</v>
      </c>
      <c r="B56" s="35" t="s">
        <v>201</v>
      </c>
      <c r="C56" s="36" t="s">
        <v>189</v>
      </c>
      <c r="D56" s="35" t="s">
        <v>202</v>
      </c>
      <c r="E56" s="35" t="s">
        <v>10402</v>
      </c>
      <c r="F56" s="35" t="s">
        <v>10403</v>
      </c>
      <c r="G56" s="35">
        <v>70211</v>
      </c>
      <c r="H56" s="35">
        <v>120000</v>
      </c>
      <c r="I56" s="35">
        <v>100007</v>
      </c>
      <c r="J56" s="34" t="s">
        <v>203</v>
      </c>
      <c r="K56" s="34" t="str">
        <f t="shared" si="0"/>
        <v>重复</v>
      </c>
      <c r="L56" s="34" t="str">
        <f t="shared" si="1"/>
        <v>不重复</v>
      </c>
    </row>
    <row r="57" spans="1:12" ht="30">
      <c r="A57" s="35" t="s">
        <v>10415</v>
      </c>
      <c r="B57" s="35" t="s">
        <v>204</v>
      </c>
      <c r="C57" s="36" t="s">
        <v>205</v>
      </c>
      <c r="D57" s="35" t="s">
        <v>206</v>
      </c>
      <c r="E57" s="35" t="s">
        <v>10402</v>
      </c>
      <c r="F57" s="35" t="s">
        <v>10403</v>
      </c>
      <c r="G57" s="35">
        <v>70212</v>
      </c>
      <c r="H57" s="35">
        <v>120000</v>
      </c>
      <c r="I57" s="35">
        <v>100007</v>
      </c>
      <c r="J57" s="34" t="s">
        <v>194</v>
      </c>
      <c r="K57" s="34" t="str">
        <f t="shared" si="0"/>
        <v>重复</v>
      </c>
      <c r="L57" s="34" t="str">
        <f t="shared" si="1"/>
        <v>不重复</v>
      </c>
    </row>
    <row r="58" spans="1:12" ht="27">
      <c r="A58" s="35" t="s">
        <v>10416</v>
      </c>
      <c r="B58" s="35" t="s">
        <v>207</v>
      </c>
      <c r="C58" s="36" t="s">
        <v>208</v>
      </c>
      <c r="D58" s="35" t="s">
        <v>209</v>
      </c>
      <c r="E58" s="35" t="s">
        <v>10402</v>
      </c>
      <c r="F58" s="35" t="s">
        <v>10403</v>
      </c>
      <c r="G58" s="35">
        <v>70213</v>
      </c>
      <c r="H58" s="35">
        <v>120000</v>
      </c>
      <c r="I58" s="35">
        <v>100007</v>
      </c>
      <c r="J58" s="34" t="s">
        <v>210</v>
      </c>
      <c r="K58" s="34" t="str">
        <f t="shared" si="0"/>
        <v>重复</v>
      </c>
      <c r="L58" s="34" t="str">
        <f t="shared" si="1"/>
        <v>不重复</v>
      </c>
    </row>
    <row r="59" spans="1:12" ht="27">
      <c r="A59" s="35" t="s">
        <v>10417</v>
      </c>
      <c r="B59" s="35" t="s">
        <v>211</v>
      </c>
      <c r="C59" s="36" t="s">
        <v>212</v>
      </c>
      <c r="D59" s="35" t="s">
        <v>213</v>
      </c>
      <c r="E59" s="35" t="s">
        <v>10402</v>
      </c>
      <c r="F59" s="35" t="s">
        <v>10403</v>
      </c>
      <c r="G59" s="35">
        <v>70214</v>
      </c>
      <c r="H59" s="35">
        <v>120000</v>
      </c>
      <c r="I59" s="35">
        <v>100007</v>
      </c>
      <c r="J59" s="34" t="s">
        <v>183</v>
      </c>
      <c r="K59" s="34" t="str">
        <f t="shared" si="0"/>
        <v>重复</v>
      </c>
      <c r="L59" s="34" t="str">
        <f t="shared" si="1"/>
        <v>不重复</v>
      </c>
    </row>
    <row r="60" spans="1:12" ht="27">
      <c r="A60" s="35" t="s">
        <v>10418</v>
      </c>
      <c r="B60" s="35" t="s">
        <v>214</v>
      </c>
      <c r="C60" s="36" t="s">
        <v>215</v>
      </c>
      <c r="D60" s="35" t="s">
        <v>216</v>
      </c>
      <c r="E60" s="35" t="s">
        <v>10402</v>
      </c>
      <c r="F60" s="35" t="s">
        <v>10403</v>
      </c>
      <c r="G60" s="35">
        <v>70215</v>
      </c>
      <c r="H60" s="35">
        <v>120000</v>
      </c>
      <c r="I60" s="35">
        <v>100007</v>
      </c>
      <c r="J60" s="34" t="s">
        <v>172</v>
      </c>
      <c r="K60" s="34" t="str">
        <f t="shared" si="0"/>
        <v>重复</v>
      </c>
      <c r="L60" s="34" t="str">
        <f t="shared" si="1"/>
        <v>不重复</v>
      </c>
    </row>
    <row r="61" spans="1:12" ht="30">
      <c r="A61" s="35" t="s">
        <v>10419</v>
      </c>
      <c r="B61" s="35" t="s">
        <v>217</v>
      </c>
      <c r="C61" s="36" t="s">
        <v>218</v>
      </c>
      <c r="D61" s="35" t="s">
        <v>219</v>
      </c>
      <c r="E61" s="35" t="s">
        <v>10402</v>
      </c>
      <c r="F61" s="35" t="s">
        <v>10403</v>
      </c>
      <c r="G61" s="35">
        <v>70216</v>
      </c>
      <c r="H61" s="35">
        <v>120000</v>
      </c>
      <c r="I61" s="35">
        <v>100007</v>
      </c>
      <c r="J61" s="34" t="s">
        <v>137</v>
      </c>
      <c r="K61" s="34" t="str">
        <f t="shared" si="0"/>
        <v>不重复</v>
      </c>
      <c r="L61" s="34" t="str">
        <f t="shared" si="1"/>
        <v>不重复</v>
      </c>
    </row>
    <row r="62" spans="1:12" ht="30">
      <c r="A62" s="35" t="s">
        <v>10420</v>
      </c>
      <c r="B62" s="35" t="s">
        <v>220</v>
      </c>
      <c r="C62" s="36" t="s">
        <v>221</v>
      </c>
      <c r="D62" s="35" t="s">
        <v>222</v>
      </c>
      <c r="E62" s="35" t="s">
        <v>10402</v>
      </c>
      <c r="F62" s="35" t="s">
        <v>10403</v>
      </c>
      <c r="G62" s="35">
        <v>70217</v>
      </c>
      <c r="H62" s="35">
        <v>120000</v>
      </c>
      <c r="I62" s="35">
        <v>100007</v>
      </c>
      <c r="J62" s="34" t="s">
        <v>223</v>
      </c>
      <c r="K62" s="34" t="str">
        <f t="shared" si="0"/>
        <v>不重复</v>
      </c>
      <c r="L62" s="34" t="str">
        <f t="shared" si="1"/>
        <v>不重复</v>
      </c>
    </row>
    <row r="63" spans="1:12" ht="30">
      <c r="A63" s="35" t="s">
        <v>10421</v>
      </c>
      <c r="B63" s="35" t="s">
        <v>224</v>
      </c>
      <c r="C63" s="36" t="s">
        <v>225</v>
      </c>
      <c r="D63" s="35" t="s">
        <v>226</v>
      </c>
      <c r="E63" s="35" t="s">
        <v>10402</v>
      </c>
      <c r="F63" s="35" t="s">
        <v>10403</v>
      </c>
      <c r="G63" s="35">
        <v>70218</v>
      </c>
      <c r="H63" s="35">
        <v>120000</v>
      </c>
      <c r="I63" s="35">
        <v>100007</v>
      </c>
      <c r="J63" s="34" t="s">
        <v>227</v>
      </c>
      <c r="K63" s="34" t="str">
        <f t="shared" si="0"/>
        <v>不重复</v>
      </c>
      <c r="L63" s="34" t="str">
        <f t="shared" si="1"/>
        <v>不重复</v>
      </c>
    </row>
    <row r="64" spans="1:12" ht="30">
      <c r="A64" s="35" t="s">
        <v>10422</v>
      </c>
      <c r="B64" s="35" t="s">
        <v>228</v>
      </c>
      <c r="C64" s="36" t="s">
        <v>229</v>
      </c>
      <c r="D64" s="35" t="s">
        <v>230</v>
      </c>
      <c r="E64" s="35" t="s">
        <v>10402</v>
      </c>
      <c r="F64" s="35" t="s">
        <v>10403</v>
      </c>
      <c r="G64" s="35">
        <v>70219</v>
      </c>
      <c r="H64" s="35">
        <v>120000</v>
      </c>
      <c r="I64" s="35">
        <v>100007</v>
      </c>
      <c r="J64" s="34" t="s">
        <v>231</v>
      </c>
      <c r="K64" s="34" t="str">
        <f t="shared" si="0"/>
        <v>不重复</v>
      </c>
      <c r="L64" s="34" t="str">
        <f t="shared" si="1"/>
        <v>不重复</v>
      </c>
    </row>
    <row r="65" spans="1:12" ht="27">
      <c r="A65" s="35" t="s">
        <v>10423</v>
      </c>
      <c r="B65" s="35" t="s">
        <v>232</v>
      </c>
      <c r="C65" s="36" t="s">
        <v>233</v>
      </c>
      <c r="D65" s="35" t="s">
        <v>234</v>
      </c>
      <c r="E65" s="35" t="s">
        <v>10402</v>
      </c>
      <c r="F65" s="35" t="s">
        <v>10403</v>
      </c>
      <c r="G65" s="35">
        <v>70220</v>
      </c>
      <c r="H65" s="35">
        <v>120000</v>
      </c>
      <c r="I65" s="35">
        <v>100007</v>
      </c>
      <c r="J65" s="34" t="s">
        <v>235</v>
      </c>
      <c r="K65" s="34" t="str">
        <f t="shared" si="0"/>
        <v>重复</v>
      </c>
      <c r="L65" s="34" t="str">
        <f t="shared" si="1"/>
        <v>不重复</v>
      </c>
    </row>
    <row r="66" spans="1:12" ht="27">
      <c r="A66" s="35" t="s">
        <v>10424</v>
      </c>
      <c r="B66" s="35" t="s">
        <v>236</v>
      </c>
      <c r="C66" s="36" t="s">
        <v>237</v>
      </c>
      <c r="D66" s="35" t="s">
        <v>238</v>
      </c>
      <c r="E66" s="35" t="s">
        <v>10402</v>
      </c>
      <c r="F66" s="35" t="s">
        <v>10403</v>
      </c>
      <c r="G66" s="35">
        <v>70221</v>
      </c>
      <c r="H66" s="35">
        <v>120000</v>
      </c>
      <c r="I66" s="35">
        <v>100007</v>
      </c>
      <c r="J66" s="34" t="s">
        <v>239</v>
      </c>
      <c r="K66" s="34" t="str">
        <f t="shared" si="0"/>
        <v>重复</v>
      </c>
      <c r="L66" s="34" t="str">
        <f t="shared" si="1"/>
        <v>不重复</v>
      </c>
    </row>
    <row r="67" spans="1:12" ht="27">
      <c r="A67" s="35" t="s">
        <v>10425</v>
      </c>
      <c r="B67" s="35" t="s">
        <v>240</v>
      </c>
      <c r="C67" s="36" t="s">
        <v>241</v>
      </c>
      <c r="D67" s="35" t="s">
        <v>242</v>
      </c>
      <c r="E67" s="35" t="s">
        <v>10402</v>
      </c>
      <c r="F67" s="35" t="s">
        <v>10403</v>
      </c>
      <c r="G67" s="35">
        <v>70222</v>
      </c>
      <c r="H67" s="35">
        <v>120000</v>
      </c>
      <c r="I67" s="35">
        <v>100007</v>
      </c>
      <c r="J67" s="34" t="s">
        <v>243</v>
      </c>
      <c r="K67" s="34" t="str">
        <f t="shared" si="2" ref="K67:K130">IF(COUNTIF(C:C,C67)&gt;=2,"重复","不重复")</f>
        <v>重复</v>
      </c>
      <c r="L67" s="34" t="str">
        <f t="shared" si="3" ref="L67:L130">IF(COUNTIF(D:D,D67)&gt;=2,"重复","不重复")</f>
        <v>不重复</v>
      </c>
    </row>
    <row r="68" spans="1:12" ht="27">
      <c r="A68" s="35" t="s">
        <v>10426</v>
      </c>
      <c r="B68" s="35" t="s">
        <v>244</v>
      </c>
      <c r="C68" s="36" t="s">
        <v>245</v>
      </c>
      <c r="D68" s="35" t="s">
        <v>246</v>
      </c>
      <c r="E68" s="35" t="s">
        <v>10402</v>
      </c>
      <c r="F68" s="35" t="s">
        <v>10403</v>
      </c>
      <c r="G68" s="35">
        <v>70223</v>
      </c>
      <c r="H68" s="35">
        <v>120000</v>
      </c>
      <c r="I68" s="35">
        <v>100007</v>
      </c>
      <c r="J68" s="34" t="s">
        <v>187</v>
      </c>
      <c r="K68" s="34" t="str">
        <f t="shared" si="2"/>
        <v>重复</v>
      </c>
      <c r="L68" s="34" t="str">
        <f t="shared" si="3"/>
        <v>不重复</v>
      </c>
    </row>
    <row r="69" spans="1:12" ht="27">
      <c r="A69" s="35" t="s">
        <v>10427</v>
      </c>
      <c r="B69" s="35" t="s">
        <v>247</v>
      </c>
      <c r="C69" s="36" t="s">
        <v>248</v>
      </c>
      <c r="D69" s="35" t="s">
        <v>249</v>
      </c>
      <c r="E69" s="35" t="s">
        <v>10402</v>
      </c>
      <c r="F69" s="35" t="s">
        <v>10403</v>
      </c>
      <c r="G69" s="35">
        <v>70224</v>
      </c>
      <c r="H69" s="35">
        <v>120000</v>
      </c>
      <c r="I69" s="35">
        <v>100007</v>
      </c>
      <c r="J69" s="34" t="s">
        <v>250</v>
      </c>
      <c r="K69" s="34" t="str">
        <f t="shared" si="2"/>
        <v>不重复</v>
      </c>
      <c r="L69" s="34" t="str">
        <f t="shared" si="3"/>
        <v>不重复</v>
      </c>
    </row>
    <row r="70" spans="1:12" ht="15">
      <c r="A70" s="35" t="s">
        <v>10428</v>
      </c>
      <c r="B70" s="35" t="s">
        <v>251</v>
      </c>
      <c r="C70" s="36" t="s">
        <v>252</v>
      </c>
      <c r="D70" s="35" t="s">
        <v>253</v>
      </c>
      <c r="E70" s="35" t="s">
        <v>10402</v>
      </c>
      <c r="F70" s="35" t="s">
        <v>10403</v>
      </c>
      <c r="G70" s="35">
        <v>70225</v>
      </c>
      <c r="H70" s="35">
        <v>120000</v>
      </c>
      <c r="I70" s="35">
        <v>100007</v>
      </c>
      <c r="J70" s="34" t="s">
        <v>93</v>
      </c>
      <c r="K70" s="34" t="str">
        <f t="shared" si="2"/>
        <v>不重复</v>
      </c>
      <c r="L70" s="34" t="str">
        <f t="shared" si="3"/>
        <v>不重复</v>
      </c>
    </row>
    <row r="71" spans="1:12" ht="27">
      <c r="A71" s="35" t="s">
        <v>10429</v>
      </c>
      <c r="B71" s="35" t="s">
        <v>254</v>
      </c>
      <c r="C71" s="36" t="s">
        <v>255</v>
      </c>
      <c r="D71" s="35" t="s">
        <v>256</v>
      </c>
      <c r="E71" s="35" t="s">
        <v>10402</v>
      </c>
      <c r="F71" s="35" t="s">
        <v>10403</v>
      </c>
      <c r="G71" s="35">
        <v>70226</v>
      </c>
      <c r="H71" s="35">
        <v>120000</v>
      </c>
      <c r="I71" s="35">
        <v>100007</v>
      </c>
      <c r="J71" s="34" t="s">
        <v>257</v>
      </c>
      <c r="K71" s="34" t="str">
        <f t="shared" si="2"/>
        <v>不重复</v>
      </c>
      <c r="L71" s="34" t="str">
        <f t="shared" si="3"/>
        <v>不重复</v>
      </c>
    </row>
    <row r="72" spans="1:12" ht="27">
      <c r="A72" s="35" t="s">
        <v>10430</v>
      </c>
      <c r="B72" s="35" t="s">
        <v>258</v>
      </c>
      <c r="C72" s="36" t="s">
        <v>259</v>
      </c>
      <c r="D72" s="35" t="s">
        <v>260</v>
      </c>
      <c r="E72" s="35" t="s">
        <v>10402</v>
      </c>
      <c r="F72" s="35" t="s">
        <v>10403</v>
      </c>
      <c r="G72" s="35">
        <v>70227</v>
      </c>
      <c r="H72" s="35">
        <v>120000</v>
      </c>
      <c r="I72" s="35">
        <v>100007</v>
      </c>
      <c r="J72" s="34" t="s">
        <v>261</v>
      </c>
      <c r="K72" s="34" t="str">
        <f t="shared" si="2"/>
        <v>重复</v>
      </c>
      <c r="L72" s="34" t="str">
        <f t="shared" si="3"/>
        <v>不重复</v>
      </c>
    </row>
    <row r="73" spans="1:12" ht="15">
      <c r="A73" s="35" t="s">
        <v>10431</v>
      </c>
      <c r="B73" s="35" t="s">
        <v>262</v>
      </c>
      <c r="C73" s="36" t="s">
        <v>263</v>
      </c>
      <c r="D73" s="35" t="s">
        <v>264</v>
      </c>
      <c r="E73" s="35" t="s">
        <v>10402</v>
      </c>
      <c r="F73" s="35" t="s">
        <v>10403</v>
      </c>
      <c r="G73" s="35">
        <v>70228</v>
      </c>
      <c r="H73" s="35">
        <v>120000</v>
      </c>
      <c r="I73" s="35">
        <v>100007</v>
      </c>
      <c r="J73" s="34" t="s">
        <v>194</v>
      </c>
      <c r="K73" s="34" t="str">
        <f t="shared" si="2"/>
        <v>重复</v>
      </c>
      <c r="L73" s="34" t="str">
        <f t="shared" si="3"/>
        <v>不重复</v>
      </c>
    </row>
    <row r="74" spans="1:12" ht="15">
      <c r="A74" s="35" t="s">
        <v>10432</v>
      </c>
      <c r="B74" s="35" t="s">
        <v>265</v>
      </c>
      <c r="C74" s="36" t="s">
        <v>73</v>
      </c>
      <c r="D74" s="35" t="s">
        <v>266</v>
      </c>
      <c r="E74" s="35" t="s">
        <v>10433</v>
      </c>
      <c r="F74" s="35" t="s">
        <v>10403</v>
      </c>
      <c r="G74" s="35">
        <v>70300</v>
      </c>
      <c r="H74" s="35">
        <v>120000</v>
      </c>
      <c r="I74" s="35">
        <v>100007</v>
      </c>
      <c r="J74" s="34" t="s">
        <v>16</v>
      </c>
      <c r="K74" s="34" t="str">
        <f t="shared" si="2"/>
        <v>重复</v>
      </c>
      <c r="L74" s="34" t="str">
        <f t="shared" si="3"/>
        <v>重复</v>
      </c>
    </row>
    <row r="75" spans="1:12" ht="15">
      <c r="A75" s="35" t="s">
        <v>10434</v>
      </c>
      <c r="B75" s="35" t="s">
        <v>267</v>
      </c>
      <c r="C75" s="36" t="s">
        <v>268</v>
      </c>
      <c r="D75" s="35" t="s">
        <v>269</v>
      </c>
      <c r="E75" s="35" t="s">
        <v>10432</v>
      </c>
      <c r="F75" s="35" t="s">
        <v>10403</v>
      </c>
      <c r="G75" s="35">
        <v>70301</v>
      </c>
      <c r="H75" s="35">
        <v>120001</v>
      </c>
      <c r="I75" s="35">
        <v>100007</v>
      </c>
      <c r="J75" s="34" t="s">
        <v>270</v>
      </c>
      <c r="K75" s="34" t="str">
        <f t="shared" si="2"/>
        <v>重复</v>
      </c>
      <c r="L75" s="34" t="str">
        <f t="shared" si="3"/>
        <v>不重复</v>
      </c>
    </row>
    <row r="76" spans="1:12" ht="15">
      <c r="A76" s="35" t="s">
        <v>10435</v>
      </c>
      <c r="B76" s="35" t="s">
        <v>271</v>
      </c>
      <c r="C76" s="36" t="s">
        <v>272</v>
      </c>
      <c r="D76" s="35" t="s">
        <v>273</v>
      </c>
      <c r="E76" s="35" t="s">
        <v>10432</v>
      </c>
      <c r="F76" s="35" t="s">
        <v>10403</v>
      </c>
      <c r="G76" s="35">
        <v>70302</v>
      </c>
      <c r="H76" s="35">
        <v>120001</v>
      </c>
      <c r="I76" s="35">
        <v>100007</v>
      </c>
      <c r="J76" s="34" t="s">
        <v>274</v>
      </c>
      <c r="K76" s="34" t="str">
        <f t="shared" si="2"/>
        <v>重复</v>
      </c>
      <c r="L76" s="34" t="str">
        <f t="shared" si="3"/>
        <v>不重复</v>
      </c>
    </row>
    <row r="77" spans="1:12" ht="15">
      <c r="A77" s="35" t="s">
        <v>10436</v>
      </c>
      <c r="B77" s="35" t="s">
        <v>275</v>
      </c>
      <c r="C77" s="36" t="s">
        <v>276</v>
      </c>
      <c r="D77" s="35" t="s">
        <v>277</v>
      </c>
      <c r="E77" s="35" t="s">
        <v>10432</v>
      </c>
      <c r="F77" s="35" t="s">
        <v>10403</v>
      </c>
      <c r="G77" s="35">
        <v>70303</v>
      </c>
      <c r="H77" s="35">
        <v>120001</v>
      </c>
      <c r="I77" s="35">
        <v>100007</v>
      </c>
      <c r="J77" s="34" t="s">
        <v>93</v>
      </c>
      <c r="K77" s="34" t="str">
        <f t="shared" si="2"/>
        <v>重复</v>
      </c>
      <c r="L77" s="34" t="str">
        <f t="shared" si="3"/>
        <v>不重复</v>
      </c>
    </row>
    <row r="78" spans="1:12" ht="15">
      <c r="A78" s="35" t="s">
        <v>10437</v>
      </c>
      <c r="B78" s="35" t="s">
        <v>278</v>
      </c>
      <c r="C78" s="36" t="s">
        <v>279</v>
      </c>
      <c r="D78" s="35" t="s">
        <v>280</v>
      </c>
      <c r="E78" s="35" t="s">
        <v>10432</v>
      </c>
      <c r="F78" s="35" t="s">
        <v>10403</v>
      </c>
      <c r="G78" s="35">
        <v>70304</v>
      </c>
      <c r="H78" s="35">
        <v>120001</v>
      </c>
      <c r="I78" s="35">
        <v>100007</v>
      </c>
      <c r="J78" s="34" t="s">
        <v>281</v>
      </c>
      <c r="K78" s="34" t="str">
        <f t="shared" si="2"/>
        <v>重复</v>
      </c>
      <c r="L78" s="34" t="str">
        <f t="shared" si="3"/>
        <v>不重复</v>
      </c>
    </row>
    <row r="79" spans="1:12" ht="15">
      <c r="A79" s="35" t="s">
        <v>10438</v>
      </c>
      <c r="B79" s="35" t="s">
        <v>282</v>
      </c>
      <c r="C79" s="36" t="s">
        <v>283</v>
      </c>
      <c r="D79" s="35" t="s">
        <v>284</v>
      </c>
      <c r="E79" s="35" t="s">
        <v>10432</v>
      </c>
      <c r="F79" s="35" t="s">
        <v>10403</v>
      </c>
      <c r="G79" s="35">
        <v>70305</v>
      </c>
      <c r="H79" s="35">
        <v>120001</v>
      </c>
      <c r="I79" s="35">
        <v>100007</v>
      </c>
      <c r="J79" s="34" t="s">
        <v>194</v>
      </c>
      <c r="K79" s="34" t="str">
        <f t="shared" si="2"/>
        <v>不重复</v>
      </c>
      <c r="L79" s="34" t="str">
        <f t="shared" si="3"/>
        <v>不重复</v>
      </c>
    </row>
    <row r="80" spans="1:12" ht="15">
      <c r="A80" s="35" t="s">
        <v>10439</v>
      </c>
      <c r="B80" s="35" t="s">
        <v>285</v>
      </c>
      <c r="C80" s="36" t="s">
        <v>286</v>
      </c>
      <c r="D80" s="35" t="s">
        <v>287</v>
      </c>
      <c r="E80" s="35" t="s">
        <v>10432</v>
      </c>
      <c r="F80" s="35" t="s">
        <v>10403</v>
      </c>
      <c r="G80" s="35">
        <v>70306</v>
      </c>
      <c r="H80" s="35">
        <v>120001</v>
      </c>
      <c r="I80" s="35">
        <v>100007</v>
      </c>
      <c r="J80" s="34" t="s">
        <v>288</v>
      </c>
      <c r="K80" s="34" t="str">
        <f t="shared" si="2"/>
        <v>不重复</v>
      </c>
      <c r="L80" s="34" t="str">
        <f t="shared" si="3"/>
        <v>不重复</v>
      </c>
    </row>
    <row r="81" spans="1:12" ht="15">
      <c r="A81" s="35" t="s">
        <v>10440</v>
      </c>
      <c r="B81" s="35" t="s">
        <v>289</v>
      </c>
      <c r="C81" s="36" t="s">
        <v>73</v>
      </c>
      <c r="D81" s="35" t="s">
        <v>290</v>
      </c>
      <c r="E81" s="35" t="s">
        <v>10432</v>
      </c>
      <c r="F81" s="35" t="s">
        <v>10403</v>
      </c>
      <c r="G81" s="35">
        <v>70307</v>
      </c>
      <c r="H81" s="35">
        <v>120001</v>
      </c>
      <c r="I81" s="35">
        <v>100007</v>
      </c>
      <c r="J81" s="34" t="s">
        <v>129</v>
      </c>
      <c r="K81" s="34" t="str">
        <f t="shared" si="2"/>
        <v>重复</v>
      </c>
      <c r="L81" s="34" t="str">
        <f t="shared" si="3"/>
        <v>重复</v>
      </c>
    </row>
    <row r="82" spans="1:12" ht="27">
      <c r="A82" s="35" t="s">
        <v>10441</v>
      </c>
      <c r="B82" s="35" t="s">
        <v>291</v>
      </c>
      <c r="C82" s="36" t="s">
        <v>292</v>
      </c>
      <c r="D82" s="35" t="s">
        <v>293</v>
      </c>
      <c r="E82" s="35" t="s">
        <v>10432</v>
      </c>
      <c r="F82" s="35" t="s">
        <v>10403</v>
      </c>
      <c r="G82" s="35">
        <v>70308</v>
      </c>
      <c r="H82" s="35">
        <v>120001</v>
      </c>
      <c r="I82" s="35">
        <v>100007</v>
      </c>
      <c r="J82" s="34" t="s">
        <v>194</v>
      </c>
      <c r="K82" s="34" t="str">
        <f t="shared" si="2"/>
        <v>重复</v>
      </c>
      <c r="L82" s="34" t="str">
        <f t="shared" si="3"/>
        <v>重复</v>
      </c>
    </row>
    <row r="83" spans="1:12" ht="15">
      <c r="A83" s="35" t="s">
        <v>10442</v>
      </c>
      <c r="B83" s="35" t="s">
        <v>294</v>
      </c>
      <c r="C83" s="36" t="s">
        <v>295</v>
      </c>
      <c r="D83" s="35" t="s">
        <v>74</v>
      </c>
      <c r="E83" s="35" t="s">
        <v>10442</v>
      </c>
      <c r="F83" s="35" t="s">
        <v>10403</v>
      </c>
      <c r="G83" s="35">
        <v>70400</v>
      </c>
      <c r="H83" s="35">
        <v>120002</v>
      </c>
      <c r="I83" s="35">
        <v>100007</v>
      </c>
      <c r="J83" s="34" t="s">
        <v>16</v>
      </c>
      <c r="K83" s="34" t="str">
        <f t="shared" si="2"/>
        <v>不重复</v>
      </c>
      <c r="L83" s="34" t="str">
        <f t="shared" si="3"/>
        <v>重复</v>
      </c>
    </row>
    <row r="84" spans="1:12" ht="27">
      <c r="A84" s="35" t="s">
        <v>10443</v>
      </c>
      <c r="B84" s="35" t="s">
        <v>296</v>
      </c>
      <c r="C84" s="36" t="s">
        <v>297</v>
      </c>
      <c r="D84" s="35" t="s">
        <v>298</v>
      </c>
      <c r="E84" s="35" t="s">
        <v>10442</v>
      </c>
      <c r="F84" s="35" t="s">
        <v>10403</v>
      </c>
      <c r="G84" s="35">
        <v>70401</v>
      </c>
      <c r="H84" s="35">
        <v>120002</v>
      </c>
      <c r="I84" s="35">
        <v>100007</v>
      </c>
      <c r="J84" s="34" t="s">
        <v>93</v>
      </c>
      <c r="K84" s="34" t="str">
        <f t="shared" si="2"/>
        <v>重复</v>
      </c>
      <c r="L84" s="34" t="str">
        <f t="shared" si="3"/>
        <v>不重复</v>
      </c>
    </row>
    <row r="85" spans="1:12" ht="30">
      <c r="A85" s="35" t="s">
        <v>10444</v>
      </c>
      <c r="B85" s="35" t="s">
        <v>299</v>
      </c>
      <c r="C85" s="36" t="s">
        <v>300</v>
      </c>
      <c r="D85" s="35" t="s">
        <v>301</v>
      </c>
      <c r="E85" s="35" t="s">
        <v>10442</v>
      </c>
      <c r="F85" s="35" t="s">
        <v>10403</v>
      </c>
      <c r="G85" s="35">
        <v>70402</v>
      </c>
      <c r="H85" s="35">
        <v>120002</v>
      </c>
      <c r="I85" s="35">
        <v>100007</v>
      </c>
      <c r="J85" s="34" t="s">
        <v>302</v>
      </c>
      <c r="K85" s="34" t="str">
        <f t="shared" si="2"/>
        <v>重复</v>
      </c>
      <c r="L85" s="34" t="str">
        <f t="shared" si="3"/>
        <v>重复</v>
      </c>
    </row>
    <row r="86" spans="1:12" ht="15">
      <c r="A86" s="35" t="s">
        <v>10445</v>
      </c>
      <c r="B86" s="35" t="s">
        <v>303</v>
      </c>
      <c r="C86" s="36" t="s">
        <v>304</v>
      </c>
      <c r="D86" s="35" t="s">
        <v>301</v>
      </c>
      <c r="E86" s="35" t="s">
        <v>10442</v>
      </c>
      <c r="F86" s="35" t="s">
        <v>10403</v>
      </c>
      <c r="G86" s="35">
        <v>70403</v>
      </c>
      <c r="H86" s="35">
        <v>120002</v>
      </c>
      <c r="I86" s="35">
        <v>100007</v>
      </c>
      <c r="J86" s="34" t="s">
        <v>305</v>
      </c>
      <c r="K86" s="34" t="str">
        <f t="shared" si="2"/>
        <v>重复</v>
      </c>
      <c r="L86" s="34" t="str">
        <f t="shared" si="3"/>
        <v>重复</v>
      </c>
    </row>
    <row r="87" spans="1:12" ht="30">
      <c r="A87" s="35" t="s">
        <v>10446</v>
      </c>
      <c r="B87" s="35" t="s">
        <v>306</v>
      </c>
      <c r="C87" s="36" t="s">
        <v>127</v>
      </c>
      <c r="D87" s="35" t="s">
        <v>307</v>
      </c>
      <c r="E87" s="35" t="s">
        <v>10442</v>
      </c>
      <c r="F87" s="35" t="s">
        <v>10403</v>
      </c>
      <c r="G87" s="35">
        <v>70404</v>
      </c>
      <c r="H87" s="35">
        <v>120002</v>
      </c>
      <c r="I87" s="35">
        <v>100007</v>
      </c>
      <c r="J87" s="34" t="s">
        <v>168</v>
      </c>
      <c r="K87" s="34" t="str">
        <f t="shared" si="2"/>
        <v>重复</v>
      </c>
      <c r="L87" s="34" t="str">
        <f t="shared" si="3"/>
        <v>不重复</v>
      </c>
    </row>
    <row r="88" spans="1:12" ht="30">
      <c r="A88" s="35" t="s">
        <v>10447</v>
      </c>
      <c r="B88" s="35" t="s">
        <v>308</v>
      </c>
      <c r="C88" s="36" t="s">
        <v>309</v>
      </c>
      <c r="D88" s="35" t="s">
        <v>310</v>
      </c>
      <c r="E88" s="35" t="s">
        <v>10442</v>
      </c>
      <c r="F88" s="35" t="s">
        <v>10403</v>
      </c>
      <c r="G88" s="35">
        <v>70405</v>
      </c>
      <c r="H88" s="35">
        <v>120002</v>
      </c>
      <c r="I88" s="35">
        <v>100007</v>
      </c>
      <c r="J88" s="34" t="s">
        <v>311</v>
      </c>
      <c r="K88" s="34" t="str">
        <f t="shared" si="2"/>
        <v>重复</v>
      </c>
      <c r="L88" s="34" t="str">
        <f t="shared" si="3"/>
        <v>重复</v>
      </c>
    </row>
    <row r="89" spans="1:12" ht="15">
      <c r="A89" s="35" t="s">
        <v>10448</v>
      </c>
      <c r="B89" s="35" t="s">
        <v>312</v>
      </c>
      <c r="C89" s="36" t="s">
        <v>313</v>
      </c>
      <c r="D89" s="35" t="s">
        <v>310</v>
      </c>
      <c r="E89" s="35" t="s">
        <v>10442</v>
      </c>
      <c r="F89" s="35" t="s">
        <v>10403</v>
      </c>
      <c r="G89" s="35">
        <v>70406</v>
      </c>
      <c r="H89" s="35">
        <v>120002</v>
      </c>
      <c r="I89" s="35">
        <v>100007</v>
      </c>
      <c r="J89" s="34" t="s">
        <v>93</v>
      </c>
      <c r="K89" s="34" t="str">
        <f t="shared" si="2"/>
        <v>不重复</v>
      </c>
      <c r="L89" s="34" t="str">
        <f t="shared" si="3"/>
        <v>重复</v>
      </c>
    </row>
    <row r="90" spans="1:12" ht="30">
      <c r="A90" s="35" t="s">
        <v>10449</v>
      </c>
      <c r="B90" s="35" t="s">
        <v>314</v>
      </c>
      <c r="C90" s="36" t="s">
        <v>315</v>
      </c>
      <c r="D90" s="35" t="s">
        <v>316</v>
      </c>
      <c r="E90" s="35" t="s">
        <v>10442</v>
      </c>
      <c r="F90" s="35" t="s">
        <v>10403</v>
      </c>
      <c r="G90" s="35">
        <v>70407</v>
      </c>
      <c r="H90" s="35">
        <v>120002</v>
      </c>
      <c r="I90" s="35">
        <v>100007</v>
      </c>
      <c r="J90" s="34" t="s">
        <v>317</v>
      </c>
      <c r="K90" s="34" t="str">
        <f t="shared" si="2"/>
        <v>重复</v>
      </c>
      <c r="L90" s="34" t="str">
        <f t="shared" si="3"/>
        <v>不重复</v>
      </c>
    </row>
    <row r="91" spans="1:12" ht="30">
      <c r="A91" s="35" t="s">
        <v>10450</v>
      </c>
      <c r="B91" s="35" t="s">
        <v>318</v>
      </c>
      <c r="C91" s="36" t="s">
        <v>319</v>
      </c>
      <c r="D91" s="35" t="s">
        <v>320</v>
      </c>
      <c r="E91" s="35" t="s">
        <v>10442</v>
      </c>
      <c r="F91" s="35" t="s">
        <v>10403</v>
      </c>
      <c r="G91" s="35">
        <v>70408</v>
      </c>
      <c r="H91" s="35">
        <v>120002</v>
      </c>
      <c r="I91" s="35">
        <v>100007</v>
      </c>
      <c r="J91" s="34" t="s">
        <v>321</v>
      </c>
      <c r="K91" s="34" t="str">
        <f t="shared" si="2"/>
        <v>不重复</v>
      </c>
      <c r="L91" s="34" t="str">
        <f t="shared" si="3"/>
        <v>不重复</v>
      </c>
    </row>
    <row r="92" spans="1:12" ht="30">
      <c r="A92" s="35" t="s">
        <v>10451</v>
      </c>
      <c r="B92" s="35" t="s">
        <v>322</v>
      </c>
      <c r="C92" s="36" t="s">
        <v>323</v>
      </c>
      <c r="D92" s="35" t="s">
        <v>324</v>
      </c>
      <c r="E92" s="35" t="s">
        <v>10442</v>
      </c>
      <c r="F92" s="35" t="s">
        <v>10403</v>
      </c>
      <c r="G92" s="35">
        <v>70409</v>
      </c>
      <c r="H92" s="35">
        <v>120002</v>
      </c>
      <c r="I92" s="35">
        <v>100007</v>
      </c>
      <c r="J92" s="34" t="s">
        <v>93</v>
      </c>
      <c r="K92" s="34" t="str">
        <f t="shared" si="2"/>
        <v>不重复</v>
      </c>
      <c r="L92" s="34" t="str">
        <f t="shared" si="3"/>
        <v>不重复</v>
      </c>
    </row>
    <row r="93" spans="1:12" ht="15">
      <c r="A93" s="35" t="s">
        <v>10452</v>
      </c>
      <c r="B93" s="35" t="s">
        <v>325</v>
      </c>
      <c r="C93" s="36" t="s">
        <v>326</v>
      </c>
      <c r="D93" s="35" t="s">
        <v>327</v>
      </c>
      <c r="E93" s="35" t="s">
        <v>10442</v>
      </c>
      <c r="F93" s="35" t="s">
        <v>10403</v>
      </c>
      <c r="G93" s="35">
        <v>70410</v>
      </c>
      <c r="H93" s="35">
        <v>120002</v>
      </c>
      <c r="I93" s="35">
        <v>100007</v>
      </c>
      <c r="J93" s="34" t="s">
        <v>328</v>
      </c>
      <c r="K93" s="34" t="str">
        <f t="shared" si="2"/>
        <v>不重复</v>
      </c>
      <c r="L93" s="34" t="str">
        <f t="shared" si="3"/>
        <v>不重复</v>
      </c>
    </row>
    <row r="94" spans="1:12" ht="15">
      <c r="A94" s="35" t="s">
        <v>10453</v>
      </c>
      <c r="B94" s="35" t="s">
        <v>329</v>
      </c>
      <c r="C94" s="36" t="s">
        <v>330</v>
      </c>
      <c r="D94" s="35" t="s">
        <v>331</v>
      </c>
      <c r="E94" s="35" t="s">
        <v>10442</v>
      </c>
      <c r="F94" s="35" t="s">
        <v>10403</v>
      </c>
      <c r="G94" s="35">
        <v>70411</v>
      </c>
      <c r="H94" s="35">
        <v>120002</v>
      </c>
      <c r="I94" s="35">
        <v>100007</v>
      </c>
      <c r="J94" s="34" t="s">
        <v>317</v>
      </c>
      <c r="K94" s="34" t="str">
        <f t="shared" si="2"/>
        <v>不重复</v>
      </c>
      <c r="L94" s="34" t="str">
        <f t="shared" si="3"/>
        <v>不重复</v>
      </c>
    </row>
    <row r="95" spans="1:12" ht="15">
      <c r="A95" s="35" t="s">
        <v>10454</v>
      </c>
      <c r="B95" s="35" t="s">
        <v>332</v>
      </c>
      <c r="C95" s="36" t="s">
        <v>127</v>
      </c>
      <c r="D95" s="35" t="s">
        <v>333</v>
      </c>
      <c r="E95" s="35" t="s">
        <v>10442</v>
      </c>
      <c r="F95" s="35" t="s">
        <v>10403</v>
      </c>
      <c r="G95" s="35">
        <v>70412</v>
      </c>
      <c r="H95" s="35">
        <v>120002</v>
      </c>
      <c r="I95" s="35">
        <v>100007</v>
      </c>
      <c r="J95" s="34" t="s">
        <v>317</v>
      </c>
      <c r="K95" s="34" t="str">
        <f t="shared" si="2"/>
        <v>重复</v>
      </c>
      <c r="L95" s="34" t="str">
        <f t="shared" si="3"/>
        <v>不重复</v>
      </c>
    </row>
    <row r="96" spans="1:12" ht="30">
      <c r="A96" s="35" t="s">
        <v>10455</v>
      </c>
      <c r="B96" s="35" t="s">
        <v>334</v>
      </c>
      <c r="C96" s="36" t="s">
        <v>335</v>
      </c>
      <c r="D96" s="35" t="s">
        <v>336</v>
      </c>
      <c r="E96" s="35" t="s">
        <v>10442</v>
      </c>
      <c r="F96" s="35" t="s">
        <v>10403</v>
      </c>
      <c r="G96" s="35">
        <v>70413</v>
      </c>
      <c r="H96" s="35">
        <v>120002</v>
      </c>
      <c r="I96" s="35">
        <v>100007</v>
      </c>
      <c r="J96" s="34" t="s">
        <v>337</v>
      </c>
      <c r="K96" s="34" t="str">
        <f t="shared" si="2"/>
        <v>重复</v>
      </c>
      <c r="L96" s="34" t="str">
        <f t="shared" si="3"/>
        <v>不重复</v>
      </c>
    </row>
    <row r="97" spans="1:12" ht="15">
      <c r="A97" s="35" t="s">
        <v>10456</v>
      </c>
      <c r="B97" s="35" t="s">
        <v>338</v>
      </c>
      <c r="C97" s="36" t="s">
        <v>339</v>
      </c>
      <c r="D97" s="35" t="s">
        <v>340</v>
      </c>
      <c r="E97" s="35" t="s">
        <v>10442</v>
      </c>
      <c r="F97" s="35" t="s">
        <v>10403</v>
      </c>
      <c r="G97" s="35">
        <v>70414</v>
      </c>
      <c r="H97" s="35">
        <v>120002</v>
      </c>
      <c r="I97" s="35">
        <v>100007</v>
      </c>
      <c r="J97" s="34" t="s">
        <v>129</v>
      </c>
      <c r="K97" s="34" t="str">
        <f t="shared" si="2"/>
        <v>重复</v>
      </c>
      <c r="L97" s="34" t="str">
        <f t="shared" si="3"/>
        <v>重复</v>
      </c>
    </row>
    <row r="98" spans="1:12" ht="15">
      <c r="A98" s="35" t="s">
        <v>10457</v>
      </c>
      <c r="B98" s="35" t="s">
        <v>341</v>
      </c>
      <c r="C98" s="36" t="s">
        <v>342</v>
      </c>
      <c r="D98" s="35" t="s">
        <v>340</v>
      </c>
      <c r="E98" s="35" t="s">
        <v>10442</v>
      </c>
      <c r="F98" s="35" t="s">
        <v>10403</v>
      </c>
      <c r="G98" s="35">
        <v>70415</v>
      </c>
      <c r="H98" s="35">
        <v>120002</v>
      </c>
      <c r="I98" s="35">
        <v>100007</v>
      </c>
      <c r="J98" s="34" t="s">
        <v>343</v>
      </c>
      <c r="K98" s="34" t="str">
        <f t="shared" si="2"/>
        <v>不重复</v>
      </c>
      <c r="L98" s="34" t="str">
        <f t="shared" si="3"/>
        <v>重复</v>
      </c>
    </row>
    <row r="99" spans="1:12" ht="30">
      <c r="A99" s="35" t="s">
        <v>10458</v>
      </c>
      <c r="B99" s="35" t="s">
        <v>344</v>
      </c>
      <c r="C99" s="36" t="s">
        <v>345</v>
      </c>
      <c r="D99" s="35" t="s">
        <v>346</v>
      </c>
      <c r="E99" s="35" t="s">
        <v>10442</v>
      </c>
      <c r="F99" s="35" t="s">
        <v>10403</v>
      </c>
      <c r="G99" s="35">
        <v>70416</v>
      </c>
      <c r="H99" s="35">
        <v>120002</v>
      </c>
      <c r="I99" s="35">
        <v>100007</v>
      </c>
      <c r="J99" s="34" t="s">
        <v>347</v>
      </c>
      <c r="K99" s="34" t="str">
        <f t="shared" si="2"/>
        <v>不重复</v>
      </c>
      <c r="L99" s="34" t="str">
        <f t="shared" si="3"/>
        <v>重复</v>
      </c>
    </row>
    <row r="100" spans="1:12" ht="30">
      <c r="A100" s="35" t="s">
        <v>10459</v>
      </c>
      <c r="B100" s="35" t="s">
        <v>348</v>
      </c>
      <c r="C100" s="36" t="s">
        <v>349</v>
      </c>
      <c r="D100" s="35" t="s">
        <v>346</v>
      </c>
      <c r="E100" s="35" t="s">
        <v>10442</v>
      </c>
      <c r="F100" s="35" t="s">
        <v>10403</v>
      </c>
      <c r="G100" s="35">
        <v>70417</v>
      </c>
      <c r="H100" s="35">
        <v>120002</v>
      </c>
      <c r="I100" s="35">
        <v>100007</v>
      </c>
      <c r="J100" s="34" t="s">
        <v>93</v>
      </c>
      <c r="K100" s="34" t="str">
        <f t="shared" si="2"/>
        <v>重复</v>
      </c>
      <c r="L100" s="34" t="str">
        <f t="shared" si="3"/>
        <v>重复</v>
      </c>
    </row>
    <row r="101" spans="1:12" ht="30">
      <c r="A101" s="35" t="s">
        <v>10460</v>
      </c>
      <c r="B101" s="35" t="s">
        <v>350</v>
      </c>
      <c r="C101" s="36" t="s">
        <v>351</v>
      </c>
      <c r="D101" s="35" t="s">
        <v>352</v>
      </c>
      <c r="E101" s="35" t="s">
        <v>10442</v>
      </c>
      <c r="F101" s="35" t="s">
        <v>10403</v>
      </c>
      <c r="G101" s="35">
        <v>70418</v>
      </c>
      <c r="H101" s="35">
        <v>120002</v>
      </c>
      <c r="I101" s="35">
        <v>100007</v>
      </c>
      <c r="J101" s="34" t="s">
        <v>353</v>
      </c>
      <c r="K101" s="34" t="str">
        <f t="shared" si="2"/>
        <v>重复</v>
      </c>
      <c r="L101" s="34" t="str">
        <f t="shared" si="3"/>
        <v>不重复</v>
      </c>
    </row>
    <row r="102" spans="1:12" ht="30">
      <c r="A102" s="35" t="s">
        <v>10461</v>
      </c>
      <c r="B102" s="35" t="s">
        <v>354</v>
      </c>
      <c r="C102" s="36" t="s">
        <v>355</v>
      </c>
      <c r="D102" s="35" t="s">
        <v>356</v>
      </c>
      <c r="E102" s="35" t="s">
        <v>10442</v>
      </c>
      <c r="F102" s="35" t="s">
        <v>10403</v>
      </c>
      <c r="G102" s="35">
        <v>70419</v>
      </c>
      <c r="H102" s="35">
        <v>120002</v>
      </c>
      <c r="I102" s="35">
        <v>100007</v>
      </c>
      <c r="J102" s="34" t="s">
        <v>168</v>
      </c>
      <c r="K102" s="34" t="str">
        <f t="shared" si="2"/>
        <v>不重复</v>
      </c>
      <c r="L102" s="34" t="str">
        <f t="shared" si="3"/>
        <v>重复</v>
      </c>
    </row>
    <row r="103" spans="1:12" ht="15">
      <c r="A103" s="35" t="s">
        <v>10462</v>
      </c>
      <c r="B103" s="35" t="s">
        <v>357</v>
      </c>
      <c r="C103" s="36" t="s">
        <v>358</v>
      </c>
      <c r="D103" s="35" t="s">
        <v>356</v>
      </c>
      <c r="E103" s="35" t="s">
        <v>10442</v>
      </c>
      <c r="F103" s="35" t="s">
        <v>10403</v>
      </c>
      <c r="G103" s="35">
        <v>70420</v>
      </c>
      <c r="H103" s="35">
        <v>120002</v>
      </c>
      <c r="I103" s="35">
        <v>100007</v>
      </c>
      <c r="J103" s="34" t="s">
        <v>359</v>
      </c>
      <c r="K103" s="34" t="str">
        <f t="shared" si="2"/>
        <v>重复</v>
      </c>
      <c r="L103" s="34" t="str">
        <f t="shared" si="3"/>
        <v>重复</v>
      </c>
    </row>
    <row r="104" spans="1:12" ht="30">
      <c r="A104" s="35" t="s">
        <v>10463</v>
      </c>
      <c r="B104" s="35" t="s">
        <v>360</v>
      </c>
      <c r="C104" s="36" t="s">
        <v>361</v>
      </c>
      <c r="D104" s="35" t="s">
        <v>362</v>
      </c>
      <c r="E104" s="35" t="s">
        <v>10442</v>
      </c>
      <c r="F104" s="35" t="s">
        <v>10403</v>
      </c>
      <c r="G104" s="35">
        <v>70421</v>
      </c>
      <c r="H104" s="35">
        <v>120002</v>
      </c>
      <c r="I104" s="35">
        <v>100007</v>
      </c>
      <c r="J104" s="34" t="s">
        <v>363</v>
      </c>
      <c r="K104" s="34" t="str">
        <f t="shared" si="2"/>
        <v>不重复</v>
      </c>
      <c r="L104" s="34" t="str">
        <f t="shared" si="3"/>
        <v>重复</v>
      </c>
    </row>
    <row r="105" spans="1:12" ht="15">
      <c r="A105" s="35" t="s">
        <v>10464</v>
      </c>
      <c r="B105" s="35" t="s">
        <v>364</v>
      </c>
      <c r="C105" s="36" t="s">
        <v>365</v>
      </c>
      <c r="D105" s="35" t="s">
        <v>362</v>
      </c>
      <c r="E105" s="35" t="s">
        <v>10442</v>
      </c>
      <c r="F105" s="35" t="s">
        <v>10403</v>
      </c>
      <c r="G105" s="35">
        <v>70422</v>
      </c>
      <c r="H105" s="35">
        <v>120002</v>
      </c>
      <c r="I105" s="35">
        <v>100007</v>
      </c>
      <c r="J105" s="34" t="s">
        <v>366</v>
      </c>
      <c r="K105" s="34" t="str">
        <f t="shared" si="2"/>
        <v>不重复</v>
      </c>
      <c r="L105" s="34" t="str">
        <f t="shared" si="3"/>
        <v>重复</v>
      </c>
    </row>
    <row r="106" spans="1:12" ht="30">
      <c r="A106" s="35" t="s">
        <v>10465</v>
      </c>
      <c r="B106" s="35" t="s">
        <v>367</v>
      </c>
      <c r="C106" s="36" t="s">
        <v>368</v>
      </c>
      <c r="D106" s="35" t="s">
        <v>369</v>
      </c>
      <c r="E106" s="35" t="s">
        <v>10442</v>
      </c>
      <c r="F106" s="35" t="s">
        <v>10403</v>
      </c>
      <c r="G106" s="35">
        <v>70423</v>
      </c>
      <c r="H106" s="35">
        <v>120002</v>
      </c>
      <c r="I106" s="35">
        <v>100007</v>
      </c>
      <c r="J106" s="34" t="s">
        <v>168</v>
      </c>
      <c r="K106" s="34" t="str">
        <f t="shared" si="2"/>
        <v>不重复</v>
      </c>
      <c r="L106" s="34" t="str">
        <f t="shared" si="3"/>
        <v>不重复</v>
      </c>
    </row>
    <row r="107" spans="1:12" ht="15">
      <c r="A107" s="35" t="s">
        <v>10466</v>
      </c>
      <c r="B107" s="35" t="s">
        <v>370</v>
      </c>
      <c r="C107" s="36" t="s">
        <v>371</v>
      </c>
      <c r="D107" s="35" t="s">
        <v>372</v>
      </c>
      <c r="E107" s="35" t="s">
        <v>10442</v>
      </c>
      <c r="F107" s="35" t="s">
        <v>10403</v>
      </c>
      <c r="G107" s="35">
        <v>70424</v>
      </c>
      <c r="H107" s="35">
        <v>120002</v>
      </c>
      <c r="I107" s="35">
        <v>100007</v>
      </c>
      <c r="J107" s="34" t="s">
        <v>317</v>
      </c>
      <c r="K107" s="34" t="str">
        <f t="shared" si="2"/>
        <v>不重复</v>
      </c>
      <c r="L107" s="34" t="str">
        <f t="shared" si="3"/>
        <v>不重复</v>
      </c>
    </row>
    <row r="108" spans="1:12" ht="15">
      <c r="A108" s="35" t="s">
        <v>10467</v>
      </c>
      <c r="B108" s="35" t="s">
        <v>373</v>
      </c>
      <c r="C108" s="36" t="s">
        <v>374</v>
      </c>
      <c r="D108" s="35" t="s">
        <v>375</v>
      </c>
      <c r="E108" s="35" t="s">
        <v>10442</v>
      </c>
      <c r="F108" s="35" t="s">
        <v>10403</v>
      </c>
      <c r="G108" s="35">
        <v>70425</v>
      </c>
      <c r="H108" s="35">
        <v>120002</v>
      </c>
      <c r="I108" s="35">
        <v>100007</v>
      </c>
      <c r="J108" s="34" t="s">
        <v>376</v>
      </c>
      <c r="K108" s="34" t="str">
        <f t="shared" si="2"/>
        <v>不重复</v>
      </c>
      <c r="L108" s="34" t="str">
        <f t="shared" si="3"/>
        <v>不重复</v>
      </c>
    </row>
    <row r="109" spans="1:12" ht="27">
      <c r="A109" s="35" t="s">
        <v>10468</v>
      </c>
      <c r="B109" s="35" t="s">
        <v>377</v>
      </c>
      <c r="C109" s="36" t="s">
        <v>378</v>
      </c>
      <c r="D109" s="35" t="s">
        <v>379</v>
      </c>
      <c r="E109" s="35" t="s">
        <v>10442</v>
      </c>
      <c r="F109" s="35" t="s">
        <v>10403</v>
      </c>
      <c r="G109" s="35">
        <v>70426</v>
      </c>
      <c r="H109" s="35">
        <v>120002</v>
      </c>
      <c r="I109" s="35">
        <v>100007</v>
      </c>
      <c r="J109" s="34" t="s">
        <v>353</v>
      </c>
      <c r="K109" s="34" t="str">
        <f t="shared" si="2"/>
        <v>重复</v>
      </c>
      <c r="L109" s="34" t="str">
        <f t="shared" si="3"/>
        <v>不重复</v>
      </c>
    </row>
    <row r="110" spans="1:12" ht="27">
      <c r="A110" s="35" t="s">
        <v>10469</v>
      </c>
      <c r="B110" s="35" t="s">
        <v>380</v>
      </c>
      <c r="C110" s="36" t="s">
        <v>381</v>
      </c>
      <c r="D110" s="35" t="s">
        <v>382</v>
      </c>
      <c r="E110" s="35" t="s">
        <v>10442</v>
      </c>
      <c r="F110" s="35" t="s">
        <v>10403</v>
      </c>
      <c r="G110" s="35">
        <v>70427</v>
      </c>
      <c r="H110" s="35">
        <v>120002</v>
      </c>
      <c r="I110" s="35">
        <v>100007</v>
      </c>
      <c r="J110" s="34" t="s">
        <v>93</v>
      </c>
      <c r="K110" s="34" t="str">
        <f t="shared" si="2"/>
        <v>重复</v>
      </c>
      <c r="L110" s="34" t="str">
        <f t="shared" si="3"/>
        <v>不重复</v>
      </c>
    </row>
    <row r="111" spans="1:12" ht="30">
      <c r="A111" s="35" t="s">
        <v>10470</v>
      </c>
      <c r="B111" s="35" t="s">
        <v>383</v>
      </c>
      <c r="C111" s="36" t="s">
        <v>384</v>
      </c>
      <c r="D111" s="35" t="s">
        <v>385</v>
      </c>
      <c r="E111" s="35" t="s">
        <v>10442</v>
      </c>
      <c r="F111" s="35" t="s">
        <v>10403</v>
      </c>
      <c r="G111" s="35">
        <v>70428</v>
      </c>
      <c r="H111" s="35">
        <v>120002</v>
      </c>
      <c r="I111" s="35">
        <v>100007</v>
      </c>
      <c r="J111" s="34" t="s">
        <v>386</v>
      </c>
      <c r="K111" s="34" t="str">
        <f t="shared" si="2"/>
        <v>不重复</v>
      </c>
      <c r="L111" s="34" t="str">
        <f t="shared" si="3"/>
        <v>不重复</v>
      </c>
    </row>
    <row r="112" spans="1:12" ht="27">
      <c r="A112" s="35" t="s">
        <v>10471</v>
      </c>
      <c r="B112" s="35" t="s">
        <v>387</v>
      </c>
      <c r="C112" s="36" t="s">
        <v>388</v>
      </c>
      <c r="D112" s="35" t="s">
        <v>389</v>
      </c>
      <c r="E112" s="35" t="s">
        <v>10442</v>
      </c>
      <c r="F112" s="35" t="s">
        <v>10403</v>
      </c>
      <c r="G112" s="35">
        <v>70429</v>
      </c>
      <c r="H112" s="35">
        <v>120002</v>
      </c>
      <c r="I112" s="35">
        <v>100007</v>
      </c>
      <c r="J112" s="34" t="s">
        <v>390</v>
      </c>
      <c r="K112" s="34" t="str">
        <f t="shared" si="2"/>
        <v>重复</v>
      </c>
      <c r="L112" s="34" t="str">
        <f t="shared" si="3"/>
        <v>不重复</v>
      </c>
    </row>
    <row r="113" spans="1:12" ht="30">
      <c r="A113" s="35" t="s">
        <v>10472</v>
      </c>
      <c r="B113" s="35" t="s">
        <v>391</v>
      </c>
      <c r="C113" s="36" t="s">
        <v>392</v>
      </c>
      <c r="D113" s="35" t="s">
        <v>393</v>
      </c>
      <c r="E113" s="35" t="s">
        <v>10442</v>
      </c>
      <c r="F113" s="35" t="s">
        <v>10403</v>
      </c>
      <c r="G113" s="35">
        <v>70430</v>
      </c>
      <c r="H113" s="35">
        <v>120002</v>
      </c>
      <c r="I113" s="35">
        <v>100007</v>
      </c>
      <c r="J113" s="34" t="s">
        <v>353</v>
      </c>
      <c r="K113" s="34" t="str">
        <f t="shared" si="2"/>
        <v>不重复</v>
      </c>
      <c r="L113" s="34" t="str">
        <f t="shared" si="3"/>
        <v>不重复</v>
      </c>
    </row>
    <row r="114" spans="1:12" ht="30">
      <c r="A114" s="35" t="s">
        <v>10473</v>
      </c>
      <c r="B114" s="35" t="s">
        <v>394</v>
      </c>
      <c r="C114" s="36" t="s">
        <v>395</v>
      </c>
      <c r="D114" s="35" t="s">
        <v>396</v>
      </c>
      <c r="E114" s="35" t="s">
        <v>10442</v>
      </c>
      <c r="F114" s="35" t="s">
        <v>10403</v>
      </c>
      <c r="G114" s="35">
        <v>70431</v>
      </c>
      <c r="H114" s="35">
        <v>120002</v>
      </c>
      <c r="I114" s="35">
        <v>100007</v>
      </c>
      <c r="J114" s="34" t="s">
        <v>363</v>
      </c>
      <c r="K114" s="34" t="str">
        <f t="shared" si="2"/>
        <v>重复</v>
      </c>
      <c r="L114" s="34" t="str">
        <f t="shared" si="3"/>
        <v>不重复</v>
      </c>
    </row>
    <row r="115" spans="1:12" ht="27">
      <c r="A115" s="35" t="s">
        <v>10474</v>
      </c>
      <c r="B115" s="35" t="s">
        <v>397</v>
      </c>
      <c r="C115" s="36" t="s">
        <v>398</v>
      </c>
      <c r="D115" s="35" t="s">
        <v>399</v>
      </c>
      <c r="E115" s="35" t="s">
        <v>10442</v>
      </c>
      <c r="F115" s="35" t="s">
        <v>10403</v>
      </c>
      <c r="G115" s="35">
        <v>70432</v>
      </c>
      <c r="H115" s="35">
        <v>120002</v>
      </c>
      <c r="I115" s="35">
        <v>100007</v>
      </c>
      <c r="J115" s="34" t="s">
        <v>363</v>
      </c>
      <c r="K115" s="34" t="str">
        <f t="shared" si="2"/>
        <v>不重复</v>
      </c>
      <c r="L115" s="34" t="str">
        <f t="shared" si="3"/>
        <v>不重复</v>
      </c>
    </row>
    <row r="116" spans="1:12" ht="30">
      <c r="A116" s="35" t="s">
        <v>10475</v>
      </c>
      <c r="B116" s="35" t="s">
        <v>400</v>
      </c>
      <c r="C116" s="36" t="s">
        <v>401</v>
      </c>
      <c r="D116" s="35" t="s">
        <v>402</v>
      </c>
      <c r="E116" s="35" t="s">
        <v>10442</v>
      </c>
      <c r="F116" s="35" t="s">
        <v>10403</v>
      </c>
      <c r="G116" s="35">
        <v>70433</v>
      </c>
      <c r="H116" s="35">
        <v>120002</v>
      </c>
      <c r="I116" s="35">
        <v>100007</v>
      </c>
      <c r="J116" s="34" t="s">
        <v>353</v>
      </c>
      <c r="K116" s="34" t="str">
        <f t="shared" si="2"/>
        <v>不重复</v>
      </c>
      <c r="L116" s="34" t="str">
        <f t="shared" si="3"/>
        <v>重复</v>
      </c>
    </row>
    <row r="117" spans="1:12" ht="27">
      <c r="A117" s="35" t="s">
        <v>10476</v>
      </c>
      <c r="B117" s="35" t="s">
        <v>403</v>
      </c>
      <c r="C117" s="36" t="s">
        <v>404</v>
      </c>
      <c r="D117" s="35" t="s">
        <v>405</v>
      </c>
      <c r="E117" s="35" t="s">
        <v>10442</v>
      </c>
      <c r="F117" s="35" t="s">
        <v>10403</v>
      </c>
      <c r="G117" s="35">
        <v>70434</v>
      </c>
      <c r="H117" s="35">
        <v>120002</v>
      </c>
      <c r="I117" s="35">
        <v>100007</v>
      </c>
      <c r="J117" s="34" t="s">
        <v>406</v>
      </c>
      <c r="K117" s="34" t="str">
        <f t="shared" si="2"/>
        <v>重复</v>
      </c>
      <c r="L117" s="34" t="str">
        <f t="shared" si="3"/>
        <v>重复</v>
      </c>
    </row>
    <row r="118" spans="1:12" ht="27">
      <c r="A118" s="35" t="s">
        <v>10477</v>
      </c>
      <c r="B118" s="35" t="s">
        <v>407</v>
      </c>
      <c r="C118" s="36" t="s">
        <v>408</v>
      </c>
      <c r="D118" s="35" t="s">
        <v>409</v>
      </c>
      <c r="E118" s="35" t="s">
        <v>10442</v>
      </c>
      <c r="F118" s="35" t="s">
        <v>10403</v>
      </c>
      <c r="G118" s="35">
        <v>70435</v>
      </c>
      <c r="H118" s="35">
        <v>120002</v>
      </c>
      <c r="I118" s="35">
        <v>100007</v>
      </c>
      <c r="J118" s="34" t="s">
        <v>93</v>
      </c>
      <c r="K118" s="34" t="str">
        <f t="shared" si="2"/>
        <v>重复</v>
      </c>
      <c r="L118" s="34" t="str">
        <f t="shared" si="3"/>
        <v>不重复</v>
      </c>
    </row>
    <row r="119" spans="1:12" ht="15">
      <c r="A119" s="35" t="s">
        <v>10478</v>
      </c>
      <c r="B119" s="35" t="s">
        <v>410</v>
      </c>
      <c r="C119" s="36" t="s">
        <v>411</v>
      </c>
      <c r="D119" s="35" t="s">
        <v>412</v>
      </c>
      <c r="E119" s="35" t="s">
        <v>10442</v>
      </c>
      <c r="F119" s="35" t="s">
        <v>10403</v>
      </c>
      <c r="G119" s="35">
        <v>70436</v>
      </c>
      <c r="H119" s="35">
        <v>120002</v>
      </c>
      <c r="I119" s="35">
        <v>100007</v>
      </c>
      <c r="J119" s="34" t="s">
        <v>89</v>
      </c>
      <c r="K119" s="34" t="str">
        <f t="shared" si="2"/>
        <v>重复</v>
      </c>
      <c r="L119" s="34" t="str">
        <f t="shared" si="3"/>
        <v>不重复</v>
      </c>
    </row>
    <row r="120" spans="1:12" ht="27">
      <c r="A120" s="35" t="s">
        <v>10479</v>
      </c>
      <c r="B120" s="35" t="s">
        <v>413</v>
      </c>
      <c r="C120" s="36" t="s">
        <v>414</v>
      </c>
      <c r="D120" s="35" t="s">
        <v>415</v>
      </c>
      <c r="E120" s="35" t="s">
        <v>10442</v>
      </c>
      <c r="F120" s="35" t="s">
        <v>10403</v>
      </c>
      <c r="G120" s="35">
        <v>70437</v>
      </c>
      <c r="H120" s="35">
        <v>120002</v>
      </c>
      <c r="I120" s="35">
        <v>100007</v>
      </c>
      <c r="J120" s="34" t="s">
        <v>363</v>
      </c>
      <c r="K120" s="34" t="str">
        <f t="shared" si="2"/>
        <v>重复</v>
      </c>
      <c r="L120" s="34" t="str">
        <f t="shared" si="3"/>
        <v>不重复</v>
      </c>
    </row>
    <row r="121" spans="1:12" ht="27">
      <c r="A121" s="35" t="s">
        <v>10480</v>
      </c>
      <c r="B121" s="35" t="s">
        <v>416</v>
      </c>
      <c r="C121" s="36" t="s">
        <v>417</v>
      </c>
      <c r="D121" s="35" t="s">
        <v>418</v>
      </c>
      <c r="E121" s="35" t="s">
        <v>10442</v>
      </c>
      <c r="F121" s="35" t="s">
        <v>10403</v>
      </c>
      <c r="G121" s="35">
        <v>70438</v>
      </c>
      <c r="H121" s="35">
        <v>120002</v>
      </c>
      <c r="I121" s="35">
        <v>100007</v>
      </c>
      <c r="J121" s="34" t="s">
        <v>129</v>
      </c>
      <c r="K121" s="34" t="str">
        <f t="shared" si="2"/>
        <v>不重复</v>
      </c>
      <c r="L121" s="34" t="str">
        <f t="shared" si="3"/>
        <v>不重复</v>
      </c>
    </row>
    <row r="122" spans="1:12" ht="27">
      <c r="A122" s="35" t="s">
        <v>10481</v>
      </c>
      <c r="B122" s="35" t="s">
        <v>419</v>
      </c>
      <c r="C122" s="36" t="s">
        <v>420</v>
      </c>
      <c r="D122" s="35" t="s">
        <v>421</v>
      </c>
      <c r="E122" s="35" t="s">
        <v>10442</v>
      </c>
      <c r="F122" s="35" t="s">
        <v>10403</v>
      </c>
      <c r="G122" s="35">
        <v>70439</v>
      </c>
      <c r="H122" s="35">
        <v>120002</v>
      </c>
      <c r="I122" s="35">
        <v>100007</v>
      </c>
      <c r="J122" s="34" t="s">
        <v>422</v>
      </c>
      <c r="K122" s="34" t="str">
        <f t="shared" si="2"/>
        <v>重复</v>
      </c>
      <c r="L122" s="34" t="str">
        <f t="shared" si="3"/>
        <v>重复</v>
      </c>
    </row>
    <row r="123" spans="1:12" ht="27">
      <c r="A123" s="35" t="s">
        <v>10482</v>
      </c>
      <c r="B123" s="35" t="s">
        <v>423</v>
      </c>
      <c r="C123" s="36" t="s">
        <v>424</v>
      </c>
      <c r="D123" s="35" t="s">
        <v>425</v>
      </c>
      <c r="E123" s="35" t="s">
        <v>10442</v>
      </c>
      <c r="F123" s="35" t="s">
        <v>10403</v>
      </c>
      <c r="G123" s="35">
        <v>70440</v>
      </c>
      <c r="H123" s="35">
        <v>120002</v>
      </c>
      <c r="I123" s="35">
        <v>100007</v>
      </c>
      <c r="J123" s="34" t="s">
        <v>422</v>
      </c>
      <c r="K123" s="34" t="str">
        <f t="shared" si="2"/>
        <v>不重复</v>
      </c>
      <c r="L123" s="34" t="str">
        <f t="shared" si="3"/>
        <v>不重复</v>
      </c>
    </row>
    <row r="124" spans="1:12" ht="27">
      <c r="A124" s="35" t="s">
        <v>10483</v>
      </c>
      <c r="B124" s="35" t="s">
        <v>426</v>
      </c>
      <c r="C124" s="36" t="s">
        <v>427</v>
      </c>
      <c r="D124" s="35" t="s">
        <v>428</v>
      </c>
      <c r="E124" s="35" t="s">
        <v>10442</v>
      </c>
      <c r="F124" s="35" t="s">
        <v>10403</v>
      </c>
      <c r="G124" s="35">
        <v>70441</v>
      </c>
      <c r="H124" s="35">
        <v>120002</v>
      </c>
      <c r="I124" s="35">
        <v>100007</v>
      </c>
      <c r="J124" s="34" t="s">
        <v>363</v>
      </c>
      <c r="K124" s="34" t="str">
        <f t="shared" si="2"/>
        <v>重复</v>
      </c>
      <c r="L124" s="34" t="str">
        <f t="shared" si="3"/>
        <v>不重复</v>
      </c>
    </row>
    <row r="125" spans="1:12" ht="15">
      <c r="A125" s="35" t="s">
        <v>10484</v>
      </c>
      <c r="B125" s="35" t="s">
        <v>429</v>
      </c>
      <c r="C125" s="36" t="s">
        <v>430</v>
      </c>
      <c r="D125" s="35" t="s">
        <v>431</v>
      </c>
      <c r="E125" s="35" t="s">
        <v>10442</v>
      </c>
      <c r="F125" s="35" t="s">
        <v>10403</v>
      </c>
      <c r="G125" s="35">
        <v>70442</v>
      </c>
      <c r="H125" s="35">
        <v>120002</v>
      </c>
      <c r="I125" s="35">
        <v>100007</v>
      </c>
      <c r="J125" s="34" t="s">
        <v>302</v>
      </c>
      <c r="K125" s="34" t="str">
        <f t="shared" si="2"/>
        <v>不重复</v>
      </c>
      <c r="L125" s="34" t="str">
        <f t="shared" si="3"/>
        <v>重复</v>
      </c>
    </row>
    <row r="126" spans="1:12" ht="15">
      <c r="A126" s="35" t="s">
        <v>10485</v>
      </c>
      <c r="B126" s="35" t="s">
        <v>432</v>
      </c>
      <c r="C126" s="36" t="s">
        <v>433</v>
      </c>
      <c r="D126" s="35" t="s">
        <v>434</v>
      </c>
      <c r="E126" s="35" t="s">
        <v>10485</v>
      </c>
      <c r="F126" s="35" t="s">
        <v>10403</v>
      </c>
      <c r="G126" s="35">
        <v>70500</v>
      </c>
      <c r="H126" s="35">
        <v>120003</v>
      </c>
      <c r="I126" s="35">
        <v>100007</v>
      </c>
      <c r="J126" s="34" t="s">
        <v>16</v>
      </c>
      <c r="K126" s="34" t="str">
        <f t="shared" si="2"/>
        <v>重复</v>
      </c>
      <c r="L126" s="34" t="str">
        <f t="shared" si="3"/>
        <v>重复</v>
      </c>
    </row>
    <row r="127" spans="1:12" ht="27">
      <c r="A127" s="35" t="s">
        <v>10486</v>
      </c>
      <c r="B127" s="35" t="s">
        <v>435</v>
      </c>
      <c r="C127" s="36" t="s">
        <v>436</v>
      </c>
      <c r="D127" s="35" t="s">
        <v>437</v>
      </c>
      <c r="E127" s="35" t="s">
        <v>10485</v>
      </c>
      <c r="F127" s="35" t="s">
        <v>10403</v>
      </c>
      <c r="G127" s="35">
        <v>70501</v>
      </c>
      <c r="H127" s="35">
        <v>120003</v>
      </c>
      <c r="I127" s="35">
        <v>100007</v>
      </c>
      <c r="J127" s="34" t="s">
        <v>422</v>
      </c>
      <c r="K127" s="34" t="str">
        <f t="shared" si="2"/>
        <v>不重复</v>
      </c>
      <c r="L127" s="34" t="str">
        <f t="shared" si="3"/>
        <v>不重复</v>
      </c>
    </row>
    <row r="128" spans="1:12" ht="27">
      <c r="A128" s="35" t="s">
        <v>10487</v>
      </c>
      <c r="B128" s="35" t="s">
        <v>438</v>
      </c>
      <c r="C128" s="36" t="s">
        <v>40</v>
      </c>
      <c r="D128" s="35" t="s">
        <v>439</v>
      </c>
      <c r="E128" s="35" t="s">
        <v>10485</v>
      </c>
      <c r="F128" s="35" t="s">
        <v>10403</v>
      </c>
      <c r="G128" s="35">
        <v>70502</v>
      </c>
      <c r="H128" s="35">
        <v>120003</v>
      </c>
      <c r="I128" s="35">
        <v>100007</v>
      </c>
      <c r="J128" s="34" t="s">
        <v>440</v>
      </c>
      <c r="K128" s="34" t="str">
        <f t="shared" si="2"/>
        <v>重复</v>
      </c>
      <c r="L128" s="34" t="str">
        <f t="shared" si="3"/>
        <v>不重复</v>
      </c>
    </row>
    <row r="129" spans="1:12" ht="27">
      <c r="A129" s="35" t="s">
        <v>10488</v>
      </c>
      <c r="B129" s="35" t="s">
        <v>441</v>
      </c>
      <c r="C129" s="36" t="s">
        <v>442</v>
      </c>
      <c r="D129" s="35" t="s">
        <v>443</v>
      </c>
      <c r="E129" s="35" t="s">
        <v>10485</v>
      </c>
      <c r="F129" s="35" t="s">
        <v>10403</v>
      </c>
      <c r="G129" s="35">
        <v>70503</v>
      </c>
      <c r="H129" s="35">
        <v>120003</v>
      </c>
      <c r="I129" s="35">
        <v>100007</v>
      </c>
      <c r="J129" s="34" t="s">
        <v>302</v>
      </c>
      <c r="K129" s="34" t="str">
        <f t="shared" si="2"/>
        <v>不重复</v>
      </c>
      <c r="L129" s="34" t="str">
        <f t="shared" si="3"/>
        <v>不重复</v>
      </c>
    </row>
    <row r="130" spans="1:12" ht="27">
      <c r="A130" s="35" t="s">
        <v>10489</v>
      </c>
      <c r="B130" s="35" t="s">
        <v>444</v>
      </c>
      <c r="C130" s="36" t="s">
        <v>445</v>
      </c>
      <c r="D130" s="35" t="s">
        <v>446</v>
      </c>
      <c r="E130" s="35" t="s">
        <v>10485</v>
      </c>
      <c r="F130" s="35" t="s">
        <v>10403</v>
      </c>
      <c r="G130" s="35">
        <v>70504</v>
      </c>
      <c r="H130" s="35">
        <v>120003</v>
      </c>
      <c r="I130" s="35">
        <v>100007</v>
      </c>
      <c r="J130" s="34" t="s">
        <v>89</v>
      </c>
      <c r="K130" s="34" t="str">
        <f t="shared" si="2"/>
        <v>重复</v>
      </c>
      <c r="L130" s="34" t="str">
        <f t="shared" si="3"/>
        <v>不重复</v>
      </c>
    </row>
    <row r="131" spans="1:12" ht="27">
      <c r="A131" s="35" t="s">
        <v>10490</v>
      </c>
      <c r="B131" s="35" t="s">
        <v>447</v>
      </c>
      <c r="C131" s="36" t="s">
        <v>448</v>
      </c>
      <c r="D131" s="35" t="s">
        <v>449</v>
      </c>
      <c r="E131" s="35" t="s">
        <v>10485</v>
      </c>
      <c r="F131" s="35" t="s">
        <v>10403</v>
      </c>
      <c r="G131" s="35">
        <v>70505</v>
      </c>
      <c r="H131" s="35">
        <v>120003</v>
      </c>
      <c r="I131" s="35">
        <v>100007</v>
      </c>
      <c r="J131" s="34" t="s">
        <v>89</v>
      </c>
      <c r="K131" s="34" t="str">
        <f t="shared" si="4" ref="K131:K194">IF(COUNTIF(C:C,C131)&gt;=2,"重复","不重复")</f>
        <v>重复</v>
      </c>
      <c r="L131" s="34" t="str">
        <f t="shared" si="5" ref="L131:L194">IF(COUNTIF(D:D,D131)&gt;=2,"重复","不重复")</f>
        <v>不重复</v>
      </c>
    </row>
    <row r="132" spans="1:12" ht="15">
      <c r="A132" s="35" t="s">
        <v>10491</v>
      </c>
      <c r="B132" s="35" t="s">
        <v>450</v>
      </c>
      <c r="C132" s="36" t="s">
        <v>84</v>
      </c>
      <c r="D132" s="35" t="s">
        <v>451</v>
      </c>
      <c r="E132" s="35" t="s">
        <v>10491</v>
      </c>
      <c r="F132" s="35" t="s">
        <v>10492</v>
      </c>
      <c r="G132" s="35">
        <v>80100</v>
      </c>
      <c r="H132" s="35">
        <v>130000</v>
      </c>
      <c r="I132" s="35">
        <v>100008</v>
      </c>
      <c r="J132" s="34" t="s">
        <v>16</v>
      </c>
      <c r="K132" s="34" t="str">
        <f t="shared" si="4"/>
        <v>重复</v>
      </c>
      <c r="L132" s="34" t="str">
        <f t="shared" si="5"/>
        <v>重复</v>
      </c>
    </row>
    <row r="133" spans="1:12" ht="15">
      <c r="A133" s="35" t="s">
        <v>10493</v>
      </c>
      <c r="B133" s="35" t="s">
        <v>452</v>
      </c>
      <c r="C133" s="36" t="s">
        <v>453</v>
      </c>
      <c r="D133" s="35" t="s">
        <v>454</v>
      </c>
      <c r="E133" s="35" t="s">
        <v>10491</v>
      </c>
      <c r="F133" s="35" t="s">
        <v>10492</v>
      </c>
      <c r="G133" s="35">
        <v>80101</v>
      </c>
      <c r="H133" s="35">
        <v>130000</v>
      </c>
      <c r="I133" s="35">
        <v>100008</v>
      </c>
      <c r="J133" s="34" t="s">
        <v>82</v>
      </c>
      <c r="K133" s="34" t="str">
        <f t="shared" si="4"/>
        <v>不重复</v>
      </c>
      <c r="L133" s="34" t="str">
        <f t="shared" si="5"/>
        <v>不重复</v>
      </c>
    </row>
    <row r="134" spans="1:12" ht="15">
      <c r="A134" s="35" t="s">
        <v>10494</v>
      </c>
      <c r="B134" s="35" t="s">
        <v>455</v>
      </c>
      <c r="C134" s="36" t="s">
        <v>456</v>
      </c>
      <c r="D134" s="35" t="s">
        <v>457</v>
      </c>
      <c r="E134" s="35" t="s">
        <v>10491</v>
      </c>
      <c r="F134" s="35" t="s">
        <v>10492</v>
      </c>
      <c r="G134" s="35">
        <v>80102</v>
      </c>
      <c r="H134" s="35">
        <v>130000</v>
      </c>
      <c r="I134" s="35">
        <v>100008</v>
      </c>
      <c r="J134" s="34" t="s">
        <v>458</v>
      </c>
      <c r="K134" s="34" t="str">
        <f t="shared" si="4"/>
        <v>不重复</v>
      </c>
      <c r="L134" s="34" t="str">
        <f t="shared" si="5"/>
        <v>不重复</v>
      </c>
    </row>
    <row r="135" spans="1:12" ht="30">
      <c r="A135" s="35" t="s">
        <v>10495</v>
      </c>
      <c r="B135" s="35" t="s">
        <v>459</v>
      </c>
      <c r="C135" s="36" t="s">
        <v>460</v>
      </c>
      <c r="D135" s="35" t="s">
        <v>461</v>
      </c>
      <c r="E135" s="35" t="s">
        <v>10491</v>
      </c>
      <c r="F135" s="35" t="s">
        <v>10492</v>
      </c>
      <c r="G135" s="35">
        <v>80103</v>
      </c>
      <c r="H135" s="35">
        <v>130000</v>
      </c>
      <c r="I135" s="35">
        <v>100008</v>
      </c>
      <c r="J135" s="34" t="s">
        <v>462</v>
      </c>
      <c r="K135" s="34" t="str">
        <f t="shared" si="4"/>
        <v>不重复</v>
      </c>
      <c r="L135" s="34" t="str">
        <f t="shared" si="5"/>
        <v>不重复</v>
      </c>
    </row>
    <row r="136" spans="1:12" ht="30">
      <c r="A136" s="35" t="s">
        <v>10496</v>
      </c>
      <c r="B136" s="35" t="s">
        <v>463</v>
      </c>
      <c r="C136" s="36" t="s">
        <v>464</v>
      </c>
      <c r="D136" s="35" t="s">
        <v>465</v>
      </c>
      <c r="E136" s="35" t="s">
        <v>10491</v>
      </c>
      <c r="F136" s="35" t="s">
        <v>10492</v>
      </c>
      <c r="G136" s="35">
        <v>80104</v>
      </c>
      <c r="H136" s="35">
        <v>130000</v>
      </c>
      <c r="I136" s="35">
        <v>100008</v>
      </c>
      <c r="J136" s="34" t="s">
        <v>466</v>
      </c>
      <c r="K136" s="34" t="str">
        <f t="shared" si="4"/>
        <v>不重复</v>
      </c>
      <c r="L136" s="34" t="str">
        <f t="shared" si="5"/>
        <v>不重复</v>
      </c>
    </row>
    <row r="137" spans="1:12" ht="30">
      <c r="A137" s="35" t="s">
        <v>10497</v>
      </c>
      <c r="B137" s="35" t="s">
        <v>467</v>
      </c>
      <c r="C137" s="36" t="s">
        <v>468</v>
      </c>
      <c r="D137" s="35" t="s">
        <v>469</v>
      </c>
      <c r="E137" s="35" t="s">
        <v>10491</v>
      </c>
      <c r="F137" s="35" t="s">
        <v>10492</v>
      </c>
      <c r="G137" s="35">
        <v>80105</v>
      </c>
      <c r="H137" s="35">
        <v>130000</v>
      </c>
      <c r="I137" s="35">
        <v>100008</v>
      </c>
      <c r="J137" s="34" t="s">
        <v>288</v>
      </c>
      <c r="K137" s="34" t="str">
        <f t="shared" si="4"/>
        <v>不重复</v>
      </c>
      <c r="L137" s="34" t="str">
        <f t="shared" si="5"/>
        <v>不重复</v>
      </c>
    </row>
    <row r="138" spans="1:12" ht="15">
      <c r="A138" s="35" t="s">
        <v>10498</v>
      </c>
      <c r="B138" s="35" t="s">
        <v>470</v>
      </c>
      <c r="C138" s="36" t="s">
        <v>471</v>
      </c>
      <c r="D138" s="35" t="s">
        <v>472</v>
      </c>
      <c r="E138" s="35" t="s">
        <v>10491</v>
      </c>
      <c r="F138" s="35" t="s">
        <v>10492</v>
      </c>
      <c r="G138" s="35">
        <v>80106</v>
      </c>
      <c r="H138" s="35">
        <v>130000</v>
      </c>
      <c r="I138" s="35">
        <v>100008</v>
      </c>
      <c r="J138" s="34" t="s">
        <v>38</v>
      </c>
      <c r="K138" s="34" t="str">
        <f t="shared" si="4"/>
        <v>不重复</v>
      </c>
      <c r="L138" s="34" t="str">
        <f t="shared" si="5"/>
        <v>重复</v>
      </c>
    </row>
    <row r="139" spans="1:12" ht="15">
      <c r="A139" s="35" t="s">
        <v>10499</v>
      </c>
      <c r="B139" s="35" t="s">
        <v>473</v>
      </c>
      <c r="C139" s="36" t="s">
        <v>474</v>
      </c>
      <c r="D139" s="35" t="s">
        <v>475</v>
      </c>
      <c r="E139" s="35" t="s">
        <v>10491</v>
      </c>
      <c r="F139" s="35" t="s">
        <v>10492</v>
      </c>
      <c r="G139" s="35">
        <v>80107</v>
      </c>
      <c r="H139" s="35">
        <v>130000</v>
      </c>
      <c r="I139" s="35">
        <v>100008</v>
      </c>
      <c r="J139" s="34" t="s">
        <v>168</v>
      </c>
      <c r="K139" s="34" t="str">
        <f t="shared" si="4"/>
        <v>重复</v>
      </c>
      <c r="L139" s="34" t="str">
        <f t="shared" si="5"/>
        <v>不重复</v>
      </c>
    </row>
    <row r="140" spans="1:12" ht="30">
      <c r="A140" s="35" t="s">
        <v>10500</v>
      </c>
      <c r="B140" s="35" t="s">
        <v>476</v>
      </c>
      <c r="C140" s="36" t="s">
        <v>477</v>
      </c>
      <c r="D140" s="35" t="s">
        <v>478</v>
      </c>
      <c r="E140" s="35" t="s">
        <v>10491</v>
      </c>
      <c r="F140" s="35" t="s">
        <v>10492</v>
      </c>
      <c r="G140" s="35">
        <v>80108</v>
      </c>
      <c r="H140" s="35">
        <v>130000</v>
      </c>
      <c r="I140" s="35">
        <v>100008</v>
      </c>
      <c r="J140" s="34" t="s">
        <v>49</v>
      </c>
      <c r="K140" s="34" t="str">
        <f t="shared" si="4"/>
        <v>不重复</v>
      </c>
      <c r="L140" s="34" t="str">
        <f t="shared" si="5"/>
        <v>不重复</v>
      </c>
    </row>
    <row r="141" spans="1:12" ht="15">
      <c r="A141" s="35" t="s">
        <v>10501</v>
      </c>
      <c r="B141" s="35" t="s">
        <v>479</v>
      </c>
      <c r="C141" s="36" t="s">
        <v>480</v>
      </c>
      <c r="D141" s="35" t="s">
        <v>481</v>
      </c>
      <c r="E141" s="35" t="s">
        <v>10491</v>
      </c>
      <c r="F141" s="35" t="s">
        <v>10492</v>
      </c>
      <c r="G141" s="35">
        <v>80109</v>
      </c>
      <c r="H141" s="35">
        <v>130000</v>
      </c>
      <c r="I141" s="35">
        <v>100008</v>
      </c>
      <c r="J141" s="34" t="s">
        <v>82</v>
      </c>
      <c r="K141" s="34" t="str">
        <f t="shared" si="4"/>
        <v>不重复</v>
      </c>
      <c r="L141" s="34" t="str">
        <f t="shared" si="5"/>
        <v>不重复</v>
      </c>
    </row>
    <row r="142" spans="1:12" ht="15">
      <c r="A142" s="35" t="s">
        <v>10502</v>
      </c>
      <c r="B142" s="35" t="s">
        <v>482</v>
      </c>
      <c r="C142" s="36" t="s">
        <v>483</v>
      </c>
      <c r="D142" s="35" t="s">
        <v>484</v>
      </c>
      <c r="E142" s="35" t="s">
        <v>10491</v>
      </c>
      <c r="F142" s="35" t="s">
        <v>10492</v>
      </c>
      <c r="G142" s="35">
        <v>80110</v>
      </c>
      <c r="H142" s="35">
        <v>130000</v>
      </c>
      <c r="I142" s="35">
        <v>100008</v>
      </c>
      <c r="J142" s="34" t="s">
        <v>485</v>
      </c>
      <c r="K142" s="34" t="str">
        <f t="shared" si="4"/>
        <v>重复</v>
      </c>
      <c r="L142" s="34" t="str">
        <f t="shared" si="5"/>
        <v>不重复</v>
      </c>
    </row>
    <row r="143" spans="1:12" ht="15">
      <c r="A143" s="35" t="s">
        <v>10503</v>
      </c>
      <c r="B143" s="35" t="s">
        <v>486</v>
      </c>
      <c r="C143" s="36" t="s">
        <v>487</v>
      </c>
      <c r="D143" s="35" t="s">
        <v>488</v>
      </c>
      <c r="E143" s="35" t="s">
        <v>10491</v>
      </c>
      <c r="F143" s="35" t="s">
        <v>10492</v>
      </c>
      <c r="G143" s="35">
        <v>80111</v>
      </c>
      <c r="H143" s="35">
        <v>130000</v>
      </c>
      <c r="I143" s="35">
        <v>100008</v>
      </c>
      <c r="J143" s="34" t="s">
        <v>489</v>
      </c>
      <c r="K143" s="34" t="str">
        <f t="shared" si="4"/>
        <v>不重复</v>
      </c>
      <c r="L143" s="34" t="str">
        <f t="shared" si="5"/>
        <v>不重复</v>
      </c>
    </row>
    <row r="144" spans="1:12" ht="30">
      <c r="A144" s="35" t="s">
        <v>10504</v>
      </c>
      <c r="B144" s="35" t="s">
        <v>490</v>
      </c>
      <c r="C144" s="36" t="s">
        <v>491</v>
      </c>
      <c r="D144" s="35" t="s">
        <v>492</v>
      </c>
      <c r="E144" s="35" t="s">
        <v>10491</v>
      </c>
      <c r="F144" s="35" t="s">
        <v>10492</v>
      </c>
      <c r="G144" s="35">
        <v>80112</v>
      </c>
      <c r="H144" s="35">
        <v>130000</v>
      </c>
      <c r="I144" s="35">
        <v>100008</v>
      </c>
      <c r="J144" s="34" t="s">
        <v>493</v>
      </c>
      <c r="K144" s="34" t="str">
        <f t="shared" si="4"/>
        <v>不重复</v>
      </c>
      <c r="L144" s="34" t="str">
        <f t="shared" si="5"/>
        <v>不重复</v>
      </c>
    </row>
    <row r="145" spans="1:12" ht="15">
      <c r="A145" s="35" t="s">
        <v>10505</v>
      </c>
      <c r="B145" s="35" t="s">
        <v>494</v>
      </c>
      <c r="C145" s="36" t="s">
        <v>358</v>
      </c>
      <c r="D145" s="35" t="s">
        <v>472</v>
      </c>
      <c r="E145" s="35" t="s">
        <v>10491</v>
      </c>
      <c r="F145" s="35" t="s">
        <v>10492</v>
      </c>
      <c r="G145" s="35">
        <v>80113</v>
      </c>
      <c r="H145" s="35">
        <v>130000</v>
      </c>
      <c r="I145" s="35">
        <v>100008</v>
      </c>
      <c r="J145" s="34" t="s">
        <v>148</v>
      </c>
      <c r="K145" s="34" t="str">
        <f t="shared" si="4"/>
        <v>重复</v>
      </c>
      <c r="L145" s="34" t="str">
        <f t="shared" si="5"/>
        <v>重复</v>
      </c>
    </row>
    <row r="146" spans="1:12" ht="30">
      <c r="A146" s="35" t="s">
        <v>10506</v>
      </c>
      <c r="B146" s="35" t="s">
        <v>495</v>
      </c>
      <c r="C146" s="36" t="s">
        <v>496</v>
      </c>
      <c r="D146" s="35" t="s">
        <v>497</v>
      </c>
      <c r="E146" s="35" t="s">
        <v>10491</v>
      </c>
      <c r="F146" s="35" t="s">
        <v>10492</v>
      </c>
      <c r="G146" s="35">
        <v>80114</v>
      </c>
      <c r="H146" s="35">
        <v>130000</v>
      </c>
      <c r="I146" s="35">
        <v>100008</v>
      </c>
      <c r="J146" s="34" t="s">
        <v>498</v>
      </c>
      <c r="K146" s="34" t="str">
        <f t="shared" si="4"/>
        <v>重复</v>
      </c>
      <c r="L146" s="34" t="str">
        <f t="shared" si="5"/>
        <v>不重复</v>
      </c>
    </row>
    <row r="147" spans="1:12" ht="15">
      <c r="A147" s="35" t="s">
        <v>10507</v>
      </c>
      <c r="B147" s="35" t="s">
        <v>499</v>
      </c>
      <c r="C147" s="36" t="s">
        <v>500</v>
      </c>
      <c r="D147" s="35" t="s">
        <v>501</v>
      </c>
      <c r="E147" s="35" t="s">
        <v>10491</v>
      </c>
      <c r="F147" s="35" t="s">
        <v>10492</v>
      </c>
      <c r="G147" s="35">
        <v>80115</v>
      </c>
      <c r="H147" s="35">
        <v>130000</v>
      </c>
      <c r="I147" s="35">
        <v>100008</v>
      </c>
      <c r="J147" s="34" t="s">
        <v>82</v>
      </c>
      <c r="K147" s="34" t="str">
        <f t="shared" si="4"/>
        <v>不重复</v>
      </c>
      <c r="L147" s="34" t="str">
        <f t="shared" si="5"/>
        <v>不重复</v>
      </c>
    </row>
    <row r="148" spans="1:12" ht="15">
      <c r="A148" s="35" t="s">
        <v>10508</v>
      </c>
      <c r="B148" s="35" t="s">
        <v>502</v>
      </c>
      <c r="C148" s="36" t="s">
        <v>503</v>
      </c>
      <c r="D148" s="35" t="s">
        <v>504</v>
      </c>
      <c r="E148" s="35" t="s">
        <v>10491</v>
      </c>
      <c r="F148" s="35" t="s">
        <v>10492</v>
      </c>
      <c r="G148" s="35">
        <v>80116</v>
      </c>
      <c r="H148" s="35">
        <v>130000</v>
      </c>
      <c r="I148" s="35">
        <v>100008</v>
      </c>
      <c r="J148" s="34" t="s">
        <v>115</v>
      </c>
      <c r="K148" s="34" t="str">
        <f t="shared" si="4"/>
        <v>不重复</v>
      </c>
      <c r="L148" s="34" t="str">
        <f t="shared" si="5"/>
        <v>不重复</v>
      </c>
    </row>
    <row r="149" spans="1:12" ht="15">
      <c r="A149" s="35" t="s">
        <v>10509</v>
      </c>
      <c r="B149" s="35" t="s">
        <v>505</v>
      </c>
      <c r="C149" s="36" t="s">
        <v>506</v>
      </c>
      <c r="D149" s="35" t="s">
        <v>507</v>
      </c>
      <c r="E149" s="35" t="s">
        <v>10491</v>
      </c>
      <c r="F149" s="35" t="s">
        <v>10492</v>
      </c>
      <c r="G149" s="35">
        <v>80117</v>
      </c>
      <c r="H149" s="35">
        <v>130000</v>
      </c>
      <c r="I149" s="35">
        <v>100008</v>
      </c>
      <c r="J149" s="34" t="s">
        <v>508</v>
      </c>
      <c r="K149" s="34" t="str">
        <f t="shared" si="4"/>
        <v>不重复</v>
      </c>
      <c r="L149" s="34" t="str">
        <f t="shared" si="5"/>
        <v>不重复</v>
      </c>
    </row>
    <row r="150" spans="1:12" ht="27">
      <c r="A150" s="35" t="s">
        <v>10510</v>
      </c>
      <c r="B150" s="35" t="s">
        <v>509</v>
      </c>
      <c r="C150" s="36" t="s">
        <v>510</v>
      </c>
      <c r="D150" s="35" t="s">
        <v>511</v>
      </c>
      <c r="E150" s="35" t="s">
        <v>10491</v>
      </c>
      <c r="F150" s="35" t="s">
        <v>10492</v>
      </c>
      <c r="G150" s="35">
        <v>80118</v>
      </c>
      <c r="H150" s="35">
        <v>130000</v>
      </c>
      <c r="I150" s="35">
        <v>100008</v>
      </c>
      <c r="J150" s="34" t="s">
        <v>386</v>
      </c>
      <c r="K150" s="34" t="str">
        <f t="shared" si="4"/>
        <v>不重复</v>
      </c>
      <c r="L150" s="34" t="str">
        <f t="shared" si="5"/>
        <v>不重复</v>
      </c>
    </row>
    <row r="151" spans="1:12" ht="15">
      <c r="A151" s="35" t="s">
        <v>10511</v>
      </c>
      <c r="B151" s="35" t="s">
        <v>512</v>
      </c>
      <c r="C151" s="36" t="s">
        <v>513</v>
      </c>
      <c r="D151" s="35" t="s">
        <v>514</v>
      </c>
      <c r="E151" s="35" t="s">
        <v>10491</v>
      </c>
      <c r="F151" s="35" t="s">
        <v>10492</v>
      </c>
      <c r="G151" s="35">
        <v>80119</v>
      </c>
      <c r="H151" s="35">
        <v>130000</v>
      </c>
      <c r="I151" s="35">
        <v>100008</v>
      </c>
      <c r="J151" s="34" t="s">
        <v>115</v>
      </c>
      <c r="K151" s="34" t="str">
        <f t="shared" si="4"/>
        <v>重复</v>
      </c>
      <c r="L151" s="34" t="str">
        <f t="shared" si="5"/>
        <v>不重复</v>
      </c>
    </row>
    <row r="152" spans="1:12" ht="27">
      <c r="A152" s="35" t="s">
        <v>10512</v>
      </c>
      <c r="B152" s="35" t="s">
        <v>515</v>
      </c>
      <c r="C152" s="36" t="s">
        <v>516</v>
      </c>
      <c r="D152" s="35" t="s">
        <v>517</v>
      </c>
      <c r="E152" s="35" t="s">
        <v>10491</v>
      </c>
      <c r="F152" s="35" t="s">
        <v>10492</v>
      </c>
      <c r="G152" s="35">
        <v>80120</v>
      </c>
      <c r="H152" s="35">
        <v>130000</v>
      </c>
      <c r="I152" s="35">
        <v>100008</v>
      </c>
      <c r="J152" s="34" t="s">
        <v>518</v>
      </c>
      <c r="K152" s="34" t="str">
        <f t="shared" si="4"/>
        <v>重复</v>
      </c>
      <c r="L152" s="34" t="str">
        <f t="shared" si="5"/>
        <v>不重复</v>
      </c>
    </row>
    <row r="153" spans="1:12" ht="30">
      <c r="A153" s="35" t="s">
        <v>10513</v>
      </c>
      <c r="B153" s="35" t="s">
        <v>519</v>
      </c>
      <c r="C153" s="36" t="s">
        <v>520</v>
      </c>
      <c r="D153" s="35" t="s">
        <v>521</v>
      </c>
      <c r="E153" s="35" t="s">
        <v>10491</v>
      </c>
      <c r="F153" s="35" t="s">
        <v>10492</v>
      </c>
      <c r="G153" s="35">
        <v>80121</v>
      </c>
      <c r="H153" s="35">
        <v>130000</v>
      </c>
      <c r="I153" s="35">
        <v>100008</v>
      </c>
      <c r="J153" s="34" t="s">
        <v>239</v>
      </c>
      <c r="K153" s="34" t="str">
        <f t="shared" si="4"/>
        <v>不重复</v>
      </c>
      <c r="L153" s="34" t="str">
        <f t="shared" si="5"/>
        <v>不重复</v>
      </c>
    </row>
    <row r="154" spans="1:12" ht="15">
      <c r="A154" s="35" t="s">
        <v>10514</v>
      </c>
      <c r="B154" s="35" t="s">
        <v>522</v>
      </c>
      <c r="C154" s="36" t="s">
        <v>523</v>
      </c>
      <c r="D154" s="35" t="s">
        <v>524</v>
      </c>
      <c r="E154" s="35" t="s">
        <v>10491</v>
      </c>
      <c r="F154" s="35" t="s">
        <v>10492</v>
      </c>
      <c r="G154" s="35">
        <v>80122</v>
      </c>
      <c r="H154" s="35">
        <v>130000</v>
      </c>
      <c r="I154" s="35">
        <v>100008</v>
      </c>
      <c r="J154" s="34" t="s">
        <v>257</v>
      </c>
      <c r="K154" s="34" t="str">
        <f t="shared" si="4"/>
        <v>重复</v>
      </c>
      <c r="L154" s="34" t="str">
        <f t="shared" si="5"/>
        <v>不重复</v>
      </c>
    </row>
    <row r="155" spans="1:12" ht="30">
      <c r="A155" s="35" t="s">
        <v>10515</v>
      </c>
      <c r="B155" s="35" t="s">
        <v>525</v>
      </c>
      <c r="C155" s="36" t="s">
        <v>526</v>
      </c>
      <c r="D155" s="35" t="s">
        <v>527</v>
      </c>
      <c r="E155" s="35" t="s">
        <v>10491</v>
      </c>
      <c r="F155" s="35" t="s">
        <v>10492</v>
      </c>
      <c r="G155" s="35">
        <v>80123</v>
      </c>
      <c r="H155" s="35">
        <v>130000</v>
      </c>
      <c r="I155" s="35">
        <v>100008</v>
      </c>
      <c r="J155" s="34" t="s">
        <v>311</v>
      </c>
      <c r="K155" s="34" t="str">
        <f t="shared" si="4"/>
        <v>重复</v>
      </c>
      <c r="L155" s="34" t="str">
        <f t="shared" si="5"/>
        <v>不重复</v>
      </c>
    </row>
    <row r="156" spans="1:12" ht="15">
      <c r="A156" s="35" t="s">
        <v>10516</v>
      </c>
      <c r="B156" s="35" t="s">
        <v>528</v>
      </c>
      <c r="C156" s="36" t="s">
        <v>529</v>
      </c>
      <c r="D156" s="35" t="s">
        <v>530</v>
      </c>
      <c r="E156" s="35" t="s">
        <v>10491</v>
      </c>
      <c r="F156" s="35" t="s">
        <v>10492</v>
      </c>
      <c r="G156" s="35">
        <v>80124</v>
      </c>
      <c r="H156" s="35">
        <v>130000</v>
      </c>
      <c r="I156" s="35">
        <v>100008</v>
      </c>
      <c r="J156" s="34" t="s">
        <v>531</v>
      </c>
      <c r="K156" s="34" t="str">
        <f t="shared" si="4"/>
        <v>重复</v>
      </c>
      <c r="L156" s="34" t="str">
        <f t="shared" si="5"/>
        <v>重复</v>
      </c>
    </row>
    <row r="157" spans="1:12" ht="15">
      <c r="A157" s="35" t="s">
        <v>10517</v>
      </c>
      <c r="B157" s="35" t="s">
        <v>532</v>
      </c>
      <c r="C157" s="36" t="s">
        <v>533</v>
      </c>
      <c r="D157" s="35" t="s">
        <v>530</v>
      </c>
      <c r="E157" s="35" t="s">
        <v>10491</v>
      </c>
      <c r="F157" s="35" t="s">
        <v>10492</v>
      </c>
      <c r="G157" s="35">
        <v>80125</v>
      </c>
      <c r="H157" s="35">
        <v>130000</v>
      </c>
      <c r="I157" s="35">
        <v>100008</v>
      </c>
      <c r="J157" s="34" t="s">
        <v>534</v>
      </c>
      <c r="K157" s="34" t="str">
        <f t="shared" si="4"/>
        <v>不重复</v>
      </c>
      <c r="L157" s="34" t="str">
        <f t="shared" si="5"/>
        <v>重复</v>
      </c>
    </row>
    <row r="158" spans="1:12" ht="15">
      <c r="A158" s="35" t="s">
        <v>10518</v>
      </c>
      <c r="B158" s="35" t="s">
        <v>535</v>
      </c>
      <c r="C158" s="36" t="s">
        <v>245</v>
      </c>
      <c r="D158" s="35" t="s">
        <v>536</v>
      </c>
      <c r="E158" s="35" t="s">
        <v>10491</v>
      </c>
      <c r="F158" s="35" t="s">
        <v>10492</v>
      </c>
      <c r="G158" s="35">
        <v>80126</v>
      </c>
      <c r="H158" s="35">
        <v>130000</v>
      </c>
      <c r="I158" s="35">
        <v>100008</v>
      </c>
      <c r="J158" s="34" t="s">
        <v>537</v>
      </c>
      <c r="K158" s="34" t="str">
        <f t="shared" si="4"/>
        <v>重复</v>
      </c>
      <c r="L158" s="34" t="str">
        <f t="shared" si="5"/>
        <v>重复</v>
      </c>
    </row>
    <row r="159" spans="1:12" ht="15">
      <c r="A159" s="35" t="s">
        <v>10519</v>
      </c>
      <c r="B159" s="35" t="s">
        <v>538</v>
      </c>
      <c r="C159" s="36" t="s">
        <v>539</v>
      </c>
      <c r="D159" s="35" t="s">
        <v>540</v>
      </c>
      <c r="E159" s="35" t="s">
        <v>10491</v>
      </c>
      <c r="F159" s="35" t="s">
        <v>10492</v>
      </c>
      <c r="G159" s="35">
        <v>80127</v>
      </c>
      <c r="H159" s="35">
        <v>130000</v>
      </c>
      <c r="I159" s="35">
        <v>100008</v>
      </c>
      <c r="J159" s="34" t="s">
        <v>541</v>
      </c>
      <c r="K159" s="34" t="str">
        <f t="shared" si="4"/>
        <v>重复</v>
      </c>
      <c r="L159" s="34" t="str">
        <f t="shared" si="5"/>
        <v>不重复</v>
      </c>
    </row>
    <row r="160" spans="1:12" ht="15">
      <c r="A160" s="35" t="s">
        <v>10520</v>
      </c>
      <c r="B160" s="35" t="s">
        <v>542</v>
      </c>
      <c r="C160" s="36" t="s">
        <v>381</v>
      </c>
      <c r="D160" s="35" t="s">
        <v>543</v>
      </c>
      <c r="E160" s="35" t="s">
        <v>10491</v>
      </c>
      <c r="F160" s="35" t="s">
        <v>10492</v>
      </c>
      <c r="G160" s="35">
        <v>80128</v>
      </c>
      <c r="H160" s="35">
        <v>130000</v>
      </c>
      <c r="I160" s="35">
        <v>100008</v>
      </c>
      <c r="J160" s="34" t="s">
        <v>508</v>
      </c>
      <c r="K160" s="34" t="str">
        <f t="shared" si="4"/>
        <v>重复</v>
      </c>
      <c r="L160" s="34" t="str">
        <f t="shared" si="5"/>
        <v>重复</v>
      </c>
    </row>
    <row r="161" spans="1:12" ht="15">
      <c r="A161" s="35" t="s">
        <v>10521</v>
      </c>
      <c r="B161" s="35" t="s">
        <v>544</v>
      </c>
      <c r="C161" s="36" t="s">
        <v>545</v>
      </c>
      <c r="D161" s="35" t="s">
        <v>451</v>
      </c>
      <c r="E161" s="35" t="s">
        <v>10521</v>
      </c>
      <c r="F161" s="35" t="s">
        <v>10522</v>
      </c>
      <c r="G161" s="35">
        <v>90100</v>
      </c>
      <c r="H161" s="35">
        <v>140000</v>
      </c>
      <c r="I161" s="35">
        <v>100009</v>
      </c>
      <c r="J161" s="34" t="s">
        <v>16</v>
      </c>
      <c r="K161" s="34" t="str">
        <f t="shared" si="4"/>
        <v>重复</v>
      </c>
      <c r="L161" s="34" t="str">
        <f t="shared" si="5"/>
        <v>重复</v>
      </c>
    </row>
    <row r="162" spans="1:12" ht="15">
      <c r="A162" s="35" t="s">
        <v>10523</v>
      </c>
      <c r="B162" s="35" t="s">
        <v>546</v>
      </c>
      <c r="C162" s="36" t="s">
        <v>135</v>
      </c>
      <c r="D162" s="35" t="s">
        <v>547</v>
      </c>
      <c r="E162" s="35" t="s">
        <v>10521</v>
      </c>
      <c r="F162" s="35" t="s">
        <v>10522</v>
      </c>
      <c r="G162" s="35">
        <v>90101</v>
      </c>
      <c r="H162" s="35">
        <v>140000</v>
      </c>
      <c r="I162" s="35">
        <v>100009</v>
      </c>
      <c r="J162" s="34" t="s">
        <v>548</v>
      </c>
      <c r="K162" s="34" t="str">
        <f t="shared" si="4"/>
        <v>重复</v>
      </c>
      <c r="L162" s="34" t="str">
        <f t="shared" si="5"/>
        <v>不重复</v>
      </c>
    </row>
    <row r="163" spans="1:12" ht="15">
      <c r="A163" s="35" t="s">
        <v>10524</v>
      </c>
      <c r="B163" s="35" t="s">
        <v>549</v>
      </c>
      <c r="C163" s="36" t="s">
        <v>550</v>
      </c>
      <c r="D163" s="35" t="s">
        <v>536</v>
      </c>
      <c r="E163" s="35" t="s">
        <v>10521</v>
      </c>
      <c r="F163" s="35" t="s">
        <v>10522</v>
      </c>
      <c r="G163" s="35">
        <v>90102</v>
      </c>
      <c r="H163" s="35">
        <v>140000</v>
      </c>
      <c r="I163" s="35">
        <v>100009</v>
      </c>
      <c r="J163" s="34" t="s">
        <v>288</v>
      </c>
      <c r="K163" s="34" t="str">
        <f t="shared" si="4"/>
        <v>重复</v>
      </c>
      <c r="L163" s="34" t="str">
        <f t="shared" si="5"/>
        <v>重复</v>
      </c>
    </row>
    <row r="164" spans="1:12" ht="15">
      <c r="A164" s="35" t="s">
        <v>10525</v>
      </c>
      <c r="B164" s="35" t="s">
        <v>551</v>
      </c>
      <c r="C164" s="36" t="s">
        <v>552</v>
      </c>
      <c r="D164" s="35" t="s">
        <v>553</v>
      </c>
      <c r="E164" s="35" t="s">
        <v>10521</v>
      </c>
      <c r="F164" s="35" t="s">
        <v>10522</v>
      </c>
      <c r="G164" s="35">
        <v>90103</v>
      </c>
      <c r="H164" s="35">
        <v>140000</v>
      </c>
      <c r="I164" s="35">
        <v>100009</v>
      </c>
      <c r="J164" s="34" t="s">
        <v>152</v>
      </c>
      <c r="K164" s="34" t="str">
        <f t="shared" si="4"/>
        <v>重复</v>
      </c>
      <c r="L164" s="34" t="str">
        <f t="shared" si="5"/>
        <v>不重复</v>
      </c>
    </row>
    <row r="165" spans="1:12" ht="30">
      <c r="A165" s="35" t="s">
        <v>10526</v>
      </c>
      <c r="B165" s="35" t="s">
        <v>554</v>
      </c>
      <c r="C165" s="36" t="s">
        <v>555</v>
      </c>
      <c r="D165" s="35" t="s">
        <v>556</v>
      </c>
      <c r="E165" s="35" t="s">
        <v>10521</v>
      </c>
      <c r="F165" s="35" t="s">
        <v>10522</v>
      </c>
      <c r="G165" s="35">
        <v>90104</v>
      </c>
      <c r="H165" s="35">
        <v>140000</v>
      </c>
      <c r="I165" s="35">
        <v>100009</v>
      </c>
      <c r="J165" s="34" t="s">
        <v>557</v>
      </c>
      <c r="K165" s="34" t="str">
        <f t="shared" si="4"/>
        <v>不重复</v>
      </c>
      <c r="L165" s="34" t="str">
        <f t="shared" si="5"/>
        <v>不重复</v>
      </c>
    </row>
    <row r="166" spans="1:12" ht="15">
      <c r="A166" s="35" t="s">
        <v>10527</v>
      </c>
      <c r="B166" s="35" t="s">
        <v>558</v>
      </c>
      <c r="C166" s="36" t="s">
        <v>84</v>
      </c>
      <c r="D166" s="35" t="s">
        <v>559</v>
      </c>
      <c r="E166" s="35" t="s">
        <v>10527</v>
      </c>
      <c r="F166" s="35" t="s">
        <v>10528</v>
      </c>
      <c r="G166" s="35">
        <v>90200</v>
      </c>
      <c r="H166" s="35">
        <v>150000</v>
      </c>
      <c r="I166" s="35">
        <v>100010</v>
      </c>
      <c r="J166" s="34" t="s">
        <v>16</v>
      </c>
      <c r="K166" s="34" t="str">
        <f t="shared" si="4"/>
        <v>重复</v>
      </c>
      <c r="L166" s="34" t="str">
        <f t="shared" si="5"/>
        <v>重复</v>
      </c>
    </row>
    <row r="167" spans="1:12" ht="15">
      <c r="A167" s="35" t="s">
        <v>10529</v>
      </c>
      <c r="B167" s="35" t="s">
        <v>560</v>
      </c>
      <c r="C167" s="36" t="s">
        <v>561</v>
      </c>
      <c r="D167" s="35" t="s">
        <v>559</v>
      </c>
      <c r="E167" s="35" t="s">
        <v>10529</v>
      </c>
      <c r="F167" s="35" t="s">
        <v>10528</v>
      </c>
      <c r="G167" s="35">
        <v>100100</v>
      </c>
      <c r="H167" s="35">
        <v>150000</v>
      </c>
      <c r="I167" s="35">
        <v>100010</v>
      </c>
      <c r="J167" s="34" t="s">
        <v>16</v>
      </c>
      <c r="K167" s="34" t="str">
        <f t="shared" si="4"/>
        <v>重复</v>
      </c>
      <c r="L167" s="34" t="str">
        <f t="shared" si="5"/>
        <v>重复</v>
      </c>
    </row>
    <row r="168" spans="1:12" ht="15">
      <c r="A168" s="35" t="s">
        <v>10530</v>
      </c>
      <c r="B168" s="35" t="s">
        <v>562</v>
      </c>
      <c r="C168" s="36" t="s">
        <v>245</v>
      </c>
      <c r="D168" s="35" t="s">
        <v>563</v>
      </c>
      <c r="E168" s="35" t="s">
        <v>10527</v>
      </c>
      <c r="F168" s="35" t="s">
        <v>10528</v>
      </c>
      <c r="G168" s="35">
        <v>100101</v>
      </c>
      <c r="H168" s="35">
        <v>150000</v>
      </c>
      <c r="I168" s="35">
        <v>100010</v>
      </c>
      <c r="J168" s="34" t="s">
        <v>458</v>
      </c>
      <c r="K168" s="34" t="str">
        <f t="shared" si="4"/>
        <v>重复</v>
      </c>
      <c r="L168" s="34" t="str">
        <f t="shared" si="5"/>
        <v>不重复</v>
      </c>
    </row>
    <row r="169" spans="1:12" ht="15">
      <c r="A169" s="35" t="s">
        <v>10531</v>
      </c>
      <c r="B169" s="35" t="s">
        <v>564</v>
      </c>
      <c r="C169" s="36" t="s">
        <v>565</v>
      </c>
      <c r="D169" s="35" t="s">
        <v>566</v>
      </c>
      <c r="E169" s="35" t="s">
        <v>10529</v>
      </c>
      <c r="F169" s="35" t="s">
        <v>10532</v>
      </c>
      <c r="G169" s="35">
        <v>100102</v>
      </c>
      <c r="H169" s="35">
        <v>150000</v>
      </c>
      <c r="I169" s="35">
        <v>100010</v>
      </c>
      <c r="J169" s="34" t="s">
        <v>567</v>
      </c>
      <c r="K169" s="34" t="str">
        <f t="shared" si="4"/>
        <v>不重复</v>
      </c>
      <c r="L169" s="34" t="str">
        <f t="shared" si="5"/>
        <v>不重复</v>
      </c>
    </row>
    <row r="170" spans="1:12" ht="15">
      <c r="A170" s="35" t="s">
        <v>10533</v>
      </c>
      <c r="B170" s="35" t="s">
        <v>568</v>
      </c>
      <c r="C170" s="36" t="s">
        <v>569</v>
      </c>
      <c r="D170" s="35" t="s">
        <v>570</v>
      </c>
      <c r="E170" s="35" t="s">
        <v>10529</v>
      </c>
      <c r="F170" s="35" t="s">
        <v>10532</v>
      </c>
      <c r="G170" s="35">
        <v>100103</v>
      </c>
      <c r="H170" s="35">
        <v>150000</v>
      </c>
      <c r="I170" s="35">
        <v>100010</v>
      </c>
      <c r="J170" s="34" t="s">
        <v>567</v>
      </c>
      <c r="K170" s="34" t="str">
        <f t="shared" si="4"/>
        <v>不重复</v>
      </c>
      <c r="L170" s="34" t="str">
        <f t="shared" si="5"/>
        <v>重复</v>
      </c>
    </row>
    <row r="171" spans="1:12" ht="27">
      <c r="A171" s="35" t="s">
        <v>10534</v>
      </c>
      <c r="B171" s="35" t="s">
        <v>571</v>
      </c>
      <c r="C171" s="36" t="s">
        <v>572</v>
      </c>
      <c r="D171" s="35" t="s">
        <v>161</v>
      </c>
      <c r="E171" s="35" t="s">
        <v>10534</v>
      </c>
      <c r="F171" s="35" t="s">
        <v>10535</v>
      </c>
      <c r="G171" s="35">
        <v>110100</v>
      </c>
      <c r="H171" s="35">
        <v>160000</v>
      </c>
      <c r="I171" s="35">
        <v>100011</v>
      </c>
      <c r="J171" s="34" t="s">
        <v>16</v>
      </c>
      <c r="K171" s="34" t="str">
        <f t="shared" si="4"/>
        <v>重复</v>
      </c>
      <c r="L171" s="34" t="str">
        <f t="shared" si="5"/>
        <v>重复</v>
      </c>
    </row>
    <row r="172" spans="1:12" ht="15">
      <c r="A172" s="35" t="s">
        <v>10536</v>
      </c>
      <c r="B172" s="35" t="s">
        <v>573</v>
      </c>
      <c r="C172" s="36" t="s">
        <v>574</v>
      </c>
      <c r="D172" s="35" t="s">
        <v>161</v>
      </c>
      <c r="E172" s="35" t="s">
        <v>10536</v>
      </c>
      <c r="F172" s="35" t="s">
        <v>10535</v>
      </c>
      <c r="G172" s="35">
        <v>110200</v>
      </c>
      <c r="H172" s="35">
        <v>160001</v>
      </c>
      <c r="I172" s="35">
        <v>100011</v>
      </c>
      <c r="J172" s="34" t="s">
        <v>16</v>
      </c>
      <c r="K172" s="34" t="str">
        <f t="shared" si="4"/>
        <v>重复</v>
      </c>
      <c r="L172" s="34" t="str">
        <f t="shared" si="5"/>
        <v>重复</v>
      </c>
    </row>
    <row r="173" spans="1:12" ht="15">
      <c r="A173" s="35" t="s">
        <v>10537</v>
      </c>
      <c r="B173" s="35" t="s">
        <v>575</v>
      </c>
      <c r="C173" s="36" t="s">
        <v>576</v>
      </c>
      <c r="D173" s="35" t="s">
        <v>577</v>
      </c>
      <c r="E173" s="35" t="s">
        <v>10537</v>
      </c>
      <c r="F173" s="35" t="s">
        <v>10535</v>
      </c>
      <c r="G173" s="35">
        <v>110300</v>
      </c>
      <c r="H173" s="35">
        <v>160002</v>
      </c>
      <c r="I173" s="35">
        <v>100011</v>
      </c>
      <c r="J173" s="34" t="s">
        <v>16</v>
      </c>
      <c r="K173" s="34" t="str">
        <f t="shared" si="4"/>
        <v>不重复</v>
      </c>
      <c r="L173" s="34" t="str">
        <f t="shared" si="5"/>
        <v>重复</v>
      </c>
    </row>
    <row r="174" spans="1:12" ht="15">
      <c r="A174" s="35" t="s">
        <v>10538</v>
      </c>
      <c r="B174" s="35" t="s">
        <v>578</v>
      </c>
      <c r="C174" s="36" t="s">
        <v>579</v>
      </c>
      <c r="D174" s="35" t="s">
        <v>580</v>
      </c>
      <c r="E174" s="35" t="s">
        <v>10538</v>
      </c>
      <c r="F174" s="35" t="s">
        <v>10535</v>
      </c>
      <c r="G174" s="35">
        <v>110400</v>
      </c>
      <c r="H174" s="35">
        <v>160003</v>
      </c>
      <c r="I174" s="35">
        <v>100011</v>
      </c>
      <c r="J174" s="34" t="s">
        <v>16</v>
      </c>
      <c r="K174" s="34" t="str">
        <f t="shared" si="4"/>
        <v>重复</v>
      </c>
      <c r="L174" s="34" t="str">
        <f t="shared" si="5"/>
        <v>不重复</v>
      </c>
    </row>
    <row r="175" spans="1:12" ht="27">
      <c r="A175" s="35" t="s">
        <v>10539</v>
      </c>
      <c r="B175" s="35" t="s">
        <v>581</v>
      </c>
      <c r="C175" s="36" t="s">
        <v>582</v>
      </c>
      <c r="D175" s="35" t="s">
        <v>583</v>
      </c>
      <c r="E175" s="35" t="s">
        <v>10538</v>
      </c>
      <c r="F175" s="35" t="s">
        <v>10535</v>
      </c>
      <c r="G175" s="35">
        <v>110401</v>
      </c>
      <c r="H175" s="35">
        <v>160003</v>
      </c>
      <c r="I175" s="35">
        <v>100011</v>
      </c>
      <c r="J175" s="34" t="s">
        <v>311</v>
      </c>
      <c r="K175" s="34" t="str">
        <f t="shared" si="4"/>
        <v>不重复</v>
      </c>
      <c r="L175" s="34" t="str">
        <f t="shared" si="5"/>
        <v>不重复</v>
      </c>
    </row>
    <row r="176" spans="1:12" ht="15">
      <c r="A176" s="35" t="s">
        <v>10540</v>
      </c>
      <c r="B176" s="35" t="s">
        <v>584</v>
      </c>
      <c r="C176" s="36" t="s">
        <v>496</v>
      </c>
      <c r="D176" s="35" t="s">
        <v>585</v>
      </c>
      <c r="E176" s="35" t="s">
        <v>10538</v>
      </c>
      <c r="F176" s="35" t="s">
        <v>10535</v>
      </c>
      <c r="G176" s="35">
        <v>110402</v>
      </c>
      <c r="H176" s="35">
        <v>160003</v>
      </c>
      <c r="I176" s="35">
        <v>100011</v>
      </c>
      <c r="J176" s="34" t="s">
        <v>586</v>
      </c>
      <c r="K176" s="34" t="str">
        <f t="shared" si="4"/>
        <v>重复</v>
      </c>
      <c r="L176" s="34" t="str">
        <f t="shared" si="5"/>
        <v>不重复</v>
      </c>
    </row>
    <row r="177" spans="1:12" ht="15">
      <c r="A177" s="35" t="s">
        <v>10541</v>
      </c>
      <c r="B177" s="35" t="s">
        <v>587</v>
      </c>
      <c r="C177" s="36" t="s">
        <v>588</v>
      </c>
      <c r="D177" s="35" t="s">
        <v>589</v>
      </c>
      <c r="E177" s="35" t="s">
        <v>10538</v>
      </c>
      <c r="F177" s="35" t="s">
        <v>10535</v>
      </c>
      <c r="G177" s="35">
        <v>110403</v>
      </c>
      <c r="H177" s="35">
        <v>160003</v>
      </c>
      <c r="I177" s="35">
        <v>100011</v>
      </c>
      <c r="J177" s="34" t="s">
        <v>590</v>
      </c>
      <c r="K177" s="34" t="str">
        <f t="shared" si="4"/>
        <v>重复</v>
      </c>
      <c r="L177" s="34" t="str">
        <f t="shared" si="5"/>
        <v>不重复</v>
      </c>
    </row>
    <row r="178" spans="1:12" ht="15">
      <c r="A178" s="35" t="s">
        <v>10542</v>
      </c>
      <c r="B178" s="35" t="s">
        <v>591</v>
      </c>
      <c r="C178" s="36" t="s">
        <v>592</v>
      </c>
      <c r="D178" s="35" t="s">
        <v>593</v>
      </c>
      <c r="E178" s="35" t="s">
        <v>10538</v>
      </c>
      <c r="F178" s="35" t="s">
        <v>10535</v>
      </c>
      <c r="G178" s="35">
        <v>110404</v>
      </c>
      <c r="H178" s="35">
        <v>160003</v>
      </c>
      <c r="I178" s="35">
        <v>100011</v>
      </c>
      <c r="J178" s="34" t="s">
        <v>594</v>
      </c>
      <c r="K178" s="34" t="str">
        <f t="shared" si="4"/>
        <v>重复</v>
      </c>
      <c r="L178" s="34" t="str">
        <f t="shared" si="5"/>
        <v>不重复</v>
      </c>
    </row>
    <row r="179" spans="1:12" ht="15">
      <c r="A179" s="35" t="s">
        <v>10543</v>
      </c>
      <c r="B179" s="35" t="s">
        <v>595</v>
      </c>
      <c r="C179" s="36" t="s">
        <v>596</v>
      </c>
      <c r="D179" s="35" t="s">
        <v>597</v>
      </c>
      <c r="E179" s="35" t="s">
        <v>10538</v>
      </c>
      <c r="F179" s="35" t="s">
        <v>10535</v>
      </c>
      <c r="G179" s="35">
        <v>110405</v>
      </c>
      <c r="H179" s="35">
        <v>160003</v>
      </c>
      <c r="I179" s="35">
        <v>100011</v>
      </c>
      <c r="J179" s="34" t="s">
        <v>598</v>
      </c>
      <c r="K179" s="34" t="str">
        <f t="shared" si="4"/>
        <v>不重复</v>
      </c>
      <c r="L179" s="34" t="str">
        <f t="shared" si="5"/>
        <v>不重复</v>
      </c>
    </row>
    <row r="180" spans="1:12" ht="15">
      <c r="A180" s="35" t="s">
        <v>10544</v>
      </c>
      <c r="B180" s="35" t="s">
        <v>599</v>
      </c>
      <c r="C180" s="36" t="s">
        <v>600</v>
      </c>
      <c r="D180" s="35" t="s">
        <v>601</v>
      </c>
      <c r="E180" s="35" t="s">
        <v>10538</v>
      </c>
      <c r="F180" s="35" t="s">
        <v>10535</v>
      </c>
      <c r="G180" s="35">
        <v>110406</v>
      </c>
      <c r="H180" s="35">
        <v>160003</v>
      </c>
      <c r="I180" s="35">
        <v>100011</v>
      </c>
      <c r="J180" s="34" t="s">
        <v>590</v>
      </c>
      <c r="K180" s="34" t="str">
        <f t="shared" si="4"/>
        <v>重复</v>
      </c>
      <c r="L180" s="34" t="str">
        <f t="shared" si="5"/>
        <v>不重复</v>
      </c>
    </row>
    <row r="181" spans="1:12" ht="15">
      <c r="A181" s="35" t="s">
        <v>10545</v>
      </c>
      <c r="B181" s="35" t="s">
        <v>602</v>
      </c>
      <c r="C181" s="36" t="s">
        <v>603</v>
      </c>
      <c r="D181" s="35" t="s">
        <v>604</v>
      </c>
      <c r="E181" s="35" t="s">
        <v>10538</v>
      </c>
      <c r="F181" s="35" t="s">
        <v>10535</v>
      </c>
      <c r="G181" s="35">
        <v>110407</v>
      </c>
      <c r="H181" s="35">
        <v>160003</v>
      </c>
      <c r="I181" s="35">
        <v>100011</v>
      </c>
      <c r="J181" s="34" t="s">
        <v>605</v>
      </c>
      <c r="K181" s="34" t="str">
        <f t="shared" si="4"/>
        <v>重复</v>
      </c>
      <c r="L181" s="34" t="str">
        <f t="shared" si="5"/>
        <v>不重复</v>
      </c>
    </row>
    <row r="182" spans="1:12" ht="15">
      <c r="A182" s="35" t="s">
        <v>10546</v>
      </c>
      <c r="B182" s="35" t="s">
        <v>606</v>
      </c>
      <c r="C182" s="36" t="s">
        <v>607</v>
      </c>
      <c r="D182" s="35" t="s">
        <v>608</v>
      </c>
      <c r="E182" s="35" t="s">
        <v>10538</v>
      </c>
      <c r="F182" s="35" t="s">
        <v>10535</v>
      </c>
      <c r="G182" s="35">
        <v>110408</v>
      </c>
      <c r="H182" s="35">
        <v>160003</v>
      </c>
      <c r="I182" s="35">
        <v>100011</v>
      </c>
      <c r="J182" s="34" t="s">
        <v>609</v>
      </c>
      <c r="K182" s="34" t="str">
        <f t="shared" si="4"/>
        <v>重复</v>
      </c>
      <c r="L182" s="34" t="str">
        <f t="shared" si="5"/>
        <v>不重复</v>
      </c>
    </row>
    <row r="183" spans="1:12" ht="15">
      <c r="A183" s="35" t="s">
        <v>10547</v>
      </c>
      <c r="B183" s="35" t="s">
        <v>610</v>
      </c>
      <c r="C183" s="36" t="s">
        <v>611</v>
      </c>
      <c r="D183" s="35" t="s">
        <v>612</v>
      </c>
      <c r="E183" s="35" t="s">
        <v>10538</v>
      </c>
      <c r="F183" s="35" t="s">
        <v>10535</v>
      </c>
      <c r="G183" s="35">
        <v>110409</v>
      </c>
      <c r="H183" s="35">
        <v>160003</v>
      </c>
      <c r="I183" s="35">
        <v>100011</v>
      </c>
      <c r="J183" s="34" t="s">
        <v>129</v>
      </c>
      <c r="K183" s="34" t="str">
        <f t="shared" si="4"/>
        <v>不重复</v>
      </c>
      <c r="L183" s="34" t="str">
        <f t="shared" si="5"/>
        <v>不重复</v>
      </c>
    </row>
    <row r="184" spans="1:12" ht="15">
      <c r="A184" s="35" t="s">
        <v>10548</v>
      </c>
      <c r="B184" s="35" t="s">
        <v>613</v>
      </c>
      <c r="C184" s="36" t="s">
        <v>614</v>
      </c>
      <c r="D184" s="35" t="s">
        <v>615</v>
      </c>
      <c r="E184" s="35" t="s">
        <v>10538</v>
      </c>
      <c r="F184" s="35" t="s">
        <v>10535</v>
      </c>
      <c r="G184" s="35">
        <v>110410</v>
      </c>
      <c r="H184" s="35">
        <v>160003</v>
      </c>
      <c r="I184" s="35">
        <v>100011</v>
      </c>
      <c r="J184" s="34" t="s">
        <v>353</v>
      </c>
      <c r="K184" s="34" t="str">
        <f t="shared" si="4"/>
        <v>重复</v>
      </c>
      <c r="L184" s="34" t="str">
        <f t="shared" si="5"/>
        <v>不重复</v>
      </c>
    </row>
    <row r="185" spans="1:12" ht="15">
      <c r="A185" s="35" t="s">
        <v>10549</v>
      </c>
      <c r="B185" s="35" t="s">
        <v>616</v>
      </c>
      <c r="C185" s="36" t="s">
        <v>617</v>
      </c>
      <c r="D185" s="35" t="s">
        <v>618</v>
      </c>
      <c r="E185" s="35" t="s">
        <v>10538</v>
      </c>
      <c r="F185" s="35" t="s">
        <v>10535</v>
      </c>
      <c r="G185" s="35">
        <v>110411</v>
      </c>
      <c r="H185" s="35">
        <v>160003</v>
      </c>
      <c r="I185" s="35">
        <v>100011</v>
      </c>
      <c r="J185" s="34" t="s">
        <v>590</v>
      </c>
      <c r="K185" s="34" t="str">
        <f t="shared" si="4"/>
        <v>重复</v>
      </c>
      <c r="L185" s="34" t="str">
        <f t="shared" si="5"/>
        <v>重复</v>
      </c>
    </row>
    <row r="186" spans="1:12" ht="15">
      <c r="A186" s="35" t="s">
        <v>10550</v>
      </c>
      <c r="B186" s="35" t="s">
        <v>619</v>
      </c>
      <c r="C186" s="36" t="s">
        <v>620</v>
      </c>
      <c r="D186" s="35" t="s">
        <v>618</v>
      </c>
      <c r="E186" s="35" t="s">
        <v>10538</v>
      </c>
      <c r="F186" s="35" t="s">
        <v>10535</v>
      </c>
      <c r="G186" s="35">
        <v>110412</v>
      </c>
      <c r="H186" s="35">
        <v>160003</v>
      </c>
      <c r="I186" s="35">
        <v>100011</v>
      </c>
      <c r="J186" s="34" t="s">
        <v>590</v>
      </c>
      <c r="K186" s="34" t="str">
        <f t="shared" si="4"/>
        <v>重复</v>
      </c>
      <c r="L186" s="34" t="str">
        <f t="shared" si="5"/>
        <v>重复</v>
      </c>
    </row>
    <row r="187" spans="1:12" ht="15">
      <c r="A187" s="35" t="s">
        <v>10551</v>
      </c>
      <c r="B187" s="35" t="s">
        <v>621</v>
      </c>
      <c r="C187" s="36" t="s">
        <v>622</v>
      </c>
      <c r="D187" s="35" t="s">
        <v>623</v>
      </c>
      <c r="E187" s="35" t="s">
        <v>10538</v>
      </c>
      <c r="F187" s="35" t="s">
        <v>10535</v>
      </c>
      <c r="G187" s="35">
        <v>110413</v>
      </c>
      <c r="H187" s="35">
        <v>160003</v>
      </c>
      <c r="I187" s="35">
        <v>100011</v>
      </c>
      <c r="J187" s="34" t="s">
        <v>458</v>
      </c>
      <c r="K187" s="34" t="str">
        <f t="shared" si="4"/>
        <v>重复</v>
      </c>
      <c r="L187" s="34" t="str">
        <f t="shared" si="5"/>
        <v>不重复</v>
      </c>
    </row>
    <row r="188" spans="1:12" ht="15">
      <c r="A188" s="35" t="s">
        <v>10552</v>
      </c>
      <c r="B188" s="35" t="s">
        <v>624</v>
      </c>
      <c r="C188" s="36" t="s">
        <v>625</v>
      </c>
      <c r="D188" s="35" t="s">
        <v>626</v>
      </c>
      <c r="E188" s="35" t="s">
        <v>10538</v>
      </c>
      <c r="F188" s="35" t="s">
        <v>10535</v>
      </c>
      <c r="G188" s="35">
        <v>110414</v>
      </c>
      <c r="H188" s="35">
        <v>160003</v>
      </c>
      <c r="I188" s="35">
        <v>100011</v>
      </c>
      <c r="J188" s="34" t="s">
        <v>343</v>
      </c>
      <c r="K188" s="34" t="str">
        <f t="shared" si="4"/>
        <v>重复</v>
      </c>
      <c r="L188" s="34" t="str">
        <f t="shared" si="5"/>
        <v>不重复</v>
      </c>
    </row>
    <row r="189" spans="1:12" ht="15">
      <c r="A189" s="35" t="s">
        <v>10553</v>
      </c>
      <c r="B189" s="35" t="s">
        <v>627</v>
      </c>
      <c r="C189" s="36" t="s">
        <v>628</v>
      </c>
      <c r="D189" s="35" t="s">
        <v>629</v>
      </c>
      <c r="E189" s="35" t="s">
        <v>10538</v>
      </c>
      <c r="F189" s="35" t="s">
        <v>10535</v>
      </c>
      <c r="G189" s="35">
        <v>110415</v>
      </c>
      <c r="H189" s="35">
        <v>160003</v>
      </c>
      <c r="I189" s="35">
        <v>100011</v>
      </c>
      <c r="J189" s="34" t="s">
        <v>231</v>
      </c>
      <c r="K189" s="34" t="str">
        <f t="shared" si="4"/>
        <v>重复</v>
      </c>
      <c r="L189" s="34" t="str">
        <f t="shared" si="5"/>
        <v>不重复</v>
      </c>
    </row>
    <row r="190" spans="1:12" ht="15">
      <c r="A190" s="35" t="s">
        <v>10554</v>
      </c>
      <c r="B190" s="35" t="s">
        <v>630</v>
      </c>
      <c r="C190" s="36" t="s">
        <v>631</v>
      </c>
      <c r="D190" s="35" t="s">
        <v>41</v>
      </c>
      <c r="E190" s="35" t="s">
        <v>10554</v>
      </c>
      <c r="F190" s="35" t="s">
        <v>10555</v>
      </c>
      <c r="G190" s="35">
        <v>120100</v>
      </c>
      <c r="H190" s="35">
        <v>170000</v>
      </c>
      <c r="I190" s="35">
        <v>100012</v>
      </c>
      <c r="J190" s="34" t="s">
        <v>16</v>
      </c>
      <c r="K190" s="34" t="str">
        <f t="shared" si="4"/>
        <v>重复</v>
      </c>
      <c r="L190" s="34" t="str">
        <f t="shared" si="5"/>
        <v>重复</v>
      </c>
    </row>
    <row r="191" spans="1:12" ht="15">
      <c r="A191" s="35" t="s">
        <v>10556</v>
      </c>
      <c r="B191" s="35" t="s">
        <v>632</v>
      </c>
      <c r="C191" s="36" t="s">
        <v>631</v>
      </c>
      <c r="D191" s="35" t="s">
        <v>633</v>
      </c>
      <c r="E191" s="35" t="s">
        <v>10554</v>
      </c>
      <c r="F191" s="35" t="s">
        <v>10555</v>
      </c>
      <c r="G191" s="35">
        <v>120101</v>
      </c>
      <c r="H191" s="35">
        <v>170000</v>
      </c>
      <c r="I191" s="35">
        <v>100012</v>
      </c>
      <c r="J191" s="34" t="s">
        <v>634</v>
      </c>
      <c r="K191" s="34" t="str">
        <f t="shared" si="4"/>
        <v>重复</v>
      </c>
      <c r="L191" s="34" t="str">
        <f t="shared" si="5"/>
        <v>不重复</v>
      </c>
    </row>
    <row r="192" spans="1:12" ht="27">
      <c r="A192" s="35" t="s">
        <v>10557</v>
      </c>
      <c r="B192" s="35" t="s">
        <v>635</v>
      </c>
      <c r="C192" s="36" t="s">
        <v>636</v>
      </c>
      <c r="D192" s="35" t="s">
        <v>637</v>
      </c>
      <c r="E192" s="35" t="s">
        <v>10554</v>
      </c>
      <c r="F192" s="35" t="s">
        <v>10555</v>
      </c>
      <c r="G192" s="35">
        <v>120102</v>
      </c>
      <c r="H192" s="35">
        <v>170000</v>
      </c>
      <c r="I192" s="35">
        <v>100012</v>
      </c>
      <c r="J192" s="34" t="s">
        <v>638</v>
      </c>
      <c r="K192" s="34" t="str">
        <f t="shared" si="4"/>
        <v>重复</v>
      </c>
      <c r="L192" s="34" t="str">
        <f t="shared" si="5"/>
        <v>不重复</v>
      </c>
    </row>
    <row r="193" spans="1:12" ht="30">
      <c r="A193" s="35" t="s">
        <v>10558</v>
      </c>
      <c r="B193" s="35" t="s">
        <v>639</v>
      </c>
      <c r="C193" s="36" t="s">
        <v>640</v>
      </c>
      <c r="D193" s="35" t="s">
        <v>641</v>
      </c>
      <c r="E193" s="35" t="s">
        <v>10554</v>
      </c>
      <c r="F193" s="35" t="s">
        <v>10555</v>
      </c>
      <c r="G193" s="35">
        <v>120103</v>
      </c>
      <c r="H193" s="35">
        <v>170000</v>
      </c>
      <c r="I193" s="35">
        <v>100012</v>
      </c>
      <c r="J193" s="34" t="s">
        <v>642</v>
      </c>
      <c r="K193" s="34" t="str">
        <f t="shared" si="4"/>
        <v>重复</v>
      </c>
      <c r="L193" s="34" t="str">
        <f t="shared" si="5"/>
        <v>不重复</v>
      </c>
    </row>
    <row r="194" spans="1:12" ht="27">
      <c r="A194" s="35" t="s">
        <v>10559</v>
      </c>
      <c r="B194" s="35" t="s">
        <v>643</v>
      </c>
      <c r="C194" s="36" t="s">
        <v>644</v>
      </c>
      <c r="D194" s="35" t="s">
        <v>645</v>
      </c>
      <c r="E194" s="35" t="s">
        <v>10554</v>
      </c>
      <c r="F194" s="35" t="s">
        <v>10555</v>
      </c>
      <c r="G194" s="35">
        <v>120104</v>
      </c>
      <c r="H194" s="35">
        <v>170000</v>
      </c>
      <c r="I194" s="35">
        <v>100012</v>
      </c>
      <c r="J194" s="34" t="s">
        <v>638</v>
      </c>
      <c r="K194" s="34" t="str">
        <f t="shared" si="4"/>
        <v>重复</v>
      </c>
      <c r="L194" s="34" t="str">
        <f t="shared" si="5"/>
        <v>不重复</v>
      </c>
    </row>
    <row r="195" spans="1:12" ht="27">
      <c r="A195" s="35" t="s">
        <v>10560</v>
      </c>
      <c r="B195" s="35" t="s">
        <v>646</v>
      </c>
      <c r="C195" s="36" t="s">
        <v>647</v>
      </c>
      <c r="D195" s="35" t="s">
        <v>648</v>
      </c>
      <c r="E195" s="35" t="s">
        <v>10554</v>
      </c>
      <c r="F195" s="35" t="s">
        <v>10555</v>
      </c>
      <c r="G195" s="35">
        <v>120105</v>
      </c>
      <c r="H195" s="35">
        <v>170000</v>
      </c>
      <c r="I195" s="35">
        <v>100012</v>
      </c>
      <c r="J195" s="34" t="s">
        <v>649</v>
      </c>
      <c r="K195" s="34" t="str">
        <f t="shared" si="6" ref="K195:K258">IF(COUNTIF(C:C,C195)&gt;=2,"重复","不重复")</f>
        <v>重复</v>
      </c>
      <c r="L195" s="34" t="str">
        <f t="shared" si="7" ref="L195:L258">IF(COUNTIF(D:D,D195)&gt;=2,"重复","不重复")</f>
        <v>不重复</v>
      </c>
    </row>
    <row r="196" spans="1:12" ht="15">
      <c r="A196" s="35" t="s">
        <v>10561</v>
      </c>
      <c r="B196" s="35" t="s">
        <v>650</v>
      </c>
      <c r="C196" s="36" t="s">
        <v>651</v>
      </c>
      <c r="D196" s="35" t="s">
        <v>652</v>
      </c>
      <c r="E196" s="35" t="s">
        <v>10561</v>
      </c>
      <c r="F196" s="35" t="s">
        <v>10555</v>
      </c>
      <c r="G196" s="35">
        <v>120200</v>
      </c>
      <c r="H196" s="35">
        <v>170010</v>
      </c>
      <c r="I196" s="35">
        <v>100012</v>
      </c>
      <c r="J196" s="34" t="s">
        <v>16</v>
      </c>
      <c r="K196" s="34" t="str">
        <f t="shared" si="6"/>
        <v>重复</v>
      </c>
      <c r="L196" s="34" t="str">
        <f t="shared" si="7"/>
        <v>不重复</v>
      </c>
    </row>
    <row r="197" spans="1:12" ht="15">
      <c r="A197" s="35" t="s">
        <v>10562</v>
      </c>
      <c r="B197" s="35" t="s">
        <v>653</v>
      </c>
      <c r="C197" s="36" t="s">
        <v>654</v>
      </c>
      <c r="D197" s="35" t="s">
        <v>655</v>
      </c>
      <c r="E197" s="35" t="s">
        <v>10561</v>
      </c>
      <c r="F197" s="35" t="s">
        <v>10555</v>
      </c>
      <c r="G197" s="35">
        <v>120201</v>
      </c>
      <c r="H197" s="35">
        <v>170010</v>
      </c>
      <c r="I197" s="35">
        <v>100012</v>
      </c>
      <c r="J197" s="34" t="s">
        <v>93</v>
      </c>
      <c r="K197" s="34" t="str">
        <f t="shared" si="6"/>
        <v>重复</v>
      </c>
      <c r="L197" s="34" t="str">
        <f t="shared" si="7"/>
        <v>不重复</v>
      </c>
    </row>
    <row r="198" spans="1:12" ht="15">
      <c r="A198" s="35" t="s">
        <v>10563</v>
      </c>
      <c r="B198" s="35" t="s">
        <v>656</v>
      </c>
      <c r="C198" s="36" t="s">
        <v>657</v>
      </c>
      <c r="D198" s="35" t="s">
        <v>658</v>
      </c>
      <c r="E198" s="35" t="s">
        <v>10561</v>
      </c>
      <c r="F198" s="35" t="s">
        <v>10555</v>
      </c>
      <c r="G198" s="35">
        <v>120202</v>
      </c>
      <c r="H198" s="35">
        <v>170010</v>
      </c>
      <c r="I198" s="35">
        <v>100012</v>
      </c>
      <c r="J198" s="34" t="s">
        <v>659</v>
      </c>
      <c r="K198" s="34" t="str">
        <f t="shared" si="6"/>
        <v>重复</v>
      </c>
      <c r="L198" s="34" t="str">
        <f t="shared" si="7"/>
        <v>不重复</v>
      </c>
    </row>
    <row r="199" spans="1:12" ht="15">
      <c r="A199" s="35" t="s">
        <v>10564</v>
      </c>
      <c r="B199" s="35" t="s">
        <v>660</v>
      </c>
      <c r="C199" s="36" t="s">
        <v>657</v>
      </c>
      <c r="D199" s="35" t="s">
        <v>661</v>
      </c>
      <c r="E199" s="35" t="s">
        <v>10561</v>
      </c>
      <c r="F199" s="35" t="s">
        <v>10555</v>
      </c>
      <c r="G199" s="35">
        <v>120203</v>
      </c>
      <c r="H199" s="35">
        <v>170010</v>
      </c>
      <c r="I199" s="35">
        <v>100012</v>
      </c>
      <c r="J199" s="34" t="s">
        <v>93</v>
      </c>
      <c r="K199" s="34" t="str">
        <f t="shared" si="6"/>
        <v>重复</v>
      </c>
      <c r="L199" s="34" t="str">
        <f t="shared" si="7"/>
        <v>不重复</v>
      </c>
    </row>
    <row r="200" spans="1:12" ht="15">
      <c r="A200" s="35" t="s">
        <v>10565</v>
      </c>
      <c r="B200" s="35" t="s">
        <v>662</v>
      </c>
      <c r="C200" s="36" t="s">
        <v>663</v>
      </c>
      <c r="D200" s="35" t="s">
        <v>664</v>
      </c>
      <c r="E200" s="35" t="s">
        <v>10561</v>
      </c>
      <c r="F200" s="35" t="s">
        <v>10555</v>
      </c>
      <c r="G200" s="35">
        <v>120204</v>
      </c>
      <c r="H200" s="35">
        <v>170010</v>
      </c>
      <c r="I200" s="35">
        <v>100012</v>
      </c>
      <c r="J200" s="34" t="s">
        <v>71</v>
      </c>
      <c r="K200" s="34" t="str">
        <f t="shared" si="6"/>
        <v>不重复</v>
      </c>
      <c r="L200" s="34" t="str">
        <f t="shared" si="7"/>
        <v>不重复</v>
      </c>
    </row>
    <row r="201" spans="1:12" ht="15">
      <c r="A201" s="35" t="s">
        <v>10566</v>
      </c>
      <c r="B201" s="35" t="s">
        <v>665</v>
      </c>
      <c r="C201" s="36" t="s">
        <v>666</v>
      </c>
      <c r="D201" s="35" t="s">
        <v>667</v>
      </c>
      <c r="E201" s="35" t="s">
        <v>10561</v>
      </c>
      <c r="F201" s="35" t="s">
        <v>10555</v>
      </c>
      <c r="G201" s="35">
        <v>120205</v>
      </c>
      <c r="H201" s="35">
        <v>170010</v>
      </c>
      <c r="I201" s="35">
        <v>100012</v>
      </c>
      <c r="J201" s="34" t="s">
        <v>668</v>
      </c>
      <c r="K201" s="34" t="str">
        <f t="shared" si="6"/>
        <v>重复</v>
      </c>
      <c r="L201" s="34" t="str">
        <f t="shared" si="7"/>
        <v>不重复</v>
      </c>
    </row>
    <row r="202" spans="1:12" ht="15">
      <c r="A202" s="35" t="s">
        <v>10567</v>
      </c>
      <c r="B202" s="35" t="s">
        <v>669</v>
      </c>
      <c r="C202" s="36" t="s">
        <v>670</v>
      </c>
      <c r="D202" s="35" t="s">
        <v>671</v>
      </c>
      <c r="E202" s="35" t="s">
        <v>10561</v>
      </c>
      <c r="F202" s="35" t="s">
        <v>10555</v>
      </c>
      <c r="G202" s="35">
        <v>120206</v>
      </c>
      <c r="H202" s="35">
        <v>170010</v>
      </c>
      <c r="I202" s="35">
        <v>100012</v>
      </c>
      <c r="J202" s="34" t="s">
        <v>93</v>
      </c>
      <c r="K202" s="34" t="str">
        <f t="shared" si="6"/>
        <v>重复</v>
      </c>
      <c r="L202" s="34" t="str">
        <f t="shared" si="7"/>
        <v>不重复</v>
      </c>
    </row>
    <row r="203" spans="1:12" ht="15">
      <c r="A203" s="35" t="s">
        <v>10568</v>
      </c>
      <c r="B203" s="35" t="s">
        <v>672</v>
      </c>
      <c r="C203" s="36" t="s">
        <v>673</v>
      </c>
      <c r="D203" s="35" t="s">
        <v>674</v>
      </c>
      <c r="E203" s="35" t="s">
        <v>10561</v>
      </c>
      <c r="F203" s="35" t="s">
        <v>10555</v>
      </c>
      <c r="G203" s="35">
        <v>120207</v>
      </c>
      <c r="H203" s="35">
        <v>170010</v>
      </c>
      <c r="I203" s="35">
        <v>100012</v>
      </c>
      <c r="J203" s="34" t="s">
        <v>353</v>
      </c>
      <c r="K203" s="34" t="str">
        <f t="shared" si="6"/>
        <v>重复</v>
      </c>
      <c r="L203" s="34" t="str">
        <f t="shared" si="7"/>
        <v>重复</v>
      </c>
    </row>
    <row r="204" spans="1:12" ht="15">
      <c r="A204" s="35" t="s">
        <v>10569</v>
      </c>
      <c r="B204" s="35" t="s">
        <v>675</v>
      </c>
      <c r="C204" s="36" t="s">
        <v>673</v>
      </c>
      <c r="D204" s="35" t="s">
        <v>674</v>
      </c>
      <c r="E204" s="35" t="s">
        <v>10561</v>
      </c>
      <c r="F204" s="35" t="s">
        <v>10555</v>
      </c>
      <c r="G204" s="35">
        <v>120208</v>
      </c>
      <c r="H204" s="35">
        <v>170010</v>
      </c>
      <c r="I204" s="35">
        <v>100012</v>
      </c>
      <c r="J204" s="34" t="s">
        <v>148</v>
      </c>
      <c r="K204" s="34" t="str">
        <f t="shared" si="6"/>
        <v>重复</v>
      </c>
      <c r="L204" s="34" t="str">
        <f t="shared" si="7"/>
        <v>重复</v>
      </c>
    </row>
    <row r="205" spans="1:12" ht="30">
      <c r="A205" s="35" t="s">
        <v>10570</v>
      </c>
      <c r="B205" s="35" t="s">
        <v>676</v>
      </c>
      <c r="C205" s="36" t="s">
        <v>198</v>
      </c>
      <c r="D205" s="35" t="s">
        <v>677</v>
      </c>
      <c r="E205" s="35" t="s">
        <v>10561</v>
      </c>
      <c r="F205" s="35" t="s">
        <v>10555</v>
      </c>
      <c r="G205" s="35">
        <v>120209</v>
      </c>
      <c r="H205" s="35">
        <v>170010</v>
      </c>
      <c r="I205" s="35">
        <v>100012</v>
      </c>
      <c r="J205" s="34" t="s">
        <v>557</v>
      </c>
      <c r="K205" s="34" t="str">
        <f t="shared" si="6"/>
        <v>重复</v>
      </c>
      <c r="L205" s="34" t="str">
        <f t="shared" si="7"/>
        <v>不重复</v>
      </c>
    </row>
    <row r="206" spans="1:12" ht="15">
      <c r="A206" s="35" t="s">
        <v>10571</v>
      </c>
      <c r="B206" s="35" t="s">
        <v>678</v>
      </c>
      <c r="C206" s="36" t="s">
        <v>679</v>
      </c>
      <c r="D206" s="35" t="s">
        <v>680</v>
      </c>
      <c r="E206" s="35" t="s">
        <v>10561</v>
      </c>
      <c r="F206" s="35" t="s">
        <v>10555</v>
      </c>
      <c r="G206" s="35">
        <v>120210</v>
      </c>
      <c r="H206" s="35">
        <v>170010</v>
      </c>
      <c r="I206" s="35">
        <v>100012</v>
      </c>
      <c r="J206" s="34" t="s">
        <v>681</v>
      </c>
      <c r="K206" s="34" t="str">
        <f t="shared" si="6"/>
        <v>不重复</v>
      </c>
      <c r="L206" s="34" t="str">
        <f t="shared" si="7"/>
        <v>不重复</v>
      </c>
    </row>
    <row r="207" spans="1:12" ht="15">
      <c r="A207" s="35" t="s">
        <v>10572</v>
      </c>
      <c r="B207" s="35" t="s">
        <v>682</v>
      </c>
      <c r="C207" s="36" t="s">
        <v>683</v>
      </c>
      <c r="D207" s="35" t="s">
        <v>684</v>
      </c>
      <c r="E207" s="35" t="s">
        <v>10561</v>
      </c>
      <c r="F207" s="35" t="s">
        <v>10555</v>
      </c>
      <c r="G207" s="35">
        <v>120211</v>
      </c>
      <c r="H207" s="35">
        <v>170010</v>
      </c>
      <c r="I207" s="35">
        <v>100012</v>
      </c>
      <c r="J207" s="34" t="s">
        <v>681</v>
      </c>
      <c r="K207" s="34" t="str">
        <f t="shared" si="6"/>
        <v>不重复</v>
      </c>
      <c r="L207" s="34" t="str">
        <f t="shared" si="7"/>
        <v>不重复</v>
      </c>
    </row>
    <row r="208" spans="1:12" ht="15">
      <c r="A208" s="35" t="s">
        <v>10573</v>
      </c>
      <c r="B208" s="35" t="s">
        <v>685</v>
      </c>
      <c r="C208" s="36" t="s">
        <v>686</v>
      </c>
      <c r="D208" s="35" t="s">
        <v>687</v>
      </c>
      <c r="E208" s="35" t="s">
        <v>10561</v>
      </c>
      <c r="F208" s="35" t="s">
        <v>10555</v>
      </c>
      <c r="G208" s="35">
        <v>120212</v>
      </c>
      <c r="H208" s="35">
        <v>170010</v>
      </c>
      <c r="I208" s="35">
        <v>100012</v>
      </c>
      <c r="J208" s="34" t="s">
        <v>688</v>
      </c>
      <c r="K208" s="34" t="str">
        <f t="shared" si="6"/>
        <v>重复</v>
      </c>
      <c r="L208" s="34" t="str">
        <f t="shared" si="7"/>
        <v>不重复</v>
      </c>
    </row>
    <row r="209" spans="1:12" ht="15">
      <c r="A209" s="35" t="s">
        <v>10574</v>
      </c>
      <c r="B209" s="35" t="s">
        <v>689</v>
      </c>
      <c r="C209" s="36" t="s">
        <v>690</v>
      </c>
      <c r="D209" s="35" t="s">
        <v>691</v>
      </c>
      <c r="E209" s="35" t="s">
        <v>10561</v>
      </c>
      <c r="F209" s="35" t="s">
        <v>10555</v>
      </c>
      <c r="G209" s="35">
        <v>120213</v>
      </c>
      <c r="H209" s="35">
        <v>170010</v>
      </c>
      <c r="I209" s="35">
        <v>100012</v>
      </c>
      <c r="J209" s="34" t="s">
        <v>692</v>
      </c>
      <c r="K209" s="34" t="str">
        <f t="shared" si="6"/>
        <v>不重复</v>
      </c>
      <c r="L209" s="34" t="str">
        <f t="shared" si="7"/>
        <v>不重复</v>
      </c>
    </row>
    <row r="210" spans="1:12" ht="15">
      <c r="A210" s="35" t="s">
        <v>10575</v>
      </c>
      <c r="B210" s="35" t="s">
        <v>693</v>
      </c>
      <c r="C210" s="36" t="s">
        <v>694</v>
      </c>
      <c r="D210" s="35" t="s">
        <v>695</v>
      </c>
      <c r="E210" s="35" t="s">
        <v>10561</v>
      </c>
      <c r="F210" s="35" t="s">
        <v>10555</v>
      </c>
      <c r="G210" s="35">
        <v>120214</v>
      </c>
      <c r="H210" s="35">
        <v>170010</v>
      </c>
      <c r="I210" s="35">
        <v>100012</v>
      </c>
      <c r="J210" s="34" t="s">
        <v>93</v>
      </c>
      <c r="K210" s="34" t="str">
        <f t="shared" si="6"/>
        <v>不重复</v>
      </c>
      <c r="L210" s="34" t="str">
        <f t="shared" si="7"/>
        <v>不重复</v>
      </c>
    </row>
    <row r="211" spans="1:12" ht="27">
      <c r="A211" s="35" t="s">
        <v>10576</v>
      </c>
      <c r="B211" s="35" t="s">
        <v>696</v>
      </c>
      <c r="C211" s="36" t="s">
        <v>697</v>
      </c>
      <c r="D211" s="35" t="s">
        <v>698</v>
      </c>
      <c r="E211" s="35" t="s">
        <v>10561</v>
      </c>
      <c r="F211" s="35" t="s">
        <v>10555</v>
      </c>
      <c r="G211" s="35">
        <v>120215</v>
      </c>
      <c r="H211" s="35">
        <v>170010</v>
      </c>
      <c r="I211" s="35">
        <v>100012</v>
      </c>
      <c r="J211" s="34" t="s">
        <v>288</v>
      </c>
      <c r="K211" s="34" t="str">
        <f t="shared" si="6"/>
        <v>重复</v>
      </c>
      <c r="L211" s="34" t="str">
        <f t="shared" si="7"/>
        <v>不重复</v>
      </c>
    </row>
    <row r="212" spans="1:12" ht="27">
      <c r="A212" s="35" t="s">
        <v>10577</v>
      </c>
      <c r="B212" s="35" t="s">
        <v>699</v>
      </c>
      <c r="C212" s="36" t="s">
        <v>700</v>
      </c>
      <c r="D212" s="35" t="s">
        <v>701</v>
      </c>
      <c r="E212" s="35" t="s">
        <v>10561</v>
      </c>
      <c r="F212" s="35" t="s">
        <v>10555</v>
      </c>
      <c r="G212" s="35">
        <v>120216</v>
      </c>
      <c r="H212" s="35">
        <v>170010</v>
      </c>
      <c r="I212" s="35">
        <v>100012</v>
      </c>
      <c r="J212" s="34" t="s">
        <v>668</v>
      </c>
      <c r="K212" s="34" t="str">
        <f t="shared" si="6"/>
        <v>不重复</v>
      </c>
      <c r="L212" s="34" t="str">
        <f t="shared" si="7"/>
        <v>不重复</v>
      </c>
    </row>
    <row r="213" spans="1:12" ht="15">
      <c r="A213" s="35" t="s">
        <v>10578</v>
      </c>
      <c r="B213" s="35" t="s">
        <v>702</v>
      </c>
      <c r="C213" s="36" t="s">
        <v>703</v>
      </c>
      <c r="D213" s="35" t="s">
        <v>704</v>
      </c>
      <c r="E213" s="35" t="s">
        <v>10578</v>
      </c>
      <c r="F213" s="35" t="s">
        <v>10555</v>
      </c>
      <c r="G213" s="35">
        <v>120300</v>
      </c>
      <c r="H213" s="35">
        <v>170020</v>
      </c>
      <c r="I213" s="35">
        <v>100012</v>
      </c>
      <c r="J213" s="34" t="s">
        <v>16</v>
      </c>
      <c r="K213" s="34" t="str">
        <f t="shared" si="6"/>
        <v>不重复</v>
      </c>
      <c r="L213" s="34" t="str">
        <f t="shared" si="7"/>
        <v>不重复</v>
      </c>
    </row>
    <row r="214" spans="1:12" ht="15">
      <c r="A214" s="35" t="s">
        <v>10579</v>
      </c>
      <c r="B214" s="35" t="s">
        <v>705</v>
      </c>
      <c r="C214" s="36" t="s">
        <v>706</v>
      </c>
      <c r="D214" s="35" t="s">
        <v>707</v>
      </c>
      <c r="E214" s="35" t="s">
        <v>10578</v>
      </c>
      <c r="F214" s="35" t="s">
        <v>10555</v>
      </c>
      <c r="G214" s="35">
        <v>120301</v>
      </c>
      <c r="H214" s="35">
        <v>170020</v>
      </c>
      <c r="I214" s="35">
        <v>100012</v>
      </c>
      <c r="J214" s="34" t="s">
        <v>288</v>
      </c>
      <c r="K214" s="34" t="str">
        <f t="shared" si="6"/>
        <v>重复</v>
      </c>
      <c r="L214" s="34" t="str">
        <f t="shared" si="7"/>
        <v>不重复</v>
      </c>
    </row>
    <row r="215" spans="1:12" ht="15">
      <c r="A215" s="35" t="s">
        <v>10580</v>
      </c>
      <c r="B215" s="35" t="s">
        <v>708</v>
      </c>
      <c r="C215" s="36" t="s">
        <v>709</v>
      </c>
      <c r="D215" s="35" t="s">
        <v>710</v>
      </c>
      <c r="E215" s="35" t="s">
        <v>10578</v>
      </c>
      <c r="F215" s="35" t="s">
        <v>10555</v>
      </c>
      <c r="G215" s="35">
        <v>120302</v>
      </c>
      <c r="H215" s="35">
        <v>170020</v>
      </c>
      <c r="I215" s="35">
        <v>100012</v>
      </c>
      <c r="J215" s="34" t="s">
        <v>711</v>
      </c>
      <c r="K215" s="34" t="str">
        <f t="shared" si="6"/>
        <v>重复</v>
      </c>
      <c r="L215" s="34" t="str">
        <f t="shared" si="7"/>
        <v>不重复</v>
      </c>
    </row>
    <row r="216" spans="1:12" ht="15">
      <c r="A216" s="35" t="s">
        <v>10581</v>
      </c>
      <c r="B216" s="35" t="s">
        <v>712</v>
      </c>
      <c r="C216" s="36" t="s">
        <v>713</v>
      </c>
      <c r="D216" s="35" t="s">
        <v>714</v>
      </c>
      <c r="E216" s="35" t="s">
        <v>10578</v>
      </c>
      <c r="F216" s="35" t="s">
        <v>10555</v>
      </c>
      <c r="G216" s="35">
        <v>120303</v>
      </c>
      <c r="H216" s="35">
        <v>170020</v>
      </c>
      <c r="I216" s="35">
        <v>100012</v>
      </c>
      <c r="J216" s="34" t="s">
        <v>715</v>
      </c>
      <c r="K216" s="34" t="str">
        <f t="shared" si="6"/>
        <v>重复</v>
      </c>
      <c r="L216" s="34" t="str">
        <f t="shared" si="7"/>
        <v>重复</v>
      </c>
    </row>
    <row r="217" spans="1:12" ht="15">
      <c r="A217" s="35" t="s">
        <v>10582</v>
      </c>
      <c r="B217" s="35" t="s">
        <v>716</v>
      </c>
      <c r="C217" s="36" t="s">
        <v>717</v>
      </c>
      <c r="D217" s="35" t="s">
        <v>718</v>
      </c>
      <c r="E217" s="35" t="s">
        <v>10578</v>
      </c>
      <c r="F217" s="35" t="s">
        <v>10555</v>
      </c>
      <c r="G217" s="35">
        <v>120304</v>
      </c>
      <c r="H217" s="35">
        <v>170020</v>
      </c>
      <c r="I217" s="35">
        <v>100012</v>
      </c>
      <c r="J217" s="34" t="s">
        <v>719</v>
      </c>
      <c r="K217" s="34" t="str">
        <f t="shared" si="6"/>
        <v>重复</v>
      </c>
      <c r="L217" s="34" t="str">
        <f t="shared" si="7"/>
        <v>重复</v>
      </c>
    </row>
    <row r="218" spans="1:12" ht="15">
      <c r="A218" s="35" t="s">
        <v>10583</v>
      </c>
      <c r="B218" s="35" t="s">
        <v>720</v>
      </c>
      <c r="C218" s="36" t="s">
        <v>721</v>
      </c>
      <c r="D218" s="35" t="s">
        <v>722</v>
      </c>
      <c r="E218" s="35" t="s">
        <v>10583</v>
      </c>
      <c r="F218" s="35" t="s">
        <v>10555</v>
      </c>
      <c r="G218" s="35">
        <v>120400</v>
      </c>
      <c r="H218" s="35">
        <v>170030</v>
      </c>
      <c r="I218" s="35">
        <v>100012</v>
      </c>
      <c r="J218" s="34" t="s">
        <v>16</v>
      </c>
      <c r="K218" s="34" t="str">
        <f t="shared" si="6"/>
        <v>不重复</v>
      </c>
      <c r="L218" s="34" t="str">
        <f t="shared" si="7"/>
        <v>不重复</v>
      </c>
    </row>
    <row r="219" spans="1:12" ht="27">
      <c r="A219" s="35" t="s">
        <v>10584</v>
      </c>
      <c r="B219" s="35" t="s">
        <v>723</v>
      </c>
      <c r="C219" s="36" t="s">
        <v>724</v>
      </c>
      <c r="D219" s="35" t="s">
        <v>725</v>
      </c>
      <c r="E219" s="35" t="s">
        <v>10583</v>
      </c>
      <c r="F219" s="35" t="s">
        <v>10555</v>
      </c>
      <c r="G219" s="35">
        <v>120401</v>
      </c>
      <c r="H219" s="35">
        <v>170030</v>
      </c>
      <c r="I219" s="35">
        <v>100012</v>
      </c>
      <c r="J219" s="34" t="s">
        <v>71</v>
      </c>
      <c r="K219" s="34" t="str">
        <f t="shared" si="6"/>
        <v>重复</v>
      </c>
      <c r="L219" s="34" t="str">
        <f t="shared" si="7"/>
        <v>不重复</v>
      </c>
    </row>
    <row r="220" spans="1:12" ht="27">
      <c r="A220" s="35" t="s">
        <v>10585</v>
      </c>
      <c r="B220" s="35" t="s">
        <v>726</v>
      </c>
      <c r="C220" s="36" t="s">
        <v>727</v>
      </c>
      <c r="D220" s="35" t="s">
        <v>728</v>
      </c>
      <c r="E220" s="35" t="s">
        <v>10583</v>
      </c>
      <c r="F220" s="35" t="s">
        <v>10555</v>
      </c>
      <c r="G220" s="35">
        <v>120402</v>
      </c>
      <c r="H220" s="35">
        <v>170030</v>
      </c>
      <c r="I220" s="35">
        <v>100012</v>
      </c>
      <c r="J220" s="34" t="s">
        <v>93</v>
      </c>
      <c r="K220" s="34" t="str">
        <f t="shared" si="6"/>
        <v>不重复</v>
      </c>
      <c r="L220" s="34" t="str">
        <f t="shared" si="7"/>
        <v>不重复</v>
      </c>
    </row>
    <row r="221" spans="1:12" ht="27">
      <c r="A221" s="35" t="s">
        <v>10586</v>
      </c>
      <c r="B221" s="35" t="s">
        <v>729</v>
      </c>
      <c r="C221" s="36" t="s">
        <v>730</v>
      </c>
      <c r="D221" s="35" t="s">
        <v>731</v>
      </c>
      <c r="E221" s="35" t="s">
        <v>10583</v>
      </c>
      <c r="F221" s="35" t="s">
        <v>10555</v>
      </c>
      <c r="G221" s="35">
        <v>120403</v>
      </c>
      <c r="H221" s="35">
        <v>170030</v>
      </c>
      <c r="I221" s="35">
        <v>100012</v>
      </c>
      <c r="J221" s="34" t="s">
        <v>668</v>
      </c>
      <c r="K221" s="34" t="str">
        <f t="shared" si="6"/>
        <v>不重复</v>
      </c>
      <c r="L221" s="34" t="str">
        <f t="shared" si="7"/>
        <v>不重复</v>
      </c>
    </row>
    <row r="222" spans="1:12" ht="27">
      <c r="A222" s="35" t="s">
        <v>10587</v>
      </c>
      <c r="B222" s="35" t="s">
        <v>732</v>
      </c>
      <c r="C222" s="36" t="s">
        <v>733</v>
      </c>
      <c r="D222" s="35" t="s">
        <v>734</v>
      </c>
      <c r="E222" s="35" t="s">
        <v>10583</v>
      </c>
      <c r="F222" s="35" t="s">
        <v>10555</v>
      </c>
      <c r="G222" s="35">
        <v>120404</v>
      </c>
      <c r="H222" s="35">
        <v>170030</v>
      </c>
      <c r="I222" s="35">
        <v>100012</v>
      </c>
      <c r="J222" s="34" t="s">
        <v>363</v>
      </c>
      <c r="K222" s="34" t="str">
        <f t="shared" si="6"/>
        <v>不重复</v>
      </c>
      <c r="L222" s="34" t="str">
        <f t="shared" si="7"/>
        <v>不重复</v>
      </c>
    </row>
    <row r="223" spans="1:12" ht="15">
      <c r="A223" s="35" t="s">
        <v>10588</v>
      </c>
      <c r="B223" s="35" t="s">
        <v>735</v>
      </c>
      <c r="C223" s="36" t="s">
        <v>736</v>
      </c>
      <c r="D223" s="35" t="s">
        <v>737</v>
      </c>
      <c r="E223" s="35" t="s">
        <v>10583</v>
      </c>
      <c r="F223" s="35" t="s">
        <v>10555</v>
      </c>
      <c r="G223" s="35">
        <v>120405</v>
      </c>
      <c r="H223" s="35">
        <v>170030</v>
      </c>
      <c r="I223" s="35">
        <v>100012</v>
      </c>
      <c r="J223" s="34" t="s">
        <v>288</v>
      </c>
      <c r="K223" s="34" t="str">
        <f t="shared" si="6"/>
        <v>不重复</v>
      </c>
      <c r="L223" s="34" t="str">
        <f t="shared" si="7"/>
        <v>不重复</v>
      </c>
    </row>
    <row r="224" spans="1:12" ht="15">
      <c r="A224" s="35" t="s">
        <v>10589</v>
      </c>
      <c r="B224" s="35" t="s">
        <v>738</v>
      </c>
      <c r="C224" s="36" t="s">
        <v>739</v>
      </c>
      <c r="D224" s="35" t="s">
        <v>740</v>
      </c>
      <c r="E224" s="35" t="s">
        <v>10589</v>
      </c>
      <c r="F224" s="35" t="s">
        <v>10555</v>
      </c>
      <c r="G224" s="35">
        <v>120500</v>
      </c>
      <c r="H224" s="35">
        <v>170040</v>
      </c>
      <c r="I224" s="35">
        <v>100012</v>
      </c>
      <c r="J224" s="34" t="s">
        <v>16</v>
      </c>
      <c r="K224" s="34" t="str">
        <f t="shared" si="6"/>
        <v>不重复</v>
      </c>
      <c r="L224" s="34" t="str">
        <f t="shared" si="7"/>
        <v>不重复</v>
      </c>
    </row>
    <row r="225" spans="1:12" ht="15">
      <c r="A225" s="35" t="s">
        <v>10590</v>
      </c>
      <c r="B225" s="35" t="s">
        <v>741</v>
      </c>
      <c r="C225" s="36" t="s">
        <v>742</v>
      </c>
      <c r="D225" s="35" t="s">
        <v>161</v>
      </c>
      <c r="E225" s="35" t="s">
        <v>10590</v>
      </c>
      <c r="F225" s="35" t="s">
        <v>10555</v>
      </c>
      <c r="G225" s="35">
        <v>120600</v>
      </c>
      <c r="H225" s="35">
        <v>170050</v>
      </c>
      <c r="I225" s="35">
        <v>100012</v>
      </c>
      <c r="J225" s="34" t="s">
        <v>16</v>
      </c>
      <c r="K225" s="34" t="str">
        <f t="shared" si="6"/>
        <v>重复</v>
      </c>
      <c r="L225" s="34" t="str">
        <f t="shared" si="7"/>
        <v>重复</v>
      </c>
    </row>
    <row r="226" spans="1:12" ht="15">
      <c r="A226" s="35" t="s">
        <v>10591</v>
      </c>
      <c r="B226" s="35" t="s">
        <v>743</v>
      </c>
      <c r="C226" s="36" t="s">
        <v>744</v>
      </c>
      <c r="D226" s="35" t="s">
        <v>745</v>
      </c>
      <c r="E226" s="35" t="s">
        <v>10591</v>
      </c>
      <c r="F226" s="35" t="s">
        <v>10555</v>
      </c>
      <c r="G226" s="35">
        <v>120700</v>
      </c>
      <c r="H226" s="35">
        <v>170060</v>
      </c>
      <c r="I226" s="35">
        <v>100012</v>
      </c>
      <c r="J226" s="34" t="s">
        <v>16</v>
      </c>
      <c r="K226" s="34" t="str">
        <f t="shared" si="6"/>
        <v>不重复</v>
      </c>
      <c r="L226" s="34" t="str">
        <f t="shared" si="7"/>
        <v>不重复</v>
      </c>
    </row>
    <row r="227" spans="1:12" ht="15">
      <c r="A227" s="35" t="s">
        <v>10592</v>
      </c>
      <c r="B227" s="35" t="s">
        <v>746</v>
      </c>
      <c r="C227" s="36" t="s">
        <v>747</v>
      </c>
      <c r="D227" s="35" t="s">
        <v>748</v>
      </c>
      <c r="E227" s="35" t="s">
        <v>10592</v>
      </c>
      <c r="F227" s="35" t="s">
        <v>10593</v>
      </c>
      <c r="G227" s="35">
        <v>120800</v>
      </c>
      <c r="H227" s="35">
        <v>180000</v>
      </c>
      <c r="I227" s="35">
        <v>100013</v>
      </c>
      <c r="J227" s="34" t="s">
        <v>16</v>
      </c>
      <c r="K227" s="34" t="str">
        <f t="shared" si="6"/>
        <v>重复</v>
      </c>
      <c r="L227" s="34" t="str">
        <f t="shared" si="7"/>
        <v>不重复</v>
      </c>
    </row>
    <row r="228" spans="1:12" ht="15">
      <c r="A228" s="35" t="s">
        <v>10594</v>
      </c>
      <c r="B228" s="35" t="s">
        <v>749</v>
      </c>
      <c r="C228" s="36" t="s">
        <v>750</v>
      </c>
      <c r="D228" s="35" t="s">
        <v>751</v>
      </c>
      <c r="E228" s="35" t="s">
        <v>10592</v>
      </c>
      <c r="F228" s="35" t="s">
        <v>10593</v>
      </c>
      <c r="G228" s="35">
        <v>130100</v>
      </c>
      <c r="H228" s="35">
        <v>180000</v>
      </c>
      <c r="I228" s="35">
        <v>100013</v>
      </c>
      <c r="J228" s="34" t="s">
        <v>752</v>
      </c>
      <c r="K228" s="34" t="str">
        <f t="shared" si="6"/>
        <v>重复</v>
      </c>
      <c r="L228" s="34" t="str">
        <f t="shared" si="7"/>
        <v>不重复</v>
      </c>
    </row>
    <row r="229" spans="1:12" ht="27">
      <c r="A229" s="35" t="s">
        <v>10595</v>
      </c>
      <c r="B229" s="35" t="s">
        <v>753</v>
      </c>
      <c r="C229" s="36" t="s">
        <v>754</v>
      </c>
      <c r="D229" s="35" t="s">
        <v>755</v>
      </c>
      <c r="E229" s="35" t="s">
        <v>10592</v>
      </c>
      <c r="F229" s="35" t="s">
        <v>10593</v>
      </c>
      <c r="G229" s="35">
        <v>130101</v>
      </c>
      <c r="H229" s="35">
        <v>180000</v>
      </c>
      <c r="I229" s="35">
        <v>100013</v>
      </c>
      <c r="J229" s="34" t="s">
        <v>756</v>
      </c>
      <c r="K229" s="34" t="str">
        <f t="shared" si="6"/>
        <v>重复</v>
      </c>
      <c r="L229" s="34" t="str">
        <f t="shared" si="7"/>
        <v>不重复</v>
      </c>
    </row>
    <row r="230" spans="1:12" ht="27">
      <c r="A230" s="35" t="s">
        <v>10596</v>
      </c>
      <c r="B230" s="35" t="s">
        <v>757</v>
      </c>
      <c r="C230" s="36" t="s">
        <v>758</v>
      </c>
      <c r="D230" s="35" t="s">
        <v>759</v>
      </c>
      <c r="E230" s="35" t="s">
        <v>10592</v>
      </c>
      <c r="F230" s="35" t="s">
        <v>10593</v>
      </c>
      <c r="G230" s="35">
        <v>130102</v>
      </c>
      <c r="H230" s="35">
        <v>180000</v>
      </c>
      <c r="I230" s="35">
        <v>100013</v>
      </c>
      <c r="J230" s="34" t="s">
        <v>719</v>
      </c>
      <c r="K230" s="34" t="str">
        <f t="shared" si="6"/>
        <v>重复</v>
      </c>
      <c r="L230" s="34" t="str">
        <f t="shared" si="7"/>
        <v>不重复</v>
      </c>
    </row>
    <row r="231" spans="1:12" ht="27">
      <c r="A231" s="35" t="s">
        <v>10597</v>
      </c>
      <c r="B231" s="35" t="s">
        <v>760</v>
      </c>
      <c r="C231" s="36" t="s">
        <v>761</v>
      </c>
      <c r="D231" s="35" t="s">
        <v>762</v>
      </c>
      <c r="E231" s="35" t="s">
        <v>10592</v>
      </c>
      <c r="F231" s="35" t="s">
        <v>10593</v>
      </c>
      <c r="G231" s="35">
        <v>130103</v>
      </c>
      <c r="H231" s="35">
        <v>180000</v>
      </c>
      <c r="I231" s="35">
        <v>100013</v>
      </c>
      <c r="J231" s="34" t="s">
        <v>668</v>
      </c>
      <c r="K231" s="34" t="str">
        <f t="shared" si="6"/>
        <v>重复</v>
      </c>
      <c r="L231" s="34" t="str">
        <f t="shared" si="7"/>
        <v>不重复</v>
      </c>
    </row>
    <row r="232" spans="1:12" ht="15">
      <c r="A232" s="35" t="s">
        <v>10598</v>
      </c>
      <c r="B232" s="35" t="s">
        <v>763</v>
      </c>
      <c r="C232" s="36" t="s">
        <v>764</v>
      </c>
      <c r="D232" s="35" t="s">
        <v>765</v>
      </c>
      <c r="E232" s="35" t="s">
        <v>10592</v>
      </c>
      <c r="F232" s="35" t="s">
        <v>10593</v>
      </c>
      <c r="G232" s="35">
        <v>130104</v>
      </c>
      <c r="H232" s="35">
        <v>180000</v>
      </c>
      <c r="I232" s="35">
        <v>100013</v>
      </c>
      <c r="J232" s="34" t="s">
        <v>386</v>
      </c>
      <c r="K232" s="34" t="str">
        <f t="shared" si="6"/>
        <v>重复</v>
      </c>
      <c r="L232" s="34" t="str">
        <f t="shared" si="7"/>
        <v>不重复</v>
      </c>
    </row>
    <row r="233" spans="1:12" ht="27">
      <c r="A233" s="35" t="s">
        <v>10599</v>
      </c>
      <c r="B233" s="35" t="s">
        <v>766</v>
      </c>
      <c r="C233" s="36" t="s">
        <v>767</v>
      </c>
      <c r="D233" s="35" t="s">
        <v>768</v>
      </c>
      <c r="E233" s="35" t="s">
        <v>10592</v>
      </c>
      <c r="F233" s="35" t="s">
        <v>10593</v>
      </c>
      <c r="G233" s="35">
        <v>130105</v>
      </c>
      <c r="H233" s="35">
        <v>180000</v>
      </c>
      <c r="I233" s="35">
        <v>100013</v>
      </c>
      <c r="J233" s="34" t="s">
        <v>769</v>
      </c>
      <c r="K233" s="34" t="str">
        <f t="shared" si="6"/>
        <v>不重复</v>
      </c>
      <c r="L233" s="34" t="str">
        <f t="shared" si="7"/>
        <v>不重复</v>
      </c>
    </row>
    <row r="234" spans="1:12" ht="15">
      <c r="A234" s="35" t="s">
        <v>10600</v>
      </c>
      <c r="B234" s="35" t="s">
        <v>770</v>
      </c>
      <c r="C234" s="36" t="s">
        <v>771</v>
      </c>
      <c r="D234" s="35" t="s">
        <v>772</v>
      </c>
      <c r="E234" s="35" t="s">
        <v>10592</v>
      </c>
      <c r="F234" s="35" t="s">
        <v>10593</v>
      </c>
      <c r="G234" s="35">
        <v>130106</v>
      </c>
      <c r="H234" s="35">
        <v>180000</v>
      </c>
      <c r="I234" s="35">
        <v>100013</v>
      </c>
      <c r="J234" s="34" t="s">
        <v>194</v>
      </c>
      <c r="K234" s="34" t="str">
        <f t="shared" si="6"/>
        <v>重复</v>
      </c>
      <c r="L234" s="34" t="str">
        <f t="shared" si="7"/>
        <v>重复</v>
      </c>
    </row>
    <row r="235" spans="1:12" ht="15">
      <c r="A235" s="35" t="s">
        <v>10601</v>
      </c>
      <c r="B235" s="35" t="s">
        <v>773</v>
      </c>
      <c r="C235" s="36" t="s">
        <v>774</v>
      </c>
      <c r="D235" s="35" t="s">
        <v>775</v>
      </c>
      <c r="E235" s="35" t="s">
        <v>10601</v>
      </c>
      <c r="F235" s="35" t="s">
        <v>10602</v>
      </c>
      <c r="G235" s="35">
        <v>140100</v>
      </c>
      <c r="H235" s="35">
        <v>190000</v>
      </c>
      <c r="I235" s="35">
        <v>100014</v>
      </c>
      <c r="J235" s="34" t="s">
        <v>16</v>
      </c>
      <c r="K235" s="34" t="str">
        <f t="shared" si="6"/>
        <v>重复</v>
      </c>
      <c r="L235" s="34" t="str">
        <f t="shared" si="7"/>
        <v>重复</v>
      </c>
    </row>
    <row r="236" spans="1:12" ht="15">
      <c r="A236" s="35" t="s">
        <v>10603</v>
      </c>
      <c r="B236" s="35" t="s">
        <v>776</v>
      </c>
      <c r="C236" s="36" t="s">
        <v>777</v>
      </c>
      <c r="D236" s="35" t="s">
        <v>778</v>
      </c>
      <c r="E236" s="35" t="s">
        <v>10601</v>
      </c>
      <c r="F236" s="35" t="s">
        <v>10602</v>
      </c>
      <c r="G236" s="35">
        <v>140101</v>
      </c>
      <c r="H236" s="35">
        <v>190000</v>
      </c>
      <c r="I236" s="35">
        <v>100014</v>
      </c>
      <c r="J236" s="34" t="s">
        <v>609</v>
      </c>
      <c r="K236" s="34" t="str">
        <f t="shared" si="6"/>
        <v>重复</v>
      </c>
      <c r="L236" s="34" t="str">
        <f t="shared" si="7"/>
        <v>不重复</v>
      </c>
    </row>
    <row r="237" spans="1:12" ht="15">
      <c r="A237" s="35" t="s">
        <v>10604</v>
      </c>
      <c r="B237" s="35" t="s">
        <v>779</v>
      </c>
      <c r="C237" s="36" t="s">
        <v>780</v>
      </c>
      <c r="D237" s="35" t="s">
        <v>781</v>
      </c>
      <c r="E237" s="35" t="s">
        <v>10601</v>
      </c>
      <c r="F237" s="35" t="s">
        <v>10602</v>
      </c>
      <c r="G237" s="35">
        <v>140102</v>
      </c>
      <c r="H237" s="35">
        <v>190000</v>
      </c>
      <c r="I237" s="35">
        <v>100014</v>
      </c>
      <c r="J237" s="34" t="s">
        <v>508</v>
      </c>
      <c r="K237" s="34" t="str">
        <f t="shared" si="6"/>
        <v>重复</v>
      </c>
      <c r="L237" s="34" t="str">
        <f t="shared" si="7"/>
        <v>不重复</v>
      </c>
    </row>
    <row r="238" spans="1:12" ht="27">
      <c r="A238" s="35" t="s">
        <v>10605</v>
      </c>
      <c r="B238" s="35" t="s">
        <v>782</v>
      </c>
      <c r="C238" s="36" t="s">
        <v>378</v>
      </c>
      <c r="D238" s="35" t="s">
        <v>783</v>
      </c>
      <c r="E238" s="35" t="s">
        <v>10601</v>
      </c>
      <c r="F238" s="35" t="s">
        <v>10602</v>
      </c>
      <c r="G238" s="35">
        <v>140103</v>
      </c>
      <c r="H238" s="35">
        <v>190000</v>
      </c>
      <c r="I238" s="35">
        <v>100014</v>
      </c>
      <c r="J238" s="34" t="s">
        <v>168</v>
      </c>
      <c r="K238" s="34" t="str">
        <f t="shared" si="6"/>
        <v>重复</v>
      </c>
      <c r="L238" s="34" t="str">
        <f t="shared" si="7"/>
        <v>不重复</v>
      </c>
    </row>
    <row r="239" spans="1:12" ht="27">
      <c r="A239" s="35" t="s">
        <v>10606</v>
      </c>
      <c r="B239" s="35" t="s">
        <v>784</v>
      </c>
      <c r="C239" s="36" t="s">
        <v>785</v>
      </c>
      <c r="D239" s="35" t="s">
        <v>786</v>
      </c>
      <c r="E239" s="35" t="s">
        <v>10601</v>
      </c>
      <c r="F239" s="35" t="s">
        <v>10602</v>
      </c>
      <c r="G239" s="35">
        <v>140104</v>
      </c>
      <c r="H239" s="35">
        <v>190000</v>
      </c>
      <c r="I239" s="35">
        <v>100014</v>
      </c>
      <c r="J239" s="34" t="s">
        <v>787</v>
      </c>
      <c r="K239" s="34" t="str">
        <f t="shared" si="6"/>
        <v>不重复</v>
      </c>
      <c r="L239" s="34" t="str">
        <f t="shared" si="7"/>
        <v>不重复</v>
      </c>
    </row>
    <row r="240" spans="1:12" ht="15">
      <c r="A240" s="35" t="s">
        <v>10607</v>
      </c>
      <c r="B240" s="35" t="s">
        <v>788</v>
      </c>
      <c r="C240" s="36" t="s">
        <v>496</v>
      </c>
      <c r="D240" s="35" t="s">
        <v>789</v>
      </c>
      <c r="E240" s="35" t="s">
        <v>10601</v>
      </c>
      <c r="F240" s="35" t="s">
        <v>10602</v>
      </c>
      <c r="G240" s="35">
        <v>140105</v>
      </c>
      <c r="H240" s="35">
        <v>190000</v>
      </c>
      <c r="I240" s="35">
        <v>100014</v>
      </c>
      <c r="J240" s="34" t="s">
        <v>27</v>
      </c>
      <c r="K240" s="34" t="str">
        <f t="shared" si="6"/>
        <v>重复</v>
      </c>
      <c r="L240" s="34" t="str">
        <f t="shared" si="7"/>
        <v>不重复</v>
      </c>
    </row>
    <row r="241" spans="1:12" ht="27">
      <c r="A241" s="35" t="s">
        <v>10608</v>
      </c>
      <c r="B241" s="35" t="s">
        <v>790</v>
      </c>
      <c r="C241" s="36" t="s">
        <v>791</v>
      </c>
      <c r="D241" s="35" t="s">
        <v>792</v>
      </c>
      <c r="E241" s="35" t="s">
        <v>10609</v>
      </c>
      <c r="F241" s="35" t="s">
        <v>10602</v>
      </c>
      <c r="G241" s="35">
        <v>140106</v>
      </c>
      <c r="H241" s="35">
        <v>190010</v>
      </c>
      <c r="I241" s="35">
        <v>100014</v>
      </c>
      <c r="J241" s="34" t="s">
        <v>793</v>
      </c>
      <c r="K241" s="34" t="str">
        <f t="shared" si="6"/>
        <v>重复</v>
      </c>
      <c r="L241" s="34" t="str">
        <f t="shared" si="7"/>
        <v>重复</v>
      </c>
    </row>
    <row r="242" spans="1:12" ht="15">
      <c r="A242" s="35" t="s">
        <v>10610</v>
      </c>
      <c r="B242" s="35" t="s">
        <v>794</v>
      </c>
      <c r="C242" s="36" t="s">
        <v>795</v>
      </c>
      <c r="D242" s="35" t="s">
        <v>796</v>
      </c>
      <c r="E242" s="35" t="s">
        <v>10610</v>
      </c>
      <c r="F242" s="35" t="s">
        <v>10611</v>
      </c>
      <c r="G242" s="35">
        <v>150100</v>
      </c>
      <c r="H242" s="35">
        <v>200000</v>
      </c>
      <c r="I242" s="35">
        <v>100015</v>
      </c>
      <c r="J242" s="34" t="s">
        <v>16</v>
      </c>
      <c r="K242" s="34" t="str">
        <f t="shared" si="6"/>
        <v>重复</v>
      </c>
      <c r="L242" s="34" t="str">
        <f t="shared" si="7"/>
        <v>不重复</v>
      </c>
    </row>
    <row r="243" spans="1:12" ht="15">
      <c r="A243" s="35" t="s">
        <v>10612</v>
      </c>
      <c r="B243" s="35" t="s">
        <v>797</v>
      </c>
      <c r="C243" s="36" t="s">
        <v>798</v>
      </c>
      <c r="D243" s="35" t="s">
        <v>799</v>
      </c>
      <c r="E243" s="35" t="s">
        <v>10610</v>
      </c>
      <c r="F243" s="35" t="s">
        <v>10611</v>
      </c>
      <c r="G243" s="35">
        <v>150101</v>
      </c>
      <c r="H243" s="35">
        <v>200000</v>
      </c>
      <c r="I243" s="35">
        <v>100015</v>
      </c>
      <c r="J243" s="34" t="s">
        <v>800</v>
      </c>
      <c r="K243" s="34" t="str">
        <f t="shared" si="6"/>
        <v>重复</v>
      </c>
      <c r="L243" s="34" t="str">
        <f t="shared" si="7"/>
        <v>不重复</v>
      </c>
    </row>
    <row r="244" spans="1:12" ht="15">
      <c r="A244" s="35" t="s">
        <v>10613</v>
      </c>
      <c r="B244" s="35" t="s">
        <v>801</v>
      </c>
      <c r="C244" s="36" t="s">
        <v>414</v>
      </c>
      <c r="D244" s="35" t="s">
        <v>802</v>
      </c>
      <c r="E244" s="35" t="s">
        <v>10610</v>
      </c>
      <c r="F244" s="35" t="s">
        <v>10611</v>
      </c>
      <c r="G244" s="35">
        <v>150102</v>
      </c>
      <c r="H244" s="35">
        <v>200000</v>
      </c>
      <c r="I244" s="35">
        <v>100015</v>
      </c>
      <c r="J244" s="34" t="s">
        <v>803</v>
      </c>
      <c r="K244" s="34" t="str">
        <f t="shared" si="6"/>
        <v>重复</v>
      </c>
      <c r="L244" s="34" t="str">
        <f t="shared" si="7"/>
        <v>不重复</v>
      </c>
    </row>
    <row r="245" spans="1:12" ht="15">
      <c r="A245" s="35" t="s">
        <v>10614</v>
      </c>
      <c r="B245" s="35" t="s">
        <v>804</v>
      </c>
      <c r="C245" s="36" t="s">
        <v>805</v>
      </c>
      <c r="D245" s="35" t="s">
        <v>806</v>
      </c>
      <c r="E245" s="35" t="s">
        <v>10610</v>
      </c>
      <c r="F245" s="35" t="s">
        <v>10611</v>
      </c>
      <c r="G245" s="35">
        <v>150103</v>
      </c>
      <c r="H245" s="35">
        <v>200000</v>
      </c>
      <c r="I245" s="35">
        <v>100015</v>
      </c>
      <c r="J245" s="34" t="s">
        <v>807</v>
      </c>
      <c r="K245" s="34" t="str">
        <f t="shared" si="6"/>
        <v>不重复</v>
      </c>
      <c r="L245" s="34" t="str">
        <f t="shared" si="7"/>
        <v>不重复</v>
      </c>
    </row>
    <row r="246" spans="1:12" ht="15">
      <c r="A246" s="35" t="s">
        <v>10615</v>
      </c>
      <c r="B246" s="35" t="s">
        <v>808</v>
      </c>
      <c r="C246" s="36" t="s">
        <v>809</v>
      </c>
      <c r="D246" s="35" t="s">
        <v>810</v>
      </c>
      <c r="E246" s="35" t="s">
        <v>10610</v>
      </c>
      <c r="F246" s="35" t="s">
        <v>10611</v>
      </c>
      <c r="G246" s="35">
        <v>150104</v>
      </c>
      <c r="H246" s="35">
        <v>200000</v>
      </c>
      <c r="I246" s="35">
        <v>100015</v>
      </c>
      <c r="J246" s="34" t="s">
        <v>811</v>
      </c>
      <c r="K246" s="34" t="str">
        <f t="shared" si="6"/>
        <v>不重复</v>
      </c>
      <c r="L246" s="34" t="str">
        <f t="shared" si="7"/>
        <v>不重复</v>
      </c>
    </row>
    <row r="247" spans="1:12" ht="15">
      <c r="A247" s="35" t="s">
        <v>10616</v>
      </c>
      <c r="B247" s="35" t="s">
        <v>812</v>
      </c>
      <c r="C247" s="36" t="s">
        <v>813</v>
      </c>
      <c r="D247" s="35" t="s">
        <v>814</v>
      </c>
      <c r="E247" s="35" t="s">
        <v>10610</v>
      </c>
      <c r="F247" s="35" t="s">
        <v>10611</v>
      </c>
      <c r="G247" s="35">
        <v>150105</v>
      </c>
      <c r="H247" s="35">
        <v>200000</v>
      </c>
      <c r="I247" s="35">
        <v>100015</v>
      </c>
      <c r="J247" s="34" t="s">
        <v>531</v>
      </c>
      <c r="K247" s="34" t="str">
        <f t="shared" si="6"/>
        <v>不重复</v>
      </c>
      <c r="L247" s="34" t="str">
        <f t="shared" si="7"/>
        <v>不重复</v>
      </c>
    </row>
    <row r="248" spans="1:12" ht="15">
      <c r="A248" s="35" t="s">
        <v>10617</v>
      </c>
      <c r="B248" s="35" t="s">
        <v>815</v>
      </c>
      <c r="C248" s="36" t="s">
        <v>816</v>
      </c>
      <c r="D248" s="35" t="s">
        <v>817</v>
      </c>
      <c r="E248" s="35" t="s">
        <v>10610</v>
      </c>
      <c r="F248" s="35" t="s">
        <v>10611</v>
      </c>
      <c r="G248" s="35">
        <v>150106</v>
      </c>
      <c r="H248" s="35">
        <v>200000</v>
      </c>
      <c r="I248" s="35">
        <v>100015</v>
      </c>
      <c r="J248" s="34" t="s">
        <v>800</v>
      </c>
      <c r="K248" s="34" t="str">
        <f t="shared" si="6"/>
        <v>重复</v>
      </c>
      <c r="L248" s="34" t="str">
        <f t="shared" si="7"/>
        <v>不重复</v>
      </c>
    </row>
    <row r="249" spans="1:12" ht="15">
      <c r="A249" s="35" t="s">
        <v>10618</v>
      </c>
      <c r="B249" s="35" t="s">
        <v>818</v>
      </c>
      <c r="C249" s="36" t="s">
        <v>819</v>
      </c>
      <c r="D249" s="35" t="s">
        <v>820</v>
      </c>
      <c r="E249" s="35" t="s">
        <v>10610</v>
      </c>
      <c r="F249" s="35" t="s">
        <v>10611</v>
      </c>
      <c r="G249" s="35">
        <v>150107</v>
      </c>
      <c r="H249" s="35">
        <v>200000</v>
      </c>
      <c r="I249" s="35">
        <v>100015</v>
      </c>
      <c r="J249" s="34" t="s">
        <v>821</v>
      </c>
      <c r="K249" s="34" t="str">
        <f t="shared" si="6"/>
        <v>重复</v>
      </c>
      <c r="L249" s="34" t="str">
        <f t="shared" si="7"/>
        <v>不重复</v>
      </c>
    </row>
    <row r="250" spans="1:12" ht="15">
      <c r="A250" s="35" t="s">
        <v>10619</v>
      </c>
      <c r="B250" s="35" t="s">
        <v>822</v>
      </c>
      <c r="C250" s="36" t="s">
        <v>823</v>
      </c>
      <c r="D250" s="35" t="s">
        <v>824</v>
      </c>
      <c r="E250" s="35" t="s">
        <v>10610</v>
      </c>
      <c r="F250" s="35" t="s">
        <v>10611</v>
      </c>
      <c r="G250" s="35">
        <v>150108</v>
      </c>
      <c r="H250" s="35">
        <v>200000</v>
      </c>
      <c r="I250" s="35">
        <v>100015</v>
      </c>
      <c r="J250" s="34" t="s">
        <v>825</v>
      </c>
      <c r="K250" s="34" t="str">
        <f t="shared" si="6"/>
        <v>不重复</v>
      </c>
      <c r="L250" s="34" t="str">
        <f t="shared" si="7"/>
        <v>不重复</v>
      </c>
    </row>
    <row r="251" spans="1:12" ht="15">
      <c r="A251" s="35" t="s">
        <v>10620</v>
      </c>
      <c r="B251" s="35" t="s">
        <v>826</v>
      </c>
      <c r="C251" s="36" t="s">
        <v>827</v>
      </c>
      <c r="D251" s="35" t="s">
        <v>828</v>
      </c>
      <c r="E251" s="35" t="s">
        <v>10621</v>
      </c>
      <c r="F251" s="35" t="s">
        <v>10611</v>
      </c>
      <c r="G251" s="35">
        <v>150200</v>
      </c>
      <c r="H251" s="35">
        <v>200010</v>
      </c>
      <c r="I251" s="35">
        <v>100015</v>
      </c>
      <c r="J251" s="34" t="s">
        <v>16</v>
      </c>
      <c r="K251" s="34" t="str">
        <f t="shared" si="6"/>
        <v>不重复</v>
      </c>
      <c r="L251" s="34" t="str">
        <f t="shared" si="7"/>
        <v>重复</v>
      </c>
    </row>
    <row r="252" spans="1:12" ht="15">
      <c r="A252" s="35" t="s">
        <v>10622</v>
      </c>
      <c r="B252" s="35" t="s">
        <v>829</v>
      </c>
      <c r="C252" s="36" t="s">
        <v>830</v>
      </c>
      <c r="D252" s="35" t="s">
        <v>831</v>
      </c>
      <c r="E252" s="35" t="s">
        <v>10621</v>
      </c>
      <c r="F252" s="35" t="s">
        <v>10611</v>
      </c>
      <c r="G252" s="35">
        <v>150201</v>
      </c>
      <c r="H252" s="35">
        <v>200010</v>
      </c>
      <c r="I252" s="35">
        <v>100015</v>
      </c>
      <c r="J252" s="34" t="s">
        <v>832</v>
      </c>
      <c r="K252" s="34" t="str">
        <f t="shared" si="6"/>
        <v>重复</v>
      </c>
      <c r="L252" s="34" t="str">
        <f t="shared" si="7"/>
        <v>不重复</v>
      </c>
    </row>
    <row r="253" spans="1:12" ht="15">
      <c r="A253" s="35" t="s">
        <v>10623</v>
      </c>
      <c r="B253" s="35" t="s">
        <v>833</v>
      </c>
      <c r="C253" s="36" t="s">
        <v>834</v>
      </c>
      <c r="D253" s="35" t="s">
        <v>835</v>
      </c>
      <c r="E253" s="35" t="s">
        <v>10623</v>
      </c>
      <c r="F253" s="35" t="s">
        <v>10624</v>
      </c>
      <c r="G253" s="35">
        <v>160100</v>
      </c>
      <c r="H253" s="35">
        <v>210000</v>
      </c>
      <c r="I253" s="35">
        <v>200000</v>
      </c>
      <c r="J253" s="34" t="s">
        <v>16</v>
      </c>
      <c r="K253" s="34" t="str">
        <f t="shared" si="6"/>
        <v>重复</v>
      </c>
      <c r="L253" s="34" t="str">
        <f t="shared" si="7"/>
        <v>不重复</v>
      </c>
    </row>
    <row r="254" spans="1:12" ht="15">
      <c r="A254" s="35" t="s">
        <v>10625</v>
      </c>
      <c r="B254" s="35" t="s">
        <v>836</v>
      </c>
      <c r="C254" s="36" t="s">
        <v>837</v>
      </c>
      <c r="D254" s="35" t="s">
        <v>838</v>
      </c>
      <c r="E254" s="35" t="s">
        <v>10623</v>
      </c>
      <c r="F254" s="35" t="s">
        <v>10624</v>
      </c>
      <c r="G254" s="35">
        <v>160101</v>
      </c>
      <c r="H254" s="35">
        <v>210000</v>
      </c>
      <c r="I254" s="35">
        <v>200000</v>
      </c>
      <c r="J254" s="34" t="s">
        <v>16</v>
      </c>
      <c r="K254" s="34" t="str">
        <f t="shared" si="6"/>
        <v>不重复</v>
      </c>
      <c r="L254" s="34" t="str">
        <f t="shared" si="7"/>
        <v>不重复</v>
      </c>
    </row>
    <row r="255" spans="1:12" ht="15">
      <c r="A255" s="35" t="s">
        <v>10626</v>
      </c>
      <c r="B255" s="35" t="s">
        <v>839</v>
      </c>
      <c r="C255" s="36" t="s">
        <v>840</v>
      </c>
      <c r="D255" s="35" t="s">
        <v>841</v>
      </c>
      <c r="E255" s="35" t="s">
        <v>10623</v>
      </c>
      <c r="F255" s="35" t="s">
        <v>10624</v>
      </c>
      <c r="G255" s="35">
        <v>160102</v>
      </c>
      <c r="H255" s="35">
        <v>210000</v>
      </c>
      <c r="I255" s="35">
        <v>200000</v>
      </c>
      <c r="J255" s="34" t="s">
        <v>842</v>
      </c>
      <c r="K255" s="34" t="str">
        <f t="shared" si="6"/>
        <v>重复</v>
      </c>
      <c r="L255" s="34" t="str">
        <f t="shared" si="7"/>
        <v>不重复</v>
      </c>
    </row>
    <row r="256" spans="1:12" ht="15">
      <c r="A256" s="35" t="s">
        <v>10627</v>
      </c>
      <c r="B256" s="35" t="s">
        <v>843</v>
      </c>
      <c r="C256" s="36" t="s">
        <v>844</v>
      </c>
      <c r="D256" s="35" t="s">
        <v>845</v>
      </c>
      <c r="E256" s="35" t="s">
        <v>10627</v>
      </c>
      <c r="F256" s="35" t="s">
        <v>10624</v>
      </c>
      <c r="G256" s="35">
        <v>160200</v>
      </c>
      <c r="H256" s="35">
        <v>210010</v>
      </c>
      <c r="I256" s="35">
        <v>200000</v>
      </c>
      <c r="J256" s="34" t="s">
        <v>16</v>
      </c>
      <c r="K256" s="34" t="str">
        <f t="shared" si="6"/>
        <v>重复</v>
      </c>
      <c r="L256" s="34" t="str">
        <f t="shared" si="7"/>
        <v>不重复</v>
      </c>
    </row>
    <row r="257" spans="1:12" ht="15">
      <c r="A257" s="35" t="s">
        <v>10628</v>
      </c>
      <c r="B257" s="35" t="s">
        <v>846</v>
      </c>
      <c r="C257" s="36" t="s">
        <v>844</v>
      </c>
      <c r="D257" s="35" t="s">
        <v>847</v>
      </c>
      <c r="E257" s="35" t="s">
        <v>10627</v>
      </c>
      <c r="F257" s="35" t="s">
        <v>10624</v>
      </c>
      <c r="G257" s="35">
        <v>160201</v>
      </c>
      <c r="H257" s="35">
        <v>210010</v>
      </c>
      <c r="I257" s="35">
        <v>200000</v>
      </c>
      <c r="J257" s="34" t="s">
        <v>848</v>
      </c>
      <c r="K257" s="34" t="str">
        <f t="shared" si="6"/>
        <v>重复</v>
      </c>
      <c r="L257" s="34" t="str">
        <f t="shared" si="7"/>
        <v>不重复</v>
      </c>
    </row>
    <row r="258" spans="1:12" ht="15">
      <c r="A258" s="35" t="s">
        <v>10629</v>
      </c>
      <c r="B258" s="35" t="s">
        <v>849</v>
      </c>
      <c r="C258" s="36" t="s">
        <v>592</v>
      </c>
      <c r="D258" s="35" t="s">
        <v>850</v>
      </c>
      <c r="E258" s="35" t="s">
        <v>10629</v>
      </c>
      <c r="F258" s="35" t="s">
        <v>10624</v>
      </c>
      <c r="G258" s="35">
        <v>160300</v>
      </c>
      <c r="H258" s="35">
        <v>210020</v>
      </c>
      <c r="I258" s="35">
        <v>200000</v>
      </c>
      <c r="J258" s="34" t="s">
        <v>16</v>
      </c>
      <c r="K258" s="34" t="str">
        <f t="shared" si="6"/>
        <v>重复</v>
      </c>
      <c r="L258" s="34" t="str">
        <f t="shared" si="7"/>
        <v>不重复</v>
      </c>
    </row>
    <row r="259" spans="1:12" ht="15">
      <c r="A259" s="35" t="s">
        <v>10630</v>
      </c>
      <c r="B259" s="35" t="s">
        <v>851</v>
      </c>
      <c r="C259" s="36" t="s">
        <v>592</v>
      </c>
      <c r="D259" s="35" t="s">
        <v>852</v>
      </c>
      <c r="E259" s="35" t="s">
        <v>10629</v>
      </c>
      <c r="F259" s="35" t="s">
        <v>10624</v>
      </c>
      <c r="G259" s="35">
        <v>160301</v>
      </c>
      <c r="H259" s="35">
        <v>210020</v>
      </c>
      <c r="I259" s="35">
        <v>200000</v>
      </c>
      <c r="J259" s="34" t="s">
        <v>688</v>
      </c>
      <c r="K259" s="34" t="str">
        <f t="shared" si="8" ref="K259:K277">IF(COUNTIF(C:C,C259)&gt;=2,"重复","不重复")</f>
        <v>重复</v>
      </c>
      <c r="L259" s="34" t="str">
        <f t="shared" si="9" ref="L259:L277">IF(COUNTIF(D:D,D259)&gt;=2,"重复","不重复")</f>
        <v>不重复</v>
      </c>
    </row>
    <row r="260" spans="1:12" ht="15">
      <c r="A260" s="35" t="s">
        <v>10631</v>
      </c>
      <c r="B260" s="35" t="s">
        <v>853</v>
      </c>
      <c r="C260" s="36" t="s">
        <v>854</v>
      </c>
      <c r="D260" s="35" t="s">
        <v>855</v>
      </c>
      <c r="E260" s="35" t="s">
        <v>10631</v>
      </c>
      <c r="F260" s="35" t="s">
        <v>10632</v>
      </c>
      <c r="G260" s="35">
        <v>170100</v>
      </c>
      <c r="H260" s="35">
        <v>220000</v>
      </c>
      <c r="I260" s="35">
        <v>200001</v>
      </c>
      <c r="J260" s="34" t="s">
        <v>16</v>
      </c>
      <c r="K260" s="34" t="str">
        <f t="shared" si="8"/>
        <v>重复</v>
      </c>
      <c r="L260" s="34" t="str">
        <f t="shared" si="9"/>
        <v>重复</v>
      </c>
    </row>
    <row r="261" spans="1:12" ht="15">
      <c r="A261" s="35" t="s">
        <v>10633</v>
      </c>
      <c r="B261" s="35" t="s">
        <v>856</v>
      </c>
      <c r="C261" s="36" t="s">
        <v>754</v>
      </c>
      <c r="D261" s="35" t="s">
        <v>855</v>
      </c>
      <c r="E261" s="35" t="s">
        <v>10631</v>
      </c>
      <c r="F261" s="35" t="s">
        <v>10632</v>
      </c>
      <c r="G261" s="35">
        <v>170101</v>
      </c>
      <c r="H261" s="35">
        <v>220000</v>
      </c>
      <c r="I261" s="35">
        <v>200001</v>
      </c>
      <c r="J261" s="34" t="s">
        <v>16</v>
      </c>
      <c r="K261" s="34" t="str">
        <f t="shared" si="8"/>
        <v>重复</v>
      </c>
      <c r="L261" s="34" t="str">
        <f t="shared" si="9"/>
        <v>重复</v>
      </c>
    </row>
    <row r="262" spans="1:12" ht="30">
      <c r="A262" s="35" t="s">
        <v>10634</v>
      </c>
      <c r="B262" s="35" t="s">
        <v>857</v>
      </c>
      <c r="C262" s="36" t="s">
        <v>858</v>
      </c>
      <c r="D262" s="35" t="s">
        <v>859</v>
      </c>
      <c r="E262" s="35" t="s">
        <v>10631</v>
      </c>
      <c r="F262" s="35" t="s">
        <v>10632</v>
      </c>
      <c r="G262" s="35">
        <v>170102</v>
      </c>
      <c r="H262" s="35">
        <v>220000</v>
      </c>
      <c r="I262" s="35">
        <v>200001</v>
      </c>
      <c r="J262" s="34" t="s">
        <v>860</v>
      </c>
      <c r="K262" s="34" t="str">
        <f t="shared" si="8"/>
        <v>不重复</v>
      </c>
      <c r="L262" s="34" t="str">
        <f t="shared" si="9"/>
        <v>不重复</v>
      </c>
    </row>
    <row r="263" spans="1:12" ht="15">
      <c r="A263" s="35" t="s">
        <v>10635</v>
      </c>
      <c r="B263" s="35" t="s">
        <v>861</v>
      </c>
      <c r="C263" s="36" t="s">
        <v>862</v>
      </c>
      <c r="D263" s="35" t="s">
        <v>863</v>
      </c>
      <c r="E263" s="35" t="s">
        <v>10635</v>
      </c>
      <c r="F263" s="35" t="s">
        <v>10632</v>
      </c>
      <c r="G263" s="35">
        <v>170200</v>
      </c>
      <c r="H263" s="35">
        <v>220020</v>
      </c>
      <c r="I263" s="35">
        <v>200001</v>
      </c>
      <c r="J263" s="34" t="s">
        <v>16</v>
      </c>
      <c r="K263" s="34" t="str">
        <f t="shared" si="8"/>
        <v>重复</v>
      </c>
      <c r="L263" s="34" t="str">
        <f t="shared" si="9"/>
        <v>重复</v>
      </c>
    </row>
    <row r="264" spans="1:12" ht="15">
      <c r="A264" s="35" t="s">
        <v>10636</v>
      </c>
      <c r="B264" s="35" t="s">
        <v>864</v>
      </c>
      <c r="C264" s="36" t="s">
        <v>862</v>
      </c>
      <c r="D264" s="35" t="s">
        <v>865</v>
      </c>
      <c r="E264" s="35" t="s">
        <v>10635</v>
      </c>
      <c r="F264" s="35" t="s">
        <v>10632</v>
      </c>
      <c r="G264" s="35">
        <v>170201</v>
      </c>
      <c r="H264" s="35">
        <v>220020</v>
      </c>
      <c r="I264" s="35">
        <v>200001</v>
      </c>
      <c r="J264" s="34" t="s">
        <v>866</v>
      </c>
      <c r="K264" s="34" t="str">
        <f t="shared" si="8"/>
        <v>重复</v>
      </c>
      <c r="L264" s="34" t="str">
        <f t="shared" si="9"/>
        <v>重复</v>
      </c>
    </row>
    <row r="265" spans="1:12" ht="15">
      <c r="A265" s="35" t="s">
        <v>10637</v>
      </c>
      <c r="B265" s="35" t="s">
        <v>867</v>
      </c>
      <c r="C265" s="36" t="s">
        <v>628</v>
      </c>
      <c r="D265" s="35" t="s">
        <v>868</v>
      </c>
      <c r="E265" s="35" t="s">
        <v>10637</v>
      </c>
      <c r="F265" s="35" t="s">
        <v>10638</v>
      </c>
      <c r="G265" s="35">
        <v>180100</v>
      </c>
      <c r="H265" s="35">
        <v>230000</v>
      </c>
      <c r="I265" s="35">
        <v>200002</v>
      </c>
      <c r="J265" s="34" t="s">
        <v>16</v>
      </c>
      <c r="K265" s="34" t="str">
        <f t="shared" si="8"/>
        <v>重复</v>
      </c>
      <c r="L265" s="34" t="str">
        <f t="shared" si="9"/>
        <v>重复</v>
      </c>
    </row>
    <row r="266" spans="1:12" ht="15">
      <c r="A266" s="35" t="s">
        <v>10639</v>
      </c>
      <c r="B266" s="35" t="s">
        <v>869</v>
      </c>
      <c r="C266" s="36" t="s">
        <v>628</v>
      </c>
      <c r="D266" s="35" t="s">
        <v>870</v>
      </c>
      <c r="E266" s="35" t="s">
        <v>10637</v>
      </c>
      <c r="F266" s="35" t="s">
        <v>10638</v>
      </c>
      <c r="G266" s="35">
        <v>180101</v>
      </c>
      <c r="H266" s="35">
        <v>230000</v>
      </c>
      <c r="I266" s="35">
        <v>200002</v>
      </c>
      <c r="J266" s="34" t="s">
        <v>871</v>
      </c>
      <c r="K266" s="34" t="str">
        <f t="shared" si="8"/>
        <v>重复</v>
      </c>
      <c r="L266" s="34" t="str">
        <f t="shared" si="9"/>
        <v>不重复</v>
      </c>
    </row>
    <row r="267" spans="1:12" ht="15">
      <c r="A267" s="35" t="s">
        <v>10640</v>
      </c>
      <c r="B267" s="35" t="s">
        <v>872</v>
      </c>
      <c r="C267" s="36" t="s">
        <v>873</v>
      </c>
      <c r="D267" s="35" t="s">
        <v>874</v>
      </c>
      <c r="E267" s="35" t="s">
        <v>10640</v>
      </c>
      <c r="F267" s="35" t="s">
        <v>10638</v>
      </c>
      <c r="G267" s="35">
        <v>180200</v>
      </c>
      <c r="H267" s="35">
        <v>230010</v>
      </c>
      <c r="I267" s="35">
        <v>200002</v>
      </c>
      <c r="J267" s="34" t="s">
        <v>16</v>
      </c>
      <c r="K267" s="34" t="str">
        <f t="shared" si="8"/>
        <v>不重复</v>
      </c>
      <c r="L267" s="34" t="str">
        <f t="shared" si="9"/>
        <v>不重复</v>
      </c>
    </row>
    <row r="268" spans="1:12" ht="27">
      <c r="A268" s="35" t="s">
        <v>10641</v>
      </c>
      <c r="B268" s="35" t="s">
        <v>875</v>
      </c>
      <c r="C268" s="36" t="s">
        <v>876</v>
      </c>
      <c r="D268" s="35" t="s">
        <v>877</v>
      </c>
      <c r="E268" s="35" t="s">
        <v>10640</v>
      </c>
      <c r="F268" s="35" t="s">
        <v>10638</v>
      </c>
      <c r="G268" s="35">
        <v>180201</v>
      </c>
      <c r="H268" s="35">
        <v>230010</v>
      </c>
      <c r="I268" s="35">
        <v>200002</v>
      </c>
      <c r="J268" s="34" t="s">
        <v>878</v>
      </c>
      <c r="K268" s="34" t="str">
        <f t="shared" si="8"/>
        <v>不重复</v>
      </c>
      <c r="L268" s="34" t="str">
        <f t="shared" si="9"/>
        <v>不重复</v>
      </c>
    </row>
    <row r="269" spans="1:12" ht="15">
      <c r="A269" s="35" t="s">
        <v>10642</v>
      </c>
      <c r="B269" s="35" t="s">
        <v>879</v>
      </c>
      <c r="C269" s="36" t="s">
        <v>880</v>
      </c>
      <c r="D269" s="35" t="s">
        <v>881</v>
      </c>
      <c r="E269" s="35" t="s">
        <v>10640</v>
      </c>
      <c r="F269" s="35" t="s">
        <v>10638</v>
      </c>
      <c r="G269" s="35">
        <v>180202</v>
      </c>
      <c r="H269" s="35">
        <v>230010</v>
      </c>
      <c r="I269" s="35">
        <v>200002</v>
      </c>
      <c r="J269" s="34" t="s">
        <v>288</v>
      </c>
      <c r="K269" s="34" t="str">
        <f t="shared" si="8"/>
        <v>不重复</v>
      </c>
      <c r="L269" s="34" t="str">
        <f t="shared" si="9"/>
        <v>不重复</v>
      </c>
    </row>
    <row r="270" spans="1:12" ht="27">
      <c r="A270" s="35" t="s">
        <v>10643</v>
      </c>
      <c r="B270" s="35" t="s">
        <v>882</v>
      </c>
      <c r="C270" s="36" t="s">
        <v>883</v>
      </c>
      <c r="D270" s="35" t="s">
        <v>884</v>
      </c>
      <c r="E270" s="35" t="s">
        <v>10640</v>
      </c>
      <c r="F270" s="35" t="s">
        <v>10638</v>
      </c>
      <c r="G270" s="35">
        <v>180203</v>
      </c>
      <c r="H270" s="35">
        <v>230010</v>
      </c>
      <c r="I270" s="35">
        <v>200002</v>
      </c>
      <c r="J270" s="34" t="s">
        <v>885</v>
      </c>
      <c r="K270" s="34" t="str">
        <f t="shared" si="8"/>
        <v>重复</v>
      </c>
      <c r="L270" s="34" t="str">
        <f t="shared" si="9"/>
        <v>不重复</v>
      </c>
    </row>
    <row r="271" spans="1:12" ht="15">
      <c r="A271" s="35" t="s">
        <v>10644</v>
      </c>
      <c r="B271" s="35" t="s">
        <v>886</v>
      </c>
      <c r="C271" s="36" t="s">
        <v>887</v>
      </c>
      <c r="D271" s="35" t="s">
        <v>888</v>
      </c>
      <c r="E271" s="35" t="s">
        <v>10640</v>
      </c>
      <c r="F271" s="35" t="s">
        <v>10638</v>
      </c>
      <c r="G271" s="35">
        <v>180204</v>
      </c>
      <c r="H271" s="35">
        <v>230010</v>
      </c>
      <c r="I271" s="35">
        <v>200002</v>
      </c>
      <c r="J271" s="34" t="s">
        <v>531</v>
      </c>
      <c r="K271" s="34" t="str">
        <f t="shared" si="8"/>
        <v>重复</v>
      </c>
      <c r="L271" s="34" t="str">
        <f t="shared" si="9"/>
        <v>重复</v>
      </c>
    </row>
    <row r="272" spans="1:12" ht="15">
      <c r="A272" s="35" t="s">
        <v>10645</v>
      </c>
      <c r="B272" s="35" t="s">
        <v>886</v>
      </c>
      <c r="C272" s="36" t="s">
        <v>887</v>
      </c>
      <c r="D272" s="35" t="s">
        <v>888</v>
      </c>
      <c r="E272" s="35" t="s">
        <v>10640</v>
      </c>
      <c r="F272" s="35" t="s">
        <v>10638</v>
      </c>
      <c r="G272" s="35">
        <v>180205</v>
      </c>
      <c r="H272" s="35">
        <v>230010</v>
      </c>
      <c r="I272" s="35">
        <v>200002</v>
      </c>
      <c r="J272" s="34" t="s">
        <v>889</v>
      </c>
      <c r="K272" s="34" t="str">
        <f t="shared" si="8"/>
        <v>重复</v>
      </c>
      <c r="L272" s="34" t="str">
        <f t="shared" si="9"/>
        <v>重复</v>
      </c>
    </row>
    <row r="273" spans="1:12" ht="15">
      <c r="A273" s="35" t="s">
        <v>10646</v>
      </c>
      <c r="B273" s="35" t="s">
        <v>890</v>
      </c>
      <c r="C273" s="36" t="s">
        <v>891</v>
      </c>
      <c r="D273" s="35" t="s">
        <v>892</v>
      </c>
      <c r="E273" s="35" t="s">
        <v>10640</v>
      </c>
      <c r="F273" s="35" t="s">
        <v>10638</v>
      </c>
      <c r="G273" s="35">
        <v>180206</v>
      </c>
      <c r="H273" s="35">
        <v>230010</v>
      </c>
      <c r="I273" s="35">
        <v>200002</v>
      </c>
      <c r="J273" s="34" t="s">
        <v>317</v>
      </c>
      <c r="K273" s="34" t="str">
        <f t="shared" si="8"/>
        <v>重复</v>
      </c>
      <c r="L273" s="34" t="str">
        <f t="shared" si="9"/>
        <v>不重复</v>
      </c>
    </row>
    <row r="274" spans="1:12" ht="15">
      <c r="A274" s="35" t="s">
        <v>10647</v>
      </c>
      <c r="B274" s="35" t="s">
        <v>893</v>
      </c>
      <c r="C274" s="36" t="s">
        <v>894</v>
      </c>
      <c r="D274" s="35" t="s">
        <v>895</v>
      </c>
      <c r="E274" s="35" t="s">
        <v>10640</v>
      </c>
      <c r="F274" s="35" t="s">
        <v>10638</v>
      </c>
      <c r="G274" s="35">
        <v>180207</v>
      </c>
      <c r="H274" s="35">
        <v>230010</v>
      </c>
      <c r="I274" s="35">
        <v>200002</v>
      </c>
      <c r="J274" s="34" t="s">
        <v>16</v>
      </c>
      <c r="K274" s="34" t="str">
        <f t="shared" si="8"/>
        <v>重复</v>
      </c>
      <c r="L274" s="34" t="str">
        <f t="shared" si="9"/>
        <v>不重复</v>
      </c>
    </row>
    <row r="275" spans="1:12" ht="15">
      <c r="A275" s="35" t="s">
        <v>10648</v>
      </c>
      <c r="B275" s="35" t="s">
        <v>896</v>
      </c>
      <c r="C275" s="36" t="s">
        <v>894</v>
      </c>
      <c r="D275" s="35" t="s">
        <v>897</v>
      </c>
      <c r="E275" s="35" t="s">
        <v>10640</v>
      </c>
      <c r="F275" s="35" t="s">
        <v>10638</v>
      </c>
      <c r="G275" s="35">
        <v>180208</v>
      </c>
      <c r="H275" s="35">
        <v>230010</v>
      </c>
      <c r="I275" s="35">
        <v>200002</v>
      </c>
      <c r="J275" s="34" t="s">
        <v>898</v>
      </c>
      <c r="K275" s="34" t="str">
        <f t="shared" si="8"/>
        <v>重复</v>
      </c>
      <c r="L275" s="34" t="str">
        <f t="shared" si="9"/>
        <v>不重复</v>
      </c>
    </row>
    <row r="276" spans="1:12" ht="15">
      <c r="A276" s="35" t="s">
        <v>10649</v>
      </c>
      <c r="B276" s="35" t="s">
        <v>899</v>
      </c>
      <c r="C276" s="36" t="s">
        <v>900</v>
      </c>
      <c r="D276" s="35" t="s">
        <v>901</v>
      </c>
      <c r="E276" s="35" t="s">
        <v>10640</v>
      </c>
      <c r="F276" s="35" t="s">
        <v>10638</v>
      </c>
      <c r="G276" s="35">
        <v>180209</v>
      </c>
      <c r="H276" s="35">
        <v>230010</v>
      </c>
      <c r="I276" s="35">
        <v>200002</v>
      </c>
      <c r="J276" s="34" t="s">
        <v>16</v>
      </c>
      <c r="K276" s="34" t="str">
        <f t="shared" si="8"/>
        <v>不重复</v>
      </c>
      <c r="L276" s="34" t="str">
        <f t="shared" si="9"/>
        <v>不重复</v>
      </c>
    </row>
    <row r="277" spans="1:12" ht="27">
      <c r="A277" s="35" t="s">
        <v>10650</v>
      </c>
      <c r="B277" s="35" t="s">
        <v>902</v>
      </c>
      <c r="C277" s="36" t="s">
        <v>903</v>
      </c>
      <c r="D277" s="35" t="s">
        <v>904</v>
      </c>
      <c r="E277" s="35" t="s">
        <v>10640</v>
      </c>
      <c r="F277" s="35" t="s">
        <v>10638</v>
      </c>
      <c r="G277" s="35">
        <v>180210</v>
      </c>
      <c r="H277" s="35">
        <v>230010</v>
      </c>
      <c r="I277" s="35">
        <v>200002</v>
      </c>
      <c r="J277" s="34" t="s">
        <v>905</v>
      </c>
      <c r="K277" s="34" t="str">
        <f t="shared" si="8"/>
        <v>不重复</v>
      </c>
      <c r="L277" s="34" t="str">
        <f t="shared" si="9"/>
        <v>重复</v>
      </c>
    </row>
    <row r="278" spans="1:12" ht="27">
      <c r="A278" s="35" t="s">
        <v>10651</v>
      </c>
      <c r="B278" s="35" t="s">
        <v>906</v>
      </c>
      <c r="C278" s="36" t="s">
        <v>907</v>
      </c>
      <c r="D278" s="35" t="s">
        <v>904</v>
      </c>
      <c r="E278" s="35" t="s">
        <v>10640</v>
      </c>
      <c r="F278" s="35" t="s">
        <v>10638</v>
      </c>
      <c r="G278" s="35">
        <v>180210</v>
      </c>
      <c r="H278" s="35">
        <v>230010</v>
      </c>
      <c r="I278" s="35"/>
      <c r="J278" s="34"/>
      <c r="K278" s="34" t="str">
        <f t="shared" si="10" ref="K278:K341">IF(COUNTIF(C:C,C278)&gt;=2,"重复","不重复")</f>
        <v>重复</v>
      </c>
      <c r="L278" s="34"/>
    </row>
    <row r="279" spans="1:12" ht="30">
      <c r="A279" s="35" t="s">
        <v>10652</v>
      </c>
      <c r="B279" s="35" t="s">
        <v>908</v>
      </c>
      <c r="C279" s="36" t="s">
        <v>909</v>
      </c>
      <c r="D279" s="35" t="s">
        <v>910</v>
      </c>
      <c r="E279" s="35" t="s">
        <v>10640</v>
      </c>
      <c r="F279" s="35" t="s">
        <v>10638</v>
      </c>
      <c r="G279" s="35">
        <v>180211</v>
      </c>
      <c r="H279" s="35">
        <v>230010</v>
      </c>
      <c r="I279" s="35">
        <v>200002</v>
      </c>
      <c r="J279" s="34" t="s">
        <v>302</v>
      </c>
      <c r="K279" s="34" t="str">
        <f t="shared" si="10"/>
        <v>重复</v>
      </c>
      <c r="L279" s="34" t="str">
        <f t="shared" si="11" ref="L279:L342">IF(COUNTIF(D:D,D279)&gt;=2,"重复","不重复")</f>
        <v>不重复</v>
      </c>
    </row>
    <row r="280" spans="1:12" ht="15">
      <c r="A280" s="35" t="s">
        <v>10653</v>
      </c>
      <c r="B280" s="35" t="s">
        <v>911</v>
      </c>
      <c r="C280" s="36" t="s">
        <v>912</v>
      </c>
      <c r="D280" s="35" t="s">
        <v>913</v>
      </c>
      <c r="E280" s="35" t="s">
        <v>10640</v>
      </c>
      <c r="F280" s="35" t="s">
        <v>10638</v>
      </c>
      <c r="G280" s="35">
        <v>180212</v>
      </c>
      <c r="H280" s="35">
        <v>230010</v>
      </c>
      <c r="I280" s="35">
        <v>200002</v>
      </c>
      <c r="J280" s="34" t="s">
        <v>317</v>
      </c>
      <c r="K280" s="34" t="str">
        <f t="shared" si="10"/>
        <v>重复</v>
      </c>
      <c r="L280" s="34" t="str">
        <f t="shared" si="11"/>
        <v>不重复</v>
      </c>
    </row>
    <row r="281" spans="1:12" ht="27">
      <c r="A281" s="35" t="s">
        <v>10654</v>
      </c>
      <c r="B281" s="35" t="s">
        <v>914</v>
      </c>
      <c r="C281" s="36" t="s">
        <v>915</v>
      </c>
      <c r="D281" s="35" t="s">
        <v>916</v>
      </c>
      <c r="E281" s="35" t="s">
        <v>10640</v>
      </c>
      <c r="F281" s="35" t="s">
        <v>10638</v>
      </c>
      <c r="G281" s="35">
        <v>180213</v>
      </c>
      <c r="H281" s="35">
        <v>230010</v>
      </c>
      <c r="I281" s="35">
        <v>200002</v>
      </c>
      <c r="J281" s="34" t="s">
        <v>288</v>
      </c>
      <c r="K281" s="34" t="str">
        <f t="shared" si="10"/>
        <v>不重复</v>
      </c>
      <c r="L281" s="34" t="str">
        <f t="shared" si="11"/>
        <v>不重复</v>
      </c>
    </row>
    <row r="282" spans="1:12" ht="27">
      <c r="A282" s="35" t="s">
        <v>10655</v>
      </c>
      <c r="B282" s="35" t="s">
        <v>917</v>
      </c>
      <c r="C282" s="36" t="s">
        <v>918</v>
      </c>
      <c r="D282" s="35" t="s">
        <v>919</v>
      </c>
      <c r="E282" s="35" t="s">
        <v>10640</v>
      </c>
      <c r="F282" s="35" t="s">
        <v>10638</v>
      </c>
      <c r="G282" s="35">
        <v>180214</v>
      </c>
      <c r="H282" s="35">
        <v>230010</v>
      </c>
      <c r="I282" s="35">
        <v>200002</v>
      </c>
      <c r="J282" s="34" t="s">
        <v>363</v>
      </c>
      <c r="K282" s="34" t="str">
        <f t="shared" si="10"/>
        <v>不重复</v>
      </c>
      <c r="L282" s="34" t="str">
        <f t="shared" si="11"/>
        <v>不重复</v>
      </c>
    </row>
    <row r="283" spans="1:12" ht="27">
      <c r="A283" s="35" t="s">
        <v>10656</v>
      </c>
      <c r="B283" s="35" t="s">
        <v>920</v>
      </c>
      <c r="C283" s="36" t="s">
        <v>921</v>
      </c>
      <c r="D283" s="35" t="s">
        <v>922</v>
      </c>
      <c r="E283" s="35" t="s">
        <v>10640</v>
      </c>
      <c r="F283" s="35" t="s">
        <v>10638</v>
      </c>
      <c r="G283" s="35">
        <v>180215</v>
      </c>
      <c r="H283" s="35">
        <v>230010</v>
      </c>
      <c r="I283" s="35">
        <v>200002</v>
      </c>
      <c r="J283" s="34" t="s">
        <v>317</v>
      </c>
      <c r="K283" s="34" t="str">
        <f t="shared" si="10"/>
        <v>重复</v>
      </c>
      <c r="L283" s="34" t="str">
        <f t="shared" si="11"/>
        <v>不重复</v>
      </c>
    </row>
    <row r="284" spans="1:12" ht="27">
      <c r="A284" s="35" t="s">
        <v>10657</v>
      </c>
      <c r="B284" s="35" t="s">
        <v>923</v>
      </c>
      <c r="C284" s="36" t="s">
        <v>924</v>
      </c>
      <c r="D284" s="35" t="s">
        <v>925</v>
      </c>
      <c r="E284" s="35" t="s">
        <v>10640</v>
      </c>
      <c r="F284" s="35" t="s">
        <v>10638</v>
      </c>
      <c r="G284" s="35">
        <v>180216</v>
      </c>
      <c r="H284" s="35">
        <v>230010</v>
      </c>
      <c r="I284" s="35">
        <v>200002</v>
      </c>
      <c r="J284" s="34" t="s">
        <v>363</v>
      </c>
      <c r="K284" s="34" t="str">
        <f t="shared" si="10"/>
        <v>不重复</v>
      </c>
      <c r="L284" s="34" t="str">
        <f t="shared" si="11"/>
        <v>不重复</v>
      </c>
    </row>
    <row r="285" spans="1:12" ht="27">
      <c r="A285" s="35" t="s">
        <v>10658</v>
      </c>
      <c r="B285" s="35" t="s">
        <v>926</v>
      </c>
      <c r="C285" s="36" t="s">
        <v>51</v>
      </c>
      <c r="D285" s="35" t="s">
        <v>927</v>
      </c>
      <c r="E285" s="35" t="s">
        <v>10640</v>
      </c>
      <c r="F285" s="35" t="s">
        <v>10638</v>
      </c>
      <c r="G285" s="35">
        <v>180217</v>
      </c>
      <c r="H285" s="35">
        <v>230010</v>
      </c>
      <c r="I285" s="35">
        <v>200002</v>
      </c>
      <c r="J285" s="34" t="s">
        <v>928</v>
      </c>
      <c r="K285" s="34" t="str">
        <f t="shared" si="10"/>
        <v>重复</v>
      </c>
      <c r="L285" s="34" t="str">
        <f t="shared" si="11"/>
        <v>不重复</v>
      </c>
    </row>
    <row r="286" spans="1:12" ht="27">
      <c r="A286" s="35" t="s">
        <v>10659</v>
      </c>
      <c r="B286" s="35" t="s">
        <v>929</v>
      </c>
      <c r="C286" s="36" t="s">
        <v>930</v>
      </c>
      <c r="D286" s="35" t="s">
        <v>931</v>
      </c>
      <c r="E286" s="35" t="s">
        <v>10640</v>
      </c>
      <c r="F286" s="35" t="s">
        <v>10638</v>
      </c>
      <c r="G286" s="35">
        <v>180218</v>
      </c>
      <c r="H286" s="35">
        <v>230010</v>
      </c>
      <c r="I286" s="35">
        <v>200002</v>
      </c>
      <c r="J286" s="34" t="s">
        <v>932</v>
      </c>
      <c r="K286" s="34" t="str">
        <f t="shared" si="10"/>
        <v>不重复</v>
      </c>
      <c r="L286" s="34" t="str">
        <f t="shared" si="11"/>
        <v>不重复</v>
      </c>
    </row>
    <row r="287" spans="1:12" ht="27">
      <c r="A287" s="35" t="s">
        <v>10660</v>
      </c>
      <c r="B287" s="35" t="s">
        <v>933</v>
      </c>
      <c r="C287" s="36" t="s">
        <v>934</v>
      </c>
      <c r="D287" s="35" t="s">
        <v>935</v>
      </c>
      <c r="E287" s="35" t="s">
        <v>10640</v>
      </c>
      <c r="F287" s="35" t="s">
        <v>10638</v>
      </c>
      <c r="G287" s="35">
        <v>180219</v>
      </c>
      <c r="H287" s="35">
        <v>230010</v>
      </c>
      <c r="I287" s="35">
        <v>200002</v>
      </c>
      <c r="J287" s="34" t="s">
        <v>288</v>
      </c>
      <c r="K287" s="34" t="str">
        <f t="shared" si="10"/>
        <v>重复</v>
      </c>
      <c r="L287" s="34" t="str">
        <f t="shared" si="11"/>
        <v>不重复</v>
      </c>
    </row>
    <row r="288" spans="1:12" ht="27">
      <c r="A288" s="35" t="s">
        <v>10661</v>
      </c>
      <c r="B288" s="35" t="s">
        <v>936</v>
      </c>
      <c r="C288" s="36" t="s">
        <v>448</v>
      </c>
      <c r="D288" s="35" t="s">
        <v>937</v>
      </c>
      <c r="E288" s="35" t="s">
        <v>10640</v>
      </c>
      <c r="F288" s="35" t="s">
        <v>10638</v>
      </c>
      <c r="G288" s="35">
        <v>180220</v>
      </c>
      <c r="H288" s="35">
        <v>230010</v>
      </c>
      <c r="I288" s="35">
        <v>200002</v>
      </c>
      <c r="J288" s="34" t="s">
        <v>889</v>
      </c>
      <c r="K288" s="34" t="str">
        <f t="shared" si="10"/>
        <v>重复</v>
      </c>
      <c r="L288" s="34" t="str">
        <f t="shared" si="11"/>
        <v>不重复</v>
      </c>
    </row>
    <row r="289" spans="1:12" ht="27">
      <c r="A289" s="35" t="s">
        <v>10662</v>
      </c>
      <c r="B289" s="35" t="s">
        <v>938</v>
      </c>
      <c r="C289" s="36" t="s">
        <v>939</v>
      </c>
      <c r="D289" s="35" t="s">
        <v>940</v>
      </c>
      <c r="E289" s="35" t="s">
        <v>10640</v>
      </c>
      <c r="F289" s="35" t="s">
        <v>10638</v>
      </c>
      <c r="G289" s="35">
        <v>180221</v>
      </c>
      <c r="H289" s="35">
        <v>230010</v>
      </c>
      <c r="I289" s="35">
        <v>200002</v>
      </c>
      <c r="J289" s="34" t="s">
        <v>422</v>
      </c>
      <c r="K289" s="34" t="str">
        <f t="shared" si="10"/>
        <v>重复</v>
      </c>
      <c r="L289" s="34" t="str">
        <f t="shared" si="11"/>
        <v>重复</v>
      </c>
    </row>
    <row r="290" spans="1:12" ht="27">
      <c r="A290" s="35" t="s">
        <v>10663</v>
      </c>
      <c r="B290" s="35" t="s">
        <v>941</v>
      </c>
      <c r="C290" s="36" t="s">
        <v>40</v>
      </c>
      <c r="D290" s="35" t="s">
        <v>942</v>
      </c>
      <c r="E290" s="35" t="s">
        <v>10640</v>
      </c>
      <c r="F290" s="35" t="s">
        <v>10638</v>
      </c>
      <c r="G290" s="35">
        <v>180222</v>
      </c>
      <c r="H290" s="35">
        <v>230010</v>
      </c>
      <c r="I290" s="35">
        <v>200002</v>
      </c>
      <c r="J290" s="34" t="s">
        <v>943</v>
      </c>
      <c r="K290" s="34" t="str">
        <f t="shared" si="10"/>
        <v>重复</v>
      </c>
      <c r="L290" s="34" t="str">
        <f t="shared" si="11"/>
        <v>不重复</v>
      </c>
    </row>
    <row r="291" spans="1:12" ht="27">
      <c r="A291" s="35" t="s">
        <v>10664</v>
      </c>
      <c r="B291" s="35" t="s">
        <v>944</v>
      </c>
      <c r="C291" s="36" t="s">
        <v>945</v>
      </c>
      <c r="D291" s="35" t="s">
        <v>946</v>
      </c>
      <c r="E291" s="35" t="s">
        <v>10640</v>
      </c>
      <c r="F291" s="35" t="s">
        <v>10638</v>
      </c>
      <c r="G291" s="35">
        <v>180223</v>
      </c>
      <c r="H291" s="35">
        <v>230010</v>
      </c>
      <c r="I291" s="35">
        <v>200002</v>
      </c>
      <c r="J291" s="34" t="s">
        <v>390</v>
      </c>
      <c r="K291" s="34" t="str">
        <f t="shared" si="10"/>
        <v>重复</v>
      </c>
      <c r="L291" s="34" t="str">
        <f t="shared" si="11"/>
        <v>重复</v>
      </c>
    </row>
    <row r="292" spans="1:12" ht="27">
      <c r="A292" s="35" t="s">
        <v>10665</v>
      </c>
      <c r="B292" s="35" t="s">
        <v>947</v>
      </c>
      <c r="C292" s="36" t="s">
        <v>948</v>
      </c>
      <c r="D292" s="35" t="s">
        <v>949</v>
      </c>
      <c r="E292" s="35" t="s">
        <v>10640</v>
      </c>
      <c r="F292" s="35" t="s">
        <v>10638</v>
      </c>
      <c r="G292" s="35">
        <v>180224</v>
      </c>
      <c r="H292" s="35">
        <v>230010</v>
      </c>
      <c r="I292" s="35">
        <v>200002</v>
      </c>
      <c r="J292" s="34" t="s">
        <v>363</v>
      </c>
      <c r="K292" s="34" t="str">
        <f t="shared" si="10"/>
        <v>重复</v>
      </c>
      <c r="L292" s="34" t="str">
        <f t="shared" si="11"/>
        <v>不重复</v>
      </c>
    </row>
    <row r="293" spans="1:12" ht="15">
      <c r="A293" s="35" t="s">
        <v>10666</v>
      </c>
      <c r="B293" s="35" t="s">
        <v>950</v>
      </c>
      <c r="C293" s="36" t="s">
        <v>951</v>
      </c>
      <c r="D293" s="35" t="s">
        <v>952</v>
      </c>
      <c r="E293" s="35" t="s">
        <v>10640</v>
      </c>
      <c r="F293" s="35" t="s">
        <v>10638</v>
      </c>
      <c r="G293" s="35">
        <v>180225</v>
      </c>
      <c r="H293" s="35">
        <v>230010</v>
      </c>
      <c r="I293" s="35">
        <v>200002</v>
      </c>
      <c r="J293" s="34" t="s">
        <v>16</v>
      </c>
      <c r="K293" s="34" t="str">
        <f t="shared" si="10"/>
        <v>重复</v>
      </c>
      <c r="L293" s="34" t="str">
        <f t="shared" si="11"/>
        <v>不重复</v>
      </c>
    </row>
    <row r="294" spans="1:12" ht="27">
      <c r="A294" s="35" t="s">
        <v>10667</v>
      </c>
      <c r="B294" s="35" t="s">
        <v>953</v>
      </c>
      <c r="C294" s="36" t="s">
        <v>954</v>
      </c>
      <c r="D294" s="35" t="s">
        <v>940</v>
      </c>
      <c r="E294" s="35" t="s">
        <v>10640</v>
      </c>
      <c r="F294" s="35" t="s">
        <v>10638</v>
      </c>
      <c r="G294" s="35">
        <v>180226</v>
      </c>
      <c r="H294" s="35">
        <v>230010</v>
      </c>
      <c r="I294" s="35">
        <v>200002</v>
      </c>
      <c r="J294" s="34" t="s">
        <v>955</v>
      </c>
      <c r="K294" s="34" t="str">
        <f t="shared" si="10"/>
        <v>重复</v>
      </c>
      <c r="L294" s="34" t="str">
        <f t="shared" si="11"/>
        <v>重复</v>
      </c>
    </row>
    <row r="295" spans="1:12" ht="15">
      <c r="A295" s="35" t="s">
        <v>10668</v>
      </c>
      <c r="B295" s="35" t="s">
        <v>956</v>
      </c>
      <c r="C295" s="36" t="s">
        <v>957</v>
      </c>
      <c r="D295" s="35" t="s">
        <v>958</v>
      </c>
      <c r="E295" s="35" t="s">
        <v>10640</v>
      </c>
      <c r="F295" s="35" t="s">
        <v>10638</v>
      </c>
      <c r="G295" s="35">
        <v>180227</v>
      </c>
      <c r="H295" s="35">
        <v>230010</v>
      </c>
      <c r="I295" s="35">
        <v>200002</v>
      </c>
      <c r="J295" s="34" t="s">
        <v>422</v>
      </c>
      <c r="K295" s="34" t="str">
        <f t="shared" si="10"/>
        <v>重复</v>
      </c>
      <c r="L295" s="34" t="str">
        <f t="shared" si="11"/>
        <v>不重复</v>
      </c>
    </row>
    <row r="296" spans="1:12" ht="15">
      <c r="A296" s="35" t="s">
        <v>10669</v>
      </c>
      <c r="B296" s="35" t="s">
        <v>959</v>
      </c>
      <c r="C296" s="36" t="s">
        <v>960</v>
      </c>
      <c r="D296" s="35" t="s">
        <v>961</v>
      </c>
      <c r="E296" s="35" t="s">
        <v>10640</v>
      </c>
      <c r="F296" s="35" t="s">
        <v>10638</v>
      </c>
      <c r="G296" s="35">
        <v>180228</v>
      </c>
      <c r="H296" s="35">
        <v>230010</v>
      </c>
      <c r="I296" s="35">
        <v>200002</v>
      </c>
      <c r="J296" s="34" t="s">
        <v>962</v>
      </c>
      <c r="K296" s="34" t="str">
        <f t="shared" si="10"/>
        <v>重复</v>
      </c>
      <c r="L296" s="34" t="str">
        <f t="shared" si="11"/>
        <v>不重复</v>
      </c>
    </row>
    <row r="297" spans="1:12" ht="15">
      <c r="A297" s="35" t="s">
        <v>10670</v>
      </c>
      <c r="B297" s="35" t="s">
        <v>963</v>
      </c>
      <c r="C297" s="36" t="s">
        <v>964</v>
      </c>
      <c r="D297" s="35" t="s">
        <v>965</v>
      </c>
      <c r="E297" s="35" t="s">
        <v>10640</v>
      </c>
      <c r="F297" s="35" t="s">
        <v>10638</v>
      </c>
      <c r="G297" s="35">
        <v>180229</v>
      </c>
      <c r="H297" s="35">
        <v>230010</v>
      </c>
      <c r="I297" s="35">
        <v>200002</v>
      </c>
      <c r="J297" s="34" t="s">
        <v>16</v>
      </c>
      <c r="K297" s="34" t="str">
        <f t="shared" si="10"/>
        <v>不重复</v>
      </c>
      <c r="L297" s="34" t="str">
        <f t="shared" si="11"/>
        <v>不重复</v>
      </c>
    </row>
    <row r="298" spans="1:12" ht="30">
      <c r="A298" s="35" t="s">
        <v>10671</v>
      </c>
      <c r="B298" s="35" t="s">
        <v>966</v>
      </c>
      <c r="C298" s="36" t="s">
        <v>967</v>
      </c>
      <c r="D298" s="35" t="s">
        <v>968</v>
      </c>
      <c r="E298" s="35" t="s">
        <v>10640</v>
      </c>
      <c r="F298" s="35" t="s">
        <v>10638</v>
      </c>
      <c r="G298" s="35">
        <v>180230</v>
      </c>
      <c r="H298" s="35">
        <v>230010</v>
      </c>
      <c r="I298" s="35">
        <v>200002</v>
      </c>
      <c r="J298" s="34" t="s">
        <v>969</v>
      </c>
      <c r="K298" s="34" t="str">
        <f t="shared" si="10"/>
        <v>不重复</v>
      </c>
      <c r="L298" s="34" t="str">
        <f t="shared" si="11"/>
        <v>不重复</v>
      </c>
    </row>
    <row r="299" spans="1:12" ht="15">
      <c r="A299" s="35" t="s">
        <v>10672</v>
      </c>
      <c r="B299" s="35" t="s">
        <v>970</v>
      </c>
      <c r="C299" s="36" t="s">
        <v>971</v>
      </c>
      <c r="D299" s="35" t="s">
        <v>972</v>
      </c>
      <c r="E299" s="35" t="s">
        <v>10640</v>
      </c>
      <c r="F299" s="35" t="s">
        <v>10638</v>
      </c>
      <c r="G299" s="35">
        <v>180231</v>
      </c>
      <c r="H299" s="35">
        <v>230010</v>
      </c>
      <c r="I299" s="35">
        <v>200002</v>
      </c>
      <c r="J299" s="34" t="s">
        <v>89</v>
      </c>
      <c r="K299" s="34" t="str">
        <f t="shared" si="10"/>
        <v>重复</v>
      </c>
      <c r="L299" s="34" t="str">
        <f t="shared" si="11"/>
        <v>不重复</v>
      </c>
    </row>
    <row r="300" spans="1:12" ht="15">
      <c r="A300" s="35" t="s">
        <v>10673</v>
      </c>
      <c r="B300" s="35" t="s">
        <v>973</v>
      </c>
      <c r="C300" s="36" t="s">
        <v>974</v>
      </c>
      <c r="D300" s="35" t="s">
        <v>975</v>
      </c>
      <c r="E300" s="35" t="s">
        <v>10640</v>
      </c>
      <c r="F300" s="35" t="s">
        <v>10638</v>
      </c>
      <c r="G300" s="35">
        <v>180232</v>
      </c>
      <c r="H300" s="35">
        <v>230010</v>
      </c>
      <c r="I300" s="35">
        <v>200002</v>
      </c>
      <c r="J300" s="34" t="s">
        <v>715</v>
      </c>
      <c r="K300" s="34" t="str">
        <f t="shared" si="10"/>
        <v>重复</v>
      </c>
      <c r="L300" s="34" t="str">
        <f t="shared" si="11"/>
        <v>不重复</v>
      </c>
    </row>
    <row r="301" spans="1:12" ht="15">
      <c r="A301" s="35" t="s">
        <v>10674</v>
      </c>
      <c r="B301" s="35" t="s">
        <v>976</v>
      </c>
      <c r="C301" s="36" t="s">
        <v>977</v>
      </c>
      <c r="D301" s="35" t="s">
        <v>978</v>
      </c>
      <c r="E301" s="35" t="s">
        <v>10640</v>
      </c>
      <c r="F301" s="35" t="s">
        <v>10638</v>
      </c>
      <c r="G301" s="35">
        <v>180233</v>
      </c>
      <c r="H301" s="35">
        <v>230010</v>
      </c>
      <c r="I301" s="35">
        <v>200002</v>
      </c>
      <c r="J301" s="34" t="s">
        <v>962</v>
      </c>
      <c r="K301" s="34" t="str">
        <f t="shared" si="10"/>
        <v>重复</v>
      </c>
      <c r="L301" s="34" t="str">
        <f t="shared" si="11"/>
        <v>重复</v>
      </c>
    </row>
    <row r="302" spans="1:12" ht="15">
      <c r="A302" s="35" t="s">
        <v>10675</v>
      </c>
      <c r="B302" s="35" t="s">
        <v>979</v>
      </c>
      <c r="C302" s="36" t="s">
        <v>980</v>
      </c>
      <c r="D302" s="35" t="s">
        <v>981</v>
      </c>
      <c r="E302" s="35" t="s">
        <v>10640</v>
      </c>
      <c r="F302" s="35" t="s">
        <v>10638</v>
      </c>
      <c r="G302" s="35">
        <v>180234</v>
      </c>
      <c r="H302" s="35">
        <v>230010</v>
      </c>
      <c r="I302" s="35">
        <v>200002</v>
      </c>
      <c r="J302" s="34" t="s">
        <v>152</v>
      </c>
      <c r="K302" s="34" t="str">
        <f t="shared" si="10"/>
        <v>重复</v>
      </c>
      <c r="L302" s="34" t="str">
        <f t="shared" si="11"/>
        <v>重复</v>
      </c>
    </row>
    <row r="303" spans="1:12" ht="15">
      <c r="A303" s="35" t="s">
        <v>10676</v>
      </c>
      <c r="B303" s="35" t="s">
        <v>982</v>
      </c>
      <c r="C303" s="36" t="s">
        <v>983</v>
      </c>
      <c r="D303" s="35" t="s">
        <v>984</v>
      </c>
      <c r="E303" s="35" t="s">
        <v>10640</v>
      </c>
      <c r="F303" s="35" t="s">
        <v>10638</v>
      </c>
      <c r="G303" s="35">
        <v>180235</v>
      </c>
      <c r="H303" s="35">
        <v>230010</v>
      </c>
      <c r="I303" s="35">
        <v>200002</v>
      </c>
      <c r="J303" s="34" t="s">
        <v>985</v>
      </c>
      <c r="K303" s="34" t="str">
        <f t="shared" si="10"/>
        <v>重复</v>
      </c>
      <c r="L303" s="34" t="str">
        <f t="shared" si="11"/>
        <v>不重复</v>
      </c>
    </row>
    <row r="304" spans="1:12" ht="15">
      <c r="A304" s="35" t="s">
        <v>10677</v>
      </c>
      <c r="B304" s="35" t="s">
        <v>986</v>
      </c>
      <c r="C304" s="36" t="s">
        <v>987</v>
      </c>
      <c r="D304" s="35" t="s">
        <v>988</v>
      </c>
      <c r="E304" s="35" t="s">
        <v>10640</v>
      </c>
      <c r="F304" s="35" t="s">
        <v>10638</v>
      </c>
      <c r="G304" s="35">
        <v>180236</v>
      </c>
      <c r="H304" s="35">
        <v>230010</v>
      </c>
      <c r="I304" s="35">
        <v>200002</v>
      </c>
      <c r="J304" s="34" t="s">
        <v>137</v>
      </c>
      <c r="K304" s="34" t="str">
        <f t="shared" si="10"/>
        <v>重复</v>
      </c>
      <c r="L304" s="34" t="str">
        <f t="shared" si="11"/>
        <v>不重复</v>
      </c>
    </row>
    <row r="305" spans="1:12" ht="15">
      <c r="A305" s="35" t="s">
        <v>10678</v>
      </c>
      <c r="B305" s="35" t="s">
        <v>989</v>
      </c>
      <c r="C305" s="36" t="s">
        <v>990</v>
      </c>
      <c r="D305" s="35" t="s">
        <v>991</v>
      </c>
      <c r="E305" s="35" t="s">
        <v>10640</v>
      </c>
      <c r="F305" s="35" t="s">
        <v>10638</v>
      </c>
      <c r="G305" s="35">
        <v>180237</v>
      </c>
      <c r="H305" s="35">
        <v>230010</v>
      </c>
      <c r="I305" s="35">
        <v>200002</v>
      </c>
      <c r="J305" s="34" t="s">
        <v>668</v>
      </c>
      <c r="K305" s="34" t="str">
        <f t="shared" si="10"/>
        <v>重复</v>
      </c>
      <c r="L305" s="34" t="str">
        <f t="shared" si="11"/>
        <v>不重复</v>
      </c>
    </row>
    <row r="306" spans="1:12" ht="15">
      <c r="A306" s="35" t="s">
        <v>10679</v>
      </c>
      <c r="B306" s="35" t="s">
        <v>992</v>
      </c>
      <c r="C306" s="36" t="s">
        <v>993</v>
      </c>
      <c r="D306" s="35" t="s">
        <v>994</v>
      </c>
      <c r="E306" s="35" t="s">
        <v>10640</v>
      </c>
      <c r="F306" s="35" t="s">
        <v>10638</v>
      </c>
      <c r="G306" s="35">
        <v>180238</v>
      </c>
      <c r="H306" s="35">
        <v>230010</v>
      </c>
      <c r="I306" s="35">
        <v>200002</v>
      </c>
      <c r="J306" s="34" t="s">
        <v>422</v>
      </c>
      <c r="K306" s="34" t="str">
        <f t="shared" si="10"/>
        <v>重复</v>
      </c>
      <c r="L306" s="34" t="str">
        <f t="shared" si="11"/>
        <v>不重复</v>
      </c>
    </row>
    <row r="307" spans="1:12" ht="15">
      <c r="A307" s="35" t="s">
        <v>10680</v>
      </c>
      <c r="B307" s="35" t="s">
        <v>995</v>
      </c>
      <c r="C307" s="36" t="s">
        <v>996</v>
      </c>
      <c r="D307" s="35" t="s">
        <v>997</v>
      </c>
      <c r="E307" s="35" t="s">
        <v>10640</v>
      </c>
      <c r="F307" s="35" t="s">
        <v>10638</v>
      </c>
      <c r="G307" s="35">
        <v>180239</v>
      </c>
      <c r="H307" s="35">
        <v>230010</v>
      </c>
      <c r="I307" s="35">
        <v>200002</v>
      </c>
      <c r="J307" s="34" t="s">
        <v>889</v>
      </c>
      <c r="K307" s="34" t="str">
        <f t="shared" si="10"/>
        <v>重复</v>
      </c>
      <c r="L307" s="34" t="str">
        <f t="shared" si="11"/>
        <v>不重复</v>
      </c>
    </row>
    <row r="308" spans="1:12" ht="27">
      <c r="A308" s="35" t="s">
        <v>10681</v>
      </c>
      <c r="B308" s="35" t="s">
        <v>998</v>
      </c>
      <c r="C308" s="36" t="s">
        <v>713</v>
      </c>
      <c r="D308" s="35" t="s">
        <v>999</v>
      </c>
      <c r="E308" s="35" t="s">
        <v>10640</v>
      </c>
      <c r="F308" s="35" t="s">
        <v>10638</v>
      </c>
      <c r="G308" s="35">
        <v>180240</v>
      </c>
      <c r="H308" s="35">
        <v>230010</v>
      </c>
      <c r="I308" s="35">
        <v>200002</v>
      </c>
      <c r="J308" s="34" t="s">
        <v>1000</v>
      </c>
      <c r="K308" s="34" t="str">
        <f t="shared" si="10"/>
        <v>重复</v>
      </c>
      <c r="L308" s="34" t="str">
        <f t="shared" si="11"/>
        <v>不重复</v>
      </c>
    </row>
    <row r="309" spans="1:12" ht="15">
      <c r="A309" s="35" t="s">
        <v>10682</v>
      </c>
      <c r="B309" s="35" t="s">
        <v>1001</v>
      </c>
      <c r="C309" s="36" t="s">
        <v>91</v>
      </c>
      <c r="D309" s="35" t="s">
        <v>978</v>
      </c>
      <c r="E309" s="35" t="s">
        <v>10640</v>
      </c>
      <c r="F309" s="35" t="s">
        <v>10638</v>
      </c>
      <c r="G309" s="35">
        <v>180241</v>
      </c>
      <c r="H309" s="35">
        <v>230010</v>
      </c>
      <c r="I309" s="35">
        <v>200002</v>
      </c>
      <c r="J309" s="34" t="s">
        <v>16</v>
      </c>
      <c r="K309" s="34" t="str">
        <f t="shared" si="10"/>
        <v>重复</v>
      </c>
      <c r="L309" s="34" t="str">
        <f t="shared" si="11"/>
        <v>重复</v>
      </c>
    </row>
    <row r="310" spans="1:12" ht="15">
      <c r="A310" s="35" t="s">
        <v>10683</v>
      </c>
      <c r="B310" s="35" t="s">
        <v>1002</v>
      </c>
      <c r="C310" s="36" t="s">
        <v>1003</v>
      </c>
      <c r="D310" s="35" t="s">
        <v>1004</v>
      </c>
      <c r="E310" s="35" t="s">
        <v>10683</v>
      </c>
      <c r="F310" s="35" t="s">
        <v>10638</v>
      </c>
      <c r="G310" s="35">
        <v>180300</v>
      </c>
      <c r="H310" s="35">
        <v>230020</v>
      </c>
      <c r="I310" s="35">
        <v>200002</v>
      </c>
      <c r="J310" s="34" t="s">
        <v>16</v>
      </c>
      <c r="K310" s="34" t="str">
        <f t="shared" si="10"/>
        <v>重复</v>
      </c>
      <c r="L310" s="34" t="str">
        <f t="shared" si="11"/>
        <v>重复</v>
      </c>
    </row>
    <row r="311" spans="1:12" ht="15">
      <c r="A311" s="35" t="s">
        <v>10684</v>
      </c>
      <c r="B311" s="35" t="s">
        <v>1005</v>
      </c>
      <c r="C311" s="36" t="s">
        <v>1006</v>
      </c>
      <c r="D311" s="35" t="s">
        <v>1007</v>
      </c>
      <c r="E311" s="35" t="s">
        <v>10683</v>
      </c>
      <c r="F311" s="35" t="s">
        <v>10638</v>
      </c>
      <c r="G311" s="35">
        <v>180301</v>
      </c>
      <c r="H311" s="35">
        <v>230020</v>
      </c>
      <c r="I311" s="35">
        <v>200002</v>
      </c>
      <c r="J311" s="34" t="s">
        <v>16</v>
      </c>
      <c r="K311" s="34" t="str">
        <f t="shared" si="10"/>
        <v>不重复</v>
      </c>
      <c r="L311" s="34" t="str">
        <f t="shared" si="11"/>
        <v>不重复</v>
      </c>
    </row>
    <row r="312" spans="1:12" ht="15">
      <c r="A312" s="35" t="s">
        <v>10685</v>
      </c>
      <c r="B312" s="35" t="s">
        <v>1008</v>
      </c>
      <c r="C312" s="36" t="s">
        <v>1009</v>
      </c>
      <c r="D312" s="35" t="s">
        <v>1010</v>
      </c>
      <c r="E312" s="35" t="s">
        <v>10683</v>
      </c>
      <c r="F312" s="35" t="s">
        <v>10638</v>
      </c>
      <c r="G312" s="35">
        <v>180302</v>
      </c>
      <c r="H312" s="35">
        <v>230020</v>
      </c>
      <c r="I312" s="35">
        <v>200002</v>
      </c>
      <c r="J312" s="34" t="s">
        <v>1011</v>
      </c>
      <c r="K312" s="34" t="str">
        <f t="shared" si="10"/>
        <v>重复</v>
      </c>
      <c r="L312" s="34" t="str">
        <f t="shared" si="11"/>
        <v>不重复</v>
      </c>
    </row>
    <row r="313" spans="1:12" ht="15">
      <c r="A313" s="35" t="s">
        <v>10686</v>
      </c>
      <c r="B313" s="35" t="s">
        <v>1012</v>
      </c>
      <c r="C313" s="36" t="s">
        <v>1013</v>
      </c>
      <c r="D313" s="35" t="s">
        <v>1014</v>
      </c>
      <c r="E313" s="35" t="s">
        <v>10683</v>
      </c>
      <c r="F313" s="35" t="s">
        <v>10638</v>
      </c>
      <c r="G313" s="35">
        <v>180303</v>
      </c>
      <c r="H313" s="35">
        <v>230020</v>
      </c>
      <c r="I313" s="35">
        <v>200002</v>
      </c>
      <c r="J313" s="34" t="s">
        <v>1015</v>
      </c>
      <c r="K313" s="34" t="str">
        <f t="shared" si="10"/>
        <v>不重复</v>
      </c>
      <c r="L313" s="34" t="str">
        <f t="shared" si="11"/>
        <v>不重复</v>
      </c>
    </row>
    <row r="314" spans="1:12" ht="15">
      <c r="A314" s="35" t="s">
        <v>10687</v>
      </c>
      <c r="B314" s="35" t="s">
        <v>1016</v>
      </c>
      <c r="C314" s="36" t="s">
        <v>1017</v>
      </c>
      <c r="D314" s="35" t="s">
        <v>1018</v>
      </c>
      <c r="E314" s="35" t="s">
        <v>10683</v>
      </c>
      <c r="F314" s="35" t="s">
        <v>10638</v>
      </c>
      <c r="G314" s="35">
        <v>180304</v>
      </c>
      <c r="H314" s="35">
        <v>230020</v>
      </c>
      <c r="I314" s="35">
        <v>200002</v>
      </c>
      <c r="J314" s="34" t="s">
        <v>1019</v>
      </c>
      <c r="K314" s="34" t="str">
        <f t="shared" si="10"/>
        <v>重复</v>
      </c>
      <c r="L314" s="34" t="str">
        <f t="shared" si="11"/>
        <v>不重复</v>
      </c>
    </row>
    <row r="315" spans="1:12" ht="15">
      <c r="A315" s="35" t="s">
        <v>10688</v>
      </c>
      <c r="B315" s="35" t="s">
        <v>1020</v>
      </c>
      <c r="C315" s="36" t="s">
        <v>1021</v>
      </c>
      <c r="D315" s="35" t="s">
        <v>1022</v>
      </c>
      <c r="E315" s="35" t="s">
        <v>10683</v>
      </c>
      <c r="F315" s="35" t="s">
        <v>10638</v>
      </c>
      <c r="G315" s="35">
        <v>180305</v>
      </c>
      <c r="H315" s="35">
        <v>230020</v>
      </c>
      <c r="I315" s="35">
        <v>200002</v>
      </c>
      <c r="J315" s="34" t="s">
        <v>756</v>
      </c>
      <c r="K315" s="34" t="str">
        <f t="shared" si="10"/>
        <v>重复</v>
      </c>
      <c r="L315" s="34" t="str">
        <f t="shared" si="11"/>
        <v>不重复</v>
      </c>
    </row>
    <row r="316" spans="1:12" ht="15">
      <c r="A316" s="35" t="s">
        <v>10689</v>
      </c>
      <c r="B316" s="35" t="s">
        <v>1023</v>
      </c>
      <c r="C316" s="36" t="s">
        <v>971</v>
      </c>
      <c r="D316" s="35" t="s">
        <v>1024</v>
      </c>
      <c r="E316" s="35" t="s">
        <v>10683</v>
      </c>
      <c r="F316" s="35" t="s">
        <v>10638</v>
      </c>
      <c r="G316" s="35">
        <v>180306</v>
      </c>
      <c r="H316" s="35">
        <v>230020</v>
      </c>
      <c r="I316" s="35">
        <v>200002</v>
      </c>
      <c r="J316" s="34" t="s">
        <v>317</v>
      </c>
      <c r="K316" s="34" t="str">
        <f t="shared" si="10"/>
        <v>重复</v>
      </c>
      <c r="L316" s="34" t="str">
        <f t="shared" si="11"/>
        <v>不重复</v>
      </c>
    </row>
    <row r="317" spans="1:12" ht="15">
      <c r="A317" s="35" t="s">
        <v>10690</v>
      </c>
      <c r="B317" s="35" t="s">
        <v>1025</v>
      </c>
      <c r="C317" s="36" t="s">
        <v>1026</v>
      </c>
      <c r="D317" s="35" t="s">
        <v>1004</v>
      </c>
      <c r="E317" s="35" t="s">
        <v>10683</v>
      </c>
      <c r="F317" s="35" t="s">
        <v>10638</v>
      </c>
      <c r="G317" s="35">
        <v>180307</v>
      </c>
      <c r="H317" s="35">
        <v>230020</v>
      </c>
      <c r="I317" s="35">
        <v>200002</v>
      </c>
      <c r="J317" s="34" t="s">
        <v>16</v>
      </c>
      <c r="K317" s="34" t="str">
        <f t="shared" si="10"/>
        <v>重复</v>
      </c>
      <c r="L317" s="34" t="str">
        <f t="shared" si="11"/>
        <v>重复</v>
      </c>
    </row>
    <row r="318" spans="1:12" ht="30">
      <c r="A318" s="35" t="s">
        <v>10691</v>
      </c>
      <c r="B318" s="35" t="s">
        <v>1027</v>
      </c>
      <c r="C318" s="36" t="s">
        <v>1028</v>
      </c>
      <c r="D318" s="35" t="s">
        <v>1029</v>
      </c>
      <c r="E318" s="35" t="s">
        <v>10683</v>
      </c>
      <c r="F318" s="35" t="s">
        <v>10638</v>
      </c>
      <c r="G318" s="35">
        <v>180308</v>
      </c>
      <c r="H318" s="35">
        <v>230020</v>
      </c>
      <c r="I318" s="35">
        <v>200002</v>
      </c>
      <c r="J318" s="34" t="s">
        <v>1030</v>
      </c>
      <c r="K318" s="34" t="str">
        <f t="shared" si="10"/>
        <v>重复</v>
      </c>
      <c r="L318" s="34" t="str">
        <f t="shared" si="11"/>
        <v>不重复</v>
      </c>
    </row>
    <row r="319" spans="1:12" ht="15">
      <c r="A319" s="35" t="s">
        <v>10692</v>
      </c>
      <c r="B319" s="35" t="s">
        <v>1031</v>
      </c>
      <c r="C319" s="36" t="s">
        <v>1032</v>
      </c>
      <c r="D319" s="35" t="s">
        <v>1033</v>
      </c>
      <c r="E319" s="35" t="s">
        <v>10683</v>
      </c>
      <c r="F319" s="35" t="s">
        <v>10638</v>
      </c>
      <c r="G319" s="35">
        <v>180309</v>
      </c>
      <c r="H319" s="35">
        <v>230020</v>
      </c>
      <c r="I319" s="35">
        <v>200002</v>
      </c>
      <c r="J319" s="34" t="s">
        <v>16</v>
      </c>
      <c r="K319" s="34" t="str">
        <f t="shared" si="10"/>
        <v>重复</v>
      </c>
      <c r="L319" s="34" t="str">
        <f t="shared" si="11"/>
        <v>重复</v>
      </c>
    </row>
    <row r="320" spans="1:12" ht="27">
      <c r="A320" s="35" t="s">
        <v>10693</v>
      </c>
      <c r="B320" s="35" t="s">
        <v>1034</v>
      </c>
      <c r="C320" s="36" t="s">
        <v>1035</v>
      </c>
      <c r="D320" s="35" t="s">
        <v>1036</v>
      </c>
      <c r="E320" s="35" t="s">
        <v>10683</v>
      </c>
      <c r="F320" s="35" t="s">
        <v>10638</v>
      </c>
      <c r="G320" s="35">
        <v>180310</v>
      </c>
      <c r="H320" s="35">
        <v>230020</v>
      </c>
      <c r="I320" s="35">
        <v>200002</v>
      </c>
      <c r="J320" s="34" t="s">
        <v>311</v>
      </c>
      <c r="K320" s="34" t="str">
        <f t="shared" si="10"/>
        <v>不重复</v>
      </c>
      <c r="L320" s="34" t="str">
        <f t="shared" si="11"/>
        <v>不重复</v>
      </c>
    </row>
    <row r="321" spans="1:12" ht="30">
      <c r="A321" s="35" t="s">
        <v>10694</v>
      </c>
      <c r="B321" s="35" t="s">
        <v>1037</v>
      </c>
      <c r="C321" s="36" t="s">
        <v>1038</v>
      </c>
      <c r="D321" s="35" t="s">
        <v>1039</v>
      </c>
      <c r="E321" s="35" t="s">
        <v>10683</v>
      </c>
      <c r="F321" s="35" t="s">
        <v>10638</v>
      </c>
      <c r="G321" s="35">
        <v>180311</v>
      </c>
      <c r="H321" s="35">
        <v>230020</v>
      </c>
      <c r="I321" s="35">
        <v>200002</v>
      </c>
      <c r="J321" s="34" t="s">
        <v>1040</v>
      </c>
      <c r="K321" s="34" t="str">
        <f t="shared" si="10"/>
        <v>重复</v>
      </c>
      <c r="L321" s="34" t="str">
        <f t="shared" si="11"/>
        <v>不重复</v>
      </c>
    </row>
    <row r="322" spans="1:12" ht="27">
      <c r="A322" s="35" t="s">
        <v>10695</v>
      </c>
      <c r="B322" s="35" t="s">
        <v>1041</v>
      </c>
      <c r="C322" s="36" t="s">
        <v>1042</v>
      </c>
      <c r="D322" s="35" t="s">
        <v>1043</v>
      </c>
      <c r="E322" s="35" t="s">
        <v>10683</v>
      </c>
      <c r="F322" s="35" t="s">
        <v>10638</v>
      </c>
      <c r="G322" s="35">
        <v>180312</v>
      </c>
      <c r="H322" s="35">
        <v>230020</v>
      </c>
      <c r="I322" s="35">
        <v>200002</v>
      </c>
      <c r="J322" s="34" t="s">
        <v>302</v>
      </c>
      <c r="K322" s="34" t="str">
        <f t="shared" si="10"/>
        <v>重复</v>
      </c>
      <c r="L322" s="34" t="str">
        <f t="shared" si="11"/>
        <v>不重复</v>
      </c>
    </row>
    <row r="323" spans="1:12" ht="27">
      <c r="A323" s="35" t="s">
        <v>10696</v>
      </c>
      <c r="B323" s="35" t="s">
        <v>1044</v>
      </c>
      <c r="C323" s="36" t="s">
        <v>1045</v>
      </c>
      <c r="D323" s="35" t="s">
        <v>1046</v>
      </c>
      <c r="E323" s="35" t="s">
        <v>10683</v>
      </c>
      <c r="F323" s="35" t="s">
        <v>10638</v>
      </c>
      <c r="G323" s="35">
        <v>180313</v>
      </c>
      <c r="H323" s="35">
        <v>230020</v>
      </c>
      <c r="I323" s="35">
        <v>200002</v>
      </c>
      <c r="J323" s="34" t="s">
        <v>1047</v>
      </c>
      <c r="K323" s="34" t="str">
        <f t="shared" si="10"/>
        <v>重复</v>
      </c>
      <c r="L323" s="34" t="str">
        <f t="shared" si="11"/>
        <v>重复</v>
      </c>
    </row>
    <row r="324" spans="1:12" ht="27">
      <c r="A324" s="35" t="s">
        <v>10697</v>
      </c>
      <c r="B324" s="35" t="s">
        <v>1048</v>
      </c>
      <c r="C324" s="36" t="s">
        <v>1049</v>
      </c>
      <c r="D324" s="35" t="s">
        <v>1046</v>
      </c>
      <c r="E324" s="35" t="s">
        <v>10683</v>
      </c>
      <c r="F324" s="35" t="s">
        <v>10638</v>
      </c>
      <c r="G324" s="35">
        <v>180314</v>
      </c>
      <c r="H324" s="35">
        <v>230020</v>
      </c>
      <c r="I324" s="35">
        <v>200002</v>
      </c>
      <c r="J324" s="34" t="s">
        <v>1050</v>
      </c>
      <c r="K324" s="34" t="str">
        <f t="shared" si="10"/>
        <v>重复</v>
      </c>
      <c r="L324" s="34" t="str">
        <f t="shared" si="11"/>
        <v>重复</v>
      </c>
    </row>
    <row r="325" spans="1:12" ht="15">
      <c r="A325" s="35" t="s">
        <v>10698</v>
      </c>
      <c r="B325" s="35" t="s">
        <v>1051</v>
      </c>
      <c r="C325" s="36" t="s">
        <v>1052</v>
      </c>
      <c r="D325" s="35" t="s">
        <v>1053</v>
      </c>
      <c r="E325" s="35" t="s">
        <v>10683</v>
      </c>
      <c r="F325" s="35" t="s">
        <v>10638</v>
      </c>
      <c r="G325" s="35">
        <v>180315</v>
      </c>
      <c r="H325" s="35">
        <v>230020</v>
      </c>
      <c r="I325" s="35">
        <v>200002</v>
      </c>
      <c r="J325" s="34" t="s">
        <v>183</v>
      </c>
      <c r="K325" s="34" t="str">
        <f t="shared" si="10"/>
        <v>重复</v>
      </c>
      <c r="L325" s="34" t="str">
        <f t="shared" si="11"/>
        <v>不重复</v>
      </c>
    </row>
    <row r="326" spans="1:12" ht="30">
      <c r="A326" s="35" t="s">
        <v>10699</v>
      </c>
      <c r="B326" s="35" t="s">
        <v>1054</v>
      </c>
      <c r="C326" s="36" t="s">
        <v>1055</v>
      </c>
      <c r="D326" s="35" t="s">
        <v>1056</v>
      </c>
      <c r="E326" s="35" t="s">
        <v>10683</v>
      </c>
      <c r="F326" s="35" t="s">
        <v>10638</v>
      </c>
      <c r="G326" s="35">
        <v>180316</v>
      </c>
      <c r="H326" s="35">
        <v>230020</v>
      </c>
      <c r="I326" s="35">
        <v>200002</v>
      </c>
      <c r="J326" s="34" t="s">
        <v>1057</v>
      </c>
      <c r="K326" s="34" t="str">
        <f t="shared" si="10"/>
        <v>不重复</v>
      </c>
      <c r="L326" s="34" t="str">
        <f t="shared" si="11"/>
        <v>不重复</v>
      </c>
    </row>
    <row r="327" spans="1:12" ht="27">
      <c r="A327" s="35" t="s">
        <v>10700</v>
      </c>
      <c r="B327" s="35" t="s">
        <v>1058</v>
      </c>
      <c r="C327" s="36" t="s">
        <v>1059</v>
      </c>
      <c r="D327" s="35" t="s">
        <v>1060</v>
      </c>
      <c r="E327" s="35" t="s">
        <v>10683</v>
      </c>
      <c r="F327" s="35" t="s">
        <v>10638</v>
      </c>
      <c r="G327" s="35">
        <v>180317</v>
      </c>
      <c r="H327" s="35">
        <v>230020</v>
      </c>
      <c r="I327" s="35">
        <v>200002</v>
      </c>
      <c r="J327" s="34" t="s">
        <v>363</v>
      </c>
      <c r="K327" s="34" t="str">
        <f t="shared" si="10"/>
        <v>重复</v>
      </c>
      <c r="L327" s="34" t="str">
        <f t="shared" si="11"/>
        <v>不重复</v>
      </c>
    </row>
    <row r="328" spans="1:12" ht="27">
      <c r="A328" s="35" t="s">
        <v>10701</v>
      </c>
      <c r="B328" s="35" t="s">
        <v>1061</v>
      </c>
      <c r="C328" s="36" t="s">
        <v>1062</v>
      </c>
      <c r="D328" s="35" t="s">
        <v>1063</v>
      </c>
      <c r="E328" s="35" t="s">
        <v>10683</v>
      </c>
      <c r="F328" s="35" t="s">
        <v>10638</v>
      </c>
      <c r="G328" s="35">
        <v>180318</v>
      </c>
      <c r="H328" s="35">
        <v>230020</v>
      </c>
      <c r="I328" s="35">
        <v>200002</v>
      </c>
      <c r="J328" s="34" t="s">
        <v>363</v>
      </c>
      <c r="K328" s="34" t="str">
        <f t="shared" si="10"/>
        <v>不重复</v>
      </c>
      <c r="L328" s="34" t="str">
        <f t="shared" si="11"/>
        <v>不重复</v>
      </c>
    </row>
    <row r="329" spans="1:12" ht="15">
      <c r="A329" s="35" t="s">
        <v>10702</v>
      </c>
      <c r="B329" s="35" t="s">
        <v>1064</v>
      </c>
      <c r="C329" s="36" t="s">
        <v>1065</v>
      </c>
      <c r="D329" s="35" t="s">
        <v>1066</v>
      </c>
      <c r="E329" s="35" t="s">
        <v>10683</v>
      </c>
      <c r="F329" s="35" t="s">
        <v>10638</v>
      </c>
      <c r="G329" s="35">
        <v>180319</v>
      </c>
      <c r="H329" s="35">
        <v>230020</v>
      </c>
      <c r="I329" s="35">
        <v>200002</v>
      </c>
      <c r="J329" s="34" t="s">
        <v>311</v>
      </c>
      <c r="K329" s="34" t="str">
        <f t="shared" si="10"/>
        <v>重复</v>
      </c>
      <c r="L329" s="34" t="str">
        <f t="shared" si="11"/>
        <v>不重复</v>
      </c>
    </row>
    <row r="330" spans="1:12" ht="15">
      <c r="A330" s="35" t="s">
        <v>10703</v>
      </c>
      <c r="B330" s="35" t="s">
        <v>1067</v>
      </c>
      <c r="C330" s="36" t="s">
        <v>1068</v>
      </c>
      <c r="D330" s="35" t="s">
        <v>1069</v>
      </c>
      <c r="E330" s="35" t="s">
        <v>10683</v>
      </c>
      <c r="F330" s="35" t="s">
        <v>10638</v>
      </c>
      <c r="G330" s="35">
        <v>180320</v>
      </c>
      <c r="H330" s="35">
        <v>230020</v>
      </c>
      <c r="I330" s="35">
        <v>200002</v>
      </c>
      <c r="J330" s="34" t="s">
        <v>932</v>
      </c>
      <c r="K330" s="34" t="str">
        <f t="shared" si="10"/>
        <v>重复</v>
      </c>
      <c r="L330" s="34" t="str">
        <f t="shared" si="11"/>
        <v>不重复</v>
      </c>
    </row>
    <row r="331" spans="1:12" ht="15">
      <c r="A331" s="35" t="s">
        <v>10704</v>
      </c>
      <c r="B331" s="35" t="s">
        <v>1070</v>
      </c>
      <c r="C331" s="36" t="s">
        <v>1071</v>
      </c>
      <c r="D331" s="35" t="s">
        <v>1072</v>
      </c>
      <c r="E331" s="35" t="s">
        <v>10683</v>
      </c>
      <c r="F331" s="35" t="s">
        <v>10638</v>
      </c>
      <c r="G331" s="35">
        <v>180321</v>
      </c>
      <c r="H331" s="35">
        <v>230020</v>
      </c>
      <c r="I331" s="35">
        <v>200002</v>
      </c>
      <c r="J331" s="34" t="s">
        <v>71</v>
      </c>
      <c r="K331" s="34" t="str">
        <f t="shared" si="10"/>
        <v>重复</v>
      </c>
      <c r="L331" s="34" t="str">
        <f t="shared" si="11"/>
        <v>不重复</v>
      </c>
    </row>
    <row r="332" spans="1:12" ht="15">
      <c r="A332" s="35" t="s">
        <v>10705</v>
      </c>
      <c r="B332" s="35" t="s">
        <v>1073</v>
      </c>
      <c r="C332" s="36" t="s">
        <v>1074</v>
      </c>
      <c r="D332" s="35" t="s">
        <v>1075</v>
      </c>
      <c r="E332" s="35" t="s">
        <v>10683</v>
      </c>
      <c r="F332" s="35" t="s">
        <v>10638</v>
      </c>
      <c r="G332" s="35">
        <v>180322</v>
      </c>
      <c r="H332" s="35">
        <v>230020</v>
      </c>
      <c r="I332" s="35">
        <v>200002</v>
      </c>
      <c r="J332" s="34" t="s">
        <v>363</v>
      </c>
      <c r="K332" s="34" t="str">
        <f t="shared" si="10"/>
        <v>重复</v>
      </c>
      <c r="L332" s="34" t="str">
        <f t="shared" si="11"/>
        <v>不重复</v>
      </c>
    </row>
    <row r="333" spans="1:12" ht="15">
      <c r="A333" s="35" t="s">
        <v>10706</v>
      </c>
      <c r="B333" s="35" t="s">
        <v>1076</v>
      </c>
      <c r="C333" s="36" t="s">
        <v>1077</v>
      </c>
      <c r="D333" s="35" t="s">
        <v>1078</v>
      </c>
      <c r="E333" s="35" t="s">
        <v>10683</v>
      </c>
      <c r="F333" s="35" t="s">
        <v>10638</v>
      </c>
      <c r="G333" s="35">
        <v>180323</v>
      </c>
      <c r="H333" s="35">
        <v>230020</v>
      </c>
      <c r="I333" s="35">
        <v>200002</v>
      </c>
      <c r="J333" s="34" t="s">
        <v>668</v>
      </c>
      <c r="K333" s="34" t="str">
        <f t="shared" si="10"/>
        <v>重复</v>
      </c>
      <c r="L333" s="34" t="str">
        <f t="shared" si="11"/>
        <v>不重复</v>
      </c>
    </row>
    <row r="334" spans="1:12" ht="15">
      <c r="A334" s="35" t="s">
        <v>10707</v>
      </c>
      <c r="B334" s="35" t="s">
        <v>1079</v>
      </c>
      <c r="C334" s="36" t="s">
        <v>1080</v>
      </c>
      <c r="D334" s="35" t="s">
        <v>1081</v>
      </c>
      <c r="E334" s="35" t="s">
        <v>10683</v>
      </c>
      <c r="F334" s="35" t="s">
        <v>10638</v>
      </c>
      <c r="G334" s="35">
        <v>180324</v>
      </c>
      <c r="H334" s="35">
        <v>230020</v>
      </c>
      <c r="I334" s="35">
        <v>200002</v>
      </c>
      <c r="J334" s="34" t="s">
        <v>848</v>
      </c>
      <c r="K334" s="34" t="str">
        <f t="shared" si="10"/>
        <v>不重复</v>
      </c>
      <c r="L334" s="34" t="str">
        <f t="shared" si="11"/>
        <v>不重复</v>
      </c>
    </row>
    <row r="335" spans="1:12" ht="15">
      <c r="A335" s="35" t="s">
        <v>10708</v>
      </c>
      <c r="B335" s="35" t="s">
        <v>1082</v>
      </c>
      <c r="C335" s="36" t="s">
        <v>1083</v>
      </c>
      <c r="D335" s="35" t="s">
        <v>1084</v>
      </c>
      <c r="E335" s="35" t="s">
        <v>10683</v>
      </c>
      <c r="F335" s="35" t="s">
        <v>10638</v>
      </c>
      <c r="G335" s="35">
        <v>180325</v>
      </c>
      <c r="H335" s="35">
        <v>230020</v>
      </c>
      <c r="I335" s="35">
        <v>200002</v>
      </c>
      <c r="J335" s="34" t="s">
        <v>1085</v>
      </c>
      <c r="K335" s="34" t="str">
        <f t="shared" si="10"/>
        <v>重复</v>
      </c>
      <c r="L335" s="34" t="str">
        <f t="shared" si="11"/>
        <v>不重复</v>
      </c>
    </row>
    <row r="336" spans="1:12" ht="15">
      <c r="A336" s="35" t="s">
        <v>10709</v>
      </c>
      <c r="B336" s="35" t="s">
        <v>1086</v>
      </c>
      <c r="C336" s="36" t="s">
        <v>1087</v>
      </c>
      <c r="D336" s="35" t="s">
        <v>1088</v>
      </c>
      <c r="E336" s="35" t="s">
        <v>10683</v>
      </c>
      <c r="F336" s="35" t="s">
        <v>10638</v>
      </c>
      <c r="G336" s="35">
        <v>180326</v>
      </c>
      <c r="H336" s="35">
        <v>230020</v>
      </c>
      <c r="I336" s="35">
        <v>200002</v>
      </c>
      <c r="J336" s="34" t="s">
        <v>16</v>
      </c>
      <c r="K336" s="34" t="str">
        <f t="shared" si="10"/>
        <v>重复</v>
      </c>
      <c r="L336" s="34" t="str">
        <f t="shared" si="11"/>
        <v>不重复</v>
      </c>
    </row>
    <row r="337" spans="1:12" ht="15">
      <c r="A337" s="35" t="s">
        <v>10710</v>
      </c>
      <c r="B337" s="35" t="s">
        <v>1089</v>
      </c>
      <c r="C337" s="36" t="s">
        <v>1090</v>
      </c>
      <c r="D337" s="35" t="s">
        <v>775</v>
      </c>
      <c r="E337" s="35" t="s">
        <v>10710</v>
      </c>
      <c r="F337" s="35" t="s">
        <v>10638</v>
      </c>
      <c r="G337" s="35">
        <v>180400</v>
      </c>
      <c r="H337" s="35">
        <v>230030</v>
      </c>
      <c r="I337" s="35">
        <v>200002</v>
      </c>
      <c r="J337" s="34" t="s">
        <v>16</v>
      </c>
      <c r="K337" s="34" t="str">
        <f t="shared" si="10"/>
        <v>重复</v>
      </c>
      <c r="L337" s="34" t="str">
        <f t="shared" si="11"/>
        <v>重复</v>
      </c>
    </row>
    <row r="338" spans="1:12" ht="15">
      <c r="A338" s="35" t="s">
        <v>10711</v>
      </c>
      <c r="B338" s="35" t="s">
        <v>1091</v>
      </c>
      <c r="C338" s="36" t="s">
        <v>1090</v>
      </c>
      <c r="D338" s="35" t="s">
        <v>1092</v>
      </c>
      <c r="E338" s="35" t="s">
        <v>10710</v>
      </c>
      <c r="F338" s="35" t="s">
        <v>10638</v>
      </c>
      <c r="G338" s="35">
        <v>180401</v>
      </c>
      <c r="H338" s="35">
        <v>230030</v>
      </c>
      <c r="I338" s="35">
        <v>200002</v>
      </c>
      <c r="J338" s="34" t="s">
        <v>688</v>
      </c>
      <c r="K338" s="34" t="str">
        <f t="shared" si="10"/>
        <v>重复</v>
      </c>
      <c r="L338" s="34" t="str">
        <f t="shared" si="11"/>
        <v>不重复</v>
      </c>
    </row>
    <row r="339" spans="1:12" ht="27">
      <c r="A339" s="35" t="s">
        <v>10712</v>
      </c>
      <c r="B339" s="35" t="s">
        <v>1093</v>
      </c>
      <c r="C339" s="36" t="s">
        <v>1094</v>
      </c>
      <c r="D339" s="35" t="s">
        <v>1095</v>
      </c>
      <c r="E339" s="35" t="s">
        <v>10710</v>
      </c>
      <c r="F339" s="35" t="s">
        <v>10638</v>
      </c>
      <c r="G339" s="35">
        <v>180402</v>
      </c>
      <c r="H339" s="35">
        <v>230030</v>
      </c>
      <c r="I339" s="35">
        <v>200002</v>
      </c>
      <c r="J339" s="34" t="s">
        <v>1096</v>
      </c>
      <c r="K339" s="34" t="str">
        <f t="shared" si="10"/>
        <v>重复</v>
      </c>
      <c r="L339" s="34" t="str">
        <f t="shared" si="11"/>
        <v>不重复</v>
      </c>
    </row>
    <row r="340" spans="1:12" ht="15">
      <c r="A340" s="35" t="s">
        <v>10713</v>
      </c>
      <c r="B340" s="35" t="s">
        <v>1097</v>
      </c>
      <c r="C340" s="36" t="s">
        <v>1098</v>
      </c>
      <c r="D340" s="35" t="s">
        <v>1099</v>
      </c>
      <c r="E340" s="35" t="s">
        <v>10713</v>
      </c>
      <c r="F340" s="35" t="s">
        <v>10714</v>
      </c>
      <c r="G340" s="35">
        <v>190100</v>
      </c>
      <c r="H340" s="35">
        <v>240000</v>
      </c>
      <c r="I340" s="35">
        <v>200003</v>
      </c>
      <c r="J340" s="34" t="s">
        <v>16</v>
      </c>
      <c r="K340" s="34" t="str">
        <f t="shared" si="10"/>
        <v>不重复</v>
      </c>
      <c r="L340" s="34" t="str">
        <f t="shared" si="11"/>
        <v>重复</v>
      </c>
    </row>
    <row r="341" spans="1:12" ht="15">
      <c r="A341" s="35" t="s">
        <v>10715</v>
      </c>
      <c r="B341" s="35" t="s">
        <v>1100</v>
      </c>
      <c r="C341" s="36" t="s">
        <v>1101</v>
      </c>
      <c r="D341" s="35" t="s">
        <v>1102</v>
      </c>
      <c r="E341" s="35" t="s">
        <v>10713</v>
      </c>
      <c r="F341" s="35" t="s">
        <v>10714</v>
      </c>
      <c r="G341" s="35">
        <v>190101</v>
      </c>
      <c r="H341" s="35">
        <v>240000</v>
      </c>
      <c r="I341" s="35">
        <v>200003</v>
      </c>
      <c r="J341" s="34" t="s">
        <v>1103</v>
      </c>
      <c r="K341" s="34" t="str">
        <f t="shared" si="10"/>
        <v>不重复</v>
      </c>
      <c r="L341" s="34" t="str">
        <f t="shared" si="11"/>
        <v>不重复</v>
      </c>
    </row>
    <row r="342" spans="1:12" ht="15">
      <c r="A342" s="35" t="s">
        <v>10716</v>
      </c>
      <c r="B342" s="35" t="s">
        <v>1104</v>
      </c>
      <c r="C342" s="36" t="s">
        <v>1105</v>
      </c>
      <c r="D342" s="35" t="s">
        <v>1106</v>
      </c>
      <c r="E342" s="35" t="s">
        <v>10716</v>
      </c>
      <c r="F342" s="35" t="s">
        <v>10717</v>
      </c>
      <c r="G342" s="35">
        <v>190200</v>
      </c>
      <c r="H342" s="35">
        <v>240010</v>
      </c>
      <c r="I342" s="35">
        <v>200003</v>
      </c>
      <c r="J342" s="34" t="s">
        <v>16</v>
      </c>
      <c r="K342" s="34" t="str">
        <f t="shared" si="12" ref="K342:K405">IF(COUNTIF(C:C,C342)&gt;=2,"重复","不重复")</f>
        <v>重复</v>
      </c>
      <c r="L342" s="34" t="str">
        <f t="shared" si="11"/>
        <v>重复</v>
      </c>
    </row>
    <row r="343" spans="1:12" ht="27">
      <c r="A343" s="35" t="s">
        <v>10718</v>
      </c>
      <c r="B343" s="35" t="s">
        <v>1107</v>
      </c>
      <c r="C343" s="36" t="s">
        <v>1108</v>
      </c>
      <c r="D343" s="35" t="s">
        <v>1109</v>
      </c>
      <c r="E343" s="35" t="s">
        <v>10716</v>
      </c>
      <c r="F343" s="35" t="s">
        <v>10719</v>
      </c>
      <c r="G343" s="35">
        <v>190201</v>
      </c>
      <c r="H343" s="35">
        <v>240010</v>
      </c>
      <c r="I343" s="35">
        <v>200003</v>
      </c>
      <c r="J343" s="34" t="s">
        <v>1110</v>
      </c>
      <c r="K343" s="34" t="str">
        <f t="shared" si="12"/>
        <v>不重复</v>
      </c>
      <c r="L343" s="34" t="str">
        <f t="shared" si="13" ref="L343:L406">IF(COUNTIF(D:D,D343)&gt;=2,"重复","不重复")</f>
        <v>不重复</v>
      </c>
    </row>
    <row r="344" spans="1:12" ht="27">
      <c r="A344" s="35" t="s">
        <v>10720</v>
      </c>
      <c r="B344" s="35" t="s">
        <v>1111</v>
      </c>
      <c r="C344" s="36" t="s">
        <v>1112</v>
      </c>
      <c r="D344" s="35" t="s">
        <v>1113</v>
      </c>
      <c r="E344" s="35" t="s">
        <v>10716</v>
      </c>
      <c r="F344" s="35" t="s">
        <v>10721</v>
      </c>
      <c r="G344" s="35">
        <v>190202</v>
      </c>
      <c r="H344" s="35">
        <v>240010</v>
      </c>
      <c r="I344" s="35">
        <v>200003</v>
      </c>
      <c r="J344" s="34" t="s">
        <v>1114</v>
      </c>
      <c r="K344" s="34" t="str">
        <f t="shared" si="12"/>
        <v>重复</v>
      </c>
      <c r="L344" s="34" t="str">
        <f t="shared" si="13"/>
        <v>不重复</v>
      </c>
    </row>
    <row r="345" spans="1:12" ht="27">
      <c r="A345" s="35" t="s">
        <v>10722</v>
      </c>
      <c r="B345" s="35" t="s">
        <v>1115</v>
      </c>
      <c r="C345" s="36" t="s">
        <v>798</v>
      </c>
      <c r="D345" s="35" t="s">
        <v>1116</v>
      </c>
      <c r="E345" s="35" t="s">
        <v>10716</v>
      </c>
      <c r="F345" s="35" t="s">
        <v>10717</v>
      </c>
      <c r="G345" s="35">
        <v>190203</v>
      </c>
      <c r="H345" s="35">
        <v>240010</v>
      </c>
      <c r="I345" s="35">
        <v>200003</v>
      </c>
      <c r="J345" s="34" t="s">
        <v>1117</v>
      </c>
      <c r="K345" s="34" t="str">
        <f t="shared" si="12"/>
        <v>重复</v>
      </c>
      <c r="L345" s="34" t="str">
        <f t="shared" si="13"/>
        <v>不重复</v>
      </c>
    </row>
    <row r="346" spans="1:12" ht="27">
      <c r="A346" s="35" t="s">
        <v>10723</v>
      </c>
      <c r="B346" s="35" t="s">
        <v>1118</v>
      </c>
      <c r="C346" s="36" t="s">
        <v>1119</v>
      </c>
      <c r="D346" s="35" t="s">
        <v>1120</v>
      </c>
      <c r="E346" s="35" t="s">
        <v>10716</v>
      </c>
      <c r="F346" s="35" t="s">
        <v>10714</v>
      </c>
      <c r="G346" s="35">
        <v>190204</v>
      </c>
      <c r="H346" s="35">
        <v>240010</v>
      </c>
      <c r="I346" s="35">
        <v>200003</v>
      </c>
      <c r="J346" s="34" t="s">
        <v>1121</v>
      </c>
      <c r="K346" s="34" t="str">
        <f t="shared" si="12"/>
        <v>重复</v>
      </c>
      <c r="L346" s="34" t="str">
        <f t="shared" si="13"/>
        <v>不重复</v>
      </c>
    </row>
    <row r="347" spans="1:12" ht="27">
      <c r="A347" s="35" t="s">
        <v>10724</v>
      </c>
      <c r="B347" s="35" t="s">
        <v>1122</v>
      </c>
      <c r="C347" s="36" t="s">
        <v>1123</v>
      </c>
      <c r="D347" s="35" t="s">
        <v>1124</v>
      </c>
      <c r="E347" s="35" t="s">
        <v>10716</v>
      </c>
      <c r="F347" s="35" t="s">
        <v>10714</v>
      </c>
      <c r="G347" s="35">
        <v>190205</v>
      </c>
      <c r="H347" s="35">
        <v>240010</v>
      </c>
      <c r="I347" s="35">
        <v>200003</v>
      </c>
      <c r="J347" s="34" t="s">
        <v>557</v>
      </c>
      <c r="K347" s="34" t="str">
        <f t="shared" si="12"/>
        <v>不重复</v>
      </c>
      <c r="L347" s="34" t="str">
        <f t="shared" si="13"/>
        <v>不重复</v>
      </c>
    </row>
    <row r="348" spans="1:12" ht="30">
      <c r="A348" s="35" t="s">
        <v>10725</v>
      </c>
      <c r="B348" s="35" t="s">
        <v>1125</v>
      </c>
      <c r="C348" s="36" t="s">
        <v>1126</v>
      </c>
      <c r="D348" s="35" t="s">
        <v>1127</v>
      </c>
      <c r="E348" s="35" t="s">
        <v>10716</v>
      </c>
      <c r="F348" s="35" t="s">
        <v>10726</v>
      </c>
      <c r="G348" s="35">
        <v>190206</v>
      </c>
      <c r="H348" s="35">
        <v>240010</v>
      </c>
      <c r="I348" s="35">
        <v>200003</v>
      </c>
      <c r="J348" s="34" t="s">
        <v>1128</v>
      </c>
      <c r="K348" s="34" t="str">
        <f t="shared" si="12"/>
        <v>重复</v>
      </c>
      <c r="L348" s="34" t="str">
        <f t="shared" si="13"/>
        <v>不重复</v>
      </c>
    </row>
    <row r="349" spans="1:12" ht="27">
      <c r="A349" s="35" t="s">
        <v>10727</v>
      </c>
      <c r="B349" s="35" t="s">
        <v>1129</v>
      </c>
      <c r="C349" s="36" t="s">
        <v>1130</v>
      </c>
      <c r="D349" s="35" t="s">
        <v>1131</v>
      </c>
      <c r="E349" s="35" t="s">
        <v>10716</v>
      </c>
      <c r="F349" s="35" t="s">
        <v>10717</v>
      </c>
      <c r="G349" s="35">
        <v>190207</v>
      </c>
      <c r="H349" s="35">
        <v>240010</v>
      </c>
      <c r="I349" s="35">
        <v>200003</v>
      </c>
      <c r="J349" s="34" t="s">
        <v>557</v>
      </c>
      <c r="K349" s="34" t="str">
        <f t="shared" si="12"/>
        <v>不重复</v>
      </c>
      <c r="L349" s="34" t="str">
        <f t="shared" si="13"/>
        <v>重复</v>
      </c>
    </row>
    <row r="350" spans="1:12" ht="27">
      <c r="A350" s="35" t="s">
        <v>10728</v>
      </c>
      <c r="B350" s="35" t="s">
        <v>1132</v>
      </c>
      <c r="C350" s="36" t="s">
        <v>1133</v>
      </c>
      <c r="D350" s="35" t="s">
        <v>1131</v>
      </c>
      <c r="E350" s="35" t="s">
        <v>10716</v>
      </c>
      <c r="F350" s="35" t="s">
        <v>10714</v>
      </c>
      <c r="G350" s="35">
        <v>190208</v>
      </c>
      <c r="H350" s="35">
        <v>240010</v>
      </c>
      <c r="I350" s="35">
        <v>200003</v>
      </c>
      <c r="J350" s="34" t="s">
        <v>1134</v>
      </c>
      <c r="K350" s="34" t="str">
        <f t="shared" si="12"/>
        <v>重复</v>
      </c>
      <c r="L350" s="34" t="str">
        <f t="shared" si="13"/>
        <v>重复</v>
      </c>
    </row>
    <row r="351" spans="1:12" ht="15">
      <c r="A351" s="35" t="s">
        <v>10729</v>
      </c>
      <c r="B351" s="35" t="s">
        <v>1135</v>
      </c>
      <c r="C351" s="36" t="s">
        <v>620</v>
      </c>
      <c r="D351" s="35" t="s">
        <v>1136</v>
      </c>
      <c r="E351" s="35" t="s">
        <v>10716</v>
      </c>
      <c r="F351" s="35" t="s">
        <v>10714</v>
      </c>
      <c r="G351" s="35">
        <v>190209</v>
      </c>
      <c r="H351" s="35">
        <v>240010</v>
      </c>
      <c r="I351" s="35">
        <v>200003</v>
      </c>
      <c r="J351" s="34" t="s">
        <v>1137</v>
      </c>
      <c r="K351" s="34" t="str">
        <f t="shared" si="12"/>
        <v>重复</v>
      </c>
      <c r="L351" s="34" t="str">
        <f t="shared" si="13"/>
        <v>不重复</v>
      </c>
    </row>
    <row r="352" spans="1:12" ht="27">
      <c r="A352" s="35" t="s">
        <v>10730</v>
      </c>
      <c r="B352" s="35" t="s">
        <v>1138</v>
      </c>
      <c r="C352" s="36" t="s">
        <v>1139</v>
      </c>
      <c r="D352" s="35" t="s">
        <v>1140</v>
      </c>
      <c r="E352" s="35" t="s">
        <v>10716</v>
      </c>
      <c r="F352" s="35" t="s">
        <v>10714</v>
      </c>
      <c r="G352" s="35">
        <v>190210</v>
      </c>
      <c r="H352" s="35">
        <v>240010</v>
      </c>
      <c r="I352" s="35">
        <v>200003</v>
      </c>
      <c r="J352" s="34" t="s">
        <v>288</v>
      </c>
      <c r="K352" s="34" t="str">
        <f t="shared" si="12"/>
        <v>不重复</v>
      </c>
      <c r="L352" s="34" t="str">
        <f t="shared" si="13"/>
        <v>不重复</v>
      </c>
    </row>
    <row r="353" spans="1:12" ht="30">
      <c r="A353" s="35" t="s">
        <v>10731</v>
      </c>
      <c r="B353" s="35" t="s">
        <v>1141</v>
      </c>
      <c r="C353" s="36" t="s">
        <v>539</v>
      </c>
      <c r="D353" s="35" t="s">
        <v>1142</v>
      </c>
      <c r="E353" s="35" t="s">
        <v>10716</v>
      </c>
      <c r="F353" s="35" t="s">
        <v>10714</v>
      </c>
      <c r="G353" s="35">
        <v>190211</v>
      </c>
      <c r="H353" s="35">
        <v>240010</v>
      </c>
      <c r="I353" s="35">
        <v>200003</v>
      </c>
      <c r="J353" s="34" t="s">
        <v>1143</v>
      </c>
      <c r="K353" s="34" t="str">
        <f t="shared" si="12"/>
        <v>重复</v>
      </c>
      <c r="L353" s="34" t="str">
        <f t="shared" si="13"/>
        <v>重复</v>
      </c>
    </row>
    <row r="354" spans="1:12" ht="27">
      <c r="A354" s="35" t="s">
        <v>10732</v>
      </c>
      <c r="B354" s="35" t="s">
        <v>1144</v>
      </c>
      <c r="C354" s="36" t="s">
        <v>1145</v>
      </c>
      <c r="D354" s="35" t="s">
        <v>1146</v>
      </c>
      <c r="E354" s="35" t="s">
        <v>10716</v>
      </c>
      <c r="F354" s="35" t="s">
        <v>10714</v>
      </c>
      <c r="G354" s="35">
        <v>190212</v>
      </c>
      <c r="H354" s="35">
        <v>240010</v>
      </c>
      <c r="I354" s="35">
        <v>200003</v>
      </c>
      <c r="J354" s="34" t="s">
        <v>152</v>
      </c>
      <c r="K354" s="34" t="str">
        <f t="shared" si="12"/>
        <v>重复</v>
      </c>
      <c r="L354" s="34" t="str">
        <f t="shared" si="13"/>
        <v>不重复</v>
      </c>
    </row>
    <row r="355" spans="1:12" ht="15">
      <c r="A355" s="35" t="s">
        <v>10733</v>
      </c>
      <c r="B355" s="35" t="s">
        <v>1147</v>
      </c>
      <c r="C355" s="36" t="s">
        <v>1148</v>
      </c>
      <c r="D355" s="35" t="s">
        <v>1149</v>
      </c>
      <c r="E355" s="35" t="s">
        <v>10716</v>
      </c>
      <c r="F355" s="35" t="s">
        <v>10719</v>
      </c>
      <c r="G355" s="35">
        <v>190213</v>
      </c>
      <c r="H355" s="35">
        <v>240010</v>
      </c>
      <c r="I355" s="35">
        <v>200003</v>
      </c>
      <c r="J355" s="34" t="s">
        <v>1150</v>
      </c>
      <c r="K355" s="34" t="str">
        <f t="shared" si="12"/>
        <v>重复</v>
      </c>
      <c r="L355" s="34" t="str">
        <f t="shared" si="13"/>
        <v>重复</v>
      </c>
    </row>
    <row r="356" spans="1:12" ht="15">
      <c r="A356" s="35" t="s">
        <v>10734</v>
      </c>
      <c r="B356" s="35" t="s">
        <v>1151</v>
      </c>
      <c r="C356" s="36" t="s">
        <v>1152</v>
      </c>
      <c r="D356" s="35" t="s">
        <v>1153</v>
      </c>
      <c r="E356" s="35" t="s">
        <v>10716</v>
      </c>
      <c r="F356" s="35" t="s">
        <v>10714</v>
      </c>
      <c r="G356" s="35">
        <v>190214</v>
      </c>
      <c r="H356" s="35">
        <v>240010</v>
      </c>
      <c r="I356" s="35">
        <v>200003</v>
      </c>
      <c r="J356" s="34" t="s">
        <v>1154</v>
      </c>
      <c r="K356" s="34" t="str">
        <f t="shared" si="12"/>
        <v>不重复</v>
      </c>
      <c r="L356" s="34" t="str">
        <f t="shared" si="13"/>
        <v>不重复</v>
      </c>
    </row>
    <row r="357" spans="1:12" ht="15">
      <c r="A357" s="35" t="s">
        <v>10735</v>
      </c>
      <c r="B357" s="35" t="s">
        <v>1155</v>
      </c>
      <c r="C357" s="36" t="s">
        <v>1156</v>
      </c>
      <c r="D357" s="35" t="s">
        <v>1157</v>
      </c>
      <c r="E357" s="35" t="s">
        <v>10716</v>
      </c>
      <c r="F357" s="35" t="s">
        <v>10714</v>
      </c>
      <c r="G357" s="35">
        <v>190215</v>
      </c>
      <c r="H357" s="35">
        <v>240010</v>
      </c>
      <c r="I357" s="35">
        <v>200003</v>
      </c>
      <c r="J357" s="34" t="s">
        <v>889</v>
      </c>
      <c r="K357" s="34" t="str">
        <f t="shared" si="12"/>
        <v>重复</v>
      </c>
      <c r="L357" s="34" t="str">
        <f t="shared" si="13"/>
        <v>不重复</v>
      </c>
    </row>
    <row r="358" spans="1:12" ht="15">
      <c r="A358" s="35" t="s">
        <v>10637</v>
      </c>
      <c r="B358" s="35" t="s">
        <v>867</v>
      </c>
      <c r="C358" s="36" t="s">
        <v>628</v>
      </c>
      <c r="D358" s="35" t="s">
        <v>868</v>
      </c>
      <c r="E358" s="35" t="s">
        <v>10637</v>
      </c>
      <c r="F358" s="35" t="s">
        <v>10714</v>
      </c>
      <c r="G358" s="35">
        <v>190300</v>
      </c>
      <c r="H358" s="35">
        <v>240020</v>
      </c>
      <c r="I358" s="35">
        <v>200003</v>
      </c>
      <c r="J358" s="34" t="s">
        <v>16</v>
      </c>
      <c r="K358" s="34" t="str">
        <f t="shared" si="12"/>
        <v>重复</v>
      </c>
      <c r="L358" s="34" t="str">
        <f t="shared" si="13"/>
        <v>重复</v>
      </c>
    </row>
    <row r="359" spans="1:12" ht="15">
      <c r="A359" s="35" t="s">
        <v>10736</v>
      </c>
      <c r="B359" s="35" t="s">
        <v>1158</v>
      </c>
      <c r="C359" s="36" t="s">
        <v>1159</v>
      </c>
      <c r="D359" s="35" t="s">
        <v>1160</v>
      </c>
      <c r="E359" s="35" t="s">
        <v>10736</v>
      </c>
      <c r="F359" s="35" t="s">
        <v>10721</v>
      </c>
      <c r="G359" s="35">
        <v>190400</v>
      </c>
      <c r="H359" s="35">
        <v>240030</v>
      </c>
      <c r="I359" s="35">
        <v>200003</v>
      </c>
      <c r="J359" s="34" t="s">
        <v>16</v>
      </c>
      <c r="K359" s="34" t="str">
        <f t="shared" si="12"/>
        <v>重复</v>
      </c>
      <c r="L359" s="34" t="str">
        <f t="shared" si="13"/>
        <v>重复</v>
      </c>
    </row>
    <row r="360" spans="1:12" ht="15">
      <c r="A360" s="35" t="s">
        <v>10736</v>
      </c>
      <c r="B360" s="35" t="s">
        <v>1158</v>
      </c>
      <c r="C360" s="36" t="s">
        <v>1161</v>
      </c>
      <c r="D360" s="35" t="s">
        <v>1160</v>
      </c>
      <c r="E360" s="35" t="s">
        <v>10736</v>
      </c>
      <c r="F360" s="35" t="s">
        <v>10714</v>
      </c>
      <c r="G360" s="35">
        <v>190600</v>
      </c>
      <c r="H360" s="35">
        <v>240050</v>
      </c>
      <c r="I360" s="35">
        <v>200003</v>
      </c>
      <c r="J360" s="34" t="s">
        <v>16</v>
      </c>
      <c r="K360" s="34" t="str">
        <f t="shared" si="12"/>
        <v>重复</v>
      </c>
      <c r="L360" s="34" t="str">
        <f t="shared" si="13"/>
        <v>重复</v>
      </c>
    </row>
    <row r="361" spans="1:12" ht="15">
      <c r="A361" s="35" t="s">
        <v>10737</v>
      </c>
      <c r="B361" s="35" t="s">
        <v>1162</v>
      </c>
      <c r="C361" s="36" t="s">
        <v>1161</v>
      </c>
      <c r="D361" s="35" t="s">
        <v>1163</v>
      </c>
      <c r="E361" s="35" t="s">
        <v>10736</v>
      </c>
      <c r="F361" s="35" t="s">
        <v>10714</v>
      </c>
      <c r="G361" s="35">
        <v>190601</v>
      </c>
      <c r="H361" s="35">
        <v>240050</v>
      </c>
      <c r="I361" s="35">
        <v>200003</v>
      </c>
      <c r="J361" s="34" t="s">
        <v>752</v>
      </c>
      <c r="K361" s="34" t="str">
        <f t="shared" si="12"/>
        <v>重复</v>
      </c>
      <c r="L361" s="34" t="str">
        <f t="shared" si="13"/>
        <v>不重复</v>
      </c>
    </row>
    <row r="362" spans="1:12" ht="30">
      <c r="A362" s="35" t="s">
        <v>10738</v>
      </c>
      <c r="B362" s="35" t="s">
        <v>1164</v>
      </c>
      <c r="C362" s="36" t="s">
        <v>1165</v>
      </c>
      <c r="D362" s="35" t="s">
        <v>1166</v>
      </c>
      <c r="E362" s="35" t="s">
        <v>10736</v>
      </c>
      <c r="F362" s="35" t="s">
        <v>10739</v>
      </c>
      <c r="G362" s="35">
        <v>190602</v>
      </c>
      <c r="H362" s="35">
        <v>240050</v>
      </c>
      <c r="I362" s="35">
        <v>200003</v>
      </c>
      <c r="J362" s="34" t="s">
        <v>1167</v>
      </c>
      <c r="K362" s="34" t="str">
        <f t="shared" si="12"/>
        <v>不重复</v>
      </c>
      <c r="L362" s="34" t="str">
        <f t="shared" si="13"/>
        <v>重复</v>
      </c>
    </row>
    <row r="363" spans="1:12" ht="30">
      <c r="A363" s="35" t="s">
        <v>10740</v>
      </c>
      <c r="B363" s="35" t="s">
        <v>1168</v>
      </c>
      <c r="C363" s="36" t="s">
        <v>1169</v>
      </c>
      <c r="D363" s="35" t="s">
        <v>1166</v>
      </c>
      <c r="E363" s="35" t="s">
        <v>10736</v>
      </c>
      <c r="F363" s="35" t="s">
        <v>10714</v>
      </c>
      <c r="G363" s="35">
        <v>190603</v>
      </c>
      <c r="H363" s="35">
        <v>240050</v>
      </c>
      <c r="I363" s="35">
        <v>200003</v>
      </c>
      <c r="J363" s="34" t="s">
        <v>1170</v>
      </c>
      <c r="K363" s="34" t="str">
        <f t="shared" si="12"/>
        <v>重复</v>
      </c>
      <c r="L363" s="34" t="str">
        <f t="shared" si="13"/>
        <v>重复</v>
      </c>
    </row>
    <row r="364" spans="1:12" ht="27">
      <c r="A364" s="35" t="s">
        <v>10741</v>
      </c>
      <c r="B364" s="35" t="s">
        <v>1171</v>
      </c>
      <c r="C364" s="36" t="s">
        <v>1172</v>
      </c>
      <c r="D364" s="35" t="s">
        <v>1173</v>
      </c>
      <c r="E364" s="35" t="s">
        <v>10736</v>
      </c>
      <c r="F364" s="35" t="s">
        <v>10714</v>
      </c>
      <c r="G364" s="35">
        <v>190604</v>
      </c>
      <c r="H364" s="35">
        <v>240050</v>
      </c>
      <c r="I364" s="35">
        <v>200003</v>
      </c>
      <c r="J364" s="34" t="s">
        <v>609</v>
      </c>
      <c r="K364" s="34" t="str">
        <f t="shared" si="12"/>
        <v>不重复</v>
      </c>
      <c r="L364" s="34" t="str">
        <f t="shared" si="13"/>
        <v>不重复</v>
      </c>
    </row>
    <row r="365" spans="1:12" ht="30">
      <c r="A365" s="35" t="s">
        <v>10742</v>
      </c>
      <c r="B365" s="35" t="s">
        <v>1174</v>
      </c>
      <c r="C365" s="36" t="s">
        <v>1175</v>
      </c>
      <c r="D365" s="35" t="s">
        <v>1176</v>
      </c>
      <c r="E365" s="35" t="s">
        <v>10736</v>
      </c>
      <c r="F365" s="35" t="s">
        <v>10743</v>
      </c>
      <c r="G365" s="35">
        <v>190605</v>
      </c>
      <c r="H365" s="35">
        <v>240050</v>
      </c>
      <c r="I365" s="35">
        <v>200003</v>
      </c>
      <c r="J365" s="34" t="s">
        <v>1170</v>
      </c>
      <c r="K365" s="34" t="str">
        <f t="shared" si="12"/>
        <v>不重复</v>
      </c>
      <c r="L365" s="34" t="str">
        <f t="shared" si="13"/>
        <v>不重复</v>
      </c>
    </row>
    <row r="366" spans="1:12" ht="30">
      <c r="A366" s="35" t="s">
        <v>10744</v>
      </c>
      <c r="B366" s="35" t="s">
        <v>1177</v>
      </c>
      <c r="C366" s="36" t="s">
        <v>1178</v>
      </c>
      <c r="D366" s="35" t="s">
        <v>1179</v>
      </c>
      <c r="E366" s="35" t="s">
        <v>10736</v>
      </c>
      <c r="F366" s="35" t="s">
        <v>10714</v>
      </c>
      <c r="G366" s="35">
        <v>190606</v>
      </c>
      <c r="H366" s="35">
        <v>240050</v>
      </c>
      <c r="I366" s="35">
        <v>200003</v>
      </c>
      <c r="J366" s="34" t="s">
        <v>1180</v>
      </c>
      <c r="K366" s="34" t="str">
        <f t="shared" si="12"/>
        <v>不重复</v>
      </c>
      <c r="L366" s="34" t="str">
        <f t="shared" si="13"/>
        <v>不重复</v>
      </c>
    </row>
    <row r="367" spans="1:12" ht="15">
      <c r="A367" s="35" t="s">
        <v>10745</v>
      </c>
      <c r="B367" s="35" t="s">
        <v>1181</v>
      </c>
      <c r="C367" s="36" t="s">
        <v>1182</v>
      </c>
      <c r="D367" s="35" t="s">
        <v>1183</v>
      </c>
      <c r="E367" s="35" t="s">
        <v>10736</v>
      </c>
      <c r="F367" s="35" t="s">
        <v>10714</v>
      </c>
      <c r="G367" s="35">
        <v>190607</v>
      </c>
      <c r="H367" s="35">
        <v>240050</v>
      </c>
      <c r="I367" s="35">
        <v>200003</v>
      </c>
      <c r="J367" s="34" t="s">
        <v>458</v>
      </c>
      <c r="K367" s="34" t="str">
        <f t="shared" si="12"/>
        <v>不重复</v>
      </c>
      <c r="L367" s="34" t="str">
        <f t="shared" si="13"/>
        <v>不重复</v>
      </c>
    </row>
    <row r="368" spans="1:12" ht="30">
      <c r="A368" s="35" t="s">
        <v>10746</v>
      </c>
      <c r="B368" s="35" t="s">
        <v>1184</v>
      </c>
      <c r="C368" s="36" t="s">
        <v>574</v>
      </c>
      <c r="D368" s="35" t="s">
        <v>1185</v>
      </c>
      <c r="E368" s="35" t="s">
        <v>10736</v>
      </c>
      <c r="F368" s="35" t="s">
        <v>10747</v>
      </c>
      <c r="G368" s="35">
        <v>190608</v>
      </c>
      <c r="H368" s="35">
        <v>240050</v>
      </c>
      <c r="I368" s="35">
        <v>200003</v>
      </c>
      <c r="J368" s="34" t="s">
        <v>1186</v>
      </c>
      <c r="K368" s="34" t="str">
        <f t="shared" si="12"/>
        <v>重复</v>
      </c>
      <c r="L368" s="34" t="str">
        <f t="shared" si="13"/>
        <v>不重复</v>
      </c>
    </row>
    <row r="369" spans="1:12" ht="15">
      <c r="A369" s="35" t="s">
        <v>10748</v>
      </c>
      <c r="B369" s="35" t="s">
        <v>1187</v>
      </c>
      <c r="C369" s="36" t="s">
        <v>1188</v>
      </c>
      <c r="D369" s="35" t="s">
        <v>1189</v>
      </c>
      <c r="E369" s="35" t="s">
        <v>10736</v>
      </c>
      <c r="F369" s="35" t="s">
        <v>10714</v>
      </c>
      <c r="G369" s="35">
        <v>190609</v>
      </c>
      <c r="H369" s="35">
        <v>240050</v>
      </c>
      <c r="I369" s="35">
        <v>200003</v>
      </c>
      <c r="J369" s="34" t="s">
        <v>1186</v>
      </c>
      <c r="K369" s="34" t="str">
        <f t="shared" si="12"/>
        <v>不重复</v>
      </c>
      <c r="L369" s="34" t="str">
        <f t="shared" si="13"/>
        <v>不重复</v>
      </c>
    </row>
    <row r="370" spans="1:12" ht="15">
      <c r="A370" s="35" t="s">
        <v>10749</v>
      </c>
      <c r="B370" s="35" t="s">
        <v>1190</v>
      </c>
      <c r="C370" s="36" t="s">
        <v>1191</v>
      </c>
      <c r="D370" s="35" t="s">
        <v>1192</v>
      </c>
      <c r="E370" s="35" t="s">
        <v>10736</v>
      </c>
      <c r="F370" s="35" t="s">
        <v>10714</v>
      </c>
      <c r="G370" s="35">
        <v>190610</v>
      </c>
      <c r="H370" s="35">
        <v>240050</v>
      </c>
      <c r="I370" s="35">
        <v>200003</v>
      </c>
      <c r="J370" s="34" t="s">
        <v>1193</v>
      </c>
      <c r="K370" s="34" t="str">
        <f t="shared" si="12"/>
        <v>重复</v>
      </c>
      <c r="L370" s="34" t="str">
        <f t="shared" si="13"/>
        <v>不重复</v>
      </c>
    </row>
    <row r="371" spans="1:12" ht="15">
      <c r="A371" s="35" t="s">
        <v>10750</v>
      </c>
      <c r="B371" s="35" t="s">
        <v>1194</v>
      </c>
      <c r="C371" s="36" t="s">
        <v>1195</v>
      </c>
      <c r="D371" s="35" t="s">
        <v>1196</v>
      </c>
      <c r="E371" s="35" t="s">
        <v>10736</v>
      </c>
      <c r="F371" s="35" t="s">
        <v>10721</v>
      </c>
      <c r="G371" s="35">
        <v>190611</v>
      </c>
      <c r="H371" s="35">
        <v>240050</v>
      </c>
      <c r="I371" s="35">
        <v>200003</v>
      </c>
      <c r="J371" s="34" t="s">
        <v>194</v>
      </c>
      <c r="K371" s="34" t="str">
        <f t="shared" si="12"/>
        <v>不重复</v>
      </c>
      <c r="L371" s="34" t="str">
        <f t="shared" si="13"/>
        <v>不重复</v>
      </c>
    </row>
    <row r="372" spans="1:12" ht="27">
      <c r="A372" s="35" t="s">
        <v>10751</v>
      </c>
      <c r="B372" s="35" t="s">
        <v>1197</v>
      </c>
      <c r="C372" s="36" t="s">
        <v>1198</v>
      </c>
      <c r="D372" s="35" t="s">
        <v>1199</v>
      </c>
      <c r="E372" s="35" t="s">
        <v>10736</v>
      </c>
      <c r="F372" s="35" t="s">
        <v>10714</v>
      </c>
      <c r="G372" s="35">
        <v>190612</v>
      </c>
      <c r="H372" s="35">
        <v>240050</v>
      </c>
      <c r="I372" s="35">
        <v>200003</v>
      </c>
      <c r="J372" s="34" t="s">
        <v>1200</v>
      </c>
      <c r="K372" s="34" t="str">
        <f t="shared" si="12"/>
        <v>重复</v>
      </c>
      <c r="L372" s="34" t="str">
        <f t="shared" si="13"/>
        <v>不重复</v>
      </c>
    </row>
    <row r="373" spans="1:12" ht="30">
      <c r="A373" s="35" t="s">
        <v>10752</v>
      </c>
      <c r="B373" s="35" t="s">
        <v>1201</v>
      </c>
      <c r="C373" s="36" t="s">
        <v>1202</v>
      </c>
      <c r="D373" s="35" t="s">
        <v>1203</v>
      </c>
      <c r="E373" s="35" t="s">
        <v>10736</v>
      </c>
      <c r="F373" s="35" t="s">
        <v>10714</v>
      </c>
      <c r="G373" s="35">
        <v>190613</v>
      </c>
      <c r="H373" s="35">
        <v>240050</v>
      </c>
      <c r="I373" s="35">
        <v>200003</v>
      </c>
      <c r="J373" s="34" t="s">
        <v>1204</v>
      </c>
      <c r="K373" s="34" t="str">
        <f t="shared" si="12"/>
        <v>不重复</v>
      </c>
      <c r="L373" s="34" t="str">
        <f t="shared" si="13"/>
        <v>不重复</v>
      </c>
    </row>
    <row r="374" spans="1:12" ht="30">
      <c r="A374" s="35" t="s">
        <v>10753</v>
      </c>
      <c r="B374" s="35" t="s">
        <v>1205</v>
      </c>
      <c r="C374" s="36" t="s">
        <v>1206</v>
      </c>
      <c r="D374" s="35" t="s">
        <v>1207</v>
      </c>
      <c r="E374" s="35" t="s">
        <v>10736</v>
      </c>
      <c r="F374" s="35" t="s">
        <v>10714</v>
      </c>
      <c r="G374" s="35">
        <v>190614</v>
      </c>
      <c r="H374" s="35">
        <v>240050</v>
      </c>
      <c r="I374" s="35">
        <v>200003</v>
      </c>
      <c r="J374" s="34" t="s">
        <v>458</v>
      </c>
      <c r="K374" s="34" t="str">
        <f t="shared" si="12"/>
        <v>不重复</v>
      </c>
      <c r="L374" s="34" t="str">
        <f t="shared" si="13"/>
        <v>不重复</v>
      </c>
    </row>
    <row r="375" spans="1:12" ht="15">
      <c r="A375" s="35" t="s">
        <v>10754</v>
      </c>
      <c r="B375" s="35" t="s">
        <v>1208</v>
      </c>
      <c r="C375" s="36" t="s">
        <v>1209</v>
      </c>
      <c r="D375" s="35" t="s">
        <v>1033</v>
      </c>
      <c r="E375" s="35" t="s">
        <v>10755</v>
      </c>
      <c r="F375" s="35" t="s">
        <v>10756</v>
      </c>
      <c r="G375" s="35">
        <v>190700</v>
      </c>
      <c r="H375" s="35">
        <v>240060</v>
      </c>
      <c r="I375" s="35">
        <v>200003</v>
      </c>
      <c r="J375" s="34" t="s">
        <v>16</v>
      </c>
      <c r="K375" s="34" t="str">
        <f t="shared" si="12"/>
        <v>重复</v>
      </c>
      <c r="L375" s="34" t="str">
        <f t="shared" si="13"/>
        <v>重复</v>
      </c>
    </row>
    <row r="376" spans="1:12" ht="15">
      <c r="A376" s="35" t="s">
        <v>10757</v>
      </c>
      <c r="B376" s="35" t="s">
        <v>1210</v>
      </c>
      <c r="C376" s="36" t="s">
        <v>1211</v>
      </c>
      <c r="D376" s="35" t="s">
        <v>1212</v>
      </c>
      <c r="E376" s="35" t="s">
        <v>10757</v>
      </c>
      <c r="F376" s="35" t="s">
        <v>10758</v>
      </c>
      <c r="G376" s="35">
        <v>190800</v>
      </c>
      <c r="H376" s="35">
        <v>240070</v>
      </c>
      <c r="I376" s="35">
        <v>200003</v>
      </c>
      <c r="J376" s="34" t="s">
        <v>16</v>
      </c>
      <c r="K376" s="34" t="str">
        <f t="shared" si="12"/>
        <v>重复</v>
      </c>
      <c r="L376" s="34" t="str">
        <f t="shared" si="13"/>
        <v>不重复</v>
      </c>
    </row>
    <row r="377" spans="1:12" ht="15">
      <c r="A377" s="35" t="s">
        <v>10759</v>
      </c>
      <c r="B377" s="35" t="s">
        <v>1213</v>
      </c>
      <c r="C377" s="36" t="s">
        <v>1214</v>
      </c>
      <c r="D377" s="35" t="s">
        <v>1215</v>
      </c>
      <c r="E377" s="35" t="s">
        <v>10757</v>
      </c>
      <c r="F377" s="35" t="s">
        <v>10760</v>
      </c>
      <c r="G377" s="35">
        <v>190801</v>
      </c>
      <c r="H377" s="35">
        <v>240070</v>
      </c>
      <c r="I377" s="35">
        <v>200003</v>
      </c>
      <c r="J377" s="34" t="s">
        <v>1216</v>
      </c>
      <c r="K377" s="34" t="str">
        <f t="shared" si="12"/>
        <v>重复</v>
      </c>
      <c r="L377" s="34" t="str">
        <f t="shared" si="13"/>
        <v>不重复</v>
      </c>
    </row>
    <row r="378" spans="1:12" ht="27">
      <c r="A378" s="35" t="s">
        <v>10761</v>
      </c>
      <c r="B378" s="35" t="s">
        <v>1217</v>
      </c>
      <c r="C378" s="36" t="s">
        <v>1218</v>
      </c>
      <c r="D378" s="35" t="s">
        <v>1219</v>
      </c>
      <c r="E378" s="35" t="s">
        <v>10761</v>
      </c>
      <c r="F378" s="35" t="s">
        <v>10756</v>
      </c>
      <c r="G378" s="35">
        <v>190900</v>
      </c>
      <c r="H378" s="35">
        <v>240080</v>
      </c>
      <c r="I378" s="35">
        <v>200003</v>
      </c>
      <c r="J378" s="34" t="s">
        <v>16</v>
      </c>
      <c r="K378" s="34" t="str">
        <f t="shared" si="12"/>
        <v>重复</v>
      </c>
      <c r="L378" s="34" t="str">
        <f t="shared" si="13"/>
        <v>不重复</v>
      </c>
    </row>
    <row r="379" spans="1:12" ht="27">
      <c r="A379" s="35" t="s">
        <v>10762</v>
      </c>
      <c r="B379" s="35" t="s">
        <v>1220</v>
      </c>
      <c r="C379" s="36" t="s">
        <v>1221</v>
      </c>
      <c r="D379" s="35" t="s">
        <v>1222</v>
      </c>
      <c r="E379" s="35" t="s">
        <v>10761</v>
      </c>
      <c r="F379" s="35" t="s">
        <v>10760</v>
      </c>
      <c r="G379" s="35">
        <v>190901</v>
      </c>
      <c r="H379" s="35">
        <v>240080</v>
      </c>
      <c r="I379" s="35">
        <v>200003</v>
      </c>
      <c r="J379" s="34" t="s">
        <v>1223</v>
      </c>
      <c r="K379" s="34" t="str">
        <f t="shared" si="12"/>
        <v>不重复</v>
      </c>
      <c r="L379" s="34" t="str">
        <f t="shared" si="13"/>
        <v>不重复</v>
      </c>
    </row>
    <row r="380" spans="1:12" ht="27">
      <c r="A380" s="35" t="s">
        <v>10763</v>
      </c>
      <c r="B380" s="35" t="s">
        <v>1224</v>
      </c>
      <c r="C380" s="36" t="s">
        <v>1225</v>
      </c>
      <c r="D380" s="35" t="s">
        <v>1226</v>
      </c>
      <c r="E380" s="35" t="s">
        <v>10761</v>
      </c>
      <c r="F380" s="35" t="s">
        <v>10760</v>
      </c>
      <c r="G380" s="35">
        <v>190902</v>
      </c>
      <c r="H380" s="35">
        <v>240080</v>
      </c>
      <c r="I380" s="35">
        <v>200003</v>
      </c>
      <c r="J380" s="34" t="s">
        <v>1227</v>
      </c>
      <c r="K380" s="34" t="str">
        <f t="shared" si="12"/>
        <v>不重复</v>
      </c>
      <c r="L380" s="34" t="str">
        <f t="shared" si="13"/>
        <v>不重复</v>
      </c>
    </row>
    <row r="381" spans="1:12" ht="27">
      <c r="A381" s="35" t="s">
        <v>10764</v>
      </c>
      <c r="B381" s="35" t="s">
        <v>1228</v>
      </c>
      <c r="C381" s="36" t="s">
        <v>1229</v>
      </c>
      <c r="D381" s="35" t="s">
        <v>1230</v>
      </c>
      <c r="E381" s="35" t="s">
        <v>10761</v>
      </c>
      <c r="F381" s="35" t="s">
        <v>10765</v>
      </c>
      <c r="G381" s="35">
        <v>190903</v>
      </c>
      <c r="H381" s="35">
        <v>240080</v>
      </c>
      <c r="I381" s="35">
        <v>200003</v>
      </c>
      <c r="J381" s="34" t="s">
        <v>1231</v>
      </c>
      <c r="K381" s="34" t="str">
        <f t="shared" si="12"/>
        <v>重复</v>
      </c>
      <c r="L381" s="34" t="str">
        <f t="shared" si="13"/>
        <v>不重复</v>
      </c>
    </row>
    <row r="382" spans="1:12" ht="27">
      <c r="A382" s="35" t="s">
        <v>10766</v>
      </c>
      <c r="B382" s="35" t="s">
        <v>1232</v>
      </c>
      <c r="C382" s="36" t="s">
        <v>1233</v>
      </c>
      <c r="D382" s="35" t="s">
        <v>1234</v>
      </c>
      <c r="E382" s="35" t="s">
        <v>10761</v>
      </c>
      <c r="F382" s="35" t="s">
        <v>10767</v>
      </c>
      <c r="G382" s="35">
        <v>190904</v>
      </c>
      <c r="H382" s="35">
        <v>240080</v>
      </c>
      <c r="I382" s="35">
        <v>200003</v>
      </c>
      <c r="J382" s="34" t="s">
        <v>1235</v>
      </c>
      <c r="K382" s="34" t="str">
        <f t="shared" si="12"/>
        <v>不重复</v>
      </c>
      <c r="L382" s="34" t="str">
        <f t="shared" si="13"/>
        <v>不重复</v>
      </c>
    </row>
    <row r="383" spans="1:12" ht="30">
      <c r="A383" s="35" t="s">
        <v>10768</v>
      </c>
      <c r="B383" s="35" t="s">
        <v>1236</v>
      </c>
      <c r="C383" s="36" t="s">
        <v>1237</v>
      </c>
      <c r="D383" s="35" t="s">
        <v>1238</v>
      </c>
      <c r="E383" s="35" t="s">
        <v>10761</v>
      </c>
      <c r="F383" s="35" t="s">
        <v>10756</v>
      </c>
      <c r="G383" s="35">
        <v>190905</v>
      </c>
      <c r="H383" s="35">
        <v>240080</v>
      </c>
      <c r="I383" s="35">
        <v>200003</v>
      </c>
      <c r="J383" s="34" t="s">
        <v>1239</v>
      </c>
      <c r="K383" s="34" t="str">
        <f t="shared" si="12"/>
        <v>不重复</v>
      </c>
      <c r="L383" s="34" t="str">
        <f t="shared" si="13"/>
        <v>不重复</v>
      </c>
    </row>
    <row r="384" spans="1:12" ht="27">
      <c r="A384" s="35" t="s">
        <v>10769</v>
      </c>
      <c r="B384" s="35" t="s">
        <v>1240</v>
      </c>
      <c r="C384" s="36" t="s">
        <v>1241</v>
      </c>
      <c r="D384" s="35" t="s">
        <v>1242</v>
      </c>
      <c r="E384" s="35" t="s">
        <v>10761</v>
      </c>
      <c r="F384" s="35" t="s">
        <v>10760</v>
      </c>
      <c r="G384" s="35">
        <v>190906</v>
      </c>
      <c r="H384" s="35">
        <v>240080</v>
      </c>
      <c r="I384" s="35">
        <v>200003</v>
      </c>
      <c r="J384" s="34" t="s">
        <v>1235</v>
      </c>
      <c r="K384" s="34" t="str">
        <f t="shared" si="12"/>
        <v>不重复</v>
      </c>
      <c r="L384" s="34" t="str">
        <f t="shared" si="13"/>
        <v>不重复</v>
      </c>
    </row>
    <row r="385" spans="1:12" ht="27">
      <c r="A385" s="35" t="s">
        <v>10770</v>
      </c>
      <c r="B385" s="35" t="s">
        <v>1243</v>
      </c>
      <c r="C385" s="36" t="s">
        <v>1218</v>
      </c>
      <c r="D385" s="35" t="s">
        <v>1244</v>
      </c>
      <c r="E385" s="35" t="s">
        <v>10761</v>
      </c>
      <c r="F385" s="35" t="s">
        <v>10760</v>
      </c>
      <c r="G385" s="35">
        <v>190907</v>
      </c>
      <c r="H385" s="35">
        <v>240080</v>
      </c>
      <c r="I385" s="35">
        <v>200003</v>
      </c>
      <c r="J385" s="34" t="s">
        <v>311</v>
      </c>
      <c r="K385" s="34" t="str">
        <f t="shared" si="12"/>
        <v>重复</v>
      </c>
      <c r="L385" s="34" t="str">
        <f t="shared" si="13"/>
        <v>不重复</v>
      </c>
    </row>
    <row r="386" spans="1:12" ht="27">
      <c r="A386" s="35" t="s">
        <v>10771</v>
      </c>
      <c r="B386" s="35" t="s">
        <v>1245</v>
      </c>
      <c r="C386" s="36" t="s">
        <v>1246</v>
      </c>
      <c r="D386" s="35" t="s">
        <v>1247</v>
      </c>
      <c r="E386" s="35" t="s">
        <v>10761</v>
      </c>
      <c r="F386" s="35" t="s">
        <v>10756</v>
      </c>
      <c r="G386" s="35">
        <v>190908</v>
      </c>
      <c r="H386" s="35">
        <v>240080</v>
      </c>
      <c r="I386" s="35">
        <v>200003</v>
      </c>
      <c r="J386" s="34" t="s">
        <v>1248</v>
      </c>
      <c r="K386" s="34" t="str">
        <f t="shared" si="12"/>
        <v>重复</v>
      </c>
      <c r="L386" s="34" t="str">
        <f t="shared" si="13"/>
        <v>不重复</v>
      </c>
    </row>
    <row r="387" spans="1:12" ht="27">
      <c r="A387" s="35" t="s">
        <v>10772</v>
      </c>
      <c r="B387" s="35" t="s">
        <v>1249</v>
      </c>
      <c r="C387" s="36" t="s">
        <v>774</v>
      </c>
      <c r="D387" s="35" t="s">
        <v>1250</v>
      </c>
      <c r="E387" s="35" t="s">
        <v>10761</v>
      </c>
      <c r="F387" s="35" t="s">
        <v>10760</v>
      </c>
      <c r="G387" s="35">
        <v>190909</v>
      </c>
      <c r="H387" s="35">
        <v>240080</v>
      </c>
      <c r="I387" s="35">
        <v>200003</v>
      </c>
      <c r="J387" s="34" t="s">
        <v>1251</v>
      </c>
      <c r="K387" s="34" t="str">
        <f t="shared" si="12"/>
        <v>重复</v>
      </c>
      <c r="L387" s="34" t="str">
        <f t="shared" si="13"/>
        <v>不重复</v>
      </c>
    </row>
    <row r="388" spans="1:12" ht="15">
      <c r="A388" s="35" t="s">
        <v>10773</v>
      </c>
      <c r="B388" s="35" t="s">
        <v>1252</v>
      </c>
      <c r="C388" s="36" t="s">
        <v>1253</v>
      </c>
      <c r="D388" s="35" t="s">
        <v>1254</v>
      </c>
      <c r="E388" s="35" t="s">
        <v>10773</v>
      </c>
      <c r="F388" s="35" t="s">
        <v>10760</v>
      </c>
      <c r="G388" s="35">
        <v>191000</v>
      </c>
      <c r="H388" s="35">
        <v>240090</v>
      </c>
      <c r="I388" s="35">
        <v>200003</v>
      </c>
      <c r="J388" s="34" t="s">
        <v>16</v>
      </c>
      <c r="K388" s="34" t="str">
        <f t="shared" si="12"/>
        <v>不重复</v>
      </c>
      <c r="L388" s="34" t="str">
        <f t="shared" si="13"/>
        <v>不重复</v>
      </c>
    </row>
    <row r="389" spans="1:12" ht="15">
      <c r="A389" s="35" t="s">
        <v>10774</v>
      </c>
      <c r="B389" s="35" t="s">
        <v>1255</v>
      </c>
      <c r="C389" s="36" t="s">
        <v>1256</v>
      </c>
      <c r="D389" s="35" t="s">
        <v>1257</v>
      </c>
      <c r="E389" s="35" t="s">
        <v>10774</v>
      </c>
      <c r="F389" s="35" t="s">
        <v>10756</v>
      </c>
      <c r="G389" s="35">
        <v>191100</v>
      </c>
      <c r="H389" s="35">
        <v>240100</v>
      </c>
      <c r="I389" s="35">
        <v>200003</v>
      </c>
      <c r="J389" s="34" t="s">
        <v>16</v>
      </c>
      <c r="K389" s="34" t="str">
        <f t="shared" si="12"/>
        <v>重复</v>
      </c>
      <c r="L389" s="34" t="str">
        <f t="shared" si="13"/>
        <v>不重复</v>
      </c>
    </row>
    <row r="390" spans="1:12" ht="15">
      <c r="A390" s="35" t="s">
        <v>10775</v>
      </c>
      <c r="B390" s="35" t="s">
        <v>1258</v>
      </c>
      <c r="C390" s="36" t="s">
        <v>1259</v>
      </c>
      <c r="D390" s="35" t="s">
        <v>1260</v>
      </c>
      <c r="E390" s="35" t="s">
        <v>10775</v>
      </c>
      <c r="F390" s="35" t="s">
        <v>10776</v>
      </c>
      <c r="G390" s="35">
        <v>191200</v>
      </c>
      <c r="H390" s="35">
        <v>240110</v>
      </c>
      <c r="I390" s="35">
        <v>200003</v>
      </c>
      <c r="J390" s="34" t="s">
        <v>16</v>
      </c>
      <c r="K390" s="34" t="str">
        <f t="shared" si="12"/>
        <v>重复</v>
      </c>
      <c r="L390" s="34" t="str">
        <f t="shared" si="13"/>
        <v>不重复</v>
      </c>
    </row>
    <row r="391" spans="1:12" ht="15">
      <c r="A391" s="35" t="s">
        <v>10777</v>
      </c>
      <c r="B391" s="35" t="s">
        <v>1261</v>
      </c>
      <c r="C391" s="36" t="s">
        <v>1262</v>
      </c>
      <c r="D391" s="35" t="s">
        <v>1263</v>
      </c>
      <c r="E391" s="35" t="s">
        <v>10777</v>
      </c>
      <c r="F391" s="35" t="s">
        <v>10760</v>
      </c>
      <c r="G391" s="35">
        <v>191300</v>
      </c>
      <c r="H391" s="35">
        <v>240120</v>
      </c>
      <c r="I391" s="35">
        <v>200003</v>
      </c>
      <c r="J391" s="34" t="s">
        <v>16</v>
      </c>
      <c r="K391" s="34" t="str">
        <f t="shared" si="12"/>
        <v>重复</v>
      </c>
      <c r="L391" s="34" t="str">
        <f t="shared" si="13"/>
        <v>不重复</v>
      </c>
    </row>
    <row r="392" spans="1:12" ht="15">
      <c r="A392" s="35" t="s">
        <v>10778</v>
      </c>
      <c r="B392" s="35" t="s">
        <v>1264</v>
      </c>
      <c r="C392" s="36" t="s">
        <v>185</v>
      </c>
      <c r="D392" s="35" t="s">
        <v>1265</v>
      </c>
      <c r="E392" s="35" t="s">
        <v>10777</v>
      </c>
      <c r="F392" s="35" t="s">
        <v>10760</v>
      </c>
      <c r="G392" s="35">
        <v>191301</v>
      </c>
      <c r="H392" s="35">
        <v>240120</v>
      </c>
      <c r="I392" s="35">
        <v>200003</v>
      </c>
      <c r="J392" s="34" t="s">
        <v>1266</v>
      </c>
      <c r="K392" s="34" t="str">
        <f t="shared" si="12"/>
        <v>重复</v>
      </c>
      <c r="L392" s="34" t="str">
        <f t="shared" si="13"/>
        <v>不重复</v>
      </c>
    </row>
    <row r="393" spans="1:12" ht="15">
      <c r="A393" s="35" t="s">
        <v>10779</v>
      </c>
      <c r="B393" s="35" t="s">
        <v>1267</v>
      </c>
      <c r="C393" s="36" t="s">
        <v>1268</v>
      </c>
      <c r="D393" s="35" t="s">
        <v>1269</v>
      </c>
      <c r="E393" s="35" t="s">
        <v>10777</v>
      </c>
      <c r="F393" s="35" t="s">
        <v>10760</v>
      </c>
      <c r="G393" s="35">
        <v>191302</v>
      </c>
      <c r="H393" s="35">
        <v>240120</v>
      </c>
      <c r="I393" s="35">
        <v>200003</v>
      </c>
      <c r="J393" s="34" t="s">
        <v>1270</v>
      </c>
      <c r="K393" s="34" t="str">
        <f t="shared" si="12"/>
        <v>重复</v>
      </c>
      <c r="L393" s="34" t="str">
        <f t="shared" si="13"/>
        <v>不重复</v>
      </c>
    </row>
    <row r="394" spans="1:12" ht="15">
      <c r="A394" s="35" t="s">
        <v>10780</v>
      </c>
      <c r="B394" s="35" t="s">
        <v>1271</v>
      </c>
      <c r="C394" s="36" t="s">
        <v>1272</v>
      </c>
      <c r="D394" s="35" t="s">
        <v>1273</v>
      </c>
      <c r="E394" s="35" t="s">
        <v>10777</v>
      </c>
      <c r="F394" s="35" t="s">
        <v>10760</v>
      </c>
      <c r="G394" s="35">
        <v>191303</v>
      </c>
      <c r="H394" s="35">
        <v>240120</v>
      </c>
      <c r="I394" s="35">
        <v>200003</v>
      </c>
      <c r="J394" s="34" t="s">
        <v>1274</v>
      </c>
      <c r="K394" s="34" t="str">
        <f t="shared" si="12"/>
        <v>重复</v>
      </c>
      <c r="L394" s="34" t="str">
        <f t="shared" si="13"/>
        <v>不重复</v>
      </c>
    </row>
    <row r="395" spans="1:12" ht="15">
      <c r="A395" s="35" t="s">
        <v>10781</v>
      </c>
      <c r="B395" s="35" t="s">
        <v>1275</v>
      </c>
      <c r="C395" s="36" t="s">
        <v>1276</v>
      </c>
      <c r="D395" s="35" t="s">
        <v>1277</v>
      </c>
      <c r="E395" s="35" t="s">
        <v>10777</v>
      </c>
      <c r="F395" s="35" t="s">
        <v>10760</v>
      </c>
      <c r="G395" s="35">
        <v>191304</v>
      </c>
      <c r="H395" s="35">
        <v>240120</v>
      </c>
      <c r="I395" s="35">
        <v>200003</v>
      </c>
      <c r="J395" s="34" t="s">
        <v>1278</v>
      </c>
      <c r="K395" s="34" t="str">
        <f t="shared" si="12"/>
        <v>重复</v>
      </c>
      <c r="L395" s="34" t="str">
        <f t="shared" si="13"/>
        <v>不重复</v>
      </c>
    </row>
    <row r="396" spans="1:12" ht="15">
      <c r="A396" s="35" t="s">
        <v>10782</v>
      </c>
      <c r="B396" s="35" t="s">
        <v>1279</v>
      </c>
      <c r="C396" s="36" t="s">
        <v>1262</v>
      </c>
      <c r="D396" s="35" t="s">
        <v>1280</v>
      </c>
      <c r="E396" s="35" t="s">
        <v>10777</v>
      </c>
      <c r="F396" s="35" t="s">
        <v>10760</v>
      </c>
      <c r="G396" s="35">
        <v>191305</v>
      </c>
      <c r="H396" s="35">
        <v>240120</v>
      </c>
      <c r="I396" s="35">
        <v>200003</v>
      </c>
      <c r="J396" s="34" t="s">
        <v>1281</v>
      </c>
      <c r="K396" s="34" t="str">
        <f t="shared" si="12"/>
        <v>重复</v>
      </c>
      <c r="L396" s="34" t="str">
        <f t="shared" si="13"/>
        <v>不重复</v>
      </c>
    </row>
    <row r="397" spans="1:12" ht="15">
      <c r="A397" s="35" t="s">
        <v>10783</v>
      </c>
      <c r="B397" s="35" t="s">
        <v>1282</v>
      </c>
      <c r="C397" s="36" t="s">
        <v>1283</v>
      </c>
      <c r="D397" s="35" t="s">
        <v>1284</v>
      </c>
      <c r="E397" s="35" t="s">
        <v>10783</v>
      </c>
      <c r="F397" s="35" t="s">
        <v>10760</v>
      </c>
      <c r="G397" s="35">
        <v>191400</v>
      </c>
      <c r="H397" s="35">
        <v>240130</v>
      </c>
      <c r="I397" s="35">
        <v>200003</v>
      </c>
      <c r="J397" s="34" t="s">
        <v>16</v>
      </c>
      <c r="K397" s="34" t="str">
        <f t="shared" si="12"/>
        <v>重复</v>
      </c>
      <c r="L397" s="34" t="str">
        <f t="shared" si="13"/>
        <v>不重复</v>
      </c>
    </row>
    <row r="398" spans="1:12" ht="15">
      <c r="A398" s="35" t="s">
        <v>10784</v>
      </c>
      <c r="B398" s="35" t="s">
        <v>1285</v>
      </c>
      <c r="C398" s="36" t="s">
        <v>1286</v>
      </c>
      <c r="D398" s="35" t="s">
        <v>1287</v>
      </c>
      <c r="E398" s="35" t="s">
        <v>10783</v>
      </c>
      <c r="F398" s="35" t="s">
        <v>10760</v>
      </c>
      <c r="G398" s="35">
        <v>191401</v>
      </c>
      <c r="H398" s="35">
        <v>240130</v>
      </c>
      <c r="I398" s="35">
        <v>200003</v>
      </c>
      <c r="J398" s="34" t="s">
        <v>1288</v>
      </c>
      <c r="K398" s="34" t="str">
        <f t="shared" si="12"/>
        <v>重复</v>
      </c>
      <c r="L398" s="34" t="str">
        <f t="shared" si="13"/>
        <v>重复</v>
      </c>
    </row>
    <row r="399" spans="1:12" ht="27">
      <c r="A399" s="35" t="s">
        <v>10785</v>
      </c>
      <c r="B399" s="35" t="s">
        <v>1285</v>
      </c>
      <c r="C399" s="36" t="s">
        <v>1286</v>
      </c>
      <c r="D399" s="35" t="s">
        <v>1287</v>
      </c>
      <c r="E399" s="35" t="s">
        <v>10783</v>
      </c>
      <c r="F399" s="35" t="s">
        <v>10786</v>
      </c>
      <c r="G399" s="35">
        <v>191402</v>
      </c>
      <c r="H399" s="35">
        <v>240130</v>
      </c>
      <c r="I399" s="35">
        <v>200003</v>
      </c>
      <c r="J399" s="34" t="s">
        <v>1288</v>
      </c>
      <c r="K399" s="34" t="str">
        <f t="shared" si="12"/>
        <v>重复</v>
      </c>
      <c r="L399" s="34" t="str">
        <f t="shared" si="13"/>
        <v>重复</v>
      </c>
    </row>
    <row r="400" spans="1:12" ht="27">
      <c r="A400" s="35" t="s">
        <v>10787</v>
      </c>
      <c r="B400" s="35" t="s">
        <v>1285</v>
      </c>
      <c r="C400" s="36" t="s">
        <v>1289</v>
      </c>
      <c r="D400" s="35" t="s">
        <v>1287</v>
      </c>
      <c r="E400" s="35" t="s">
        <v>10783</v>
      </c>
      <c r="F400" s="35" t="s">
        <v>10760</v>
      </c>
      <c r="G400" s="35">
        <v>191403</v>
      </c>
      <c r="H400" s="35">
        <v>240130</v>
      </c>
      <c r="I400" s="35">
        <v>200003</v>
      </c>
      <c r="J400" s="34" t="s">
        <v>1290</v>
      </c>
      <c r="K400" s="34" t="str">
        <f t="shared" si="12"/>
        <v>重复</v>
      </c>
      <c r="L400" s="34" t="str">
        <f t="shared" si="13"/>
        <v>重复</v>
      </c>
    </row>
    <row r="401" spans="1:12" ht="27">
      <c r="A401" s="35" t="s">
        <v>10788</v>
      </c>
      <c r="B401" s="35" t="s">
        <v>1285</v>
      </c>
      <c r="C401" s="36" t="s">
        <v>1291</v>
      </c>
      <c r="D401" s="35" t="s">
        <v>1287</v>
      </c>
      <c r="E401" s="35" t="s">
        <v>10783</v>
      </c>
      <c r="F401" s="35" t="s">
        <v>10789</v>
      </c>
      <c r="G401" s="35">
        <v>191404</v>
      </c>
      <c r="H401" s="35">
        <v>240130</v>
      </c>
      <c r="I401" s="35">
        <v>200003</v>
      </c>
      <c r="J401" s="34" t="s">
        <v>1292</v>
      </c>
      <c r="K401" s="34" t="str">
        <f t="shared" si="12"/>
        <v>不重复</v>
      </c>
      <c r="L401" s="34" t="str">
        <f t="shared" si="13"/>
        <v>重复</v>
      </c>
    </row>
    <row r="402" spans="1:12" ht="15">
      <c r="A402" s="35" t="s">
        <v>10790</v>
      </c>
      <c r="B402" s="35" t="s">
        <v>1293</v>
      </c>
      <c r="C402" s="36" t="s">
        <v>651</v>
      </c>
      <c r="D402" s="35" t="s">
        <v>1294</v>
      </c>
      <c r="E402" s="35" t="s">
        <v>10791</v>
      </c>
      <c r="F402" s="35" t="s">
        <v>10792</v>
      </c>
      <c r="G402" s="35">
        <v>191500</v>
      </c>
      <c r="H402" s="35">
        <v>240140</v>
      </c>
      <c r="I402" s="35">
        <v>200003</v>
      </c>
      <c r="J402" s="34" t="s">
        <v>16</v>
      </c>
      <c r="K402" s="34" t="str">
        <f t="shared" si="12"/>
        <v>重复</v>
      </c>
      <c r="L402" s="34" t="str">
        <f t="shared" si="13"/>
        <v>重复</v>
      </c>
    </row>
    <row r="403" spans="1:12" ht="15">
      <c r="A403" s="35" t="s">
        <v>10793</v>
      </c>
      <c r="B403" s="35" t="s">
        <v>1295</v>
      </c>
      <c r="C403" s="36" t="s">
        <v>1296</v>
      </c>
      <c r="D403" s="35" t="s">
        <v>1297</v>
      </c>
      <c r="E403" s="35" t="s">
        <v>10790</v>
      </c>
      <c r="F403" s="35" t="s">
        <v>10792</v>
      </c>
      <c r="G403" s="35">
        <v>191501</v>
      </c>
      <c r="H403" s="35">
        <v>240140</v>
      </c>
      <c r="I403" s="35">
        <v>200003</v>
      </c>
      <c r="J403" s="34" t="s">
        <v>1288</v>
      </c>
      <c r="K403" s="34" t="str">
        <f t="shared" si="12"/>
        <v>重复</v>
      </c>
      <c r="L403" s="34" t="str">
        <f t="shared" si="13"/>
        <v>重复</v>
      </c>
    </row>
    <row r="404" spans="1:12" ht="27">
      <c r="A404" s="35" t="s">
        <v>10794</v>
      </c>
      <c r="B404" s="35" t="s">
        <v>1295</v>
      </c>
      <c r="C404" s="36" t="s">
        <v>1296</v>
      </c>
      <c r="D404" s="35" t="s">
        <v>1297</v>
      </c>
      <c r="E404" s="35" t="s">
        <v>10790</v>
      </c>
      <c r="F404" s="35" t="s">
        <v>10792</v>
      </c>
      <c r="G404" s="35">
        <v>191502</v>
      </c>
      <c r="H404" s="35">
        <v>240140</v>
      </c>
      <c r="I404" s="35">
        <v>200003</v>
      </c>
      <c r="J404" s="34" t="s">
        <v>1288</v>
      </c>
      <c r="K404" s="34" t="str">
        <f t="shared" si="12"/>
        <v>重复</v>
      </c>
      <c r="L404" s="34" t="str">
        <f t="shared" si="13"/>
        <v>重复</v>
      </c>
    </row>
    <row r="405" spans="1:12" ht="27">
      <c r="A405" s="35" t="s">
        <v>10795</v>
      </c>
      <c r="B405" s="35" t="s">
        <v>1295</v>
      </c>
      <c r="C405" s="36" t="s">
        <v>1298</v>
      </c>
      <c r="D405" s="35" t="s">
        <v>1297</v>
      </c>
      <c r="E405" s="35" t="s">
        <v>10790</v>
      </c>
      <c r="F405" s="35" t="s">
        <v>10796</v>
      </c>
      <c r="G405" s="35">
        <v>191503</v>
      </c>
      <c r="H405" s="35">
        <v>240140</v>
      </c>
      <c r="I405" s="35">
        <v>200003</v>
      </c>
      <c r="J405" s="34" t="s">
        <v>1057</v>
      </c>
      <c r="K405" s="34" t="str">
        <f t="shared" si="12"/>
        <v>不重复</v>
      </c>
      <c r="L405" s="34" t="str">
        <f t="shared" si="13"/>
        <v>重复</v>
      </c>
    </row>
    <row r="406" spans="1:12" ht="27">
      <c r="A406" s="35" t="s">
        <v>10797</v>
      </c>
      <c r="B406" s="35" t="s">
        <v>1299</v>
      </c>
      <c r="C406" s="36" t="s">
        <v>1300</v>
      </c>
      <c r="D406" s="35" t="s">
        <v>1301</v>
      </c>
      <c r="E406" s="35" t="s">
        <v>10790</v>
      </c>
      <c r="F406" s="35" t="s">
        <v>10792</v>
      </c>
      <c r="G406" s="35">
        <v>191504</v>
      </c>
      <c r="H406" s="35">
        <v>240140</v>
      </c>
      <c r="I406" s="35">
        <v>200003</v>
      </c>
      <c r="J406" s="34" t="s">
        <v>1302</v>
      </c>
      <c r="K406" s="34" t="str">
        <f t="shared" si="14" ref="K406:K469">IF(COUNTIF(C:C,C406)&gt;=2,"重复","不重复")</f>
        <v>重复</v>
      </c>
      <c r="L406" s="34" t="str">
        <f t="shared" si="13"/>
        <v>不重复</v>
      </c>
    </row>
    <row r="407" spans="1:12" ht="27">
      <c r="A407" s="35" t="s">
        <v>10798</v>
      </c>
      <c r="B407" s="35" t="s">
        <v>1303</v>
      </c>
      <c r="C407" s="36" t="s">
        <v>1300</v>
      </c>
      <c r="D407" s="35" t="s">
        <v>1304</v>
      </c>
      <c r="E407" s="35" t="s">
        <v>10790</v>
      </c>
      <c r="F407" s="35" t="s">
        <v>10799</v>
      </c>
      <c r="G407" s="35">
        <v>191505</v>
      </c>
      <c r="H407" s="35">
        <v>240140</v>
      </c>
      <c r="I407" s="35">
        <v>200003</v>
      </c>
      <c r="J407" s="34" t="s">
        <v>1292</v>
      </c>
      <c r="K407" s="34" t="str">
        <f t="shared" si="14"/>
        <v>重复</v>
      </c>
      <c r="L407" s="34" t="str">
        <f t="shared" si="15" ref="L407:L470">IF(COUNTIF(D:D,D407)&gt;=2,"重复","不重复")</f>
        <v>不重复</v>
      </c>
    </row>
    <row r="408" spans="1:12" ht="15">
      <c r="A408" s="35" t="s">
        <v>10800</v>
      </c>
      <c r="B408" s="35" t="s">
        <v>1305</v>
      </c>
      <c r="C408" s="36" t="s">
        <v>1306</v>
      </c>
      <c r="D408" s="35" t="s">
        <v>1307</v>
      </c>
      <c r="E408" s="35" t="s">
        <v>10790</v>
      </c>
      <c r="F408" s="35" t="s">
        <v>10801</v>
      </c>
      <c r="G408" s="35">
        <v>191506</v>
      </c>
      <c r="H408" s="35">
        <v>240140</v>
      </c>
      <c r="I408" s="35">
        <v>200003</v>
      </c>
      <c r="J408" s="34" t="s">
        <v>1288</v>
      </c>
      <c r="K408" s="34" t="str">
        <f t="shared" si="14"/>
        <v>不重复</v>
      </c>
      <c r="L408" s="34" t="str">
        <f t="shared" si="15"/>
        <v>不重复</v>
      </c>
    </row>
    <row r="409" spans="1:12" ht="30">
      <c r="A409" s="35" t="s">
        <v>10802</v>
      </c>
      <c r="B409" s="35" t="s">
        <v>1308</v>
      </c>
      <c r="C409" s="36" t="s">
        <v>1309</v>
      </c>
      <c r="D409" s="35" t="s">
        <v>1310</v>
      </c>
      <c r="E409" s="35" t="s">
        <v>10790</v>
      </c>
      <c r="F409" s="35" t="s">
        <v>10792</v>
      </c>
      <c r="G409" s="35">
        <v>191507</v>
      </c>
      <c r="H409" s="35">
        <v>240140</v>
      </c>
      <c r="I409" s="35">
        <v>200003</v>
      </c>
      <c r="J409" s="34" t="s">
        <v>1311</v>
      </c>
      <c r="K409" s="34" t="str">
        <f t="shared" si="14"/>
        <v>重复</v>
      </c>
      <c r="L409" s="34" t="str">
        <f t="shared" si="15"/>
        <v>不重复</v>
      </c>
    </row>
    <row r="410" spans="1:12" ht="15">
      <c r="A410" s="35" t="s">
        <v>10803</v>
      </c>
      <c r="B410" s="35" t="s">
        <v>1312</v>
      </c>
      <c r="C410" s="36" t="s">
        <v>1313</v>
      </c>
      <c r="D410" s="35" t="s">
        <v>1314</v>
      </c>
      <c r="E410" s="35" t="s">
        <v>10790</v>
      </c>
      <c r="F410" s="35" t="s">
        <v>10804</v>
      </c>
      <c r="G410" s="35">
        <v>191508</v>
      </c>
      <c r="H410" s="35">
        <v>240140</v>
      </c>
      <c r="I410" s="35">
        <v>200003</v>
      </c>
      <c r="J410" s="34" t="s">
        <v>1311</v>
      </c>
      <c r="K410" s="34" t="str">
        <f t="shared" si="14"/>
        <v>不重复</v>
      </c>
      <c r="L410" s="34" t="str">
        <f t="shared" si="15"/>
        <v>不重复</v>
      </c>
    </row>
    <row r="411" spans="1:12" ht="27">
      <c r="A411" s="35" t="s">
        <v>10805</v>
      </c>
      <c r="B411" s="35" t="s">
        <v>1315</v>
      </c>
      <c r="C411" s="36" t="s">
        <v>764</v>
      </c>
      <c r="D411" s="35" t="s">
        <v>1316</v>
      </c>
      <c r="E411" s="35" t="s">
        <v>10790</v>
      </c>
      <c r="F411" s="35" t="s">
        <v>10792</v>
      </c>
      <c r="G411" s="35">
        <v>191509</v>
      </c>
      <c r="H411" s="35">
        <v>240140</v>
      </c>
      <c r="I411" s="35">
        <v>200003</v>
      </c>
      <c r="J411" s="34" t="s">
        <v>1266</v>
      </c>
      <c r="K411" s="34" t="str">
        <f t="shared" si="14"/>
        <v>重复</v>
      </c>
      <c r="L411" s="34" t="str">
        <f t="shared" si="15"/>
        <v>重复</v>
      </c>
    </row>
    <row r="412" spans="1:12" ht="27">
      <c r="A412" s="35" t="s">
        <v>10806</v>
      </c>
      <c r="B412" s="35" t="s">
        <v>1315</v>
      </c>
      <c r="C412" s="36" t="s">
        <v>1317</v>
      </c>
      <c r="D412" s="35" t="s">
        <v>1316</v>
      </c>
      <c r="E412" s="35" t="s">
        <v>10790</v>
      </c>
      <c r="F412" s="35" t="s">
        <v>10792</v>
      </c>
      <c r="G412" s="35">
        <v>191510</v>
      </c>
      <c r="H412" s="35">
        <v>240140</v>
      </c>
      <c r="I412" s="35">
        <v>200003</v>
      </c>
      <c r="J412" s="34" t="s">
        <v>1318</v>
      </c>
      <c r="K412" s="34" t="str">
        <f t="shared" si="14"/>
        <v>不重复</v>
      </c>
      <c r="L412" s="34" t="str">
        <f t="shared" si="15"/>
        <v>重复</v>
      </c>
    </row>
    <row r="413" spans="1:12" ht="15">
      <c r="A413" s="35" t="s">
        <v>10807</v>
      </c>
      <c r="B413" s="35" t="s">
        <v>1319</v>
      </c>
      <c r="C413" s="36" t="s">
        <v>1320</v>
      </c>
      <c r="D413" s="35" t="s">
        <v>1321</v>
      </c>
      <c r="E413" s="35" t="s">
        <v>10790</v>
      </c>
      <c r="F413" s="35" t="s">
        <v>10792</v>
      </c>
      <c r="G413" s="35">
        <v>191511</v>
      </c>
      <c r="H413" s="35">
        <v>240140</v>
      </c>
      <c r="I413" s="35">
        <v>200003</v>
      </c>
      <c r="J413" s="34" t="s">
        <v>885</v>
      </c>
      <c r="K413" s="34" t="str">
        <f t="shared" si="14"/>
        <v>重复</v>
      </c>
      <c r="L413" s="34" t="str">
        <f t="shared" si="15"/>
        <v>不重复</v>
      </c>
    </row>
    <row r="414" spans="1:12" ht="27">
      <c r="A414" s="35" t="s">
        <v>10808</v>
      </c>
      <c r="B414" s="35" t="s">
        <v>1322</v>
      </c>
      <c r="C414" s="36" t="s">
        <v>1323</v>
      </c>
      <c r="D414" s="35" t="s">
        <v>1324</v>
      </c>
      <c r="E414" s="35" t="s">
        <v>10790</v>
      </c>
      <c r="F414" s="35" t="s">
        <v>10792</v>
      </c>
      <c r="G414" s="35">
        <v>191512</v>
      </c>
      <c r="H414" s="35">
        <v>240140</v>
      </c>
      <c r="I414" s="35">
        <v>200003</v>
      </c>
      <c r="J414" s="34" t="s">
        <v>1274</v>
      </c>
      <c r="K414" s="34" t="str">
        <f t="shared" si="14"/>
        <v>重复</v>
      </c>
      <c r="L414" s="34" t="str">
        <f t="shared" si="15"/>
        <v>不重复</v>
      </c>
    </row>
    <row r="415" spans="1:12" ht="27">
      <c r="A415" s="35" t="s">
        <v>10809</v>
      </c>
      <c r="B415" s="35" t="s">
        <v>1325</v>
      </c>
      <c r="C415" s="36" t="s">
        <v>1326</v>
      </c>
      <c r="D415" s="35" t="s">
        <v>1327</v>
      </c>
      <c r="E415" s="35" t="s">
        <v>10790</v>
      </c>
      <c r="F415" s="35" t="s">
        <v>10792</v>
      </c>
      <c r="G415" s="35">
        <v>191513</v>
      </c>
      <c r="H415" s="35">
        <v>240140</v>
      </c>
      <c r="I415" s="35">
        <v>200003</v>
      </c>
      <c r="J415" s="34" t="s">
        <v>885</v>
      </c>
      <c r="K415" s="34" t="str">
        <f t="shared" si="14"/>
        <v>不重复</v>
      </c>
      <c r="L415" s="34" t="str">
        <f t="shared" si="15"/>
        <v>重复</v>
      </c>
    </row>
    <row r="416" spans="1:12" ht="15">
      <c r="A416" s="35" t="s">
        <v>10810</v>
      </c>
      <c r="B416" s="35" t="s">
        <v>1328</v>
      </c>
      <c r="C416" s="36" t="s">
        <v>1329</v>
      </c>
      <c r="D416" s="35" t="s">
        <v>1330</v>
      </c>
      <c r="E416" s="35" t="s">
        <v>10790</v>
      </c>
      <c r="F416" s="35" t="s">
        <v>10792</v>
      </c>
      <c r="G416" s="35">
        <v>191514</v>
      </c>
      <c r="H416" s="35">
        <v>240140</v>
      </c>
      <c r="I416" s="35">
        <v>200003</v>
      </c>
      <c r="J416" s="34" t="s">
        <v>1331</v>
      </c>
      <c r="K416" s="34" t="str">
        <f t="shared" si="14"/>
        <v>不重复</v>
      </c>
      <c r="L416" s="34" t="str">
        <f t="shared" si="15"/>
        <v>重复</v>
      </c>
    </row>
    <row r="417" spans="1:12" ht="27">
      <c r="A417" s="35" t="s">
        <v>10811</v>
      </c>
      <c r="B417" s="35" t="s">
        <v>1332</v>
      </c>
      <c r="C417" s="36" t="s">
        <v>1333</v>
      </c>
      <c r="D417" s="35" t="s">
        <v>1334</v>
      </c>
      <c r="E417" s="35" t="s">
        <v>10790</v>
      </c>
      <c r="F417" s="35" t="s">
        <v>10792</v>
      </c>
      <c r="G417" s="35">
        <v>191515</v>
      </c>
      <c r="H417" s="35">
        <v>240140</v>
      </c>
      <c r="I417" s="35">
        <v>200003</v>
      </c>
      <c r="J417" s="34" t="s">
        <v>1335</v>
      </c>
      <c r="K417" s="34" t="str">
        <f t="shared" si="14"/>
        <v>重复</v>
      </c>
      <c r="L417" s="34" t="str">
        <f t="shared" si="15"/>
        <v>不重复</v>
      </c>
    </row>
    <row r="418" spans="1:12" ht="15">
      <c r="A418" s="35" t="s">
        <v>10812</v>
      </c>
      <c r="B418" s="35" t="s">
        <v>1336</v>
      </c>
      <c r="C418" s="36" t="s">
        <v>1337</v>
      </c>
      <c r="D418" s="35" t="s">
        <v>1338</v>
      </c>
      <c r="E418" s="35" t="s">
        <v>10790</v>
      </c>
      <c r="F418" s="35" t="s">
        <v>10813</v>
      </c>
      <c r="G418" s="35">
        <v>191516</v>
      </c>
      <c r="H418" s="35">
        <v>240140</v>
      </c>
      <c r="I418" s="35">
        <v>200003</v>
      </c>
      <c r="J418" s="34" t="s">
        <v>1339</v>
      </c>
      <c r="K418" s="34" t="str">
        <f t="shared" si="14"/>
        <v>重复</v>
      </c>
      <c r="L418" s="34" t="str">
        <f t="shared" si="15"/>
        <v>重复</v>
      </c>
    </row>
    <row r="419" spans="1:12" ht="15">
      <c r="A419" s="35" t="s">
        <v>10812</v>
      </c>
      <c r="B419" s="35" t="s">
        <v>1336</v>
      </c>
      <c r="C419" s="36" t="s">
        <v>1337</v>
      </c>
      <c r="D419" s="35" t="s">
        <v>1338</v>
      </c>
      <c r="E419" s="35" t="s">
        <v>10790</v>
      </c>
      <c r="F419" s="35" t="s">
        <v>10792</v>
      </c>
      <c r="G419" s="35">
        <v>191517</v>
      </c>
      <c r="H419" s="35">
        <v>240140</v>
      </c>
      <c r="I419" s="35">
        <v>200003</v>
      </c>
      <c r="J419" s="34" t="s">
        <v>1288</v>
      </c>
      <c r="K419" s="34" t="str">
        <f t="shared" si="14"/>
        <v>重复</v>
      </c>
      <c r="L419" s="34" t="str">
        <f t="shared" si="15"/>
        <v>重复</v>
      </c>
    </row>
    <row r="420" spans="1:12" ht="15">
      <c r="A420" s="35" t="s">
        <v>10814</v>
      </c>
      <c r="B420" s="35" t="s">
        <v>1340</v>
      </c>
      <c r="C420" s="36" t="s">
        <v>1341</v>
      </c>
      <c r="D420" s="35" t="s">
        <v>855</v>
      </c>
      <c r="E420" s="35" t="s">
        <v>10814</v>
      </c>
      <c r="F420" s="35" t="s">
        <v>10815</v>
      </c>
      <c r="G420" s="35">
        <v>191600</v>
      </c>
      <c r="H420" s="35">
        <v>240150</v>
      </c>
      <c r="I420" s="35">
        <v>200003</v>
      </c>
      <c r="J420" s="34" t="s">
        <v>16</v>
      </c>
      <c r="K420" s="34" t="str">
        <f t="shared" si="14"/>
        <v>重复</v>
      </c>
      <c r="L420" s="34" t="str">
        <f t="shared" si="15"/>
        <v>重复</v>
      </c>
    </row>
    <row r="421" spans="1:12" ht="15">
      <c r="A421" s="35" t="s">
        <v>10816</v>
      </c>
      <c r="B421" s="35" t="s">
        <v>1342</v>
      </c>
      <c r="C421" s="36" t="s">
        <v>1343</v>
      </c>
      <c r="D421" s="35" t="s">
        <v>1344</v>
      </c>
      <c r="E421" s="35" t="s">
        <v>10814</v>
      </c>
      <c r="F421" s="35" t="s">
        <v>10789</v>
      </c>
      <c r="G421" s="35">
        <v>191601</v>
      </c>
      <c r="H421" s="35">
        <v>240150</v>
      </c>
      <c r="I421" s="35">
        <v>200003</v>
      </c>
      <c r="J421" s="34" t="s">
        <v>1345</v>
      </c>
      <c r="K421" s="34" t="str">
        <f t="shared" si="14"/>
        <v>重复</v>
      </c>
      <c r="L421" s="34" t="str">
        <f t="shared" si="15"/>
        <v>不重复</v>
      </c>
    </row>
    <row r="422" spans="1:12" ht="15">
      <c r="A422" s="35" t="s">
        <v>10817</v>
      </c>
      <c r="B422" s="35" t="s">
        <v>1346</v>
      </c>
      <c r="C422" s="36" t="s">
        <v>1347</v>
      </c>
      <c r="D422" s="35" t="s">
        <v>1348</v>
      </c>
      <c r="E422" s="35" t="s">
        <v>10814</v>
      </c>
      <c r="F422" s="35" t="s">
        <v>10760</v>
      </c>
      <c r="G422" s="35">
        <v>191627</v>
      </c>
      <c r="H422" s="35">
        <v>240150</v>
      </c>
      <c r="I422" s="35">
        <v>200003</v>
      </c>
      <c r="J422" s="34"/>
      <c r="K422" s="34" t="str">
        <f t="shared" si="14"/>
        <v>重复</v>
      </c>
      <c r="L422" s="34" t="str">
        <f t="shared" si="15"/>
        <v>不重复</v>
      </c>
    </row>
    <row r="423" spans="1:12" ht="27">
      <c r="A423" s="35" t="s">
        <v>10818</v>
      </c>
      <c r="B423" s="35" t="s">
        <v>1349</v>
      </c>
      <c r="C423" s="36" t="s">
        <v>1211</v>
      </c>
      <c r="D423" s="35" t="s">
        <v>1350</v>
      </c>
      <c r="E423" s="35" t="s">
        <v>10814</v>
      </c>
      <c r="F423" s="35" t="s">
        <v>10760</v>
      </c>
      <c r="G423" s="35">
        <v>191602</v>
      </c>
      <c r="H423" s="35">
        <v>240150</v>
      </c>
      <c r="I423" s="35">
        <v>200003</v>
      </c>
      <c r="J423" s="34" t="s">
        <v>82</v>
      </c>
      <c r="K423" s="34" t="str">
        <f t="shared" si="14"/>
        <v>重复</v>
      </c>
      <c r="L423" s="34" t="str">
        <f t="shared" si="15"/>
        <v>不重复</v>
      </c>
    </row>
    <row r="424" spans="1:12" ht="15">
      <c r="A424" s="35" t="s">
        <v>10819</v>
      </c>
      <c r="B424" s="35" t="s">
        <v>1351</v>
      </c>
      <c r="C424" s="36" t="s">
        <v>1352</v>
      </c>
      <c r="D424" s="35" t="s">
        <v>1353</v>
      </c>
      <c r="E424" s="35" t="s">
        <v>10814</v>
      </c>
      <c r="F424" s="35" t="s">
        <v>10760</v>
      </c>
      <c r="G424" s="35">
        <v>191603</v>
      </c>
      <c r="H424" s="35">
        <v>240150</v>
      </c>
      <c r="I424" s="35">
        <v>200003</v>
      </c>
      <c r="J424" s="34" t="s">
        <v>1354</v>
      </c>
      <c r="K424" s="34" t="str">
        <f t="shared" si="14"/>
        <v>不重复</v>
      </c>
      <c r="L424" s="34" t="str">
        <f t="shared" si="15"/>
        <v>不重复</v>
      </c>
    </row>
    <row r="425" spans="1:12" ht="15">
      <c r="A425" s="35" t="s">
        <v>10820</v>
      </c>
      <c r="B425" s="35" t="s">
        <v>1355</v>
      </c>
      <c r="C425" s="36" t="s">
        <v>1356</v>
      </c>
      <c r="D425" s="35" t="s">
        <v>1357</v>
      </c>
      <c r="E425" s="35" t="s">
        <v>10814</v>
      </c>
      <c r="F425" s="35" t="s">
        <v>10760</v>
      </c>
      <c r="G425" s="35">
        <v>191604</v>
      </c>
      <c r="H425" s="35">
        <v>240150</v>
      </c>
      <c r="I425" s="35">
        <v>200003</v>
      </c>
      <c r="J425" s="34" t="s">
        <v>1358</v>
      </c>
      <c r="K425" s="34" t="str">
        <f t="shared" si="14"/>
        <v>不重复</v>
      </c>
      <c r="L425" s="34" t="str">
        <f t="shared" si="15"/>
        <v>不重复</v>
      </c>
    </row>
    <row r="426" spans="1:12" ht="15">
      <c r="A426" s="35" t="s">
        <v>10821</v>
      </c>
      <c r="B426" s="35" t="s">
        <v>1359</v>
      </c>
      <c r="C426" s="36" t="s">
        <v>1360</v>
      </c>
      <c r="D426" s="35" t="s">
        <v>1361</v>
      </c>
      <c r="E426" s="35" t="s">
        <v>10814</v>
      </c>
      <c r="F426" s="35" t="s">
        <v>10760</v>
      </c>
      <c r="G426" s="35">
        <v>191605</v>
      </c>
      <c r="H426" s="35">
        <v>240150</v>
      </c>
      <c r="I426" s="35">
        <v>200003</v>
      </c>
      <c r="J426" s="34" t="s">
        <v>1354</v>
      </c>
      <c r="K426" s="34" t="str">
        <f t="shared" si="14"/>
        <v>不重复</v>
      </c>
      <c r="L426" s="34" t="str">
        <f t="shared" si="15"/>
        <v>不重复</v>
      </c>
    </row>
    <row r="427" spans="1:12" ht="15">
      <c r="A427" s="35" t="s">
        <v>10822</v>
      </c>
      <c r="B427" s="35" t="s">
        <v>1362</v>
      </c>
      <c r="C427" s="36" t="s">
        <v>1363</v>
      </c>
      <c r="D427" s="35" t="s">
        <v>1364</v>
      </c>
      <c r="E427" s="35" t="s">
        <v>10814</v>
      </c>
      <c r="F427" s="35" t="s">
        <v>10760</v>
      </c>
      <c r="G427" s="35">
        <v>191606</v>
      </c>
      <c r="H427" s="35">
        <v>240150</v>
      </c>
      <c r="I427" s="35">
        <v>200003</v>
      </c>
      <c r="J427" s="34" t="s">
        <v>1354</v>
      </c>
      <c r="K427" s="34" t="str">
        <f t="shared" si="14"/>
        <v>重复</v>
      </c>
      <c r="L427" s="34" t="str">
        <f t="shared" si="15"/>
        <v>不重复</v>
      </c>
    </row>
    <row r="428" spans="1:12" ht="30">
      <c r="A428" s="35" t="s">
        <v>10823</v>
      </c>
      <c r="B428" s="35" t="s">
        <v>1365</v>
      </c>
      <c r="C428" s="36" t="s">
        <v>1366</v>
      </c>
      <c r="D428" s="35" t="s">
        <v>1367</v>
      </c>
      <c r="E428" s="35" t="s">
        <v>10814</v>
      </c>
      <c r="F428" s="35" t="s">
        <v>10760</v>
      </c>
      <c r="G428" s="35">
        <v>191607</v>
      </c>
      <c r="H428" s="35">
        <v>240150</v>
      </c>
      <c r="I428" s="35">
        <v>200003</v>
      </c>
      <c r="J428" s="34" t="s">
        <v>1368</v>
      </c>
      <c r="K428" s="34" t="str">
        <f t="shared" si="14"/>
        <v>重复</v>
      </c>
      <c r="L428" s="34" t="str">
        <f t="shared" si="15"/>
        <v>不重复</v>
      </c>
    </row>
    <row r="429" spans="1:12" ht="27">
      <c r="A429" s="35" t="s">
        <v>10824</v>
      </c>
      <c r="B429" s="35" t="s">
        <v>1369</v>
      </c>
      <c r="C429" s="36" t="s">
        <v>1370</v>
      </c>
      <c r="D429" s="35" t="s">
        <v>1371</v>
      </c>
      <c r="E429" s="35" t="s">
        <v>10814</v>
      </c>
      <c r="F429" s="35" t="s">
        <v>10760</v>
      </c>
      <c r="G429" s="35">
        <v>191608</v>
      </c>
      <c r="H429" s="35">
        <v>240150</v>
      </c>
      <c r="I429" s="35">
        <v>200003</v>
      </c>
      <c r="J429" s="34" t="s">
        <v>1372</v>
      </c>
      <c r="K429" s="34" t="str">
        <f t="shared" si="14"/>
        <v>不重复</v>
      </c>
      <c r="L429" s="34" t="str">
        <f t="shared" si="15"/>
        <v>不重复</v>
      </c>
    </row>
    <row r="430" spans="1:12" ht="27">
      <c r="A430" s="35" t="s">
        <v>10825</v>
      </c>
      <c r="B430" s="35" t="s">
        <v>1373</v>
      </c>
      <c r="C430" s="36" t="s">
        <v>1374</v>
      </c>
      <c r="D430" s="35" t="s">
        <v>1375</v>
      </c>
      <c r="E430" s="35" t="s">
        <v>10814</v>
      </c>
      <c r="F430" s="35" t="s">
        <v>10760</v>
      </c>
      <c r="G430" s="35">
        <v>191609</v>
      </c>
      <c r="H430" s="35">
        <v>240150</v>
      </c>
      <c r="I430" s="35">
        <v>200003</v>
      </c>
      <c r="J430" s="34" t="s">
        <v>458</v>
      </c>
      <c r="K430" s="34" t="str">
        <f t="shared" si="14"/>
        <v>重复</v>
      </c>
      <c r="L430" s="34" t="str">
        <f t="shared" si="15"/>
        <v>不重复</v>
      </c>
    </row>
    <row r="431" spans="1:12" ht="15">
      <c r="A431" s="35" t="s">
        <v>10826</v>
      </c>
      <c r="B431" s="35" t="s">
        <v>1376</v>
      </c>
      <c r="C431" s="36" t="s">
        <v>1377</v>
      </c>
      <c r="D431" s="35" t="s">
        <v>1378</v>
      </c>
      <c r="E431" s="35" t="s">
        <v>10814</v>
      </c>
      <c r="F431" s="35" t="s">
        <v>10760</v>
      </c>
      <c r="G431" s="35">
        <v>191610</v>
      </c>
      <c r="H431" s="35">
        <v>240150</v>
      </c>
      <c r="I431" s="35">
        <v>200003</v>
      </c>
      <c r="J431" s="34" t="s">
        <v>1379</v>
      </c>
      <c r="K431" s="34" t="str">
        <f t="shared" si="14"/>
        <v>重复</v>
      </c>
      <c r="L431" s="34" t="str">
        <f t="shared" si="15"/>
        <v>不重复</v>
      </c>
    </row>
    <row r="432" spans="1:12" ht="27">
      <c r="A432" s="35" t="s">
        <v>10827</v>
      </c>
      <c r="B432" s="35" t="s">
        <v>1380</v>
      </c>
      <c r="C432" s="36" t="s">
        <v>1381</v>
      </c>
      <c r="D432" s="35" t="s">
        <v>1382</v>
      </c>
      <c r="E432" s="35" t="s">
        <v>10814</v>
      </c>
      <c r="F432" s="35" t="s">
        <v>10760</v>
      </c>
      <c r="G432" s="35">
        <v>191611</v>
      </c>
      <c r="H432" s="35">
        <v>240150</v>
      </c>
      <c r="I432" s="35">
        <v>200003</v>
      </c>
      <c r="J432" s="34" t="s">
        <v>1383</v>
      </c>
      <c r="K432" s="34" t="str">
        <f t="shared" si="14"/>
        <v>不重复</v>
      </c>
      <c r="L432" s="34" t="str">
        <f t="shared" si="15"/>
        <v>不重复</v>
      </c>
    </row>
    <row r="433" spans="1:12" ht="15">
      <c r="A433" s="35" t="s">
        <v>10828</v>
      </c>
      <c r="B433" s="35" t="s">
        <v>1384</v>
      </c>
      <c r="C433" s="36" t="s">
        <v>1272</v>
      </c>
      <c r="D433" s="35" t="s">
        <v>1385</v>
      </c>
      <c r="E433" s="35" t="s">
        <v>10814</v>
      </c>
      <c r="F433" s="35" t="s">
        <v>10756</v>
      </c>
      <c r="G433" s="35">
        <v>191612</v>
      </c>
      <c r="H433" s="35">
        <v>240150</v>
      </c>
      <c r="I433" s="35">
        <v>200003</v>
      </c>
      <c r="J433" s="34" t="s">
        <v>458</v>
      </c>
      <c r="K433" s="34" t="str">
        <f t="shared" si="14"/>
        <v>重复</v>
      </c>
      <c r="L433" s="34" t="str">
        <f t="shared" si="15"/>
        <v>不重复</v>
      </c>
    </row>
    <row r="434" spans="1:12" ht="15">
      <c r="A434" s="35" t="s">
        <v>10829</v>
      </c>
      <c r="B434" s="35" t="s">
        <v>1386</v>
      </c>
      <c r="C434" s="36" t="s">
        <v>1377</v>
      </c>
      <c r="D434" s="35" t="s">
        <v>1387</v>
      </c>
      <c r="E434" s="35" t="s">
        <v>10814</v>
      </c>
      <c r="F434" s="35" t="s">
        <v>10760</v>
      </c>
      <c r="G434" s="35">
        <v>191613</v>
      </c>
      <c r="H434" s="35">
        <v>240150</v>
      </c>
      <c r="I434" s="35">
        <v>200003</v>
      </c>
      <c r="J434" s="34" t="s">
        <v>458</v>
      </c>
      <c r="K434" s="34" t="str">
        <f t="shared" si="14"/>
        <v>重复</v>
      </c>
      <c r="L434" s="34" t="str">
        <f t="shared" si="15"/>
        <v>不重复</v>
      </c>
    </row>
    <row r="435" spans="1:12" ht="30">
      <c r="A435" s="35" t="s">
        <v>10830</v>
      </c>
      <c r="B435" s="35" t="s">
        <v>1388</v>
      </c>
      <c r="C435" s="36" t="s">
        <v>1389</v>
      </c>
      <c r="D435" s="35" t="s">
        <v>1390</v>
      </c>
      <c r="E435" s="35" t="s">
        <v>10814</v>
      </c>
      <c r="F435" s="35" t="s">
        <v>10760</v>
      </c>
      <c r="G435" s="35">
        <v>191614</v>
      </c>
      <c r="H435" s="35">
        <v>240150</v>
      </c>
      <c r="I435" s="35">
        <v>200003</v>
      </c>
      <c r="J435" s="34" t="s">
        <v>1391</v>
      </c>
      <c r="K435" s="34" t="str">
        <f t="shared" si="14"/>
        <v>不重复</v>
      </c>
      <c r="L435" s="34" t="str">
        <f t="shared" si="15"/>
        <v>不重复</v>
      </c>
    </row>
    <row r="436" spans="1:12" ht="27">
      <c r="A436" s="35" t="s">
        <v>10831</v>
      </c>
      <c r="B436" s="35" t="s">
        <v>1392</v>
      </c>
      <c r="C436" s="36" t="s">
        <v>1393</v>
      </c>
      <c r="D436" s="35" t="s">
        <v>1394</v>
      </c>
      <c r="E436" s="35" t="s">
        <v>10814</v>
      </c>
      <c r="F436" s="35" t="s">
        <v>10760</v>
      </c>
      <c r="G436" s="35">
        <v>191615</v>
      </c>
      <c r="H436" s="35">
        <v>240150</v>
      </c>
      <c r="I436" s="35">
        <v>200003</v>
      </c>
      <c r="J436" s="34" t="s">
        <v>1395</v>
      </c>
      <c r="K436" s="34" t="str">
        <f t="shared" si="14"/>
        <v>重复</v>
      </c>
      <c r="L436" s="34" t="str">
        <f t="shared" si="15"/>
        <v>不重复</v>
      </c>
    </row>
    <row r="437" spans="1:12" ht="15">
      <c r="A437" s="35" t="s">
        <v>10832</v>
      </c>
      <c r="B437" s="35" t="s">
        <v>1396</v>
      </c>
      <c r="C437" s="36" t="s">
        <v>1343</v>
      </c>
      <c r="D437" s="35" t="s">
        <v>1397</v>
      </c>
      <c r="E437" s="35" t="s">
        <v>10814</v>
      </c>
      <c r="F437" s="35" t="s">
        <v>10756</v>
      </c>
      <c r="G437" s="35">
        <v>191616</v>
      </c>
      <c r="H437" s="35">
        <v>240150</v>
      </c>
      <c r="I437" s="35">
        <v>200003</v>
      </c>
      <c r="J437" s="34" t="s">
        <v>1398</v>
      </c>
      <c r="K437" s="34" t="str">
        <f t="shared" si="14"/>
        <v>重复</v>
      </c>
      <c r="L437" s="34" t="str">
        <f t="shared" si="15"/>
        <v>不重复</v>
      </c>
    </row>
    <row r="438" spans="1:12" ht="15">
      <c r="A438" s="35" t="s">
        <v>10833</v>
      </c>
      <c r="B438" s="35" t="s">
        <v>1399</v>
      </c>
      <c r="C438" s="36" t="s">
        <v>1400</v>
      </c>
      <c r="D438" s="35" t="s">
        <v>1401</v>
      </c>
      <c r="E438" s="35" t="s">
        <v>10814</v>
      </c>
      <c r="F438" s="35" t="s">
        <v>10760</v>
      </c>
      <c r="G438" s="35">
        <v>191617</v>
      </c>
      <c r="H438" s="35">
        <v>240150</v>
      </c>
      <c r="I438" s="35">
        <v>200003</v>
      </c>
      <c r="J438" s="34" t="s">
        <v>1402</v>
      </c>
      <c r="K438" s="34" t="str">
        <f t="shared" si="14"/>
        <v>重复</v>
      </c>
      <c r="L438" s="34" t="str">
        <f t="shared" si="15"/>
        <v>不重复</v>
      </c>
    </row>
    <row r="439" spans="1:12" ht="15">
      <c r="A439" s="35" t="s">
        <v>10834</v>
      </c>
      <c r="B439" s="35" t="s">
        <v>1403</v>
      </c>
      <c r="C439" s="36" t="s">
        <v>1404</v>
      </c>
      <c r="D439" s="35" t="s">
        <v>1405</v>
      </c>
      <c r="E439" s="35" t="s">
        <v>10814</v>
      </c>
      <c r="F439" s="35" t="s">
        <v>10760</v>
      </c>
      <c r="G439" s="35">
        <v>191618</v>
      </c>
      <c r="H439" s="35">
        <v>240150</v>
      </c>
      <c r="I439" s="35">
        <v>200003</v>
      </c>
      <c r="J439" s="34" t="s">
        <v>1406</v>
      </c>
      <c r="K439" s="34" t="str">
        <f t="shared" si="14"/>
        <v>不重复</v>
      </c>
      <c r="L439" s="34" t="str">
        <f t="shared" si="15"/>
        <v>不重复</v>
      </c>
    </row>
    <row r="440" spans="1:12" ht="15">
      <c r="A440" s="35" t="s">
        <v>10835</v>
      </c>
      <c r="B440" s="35" t="s">
        <v>1407</v>
      </c>
      <c r="C440" s="36" t="s">
        <v>1408</v>
      </c>
      <c r="D440" s="35" t="s">
        <v>1409</v>
      </c>
      <c r="E440" s="35" t="s">
        <v>10814</v>
      </c>
      <c r="F440" s="35" t="s">
        <v>10760</v>
      </c>
      <c r="G440" s="35">
        <v>191619</v>
      </c>
      <c r="H440" s="35">
        <v>240150</v>
      </c>
      <c r="I440" s="35">
        <v>200003</v>
      </c>
      <c r="J440" s="34" t="s">
        <v>1410</v>
      </c>
      <c r="K440" s="34" t="str">
        <f t="shared" si="14"/>
        <v>重复</v>
      </c>
      <c r="L440" s="34" t="str">
        <f t="shared" si="15"/>
        <v>不重复</v>
      </c>
    </row>
    <row r="441" spans="1:12" ht="15">
      <c r="A441" s="35" t="s">
        <v>10836</v>
      </c>
      <c r="B441" s="35" t="s">
        <v>1411</v>
      </c>
      <c r="C441" s="36" t="s">
        <v>1272</v>
      </c>
      <c r="D441" s="35" t="s">
        <v>1412</v>
      </c>
      <c r="E441" s="35" t="s">
        <v>10814</v>
      </c>
      <c r="F441" s="35" t="s">
        <v>10760</v>
      </c>
      <c r="G441" s="35">
        <v>191620</v>
      </c>
      <c r="H441" s="35">
        <v>240150</v>
      </c>
      <c r="I441" s="35">
        <v>200003</v>
      </c>
      <c r="J441" s="34" t="s">
        <v>1413</v>
      </c>
      <c r="K441" s="34" t="str">
        <f t="shared" si="14"/>
        <v>重复</v>
      </c>
      <c r="L441" s="34" t="str">
        <f t="shared" si="15"/>
        <v>重复</v>
      </c>
    </row>
    <row r="442" spans="1:12" ht="30">
      <c r="A442" s="35" t="s">
        <v>10837</v>
      </c>
      <c r="B442" s="35" t="s">
        <v>1414</v>
      </c>
      <c r="C442" s="36" t="s">
        <v>1415</v>
      </c>
      <c r="D442" s="35" t="s">
        <v>1416</v>
      </c>
      <c r="E442" s="35" t="s">
        <v>10814</v>
      </c>
      <c r="F442" s="35" t="s">
        <v>10760</v>
      </c>
      <c r="G442" s="35">
        <v>191621</v>
      </c>
      <c r="H442" s="35">
        <v>240150</v>
      </c>
      <c r="I442" s="35">
        <v>200003</v>
      </c>
      <c r="J442" s="34" t="s">
        <v>1417</v>
      </c>
      <c r="K442" s="34" t="str">
        <f t="shared" si="14"/>
        <v>重复</v>
      </c>
      <c r="L442" s="34" t="str">
        <f t="shared" si="15"/>
        <v>不重复</v>
      </c>
    </row>
    <row r="443" spans="1:12" ht="15">
      <c r="A443" s="35" t="s">
        <v>10838</v>
      </c>
      <c r="B443" s="35" t="s">
        <v>1418</v>
      </c>
      <c r="C443" s="36" t="s">
        <v>1419</v>
      </c>
      <c r="D443" s="35" t="s">
        <v>1420</v>
      </c>
      <c r="E443" s="35" t="s">
        <v>10814</v>
      </c>
      <c r="F443" s="35" t="s">
        <v>10760</v>
      </c>
      <c r="G443" s="35">
        <v>191622</v>
      </c>
      <c r="H443" s="35">
        <v>240150</v>
      </c>
      <c r="I443" s="35">
        <v>200003</v>
      </c>
      <c r="J443" s="34" t="s">
        <v>1395</v>
      </c>
      <c r="K443" s="34" t="str">
        <f t="shared" si="14"/>
        <v>重复</v>
      </c>
      <c r="L443" s="34" t="str">
        <f t="shared" si="15"/>
        <v>不重复</v>
      </c>
    </row>
    <row r="444" spans="1:12" ht="15">
      <c r="A444" s="35" t="s">
        <v>10839</v>
      </c>
      <c r="B444" s="35" t="s">
        <v>1421</v>
      </c>
      <c r="C444" s="36" t="s">
        <v>1422</v>
      </c>
      <c r="D444" s="35" t="s">
        <v>1423</v>
      </c>
      <c r="E444" s="35" t="s">
        <v>10814</v>
      </c>
      <c r="F444" s="35" t="s">
        <v>10760</v>
      </c>
      <c r="G444" s="35">
        <v>191623</v>
      </c>
      <c r="H444" s="35">
        <v>240150</v>
      </c>
      <c r="I444" s="35">
        <v>200003</v>
      </c>
      <c r="J444" s="34" t="s">
        <v>148</v>
      </c>
      <c r="K444" s="34" t="str">
        <f t="shared" si="14"/>
        <v>重复</v>
      </c>
      <c r="L444" s="34" t="str">
        <f t="shared" si="15"/>
        <v>不重复</v>
      </c>
    </row>
    <row r="445" spans="1:12" ht="15">
      <c r="A445" s="35" t="s">
        <v>10840</v>
      </c>
      <c r="B445" s="35" t="s">
        <v>1424</v>
      </c>
      <c r="C445" s="36" t="s">
        <v>1425</v>
      </c>
      <c r="D445" s="35" t="s">
        <v>1426</v>
      </c>
      <c r="E445" s="35" t="s">
        <v>10814</v>
      </c>
      <c r="F445" s="35" t="s">
        <v>10760</v>
      </c>
      <c r="G445" s="35">
        <v>191624</v>
      </c>
      <c r="H445" s="35">
        <v>240150</v>
      </c>
      <c r="I445" s="35">
        <v>200003</v>
      </c>
      <c r="J445" s="34" t="s">
        <v>1427</v>
      </c>
      <c r="K445" s="34" t="str">
        <f t="shared" si="14"/>
        <v>不重复</v>
      </c>
      <c r="L445" s="34" t="str">
        <f t="shared" si="15"/>
        <v>不重复</v>
      </c>
    </row>
    <row r="446" spans="1:12" ht="15">
      <c r="A446" s="35" t="s">
        <v>10841</v>
      </c>
      <c r="B446" s="35" t="s">
        <v>1428</v>
      </c>
      <c r="C446" s="36" t="s">
        <v>1429</v>
      </c>
      <c r="D446" s="35" t="s">
        <v>1430</v>
      </c>
      <c r="E446" s="35" t="s">
        <v>10814</v>
      </c>
      <c r="F446" s="35" t="s">
        <v>10760</v>
      </c>
      <c r="G446" s="35">
        <v>191625</v>
      </c>
      <c r="H446" s="35">
        <v>240150</v>
      </c>
      <c r="I446" s="35">
        <v>200003</v>
      </c>
      <c r="J446" s="34" t="s">
        <v>1395</v>
      </c>
      <c r="K446" s="34" t="str">
        <f t="shared" si="14"/>
        <v>重复</v>
      </c>
      <c r="L446" s="34" t="str">
        <f t="shared" si="15"/>
        <v>不重复</v>
      </c>
    </row>
    <row r="447" spans="1:12" ht="15">
      <c r="A447" s="35" t="s">
        <v>10842</v>
      </c>
      <c r="B447" s="35" t="s">
        <v>1431</v>
      </c>
      <c r="C447" s="36" t="s">
        <v>1415</v>
      </c>
      <c r="D447" s="35" t="s">
        <v>1432</v>
      </c>
      <c r="E447" s="35" t="s">
        <v>10814</v>
      </c>
      <c r="F447" s="35" t="s">
        <v>10760</v>
      </c>
      <c r="G447" s="35">
        <v>191626</v>
      </c>
      <c r="H447" s="35">
        <v>240150</v>
      </c>
      <c r="I447" s="35">
        <v>200003</v>
      </c>
      <c r="J447" s="34" t="s">
        <v>16</v>
      </c>
      <c r="K447" s="34" t="str">
        <f t="shared" si="14"/>
        <v>重复</v>
      </c>
      <c r="L447" s="34" t="str">
        <f t="shared" si="15"/>
        <v>不重复</v>
      </c>
    </row>
    <row r="448" spans="1:12" ht="15">
      <c r="A448" s="35" t="s">
        <v>10843</v>
      </c>
      <c r="B448" s="35" t="s">
        <v>1433</v>
      </c>
      <c r="C448" s="36" t="s">
        <v>1434</v>
      </c>
      <c r="D448" s="35" t="s">
        <v>1435</v>
      </c>
      <c r="E448" s="35" t="s">
        <v>10843</v>
      </c>
      <c r="F448" s="35" t="s">
        <v>10760</v>
      </c>
      <c r="G448" s="35">
        <v>191700</v>
      </c>
      <c r="H448" s="35">
        <v>240160</v>
      </c>
      <c r="I448" s="35">
        <v>200003</v>
      </c>
      <c r="J448" s="34" t="s">
        <v>16</v>
      </c>
      <c r="K448" s="34" t="str">
        <f t="shared" si="14"/>
        <v>重复</v>
      </c>
      <c r="L448" s="34" t="str">
        <f t="shared" si="15"/>
        <v>不重复</v>
      </c>
    </row>
    <row r="449" spans="1:12" ht="15">
      <c r="A449" s="35" t="s">
        <v>10844</v>
      </c>
      <c r="B449" s="35" t="s">
        <v>1436</v>
      </c>
      <c r="C449" s="36" t="s">
        <v>1400</v>
      </c>
      <c r="D449" s="35" t="s">
        <v>1437</v>
      </c>
      <c r="E449" s="35" t="s">
        <v>10843</v>
      </c>
      <c r="F449" s="35" t="s">
        <v>10845</v>
      </c>
      <c r="G449" s="35">
        <v>191701</v>
      </c>
      <c r="H449" s="35">
        <v>240160</v>
      </c>
      <c r="I449" s="35">
        <v>200003</v>
      </c>
      <c r="J449" s="34" t="s">
        <v>1438</v>
      </c>
      <c r="K449" s="34" t="str">
        <f t="shared" si="14"/>
        <v>重复</v>
      </c>
      <c r="L449" s="34" t="str">
        <f t="shared" si="15"/>
        <v>不重复</v>
      </c>
    </row>
    <row r="450" spans="1:12" ht="30">
      <c r="A450" s="35" t="s">
        <v>10846</v>
      </c>
      <c r="B450" s="35" t="s">
        <v>1439</v>
      </c>
      <c r="C450" s="36" t="s">
        <v>1363</v>
      </c>
      <c r="D450" s="35" t="s">
        <v>1440</v>
      </c>
      <c r="E450" s="35" t="s">
        <v>10843</v>
      </c>
      <c r="F450" s="35" t="s">
        <v>10760</v>
      </c>
      <c r="G450" s="35">
        <v>191702</v>
      </c>
      <c r="H450" s="35">
        <v>240160</v>
      </c>
      <c r="I450" s="35">
        <v>200003</v>
      </c>
      <c r="J450" s="34" t="s">
        <v>889</v>
      </c>
      <c r="K450" s="34" t="str">
        <f t="shared" si="14"/>
        <v>重复</v>
      </c>
      <c r="L450" s="34" t="str">
        <f t="shared" si="15"/>
        <v>不重复</v>
      </c>
    </row>
    <row r="451" spans="1:12" ht="15">
      <c r="A451" s="35" t="s">
        <v>10847</v>
      </c>
      <c r="B451" s="35" t="s">
        <v>1441</v>
      </c>
      <c r="C451" s="36" t="s">
        <v>1363</v>
      </c>
      <c r="D451" s="35" t="s">
        <v>1442</v>
      </c>
      <c r="E451" s="35" t="s">
        <v>10843</v>
      </c>
      <c r="F451" s="35" t="s">
        <v>10760</v>
      </c>
      <c r="G451" s="35">
        <v>191703</v>
      </c>
      <c r="H451" s="35">
        <v>240160</v>
      </c>
      <c r="I451" s="35">
        <v>200003</v>
      </c>
      <c r="J451" s="34" t="s">
        <v>82</v>
      </c>
      <c r="K451" s="34" t="str">
        <f t="shared" si="14"/>
        <v>重复</v>
      </c>
      <c r="L451" s="34" t="str">
        <f t="shared" si="15"/>
        <v>不重复</v>
      </c>
    </row>
    <row r="452" spans="1:12" ht="30">
      <c r="A452" s="35" t="s">
        <v>10848</v>
      </c>
      <c r="B452" s="35" t="s">
        <v>1443</v>
      </c>
      <c r="C452" s="36" t="s">
        <v>1444</v>
      </c>
      <c r="D452" s="35" t="s">
        <v>1445</v>
      </c>
      <c r="E452" s="35" t="s">
        <v>10843</v>
      </c>
      <c r="F452" s="35" t="s">
        <v>10760</v>
      </c>
      <c r="G452" s="35">
        <v>191704</v>
      </c>
      <c r="H452" s="35">
        <v>240160</v>
      </c>
      <c r="I452" s="35">
        <v>200003</v>
      </c>
      <c r="J452" s="34" t="s">
        <v>1446</v>
      </c>
      <c r="K452" s="34" t="str">
        <f t="shared" si="14"/>
        <v>重复</v>
      </c>
      <c r="L452" s="34" t="str">
        <f t="shared" si="15"/>
        <v>不重复</v>
      </c>
    </row>
    <row r="453" spans="1:12" ht="15">
      <c r="A453" s="35" t="s">
        <v>10849</v>
      </c>
      <c r="B453" s="35" t="s">
        <v>1447</v>
      </c>
      <c r="C453" s="36" t="s">
        <v>1448</v>
      </c>
      <c r="D453" s="35" t="s">
        <v>1449</v>
      </c>
      <c r="E453" s="35" t="s">
        <v>10843</v>
      </c>
      <c r="F453" s="35" t="s">
        <v>10760</v>
      </c>
      <c r="G453" s="35">
        <v>191705</v>
      </c>
      <c r="H453" s="35">
        <v>240160</v>
      </c>
      <c r="I453" s="35">
        <v>200003</v>
      </c>
      <c r="J453" s="34" t="s">
        <v>152</v>
      </c>
      <c r="K453" s="34" t="str">
        <f t="shared" si="14"/>
        <v>不重复</v>
      </c>
      <c r="L453" s="34" t="str">
        <f t="shared" si="15"/>
        <v>不重复</v>
      </c>
    </row>
    <row r="454" spans="1:12" ht="15">
      <c r="A454" s="35" t="s">
        <v>10850</v>
      </c>
      <c r="B454" s="35" t="s">
        <v>1450</v>
      </c>
      <c r="C454" s="36" t="s">
        <v>1408</v>
      </c>
      <c r="D454" s="35" t="s">
        <v>1451</v>
      </c>
      <c r="E454" s="35" t="s">
        <v>10843</v>
      </c>
      <c r="F454" s="35" t="s">
        <v>10760</v>
      </c>
      <c r="G454" s="35">
        <v>191706</v>
      </c>
      <c r="H454" s="35">
        <v>240160</v>
      </c>
      <c r="I454" s="35">
        <v>200003</v>
      </c>
      <c r="J454" s="34" t="s">
        <v>148</v>
      </c>
      <c r="K454" s="34" t="str">
        <f t="shared" si="14"/>
        <v>重复</v>
      </c>
      <c r="L454" s="34" t="str">
        <f t="shared" si="15"/>
        <v>不重复</v>
      </c>
    </row>
    <row r="455" spans="1:12" ht="27">
      <c r="A455" s="35" t="s">
        <v>10851</v>
      </c>
      <c r="B455" s="35" t="s">
        <v>1452</v>
      </c>
      <c r="C455" s="36" t="s">
        <v>1453</v>
      </c>
      <c r="D455" s="35" t="s">
        <v>1454</v>
      </c>
      <c r="E455" s="35" t="s">
        <v>10843</v>
      </c>
      <c r="F455" s="35" t="s">
        <v>10760</v>
      </c>
      <c r="G455" s="35">
        <v>191707</v>
      </c>
      <c r="H455" s="35">
        <v>240160</v>
      </c>
      <c r="I455" s="35">
        <v>200003</v>
      </c>
      <c r="J455" s="34" t="s">
        <v>1455</v>
      </c>
      <c r="K455" s="34" t="str">
        <f t="shared" si="14"/>
        <v>重复</v>
      </c>
      <c r="L455" s="34" t="str">
        <f t="shared" si="15"/>
        <v>重复</v>
      </c>
    </row>
    <row r="456" spans="1:12" ht="27">
      <c r="A456" s="35" t="s">
        <v>10852</v>
      </c>
      <c r="B456" s="35" t="s">
        <v>1456</v>
      </c>
      <c r="C456" s="36" t="s">
        <v>1457</v>
      </c>
      <c r="D456" s="35" t="s">
        <v>1458</v>
      </c>
      <c r="E456" s="35" t="s">
        <v>10843</v>
      </c>
      <c r="F456" s="35" t="s">
        <v>10760</v>
      </c>
      <c r="G456" s="35">
        <v>191708</v>
      </c>
      <c r="H456" s="35">
        <v>240160</v>
      </c>
      <c r="I456" s="35">
        <v>200003</v>
      </c>
      <c r="J456" s="34" t="s">
        <v>133</v>
      </c>
      <c r="K456" s="34" t="str">
        <f t="shared" si="14"/>
        <v>不重复</v>
      </c>
      <c r="L456" s="34" t="str">
        <f t="shared" si="15"/>
        <v>不重复</v>
      </c>
    </row>
    <row r="457" spans="1:12" ht="27">
      <c r="A457" s="35" t="s">
        <v>10853</v>
      </c>
      <c r="B457" s="35" t="s">
        <v>1459</v>
      </c>
      <c r="C457" s="36" t="s">
        <v>1460</v>
      </c>
      <c r="D457" s="35" t="s">
        <v>1461</v>
      </c>
      <c r="E457" s="35" t="s">
        <v>10843</v>
      </c>
      <c r="F457" s="35" t="s">
        <v>10756</v>
      </c>
      <c r="G457" s="35">
        <v>191709</v>
      </c>
      <c r="H457" s="35">
        <v>240160</v>
      </c>
      <c r="I457" s="35">
        <v>200003</v>
      </c>
      <c r="J457" s="34" t="s">
        <v>1462</v>
      </c>
      <c r="K457" s="34" t="str">
        <f t="shared" si="14"/>
        <v>不重复</v>
      </c>
      <c r="L457" s="34" t="str">
        <f t="shared" si="15"/>
        <v>不重复</v>
      </c>
    </row>
    <row r="458" spans="1:12" ht="15">
      <c r="A458" s="35" t="s">
        <v>10854</v>
      </c>
      <c r="B458" s="35" t="s">
        <v>1463</v>
      </c>
      <c r="C458" s="36" t="s">
        <v>1341</v>
      </c>
      <c r="D458" s="35" t="s">
        <v>1464</v>
      </c>
      <c r="E458" s="35" t="s">
        <v>10843</v>
      </c>
      <c r="F458" s="35" t="s">
        <v>10760</v>
      </c>
      <c r="G458" s="35">
        <v>191710</v>
      </c>
      <c r="H458" s="35">
        <v>240160</v>
      </c>
      <c r="I458" s="35">
        <v>200003</v>
      </c>
      <c r="J458" s="34" t="s">
        <v>458</v>
      </c>
      <c r="K458" s="34" t="str">
        <f t="shared" si="14"/>
        <v>重复</v>
      </c>
      <c r="L458" s="34" t="str">
        <f t="shared" si="15"/>
        <v>不重复</v>
      </c>
    </row>
    <row r="459" spans="1:12" ht="27">
      <c r="A459" s="35" t="s">
        <v>10855</v>
      </c>
      <c r="B459" s="35" t="s">
        <v>1465</v>
      </c>
      <c r="C459" s="36" t="s">
        <v>1466</v>
      </c>
      <c r="D459" s="35" t="s">
        <v>1467</v>
      </c>
      <c r="E459" s="35" t="s">
        <v>10843</v>
      </c>
      <c r="F459" s="35" t="s">
        <v>10845</v>
      </c>
      <c r="G459" s="35">
        <v>191711</v>
      </c>
      <c r="H459" s="35">
        <v>240160</v>
      </c>
      <c r="I459" s="35">
        <v>200003</v>
      </c>
      <c r="J459" s="34" t="s">
        <v>1468</v>
      </c>
      <c r="K459" s="34" t="str">
        <f t="shared" si="14"/>
        <v>重复</v>
      </c>
      <c r="L459" s="34" t="str">
        <f t="shared" si="15"/>
        <v>不重复</v>
      </c>
    </row>
    <row r="460" spans="1:12" ht="27">
      <c r="A460" s="35" t="s">
        <v>10856</v>
      </c>
      <c r="B460" s="35" t="s">
        <v>1469</v>
      </c>
      <c r="C460" s="36" t="s">
        <v>1300</v>
      </c>
      <c r="D460" s="35" t="s">
        <v>1470</v>
      </c>
      <c r="E460" s="35" t="s">
        <v>10843</v>
      </c>
      <c r="F460" s="35" t="s">
        <v>10760</v>
      </c>
      <c r="G460" s="35">
        <v>191712</v>
      </c>
      <c r="H460" s="35">
        <v>240160</v>
      </c>
      <c r="I460" s="35">
        <v>200003</v>
      </c>
      <c r="J460" s="34" t="s">
        <v>1410</v>
      </c>
      <c r="K460" s="34" t="str">
        <f t="shared" si="14"/>
        <v>重复</v>
      </c>
      <c r="L460" s="34" t="str">
        <f t="shared" si="15"/>
        <v>重复</v>
      </c>
    </row>
    <row r="461" spans="1:12" ht="15">
      <c r="A461" s="35" t="s">
        <v>10857</v>
      </c>
      <c r="B461" s="35" t="s">
        <v>1471</v>
      </c>
      <c r="C461" s="36" t="s">
        <v>1472</v>
      </c>
      <c r="D461" s="35" t="s">
        <v>1470</v>
      </c>
      <c r="E461" s="35" t="s">
        <v>10843</v>
      </c>
      <c r="F461" s="35" t="s">
        <v>10760</v>
      </c>
      <c r="G461" s="35">
        <v>191713</v>
      </c>
      <c r="H461" s="35">
        <v>240160</v>
      </c>
      <c r="I461" s="35">
        <v>200003</v>
      </c>
      <c r="J461" s="34" t="s">
        <v>1473</v>
      </c>
      <c r="K461" s="34" t="str">
        <f t="shared" si="14"/>
        <v>重复</v>
      </c>
      <c r="L461" s="34" t="str">
        <f t="shared" si="15"/>
        <v>重复</v>
      </c>
    </row>
    <row r="462" spans="1:12" ht="15">
      <c r="A462" s="35" t="s">
        <v>10858</v>
      </c>
      <c r="B462" s="35" t="s">
        <v>1474</v>
      </c>
      <c r="C462" s="36" t="s">
        <v>1434</v>
      </c>
      <c r="D462" s="35" t="s">
        <v>1475</v>
      </c>
      <c r="E462" s="35" t="s">
        <v>10843</v>
      </c>
      <c r="F462" s="35" t="s">
        <v>10845</v>
      </c>
      <c r="G462" s="35">
        <v>191714</v>
      </c>
      <c r="H462" s="35">
        <v>240160</v>
      </c>
      <c r="I462" s="35">
        <v>200003</v>
      </c>
      <c r="J462" s="34" t="s">
        <v>1476</v>
      </c>
      <c r="K462" s="34" t="str">
        <f t="shared" si="14"/>
        <v>重复</v>
      </c>
      <c r="L462" s="34" t="str">
        <f t="shared" si="15"/>
        <v>不重复</v>
      </c>
    </row>
    <row r="463" spans="1:12" ht="15">
      <c r="A463" s="35" t="s">
        <v>10859</v>
      </c>
      <c r="B463" s="35" t="s">
        <v>1477</v>
      </c>
      <c r="C463" s="36" t="s">
        <v>1478</v>
      </c>
      <c r="D463" s="35" t="s">
        <v>1479</v>
      </c>
      <c r="E463" s="35" t="s">
        <v>10843</v>
      </c>
      <c r="F463" s="35" t="s">
        <v>10760</v>
      </c>
      <c r="G463" s="35">
        <v>191715</v>
      </c>
      <c r="H463" s="35">
        <v>240160</v>
      </c>
      <c r="I463" s="35">
        <v>200003</v>
      </c>
      <c r="J463" s="34" t="s">
        <v>82</v>
      </c>
      <c r="K463" s="34" t="str">
        <f t="shared" si="14"/>
        <v>不重复</v>
      </c>
      <c r="L463" s="34" t="str">
        <f t="shared" si="15"/>
        <v>不重复</v>
      </c>
    </row>
    <row r="464" spans="1:12" ht="30">
      <c r="A464" s="35" t="s">
        <v>10860</v>
      </c>
      <c r="B464" s="35" t="s">
        <v>1480</v>
      </c>
      <c r="C464" s="36" t="s">
        <v>1466</v>
      </c>
      <c r="D464" s="35" t="s">
        <v>1481</v>
      </c>
      <c r="E464" s="35" t="s">
        <v>10843</v>
      </c>
      <c r="F464" s="35" t="s">
        <v>10756</v>
      </c>
      <c r="G464" s="35">
        <v>191716</v>
      </c>
      <c r="H464" s="35">
        <v>240160</v>
      </c>
      <c r="I464" s="35">
        <v>200003</v>
      </c>
      <c r="J464" s="34" t="s">
        <v>1462</v>
      </c>
      <c r="K464" s="34" t="str">
        <f t="shared" si="14"/>
        <v>重复</v>
      </c>
      <c r="L464" s="34" t="str">
        <f t="shared" si="15"/>
        <v>不重复</v>
      </c>
    </row>
    <row r="465" spans="1:12" ht="15">
      <c r="A465" s="35" t="s">
        <v>10861</v>
      </c>
      <c r="B465" s="35" t="s">
        <v>1482</v>
      </c>
      <c r="C465" s="36" t="s">
        <v>1483</v>
      </c>
      <c r="D465" s="35" t="s">
        <v>1484</v>
      </c>
      <c r="E465" s="35" t="s">
        <v>10843</v>
      </c>
      <c r="F465" s="35" t="s">
        <v>10756</v>
      </c>
      <c r="G465" s="35">
        <v>191717</v>
      </c>
      <c r="H465" s="35">
        <v>240160</v>
      </c>
      <c r="I465" s="35">
        <v>200003</v>
      </c>
      <c r="J465" s="34" t="s">
        <v>16</v>
      </c>
      <c r="K465" s="34" t="str">
        <f t="shared" si="14"/>
        <v>不重复</v>
      </c>
      <c r="L465" s="34" t="str">
        <f t="shared" si="15"/>
        <v>不重复</v>
      </c>
    </row>
    <row r="466" spans="1:12" ht="27">
      <c r="A466" s="35" t="s">
        <v>10851</v>
      </c>
      <c r="B466" s="35" t="s">
        <v>1452</v>
      </c>
      <c r="C466" s="36" t="s">
        <v>1453</v>
      </c>
      <c r="D466" s="35" t="s">
        <v>1454</v>
      </c>
      <c r="E466" s="35" t="s">
        <v>10862</v>
      </c>
      <c r="F466" s="35" t="s">
        <v>10760</v>
      </c>
      <c r="G466" s="35">
        <v>191718</v>
      </c>
      <c r="H466" s="35">
        <v>240160</v>
      </c>
      <c r="I466" s="35">
        <v>200003</v>
      </c>
      <c r="J466" s="34" t="s">
        <v>1485</v>
      </c>
      <c r="K466" s="34" t="str">
        <f t="shared" si="14"/>
        <v>重复</v>
      </c>
      <c r="L466" s="34" t="str">
        <f t="shared" si="15"/>
        <v>重复</v>
      </c>
    </row>
    <row r="467" spans="1:12" ht="15">
      <c r="A467" s="35" t="s">
        <v>10863</v>
      </c>
      <c r="B467" s="35" t="s">
        <v>1486</v>
      </c>
      <c r="C467" s="36" t="s">
        <v>1487</v>
      </c>
      <c r="D467" s="35" t="s">
        <v>1488</v>
      </c>
      <c r="E467" s="35" t="s">
        <v>10864</v>
      </c>
      <c r="F467" s="35" t="s">
        <v>10760</v>
      </c>
      <c r="G467" s="35">
        <v>191801</v>
      </c>
      <c r="H467" s="35">
        <v>240160</v>
      </c>
      <c r="I467" s="35">
        <v>200003</v>
      </c>
      <c r="J467" s="34"/>
      <c r="K467" s="34" t="str">
        <f t="shared" si="14"/>
        <v>重复</v>
      </c>
      <c r="L467" s="34" t="str">
        <f t="shared" si="15"/>
        <v>重复</v>
      </c>
    </row>
    <row r="468" spans="1:12" ht="27">
      <c r="A468" s="35" t="s">
        <v>10865</v>
      </c>
      <c r="B468" s="35" t="s">
        <v>1489</v>
      </c>
      <c r="C468" s="36" t="s">
        <v>1490</v>
      </c>
      <c r="D468" s="35" t="s">
        <v>1491</v>
      </c>
      <c r="E468" s="35" t="s">
        <v>10864</v>
      </c>
      <c r="F468" s="35"/>
      <c r="G468" s="35"/>
      <c r="H468" s="35"/>
      <c r="I468" s="35"/>
      <c r="J468" s="34"/>
      <c r="K468" s="34" t="str">
        <f t="shared" si="14"/>
        <v>不重复</v>
      </c>
      <c r="L468" s="34" t="str">
        <f t="shared" si="15"/>
        <v>不重复</v>
      </c>
    </row>
    <row r="469" spans="1:12" ht="15">
      <c r="A469" s="35" t="s">
        <v>10866</v>
      </c>
      <c r="B469" s="35" t="s">
        <v>1492</v>
      </c>
      <c r="C469" s="36" t="s">
        <v>1493</v>
      </c>
      <c r="D469" s="35" t="s">
        <v>1494</v>
      </c>
      <c r="E469" s="35" t="s">
        <v>10866</v>
      </c>
      <c r="F469" s="35" t="s">
        <v>10866</v>
      </c>
      <c r="G469" s="35">
        <v>200000</v>
      </c>
      <c r="H469" s="35">
        <v>250000</v>
      </c>
      <c r="I469" s="35">
        <v>200004</v>
      </c>
      <c r="J469" s="34" t="s">
        <v>16</v>
      </c>
      <c r="K469" s="34" t="str">
        <f t="shared" si="14"/>
        <v>重复</v>
      </c>
      <c r="L469" s="34" t="str">
        <f t="shared" si="15"/>
        <v>重复</v>
      </c>
    </row>
    <row r="470" spans="1:12" ht="15">
      <c r="A470" s="35" t="s">
        <v>10867</v>
      </c>
      <c r="B470" s="35" t="s">
        <v>1495</v>
      </c>
      <c r="C470" s="36" t="s">
        <v>1496</v>
      </c>
      <c r="D470" s="35" t="s">
        <v>1497</v>
      </c>
      <c r="E470" s="35" t="s">
        <v>10867</v>
      </c>
      <c r="F470" s="35" t="s">
        <v>10867</v>
      </c>
      <c r="G470" s="35">
        <v>200407</v>
      </c>
      <c r="H470" s="35">
        <v>250000</v>
      </c>
      <c r="I470" s="35">
        <v>200021</v>
      </c>
      <c r="J470" s="34"/>
      <c r="K470" s="34" t="str">
        <f t="shared" si="16" ref="K470:K533">IF(COUNTIF(C:C,C470)&gt;=2,"重复","不重复")</f>
        <v>重复</v>
      </c>
      <c r="L470" s="34" t="str">
        <f t="shared" si="15"/>
        <v>重复</v>
      </c>
    </row>
    <row r="471" spans="1:12" ht="15">
      <c r="A471" s="35" t="s">
        <v>10868</v>
      </c>
      <c r="B471" s="35" t="s">
        <v>1498</v>
      </c>
      <c r="C471" s="36" t="s">
        <v>1499</v>
      </c>
      <c r="D471" s="35" t="s">
        <v>1500</v>
      </c>
      <c r="E471" s="35" t="s">
        <v>10868</v>
      </c>
      <c r="F471" s="35" t="s">
        <v>10869</v>
      </c>
      <c r="G471" s="35">
        <v>200100</v>
      </c>
      <c r="H471" s="35">
        <v>250000</v>
      </c>
      <c r="I471" s="35">
        <v>200004</v>
      </c>
      <c r="J471" s="34" t="s">
        <v>16</v>
      </c>
      <c r="K471" s="34" t="str">
        <f t="shared" si="16"/>
        <v>重复</v>
      </c>
      <c r="L471" s="34" t="str">
        <f t="shared" si="17" ref="L471:L534">IF(COUNTIF(D:D,D471)&gt;=2,"重复","不重复")</f>
        <v>重复</v>
      </c>
    </row>
    <row r="472" spans="1:12" ht="15">
      <c r="A472" s="35" t="s">
        <v>10870</v>
      </c>
      <c r="B472" s="35" t="s">
        <v>1501</v>
      </c>
      <c r="C472" s="36" t="s">
        <v>1502</v>
      </c>
      <c r="D472" s="35" t="s">
        <v>1503</v>
      </c>
      <c r="E472" s="35" t="s">
        <v>10868</v>
      </c>
      <c r="F472" s="35" t="s">
        <v>10869</v>
      </c>
      <c r="G472" s="35">
        <v>200101</v>
      </c>
      <c r="H472" s="35">
        <v>250000</v>
      </c>
      <c r="I472" s="35">
        <v>200004</v>
      </c>
      <c r="J472" s="34" t="s">
        <v>16</v>
      </c>
      <c r="K472" s="34" t="str">
        <f t="shared" si="16"/>
        <v>重复</v>
      </c>
      <c r="L472" s="34" t="str">
        <f t="shared" si="17"/>
        <v>不重复</v>
      </c>
    </row>
    <row r="473" spans="1:12" ht="15">
      <c r="A473" s="35" t="s">
        <v>10871</v>
      </c>
      <c r="B473" s="35" t="s">
        <v>1504</v>
      </c>
      <c r="C473" s="36" t="s">
        <v>448</v>
      </c>
      <c r="D473" s="35" t="s">
        <v>1505</v>
      </c>
      <c r="E473" s="35" t="s">
        <v>10868</v>
      </c>
      <c r="F473" s="35" t="s">
        <v>10869</v>
      </c>
      <c r="G473" s="35">
        <v>200102</v>
      </c>
      <c r="H473" s="35">
        <v>250000</v>
      </c>
      <c r="I473" s="35">
        <v>200004</v>
      </c>
      <c r="J473" s="34" t="s">
        <v>715</v>
      </c>
      <c r="K473" s="34" t="str">
        <f t="shared" si="16"/>
        <v>重复</v>
      </c>
      <c r="L473" s="34" t="str">
        <f t="shared" si="17"/>
        <v>不重复</v>
      </c>
    </row>
    <row r="474" spans="1:12" ht="15">
      <c r="A474" s="35" t="s">
        <v>10872</v>
      </c>
      <c r="B474" s="35" t="s">
        <v>1506</v>
      </c>
      <c r="C474" s="36" t="s">
        <v>1507</v>
      </c>
      <c r="D474" s="35" t="s">
        <v>1508</v>
      </c>
      <c r="E474" s="35" t="s">
        <v>10868</v>
      </c>
      <c r="F474" s="35" t="s">
        <v>10869</v>
      </c>
      <c r="G474" s="35">
        <v>200103</v>
      </c>
      <c r="H474" s="35">
        <v>250000</v>
      </c>
      <c r="I474" s="35">
        <v>200004</v>
      </c>
      <c r="J474" s="34" t="s">
        <v>347</v>
      </c>
      <c r="K474" s="34" t="str">
        <f t="shared" si="16"/>
        <v>不重复</v>
      </c>
      <c r="L474" s="34" t="str">
        <f t="shared" si="17"/>
        <v>重复</v>
      </c>
    </row>
    <row r="475" spans="1:12" ht="27">
      <c r="A475" s="35" t="s">
        <v>10873</v>
      </c>
      <c r="B475" s="35" t="s">
        <v>1509</v>
      </c>
      <c r="C475" s="36" t="s">
        <v>1510</v>
      </c>
      <c r="D475" s="35" t="s">
        <v>1511</v>
      </c>
      <c r="E475" s="35" t="s">
        <v>10868</v>
      </c>
      <c r="F475" s="35" t="s">
        <v>10869</v>
      </c>
      <c r="G475" s="35">
        <v>200104</v>
      </c>
      <c r="H475" s="35">
        <v>250000</v>
      </c>
      <c r="I475" s="35">
        <v>200004</v>
      </c>
      <c r="J475" s="34" t="s">
        <v>1512</v>
      </c>
      <c r="K475" s="34" t="str">
        <f t="shared" si="16"/>
        <v>不重复</v>
      </c>
      <c r="L475" s="34" t="str">
        <f t="shared" si="17"/>
        <v>不重复</v>
      </c>
    </row>
    <row r="476" spans="1:12" ht="15">
      <c r="A476" s="35" t="s">
        <v>10874</v>
      </c>
      <c r="B476" s="35" t="s">
        <v>1513</v>
      </c>
      <c r="C476" s="36" t="s">
        <v>1514</v>
      </c>
      <c r="D476" s="35" t="s">
        <v>1515</v>
      </c>
      <c r="E476" s="35" t="s">
        <v>10868</v>
      </c>
      <c r="F476" s="35" t="s">
        <v>10867</v>
      </c>
      <c r="G476" s="35">
        <v>200105</v>
      </c>
      <c r="H476" s="35">
        <v>250000</v>
      </c>
      <c r="I476" s="35">
        <v>200004</v>
      </c>
      <c r="J476" s="34" t="s">
        <v>1516</v>
      </c>
      <c r="K476" s="34" t="str">
        <f t="shared" si="16"/>
        <v>不重复</v>
      </c>
      <c r="L476" s="34" t="str">
        <f t="shared" si="17"/>
        <v>不重复</v>
      </c>
    </row>
    <row r="477" spans="1:12" ht="15">
      <c r="A477" s="35" t="s">
        <v>10875</v>
      </c>
      <c r="B477" s="35" t="s">
        <v>1517</v>
      </c>
      <c r="C477" s="36" t="s">
        <v>758</v>
      </c>
      <c r="D477" s="35" t="s">
        <v>1518</v>
      </c>
      <c r="E477" s="35" t="s">
        <v>10868</v>
      </c>
      <c r="F477" s="35" t="s">
        <v>10876</v>
      </c>
      <c r="G477" s="35">
        <v>200106</v>
      </c>
      <c r="H477" s="35">
        <v>250000</v>
      </c>
      <c r="I477" s="35">
        <v>200004</v>
      </c>
      <c r="J477" s="34" t="s">
        <v>962</v>
      </c>
      <c r="K477" s="34" t="str">
        <f t="shared" si="16"/>
        <v>重复</v>
      </c>
      <c r="L477" s="34" t="str">
        <f t="shared" si="17"/>
        <v>不重复</v>
      </c>
    </row>
    <row r="478" spans="1:12" ht="15">
      <c r="A478" s="35" t="s">
        <v>10877</v>
      </c>
      <c r="B478" s="35" t="s">
        <v>1519</v>
      </c>
      <c r="C478" s="36" t="s">
        <v>1520</v>
      </c>
      <c r="D478" s="35" t="s">
        <v>1521</v>
      </c>
      <c r="E478" s="35" t="s">
        <v>10868</v>
      </c>
      <c r="F478" s="35" t="s">
        <v>10867</v>
      </c>
      <c r="G478" s="35">
        <v>200107</v>
      </c>
      <c r="H478" s="35">
        <v>250000</v>
      </c>
      <c r="I478" s="35">
        <v>200004</v>
      </c>
      <c r="J478" s="34" t="s">
        <v>1512</v>
      </c>
      <c r="K478" s="34" t="str">
        <f t="shared" si="16"/>
        <v>不重复</v>
      </c>
      <c r="L478" s="34" t="str">
        <f t="shared" si="17"/>
        <v>不重复</v>
      </c>
    </row>
    <row r="479" spans="1:12" ht="27">
      <c r="A479" s="35" t="s">
        <v>10878</v>
      </c>
      <c r="B479" s="35" t="s">
        <v>1522</v>
      </c>
      <c r="C479" s="36" t="s">
        <v>1523</v>
      </c>
      <c r="D479" s="35" t="s">
        <v>1524</v>
      </c>
      <c r="E479" s="35" t="s">
        <v>10868</v>
      </c>
      <c r="F479" s="35" t="s">
        <v>10867</v>
      </c>
      <c r="G479" s="35">
        <v>200108</v>
      </c>
      <c r="H479" s="35">
        <v>250000</v>
      </c>
      <c r="I479" s="35">
        <v>200004</v>
      </c>
      <c r="J479" s="34" t="s">
        <v>1473</v>
      </c>
      <c r="K479" s="34" t="str">
        <f t="shared" si="16"/>
        <v>重复</v>
      </c>
      <c r="L479" s="34" t="str">
        <f t="shared" si="17"/>
        <v>重复</v>
      </c>
    </row>
    <row r="480" spans="1:12" ht="27">
      <c r="A480" s="35" t="s">
        <v>10879</v>
      </c>
      <c r="B480" s="35" t="s">
        <v>1525</v>
      </c>
      <c r="C480" s="36" t="s">
        <v>1526</v>
      </c>
      <c r="D480" s="35" t="s">
        <v>1527</v>
      </c>
      <c r="E480" s="35" t="s">
        <v>10868</v>
      </c>
      <c r="F480" s="35" t="s">
        <v>10867</v>
      </c>
      <c r="G480" s="35">
        <v>200109</v>
      </c>
      <c r="H480" s="35">
        <v>250000</v>
      </c>
      <c r="I480" s="35">
        <v>200004</v>
      </c>
      <c r="J480" s="34" t="s">
        <v>1473</v>
      </c>
      <c r="K480" s="34" t="str">
        <f t="shared" si="16"/>
        <v>不重复</v>
      </c>
      <c r="L480" s="34" t="str">
        <f t="shared" si="17"/>
        <v>不重复</v>
      </c>
    </row>
    <row r="481" spans="1:12" ht="27">
      <c r="A481" s="35" t="s">
        <v>10880</v>
      </c>
      <c r="B481" s="35" t="s">
        <v>1528</v>
      </c>
      <c r="C481" s="36" t="s">
        <v>1529</v>
      </c>
      <c r="D481" s="35" t="s">
        <v>1530</v>
      </c>
      <c r="E481" s="35" t="s">
        <v>10868</v>
      </c>
      <c r="F481" s="35" t="s">
        <v>10867</v>
      </c>
      <c r="G481" s="35">
        <v>200110</v>
      </c>
      <c r="H481" s="35">
        <v>250000</v>
      </c>
      <c r="I481" s="35">
        <v>200004</v>
      </c>
      <c r="J481" s="34" t="s">
        <v>609</v>
      </c>
      <c r="K481" s="34" t="str">
        <f t="shared" si="16"/>
        <v>不重复</v>
      </c>
      <c r="L481" s="34" t="str">
        <f t="shared" si="17"/>
        <v>不重复</v>
      </c>
    </row>
    <row r="482" spans="1:12" ht="27">
      <c r="A482" s="35" t="s">
        <v>10881</v>
      </c>
      <c r="B482" s="35" t="s">
        <v>1531</v>
      </c>
      <c r="C482" s="36" t="s">
        <v>1532</v>
      </c>
      <c r="D482" s="35" t="s">
        <v>1533</v>
      </c>
      <c r="E482" s="35" t="s">
        <v>10868</v>
      </c>
      <c r="F482" s="35" t="s">
        <v>10867</v>
      </c>
      <c r="G482" s="35">
        <v>200111</v>
      </c>
      <c r="H482" s="35">
        <v>250000</v>
      </c>
      <c r="I482" s="35">
        <v>200004</v>
      </c>
      <c r="J482" s="34" t="s">
        <v>609</v>
      </c>
      <c r="K482" s="34" t="str">
        <f t="shared" si="16"/>
        <v>不重复</v>
      </c>
      <c r="L482" s="34" t="str">
        <f t="shared" si="17"/>
        <v>重复</v>
      </c>
    </row>
    <row r="483" spans="1:12" ht="27">
      <c r="A483" s="35" t="s">
        <v>10882</v>
      </c>
      <c r="B483" s="35" t="s">
        <v>1534</v>
      </c>
      <c r="C483" s="36" t="s">
        <v>1535</v>
      </c>
      <c r="D483" s="35" t="s">
        <v>1536</v>
      </c>
      <c r="E483" s="35" t="s">
        <v>10868</v>
      </c>
      <c r="F483" s="35" t="s">
        <v>10867</v>
      </c>
      <c r="G483" s="35">
        <v>200112</v>
      </c>
      <c r="H483" s="35">
        <v>250000</v>
      </c>
      <c r="I483" s="35">
        <v>200004</v>
      </c>
      <c r="J483" s="34" t="s">
        <v>390</v>
      </c>
      <c r="K483" s="34" t="str">
        <f t="shared" si="16"/>
        <v>不重复</v>
      </c>
      <c r="L483" s="34" t="str">
        <f t="shared" si="17"/>
        <v>不重复</v>
      </c>
    </row>
    <row r="484" spans="1:12" ht="27">
      <c r="A484" s="35" t="s">
        <v>10883</v>
      </c>
      <c r="B484" s="35" t="s">
        <v>1537</v>
      </c>
      <c r="C484" s="36" t="s">
        <v>1538</v>
      </c>
      <c r="D484" s="35" t="s">
        <v>1539</v>
      </c>
      <c r="E484" s="35" t="s">
        <v>10868</v>
      </c>
      <c r="F484" s="35" t="s">
        <v>10869</v>
      </c>
      <c r="G484" s="35">
        <v>200113</v>
      </c>
      <c r="H484" s="35">
        <v>250000</v>
      </c>
      <c r="I484" s="35">
        <v>200004</v>
      </c>
      <c r="J484" s="34" t="s">
        <v>1540</v>
      </c>
      <c r="K484" s="34" t="str">
        <f t="shared" si="16"/>
        <v>重复</v>
      </c>
      <c r="L484" s="34" t="str">
        <f t="shared" si="17"/>
        <v>重复</v>
      </c>
    </row>
    <row r="485" spans="1:12" ht="27">
      <c r="A485" s="35" t="s">
        <v>10884</v>
      </c>
      <c r="B485" s="35" t="s">
        <v>1541</v>
      </c>
      <c r="C485" s="36" t="s">
        <v>1542</v>
      </c>
      <c r="D485" s="35" t="s">
        <v>1543</v>
      </c>
      <c r="E485" s="35" t="s">
        <v>10868</v>
      </c>
      <c r="F485" s="35" t="s">
        <v>10867</v>
      </c>
      <c r="G485" s="35">
        <v>200114</v>
      </c>
      <c r="H485" s="35">
        <v>250000</v>
      </c>
      <c r="I485" s="35">
        <v>200004</v>
      </c>
      <c r="J485" s="34" t="s">
        <v>311</v>
      </c>
      <c r="K485" s="34" t="str">
        <f t="shared" si="16"/>
        <v>不重复</v>
      </c>
      <c r="L485" s="34" t="str">
        <f t="shared" si="17"/>
        <v>重复</v>
      </c>
    </row>
    <row r="486" spans="1:12" ht="27">
      <c r="A486" s="35" t="s">
        <v>10885</v>
      </c>
      <c r="B486" s="35" t="s">
        <v>1544</v>
      </c>
      <c r="C486" s="36" t="s">
        <v>1545</v>
      </c>
      <c r="D486" s="35" t="s">
        <v>1546</v>
      </c>
      <c r="E486" s="35" t="s">
        <v>10868</v>
      </c>
      <c r="F486" s="35" t="s">
        <v>10867</v>
      </c>
      <c r="G486" s="35">
        <v>200115</v>
      </c>
      <c r="H486" s="35">
        <v>250000</v>
      </c>
      <c r="I486" s="35">
        <v>200004</v>
      </c>
      <c r="J486" s="34" t="s">
        <v>609</v>
      </c>
      <c r="K486" s="34" t="str">
        <f t="shared" si="16"/>
        <v>不重复</v>
      </c>
      <c r="L486" s="34" t="str">
        <f t="shared" si="17"/>
        <v>不重复</v>
      </c>
    </row>
    <row r="487" spans="1:12" ht="30">
      <c r="A487" s="35" t="s">
        <v>10886</v>
      </c>
      <c r="B487" s="35" t="s">
        <v>1547</v>
      </c>
      <c r="C487" s="36" t="s">
        <v>1548</v>
      </c>
      <c r="D487" s="35" t="s">
        <v>1549</v>
      </c>
      <c r="E487" s="35" t="s">
        <v>10868</v>
      </c>
      <c r="F487" s="35" t="s">
        <v>10867</v>
      </c>
      <c r="G487" s="35">
        <v>200116</v>
      </c>
      <c r="H487" s="35">
        <v>250000</v>
      </c>
      <c r="I487" s="35">
        <v>200004</v>
      </c>
      <c r="J487" s="34" t="s">
        <v>1540</v>
      </c>
      <c r="K487" s="34" t="str">
        <f t="shared" si="16"/>
        <v>重复</v>
      </c>
      <c r="L487" s="34" t="str">
        <f t="shared" si="17"/>
        <v>不重复</v>
      </c>
    </row>
    <row r="488" spans="1:12" ht="27">
      <c r="A488" s="35" t="s">
        <v>10887</v>
      </c>
      <c r="B488" s="35" t="s">
        <v>1550</v>
      </c>
      <c r="C488" s="36" t="s">
        <v>1551</v>
      </c>
      <c r="D488" s="35" t="s">
        <v>1552</v>
      </c>
      <c r="E488" s="35" t="s">
        <v>10868</v>
      </c>
      <c r="F488" s="35" t="s">
        <v>10888</v>
      </c>
      <c r="G488" s="35">
        <v>200117</v>
      </c>
      <c r="H488" s="35">
        <v>250000</v>
      </c>
      <c r="I488" s="35">
        <v>200004</v>
      </c>
      <c r="J488" s="34" t="s">
        <v>1040</v>
      </c>
      <c r="K488" s="34" t="str">
        <f t="shared" si="16"/>
        <v>不重复</v>
      </c>
      <c r="L488" s="34" t="str">
        <f t="shared" si="17"/>
        <v>不重复</v>
      </c>
    </row>
    <row r="489" spans="1:12" ht="30">
      <c r="A489" s="35" t="s">
        <v>10889</v>
      </c>
      <c r="B489" s="35" t="s">
        <v>1553</v>
      </c>
      <c r="C489" s="36" t="s">
        <v>1554</v>
      </c>
      <c r="D489" s="35" t="s">
        <v>1555</v>
      </c>
      <c r="E489" s="35" t="s">
        <v>10868</v>
      </c>
      <c r="F489" s="35" t="s">
        <v>10890</v>
      </c>
      <c r="G489" s="35">
        <v>200118</v>
      </c>
      <c r="H489" s="35">
        <v>250000</v>
      </c>
      <c r="I489" s="35">
        <v>200004</v>
      </c>
      <c r="J489" s="34" t="s">
        <v>668</v>
      </c>
      <c r="K489" s="34" t="str">
        <f t="shared" si="16"/>
        <v>不重复</v>
      </c>
      <c r="L489" s="34" t="str">
        <f t="shared" si="17"/>
        <v>不重复</v>
      </c>
    </row>
    <row r="490" spans="1:12" ht="15">
      <c r="A490" s="35" t="s">
        <v>10891</v>
      </c>
      <c r="B490" s="35" t="s">
        <v>1556</v>
      </c>
      <c r="C490" s="36" t="s">
        <v>1499</v>
      </c>
      <c r="D490" s="35" t="s">
        <v>1500</v>
      </c>
      <c r="E490" s="35" t="s">
        <v>10868</v>
      </c>
      <c r="F490" s="35" t="s">
        <v>10890</v>
      </c>
      <c r="G490" s="35">
        <v>200119</v>
      </c>
      <c r="H490" s="35">
        <v>250000</v>
      </c>
      <c r="I490" s="35">
        <v>200004</v>
      </c>
      <c r="J490" s="34" t="s">
        <v>16</v>
      </c>
      <c r="K490" s="34" t="str">
        <f t="shared" si="16"/>
        <v>重复</v>
      </c>
      <c r="L490" s="34" t="str">
        <f t="shared" si="17"/>
        <v>重复</v>
      </c>
    </row>
    <row r="491" spans="1:12" ht="27">
      <c r="A491" s="35" t="s">
        <v>10892</v>
      </c>
      <c r="B491" s="35" t="s">
        <v>1557</v>
      </c>
      <c r="C491" s="36" t="s">
        <v>166</v>
      </c>
      <c r="D491" s="35" t="s">
        <v>1558</v>
      </c>
      <c r="E491" s="35" t="s">
        <v>10868</v>
      </c>
      <c r="F491" s="35" t="s">
        <v>10867</v>
      </c>
      <c r="G491" s="35">
        <v>200120</v>
      </c>
      <c r="H491" s="35">
        <v>250000</v>
      </c>
      <c r="I491" s="35">
        <v>200004</v>
      </c>
      <c r="J491" s="34" t="s">
        <v>16</v>
      </c>
      <c r="K491" s="34" t="str">
        <f t="shared" si="16"/>
        <v>重复</v>
      </c>
      <c r="L491" s="34" t="str">
        <f t="shared" si="17"/>
        <v>重复</v>
      </c>
    </row>
    <row r="492" spans="1:12" ht="15">
      <c r="A492" s="35" t="s">
        <v>10893</v>
      </c>
      <c r="B492" s="35" t="s">
        <v>1559</v>
      </c>
      <c r="C492" s="36" t="s">
        <v>574</v>
      </c>
      <c r="D492" s="35" t="s">
        <v>1560</v>
      </c>
      <c r="E492" s="35" t="s">
        <v>10893</v>
      </c>
      <c r="F492" s="35" t="s">
        <v>10867</v>
      </c>
      <c r="G492" s="35">
        <v>200200</v>
      </c>
      <c r="H492" s="35">
        <v>250010</v>
      </c>
      <c r="I492" s="35">
        <v>200004</v>
      </c>
      <c r="J492" s="34" t="s">
        <v>16</v>
      </c>
      <c r="K492" s="34" t="str">
        <f t="shared" si="16"/>
        <v>重复</v>
      </c>
      <c r="L492" s="34" t="str">
        <f t="shared" si="17"/>
        <v>重复</v>
      </c>
    </row>
    <row r="493" spans="1:12" ht="15">
      <c r="A493" s="35" t="s">
        <v>10894</v>
      </c>
      <c r="B493" s="35" t="s">
        <v>1561</v>
      </c>
      <c r="C493" s="36" t="s">
        <v>574</v>
      </c>
      <c r="D493" s="35" t="s">
        <v>1560</v>
      </c>
      <c r="E493" s="35" t="s">
        <v>10893</v>
      </c>
      <c r="F493" s="35" t="s">
        <v>10867</v>
      </c>
      <c r="G493" s="35">
        <v>200201</v>
      </c>
      <c r="H493" s="35">
        <v>250010</v>
      </c>
      <c r="I493" s="35">
        <v>200004</v>
      </c>
      <c r="J493" s="34" t="s">
        <v>16</v>
      </c>
      <c r="K493" s="34" t="str">
        <f t="shared" si="16"/>
        <v>重复</v>
      </c>
      <c r="L493" s="34" t="str">
        <f t="shared" si="17"/>
        <v>重复</v>
      </c>
    </row>
    <row r="494" spans="1:12" ht="15">
      <c r="A494" s="35" t="s">
        <v>10895</v>
      </c>
      <c r="B494" s="35" t="s">
        <v>1562</v>
      </c>
      <c r="C494" s="36" t="s">
        <v>574</v>
      </c>
      <c r="D494" s="35" t="s">
        <v>1563</v>
      </c>
      <c r="E494" s="35" t="s">
        <v>10893</v>
      </c>
      <c r="F494" s="35" t="s">
        <v>10867</v>
      </c>
      <c r="G494" s="35">
        <v>200202</v>
      </c>
      <c r="H494" s="35">
        <v>250010</v>
      </c>
      <c r="I494" s="35">
        <v>200004</v>
      </c>
      <c r="J494" s="34" t="s">
        <v>1564</v>
      </c>
      <c r="K494" s="34" t="str">
        <f t="shared" si="16"/>
        <v>重复</v>
      </c>
      <c r="L494" s="34" t="str">
        <f t="shared" si="17"/>
        <v>不重复</v>
      </c>
    </row>
    <row r="495" spans="1:12" ht="27">
      <c r="A495" s="35" t="s">
        <v>10896</v>
      </c>
      <c r="B495" s="35" t="s">
        <v>1565</v>
      </c>
      <c r="C495" s="36" t="s">
        <v>1566</v>
      </c>
      <c r="D495" s="35" t="s">
        <v>1567</v>
      </c>
      <c r="E495" s="35" t="s">
        <v>10893</v>
      </c>
      <c r="F495" s="35" t="s">
        <v>10867</v>
      </c>
      <c r="G495" s="35">
        <v>200203</v>
      </c>
      <c r="H495" s="35">
        <v>250010</v>
      </c>
      <c r="I495" s="35">
        <v>200004</v>
      </c>
      <c r="J495" s="34" t="s">
        <v>458</v>
      </c>
      <c r="K495" s="34" t="str">
        <f t="shared" si="16"/>
        <v>重复</v>
      </c>
      <c r="L495" s="34" t="str">
        <f t="shared" si="17"/>
        <v>不重复</v>
      </c>
    </row>
    <row r="496" spans="1:12" ht="15">
      <c r="A496" s="35" t="s">
        <v>10897</v>
      </c>
      <c r="B496" s="35" t="s">
        <v>1568</v>
      </c>
      <c r="C496" s="36" t="s">
        <v>1569</v>
      </c>
      <c r="D496" s="35" t="s">
        <v>1570</v>
      </c>
      <c r="E496" s="35" t="s">
        <v>10897</v>
      </c>
      <c r="F496" s="35" t="s">
        <v>10869</v>
      </c>
      <c r="G496" s="35">
        <v>200300</v>
      </c>
      <c r="H496" s="35">
        <v>250020</v>
      </c>
      <c r="I496" s="35">
        <v>200004</v>
      </c>
      <c r="J496" s="34" t="s">
        <v>16</v>
      </c>
      <c r="K496" s="34" t="str">
        <f t="shared" si="16"/>
        <v>重复</v>
      </c>
      <c r="L496" s="34" t="str">
        <f t="shared" si="17"/>
        <v>重复</v>
      </c>
    </row>
    <row r="497" spans="1:12" ht="15">
      <c r="A497" s="35" t="s">
        <v>10898</v>
      </c>
      <c r="B497" s="35" t="s">
        <v>1571</v>
      </c>
      <c r="C497" s="36" t="s">
        <v>150</v>
      </c>
      <c r="D497" s="35" t="s">
        <v>1572</v>
      </c>
      <c r="E497" s="35" t="s">
        <v>10899</v>
      </c>
      <c r="F497" s="35" t="s">
        <v>10867</v>
      </c>
      <c r="G497" s="35">
        <v>200301</v>
      </c>
      <c r="H497" s="35">
        <v>250030</v>
      </c>
      <c r="I497" s="35">
        <v>200004</v>
      </c>
      <c r="J497" s="34" t="s">
        <v>458</v>
      </c>
      <c r="K497" s="34" t="str">
        <f t="shared" si="16"/>
        <v>重复</v>
      </c>
      <c r="L497" s="34" t="str">
        <f t="shared" si="17"/>
        <v>不重复</v>
      </c>
    </row>
    <row r="498" spans="1:12" ht="15">
      <c r="A498" s="35" t="s">
        <v>10900</v>
      </c>
      <c r="B498" s="35" t="s">
        <v>1573</v>
      </c>
      <c r="C498" s="36" t="s">
        <v>1574</v>
      </c>
      <c r="D498" s="35" t="s">
        <v>1575</v>
      </c>
      <c r="E498" s="35" t="s">
        <v>10900</v>
      </c>
      <c r="F498" s="35" t="s">
        <v>10869</v>
      </c>
      <c r="G498" s="35">
        <v>200400</v>
      </c>
      <c r="H498" s="35">
        <v>250040</v>
      </c>
      <c r="I498" s="35">
        <v>200004</v>
      </c>
      <c r="J498" s="34" t="s">
        <v>16</v>
      </c>
      <c r="K498" s="34" t="str">
        <f t="shared" si="16"/>
        <v>重复</v>
      </c>
      <c r="L498" s="34" t="str">
        <f t="shared" si="17"/>
        <v>不重复</v>
      </c>
    </row>
    <row r="499" spans="1:12" ht="30">
      <c r="A499" s="35" t="s">
        <v>10901</v>
      </c>
      <c r="B499" s="35" t="s">
        <v>1576</v>
      </c>
      <c r="C499" s="36" t="s">
        <v>1577</v>
      </c>
      <c r="D499" s="35" t="s">
        <v>1578</v>
      </c>
      <c r="E499" s="35" t="s">
        <v>10900</v>
      </c>
      <c r="F499" s="35" t="s">
        <v>10867</v>
      </c>
      <c r="G499" s="35">
        <v>200401</v>
      </c>
      <c r="H499" s="35">
        <v>250040</v>
      </c>
      <c r="I499" s="35">
        <v>200004</v>
      </c>
      <c r="J499" s="34" t="s">
        <v>1579</v>
      </c>
      <c r="K499" s="34" t="str">
        <f t="shared" si="16"/>
        <v>重复</v>
      </c>
      <c r="L499" s="34" t="str">
        <f t="shared" si="17"/>
        <v>不重复</v>
      </c>
    </row>
    <row r="500" spans="1:12" ht="30">
      <c r="A500" s="35" t="s">
        <v>10902</v>
      </c>
      <c r="B500" s="35" t="s">
        <v>1580</v>
      </c>
      <c r="C500" s="36" t="s">
        <v>1581</v>
      </c>
      <c r="D500" s="35" t="s">
        <v>1582</v>
      </c>
      <c r="E500" s="35" t="s">
        <v>10900</v>
      </c>
      <c r="F500" s="35" t="s">
        <v>10869</v>
      </c>
      <c r="G500" s="35">
        <v>200402</v>
      </c>
      <c r="H500" s="35">
        <v>250040</v>
      </c>
      <c r="I500" s="35">
        <v>200004</v>
      </c>
      <c r="J500" s="34" t="s">
        <v>769</v>
      </c>
      <c r="K500" s="34" t="str">
        <f t="shared" si="16"/>
        <v>重复</v>
      </c>
      <c r="L500" s="34" t="str">
        <f t="shared" si="17"/>
        <v>不重复</v>
      </c>
    </row>
    <row r="501" spans="1:12" ht="30">
      <c r="A501" s="35" t="s">
        <v>10903</v>
      </c>
      <c r="B501" s="35" t="s">
        <v>1583</v>
      </c>
      <c r="C501" s="36" t="s">
        <v>1584</v>
      </c>
      <c r="D501" s="35" t="s">
        <v>1585</v>
      </c>
      <c r="E501" s="35" t="s">
        <v>10900</v>
      </c>
      <c r="F501" s="35" t="s">
        <v>10869</v>
      </c>
      <c r="G501" s="35">
        <v>200403</v>
      </c>
      <c r="H501" s="35">
        <v>250040</v>
      </c>
      <c r="I501" s="35">
        <v>200004</v>
      </c>
      <c r="J501" s="34" t="s">
        <v>1468</v>
      </c>
      <c r="K501" s="34" t="str">
        <f t="shared" si="16"/>
        <v>不重复</v>
      </c>
      <c r="L501" s="34" t="str">
        <f t="shared" si="17"/>
        <v>不重复</v>
      </c>
    </row>
    <row r="502" spans="1:12" ht="30">
      <c r="A502" s="35" t="s">
        <v>10904</v>
      </c>
      <c r="B502" s="35" t="s">
        <v>1586</v>
      </c>
      <c r="C502" s="36" t="s">
        <v>1587</v>
      </c>
      <c r="D502" s="35" t="s">
        <v>1588</v>
      </c>
      <c r="E502" s="35" t="s">
        <v>10900</v>
      </c>
      <c r="F502" s="35" t="s">
        <v>10867</v>
      </c>
      <c r="G502" s="35">
        <v>200404</v>
      </c>
      <c r="H502" s="35">
        <v>250040</v>
      </c>
      <c r="I502" s="35">
        <v>200004</v>
      </c>
      <c r="J502" s="34" t="s">
        <v>1379</v>
      </c>
      <c r="K502" s="34" t="str">
        <f t="shared" si="16"/>
        <v>不重复</v>
      </c>
      <c r="L502" s="34" t="str">
        <f t="shared" si="17"/>
        <v>不重复</v>
      </c>
    </row>
    <row r="503" spans="1:12" ht="30">
      <c r="A503" s="35" t="s">
        <v>10905</v>
      </c>
      <c r="B503" s="35" t="s">
        <v>1589</v>
      </c>
      <c r="C503" s="36" t="s">
        <v>1590</v>
      </c>
      <c r="D503" s="35" t="s">
        <v>1591</v>
      </c>
      <c r="E503" s="35" t="s">
        <v>10900</v>
      </c>
      <c r="F503" s="35" t="s">
        <v>10867</v>
      </c>
      <c r="G503" s="35">
        <v>200405</v>
      </c>
      <c r="H503" s="35">
        <v>250040</v>
      </c>
      <c r="I503" s="35">
        <v>200004</v>
      </c>
      <c r="J503" s="34" t="s">
        <v>1592</v>
      </c>
      <c r="K503" s="34" t="str">
        <f t="shared" si="16"/>
        <v>不重复</v>
      </c>
      <c r="L503" s="34" t="str">
        <f t="shared" si="17"/>
        <v>不重复</v>
      </c>
    </row>
    <row r="504" spans="1:12" ht="30">
      <c r="A504" s="35" t="s">
        <v>10906</v>
      </c>
      <c r="B504" s="35" t="s">
        <v>1593</v>
      </c>
      <c r="C504" s="36" t="s">
        <v>1594</v>
      </c>
      <c r="D504" s="35" t="s">
        <v>1595</v>
      </c>
      <c r="E504" s="35" t="s">
        <v>10900</v>
      </c>
      <c r="F504" s="35" t="s">
        <v>10867</v>
      </c>
      <c r="G504" s="35">
        <v>200406</v>
      </c>
      <c r="H504" s="35">
        <v>250040</v>
      </c>
      <c r="I504" s="35">
        <v>200004</v>
      </c>
      <c r="J504" s="34" t="s">
        <v>1592</v>
      </c>
      <c r="K504" s="34" t="str">
        <f t="shared" si="16"/>
        <v>重复</v>
      </c>
      <c r="L504" s="34" t="str">
        <f t="shared" si="17"/>
        <v>不重复</v>
      </c>
    </row>
    <row r="505" spans="1:12" ht="15">
      <c r="A505" s="35" t="s">
        <v>10907</v>
      </c>
      <c r="B505" s="35" t="s">
        <v>1596</v>
      </c>
      <c r="C505" s="36" t="s">
        <v>1597</v>
      </c>
      <c r="D505" s="35" t="s">
        <v>1598</v>
      </c>
      <c r="E505" s="35" t="s">
        <v>10907</v>
      </c>
      <c r="F505" s="35" t="s">
        <v>10866</v>
      </c>
      <c r="G505" s="35">
        <v>200500</v>
      </c>
      <c r="H505" s="35">
        <v>250050</v>
      </c>
      <c r="I505" s="35">
        <v>200004</v>
      </c>
      <c r="J505" s="34" t="s">
        <v>16</v>
      </c>
      <c r="K505" s="34" t="str">
        <f t="shared" si="16"/>
        <v>重复</v>
      </c>
      <c r="L505" s="34" t="str">
        <f t="shared" si="17"/>
        <v>不重复</v>
      </c>
    </row>
    <row r="506" spans="1:12" ht="30">
      <c r="A506" s="35" t="s">
        <v>10908</v>
      </c>
      <c r="B506" s="35" t="s">
        <v>1599</v>
      </c>
      <c r="C506" s="36" t="s">
        <v>1600</v>
      </c>
      <c r="D506" s="35" t="s">
        <v>1601</v>
      </c>
      <c r="E506" s="35" t="s">
        <v>10907</v>
      </c>
      <c r="F506" s="35" t="s">
        <v>10866</v>
      </c>
      <c r="G506" s="35">
        <v>200501</v>
      </c>
      <c r="H506" s="35">
        <v>250050</v>
      </c>
      <c r="I506" s="35">
        <v>200004</v>
      </c>
      <c r="J506" s="34" t="s">
        <v>1602</v>
      </c>
      <c r="K506" s="34" t="str">
        <f t="shared" si="16"/>
        <v>重复</v>
      </c>
      <c r="L506" s="34" t="str">
        <f t="shared" si="17"/>
        <v>不重复</v>
      </c>
    </row>
    <row r="507" spans="1:12" ht="27">
      <c r="A507" s="35" t="s">
        <v>10909</v>
      </c>
      <c r="B507" s="35" t="s">
        <v>1603</v>
      </c>
      <c r="C507" s="36" t="s">
        <v>1604</v>
      </c>
      <c r="D507" s="35" t="s">
        <v>1605</v>
      </c>
      <c r="E507" s="35" t="s">
        <v>10907</v>
      </c>
      <c r="F507" s="35" t="s">
        <v>10866</v>
      </c>
      <c r="G507" s="35">
        <v>200502</v>
      </c>
      <c r="H507" s="35">
        <v>250050</v>
      </c>
      <c r="I507" s="35">
        <v>200004</v>
      </c>
      <c r="J507" s="34" t="s">
        <v>1372</v>
      </c>
      <c r="K507" s="34" t="str">
        <f t="shared" si="16"/>
        <v>不重复</v>
      </c>
      <c r="L507" s="34" t="str">
        <f t="shared" si="17"/>
        <v>重复</v>
      </c>
    </row>
    <row r="508" spans="1:12" ht="27">
      <c r="A508" s="35" t="s">
        <v>10910</v>
      </c>
      <c r="B508" s="35" t="s">
        <v>1606</v>
      </c>
      <c r="C508" s="36" t="s">
        <v>1607</v>
      </c>
      <c r="D508" s="35" t="s">
        <v>1608</v>
      </c>
      <c r="E508" s="35" t="s">
        <v>10907</v>
      </c>
      <c r="F508" s="35" t="s">
        <v>10866</v>
      </c>
      <c r="G508" s="35">
        <v>200503</v>
      </c>
      <c r="H508" s="35">
        <v>250050</v>
      </c>
      <c r="I508" s="35">
        <v>200004</v>
      </c>
      <c r="J508" s="34" t="s">
        <v>1609</v>
      </c>
      <c r="K508" s="34" t="str">
        <f t="shared" si="16"/>
        <v>重复</v>
      </c>
      <c r="L508" s="34" t="str">
        <f t="shared" si="17"/>
        <v>不重复</v>
      </c>
    </row>
    <row r="509" spans="1:12" ht="15">
      <c r="A509" s="35" t="s">
        <v>10911</v>
      </c>
      <c r="B509" s="35" t="s">
        <v>1610</v>
      </c>
      <c r="C509" s="36" t="s">
        <v>1611</v>
      </c>
      <c r="D509" s="35" t="s">
        <v>1612</v>
      </c>
      <c r="E509" s="35" t="s">
        <v>10907</v>
      </c>
      <c r="F509" s="35" t="s">
        <v>10866</v>
      </c>
      <c r="G509" s="35">
        <v>200504</v>
      </c>
      <c r="H509" s="35">
        <v>250050</v>
      </c>
      <c r="I509" s="35">
        <v>200004</v>
      </c>
      <c r="J509" s="34" t="s">
        <v>752</v>
      </c>
      <c r="K509" s="34" t="str">
        <f t="shared" si="16"/>
        <v>不重复</v>
      </c>
      <c r="L509" s="34" t="str">
        <f t="shared" si="17"/>
        <v>不重复</v>
      </c>
    </row>
    <row r="510" spans="1:12" ht="15">
      <c r="A510" s="35" t="s">
        <v>10912</v>
      </c>
      <c r="B510" s="35" t="s">
        <v>1613</v>
      </c>
      <c r="C510" s="36" t="s">
        <v>1614</v>
      </c>
      <c r="D510" s="35" t="s">
        <v>1494</v>
      </c>
      <c r="E510" s="35" t="s">
        <v>10912</v>
      </c>
      <c r="F510" s="35" t="s">
        <v>10866</v>
      </c>
      <c r="G510" s="35">
        <v>200600</v>
      </c>
      <c r="H510" s="35">
        <v>250060</v>
      </c>
      <c r="I510" s="35">
        <v>200004</v>
      </c>
      <c r="J510" s="34" t="s">
        <v>16</v>
      </c>
      <c r="K510" s="34" t="str">
        <f t="shared" si="16"/>
        <v>不重复</v>
      </c>
      <c r="L510" s="34" t="str">
        <f t="shared" si="17"/>
        <v>重复</v>
      </c>
    </row>
    <row r="511" spans="1:12" ht="15">
      <c r="A511" s="35" t="s">
        <v>10913</v>
      </c>
      <c r="B511" s="35" t="s">
        <v>1615</v>
      </c>
      <c r="C511" s="36" t="s">
        <v>1616</v>
      </c>
      <c r="D511" s="35" t="s">
        <v>1617</v>
      </c>
      <c r="E511" s="35" t="s">
        <v>10912</v>
      </c>
      <c r="F511" s="35" t="s">
        <v>10866</v>
      </c>
      <c r="G511" s="35">
        <v>200666</v>
      </c>
      <c r="H511" s="35">
        <v>250060</v>
      </c>
      <c r="I511" s="35">
        <v>200004</v>
      </c>
      <c r="J511" s="34"/>
      <c r="K511" s="34" t="str">
        <f t="shared" si="16"/>
        <v>不重复</v>
      </c>
      <c r="L511" s="34" t="str">
        <f t="shared" si="17"/>
        <v>不重复</v>
      </c>
    </row>
    <row r="512" spans="1:12" ht="15">
      <c r="A512" s="35" t="s">
        <v>10914</v>
      </c>
      <c r="B512" s="35" t="s">
        <v>1618</v>
      </c>
      <c r="C512" s="36" t="s">
        <v>1619</v>
      </c>
      <c r="D512" s="35" t="s">
        <v>1620</v>
      </c>
      <c r="E512" s="35" t="s">
        <v>10912</v>
      </c>
      <c r="F512" s="35" t="s">
        <v>10866</v>
      </c>
      <c r="G512" s="35" t="s">
        <v>1621</v>
      </c>
      <c r="H512" s="35">
        <v>250060</v>
      </c>
      <c r="I512" s="35">
        <v>200004</v>
      </c>
      <c r="J512" s="34"/>
      <c r="K512" s="34" t="str">
        <f t="shared" si="16"/>
        <v>不重复</v>
      </c>
      <c r="L512" s="34" t="str">
        <f t="shared" si="17"/>
        <v>重复</v>
      </c>
    </row>
    <row r="513" spans="1:12" ht="15">
      <c r="A513" s="35" t="s">
        <v>10915</v>
      </c>
      <c r="B513" s="35" t="s">
        <v>1622</v>
      </c>
      <c r="C513" s="36" t="s">
        <v>1623</v>
      </c>
      <c r="D513" s="35" t="s">
        <v>1624</v>
      </c>
      <c r="E513" s="35" t="s">
        <v>10912</v>
      </c>
      <c r="F513" s="35" t="s">
        <v>10866</v>
      </c>
      <c r="G513" s="35">
        <v>200601</v>
      </c>
      <c r="H513" s="35">
        <v>250060</v>
      </c>
      <c r="I513" s="35">
        <v>200004</v>
      </c>
      <c r="J513" s="34" t="s">
        <v>16</v>
      </c>
      <c r="K513" s="34" t="str">
        <f t="shared" si="16"/>
        <v>重复</v>
      </c>
      <c r="L513" s="34" t="str">
        <f t="shared" si="17"/>
        <v>不重复</v>
      </c>
    </row>
    <row r="514" spans="1:12" ht="15">
      <c r="A514" s="35" t="s">
        <v>10916</v>
      </c>
      <c r="B514" s="35" t="s">
        <v>1625</v>
      </c>
      <c r="C514" s="36" t="s">
        <v>1626</v>
      </c>
      <c r="D514" s="35" t="s">
        <v>1627</v>
      </c>
      <c r="E514" s="35" t="s">
        <v>10912</v>
      </c>
      <c r="F514" s="35" t="s">
        <v>10866</v>
      </c>
      <c r="G514" s="35">
        <v>200602</v>
      </c>
      <c r="H514" s="35">
        <v>250060</v>
      </c>
      <c r="I514" s="35">
        <v>200004</v>
      </c>
      <c r="J514" s="34" t="s">
        <v>1628</v>
      </c>
      <c r="K514" s="34" t="str">
        <f t="shared" si="16"/>
        <v>不重复</v>
      </c>
      <c r="L514" s="34" t="str">
        <f t="shared" si="17"/>
        <v>不重复</v>
      </c>
    </row>
    <row r="515" spans="1:12" ht="27">
      <c r="A515" s="35" t="s">
        <v>10917</v>
      </c>
      <c r="B515" s="35" t="s">
        <v>1629</v>
      </c>
      <c r="C515" s="36" t="s">
        <v>1630</v>
      </c>
      <c r="D515" s="35" t="s">
        <v>1631</v>
      </c>
      <c r="E515" s="35" t="s">
        <v>10912</v>
      </c>
      <c r="F515" s="35" t="s">
        <v>10866</v>
      </c>
      <c r="G515" s="35">
        <v>200603</v>
      </c>
      <c r="H515" s="35">
        <v>250060</v>
      </c>
      <c r="I515" s="35">
        <v>200004</v>
      </c>
      <c r="J515" s="34" t="s">
        <v>1193</v>
      </c>
      <c r="K515" s="34" t="str">
        <f t="shared" si="16"/>
        <v>重复</v>
      </c>
      <c r="L515" s="34" t="str">
        <f t="shared" si="17"/>
        <v>不重复</v>
      </c>
    </row>
    <row r="516" spans="1:12" ht="27">
      <c r="A516" s="35" t="s">
        <v>10918</v>
      </c>
      <c r="B516" s="35" t="s">
        <v>1632</v>
      </c>
      <c r="C516" s="36" t="s">
        <v>1633</v>
      </c>
      <c r="D516" s="35" t="s">
        <v>1634</v>
      </c>
      <c r="E516" s="35" t="s">
        <v>10912</v>
      </c>
      <c r="F516" s="35" t="s">
        <v>10866</v>
      </c>
      <c r="G516" s="35">
        <v>200604</v>
      </c>
      <c r="H516" s="35">
        <v>250060</v>
      </c>
      <c r="I516" s="35">
        <v>200004</v>
      </c>
      <c r="J516" s="34" t="s">
        <v>1358</v>
      </c>
      <c r="K516" s="34" t="str">
        <f t="shared" si="16"/>
        <v>不重复</v>
      </c>
      <c r="L516" s="34" t="str">
        <f t="shared" si="17"/>
        <v>不重复</v>
      </c>
    </row>
    <row r="517" spans="1:12" ht="27">
      <c r="A517" s="35" t="s">
        <v>10919</v>
      </c>
      <c r="B517" s="35" t="s">
        <v>1635</v>
      </c>
      <c r="C517" s="36" t="s">
        <v>1636</v>
      </c>
      <c r="D517" s="35" t="s">
        <v>1637</v>
      </c>
      <c r="E517" s="35" t="s">
        <v>10912</v>
      </c>
      <c r="F517" s="35" t="s">
        <v>10866</v>
      </c>
      <c r="G517" s="35">
        <v>200605</v>
      </c>
      <c r="H517" s="35">
        <v>250060</v>
      </c>
      <c r="I517" s="35">
        <v>200004</v>
      </c>
      <c r="J517" s="34" t="s">
        <v>1638</v>
      </c>
      <c r="K517" s="34" t="str">
        <f t="shared" si="16"/>
        <v>不重复</v>
      </c>
      <c r="L517" s="34" t="str">
        <f t="shared" si="17"/>
        <v>不重复</v>
      </c>
    </row>
    <row r="518" spans="1:12" ht="30">
      <c r="A518" s="35" t="s">
        <v>10920</v>
      </c>
      <c r="B518" s="35" t="s">
        <v>1639</v>
      </c>
      <c r="C518" s="36" t="s">
        <v>1640</v>
      </c>
      <c r="D518" s="35" t="s">
        <v>1641</v>
      </c>
      <c r="E518" s="35" t="s">
        <v>10912</v>
      </c>
      <c r="F518" s="35" t="s">
        <v>10866</v>
      </c>
      <c r="G518" s="35">
        <v>200606</v>
      </c>
      <c r="H518" s="35">
        <v>250060</v>
      </c>
      <c r="I518" s="35">
        <v>200004</v>
      </c>
      <c r="J518" s="34" t="s">
        <v>1642</v>
      </c>
      <c r="K518" s="34" t="str">
        <f t="shared" si="16"/>
        <v>不重复</v>
      </c>
      <c r="L518" s="34" t="str">
        <f t="shared" si="17"/>
        <v>不重复</v>
      </c>
    </row>
    <row r="519" spans="1:12" ht="27">
      <c r="A519" s="35" t="s">
        <v>10921</v>
      </c>
      <c r="B519" s="35" t="s">
        <v>1643</v>
      </c>
      <c r="C519" s="36" t="s">
        <v>1644</v>
      </c>
      <c r="D519" s="35" t="s">
        <v>1645</v>
      </c>
      <c r="E519" s="35" t="s">
        <v>10912</v>
      </c>
      <c r="F519" s="35" t="s">
        <v>10866</v>
      </c>
      <c r="G519" s="35">
        <v>200607</v>
      </c>
      <c r="H519" s="35">
        <v>250060</v>
      </c>
      <c r="I519" s="35">
        <v>200004</v>
      </c>
      <c r="J519" s="34" t="s">
        <v>1193</v>
      </c>
      <c r="K519" s="34" t="str">
        <f t="shared" si="16"/>
        <v>不重复</v>
      </c>
      <c r="L519" s="34" t="str">
        <f t="shared" si="17"/>
        <v>不重复</v>
      </c>
    </row>
    <row r="520" spans="1:12" ht="15">
      <c r="A520" s="35" t="s">
        <v>10922</v>
      </c>
      <c r="B520" s="35" t="s">
        <v>1646</v>
      </c>
      <c r="C520" s="36" t="s">
        <v>1647</v>
      </c>
      <c r="D520" s="35" t="s">
        <v>1648</v>
      </c>
      <c r="E520" s="35" t="s">
        <v>10912</v>
      </c>
      <c r="F520" s="35" t="s">
        <v>10866</v>
      </c>
      <c r="G520" s="35">
        <v>200668</v>
      </c>
      <c r="H520" s="35">
        <v>250060</v>
      </c>
      <c r="I520" s="35">
        <v>200004</v>
      </c>
      <c r="J520" s="34"/>
      <c r="K520" s="34" t="str">
        <f t="shared" si="16"/>
        <v>重复</v>
      </c>
      <c r="L520" s="34" t="str">
        <f t="shared" si="17"/>
        <v>不重复</v>
      </c>
    </row>
    <row r="521" spans="1:12" ht="15">
      <c r="A521" s="35" t="s">
        <v>10923</v>
      </c>
      <c r="B521" s="35" t="s">
        <v>1649</v>
      </c>
      <c r="C521" s="36" t="s">
        <v>1650</v>
      </c>
      <c r="D521" s="35" t="s">
        <v>1651</v>
      </c>
      <c r="E521" s="35" t="s">
        <v>10912</v>
      </c>
      <c r="F521" s="35" t="s">
        <v>10866</v>
      </c>
      <c r="G521" s="35">
        <v>200608</v>
      </c>
      <c r="H521" s="35">
        <v>250060</v>
      </c>
      <c r="I521" s="35">
        <v>200004</v>
      </c>
      <c r="J521" s="34" t="s">
        <v>16</v>
      </c>
      <c r="K521" s="34" t="str">
        <f t="shared" si="16"/>
        <v>重复</v>
      </c>
      <c r="L521" s="34" t="str">
        <f t="shared" si="17"/>
        <v>不重复</v>
      </c>
    </row>
    <row r="522" spans="1:12" ht="30">
      <c r="A522" s="35" t="s">
        <v>10924</v>
      </c>
      <c r="B522" s="35" t="s">
        <v>1652</v>
      </c>
      <c r="C522" s="36" t="s">
        <v>1653</v>
      </c>
      <c r="D522" s="35" t="s">
        <v>1654</v>
      </c>
      <c r="E522" s="35" t="s">
        <v>10912</v>
      </c>
      <c r="F522" s="35" t="s">
        <v>10866</v>
      </c>
      <c r="G522" s="35">
        <v>200609</v>
      </c>
      <c r="H522" s="35">
        <v>250060</v>
      </c>
      <c r="I522" s="35">
        <v>200004</v>
      </c>
      <c r="J522" s="34" t="s">
        <v>1186</v>
      </c>
      <c r="K522" s="34" t="str">
        <f t="shared" si="16"/>
        <v>不重复</v>
      </c>
      <c r="L522" s="34" t="str">
        <f t="shared" si="17"/>
        <v>不重复</v>
      </c>
    </row>
    <row r="523" spans="1:12" ht="30">
      <c r="A523" s="35" t="s">
        <v>10925</v>
      </c>
      <c r="B523" s="35" t="s">
        <v>1655</v>
      </c>
      <c r="C523" s="36" t="s">
        <v>1656</v>
      </c>
      <c r="D523" s="35" t="s">
        <v>1657</v>
      </c>
      <c r="E523" s="35" t="s">
        <v>10912</v>
      </c>
      <c r="F523" s="35" t="s">
        <v>10866</v>
      </c>
      <c r="G523" s="35">
        <v>200610</v>
      </c>
      <c r="H523" s="35">
        <v>250060</v>
      </c>
      <c r="I523" s="35">
        <v>200004</v>
      </c>
      <c r="J523" s="34" t="s">
        <v>1658</v>
      </c>
      <c r="K523" s="34" t="str">
        <f t="shared" si="16"/>
        <v>不重复</v>
      </c>
      <c r="L523" s="34" t="str">
        <f t="shared" si="17"/>
        <v>不重复</v>
      </c>
    </row>
    <row r="524" spans="1:12" ht="15">
      <c r="A524" s="35" t="s">
        <v>10926</v>
      </c>
      <c r="B524" s="35" t="s">
        <v>1659</v>
      </c>
      <c r="C524" s="36" t="s">
        <v>1660</v>
      </c>
      <c r="D524" s="35" t="s">
        <v>1661</v>
      </c>
      <c r="E524" s="35" t="s">
        <v>10912</v>
      </c>
      <c r="F524" s="35" t="s">
        <v>10866</v>
      </c>
      <c r="G524" s="35">
        <v>200611</v>
      </c>
      <c r="H524" s="35">
        <v>250060</v>
      </c>
      <c r="I524" s="35">
        <v>200004</v>
      </c>
      <c r="J524" s="34"/>
      <c r="K524" s="34" t="str">
        <f t="shared" si="16"/>
        <v>不重复</v>
      </c>
      <c r="L524" s="34" t="str">
        <f t="shared" si="17"/>
        <v>不重复</v>
      </c>
    </row>
    <row r="525" spans="1:12" ht="27">
      <c r="A525" s="35" t="s">
        <v>10927</v>
      </c>
      <c r="B525" s="35" t="s">
        <v>1662</v>
      </c>
      <c r="C525" s="36" t="s">
        <v>1663</v>
      </c>
      <c r="D525" s="35" t="s">
        <v>1664</v>
      </c>
      <c r="E525" s="35" t="s">
        <v>10912</v>
      </c>
      <c r="F525" s="35" t="s">
        <v>10866</v>
      </c>
      <c r="G525" s="35">
        <v>200612</v>
      </c>
      <c r="H525" s="35">
        <v>250060</v>
      </c>
      <c r="I525" s="35">
        <v>200004</v>
      </c>
      <c r="J525" s="34" t="s">
        <v>1186</v>
      </c>
      <c r="K525" s="34" t="str">
        <f t="shared" si="16"/>
        <v>重复</v>
      </c>
      <c r="L525" s="34" t="str">
        <f t="shared" si="17"/>
        <v>不重复</v>
      </c>
    </row>
    <row r="526" spans="1:12" ht="30">
      <c r="A526" s="35" t="s">
        <v>10928</v>
      </c>
      <c r="B526" s="35" t="s">
        <v>1665</v>
      </c>
      <c r="C526" s="36" t="s">
        <v>1666</v>
      </c>
      <c r="D526" s="35" t="s">
        <v>1667</v>
      </c>
      <c r="E526" s="35" t="s">
        <v>10912</v>
      </c>
      <c r="F526" s="35" t="s">
        <v>10866</v>
      </c>
      <c r="G526" s="35">
        <v>200613</v>
      </c>
      <c r="H526" s="35">
        <v>250060</v>
      </c>
      <c r="I526" s="35">
        <v>200004</v>
      </c>
      <c r="J526" s="34" t="s">
        <v>1668</v>
      </c>
      <c r="K526" s="34" t="str">
        <f t="shared" si="16"/>
        <v>重复</v>
      </c>
      <c r="L526" s="34" t="str">
        <f t="shared" si="17"/>
        <v>不重复</v>
      </c>
    </row>
    <row r="527" spans="1:12" ht="27">
      <c r="A527" s="35" t="s">
        <v>10929</v>
      </c>
      <c r="B527" s="35" t="s">
        <v>1669</v>
      </c>
      <c r="C527" s="36" t="s">
        <v>1670</v>
      </c>
      <c r="D527" s="35" t="s">
        <v>1671</v>
      </c>
      <c r="E527" s="35" t="s">
        <v>10912</v>
      </c>
      <c r="F527" s="35" t="s">
        <v>10866</v>
      </c>
      <c r="G527" s="35">
        <v>200614</v>
      </c>
      <c r="H527" s="35">
        <v>250060</v>
      </c>
      <c r="I527" s="35">
        <v>200004</v>
      </c>
      <c r="J527" s="34" t="s">
        <v>1186</v>
      </c>
      <c r="K527" s="34" t="str">
        <f t="shared" si="16"/>
        <v>不重复</v>
      </c>
      <c r="L527" s="34" t="str">
        <f t="shared" si="17"/>
        <v>不重复</v>
      </c>
    </row>
    <row r="528" spans="1:12" ht="30">
      <c r="A528" s="35" t="s">
        <v>10930</v>
      </c>
      <c r="B528" s="35" t="s">
        <v>1672</v>
      </c>
      <c r="C528" s="36" t="s">
        <v>1673</v>
      </c>
      <c r="D528" s="35" t="s">
        <v>1674</v>
      </c>
      <c r="E528" s="35" t="s">
        <v>10912</v>
      </c>
      <c r="F528" s="35" t="s">
        <v>10866</v>
      </c>
      <c r="G528" s="35">
        <v>200615</v>
      </c>
      <c r="H528" s="35">
        <v>250060</v>
      </c>
      <c r="I528" s="35">
        <v>200004</v>
      </c>
      <c r="J528" s="34" t="s">
        <v>1675</v>
      </c>
      <c r="K528" s="34" t="str">
        <f t="shared" si="16"/>
        <v>不重复</v>
      </c>
      <c r="L528" s="34" t="str">
        <f t="shared" si="17"/>
        <v>不重复</v>
      </c>
    </row>
    <row r="529" spans="1:12" ht="27">
      <c r="A529" s="35" t="s">
        <v>10931</v>
      </c>
      <c r="B529" s="35" t="s">
        <v>1676</v>
      </c>
      <c r="C529" s="36" t="s">
        <v>1677</v>
      </c>
      <c r="D529" s="35" t="s">
        <v>1678</v>
      </c>
      <c r="E529" s="35" t="s">
        <v>10912</v>
      </c>
      <c r="F529" s="35" t="s">
        <v>10866</v>
      </c>
      <c r="G529" s="35">
        <v>200616</v>
      </c>
      <c r="H529" s="35">
        <v>250060</v>
      </c>
      <c r="I529" s="35">
        <v>200004</v>
      </c>
      <c r="J529" s="34" t="s">
        <v>1679</v>
      </c>
      <c r="K529" s="34" t="str">
        <f t="shared" si="16"/>
        <v>重复</v>
      </c>
      <c r="L529" s="34" t="str">
        <f t="shared" si="17"/>
        <v>不重复</v>
      </c>
    </row>
    <row r="530" spans="1:12" ht="27">
      <c r="A530" s="35" t="s">
        <v>10932</v>
      </c>
      <c r="B530" s="35" t="s">
        <v>1680</v>
      </c>
      <c r="C530" s="36" t="s">
        <v>1681</v>
      </c>
      <c r="D530" s="35" t="s">
        <v>1682</v>
      </c>
      <c r="E530" s="35" t="s">
        <v>10912</v>
      </c>
      <c r="F530" s="35" t="s">
        <v>10866</v>
      </c>
      <c r="G530" s="35">
        <v>200617</v>
      </c>
      <c r="H530" s="35">
        <v>250060</v>
      </c>
      <c r="I530" s="35">
        <v>200004</v>
      </c>
      <c r="J530" s="34" t="s">
        <v>1683</v>
      </c>
      <c r="K530" s="34" t="str">
        <f t="shared" si="16"/>
        <v>不重复</v>
      </c>
      <c r="L530" s="34" t="str">
        <f t="shared" si="17"/>
        <v>不重复</v>
      </c>
    </row>
    <row r="531" spans="1:12" ht="27">
      <c r="A531" s="35" t="s">
        <v>10933</v>
      </c>
      <c r="B531" s="35" t="s">
        <v>1684</v>
      </c>
      <c r="C531" s="36" t="s">
        <v>1685</v>
      </c>
      <c r="D531" s="35" t="s">
        <v>1686</v>
      </c>
      <c r="E531" s="35" t="s">
        <v>10912</v>
      </c>
      <c r="F531" s="35" t="s">
        <v>10866</v>
      </c>
      <c r="G531" s="35">
        <v>200618</v>
      </c>
      <c r="H531" s="35">
        <v>250060</v>
      </c>
      <c r="I531" s="35">
        <v>200004</v>
      </c>
      <c r="J531" s="34" t="s">
        <v>1638</v>
      </c>
      <c r="K531" s="34" t="str">
        <f t="shared" si="16"/>
        <v>不重复</v>
      </c>
      <c r="L531" s="34" t="str">
        <f t="shared" si="17"/>
        <v>不重复</v>
      </c>
    </row>
    <row r="532" spans="1:12" ht="27">
      <c r="A532" s="35" t="s">
        <v>10934</v>
      </c>
      <c r="B532" s="35" t="s">
        <v>1687</v>
      </c>
      <c r="C532" s="36" t="s">
        <v>1688</v>
      </c>
      <c r="D532" s="35" t="s">
        <v>1689</v>
      </c>
      <c r="E532" s="35" t="s">
        <v>10912</v>
      </c>
      <c r="F532" s="35" t="s">
        <v>10866</v>
      </c>
      <c r="G532" s="35">
        <v>200619</v>
      </c>
      <c r="H532" s="35">
        <v>250060</v>
      </c>
      <c r="I532" s="35">
        <v>200004</v>
      </c>
      <c r="J532" s="34" t="s">
        <v>1358</v>
      </c>
      <c r="K532" s="34" t="str">
        <f t="shared" si="16"/>
        <v>不重复</v>
      </c>
      <c r="L532" s="34" t="str">
        <f t="shared" si="17"/>
        <v>不重复</v>
      </c>
    </row>
    <row r="533" spans="1:12" ht="27">
      <c r="A533" s="35" t="s">
        <v>10935</v>
      </c>
      <c r="B533" s="35" t="s">
        <v>1690</v>
      </c>
      <c r="C533" s="36" t="s">
        <v>747</v>
      </c>
      <c r="D533" s="35" t="s">
        <v>1691</v>
      </c>
      <c r="E533" s="35" t="s">
        <v>10912</v>
      </c>
      <c r="F533" s="35" t="s">
        <v>10866</v>
      </c>
      <c r="G533" s="35">
        <v>200620</v>
      </c>
      <c r="H533" s="35">
        <v>250060</v>
      </c>
      <c r="I533" s="35">
        <v>200004</v>
      </c>
      <c r="J533" s="34" t="s">
        <v>1668</v>
      </c>
      <c r="K533" s="34" t="str">
        <f t="shared" si="16"/>
        <v>重复</v>
      </c>
      <c r="L533" s="34" t="str">
        <f t="shared" si="17"/>
        <v>不重复</v>
      </c>
    </row>
    <row r="534" spans="1:12" ht="27">
      <c r="A534" s="35" t="s">
        <v>10936</v>
      </c>
      <c r="B534" s="35" t="s">
        <v>1692</v>
      </c>
      <c r="C534" s="36" t="s">
        <v>1693</v>
      </c>
      <c r="D534" s="35" t="s">
        <v>1694</v>
      </c>
      <c r="E534" s="35" t="s">
        <v>10912</v>
      </c>
      <c r="F534" s="35" t="s">
        <v>10866</v>
      </c>
      <c r="G534" s="35">
        <v>200621</v>
      </c>
      <c r="H534" s="35">
        <v>250060</v>
      </c>
      <c r="I534" s="35">
        <v>200004</v>
      </c>
      <c r="J534" s="34" t="s">
        <v>1668</v>
      </c>
      <c r="K534" s="34" t="str">
        <f t="shared" si="18" ref="K534:K597">IF(COUNTIF(C:C,C534)&gt;=2,"重复","不重复")</f>
        <v>不重复</v>
      </c>
      <c r="L534" s="34" t="str">
        <f t="shared" si="17"/>
        <v>不重复</v>
      </c>
    </row>
    <row r="535" spans="1:12" ht="27">
      <c r="A535" s="35" t="s">
        <v>10937</v>
      </c>
      <c r="B535" s="35" t="s">
        <v>1695</v>
      </c>
      <c r="C535" s="36" t="s">
        <v>103</v>
      </c>
      <c r="D535" s="35" t="s">
        <v>1696</v>
      </c>
      <c r="E535" s="35" t="s">
        <v>10912</v>
      </c>
      <c r="F535" s="35" t="s">
        <v>10866</v>
      </c>
      <c r="G535" s="35">
        <v>200622</v>
      </c>
      <c r="H535" s="35">
        <v>250060</v>
      </c>
      <c r="I535" s="35">
        <v>200004</v>
      </c>
      <c r="J535" s="34" t="s">
        <v>1638</v>
      </c>
      <c r="K535" s="34" t="str">
        <f t="shared" si="18"/>
        <v>重复</v>
      </c>
      <c r="L535" s="34" t="str">
        <f t="shared" si="19" ref="L535:L598">IF(COUNTIF(D:D,D535)&gt;=2,"重复","不重复")</f>
        <v>不重复</v>
      </c>
    </row>
    <row r="536" spans="1:12" ht="27">
      <c r="A536" s="35" t="s">
        <v>10938</v>
      </c>
      <c r="B536" s="35" t="s">
        <v>1697</v>
      </c>
      <c r="C536" s="36" t="s">
        <v>1698</v>
      </c>
      <c r="D536" s="35" t="s">
        <v>1699</v>
      </c>
      <c r="E536" s="35" t="s">
        <v>10912</v>
      </c>
      <c r="F536" s="35" t="s">
        <v>10866</v>
      </c>
      <c r="G536" s="35">
        <v>200623</v>
      </c>
      <c r="H536" s="35">
        <v>250060</v>
      </c>
      <c r="I536" s="35">
        <v>200004</v>
      </c>
      <c r="J536" s="34" t="s">
        <v>1700</v>
      </c>
      <c r="K536" s="34" t="str">
        <f t="shared" si="18"/>
        <v>不重复</v>
      </c>
      <c r="L536" s="34" t="str">
        <f t="shared" si="19"/>
        <v>不重复</v>
      </c>
    </row>
    <row r="537" spans="1:12" ht="27">
      <c r="A537" s="35" t="s">
        <v>10939</v>
      </c>
      <c r="B537" s="35" t="s">
        <v>1701</v>
      </c>
      <c r="C537" s="36" t="s">
        <v>1702</v>
      </c>
      <c r="D537" s="35" t="s">
        <v>1703</v>
      </c>
      <c r="E537" s="35" t="s">
        <v>10912</v>
      </c>
      <c r="F537" s="35" t="s">
        <v>10866</v>
      </c>
      <c r="G537" s="35">
        <v>200624</v>
      </c>
      <c r="H537" s="35">
        <v>250060</v>
      </c>
      <c r="I537" s="35">
        <v>200004</v>
      </c>
      <c r="J537" s="34" t="s">
        <v>1668</v>
      </c>
      <c r="K537" s="34" t="str">
        <f t="shared" si="18"/>
        <v>不重复</v>
      </c>
      <c r="L537" s="34" t="str">
        <f t="shared" si="19"/>
        <v>不重复</v>
      </c>
    </row>
    <row r="538" spans="1:12" ht="27">
      <c r="A538" s="35" t="s">
        <v>10940</v>
      </c>
      <c r="B538" s="35" t="s">
        <v>1704</v>
      </c>
      <c r="C538" s="36" t="s">
        <v>545</v>
      </c>
      <c r="D538" s="35" t="s">
        <v>1705</v>
      </c>
      <c r="E538" s="35" t="s">
        <v>10912</v>
      </c>
      <c r="F538" s="35" t="s">
        <v>10866</v>
      </c>
      <c r="G538" s="35">
        <v>200625</v>
      </c>
      <c r="H538" s="35">
        <v>250060</v>
      </c>
      <c r="I538" s="35">
        <v>200004</v>
      </c>
      <c r="J538" s="34" t="s">
        <v>1668</v>
      </c>
      <c r="K538" s="34" t="str">
        <f t="shared" si="18"/>
        <v>重复</v>
      </c>
      <c r="L538" s="34" t="str">
        <f t="shared" si="19"/>
        <v>不重复</v>
      </c>
    </row>
    <row r="539" spans="1:12" ht="27">
      <c r="A539" s="35" t="s">
        <v>10941</v>
      </c>
      <c r="B539" s="35" t="s">
        <v>1706</v>
      </c>
      <c r="C539" s="36" t="s">
        <v>834</v>
      </c>
      <c r="D539" s="35" t="s">
        <v>1707</v>
      </c>
      <c r="E539" s="35" t="s">
        <v>10912</v>
      </c>
      <c r="F539" s="35" t="s">
        <v>10866</v>
      </c>
      <c r="G539" s="35">
        <v>200626</v>
      </c>
      <c r="H539" s="35">
        <v>250060</v>
      </c>
      <c r="I539" s="35">
        <v>200004</v>
      </c>
      <c r="J539" s="34" t="s">
        <v>1708</v>
      </c>
      <c r="K539" s="34" t="str">
        <f t="shared" si="18"/>
        <v>重复</v>
      </c>
      <c r="L539" s="34" t="str">
        <f t="shared" si="19"/>
        <v>不重复</v>
      </c>
    </row>
    <row r="540" spans="1:12" ht="27">
      <c r="A540" s="35" t="s">
        <v>10942</v>
      </c>
      <c r="B540" s="35" t="s">
        <v>1709</v>
      </c>
      <c r="C540" s="36" t="s">
        <v>18</v>
      </c>
      <c r="D540" s="35" t="s">
        <v>1710</v>
      </c>
      <c r="E540" s="35" t="s">
        <v>10912</v>
      </c>
      <c r="F540" s="35" t="s">
        <v>10866</v>
      </c>
      <c r="G540" s="35">
        <v>200627</v>
      </c>
      <c r="H540" s="35">
        <v>250060</v>
      </c>
      <c r="I540" s="35">
        <v>200004</v>
      </c>
      <c r="J540" s="34" t="s">
        <v>1231</v>
      </c>
      <c r="K540" s="34" t="str">
        <f t="shared" si="18"/>
        <v>重复</v>
      </c>
      <c r="L540" s="34" t="str">
        <f t="shared" si="19"/>
        <v>不重复</v>
      </c>
    </row>
    <row r="541" spans="1:12" ht="27">
      <c r="A541" s="35" t="s">
        <v>10943</v>
      </c>
      <c r="B541" s="35" t="s">
        <v>1711</v>
      </c>
      <c r="C541" s="36" t="s">
        <v>1712</v>
      </c>
      <c r="D541" s="35" t="s">
        <v>1713</v>
      </c>
      <c r="E541" s="35" t="s">
        <v>10912</v>
      </c>
      <c r="F541" s="35" t="s">
        <v>10866</v>
      </c>
      <c r="G541" s="35">
        <v>200628</v>
      </c>
      <c r="H541" s="35">
        <v>250060</v>
      </c>
      <c r="I541" s="35">
        <v>200004</v>
      </c>
      <c r="J541" s="34" t="s">
        <v>1668</v>
      </c>
      <c r="K541" s="34" t="str">
        <f t="shared" si="18"/>
        <v>不重复</v>
      </c>
      <c r="L541" s="34" t="str">
        <f t="shared" si="19"/>
        <v>不重复</v>
      </c>
    </row>
    <row r="542" spans="1:12" ht="27">
      <c r="A542" s="35" t="s">
        <v>10944</v>
      </c>
      <c r="B542" s="35" t="s">
        <v>1714</v>
      </c>
      <c r="C542" s="36" t="s">
        <v>103</v>
      </c>
      <c r="D542" s="35" t="s">
        <v>1715</v>
      </c>
      <c r="E542" s="35" t="s">
        <v>10912</v>
      </c>
      <c r="F542" s="35" t="s">
        <v>10866</v>
      </c>
      <c r="G542" s="35">
        <v>200629</v>
      </c>
      <c r="H542" s="35">
        <v>250060</v>
      </c>
      <c r="I542" s="35">
        <v>200004</v>
      </c>
      <c r="J542" s="34" t="s">
        <v>1668</v>
      </c>
      <c r="K542" s="34" t="str">
        <f t="shared" si="18"/>
        <v>重复</v>
      </c>
      <c r="L542" s="34" t="str">
        <f t="shared" si="19"/>
        <v>不重复</v>
      </c>
    </row>
    <row r="543" spans="1:12" ht="27">
      <c r="A543" s="35" t="s">
        <v>10945</v>
      </c>
      <c r="B543" s="35" t="s">
        <v>1716</v>
      </c>
      <c r="C543" s="36" t="s">
        <v>1717</v>
      </c>
      <c r="D543" s="35" t="s">
        <v>1718</v>
      </c>
      <c r="E543" s="35" t="s">
        <v>10912</v>
      </c>
      <c r="F543" s="35" t="s">
        <v>10866</v>
      </c>
      <c r="G543" s="35">
        <v>200630</v>
      </c>
      <c r="H543" s="35">
        <v>250060</v>
      </c>
      <c r="I543" s="35">
        <v>200004</v>
      </c>
      <c r="J543" s="34" t="s">
        <v>1358</v>
      </c>
      <c r="K543" s="34" t="str">
        <f t="shared" si="18"/>
        <v>不重复</v>
      </c>
      <c r="L543" s="34" t="str">
        <f t="shared" si="19"/>
        <v>重复</v>
      </c>
    </row>
    <row r="544" spans="1:12" ht="27">
      <c r="A544" s="35" t="s">
        <v>10946</v>
      </c>
      <c r="B544" s="35" t="s">
        <v>1719</v>
      </c>
      <c r="C544" s="36" t="s">
        <v>1720</v>
      </c>
      <c r="D544" s="35" t="s">
        <v>1718</v>
      </c>
      <c r="E544" s="35" t="s">
        <v>10912</v>
      </c>
      <c r="F544" s="35" t="s">
        <v>10866</v>
      </c>
      <c r="G544" s="35">
        <v>200631</v>
      </c>
      <c r="H544" s="35">
        <v>250060</v>
      </c>
      <c r="I544" s="35">
        <v>200004</v>
      </c>
      <c r="J544" s="34" t="s">
        <v>1721</v>
      </c>
      <c r="K544" s="34" t="str">
        <f t="shared" si="18"/>
        <v>不重复</v>
      </c>
      <c r="L544" s="34" t="str">
        <f t="shared" si="19"/>
        <v>重复</v>
      </c>
    </row>
    <row r="545" spans="1:12" ht="27">
      <c r="A545" s="35" t="s">
        <v>10947</v>
      </c>
      <c r="B545" s="35" t="s">
        <v>1722</v>
      </c>
      <c r="C545" s="36" t="s">
        <v>1723</v>
      </c>
      <c r="D545" s="35" t="s">
        <v>1724</v>
      </c>
      <c r="E545" s="35" t="s">
        <v>10912</v>
      </c>
      <c r="F545" s="35" t="s">
        <v>10866</v>
      </c>
      <c r="G545" s="35">
        <v>200632</v>
      </c>
      <c r="H545" s="35">
        <v>250060</v>
      </c>
      <c r="I545" s="35">
        <v>200004</v>
      </c>
      <c r="J545" s="34" t="s">
        <v>1700</v>
      </c>
      <c r="K545" s="34" t="str">
        <f t="shared" si="18"/>
        <v>不重复</v>
      </c>
      <c r="L545" s="34" t="str">
        <f t="shared" si="19"/>
        <v>不重复</v>
      </c>
    </row>
    <row r="546" spans="1:12" ht="27">
      <c r="A546" s="35" t="s">
        <v>10948</v>
      </c>
      <c r="B546" s="35" t="s">
        <v>1725</v>
      </c>
      <c r="C546" s="36" t="s">
        <v>1726</v>
      </c>
      <c r="D546" s="35" t="s">
        <v>1727</v>
      </c>
      <c r="E546" s="35" t="s">
        <v>10912</v>
      </c>
      <c r="F546" s="35" t="s">
        <v>10866</v>
      </c>
      <c r="G546" s="35">
        <v>200633</v>
      </c>
      <c r="H546" s="35">
        <v>250060</v>
      </c>
      <c r="I546" s="35">
        <v>200004</v>
      </c>
      <c r="J546" s="34" t="s">
        <v>1668</v>
      </c>
      <c r="K546" s="34" t="str">
        <f t="shared" si="18"/>
        <v>重复</v>
      </c>
      <c r="L546" s="34" t="str">
        <f t="shared" si="19"/>
        <v>不重复</v>
      </c>
    </row>
    <row r="547" spans="1:12" ht="27">
      <c r="A547" s="35" t="s">
        <v>10949</v>
      </c>
      <c r="B547" s="35" t="s">
        <v>1728</v>
      </c>
      <c r="C547" s="36" t="s">
        <v>1729</v>
      </c>
      <c r="D547" s="35" t="s">
        <v>1730</v>
      </c>
      <c r="E547" s="35" t="s">
        <v>10912</v>
      </c>
      <c r="F547" s="35" t="s">
        <v>10866</v>
      </c>
      <c r="G547" s="35">
        <v>200634</v>
      </c>
      <c r="H547" s="35">
        <v>250060</v>
      </c>
      <c r="I547" s="35">
        <v>200004</v>
      </c>
      <c r="J547" s="34" t="s">
        <v>1468</v>
      </c>
      <c r="K547" s="34" t="str">
        <f t="shared" si="18"/>
        <v>不重复</v>
      </c>
      <c r="L547" s="34" t="str">
        <f t="shared" si="19"/>
        <v>不重复</v>
      </c>
    </row>
    <row r="548" spans="1:12" ht="15">
      <c r="A548" s="35" t="s">
        <v>10950</v>
      </c>
      <c r="B548" s="35" t="s">
        <v>1731</v>
      </c>
      <c r="C548" s="36" t="s">
        <v>1732</v>
      </c>
      <c r="D548" s="35" t="s">
        <v>1733</v>
      </c>
      <c r="E548" s="35" t="s">
        <v>10912</v>
      </c>
      <c r="F548" s="35" t="s">
        <v>10866</v>
      </c>
      <c r="G548" s="35">
        <v>200635</v>
      </c>
      <c r="H548" s="35">
        <v>250060</v>
      </c>
      <c r="I548" s="35">
        <v>200004</v>
      </c>
      <c r="J548" s="34" t="s">
        <v>16</v>
      </c>
      <c r="K548" s="34" t="str">
        <f t="shared" si="18"/>
        <v>不重复</v>
      </c>
      <c r="L548" s="34" t="str">
        <f t="shared" si="19"/>
        <v>不重复</v>
      </c>
    </row>
    <row r="549" spans="1:12" ht="15">
      <c r="A549" s="35" t="s">
        <v>10951</v>
      </c>
      <c r="B549" s="35" t="s">
        <v>1734</v>
      </c>
      <c r="C549" s="36" t="s">
        <v>1735</v>
      </c>
      <c r="D549" s="35" t="s">
        <v>1736</v>
      </c>
      <c r="E549" s="35" t="s">
        <v>10912</v>
      </c>
      <c r="F549" s="35" t="s">
        <v>10866</v>
      </c>
      <c r="G549" s="35">
        <v>200636</v>
      </c>
      <c r="H549" s="35">
        <v>250060</v>
      </c>
      <c r="I549" s="35">
        <v>200004</v>
      </c>
      <c r="J549" s="34" t="s">
        <v>1737</v>
      </c>
      <c r="K549" s="34" t="str">
        <f t="shared" si="18"/>
        <v>不重复</v>
      </c>
      <c r="L549" s="34" t="str">
        <f t="shared" si="19"/>
        <v>不重复</v>
      </c>
    </row>
    <row r="550" spans="1:12" ht="30">
      <c r="A550" s="35" t="s">
        <v>10952</v>
      </c>
      <c r="B550" s="35" t="s">
        <v>1738</v>
      </c>
      <c r="C550" s="36" t="s">
        <v>1739</v>
      </c>
      <c r="D550" s="35" t="s">
        <v>1740</v>
      </c>
      <c r="E550" s="35" t="s">
        <v>10912</v>
      </c>
      <c r="F550" s="35" t="s">
        <v>10866</v>
      </c>
      <c r="G550" s="35">
        <v>200637</v>
      </c>
      <c r="H550" s="35">
        <v>250060</v>
      </c>
      <c r="I550" s="35">
        <v>200004</v>
      </c>
      <c r="J550" s="34" t="s">
        <v>148</v>
      </c>
      <c r="K550" s="34" t="str">
        <f t="shared" si="18"/>
        <v>不重复</v>
      </c>
      <c r="L550" s="34" t="str">
        <f t="shared" si="19"/>
        <v>不重复</v>
      </c>
    </row>
    <row r="551" spans="1:12" ht="15">
      <c r="A551" s="35" t="s">
        <v>10953</v>
      </c>
      <c r="B551" s="35" t="s">
        <v>1741</v>
      </c>
      <c r="C551" s="36" t="s">
        <v>1742</v>
      </c>
      <c r="D551" s="35" t="s">
        <v>1743</v>
      </c>
      <c r="E551" s="35" t="s">
        <v>10912</v>
      </c>
      <c r="F551" s="35" t="s">
        <v>10866</v>
      </c>
      <c r="G551" s="35">
        <v>200638</v>
      </c>
      <c r="H551" s="35">
        <v>250060</v>
      </c>
      <c r="I551" s="35">
        <v>200004</v>
      </c>
      <c r="J551" s="34" t="s">
        <v>1744</v>
      </c>
      <c r="K551" s="34" t="str">
        <f t="shared" si="18"/>
        <v>不重复</v>
      </c>
      <c r="L551" s="34" t="str">
        <f t="shared" si="19"/>
        <v>不重复</v>
      </c>
    </row>
    <row r="552" spans="1:12" ht="27">
      <c r="A552" s="35" t="s">
        <v>10954</v>
      </c>
      <c r="B552" s="35" t="s">
        <v>1745</v>
      </c>
      <c r="C552" s="36" t="s">
        <v>1038</v>
      </c>
      <c r="D552" s="35" t="s">
        <v>1746</v>
      </c>
      <c r="E552" s="35" t="s">
        <v>10912</v>
      </c>
      <c r="F552" s="35" t="s">
        <v>10866</v>
      </c>
      <c r="G552" s="35">
        <v>200639</v>
      </c>
      <c r="H552" s="35">
        <v>250060</v>
      </c>
      <c r="I552" s="35">
        <v>200004</v>
      </c>
      <c r="J552" s="34" t="s">
        <v>1395</v>
      </c>
      <c r="K552" s="34" t="str">
        <f t="shared" si="18"/>
        <v>重复</v>
      </c>
      <c r="L552" s="34" t="str">
        <f t="shared" si="19"/>
        <v>不重复</v>
      </c>
    </row>
    <row r="553" spans="1:12" ht="15">
      <c r="A553" s="35" t="s">
        <v>10955</v>
      </c>
      <c r="B553" s="35" t="s">
        <v>1747</v>
      </c>
      <c r="C553" s="36" t="s">
        <v>1748</v>
      </c>
      <c r="D553" s="35" t="s">
        <v>1749</v>
      </c>
      <c r="E553" s="35" t="s">
        <v>10912</v>
      </c>
      <c r="F553" s="35" t="s">
        <v>10866</v>
      </c>
      <c r="G553" s="35">
        <v>200640</v>
      </c>
      <c r="H553" s="35">
        <v>250060</v>
      </c>
      <c r="I553" s="35">
        <v>200004</v>
      </c>
      <c r="J553" s="34" t="s">
        <v>16</v>
      </c>
      <c r="K553" s="34" t="str">
        <f t="shared" si="18"/>
        <v>重复</v>
      </c>
      <c r="L553" s="34" t="str">
        <f t="shared" si="19"/>
        <v>不重复</v>
      </c>
    </row>
    <row r="554" spans="1:12" ht="15">
      <c r="A554" s="35" t="s">
        <v>10956</v>
      </c>
      <c r="B554" s="35" t="s">
        <v>1750</v>
      </c>
      <c r="C554" s="36" t="s">
        <v>1751</v>
      </c>
      <c r="D554" s="35" t="s">
        <v>1752</v>
      </c>
      <c r="E554" s="35" t="s">
        <v>10912</v>
      </c>
      <c r="F554" s="35" t="s">
        <v>10866</v>
      </c>
      <c r="G554" s="35">
        <v>200641</v>
      </c>
      <c r="H554" s="35">
        <v>250060</v>
      </c>
      <c r="I554" s="35">
        <v>200004</v>
      </c>
      <c r="J554" s="34" t="s">
        <v>148</v>
      </c>
      <c r="K554" s="34" t="str">
        <f t="shared" si="18"/>
        <v>不重复</v>
      </c>
      <c r="L554" s="34" t="str">
        <f t="shared" si="19"/>
        <v>不重复</v>
      </c>
    </row>
    <row r="555" spans="1:12" ht="27">
      <c r="A555" s="35" t="s">
        <v>10957</v>
      </c>
      <c r="B555" s="35" t="s">
        <v>1753</v>
      </c>
      <c r="C555" s="36" t="s">
        <v>1754</v>
      </c>
      <c r="D555" s="35" t="s">
        <v>1755</v>
      </c>
      <c r="E555" s="35" t="s">
        <v>10912</v>
      </c>
      <c r="F555" s="35" t="s">
        <v>10866</v>
      </c>
      <c r="G555" s="35">
        <v>200641</v>
      </c>
      <c r="H555" s="35">
        <v>250060</v>
      </c>
      <c r="I555" s="35">
        <v>200004</v>
      </c>
      <c r="J555" s="34"/>
      <c r="K555" s="34" t="str">
        <f t="shared" si="18"/>
        <v>不重复</v>
      </c>
      <c r="L555" s="34" t="str">
        <f t="shared" si="19"/>
        <v>不重复</v>
      </c>
    </row>
    <row r="556" spans="1:12" ht="15">
      <c r="A556" s="35" t="s">
        <v>10958</v>
      </c>
      <c r="B556" s="35" t="s">
        <v>1756</v>
      </c>
      <c r="C556" s="36" t="s">
        <v>1757</v>
      </c>
      <c r="D556" s="35" t="s">
        <v>1758</v>
      </c>
      <c r="E556" s="35" t="s">
        <v>10912</v>
      </c>
      <c r="F556" s="35" t="s">
        <v>10866</v>
      </c>
      <c r="G556" s="35">
        <v>200642</v>
      </c>
      <c r="H556" s="35">
        <v>250060</v>
      </c>
      <c r="I556" s="35">
        <v>200004</v>
      </c>
      <c r="J556" s="34" t="s">
        <v>1759</v>
      </c>
      <c r="K556" s="34" t="str">
        <f t="shared" si="18"/>
        <v>不重复</v>
      </c>
      <c r="L556" s="34" t="str">
        <f t="shared" si="19"/>
        <v>不重复</v>
      </c>
    </row>
    <row r="557" spans="1:12" ht="27">
      <c r="A557" s="35" t="s">
        <v>10959</v>
      </c>
      <c r="B557" s="35" t="s">
        <v>1760</v>
      </c>
      <c r="C557" s="36" t="s">
        <v>1761</v>
      </c>
      <c r="D557" s="35" t="s">
        <v>1762</v>
      </c>
      <c r="E557" s="35" t="s">
        <v>10912</v>
      </c>
      <c r="F557" s="35" t="s">
        <v>10866</v>
      </c>
      <c r="G557" s="35">
        <v>200643</v>
      </c>
      <c r="H557" s="35">
        <v>250060</v>
      </c>
      <c r="I557" s="35">
        <v>200004</v>
      </c>
      <c r="J557" s="34" t="s">
        <v>148</v>
      </c>
      <c r="K557" s="34" t="str">
        <f t="shared" si="18"/>
        <v>不重复</v>
      </c>
      <c r="L557" s="34" t="str">
        <f t="shared" si="19"/>
        <v>不重复</v>
      </c>
    </row>
    <row r="558" spans="1:12" ht="27">
      <c r="A558" s="35" t="s">
        <v>10960</v>
      </c>
      <c r="B558" s="35" t="s">
        <v>1763</v>
      </c>
      <c r="C558" s="36" t="s">
        <v>1764</v>
      </c>
      <c r="D558" s="35" t="s">
        <v>1765</v>
      </c>
      <c r="E558" s="35" t="s">
        <v>10912</v>
      </c>
      <c r="F558" s="35" t="s">
        <v>10866</v>
      </c>
      <c r="G558" s="35">
        <v>200644</v>
      </c>
      <c r="H558" s="35">
        <v>250060</v>
      </c>
      <c r="I558" s="35">
        <v>200004</v>
      </c>
      <c r="J558" s="34" t="s">
        <v>1766</v>
      </c>
      <c r="K558" s="34" t="str">
        <f t="shared" si="18"/>
        <v>重复</v>
      </c>
      <c r="L558" s="34" t="str">
        <f t="shared" si="19"/>
        <v>重复</v>
      </c>
    </row>
    <row r="559" spans="1:12" ht="27">
      <c r="A559" s="35" t="s">
        <v>10961</v>
      </c>
      <c r="B559" s="35" t="s">
        <v>1767</v>
      </c>
      <c r="C559" s="36" t="s">
        <v>1768</v>
      </c>
      <c r="D559" s="35" t="s">
        <v>1769</v>
      </c>
      <c r="E559" s="35" t="s">
        <v>10912</v>
      </c>
      <c r="F559" s="35" t="s">
        <v>10866</v>
      </c>
      <c r="G559" s="35">
        <v>200645</v>
      </c>
      <c r="H559" s="35">
        <v>250060</v>
      </c>
      <c r="I559" s="35">
        <v>200004</v>
      </c>
      <c r="J559" s="34" t="s">
        <v>1766</v>
      </c>
      <c r="K559" s="34" t="str">
        <f t="shared" si="18"/>
        <v>重复</v>
      </c>
      <c r="L559" s="34" t="str">
        <f t="shared" si="19"/>
        <v>不重复</v>
      </c>
    </row>
    <row r="560" spans="1:12" ht="27">
      <c r="A560" s="35" t="s">
        <v>10962</v>
      </c>
      <c r="B560" s="35" t="s">
        <v>1770</v>
      </c>
      <c r="C560" s="36" t="s">
        <v>1771</v>
      </c>
      <c r="D560" s="35" t="s">
        <v>1772</v>
      </c>
      <c r="E560" s="35" t="s">
        <v>10912</v>
      </c>
      <c r="F560" s="35" t="s">
        <v>10866</v>
      </c>
      <c r="G560" s="35">
        <v>200646</v>
      </c>
      <c r="H560" s="35">
        <v>250060</v>
      </c>
      <c r="I560" s="35">
        <v>200004</v>
      </c>
      <c r="J560" s="34" t="s">
        <v>1721</v>
      </c>
      <c r="K560" s="34" t="str">
        <f t="shared" si="18"/>
        <v>重复</v>
      </c>
      <c r="L560" s="34" t="str">
        <f t="shared" si="19"/>
        <v>不重复</v>
      </c>
    </row>
    <row r="561" spans="1:12" ht="30">
      <c r="A561" s="35" t="s">
        <v>10963</v>
      </c>
      <c r="B561" s="35" t="s">
        <v>1773</v>
      </c>
      <c r="C561" s="36" t="s">
        <v>297</v>
      </c>
      <c r="D561" s="35" t="s">
        <v>1774</v>
      </c>
      <c r="E561" s="35" t="s">
        <v>10912</v>
      </c>
      <c r="F561" s="35" t="s">
        <v>10866</v>
      </c>
      <c r="G561" s="35">
        <v>200647</v>
      </c>
      <c r="H561" s="35">
        <v>250060</v>
      </c>
      <c r="I561" s="35">
        <v>200004</v>
      </c>
      <c r="J561" s="34" t="s">
        <v>1638</v>
      </c>
      <c r="K561" s="34" t="str">
        <f t="shared" si="18"/>
        <v>重复</v>
      </c>
      <c r="L561" s="34" t="str">
        <f t="shared" si="19"/>
        <v>不重复</v>
      </c>
    </row>
    <row r="562" spans="1:12" ht="27">
      <c r="A562" s="35" t="s">
        <v>10964</v>
      </c>
      <c r="B562" s="35" t="s">
        <v>1775</v>
      </c>
      <c r="C562" s="36" t="s">
        <v>358</v>
      </c>
      <c r="D562" s="35" t="s">
        <v>1776</v>
      </c>
      <c r="E562" s="35" t="s">
        <v>10912</v>
      </c>
      <c r="F562" s="35" t="s">
        <v>10866</v>
      </c>
      <c r="G562" s="35">
        <v>200648</v>
      </c>
      <c r="H562" s="35">
        <v>250060</v>
      </c>
      <c r="I562" s="35">
        <v>200004</v>
      </c>
      <c r="J562" s="34" t="s">
        <v>311</v>
      </c>
      <c r="K562" s="34" t="str">
        <f t="shared" si="18"/>
        <v>重复</v>
      </c>
      <c r="L562" s="34" t="str">
        <f t="shared" si="19"/>
        <v>不重复</v>
      </c>
    </row>
    <row r="563" spans="1:12" ht="30">
      <c r="A563" s="35" t="s">
        <v>10965</v>
      </c>
      <c r="B563" s="35" t="s">
        <v>1777</v>
      </c>
      <c r="C563" s="36" t="s">
        <v>1778</v>
      </c>
      <c r="D563" s="35" t="s">
        <v>1779</v>
      </c>
      <c r="E563" s="35" t="s">
        <v>10912</v>
      </c>
      <c r="F563" s="35" t="s">
        <v>10866</v>
      </c>
      <c r="G563" s="35">
        <v>200649</v>
      </c>
      <c r="H563" s="35">
        <v>250060</v>
      </c>
      <c r="I563" s="35">
        <v>200004</v>
      </c>
      <c r="J563" s="34" t="s">
        <v>1358</v>
      </c>
      <c r="K563" s="34" t="str">
        <f t="shared" si="18"/>
        <v>不重复</v>
      </c>
      <c r="L563" s="34" t="str">
        <f t="shared" si="19"/>
        <v>不重复</v>
      </c>
    </row>
    <row r="564" spans="1:12" ht="15">
      <c r="A564" s="35" t="s">
        <v>10966</v>
      </c>
      <c r="B564" s="35" t="s">
        <v>1780</v>
      </c>
      <c r="C564" s="36" t="s">
        <v>1781</v>
      </c>
      <c r="D564" s="35" t="s">
        <v>1782</v>
      </c>
      <c r="E564" s="35" t="s">
        <v>10912</v>
      </c>
      <c r="F564" s="35" t="s">
        <v>10866</v>
      </c>
      <c r="G564" s="35">
        <v>200650</v>
      </c>
      <c r="H564" s="35">
        <v>250060</v>
      </c>
      <c r="I564" s="35">
        <v>200004</v>
      </c>
      <c r="J564" s="34"/>
      <c r="K564" s="34" t="str">
        <f t="shared" si="18"/>
        <v>重复</v>
      </c>
      <c r="L564" s="34" t="str">
        <f t="shared" si="19"/>
        <v>重复</v>
      </c>
    </row>
    <row r="565" spans="1:12" ht="15">
      <c r="A565" s="35" t="s">
        <v>10967</v>
      </c>
      <c r="B565" s="35" t="s">
        <v>1783</v>
      </c>
      <c r="C565" s="36" t="s">
        <v>1493</v>
      </c>
      <c r="D565" s="35" t="s">
        <v>1784</v>
      </c>
      <c r="E565" s="35" t="s">
        <v>10912</v>
      </c>
      <c r="F565" s="35" t="s">
        <v>10866</v>
      </c>
      <c r="G565" s="35">
        <v>200651</v>
      </c>
      <c r="H565" s="35">
        <v>250060</v>
      </c>
      <c r="I565" s="35">
        <v>200004</v>
      </c>
      <c r="J565" s="34" t="s">
        <v>16</v>
      </c>
      <c r="K565" s="34" t="str">
        <f t="shared" si="18"/>
        <v>重复</v>
      </c>
      <c r="L565" s="34" t="str">
        <f t="shared" si="19"/>
        <v>重复</v>
      </c>
    </row>
    <row r="566" spans="1:12" ht="27">
      <c r="A566" s="35" t="s">
        <v>10968</v>
      </c>
      <c r="B566" s="35" t="s">
        <v>1785</v>
      </c>
      <c r="C566" s="36" t="s">
        <v>1786</v>
      </c>
      <c r="D566" s="35" t="s">
        <v>1787</v>
      </c>
      <c r="E566" s="35" t="s">
        <v>10912</v>
      </c>
      <c r="F566" s="35" t="s">
        <v>10866</v>
      </c>
      <c r="G566" s="35">
        <v>200652</v>
      </c>
      <c r="H566" s="35">
        <v>250060</v>
      </c>
      <c r="I566" s="35">
        <v>200004</v>
      </c>
      <c r="J566" s="34" t="s">
        <v>1658</v>
      </c>
      <c r="K566" s="34" t="str">
        <f t="shared" si="18"/>
        <v>不重复</v>
      </c>
      <c r="L566" s="34" t="str">
        <f t="shared" si="19"/>
        <v>不重复</v>
      </c>
    </row>
    <row r="567" spans="1:12" ht="27">
      <c r="A567" s="35" t="s">
        <v>10969</v>
      </c>
      <c r="B567" s="35" t="s">
        <v>1788</v>
      </c>
      <c r="C567" s="36" t="s">
        <v>1789</v>
      </c>
      <c r="D567" s="35" t="s">
        <v>1790</v>
      </c>
      <c r="E567" s="35" t="s">
        <v>10912</v>
      </c>
      <c r="F567" s="35" t="s">
        <v>10866</v>
      </c>
      <c r="G567" s="35">
        <v>200653</v>
      </c>
      <c r="H567" s="35">
        <v>250060</v>
      </c>
      <c r="I567" s="35">
        <v>200004</v>
      </c>
      <c r="J567" s="34" t="s">
        <v>756</v>
      </c>
      <c r="K567" s="34" t="str">
        <f t="shared" si="18"/>
        <v>不重复</v>
      </c>
      <c r="L567" s="34" t="str">
        <f t="shared" si="19"/>
        <v>不重复</v>
      </c>
    </row>
    <row r="568" spans="1:12" ht="30">
      <c r="A568" s="35" t="s">
        <v>10970</v>
      </c>
      <c r="B568" s="35" t="s">
        <v>1791</v>
      </c>
      <c r="C568" s="36" t="s">
        <v>1792</v>
      </c>
      <c r="D568" s="35" t="s">
        <v>1793</v>
      </c>
      <c r="E568" s="35" t="s">
        <v>10912</v>
      </c>
      <c r="F568" s="35" t="s">
        <v>10866</v>
      </c>
      <c r="G568" s="35">
        <v>200654</v>
      </c>
      <c r="H568" s="35">
        <v>250060</v>
      </c>
      <c r="I568" s="35">
        <v>200004</v>
      </c>
      <c r="J568" s="34" t="s">
        <v>82</v>
      </c>
      <c r="K568" s="34" t="str">
        <f t="shared" si="18"/>
        <v>重复</v>
      </c>
      <c r="L568" s="34" t="str">
        <f t="shared" si="19"/>
        <v>不重复</v>
      </c>
    </row>
    <row r="569" spans="1:12" ht="30">
      <c r="A569" s="35" t="s">
        <v>10971</v>
      </c>
      <c r="B569" s="35" t="s">
        <v>1794</v>
      </c>
      <c r="C569" s="36" t="s">
        <v>1795</v>
      </c>
      <c r="D569" s="35" t="s">
        <v>1796</v>
      </c>
      <c r="E569" s="35" t="s">
        <v>10912</v>
      </c>
      <c r="F569" s="35" t="s">
        <v>10866</v>
      </c>
      <c r="G569" s="35">
        <v>200655</v>
      </c>
      <c r="H569" s="35">
        <v>250060</v>
      </c>
      <c r="I569" s="35">
        <v>200004</v>
      </c>
      <c r="J569" s="34" t="s">
        <v>363</v>
      </c>
      <c r="K569" s="34" t="str">
        <f t="shared" si="18"/>
        <v>不重复</v>
      </c>
      <c r="L569" s="34" t="str">
        <f t="shared" si="19"/>
        <v>不重复</v>
      </c>
    </row>
    <row r="570" spans="1:12" ht="27">
      <c r="A570" s="35" t="s">
        <v>10972</v>
      </c>
      <c r="B570" s="35" t="s">
        <v>1797</v>
      </c>
      <c r="C570" s="36" t="s">
        <v>1798</v>
      </c>
      <c r="D570" s="35" t="s">
        <v>1799</v>
      </c>
      <c r="E570" s="35" t="s">
        <v>10912</v>
      </c>
      <c r="F570" s="35" t="s">
        <v>10866</v>
      </c>
      <c r="G570" s="35">
        <v>200656</v>
      </c>
      <c r="H570" s="35">
        <v>250060</v>
      </c>
      <c r="I570" s="35">
        <v>200004</v>
      </c>
      <c r="J570" s="34" t="s">
        <v>1744</v>
      </c>
      <c r="K570" s="34" t="str">
        <f t="shared" si="18"/>
        <v>重复</v>
      </c>
      <c r="L570" s="34" t="str">
        <f t="shared" si="19"/>
        <v>不重复</v>
      </c>
    </row>
    <row r="571" spans="1:12" ht="27">
      <c r="A571" s="35" t="s">
        <v>10973</v>
      </c>
      <c r="B571" s="35" t="s">
        <v>1800</v>
      </c>
      <c r="C571" s="36" t="s">
        <v>1801</v>
      </c>
      <c r="D571" s="35" t="s">
        <v>1802</v>
      </c>
      <c r="E571" s="35" t="s">
        <v>10912</v>
      </c>
      <c r="F571" s="35" t="s">
        <v>10866</v>
      </c>
      <c r="G571" s="35">
        <v>200657</v>
      </c>
      <c r="H571" s="35">
        <v>250060</v>
      </c>
      <c r="I571" s="35">
        <v>200004</v>
      </c>
      <c r="J571" s="34" t="s">
        <v>82</v>
      </c>
      <c r="K571" s="34" t="str">
        <f t="shared" si="18"/>
        <v>不重复</v>
      </c>
      <c r="L571" s="34" t="str">
        <f t="shared" si="19"/>
        <v>不重复</v>
      </c>
    </row>
    <row r="572" spans="1:12" ht="30">
      <c r="A572" s="35" t="s">
        <v>10974</v>
      </c>
      <c r="B572" s="35" t="s">
        <v>1803</v>
      </c>
      <c r="C572" s="36" t="s">
        <v>1804</v>
      </c>
      <c r="D572" s="35" t="s">
        <v>1805</v>
      </c>
      <c r="E572" s="35" t="s">
        <v>10912</v>
      </c>
      <c r="F572" s="35" t="s">
        <v>10866</v>
      </c>
      <c r="G572" s="35">
        <v>200658</v>
      </c>
      <c r="H572" s="35">
        <v>250060</v>
      </c>
      <c r="I572" s="35">
        <v>200004</v>
      </c>
      <c r="J572" s="34" t="s">
        <v>1668</v>
      </c>
      <c r="K572" s="34" t="str">
        <f t="shared" si="18"/>
        <v>重复</v>
      </c>
      <c r="L572" s="34" t="str">
        <f t="shared" si="19"/>
        <v>不重复</v>
      </c>
    </row>
    <row r="573" spans="1:12" ht="27">
      <c r="A573" s="35" t="s">
        <v>10975</v>
      </c>
      <c r="B573" s="35" t="s">
        <v>1806</v>
      </c>
      <c r="C573" s="36" t="s">
        <v>1807</v>
      </c>
      <c r="D573" s="35" t="s">
        <v>1808</v>
      </c>
      <c r="E573" s="35" t="s">
        <v>10912</v>
      </c>
      <c r="F573" s="35" t="s">
        <v>10866</v>
      </c>
      <c r="G573" s="35">
        <v>200659</v>
      </c>
      <c r="H573" s="35">
        <v>250060</v>
      </c>
      <c r="I573" s="35">
        <v>200004</v>
      </c>
      <c r="J573" s="34" t="s">
        <v>1668</v>
      </c>
      <c r="K573" s="34" t="str">
        <f t="shared" si="18"/>
        <v>不重复</v>
      </c>
      <c r="L573" s="34" t="str">
        <f t="shared" si="19"/>
        <v>不重复</v>
      </c>
    </row>
    <row r="574" spans="1:12" ht="27">
      <c r="A574" s="35" t="s">
        <v>10976</v>
      </c>
      <c r="B574" s="35" t="s">
        <v>1809</v>
      </c>
      <c r="C574" s="36" t="s">
        <v>1810</v>
      </c>
      <c r="D574" s="35" t="s">
        <v>1784</v>
      </c>
      <c r="E574" s="35" t="s">
        <v>10912</v>
      </c>
      <c r="F574" s="35" t="s">
        <v>10866</v>
      </c>
      <c r="G574" s="35">
        <v>200660</v>
      </c>
      <c r="H574" s="35">
        <v>250060</v>
      </c>
      <c r="I574" s="35">
        <v>200004</v>
      </c>
      <c r="J574" s="34" t="s">
        <v>681</v>
      </c>
      <c r="K574" s="34" t="str">
        <f t="shared" si="18"/>
        <v>重复</v>
      </c>
      <c r="L574" s="34" t="str">
        <f t="shared" si="19"/>
        <v>重复</v>
      </c>
    </row>
    <row r="575" spans="1:12" ht="30">
      <c r="A575" s="35" t="s">
        <v>10977</v>
      </c>
      <c r="B575" s="35" t="s">
        <v>1811</v>
      </c>
      <c r="C575" s="36" t="s">
        <v>1812</v>
      </c>
      <c r="D575" s="35" t="s">
        <v>1813</v>
      </c>
      <c r="E575" s="35" t="s">
        <v>10912</v>
      </c>
      <c r="F575" s="35" t="s">
        <v>10866</v>
      </c>
      <c r="G575" s="35">
        <v>200661</v>
      </c>
      <c r="H575" s="35">
        <v>250060</v>
      </c>
      <c r="I575" s="35">
        <v>200004</v>
      </c>
      <c r="J575" s="34" t="s">
        <v>962</v>
      </c>
      <c r="K575" s="34" t="str">
        <f t="shared" si="18"/>
        <v>不重复</v>
      </c>
      <c r="L575" s="34" t="str">
        <f t="shared" si="19"/>
        <v>不重复</v>
      </c>
    </row>
    <row r="576" spans="1:12" ht="27">
      <c r="A576" s="35" t="s">
        <v>10978</v>
      </c>
      <c r="B576" s="35" t="s">
        <v>1814</v>
      </c>
      <c r="C576" s="36" t="s">
        <v>1815</v>
      </c>
      <c r="D576" s="35" t="s">
        <v>1816</v>
      </c>
      <c r="E576" s="35" t="s">
        <v>10912</v>
      </c>
      <c r="F576" s="35" t="s">
        <v>10866</v>
      </c>
      <c r="G576" s="35">
        <v>200662</v>
      </c>
      <c r="H576" s="35">
        <v>250060</v>
      </c>
      <c r="I576" s="35">
        <v>200004</v>
      </c>
      <c r="J576" s="34" t="s">
        <v>962</v>
      </c>
      <c r="K576" s="34" t="str">
        <f t="shared" si="18"/>
        <v>重复</v>
      </c>
      <c r="L576" s="34" t="str">
        <f t="shared" si="19"/>
        <v>不重复</v>
      </c>
    </row>
    <row r="577" spans="1:12" ht="30">
      <c r="A577" s="35" t="s">
        <v>10979</v>
      </c>
      <c r="B577" s="35" t="s">
        <v>1817</v>
      </c>
      <c r="C577" s="36" t="s">
        <v>1818</v>
      </c>
      <c r="D577" s="35" t="s">
        <v>1819</v>
      </c>
      <c r="E577" s="35" t="s">
        <v>10912</v>
      </c>
      <c r="F577" s="35" t="s">
        <v>10866</v>
      </c>
      <c r="G577" s="35">
        <v>200663</v>
      </c>
      <c r="H577" s="35">
        <v>250060</v>
      </c>
      <c r="I577" s="35">
        <v>200004</v>
      </c>
      <c r="J577" s="34" t="s">
        <v>1223</v>
      </c>
      <c r="K577" s="34" t="str">
        <f t="shared" si="18"/>
        <v>不重复</v>
      </c>
      <c r="L577" s="34" t="str">
        <f t="shared" si="19"/>
        <v>不重复</v>
      </c>
    </row>
    <row r="578" spans="1:12" ht="15">
      <c r="A578" s="35" t="s">
        <v>10980</v>
      </c>
      <c r="B578" s="35" t="s">
        <v>1820</v>
      </c>
      <c r="C578" s="36" t="s">
        <v>1821</v>
      </c>
      <c r="D578" s="35" t="s">
        <v>1822</v>
      </c>
      <c r="E578" s="35" t="s">
        <v>10912</v>
      </c>
      <c r="F578" s="35" t="s">
        <v>10866</v>
      </c>
      <c r="G578" s="35">
        <v>200664</v>
      </c>
      <c r="H578" s="35">
        <v>250060</v>
      </c>
      <c r="I578" s="35">
        <v>200004</v>
      </c>
      <c r="J578" s="34" t="s">
        <v>1737</v>
      </c>
      <c r="K578" s="34" t="str">
        <f t="shared" si="18"/>
        <v>重复</v>
      </c>
      <c r="L578" s="34" t="str">
        <f t="shared" si="19"/>
        <v>不重复</v>
      </c>
    </row>
    <row r="579" spans="1:12" ht="15">
      <c r="A579" s="35" t="s">
        <v>10981</v>
      </c>
      <c r="B579" s="35" t="s">
        <v>1823</v>
      </c>
      <c r="C579" s="36" t="s">
        <v>1824</v>
      </c>
      <c r="D579" s="35" t="s">
        <v>1825</v>
      </c>
      <c r="E579" s="35" t="s">
        <v>10912</v>
      </c>
      <c r="F579" s="35" t="s">
        <v>10866</v>
      </c>
      <c r="G579" s="35">
        <v>200665</v>
      </c>
      <c r="H579" s="35">
        <v>250060</v>
      </c>
      <c r="I579" s="35">
        <v>200004</v>
      </c>
      <c r="J579" s="34" t="s">
        <v>1826</v>
      </c>
      <c r="K579" s="34" t="str">
        <f t="shared" si="18"/>
        <v>不重复</v>
      </c>
      <c r="L579" s="34" t="str">
        <f t="shared" si="19"/>
        <v>不重复</v>
      </c>
    </row>
    <row r="580" spans="1:12" ht="30">
      <c r="A580" s="35" t="s">
        <v>10982</v>
      </c>
      <c r="B580" s="35" t="s">
        <v>1827</v>
      </c>
      <c r="C580" s="36" t="s">
        <v>1828</v>
      </c>
      <c r="D580" s="35" t="s">
        <v>1829</v>
      </c>
      <c r="E580" s="35" t="s">
        <v>10912</v>
      </c>
      <c r="F580" s="35" t="s">
        <v>10866</v>
      </c>
      <c r="G580" s="35">
        <v>200666</v>
      </c>
      <c r="H580" s="35">
        <v>250060</v>
      </c>
      <c r="I580" s="35">
        <v>200004</v>
      </c>
      <c r="J580" s="34" t="s">
        <v>1737</v>
      </c>
      <c r="K580" s="34" t="str">
        <f t="shared" si="18"/>
        <v>重复</v>
      </c>
      <c r="L580" s="34" t="str">
        <f t="shared" si="19"/>
        <v>不重复</v>
      </c>
    </row>
    <row r="581" spans="1:12" ht="27">
      <c r="A581" s="35" t="s">
        <v>10983</v>
      </c>
      <c r="B581" s="35" t="s">
        <v>1830</v>
      </c>
      <c r="C581" s="36" t="s">
        <v>1831</v>
      </c>
      <c r="D581" s="35" t="s">
        <v>1832</v>
      </c>
      <c r="E581" s="35" t="s">
        <v>10912</v>
      </c>
      <c r="F581" s="35" t="s">
        <v>10866</v>
      </c>
      <c r="G581" s="35">
        <v>200667</v>
      </c>
      <c r="H581" s="35">
        <v>250060</v>
      </c>
      <c r="I581" s="35">
        <v>200004</v>
      </c>
      <c r="J581" s="34" t="s">
        <v>1638</v>
      </c>
      <c r="K581" s="34" t="str">
        <f t="shared" si="18"/>
        <v>不重复</v>
      </c>
      <c r="L581" s="34" t="str">
        <f t="shared" si="19"/>
        <v>重复</v>
      </c>
    </row>
    <row r="582" spans="1:12" ht="27">
      <c r="A582" s="35" t="s">
        <v>10984</v>
      </c>
      <c r="B582" s="35" t="s">
        <v>1833</v>
      </c>
      <c r="C582" s="36" t="s">
        <v>1834</v>
      </c>
      <c r="D582" s="35" t="s">
        <v>1835</v>
      </c>
      <c r="E582" s="35" t="s">
        <v>10912</v>
      </c>
      <c r="F582" s="35" t="s">
        <v>10866</v>
      </c>
      <c r="G582" s="35">
        <v>200668</v>
      </c>
      <c r="H582" s="35">
        <v>250060</v>
      </c>
      <c r="I582" s="35">
        <v>200004</v>
      </c>
      <c r="J582" s="34" t="s">
        <v>1638</v>
      </c>
      <c r="K582" s="34" t="str">
        <f t="shared" si="18"/>
        <v>不重复</v>
      </c>
      <c r="L582" s="34" t="str">
        <f t="shared" si="19"/>
        <v>重复</v>
      </c>
    </row>
    <row r="583" spans="1:12" ht="27">
      <c r="A583" s="35" t="s">
        <v>10985</v>
      </c>
      <c r="B583" s="35" t="s">
        <v>1836</v>
      </c>
      <c r="C583" s="36" t="s">
        <v>1837</v>
      </c>
      <c r="D583" s="35" t="s">
        <v>1838</v>
      </c>
      <c r="E583" s="35" t="s">
        <v>10985</v>
      </c>
      <c r="F583" s="35" t="s">
        <v>10867</v>
      </c>
      <c r="G583" s="35">
        <v>200700</v>
      </c>
      <c r="H583" s="35">
        <v>250070</v>
      </c>
      <c r="I583" s="35">
        <v>200004</v>
      </c>
      <c r="J583" s="34" t="s">
        <v>16</v>
      </c>
      <c r="K583" s="34" t="str">
        <f t="shared" si="18"/>
        <v>重复</v>
      </c>
      <c r="L583" s="34" t="str">
        <f t="shared" si="19"/>
        <v>不重复</v>
      </c>
    </row>
    <row r="584" spans="1:12" ht="15">
      <c r="A584" s="35" t="s">
        <v>10986</v>
      </c>
      <c r="B584" s="35" t="s">
        <v>1839</v>
      </c>
      <c r="C584" s="36" t="s">
        <v>1840</v>
      </c>
      <c r="D584" s="35" t="s">
        <v>1160</v>
      </c>
      <c r="E584" s="35" t="s">
        <v>10986</v>
      </c>
      <c r="F584" s="35" t="s">
        <v>10867</v>
      </c>
      <c r="G584" s="35">
        <v>200800</v>
      </c>
      <c r="H584" s="35">
        <v>250080</v>
      </c>
      <c r="I584" s="35">
        <v>200004</v>
      </c>
      <c r="J584" s="34" t="s">
        <v>16</v>
      </c>
      <c r="K584" s="34" t="str">
        <f t="shared" si="18"/>
        <v>不重复</v>
      </c>
      <c r="L584" s="34" t="str">
        <f t="shared" si="19"/>
        <v>重复</v>
      </c>
    </row>
    <row r="585" spans="1:12" ht="27">
      <c r="A585" s="35" t="s">
        <v>10987</v>
      </c>
      <c r="B585" s="35" t="s">
        <v>1841</v>
      </c>
      <c r="C585" s="36" t="s">
        <v>1842</v>
      </c>
      <c r="D585" s="35" t="s">
        <v>1843</v>
      </c>
      <c r="E585" s="35" t="s">
        <v>10987</v>
      </c>
      <c r="F585" s="35" t="s">
        <v>10867</v>
      </c>
      <c r="G585" s="35">
        <v>200900</v>
      </c>
      <c r="H585" s="35">
        <v>250090</v>
      </c>
      <c r="I585" s="35">
        <v>200004</v>
      </c>
      <c r="J585" s="34" t="s">
        <v>16</v>
      </c>
      <c r="K585" s="34" t="str">
        <f t="shared" si="18"/>
        <v>不重复</v>
      </c>
      <c r="L585" s="34" t="str">
        <f t="shared" si="19"/>
        <v>重复</v>
      </c>
    </row>
    <row r="586" spans="1:12" ht="27">
      <c r="A586" s="35" t="s">
        <v>10988</v>
      </c>
      <c r="B586" s="35" t="s">
        <v>1844</v>
      </c>
      <c r="C586" s="36" t="s">
        <v>1845</v>
      </c>
      <c r="D586" s="35" t="s">
        <v>1846</v>
      </c>
      <c r="E586" s="35" t="s">
        <v>10987</v>
      </c>
      <c r="F586" s="35" t="s">
        <v>10867</v>
      </c>
      <c r="G586" s="35">
        <v>200901</v>
      </c>
      <c r="H586" s="35">
        <v>250090</v>
      </c>
      <c r="I586" s="35">
        <v>200004</v>
      </c>
      <c r="J586" s="34" t="s">
        <v>1847</v>
      </c>
      <c r="K586" s="34" t="str">
        <f t="shared" si="18"/>
        <v>重复</v>
      </c>
      <c r="L586" s="34" t="str">
        <f t="shared" si="19"/>
        <v>不重复</v>
      </c>
    </row>
    <row r="587" spans="1:12" ht="27">
      <c r="A587" s="35" t="s">
        <v>10989</v>
      </c>
      <c r="B587" s="35" t="s">
        <v>1848</v>
      </c>
      <c r="C587" s="36" t="s">
        <v>1849</v>
      </c>
      <c r="D587" s="35" t="s">
        <v>1850</v>
      </c>
      <c r="E587" s="35" t="s">
        <v>10987</v>
      </c>
      <c r="F587" s="35" t="s">
        <v>10867</v>
      </c>
      <c r="G587" s="35">
        <v>200902</v>
      </c>
      <c r="H587" s="35">
        <v>250090</v>
      </c>
      <c r="I587" s="35">
        <v>200004</v>
      </c>
      <c r="J587" s="34"/>
      <c r="K587" s="34" t="str">
        <f t="shared" si="18"/>
        <v>重复</v>
      </c>
      <c r="L587" s="34" t="str">
        <f t="shared" si="19"/>
        <v>不重复</v>
      </c>
    </row>
    <row r="588" spans="1:12" ht="15">
      <c r="A588" s="35" t="s">
        <v>10990</v>
      </c>
      <c r="B588" s="35" t="s">
        <v>1851</v>
      </c>
      <c r="C588" s="36" t="s">
        <v>1663</v>
      </c>
      <c r="D588" s="35" t="s">
        <v>1852</v>
      </c>
      <c r="E588" s="35" t="s">
        <v>10990</v>
      </c>
      <c r="F588" s="35" t="s">
        <v>10991</v>
      </c>
      <c r="G588" s="35">
        <v>210100</v>
      </c>
      <c r="H588" s="35">
        <v>260000</v>
      </c>
      <c r="I588" s="35">
        <v>200005</v>
      </c>
      <c r="J588" s="34" t="s">
        <v>16</v>
      </c>
      <c r="K588" s="34" t="str">
        <f t="shared" si="18"/>
        <v>重复</v>
      </c>
      <c r="L588" s="34" t="str">
        <f t="shared" si="19"/>
        <v>不重复</v>
      </c>
    </row>
    <row r="589" spans="1:12" ht="15">
      <c r="A589" s="35" t="s">
        <v>10992</v>
      </c>
      <c r="B589" s="35" t="s">
        <v>1853</v>
      </c>
      <c r="C589" s="36" t="s">
        <v>1854</v>
      </c>
      <c r="D589" s="35" t="s">
        <v>1855</v>
      </c>
      <c r="E589" s="35" t="s">
        <v>10992</v>
      </c>
      <c r="F589" s="35" t="s">
        <v>10991</v>
      </c>
      <c r="G589" s="35">
        <v>210200</v>
      </c>
      <c r="H589" s="35">
        <v>260010</v>
      </c>
      <c r="I589" s="35">
        <v>200005</v>
      </c>
      <c r="J589" s="34" t="s">
        <v>16</v>
      </c>
      <c r="K589" s="34" t="str">
        <f t="shared" si="18"/>
        <v>不重复</v>
      </c>
      <c r="L589" s="34" t="str">
        <f t="shared" si="19"/>
        <v>不重复</v>
      </c>
    </row>
    <row r="590" spans="1:12" ht="15">
      <c r="A590" s="35" t="s">
        <v>10993</v>
      </c>
      <c r="B590" s="35" t="s">
        <v>1856</v>
      </c>
      <c r="C590" s="36" t="s">
        <v>1857</v>
      </c>
      <c r="D590" s="35" t="s">
        <v>1858</v>
      </c>
      <c r="E590" s="35" t="s">
        <v>10992</v>
      </c>
      <c r="F590" s="35" t="s">
        <v>10991</v>
      </c>
      <c r="G590" s="35">
        <v>210201</v>
      </c>
      <c r="H590" s="35">
        <v>260010</v>
      </c>
      <c r="I590" s="35">
        <v>200005</v>
      </c>
      <c r="J590" s="34" t="s">
        <v>609</v>
      </c>
      <c r="K590" s="34" t="str">
        <f t="shared" si="18"/>
        <v>重复</v>
      </c>
      <c r="L590" s="34" t="str">
        <f t="shared" si="19"/>
        <v>不重复</v>
      </c>
    </row>
    <row r="591" spans="1:12" ht="15">
      <c r="A591" s="35" t="s">
        <v>10994</v>
      </c>
      <c r="B591" s="35" t="s">
        <v>1859</v>
      </c>
      <c r="C591" s="36" t="s">
        <v>1860</v>
      </c>
      <c r="D591" s="35" t="s">
        <v>1861</v>
      </c>
      <c r="E591" s="35" t="s">
        <v>10992</v>
      </c>
      <c r="F591" s="35" t="s">
        <v>10991</v>
      </c>
      <c r="G591" s="35">
        <v>210202</v>
      </c>
      <c r="H591" s="35">
        <v>260010</v>
      </c>
      <c r="I591" s="35">
        <v>200005</v>
      </c>
      <c r="J591" s="34" t="s">
        <v>1862</v>
      </c>
      <c r="K591" s="34" t="str">
        <f t="shared" si="18"/>
        <v>重复</v>
      </c>
      <c r="L591" s="34" t="str">
        <f t="shared" si="19"/>
        <v>不重复</v>
      </c>
    </row>
    <row r="592" spans="1:12" ht="15">
      <c r="A592" s="35" t="s">
        <v>10995</v>
      </c>
      <c r="B592" s="35" t="s">
        <v>1863</v>
      </c>
      <c r="C592" s="36" t="s">
        <v>1864</v>
      </c>
      <c r="D592" s="35" t="s">
        <v>1865</v>
      </c>
      <c r="E592" s="35" t="s">
        <v>10995</v>
      </c>
      <c r="F592" s="35" t="s">
        <v>10991</v>
      </c>
      <c r="G592" s="35">
        <v>210300</v>
      </c>
      <c r="H592" s="35">
        <v>260020</v>
      </c>
      <c r="I592" s="35">
        <v>200005</v>
      </c>
      <c r="J592" s="34" t="s">
        <v>16</v>
      </c>
      <c r="K592" s="34" t="str">
        <f t="shared" si="18"/>
        <v>重复</v>
      </c>
      <c r="L592" s="34" t="str">
        <f t="shared" si="19"/>
        <v>不重复</v>
      </c>
    </row>
    <row r="593" spans="1:12" ht="15">
      <c r="A593" s="35" t="s">
        <v>10996</v>
      </c>
      <c r="B593" s="35" t="s">
        <v>1866</v>
      </c>
      <c r="C593" s="36" t="s">
        <v>1867</v>
      </c>
      <c r="D593" s="35" t="s">
        <v>1868</v>
      </c>
      <c r="E593" s="35" t="s">
        <v>10997</v>
      </c>
      <c r="F593" s="35" t="s">
        <v>10998</v>
      </c>
      <c r="G593" s="35">
        <v>220100</v>
      </c>
      <c r="H593" s="35">
        <v>270000</v>
      </c>
      <c r="I593" s="35">
        <v>200006</v>
      </c>
      <c r="J593" s="34" t="s">
        <v>16</v>
      </c>
      <c r="K593" s="34" t="str">
        <f t="shared" si="18"/>
        <v>不重复</v>
      </c>
      <c r="L593" s="34" t="str">
        <f t="shared" si="19"/>
        <v>重复</v>
      </c>
    </row>
    <row r="594" spans="1:12" ht="15">
      <c r="A594" s="35" t="s">
        <v>10999</v>
      </c>
      <c r="B594" s="35" t="s">
        <v>1869</v>
      </c>
      <c r="C594" s="36" t="s">
        <v>1870</v>
      </c>
      <c r="D594" s="35" t="s">
        <v>1871</v>
      </c>
      <c r="E594" s="35" t="s">
        <v>10997</v>
      </c>
      <c r="F594" s="35" t="s">
        <v>10998</v>
      </c>
      <c r="G594" s="35" t="s">
        <v>1872</v>
      </c>
      <c r="H594" s="35">
        <v>270000</v>
      </c>
      <c r="I594" s="35">
        <v>200006</v>
      </c>
      <c r="J594" s="34"/>
      <c r="K594" s="34" t="str">
        <f t="shared" si="18"/>
        <v>不重复</v>
      </c>
      <c r="L594" s="34" t="str">
        <f t="shared" si="19"/>
        <v>重复</v>
      </c>
    </row>
    <row r="595" spans="1:12" ht="15">
      <c r="A595" s="35" t="s">
        <v>11000</v>
      </c>
      <c r="B595" s="35" t="s">
        <v>1873</v>
      </c>
      <c r="C595" s="36" t="s">
        <v>1874</v>
      </c>
      <c r="D595" s="35" t="s">
        <v>1875</v>
      </c>
      <c r="E595" s="35" t="s">
        <v>10997</v>
      </c>
      <c r="F595" s="35" t="s">
        <v>10998</v>
      </c>
      <c r="G595" s="35">
        <v>220101</v>
      </c>
      <c r="H595" s="35">
        <v>270000</v>
      </c>
      <c r="I595" s="35">
        <v>200006</v>
      </c>
      <c r="J595" s="34" t="s">
        <v>1876</v>
      </c>
      <c r="K595" s="34" t="str">
        <f t="shared" si="18"/>
        <v>重复</v>
      </c>
      <c r="L595" s="34" t="str">
        <f t="shared" si="19"/>
        <v>不重复</v>
      </c>
    </row>
    <row r="596" spans="1:12" ht="15">
      <c r="A596" s="35" t="s">
        <v>11001</v>
      </c>
      <c r="B596" s="35" t="s">
        <v>1877</v>
      </c>
      <c r="C596" s="36" t="s">
        <v>1878</v>
      </c>
      <c r="D596" s="35" t="s">
        <v>1879</v>
      </c>
      <c r="E596" s="35" t="s">
        <v>10997</v>
      </c>
      <c r="F596" s="35" t="s">
        <v>10998</v>
      </c>
      <c r="G596" s="35">
        <v>220102</v>
      </c>
      <c r="H596" s="35">
        <v>270000</v>
      </c>
      <c r="I596" s="35">
        <v>200006</v>
      </c>
      <c r="J596" s="34" t="s">
        <v>1876</v>
      </c>
      <c r="K596" s="34" t="str">
        <f t="shared" si="18"/>
        <v>不重复</v>
      </c>
      <c r="L596" s="34" t="str">
        <f t="shared" si="19"/>
        <v>不重复</v>
      </c>
    </row>
    <row r="597" spans="1:12" ht="15">
      <c r="A597" s="35" t="s">
        <v>11002</v>
      </c>
      <c r="B597" s="35" t="s">
        <v>1880</v>
      </c>
      <c r="C597" s="36" t="s">
        <v>1881</v>
      </c>
      <c r="D597" s="35" t="s">
        <v>1882</v>
      </c>
      <c r="E597" s="35" t="s">
        <v>10997</v>
      </c>
      <c r="F597" s="35" t="s">
        <v>10998</v>
      </c>
      <c r="G597" s="35">
        <v>220103</v>
      </c>
      <c r="H597" s="35">
        <v>270000</v>
      </c>
      <c r="I597" s="35">
        <v>200006</v>
      </c>
      <c r="J597" s="34" t="s">
        <v>1103</v>
      </c>
      <c r="K597" s="34" t="str">
        <f t="shared" si="18"/>
        <v>不重复</v>
      </c>
      <c r="L597" s="34" t="str">
        <f t="shared" si="19"/>
        <v>不重复</v>
      </c>
    </row>
    <row r="598" spans="1:12" ht="15">
      <c r="A598" s="35" t="s">
        <v>11003</v>
      </c>
      <c r="B598" s="35" t="s">
        <v>1883</v>
      </c>
      <c r="C598" s="36" t="s">
        <v>1884</v>
      </c>
      <c r="D598" s="35" t="s">
        <v>1885</v>
      </c>
      <c r="E598" s="35" t="s">
        <v>10997</v>
      </c>
      <c r="F598" s="35" t="s">
        <v>10998</v>
      </c>
      <c r="G598" s="35">
        <v>220104</v>
      </c>
      <c r="H598" s="35">
        <v>270000</v>
      </c>
      <c r="I598" s="35">
        <v>200006</v>
      </c>
      <c r="J598" s="34" t="s">
        <v>1886</v>
      </c>
      <c r="K598" s="34" t="str">
        <f t="shared" si="20" ref="K598:K661">IF(COUNTIF(C:C,C598)&gt;=2,"重复","不重复")</f>
        <v>不重复</v>
      </c>
      <c r="L598" s="34" t="str">
        <f t="shared" si="19"/>
        <v>不重复</v>
      </c>
    </row>
    <row r="599" spans="1:12" ht="15">
      <c r="A599" s="35" t="s">
        <v>11004</v>
      </c>
      <c r="B599" s="35" t="s">
        <v>1887</v>
      </c>
      <c r="C599" s="36" t="s">
        <v>1888</v>
      </c>
      <c r="D599" s="35" t="s">
        <v>1889</v>
      </c>
      <c r="E599" s="35" t="s">
        <v>10997</v>
      </c>
      <c r="F599" s="35" t="s">
        <v>10998</v>
      </c>
      <c r="G599" s="35">
        <v>220105</v>
      </c>
      <c r="H599" s="35">
        <v>270000</v>
      </c>
      <c r="I599" s="35">
        <v>200006</v>
      </c>
      <c r="J599" s="34" t="s">
        <v>1890</v>
      </c>
      <c r="K599" s="34" t="str">
        <f t="shared" si="20"/>
        <v>不重复</v>
      </c>
      <c r="L599" s="34" t="str">
        <f t="shared" si="21" ref="L599:L662">IF(COUNTIF(D:D,D599)&gt;=2,"重复","不重复")</f>
        <v>不重复</v>
      </c>
    </row>
    <row r="600" spans="1:12" ht="15">
      <c r="A600" s="35" t="s">
        <v>11005</v>
      </c>
      <c r="B600" s="35" t="s">
        <v>1891</v>
      </c>
      <c r="C600" s="36" t="s">
        <v>1892</v>
      </c>
      <c r="D600" s="35" t="s">
        <v>1893</v>
      </c>
      <c r="E600" s="35" t="s">
        <v>10997</v>
      </c>
      <c r="F600" s="35" t="s">
        <v>10998</v>
      </c>
      <c r="G600" s="35">
        <v>220106</v>
      </c>
      <c r="H600" s="35">
        <v>270000</v>
      </c>
      <c r="I600" s="35">
        <v>200006</v>
      </c>
      <c r="J600" s="34" t="s">
        <v>210</v>
      </c>
      <c r="K600" s="34" t="str">
        <f t="shared" si="20"/>
        <v>不重复</v>
      </c>
      <c r="L600" s="34" t="str">
        <f t="shared" si="21"/>
        <v>不重复</v>
      </c>
    </row>
    <row r="601" spans="1:12" ht="15">
      <c r="A601" s="35" t="s">
        <v>11006</v>
      </c>
      <c r="B601" s="35" t="s">
        <v>1894</v>
      </c>
      <c r="C601" s="36" t="s">
        <v>1895</v>
      </c>
      <c r="D601" s="35" t="s">
        <v>1500</v>
      </c>
      <c r="E601" s="35" t="s">
        <v>11006</v>
      </c>
      <c r="F601" s="35" t="s">
        <v>10998</v>
      </c>
      <c r="G601" s="35">
        <v>220200</v>
      </c>
      <c r="H601" s="35">
        <v>270010</v>
      </c>
      <c r="I601" s="35">
        <v>200006</v>
      </c>
      <c r="J601" s="34" t="s">
        <v>16</v>
      </c>
      <c r="K601" s="34" t="str">
        <f t="shared" si="20"/>
        <v>重复</v>
      </c>
      <c r="L601" s="34" t="str">
        <f t="shared" si="21"/>
        <v>重复</v>
      </c>
    </row>
    <row r="602" spans="1:12" ht="30">
      <c r="A602" s="35" t="s">
        <v>11007</v>
      </c>
      <c r="B602" s="35" t="s">
        <v>1896</v>
      </c>
      <c r="C602" s="36" t="s">
        <v>1895</v>
      </c>
      <c r="D602" s="35" t="s">
        <v>1897</v>
      </c>
      <c r="E602" s="35" t="s">
        <v>11006</v>
      </c>
      <c r="F602" s="35" t="s">
        <v>10998</v>
      </c>
      <c r="G602" s="35">
        <v>220201</v>
      </c>
      <c r="H602" s="35">
        <v>270010</v>
      </c>
      <c r="I602" s="35">
        <v>200006</v>
      </c>
      <c r="J602" s="34" t="s">
        <v>458</v>
      </c>
      <c r="K602" s="34" t="str">
        <f t="shared" si="20"/>
        <v>重复</v>
      </c>
      <c r="L602" s="34" t="str">
        <f t="shared" si="21"/>
        <v>不重复</v>
      </c>
    </row>
    <row r="603" spans="1:12" ht="30">
      <c r="A603" s="35" t="s">
        <v>11008</v>
      </c>
      <c r="B603" s="35" t="s">
        <v>1898</v>
      </c>
      <c r="C603" s="36" t="s">
        <v>1899</v>
      </c>
      <c r="D603" s="35" t="s">
        <v>1900</v>
      </c>
      <c r="E603" s="35" t="s">
        <v>11006</v>
      </c>
      <c r="F603" s="35" t="s">
        <v>10998</v>
      </c>
      <c r="G603" s="35">
        <v>220202</v>
      </c>
      <c r="H603" s="35">
        <v>270010</v>
      </c>
      <c r="I603" s="35">
        <v>200006</v>
      </c>
      <c r="J603" s="34" t="s">
        <v>458</v>
      </c>
      <c r="K603" s="34" t="str">
        <f t="shared" si="20"/>
        <v>重复</v>
      </c>
      <c r="L603" s="34" t="str">
        <f t="shared" si="21"/>
        <v>不重复</v>
      </c>
    </row>
    <row r="604" spans="1:12" ht="27">
      <c r="A604" s="35" t="s">
        <v>11009</v>
      </c>
      <c r="B604" s="35" t="s">
        <v>1901</v>
      </c>
      <c r="C604" s="36" t="s">
        <v>1902</v>
      </c>
      <c r="D604" s="35" t="s">
        <v>1543</v>
      </c>
      <c r="E604" s="35" t="s">
        <v>11006</v>
      </c>
      <c r="F604" s="35" t="s">
        <v>10998</v>
      </c>
      <c r="G604" s="35">
        <v>220203</v>
      </c>
      <c r="H604" s="35">
        <v>270010</v>
      </c>
      <c r="I604" s="35">
        <v>200006</v>
      </c>
      <c r="J604" s="34" t="s">
        <v>1602</v>
      </c>
      <c r="K604" s="34" t="str">
        <f t="shared" si="20"/>
        <v>重复</v>
      </c>
      <c r="L604" s="34" t="str">
        <f t="shared" si="21"/>
        <v>重复</v>
      </c>
    </row>
    <row r="605" spans="1:12" ht="30">
      <c r="A605" s="35" t="s">
        <v>11010</v>
      </c>
      <c r="B605" s="35" t="s">
        <v>1903</v>
      </c>
      <c r="C605" s="36" t="s">
        <v>1904</v>
      </c>
      <c r="D605" s="35" t="s">
        <v>1905</v>
      </c>
      <c r="E605" s="35" t="s">
        <v>11006</v>
      </c>
      <c r="F605" s="35" t="s">
        <v>10998</v>
      </c>
      <c r="G605" s="35">
        <v>220204</v>
      </c>
      <c r="H605" s="35">
        <v>270010</v>
      </c>
      <c r="I605" s="35">
        <v>200006</v>
      </c>
      <c r="J605" s="34" t="s">
        <v>1906</v>
      </c>
      <c r="K605" s="34" t="str">
        <f t="shared" si="20"/>
        <v>不重复</v>
      </c>
      <c r="L605" s="34" t="str">
        <f t="shared" si="21"/>
        <v>不重复</v>
      </c>
    </row>
    <row r="606" spans="1:12" ht="15">
      <c r="A606" s="35" t="s">
        <v>11011</v>
      </c>
      <c r="B606" s="35" t="s">
        <v>1907</v>
      </c>
      <c r="C606" s="36" t="s">
        <v>1908</v>
      </c>
      <c r="D606" s="35" t="s">
        <v>1909</v>
      </c>
      <c r="E606" s="35" t="s">
        <v>11011</v>
      </c>
      <c r="F606" s="35" t="s">
        <v>10998</v>
      </c>
      <c r="G606" s="35">
        <v>220300</v>
      </c>
      <c r="H606" s="35">
        <v>270020</v>
      </c>
      <c r="I606" s="35">
        <v>200006</v>
      </c>
      <c r="J606" s="34" t="s">
        <v>16</v>
      </c>
      <c r="K606" s="34" t="str">
        <f t="shared" si="20"/>
        <v>不重复</v>
      </c>
      <c r="L606" s="34" t="str">
        <f t="shared" si="21"/>
        <v>重复</v>
      </c>
    </row>
    <row r="607" spans="1:12" ht="27">
      <c r="A607" s="35" t="s">
        <v>11012</v>
      </c>
      <c r="B607" s="35" t="s">
        <v>1910</v>
      </c>
      <c r="C607" s="36" t="s">
        <v>1726</v>
      </c>
      <c r="D607" s="35" t="s">
        <v>1911</v>
      </c>
      <c r="E607" s="35" t="s">
        <v>11011</v>
      </c>
      <c r="F607" s="35" t="s">
        <v>10998</v>
      </c>
      <c r="G607" s="35">
        <v>220301</v>
      </c>
      <c r="H607" s="35">
        <v>270020</v>
      </c>
      <c r="I607" s="35">
        <v>200006</v>
      </c>
      <c r="J607" s="34" t="s">
        <v>1912</v>
      </c>
      <c r="K607" s="34" t="str">
        <f t="shared" si="20"/>
        <v>重复</v>
      </c>
      <c r="L607" s="34" t="str">
        <f t="shared" si="21"/>
        <v>不重复</v>
      </c>
    </row>
    <row r="608" spans="1:12" ht="15">
      <c r="A608" s="35" t="s">
        <v>11013</v>
      </c>
      <c r="B608" s="35" t="s">
        <v>1913</v>
      </c>
      <c r="C608" s="36" t="s">
        <v>1914</v>
      </c>
      <c r="D608" s="35" t="s">
        <v>1915</v>
      </c>
      <c r="E608" s="35" t="s">
        <v>11011</v>
      </c>
      <c r="F608" s="35" t="s">
        <v>10998</v>
      </c>
      <c r="G608" s="35">
        <v>220302</v>
      </c>
      <c r="H608" s="35">
        <v>270020</v>
      </c>
      <c r="I608" s="35">
        <v>200006</v>
      </c>
      <c r="J608" s="34" t="s">
        <v>363</v>
      </c>
      <c r="K608" s="34" t="str">
        <f t="shared" si="20"/>
        <v>不重复</v>
      </c>
      <c r="L608" s="34" t="str">
        <f t="shared" si="21"/>
        <v>不重复</v>
      </c>
    </row>
    <row r="609" spans="1:12" ht="15">
      <c r="A609" s="35" t="s">
        <v>11014</v>
      </c>
      <c r="B609" s="35" t="s">
        <v>1916</v>
      </c>
      <c r="C609" s="36" t="s">
        <v>1917</v>
      </c>
      <c r="D609" s="35" t="s">
        <v>1918</v>
      </c>
      <c r="E609" s="35" t="s">
        <v>11011</v>
      </c>
      <c r="F609" s="35" t="s">
        <v>10998</v>
      </c>
      <c r="G609" s="35">
        <v>220303</v>
      </c>
      <c r="H609" s="35">
        <v>270020</v>
      </c>
      <c r="I609" s="35">
        <v>200006</v>
      </c>
      <c r="J609" s="34" t="s">
        <v>1919</v>
      </c>
      <c r="K609" s="34" t="str">
        <f t="shared" si="20"/>
        <v>不重复</v>
      </c>
      <c r="L609" s="34" t="str">
        <f t="shared" si="21"/>
        <v>不重复</v>
      </c>
    </row>
    <row r="610" spans="1:12" ht="15">
      <c r="A610" s="35" t="s">
        <v>11015</v>
      </c>
      <c r="B610" s="35" t="s">
        <v>1920</v>
      </c>
      <c r="C610" s="36" t="s">
        <v>1921</v>
      </c>
      <c r="D610" s="35" t="s">
        <v>1922</v>
      </c>
      <c r="E610" s="35" t="s">
        <v>11011</v>
      </c>
      <c r="F610" s="35" t="s">
        <v>10998</v>
      </c>
      <c r="G610" s="35">
        <v>220304</v>
      </c>
      <c r="H610" s="35">
        <v>270020</v>
      </c>
      <c r="I610" s="35">
        <v>200006</v>
      </c>
      <c r="J610" s="34" t="s">
        <v>715</v>
      </c>
      <c r="K610" s="34" t="str">
        <f t="shared" si="20"/>
        <v>不重复</v>
      </c>
      <c r="L610" s="34" t="str">
        <f t="shared" si="21"/>
        <v>重复</v>
      </c>
    </row>
    <row r="611" spans="1:12" ht="27">
      <c r="A611" s="35" t="s">
        <v>11016</v>
      </c>
      <c r="B611" s="35" t="s">
        <v>1923</v>
      </c>
      <c r="C611" s="36" t="s">
        <v>1924</v>
      </c>
      <c r="D611" s="35" t="s">
        <v>1925</v>
      </c>
      <c r="E611" s="35" t="s">
        <v>11011</v>
      </c>
      <c r="F611" s="35" t="s">
        <v>10998</v>
      </c>
      <c r="G611" s="35">
        <v>220305</v>
      </c>
      <c r="H611" s="35">
        <v>270020</v>
      </c>
      <c r="I611" s="35">
        <v>200006</v>
      </c>
      <c r="J611" s="34" t="s">
        <v>270</v>
      </c>
      <c r="K611" s="34" t="str">
        <f t="shared" si="20"/>
        <v>重复</v>
      </c>
      <c r="L611" s="34" t="str">
        <f t="shared" si="21"/>
        <v>不重复</v>
      </c>
    </row>
    <row r="612" spans="1:12" ht="15">
      <c r="A612" s="35" t="s">
        <v>11017</v>
      </c>
      <c r="B612" s="35" t="s">
        <v>1926</v>
      </c>
      <c r="C612" s="36" t="s">
        <v>1927</v>
      </c>
      <c r="D612" s="35" t="s">
        <v>1928</v>
      </c>
      <c r="E612" s="35" t="s">
        <v>11011</v>
      </c>
      <c r="F612" s="35" t="s">
        <v>10998</v>
      </c>
      <c r="G612" s="35">
        <v>220306</v>
      </c>
      <c r="H612" s="35">
        <v>270020</v>
      </c>
      <c r="I612" s="35">
        <v>200006</v>
      </c>
      <c r="J612" s="34" t="s">
        <v>1929</v>
      </c>
      <c r="K612" s="34" t="str">
        <f t="shared" si="20"/>
        <v>不重复</v>
      </c>
      <c r="L612" s="34" t="str">
        <f t="shared" si="21"/>
        <v>不重复</v>
      </c>
    </row>
    <row r="613" spans="1:12" ht="27">
      <c r="A613" s="35" t="s">
        <v>11018</v>
      </c>
      <c r="B613" s="35" t="s">
        <v>1930</v>
      </c>
      <c r="C613" s="36" t="s">
        <v>1931</v>
      </c>
      <c r="D613" s="35" t="s">
        <v>1932</v>
      </c>
      <c r="E613" s="35" t="s">
        <v>11011</v>
      </c>
      <c r="F613" s="35" t="s">
        <v>10998</v>
      </c>
      <c r="G613" s="35">
        <v>220307</v>
      </c>
      <c r="H613" s="35">
        <v>270020</v>
      </c>
      <c r="I613" s="35">
        <v>200006</v>
      </c>
      <c r="J613" s="34" t="s">
        <v>1933</v>
      </c>
      <c r="K613" s="34" t="str">
        <f t="shared" si="20"/>
        <v>重复</v>
      </c>
      <c r="L613" s="34" t="str">
        <f t="shared" si="21"/>
        <v>不重复</v>
      </c>
    </row>
    <row r="614" spans="1:12" ht="15">
      <c r="A614" s="35" t="s">
        <v>11019</v>
      </c>
      <c r="B614" s="35" t="s">
        <v>1934</v>
      </c>
      <c r="C614" s="36" t="s">
        <v>1935</v>
      </c>
      <c r="D614" s="35" t="s">
        <v>1936</v>
      </c>
      <c r="E614" s="35" t="s">
        <v>11011</v>
      </c>
      <c r="F614" s="35" t="s">
        <v>10998</v>
      </c>
      <c r="G614" s="35">
        <v>220308</v>
      </c>
      <c r="H614" s="35">
        <v>270020</v>
      </c>
      <c r="I614" s="35">
        <v>200006</v>
      </c>
      <c r="J614" s="34" t="s">
        <v>1937</v>
      </c>
      <c r="K614" s="34" t="str">
        <f t="shared" si="20"/>
        <v>不重复</v>
      </c>
      <c r="L614" s="34" t="str">
        <f t="shared" si="21"/>
        <v>不重复</v>
      </c>
    </row>
    <row r="615" spans="1:12" ht="27">
      <c r="A615" s="35" t="s">
        <v>11020</v>
      </c>
      <c r="B615" s="35" t="s">
        <v>1938</v>
      </c>
      <c r="C615" s="36" t="s">
        <v>1939</v>
      </c>
      <c r="D615" s="35" t="s">
        <v>1940</v>
      </c>
      <c r="E615" s="35" t="s">
        <v>11011</v>
      </c>
      <c r="F615" s="35" t="s">
        <v>10998</v>
      </c>
      <c r="G615" s="35">
        <v>220309</v>
      </c>
      <c r="H615" s="35">
        <v>270020</v>
      </c>
      <c r="I615" s="35">
        <v>200006</v>
      </c>
      <c r="J615" s="34" t="s">
        <v>288</v>
      </c>
      <c r="K615" s="34" t="str">
        <f t="shared" si="20"/>
        <v>不重复</v>
      </c>
      <c r="L615" s="34" t="str">
        <f t="shared" si="21"/>
        <v>不重复</v>
      </c>
    </row>
    <row r="616" spans="1:12" ht="15">
      <c r="A616" s="35" t="s">
        <v>11021</v>
      </c>
      <c r="B616" s="35" t="s">
        <v>1941</v>
      </c>
      <c r="C616" s="36" t="s">
        <v>1942</v>
      </c>
      <c r="D616" s="35" t="s">
        <v>1943</v>
      </c>
      <c r="E616" s="35" t="s">
        <v>11011</v>
      </c>
      <c r="F616" s="35" t="s">
        <v>10998</v>
      </c>
      <c r="G616" s="35">
        <v>220310</v>
      </c>
      <c r="H616" s="35">
        <v>270020</v>
      </c>
      <c r="I616" s="35">
        <v>200006</v>
      </c>
      <c r="J616" s="34" t="s">
        <v>1266</v>
      </c>
      <c r="K616" s="34" t="str">
        <f t="shared" si="20"/>
        <v>重复</v>
      </c>
      <c r="L616" s="34" t="str">
        <f t="shared" si="21"/>
        <v>不重复</v>
      </c>
    </row>
    <row r="617" spans="1:12" ht="27">
      <c r="A617" s="35" t="s">
        <v>11022</v>
      </c>
      <c r="B617" s="35" t="s">
        <v>1944</v>
      </c>
      <c r="C617" s="36" t="s">
        <v>1945</v>
      </c>
      <c r="D617" s="35" t="s">
        <v>1946</v>
      </c>
      <c r="E617" s="35" t="s">
        <v>11011</v>
      </c>
      <c r="F617" s="35" t="s">
        <v>10998</v>
      </c>
      <c r="G617" s="35">
        <v>220311</v>
      </c>
      <c r="H617" s="35">
        <v>270020</v>
      </c>
      <c r="I617" s="35">
        <v>200006</v>
      </c>
      <c r="J617" s="34" t="s">
        <v>243</v>
      </c>
      <c r="K617" s="34" t="str">
        <f t="shared" si="20"/>
        <v>不重复</v>
      </c>
      <c r="L617" s="34" t="str">
        <f t="shared" si="21"/>
        <v>不重复</v>
      </c>
    </row>
    <row r="618" spans="1:12" ht="27">
      <c r="A618" s="35" t="s">
        <v>11023</v>
      </c>
      <c r="B618" s="35" t="s">
        <v>1947</v>
      </c>
      <c r="C618" s="36" t="s">
        <v>157</v>
      </c>
      <c r="D618" s="35" t="s">
        <v>1948</v>
      </c>
      <c r="E618" s="35" t="s">
        <v>11011</v>
      </c>
      <c r="F618" s="35" t="s">
        <v>10998</v>
      </c>
      <c r="G618" s="35">
        <v>220312</v>
      </c>
      <c r="H618" s="35">
        <v>270020</v>
      </c>
      <c r="I618" s="35">
        <v>200006</v>
      </c>
      <c r="J618" s="34" t="s">
        <v>311</v>
      </c>
      <c r="K618" s="34" t="str">
        <f t="shared" si="20"/>
        <v>重复</v>
      </c>
      <c r="L618" s="34" t="str">
        <f t="shared" si="21"/>
        <v>不重复</v>
      </c>
    </row>
    <row r="619" spans="1:12" ht="30">
      <c r="A619" s="35" t="s">
        <v>11024</v>
      </c>
      <c r="B619" s="35" t="s">
        <v>1949</v>
      </c>
      <c r="C619" s="36" t="s">
        <v>1950</v>
      </c>
      <c r="D619" s="35" t="s">
        <v>1951</v>
      </c>
      <c r="E619" s="35" t="s">
        <v>11011</v>
      </c>
      <c r="F619" s="35" t="s">
        <v>10998</v>
      </c>
      <c r="G619" s="35">
        <v>220313</v>
      </c>
      <c r="H619" s="35">
        <v>270020</v>
      </c>
      <c r="I619" s="35">
        <v>200006</v>
      </c>
      <c r="J619" s="34" t="s">
        <v>1592</v>
      </c>
      <c r="K619" s="34" t="str">
        <f t="shared" si="20"/>
        <v>重复</v>
      </c>
      <c r="L619" s="34" t="str">
        <f t="shared" si="21"/>
        <v>重复</v>
      </c>
    </row>
    <row r="620" spans="1:12" ht="30">
      <c r="A620" s="35" t="s">
        <v>11025</v>
      </c>
      <c r="B620" s="35" t="s">
        <v>1952</v>
      </c>
      <c r="C620" s="36" t="s">
        <v>1953</v>
      </c>
      <c r="D620" s="35" t="s">
        <v>1954</v>
      </c>
      <c r="E620" s="35" t="s">
        <v>11011</v>
      </c>
      <c r="F620" s="35" t="s">
        <v>10998</v>
      </c>
      <c r="G620" s="35">
        <v>220314</v>
      </c>
      <c r="H620" s="35">
        <v>270020</v>
      </c>
      <c r="I620" s="35">
        <v>200006</v>
      </c>
      <c r="J620" s="34" t="s">
        <v>1955</v>
      </c>
      <c r="K620" s="34" t="str">
        <f t="shared" si="20"/>
        <v>重复</v>
      </c>
      <c r="L620" s="34" t="str">
        <f t="shared" si="21"/>
        <v>不重复</v>
      </c>
    </row>
    <row r="621" spans="1:12" ht="30">
      <c r="A621" s="35" t="s">
        <v>11026</v>
      </c>
      <c r="B621" s="35" t="s">
        <v>1956</v>
      </c>
      <c r="C621" s="36" t="s">
        <v>1957</v>
      </c>
      <c r="D621" s="35" t="s">
        <v>1958</v>
      </c>
      <c r="E621" s="35" t="s">
        <v>11011</v>
      </c>
      <c r="F621" s="35" t="s">
        <v>10998</v>
      </c>
      <c r="G621" s="35">
        <v>220315</v>
      </c>
      <c r="H621" s="35">
        <v>270020</v>
      </c>
      <c r="I621" s="35">
        <v>200006</v>
      </c>
      <c r="J621" s="34" t="s">
        <v>250</v>
      </c>
      <c r="K621" s="34" t="str">
        <f t="shared" si="20"/>
        <v>重复</v>
      </c>
      <c r="L621" s="34" t="str">
        <f t="shared" si="21"/>
        <v>不重复</v>
      </c>
    </row>
    <row r="622" spans="1:12" ht="30">
      <c r="A622" s="35" t="s">
        <v>11027</v>
      </c>
      <c r="B622" s="35" t="s">
        <v>1959</v>
      </c>
      <c r="C622" s="36" t="s">
        <v>1960</v>
      </c>
      <c r="D622" s="35" t="s">
        <v>1961</v>
      </c>
      <c r="E622" s="35" t="s">
        <v>11011</v>
      </c>
      <c r="F622" s="35" t="s">
        <v>10998</v>
      </c>
      <c r="G622" s="35">
        <v>220316</v>
      </c>
      <c r="H622" s="35">
        <v>270020</v>
      </c>
      <c r="I622" s="35">
        <v>200006</v>
      </c>
      <c r="J622" s="34" t="s">
        <v>243</v>
      </c>
      <c r="K622" s="34" t="str">
        <f t="shared" si="20"/>
        <v>重复</v>
      </c>
      <c r="L622" s="34" t="str">
        <f t="shared" si="21"/>
        <v>不重复</v>
      </c>
    </row>
    <row r="623" spans="1:12" ht="15">
      <c r="A623" s="35" t="s">
        <v>11028</v>
      </c>
      <c r="B623" s="35" t="s">
        <v>1962</v>
      </c>
      <c r="C623" s="36" t="s">
        <v>1963</v>
      </c>
      <c r="D623" s="35" t="s">
        <v>1964</v>
      </c>
      <c r="E623" s="35" t="s">
        <v>11011</v>
      </c>
      <c r="F623" s="35" t="s">
        <v>10998</v>
      </c>
      <c r="G623" s="35">
        <v>220317</v>
      </c>
      <c r="H623" s="35">
        <v>270020</v>
      </c>
      <c r="I623" s="35">
        <v>200006</v>
      </c>
      <c r="J623" s="34" t="s">
        <v>1965</v>
      </c>
      <c r="K623" s="34" t="str">
        <f t="shared" si="20"/>
        <v>不重复</v>
      </c>
      <c r="L623" s="34" t="str">
        <f t="shared" si="21"/>
        <v>不重复</v>
      </c>
    </row>
    <row r="624" spans="1:12" ht="15">
      <c r="A624" s="35" t="s">
        <v>11029</v>
      </c>
      <c r="B624" s="35" t="s">
        <v>1966</v>
      </c>
      <c r="C624" s="36" t="s">
        <v>1967</v>
      </c>
      <c r="D624" s="35" t="s">
        <v>1968</v>
      </c>
      <c r="E624" s="35" t="s">
        <v>11011</v>
      </c>
      <c r="F624" s="35" t="s">
        <v>10998</v>
      </c>
      <c r="G624" s="35">
        <v>220318</v>
      </c>
      <c r="H624" s="35">
        <v>270020</v>
      </c>
      <c r="I624" s="35">
        <v>200006</v>
      </c>
      <c r="J624" s="34" t="s">
        <v>962</v>
      </c>
      <c r="K624" s="34" t="str">
        <f t="shared" si="20"/>
        <v>不重复</v>
      </c>
      <c r="L624" s="34" t="str">
        <f t="shared" si="21"/>
        <v>不重复</v>
      </c>
    </row>
    <row r="625" spans="1:12" ht="15">
      <c r="A625" s="35" t="s">
        <v>11030</v>
      </c>
      <c r="B625" s="35" t="s">
        <v>1969</v>
      </c>
      <c r="C625" s="36" t="s">
        <v>1970</v>
      </c>
      <c r="D625" s="35" t="s">
        <v>1971</v>
      </c>
      <c r="E625" s="35" t="s">
        <v>11011</v>
      </c>
      <c r="F625" s="35" t="s">
        <v>10998</v>
      </c>
      <c r="G625" s="35">
        <v>220319</v>
      </c>
      <c r="H625" s="35">
        <v>270020</v>
      </c>
      <c r="I625" s="35">
        <v>200006</v>
      </c>
      <c r="J625" s="34"/>
      <c r="K625" s="34" t="str">
        <f t="shared" si="20"/>
        <v>不重复</v>
      </c>
      <c r="L625" s="34" t="str">
        <f t="shared" si="21"/>
        <v>不重复</v>
      </c>
    </row>
    <row r="626" spans="1:12" ht="15">
      <c r="A626" s="35" t="s">
        <v>11031</v>
      </c>
      <c r="B626" s="35" t="s">
        <v>1972</v>
      </c>
      <c r="C626" s="36" t="s">
        <v>1973</v>
      </c>
      <c r="D626" s="35" t="s">
        <v>1974</v>
      </c>
      <c r="E626" s="35" t="s">
        <v>11031</v>
      </c>
      <c r="F626" s="35" t="s">
        <v>10998</v>
      </c>
      <c r="G626" s="35">
        <v>220400</v>
      </c>
      <c r="H626" s="35">
        <v>270030</v>
      </c>
      <c r="I626" s="35">
        <v>200006</v>
      </c>
      <c r="J626" s="34" t="s">
        <v>16</v>
      </c>
      <c r="K626" s="34" t="str">
        <f t="shared" si="20"/>
        <v>不重复</v>
      </c>
      <c r="L626" s="34" t="str">
        <f t="shared" si="21"/>
        <v>重复</v>
      </c>
    </row>
    <row r="627" spans="1:12" ht="15">
      <c r="A627" s="35" t="s">
        <v>11032</v>
      </c>
      <c r="B627" s="35" t="s">
        <v>1975</v>
      </c>
      <c r="C627" s="36" t="s">
        <v>1976</v>
      </c>
      <c r="D627" s="35" t="s">
        <v>1977</v>
      </c>
      <c r="E627" s="35" t="s">
        <v>11033</v>
      </c>
      <c r="F627" s="35" t="s">
        <v>10998</v>
      </c>
      <c r="G627" s="35">
        <v>220401</v>
      </c>
      <c r="H627" s="35">
        <v>270030</v>
      </c>
      <c r="I627" s="35">
        <v>200006</v>
      </c>
      <c r="J627" s="34" t="s">
        <v>1978</v>
      </c>
      <c r="K627" s="34" t="str">
        <f t="shared" si="20"/>
        <v>不重复</v>
      </c>
      <c r="L627" s="34" t="str">
        <f t="shared" si="21"/>
        <v>不重复</v>
      </c>
    </row>
    <row r="628" spans="1:12" ht="15">
      <c r="A628" s="35" t="s">
        <v>11034</v>
      </c>
      <c r="B628" s="35" t="s">
        <v>1979</v>
      </c>
      <c r="C628" s="36" t="s">
        <v>1980</v>
      </c>
      <c r="D628" s="35" t="s">
        <v>1981</v>
      </c>
      <c r="E628" s="35" t="s">
        <v>11033</v>
      </c>
      <c r="F628" s="35" t="s">
        <v>10998</v>
      </c>
      <c r="G628" s="35">
        <v>220402</v>
      </c>
      <c r="H628" s="35">
        <v>270030</v>
      </c>
      <c r="I628" s="35">
        <v>200006</v>
      </c>
      <c r="J628" s="34" t="s">
        <v>422</v>
      </c>
      <c r="K628" s="34" t="str">
        <f t="shared" si="20"/>
        <v>不重复</v>
      </c>
      <c r="L628" s="34" t="str">
        <f t="shared" si="21"/>
        <v>重复</v>
      </c>
    </row>
    <row r="629" spans="1:12" ht="30">
      <c r="A629" s="35" t="s">
        <v>11035</v>
      </c>
      <c r="B629" s="35" t="s">
        <v>1982</v>
      </c>
      <c r="C629" s="36" t="s">
        <v>1983</v>
      </c>
      <c r="D629" s="35" t="s">
        <v>1981</v>
      </c>
      <c r="E629" s="35" t="s">
        <v>11033</v>
      </c>
      <c r="F629" s="35" t="s">
        <v>10998</v>
      </c>
      <c r="G629" s="35">
        <v>220403</v>
      </c>
      <c r="H629" s="35">
        <v>270030</v>
      </c>
      <c r="I629" s="35">
        <v>200006</v>
      </c>
      <c r="J629" s="34" t="s">
        <v>363</v>
      </c>
      <c r="K629" s="34" t="str">
        <f t="shared" si="20"/>
        <v>不重复</v>
      </c>
      <c r="L629" s="34" t="str">
        <f t="shared" si="21"/>
        <v>重复</v>
      </c>
    </row>
    <row r="630" spans="1:12" ht="30">
      <c r="A630" s="35" t="s">
        <v>11036</v>
      </c>
      <c r="B630" s="35" t="s">
        <v>1984</v>
      </c>
      <c r="C630" s="36" t="s">
        <v>1985</v>
      </c>
      <c r="D630" s="35" t="s">
        <v>1986</v>
      </c>
      <c r="E630" s="35" t="s">
        <v>11033</v>
      </c>
      <c r="F630" s="35" t="s">
        <v>10998</v>
      </c>
      <c r="G630" s="35">
        <v>220404</v>
      </c>
      <c r="H630" s="35">
        <v>270030</v>
      </c>
      <c r="I630" s="35">
        <v>200006</v>
      </c>
      <c r="J630" s="34" t="s">
        <v>1987</v>
      </c>
      <c r="K630" s="34" t="str">
        <f t="shared" si="20"/>
        <v>不重复</v>
      </c>
      <c r="L630" s="34" t="str">
        <f t="shared" si="21"/>
        <v>不重复</v>
      </c>
    </row>
    <row r="631" spans="1:12" ht="15">
      <c r="A631" s="35" t="s">
        <v>11037</v>
      </c>
      <c r="B631" s="35" t="s">
        <v>1988</v>
      </c>
      <c r="C631" s="36" t="s">
        <v>1989</v>
      </c>
      <c r="D631" s="35" t="s">
        <v>1990</v>
      </c>
      <c r="E631" s="35" t="s">
        <v>11033</v>
      </c>
      <c r="F631" s="35" t="s">
        <v>10998</v>
      </c>
      <c r="G631" s="35">
        <v>220405</v>
      </c>
      <c r="H631" s="35">
        <v>270030</v>
      </c>
      <c r="I631" s="35">
        <v>200006</v>
      </c>
      <c r="J631" s="34" t="s">
        <v>363</v>
      </c>
      <c r="K631" s="34" t="str">
        <f t="shared" si="20"/>
        <v>不重复</v>
      </c>
      <c r="L631" s="34" t="str">
        <f t="shared" si="21"/>
        <v>不重复</v>
      </c>
    </row>
    <row r="632" spans="1:12" ht="15">
      <c r="A632" s="35" t="s">
        <v>11038</v>
      </c>
      <c r="B632" s="35" t="s">
        <v>1991</v>
      </c>
      <c r="C632" s="36" t="s">
        <v>1992</v>
      </c>
      <c r="D632" s="35" t="s">
        <v>1974</v>
      </c>
      <c r="E632" s="35" t="s">
        <v>11038</v>
      </c>
      <c r="F632" s="35" t="s">
        <v>10998</v>
      </c>
      <c r="G632" s="35">
        <v>221300</v>
      </c>
      <c r="H632" s="35">
        <v>270040</v>
      </c>
      <c r="I632" s="35">
        <v>200006</v>
      </c>
      <c r="J632" s="34" t="s">
        <v>16</v>
      </c>
      <c r="K632" s="34" t="str">
        <f t="shared" si="20"/>
        <v>不重复</v>
      </c>
      <c r="L632" s="34" t="str">
        <f t="shared" si="21"/>
        <v>重复</v>
      </c>
    </row>
    <row r="633" spans="1:12" ht="27">
      <c r="A633" s="35" t="s">
        <v>11039</v>
      </c>
      <c r="B633" s="35" t="s">
        <v>1993</v>
      </c>
      <c r="C633" s="36" t="s">
        <v>1994</v>
      </c>
      <c r="D633" s="35" t="s">
        <v>1995</v>
      </c>
      <c r="E633" s="35" t="s">
        <v>11040</v>
      </c>
      <c r="F633" s="35" t="s">
        <v>10998</v>
      </c>
      <c r="G633" s="35">
        <v>221400</v>
      </c>
      <c r="H633" s="35">
        <v>270040</v>
      </c>
      <c r="I633" s="35">
        <v>200006</v>
      </c>
      <c r="J633" s="34" t="s">
        <v>1996</v>
      </c>
      <c r="K633" s="34" t="str">
        <f t="shared" si="20"/>
        <v>不重复</v>
      </c>
      <c r="L633" s="34" t="str">
        <f t="shared" si="21"/>
        <v>重复</v>
      </c>
    </row>
    <row r="634" spans="1:12" ht="27">
      <c r="A634" s="35" t="s">
        <v>11041</v>
      </c>
      <c r="B634" s="35" t="s">
        <v>1997</v>
      </c>
      <c r="C634" s="36" t="s">
        <v>1998</v>
      </c>
      <c r="D634" s="35" t="s">
        <v>1999</v>
      </c>
      <c r="E634" s="35" t="s">
        <v>11040</v>
      </c>
      <c r="F634" s="35" t="s">
        <v>10998</v>
      </c>
      <c r="G634" s="35">
        <v>221401</v>
      </c>
      <c r="H634" s="35">
        <v>270040</v>
      </c>
      <c r="I634" s="35">
        <v>200006</v>
      </c>
      <c r="J634" s="34" t="s">
        <v>270</v>
      </c>
      <c r="K634" s="34" t="str">
        <f t="shared" si="20"/>
        <v>重复</v>
      </c>
      <c r="L634" s="34" t="str">
        <f t="shared" si="21"/>
        <v>不重复</v>
      </c>
    </row>
    <row r="635" spans="1:12" ht="15">
      <c r="A635" s="35" t="s">
        <v>11042</v>
      </c>
      <c r="B635" s="35" t="s">
        <v>2000</v>
      </c>
      <c r="C635" s="36" t="s">
        <v>2001</v>
      </c>
      <c r="D635" s="35" t="s">
        <v>2002</v>
      </c>
      <c r="E635" s="35" t="s">
        <v>11040</v>
      </c>
      <c r="F635" s="35" t="s">
        <v>10998</v>
      </c>
      <c r="G635" s="35">
        <v>221402</v>
      </c>
      <c r="H635" s="35">
        <v>270040</v>
      </c>
      <c r="I635" s="35">
        <v>200006</v>
      </c>
      <c r="J635" s="34" t="s">
        <v>2003</v>
      </c>
      <c r="K635" s="34" t="str">
        <f t="shared" si="20"/>
        <v>重复</v>
      </c>
      <c r="L635" s="34" t="str">
        <f t="shared" si="21"/>
        <v>不重复</v>
      </c>
    </row>
    <row r="636" spans="1:12" ht="15">
      <c r="A636" s="35" t="s">
        <v>11043</v>
      </c>
      <c r="B636" s="35" t="s">
        <v>2004</v>
      </c>
      <c r="C636" s="36" t="s">
        <v>2005</v>
      </c>
      <c r="D636" s="35" t="s">
        <v>2006</v>
      </c>
      <c r="E636" s="35" t="s">
        <v>11040</v>
      </c>
      <c r="F636" s="35" t="s">
        <v>10998</v>
      </c>
      <c r="G636" s="35">
        <v>221403</v>
      </c>
      <c r="H636" s="35">
        <v>270040</v>
      </c>
      <c r="I636" s="35">
        <v>200006</v>
      </c>
      <c r="J636" s="34" t="s">
        <v>2007</v>
      </c>
      <c r="K636" s="34" t="str">
        <f t="shared" si="20"/>
        <v>重复</v>
      </c>
      <c r="L636" s="34" t="str">
        <f t="shared" si="21"/>
        <v>不重复</v>
      </c>
    </row>
    <row r="637" spans="1:12" ht="15">
      <c r="A637" s="35" t="s">
        <v>11044</v>
      </c>
      <c r="B637" s="35" t="s">
        <v>2008</v>
      </c>
      <c r="C637" s="36" t="s">
        <v>2009</v>
      </c>
      <c r="D637" s="35" t="s">
        <v>2010</v>
      </c>
      <c r="E637" s="35" t="s">
        <v>11040</v>
      </c>
      <c r="F637" s="35" t="s">
        <v>10998</v>
      </c>
      <c r="G637" s="35">
        <v>221404</v>
      </c>
      <c r="H637" s="35">
        <v>270040</v>
      </c>
      <c r="I637" s="35">
        <v>200006</v>
      </c>
      <c r="J637" s="34" t="s">
        <v>962</v>
      </c>
      <c r="K637" s="34" t="str">
        <f t="shared" si="20"/>
        <v>重复</v>
      </c>
      <c r="L637" s="34" t="str">
        <f t="shared" si="21"/>
        <v>不重复</v>
      </c>
    </row>
    <row r="638" spans="1:12" ht="15">
      <c r="A638" s="35" t="s">
        <v>11045</v>
      </c>
      <c r="B638" s="35" t="s">
        <v>2011</v>
      </c>
      <c r="C638" s="36" t="s">
        <v>1374</v>
      </c>
      <c r="D638" s="35" t="s">
        <v>2012</v>
      </c>
      <c r="E638" s="35" t="s">
        <v>11040</v>
      </c>
      <c r="F638" s="35" t="s">
        <v>10998</v>
      </c>
      <c r="G638" s="35">
        <v>221405</v>
      </c>
      <c r="H638" s="35">
        <v>270040</v>
      </c>
      <c r="I638" s="35">
        <v>200006</v>
      </c>
      <c r="J638" s="34" t="s">
        <v>719</v>
      </c>
      <c r="K638" s="34" t="str">
        <f t="shared" si="20"/>
        <v>重复</v>
      </c>
      <c r="L638" s="34" t="str">
        <f t="shared" si="21"/>
        <v>不重复</v>
      </c>
    </row>
    <row r="639" spans="1:12" ht="30">
      <c r="A639" s="35" t="s">
        <v>11046</v>
      </c>
      <c r="B639" s="35" t="s">
        <v>2013</v>
      </c>
      <c r="C639" s="36" t="s">
        <v>2014</v>
      </c>
      <c r="D639" s="35" t="s">
        <v>2015</v>
      </c>
      <c r="E639" s="35" t="s">
        <v>11040</v>
      </c>
      <c r="F639" s="35" t="s">
        <v>10998</v>
      </c>
      <c r="G639" s="35">
        <v>221406</v>
      </c>
      <c r="H639" s="35">
        <v>270040</v>
      </c>
      <c r="I639" s="35">
        <v>200006</v>
      </c>
      <c r="J639" s="34" t="s">
        <v>363</v>
      </c>
      <c r="K639" s="34" t="str">
        <f t="shared" si="20"/>
        <v>不重复</v>
      </c>
      <c r="L639" s="34" t="str">
        <f t="shared" si="21"/>
        <v>不重复</v>
      </c>
    </row>
    <row r="640" spans="1:12" ht="27">
      <c r="A640" s="35" t="s">
        <v>11047</v>
      </c>
      <c r="B640" s="35" t="s">
        <v>2016</v>
      </c>
      <c r="C640" s="36" t="s">
        <v>2017</v>
      </c>
      <c r="D640" s="35" t="s">
        <v>2018</v>
      </c>
      <c r="E640" s="35" t="s">
        <v>11040</v>
      </c>
      <c r="F640" s="35" t="s">
        <v>10998</v>
      </c>
      <c r="G640" s="35">
        <v>221407</v>
      </c>
      <c r="H640" s="35">
        <v>270040</v>
      </c>
      <c r="I640" s="35">
        <v>200006</v>
      </c>
      <c r="J640" s="34" t="s">
        <v>2019</v>
      </c>
      <c r="K640" s="34" t="str">
        <f t="shared" si="20"/>
        <v>不重复</v>
      </c>
      <c r="L640" s="34" t="str">
        <f t="shared" si="21"/>
        <v>不重复</v>
      </c>
    </row>
    <row r="641" spans="1:12" ht="27">
      <c r="A641" s="35" t="s">
        <v>11048</v>
      </c>
      <c r="B641" s="35" t="s">
        <v>2020</v>
      </c>
      <c r="C641" s="36" t="s">
        <v>1071</v>
      </c>
      <c r="D641" s="35" t="s">
        <v>2021</v>
      </c>
      <c r="E641" s="35" t="s">
        <v>11040</v>
      </c>
      <c r="F641" s="35" t="s">
        <v>10998</v>
      </c>
      <c r="G641" s="35">
        <v>221408</v>
      </c>
      <c r="H641" s="35">
        <v>270040</v>
      </c>
      <c r="I641" s="35">
        <v>200006</v>
      </c>
      <c r="J641" s="34" t="s">
        <v>363</v>
      </c>
      <c r="K641" s="34" t="str">
        <f t="shared" si="20"/>
        <v>重复</v>
      </c>
      <c r="L641" s="34" t="str">
        <f t="shared" si="21"/>
        <v>不重复</v>
      </c>
    </row>
    <row r="642" spans="1:12" ht="27">
      <c r="A642" s="35" t="s">
        <v>11049</v>
      </c>
      <c r="B642" s="35" t="s">
        <v>2022</v>
      </c>
      <c r="C642" s="36" t="s">
        <v>2023</v>
      </c>
      <c r="D642" s="35" t="s">
        <v>2024</v>
      </c>
      <c r="E642" s="35" t="s">
        <v>11040</v>
      </c>
      <c r="F642" s="35" t="s">
        <v>10998</v>
      </c>
      <c r="G642" s="35">
        <v>221409</v>
      </c>
      <c r="H642" s="35">
        <v>270040</v>
      </c>
      <c r="I642" s="35">
        <v>200006</v>
      </c>
      <c r="J642" s="34" t="s">
        <v>363</v>
      </c>
      <c r="K642" s="34" t="str">
        <f t="shared" si="20"/>
        <v>不重复</v>
      </c>
      <c r="L642" s="34" t="str">
        <f t="shared" si="21"/>
        <v>不重复</v>
      </c>
    </row>
    <row r="643" spans="1:12" ht="27">
      <c r="A643" s="35" t="s">
        <v>11050</v>
      </c>
      <c r="B643" s="35" t="s">
        <v>2025</v>
      </c>
      <c r="C643" s="36" t="s">
        <v>2026</v>
      </c>
      <c r="D643" s="35" t="s">
        <v>2027</v>
      </c>
      <c r="E643" s="35" t="s">
        <v>11040</v>
      </c>
      <c r="F643" s="35" t="s">
        <v>10998</v>
      </c>
      <c r="G643" s="35">
        <v>221410</v>
      </c>
      <c r="H643" s="35">
        <v>270040</v>
      </c>
      <c r="I643" s="35">
        <v>200006</v>
      </c>
      <c r="J643" s="34" t="s">
        <v>288</v>
      </c>
      <c r="K643" s="34" t="str">
        <f t="shared" si="20"/>
        <v>重复</v>
      </c>
      <c r="L643" s="34" t="str">
        <f t="shared" si="21"/>
        <v>重复</v>
      </c>
    </row>
    <row r="644" spans="1:12" ht="27">
      <c r="A644" s="35" t="s">
        <v>11051</v>
      </c>
      <c r="B644" s="35" t="s">
        <v>2028</v>
      </c>
      <c r="C644" s="36" t="s">
        <v>1333</v>
      </c>
      <c r="D644" s="35" t="s">
        <v>2029</v>
      </c>
      <c r="E644" s="35" t="s">
        <v>11040</v>
      </c>
      <c r="F644" s="35" t="s">
        <v>10998</v>
      </c>
      <c r="G644" s="35">
        <v>221411</v>
      </c>
      <c r="H644" s="35">
        <v>270040</v>
      </c>
      <c r="I644" s="35">
        <v>200006</v>
      </c>
      <c r="J644" s="34" t="s">
        <v>2030</v>
      </c>
      <c r="K644" s="34" t="str">
        <f t="shared" si="20"/>
        <v>重复</v>
      </c>
      <c r="L644" s="34" t="str">
        <f t="shared" si="21"/>
        <v>不重复</v>
      </c>
    </row>
    <row r="645" spans="1:12" ht="30">
      <c r="A645" s="35" t="s">
        <v>11052</v>
      </c>
      <c r="B645" s="35" t="s">
        <v>2031</v>
      </c>
      <c r="C645" s="36" t="s">
        <v>2032</v>
      </c>
      <c r="D645" s="35" t="s">
        <v>2033</v>
      </c>
      <c r="E645" s="35" t="s">
        <v>11040</v>
      </c>
      <c r="F645" s="35" t="s">
        <v>10998</v>
      </c>
      <c r="G645" s="35">
        <v>221412</v>
      </c>
      <c r="H645" s="35">
        <v>270040</v>
      </c>
      <c r="I645" s="35">
        <v>200006</v>
      </c>
      <c r="J645" s="34" t="s">
        <v>2034</v>
      </c>
      <c r="K645" s="34" t="str">
        <f t="shared" si="20"/>
        <v>不重复</v>
      </c>
      <c r="L645" s="34" t="str">
        <f t="shared" si="21"/>
        <v>不重复</v>
      </c>
    </row>
    <row r="646" spans="1:12" ht="27">
      <c r="A646" s="35" t="s">
        <v>11053</v>
      </c>
      <c r="B646" s="35" t="s">
        <v>2035</v>
      </c>
      <c r="C646" s="36" t="s">
        <v>2036</v>
      </c>
      <c r="D646" s="35" t="s">
        <v>2037</v>
      </c>
      <c r="E646" s="35" t="s">
        <v>11040</v>
      </c>
      <c r="F646" s="35" t="s">
        <v>10998</v>
      </c>
      <c r="G646" s="35">
        <v>221413</v>
      </c>
      <c r="H646" s="35">
        <v>270040</v>
      </c>
      <c r="I646" s="35">
        <v>200006</v>
      </c>
      <c r="J646" s="34" t="s">
        <v>2038</v>
      </c>
      <c r="K646" s="34" t="str">
        <f t="shared" si="20"/>
        <v>重复</v>
      </c>
      <c r="L646" s="34" t="str">
        <f t="shared" si="21"/>
        <v>重复</v>
      </c>
    </row>
    <row r="647" spans="1:12" ht="30">
      <c r="A647" s="35" t="s">
        <v>11054</v>
      </c>
      <c r="B647" s="35" t="s">
        <v>2039</v>
      </c>
      <c r="C647" s="36" t="s">
        <v>2040</v>
      </c>
      <c r="D647" s="35" t="s">
        <v>2041</v>
      </c>
      <c r="E647" s="35" t="s">
        <v>11040</v>
      </c>
      <c r="F647" s="35" t="s">
        <v>10998</v>
      </c>
      <c r="G647" s="35">
        <v>221414</v>
      </c>
      <c r="H647" s="35">
        <v>270040</v>
      </c>
      <c r="I647" s="35">
        <v>200006</v>
      </c>
      <c r="J647" s="34" t="s">
        <v>302</v>
      </c>
      <c r="K647" s="34" t="str">
        <f t="shared" si="20"/>
        <v>重复</v>
      </c>
      <c r="L647" s="34" t="str">
        <f t="shared" si="21"/>
        <v>不重复</v>
      </c>
    </row>
    <row r="648" spans="1:12" ht="27">
      <c r="A648" s="35" t="s">
        <v>11055</v>
      </c>
      <c r="B648" s="35" t="s">
        <v>2042</v>
      </c>
      <c r="C648" s="36" t="s">
        <v>1065</v>
      </c>
      <c r="D648" s="35" t="s">
        <v>714</v>
      </c>
      <c r="E648" s="35" t="s">
        <v>11040</v>
      </c>
      <c r="F648" s="35" t="s">
        <v>10998</v>
      </c>
      <c r="G648" s="35">
        <v>221415</v>
      </c>
      <c r="H648" s="35">
        <v>270040</v>
      </c>
      <c r="I648" s="35">
        <v>200006</v>
      </c>
      <c r="J648" s="34" t="s">
        <v>363</v>
      </c>
      <c r="K648" s="34" t="str">
        <f t="shared" si="20"/>
        <v>重复</v>
      </c>
      <c r="L648" s="34" t="str">
        <f t="shared" si="21"/>
        <v>重复</v>
      </c>
    </row>
    <row r="649" spans="1:12" ht="27">
      <c r="A649" s="35" t="s">
        <v>11056</v>
      </c>
      <c r="B649" s="35" t="s">
        <v>2043</v>
      </c>
      <c r="C649" s="36" t="s">
        <v>2044</v>
      </c>
      <c r="D649" s="35" t="s">
        <v>2045</v>
      </c>
      <c r="E649" s="35" t="s">
        <v>11040</v>
      </c>
      <c r="F649" s="35" t="s">
        <v>10998</v>
      </c>
      <c r="G649" s="35">
        <v>221416</v>
      </c>
      <c r="H649" s="35">
        <v>270040</v>
      </c>
      <c r="I649" s="35">
        <v>200006</v>
      </c>
      <c r="J649" s="34" t="s">
        <v>715</v>
      </c>
      <c r="K649" s="34" t="str">
        <f t="shared" si="20"/>
        <v>不重复</v>
      </c>
      <c r="L649" s="34" t="str">
        <f t="shared" si="21"/>
        <v>不重复</v>
      </c>
    </row>
    <row r="650" spans="1:12" ht="30">
      <c r="A650" s="35" t="s">
        <v>11057</v>
      </c>
      <c r="B650" s="35" t="s">
        <v>2046</v>
      </c>
      <c r="C650" s="36" t="s">
        <v>2047</v>
      </c>
      <c r="D650" s="35" t="s">
        <v>2048</v>
      </c>
      <c r="E650" s="35" t="s">
        <v>11040</v>
      </c>
      <c r="F650" s="35" t="s">
        <v>10998</v>
      </c>
      <c r="G650" s="35">
        <v>221417</v>
      </c>
      <c r="H650" s="35">
        <v>270040</v>
      </c>
      <c r="I650" s="35">
        <v>200006</v>
      </c>
      <c r="J650" s="34" t="s">
        <v>605</v>
      </c>
      <c r="K650" s="34" t="str">
        <f t="shared" si="20"/>
        <v>不重复</v>
      </c>
      <c r="L650" s="34" t="str">
        <f t="shared" si="21"/>
        <v>不重复</v>
      </c>
    </row>
    <row r="651" spans="1:12" ht="30">
      <c r="A651" s="35" t="s">
        <v>11058</v>
      </c>
      <c r="B651" s="35" t="s">
        <v>2049</v>
      </c>
      <c r="C651" s="36" t="s">
        <v>1071</v>
      </c>
      <c r="D651" s="35" t="s">
        <v>2050</v>
      </c>
      <c r="E651" s="35" t="s">
        <v>11040</v>
      </c>
      <c r="F651" s="35" t="s">
        <v>10998</v>
      </c>
      <c r="G651" s="35">
        <v>221418</v>
      </c>
      <c r="H651" s="35">
        <v>270040</v>
      </c>
      <c r="I651" s="35">
        <v>200006</v>
      </c>
      <c r="J651" s="34" t="s">
        <v>1473</v>
      </c>
      <c r="K651" s="34" t="str">
        <f t="shared" si="20"/>
        <v>重复</v>
      </c>
      <c r="L651" s="34" t="str">
        <f t="shared" si="21"/>
        <v>重复</v>
      </c>
    </row>
    <row r="652" spans="1:12" ht="27">
      <c r="A652" s="35" t="s">
        <v>11059</v>
      </c>
      <c r="B652" s="35" t="s">
        <v>2051</v>
      </c>
      <c r="C652" s="36" t="s">
        <v>2052</v>
      </c>
      <c r="D652" s="35" t="s">
        <v>2050</v>
      </c>
      <c r="E652" s="35" t="s">
        <v>11040</v>
      </c>
      <c r="F652" s="35" t="s">
        <v>10998</v>
      </c>
      <c r="G652" s="35">
        <v>221419</v>
      </c>
      <c r="H652" s="35">
        <v>270040</v>
      </c>
      <c r="I652" s="35">
        <v>200006</v>
      </c>
      <c r="J652" s="34" t="s">
        <v>2053</v>
      </c>
      <c r="K652" s="34" t="str">
        <f t="shared" si="20"/>
        <v>重复</v>
      </c>
      <c r="L652" s="34" t="str">
        <f t="shared" si="21"/>
        <v>重复</v>
      </c>
    </row>
    <row r="653" spans="1:12" ht="27">
      <c r="A653" s="35" t="s">
        <v>11060</v>
      </c>
      <c r="B653" s="35" t="s">
        <v>2054</v>
      </c>
      <c r="C653" s="36" t="s">
        <v>2040</v>
      </c>
      <c r="D653" s="35" t="s">
        <v>2055</v>
      </c>
      <c r="E653" s="35" t="s">
        <v>11040</v>
      </c>
      <c r="F653" s="35" t="s">
        <v>10998</v>
      </c>
      <c r="G653" s="35">
        <v>221420</v>
      </c>
      <c r="H653" s="35">
        <v>270040</v>
      </c>
      <c r="I653" s="35">
        <v>200006</v>
      </c>
      <c r="J653" s="34" t="s">
        <v>609</v>
      </c>
      <c r="K653" s="34" t="str">
        <f t="shared" si="20"/>
        <v>重复</v>
      </c>
      <c r="L653" s="34" t="str">
        <f t="shared" si="21"/>
        <v>不重复</v>
      </c>
    </row>
    <row r="654" spans="1:12" ht="27">
      <c r="A654" s="35" t="s">
        <v>11061</v>
      </c>
      <c r="B654" s="35" t="s">
        <v>2056</v>
      </c>
      <c r="C654" s="36" t="s">
        <v>2057</v>
      </c>
      <c r="D654" s="35" t="s">
        <v>2058</v>
      </c>
      <c r="E654" s="35" t="s">
        <v>11040</v>
      </c>
      <c r="F654" s="35" t="s">
        <v>10998</v>
      </c>
      <c r="G654" s="35">
        <v>221421</v>
      </c>
      <c r="H654" s="35">
        <v>270040</v>
      </c>
      <c r="I654" s="35">
        <v>200006</v>
      </c>
      <c r="J654" s="34" t="s">
        <v>2059</v>
      </c>
      <c r="K654" s="34" t="str">
        <f t="shared" si="20"/>
        <v>重复</v>
      </c>
      <c r="L654" s="34" t="str">
        <f t="shared" si="21"/>
        <v>重复</v>
      </c>
    </row>
    <row r="655" spans="1:12" ht="27">
      <c r="A655" s="35" t="s">
        <v>11062</v>
      </c>
      <c r="B655" s="35" t="s">
        <v>2060</v>
      </c>
      <c r="C655" s="36" t="s">
        <v>2057</v>
      </c>
      <c r="D655" s="35" t="s">
        <v>2061</v>
      </c>
      <c r="E655" s="35" t="s">
        <v>11040</v>
      </c>
      <c r="F655" s="35" t="s">
        <v>10998</v>
      </c>
      <c r="G655" s="35">
        <v>221422</v>
      </c>
      <c r="H655" s="35">
        <v>270040</v>
      </c>
      <c r="I655" s="35">
        <v>200006</v>
      </c>
      <c r="J655" s="34" t="s">
        <v>2007</v>
      </c>
      <c r="K655" s="34" t="str">
        <f t="shared" si="20"/>
        <v>重复</v>
      </c>
      <c r="L655" s="34" t="str">
        <f t="shared" si="21"/>
        <v>不重复</v>
      </c>
    </row>
    <row r="656" spans="1:12" ht="30">
      <c r="A656" s="35" t="s">
        <v>11063</v>
      </c>
      <c r="B656" s="35" t="s">
        <v>2062</v>
      </c>
      <c r="C656" s="36" t="s">
        <v>2063</v>
      </c>
      <c r="D656" s="35" t="s">
        <v>718</v>
      </c>
      <c r="E656" s="35" t="s">
        <v>11040</v>
      </c>
      <c r="F656" s="35" t="s">
        <v>10998</v>
      </c>
      <c r="G656" s="35">
        <v>221423</v>
      </c>
      <c r="H656" s="35">
        <v>270040</v>
      </c>
      <c r="I656" s="35">
        <v>200006</v>
      </c>
      <c r="J656" s="34" t="s">
        <v>363</v>
      </c>
      <c r="K656" s="34" t="str">
        <f t="shared" si="20"/>
        <v>重复</v>
      </c>
      <c r="L656" s="34" t="str">
        <f t="shared" si="21"/>
        <v>重复</v>
      </c>
    </row>
    <row r="657" spans="1:12" ht="30">
      <c r="A657" s="35" t="s">
        <v>11064</v>
      </c>
      <c r="B657" s="35" t="s">
        <v>2064</v>
      </c>
      <c r="C657" s="36" t="s">
        <v>2065</v>
      </c>
      <c r="D657" s="35" t="s">
        <v>2066</v>
      </c>
      <c r="E657" s="35" t="s">
        <v>11040</v>
      </c>
      <c r="F657" s="35" t="s">
        <v>10998</v>
      </c>
      <c r="G657" s="35">
        <v>221424</v>
      </c>
      <c r="H657" s="35">
        <v>270040</v>
      </c>
      <c r="I657" s="35">
        <v>200006</v>
      </c>
      <c r="J657" s="34" t="s">
        <v>363</v>
      </c>
      <c r="K657" s="34" t="str">
        <f t="shared" si="20"/>
        <v>不重复</v>
      </c>
      <c r="L657" s="34" t="str">
        <f t="shared" si="21"/>
        <v>不重复</v>
      </c>
    </row>
    <row r="658" spans="1:12" ht="30">
      <c r="A658" s="35" t="s">
        <v>11065</v>
      </c>
      <c r="B658" s="35" t="s">
        <v>2067</v>
      </c>
      <c r="C658" s="36" t="s">
        <v>2068</v>
      </c>
      <c r="D658" s="35" t="s">
        <v>2069</v>
      </c>
      <c r="E658" s="35" t="s">
        <v>11040</v>
      </c>
      <c r="F658" s="35" t="s">
        <v>10998</v>
      </c>
      <c r="G658" s="35">
        <v>221425</v>
      </c>
      <c r="H658" s="35">
        <v>270040</v>
      </c>
      <c r="I658" s="35">
        <v>200006</v>
      </c>
      <c r="J658" s="34" t="s">
        <v>288</v>
      </c>
      <c r="K658" s="34" t="str">
        <f t="shared" si="20"/>
        <v>不重复</v>
      </c>
      <c r="L658" s="34" t="str">
        <f t="shared" si="21"/>
        <v>不重复</v>
      </c>
    </row>
    <row r="659" spans="1:12" ht="27">
      <c r="A659" s="35" t="s">
        <v>11066</v>
      </c>
      <c r="B659" s="35" t="s">
        <v>2070</v>
      </c>
      <c r="C659" s="36" t="s">
        <v>2071</v>
      </c>
      <c r="D659" s="35" t="s">
        <v>2072</v>
      </c>
      <c r="E659" s="35" t="s">
        <v>11040</v>
      </c>
      <c r="F659" s="35" t="s">
        <v>10998</v>
      </c>
      <c r="G659" s="35">
        <v>221426</v>
      </c>
      <c r="H659" s="35">
        <v>270040</v>
      </c>
      <c r="I659" s="35">
        <v>200006</v>
      </c>
      <c r="J659" s="34" t="s">
        <v>962</v>
      </c>
      <c r="K659" s="34" t="str">
        <f t="shared" si="20"/>
        <v>重复</v>
      </c>
      <c r="L659" s="34" t="str">
        <f t="shared" si="21"/>
        <v>重复</v>
      </c>
    </row>
    <row r="660" spans="1:12" ht="27">
      <c r="A660" s="35" t="s">
        <v>11067</v>
      </c>
      <c r="B660" s="35" t="s">
        <v>2073</v>
      </c>
      <c r="C660" s="36" t="s">
        <v>2074</v>
      </c>
      <c r="D660" s="35" t="s">
        <v>2072</v>
      </c>
      <c r="E660" s="35" t="s">
        <v>11040</v>
      </c>
      <c r="F660" s="35" t="s">
        <v>10998</v>
      </c>
      <c r="G660" s="35">
        <v>221427</v>
      </c>
      <c r="H660" s="35">
        <v>270040</v>
      </c>
      <c r="I660" s="35">
        <v>200006</v>
      </c>
      <c r="J660" s="34" t="s">
        <v>1516</v>
      </c>
      <c r="K660" s="34" t="str">
        <f t="shared" si="20"/>
        <v>重复</v>
      </c>
      <c r="L660" s="34" t="str">
        <f t="shared" si="21"/>
        <v>重复</v>
      </c>
    </row>
    <row r="661" spans="1:12" ht="30">
      <c r="A661" s="35" t="s">
        <v>11068</v>
      </c>
      <c r="B661" s="35" t="s">
        <v>2075</v>
      </c>
      <c r="C661" s="36" t="s">
        <v>2026</v>
      </c>
      <c r="D661" s="35" t="s">
        <v>2076</v>
      </c>
      <c r="E661" s="35" t="s">
        <v>11040</v>
      </c>
      <c r="F661" s="35" t="s">
        <v>10998</v>
      </c>
      <c r="G661" s="35">
        <v>221428</v>
      </c>
      <c r="H661" s="35">
        <v>270040</v>
      </c>
      <c r="I661" s="35">
        <v>200006</v>
      </c>
      <c r="J661" s="34" t="s">
        <v>363</v>
      </c>
      <c r="K661" s="34" t="str">
        <f t="shared" si="20"/>
        <v>重复</v>
      </c>
      <c r="L661" s="34" t="str">
        <f t="shared" si="21"/>
        <v>不重复</v>
      </c>
    </row>
    <row r="662" spans="1:12" ht="27">
      <c r="A662" s="35" t="s">
        <v>11069</v>
      </c>
      <c r="B662" s="35" t="s">
        <v>2077</v>
      </c>
      <c r="C662" s="36" t="s">
        <v>2078</v>
      </c>
      <c r="D662" s="35" t="s">
        <v>2079</v>
      </c>
      <c r="E662" s="35" t="s">
        <v>11040</v>
      </c>
      <c r="F662" s="35" t="s">
        <v>10998</v>
      </c>
      <c r="G662" s="35">
        <v>221429</v>
      </c>
      <c r="H662" s="35">
        <v>270040</v>
      </c>
      <c r="I662" s="35">
        <v>200006</v>
      </c>
      <c r="J662" s="34" t="s">
        <v>2080</v>
      </c>
      <c r="K662" s="34" t="str">
        <f t="shared" si="22" ref="K662:K725">IF(COUNTIF(C:C,C662)&gt;=2,"重复","不重复")</f>
        <v>不重复</v>
      </c>
      <c r="L662" s="34" t="str">
        <f t="shared" si="21"/>
        <v>重复</v>
      </c>
    </row>
    <row r="663" spans="1:12" ht="30">
      <c r="A663" s="35" t="s">
        <v>11070</v>
      </c>
      <c r="B663" s="35" t="s">
        <v>2081</v>
      </c>
      <c r="C663" s="36" t="s">
        <v>2082</v>
      </c>
      <c r="D663" s="35" t="s">
        <v>2083</v>
      </c>
      <c r="E663" s="35" t="s">
        <v>11040</v>
      </c>
      <c r="F663" s="35" t="s">
        <v>10998</v>
      </c>
      <c r="G663" s="35">
        <v>221430</v>
      </c>
      <c r="H663" s="35">
        <v>270040</v>
      </c>
      <c r="I663" s="35">
        <v>200006</v>
      </c>
      <c r="J663" s="34" t="s">
        <v>962</v>
      </c>
      <c r="K663" s="34" t="str">
        <f t="shared" si="22"/>
        <v>不重复</v>
      </c>
      <c r="L663" s="34" t="str">
        <f t="shared" si="23" ref="L663:L679">IF(COUNTIF(D:D,D663)&gt;=2,"重复","不重复")</f>
        <v>不重复</v>
      </c>
    </row>
    <row r="664" spans="1:12" ht="27">
      <c r="A664" s="35" t="s">
        <v>11071</v>
      </c>
      <c r="B664" s="35" t="s">
        <v>2084</v>
      </c>
      <c r="C664" s="36" t="s">
        <v>2063</v>
      </c>
      <c r="D664" s="35" t="s">
        <v>2085</v>
      </c>
      <c r="E664" s="35" t="s">
        <v>11040</v>
      </c>
      <c r="F664" s="35" t="s">
        <v>10998</v>
      </c>
      <c r="G664" s="35">
        <v>221431</v>
      </c>
      <c r="H664" s="35">
        <v>270040</v>
      </c>
      <c r="I664" s="35">
        <v>200006</v>
      </c>
      <c r="J664" s="34" t="s">
        <v>2086</v>
      </c>
      <c r="K664" s="34" t="str">
        <f t="shared" si="22"/>
        <v>重复</v>
      </c>
      <c r="L664" s="34" t="str">
        <f t="shared" si="23"/>
        <v>重复</v>
      </c>
    </row>
    <row r="665" spans="1:12" ht="27">
      <c r="A665" s="35" t="s">
        <v>11072</v>
      </c>
      <c r="B665" s="35" t="s">
        <v>2087</v>
      </c>
      <c r="C665" s="36" t="s">
        <v>636</v>
      </c>
      <c r="D665" s="35" t="s">
        <v>2088</v>
      </c>
      <c r="E665" s="35" t="s">
        <v>11040</v>
      </c>
      <c r="F665" s="35" t="s">
        <v>10998</v>
      </c>
      <c r="G665" s="35">
        <v>221432</v>
      </c>
      <c r="H665" s="35">
        <v>270040</v>
      </c>
      <c r="I665" s="35">
        <v>200006</v>
      </c>
      <c r="J665" s="34" t="s">
        <v>2089</v>
      </c>
      <c r="K665" s="34" t="str">
        <f t="shared" si="22"/>
        <v>重复</v>
      </c>
      <c r="L665" s="34" t="str">
        <f t="shared" si="23"/>
        <v>不重复</v>
      </c>
    </row>
    <row r="666" spans="1:12" ht="30">
      <c r="A666" s="35" t="s">
        <v>11073</v>
      </c>
      <c r="B666" s="35" t="s">
        <v>2090</v>
      </c>
      <c r="C666" s="36" t="s">
        <v>2091</v>
      </c>
      <c r="D666" s="35" t="s">
        <v>2058</v>
      </c>
      <c r="E666" s="35" t="s">
        <v>11040</v>
      </c>
      <c r="F666" s="35" t="s">
        <v>10998</v>
      </c>
      <c r="G666" s="35">
        <v>221433</v>
      </c>
      <c r="H666" s="35">
        <v>270040</v>
      </c>
      <c r="I666" s="35">
        <v>200006</v>
      </c>
      <c r="J666" s="34" t="s">
        <v>2092</v>
      </c>
      <c r="K666" s="34" t="str">
        <f t="shared" si="22"/>
        <v>重复</v>
      </c>
      <c r="L666" s="34" t="str">
        <f t="shared" si="23"/>
        <v>重复</v>
      </c>
    </row>
    <row r="667" spans="1:12" ht="30">
      <c r="A667" s="35" t="s">
        <v>11074</v>
      </c>
      <c r="B667" s="35" t="s">
        <v>2093</v>
      </c>
      <c r="C667" s="36" t="s">
        <v>2057</v>
      </c>
      <c r="D667" s="35" t="s">
        <v>2050</v>
      </c>
      <c r="E667" s="35" t="s">
        <v>11040</v>
      </c>
      <c r="F667" s="35" t="s">
        <v>10998</v>
      </c>
      <c r="G667" s="35">
        <v>221434</v>
      </c>
      <c r="H667" s="35">
        <v>270040</v>
      </c>
      <c r="I667" s="35">
        <v>200006</v>
      </c>
      <c r="J667" s="34" t="s">
        <v>363</v>
      </c>
      <c r="K667" s="34" t="str">
        <f t="shared" si="22"/>
        <v>重复</v>
      </c>
      <c r="L667" s="34" t="str">
        <f t="shared" si="23"/>
        <v>重复</v>
      </c>
    </row>
    <row r="668" spans="1:12" ht="15">
      <c r="A668" s="35" t="s">
        <v>11075</v>
      </c>
      <c r="B668" s="35" t="s">
        <v>2094</v>
      </c>
      <c r="C668" s="36" t="s">
        <v>2095</v>
      </c>
      <c r="D668" s="35" t="s">
        <v>2096</v>
      </c>
      <c r="E668" s="35" t="s">
        <v>11040</v>
      </c>
      <c r="F668" s="35" t="s">
        <v>10998</v>
      </c>
      <c r="G668" s="35">
        <v>221435</v>
      </c>
      <c r="H668" s="35">
        <v>270040</v>
      </c>
      <c r="I668" s="35">
        <v>200006</v>
      </c>
      <c r="J668" s="34" t="s">
        <v>1103</v>
      </c>
      <c r="K668" s="34" t="str">
        <f t="shared" si="22"/>
        <v>不重复</v>
      </c>
      <c r="L668" s="34" t="str">
        <f t="shared" si="23"/>
        <v>不重复</v>
      </c>
    </row>
    <row r="669" spans="1:12" ht="15">
      <c r="A669" s="35" t="s">
        <v>11076</v>
      </c>
      <c r="B669" s="35" t="s">
        <v>2097</v>
      </c>
      <c r="C669" s="36" t="s">
        <v>2098</v>
      </c>
      <c r="D669" s="35" t="s">
        <v>2099</v>
      </c>
      <c r="E669" s="35" t="s">
        <v>11040</v>
      </c>
      <c r="F669" s="35" t="s">
        <v>10998</v>
      </c>
      <c r="G669" s="35">
        <v>221436</v>
      </c>
      <c r="H669" s="35">
        <v>270040</v>
      </c>
      <c r="I669" s="35">
        <v>200006</v>
      </c>
      <c r="J669" s="34" t="s">
        <v>82</v>
      </c>
      <c r="K669" s="34" t="str">
        <f t="shared" si="22"/>
        <v>不重复</v>
      </c>
      <c r="L669" s="34" t="str">
        <f t="shared" si="23"/>
        <v>不重复</v>
      </c>
    </row>
    <row r="670" spans="1:12" ht="15">
      <c r="A670" s="35" t="s">
        <v>11077</v>
      </c>
      <c r="B670" s="35" t="s">
        <v>2100</v>
      </c>
      <c r="C670" s="36" t="s">
        <v>2101</v>
      </c>
      <c r="D670" s="35" t="s">
        <v>2102</v>
      </c>
      <c r="E670" s="35" t="s">
        <v>11040</v>
      </c>
      <c r="F670" s="35" t="s">
        <v>10998</v>
      </c>
      <c r="G670" s="35">
        <v>221437</v>
      </c>
      <c r="H670" s="35">
        <v>270040</v>
      </c>
      <c r="I670" s="35">
        <v>200006</v>
      </c>
      <c r="J670" s="34" t="s">
        <v>347</v>
      </c>
      <c r="K670" s="34" t="str">
        <f t="shared" si="22"/>
        <v>不重复</v>
      </c>
      <c r="L670" s="34" t="str">
        <f t="shared" si="23"/>
        <v>不重复</v>
      </c>
    </row>
    <row r="671" spans="1:12" ht="15">
      <c r="A671" s="35" t="s">
        <v>11078</v>
      </c>
      <c r="B671" s="35" t="s">
        <v>2103</v>
      </c>
      <c r="C671" s="36" t="s">
        <v>2104</v>
      </c>
      <c r="D671" s="35" t="s">
        <v>2105</v>
      </c>
      <c r="E671" s="35" t="s">
        <v>11040</v>
      </c>
      <c r="F671" s="35" t="s">
        <v>10998</v>
      </c>
      <c r="G671" s="35">
        <v>221438</v>
      </c>
      <c r="H671" s="35">
        <v>270040</v>
      </c>
      <c r="I671" s="35">
        <v>200006</v>
      </c>
      <c r="J671" s="34" t="s">
        <v>363</v>
      </c>
      <c r="K671" s="34" t="str">
        <f t="shared" si="22"/>
        <v>重复</v>
      </c>
      <c r="L671" s="34" t="str">
        <f t="shared" si="23"/>
        <v>不重复</v>
      </c>
    </row>
    <row r="672" spans="1:12" ht="15">
      <c r="A672" s="35" t="s">
        <v>11079</v>
      </c>
      <c r="B672" s="35" t="s">
        <v>2106</v>
      </c>
      <c r="C672" s="36" t="s">
        <v>2107</v>
      </c>
      <c r="D672" s="35" t="s">
        <v>2108</v>
      </c>
      <c r="E672" s="35" t="s">
        <v>11040</v>
      </c>
      <c r="F672" s="35" t="s">
        <v>10998</v>
      </c>
      <c r="G672" s="35">
        <v>221439</v>
      </c>
      <c r="H672" s="35">
        <v>270040</v>
      </c>
      <c r="I672" s="35">
        <v>200006</v>
      </c>
      <c r="J672" s="34" t="s">
        <v>609</v>
      </c>
      <c r="K672" s="34" t="str">
        <f t="shared" si="22"/>
        <v>不重复</v>
      </c>
      <c r="L672" s="34" t="str">
        <f t="shared" si="23"/>
        <v>不重复</v>
      </c>
    </row>
    <row r="673" spans="1:12" ht="15">
      <c r="A673" s="35" t="s">
        <v>11080</v>
      </c>
      <c r="B673" s="35" t="s">
        <v>2109</v>
      </c>
      <c r="C673" s="36" t="s">
        <v>448</v>
      </c>
      <c r="D673" s="35" t="s">
        <v>2110</v>
      </c>
      <c r="E673" s="35" t="s">
        <v>11040</v>
      </c>
      <c r="F673" s="35" t="s">
        <v>10998</v>
      </c>
      <c r="G673" s="35">
        <v>221440</v>
      </c>
      <c r="H673" s="35">
        <v>270040</v>
      </c>
      <c r="I673" s="35">
        <v>200006</v>
      </c>
      <c r="J673" s="34" t="s">
        <v>363</v>
      </c>
      <c r="K673" s="34" t="str">
        <f t="shared" si="22"/>
        <v>重复</v>
      </c>
      <c r="L673" s="34" t="str">
        <f t="shared" si="23"/>
        <v>重复</v>
      </c>
    </row>
    <row r="674" spans="1:12" ht="27">
      <c r="A674" s="35" t="s">
        <v>11081</v>
      </c>
      <c r="B674" s="35" t="s">
        <v>2111</v>
      </c>
      <c r="C674" s="36" t="s">
        <v>1068</v>
      </c>
      <c r="D674" s="35" t="s">
        <v>2112</v>
      </c>
      <c r="E674" s="35" t="s">
        <v>11040</v>
      </c>
      <c r="F674" s="35" t="s">
        <v>10998</v>
      </c>
      <c r="G674" s="35">
        <v>221441</v>
      </c>
      <c r="H674" s="35">
        <v>270040</v>
      </c>
      <c r="I674" s="35">
        <v>200006</v>
      </c>
      <c r="J674" s="34" t="s">
        <v>1937</v>
      </c>
      <c r="K674" s="34" t="str">
        <f t="shared" si="22"/>
        <v>重复</v>
      </c>
      <c r="L674" s="34" t="str">
        <f t="shared" si="23"/>
        <v>不重复</v>
      </c>
    </row>
    <row r="675" spans="1:12" ht="30">
      <c r="A675" s="35" t="s">
        <v>11082</v>
      </c>
      <c r="B675" s="35" t="s">
        <v>2113</v>
      </c>
      <c r="C675" s="36" t="s">
        <v>2040</v>
      </c>
      <c r="D675" s="35" t="s">
        <v>2114</v>
      </c>
      <c r="E675" s="35" t="s">
        <v>11040</v>
      </c>
      <c r="F675" s="35" t="s">
        <v>10998</v>
      </c>
      <c r="G675" s="35">
        <v>221442</v>
      </c>
      <c r="H675" s="35">
        <v>270040</v>
      </c>
      <c r="I675" s="35">
        <v>200006</v>
      </c>
      <c r="J675" s="34" t="s">
        <v>1040</v>
      </c>
      <c r="K675" s="34" t="str">
        <f t="shared" si="22"/>
        <v>重复</v>
      </c>
      <c r="L675" s="34" t="str">
        <f t="shared" si="23"/>
        <v>不重复</v>
      </c>
    </row>
    <row r="676" spans="1:12" ht="30">
      <c r="A676" s="35" t="s">
        <v>11083</v>
      </c>
      <c r="B676" s="35" t="s">
        <v>2115</v>
      </c>
      <c r="C676" s="36" t="s">
        <v>1566</v>
      </c>
      <c r="D676" s="35" t="s">
        <v>2116</v>
      </c>
      <c r="E676" s="35" t="s">
        <v>11040</v>
      </c>
      <c r="F676" s="35" t="s">
        <v>10998</v>
      </c>
      <c r="G676" s="35">
        <v>221443</v>
      </c>
      <c r="H676" s="35">
        <v>270040</v>
      </c>
      <c r="I676" s="35">
        <v>200006</v>
      </c>
      <c r="J676" s="34" t="s">
        <v>363</v>
      </c>
      <c r="K676" s="34" t="str">
        <f t="shared" si="22"/>
        <v>重复</v>
      </c>
      <c r="L676" s="34" t="str">
        <f t="shared" si="23"/>
        <v>不重复</v>
      </c>
    </row>
    <row r="677" spans="1:12" ht="27">
      <c r="A677" s="35" t="s">
        <v>11084</v>
      </c>
      <c r="B677" s="35" t="s">
        <v>2117</v>
      </c>
      <c r="C677" s="36" t="s">
        <v>2040</v>
      </c>
      <c r="D677" s="35" t="s">
        <v>2118</v>
      </c>
      <c r="E677" s="35" t="s">
        <v>11040</v>
      </c>
      <c r="F677" s="35" t="s">
        <v>10998</v>
      </c>
      <c r="G677" s="35">
        <v>221444</v>
      </c>
      <c r="H677" s="35">
        <v>270040</v>
      </c>
      <c r="I677" s="35">
        <v>200006</v>
      </c>
      <c r="J677" s="34" t="s">
        <v>144</v>
      </c>
      <c r="K677" s="34" t="str">
        <f t="shared" si="22"/>
        <v>重复</v>
      </c>
      <c r="L677" s="34" t="str">
        <f t="shared" si="23"/>
        <v>不重复</v>
      </c>
    </row>
    <row r="678" spans="1:12" ht="30">
      <c r="A678" s="35" t="s">
        <v>11085</v>
      </c>
      <c r="B678" s="35" t="s">
        <v>2119</v>
      </c>
      <c r="C678" s="36" t="s">
        <v>2120</v>
      </c>
      <c r="D678" s="35" t="s">
        <v>2121</v>
      </c>
      <c r="E678" s="35" t="s">
        <v>11086</v>
      </c>
      <c r="F678" s="35" t="s">
        <v>10998</v>
      </c>
      <c r="G678" s="35">
        <v>221500</v>
      </c>
      <c r="H678" s="35">
        <v>270050</v>
      </c>
      <c r="I678" s="35">
        <v>200006</v>
      </c>
      <c r="J678" s="34" t="s">
        <v>2122</v>
      </c>
      <c r="K678" s="34" t="str">
        <f t="shared" si="22"/>
        <v>不重复</v>
      </c>
      <c r="L678" s="34" t="str">
        <f t="shared" si="23"/>
        <v>不重复</v>
      </c>
    </row>
    <row r="679" spans="1:12" ht="15">
      <c r="A679" s="35" t="s">
        <v>11087</v>
      </c>
      <c r="B679" s="35" t="s">
        <v>2123</v>
      </c>
      <c r="C679" s="36" t="s">
        <v>2124</v>
      </c>
      <c r="D679" s="35" t="s">
        <v>2125</v>
      </c>
      <c r="E679" s="35" t="s">
        <v>11088</v>
      </c>
      <c r="F679" s="35" t="s">
        <v>10998</v>
      </c>
      <c r="G679" s="35">
        <v>221600</v>
      </c>
      <c r="H679" s="35">
        <v>270060</v>
      </c>
      <c r="I679" s="35">
        <v>200006</v>
      </c>
      <c r="J679" s="34" t="s">
        <v>16</v>
      </c>
      <c r="K679" s="34" t="str">
        <f t="shared" si="22"/>
        <v>不重复</v>
      </c>
      <c r="L679" s="34" t="str">
        <f t="shared" si="23"/>
        <v>重复</v>
      </c>
    </row>
    <row r="680" spans="1:12" ht="15">
      <c r="A680" s="35" t="s">
        <v>11089</v>
      </c>
      <c r="B680" s="35" t="s">
        <v>2126</v>
      </c>
      <c r="C680" s="36" t="s">
        <v>2127</v>
      </c>
      <c r="D680" s="35" t="s">
        <v>2128</v>
      </c>
      <c r="E680" s="35" t="s">
        <v>11088</v>
      </c>
      <c r="F680" s="35" t="s">
        <v>10998</v>
      </c>
      <c r="G680" s="35">
        <v>221604</v>
      </c>
      <c r="H680" s="35">
        <v>270060</v>
      </c>
      <c r="I680" s="35">
        <v>200006</v>
      </c>
      <c r="J680" s="34"/>
      <c r="K680" s="34" t="str">
        <f t="shared" si="22"/>
        <v>不重复</v>
      </c>
      <c r="L680" s="34"/>
    </row>
    <row r="681" spans="1:12" ht="15">
      <c r="A681" s="35" t="s">
        <v>11090</v>
      </c>
      <c r="B681" s="35" t="s">
        <v>2129</v>
      </c>
      <c r="C681" s="36" t="s">
        <v>2130</v>
      </c>
      <c r="D681" s="35" t="s">
        <v>2131</v>
      </c>
      <c r="E681" s="35" t="s">
        <v>11091</v>
      </c>
      <c r="F681" s="35" t="s">
        <v>10998</v>
      </c>
      <c r="G681" s="35">
        <v>221601</v>
      </c>
      <c r="H681" s="35">
        <v>270060</v>
      </c>
      <c r="I681" s="35">
        <v>200006</v>
      </c>
      <c r="J681" s="34" t="s">
        <v>363</v>
      </c>
      <c r="K681" s="34" t="str">
        <f t="shared" si="22"/>
        <v>重复</v>
      </c>
      <c r="L681" s="34" t="str">
        <f t="shared" si="24" ref="L681:L744">IF(COUNTIF(D:D,D681)&gt;=2,"重复","不重复")</f>
        <v>不重复</v>
      </c>
    </row>
    <row r="682" spans="1:12" ht="15">
      <c r="A682" s="35" t="s">
        <v>11092</v>
      </c>
      <c r="B682" s="35" t="s">
        <v>2132</v>
      </c>
      <c r="C682" s="36" t="s">
        <v>2133</v>
      </c>
      <c r="D682" s="35" t="s">
        <v>2134</v>
      </c>
      <c r="E682" s="35" t="s">
        <v>11091</v>
      </c>
      <c r="F682" s="35" t="s">
        <v>10998</v>
      </c>
      <c r="G682" s="35">
        <v>221602</v>
      </c>
      <c r="H682" s="35">
        <v>270060</v>
      </c>
      <c r="I682" s="35">
        <v>200006</v>
      </c>
      <c r="J682" s="34" t="s">
        <v>363</v>
      </c>
      <c r="K682" s="34" t="str">
        <f t="shared" si="22"/>
        <v>重复</v>
      </c>
      <c r="L682" s="34" t="str">
        <f t="shared" si="24"/>
        <v>重复</v>
      </c>
    </row>
    <row r="683" spans="1:12" ht="15">
      <c r="A683" s="35" t="s">
        <v>11093</v>
      </c>
      <c r="B683" s="35" t="s">
        <v>2135</v>
      </c>
      <c r="C683" s="36" t="s">
        <v>2136</v>
      </c>
      <c r="D683" s="35" t="s">
        <v>2134</v>
      </c>
      <c r="E683" s="35" t="s">
        <v>11091</v>
      </c>
      <c r="F683" s="35" t="s">
        <v>10998</v>
      </c>
      <c r="G683" s="35">
        <v>221603</v>
      </c>
      <c r="H683" s="35">
        <v>270060</v>
      </c>
      <c r="I683" s="35">
        <v>200006</v>
      </c>
      <c r="J683" s="34" t="s">
        <v>363</v>
      </c>
      <c r="K683" s="34" t="str">
        <f t="shared" si="22"/>
        <v>重复</v>
      </c>
      <c r="L683" s="34" t="str">
        <f t="shared" si="24"/>
        <v>重复</v>
      </c>
    </row>
    <row r="684" spans="1:12" ht="15">
      <c r="A684" s="35" t="s">
        <v>11094</v>
      </c>
      <c r="B684" s="35" t="s">
        <v>2137</v>
      </c>
      <c r="C684" s="36" t="s">
        <v>2138</v>
      </c>
      <c r="D684" s="35" t="s">
        <v>2139</v>
      </c>
      <c r="E684" s="35" t="s">
        <v>11094</v>
      </c>
      <c r="F684" s="35" t="s">
        <v>10998</v>
      </c>
      <c r="G684" s="35">
        <v>221700</v>
      </c>
      <c r="H684" s="35">
        <v>270070</v>
      </c>
      <c r="I684" s="35">
        <v>200006</v>
      </c>
      <c r="J684" s="34" t="s">
        <v>16</v>
      </c>
      <c r="K684" s="34" t="str">
        <f t="shared" si="22"/>
        <v>重复</v>
      </c>
      <c r="L684" s="34" t="str">
        <f t="shared" si="24"/>
        <v>重复</v>
      </c>
    </row>
    <row r="685" spans="1:12" ht="30">
      <c r="A685" s="35" t="s">
        <v>11095</v>
      </c>
      <c r="B685" s="35" t="s">
        <v>2140</v>
      </c>
      <c r="C685" s="36" t="s">
        <v>2141</v>
      </c>
      <c r="D685" s="35" t="s">
        <v>2142</v>
      </c>
      <c r="E685" s="35" t="s">
        <v>11094</v>
      </c>
      <c r="F685" s="35" t="s">
        <v>10998</v>
      </c>
      <c r="G685" s="35">
        <v>221701</v>
      </c>
      <c r="H685" s="35">
        <v>270070</v>
      </c>
      <c r="I685" s="35">
        <v>200006</v>
      </c>
      <c r="J685" s="34" t="s">
        <v>756</v>
      </c>
      <c r="K685" s="34" t="str">
        <f t="shared" si="22"/>
        <v>不重复</v>
      </c>
      <c r="L685" s="34" t="str">
        <f t="shared" si="24"/>
        <v>重复</v>
      </c>
    </row>
    <row r="686" spans="1:12" ht="15">
      <c r="A686" s="35" t="s">
        <v>11096</v>
      </c>
      <c r="B686" s="35" t="s">
        <v>2143</v>
      </c>
      <c r="C686" s="36" t="s">
        <v>2144</v>
      </c>
      <c r="D686" s="35" t="s">
        <v>2145</v>
      </c>
      <c r="E686" s="35" t="s">
        <v>11096</v>
      </c>
      <c r="F686" s="35" t="s">
        <v>10998</v>
      </c>
      <c r="G686" s="35">
        <v>221800</v>
      </c>
      <c r="H686" s="35">
        <v>270080</v>
      </c>
      <c r="I686" s="35">
        <v>200006</v>
      </c>
      <c r="J686" s="34" t="s">
        <v>16</v>
      </c>
      <c r="K686" s="34" t="str">
        <f t="shared" si="22"/>
        <v>不重复</v>
      </c>
      <c r="L686" s="34" t="str">
        <f t="shared" si="24"/>
        <v>不重复</v>
      </c>
    </row>
    <row r="687" spans="1:12" ht="15">
      <c r="A687" s="35" t="s">
        <v>11097</v>
      </c>
      <c r="B687" s="35" t="s">
        <v>2146</v>
      </c>
      <c r="C687" s="36" t="s">
        <v>2147</v>
      </c>
      <c r="D687" s="35" t="s">
        <v>2148</v>
      </c>
      <c r="E687" s="35" t="s">
        <v>11097</v>
      </c>
      <c r="F687" s="35" t="s">
        <v>10998</v>
      </c>
      <c r="G687" s="35">
        <v>221900</v>
      </c>
      <c r="H687" s="35">
        <v>270090</v>
      </c>
      <c r="I687" s="35">
        <v>200006</v>
      </c>
      <c r="J687" s="34" t="s">
        <v>16</v>
      </c>
      <c r="K687" s="34" t="str">
        <f t="shared" si="22"/>
        <v>不重复</v>
      </c>
      <c r="L687" s="34" t="str">
        <f t="shared" si="24"/>
        <v>重复</v>
      </c>
    </row>
    <row r="688" spans="1:12" ht="15">
      <c r="A688" s="35" t="s">
        <v>11098</v>
      </c>
      <c r="B688" s="35" t="s">
        <v>2149</v>
      </c>
      <c r="C688" s="36" t="s">
        <v>2150</v>
      </c>
      <c r="D688" s="35" t="s">
        <v>2151</v>
      </c>
      <c r="E688" s="35" t="s">
        <v>11098</v>
      </c>
      <c r="F688" s="35" t="s">
        <v>10998</v>
      </c>
      <c r="G688" s="35">
        <v>222000</v>
      </c>
      <c r="H688" s="35">
        <v>270100</v>
      </c>
      <c r="I688" s="35">
        <v>200006</v>
      </c>
      <c r="J688" s="34" t="s">
        <v>16</v>
      </c>
      <c r="K688" s="34" t="str">
        <f t="shared" si="22"/>
        <v>不重复</v>
      </c>
      <c r="L688" s="34" t="str">
        <f t="shared" si="24"/>
        <v>不重复</v>
      </c>
    </row>
    <row r="689" spans="1:12" ht="15">
      <c r="A689" s="35" t="s">
        <v>11099</v>
      </c>
      <c r="B689" s="35" t="s">
        <v>2152</v>
      </c>
      <c r="C689" s="36" t="s">
        <v>2153</v>
      </c>
      <c r="D689" s="35" t="s">
        <v>2154</v>
      </c>
      <c r="E689" s="35" t="s">
        <v>11099</v>
      </c>
      <c r="F689" s="35" t="s">
        <v>10998</v>
      </c>
      <c r="G689" s="35">
        <v>222100</v>
      </c>
      <c r="H689" s="35">
        <v>270110</v>
      </c>
      <c r="I689" s="35">
        <v>200006</v>
      </c>
      <c r="J689" s="34" t="s">
        <v>16</v>
      </c>
      <c r="K689" s="34" t="str">
        <f t="shared" si="22"/>
        <v>重复</v>
      </c>
      <c r="L689" s="34" t="str">
        <f t="shared" si="24"/>
        <v>重复</v>
      </c>
    </row>
    <row r="690" spans="1:12" ht="15">
      <c r="A690" s="35" t="s">
        <v>11100</v>
      </c>
      <c r="B690" s="35" t="s">
        <v>2155</v>
      </c>
      <c r="C690" s="36" t="s">
        <v>2156</v>
      </c>
      <c r="D690" s="35" t="s">
        <v>2157</v>
      </c>
      <c r="E690" s="35" t="s">
        <v>11099</v>
      </c>
      <c r="F690" s="35" t="s">
        <v>10998</v>
      </c>
      <c r="G690" s="35">
        <v>222101</v>
      </c>
      <c r="H690" s="35">
        <v>270110</v>
      </c>
      <c r="I690" s="35">
        <v>200006</v>
      </c>
      <c r="J690" s="34" t="s">
        <v>16</v>
      </c>
      <c r="K690" s="34" t="str">
        <f t="shared" si="22"/>
        <v>不重复</v>
      </c>
      <c r="L690" s="34" t="str">
        <f t="shared" si="24"/>
        <v>不重复</v>
      </c>
    </row>
    <row r="691" spans="1:12" ht="27">
      <c r="A691" s="35" t="s">
        <v>11101</v>
      </c>
      <c r="B691" s="35" t="s">
        <v>2158</v>
      </c>
      <c r="C691" s="36" t="s">
        <v>1902</v>
      </c>
      <c r="D691" s="35" t="s">
        <v>2159</v>
      </c>
      <c r="E691" s="35" t="s">
        <v>11099</v>
      </c>
      <c r="F691" s="35" t="s">
        <v>10998</v>
      </c>
      <c r="G691" s="35">
        <v>222102</v>
      </c>
      <c r="H691" s="35">
        <v>270110</v>
      </c>
      <c r="I691" s="35">
        <v>200006</v>
      </c>
      <c r="J691" s="34" t="s">
        <v>311</v>
      </c>
      <c r="K691" s="34" t="str">
        <f t="shared" si="22"/>
        <v>重复</v>
      </c>
      <c r="L691" s="34" t="str">
        <f t="shared" si="24"/>
        <v>不重复</v>
      </c>
    </row>
    <row r="692" spans="1:12" ht="30">
      <c r="A692" s="35" t="s">
        <v>11102</v>
      </c>
      <c r="B692" s="35" t="s">
        <v>2160</v>
      </c>
      <c r="C692" s="36" t="s">
        <v>2161</v>
      </c>
      <c r="D692" s="35" t="s">
        <v>2162</v>
      </c>
      <c r="E692" s="35" t="s">
        <v>11099</v>
      </c>
      <c r="F692" s="35" t="s">
        <v>10998</v>
      </c>
      <c r="G692" s="35">
        <v>222103</v>
      </c>
      <c r="H692" s="35">
        <v>270110</v>
      </c>
      <c r="I692" s="35">
        <v>200006</v>
      </c>
      <c r="J692" s="34" t="s">
        <v>363</v>
      </c>
      <c r="K692" s="34" t="str">
        <f t="shared" si="22"/>
        <v>不重复</v>
      </c>
      <c r="L692" s="34" t="str">
        <f t="shared" si="24"/>
        <v>不重复</v>
      </c>
    </row>
    <row r="693" spans="1:12" ht="30">
      <c r="A693" s="35" t="s">
        <v>11103</v>
      </c>
      <c r="B693" s="35" t="s">
        <v>2163</v>
      </c>
      <c r="C693" s="36" t="s">
        <v>2164</v>
      </c>
      <c r="D693" s="35" t="s">
        <v>2165</v>
      </c>
      <c r="E693" s="35" t="s">
        <v>11099</v>
      </c>
      <c r="F693" s="35" t="s">
        <v>10998</v>
      </c>
      <c r="G693" s="35">
        <v>222104</v>
      </c>
      <c r="H693" s="35">
        <v>270110</v>
      </c>
      <c r="I693" s="35">
        <v>200006</v>
      </c>
      <c r="J693" s="34" t="s">
        <v>137</v>
      </c>
      <c r="K693" s="34" t="str">
        <f t="shared" si="22"/>
        <v>不重复</v>
      </c>
      <c r="L693" s="34" t="str">
        <f t="shared" si="24"/>
        <v>不重复</v>
      </c>
    </row>
    <row r="694" spans="1:12" ht="27">
      <c r="A694" s="35" t="s">
        <v>11104</v>
      </c>
      <c r="B694" s="35" t="s">
        <v>2166</v>
      </c>
      <c r="C694" s="36" t="s">
        <v>2167</v>
      </c>
      <c r="D694" s="35" t="s">
        <v>2168</v>
      </c>
      <c r="E694" s="35" t="s">
        <v>11099</v>
      </c>
      <c r="F694" s="35" t="s">
        <v>10998</v>
      </c>
      <c r="G694" s="35">
        <v>222105</v>
      </c>
      <c r="H694" s="35">
        <v>270110</v>
      </c>
      <c r="I694" s="35">
        <v>200006</v>
      </c>
      <c r="J694" s="34" t="s">
        <v>2169</v>
      </c>
      <c r="K694" s="34" t="str">
        <f t="shared" si="22"/>
        <v>不重复</v>
      </c>
      <c r="L694" s="34" t="str">
        <f t="shared" si="24"/>
        <v>不重复</v>
      </c>
    </row>
    <row r="695" spans="1:12" ht="15">
      <c r="A695" s="35" t="s">
        <v>11105</v>
      </c>
      <c r="B695" s="35" t="s">
        <v>2170</v>
      </c>
      <c r="C695" s="36" t="s">
        <v>2171</v>
      </c>
      <c r="D695" s="35" t="s">
        <v>2172</v>
      </c>
      <c r="E695" s="35" t="s">
        <v>11099</v>
      </c>
      <c r="F695" s="35" t="s">
        <v>10998</v>
      </c>
      <c r="G695" s="35">
        <v>222132</v>
      </c>
      <c r="H695" s="35">
        <v>270110</v>
      </c>
      <c r="I695" s="35">
        <v>200006</v>
      </c>
      <c r="J695" s="34"/>
      <c r="K695" s="34" t="str">
        <f t="shared" si="22"/>
        <v>不重复</v>
      </c>
      <c r="L695" s="34" t="str">
        <f t="shared" si="24"/>
        <v>重复</v>
      </c>
    </row>
    <row r="696" spans="1:12" ht="15">
      <c r="A696" s="35" t="s">
        <v>11106</v>
      </c>
      <c r="B696" s="35" t="s">
        <v>2173</v>
      </c>
      <c r="C696" s="36" t="s">
        <v>2063</v>
      </c>
      <c r="D696" s="35" t="s">
        <v>2174</v>
      </c>
      <c r="E696" s="35" t="s">
        <v>11099</v>
      </c>
      <c r="F696" s="35" t="s">
        <v>10998</v>
      </c>
      <c r="G696" s="35">
        <v>222106</v>
      </c>
      <c r="H696" s="35">
        <v>270110</v>
      </c>
      <c r="I696" s="35">
        <v>200006</v>
      </c>
      <c r="J696" s="34" t="s">
        <v>2122</v>
      </c>
      <c r="K696" s="34" t="str">
        <f t="shared" si="22"/>
        <v>重复</v>
      </c>
      <c r="L696" s="34" t="str">
        <f t="shared" si="24"/>
        <v>重复</v>
      </c>
    </row>
    <row r="697" spans="1:12" ht="15">
      <c r="A697" s="35" t="s">
        <v>11107</v>
      </c>
      <c r="B697" s="35" t="s">
        <v>2175</v>
      </c>
      <c r="C697" s="36" t="s">
        <v>819</v>
      </c>
      <c r="D697" s="35" t="s">
        <v>2176</v>
      </c>
      <c r="E697" s="35" t="s">
        <v>11099</v>
      </c>
      <c r="F697" s="35" t="s">
        <v>10998</v>
      </c>
      <c r="G697" s="35">
        <v>222107</v>
      </c>
      <c r="H697" s="35">
        <v>270110</v>
      </c>
      <c r="I697" s="35">
        <v>200006</v>
      </c>
      <c r="J697" s="34" t="s">
        <v>2177</v>
      </c>
      <c r="K697" s="34" t="str">
        <f t="shared" si="22"/>
        <v>重复</v>
      </c>
      <c r="L697" s="34" t="str">
        <f t="shared" si="24"/>
        <v>不重复</v>
      </c>
    </row>
    <row r="698" spans="1:12" ht="27">
      <c r="A698" s="35" t="s">
        <v>11108</v>
      </c>
      <c r="B698" s="35" t="s">
        <v>2178</v>
      </c>
      <c r="C698" s="36" t="s">
        <v>2179</v>
      </c>
      <c r="D698" s="35" t="s">
        <v>2180</v>
      </c>
      <c r="E698" s="35" t="s">
        <v>11099</v>
      </c>
      <c r="F698" s="35" t="s">
        <v>10998</v>
      </c>
      <c r="G698" s="35">
        <v>222108</v>
      </c>
      <c r="H698" s="35">
        <v>270110</v>
      </c>
      <c r="I698" s="35">
        <v>200006</v>
      </c>
      <c r="J698" s="34" t="s">
        <v>2181</v>
      </c>
      <c r="K698" s="34" t="str">
        <f t="shared" si="22"/>
        <v>不重复</v>
      </c>
      <c r="L698" s="34" t="str">
        <f t="shared" si="24"/>
        <v>不重复</v>
      </c>
    </row>
    <row r="699" spans="1:12" ht="27">
      <c r="A699" s="35" t="s">
        <v>11109</v>
      </c>
      <c r="B699" s="35" t="s">
        <v>2182</v>
      </c>
      <c r="C699" s="36" t="s">
        <v>2183</v>
      </c>
      <c r="D699" s="35" t="s">
        <v>2184</v>
      </c>
      <c r="E699" s="35" t="s">
        <v>11099</v>
      </c>
      <c r="F699" s="35" t="s">
        <v>10998</v>
      </c>
      <c r="G699" s="35">
        <v>222109</v>
      </c>
      <c r="H699" s="35">
        <v>270110</v>
      </c>
      <c r="I699" s="35">
        <v>200006</v>
      </c>
      <c r="J699" s="34" t="s">
        <v>2185</v>
      </c>
      <c r="K699" s="34" t="str">
        <f t="shared" si="22"/>
        <v>不重复</v>
      </c>
      <c r="L699" s="34" t="str">
        <f t="shared" si="24"/>
        <v>不重复</v>
      </c>
    </row>
    <row r="700" spans="1:12" ht="27">
      <c r="A700" s="35" t="s">
        <v>11110</v>
      </c>
      <c r="B700" s="35" t="s">
        <v>2186</v>
      </c>
      <c r="C700" s="36" t="s">
        <v>2187</v>
      </c>
      <c r="D700" s="35" t="s">
        <v>2188</v>
      </c>
      <c r="E700" s="35" t="s">
        <v>11099</v>
      </c>
      <c r="F700" s="35" t="s">
        <v>10998</v>
      </c>
      <c r="G700" s="35">
        <v>222110</v>
      </c>
      <c r="H700" s="35">
        <v>270110</v>
      </c>
      <c r="I700" s="35">
        <v>200006</v>
      </c>
      <c r="J700" s="34" t="s">
        <v>422</v>
      </c>
      <c r="K700" s="34" t="str">
        <f t="shared" si="22"/>
        <v>重复</v>
      </c>
      <c r="L700" s="34" t="str">
        <f t="shared" si="24"/>
        <v>不重复</v>
      </c>
    </row>
    <row r="701" spans="1:12" ht="15">
      <c r="A701" s="35" t="s">
        <v>11111</v>
      </c>
      <c r="B701" s="35" t="s">
        <v>2189</v>
      </c>
      <c r="C701" s="36" t="s">
        <v>2190</v>
      </c>
      <c r="D701" s="35" t="s">
        <v>2191</v>
      </c>
      <c r="E701" s="35" t="s">
        <v>11099</v>
      </c>
      <c r="F701" s="35" t="s">
        <v>10998</v>
      </c>
      <c r="G701" s="35">
        <v>222111</v>
      </c>
      <c r="H701" s="35">
        <v>270110</v>
      </c>
      <c r="I701" s="35">
        <v>200006</v>
      </c>
      <c r="J701" s="34" t="s">
        <v>715</v>
      </c>
      <c r="K701" s="34" t="str">
        <f t="shared" si="22"/>
        <v>不重复</v>
      </c>
      <c r="L701" s="34" t="str">
        <f t="shared" si="24"/>
        <v>不重复</v>
      </c>
    </row>
    <row r="702" spans="1:12" ht="15">
      <c r="A702" s="35" t="s">
        <v>11112</v>
      </c>
      <c r="B702" s="35" t="s">
        <v>2192</v>
      </c>
      <c r="C702" s="36" t="s">
        <v>2193</v>
      </c>
      <c r="D702" s="35" t="s">
        <v>2194</v>
      </c>
      <c r="E702" s="35" t="s">
        <v>11099</v>
      </c>
      <c r="F702" s="35" t="s">
        <v>10998</v>
      </c>
      <c r="G702" s="35">
        <v>222112</v>
      </c>
      <c r="H702" s="35">
        <v>270110</v>
      </c>
      <c r="I702" s="35">
        <v>200006</v>
      </c>
      <c r="J702" s="34" t="s">
        <v>2003</v>
      </c>
      <c r="K702" s="34" t="str">
        <f t="shared" si="22"/>
        <v>重复</v>
      </c>
      <c r="L702" s="34" t="str">
        <f t="shared" si="24"/>
        <v>不重复</v>
      </c>
    </row>
    <row r="703" spans="1:12" ht="15">
      <c r="A703" s="35" t="s">
        <v>11113</v>
      </c>
      <c r="B703" s="35" t="s">
        <v>2195</v>
      </c>
      <c r="C703" s="36" t="s">
        <v>2196</v>
      </c>
      <c r="D703" s="35" t="s">
        <v>2197</v>
      </c>
      <c r="E703" s="35" t="s">
        <v>11099</v>
      </c>
      <c r="F703" s="35" t="s">
        <v>10998</v>
      </c>
      <c r="G703" s="35">
        <v>222113</v>
      </c>
      <c r="H703" s="35">
        <v>270110</v>
      </c>
      <c r="I703" s="35">
        <v>200006</v>
      </c>
      <c r="J703" s="34" t="s">
        <v>137</v>
      </c>
      <c r="K703" s="34" t="str">
        <f t="shared" si="22"/>
        <v>重复</v>
      </c>
      <c r="L703" s="34" t="str">
        <f t="shared" si="24"/>
        <v>不重复</v>
      </c>
    </row>
    <row r="704" spans="1:12" ht="15">
      <c r="A704" s="35" t="s">
        <v>11114</v>
      </c>
      <c r="B704" s="35" t="s">
        <v>2198</v>
      </c>
      <c r="C704" s="36" t="s">
        <v>106</v>
      </c>
      <c r="D704" s="35" t="s">
        <v>2199</v>
      </c>
      <c r="E704" s="35" t="s">
        <v>11099</v>
      </c>
      <c r="F704" s="35" t="s">
        <v>10998</v>
      </c>
      <c r="G704" s="35">
        <v>222114</v>
      </c>
      <c r="H704" s="35">
        <v>270110</v>
      </c>
      <c r="I704" s="35">
        <v>200006</v>
      </c>
      <c r="J704" s="34" t="s">
        <v>508</v>
      </c>
      <c r="K704" s="34" t="str">
        <f t="shared" si="22"/>
        <v>重复</v>
      </c>
      <c r="L704" s="34" t="str">
        <f t="shared" si="24"/>
        <v>重复</v>
      </c>
    </row>
    <row r="705" spans="1:12" ht="30">
      <c r="A705" s="35" t="s">
        <v>11115</v>
      </c>
      <c r="B705" s="35" t="s">
        <v>2200</v>
      </c>
      <c r="C705" s="36" t="s">
        <v>2201</v>
      </c>
      <c r="D705" s="35" t="s">
        <v>2202</v>
      </c>
      <c r="E705" s="35" t="s">
        <v>11099</v>
      </c>
      <c r="F705" s="35" t="s">
        <v>10998</v>
      </c>
      <c r="G705" s="35">
        <v>222115</v>
      </c>
      <c r="H705" s="35">
        <v>270110</v>
      </c>
      <c r="I705" s="35">
        <v>200006</v>
      </c>
      <c r="J705" s="34" t="s">
        <v>2122</v>
      </c>
      <c r="K705" s="34" t="str">
        <f t="shared" si="22"/>
        <v>重复</v>
      </c>
      <c r="L705" s="34" t="str">
        <f t="shared" si="24"/>
        <v>不重复</v>
      </c>
    </row>
    <row r="706" spans="1:12" ht="27">
      <c r="A706" s="35" t="s">
        <v>11116</v>
      </c>
      <c r="B706" s="35" t="s">
        <v>2203</v>
      </c>
      <c r="C706" s="36" t="s">
        <v>2204</v>
      </c>
      <c r="D706" s="35" t="s">
        <v>2205</v>
      </c>
      <c r="E706" s="35" t="s">
        <v>11099</v>
      </c>
      <c r="F706" s="35" t="s">
        <v>10998</v>
      </c>
      <c r="G706" s="35">
        <v>222116</v>
      </c>
      <c r="H706" s="35">
        <v>270110</v>
      </c>
      <c r="I706" s="35">
        <v>200006</v>
      </c>
      <c r="J706" s="34" t="s">
        <v>363</v>
      </c>
      <c r="K706" s="34" t="str">
        <f t="shared" si="22"/>
        <v>不重复</v>
      </c>
      <c r="L706" s="34" t="str">
        <f t="shared" si="24"/>
        <v>重复</v>
      </c>
    </row>
    <row r="707" spans="1:12" ht="15">
      <c r="A707" s="35" t="s">
        <v>11117</v>
      </c>
      <c r="B707" s="35" t="s">
        <v>2206</v>
      </c>
      <c r="C707" s="36" t="s">
        <v>2207</v>
      </c>
      <c r="D707" s="35" t="s">
        <v>2205</v>
      </c>
      <c r="E707" s="35" t="s">
        <v>11099</v>
      </c>
      <c r="F707" s="35" t="s">
        <v>10998</v>
      </c>
      <c r="G707" s="35">
        <v>222117</v>
      </c>
      <c r="H707" s="35">
        <v>270110</v>
      </c>
      <c r="I707" s="35">
        <v>200006</v>
      </c>
      <c r="J707" s="34" t="s">
        <v>288</v>
      </c>
      <c r="K707" s="34" t="str">
        <f t="shared" si="22"/>
        <v>不重复</v>
      </c>
      <c r="L707" s="34" t="str">
        <f t="shared" si="24"/>
        <v>重复</v>
      </c>
    </row>
    <row r="708" spans="1:12" ht="27">
      <c r="A708" s="35" t="s">
        <v>11118</v>
      </c>
      <c r="B708" s="35" t="s">
        <v>2208</v>
      </c>
      <c r="C708" s="36" t="s">
        <v>154</v>
      </c>
      <c r="D708" s="35" t="s">
        <v>2209</v>
      </c>
      <c r="E708" s="35" t="s">
        <v>11099</v>
      </c>
      <c r="F708" s="35" t="s">
        <v>10998</v>
      </c>
      <c r="G708" s="35">
        <v>222118</v>
      </c>
      <c r="H708" s="35">
        <v>270110</v>
      </c>
      <c r="I708" s="35">
        <v>200006</v>
      </c>
      <c r="J708" s="34" t="s">
        <v>508</v>
      </c>
      <c r="K708" s="34" t="str">
        <f t="shared" si="22"/>
        <v>重复</v>
      </c>
      <c r="L708" s="34" t="str">
        <f t="shared" si="24"/>
        <v>不重复</v>
      </c>
    </row>
    <row r="709" spans="1:12" ht="15">
      <c r="A709" s="35" t="s">
        <v>11119</v>
      </c>
      <c r="B709" s="35" t="s">
        <v>2210</v>
      </c>
      <c r="C709" s="36" t="s">
        <v>2211</v>
      </c>
      <c r="D709" s="35" t="s">
        <v>2212</v>
      </c>
      <c r="E709" s="35" t="s">
        <v>11099</v>
      </c>
      <c r="F709" s="35" t="s">
        <v>10998</v>
      </c>
      <c r="G709" s="35">
        <v>222119</v>
      </c>
      <c r="H709" s="35">
        <v>270110</v>
      </c>
      <c r="I709" s="35">
        <v>200006</v>
      </c>
      <c r="J709" s="34" t="s">
        <v>605</v>
      </c>
      <c r="K709" s="34" t="str">
        <f t="shared" si="22"/>
        <v>不重复</v>
      </c>
      <c r="L709" s="34" t="str">
        <f t="shared" si="24"/>
        <v>不重复</v>
      </c>
    </row>
    <row r="710" spans="1:12" ht="27">
      <c r="A710" s="35" t="s">
        <v>11120</v>
      </c>
      <c r="B710" s="35" t="s">
        <v>2213</v>
      </c>
      <c r="C710" s="36" t="s">
        <v>2214</v>
      </c>
      <c r="D710" s="35" t="s">
        <v>2215</v>
      </c>
      <c r="E710" s="35" t="s">
        <v>11099</v>
      </c>
      <c r="F710" s="35" t="s">
        <v>10998</v>
      </c>
      <c r="G710" s="35">
        <v>222120</v>
      </c>
      <c r="H710" s="35">
        <v>270110</v>
      </c>
      <c r="I710" s="35">
        <v>200006</v>
      </c>
      <c r="J710" s="34" t="s">
        <v>2122</v>
      </c>
      <c r="K710" s="34" t="str">
        <f t="shared" si="22"/>
        <v>重复</v>
      </c>
      <c r="L710" s="34" t="str">
        <f t="shared" si="24"/>
        <v>不重复</v>
      </c>
    </row>
    <row r="711" spans="1:12" ht="27">
      <c r="A711" s="35" t="s">
        <v>11121</v>
      </c>
      <c r="B711" s="35" t="s">
        <v>2216</v>
      </c>
      <c r="C711" s="36" t="s">
        <v>2217</v>
      </c>
      <c r="D711" s="35" t="s">
        <v>2218</v>
      </c>
      <c r="E711" s="35" t="s">
        <v>11099</v>
      </c>
      <c r="F711" s="35" t="s">
        <v>10998</v>
      </c>
      <c r="G711" s="35">
        <v>222121</v>
      </c>
      <c r="H711" s="35">
        <v>270110</v>
      </c>
      <c r="I711" s="35">
        <v>200006</v>
      </c>
      <c r="J711" s="34" t="s">
        <v>2219</v>
      </c>
      <c r="K711" s="34" t="str">
        <f t="shared" si="22"/>
        <v>重复</v>
      </c>
      <c r="L711" s="34" t="str">
        <f t="shared" si="24"/>
        <v>不重复</v>
      </c>
    </row>
    <row r="712" spans="1:12" ht="15">
      <c r="A712" s="35" t="s">
        <v>11122</v>
      </c>
      <c r="B712" s="35" t="s">
        <v>2220</v>
      </c>
      <c r="C712" s="36" t="s">
        <v>411</v>
      </c>
      <c r="D712" s="35" t="s">
        <v>2221</v>
      </c>
      <c r="E712" s="35" t="s">
        <v>11099</v>
      </c>
      <c r="F712" s="35" t="s">
        <v>10998</v>
      </c>
      <c r="G712" s="35">
        <v>222122</v>
      </c>
      <c r="H712" s="35">
        <v>270110</v>
      </c>
      <c r="I712" s="35">
        <v>200006</v>
      </c>
      <c r="J712" s="34" t="s">
        <v>363</v>
      </c>
      <c r="K712" s="34" t="str">
        <f t="shared" si="22"/>
        <v>重复</v>
      </c>
      <c r="L712" s="34" t="str">
        <f t="shared" si="24"/>
        <v>不重复</v>
      </c>
    </row>
    <row r="713" spans="1:12" ht="30">
      <c r="A713" s="35" t="s">
        <v>11123</v>
      </c>
      <c r="B713" s="35" t="s">
        <v>2222</v>
      </c>
      <c r="C713" s="36" t="s">
        <v>2223</v>
      </c>
      <c r="D713" s="35" t="s">
        <v>2224</v>
      </c>
      <c r="E713" s="35" t="s">
        <v>11099</v>
      </c>
      <c r="F713" s="35" t="s">
        <v>10998</v>
      </c>
      <c r="G713" s="35">
        <v>222123</v>
      </c>
      <c r="H713" s="35">
        <v>270110</v>
      </c>
      <c r="I713" s="35">
        <v>200006</v>
      </c>
      <c r="J713" s="34" t="s">
        <v>288</v>
      </c>
      <c r="K713" s="34" t="str">
        <f t="shared" si="22"/>
        <v>重复</v>
      </c>
      <c r="L713" s="34" t="str">
        <f t="shared" si="24"/>
        <v>不重复</v>
      </c>
    </row>
    <row r="714" spans="1:12" ht="15">
      <c r="A714" s="35" t="s">
        <v>11124</v>
      </c>
      <c r="B714" s="35" t="s">
        <v>2225</v>
      </c>
      <c r="C714" s="36" t="s">
        <v>2226</v>
      </c>
      <c r="D714" s="35" t="s">
        <v>2227</v>
      </c>
      <c r="E714" s="35" t="s">
        <v>11099</v>
      </c>
      <c r="F714" s="35" t="s">
        <v>10998</v>
      </c>
      <c r="G714" s="35">
        <v>222124</v>
      </c>
      <c r="H714" s="35">
        <v>270110</v>
      </c>
      <c r="I714" s="35">
        <v>200006</v>
      </c>
      <c r="J714" s="34" t="s">
        <v>2228</v>
      </c>
      <c r="K714" s="34" t="str">
        <f t="shared" si="22"/>
        <v>不重复</v>
      </c>
      <c r="L714" s="34" t="str">
        <f t="shared" si="24"/>
        <v>不重复</v>
      </c>
    </row>
    <row r="715" spans="1:12" ht="15">
      <c r="A715" s="35" t="s">
        <v>11125</v>
      </c>
      <c r="B715" s="35" t="s">
        <v>2229</v>
      </c>
      <c r="C715" s="36" t="s">
        <v>2230</v>
      </c>
      <c r="D715" s="35" t="s">
        <v>2231</v>
      </c>
      <c r="E715" s="35" t="s">
        <v>11099</v>
      </c>
      <c r="F715" s="35" t="s">
        <v>10998</v>
      </c>
      <c r="G715" s="35">
        <v>222125</v>
      </c>
      <c r="H715" s="35">
        <v>270110</v>
      </c>
      <c r="I715" s="35">
        <v>200006</v>
      </c>
      <c r="J715" s="34" t="s">
        <v>508</v>
      </c>
      <c r="K715" s="34" t="str">
        <f t="shared" si="22"/>
        <v>重复</v>
      </c>
      <c r="L715" s="34" t="str">
        <f t="shared" si="24"/>
        <v>不重复</v>
      </c>
    </row>
    <row r="716" spans="1:12" ht="15">
      <c r="A716" s="35" t="s">
        <v>11126</v>
      </c>
      <c r="B716" s="35" t="s">
        <v>2232</v>
      </c>
      <c r="C716" s="36" t="s">
        <v>2233</v>
      </c>
      <c r="D716" s="35" t="s">
        <v>2234</v>
      </c>
      <c r="E716" s="35" t="s">
        <v>11099</v>
      </c>
      <c r="F716" s="35" t="s">
        <v>10998</v>
      </c>
      <c r="G716" s="35">
        <v>222126</v>
      </c>
      <c r="H716" s="35">
        <v>270110</v>
      </c>
      <c r="I716" s="35">
        <v>200006</v>
      </c>
      <c r="J716" s="34" t="s">
        <v>715</v>
      </c>
      <c r="K716" s="34" t="str">
        <f t="shared" si="22"/>
        <v>不重复</v>
      </c>
      <c r="L716" s="34" t="str">
        <f t="shared" si="24"/>
        <v>不重复</v>
      </c>
    </row>
    <row r="717" spans="1:12" ht="30">
      <c r="A717" s="35" t="s">
        <v>11127</v>
      </c>
      <c r="B717" s="35" t="s">
        <v>2235</v>
      </c>
      <c r="C717" s="36" t="s">
        <v>2201</v>
      </c>
      <c r="D717" s="35" t="s">
        <v>2236</v>
      </c>
      <c r="E717" s="35" t="s">
        <v>11099</v>
      </c>
      <c r="F717" s="35" t="s">
        <v>10998</v>
      </c>
      <c r="G717" s="35">
        <v>222127</v>
      </c>
      <c r="H717" s="35">
        <v>270110</v>
      </c>
      <c r="I717" s="35">
        <v>200006</v>
      </c>
      <c r="J717" s="34" t="s">
        <v>288</v>
      </c>
      <c r="K717" s="34" t="str">
        <f t="shared" si="22"/>
        <v>重复</v>
      </c>
      <c r="L717" s="34" t="str">
        <f t="shared" si="24"/>
        <v>不重复</v>
      </c>
    </row>
    <row r="718" spans="1:12" ht="27">
      <c r="A718" s="35" t="s">
        <v>11128</v>
      </c>
      <c r="B718" s="35" t="s">
        <v>2237</v>
      </c>
      <c r="C718" s="36" t="s">
        <v>2238</v>
      </c>
      <c r="D718" s="35" t="s">
        <v>2239</v>
      </c>
      <c r="E718" s="35" t="s">
        <v>11099</v>
      </c>
      <c r="F718" s="35" t="s">
        <v>10998</v>
      </c>
      <c r="G718" s="35">
        <v>222128</v>
      </c>
      <c r="H718" s="35">
        <v>270110</v>
      </c>
      <c r="I718" s="35">
        <v>200006</v>
      </c>
      <c r="J718" s="34" t="s">
        <v>2240</v>
      </c>
      <c r="K718" s="34" t="str">
        <f t="shared" si="22"/>
        <v>重复</v>
      </c>
      <c r="L718" s="34" t="str">
        <f t="shared" si="24"/>
        <v>不重复</v>
      </c>
    </row>
    <row r="719" spans="1:12" ht="30">
      <c r="A719" s="35" t="s">
        <v>11129</v>
      </c>
      <c r="B719" s="35" t="s">
        <v>2241</v>
      </c>
      <c r="C719" s="36" t="s">
        <v>2242</v>
      </c>
      <c r="D719" s="35" t="s">
        <v>2243</v>
      </c>
      <c r="E719" s="35" t="s">
        <v>11099</v>
      </c>
      <c r="F719" s="35" t="s">
        <v>10998</v>
      </c>
      <c r="G719" s="35">
        <v>222129</v>
      </c>
      <c r="H719" s="35">
        <v>270110</v>
      </c>
      <c r="I719" s="35">
        <v>200006</v>
      </c>
      <c r="J719" s="34" t="s">
        <v>962</v>
      </c>
      <c r="K719" s="34" t="str">
        <f t="shared" si="22"/>
        <v>不重复</v>
      </c>
      <c r="L719" s="34" t="str">
        <f t="shared" si="24"/>
        <v>不重复</v>
      </c>
    </row>
    <row r="720" spans="1:12" ht="30">
      <c r="A720" s="35" t="s">
        <v>11130</v>
      </c>
      <c r="B720" s="35" t="s">
        <v>2244</v>
      </c>
      <c r="C720" s="36" t="s">
        <v>2245</v>
      </c>
      <c r="D720" s="35" t="s">
        <v>2246</v>
      </c>
      <c r="E720" s="35" t="s">
        <v>11099</v>
      </c>
      <c r="F720" s="35" t="s">
        <v>10998</v>
      </c>
      <c r="G720" s="35">
        <v>222130</v>
      </c>
      <c r="H720" s="35">
        <v>270110</v>
      </c>
      <c r="I720" s="35">
        <v>200006</v>
      </c>
      <c r="J720" s="34" t="s">
        <v>557</v>
      </c>
      <c r="K720" s="34" t="str">
        <f t="shared" si="22"/>
        <v>重复</v>
      </c>
      <c r="L720" s="34" t="str">
        <f t="shared" si="24"/>
        <v>不重复</v>
      </c>
    </row>
    <row r="721" spans="1:12" ht="15">
      <c r="A721" s="35" t="s">
        <v>11131</v>
      </c>
      <c r="B721" s="35" t="s">
        <v>2247</v>
      </c>
      <c r="C721" s="36" t="s">
        <v>2248</v>
      </c>
      <c r="D721" s="35" t="s">
        <v>2249</v>
      </c>
      <c r="E721" s="35" t="s">
        <v>11099</v>
      </c>
      <c r="F721" s="35" t="s">
        <v>10998</v>
      </c>
      <c r="G721" s="35">
        <v>222131</v>
      </c>
      <c r="H721" s="35">
        <v>270110</v>
      </c>
      <c r="I721" s="35">
        <v>200006</v>
      </c>
      <c r="J721" s="34" t="s">
        <v>508</v>
      </c>
      <c r="K721" s="34" t="str">
        <f t="shared" si="22"/>
        <v>不重复</v>
      </c>
      <c r="L721" s="34" t="str">
        <f t="shared" si="24"/>
        <v>不重复</v>
      </c>
    </row>
    <row r="722" spans="1:12" ht="15">
      <c r="A722" s="35" t="s">
        <v>11132</v>
      </c>
      <c r="B722" s="35" t="s">
        <v>2250</v>
      </c>
      <c r="C722" s="36" t="s">
        <v>2251</v>
      </c>
      <c r="D722" s="35" t="s">
        <v>2252</v>
      </c>
      <c r="E722" s="35" t="s">
        <v>11132</v>
      </c>
      <c r="F722" s="35" t="s">
        <v>10998</v>
      </c>
      <c r="G722" s="35">
        <v>222220</v>
      </c>
      <c r="H722" s="35">
        <v>270120</v>
      </c>
      <c r="I722" s="35">
        <v>200006</v>
      </c>
      <c r="J722" s="34" t="s">
        <v>16</v>
      </c>
      <c r="K722" s="34" t="str">
        <f t="shared" si="22"/>
        <v>重复</v>
      </c>
      <c r="L722" s="34" t="str">
        <f t="shared" si="24"/>
        <v>重复</v>
      </c>
    </row>
    <row r="723" spans="1:12" ht="15">
      <c r="A723" s="35" t="s">
        <v>11133</v>
      </c>
      <c r="B723" s="35" t="s">
        <v>2253</v>
      </c>
      <c r="C723" s="36" t="s">
        <v>2254</v>
      </c>
      <c r="D723" s="35" t="s">
        <v>2255</v>
      </c>
      <c r="E723" s="35" t="s">
        <v>11133</v>
      </c>
      <c r="F723" s="35" t="s">
        <v>10998</v>
      </c>
      <c r="G723" s="35">
        <v>222300</v>
      </c>
      <c r="H723" s="35">
        <v>270120</v>
      </c>
      <c r="I723" s="35">
        <v>200006</v>
      </c>
      <c r="J723" s="34" t="s">
        <v>16</v>
      </c>
      <c r="K723" s="34" t="str">
        <f t="shared" si="22"/>
        <v>重复</v>
      </c>
      <c r="L723" s="34" t="str">
        <f t="shared" si="24"/>
        <v>重复</v>
      </c>
    </row>
    <row r="724" spans="1:12" ht="15">
      <c r="A724" s="35" t="s">
        <v>11134</v>
      </c>
      <c r="B724" s="35" t="s">
        <v>2256</v>
      </c>
      <c r="C724" s="36" t="s">
        <v>2138</v>
      </c>
      <c r="D724" s="35" t="s">
        <v>2257</v>
      </c>
      <c r="E724" s="35" t="s">
        <v>11134</v>
      </c>
      <c r="F724" s="35" t="s">
        <v>10998</v>
      </c>
      <c r="G724" s="35">
        <v>222400</v>
      </c>
      <c r="H724" s="35">
        <v>270130</v>
      </c>
      <c r="I724" s="35">
        <v>200006</v>
      </c>
      <c r="J724" s="34" t="s">
        <v>16</v>
      </c>
      <c r="K724" s="34" t="str">
        <f t="shared" si="22"/>
        <v>重复</v>
      </c>
      <c r="L724" s="34" t="str">
        <f t="shared" si="24"/>
        <v>不重复</v>
      </c>
    </row>
    <row r="725" spans="1:12" ht="15">
      <c r="A725" s="35" t="s">
        <v>11135</v>
      </c>
      <c r="B725" s="35" t="s">
        <v>2258</v>
      </c>
      <c r="C725" s="36" t="s">
        <v>2153</v>
      </c>
      <c r="D725" s="35" t="s">
        <v>2259</v>
      </c>
      <c r="E725" s="35" t="s">
        <v>11135</v>
      </c>
      <c r="F725" s="35" t="s">
        <v>10998</v>
      </c>
      <c r="G725" s="35">
        <v>222500</v>
      </c>
      <c r="H725" s="35">
        <v>270140</v>
      </c>
      <c r="I725" s="35">
        <v>200006</v>
      </c>
      <c r="J725" s="34" t="s">
        <v>16</v>
      </c>
      <c r="K725" s="34" t="str">
        <f t="shared" si="22"/>
        <v>重复</v>
      </c>
      <c r="L725" s="34" t="str">
        <f t="shared" si="24"/>
        <v>不重复</v>
      </c>
    </row>
    <row r="726" spans="1:12" ht="15">
      <c r="A726" s="35" t="s">
        <v>11136</v>
      </c>
      <c r="B726" s="35" t="s">
        <v>2137</v>
      </c>
      <c r="C726" s="36" t="s">
        <v>2260</v>
      </c>
      <c r="D726" s="35" t="s">
        <v>2139</v>
      </c>
      <c r="E726" s="35" t="s">
        <v>11136</v>
      </c>
      <c r="F726" s="35" t="s">
        <v>10998</v>
      </c>
      <c r="G726" s="35">
        <v>222600</v>
      </c>
      <c r="H726" s="35">
        <v>270150</v>
      </c>
      <c r="I726" s="35">
        <v>200006</v>
      </c>
      <c r="J726" s="34" t="s">
        <v>16</v>
      </c>
      <c r="K726" s="34" t="str">
        <f t="shared" si="25" ref="K726:K789">IF(COUNTIF(C:C,C726)&gt;=2,"重复","不重复")</f>
        <v>不重复</v>
      </c>
      <c r="L726" s="34" t="str">
        <f t="shared" si="24"/>
        <v>重复</v>
      </c>
    </row>
    <row r="727" spans="1:12" ht="15">
      <c r="A727" s="35" t="s">
        <v>11137</v>
      </c>
      <c r="B727" s="35" t="s">
        <v>2261</v>
      </c>
      <c r="C727" s="36" t="s">
        <v>2262</v>
      </c>
      <c r="D727" s="35" t="s">
        <v>2263</v>
      </c>
      <c r="E727" s="35" t="s">
        <v>11137</v>
      </c>
      <c r="F727" s="35" t="s">
        <v>10998</v>
      </c>
      <c r="G727" s="35">
        <v>222800</v>
      </c>
      <c r="H727" s="35">
        <v>270200</v>
      </c>
      <c r="I727" s="35">
        <v>200006</v>
      </c>
      <c r="J727" s="34"/>
      <c r="K727" s="34" t="str">
        <f t="shared" si="25"/>
        <v>不重复</v>
      </c>
      <c r="L727" s="34" t="str">
        <f t="shared" si="24"/>
        <v>不重复</v>
      </c>
    </row>
    <row r="728" spans="1:12" ht="15">
      <c r="A728" s="35" t="s">
        <v>11138</v>
      </c>
      <c r="B728" s="35" t="s">
        <v>2264</v>
      </c>
      <c r="C728" s="36" t="s">
        <v>2265</v>
      </c>
      <c r="D728" s="35" t="s">
        <v>2266</v>
      </c>
      <c r="E728" s="35" t="s">
        <v>11138</v>
      </c>
      <c r="F728" s="35" t="s">
        <v>10998</v>
      </c>
      <c r="G728" s="35">
        <v>222700</v>
      </c>
      <c r="H728" s="35">
        <v>270180</v>
      </c>
      <c r="I728" s="35">
        <v>200006</v>
      </c>
      <c r="J728" s="34"/>
      <c r="K728" s="34" t="str">
        <f t="shared" si="25"/>
        <v>不重复</v>
      </c>
      <c r="L728" s="34" t="str">
        <f t="shared" si="24"/>
        <v>不重复</v>
      </c>
    </row>
    <row r="729" spans="1:12" ht="15">
      <c r="A729" s="35" t="s">
        <v>11139</v>
      </c>
      <c r="B729" s="35" t="s">
        <v>2267</v>
      </c>
      <c r="C729" s="36" t="s">
        <v>2268</v>
      </c>
      <c r="D729" s="35" t="s">
        <v>2269</v>
      </c>
      <c r="E729" s="35" t="s">
        <v>11138</v>
      </c>
      <c r="F729" s="35" t="s">
        <v>10998</v>
      </c>
      <c r="G729" s="35">
        <v>222700</v>
      </c>
      <c r="H729" s="35">
        <v>270180</v>
      </c>
      <c r="I729" s="35">
        <v>200006</v>
      </c>
      <c r="J729" s="34"/>
      <c r="K729" s="34" t="str">
        <f t="shared" si="25"/>
        <v>不重复</v>
      </c>
      <c r="L729" s="34" t="str">
        <f t="shared" si="24"/>
        <v>不重复</v>
      </c>
    </row>
    <row r="730" spans="1:12" ht="15">
      <c r="A730" s="35" t="s">
        <v>11140</v>
      </c>
      <c r="B730" s="35" t="s">
        <v>2270</v>
      </c>
      <c r="C730" s="36" t="s">
        <v>780</v>
      </c>
      <c r="D730" s="35" t="s">
        <v>2271</v>
      </c>
      <c r="E730" s="35" t="s">
        <v>11140</v>
      </c>
      <c r="F730" s="35" t="s">
        <v>10998</v>
      </c>
      <c r="G730" s="35">
        <v>230100</v>
      </c>
      <c r="H730" s="35">
        <v>270160</v>
      </c>
      <c r="I730" s="35">
        <v>200006</v>
      </c>
      <c r="J730" s="34" t="s">
        <v>16</v>
      </c>
      <c r="K730" s="34" t="str">
        <f t="shared" si="25"/>
        <v>重复</v>
      </c>
      <c r="L730" s="34" t="str">
        <f t="shared" si="24"/>
        <v>不重复</v>
      </c>
    </row>
    <row r="731" spans="1:12" ht="15">
      <c r="A731" s="35" t="s">
        <v>11141</v>
      </c>
      <c r="B731" s="35" t="s">
        <v>2272</v>
      </c>
      <c r="C731" s="36" t="s">
        <v>1148</v>
      </c>
      <c r="D731" s="35" t="s">
        <v>2273</v>
      </c>
      <c r="E731" s="35" t="s">
        <v>11141</v>
      </c>
      <c r="F731" s="35" t="s">
        <v>10998</v>
      </c>
      <c r="G731" s="35">
        <v>230200</v>
      </c>
      <c r="H731" s="35">
        <v>270170</v>
      </c>
      <c r="I731" s="35">
        <v>200006</v>
      </c>
      <c r="J731" s="34" t="s">
        <v>16</v>
      </c>
      <c r="K731" s="34" t="str">
        <f t="shared" si="25"/>
        <v>重复</v>
      </c>
      <c r="L731" s="34" t="str">
        <f t="shared" si="24"/>
        <v>不重复</v>
      </c>
    </row>
    <row r="732" spans="1:12" ht="15">
      <c r="A732" s="35" t="s">
        <v>11142</v>
      </c>
      <c r="B732" s="35" t="s">
        <v>2274</v>
      </c>
      <c r="C732" s="36" t="s">
        <v>2275</v>
      </c>
      <c r="D732" s="35" t="s">
        <v>2276</v>
      </c>
      <c r="E732" s="35" t="s">
        <v>11142</v>
      </c>
      <c r="F732" s="35" t="s">
        <v>11143</v>
      </c>
      <c r="G732" s="35">
        <v>240100</v>
      </c>
      <c r="H732" s="35">
        <v>280000</v>
      </c>
      <c r="I732" s="35">
        <v>200007</v>
      </c>
      <c r="J732" s="34" t="s">
        <v>16</v>
      </c>
      <c r="K732" s="34" t="str">
        <f t="shared" si="25"/>
        <v>重复</v>
      </c>
      <c r="L732" s="34" t="str">
        <f t="shared" si="24"/>
        <v>不重复</v>
      </c>
    </row>
    <row r="733" spans="1:12" ht="15">
      <c r="A733" s="35" t="s">
        <v>11144</v>
      </c>
      <c r="B733" s="35" t="s">
        <v>2277</v>
      </c>
      <c r="C733" s="36" t="s">
        <v>2275</v>
      </c>
      <c r="D733" s="35" t="s">
        <v>2278</v>
      </c>
      <c r="E733" s="35" t="s">
        <v>11142</v>
      </c>
      <c r="F733" s="35" t="s">
        <v>11143</v>
      </c>
      <c r="G733" s="35">
        <v>240101</v>
      </c>
      <c r="H733" s="35">
        <v>280000</v>
      </c>
      <c r="I733" s="35">
        <v>200007</v>
      </c>
      <c r="J733" s="34" t="s">
        <v>2279</v>
      </c>
      <c r="K733" s="34" t="str">
        <f t="shared" si="25"/>
        <v>重复</v>
      </c>
      <c r="L733" s="34" t="str">
        <f t="shared" si="24"/>
        <v>不重复</v>
      </c>
    </row>
    <row r="734" spans="1:12" ht="15">
      <c r="A734" s="35" t="s">
        <v>11145</v>
      </c>
      <c r="B734" s="35" t="s">
        <v>2280</v>
      </c>
      <c r="C734" s="36" t="s">
        <v>2281</v>
      </c>
      <c r="D734" s="35" t="s">
        <v>2282</v>
      </c>
      <c r="E734" s="35" t="s">
        <v>11145</v>
      </c>
      <c r="F734" s="35" t="s">
        <v>11143</v>
      </c>
      <c r="G734" s="35">
        <v>240200</v>
      </c>
      <c r="H734" s="35">
        <v>280010</v>
      </c>
      <c r="I734" s="35">
        <v>200007</v>
      </c>
      <c r="J734" s="34" t="s">
        <v>16</v>
      </c>
      <c r="K734" s="34" t="str">
        <f t="shared" si="25"/>
        <v>重复</v>
      </c>
      <c r="L734" s="34" t="str">
        <f t="shared" si="24"/>
        <v>不重复</v>
      </c>
    </row>
    <row r="735" spans="1:12" ht="15">
      <c r="A735" s="35" t="s">
        <v>11146</v>
      </c>
      <c r="B735" s="35" t="s">
        <v>2283</v>
      </c>
      <c r="C735" s="36" t="s">
        <v>2281</v>
      </c>
      <c r="D735" s="35" t="s">
        <v>2284</v>
      </c>
      <c r="E735" s="35" t="s">
        <v>11145</v>
      </c>
      <c r="F735" s="35" t="s">
        <v>11143</v>
      </c>
      <c r="G735" s="35">
        <v>240201</v>
      </c>
      <c r="H735" s="35">
        <v>280010</v>
      </c>
      <c r="I735" s="35">
        <v>200007</v>
      </c>
      <c r="J735" s="34" t="s">
        <v>363</v>
      </c>
      <c r="K735" s="34" t="str">
        <f t="shared" si="25"/>
        <v>重复</v>
      </c>
      <c r="L735" s="34" t="str">
        <f t="shared" si="24"/>
        <v>不重复</v>
      </c>
    </row>
    <row r="736" spans="1:12" ht="15">
      <c r="A736" s="35" t="s">
        <v>11147</v>
      </c>
      <c r="B736" s="35" t="s">
        <v>2285</v>
      </c>
      <c r="C736" s="36" t="s">
        <v>2286</v>
      </c>
      <c r="D736" s="35" t="s">
        <v>2287</v>
      </c>
      <c r="E736" s="35" t="s">
        <v>11147</v>
      </c>
      <c r="F736" s="35" t="s">
        <v>11143</v>
      </c>
      <c r="G736" s="35">
        <v>240300</v>
      </c>
      <c r="H736" s="35">
        <v>280020</v>
      </c>
      <c r="I736" s="35">
        <v>200007</v>
      </c>
      <c r="J736" s="34" t="s">
        <v>16</v>
      </c>
      <c r="K736" s="34" t="str">
        <f t="shared" si="25"/>
        <v>不重复</v>
      </c>
      <c r="L736" s="34" t="str">
        <f t="shared" si="24"/>
        <v>重复</v>
      </c>
    </row>
    <row r="737" spans="1:12" ht="15">
      <c r="A737" s="35" t="s">
        <v>11148</v>
      </c>
      <c r="B737" s="35" t="s">
        <v>2288</v>
      </c>
      <c r="C737" s="36" t="s">
        <v>819</v>
      </c>
      <c r="D737" s="35" t="s">
        <v>2289</v>
      </c>
      <c r="E737" s="35" t="s">
        <v>11147</v>
      </c>
      <c r="F737" s="35" t="s">
        <v>11143</v>
      </c>
      <c r="G737" s="35">
        <v>240301</v>
      </c>
      <c r="H737" s="35">
        <v>280020</v>
      </c>
      <c r="I737" s="35">
        <v>200007</v>
      </c>
      <c r="J737" s="34" t="s">
        <v>458</v>
      </c>
      <c r="K737" s="34" t="str">
        <f t="shared" si="25"/>
        <v>重复</v>
      </c>
      <c r="L737" s="34" t="str">
        <f t="shared" si="24"/>
        <v>不重复</v>
      </c>
    </row>
    <row r="738" spans="1:12" ht="15">
      <c r="A738" s="35" t="s">
        <v>11149</v>
      </c>
      <c r="B738" s="35" t="s">
        <v>2290</v>
      </c>
      <c r="C738" s="36" t="s">
        <v>2291</v>
      </c>
      <c r="D738" s="35" t="s">
        <v>2292</v>
      </c>
      <c r="E738" s="35" t="s">
        <v>11147</v>
      </c>
      <c r="F738" s="35" t="s">
        <v>11143</v>
      </c>
      <c r="G738" s="35">
        <v>240302</v>
      </c>
      <c r="H738" s="35">
        <v>280020</v>
      </c>
      <c r="I738" s="35">
        <v>200007</v>
      </c>
      <c r="J738" s="34" t="s">
        <v>2293</v>
      </c>
      <c r="K738" s="34" t="str">
        <f t="shared" si="25"/>
        <v>重复</v>
      </c>
      <c r="L738" s="34" t="str">
        <f t="shared" si="24"/>
        <v>不重复</v>
      </c>
    </row>
    <row r="739" spans="1:12" ht="15">
      <c r="A739" s="35" t="s">
        <v>11150</v>
      </c>
      <c r="B739" s="35" t="s">
        <v>2294</v>
      </c>
      <c r="C739" s="36" t="s">
        <v>2295</v>
      </c>
      <c r="D739" s="35" t="s">
        <v>2296</v>
      </c>
      <c r="E739" s="35" t="s">
        <v>11147</v>
      </c>
      <c r="F739" s="35" t="s">
        <v>11143</v>
      </c>
      <c r="G739" s="35">
        <v>240303</v>
      </c>
      <c r="H739" s="35">
        <v>280020</v>
      </c>
      <c r="I739" s="35">
        <v>200007</v>
      </c>
      <c r="J739" s="34" t="s">
        <v>2297</v>
      </c>
      <c r="K739" s="34" t="str">
        <f t="shared" si="25"/>
        <v>重复</v>
      </c>
      <c r="L739" s="34" t="str">
        <f t="shared" si="24"/>
        <v>不重复</v>
      </c>
    </row>
    <row r="740" spans="1:12" ht="15">
      <c r="A740" s="35" t="s">
        <v>11151</v>
      </c>
      <c r="B740" s="35" t="s">
        <v>2298</v>
      </c>
      <c r="C740" s="36" t="s">
        <v>2299</v>
      </c>
      <c r="D740" s="35" t="s">
        <v>2300</v>
      </c>
      <c r="E740" s="35" t="s">
        <v>11147</v>
      </c>
      <c r="F740" s="35" t="s">
        <v>11143</v>
      </c>
      <c r="G740" s="35">
        <v>240304</v>
      </c>
      <c r="H740" s="35">
        <v>280020</v>
      </c>
      <c r="I740" s="35">
        <v>200007</v>
      </c>
      <c r="J740" s="34" t="s">
        <v>2301</v>
      </c>
      <c r="K740" s="34" t="str">
        <f t="shared" si="25"/>
        <v>重复</v>
      </c>
      <c r="L740" s="34" t="str">
        <f t="shared" si="24"/>
        <v>不重复</v>
      </c>
    </row>
    <row r="741" spans="1:12" ht="27">
      <c r="A741" s="35" t="s">
        <v>11152</v>
      </c>
      <c r="B741" s="35" t="s">
        <v>2302</v>
      </c>
      <c r="C741" s="36" t="s">
        <v>2303</v>
      </c>
      <c r="D741" s="35" t="s">
        <v>2304</v>
      </c>
      <c r="E741" s="35" t="s">
        <v>11147</v>
      </c>
      <c r="F741" s="35" t="s">
        <v>11143</v>
      </c>
      <c r="G741" s="35">
        <v>240305</v>
      </c>
      <c r="H741" s="35">
        <v>280020</v>
      </c>
      <c r="I741" s="35">
        <v>200007</v>
      </c>
      <c r="J741" s="34" t="s">
        <v>2240</v>
      </c>
      <c r="K741" s="34" t="str">
        <f t="shared" si="25"/>
        <v>不重复</v>
      </c>
      <c r="L741" s="34" t="str">
        <f t="shared" si="24"/>
        <v>重复</v>
      </c>
    </row>
    <row r="742" spans="1:12" ht="27">
      <c r="A742" s="35" t="s">
        <v>11153</v>
      </c>
      <c r="B742" s="35" t="s">
        <v>2305</v>
      </c>
      <c r="C742" s="36" t="s">
        <v>2306</v>
      </c>
      <c r="D742" s="35" t="s">
        <v>2307</v>
      </c>
      <c r="E742" s="35" t="s">
        <v>11147</v>
      </c>
      <c r="F742" s="35" t="s">
        <v>11143</v>
      </c>
      <c r="G742" s="35">
        <v>240306</v>
      </c>
      <c r="H742" s="35">
        <v>280020</v>
      </c>
      <c r="I742" s="35">
        <v>200007</v>
      </c>
      <c r="J742" s="34" t="s">
        <v>353</v>
      </c>
      <c r="K742" s="34" t="str">
        <f t="shared" si="25"/>
        <v>重复</v>
      </c>
      <c r="L742" s="34" t="str">
        <f t="shared" si="24"/>
        <v>不重复</v>
      </c>
    </row>
    <row r="743" spans="1:12" ht="27">
      <c r="A743" s="35" t="s">
        <v>11154</v>
      </c>
      <c r="B743" s="35" t="s">
        <v>2308</v>
      </c>
      <c r="C743" s="36" t="s">
        <v>2309</v>
      </c>
      <c r="D743" s="35" t="s">
        <v>2310</v>
      </c>
      <c r="E743" s="35" t="s">
        <v>11147</v>
      </c>
      <c r="F743" s="35" t="s">
        <v>11143</v>
      </c>
      <c r="G743" s="35">
        <v>240307</v>
      </c>
      <c r="H743" s="35">
        <v>280020</v>
      </c>
      <c r="I743" s="35">
        <v>200007</v>
      </c>
      <c r="J743" s="34" t="s">
        <v>270</v>
      </c>
      <c r="K743" s="34" t="str">
        <f t="shared" si="25"/>
        <v>重复</v>
      </c>
      <c r="L743" s="34" t="str">
        <f t="shared" si="24"/>
        <v>重复</v>
      </c>
    </row>
    <row r="744" spans="1:12" ht="15">
      <c r="A744" s="35" t="s">
        <v>11155</v>
      </c>
      <c r="B744" s="35" t="s">
        <v>2311</v>
      </c>
      <c r="C744" s="36" t="s">
        <v>2312</v>
      </c>
      <c r="D744" s="35" t="s">
        <v>2313</v>
      </c>
      <c r="E744" s="35" t="s">
        <v>11147</v>
      </c>
      <c r="F744" s="35" t="s">
        <v>11143</v>
      </c>
      <c r="G744" s="35">
        <v>240308</v>
      </c>
      <c r="H744" s="35">
        <v>280020</v>
      </c>
      <c r="I744" s="35">
        <v>200007</v>
      </c>
      <c r="J744" s="34" t="s">
        <v>2219</v>
      </c>
      <c r="K744" s="34" t="str">
        <f t="shared" si="25"/>
        <v>重复</v>
      </c>
      <c r="L744" s="34" t="str">
        <f t="shared" si="24"/>
        <v>不重复</v>
      </c>
    </row>
    <row r="745" spans="1:12" ht="30">
      <c r="A745" s="35" t="s">
        <v>11156</v>
      </c>
      <c r="B745" s="35" t="s">
        <v>2314</v>
      </c>
      <c r="C745" s="36" t="s">
        <v>2315</v>
      </c>
      <c r="D745" s="35" t="s">
        <v>2316</v>
      </c>
      <c r="E745" s="35" t="s">
        <v>11147</v>
      </c>
      <c r="F745" s="35" t="s">
        <v>11143</v>
      </c>
      <c r="G745" s="35">
        <v>240309</v>
      </c>
      <c r="H745" s="35">
        <v>280020</v>
      </c>
      <c r="I745" s="35">
        <v>200007</v>
      </c>
      <c r="J745" s="34" t="s">
        <v>2317</v>
      </c>
      <c r="K745" s="34" t="str">
        <f t="shared" si="25"/>
        <v>重复</v>
      </c>
      <c r="L745" s="34" t="str">
        <f t="shared" si="26" ref="L745:L808">IF(COUNTIF(D:D,D745)&gt;=2,"重复","不重复")</f>
        <v>不重复</v>
      </c>
    </row>
    <row r="746" spans="1:12" ht="30">
      <c r="A746" s="35" t="s">
        <v>11157</v>
      </c>
      <c r="B746" s="35" t="s">
        <v>2318</v>
      </c>
      <c r="C746" s="36" t="s">
        <v>1630</v>
      </c>
      <c r="D746" s="35" t="s">
        <v>2319</v>
      </c>
      <c r="E746" s="35" t="s">
        <v>11147</v>
      </c>
      <c r="F746" s="35" t="s">
        <v>11143</v>
      </c>
      <c r="G746" s="35">
        <v>240310</v>
      </c>
      <c r="H746" s="35">
        <v>280020</v>
      </c>
      <c r="I746" s="35">
        <v>200007</v>
      </c>
      <c r="J746" s="34" t="s">
        <v>353</v>
      </c>
      <c r="K746" s="34" t="str">
        <f t="shared" si="25"/>
        <v>重复</v>
      </c>
      <c r="L746" s="34" t="str">
        <f t="shared" si="26"/>
        <v>不重复</v>
      </c>
    </row>
    <row r="747" spans="1:12" ht="30">
      <c r="A747" s="35" t="s">
        <v>11158</v>
      </c>
      <c r="B747" s="35" t="s">
        <v>2320</v>
      </c>
      <c r="C747" s="36" t="s">
        <v>2321</v>
      </c>
      <c r="D747" s="35" t="s">
        <v>2322</v>
      </c>
      <c r="E747" s="35" t="s">
        <v>11147</v>
      </c>
      <c r="F747" s="35" t="s">
        <v>11143</v>
      </c>
      <c r="G747" s="35">
        <v>240311</v>
      </c>
      <c r="H747" s="35">
        <v>280020</v>
      </c>
      <c r="I747" s="35">
        <v>200007</v>
      </c>
      <c r="J747" s="34" t="s">
        <v>353</v>
      </c>
      <c r="K747" s="34" t="str">
        <f t="shared" si="25"/>
        <v>不重复</v>
      </c>
      <c r="L747" s="34" t="str">
        <f t="shared" si="26"/>
        <v>不重复</v>
      </c>
    </row>
    <row r="748" spans="1:12" ht="30">
      <c r="A748" s="35" t="s">
        <v>11159</v>
      </c>
      <c r="B748" s="35" t="s">
        <v>2323</v>
      </c>
      <c r="C748" s="36" t="s">
        <v>2324</v>
      </c>
      <c r="D748" s="35" t="s">
        <v>2325</v>
      </c>
      <c r="E748" s="35" t="s">
        <v>11147</v>
      </c>
      <c r="F748" s="35" t="s">
        <v>11143</v>
      </c>
      <c r="G748" s="35">
        <v>240312</v>
      </c>
      <c r="H748" s="35">
        <v>280020</v>
      </c>
      <c r="I748" s="35">
        <v>200007</v>
      </c>
      <c r="J748" s="34" t="s">
        <v>390</v>
      </c>
      <c r="K748" s="34" t="str">
        <f t="shared" si="25"/>
        <v>重复</v>
      </c>
      <c r="L748" s="34" t="str">
        <f t="shared" si="26"/>
        <v>不重复</v>
      </c>
    </row>
    <row r="749" spans="1:12" ht="30">
      <c r="A749" s="35" t="s">
        <v>11160</v>
      </c>
      <c r="B749" s="35" t="s">
        <v>2326</v>
      </c>
      <c r="C749" s="36" t="s">
        <v>1821</v>
      </c>
      <c r="D749" s="35" t="s">
        <v>2327</v>
      </c>
      <c r="E749" s="35" t="s">
        <v>11147</v>
      </c>
      <c r="F749" s="35" t="s">
        <v>11143</v>
      </c>
      <c r="G749" s="35">
        <v>240313</v>
      </c>
      <c r="H749" s="35">
        <v>280020</v>
      </c>
      <c r="I749" s="35">
        <v>200007</v>
      </c>
      <c r="J749" s="34" t="s">
        <v>2328</v>
      </c>
      <c r="K749" s="34" t="str">
        <f t="shared" si="25"/>
        <v>重复</v>
      </c>
      <c r="L749" s="34" t="str">
        <f t="shared" si="26"/>
        <v>不重复</v>
      </c>
    </row>
    <row r="750" spans="1:12" ht="30">
      <c r="A750" s="35" t="s">
        <v>11161</v>
      </c>
      <c r="B750" s="35" t="s">
        <v>2329</v>
      </c>
      <c r="C750" s="36" t="s">
        <v>764</v>
      </c>
      <c r="D750" s="35" t="s">
        <v>2330</v>
      </c>
      <c r="E750" s="35" t="s">
        <v>11147</v>
      </c>
      <c r="F750" s="35" t="s">
        <v>11143</v>
      </c>
      <c r="G750" s="35">
        <v>240314</v>
      </c>
      <c r="H750" s="35">
        <v>280020</v>
      </c>
      <c r="I750" s="35">
        <v>200007</v>
      </c>
      <c r="J750" s="34" t="s">
        <v>2059</v>
      </c>
      <c r="K750" s="34" t="str">
        <f t="shared" si="25"/>
        <v>重复</v>
      </c>
      <c r="L750" s="34" t="str">
        <f t="shared" si="26"/>
        <v>不重复</v>
      </c>
    </row>
    <row r="751" spans="1:12" ht="15">
      <c r="A751" s="35" t="s">
        <v>11162</v>
      </c>
      <c r="B751" s="35" t="s">
        <v>2331</v>
      </c>
      <c r="C751" s="36" t="s">
        <v>2332</v>
      </c>
      <c r="D751" s="35" t="s">
        <v>2333</v>
      </c>
      <c r="E751" s="35" t="s">
        <v>11147</v>
      </c>
      <c r="F751" s="35" t="s">
        <v>11143</v>
      </c>
      <c r="G751" s="35">
        <v>240315</v>
      </c>
      <c r="H751" s="35">
        <v>280020</v>
      </c>
      <c r="I751" s="35">
        <v>200007</v>
      </c>
      <c r="J751" s="34" t="s">
        <v>2334</v>
      </c>
      <c r="K751" s="34" t="str">
        <f t="shared" si="25"/>
        <v>重复</v>
      </c>
      <c r="L751" s="34" t="str">
        <f t="shared" si="26"/>
        <v>不重复</v>
      </c>
    </row>
    <row r="752" spans="1:12" ht="15">
      <c r="A752" s="35" t="s">
        <v>11163</v>
      </c>
      <c r="B752" s="35" t="s">
        <v>2335</v>
      </c>
      <c r="C752" s="36" t="s">
        <v>2336</v>
      </c>
      <c r="D752" s="35" t="s">
        <v>2337</v>
      </c>
      <c r="E752" s="35" t="s">
        <v>11147</v>
      </c>
      <c r="F752" s="35" t="s">
        <v>11143</v>
      </c>
      <c r="G752" s="35">
        <v>240316</v>
      </c>
      <c r="H752" s="35">
        <v>280020</v>
      </c>
      <c r="I752" s="35">
        <v>200007</v>
      </c>
      <c r="J752" s="34" t="s">
        <v>2338</v>
      </c>
      <c r="K752" s="34" t="str">
        <f t="shared" si="25"/>
        <v>不重复</v>
      </c>
      <c r="L752" s="34" t="str">
        <f t="shared" si="26"/>
        <v>不重复</v>
      </c>
    </row>
    <row r="753" spans="1:12" ht="15">
      <c r="A753" s="35" t="s">
        <v>11164</v>
      </c>
      <c r="B753" s="35" t="s">
        <v>2339</v>
      </c>
      <c r="C753" s="36" t="s">
        <v>2340</v>
      </c>
      <c r="D753" s="35" t="s">
        <v>2341</v>
      </c>
      <c r="E753" s="35" t="s">
        <v>11147</v>
      </c>
      <c r="F753" s="35" t="s">
        <v>11143</v>
      </c>
      <c r="G753" s="35">
        <v>240317</v>
      </c>
      <c r="H753" s="35">
        <v>280020</v>
      </c>
      <c r="I753" s="35">
        <v>200007</v>
      </c>
      <c r="J753" s="34" t="s">
        <v>458</v>
      </c>
      <c r="K753" s="34" t="str">
        <f t="shared" si="25"/>
        <v>不重复</v>
      </c>
      <c r="L753" s="34" t="str">
        <f t="shared" si="26"/>
        <v>不重复</v>
      </c>
    </row>
    <row r="754" spans="1:12" ht="15">
      <c r="A754" s="35" t="s">
        <v>11165</v>
      </c>
      <c r="B754" s="35" t="s">
        <v>2342</v>
      </c>
      <c r="C754" s="36" t="s">
        <v>2343</v>
      </c>
      <c r="D754" s="35" t="s">
        <v>2344</v>
      </c>
      <c r="E754" s="35" t="s">
        <v>11147</v>
      </c>
      <c r="F754" s="35" t="s">
        <v>11143</v>
      </c>
      <c r="G754" s="35">
        <v>240318</v>
      </c>
      <c r="H754" s="35">
        <v>280020</v>
      </c>
      <c r="I754" s="35">
        <v>200007</v>
      </c>
      <c r="J754" s="34" t="s">
        <v>311</v>
      </c>
      <c r="K754" s="34" t="str">
        <f t="shared" si="25"/>
        <v>重复</v>
      </c>
      <c r="L754" s="34" t="str">
        <f t="shared" si="26"/>
        <v>重复</v>
      </c>
    </row>
    <row r="755" spans="1:12" ht="27">
      <c r="A755" s="35" t="s">
        <v>11166</v>
      </c>
      <c r="B755" s="35" t="s">
        <v>2342</v>
      </c>
      <c r="C755" s="36" t="s">
        <v>2345</v>
      </c>
      <c r="D755" s="35" t="s">
        <v>2344</v>
      </c>
      <c r="E755" s="35" t="s">
        <v>11147</v>
      </c>
      <c r="F755" s="35" t="s">
        <v>11143</v>
      </c>
      <c r="G755" s="35">
        <v>240319</v>
      </c>
      <c r="H755" s="35">
        <v>280020</v>
      </c>
      <c r="I755" s="35">
        <v>200007</v>
      </c>
      <c r="J755" s="34" t="s">
        <v>2346</v>
      </c>
      <c r="K755" s="34" t="str">
        <f t="shared" si="25"/>
        <v>不重复</v>
      </c>
      <c r="L755" s="34" t="str">
        <f t="shared" si="26"/>
        <v>重复</v>
      </c>
    </row>
    <row r="756" spans="1:12" ht="27">
      <c r="A756" s="35" t="s">
        <v>11167</v>
      </c>
      <c r="B756" s="35" t="s">
        <v>2342</v>
      </c>
      <c r="C756" s="36" t="s">
        <v>2347</v>
      </c>
      <c r="D756" s="35" t="s">
        <v>2344</v>
      </c>
      <c r="E756" s="35" t="s">
        <v>11147</v>
      </c>
      <c r="F756" s="35" t="s">
        <v>11143</v>
      </c>
      <c r="G756" s="35">
        <v>240320</v>
      </c>
      <c r="H756" s="35">
        <v>280020</v>
      </c>
      <c r="I756" s="35">
        <v>200007</v>
      </c>
      <c r="J756" s="34" t="s">
        <v>311</v>
      </c>
      <c r="K756" s="34" t="str">
        <f t="shared" si="25"/>
        <v>重复</v>
      </c>
      <c r="L756" s="34" t="str">
        <f t="shared" si="26"/>
        <v>重复</v>
      </c>
    </row>
    <row r="757" spans="1:12" ht="15">
      <c r="A757" s="35" t="s">
        <v>11168</v>
      </c>
      <c r="B757" s="35" t="s">
        <v>2348</v>
      </c>
      <c r="C757" s="36" t="s">
        <v>2349</v>
      </c>
      <c r="D757" s="35" t="s">
        <v>2350</v>
      </c>
      <c r="E757" s="35" t="s">
        <v>11147</v>
      </c>
      <c r="F757" s="35" t="s">
        <v>11143</v>
      </c>
      <c r="G757" s="35">
        <v>240321</v>
      </c>
      <c r="H757" s="35">
        <v>280020</v>
      </c>
      <c r="I757" s="35">
        <v>200007</v>
      </c>
      <c r="J757" s="34" t="s">
        <v>390</v>
      </c>
      <c r="K757" s="34" t="str">
        <f t="shared" si="25"/>
        <v>不重复</v>
      </c>
      <c r="L757" s="34" t="str">
        <f t="shared" si="26"/>
        <v>不重复</v>
      </c>
    </row>
    <row r="758" spans="1:12" ht="15">
      <c r="A758" s="35" t="s">
        <v>11169</v>
      </c>
      <c r="B758" s="35" t="s">
        <v>2351</v>
      </c>
      <c r="C758" s="36" t="s">
        <v>408</v>
      </c>
      <c r="D758" s="35" t="s">
        <v>2352</v>
      </c>
      <c r="E758" s="35" t="s">
        <v>11147</v>
      </c>
      <c r="F758" s="35" t="s">
        <v>11143</v>
      </c>
      <c r="G758" s="35">
        <v>240322</v>
      </c>
      <c r="H758" s="35">
        <v>280020</v>
      </c>
      <c r="I758" s="35">
        <v>200007</v>
      </c>
      <c r="J758" s="34" t="s">
        <v>2353</v>
      </c>
      <c r="K758" s="34" t="str">
        <f t="shared" si="25"/>
        <v>重复</v>
      </c>
      <c r="L758" s="34" t="str">
        <f t="shared" si="26"/>
        <v>不重复</v>
      </c>
    </row>
    <row r="759" spans="1:12" ht="15">
      <c r="A759" s="35" t="s">
        <v>11170</v>
      </c>
      <c r="B759" s="35" t="s">
        <v>2354</v>
      </c>
      <c r="C759" s="36" t="s">
        <v>2355</v>
      </c>
      <c r="D759" s="35" t="s">
        <v>2356</v>
      </c>
      <c r="E759" s="35" t="s">
        <v>11147</v>
      </c>
      <c r="F759" s="35" t="s">
        <v>11143</v>
      </c>
      <c r="G759" s="35">
        <v>240323</v>
      </c>
      <c r="H759" s="35">
        <v>280020</v>
      </c>
      <c r="I759" s="35">
        <v>200007</v>
      </c>
      <c r="J759" s="34" t="s">
        <v>2357</v>
      </c>
      <c r="K759" s="34" t="str">
        <f t="shared" si="25"/>
        <v>重复</v>
      </c>
      <c r="L759" s="34" t="str">
        <f t="shared" si="26"/>
        <v>不重复</v>
      </c>
    </row>
    <row r="760" spans="1:12" ht="15">
      <c r="A760" s="35" t="s">
        <v>11171</v>
      </c>
      <c r="B760" s="35" t="s">
        <v>2358</v>
      </c>
      <c r="C760" s="36" t="s">
        <v>2359</v>
      </c>
      <c r="D760" s="35" t="s">
        <v>2360</v>
      </c>
      <c r="E760" s="35" t="s">
        <v>11147</v>
      </c>
      <c r="F760" s="35" t="s">
        <v>11143</v>
      </c>
      <c r="G760" s="35">
        <v>240324</v>
      </c>
      <c r="H760" s="35">
        <v>280020</v>
      </c>
      <c r="I760" s="35">
        <v>200007</v>
      </c>
      <c r="J760" s="34" t="s">
        <v>2361</v>
      </c>
      <c r="K760" s="34" t="str">
        <f t="shared" si="25"/>
        <v>重复</v>
      </c>
      <c r="L760" s="34" t="str">
        <f t="shared" si="26"/>
        <v>不重复</v>
      </c>
    </row>
    <row r="761" spans="1:12" ht="15">
      <c r="A761" s="35" t="s">
        <v>11172</v>
      </c>
      <c r="B761" s="35" t="s">
        <v>2362</v>
      </c>
      <c r="C761" s="36" t="s">
        <v>647</v>
      </c>
      <c r="D761" s="35" t="s">
        <v>2363</v>
      </c>
      <c r="E761" s="35" t="s">
        <v>11147</v>
      </c>
      <c r="F761" s="35" t="s">
        <v>11143</v>
      </c>
      <c r="G761" s="35">
        <v>240325</v>
      </c>
      <c r="H761" s="35">
        <v>280020</v>
      </c>
      <c r="I761" s="35">
        <v>200007</v>
      </c>
      <c r="J761" s="34" t="s">
        <v>2361</v>
      </c>
      <c r="K761" s="34" t="str">
        <f t="shared" si="25"/>
        <v>重复</v>
      </c>
      <c r="L761" s="34" t="str">
        <f t="shared" si="26"/>
        <v>不重复</v>
      </c>
    </row>
    <row r="762" spans="1:12" ht="15">
      <c r="A762" s="69" t="s">
        <v>14440</v>
      </c>
      <c r="B762" s="35" t="s">
        <v>14441</v>
      </c>
      <c r="C762" s="36" t="s">
        <v>14442</v>
      </c>
      <c r="D762" s="35" t="s">
        <v>2366</v>
      </c>
      <c r="E762" s="35" t="s">
        <v>11147</v>
      </c>
      <c r="F762" s="35" t="s">
        <v>11143</v>
      </c>
      <c r="G762" s="35"/>
      <c r="H762" s="35">
        <v>280020</v>
      </c>
      <c r="I762" s="35">
        <v>200007</v>
      </c>
      <c r="J762" s="34"/>
      <c r="K762" s="34" t="str">
        <f t="shared" si="25"/>
        <v>不重复</v>
      </c>
      <c r="L762" s="34" t="str">
        <f t="shared" si="26"/>
        <v>重复</v>
      </c>
    </row>
    <row r="763" spans="1:12" ht="15">
      <c r="A763" s="35" t="s">
        <v>11173</v>
      </c>
      <c r="B763" s="35" t="s">
        <v>2364</v>
      </c>
      <c r="C763" s="36" t="s">
        <v>2365</v>
      </c>
      <c r="D763" s="35" t="s">
        <v>2366</v>
      </c>
      <c r="E763" s="35" t="s">
        <v>11147</v>
      </c>
      <c r="F763" s="35" t="s">
        <v>11143</v>
      </c>
      <c r="G763" s="35">
        <v>240326</v>
      </c>
      <c r="H763" s="35">
        <v>280020</v>
      </c>
      <c r="I763" s="35">
        <v>200007</v>
      </c>
      <c r="J763" s="34" t="s">
        <v>1302</v>
      </c>
      <c r="K763" s="34" t="str">
        <f t="shared" si="25"/>
        <v>不重复</v>
      </c>
      <c r="L763" s="34" t="str">
        <f t="shared" si="26"/>
        <v>重复</v>
      </c>
    </row>
    <row r="764" spans="1:12" ht="15">
      <c r="A764" s="35" t="s">
        <v>11174</v>
      </c>
      <c r="B764" s="35" t="s">
        <v>2367</v>
      </c>
      <c r="C764" s="36" t="s">
        <v>2368</v>
      </c>
      <c r="D764" s="35" t="s">
        <v>2369</v>
      </c>
      <c r="E764" s="35" t="s">
        <v>11147</v>
      </c>
      <c r="F764" s="35" t="s">
        <v>11143</v>
      </c>
      <c r="G764" s="35">
        <v>240327</v>
      </c>
      <c r="H764" s="35">
        <v>280020</v>
      </c>
      <c r="I764" s="35">
        <v>200007</v>
      </c>
      <c r="J764" s="34" t="s">
        <v>311</v>
      </c>
      <c r="K764" s="34" t="str">
        <f t="shared" si="25"/>
        <v>重复</v>
      </c>
      <c r="L764" s="34" t="str">
        <f t="shared" si="26"/>
        <v>不重复</v>
      </c>
    </row>
    <row r="765" spans="1:12" ht="15">
      <c r="A765" s="35" t="s">
        <v>11175</v>
      </c>
      <c r="B765" s="35" t="s">
        <v>2370</v>
      </c>
      <c r="C765" s="36" t="s">
        <v>2371</v>
      </c>
      <c r="D765" s="35" t="s">
        <v>2372</v>
      </c>
      <c r="E765" s="35" t="s">
        <v>11147</v>
      </c>
      <c r="F765" s="35" t="s">
        <v>11143</v>
      </c>
      <c r="G765" s="35">
        <v>240328</v>
      </c>
      <c r="H765" s="35">
        <v>280020</v>
      </c>
      <c r="I765" s="35">
        <v>200007</v>
      </c>
      <c r="J765" s="34" t="s">
        <v>715</v>
      </c>
      <c r="K765" s="34" t="str">
        <f t="shared" si="25"/>
        <v>不重复</v>
      </c>
      <c r="L765" s="34" t="str">
        <f t="shared" si="26"/>
        <v>不重复</v>
      </c>
    </row>
    <row r="766" spans="1:12" ht="15">
      <c r="A766" s="35" t="s">
        <v>11176</v>
      </c>
      <c r="B766" s="35" t="s">
        <v>2373</v>
      </c>
      <c r="C766" s="36" t="s">
        <v>644</v>
      </c>
      <c r="D766" s="35" t="s">
        <v>2374</v>
      </c>
      <c r="E766" s="35" t="s">
        <v>11147</v>
      </c>
      <c r="F766" s="35" t="s">
        <v>11143</v>
      </c>
      <c r="G766" s="35">
        <v>240329</v>
      </c>
      <c r="H766" s="35">
        <v>280020</v>
      </c>
      <c r="I766" s="35">
        <v>200007</v>
      </c>
      <c r="J766" s="34" t="s">
        <v>557</v>
      </c>
      <c r="K766" s="34" t="str">
        <f t="shared" si="25"/>
        <v>重复</v>
      </c>
      <c r="L766" s="34" t="str">
        <f t="shared" si="26"/>
        <v>不重复</v>
      </c>
    </row>
    <row r="767" spans="1:12" ht="15">
      <c r="A767" s="35" t="s">
        <v>11177</v>
      </c>
      <c r="B767" s="35" t="s">
        <v>2375</v>
      </c>
      <c r="C767" s="36" t="s">
        <v>2376</v>
      </c>
      <c r="D767" s="35" t="s">
        <v>2377</v>
      </c>
      <c r="E767" s="35" t="s">
        <v>11147</v>
      </c>
      <c r="F767" s="35" t="s">
        <v>11143</v>
      </c>
      <c r="G767" s="35">
        <v>240330</v>
      </c>
      <c r="H767" s="35">
        <v>280020</v>
      </c>
      <c r="I767" s="35">
        <v>200007</v>
      </c>
      <c r="J767" s="34" t="s">
        <v>89</v>
      </c>
      <c r="K767" s="34" t="str">
        <f t="shared" si="25"/>
        <v>不重复</v>
      </c>
      <c r="L767" s="34" t="str">
        <f t="shared" si="26"/>
        <v>重复</v>
      </c>
    </row>
    <row r="768" spans="1:12" ht="15">
      <c r="A768" s="35" t="s">
        <v>11178</v>
      </c>
      <c r="B768" s="35" t="s">
        <v>2375</v>
      </c>
      <c r="C768" s="36" t="s">
        <v>2378</v>
      </c>
      <c r="D768" s="35" t="s">
        <v>2377</v>
      </c>
      <c r="E768" s="35" t="s">
        <v>11147</v>
      </c>
      <c r="F768" s="35" t="s">
        <v>11143</v>
      </c>
      <c r="G768" s="35">
        <v>240331</v>
      </c>
      <c r="H768" s="35">
        <v>280020</v>
      </c>
      <c r="I768" s="35">
        <v>200007</v>
      </c>
      <c r="J768" s="34" t="s">
        <v>1335</v>
      </c>
      <c r="K768" s="34" t="str">
        <f t="shared" si="25"/>
        <v>不重复</v>
      </c>
      <c r="L768" s="34" t="str">
        <f t="shared" si="26"/>
        <v>重复</v>
      </c>
    </row>
    <row r="769" spans="1:12" ht="30">
      <c r="A769" s="35" t="s">
        <v>11179</v>
      </c>
      <c r="B769" s="35" t="s">
        <v>2379</v>
      </c>
      <c r="C769" s="36" t="s">
        <v>2380</v>
      </c>
      <c r="D769" s="35" t="s">
        <v>2381</v>
      </c>
      <c r="E769" s="35" t="s">
        <v>11147</v>
      </c>
      <c r="F769" s="35" t="s">
        <v>11143</v>
      </c>
      <c r="G769" s="35">
        <v>240335</v>
      </c>
      <c r="H769" s="35">
        <v>280020</v>
      </c>
      <c r="I769" s="35">
        <v>200007</v>
      </c>
      <c r="J769" s="34" t="s">
        <v>932</v>
      </c>
      <c r="K769" s="34" t="str">
        <f t="shared" si="25"/>
        <v>不重复</v>
      </c>
      <c r="L769" s="34" t="str">
        <f t="shared" si="26"/>
        <v>不重复</v>
      </c>
    </row>
    <row r="770" spans="1:12" ht="15">
      <c r="A770" s="35" t="s">
        <v>11180</v>
      </c>
      <c r="B770" s="35" t="s">
        <v>2382</v>
      </c>
      <c r="C770" s="36" t="s">
        <v>2383</v>
      </c>
      <c r="D770" s="35" t="s">
        <v>2384</v>
      </c>
      <c r="E770" s="35" t="s">
        <v>11147</v>
      </c>
      <c r="F770" s="35" t="s">
        <v>11143</v>
      </c>
      <c r="G770" s="35">
        <v>240336</v>
      </c>
      <c r="H770" s="35">
        <v>280020</v>
      </c>
      <c r="I770" s="35">
        <v>200007</v>
      </c>
      <c r="J770" s="34" t="s">
        <v>962</v>
      </c>
      <c r="K770" s="34" t="str">
        <f t="shared" si="25"/>
        <v>重复</v>
      </c>
      <c r="L770" s="34" t="str">
        <f t="shared" si="26"/>
        <v>不重复</v>
      </c>
    </row>
    <row r="771" spans="1:12" ht="27">
      <c r="A771" s="35" t="s">
        <v>11181</v>
      </c>
      <c r="B771" s="35" t="s">
        <v>2385</v>
      </c>
      <c r="C771" s="36" t="s">
        <v>2386</v>
      </c>
      <c r="D771" s="35" t="s">
        <v>1149</v>
      </c>
      <c r="E771" s="35" t="s">
        <v>11147</v>
      </c>
      <c r="F771" s="35" t="s">
        <v>11143</v>
      </c>
      <c r="G771" s="35">
        <v>240337</v>
      </c>
      <c r="H771" s="35">
        <v>280020</v>
      </c>
      <c r="I771" s="35">
        <v>200007</v>
      </c>
      <c r="J771" s="34" t="s">
        <v>2387</v>
      </c>
      <c r="K771" s="34" t="str">
        <f t="shared" si="25"/>
        <v>不重复</v>
      </c>
      <c r="L771" s="34" t="str">
        <f t="shared" si="26"/>
        <v>重复</v>
      </c>
    </row>
    <row r="772" spans="1:12" ht="27">
      <c r="A772" s="35" t="s">
        <v>11182</v>
      </c>
      <c r="B772" s="35" t="s">
        <v>2388</v>
      </c>
      <c r="C772" s="36" t="s">
        <v>2389</v>
      </c>
      <c r="D772" s="35" t="s">
        <v>2390</v>
      </c>
      <c r="E772" s="35" t="s">
        <v>11147</v>
      </c>
      <c r="F772" s="35" t="s">
        <v>11143</v>
      </c>
      <c r="G772" s="35">
        <v>240338</v>
      </c>
      <c r="H772" s="35">
        <v>280020</v>
      </c>
      <c r="I772" s="35">
        <v>200007</v>
      </c>
      <c r="J772" s="34" t="s">
        <v>2391</v>
      </c>
      <c r="K772" s="34" t="str">
        <f t="shared" si="25"/>
        <v>重复</v>
      </c>
      <c r="L772" s="34" t="str">
        <f t="shared" si="26"/>
        <v>重复</v>
      </c>
    </row>
    <row r="773" spans="1:12" ht="27">
      <c r="A773" s="35" t="s">
        <v>11183</v>
      </c>
      <c r="B773" s="35" t="s">
        <v>2388</v>
      </c>
      <c r="C773" s="36" t="s">
        <v>2392</v>
      </c>
      <c r="D773" s="35" t="s">
        <v>2390</v>
      </c>
      <c r="E773" s="35" t="s">
        <v>11147</v>
      </c>
      <c r="F773" s="35" t="s">
        <v>11143</v>
      </c>
      <c r="G773" s="35">
        <v>240339</v>
      </c>
      <c r="H773" s="35">
        <v>280020</v>
      </c>
      <c r="I773" s="35">
        <v>200007</v>
      </c>
      <c r="J773" s="34" t="s">
        <v>1292</v>
      </c>
      <c r="K773" s="34" t="str">
        <f t="shared" si="25"/>
        <v>重复</v>
      </c>
      <c r="L773" s="34" t="str">
        <f t="shared" si="26"/>
        <v>重复</v>
      </c>
    </row>
    <row r="774" spans="1:12" ht="27">
      <c r="A774" s="35" t="s">
        <v>11184</v>
      </c>
      <c r="B774" s="35" t="s">
        <v>2393</v>
      </c>
      <c r="C774" s="36" t="s">
        <v>2394</v>
      </c>
      <c r="D774" s="35" t="s">
        <v>2395</v>
      </c>
      <c r="E774" s="35" t="s">
        <v>11147</v>
      </c>
      <c r="F774" s="35" t="s">
        <v>11143</v>
      </c>
      <c r="G774" s="35">
        <v>240340</v>
      </c>
      <c r="H774" s="35">
        <v>280020</v>
      </c>
      <c r="I774" s="35">
        <v>200007</v>
      </c>
      <c r="J774" s="34" t="s">
        <v>89</v>
      </c>
      <c r="K774" s="34" t="str">
        <f t="shared" si="25"/>
        <v>重复</v>
      </c>
      <c r="L774" s="34" t="str">
        <f t="shared" si="26"/>
        <v>不重复</v>
      </c>
    </row>
    <row r="775" spans="1:12" ht="15">
      <c r="A775" s="35" t="s">
        <v>11185</v>
      </c>
      <c r="B775" s="35" t="s">
        <v>2396</v>
      </c>
      <c r="C775" s="36" t="s">
        <v>2397</v>
      </c>
      <c r="D775" s="35" t="s">
        <v>2398</v>
      </c>
      <c r="E775" s="35" t="s">
        <v>11147</v>
      </c>
      <c r="F775" s="35" t="s">
        <v>11143</v>
      </c>
      <c r="G775" s="35">
        <v>240341</v>
      </c>
      <c r="H775" s="35">
        <v>280020</v>
      </c>
      <c r="I775" s="35">
        <v>200007</v>
      </c>
      <c r="J775" s="34" t="s">
        <v>89</v>
      </c>
      <c r="K775" s="34" t="str">
        <f t="shared" si="25"/>
        <v>重复</v>
      </c>
      <c r="L775" s="34" t="str">
        <f t="shared" si="26"/>
        <v>重复</v>
      </c>
    </row>
    <row r="776" spans="1:12" ht="27">
      <c r="A776" s="35" t="s">
        <v>11186</v>
      </c>
      <c r="B776" s="35" t="s">
        <v>2396</v>
      </c>
      <c r="C776" s="36" t="s">
        <v>2399</v>
      </c>
      <c r="D776" s="35" t="s">
        <v>2398</v>
      </c>
      <c r="E776" s="35" t="s">
        <v>11147</v>
      </c>
      <c r="F776" s="35" t="s">
        <v>11143</v>
      </c>
      <c r="G776" s="35">
        <v>240342</v>
      </c>
      <c r="H776" s="35">
        <v>280020</v>
      </c>
      <c r="I776" s="35">
        <v>200007</v>
      </c>
      <c r="J776" s="34" t="s">
        <v>2391</v>
      </c>
      <c r="K776" s="34" t="str">
        <f t="shared" si="25"/>
        <v>不重复</v>
      </c>
      <c r="L776" s="34" t="str">
        <f t="shared" si="26"/>
        <v>重复</v>
      </c>
    </row>
    <row r="777" spans="1:12" ht="27">
      <c r="A777" s="35" t="s">
        <v>11187</v>
      </c>
      <c r="B777" s="35" t="s">
        <v>2400</v>
      </c>
      <c r="C777" s="36" t="s">
        <v>2401</v>
      </c>
      <c r="D777" s="35" t="s">
        <v>2402</v>
      </c>
      <c r="E777" s="35" t="s">
        <v>11147</v>
      </c>
      <c r="F777" s="35" t="s">
        <v>11143</v>
      </c>
      <c r="G777" s="35">
        <v>240343</v>
      </c>
      <c r="H777" s="35">
        <v>280020</v>
      </c>
      <c r="I777" s="35">
        <v>200007</v>
      </c>
      <c r="J777" s="34" t="s">
        <v>2403</v>
      </c>
      <c r="K777" s="34" t="str">
        <f t="shared" si="25"/>
        <v>不重复</v>
      </c>
      <c r="L777" s="34" t="str">
        <f t="shared" si="26"/>
        <v>不重复</v>
      </c>
    </row>
    <row r="778" spans="1:12" ht="27">
      <c r="A778" s="35" t="s">
        <v>11188</v>
      </c>
      <c r="B778" s="35" t="s">
        <v>2388</v>
      </c>
      <c r="C778" s="36" t="s">
        <v>1860</v>
      </c>
      <c r="D778" s="35" t="s">
        <v>2390</v>
      </c>
      <c r="E778" s="35" t="s">
        <v>11147</v>
      </c>
      <c r="F778" s="35" t="s">
        <v>11143</v>
      </c>
      <c r="G778" s="35">
        <v>240344</v>
      </c>
      <c r="H778" s="35">
        <v>280020</v>
      </c>
      <c r="I778" s="35">
        <v>200007</v>
      </c>
      <c r="J778" s="34" t="s">
        <v>2391</v>
      </c>
      <c r="K778" s="34" t="str">
        <f t="shared" si="25"/>
        <v>重复</v>
      </c>
      <c r="L778" s="34" t="str">
        <f t="shared" si="26"/>
        <v>重复</v>
      </c>
    </row>
    <row r="779" spans="1:12" ht="30">
      <c r="A779" s="35" t="s">
        <v>11189</v>
      </c>
      <c r="B779" s="35" t="s">
        <v>2404</v>
      </c>
      <c r="C779" s="36" t="s">
        <v>2405</v>
      </c>
      <c r="D779" s="35" t="s">
        <v>2406</v>
      </c>
      <c r="E779" s="35" t="s">
        <v>11147</v>
      </c>
      <c r="F779" s="35" t="s">
        <v>11143</v>
      </c>
      <c r="G779" s="35">
        <v>240345</v>
      </c>
      <c r="H779" s="35">
        <v>280020</v>
      </c>
      <c r="I779" s="35">
        <v>200007</v>
      </c>
      <c r="J779" s="34" t="s">
        <v>1040</v>
      </c>
      <c r="K779" s="34" t="str">
        <f t="shared" si="25"/>
        <v>重复</v>
      </c>
      <c r="L779" s="34" t="str">
        <f t="shared" si="26"/>
        <v>不重复</v>
      </c>
    </row>
    <row r="780" spans="1:12" ht="30">
      <c r="A780" s="35" t="s">
        <v>11190</v>
      </c>
      <c r="B780" s="35" t="s">
        <v>2407</v>
      </c>
      <c r="C780" s="36" t="s">
        <v>2408</v>
      </c>
      <c r="D780" s="35" t="s">
        <v>2409</v>
      </c>
      <c r="E780" s="35" t="s">
        <v>11147</v>
      </c>
      <c r="F780" s="35" t="s">
        <v>11143</v>
      </c>
      <c r="G780" s="35">
        <v>240346</v>
      </c>
      <c r="H780" s="35">
        <v>280020</v>
      </c>
      <c r="I780" s="35">
        <v>200007</v>
      </c>
      <c r="J780" s="34" t="s">
        <v>962</v>
      </c>
      <c r="K780" s="34" t="str">
        <f t="shared" si="25"/>
        <v>不重复</v>
      </c>
      <c r="L780" s="34" t="str">
        <f t="shared" si="26"/>
        <v>不重复</v>
      </c>
    </row>
    <row r="781" spans="1:12" ht="15">
      <c r="A781" s="35" t="s">
        <v>11191</v>
      </c>
      <c r="B781" s="35" t="s">
        <v>2410</v>
      </c>
      <c r="C781" s="36" t="s">
        <v>2383</v>
      </c>
      <c r="D781" s="35" t="s">
        <v>2411</v>
      </c>
      <c r="E781" s="35" t="s">
        <v>11147</v>
      </c>
      <c r="F781" s="35" t="s">
        <v>11143</v>
      </c>
      <c r="G781" s="35">
        <v>240347</v>
      </c>
      <c r="H781" s="35">
        <v>280020</v>
      </c>
      <c r="I781" s="35">
        <v>200007</v>
      </c>
      <c r="J781" s="34" t="s">
        <v>2412</v>
      </c>
      <c r="K781" s="34" t="str">
        <f t="shared" si="25"/>
        <v>重复</v>
      </c>
      <c r="L781" s="34" t="str">
        <f t="shared" si="26"/>
        <v>不重复</v>
      </c>
    </row>
    <row r="782" spans="1:12" ht="15">
      <c r="A782" s="35" t="s">
        <v>11192</v>
      </c>
      <c r="B782" s="35" t="s">
        <v>2413</v>
      </c>
      <c r="C782" s="36" t="s">
        <v>192</v>
      </c>
      <c r="D782" s="35" t="s">
        <v>2414</v>
      </c>
      <c r="E782" s="35" t="s">
        <v>11147</v>
      </c>
      <c r="F782" s="35" t="s">
        <v>11143</v>
      </c>
      <c r="G782" s="35">
        <v>240348</v>
      </c>
      <c r="H782" s="35">
        <v>280020</v>
      </c>
      <c r="I782" s="35">
        <v>200007</v>
      </c>
      <c r="J782" s="34" t="s">
        <v>1335</v>
      </c>
      <c r="K782" s="34" t="str">
        <f t="shared" si="25"/>
        <v>重复</v>
      </c>
      <c r="L782" s="34" t="str">
        <f t="shared" si="26"/>
        <v>不重复</v>
      </c>
    </row>
    <row r="783" spans="1:12" ht="15">
      <c r="A783" s="35" t="s">
        <v>11193</v>
      </c>
      <c r="B783" s="35" t="s">
        <v>2415</v>
      </c>
      <c r="C783" s="36" t="s">
        <v>2416</v>
      </c>
      <c r="D783" s="35" t="s">
        <v>2417</v>
      </c>
      <c r="E783" s="35" t="s">
        <v>11147</v>
      </c>
      <c r="F783" s="35" t="s">
        <v>11143</v>
      </c>
      <c r="G783" s="35">
        <v>240349</v>
      </c>
      <c r="H783" s="35">
        <v>280020</v>
      </c>
      <c r="I783" s="35">
        <v>200007</v>
      </c>
      <c r="J783" s="34" t="s">
        <v>1331</v>
      </c>
      <c r="K783" s="34" t="str">
        <f t="shared" si="25"/>
        <v>重复</v>
      </c>
      <c r="L783" s="34" t="str">
        <f t="shared" si="26"/>
        <v>不重复</v>
      </c>
    </row>
    <row r="784" spans="1:12" ht="15">
      <c r="A784" s="35" t="s">
        <v>11194</v>
      </c>
      <c r="B784" s="35" t="s">
        <v>2418</v>
      </c>
      <c r="C784" s="36" t="s">
        <v>2419</v>
      </c>
      <c r="D784" s="35" t="s">
        <v>2420</v>
      </c>
      <c r="E784" s="35" t="s">
        <v>11147</v>
      </c>
      <c r="F784" s="35" t="s">
        <v>11143</v>
      </c>
      <c r="G784" s="35">
        <v>240350</v>
      </c>
      <c r="H784" s="35">
        <v>280020</v>
      </c>
      <c r="I784" s="35">
        <v>200007</v>
      </c>
      <c r="J784" s="34" t="s">
        <v>1335</v>
      </c>
      <c r="K784" s="34" t="str">
        <f t="shared" si="25"/>
        <v>重复</v>
      </c>
      <c r="L784" s="34" t="str">
        <f t="shared" si="26"/>
        <v>不重复</v>
      </c>
    </row>
    <row r="785" spans="1:12" ht="15">
      <c r="A785" s="35" t="s">
        <v>11195</v>
      </c>
      <c r="B785" s="35" t="s">
        <v>2421</v>
      </c>
      <c r="C785" s="36" t="s">
        <v>631</v>
      </c>
      <c r="D785" s="35" t="s">
        <v>2422</v>
      </c>
      <c r="E785" s="35" t="s">
        <v>11147</v>
      </c>
      <c r="F785" s="35" t="s">
        <v>11143</v>
      </c>
      <c r="G785" s="35">
        <v>240351</v>
      </c>
      <c r="H785" s="35">
        <v>280020</v>
      </c>
      <c r="I785" s="35">
        <v>200007</v>
      </c>
      <c r="J785" s="34" t="s">
        <v>1331</v>
      </c>
      <c r="K785" s="34" t="str">
        <f t="shared" si="25"/>
        <v>重复</v>
      </c>
      <c r="L785" s="34" t="str">
        <f t="shared" si="26"/>
        <v>不重复</v>
      </c>
    </row>
    <row r="786" spans="1:12" ht="15">
      <c r="A786" s="35" t="s">
        <v>11196</v>
      </c>
      <c r="B786" s="35" t="s">
        <v>2423</v>
      </c>
      <c r="C786" s="36" t="s">
        <v>657</v>
      </c>
      <c r="D786" s="35" t="s">
        <v>2424</v>
      </c>
      <c r="E786" s="35" t="s">
        <v>11147</v>
      </c>
      <c r="F786" s="35" t="s">
        <v>11143</v>
      </c>
      <c r="G786" s="35">
        <v>240352</v>
      </c>
      <c r="H786" s="35">
        <v>280020</v>
      </c>
      <c r="I786" s="35">
        <v>200007</v>
      </c>
      <c r="J786" s="34" t="s">
        <v>1288</v>
      </c>
      <c r="K786" s="34" t="str">
        <f t="shared" si="25"/>
        <v>重复</v>
      </c>
      <c r="L786" s="34" t="str">
        <f t="shared" si="26"/>
        <v>不重复</v>
      </c>
    </row>
    <row r="787" spans="1:12" ht="15">
      <c r="A787" s="35" t="s">
        <v>11197</v>
      </c>
      <c r="B787" s="35" t="s">
        <v>2425</v>
      </c>
      <c r="C787" s="36" t="s">
        <v>2426</v>
      </c>
      <c r="D787" s="35" t="s">
        <v>2427</v>
      </c>
      <c r="E787" s="35" t="s">
        <v>11147</v>
      </c>
      <c r="F787" s="35" t="s">
        <v>11143</v>
      </c>
      <c r="G787" s="35">
        <v>240353</v>
      </c>
      <c r="H787" s="35">
        <v>280020</v>
      </c>
      <c r="I787" s="35">
        <v>200007</v>
      </c>
      <c r="J787" s="34" t="s">
        <v>89</v>
      </c>
      <c r="K787" s="34" t="str">
        <f t="shared" si="25"/>
        <v>不重复</v>
      </c>
      <c r="L787" s="34" t="str">
        <f t="shared" si="26"/>
        <v>重复</v>
      </c>
    </row>
    <row r="788" spans="1:12" ht="27">
      <c r="A788" s="35" t="s">
        <v>11198</v>
      </c>
      <c r="B788" s="35" t="s">
        <v>2425</v>
      </c>
      <c r="C788" s="36" t="s">
        <v>2428</v>
      </c>
      <c r="D788" s="35" t="s">
        <v>2427</v>
      </c>
      <c r="E788" s="35" t="s">
        <v>11147</v>
      </c>
      <c r="F788" s="35" t="s">
        <v>11143</v>
      </c>
      <c r="G788" s="35">
        <v>240354</v>
      </c>
      <c r="H788" s="35">
        <v>280020</v>
      </c>
      <c r="I788" s="35">
        <v>200007</v>
      </c>
      <c r="J788" s="34" t="s">
        <v>89</v>
      </c>
      <c r="K788" s="34" t="str">
        <f t="shared" si="25"/>
        <v>不重复</v>
      </c>
      <c r="L788" s="34" t="str">
        <f t="shared" si="26"/>
        <v>重复</v>
      </c>
    </row>
    <row r="789" spans="1:12" ht="15">
      <c r="A789" s="35" t="s">
        <v>11199</v>
      </c>
      <c r="B789" s="35" t="s">
        <v>2425</v>
      </c>
      <c r="C789" s="36" t="s">
        <v>2429</v>
      </c>
      <c r="D789" s="35" t="s">
        <v>2427</v>
      </c>
      <c r="E789" s="35" t="s">
        <v>11147</v>
      </c>
      <c r="F789" s="35" t="s">
        <v>11143</v>
      </c>
      <c r="G789" s="35">
        <v>240355</v>
      </c>
      <c r="H789" s="35">
        <v>280020</v>
      </c>
      <c r="I789" s="35">
        <v>200007</v>
      </c>
      <c r="J789" s="34" t="s">
        <v>2430</v>
      </c>
      <c r="K789" s="34" t="str">
        <f t="shared" si="25"/>
        <v>重复</v>
      </c>
      <c r="L789" s="34" t="str">
        <f t="shared" si="26"/>
        <v>重复</v>
      </c>
    </row>
    <row r="790" spans="1:12" ht="15">
      <c r="A790" s="35" t="s">
        <v>11200</v>
      </c>
      <c r="B790" s="35" t="s">
        <v>2425</v>
      </c>
      <c r="C790" s="36" t="s">
        <v>2431</v>
      </c>
      <c r="D790" s="35" t="s">
        <v>2427</v>
      </c>
      <c r="E790" s="35" t="s">
        <v>11147</v>
      </c>
      <c r="F790" s="35" t="s">
        <v>11143</v>
      </c>
      <c r="G790" s="35">
        <v>240356</v>
      </c>
      <c r="H790" s="35">
        <v>280020</v>
      </c>
      <c r="I790" s="35">
        <v>200007</v>
      </c>
      <c r="J790" s="34" t="s">
        <v>2432</v>
      </c>
      <c r="K790" s="34" t="str">
        <f t="shared" si="27" ref="K790:K853">IF(COUNTIF(C:C,C790)&gt;=2,"重复","不重复")</f>
        <v>不重复</v>
      </c>
      <c r="L790" s="34" t="str">
        <f t="shared" si="26"/>
        <v>重复</v>
      </c>
    </row>
    <row r="791" spans="1:12" ht="15">
      <c r="A791" s="35" t="s">
        <v>11201</v>
      </c>
      <c r="B791" s="35" t="s">
        <v>2433</v>
      </c>
      <c r="C791" s="36" t="s">
        <v>2434</v>
      </c>
      <c r="D791" s="35" t="s">
        <v>2435</v>
      </c>
      <c r="E791" s="35" t="s">
        <v>11147</v>
      </c>
      <c r="F791" s="35" t="s">
        <v>11143</v>
      </c>
      <c r="G791" s="35">
        <v>240357</v>
      </c>
      <c r="H791" s="35">
        <v>280020</v>
      </c>
      <c r="I791" s="35">
        <v>200007</v>
      </c>
      <c r="J791" s="34" t="s">
        <v>2436</v>
      </c>
      <c r="K791" s="34" t="str">
        <f t="shared" si="27"/>
        <v>重复</v>
      </c>
      <c r="L791" s="34" t="str">
        <f t="shared" si="26"/>
        <v>不重复</v>
      </c>
    </row>
    <row r="792" spans="1:12" ht="15">
      <c r="A792" s="35" t="s">
        <v>11202</v>
      </c>
      <c r="B792" s="35" t="s">
        <v>2437</v>
      </c>
      <c r="C792" s="36" t="s">
        <v>2438</v>
      </c>
      <c r="D792" s="35" t="s">
        <v>2439</v>
      </c>
      <c r="E792" s="35" t="s">
        <v>11147</v>
      </c>
      <c r="F792" s="35" t="s">
        <v>11143</v>
      </c>
      <c r="G792" s="35">
        <v>240358</v>
      </c>
      <c r="H792" s="35">
        <v>280020</v>
      </c>
      <c r="I792" s="35">
        <v>200007</v>
      </c>
      <c r="J792" s="34" t="s">
        <v>2440</v>
      </c>
      <c r="K792" s="34" t="str">
        <f t="shared" si="27"/>
        <v>重复</v>
      </c>
      <c r="L792" s="34" t="str">
        <f t="shared" si="26"/>
        <v>不重复</v>
      </c>
    </row>
    <row r="793" spans="1:12" ht="30">
      <c r="A793" s="35" t="s">
        <v>11203</v>
      </c>
      <c r="B793" s="35" t="s">
        <v>2441</v>
      </c>
      <c r="C793" s="36" t="s">
        <v>2442</v>
      </c>
      <c r="D793" s="35" t="s">
        <v>2443</v>
      </c>
      <c r="E793" s="35" t="s">
        <v>11147</v>
      </c>
      <c r="F793" s="35" t="s">
        <v>11143</v>
      </c>
      <c r="G793" s="35">
        <v>240359</v>
      </c>
      <c r="H793" s="35">
        <v>280020</v>
      </c>
      <c r="I793" s="35">
        <v>200007</v>
      </c>
      <c r="J793" s="34" t="s">
        <v>1288</v>
      </c>
      <c r="K793" s="34" t="str">
        <f t="shared" si="27"/>
        <v>不重复</v>
      </c>
      <c r="L793" s="34" t="str">
        <f t="shared" si="26"/>
        <v>重复</v>
      </c>
    </row>
    <row r="794" spans="1:12" ht="15">
      <c r="A794" s="35" t="s">
        <v>11204</v>
      </c>
      <c r="B794" s="35" t="s">
        <v>2444</v>
      </c>
      <c r="C794" s="36" t="s">
        <v>2445</v>
      </c>
      <c r="D794" s="35" t="s">
        <v>2446</v>
      </c>
      <c r="E794" s="35" t="s">
        <v>11147</v>
      </c>
      <c r="F794" s="35" t="s">
        <v>11143</v>
      </c>
      <c r="G794" s="35">
        <v>240360</v>
      </c>
      <c r="H794" s="35">
        <v>280020</v>
      </c>
      <c r="I794" s="35">
        <v>200007</v>
      </c>
      <c r="J794" s="34" t="s">
        <v>89</v>
      </c>
      <c r="K794" s="34" t="str">
        <f t="shared" si="27"/>
        <v>不重复</v>
      </c>
      <c r="L794" s="34" t="str">
        <f t="shared" si="26"/>
        <v>重复</v>
      </c>
    </row>
    <row r="795" spans="1:12" ht="15">
      <c r="A795" s="35" t="s">
        <v>11205</v>
      </c>
      <c r="B795" s="35" t="s">
        <v>2444</v>
      </c>
      <c r="C795" s="36" t="s">
        <v>2447</v>
      </c>
      <c r="D795" s="35" t="s">
        <v>2446</v>
      </c>
      <c r="E795" s="35" t="s">
        <v>11147</v>
      </c>
      <c r="F795" s="35" t="s">
        <v>11143</v>
      </c>
      <c r="G795" s="35">
        <v>240361</v>
      </c>
      <c r="H795" s="35">
        <v>280020</v>
      </c>
      <c r="I795" s="35">
        <v>200007</v>
      </c>
      <c r="J795" s="34" t="s">
        <v>1288</v>
      </c>
      <c r="K795" s="34" t="str">
        <f t="shared" si="27"/>
        <v>重复</v>
      </c>
      <c r="L795" s="34" t="str">
        <f t="shared" si="26"/>
        <v>重复</v>
      </c>
    </row>
    <row r="796" spans="1:12" ht="15">
      <c r="A796" s="35" t="s">
        <v>11206</v>
      </c>
      <c r="B796" s="35" t="s">
        <v>2448</v>
      </c>
      <c r="C796" s="36" t="s">
        <v>2449</v>
      </c>
      <c r="D796" s="35" t="s">
        <v>2450</v>
      </c>
      <c r="E796" s="35" t="s">
        <v>11147</v>
      </c>
      <c r="F796" s="35" t="s">
        <v>11143</v>
      </c>
      <c r="G796" s="35">
        <v>240362</v>
      </c>
      <c r="H796" s="35">
        <v>280020</v>
      </c>
      <c r="I796" s="35">
        <v>200007</v>
      </c>
      <c r="J796" s="34" t="s">
        <v>962</v>
      </c>
      <c r="K796" s="34" t="str">
        <f t="shared" si="27"/>
        <v>不重复</v>
      </c>
      <c r="L796" s="34" t="str">
        <f t="shared" si="26"/>
        <v>不重复</v>
      </c>
    </row>
    <row r="797" spans="1:12" ht="15">
      <c r="A797" s="35" t="s">
        <v>11207</v>
      </c>
      <c r="B797" s="35" t="s">
        <v>2451</v>
      </c>
      <c r="C797" s="36" t="s">
        <v>2452</v>
      </c>
      <c r="D797" s="35" t="s">
        <v>2453</v>
      </c>
      <c r="E797" s="35" t="s">
        <v>11147</v>
      </c>
      <c r="F797" s="35" t="s">
        <v>11143</v>
      </c>
      <c r="G797" s="35">
        <v>240363</v>
      </c>
      <c r="H797" s="35">
        <v>280020</v>
      </c>
      <c r="I797" s="35">
        <v>200007</v>
      </c>
      <c r="J797" s="34" t="s">
        <v>89</v>
      </c>
      <c r="K797" s="34" t="str">
        <f t="shared" si="27"/>
        <v>不重复</v>
      </c>
      <c r="L797" s="34" t="str">
        <f t="shared" si="26"/>
        <v>不重复</v>
      </c>
    </row>
    <row r="798" spans="1:12" ht="27">
      <c r="A798" s="35" t="s">
        <v>11208</v>
      </c>
      <c r="B798" s="35" t="s">
        <v>2454</v>
      </c>
      <c r="C798" s="36" t="s">
        <v>2455</v>
      </c>
      <c r="D798" s="35" t="s">
        <v>2456</v>
      </c>
      <c r="E798" s="35" t="s">
        <v>11147</v>
      </c>
      <c r="F798" s="35" t="s">
        <v>11143</v>
      </c>
      <c r="G798" s="35">
        <v>240364</v>
      </c>
      <c r="H798" s="35">
        <v>280020</v>
      </c>
      <c r="I798" s="35">
        <v>200007</v>
      </c>
      <c r="J798" s="34" t="s">
        <v>311</v>
      </c>
      <c r="K798" s="34" t="str">
        <f t="shared" si="27"/>
        <v>重复</v>
      </c>
      <c r="L798" s="34" t="str">
        <f t="shared" si="26"/>
        <v>不重复</v>
      </c>
    </row>
    <row r="799" spans="1:12" ht="15">
      <c r="A799" s="35" t="s">
        <v>11209</v>
      </c>
      <c r="B799" s="35" t="s">
        <v>2457</v>
      </c>
      <c r="C799" s="36" t="s">
        <v>2275</v>
      </c>
      <c r="D799" s="35" t="s">
        <v>2458</v>
      </c>
      <c r="E799" s="35" t="s">
        <v>11147</v>
      </c>
      <c r="F799" s="35" t="s">
        <v>11143</v>
      </c>
      <c r="G799" s="35">
        <v>240365</v>
      </c>
      <c r="H799" s="35">
        <v>280020</v>
      </c>
      <c r="I799" s="35">
        <v>200007</v>
      </c>
      <c r="J799" s="34" t="s">
        <v>2391</v>
      </c>
      <c r="K799" s="34" t="str">
        <f t="shared" si="27"/>
        <v>重复</v>
      </c>
      <c r="L799" s="34" t="str">
        <f t="shared" si="26"/>
        <v>重复</v>
      </c>
    </row>
    <row r="800" spans="1:12" ht="15">
      <c r="A800" s="35" t="s">
        <v>11210</v>
      </c>
      <c r="B800" s="35" t="s">
        <v>2459</v>
      </c>
      <c r="C800" s="36" t="s">
        <v>2460</v>
      </c>
      <c r="D800" s="35" t="s">
        <v>2461</v>
      </c>
      <c r="E800" s="35" t="s">
        <v>11147</v>
      </c>
      <c r="F800" s="35" t="s">
        <v>11143</v>
      </c>
      <c r="G800" s="35">
        <v>240366</v>
      </c>
      <c r="H800" s="35">
        <v>280020</v>
      </c>
      <c r="I800" s="35">
        <v>200007</v>
      </c>
      <c r="J800" s="34" t="s">
        <v>2219</v>
      </c>
      <c r="K800" s="34" t="str">
        <f t="shared" si="27"/>
        <v>不重复</v>
      </c>
      <c r="L800" s="34" t="str">
        <f t="shared" si="26"/>
        <v>不重复</v>
      </c>
    </row>
    <row r="801" spans="1:12" ht="15">
      <c r="A801" s="35" t="s">
        <v>11211</v>
      </c>
      <c r="B801" s="35" t="s">
        <v>2462</v>
      </c>
      <c r="C801" s="36" t="s">
        <v>552</v>
      </c>
      <c r="D801" s="35" t="s">
        <v>1922</v>
      </c>
      <c r="E801" s="35" t="s">
        <v>11147</v>
      </c>
      <c r="F801" s="35" t="s">
        <v>11143</v>
      </c>
      <c r="G801" s="35">
        <v>240367</v>
      </c>
      <c r="H801" s="35">
        <v>280020</v>
      </c>
      <c r="I801" s="35">
        <v>200007</v>
      </c>
      <c r="J801" s="34" t="s">
        <v>2219</v>
      </c>
      <c r="K801" s="34" t="str">
        <f t="shared" si="27"/>
        <v>重复</v>
      </c>
      <c r="L801" s="34" t="str">
        <f t="shared" si="26"/>
        <v>重复</v>
      </c>
    </row>
    <row r="802" spans="1:12" ht="15">
      <c r="A802" s="35" t="s">
        <v>11212</v>
      </c>
      <c r="B802" s="35" t="s">
        <v>2463</v>
      </c>
      <c r="C802" s="36" t="s">
        <v>2464</v>
      </c>
      <c r="D802" s="35" t="s">
        <v>2465</v>
      </c>
      <c r="E802" s="35" t="s">
        <v>11147</v>
      </c>
      <c r="F802" s="35" t="s">
        <v>11143</v>
      </c>
      <c r="G802" s="35">
        <v>240368</v>
      </c>
      <c r="H802" s="35">
        <v>280020</v>
      </c>
      <c r="I802" s="35">
        <v>200007</v>
      </c>
      <c r="J802" s="34" t="s">
        <v>2466</v>
      </c>
      <c r="K802" s="34" t="str">
        <f t="shared" si="27"/>
        <v>不重复</v>
      </c>
      <c r="L802" s="34" t="str">
        <f t="shared" si="26"/>
        <v>重复</v>
      </c>
    </row>
    <row r="803" spans="1:12" ht="15">
      <c r="A803" s="35" t="s">
        <v>11213</v>
      </c>
      <c r="B803" s="35" t="s">
        <v>2467</v>
      </c>
      <c r="C803" s="36" t="s">
        <v>1094</v>
      </c>
      <c r="D803" s="35" t="s">
        <v>2468</v>
      </c>
      <c r="E803" s="35" t="s">
        <v>11147</v>
      </c>
      <c r="F803" s="35" t="s">
        <v>11143</v>
      </c>
      <c r="G803" s="35">
        <v>240369</v>
      </c>
      <c r="H803" s="35">
        <v>280020</v>
      </c>
      <c r="I803" s="35">
        <v>200007</v>
      </c>
      <c r="J803" s="34" t="s">
        <v>2469</v>
      </c>
      <c r="K803" s="34" t="str">
        <f t="shared" si="27"/>
        <v>重复</v>
      </c>
      <c r="L803" s="34" t="str">
        <f t="shared" si="26"/>
        <v>重复</v>
      </c>
    </row>
    <row r="804" spans="1:12" ht="28.5">
      <c r="A804" s="35" t="s">
        <v>11214</v>
      </c>
      <c r="B804" s="35" t="s">
        <v>2470</v>
      </c>
      <c r="C804" s="36" t="s">
        <v>2471</v>
      </c>
      <c r="D804" s="35" t="s">
        <v>2472</v>
      </c>
      <c r="E804" s="35" t="s">
        <v>11147</v>
      </c>
      <c r="F804" s="35" t="s">
        <v>11143</v>
      </c>
      <c r="G804" s="35">
        <v>240370</v>
      </c>
      <c r="H804" s="35">
        <v>280020</v>
      </c>
      <c r="I804" s="35">
        <v>200007</v>
      </c>
      <c r="J804" s="34" t="s">
        <v>2219</v>
      </c>
      <c r="K804" s="34" t="str">
        <f t="shared" si="27"/>
        <v>不重复</v>
      </c>
      <c r="L804" s="34" t="str">
        <f t="shared" si="26"/>
        <v>不重复</v>
      </c>
    </row>
    <row r="805" spans="1:12" ht="15">
      <c r="A805" s="35" t="s">
        <v>11215</v>
      </c>
      <c r="B805" s="35" t="s">
        <v>2467</v>
      </c>
      <c r="C805" s="36" t="s">
        <v>2473</v>
      </c>
      <c r="D805" s="35" t="s">
        <v>2468</v>
      </c>
      <c r="E805" s="35" t="s">
        <v>11147</v>
      </c>
      <c r="F805" s="35" t="s">
        <v>11143</v>
      </c>
      <c r="G805" s="35">
        <v>240371</v>
      </c>
      <c r="H805" s="35">
        <v>280020</v>
      </c>
      <c r="I805" s="35">
        <v>200007</v>
      </c>
      <c r="J805" s="34" t="s">
        <v>2474</v>
      </c>
      <c r="K805" s="34" t="str">
        <f t="shared" si="27"/>
        <v>重复</v>
      </c>
      <c r="L805" s="34" t="str">
        <f t="shared" si="26"/>
        <v>重复</v>
      </c>
    </row>
    <row r="806" spans="1:12" ht="15">
      <c r="A806" s="35" t="s">
        <v>11216</v>
      </c>
      <c r="B806" s="35" t="s">
        <v>2467</v>
      </c>
      <c r="C806" s="36" t="s">
        <v>2475</v>
      </c>
      <c r="D806" s="35" t="s">
        <v>2468</v>
      </c>
      <c r="E806" s="35" t="s">
        <v>11147</v>
      </c>
      <c r="F806" s="35" t="s">
        <v>11143</v>
      </c>
      <c r="G806" s="35">
        <v>240372</v>
      </c>
      <c r="H806" s="35">
        <v>280020</v>
      </c>
      <c r="I806" s="35">
        <v>200007</v>
      </c>
      <c r="J806" s="34" t="s">
        <v>2476</v>
      </c>
      <c r="K806" s="34" t="str">
        <f t="shared" si="27"/>
        <v>重复</v>
      </c>
      <c r="L806" s="34" t="str">
        <f t="shared" si="26"/>
        <v>重复</v>
      </c>
    </row>
    <row r="807" spans="1:12" ht="30">
      <c r="A807" s="35" t="s">
        <v>11217</v>
      </c>
      <c r="B807" s="35" t="s">
        <v>2477</v>
      </c>
      <c r="C807" s="36" t="s">
        <v>2478</v>
      </c>
      <c r="D807" s="35" t="s">
        <v>2479</v>
      </c>
      <c r="E807" s="35" t="s">
        <v>11147</v>
      </c>
      <c r="F807" s="35" t="s">
        <v>11143</v>
      </c>
      <c r="G807" s="35">
        <v>240373</v>
      </c>
      <c r="H807" s="35">
        <v>280020</v>
      </c>
      <c r="I807" s="35">
        <v>200007</v>
      </c>
      <c r="J807" s="34" t="s">
        <v>557</v>
      </c>
      <c r="K807" s="34" t="str">
        <f t="shared" si="27"/>
        <v>重复</v>
      </c>
      <c r="L807" s="34" t="str">
        <f t="shared" si="26"/>
        <v>不重复</v>
      </c>
    </row>
    <row r="808" spans="1:12" ht="15">
      <c r="A808" s="35" t="s">
        <v>11218</v>
      </c>
      <c r="B808" s="35" t="s">
        <v>2480</v>
      </c>
      <c r="C808" s="36" t="s">
        <v>2481</v>
      </c>
      <c r="D808" s="35" t="s">
        <v>2482</v>
      </c>
      <c r="E808" s="35" t="s">
        <v>11147</v>
      </c>
      <c r="F808" s="35" t="s">
        <v>11143</v>
      </c>
      <c r="G808" s="35">
        <v>240374</v>
      </c>
      <c r="H808" s="35">
        <v>280020</v>
      </c>
      <c r="I808" s="35">
        <v>200007</v>
      </c>
      <c r="J808" s="34" t="s">
        <v>2483</v>
      </c>
      <c r="K808" s="34" t="str">
        <f t="shared" si="27"/>
        <v>重复</v>
      </c>
      <c r="L808" s="34" t="str">
        <f t="shared" si="26"/>
        <v>重复</v>
      </c>
    </row>
    <row r="809" spans="1:12" ht="15">
      <c r="A809" s="35" t="s">
        <v>11219</v>
      </c>
      <c r="B809" s="35" t="s">
        <v>2484</v>
      </c>
      <c r="C809" s="36" t="s">
        <v>2485</v>
      </c>
      <c r="D809" s="35" t="s">
        <v>2482</v>
      </c>
      <c r="E809" s="35" t="s">
        <v>11147</v>
      </c>
      <c r="F809" s="35" t="s">
        <v>11143</v>
      </c>
      <c r="G809" s="35">
        <v>240375</v>
      </c>
      <c r="H809" s="35">
        <v>280020</v>
      </c>
      <c r="I809" s="35">
        <v>200007</v>
      </c>
      <c r="J809" s="34" t="s">
        <v>2466</v>
      </c>
      <c r="K809" s="34" t="str">
        <f t="shared" si="27"/>
        <v>重复</v>
      </c>
      <c r="L809" s="34" t="str">
        <f t="shared" si="28" ref="L809:L872">IF(COUNTIF(D:D,D809)&gt;=2,"重复","不重复")</f>
        <v>重复</v>
      </c>
    </row>
    <row r="810" spans="1:12" ht="15">
      <c r="A810" s="35" t="s">
        <v>11220</v>
      </c>
      <c r="B810" s="35" t="s">
        <v>2486</v>
      </c>
      <c r="C810" s="36" t="s">
        <v>2481</v>
      </c>
      <c r="D810" s="35" t="s">
        <v>2487</v>
      </c>
      <c r="E810" s="35" t="s">
        <v>11147</v>
      </c>
      <c r="F810" s="35" t="s">
        <v>11143</v>
      </c>
      <c r="G810" s="35">
        <v>240376</v>
      </c>
      <c r="H810" s="35">
        <v>280020</v>
      </c>
      <c r="I810" s="35">
        <v>200007</v>
      </c>
      <c r="J810" s="34" t="s">
        <v>2219</v>
      </c>
      <c r="K810" s="34" t="str">
        <f t="shared" si="27"/>
        <v>重复</v>
      </c>
      <c r="L810" s="34" t="str">
        <f t="shared" si="28"/>
        <v>不重复</v>
      </c>
    </row>
    <row r="811" spans="1:12" ht="30">
      <c r="A811" s="35" t="s">
        <v>11221</v>
      </c>
      <c r="B811" s="35" t="s">
        <v>2488</v>
      </c>
      <c r="C811" s="36" t="s">
        <v>2489</v>
      </c>
      <c r="D811" s="35" t="s">
        <v>2465</v>
      </c>
      <c r="E811" s="35" t="s">
        <v>11147</v>
      </c>
      <c r="F811" s="35" t="s">
        <v>11143</v>
      </c>
      <c r="G811" s="35">
        <v>240377</v>
      </c>
      <c r="H811" s="35">
        <v>280020</v>
      </c>
      <c r="I811" s="35">
        <v>200007</v>
      </c>
      <c r="J811" s="34" t="s">
        <v>557</v>
      </c>
      <c r="K811" s="34" t="str">
        <f t="shared" si="27"/>
        <v>重复</v>
      </c>
      <c r="L811" s="34" t="str">
        <f t="shared" si="28"/>
        <v>重复</v>
      </c>
    </row>
    <row r="812" spans="1:12" ht="30">
      <c r="A812" s="35" t="s">
        <v>11222</v>
      </c>
      <c r="B812" s="35" t="s">
        <v>2490</v>
      </c>
      <c r="C812" s="36" t="s">
        <v>2491</v>
      </c>
      <c r="D812" s="35" t="s">
        <v>2492</v>
      </c>
      <c r="E812" s="35" t="s">
        <v>11147</v>
      </c>
      <c r="F812" s="35" t="s">
        <v>11143</v>
      </c>
      <c r="G812" s="35">
        <v>240378</v>
      </c>
      <c r="H812" s="35">
        <v>280020</v>
      </c>
      <c r="I812" s="35">
        <v>200007</v>
      </c>
      <c r="J812" s="34" t="s">
        <v>2466</v>
      </c>
      <c r="K812" s="34" t="str">
        <f t="shared" si="27"/>
        <v>不重复</v>
      </c>
      <c r="L812" s="34" t="str">
        <f t="shared" si="28"/>
        <v>不重复</v>
      </c>
    </row>
    <row r="813" spans="1:12" ht="30">
      <c r="A813" s="35" t="s">
        <v>11223</v>
      </c>
      <c r="B813" s="35" t="s">
        <v>2493</v>
      </c>
      <c r="C813" s="36" t="s">
        <v>709</v>
      </c>
      <c r="D813" s="35" t="s">
        <v>2494</v>
      </c>
      <c r="E813" s="35" t="s">
        <v>11147</v>
      </c>
      <c r="F813" s="35" t="s">
        <v>11143</v>
      </c>
      <c r="G813" s="35">
        <v>240379</v>
      </c>
      <c r="H813" s="35">
        <v>280020</v>
      </c>
      <c r="I813" s="35">
        <v>200007</v>
      </c>
      <c r="J813" s="34" t="s">
        <v>2495</v>
      </c>
      <c r="K813" s="34" t="str">
        <f t="shared" si="27"/>
        <v>重复</v>
      </c>
      <c r="L813" s="34" t="str">
        <f t="shared" si="28"/>
        <v>不重复</v>
      </c>
    </row>
    <row r="814" spans="1:12" ht="30">
      <c r="A814" s="35" t="s">
        <v>11224</v>
      </c>
      <c r="B814" s="35" t="s">
        <v>2496</v>
      </c>
      <c r="C814" s="36" t="s">
        <v>2497</v>
      </c>
      <c r="D814" s="35" t="s">
        <v>2498</v>
      </c>
      <c r="E814" s="35" t="s">
        <v>11147</v>
      </c>
      <c r="F814" s="35" t="s">
        <v>11143</v>
      </c>
      <c r="G814" s="35">
        <v>240380</v>
      </c>
      <c r="H814" s="35">
        <v>280020</v>
      </c>
      <c r="I814" s="35">
        <v>200007</v>
      </c>
      <c r="J814" s="34" t="s">
        <v>2469</v>
      </c>
      <c r="K814" s="34" t="str">
        <f t="shared" si="27"/>
        <v>不重复</v>
      </c>
      <c r="L814" s="34" t="str">
        <f t="shared" si="28"/>
        <v>不重复</v>
      </c>
    </row>
    <row r="815" spans="1:12" ht="30">
      <c r="A815" s="35" t="s">
        <v>11225</v>
      </c>
      <c r="B815" s="35" t="s">
        <v>2499</v>
      </c>
      <c r="C815" s="36" t="s">
        <v>2500</v>
      </c>
      <c r="D815" s="35" t="s">
        <v>2501</v>
      </c>
      <c r="E815" s="35" t="s">
        <v>11147</v>
      </c>
      <c r="F815" s="35" t="s">
        <v>11143</v>
      </c>
      <c r="G815" s="35">
        <v>240381</v>
      </c>
      <c r="H815" s="35">
        <v>280020</v>
      </c>
      <c r="I815" s="35">
        <v>200007</v>
      </c>
      <c r="J815" s="34" t="s">
        <v>2466</v>
      </c>
      <c r="K815" s="34" t="str">
        <f t="shared" si="27"/>
        <v>不重复</v>
      </c>
      <c r="L815" s="34" t="str">
        <f t="shared" si="28"/>
        <v>不重复</v>
      </c>
    </row>
    <row r="816" spans="1:12" ht="30">
      <c r="A816" s="35" t="s">
        <v>11226</v>
      </c>
      <c r="B816" s="35" t="s">
        <v>2502</v>
      </c>
      <c r="C816" s="36" t="s">
        <v>2503</v>
      </c>
      <c r="D816" s="35" t="s">
        <v>2504</v>
      </c>
      <c r="E816" s="35" t="s">
        <v>11147</v>
      </c>
      <c r="F816" s="35" t="s">
        <v>11143</v>
      </c>
      <c r="G816" s="35">
        <v>240382</v>
      </c>
      <c r="H816" s="35">
        <v>280020</v>
      </c>
      <c r="I816" s="35">
        <v>200007</v>
      </c>
      <c r="J816" s="34" t="s">
        <v>2505</v>
      </c>
      <c r="K816" s="34" t="str">
        <f t="shared" si="27"/>
        <v>重复</v>
      </c>
      <c r="L816" s="34" t="str">
        <f t="shared" si="28"/>
        <v>不重复</v>
      </c>
    </row>
    <row r="817" spans="1:12" ht="30">
      <c r="A817" s="35" t="s">
        <v>11227</v>
      </c>
      <c r="B817" s="35" t="s">
        <v>2506</v>
      </c>
      <c r="C817" s="36" t="s">
        <v>2507</v>
      </c>
      <c r="D817" s="35" t="s">
        <v>2508</v>
      </c>
      <c r="E817" s="35" t="s">
        <v>11147</v>
      </c>
      <c r="F817" s="35" t="s">
        <v>11143</v>
      </c>
      <c r="G817" s="35">
        <v>240383</v>
      </c>
      <c r="H817" s="35">
        <v>280020</v>
      </c>
      <c r="I817" s="35">
        <v>200007</v>
      </c>
      <c r="J817" s="34" t="s">
        <v>2483</v>
      </c>
      <c r="K817" s="34" t="str">
        <f t="shared" si="27"/>
        <v>重复</v>
      </c>
      <c r="L817" s="34" t="str">
        <f t="shared" si="28"/>
        <v>不重复</v>
      </c>
    </row>
    <row r="818" spans="1:12" ht="30">
      <c r="A818" s="35" t="s">
        <v>11228</v>
      </c>
      <c r="B818" s="35" t="s">
        <v>2509</v>
      </c>
      <c r="C818" s="36" t="s">
        <v>2510</v>
      </c>
      <c r="D818" s="35" t="s">
        <v>2511</v>
      </c>
      <c r="E818" s="35" t="s">
        <v>11147</v>
      </c>
      <c r="F818" s="35" t="s">
        <v>11143</v>
      </c>
      <c r="G818" s="35">
        <v>240384</v>
      </c>
      <c r="H818" s="35">
        <v>280020</v>
      </c>
      <c r="I818" s="35">
        <v>200007</v>
      </c>
      <c r="J818" s="34" t="s">
        <v>2512</v>
      </c>
      <c r="K818" s="34" t="str">
        <f t="shared" si="27"/>
        <v>重复</v>
      </c>
      <c r="L818" s="34" t="str">
        <f t="shared" si="28"/>
        <v>不重复</v>
      </c>
    </row>
    <row r="819" spans="1:12" ht="27">
      <c r="A819" s="35" t="s">
        <v>11229</v>
      </c>
      <c r="B819" s="35" t="s">
        <v>2513</v>
      </c>
      <c r="C819" s="36" t="s">
        <v>496</v>
      </c>
      <c r="D819" s="35" t="s">
        <v>2514</v>
      </c>
      <c r="E819" s="35" t="s">
        <v>11147</v>
      </c>
      <c r="F819" s="35" t="s">
        <v>11143</v>
      </c>
      <c r="G819" s="35">
        <v>240385</v>
      </c>
      <c r="H819" s="35">
        <v>280020</v>
      </c>
      <c r="I819" s="35">
        <v>200007</v>
      </c>
      <c r="J819" s="34" t="s">
        <v>2432</v>
      </c>
      <c r="K819" s="34" t="str">
        <f t="shared" si="27"/>
        <v>重复</v>
      </c>
      <c r="L819" s="34" t="str">
        <f t="shared" si="28"/>
        <v>不重复</v>
      </c>
    </row>
    <row r="820" spans="1:12" ht="30">
      <c r="A820" s="35" t="s">
        <v>11230</v>
      </c>
      <c r="B820" s="35" t="s">
        <v>2515</v>
      </c>
      <c r="C820" s="36" t="s">
        <v>993</v>
      </c>
      <c r="D820" s="35" t="s">
        <v>2516</v>
      </c>
      <c r="E820" s="35" t="s">
        <v>11147</v>
      </c>
      <c r="F820" s="35" t="s">
        <v>11143</v>
      </c>
      <c r="G820" s="35">
        <v>240386</v>
      </c>
      <c r="H820" s="35">
        <v>280020</v>
      </c>
      <c r="I820" s="35">
        <v>200007</v>
      </c>
      <c r="J820" s="34" t="s">
        <v>598</v>
      </c>
      <c r="K820" s="34" t="str">
        <f t="shared" si="27"/>
        <v>重复</v>
      </c>
      <c r="L820" s="34" t="str">
        <f t="shared" si="28"/>
        <v>不重复</v>
      </c>
    </row>
    <row r="821" spans="1:12" ht="30">
      <c r="A821" s="35" t="s">
        <v>11231</v>
      </c>
      <c r="B821" s="35" t="s">
        <v>2517</v>
      </c>
      <c r="C821" s="36" t="s">
        <v>2518</v>
      </c>
      <c r="D821" s="35" t="s">
        <v>2519</v>
      </c>
      <c r="E821" s="35" t="s">
        <v>11147</v>
      </c>
      <c r="F821" s="35" t="s">
        <v>11143</v>
      </c>
      <c r="G821" s="35">
        <v>240387</v>
      </c>
      <c r="H821" s="35">
        <v>280020</v>
      </c>
      <c r="I821" s="35">
        <v>200007</v>
      </c>
      <c r="J821" s="34" t="s">
        <v>2520</v>
      </c>
      <c r="K821" s="34" t="str">
        <f t="shared" si="27"/>
        <v>重复</v>
      </c>
      <c r="L821" s="34" t="str">
        <f t="shared" si="28"/>
        <v>不重复</v>
      </c>
    </row>
    <row r="822" spans="1:12" ht="15">
      <c r="A822" s="35" t="s">
        <v>11232</v>
      </c>
      <c r="B822" s="35" t="s">
        <v>2521</v>
      </c>
      <c r="C822" s="36" t="s">
        <v>2522</v>
      </c>
      <c r="D822" s="35" t="s">
        <v>2523</v>
      </c>
      <c r="E822" s="35" t="s">
        <v>11147</v>
      </c>
      <c r="F822" s="35" t="s">
        <v>11143</v>
      </c>
      <c r="G822" s="35">
        <v>240388</v>
      </c>
      <c r="H822" s="35">
        <v>280020</v>
      </c>
      <c r="I822" s="35">
        <v>200007</v>
      </c>
      <c r="J822" s="34" t="s">
        <v>363</v>
      </c>
      <c r="K822" s="34" t="str">
        <f t="shared" si="27"/>
        <v>重复</v>
      </c>
      <c r="L822" s="34" t="str">
        <f t="shared" si="28"/>
        <v>重复</v>
      </c>
    </row>
    <row r="823" spans="1:12" ht="27">
      <c r="A823" s="35" t="s">
        <v>11233</v>
      </c>
      <c r="B823" s="35" t="s">
        <v>2521</v>
      </c>
      <c r="C823" s="36" t="s">
        <v>2522</v>
      </c>
      <c r="D823" s="35" t="s">
        <v>2523</v>
      </c>
      <c r="E823" s="35" t="s">
        <v>11147</v>
      </c>
      <c r="F823" s="35" t="s">
        <v>11143</v>
      </c>
      <c r="G823" s="35">
        <v>240389</v>
      </c>
      <c r="H823" s="35">
        <v>280020</v>
      </c>
      <c r="I823" s="35">
        <v>200007</v>
      </c>
      <c r="J823" s="34" t="s">
        <v>363</v>
      </c>
      <c r="K823" s="34" t="str">
        <f t="shared" si="27"/>
        <v>重复</v>
      </c>
      <c r="L823" s="34" t="str">
        <f t="shared" si="28"/>
        <v>重复</v>
      </c>
    </row>
    <row r="824" spans="1:12" ht="27">
      <c r="A824" s="35" t="s">
        <v>11234</v>
      </c>
      <c r="B824" s="35" t="s">
        <v>2521</v>
      </c>
      <c r="C824" s="36" t="s">
        <v>2524</v>
      </c>
      <c r="D824" s="35" t="s">
        <v>2523</v>
      </c>
      <c r="E824" s="35" t="s">
        <v>11147</v>
      </c>
      <c r="F824" s="35" t="s">
        <v>11143</v>
      </c>
      <c r="G824" s="35">
        <v>240390</v>
      </c>
      <c r="H824" s="35">
        <v>280020</v>
      </c>
      <c r="I824" s="35">
        <v>200007</v>
      </c>
      <c r="J824" s="34" t="s">
        <v>2525</v>
      </c>
      <c r="K824" s="34" t="str">
        <f t="shared" si="27"/>
        <v>不重复</v>
      </c>
      <c r="L824" s="34" t="str">
        <f t="shared" si="28"/>
        <v>重复</v>
      </c>
    </row>
    <row r="825" spans="1:12" ht="15">
      <c r="A825" s="35" t="s">
        <v>11235</v>
      </c>
      <c r="B825" s="35" t="s">
        <v>2526</v>
      </c>
      <c r="C825" s="36" t="s">
        <v>2527</v>
      </c>
      <c r="D825" s="35" t="s">
        <v>2528</v>
      </c>
      <c r="E825" s="35" t="s">
        <v>11147</v>
      </c>
      <c r="F825" s="35" t="s">
        <v>11143</v>
      </c>
      <c r="G825" s="35">
        <v>240391</v>
      </c>
      <c r="H825" s="35">
        <v>280020</v>
      </c>
      <c r="I825" s="35">
        <v>200007</v>
      </c>
      <c r="J825" s="34" t="s">
        <v>1137</v>
      </c>
      <c r="K825" s="34" t="str">
        <f t="shared" si="27"/>
        <v>不重复</v>
      </c>
      <c r="L825" s="34" t="str">
        <f t="shared" si="28"/>
        <v>不重复</v>
      </c>
    </row>
    <row r="826" spans="1:12" ht="15">
      <c r="A826" s="35" t="s">
        <v>11236</v>
      </c>
      <c r="B826" s="35" t="s">
        <v>2529</v>
      </c>
      <c r="C826" s="36" t="s">
        <v>2530</v>
      </c>
      <c r="D826" s="35" t="s">
        <v>2531</v>
      </c>
      <c r="E826" s="35" t="s">
        <v>11147</v>
      </c>
      <c r="F826" s="35" t="s">
        <v>11143</v>
      </c>
      <c r="G826" s="35">
        <v>240392</v>
      </c>
      <c r="H826" s="35">
        <v>280020</v>
      </c>
      <c r="I826" s="35">
        <v>200007</v>
      </c>
      <c r="J826" s="34" t="s">
        <v>1137</v>
      </c>
      <c r="K826" s="34" t="str">
        <f t="shared" si="27"/>
        <v>重复</v>
      </c>
      <c r="L826" s="34" t="str">
        <f t="shared" si="28"/>
        <v>重复</v>
      </c>
    </row>
    <row r="827" spans="1:12" ht="15">
      <c r="A827" s="35" t="s">
        <v>11237</v>
      </c>
      <c r="B827" s="35" t="s">
        <v>2529</v>
      </c>
      <c r="C827" s="36" t="s">
        <v>1094</v>
      </c>
      <c r="D827" s="35" t="s">
        <v>2531</v>
      </c>
      <c r="E827" s="35" t="s">
        <v>11147</v>
      </c>
      <c r="F827" s="35" t="s">
        <v>11143</v>
      </c>
      <c r="G827" s="35">
        <v>240393</v>
      </c>
      <c r="H827" s="35">
        <v>280020</v>
      </c>
      <c r="I827" s="35">
        <v>200007</v>
      </c>
      <c r="J827" s="34" t="s">
        <v>2476</v>
      </c>
      <c r="K827" s="34" t="str">
        <f t="shared" si="27"/>
        <v>重复</v>
      </c>
      <c r="L827" s="34" t="str">
        <f t="shared" si="28"/>
        <v>重复</v>
      </c>
    </row>
    <row r="828" spans="1:12" ht="27">
      <c r="A828" s="35" t="s">
        <v>11238</v>
      </c>
      <c r="B828" s="35" t="s">
        <v>2529</v>
      </c>
      <c r="C828" s="36" t="s">
        <v>2530</v>
      </c>
      <c r="D828" s="35" t="s">
        <v>2531</v>
      </c>
      <c r="E828" s="35" t="s">
        <v>11147</v>
      </c>
      <c r="F828" s="35" t="s">
        <v>11143</v>
      </c>
      <c r="G828" s="35">
        <v>240394</v>
      </c>
      <c r="H828" s="35">
        <v>280020</v>
      </c>
      <c r="I828" s="35">
        <v>200007</v>
      </c>
      <c r="J828" s="34" t="s">
        <v>1137</v>
      </c>
      <c r="K828" s="34" t="str">
        <f t="shared" si="27"/>
        <v>重复</v>
      </c>
      <c r="L828" s="34" t="str">
        <f t="shared" si="28"/>
        <v>重复</v>
      </c>
    </row>
    <row r="829" spans="1:12" ht="15">
      <c r="A829" s="35" t="s">
        <v>11239</v>
      </c>
      <c r="B829" s="35" t="s">
        <v>2529</v>
      </c>
      <c r="C829" s="36" t="s">
        <v>2489</v>
      </c>
      <c r="D829" s="35" t="s">
        <v>2531</v>
      </c>
      <c r="E829" s="35" t="s">
        <v>11147</v>
      </c>
      <c r="F829" s="35" t="s">
        <v>11143</v>
      </c>
      <c r="G829" s="35">
        <v>240395</v>
      </c>
      <c r="H829" s="35">
        <v>280020</v>
      </c>
      <c r="I829" s="35">
        <v>200007</v>
      </c>
      <c r="J829" s="34" t="s">
        <v>2532</v>
      </c>
      <c r="K829" s="34" t="str">
        <f t="shared" si="27"/>
        <v>重复</v>
      </c>
      <c r="L829" s="34" t="str">
        <f t="shared" si="28"/>
        <v>重复</v>
      </c>
    </row>
    <row r="830" spans="1:12" ht="15">
      <c r="A830" s="35" t="s">
        <v>11240</v>
      </c>
      <c r="B830" s="35" t="s">
        <v>2533</v>
      </c>
      <c r="C830" s="36" t="s">
        <v>2534</v>
      </c>
      <c r="D830" s="35" t="s">
        <v>2535</v>
      </c>
      <c r="E830" s="35" t="s">
        <v>11147</v>
      </c>
      <c r="F830" s="35" t="s">
        <v>11143</v>
      </c>
      <c r="G830" s="35">
        <v>240396</v>
      </c>
      <c r="H830" s="35">
        <v>280020</v>
      </c>
      <c r="I830" s="35">
        <v>200007</v>
      </c>
      <c r="J830" s="34" t="s">
        <v>2536</v>
      </c>
      <c r="K830" s="34" t="str">
        <f t="shared" si="27"/>
        <v>不重复</v>
      </c>
      <c r="L830" s="34" t="str">
        <f t="shared" si="28"/>
        <v>重复</v>
      </c>
    </row>
    <row r="831" spans="1:12" ht="15">
      <c r="A831" s="35" t="s">
        <v>11241</v>
      </c>
      <c r="B831" s="35" t="s">
        <v>2537</v>
      </c>
      <c r="C831" s="36" t="s">
        <v>2538</v>
      </c>
      <c r="D831" s="35" t="s">
        <v>2535</v>
      </c>
      <c r="E831" s="35" t="s">
        <v>11147</v>
      </c>
      <c r="F831" s="35" t="s">
        <v>11143</v>
      </c>
      <c r="G831" s="35">
        <v>240397</v>
      </c>
      <c r="H831" s="35">
        <v>280020</v>
      </c>
      <c r="I831" s="35">
        <v>200007</v>
      </c>
      <c r="J831" s="34" t="s">
        <v>363</v>
      </c>
      <c r="K831" s="34" t="str">
        <f t="shared" si="27"/>
        <v>不重复</v>
      </c>
      <c r="L831" s="34" t="str">
        <f t="shared" si="28"/>
        <v>重复</v>
      </c>
    </row>
    <row r="832" spans="1:12" ht="30">
      <c r="A832" s="35" t="s">
        <v>11242</v>
      </c>
      <c r="B832" s="35" t="s">
        <v>2539</v>
      </c>
      <c r="C832" s="36" t="s">
        <v>2136</v>
      </c>
      <c r="D832" s="35" t="s">
        <v>2540</v>
      </c>
      <c r="E832" s="35" t="s">
        <v>11147</v>
      </c>
      <c r="F832" s="35" t="s">
        <v>11143</v>
      </c>
      <c r="G832" s="35">
        <v>240408</v>
      </c>
      <c r="H832" s="35">
        <v>280020</v>
      </c>
      <c r="I832" s="35">
        <v>200007</v>
      </c>
      <c r="J832" s="34" t="s">
        <v>932</v>
      </c>
      <c r="K832" s="34" t="str">
        <f t="shared" si="27"/>
        <v>重复</v>
      </c>
      <c r="L832" s="34" t="str">
        <f t="shared" si="28"/>
        <v>不重复</v>
      </c>
    </row>
    <row r="833" spans="1:12" ht="30">
      <c r="A833" s="35" t="s">
        <v>11243</v>
      </c>
      <c r="B833" s="35" t="s">
        <v>2541</v>
      </c>
      <c r="C833" s="36" t="s">
        <v>2542</v>
      </c>
      <c r="D833" s="35" t="s">
        <v>2543</v>
      </c>
      <c r="E833" s="35" t="s">
        <v>11147</v>
      </c>
      <c r="F833" s="35" t="s">
        <v>11143</v>
      </c>
      <c r="G833" s="35">
        <v>240409</v>
      </c>
      <c r="H833" s="35">
        <v>280020</v>
      </c>
      <c r="I833" s="35">
        <v>200007</v>
      </c>
      <c r="J833" s="34" t="s">
        <v>2544</v>
      </c>
      <c r="K833" s="34" t="str">
        <f t="shared" si="27"/>
        <v>不重复</v>
      </c>
      <c r="L833" s="34" t="str">
        <f t="shared" si="28"/>
        <v>不重复</v>
      </c>
    </row>
    <row r="834" spans="1:12" ht="15">
      <c r="A834" s="35" t="s">
        <v>11244</v>
      </c>
      <c r="B834" s="35" t="s">
        <v>2545</v>
      </c>
      <c r="C834" s="36" t="s">
        <v>2546</v>
      </c>
      <c r="D834" s="35" t="s">
        <v>2547</v>
      </c>
      <c r="E834" s="35" t="s">
        <v>11147</v>
      </c>
      <c r="F834" s="35" t="s">
        <v>11143</v>
      </c>
      <c r="G834" s="35">
        <v>240410</v>
      </c>
      <c r="H834" s="35">
        <v>280020</v>
      </c>
      <c r="I834" s="35">
        <v>200007</v>
      </c>
      <c r="J834" s="34" t="s">
        <v>2548</v>
      </c>
      <c r="K834" s="34" t="str">
        <f t="shared" si="27"/>
        <v>不重复</v>
      </c>
      <c r="L834" s="34" t="str">
        <f t="shared" si="28"/>
        <v>不重复</v>
      </c>
    </row>
    <row r="835" spans="1:12" ht="15">
      <c r="A835" s="35" t="s">
        <v>11245</v>
      </c>
      <c r="B835" s="35" t="s">
        <v>2549</v>
      </c>
      <c r="C835" s="36" t="s">
        <v>2550</v>
      </c>
      <c r="D835" s="35" t="s">
        <v>2551</v>
      </c>
      <c r="E835" s="35" t="s">
        <v>11147</v>
      </c>
      <c r="F835" s="35" t="s">
        <v>11143</v>
      </c>
      <c r="G835" s="35">
        <v>240411</v>
      </c>
      <c r="H835" s="35">
        <v>280020</v>
      </c>
      <c r="I835" s="35">
        <v>200007</v>
      </c>
      <c r="J835" s="34" t="s">
        <v>2512</v>
      </c>
      <c r="K835" s="34" t="str">
        <f t="shared" si="27"/>
        <v>重复</v>
      </c>
      <c r="L835" s="34" t="str">
        <f t="shared" si="28"/>
        <v>不重复</v>
      </c>
    </row>
    <row r="836" spans="1:12" ht="15">
      <c r="A836" s="35" t="s">
        <v>11246</v>
      </c>
      <c r="B836" s="35" t="s">
        <v>2552</v>
      </c>
      <c r="C836" s="36" t="s">
        <v>887</v>
      </c>
      <c r="D836" s="35" t="s">
        <v>2553</v>
      </c>
      <c r="E836" s="35" t="s">
        <v>11147</v>
      </c>
      <c r="F836" s="35" t="s">
        <v>11143</v>
      </c>
      <c r="G836" s="35">
        <v>240412</v>
      </c>
      <c r="H836" s="35">
        <v>280020</v>
      </c>
      <c r="I836" s="35">
        <v>200007</v>
      </c>
      <c r="J836" s="34" t="s">
        <v>2554</v>
      </c>
      <c r="K836" s="34" t="str">
        <f t="shared" si="27"/>
        <v>重复</v>
      </c>
      <c r="L836" s="34" t="str">
        <f t="shared" si="28"/>
        <v>不重复</v>
      </c>
    </row>
    <row r="837" spans="1:12" ht="15">
      <c r="A837" s="35" t="s">
        <v>11247</v>
      </c>
      <c r="B837" s="35" t="s">
        <v>2555</v>
      </c>
      <c r="C837" s="36" t="s">
        <v>2556</v>
      </c>
      <c r="D837" s="35" t="s">
        <v>2557</v>
      </c>
      <c r="E837" s="35" t="s">
        <v>11147</v>
      </c>
      <c r="F837" s="35" t="s">
        <v>11143</v>
      </c>
      <c r="G837" s="35">
        <v>240413</v>
      </c>
      <c r="H837" s="35">
        <v>280020</v>
      </c>
      <c r="I837" s="35">
        <v>200007</v>
      </c>
      <c r="J837" s="34" t="s">
        <v>962</v>
      </c>
      <c r="K837" s="34" t="str">
        <f t="shared" si="27"/>
        <v>不重复</v>
      </c>
      <c r="L837" s="34" t="str">
        <f t="shared" si="28"/>
        <v>不重复</v>
      </c>
    </row>
    <row r="838" spans="1:12" ht="15">
      <c r="A838" s="35" t="s">
        <v>11248</v>
      </c>
      <c r="B838" s="35" t="s">
        <v>2558</v>
      </c>
      <c r="C838" s="36" t="s">
        <v>2559</v>
      </c>
      <c r="D838" s="35" t="s">
        <v>2560</v>
      </c>
      <c r="E838" s="35" t="s">
        <v>11147</v>
      </c>
      <c r="F838" s="35" t="s">
        <v>11143</v>
      </c>
      <c r="G838" s="35">
        <v>240414</v>
      </c>
      <c r="H838" s="35">
        <v>280020</v>
      </c>
      <c r="I838" s="35">
        <v>200007</v>
      </c>
      <c r="J838" s="34" t="s">
        <v>1137</v>
      </c>
      <c r="K838" s="34" t="str">
        <f t="shared" si="27"/>
        <v>不重复</v>
      </c>
      <c r="L838" s="34" t="str">
        <f t="shared" si="28"/>
        <v>不重复</v>
      </c>
    </row>
    <row r="839" spans="1:12" ht="15">
      <c r="A839" s="35" t="s">
        <v>11249</v>
      </c>
      <c r="B839" s="35" t="s">
        <v>2561</v>
      </c>
      <c r="C839" s="36" t="s">
        <v>2562</v>
      </c>
      <c r="D839" s="35" t="s">
        <v>2563</v>
      </c>
      <c r="E839" s="35" t="s">
        <v>11147</v>
      </c>
      <c r="F839" s="35" t="s">
        <v>11143</v>
      </c>
      <c r="G839" s="35">
        <v>240415</v>
      </c>
      <c r="H839" s="35">
        <v>280020</v>
      </c>
      <c r="I839" s="35">
        <v>200007</v>
      </c>
      <c r="J839" s="34" t="s">
        <v>183</v>
      </c>
      <c r="K839" s="34" t="str">
        <f t="shared" si="27"/>
        <v>不重复</v>
      </c>
      <c r="L839" s="34" t="str">
        <f t="shared" si="28"/>
        <v>重复</v>
      </c>
    </row>
    <row r="840" spans="1:12" ht="30">
      <c r="A840" s="35" t="s">
        <v>11250</v>
      </c>
      <c r="B840" s="35" t="s">
        <v>2564</v>
      </c>
      <c r="C840" s="36" t="s">
        <v>2565</v>
      </c>
      <c r="D840" s="35" t="s">
        <v>2566</v>
      </c>
      <c r="E840" s="35" t="s">
        <v>11147</v>
      </c>
      <c r="F840" s="35" t="s">
        <v>11143</v>
      </c>
      <c r="G840" s="35">
        <v>240419</v>
      </c>
      <c r="H840" s="35">
        <v>280020</v>
      </c>
      <c r="I840" s="35">
        <v>200007</v>
      </c>
      <c r="J840" s="34" t="s">
        <v>2495</v>
      </c>
      <c r="K840" s="34" t="str">
        <f t="shared" si="27"/>
        <v>不重复</v>
      </c>
      <c r="L840" s="34" t="str">
        <f t="shared" si="28"/>
        <v>不重复</v>
      </c>
    </row>
    <row r="841" spans="1:12" ht="15">
      <c r="A841" s="35" t="s">
        <v>11251</v>
      </c>
      <c r="B841" s="35" t="s">
        <v>2567</v>
      </c>
      <c r="C841" s="36" t="s">
        <v>2568</v>
      </c>
      <c r="D841" s="35" t="s">
        <v>2569</v>
      </c>
      <c r="E841" s="35" t="s">
        <v>11147</v>
      </c>
      <c r="F841" s="35" t="s">
        <v>11143</v>
      </c>
      <c r="G841" s="35">
        <v>240420</v>
      </c>
      <c r="H841" s="35">
        <v>280020</v>
      </c>
      <c r="I841" s="35">
        <v>200007</v>
      </c>
      <c r="J841" s="34" t="s">
        <v>288</v>
      </c>
      <c r="K841" s="34" t="str">
        <f t="shared" si="27"/>
        <v>不重复</v>
      </c>
      <c r="L841" s="34" t="str">
        <f t="shared" si="28"/>
        <v>重复</v>
      </c>
    </row>
    <row r="842" spans="1:12" ht="15">
      <c r="A842" s="35" t="s">
        <v>11252</v>
      </c>
      <c r="B842" s="35" t="s">
        <v>2570</v>
      </c>
      <c r="C842" s="36" t="s">
        <v>2571</v>
      </c>
      <c r="D842" s="35" t="s">
        <v>2572</v>
      </c>
      <c r="E842" s="35" t="s">
        <v>11147</v>
      </c>
      <c r="F842" s="35" t="s">
        <v>11143</v>
      </c>
      <c r="G842" s="35">
        <v>240421</v>
      </c>
      <c r="H842" s="35">
        <v>280020</v>
      </c>
      <c r="I842" s="35">
        <v>200007</v>
      </c>
      <c r="J842" s="34" t="s">
        <v>2573</v>
      </c>
      <c r="K842" s="34" t="str">
        <f t="shared" si="27"/>
        <v>不重复</v>
      </c>
      <c r="L842" s="34" t="str">
        <f t="shared" si="28"/>
        <v>不重复</v>
      </c>
    </row>
    <row r="843" spans="1:12" ht="15">
      <c r="A843" s="35" t="s">
        <v>11253</v>
      </c>
      <c r="B843" s="35" t="s">
        <v>2574</v>
      </c>
      <c r="C843" s="36" t="s">
        <v>2575</v>
      </c>
      <c r="D843" s="35" t="s">
        <v>2576</v>
      </c>
      <c r="E843" s="35" t="s">
        <v>11147</v>
      </c>
      <c r="F843" s="35" t="s">
        <v>11143</v>
      </c>
      <c r="G843" s="35">
        <v>240422</v>
      </c>
      <c r="H843" s="35">
        <v>280020</v>
      </c>
      <c r="I843" s="35">
        <v>200007</v>
      </c>
      <c r="J843" s="34" t="s">
        <v>2577</v>
      </c>
      <c r="K843" s="34" t="str">
        <f t="shared" si="27"/>
        <v>不重复</v>
      </c>
      <c r="L843" s="34" t="str">
        <f t="shared" si="28"/>
        <v>不重复</v>
      </c>
    </row>
    <row r="844" spans="1:12" ht="15">
      <c r="A844" s="35" t="s">
        <v>11254</v>
      </c>
      <c r="B844" s="35" t="s">
        <v>2578</v>
      </c>
      <c r="C844" s="36" t="s">
        <v>2579</v>
      </c>
      <c r="D844" s="35" t="s">
        <v>2580</v>
      </c>
      <c r="E844" s="35" t="s">
        <v>11147</v>
      </c>
      <c r="F844" s="35" t="s">
        <v>11143</v>
      </c>
      <c r="G844" s="35">
        <v>240423</v>
      </c>
      <c r="H844" s="35">
        <v>280020</v>
      </c>
      <c r="I844" s="35">
        <v>200007</v>
      </c>
      <c r="J844" s="34" t="s">
        <v>2581</v>
      </c>
      <c r="K844" s="34" t="str">
        <f t="shared" si="27"/>
        <v>不重复</v>
      </c>
      <c r="L844" s="34" t="str">
        <f t="shared" si="28"/>
        <v>不重复</v>
      </c>
    </row>
    <row r="845" spans="1:12" ht="15">
      <c r="A845" s="35" t="s">
        <v>11255</v>
      </c>
      <c r="B845" s="35" t="s">
        <v>2582</v>
      </c>
      <c r="C845" s="36" t="s">
        <v>2583</v>
      </c>
      <c r="D845" s="35" t="s">
        <v>2584</v>
      </c>
      <c r="E845" s="35" t="s">
        <v>11147</v>
      </c>
      <c r="F845" s="35" t="s">
        <v>11143</v>
      </c>
      <c r="G845" s="35">
        <v>240424</v>
      </c>
      <c r="H845" s="35">
        <v>280020</v>
      </c>
      <c r="I845" s="35">
        <v>200007</v>
      </c>
      <c r="J845" s="34" t="s">
        <v>2585</v>
      </c>
      <c r="K845" s="34" t="str">
        <f t="shared" si="27"/>
        <v>重复</v>
      </c>
      <c r="L845" s="34" t="str">
        <f t="shared" si="28"/>
        <v>重复</v>
      </c>
    </row>
    <row r="846" spans="1:12" ht="15">
      <c r="A846" s="35" t="s">
        <v>11256</v>
      </c>
      <c r="B846" s="35" t="s">
        <v>2586</v>
      </c>
      <c r="C846" s="36" t="s">
        <v>2587</v>
      </c>
      <c r="D846" s="35" t="s">
        <v>2588</v>
      </c>
      <c r="E846" s="35" t="s">
        <v>11147</v>
      </c>
      <c r="F846" s="35" t="s">
        <v>11143</v>
      </c>
      <c r="G846" s="35">
        <v>240425</v>
      </c>
      <c r="H846" s="35">
        <v>280020</v>
      </c>
      <c r="I846" s="35">
        <v>200007</v>
      </c>
      <c r="J846" s="34" t="s">
        <v>311</v>
      </c>
      <c r="K846" s="34" t="str">
        <f t="shared" si="27"/>
        <v>重复</v>
      </c>
      <c r="L846" s="34" t="str">
        <f t="shared" si="28"/>
        <v>重复</v>
      </c>
    </row>
    <row r="847" spans="1:12" ht="15">
      <c r="A847" s="35" t="s">
        <v>11257</v>
      </c>
      <c r="B847" s="35" t="s">
        <v>2589</v>
      </c>
      <c r="C847" s="36" t="s">
        <v>2590</v>
      </c>
      <c r="D847" s="35" t="s">
        <v>2591</v>
      </c>
      <c r="E847" s="35" t="s">
        <v>11147</v>
      </c>
      <c r="F847" s="35" t="s">
        <v>11143</v>
      </c>
      <c r="G847" s="35">
        <v>240426</v>
      </c>
      <c r="H847" s="35">
        <v>280020</v>
      </c>
      <c r="I847" s="35">
        <v>200007</v>
      </c>
      <c r="J847" s="34" t="s">
        <v>2338</v>
      </c>
      <c r="K847" s="34" t="str">
        <f t="shared" si="27"/>
        <v>不重复</v>
      </c>
      <c r="L847" s="34" t="str">
        <f t="shared" si="28"/>
        <v>不重复</v>
      </c>
    </row>
    <row r="848" spans="1:12" ht="15">
      <c r="A848" s="35" t="s">
        <v>11258</v>
      </c>
      <c r="B848" s="35" t="s">
        <v>2592</v>
      </c>
      <c r="C848" s="36" t="s">
        <v>2593</v>
      </c>
      <c r="D848" s="35" t="s">
        <v>2594</v>
      </c>
      <c r="E848" s="35" t="s">
        <v>11147</v>
      </c>
      <c r="F848" s="35" t="s">
        <v>11143</v>
      </c>
      <c r="G848" s="35">
        <v>240427</v>
      </c>
      <c r="H848" s="35">
        <v>280020</v>
      </c>
      <c r="I848" s="35">
        <v>200007</v>
      </c>
      <c r="J848" s="34" t="s">
        <v>1110</v>
      </c>
      <c r="K848" s="34" t="str">
        <f t="shared" si="27"/>
        <v>重复</v>
      </c>
      <c r="L848" s="34" t="str">
        <f t="shared" si="28"/>
        <v>重复</v>
      </c>
    </row>
    <row r="849" spans="1:12" ht="15">
      <c r="A849" s="35" t="s">
        <v>11259</v>
      </c>
      <c r="B849" s="35" t="s">
        <v>2595</v>
      </c>
      <c r="C849" s="36" t="s">
        <v>2596</v>
      </c>
      <c r="D849" s="35" t="s">
        <v>2597</v>
      </c>
      <c r="E849" s="35" t="s">
        <v>11147</v>
      </c>
      <c r="F849" s="35" t="s">
        <v>11143</v>
      </c>
      <c r="G849" s="35">
        <v>240428</v>
      </c>
      <c r="H849" s="35">
        <v>280020</v>
      </c>
      <c r="I849" s="35">
        <v>200007</v>
      </c>
      <c r="J849" s="34" t="s">
        <v>2361</v>
      </c>
      <c r="K849" s="34" t="str">
        <f t="shared" si="27"/>
        <v>不重复</v>
      </c>
      <c r="L849" s="34" t="str">
        <f t="shared" si="28"/>
        <v>重复</v>
      </c>
    </row>
    <row r="850" spans="1:12" ht="15">
      <c r="A850" s="35" t="s">
        <v>11260</v>
      </c>
      <c r="B850" s="35" t="s">
        <v>2598</v>
      </c>
      <c r="C850" s="36" t="s">
        <v>2599</v>
      </c>
      <c r="D850" s="35" t="s">
        <v>2597</v>
      </c>
      <c r="E850" s="35" t="s">
        <v>11147</v>
      </c>
      <c r="F850" s="35" t="s">
        <v>11143</v>
      </c>
      <c r="G850" s="35">
        <v>240429</v>
      </c>
      <c r="H850" s="35">
        <v>280020</v>
      </c>
      <c r="I850" s="35">
        <v>200007</v>
      </c>
      <c r="J850" s="34" t="s">
        <v>1117</v>
      </c>
      <c r="K850" s="34" t="str">
        <f t="shared" si="27"/>
        <v>不重复</v>
      </c>
      <c r="L850" s="34" t="str">
        <f t="shared" si="28"/>
        <v>重复</v>
      </c>
    </row>
    <row r="851" spans="1:12" ht="15">
      <c r="A851" s="35" t="s">
        <v>11261</v>
      </c>
      <c r="B851" s="35" t="s">
        <v>2600</v>
      </c>
      <c r="C851" s="36" t="s">
        <v>2601</v>
      </c>
      <c r="D851" s="35" t="s">
        <v>2602</v>
      </c>
      <c r="E851" s="35" t="s">
        <v>11147</v>
      </c>
      <c r="F851" s="35" t="s">
        <v>11143</v>
      </c>
      <c r="G851" s="35">
        <v>240430</v>
      </c>
      <c r="H851" s="35">
        <v>280020</v>
      </c>
      <c r="I851" s="35">
        <v>200007</v>
      </c>
      <c r="J851" s="34" t="s">
        <v>458</v>
      </c>
      <c r="K851" s="34" t="str">
        <f t="shared" si="27"/>
        <v>重复</v>
      </c>
      <c r="L851" s="34" t="str">
        <f t="shared" si="28"/>
        <v>不重复</v>
      </c>
    </row>
    <row r="852" spans="1:12" ht="30">
      <c r="A852" s="35" t="s">
        <v>11262</v>
      </c>
      <c r="B852" s="35" t="s">
        <v>2603</v>
      </c>
      <c r="C852" s="36" t="s">
        <v>2604</v>
      </c>
      <c r="D852" s="35" t="s">
        <v>2605</v>
      </c>
      <c r="E852" s="35" t="s">
        <v>11147</v>
      </c>
      <c r="F852" s="35" t="s">
        <v>11143</v>
      </c>
      <c r="G852" s="35">
        <v>240431</v>
      </c>
      <c r="H852" s="35">
        <v>280020</v>
      </c>
      <c r="I852" s="35">
        <v>200007</v>
      </c>
      <c r="J852" s="34" t="s">
        <v>2544</v>
      </c>
      <c r="K852" s="34" t="str">
        <f t="shared" si="27"/>
        <v>重复</v>
      </c>
      <c r="L852" s="34" t="str">
        <f t="shared" si="28"/>
        <v>不重复</v>
      </c>
    </row>
    <row r="853" spans="1:12" ht="30">
      <c r="A853" s="35" t="s">
        <v>11263</v>
      </c>
      <c r="B853" s="35" t="s">
        <v>2606</v>
      </c>
      <c r="C853" s="36" t="s">
        <v>2607</v>
      </c>
      <c r="D853" s="35" t="s">
        <v>2608</v>
      </c>
      <c r="E853" s="35" t="s">
        <v>11147</v>
      </c>
      <c r="F853" s="35" t="s">
        <v>11143</v>
      </c>
      <c r="G853" s="35">
        <v>240432</v>
      </c>
      <c r="H853" s="35">
        <v>280020</v>
      </c>
      <c r="I853" s="35">
        <v>200007</v>
      </c>
      <c r="J853" s="34" t="s">
        <v>2609</v>
      </c>
      <c r="K853" s="34" t="str">
        <f t="shared" si="27"/>
        <v>不重复</v>
      </c>
      <c r="L853" s="34" t="str">
        <f t="shared" si="28"/>
        <v>不重复</v>
      </c>
    </row>
    <row r="854" spans="1:12" ht="15">
      <c r="A854" s="35" t="s">
        <v>11264</v>
      </c>
      <c r="B854" s="35" t="s">
        <v>2610</v>
      </c>
      <c r="C854" s="36" t="s">
        <v>709</v>
      </c>
      <c r="D854" s="35" t="s">
        <v>2569</v>
      </c>
      <c r="E854" s="35" t="s">
        <v>11147</v>
      </c>
      <c r="F854" s="35" t="s">
        <v>11143</v>
      </c>
      <c r="G854" s="35">
        <v>240433</v>
      </c>
      <c r="H854" s="35">
        <v>280020</v>
      </c>
      <c r="I854" s="35">
        <v>200007</v>
      </c>
      <c r="J854" s="34" t="s">
        <v>363</v>
      </c>
      <c r="K854" s="34" t="str">
        <f t="shared" si="29" ref="K854:K917">IF(COUNTIF(C:C,C854)&gt;=2,"重复","不重复")</f>
        <v>重复</v>
      </c>
      <c r="L854" s="34" t="str">
        <f t="shared" si="28"/>
        <v>重复</v>
      </c>
    </row>
    <row r="855" spans="1:12" ht="30">
      <c r="A855" s="35" t="s">
        <v>11265</v>
      </c>
      <c r="B855" s="35" t="s">
        <v>2611</v>
      </c>
      <c r="C855" s="36" t="s">
        <v>631</v>
      </c>
      <c r="D855" s="35" t="s">
        <v>2612</v>
      </c>
      <c r="E855" s="35" t="s">
        <v>11147</v>
      </c>
      <c r="F855" s="35" t="s">
        <v>11143</v>
      </c>
      <c r="G855" s="35">
        <v>240434</v>
      </c>
      <c r="H855" s="35">
        <v>280020</v>
      </c>
      <c r="I855" s="35">
        <v>200007</v>
      </c>
      <c r="J855" s="34" t="s">
        <v>2613</v>
      </c>
      <c r="K855" s="34" t="str">
        <f t="shared" si="29"/>
        <v>重复</v>
      </c>
      <c r="L855" s="34" t="str">
        <f t="shared" si="28"/>
        <v>不重复</v>
      </c>
    </row>
    <row r="856" spans="1:12" ht="30">
      <c r="A856" s="35" t="s">
        <v>11266</v>
      </c>
      <c r="B856" s="35" t="s">
        <v>2614</v>
      </c>
      <c r="C856" s="36" t="s">
        <v>2615</v>
      </c>
      <c r="D856" s="35" t="s">
        <v>2616</v>
      </c>
      <c r="E856" s="35" t="s">
        <v>11147</v>
      </c>
      <c r="F856" s="35" t="s">
        <v>11143</v>
      </c>
      <c r="G856" s="35">
        <v>240435</v>
      </c>
      <c r="H856" s="35">
        <v>280020</v>
      </c>
      <c r="I856" s="35">
        <v>200007</v>
      </c>
      <c r="J856" s="34" t="s">
        <v>557</v>
      </c>
      <c r="K856" s="34" t="str">
        <f t="shared" si="29"/>
        <v>重复</v>
      </c>
      <c r="L856" s="34" t="str">
        <f t="shared" si="28"/>
        <v>不重复</v>
      </c>
    </row>
    <row r="857" spans="1:12" ht="15">
      <c r="A857" s="35" t="s">
        <v>11267</v>
      </c>
      <c r="B857" s="35" t="s">
        <v>2617</v>
      </c>
      <c r="C857" s="36" t="s">
        <v>2299</v>
      </c>
      <c r="D857" s="35" t="s">
        <v>2618</v>
      </c>
      <c r="E857" s="35" t="s">
        <v>11147</v>
      </c>
      <c r="F857" s="35" t="s">
        <v>11143</v>
      </c>
      <c r="G857" s="35">
        <v>240436</v>
      </c>
      <c r="H857" s="35">
        <v>280020</v>
      </c>
      <c r="I857" s="35">
        <v>200007</v>
      </c>
      <c r="J857" s="34" t="s">
        <v>458</v>
      </c>
      <c r="K857" s="34" t="str">
        <f t="shared" si="29"/>
        <v>重复</v>
      </c>
      <c r="L857" s="34" t="str">
        <f t="shared" si="28"/>
        <v>不重复</v>
      </c>
    </row>
    <row r="858" spans="1:12" ht="15">
      <c r="A858" s="35" t="s">
        <v>11268</v>
      </c>
      <c r="B858" s="35" t="s">
        <v>2619</v>
      </c>
      <c r="C858" s="36" t="s">
        <v>2620</v>
      </c>
      <c r="D858" s="35" t="s">
        <v>2621</v>
      </c>
      <c r="E858" s="35" t="s">
        <v>11147</v>
      </c>
      <c r="F858" s="35" t="s">
        <v>11143</v>
      </c>
      <c r="G858" s="35">
        <v>240437</v>
      </c>
      <c r="H858" s="35">
        <v>280020</v>
      </c>
      <c r="I858" s="35">
        <v>200007</v>
      </c>
      <c r="J858" s="34" t="s">
        <v>288</v>
      </c>
      <c r="K858" s="34" t="str">
        <f t="shared" si="29"/>
        <v>重复</v>
      </c>
      <c r="L858" s="34" t="str">
        <f t="shared" si="28"/>
        <v>重复</v>
      </c>
    </row>
    <row r="859" spans="1:12" ht="15">
      <c r="A859" s="35" t="s">
        <v>11269</v>
      </c>
      <c r="B859" s="35" t="s">
        <v>2622</v>
      </c>
      <c r="C859" s="36" t="s">
        <v>212</v>
      </c>
      <c r="D859" s="35" t="s">
        <v>2623</v>
      </c>
      <c r="E859" s="35" t="s">
        <v>11147</v>
      </c>
      <c r="F859" s="35" t="s">
        <v>11143</v>
      </c>
      <c r="G859" s="35">
        <v>240438</v>
      </c>
      <c r="H859" s="35">
        <v>280020</v>
      </c>
      <c r="I859" s="35">
        <v>200007</v>
      </c>
      <c r="J859" s="34" t="s">
        <v>2624</v>
      </c>
      <c r="K859" s="34" t="str">
        <f t="shared" si="29"/>
        <v>重复</v>
      </c>
      <c r="L859" s="34" t="str">
        <f t="shared" si="28"/>
        <v>不重复</v>
      </c>
    </row>
    <row r="860" spans="1:12" ht="15">
      <c r="A860" s="35" t="s">
        <v>11270</v>
      </c>
      <c r="B860" s="35" t="s">
        <v>2625</v>
      </c>
      <c r="C860" s="36" t="s">
        <v>1296</v>
      </c>
      <c r="D860" s="35" t="s">
        <v>2626</v>
      </c>
      <c r="E860" s="35" t="s">
        <v>11147</v>
      </c>
      <c r="F860" s="35" t="s">
        <v>11143</v>
      </c>
      <c r="G860" s="35">
        <v>240439</v>
      </c>
      <c r="H860" s="35">
        <v>280020</v>
      </c>
      <c r="I860" s="35">
        <v>200007</v>
      </c>
      <c r="J860" s="34" t="s">
        <v>288</v>
      </c>
      <c r="K860" s="34" t="str">
        <f t="shared" si="29"/>
        <v>重复</v>
      </c>
      <c r="L860" s="34" t="str">
        <f t="shared" si="28"/>
        <v>不重复</v>
      </c>
    </row>
    <row r="861" spans="1:12" ht="15">
      <c r="A861" s="35" t="s">
        <v>11271</v>
      </c>
      <c r="B861" s="35" t="s">
        <v>2627</v>
      </c>
      <c r="C861" s="36" t="s">
        <v>2628</v>
      </c>
      <c r="D861" s="35" t="s">
        <v>2629</v>
      </c>
      <c r="E861" s="35" t="s">
        <v>11147</v>
      </c>
      <c r="F861" s="35" t="s">
        <v>11143</v>
      </c>
      <c r="G861" s="35">
        <v>240440</v>
      </c>
      <c r="H861" s="35">
        <v>280020</v>
      </c>
      <c r="I861" s="35">
        <v>200007</v>
      </c>
      <c r="J861" s="34" t="s">
        <v>2630</v>
      </c>
      <c r="K861" s="34" t="str">
        <f t="shared" si="29"/>
        <v>重复</v>
      </c>
      <c r="L861" s="34" t="str">
        <f t="shared" si="28"/>
        <v>不重复</v>
      </c>
    </row>
    <row r="862" spans="1:12" ht="30">
      <c r="A862" s="35" t="s">
        <v>11272</v>
      </c>
      <c r="B862" s="35" t="s">
        <v>2631</v>
      </c>
      <c r="C862" s="36" t="s">
        <v>2632</v>
      </c>
      <c r="D862" s="35" t="s">
        <v>2633</v>
      </c>
      <c r="E862" s="35" t="s">
        <v>11147</v>
      </c>
      <c r="F862" s="35" t="s">
        <v>11143</v>
      </c>
      <c r="G862" s="35">
        <v>240441</v>
      </c>
      <c r="H862" s="35">
        <v>280020</v>
      </c>
      <c r="I862" s="35">
        <v>200007</v>
      </c>
      <c r="J862" s="34" t="s">
        <v>458</v>
      </c>
      <c r="K862" s="34" t="str">
        <f t="shared" si="29"/>
        <v>不重复</v>
      </c>
      <c r="L862" s="34" t="str">
        <f t="shared" si="28"/>
        <v>重复</v>
      </c>
    </row>
    <row r="863" spans="1:12" ht="30">
      <c r="A863" s="35" t="s">
        <v>11273</v>
      </c>
      <c r="B863" s="35" t="s">
        <v>2634</v>
      </c>
      <c r="C863" s="36" t="s">
        <v>2635</v>
      </c>
      <c r="D863" s="35" t="s">
        <v>2636</v>
      </c>
      <c r="E863" s="35" t="s">
        <v>11147</v>
      </c>
      <c r="F863" s="35" t="s">
        <v>11143</v>
      </c>
      <c r="G863" s="35">
        <v>240442</v>
      </c>
      <c r="H863" s="35">
        <v>280020</v>
      </c>
      <c r="I863" s="35">
        <v>200007</v>
      </c>
      <c r="J863" s="34" t="s">
        <v>2391</v>
      </c>
      <c r="K863" s="34" t="str">
        <f t="shared" si="29"/>
        <v>重复</v>
      </c>
      <c r="L863" s="34" t="str">
        <f t="shared" si="28"/>
        <v>不重复</v>
      </c>
    </row>
    <row r="864" spans="1:12" ht="30">
      <c r="A864" s="35" t="s">
        <v>11274</v>
      </c>
      <c r="B864" s="35" t="s">
        <v>2637</v>
      </c>
      <c r="C864" s="36" t="s">
        <v>2638</v>
      </c>
      <c r="D864" s="35" t="s">
        <v>2639</v>
      </c>
      <c r="E864" s="35" t="s">
        <v>11147</v>
      </c>
      <c r="F864" s="35" t="s">
        <v>11143</v>
      </c>
      <c r="G864" s="35">
        <v>240443</v>
      </c>
      <c r="H864" s="35">
        <v>280020</v>
      </c>
      <c r="I864" s="35">
        <v>200007</v>
      </c>
      <c r="J864" s="34" t="s">
        <v>2219</v>
      </c>
      <c r="K864" s="34" t="str">
        <f t="shared" si="29"/>
        <v>不重复</v>
      </c>
      <c r="L864" s="34" t="str">
        <f t="shared" si="28"/>
        <v>重复</v>
      </c>
    </row>
    <row r="865" spans="1:12" ht="30">
      <c r="A865" s="35" t="s">
        <v>11275</v>
      </c>
      <c r="B865" s="35" t="s">
        <v>2637</v>
      </c>
      <c r="C865" s="36" t="s">
        <v>2640</v>
      </c>
      <c r="D865" s="35" t="s">
        <v>2639</v>
      </c>
      <c r="E865" s="35" t="s">
        <v>11147</v>
      </c>
      <c r="F865" s="35" t="s">
        <v>11143</v>
      </c>
      <c r="G865" s="35">
        <v>240444</v>
      </c>
      <c r="H865" s="35">
        <v>280020</v>
      </c>
      <c r="I865" s="35">
        <v>200007</v>
      </c>
      <c r="J865" s="34" t="s">
        <v>2641</v>
      </c>
      <c r="K865" s="34" t="str">
        <f t="shared" si="29"/>
        <v>不重复</v>
      </c>
      <c r="L865" s="34" t="str">
        <f t="shared" si="28"/>
        <v>重复</v>
      </c>
    </row>
    <row r="866" spans="1:12" ht="15">
      <c r="A866" s="35" t="s">
        <v>11276</v>
      </c>
      <c r="B866" s="35" t="s">
        <v>2642</v>
      </c>
      <c r="C866" s="36" t="s">
        <v>2643</v>
      </c>
      <c r="D866" s="35" t="s">
        <v>2644</v>
      </c>
      <c r="E866" s="35" t="s">
        <v>11147</v>
      </c>
      <c r="F866" s="35" t="s">
        <v>11143</v>
      </c>
      <c r="G866" s="35">
        <v>240445</v>
      </c>
      <c r="H866" s="35">
        <v>280020</v>
      </c>
      <c r="I866" s="35">
        <v>200007</v>
      </c>
      <c r="J866" s="34" t="s">
        <v>2630</v>
      </c>
      <c r="K866" s="34" t="str">
        <f t="shared" si="29"/>
        <v>不重复</v>
      </c>
      <c r="L866" s="34" t="str">
        <f t="shared" si="28"/>
        <v>不重复</v>
      </c>
    </row>
    <row r="867" spans="1:12" ht="30">
      <c r="A867" s="35" t="s">
        <v>11277</v>
      </c>
      <c r="B867" s="35" t="s">
        <v>2645</v>
      </c>
      <c r="C867" s="36" t="s">
        <v>2646</v>
      </c>
      <c r="D867" s="35" t="s">
        <v>2647</v>
      </c>
      <c r="E867" s="35" t="s">
        <v>11147</v>
      </c>
      <c r="F867" s="35" t="s">
        <v>11143</v>
      </c>
      <c r="G867" s="35">
        <v>240446</v>
      </c>
      <c r="H867" s="35">
        <v>280020</v>
      </c>
      <c r="I867" s="35">
        <v>200007</v>
      </c>
      <c r="J867" s="34" t="s">
        <v>363</v>
      </c>
      <c r="K867" s="34" t="str">
        <f t="shared" si="29"/>
        <v>重复</v>
      </c>
      <c r="L867" s="34" t="str">
        <f t="shared" si="28"/>
        <v>不重复</v>
      </c>
    </row>
    <row r="868" spans="1:12" ht="30">
      <c r="A868" s="35" t="s">
        <v>11278</v>
      </c>
      <c r="B868" s="35" t="s">
        <v>2648</v>
      </c>
      <c r="C868" s="36" t="s">
        <v>2649</v>
      </c>
      <c r="D868" s="35" t="s">
        <v>2650</v>
      </c>
      <c r="E868" s="35" t="s">
        <v>11147</v>
      </c>
      <c r="F868" s="35" t="s">
        <v>11143</v>
      </c>
      <c r="G868" s="35">
        <v>240447</v>
      </c>
      <c r="H868" s="35">
        <v>280020</v>
      </c>
      <c r="I868" s="35">
        <v>200007</v>
      </c>
      <c r="J868" s="34" t="s">
        <v>363</v>
      </c>
      <c r="K868" s="34" t="str">
        <f t="shared" si="29"/>
        <v>不重复</v>
      </c>
      <c r="L868" s="34" t="str">
        <f t="shared" si="28"/>
        <v>不重复</v>
      </c>
    </row>
    <row r="869" spans="1:12" ht="30">
      <c r="A869" s="35" t="s">
        <v>11279</v>
      </c>
      <c r="B869" s="35" t="s">
        <v>2651</v>
      </c>
      <c r="C869" s="36" t="s">
        <v>2652</v>
      </c>
      <c r="D869" s="35" t="s">
        <v>2653</v>
      </c>
      <c r="E869" s="35" t="s">
        <v>11147</v>
      </c>
      <c r="F869" s="35" t="s">
        <v>11143</v>
      </c>
      <c r="G869" s="35">
        <v>240448</v>
      </c>
      <c r="H869" s="35">
        <v>280020</v>
      </c>
      <c r="I869" s="35">
        <v>200007</v>
      </c>
      <c r="J869" s="34" t="s">
        <v>2654</v>
      </c>
      <c r="K869" s="34" t="str">
        <f t="shared" si="29"/>
        <v>不重复</v>
      </c>
      <c r="L869" s="34" t="str">
        <f t="shared" si="28"/>
        <v>不重复</v>
      </c>
    </row>
    <row r="870" spans="1:12" ht="30">
      <c r="A870" s="35" t="s">
        <v>11280</v>
      </c>
      <c r="B870" s="35" t="s">
        <v>2655</v>
      </c>
      <c r="C870" s="36" t="s">
        <v>2656</v>
      </c>
      <c r="D870" s="35" t="s">
        <v>2657</v>
      </c>
      <c r="E870" s="35" t="s">
        <v>11147</v>
      </c>
      <c r="F870" s="35" t="s">
        <v>11143</v>
      </c>
      <c r="G870" s="35">
        <v>240449</v>
      </c>
      <c r="H870" s="35">
        <v>280020</v>
      </c>
      <c r="I870" s="35">
        <v>200007</v>
      </c>
      <c r="J870" s="34" t="s">
        <v>2658</v>
      </c>
      <c r="K870" s="34" t="str">
        <f t="shared" si="29"/>
        <v>重复</v>
      </c>
      <c r="L870" s="34" t="str">
        <f t="shared" si="28"/>
        <v>不重复</v>
      </c>
    </row>
    <row r="871" spans="1:12" ht="15">
      <c r="A871" s="35" t="s">
        <v>11281</v>
      </c>
      <c r="B871" s="35" t="s">
        <v>2659</v>
      </c>
      <c r="C871" s="36" t="s">
        <v>2660</v>
      </c>
      <c r="D871" s="35" t="s">
        <v>2661</v>
      </c>
      <c r="E871" s="35" t="s">
        <v>11147</v>
      </c>
      <c r="F871" s="35" t="s">
        <v>11143</v>
      </c>
      <c r="G871" s="35">
        <v>240450</v>
      </c>
      <c r="H871" s="35">
        <v>280020</v>
      </c>
      <c r="I871" s="35">
        <v>200007</v>
      </c>
      <c r="J871" s="34" t="s">
        <v>2662</v>
      </c>
      <c r="K871" s="34" t="str">
        <f t="shared" si="29"/>
        <v>不重复</v>
      </c>
      <c r="L871" s="34" t="str">
        <f t="shared" si="28"/>
        <v>不重复</v>
      </c>
    </row>
    <row r="872" spans="1:12" ht="30">
      <c r="A872" s="35" t="s">
        <v>11282</v>
      </c>
      <c r="B872" s="35" t="s">
        <v>2663</v>
      </c>
      <c r="C872" s="36" t="s">
        <v>2664</v>
      </c>
      <c r="D872" s="35" t="s">
        <v>2633</v>
      </c>
      <c r="E872" s="35" t="s">
        <v>11147</v>
      </c>
      <c r="F872" s="35" t="s">
        <v>11143</v>
      </c>
      <c r="G872" s="35">
        <v>240451</v>
      </c>
      <c r="H872" s="35">
        <v>280020</v>
      </c>
      <c r="I872" s="35">
        <v>200007</v>
      </c>
      <c r="J872" s="34" t="s">
        <v>2630</v>
      </c>
      <c r="K872" s="34" t="str">
        <f t="shared" si="29"/>
        <v>重复</v>
      </c>
      <c r="L872" s="34" t="str">
        <f t="shared" si="28"/>
        <v>重复</v>
      </c>
    </row>
    <row r="873" spans="1:12" ht="30">
      <c r="A873" s="35" t="s">
        <v>11283</v>
      </c>
      <c r="B873" s="35" t="s">
        <v>2665</v>
      </c>
      <c r="C873" s="36" t="s">
        <v>2666</v>
      </c>
      <c r="D873" s="35" t="s">
        <v>2667</v>
      </c>
      <c r="E873" s="35" t="s">
        <v>11147</v>
      </c>
      <c r="F873" s="35" t="s">
        <v>11143</v>
      </c>
      <c r="G873" s="35">
        <v>240452</v>
      </c>
      <c r="H873" s="35">
        <v>280020</v>
      </c>
      <c r="I873" s="35">
        <v>200007</v>
      </c>
      <c r="J873" s="34" t="s">
        <v>458</v>
      </c>
      <c r="K873" s="34" t="str">
        <f t="shared" si="29"/>
        <v>不重复</v>
      </c>
      <c r="L873" s="34" t="str">
        <f t="shared" si="30" ref="L873:L936">IF(COUNTIF(D:D,D873)&gt;=2,"重复","不重复")</f>
        <v>不重复</v>
      </c>
    </row>
    <row r="874" spans="1:12" ht="30">
      <c r="A874" s="35" t="s">
        <v>11284</v>
      </c>
      <c r="B874" s="35" t="s">
        <v>2668</v>
      </c>
      <c r="C874" s="36" t="s">
        <v>2669</v>
      </c>
      <c r="D874" s="35" t="s">
        <v>2670</v>
      </c>
      <c r="E874" s="35" t="s">
        <v>11147</v>
      </c>
      <c r="F874" s="35" t="s">
        <v>11143</v>
      </c>
      <c r="G874" s="35">
        <v>240453</v>
      </c>
      <c r="H874" s="35">
        <v>280020</v>
      </c>
      <c r="I874" s="35">
        <v>200007</v>
      </c>
      <c r="J874" s="34" t="s">
        <v>311</v>
      </c>
      <c r="K874" s="34" t="str">
        <f t="shared" si="29"/>
        <v>不重复</v>
      </c>
      <c r="L874" s="34" t="str">
        <f t="shared" si="30"/>
        <v>不重复</v>
      </c>
    </row>
    <row r="875" spans="1:12" ht="30">
      <c r="A875" s="35" t="s">
        <v>11285</v>
      </c>
      <c r="B875" s="35" t="s">
        <v>2671</v>
      </c>
      <c r="C875" s="36" t="s">
        <v>2672</v>
      </c>
      <c r="D875" s="35" t="s">
        <v>2673</v>
      </c>
      <c r="E875" s="35" t="s">
        <v>11147</v>
      </c>
      <c r="F875" s="35" t="s">
        <v>11143</v>
      </c>
      <c r="G875" s="35">
        <v>240454</v>
      </c>
      <c r="H875" s="35">
        <v>280020</v>
      </c>
      <c r="I875" s="35">
        <v>200007</v>
      </c>
      <c r="J875" s="34" t="s">
        <v>2674</v>
      </c>
      <c r="K875" s="34" t="str">
        <f t="shared" si="29"/>
        <v>不重复</v>
      </c>
      <c r="L875" s="34" t="str">
        <f t="shared" si="30"/>
        <v>重复</v>
      </c>
    </row>
    <row r="876" spans="1:12" ht="30">
      <c r="A876" s="35" t="s">
        <v>11286</v>
      </c>
      <c r="B876" s="35" t="s">
        <v>2675</v>
      </c>
      <c r="C876" s="36" t="s">
        <v>2676</v>
      </c>
      <c r="D876" s="35" t="s">
        <v>2677</v>
      </c>
      <c r="E876" s="35" t="s">
        <v>11147</v>
      </c>
      <c r="F876" s="35" t="s">
        <v>11143</v>
      </c>
      <c r="G876" s="35">
        <v>240455</v>
      </c>
      <c r="H876" s="35">
        <v>280020</v>
      </c>
      <c r="I876" s="35">
        <v>200007</v>
      </c>
      <c r="J876" s="34" t="s">
        <v>1057</v>
      </c>
      <c r="K876" s="34" t="str">
        <f t="shared" si="29"/>
        <v>不重复</v>
      </c>
      <c r="L876" s="34" t="str">
        <f t="shared" si="30"/>
        <v>不重复</v>
      </c>
    </row>
    <row r="877" spans="1:12" ht="15">
      <c r="A877" s="35" t="s">
        <v>11287</v>
      </c>
      <c r="B877" s="35" t="s">
        <v>2678</v>
      </c>
      <c r="C877" s="36" t="s">
        <v>2679</v>
      </c>
      <c r="D877" s="35" t="s">
        <v>2680</v>
      </c>
      <c r="E877" s="35" t="s">
        <v>11147</v>
      </c>
      <c r="F877" s="35" t="s">
        <v>11143</v>
      </c>
      <c r="G877" s="35">
        <v>240456</v>
      </c>
      <c r="H877" s="35">
        <v>280020</v>
      </c>
      <c r="I877" s="35">
        <v>200007</v>
      </c>
      <c r="J877" s="34" t="s">
        <v>1134</v>
      </c>
      <c r="K877" s="34" t="str">
        <f t="shared" si="29"/>
        <v>不重复</v>
      </c>
      <c r="L877" s="34" t="str">
        <f t="shared" si="30"/>
        <v>不重复</v>
      </c>
    </row>
    <row r="878" spans="1:12" ht="15">
      <c r="A878" s="35" t="s">
        <v>11288</v>
      </c>
      <c r="B878" s="35" t="s">
        <v>2681</v>
      </c>
      <c r="C878" s="36" t="s">
        <v>2682</v>
      </c>
      <c r="D878" s="35" t="s">
        <v>2683</v>
      </c>
      <c r="E878" s="35" t="s">
        <v>11147</v>
      </c>
      <c r="F878" s="35" t="s">
        <v>11143</v>
      </c>
      <c r="G878" s="35">
        <v>240457</v>
      </c>
      <c r="H878" s="35">
        <v>280020</v>
      </c>
      <c r="I878" s="35">
        <v>200007</v>
      </c>
      <c r="J878" s="34" t="s">
        <v>2412</v>
      </c>
      <c r="K878" s="34" t="str">
        <f t="shared" si="29"/>
        <v>不重复</v>
      </c>
      <c r="L878" s="34" t="str">
        <f t="shared" si="30"/>
        <v>不重复</v>
      </c>
    </row>
    <row r="879" spans="1:12" ht="27">
      <c r="A879" s="35" t="s">
        <v>11289</v>
      </c>
      <c r="B879" s="35" t="s">
        <v>2684</v>
      </c>
      <c r="C879" s="36" t="s">
        <v>1289</v>
      </c>
      <c r="D879" s="35" t="s">
        <v>2685</v>
      </c>
      <c r="E879" s="35" t="s">
        <v>11147</v>
      </c>
      <c r="F879" s="35" t="s">
        <v>11143</v>
      </c>
      <c r="G879" s="35">
        <v>240458</v>
      </c>
      <c r="H879" s="35">
        <v>280020</v>
      </c>
      <c r="I879" s="35">
        <v>200007</v>
      </c>
      <c r="J879" s="34" t="s">
        <v>1288</v>
      </c>
      <c r="K879" s="34" t="str">
        <f t="shared" si="29"/>
        <v>重复</v>
      </c>
      <c r="L879" s="34" t="str">
        <f t="shared" si="30"/>
        <v>不重复</v>
      </c>
    </row>
    <row r="880" spans="1:12" ht="15">
      <c r="A880" s="35" t="s">
        <v>11290</v>
      </c>
      <c r="B880" s="35" t="s">
        <v>2686</v>
      </c>
      <c r="C880" s="36" t="s">
        <v>2687</v>
      </c>
      <c r="D880" s="35" t="s">
        <v>2688</v>
      </c>
      <c r="E880" s="35" t="s">
        <v>11147</v>
      </c>
      <c r="F880" s="35" t="s">
        <v>11143</v>
      </c>
      <c r="G880" s="35">
        <v>240459</v>
      </c>
      <c r="H880" s="35">
        <v>280020</v>
      </c>
      <c r="I880" s="35">
        <v>200007</v>
      </c>
      <c r="J880" s="34" t="s">
        <v>2573</v>
      </c>
      <c r="K880" s="34" t="str">
        <f t="shared" si="29"/>
        <v>不重复</v>
      </c>
      <c r="L880" s="34" t="str">
        <f t="shared" si="30"/>
        <v>不重复</v>
      </c>
    </row>
    <row r="881" spans="1:12" ht="15">
      <c r="A881" s="35" t="s">
        <v>11291</v>
      </c>
      <c r="B881" s="35" t="s">
        <v>2689</v>
      </c>
      <c r="C881" s="36" t="s">
        <v>2690</v>
      </c>
      <c r="D881" s="35" t="s">
        <v>2691</v>
      </c>
      <c r="E881" s="35" t="s">
        <v>11147</v>
      </c>
      <c r="F881" s="35" t="s">
        <v>11143</v>
      </c>
      <c r="G881" s="35">
        <v>240460</v>
      </c>
      <c r="H881" s="35">
        <v>280020</v>
      </c>
      <c r="I881" s="35">
        <v>200007</v>
      </c>
      <c r="J881" s="34" t="s">
        <v>2692</v>
      </c>
      <c r="K881" s="34" t="str">
        <f t="shared" si="29"/>
        <v>不重复</v>
      </c>
      <c r="L881" s="34" t="str">
        <f t="shared" si="30"/>
        <v>不重复</v>
      </c>
    </row>
    <row r="882" spans="1:12" ht="27">
      <c r="A882" s="35" t="s">
        <v>11292</v>
      </c>
      <c r="B882" s="35" t="s">
        <v>2693</v>
      </c>
      <c r="C882" s="36" t="s">
        <v>2694</v>
      </c>
      <c r="D882" s="35" t="s">
        <v>2695</v>
      </c>
      <c r="E882" s="35" t="s">
        <v>11147</v>
      </c>
      <c r="F882" s="35" t="s">
        <v>11143</v>
      </c>
      <c r="G882" s="35">
        <v>240461</v>
      </c>
      <c r="H882" s="35">
        <v>280020</v>
      </c>
      <c r="I882" s="35">
        <v>200007</v>
      </c>
      <c r="J882" s="34" t="s">
        <v>1114</v>
      </c>
      <c r="K882" s="34" t="str">
        <f t="shared" si="29"/>
        <v>重复</v>
      </c>
      <c r="L882" s="34" t="str">
        <f t="shared" si="30"/>
        <v>不重复</v>
      </c>
    </row>
    <row r="883" spans="1:12" ht="30">
      <c r="A883" s="35" t="s">
        <v>11293</v>
      </c>
      <c r="B883" s="35" t="s">
        <v>2696</v>
      </c>
      <c r="C883" s="36" t="s">
        <v>2615</v>
      </c>
      <c r="D883" s="35" t="s">
        <v>2697</v>
      </c>
      <c r="E883" s="35" t="s">
        <v>11147</v>
      </c>
      <c r="F883" s="35" t="s">
        <v>11143</v>
      </c>
      <c r="G883" s="35">
        <v>240462</v>
      </c>
      <c r="H883" s="35">
        <v>280020</v>
      </c>
      <c r="I883" s="35">
        <v>200007</v>
      </c>
      <c r="J883" s="34" t="s">
        <v>2698</v>
      </c>
      <c r="K883" s="34" t="str">
        <f t="shared" si="29"/>
        <v>重复</v>
      </c>
      <c r="L883" s="34" t="str">
        <f t="shared" si="30"/>
        <v>不重复</v>
      </c>
    </row>
    <row r="884" spans="1:12" ht="30">
      <c r="A884" s="35" t="s">
        <v>11294</v>
      </c>
      <c r="B884" s="35" t="s">
        <v>2699</v>
      </c>
      <c r="C884" s="36" t="s">
        <v>2700</v>
      </c>
      <c r="D884" s="35" t="s">
        <v>2701</v>
      </c>
      <c r="E884" s="35" t="s">
        <v>11147</v>
      </c>
      <c r="F884" s="35" t="s">
        <v>11143</v>
      </c>
      <c r="G884" s="35">
        <v>240463</v>
      </c>
      <c r="H884" s="35">
        <v>280020</v>
      </c>
      <c r="I884" s="35">
        <v>200007</v>
      </c>
      <c r="J884" s="34" t="s">
        <v>681</v>
      </c>
      <c r="K884" s="34" t="str">
        <f t="shared" si="29"/>
        <v>不重复</v>
      </c>
      <c r="L884" s="34" t="str">
        <f t="shared" si="30"/>
        <v>不重复</v>
      </c>
    </row>
    <row r="885" spans="1:12" ht="30">
      <c r="A885" s="35" t="s">
        <v>11295</v>
      </c>
      <c r="B885" s="35" t="s">
        <v>2702</v>
      </c>
      <c r="C885" s="36" t="s">
        <v>2104</v>
      </c>
      <c r="D885" s="35" t="s">
        <v>2703</v>
      </c>
      <c r="E885" s="35" t="s">
        <v>11147</v>
      </c>
      <c r="F885" s="35" t="s">
        <v>11143</v>
      </c>
      <c r="G885" s="35">
        <v>240464</v>
      </c>
      <c r="H885" s="35">
        <v>280020</v>
      </c>
      <c r="I885" s="35">
        <v>200007</v>
      </c>
      <c r="J885" s="34" t="s">
        <v>2495</v>
      </c>
      <c r="K885" s="34" t="str">
        <f t="shared" si="29"/>
        <v>重复</v>
      </c>
      <c r="L885" s="34" t="str">
        <f t="shared" si="30"/>
        <v>重复</v>
      </c>
    </row>
    <row r="886" spans="1:12" ht="30">
      <c r="A886" s="35" t="s">
        <v>11296</v>
      </c>
      <c r="B886" s="35" t="s">
        <v>2702</v>
      </c>
      <c r="C886" s="36" t="s">
        <v>2704</v>
      </c>
      <c r="D886" s="35" t="s">
        <v>2703</v>
      </c>
      <c r="E886" s="35" t="s">
        <v>11147</v>
      </c>
      <c r="F886" s="35" t="s">
        <v>11143</v>
      </c>
      <c r="G886" s="35">
        <v>240465</v>
      </c>
      <c r="H886" s="35">
        <v>280020</v>
      </c>
      <c r="I886" s="35">
        <v>200007</v>
      </c>
      <c r="J886" s="34" t="s">
        <v>1114</v>
      </c>
      <c r="K886" s="34" t="str">
        <f t="shared" si="29"/>
        <v>重复</v>
      </c>
      <c r="L886" s="34" t="str">
        <f t="shared" si="30"/>
        <v>重复</v>
      </c>
    </row>
    <row r="887" spans="1:12" ht="40.5">
      <c r="A887" s="35" t="s">
        <v>11297</v>
      </c>
      <c r="B887" s="35" t="s">
        <v>2702</v>
      </c>
      <c r="C887" s="36" t="s">
        <v>2104</v>
      </c>
      <c r="D887" s="35" t="s">
        <v>2703</v>
      </c>
      <c r="E887" s="35" t="s">
        <v>11147</v>
      </c>
      <c r="F887" s="35" t="s">
        <v>11143</v>
      </c>
      <c r="G887" s="35">
        <v>240466</v>
      </c>
      <c r="H887" s="35">
        <v>280020</v>
      </c>
      <c r="I887" s="35">
        <v>200007</v>
      </c>
      <c r="J887" s="34" t="s">
        <v>2495</v>
      </c>
      <c r="K887" s="34" t="str">
        <f t="shared" si="29"/>
        <v>重复</v>
      </c>
      <c r="L887" s="34" t="str">
        <f t="shared" si="30"/>
        <v>重复</v>
      </c>
    </row>
    <row r="888" spans="1:12" ht="27">
      <c r="A888" s="35" t="s">
        <v>11298</v>
      </c>
      <c r="B888" s="35" t="s">
        <v>2705</v>
      </c>
      <c r="C888" s="36" t="s">
        <v>2706</v>
      </c>
      <c r="D888" s="35" t="s">
        <v>2707</v>
      </c>
      <c r="E888" s="35" t="s">
        <v>11147</v>
      </c>
      <c r="F888" s="35" t="s">
        <v>11143</v>
      </c>
      <c r="G888" s="35">
        <v>240467</v>
      </c>
      <c r="H888" s="35">
        <v>280020</v>
      </c>
      <c r="I888" s="35">
        <v>200007</v>
      </c>
      <c r="J888" s="34" t="s">
        <v>2708</v>
      </c>
      <c r="K888" s="34" t="str">
        <f t="shared" si="29"/>
        <v>重复</v>
      </c>
      <c r="L888" s="34" t="str">
        <f t="shared" si="30"/>
        <v>不重复</v>
      </c>
    </row>
    <row r="889" spans="1:12" ht="30">
      <c r="A889" s="35" t="s">
        <v>11299</v>
      </c>
      <c r="B889" s="35" t="s">
        <v>2709</v>
      </c>
      <c r="C889" s="36" t="s">
        <v>2710</v>
      </c>
      <c r="D889" s="35" t="s">
        <v>2711</v>
      </c>
      <c r="E889" s="35" t="s">
        <v>11147</v>
      </c>
      <c r="F889" s="35" t="s">
        <v>11143</v>
      </c>
      <c r="G889" s="35">
        <v>240468</v>
      </c>
      <c r="H889" s="35">
        <v>280020</v>
      </c>
      <c r="I889" s="35">
        <v>200007</v>
      </c>
      <c r="J889" s="34" t="s">
        <v>2338</v>
      </c>
      <c r="K889" s="34" t="str">
        <f t="shared" si="29"/>
        <v>重复</v>
      </c>
      <c r="L889" s="34" t="str">
        <f t="shared" si="30"/>
        <v>重复</v>
      </c>
    </row>
    <row r="890" spans="1:12" ht="40.5">
      <c r="A890" s="35" t="s">
        <v>11300</v>
      </c>
      <c r="B890" s="35" t="s">
        <v>2709</v>
      </c>
      <c r="C890" s="36" t="s">
        <v>2710</v>
      </c>
      <c r="D890" s="35" t="s">
        <v>2711</v>
      </c>
      <c r="E890" s="35" t="s">
        <v>11147</v>
      </c>
      <c r="F890" s="35" t="s">
        <v>11143</v>
      </c>
      <c r="G890" s="35">
        <v>240469</v>
      </c>
      <c r="H890" s="35">
        <v>280020</v>
      </c>
      <c r="I890" s="35">
        <v>200007</v>
      </c>
      <c r="J890" s="34" t="s">
        <v>2338</v>
      </c>
      <c r="K890" s="34" t="str">
        <f t="shared" si="29"/>
        <v>重复</v>
      </c>
      <c r="L890" s="34" t="str">
        <f t="shared" si="30"/>
        <v>重复</v>
      </c>
    </row>
    <row r="891" spans="1:12" ht="30">
      <c r="A891" s="35" t="s">
        <v>11301</v>
      </c>
      <c r="B891" s="35" t="s">
        <v>2709</v>
      </c>
      <c r="C891" s="36" t="s">
        <v>2712</v>
      </c>
      <c r="D891" s="35" t="s">
        <v>2711</v>
      </c>
      <c r="E891" s="35" t="s">
        <v>11147</v>
      </c>
      <c r="F891" s="35" t="s">
        <v>11143</v>
      </c>
      <c r="G891" s="35">
        <v>240470</v>
      </c>
      <c r="H891" s="35">
        <v>280020</v>
      </c>
      <c r="I891" s="35">
        <v>200007</v>
      </c>
      <c r="J891" s="34" t="s">
        <v>2713</v>
      </c>
      <c r="K891" s="34" t="str">
        <f t="shared" si="29"/>
        <v>不重复</v>
      </c>
      <c r="L891" s="34" t="str">
        <f t="shared" si="30"/>
        <v>重复</v>
      </c>
    </row>
    <row r="892" spans="1:12" ht="30">
      <c r="A892" s="35" t="s">
        <v>11302</v>
      </c>
      <c r="B892" s="35" t="s">
        <v>2709</v>
      </c>
      <c r="C892" s="36" t="s">
        <v>2714</v>
      </c>
      <c r="D892" s="35" t="s">
        <v>2711</v>
      </c>
      <c r="E892" s="35" t="s">
        <v>11147</v>
      </c>
      <c r="F892" s="35" t="s">
        <v>11143</v>
      </c>
      <c r="G892" s="35">
        <v>240471</v>
      </c>
      <c r="H892" s="35">
        <v>280020</v>
      </c>
      <c r="I892" s="35">
        <v>200007</v>
      </c>
      <c r="J892" s="34" t="s">
        <v>2713</v>
      </c>
      <c r="K892" s="34" t="str">
        <f t="shared" si="29"/>
        <v>重复</v>
      </c>
      <c r="L892" s="34" t="str">
        <f t="shared" si="30"/>
        <v>重复</v>
      </c>
    </row>
    <row r="893" spans="1:12" ht="27">
      <c r="A893" s="35" t="s">
        <v>11303</v>
      </c>
      <c r="B893" s="35" t="s">
        <v>2715</v>
      </c>
      <c r="C893" s="36" t="s">
        <v>2716</v>
      </c>
      <c r="D893" s="35" t="s">
        <v>2717</v>
      </c>
      <c r="E893" s="35" t="s">
        <v>11147</v>
      </c>
      <c r="F893" s="35" t="s">
        <v>11143</v>
      </c>
      <c r="G893" s="35">
        <v>240472</v>
      </c>
      <c r="H893" s="35">
        <v>280020</v>
      </c>
      <c r="I893" s="35">
        <v>200007</v>
      </c>
      <c r="J893" s="34" t="s">
        <v>2698</v>
      </c>
      <c r="K893" s="34" t="str">
        <f t="shared" si="29"/>
        <v>不重复</v>
      </c>
      <c r="L893" s="34" t="str">
        <f t="shared" si="30"/>
        <v>重复</v>
      </c>
    </row>
    <row r="894" spans="1:12" ht="30">
      <c r="A894" s="35" t="s">
        <v>11304</v>
      </c>
      <c r="B894" s="35" t="s">
        <v>2718</v>
      </c>
      <c r="C894" s="36" t="s">
        <v>2719</v>
      </c>
      <c r="D894" s="35" t="s">
        <v>2717</v>
      </c>
      <c r="E894" s="35" t="s">
        <v>11147</v>
      </c>
      <c r="F894" s="35" t="s">
        <v>11143</v>
      </c>
      <c r="G894" s="35">
        <v>240473</v>
      </c>
      <c r="H894" s="35">
        <v>280020</v>
      </c>
      <c r="I894" s="35">
        <v>200007</v>
      </c>
      <c r="J894" s="34" t="s">
        <v>2219</v>
      </c>
      <c r="K894" s="34" t="str">
        <f t="shared" si="29"/>
        <v>不重复</v>
      </c>
      <c r="L894" s="34" t="str">
        <f t="shared" si="30"/>
        <v>重复</v>
      </c>
    </row>
    <row r="895" spans="1:12" ht="15">
      <c r="A895" s="35" t="s">
        <v>11305</v>
      </c>
      <c r="B895" s="35" t="s">
        <v>2720</v>
      </c>
      <c r="C895" s="36" t="s">
        <v>2721</v>
      </c>
      <c r="D895" s="35" t="s">
        <v>2722</v>
      </c>
      <c r="E895" s="35" t="s">
        <v>11147</v>
      </c>
      <c r="F895" s="35" t="s">
        <v>11143</v>
      </c>
      <c r="G895" s="35">
        <v>240474</v>
      </c>
      <c r="H895" s="35">
        <v>280020</v>
      </c>
      <c r="I895" s="35">
        <v>200007</v>
      </c>
      <c r="J895" s="34" t="s">
        <v>2219</v>
      </c>
      <c r="K895" s="34" t="str">
        <f t="shared" si="29"/>
        <v>重复</v>
      </c>
      <c r="L895" s="34" t="str">
        <f t="shared" si="30"/>
        <v>不重复</v>
      </c>
    </row>
    <row r="896" spans="1:12" ht="30">
      <c r="A896" s="35" t="s">
        <v>11306</v>
      </c>
      <c r="B896" s="35" t="s">
        <v>2723</v>
      </c>
      <c r="C896" s="36" t="s">
        <v>2724</v>
      </c>
      <c r="D896" s="35" t="s">
        <v>2725</v>
      </c>
      <c r="E896" s="35" t="s">
        <v>11147</v>
      </c>
      <c r="F896" s="35" t="s">
        <v>11143</v>
      </c>
      <c r="G896" s="35">
        <v>240475</v>
      </c>
      <c r="H896" s="35">
        <v>280020</v>
      </c>
      <c r="I896" s="35">
        <v>200007</v>
      </c>
      <c r="J896" s="34" t="s">
        <v>1134</v>
      </c>
      <c r="K896" s="34" t="str">
        <f t="shared" si="29"/>
        <v>不重复</v>
      </c>
      <c r="L896" s="34" t="str">
        <f t="shared" si="30"/>
        <v>不重复</v>
      </c>
    </row>
    <row r="897" spans="1:12" ht="30">
      <c r="A897" s="35" t="s">
        <v>11307</v>
      </c>
      <c r="B897" s="35" t="s">
        <v>2726</v>
      </c>
      <c r="C897" s="36" t="s">
        <v>2727</v>
      </c>
      <c r="D897" s="35" t="s">
        <v>2728</v>
      </c>
      <c r="E897" s="35" t="s">
        <v>11147</v>
      </c>
      <c r="F897" s="35" t="s">
        <v>11143</v>
      </c>
      <c r="G897" s="35">
        <v>240476</v>
      </c>
      <c r="H897" s="35">
        <v>280020</v>
      </c>
      <c r="I897" s="35">
        <v>200007</v>
      </c>
      <c r="J897" s="34" t="s">
        <v>311</v>
      </c>
      <c r="K897" s="34" t="str">
        <f t="shared" si="29"/>
        <v>重复</v>
      </c>
      <c r="L897" s="34" t="str">
        <f t="shared" si="30"/>
        <v>不重复</v>
      </c>
    </row>
    <row r="898" spans="1:12" ht="30">
      <c r="A898" s="35" t="s">
        <v>11308</v>
      </c>
      <c r="B898" s="35" t="s">
        <v>2729</v>
      </c>
      <c r="C898" s="36" t="s">
        <v>2730</v>
      </c>
      <c r="D898" s="35" t="s">
        <v>2731</v>
      </c>
      <c r="E898" s="35" t="s">
        <v>11147</v>
      </c>
      <c r="F898" s="35" t="s">
        <v>11143</v>
      </c>
      <c r="G898" s="35">
        <v>240477</v>
      </c>
      <c r="H898" s="35">
        <v>280020</v>
      </c>
      <c r="I898" s="35">
        <v>200007</v>
      </c>
      <c r="J898" s="34" t="s">
        <v>458</v>
      </c>
      <c r="K898" s="34" t="str">
        <f t="shared" si="29"/>
        <v>重复</v>
      </c>
      <c r="L898" s="34" t="str">
        <f t="shared" si="30"/>
        <v>重复</v>
      </c>
    </row>
    <row r="899" spans="1:12" ht="30">
      <c r="A899" s="35" t="s">
        <v>11309</v>
      </c>
      <c r="B899" s="35" t="s">
        <v>2732</v>
      </c>
      <c r="C899" s="36" t="s">
        <v>2733</v>
      </c>
      <c r="D899" s="35" t="s">
        <v>2731</v>
      </c>
      <c r="E899" s="35" t="s">
        <v>11147</v>
      </c>
      <c r="F899" s="35" t="s">
        <v>11143</v>
      </c>
      <c r="G899" s="35">
        <v>240478</v>
      </c>
      <c r="H899" s="35">
        <v>280020</v>
      </c>
      <c r="I899" s="35">
        <v>200007</v>
      </c>
      <c r="J899" s="34" t="s">
        <v>2495</v>
      </c>
      <c r="K899" s="34" t="str">
        <f t="shared" si="29"/>
        <v>重复</v>
      </c>
      <c r="L899" s="34" t="str">
        <f t="shared" si="30"/>
        <v>重复</v>
      </c>
    </row>
    <row r="900" spans="1:12" ht="30">
      <c r="A900" s="35" t="s">
        <v>11310</v>
      </c>
      <c r="B900" s="35" t="s">
        <v>2734</v>
      </c>
      <c r="C900" s="36" t="s">
        <v>2735</v>
      </c>
      <c r="D900" s="35" t="s">
        <v>2736</v>
      </c>
      <c r="E900" s="35" t="s">
        <v>11147</v>
      </c>
      <c r="F900" s="35" t="s">
        <v>11143</v>
      </c>
      <c r="G900" s="35">
        <v>240479</v>
      </c>
      <c r="H900" s="35">
        <v>280020</v>
      </c>
      <c r="I900" s="35">
        <v>200007</v>
      </c>
      <c r="J900" s="34" t="s">
        <v>2737</v>
      </c>
      <c r="K900" s="34" t="str">
        <f t="shared" si="29"/>
        <v>不重复</v>
      </c>
      <c r="L900" s="34" t="str">
        <f t="shared" si="30"/>
        <v>不重复</v>
      </c>
    </row>
    <row r="901" spans="1:12" ht="30">
      <c r="A901" s="35" t="s">
        <v>11311</v>
      </c>
      <c r="B901" s="35" t="s">
        <v>2738</v>
      </c>
      <c r="C901" s="36" t="s">
        <v>2739</v>
      </c>
      <c r="D901" s="35" t="s">
        <v>2740</v>
      </c>
      <c r="E901" s="35" t="s">
        <v>11147</v>
      </c>
      <c r="F901" s="35" t="s">
        <v>11143</v>
      </c>
      <c r="G901" s="35">
        <v>240480</v>
      </c>
      <c r="H901" s="35">
        <v>280020</v>
      </c>
      <c r="I901" s="35">
        <v>200007</v>
      </c>
      <c r="J901" s="34" t="s">
        <v>2741</v>
      </c>
      <c r="K901" s="34" t="str">
        <f t="shared" si="29"/>
        <v>重复</v>
      </c>
      <c r="L901" s="34" t="str">
        <f t="shared" si="30"/>
        <v>重复</v>
      </c>
    </row>
    <row r="902" spans="1:12" ht="30">
      <c r="A902" s="35" t="s">
        <v>11312</v>
      </c>
      <c r="B902" s="35" t="s">
        <v>2738</v>
      </c>
      <c r="C902" s="36" t="s">
        <v>1286</v>
      </c>
      <c r="D902" s="35" t="s">
        <v>2740</v>
      </c>
      <c r="E902" s="35" t="s">
        <v>11147</v>
      </c>
      <c r="F902" s="35" t="s">
        <v>11143</v>
      </c>
      <c r="G902" s="35">
        <v>240481</v>
      </c>
      <c r="H902" s="35">
        <v>280020</v>
      </c>
      <c r="I902" s="35">
        <v>200007</v>
      </c>
      <c r="J902" s="34" t="s">
        <v>2713</v>
      </c>
      <c r="K902" s="34" t="str">
        <f t="shared" si="29"/>
        <v>重复</v>
      </c>
      <c r="L902" s="34" t="str">
        <f t="shared" si="30"/>
        <v>重复</v>
      </c>
    </row>
    <row r="903" spans="1:12" ht="40.5">
      <c r="A903" s="35" t="s">
        <v>11313</v>
      </c>
      <c r="B903" s="35" t="s">
        <v>2738</v>
      </c>
      <c r="C903" s="36" t="s">
        <v>2739</v>
      </c>
      <c r="D903" s="35" t="s">
        <v>2740</v>
      </c>
      <c r="E903" s="35" t="s">
        <v>11147</v>
      </c>
      <c r="F903" s="35" t="s">
        <v>11143</v>
      </c>
      <c r="G903" s="35">
        <v>240482</v>
      </c>
      <c r="H903" s="35">
        <v>280020</v>
      </c>
      <c r="I903" s="35">
        <v>200007</v>
      </c>
      <c r="J903" s="34" t="s">
        <v>2742</v>
      </c>
      <c r="K903" s="34" t="str">
        <f t="shared" si="29"/>
        <v>重复</v>
      </c>
      <c r="L903" s="34" t="str">
        <f t="shared" si="30"/>
        <v>重复</v>
      </c>
    </row>
    <row r="904" spans="1:12" ht="30">
      <c r="A904" s="35" t="s">
        <v>11314</v>
      </c>
      <c r="B904" s="35" t="s">
        <v>2743</v>
      </c>
      <c r="C904" s="36" t="s">
        <v>2628</v>
      </c>
      <c r="D904" s="35" t="s">
        <v>2744</v>
      </c>
      <c r="E904" s="35" t="s">
        <v>11147</v>
      </c>
      <c r="F904" s="35" t="s">
        <v>11143</v>
      </c>
      <c r="G904" s="35">
        <v>240483</v>
      </c>
      <c r="H904" s="35">
        <v>280020</v>
      </c>
      <c r="I904" s="35">
        <v>200007</v>
      </c>
      <c r="J904" s="34" t="s">
        <v>2219</v>
      </c>
      <c r="K904" s="34" t="str">
        <f t="shared" si="29"/>
        <v>重复</v>
      </c>
      <c r="L904" s="34" t="str">
        <f t="shared" si="30"/>
        <v>不重复</v>
      </c>
    </row>
    <row r="905" spans="1:12" ht="30">
      <c r="A905" s="35" t="s">
        <v>11315</v>
      </c>
      <c r="B905" s="35" t="s">
        <v>2745</v>
      </c>
      <c r="C905" s="36" t="s">
        <v>2746</v>
      </c>
      <c r="D905" s="35" t="s">
        <v>2747</v>
      </c>
      <c r="E905" s="35" t="s">
        <v>11147</v>
      </c>
      <c r="F905" s="35" t="s">
        <v>11143</v>
      </c>
      <c r="G905" s="35">
        <v>240484</v>
      </c>
      <c r="H905" s="35">
        <v>280020</v>
      </c>
      <c r="I905" s="35">
        <v>200007</v>
      </c>
      <c r="J905" s="34" t="s">
        <v>2674</v>
      </c>
      <c r="K905" s="34" t="str">
        <f t="shared" si="29"/>
        <v>不重复</v>
      </c>
      <c r="L905" s="34" t="str">
        <f t="shared" si="30"/>
        <v>不重复</v>
      </c>
    </row>
    <row r="906" spans="1:12" ht="27">
      <c r="A906" s="35" t="s">
        <v>11316</v>
      </c>
      <c r="B906" s="35" t="s">
        <v>2748</v>
      </c>
      <c r="C906" s="36" t="s">
        <v>2749</v>
      </c>
      <c r="D906" s="35" t="s">
        <v>2750</v>
      </c>
      <c r="E906" s="35" t="s">
        <v>11147</v>
      </c>
      <c r="F906" s="35" t="s">
        <v>11143</v>
      </c>
      <c r="G906" s="35">
        <v>240485</v>
      </c>
      <c r="H906" s="35">
        <v>280020</v>
      </c>
      <c r="I906" s="35">
        <v>200007</v>
      </c>
      <c r="J906" s="34" t="s">
        <v>2698</v>
      </c>
      <c r="K906" s="34" t="str">
        <f t="shared" si="29"/>
        <v>不重复</v>
      </c>
      <c r="L906" s="34" t="str">
        <f t="shared" si="30"/>
        <v>不重复</v>
      </c>
    </row>
    <row r="907" spans="1:12" ht="27">
      <c r="A907" s="35" t="s">
        <v>11317</v>
      </c>
      <c r="B907" s="35" t="s">
        <v>2751</v>
      </c>
      <c r="C907" s="36" t="s">
        <v>2752</v>
      </c>
      <c r="D907" s="35" t="s">
        <v>2753</v>
      </c>
      <c r="E907" s="35" t="s">
        <v>11147</v>
      </c>
      <c r="F907" s="35" t="s">
        <v>11143</v>
      </c>
      <c r="G907" s="35">
        <v>240486</v>
      </c>
      <c r="H907" s="35">
        <v>280020</v>
      </c>
      <c r="I907" s="35">
        <v>200007</v>
      </c>
      <c r="J907" s="34" t="s">
        <v>2754</v>
      </c>
      <c r="K907" s="34" t="str">
        <f t="shared" si="29"/>
        <v>重复</v>
      </c>
      <c r="L907" s="34" t="str">
        <f t="shared" si="30"/>
        <v>不重复</v>
      </c>
    </row>
    <row r="908" spans="1:12" ht="27">
      <c r="A908" s="35" t="s">
        <v>11318</v>
      </c>
      <c r="B908" s="35" t="s">
        <v>2755</v>
      </c>
      <c r="C908" s="36" t="s">
        <v>2756</v>
      </c>
      <c r="D908" s="35" t="s">
        <v>2757</v>
      </c>
      <c r="E908" s="35" t="s">
        <v>11147</v>
      </c>
      <c r="F908" s="35" t="s">
        <v>11143</v>
      </c>
      <c r="G908" s="35">
        <v>240487</v>
      </c>
      <c r="H908" s="35">
        <v>280020</v>
      </c>
      <c r="I908" s="35">
        <v>200007</v>
      </c>
      <c r="J908" s="34" t="s">
        <v>2713</v>
      </c>
      <c r="K908" s="34" t="str">
        <f t="shared" si="29"/>
        <v>不重复</v>
      </c>
      <c r="L908" s="34" t="str">
        <f t="shared" si="30"/>
        <v>重复</v>
      </c>
    </row>
    <row r="909" spans="1:12" ht="27">
      <c r="A909" s="35" t="s">
        <v>11319</v>
      </c>
      <c r="B909" s="35" t="s">
        <v>2758</v>
      </c>
      <c r="C909" s="36" t="s">
        <v>2759</v>
      </c>
      <c r="D909" s="35" t="s">
        <v>2757</v>
      </c>
      <c r="E909" s="35" t="s">
        <v>11147</v>
      </c>
      <c r="F909" s="35" t="s">
        <v>11143</v>
      </c>
      <c r="G909" s="35">
        <v>240488</v>
      </c>
      <c r="H909" s="35">
        <v>280020</v>
      </c>
      <c r="I909" s="35">
        <v>200007</v>
      </c>
      <c r="J909" s="34" t="s">
        <v>270</v>
      </c>
      <c r="K909" s="34" t="str">
        <f t="shared" si="29"/>
        <v>重复</v>
      </c>
      <c r="L909" s="34" t="str">
        <f t="shared" si="30"/>
        <v>重复</v>
      </c>
    </row>
    <row r="910" spans="1:12" ht="27">
      <c r="A910" s="35" t="s">
        <v>11319</v>
      </c>
      <c r="B910" s="35" t="s">
        <v>2758</v>
      </c>
      <c r="C910" s="36" t="s">
        <v>2759</v>
      </c>
      <c r="D910" s="35" t="s">
        <v>2757</v>
      </c>
      <c r="E910" s="35" t="s">
        <v>11147</v>
      </c>
      <c r="F910" s="35" t="s">
        <v>11143</v>
      </c>
      <c r="G910" s="35">
        <v>240489</v>
      </c>
      <c r="H910" s="35">
        <v>280020</v>
      </c>
      <c r="I910" s="35">
        <v>200007</v>
      </c>
      <c r="J910" s="34" t="s">
        <v>2713</v>
      </c>
      <c r="K910" s="34" t="str">
        <f t="shared" si="29"/>
        <v>重复</v>
      </c>
      <c r="L910" s="34" t="str">
        <f t="shared" si="30"/>
        <v>重复</v>
      </c>
    </row>
    <row r="911" spans="1:12" ht="15">
      <c r="A911" s="35" t="s">
        <v>11320</v>
      </c>
      <c r="B911" s="35" t="s">
        <v>2760</v>
      </c>
      <c r="C911" s="36" t="s">
        <v>1112</v>
      </c>
      <c r="D911" s="35" t="s">
        <v>2761</v>
      </c>
      <c r="E911" s="35" t="s">
        <v>11147</v>
      </c>
      <c r="F911" s="35" t="s">
        <v>11143</v>
      </c>
      <c r="G911" s="35">
        <v>240490</v>
      </c>
      <c r="H911" s="35">
        <v>280020</v>
      </c>
      <c r="I911" s="35">
        <v>200007</v>
      </c>
      <c r="J911" s="34" t="s">
        <v>2713</v>
      </c>
      <c r="K911" s="34" t="str">
        <f t="shared" si="29"/>
        <v>重复</v>
      </c>
      <c r="L911" s="34" t="str">
        <f t="shared" si="30"/>
        <v>不重复</v>
      </c>
    </row>
    <row r="912" spans="1:12" ht="27">
      <c r="A912" s="35" t="s">
        <v>11321</v>
      </c>
      <c r="B912" s="35" t="s">
        <v>2762</v>
      </c>
      <c r="C912" s="36" t="s">
        <v>2763</v>
      </c>
      <c r="D912" s="35" t="s">
        <v>2764</v>
      </c>
      <c r="E912" s="35" t="s">
        <v>11147</v>
      </c>
      <c r="F912" s="35" t="s">
        <v>11143</v>
      </c>
      <c r="G912" s="35">
        <v>240491</v>
      </c>
      <c r="H912" s="35">
        <v>280020</v>
      </c>
      <c r="I912" s="35">
        <v>200007</v>
      </c>
      <c r="J912" s="34" t="s">
        <v>2765</v>
      </c>
      <c r="K912" s="34" t="str">
        <f t="shared" si="29"/>
        <v>不重复</v>
      </c>
      <c r="L912" s="34" t="str">
        <f t="shared" si="30"/>
        <v>不重复</v>
      </c>
    </row>
    <row r="913" spans="1:12" ht="27">
      <c r="A913" s="35" t="s">
        <v>11322</v>
      </c>
      <c r="B913" s="35" t="s">
        <v>2766</v>
      </c>
      <c r="C913" s="36" t="s">
        <v>2767</v>
      </c>
      <c r="D913" s="35" t="s">
        <v>2768</v>
      </c>
      <c r="E913" s="35" t="s">
        <v>11147</v>
      </c>
      <c r="F913" s="35" t="s">
        <v>11143</v>
      </c>
      <c r="G913" s="35">
        <v>240492</v>
      </c>
      <c r="H913" s="35">
        <v>280020</v>
      </c>
      <c r="I913" s="35">
        <v>200007</v>
      </c>
      <c r="J913" s="34" t="s">
        <v>1890</v>
      </c>
      <c r="K913" s="34" t="str">
        <f t="shared" si="29"/>
        <v>重复</v>
      </c>
      <c r="L913" s="34" t="str">
        <f t="shared" si="30"/>
        <v>不重复</v>
      </c>
    </row>
    <row r="914" spans="1:12" ht="30">
      <c r="A914" s="35" t="s">
        <v>11323</v>
      </c>
      <c r="B914" s="35" t="s">
        <v>2769</v>
      </c>
      <c r="C914" s="36" t="s">
        <v>2770</v>
      </c>
      <c r="D914" s="35" t="s">
        <v>2771</v>
      </c>
      <c r="E914" s="35" t="s">
        <v>11147</v>
      </c>
      <c r="F914" s="35" t="s">
        <v>11143</v>
      </c>
      <c r="G914" s="35">
        <v>240493</v>
      </c>
      <c r="H914" s="35">
        <v>280020</v>
      </c>
      <c r="I914" s="35">
        <v>200007</v>
      </c>
      <c r="J914" s="34" t="s">
        <v>2512</v>
      </c>
      <c r="K914" s="34" t="str">
        <f t="shared" si="29"/>
        <v>重复</v>
      </c>
      <c r="L914" s="34" t="str">
        <f t="shared" si="30"/>
        <v>重复</v>
      </c>
    </row>
    <row r="915" spans="1:12" ht="40.5">
      <c r="A915" s="35" t="s">
        <v>11324</v>
      </c>
      <c r="B915" s="35" t="s">
        <v>2769</v>
      </c>
      <c r="C915" s="36" t="s">
        <v>2770</v>
      </c>
      <c r="D915" s="35" t="s">
        <v>2771</v>
      </c>
      <c r="E915" s="35" t="s">
        <v>11147</v>
      </c>
      <c r="F915" s="35" t="s">
        <v>11143</v>
      </c>
      <c r="G915" s="35">
        <v>240494</v>
      </c>
      <c r="H915" s="35">
        <v>280020</v>
      </c>
      <c r="I915" s="35">
        <v>200007</v>
      </c>
      <c r="J915" s="34" t="s">
        <v>2512</v>
      </c>
      <c r="K915" s="34" t="str">
        <f t="shared" si="29"/>
        <v>重复</v>
      </c>
      <c r="L915" s="34" t="str">
        <f t="shared" si="30"/>
        <v>重复</v>
      </c>
    </row>
    <row r="916" spans="1:12" ht="30">
      <c r="A916" s="35" t="s">
        <v>11325</v>
      </c>
      <c r="B916" s="35" t="s">
        <v>2769</v>
      </c>
      <c r="C916" s="36" t="s">
        <v>2772</v>
      </c>
      <c r="D916" s="35" t="s">
        <v>2771</v>
      </c>
      <c r="E916" s="35" t="s">
        <v>11147</v>
      </c>
      <c r="F916" s="35" t="s">
        <v>11143</v>
      </c>
      <c r="G916" s="35">
        <v>240495</v>
      </c>
      <c r="H916" s="35">
        <v>280020</v>
      </c>
      <c r="I916" s="35">
        <v>200007</v>
      </c>
      <c r="J916" s="34" t="s">
        <v>2713</v>
      </c>
      <c r="K916" s="34" t="str">
        <f t="shared" si="29"/>
        <v>不重复</v>
      </c>
      <c r="L916" s="34" t="str">
        <f t="shared" si="30"/>
        <v>重复</v>
      </c>
    </row>
    <row r="917" spans="1:12" ht="15">
      <c r="A917" s="35" t="s">
        <v>11326</v>
      </c>
      <c r="B917" s="35" t="s">
        <v>2773</v>
      </c>
      <c r="C917" s="36" t="s">
        <v>2774</v>
      </c>
      <c r="D917" s="35" t="s">
        <v>2775</v>
      </c>
      <c r="E917" s="35" t="s">
        <v>11147</v>
      </c>
      <c r="F917" s="35" t="s">
        <v>11143</v>
      </c>
      <c r="G917" s="35">
        <v>240496</v>
      </c>
      <c r="H917" s="35">
        <v>280020</v>
      </c>
      <c r="I917" s="35">
        <v>200007</v>
      </c>
      <c r="J917" s="34" t="s">
        <v>2713</v>
      </c>
      <c r="K917" s="34" t="str">
        <f t="shared" si="29"/>
        <v>重复</v>
      </c>
      <c r="L917" s="34" t="str">
        <f t="shared" si="30"/>
        <v>重复</v>
      </c>
    </row>
    <row r="918" spans="1:12" ht="27">
      <c r="A918" s="35" t="s">
        <v>11327</v>
      </c>
      <c r="B918" s="35" t="s">
        <v>2776</v>
      </c>
      <c r="C918" s="36" t="s">
        <v>2777</v>
      </c>
      <c r="D918" s="35" t="s">
        <v>2775</v>
      </c>
      <c r="E918" s="35" t="s">
        <v>11147</v>
      </c>
      <c r="F918" s="35" t="s">
        <v>11143</v>
      </c>
      <c r="G918" s="35">
        <v>240497</v>
      </c>
      <c r="H918" s="35">
        <v>280020</v>
      </c>
      <c r="I918" s="35">
        <v>200007</v>
      </c>
      <c r="J918" s="34" t="s">
        <v>2778</v>
      </c>
      <c r="K918" s="34" t="str">
        <f t="shared" si="31" ref="K918:K981">IF(COUNTIF(C:C,C918)&gt;=2,"重复","不重复")</f>
        <v>重复</v>
      </c>
      <c r="L918" s="34" t="str">
        <f t="shared" si="30"/>
        <v>重复</v>
      </c>
    </row>
    <row r="919" spans="1:12" ht="27">
      <c r="A919" s="35" t="s">
        <v>11328</v>
      </c>
      <c r="B919" s="35" t="s">
        <v>2779</v>
      </c>
      <c r="C919" s="36" t="s">
        <v>2780</v>
      </c>
      <c r="D919" s="35" t="s">
        <v>2781</v>
      </c>
      <c r="E919" s="35" t="s">
        <v>11147</v>
      </c>
      <c r="F919" s="35" t="s">
        <v>11143</v>
      </c>
      <c r="G919" s="35">
        <v>240498</v>
      </c>
      <c r="H919" s="35">
        <v>280020</v>
      </c>
      <c r="I919" s="35">
        <v>200007</v>
      </c>
      <c r="J919" s="34" t="s">
        <v>2782</v>
      </c>
      <c r="K919" s="34" t="str">
        <f t="shared" si="31"/>
        <v>重复</v>
      </c>
      <c r="L919" s="34" t="str">
        <f t="shared" si="30"/>
        <v>重复</v>
      </c>
    </row>
    <row r="920" spans="1:12" ht="27">
      <c r="A920" s="35" t="s">
        <v>11329</v>
      </c>
      <c r="B920" s="35" t="s">
        <v>2783</v>
      </c>
      <c r="C920" s="36" t="s">
        <v>2784</v>
      </c>
      <c r="D920" s="35" t="s">
        <v>2785</v>
      </c>
      <c r="E920" s="35" t="s">
        <v>11147</v>
      </c>
      <c r="F920" s="35" t="s">
        <v>11143</v>
      </c>
      <c r="G920" s="35">
        <v>240499</v>
      </c>
      <c r="H920" s="35">
        <v>280020</v>
      </c>
      <c r="I920" s="35">
        <v>200007</v>
      </c>
      <c r="J920" s="34" t="s">
        <v>2713</v>
      </c>
      <c r="K920" s="34" t="str">
        <f t="shared" si="31"/>
        <v>重复</v>
      </c>
      <c r="L920" s="34" t="str">
        <f t="shared" si="30"/>
        <v>不重复</v>
      </c>
    </row>
    <row r="921" spans="1:12" ht="27">
      <c r="A921" s="35" t="s">
        <v>11330</v>
      </c>
      <c r="B921" s="35" t="s">
        <v>2786</v>
      </c>
      <c r="C921" s="36" t="s">
        <v>2787</v>
      </c>
      <c r="D921" s="35" t="s">
        <v>2788</v>
      </c>
      <c r="E921" s="35" t="s">
        <v>11147</v>
      </c>
      <c r="F921" s="35" t="s">
        <v>11143</v>
      </c>
      <c r="G921" s="35">
        <v>240500</v>
      </c>
      <c r="H921" s="35">
        <v>280020</v>
      </c>
      <c r="I921" s="35">
        <v>200007</v>
      </c>
      <c r="J921" s="34" t="s">
        <v>2765</v>
      </c>
      <c r="K921" s="34" t="str">
        <f t="shared" si="31"/>
        <v>不重复</v>
      </c>
      <c r="L921" s="34" t="str">
        <f t="shared" si="30"/>
        <v>重复</v>
      </c>
    </row>
    <row r="922" spans="1:12" ht="15">
      <c r="A922" s="35" t="s">
        <v>11331</v>
      </c>
      <c r="B922" s="35" t="s">
        <v>2789</v>
      </c>
      <c r="C922" s="36" t="s">
        <v>142</v>
      </c>
      <c r="D922" s="35" t="s">
        <v>2788</v>
      </c>
      <c r="E922" s="35" t="s">
        <v>11147</v>
      </c>
      <c r="F922" s="35" t="s">
        <v>11143</v>
      </c>
      <c r="G922" s="35">
        <v>240501</v>
      </c>
      <c r="H922" s="35">
        <v>280020</v>
      </c>
      <c r="I922" s="35">
        <v>200007</v>
      </c>
      <c r="J922" s="34" t="s">
        <v>2790</v>
      </c>
      <c r="K922" s="34" t="str">
        <f t="shared" si="31"/>
        <v>重复</v>
      </c>
      <c r="L922" s="34" t="str">
        <f t="shared" si="30"/>
        <v>重复</v>
      </c>
    </row>
    <row r="923" spans="1:12" ht="30">
      <c r="A923" s="35" t="s">
        <v>11332</v>
      </c>
      <c r="B923" s="35" t="s">
        <v>2791</v>
      </c>
      <c r="C923" s="36" t="s">
        <v>909</v>
      </c>
      <c r="D923" s="35" t="s">
        <v>2788</v>
      </c>
      <c r="E923" s="35" t="s">
        <v>11147</v>
      </c>
      <c r="F923" s="35" t="s">
        <v>11143</v>
      </c>
      <c r="G923" s="35">
        <v>240502</v>
      </c>
      <c r="H923" s="35">
        <v>280020</v>
      </c>
      <c r="I923" s="35">
        <v>200007</v>
      </c>
      <c r="J923" s="34" t="s">
        <v>2792</v>
      </c>
      <c r="K923" s="34" t="str">
        <f t="shared" si="31"/>
        <v>重复</v>
      </c>
      <c r="L923" s="34" t="str">
        <f t="shared" si="30"/>
        <v>重复</v>
      </c>
    </row>
    <row r="924" spans="1:12" ht="27">
      <c r="A924" s="35" t="s">
        <v>11333</v>
      </c>
      <c r="B924" s="35" t="s">
        <v>2793</v>
      </c>
      <c r="C924" s="36" t="s">
        <v>2794</v>
      </c>
      <c r="D924" s="35" t="s">
        <v>2795</v>
      </c>
      <c r="E924" s="35" t="s">
        <v>11147</v>
      </c>
      <c r="F924" s="35" t="s">
        <v>11143</v>
      </c>
      <c r="G924" s="35">
        <v>240503</v>
      </c>
      <c r="H924" s="35">
        <v>280020</v>
      </c>
      <c r="I924" s="35">
        <v>200007</v>
      </c>
      <c r="J924" s="34" t="s">
        <v>2796</v>
      </c>
      <c r="K924" s="34" t="str">
        <f t="shared" si="31"/>
        <v>重复</v>
      </c>
      <c r="L924" s="34" t="str">
        <f t="shared" si="30"/>
        <v>不重复</v>
      </c>
    </row>
    <row r="925" spans="1:12" ht="27">
      <c r="A925" s="35" t="s">
        <v>11334</v>
      </c>
      <c r="B925" s="35" t="s">
        <v>2797</v>
      </c>
      <c r="C925" s="36" t="s">
        <v>2759</v>
      </c>
      <c r="D925" s="35" t="s">
        <v>2798</v>
      </c>
      <c r="E925" s="35" t="s">
        <v>11147</v>
      </c>
      <c r="F925" s="35" t="s">
        <v>11143</v>
      </c>
      <c r="G925" s="35">
        <v>240504</v>
      </c>
      <c r="H925" s="35">
        <v>280020</v>
      </c>
      <c r="I925" s="35">
        <v>200007</v>
      </c>
      <c r="J925" s="34" t="s">
        <v>2641</v>
      </c>
      <c r="K925" s="34" t="str">
        <f t="shared" si="31"/>
        <v>重复</v>
      </c>
      <c r="L925" s="34" t="str">
        <f t="shared" si="30"/>
        <v>不重复</v>
      </c>
    </row>
    <row r="926" spans="1:12" ht="27">
      <c r="A926" s="35" t="s">
        <v>11335</v>
      </c>
      <c r="B926" s="35" t="s">
        <v>2799</v>
      </c>
      <c r="C926" s="36" t="s">
        <v>2800</v>
      </c>
      <c r="D926" s="35" t="s">
        <v>2310</v>
      </c>
      <c r="E926" s="35" t="s">
        <v>11147</v>
      </c>
      <c r="F926" s="35" t="s">
        <v>11143</v>
      </c>
      <c r="G926" s="35">
        <v>240505</v>
      </c>
      <c r="H926" s="35">
        <v>280020</v>
      </c>
      <c r="I926" s="35">
        <v>200007</v>
      </c>
      <c r="J926" s="34" t="s">
        <v>2801</v>
      </c>
      <c r="K926" s="34" t="str">
        <f t="shared" si="31"/>
        <v>不重复</v>
      </c>
      <c r="L926" s="34" t="str">
        <f t="shared" si="30"/>
        <v>重复</v>
      </c>
    </row>
    <row r="927" spans="1:12" ht="15">
      <c r="A927" s="35" t="s">
        <v>11336</v>
      </c>
      <c r="B927" s="35" t="s">
        <v>2802</v>
      </c>
      <c r="C927" s="36" t="s">
        <v>2295</v>
      </c>
      <c r="D927" s="35" t="s">
        <v>2803</v>
      </c>
      <c r="E927" s="35" t="s">
        <v>11147</v>
      </c>
      <c r="F927" s="35" t="s">
        <v>11143</v>
      </c>
      <c r="G927" s="35">
        <v>240506</v>
      </c>
      <c r="H927" s="35">
        <v>280020</v>
      </c>
      <c r="I927" s="35">
        <v>200007</v>
      </c>
      <c r="J927" s="34" t="s">
        <v>2804</v>
      </c>
      <c r="K927" s="34" t="str">
        <f t="shared" si="31"/>
        <v>重复</v>
      </c>
      <c r="L927" s="34" t="str">
        <f t="shared" si="30"/>
        <v>重复</v>
      </c>
    </row>
    <row r="928" spans="1:12" ht="15">
      <c r="A928" s="35" t="s">
        <v>11336</v>
      </c>
      <c r="B928" s="35" t="s">
        <v>2802</v>
      </c>
      <c r="C928" s="36" t="s">
        <v>2295</v>
      </c>
      <c r="D928" s="35" t="s">
        <v>2803</v>
      </c>
      <c r="E928" s="35" t="s">
        <v>11147</v>
      </c>
      <c r="F928" s="35" t="s">
        <v>11143</v>
      </c>
      <c r="G928" s="35">
        <v>240507</v>
      </c>
      <c r="H928" s="35">
        <v>280020</v>
      </c>
      <c r="I928" s="35">
        <v>200007</v>
      </c>
      <c r="J928" s="34" t="s">
        <v>2713</v>
      </c>
      <c r="K928" s="34" t="str">
        <f t="shared" si="31"/>
        <v>重复</v>
      </c>
      <c r="L928" s="34" t="str">
        <f t="shared" si="30"/>
        <v>重复</v>
      </c>
    </row>
    <row r="929" spans="1:12" ht="27">
      <c r="A929" s="35" t="s">
        <v>11337</v>
      </c>
      <c r="B929" s="35" t="s">
        <v>2805</v>
      </c>
      <c r="C929" s="36" t="s">
        <v>157</v>
      </c>
      <c r="D929" s="35" t="s">
        <v>2806</v>
      </c>
      <c r="E929" s="35" t="s">
        <v>11147</v>
      </c>
      <c r="F929" s="35" t="s">
        <v>11143</v>
      </c>
      <c r="G929" s="35">
        <v>240508</v>
      </c>
      <c r="H929" s="35">
        <v>280020</v>
      </c>
      <c r="I929" s="35">
        <v>200007</v>
      </c>
      <c r="J929" s="34" t="s">
        <v>2240</v>
      </c>
      <c r="K929" s="34" t="str">
        <f t="shared" si="31"/>
        <v>重复</v>
      </c>
      <c r="L929" s="34" t="str">
        <f t="shared" si="30"/>
        <v>不重复</v>
      </c>
    </row>
    <row r="930" spans="1:12" ht="27">
      <c r="A930" s="35" t="s">
        <v>11338</v>
      </c>
      <c r="B930" s="35" t="s">
        <v>2807</v>
      </c>
      <c r="C930" s="36" t="s">
        <v>388</v>
      </c>
      <c r="D930" s="35" t="s">
        <v>2808</v>
      </c>
      <c r="E930" s="35" t="s">
        <v>11147</v>
      </c>
      <c r="F930" s="35" t="s">
        <v>11143</v>
      </c>
      <c r="G930" s="35">
        <v>240509</v>
      </c>
      <c r="H930" s="35">
        <v>280020</v>
      </c>
      <c r="I930" s="35">
        <v>200007</v>
      </c>
      <c r="J930" s="34" t="s">
        <v>390</v>
      </c>
      <c r="K930" s="34" t="str">
        <f t="shared" si="31"/>
        <v>重复</v>
      </c>
      <c r="L930" s="34" t="str">
        <f t="shared" si="30"/>
        <v>不重复</v>
      </c>
    </row>
    <row r="931" spans="1:12" ht="27">
      <c r="A931" s="35" t="s">
        <v>11339</v>
      </c>
      <c r="B931" s="35" t="s">
        <v>2809</v>
      </c>
      <c r="C931" s="36" t="s">
        <v>2810</v>
      </c>
      <c r="D931" s="35" t="s">
        <v>2811</v>
      </c>
      <c r="E931" s="35" t="s">
        <v>11147</v>
      </c>
      <c r="F931" s="35" t="s">
        <v>11143</v>
      </c>
      <c r="G931" s="35">
        <v>240510</v>
      </c>
      <c r="H931" s="35">
        <v>280020</v>
      </c>
      <c r="I931" s="35">
        <v>200007</v>
      </c>
      <c r="J931" s="34" t="s">
        <v>311</v>
      </c>
      <c r="K931" s="34" t="str">
        <f t="shared" si="31"/>
        <v>不重复</v>
      </c>
      <c r="L931" s="34" t="str">
        <f t="shared" si="30"/>
        <v>不重复</v>
      </c>
    </row>
    <row r="932" spans="1:12" ht="27">
      <c r="A932" s="35" t="s">
        <v>11340</v>
      </c>
      <c r="B932" s="35" t="s">
        <v>2812</v>
      </c>
      <c r="C932" s="36" t="s">
        <v>2813</v>
      </c>
      <c r="D932" s="35" t="s">
        <v>2814</v>
      </c>
      <c r="E932" s="35" t="s">
        <v>11147</v>
      </c>
      <c r="F932" s="35" t="s">
        <v>11143</v>
      </c>
      <c r="G932" s="35">
        <v>240511</v>
      </c>
      <c r="H932" s="35">
        <v>280020</v>
      </c>
      <c r="I932" s="35">
        <v>200007</v>
      </c>
      <c r="J932" s="34" t="s">
        <v>2815</v>
      </c>
      <c r="K932" s="34" t="str">
        <f t="shared" si="31"/>
        <v>重复</v>
      </c>
      <c r="L932" s="34" t="str">
        <f t="shared" si="30"/>
        <v>不重复</v>
      </c>
    </row>
    <row r="933" spans="1:12" ht="27">
      <c r="A933" s="35" t="s">
        <v>11341</v>
      </c>
      <c r="B933" s="35" t="s">
        <v>2816</v>
      </c>
      <c r="C933" s="36" t="s">
        <v>2817</v>
      </c>
      <c r="D933" s="35" t="s">
        <v>2818</v>
      </c>
      <c r="E933" s="35" t="s">
        <v>11147</v>
      </c>
      <c r="F933" s="35" t="s">
        <v>11143</v>
      </c>
      <c r="G933" s="35">
        <v>240512</v>
      </c>
      <c r="H933" s="35">
        <v>280020</v>
      </c>
      <c r="I933" s="35">
        <v>200007</v>
      </c>
      <c r="J933" s="34" t="s">
        <v>2819</v>
      </c>
      <c r="K933" s="34" t="str">
        <f t="shared" si="31"/>
        <v>不重复</v>
      </c>
      <c r="L933" s="34" t="str">
        <f t="shared" si="30"/>
        <v>不重复</v>
      </c>
    </row>
    <row r="934" spans="1:12" ht="30">
      <c r="A934" s="35" t="s">
        <v>11342</v>
      </c>
      <c r="B934" s="35" t="s">
        <v>2820</v>
      </c>
      <c r="C934" s="36" t="s">
        <v>2821</v>
      </c>
      <c r="D934" s="35" t="s">
        <v>2822</v>
      </c>
      <c r="E934" s="35" t="s">
        <v>11147</v>
      </c>
      <c r="F934" s="35" t="s">
        <v>11143</v>
      </c>
      <c r="G934" s="35">
        <v>240513</v>
      </c>
      <c r="H934" s="35">
        <v>280020</v>
      </c>
      <c r="I934" s="35">
        <v>200007</v>
      </c>
      <c r="J934" s="34" t="s">
        <v>288</v>
      </c>
      <c r="K934" s="34" t="str">
        <f t="shared" si="31"/>
        <v>重复</v>
      </c>
      <c r="L934" s="34" t="str">
        <f t="shared" si="30"/>
        <v>不重复</v>
      </c>
    </row>
    <row r="935" spans="1:12" ht="15">
      <c r="A935" s="35" t="s">
        <v>11343</v>
      </c>
      <c r="B935" s="35" t="s">
        <v>2823</v>
      </c>
      <c r="C935" s="36" t="s">
        <v>2355</v>
      </c>
      <c r="D935" s="35" t="s">
        <v>2824</v>
      </c>
      <c r="E935" s="35" t="s">
        <v>11147</v>
      </c>
      <c r="F935" s="35" t="s">
        <v>11143</v>
      </c>
      <c r="G935" s="35">
        <v>240514</v>
      </c>
      <c r="H935" s="35">
        <v>280020</v>
      </c>
      <c r="I935" s="35">
        <v>200007</v>
      </c>
      <c r="J935" s="34" t="s">
        <v>2825</v>
      </c>
      <c r="K935" s="34" t="str">
        <f t="shared" si="31"/>
        <v>重复</v>
      </c>
      <c r="L935" s="34" t="str">
        <f t="shared" si="30"/>
        <v>不重复</v>
      </c>
    </row>
    <row r="936" spans="1:12" ht="15">
      <c r="A936" s="35" t="s">
        <v>11344</v>
      </c>
      <c r="B936" s="35" t="s">
        <v>2826</v>
      </c>
      <c r="C936" s="36" t="s">
        <v>2827</v>
      </c>
      <c r="D936" s="35" t="s">
        <v>2828</v>
      </c>
      <c r="E936" s="35" t="s">
        <v>11147</v>
      </c>
      <c r="F936" s="35" t="s">
        <v>11143</v>
      </c>
      <c r="G936" s="35">
        <v>240515</v>
      </c>
      <c r="H936" s="35">
        <v>280020</v>
      </c>
      <c r="I936" s="35">
        <v>200007</v>
      </c>
      <c r="J936" s="34" t="s">
        <v>2829</v>
      </c>
      <c r="K936" s="34" t="str">
        <f t="shared" si="31"/>
        <v>重复</v>
      </c>
      <c r="L936" s="34" t="str">
        <f t="shared" si="30"/>
        <v>不重复</v>
      </c>
    </row>
    <row r="937" spans="1:12" ht="15">
      <c r="A937" s="35" t="s">
        <v>11345</v>
      </c>
      <c r="B937" s="35" t="s">
        <v>2830</v>
      </c>
      <c r="C937" s="36" t="s">
        <v>513</v>
      </c>
      <c r="D937" s="35" t="s">
        <v>2831</v>
      </c>
      <c r="E937" s="35" t="s">
        <v>11147</v>
      </c>
      <c r="F937" s="35" t="s">
        <v>11143</v>
      </c>
      <c r="G937" s="35">
        <v>240516</v>
      </c>
      <c r="H937" s="35">
        <v>280020</v>
      </c>
      <c r="I937" s="35">
        <v>200007</v>
      </c>
      <c r="J937" s="34" t="s">
        <v>2832</v>
      </c>
      <c r="K937" s="34" t="str">
        <f t="shared" si="31"/>
        <v>重复</v>
      </c>
      <c r="L937" s="34" t="str">
        <f t="shared" si="32" ref="L937:L1000">IF(COUNTIF(D:D,D937)&gt;=2,"重复","不重复")</f>
        <v>不重复</v>
      </c>
    </row>
    <row r="938" spans="1:12" ht="30">
      <c r="A938" s="35" t="s">
        <v>11346</v>
      </c>
      <c r="B938" s="35" t="s">
        <v>2833</v>
      </c>
      <c r="C938" s="36" t="s">
        <v>2834</v>
      </c>
      <c r="D938" s="35" t="s">
        <v>2835</v>
      </c>
      <c r="E938" s="35" t="s">
        <v>11147</v>
      </c>
      <c r="F938" s="35" t="s">
        <v>11143</v>
      </c>
      <c r="G938" s="35">
        <v>240517</v>
      </c>
      <c r="H938" s="35">
        <v>280020</v>
      </c>
      <c r="I938" s="35">
        <v>200007</v>
      </c>
      <c r="J938" s="34" t="s">
        <v>1186</v>
      </c>
      <c r="K938" s="34" t="str">
        <f t="shared" si="31"/>
        <v>重复</v>
      </c>
      <c r="L938" s="34" t="str">
        <f t="shared" si="32"/>
        <v>不重复</v>
      </c>
    </row>
    <row r="939" spans="1:12" ht="27">
      <c r="A939" s="35" t="s">
        <v>11347</v>
      </c>
      <c r="B939" s="35" t="s">
        <v>2836</v>
      </c>
      <c r="C939" s="36" t="s">
        <v>2837</v>
      </c>
      <c r="D939" s="35" t="s">
        <v>2838</v>
      </c>
      <c r="E939" s="35" t="s">
        <v>11147</v>
      </c>
      <c r="F939" s="35" t="s">
        <v>11143</v>
      </c>
      <c r="G939" s="35">
        <v>240518</v>
      </c>
      <c r="H939" s="35">
        <v>280020</v>
      </c>
      <c r="I939" s="35">
        <v>200007</v>
      </c>
      <c r="J939" s="34" t="s">
        <v>2839</v>
      </c>
      <c r="K939" s="34" t="str">
        <f t="shared" si="31"/>
        <v>重复</v>
      </c>
      <c r="L939" s="34" t="str">
        <f t="shared" si="32"/>
        <v>不重复</v>
      </c>
    </row>
    <row r="940" spans="1:12" ht="30">
      <c r="A940" s="35" t="s">
        <v>11348</v>
      </c>
      <c r="B940" s="35" t="s">
        <v>2840</v>
      </c>
      <c r="C940" s="36" t="s">
        <v>2841</v>
      </c>
      <c r="D940" s="35" t="s">
        <v>2842</v>
      </c>
      <c r="E940" s="35" t="s">
        <v>11147</v>
      </c>
      <c r="F940" s="35" t="s">
        <v>11143</v>
      </c>
      <c r="G940" s="35">
        <v>240519</v>
      </c>
      <c r="H940" s="35">
        <v>280020</v>
      </c>
      <c r="I940" s="35">
        <v>200007</v>
      </c>
      <c r="J940" s="34" t="s">
        <v>932</v>
      </c>
      <c r="K940" s="34" t="str">
        <f t="shared" si="31"/>
        <v>不重复</v>
      </c>
      <c r="L940" s="34" t="str">
        <f t="shared" si="32"/>
        <v>重复</v>
      </c>
    </row>
    <row r="941" spans="1:12" ht="15">
      <c r="A941" s="35" t="s">
        <v>11349</v>
      </c>
      <c r="B941" s="35" t="s">
        <v>2843</v>
      </c>
      <c r="C941" s="36" t="s">
        <v>2844</v>
      </c>
      <c r="D941" s="35" t="s">
        <v>2845</v>
      </c>
      <c r="E941" s="35" t="s">
        <v>11147</v>
      </c>
      <c r="F941" s="35" t="s">
        <v>11143</v>
      </c>
      <c r="G941" s="35">
        <v>240520</v>
      </c>
      <c r="H941" s="35">
        <v>280020</v>
      </c>
      <c r="I941" s="35">
        <v>200007</v>
      </c>
      <c r="J941" s="34" t="s">
        <v>2512</v>
      </c>
      <c r="K941" s="34" t="str">
        <f t="shared" si="31"/>
        <v>不重复</v>
      </c>
      <c r="L941" s="34" t="str">
        <f t="shared" si="32"/>
        <v>重复</v>
      </c>
    </row>
    <row r="942" spans="1:12" ht="27">
      <c r="A942" s="35" t="s">
        <v>11350</v>
      </c>
      <c r="B942" s="35" t="s">
        <v>2843</v>
      </c>
      <c r="C942" s="36" t="s">
        <v>2846</v>
      </c>
      <c r="D942" s="35" t="s">
        <v>2845</v>
      </c>
      <c r="E942" s="35" t="s">
        <v>11147</v>
      </c>
      <c r="F942" s="35" t="s">
        <v>11143</v>
      </c>
      <c r="G942" s="35">
        <v>240521</v>
      </c>
      <c r="H942" s="35">
        <v>280020</v>
      </c>
      <c r="I942" s="35">
        <v>200007</v>
      </c>
      <c r="J942" s="34" t="s">
        <v>2512</v>
      </c>
      <c r="K942" s="34" t="str">
        <f t="shared" si="31"/>
        <v>不重复</v>
      </c>
      <c r="L942" s="34" t="str">
        <f t="shared" si="32"/>
        <v>重复</v>
      </c>
    </row>
    <row r="943" spans="1:12" ht="15">
      <c r="A943" s="35" t="s">
        <v>11351</v>
      </c>
      <c r="B943" s="35" t="s">
        <v>2843</v>
      </c>
      <c r="C943" s="36" t="s">
        <v>2847</v>
      </c>
      <c r="D943" s="35" t="s">
        <v>2845</v>
      </c>
      <c r="E943" s="35" t="s">
        <v>11147</v>
      </c>
      <c r="F943" s="35" t="s">
        <v>11143</v>
      </c>
      <c r="G943" s="35">
        <v>240522</v>
      </c>
      <c r="H943" s="35">
        <v>280020</v>
      </c>
      <c r="I943" s="35">
        <v>200007</v>
      </c>
      <c r="J943" s="34" t="s">
        <v>2512</v>
      </c>
      <c r="K943" s="34" t="str">
        <f t="shared" si="31"/>
        <v>不重复</v>
      </c>
      <c r="L943" s="34" t="str">
        <f t="shared" si="32"/>
        <v>重复</v>
      </c>
    </row>
    <row r="944" spans="1:12" ht="15">
      <c r="A944" s="35" t="s">
        <v>11352</v>
      </c>
      <c r="B944" s="35" t="s">
        <v>2843</v>
      </c>
      <c r="C944" s="36" t="s">
        <v>2040</v>
      </c>
      <c r="D944" s="35" t="s">
        <v>2845</v>
      </c>
      <c r="E944" s="35" t="s">
        <v>11147</v>
      </c>
      <c r="F944" s="35" t="s">
        <v>11143</v>
      </c>
      <c r="G944" s="35">
        <v>240523</v>
      </c>
      <c r="H944" s="35">
        <v>280020</v>
      </c>
      <c r="I944" s="35">
        <v>200007</v>
      </c>
      <c r="J944" s="34" t="s">
        <v>2832</v>
      </c>
      <c r="K944" s="34" t="str">
        <f t="shared" si="31"/>
        <v>重复</v>
      </c>
      <c r="L944" s="34" t="str">
        <f t="shared" si="32"/>
        <v>重复</v>
      </c>
    </row>
    <row r="945" spans="1:12" ht="27">
      <c r="A945" s="35" t="s">
        <v>11353</v>
      </c>
      <c r="B945" s="35" t="s">
        <v>2848</v>
      </c>
      <c r="C945" s="36" t="s">
        <v>2849</v>
      </c>
      <c r="D945" s="35" t="s">
        <v>2850</v>
      </c>
      <c r="E945" s="35" t="s">
        <v>11147</v>
      </c>
      <c r="F945" s="35" t="s">
        <v>11143</v>
      </c>
      <c r="G945" s="35">
        <v>240524</v>
      </c>
      <c r="H945" s="35">
        <v>280020</v>
      </c>
      <c r="I945" s="35">
        <v>200007</v>
      </c>
      <c r="J945" s="34" t="s">
        <v>2851</v>
      </c>
      <c r="K945" s="34" t="str">
        <f t="shared" si="31"/>
        <v>重复</v>
      </c>
      <c r="L945" s="34" t="str">
        <f t="shared" si="32"/>
        <v>不重复</v>
      </c>
    </row>
    <row r="946" spans="1:12" ht="15">
      <c r="A946" s="35" t="s">
        <v>11354</v>
      </c>
      <c r="B946" s="35" t="s">
        <v>2852</v>
      </c>
      <c r="C946" s="36" t="s">
        <v>617</v>
      </c>
      <c r="D946" s="35" t="s">
        <v>2853</v>
      </c>
      <c r="E946" s="35" t="s">
        <v>11147</v>
      </c>
      <c r="F946" s="35" t="s">
        <v>11143</v>
      </c>
      <c r="G946" s="35">
        <v>240525</v>
      </c>
      <c r="H946" s="35">
        <v>280020</v>
      </c>
      <c r="I946" s="35">
        <v>200007</v>
      </c>
      <c r="J946" s="34" t="s">
        <v>2059</v>
      </c>
      <c r="K946" s="34" t="str">
        <f t="shared" si="31"/>
        <v>重复</v>
      </c>
      <c r="L946" s="34" t="str">
        <f t="shared" si="32"/>
        <v>不重复</v>
      </c>
    </row>
    <row r="947" spans="1:12" ht="30">
      <c r="A947" s="35" t="s">
        <v>11355</v>
      </c>
      <c r="B947" s="35" t="s">
        <v>2854</v>
      </c>
      <c r="C947" s="36" t="s">
        <v>2855</v>
      </c>
      <c r="D947" s="35" t="s">
        <v>2856</v>
      </c>
      <c r="E947" s="35" t="s">
        <v>11147</v>
      </c>
      <c r="F947" s="35" t="s">
        <v>11143</v>
      </c>
      <c r="G947" s="35">
        <v>240526</v>
      </c>
      <c r="H947" s="35">
        <v>280020</v>
      </c>
      <c r="I947" s="35">
        <v>200007</v>
      </c>
      <c r="J947" s="34" t="s">
        <v>2857</v>
      </c>
      <c r="K947" s="34" t="str">
        <f t="shared" si="31"/>
        <v>不重复</v>
      </c>
      <c r="L947" s="34" t="str">
        <f t="shared" si="32"/>
        <v>重复</v>
      </c>
    </row>
    <row r="948" spans="1:12" ht="30">
      <c r="A948" s="35" t="s">
        <v>11356</v>
      </c>
      <c r="B948" s="35" t="s">
        <v>2858</v>
      </c>
      <c r="C948" s="36" t="s">
        <v>2859</v>
      </c>
      <c r="D948" s="35" t="s">
        <v>2856</v>
      </c>
      <c r="E948" s="35" t="s">
        <v>11147</v>
      </c>
      <c r="F948" s="35" t="s">
        <v>11143</v>
      </c>
      <c r="G948" s="35">
        <v>240527</v>
      </c>
      <c r="H948" s="35">
        <v>280020</v>
      </c>
      <c r="I948" s="35">
        <v>200007</v>
      </c>
      <c r="J948" s="34" t="s">
        <v>2860</v>
      </c>
      <c r="K948" s="34" t="str">
        <f t="shared" si="31"/>
        <v>重复</v>
      </c>
      <c r="L948" s="34" t="str">
        <f t="shared" si="32"/>
        <v>重复</v>
      </c>
    </row>
    <row r="949" spans="1:12" ht="30">
      <c r="A949" s="35" t="s">
        <v>11357</v>
      </c>
      <c r="B949" s="35" t="s">
        <v>2861</v>
      </c>
      <c r="C949" s="36" t="s">
        <v>1942</v>
      </c>
      <c r="D949" s="35" t="s">
        <v>2856</v>
      </c>
      <c r="E949" s="35" t="s">
        <v>11147</v>
      </c>
      <c r="F949" s="35" t="s">
        <v>11143</v>
      </c>
      <c r="G949" s="35">
        <v>240528</v>
      </c>
      <c r="H949" s="35">
        <v>280020</v>
      </c>
      <c r="I949" s="35">
        <v>200007</v>
      </c>
      <c r="J949" s="34" t="s">
        <v>2862</v>
      </c>
      <c r="K949" s="34" t="str">
        <f t="shared" si="31"/>
        <v>重复</v>
      </c>
      <c r="L949" s="34" t="str">
        <f t="shared" si="32"/>
        <v>重复</v>
      </c>
    </row>
    <row r="950" spans="1:12" ht="30">
      <c r="A950" s="35" t="s">
        <v>11358</v>
      </c>
      <c r="B950" s="35" t="s">
        <v>2863</v>
      </c>
      <c r="C950" s="36" t="s">
        <v>2864</v>
      </c>
      <c r="D950" s="35" t="s">
        <v>2856</v>
      </c>
      <c r="E950" s="35" t="s">
        <v>11147</v>
      </c>
      <c r="F950" s="35" t="s">
        <v>11143</v>
      </c>
      <c r="G950" s="35">
        <v>240529</v>
      </c>
      <c r="H950" s="35">
        <v>280020</v>
      </c>
      <c r="I950" s="35">
        <v>200007</v>
      </c>
      <c r="J950" s="34" t="s">
        <v>2466</v>
      </c>
      <c r="K950" s="34" t="str">
        <f t="shared" si="31"/>
        <v>不重复</v>
      </c>
      <c r="L950" s="34" t="str">
        <f t="shared" si="32"/>
        <v>重复</v>
      </c>
    </row>
    <row r="951" spans="1:12" ht="27">
      <c r="A951" s="35" t="s">
        <v>11359</v>
      </c>
      <c r="B951" s="35" t="s">
        <v>2865</v>
      </c>
      <c r="C951" s="36" t="s">
        <v>2866</v>
      </c>
      <c r="D951" s="35" t="s">
        <v>2867</v>
      </c>
      <c r="E951" s="35" t="s">
        <v>11147</v>
      </c>
      <c r="F951" s="35" t="s">
        <v>11143</v>
      </c>
      <c r="G951" s="35">
        <v>240530</v>
      </c>
      <c r="H951" s="35">
        <v>280020</v>
      </c>
      <c r="I951" s="35">
        <v>200007</v>
      </c>
      <c r="J951" s="34" t="s">
        <v>2868</v>
      </c>
      <c r="K951" s="34" t="str">
        <f t="shared" si="31"/>
        <v>重复</v>
      </c>
      <c r="L951" s="34" t="str">
        <f t="shared" si="32"/>
        <v>不重复</v>
      </c>
    </row>
    <row r="952" spans="1:12" ht="30">
      <c r="A952" s="35" t="s">
        <v>11360</v>
      </c>
      <c r="B952" s="35" t="s">
        <v>2869</v>
      </c>
      <c r="C952" s="36" t="s">
        <v>2870</v>
      </c>
      <c r="D952" s="35" t="s">
        <v>2871</v>
      </c>
      <c r="E952" s="35" t="s">
        <v>11147</v>
      </c>
      <c r="F952" s="35" t="s">
        <v>11143</v>
      </c>
      <c r="G952" s="35">
        <v>240531</v>
      </c>
      <c r="H952" s="35">
        <v>280020</v>
      </c>
      <c r="I952" s="35">
        <v>200007</v>
      </c>
      <c r="J952" s="34" t="s">
        <v>2219</v>
      </c>
      <c r="K952" s="34" t="str">
        <f t="shared" si="31"/>
        <v>不重复</v>
      </c>
      <c r="L952" s="34" t="str">
        <f t="shared" si="32"/>
        <v>重复</v>
      </c>
    </row>
    <row r="953" spans="1:12" ht="30">
      <c r="A953" s="35" t="s">
        <v>11361</v>
      </c>
      <c r="B953" s="35" t="s">
        <v>2869</v>
      </c>
      <c r="C953" s="36" t="s">
        <v>2872</v>
      </c>
      <c r="D953" s="35" t="s">
        <v>2871</v>
      </c>
      <c r="E953" s="35" t="s">
        <v>11147</v>
      </c>
      <c r="F953" s="35" t="s">
        <v>11143</v>
      </c>
      <c r="G953" s="35">
        <v>240532</v>
      </c>
      <c r="H953" s="35">
        <v>280020</v>
      </c>
      <c r="I953" s="35">
        <v>200007</v>
      </c>
      <c r="J953" s="34" t="s">
        <v>2219</v>
      </c>
      <c r="K953" s="34" t="str">
        <f t="shared" si="31"/>
        <v>重复</v>
      </c>
      <c r="L953" s="34" t="str">
        <f t="shared" si="32"/>
        <v>重复</v>
      </c>
    </row>
    <row r="954" spans="1:12" ht="30">
      <c r="A954" s="35" t="s">
        <v>11362</v>
      </c>
      <c r="B954" s="35" t="s">
        <v>2869</v>
      </c>
      <c r="C954" s="36" t="s">
        <v>2873</v>
      </c>
      <c r="D954" s="35" t="s">
        <v>2871</v>
      </c>
      <c r="E954" s="35" t="s">
        <v>11147</v>
      </c>
      <c r="F954" s="35" t="s">
        <v>11143</v>
      </c>
      <c r="G954" s="35">
        <v>240533</v>
      </c>
      <c r="H954" s="35">
        <v>280020</v>
      </c>
      <c r="I954" s="35">
        <v>200007</v>
      </c>
      <c r="J954" s="34" t="s">
        <v>2874</v>
      </c>
      <c r="K954" s="34" t="str">
        <f t="shared" si="31"/>
        <v>不重复</v>
      </c>
      <c r="L954" s="34" t="str">
        <f t="shared" si="32"/>
        <v>重复</v>
      </c>
    </row>
    <row r="955" spans="1:12" ht="30">
      <c r="A955" s="35" t="s">
        <v>11363</v>
      </c>
      <c r="B955" s="35" t="s">
        <v>2869</v>
      </c>
      <c r="C955" s="36" t="s">
        <v>2875</v>
      </c>
      <c r="D955" s="35" t="s">
        <v>2871</v>
      </c>
      <c r="E955" s="35" t="s">
        <v>11147</v>
      </c>
      <c r="F955" s="35" t="s">
        <v>11143</v>
      </c>
      <c r="G955" s="35">
        <v>240534</v>
      </c>
      <c r="H955" s="35">
        <v>280020</v>
      </c>
      <c r="I955" s="35">
        <v>200007</v>
      </c>
      <c r="J955" s="34" t="s">
        <v>2876</v>
      </c>
      <c r="K955" s="34" t="str">
        <f t="shared" si="31"/>
        <v>不重复</v>
      </c>
      <c r="L955" s="34" t="str">
        <f t="shared" si="32"/>
        <v>重复</v>
      </c>
    </row>
    <row r="956" spans="1:12" ht="30">
      <c r="A956" s="35" t="s">
        <v>11364</v>
      </c>
      <c r="B956" s="35" t="s">
        <v>2877</v>
      </c>
      <c r="C956" s="36" t="s">
        <v>2878</v>
      </c>
      <c r="D956" s="35" t="s">
        <v>2879</v>
      </c>
      <c r="E956" s="35" t="s">
        <v>11147</v>
      </c>
      <c r="F956" s="35" t="s">
        <v>11143</v>
      </c>
      <c r="G956" s="35">
        <v>240535</v>
      </c>
      <c r="H956" s="35">
        <v>280020</v>
      </c>
      <c r="I956" s="35">
        <v>200007</v>
      </c>
      <c r="J956" s="34" t="s">
        <v>2880</v>
      </c>
      <c r="K956" s="34" t="str">
        <f t="shared" si="31"/>
        <v>重复</v>
      </c>
      <c r="L956" s="34" t="str">
        <f t="shared" si="32"/>
        <v>不重复</v>
      </c>
    </row>
    <row r="957" spans="1:12" ht="27">
      <c r="A957" s="35" t="s">
        <v>11365</v>
      </c>
      <c r="B957" s="35" t="s">
        <v>2881</v>
      </c>
      <c r="C957" s="36" t="s">
        <v>2882</v>
      </c>
      <c r="D957" s="35" t="s">
        <v>2883</v>
      </c>
      <c r="E957" s="35" t="s">
        <v>11147</v>
      </c>
      <c r="F957" s="35" t="s">
        <v>11143</v>
      </c>
      <c r="G957" s="35">
        <v>240536</v>
      </c>
      <c r="H957" s="35">
        <v>280020</v>
      </c>
      <c r="I957" s="35">
        <v>200007</v>
      </c>
      <c r="J957" s="34" t="s">
        <v>2884</v>
      </c>
      <c r="K957" s="34" t="str">
        <f t="shared" si="31"/>
        <v>不重复</v>
      </c>
      <c r="L957" s="34" t="str">
        <f t="shared" si="32"/>
        <v>不重复</v>
      </c>
    </row>
    <row r="958" spans="1:12" ht="30">
      <c r="A958" s="35" t="s">
        <v>11366</v>
      </c>
      <c r="B958" s="35" t="s">
        <v>2885</v>
      </c>
      <c r="C958" s="36" t="s">
        <v>2886</v>
      </c>
      <c r="D958" s="35" t="s">
        <v>2887</v>
      </c>
      <c r="E958" s="35" t="s">
        <v>11147</v>
      </c>
      <c r="F958" s="35" t="s">
        <v>11143</v>
      </c>
      <c r="G958" s="35">
        <v>240537</v>
      </c>
      <c r="H958" s="35">
        <v>280020</v>
      </c>
      <c r="I958" s="35">
        <v>200007</v>
      </c>
      <c r="J958" s="34" t="s">
        <v>1057</v>
      </c>
      <c r="K958" s="34" t="str">
        <f t="shared" si="31"/>
        <v>重复</v>
      </c>
      <c r="L958" s="34" t="str">
        <f t="shared" si="32"/>
        <v>重复</v>
      </c>
    </row>
    <row r="959" spans="1:12" ht="30">
      <c r="A959" s="35" t="s">
        <v>11367</v>
      </c>
      <c r="B959" s="35" t="s">
        <v>2888</v>
      </c>
      <c r="C959" s="36" t="s">
        <v>2889</v>
      </c>
      <c r="D959" s="35" t="s">
        <v>2890</v>
      </c>
      <c r="E959" s="35" t="s">
        <v>11147</v>
      </c>
      <c r="F959" s="35" t="s">
        <v>11143</v>
      </c>
      <c r="G959" s="35">
        <v>240538</v>
      </c>
      <c r="H959" s="35">
        <v>280020</v>
      </c>
      <c r="I959" s="35">
        <v>200007</v>
      </c>
      <c r="J959" s="34" t="s">
        <v>1057</v>
      </c>
      <c r="K959" s="34" t="str">
        <f t="shared" si="31"/>
        <v>不重复</v>
      </c>
      <c r="L959" s="34" t="str">
        <f t="shared" si="32"/>
        <v>不重复</v>
      </c>
    </row>
    <row r="960" spans="1:12" ht="30">
      <c r="A960" s="35" t="s">
        <v>11368</v>
      </c>
      <c r="B960" s="35" t="s">
        <v>2891</v>
      </c>
      <c r="C960" s="36" t="s">
        <v>2892</v>
      </c>
      <c r="D960" s="35" t="s">
        <v>2588</v>
      </c>
      <c r="E960" s="35" t="s">
        <v>11147</v>
      </c>
      <c r="F960" s="35" t="s">
        <v>11143</v>
      </c>
      <c r="G960" s="35">
        <v>240539</v>
      </c>
      <c r="H960" s="35">
        <v>280020</v>
      </c>
      <c r="I960" s="35">
        <v>200007</v>
      </c>
      <c r="J960" s="34" t="s">
        <v>1057</v>
      </c>
      <c r="K960" s="34" t="str">
        <f t="shared" si="31"/>
        <v>重复</v>
      </c>
      <c r="L960" s="34" t="str">
        <f t="shared" si="32"/>
        <v>重复</v>
      </c>
    </row>
    <row r="961" spans="1:12" ht="30">
      <c r="A961" s="35" t="s">
        <v>11369</v>
      </c>
      <c r="B961" s="35" t="s">
        <v>2893</v>
      </c>
      <c r="C961" s="36" t="s">
        <v>2894</v>
      </c>
      <c r="D961" s="35" t="s">
        <v>2588</v>
      </c>
      <c r="E961" s="35" t="s">
        <v>11147</v>
      </c>
      <c r="F961" s="35" t="s">
        <v>11143</v>
      </c>
      <c r="G961" s="35">
        <v>240540</v>
      </c>
      <c r="H961" s="35">
        <v>280020</v>
      </c>
      <c r="I961" s="35">
        <v>200007</v>
      </c>
      <c r="J961" s="34" t="s">
        <v>1057</v>
      </c>
      <c r="K961" s="34" t="str">
        <f t="shared" si="31"/>
        <v>重复</v>
      </c>
      <c r="L961" s="34" t="str">
        <f t="shared" si="32"/>
        <v>重复</v>
      </c>
    </row>
    <row r="962" spans="1:12" ht="30">
      <c r="A962" s="35" t="s">
        <v>11370</v>
      </c>
      <c r="B962" s="35" t="s">
        <v>2895</v>
      </c>
      <c r="C962" s="36" t="s">
        <v>2896</v>
      </c>
      <c r="D962" s="35" t="s">
        <v>2588</v>
      </c>
      <c r="E962" s="35" t="s">
        <v>11147</v>
      </c>
      <c r="F962" s="35" t="s">
        <v>11143</v>
      </c>
      <c r="G962" s="35">
        <v>240541</v>
      </c>
      <c r="H962" s="35">
        <v>280020</v>
      </c>
      <c r="I962" s="35">
        <v>200007</v>
      </c>
      <c r="J962" s="34" t="s">
        <v>1057</v>
      </c>
      <c r="K962" s="34" t="str">
        <f t="shared" si="31"/>
        <v>重复</v>
      </c>
      <c r="L962" s="34" t="str">
        <f t="shared" si="32"/>
        <v>重复</v>
      </c>
    </row>
    <row r="963" spans="1:12" ht="30">
      <c r="A963" s="35" t="s">
        <v>11371</v>
      </c>
      <c r="B963" s="35" t="s">
        <v>2897</v>
      </c>
      <c r="C963" s="36" t="s">
        <v>2898</v>
      </c>
      <c r="D963" s="35" t="s">
        <v>2588</v>
      </c>
      <c r="E963" s="35" t="s">
        <v>11147</v>
      </c>
      <c r="F963" s="35" t="s">
        <v>11143</v>
      </c>
      <c r="G963" s="35">
        <v>240542</v>
      </c>
      <c r="H963" s="35">
        <v>280020</v>
      </c>
      <c r="I963" s="35">
        <v>200007</v>
      </c>
      <c r="J963" s="34" t="s">
        <v>2737</v>
      </c>
      <c r="K963" s="34" t="str">
        <f t="shared" si="31"/>
        <v>不重复</v>
      </c>
      <c r="L963" s="34" t="str">
        <f t="shared" si="32"/>
        <v>重复</v>
      </c>
    </row>
    <row r="964" spans="1:12" ht="30">
      <c r="A964" s="35" t="s">
        <v>11372</v>
      </c>
      <c r="B964" s="35" t="s">
        <v>2899</v>
      </c>
      <c r="C964" s="36" t="s">
        <v>2332</v>
      </c>
      <c r="D964" s="35" t="s">
        <v>2900</v>
      </c>
      <c r="E964" s="35" t="s">
        <v>11147</v>
      </c>
      <c r="F964" s="35" t="s">
        <v>11143</v>
      </c>
      <c r="G964" s="35">
        <v>240543</v>
      </c>
      <c r="H964" s="35">
        <v>280020</v>
      </c>
      <c r="I964" s="35">
        <v>200007</v>
      </c>
      <c r="J964" s="34" t="s">
        <v>1057</v>
      </c>
      <c r="K964" s="34" t="str">
        <f t="shared" si="31"/>
        <v>重复</v>
      </c>
      <c r="L964" s="34" t="str">
        <f t="shared" si="32"/>
        <v>不重复</v>
      </c>
    </row>
    <row r="965" spans="1:12" ht="30">
      <c r="A965" s="35" t="s">
        <v>11373</v>
      </c>
      <c r="B965" s="35" t="s">
        <v>2901</v>
      </c>
      <c r="C965" s="36" t="s">
        <v>2902</v>
      </c>
      <c r="D965" s="35" t="s">
        <v>2903</v>
      </c>
      <c r="E965" s="35" t="s">
        <v>11147</v>
      </c>
      <c r="F965" s="35" t="s">
        <v>11143</v>
      </c>
      <c r="G965" s="35">
        <v>240544</v>
      </c>
      <c r="H965" s="35">
        <v>280020</v>
      </c>
      <c r="I965" s="35">
        <v>200007</v>
      </c>
      <c r="J965" s="34" t="s">
        <v>2577</v>
      </c>
      <c r="K965" s="34" t="str">
        <f t="shared" si="31"/>
        <v>不重复</v>
      </c>
      <c r="L965" s="34" t="str">
        <f t="shared" si="32"/>
        <v>不重复</v>
      </c>
    </row>
    <row r="966" spans="1:12" ht="30">
      <c r="A966" s="35" t="s">
        <v>11374</v>
      </c>
      <c r="B966" s="35" t="s">
        <v>2904</v>
      </c>
      <c r="C966" s="36" t="s">
        <v>2905</v>
      </c>
      <c r="D966" s="35" t="s">
        <v>2906</v>
      </c>
      <c r="E966" s="35" t="s">
        <v>11147</v>
      </c>
      <c r="F966" s="35" t="s">
        <v>11143</v>
      </c>
      <c r="G966" s="35">
        <v>240545</v>
      </c>
      <c r="H966" s="35">
        <v>280020</v>
      </c>
      <c r="I966" s="35">
        <v>200007</v>
      </c>
      <c r="J966" s="34" t="s">
        <v>1057</v>
      </c>
      <c r="K966" s="34" t="str">
        <f t="shared" si="31"/>
        <v>重复</v>
      </c>
      <c r="L966" s="34" t="str">
        <f t="shared" si="32"/>
        <v>不重复</v>
      </c>
    </row>
    <row r="967" spans="1:12" ht="30">
      <c r="A967" s="35" t="s">
        <v>11375</v>
      </c>
      <c r="B967" s="35" t="s">
        <v>2907</v>
      </c>
      <c r="C967" s="36" t="s">
        <v>2908</v>
      </c>
      <c r="D967" s="35" t="s">
        <v>2909</v>
      </c>
      <c r="E967" s="35" t="s">
        <v>11147</v>
      </c>
      <c r="F967" s="35" t="s">
        <v>11143</v>
      </c>
      <c r="G967" s="35">
        <v>240546</v>
      </c>
      <c r="H967" s="35">
        <v>280020</v>
      </c>
      <c r="I967" s="35">
        <v>200007</v>
      </c>
      <c r="J967" s="34" t="s">
        <v>1057</v>
      </c>
      <c r="K967" s="34" t="str">
        <f t="shared" si="31"/>
        <v>重复</v>
      </c>
      <c r="L967" s="34" t="str">
        <f t="shared" si="32"/>
        <v>重复</v>
      </c>
    </row>
    <row r="968" spans="1:12" ht="30">
      <c r="A968" s="35" t="s">
        <v>11376</v>
      </c>
      <c r="B968" s="35" t="s">
        <v>2910</v>
      </c>
      <c r="C968" s="36" t="s">
        <v>2911</v>
      </c>
      <c r="D968" s="35" t="s">
        <v>2912</v>
      </c>
      <c r="E968" s="35" t="s">
        <v>11147</v>
      </c>
      <c r="F968" s="35" t="s">
        <v>11143</v>
      </c>
      <c r="G968" s="35">
        <v>240547</v>
      </c>
      <c r="H968" s="35">
        <v>280020</v>
      </c>
      <c r="I968" s="35">
        <v>200007</v>
      </c>
      <c r="J968" s="34" t="s">
        <v>2913</v>
      </c>
      <c r="K968" s="34" t="str">
        <f t="shared" si="31"/>
        <v>不重复</v>
      </c>
      <c r="L968" s="34" t="str">
        <f t="shared" si="32"/>
        <v>重复</v>
      </c>
    </row>
    <row r="969" spans="1:12" ht="15">
      <c r="A969" s="35" t="s">
        <v>11377</v>
      </c>
      <c r="B969" s="35" t="s">
        <v>2914</v>
      </c>
      <c r="C969" s="36" t="s">
        <v>2915</v>
      </c>
      <c r="D969" s="35" t="s">
        <v>2916</v>
      </c>
      <c r="E969" s="35" t="s">
        <v>11147</v>
      </c>
      <c r="F969" s="35" t="s">
        <v>11143</v>
      </c>
      <c r="G969" s="35">
        <v>240548</v>
      </c>
      <c r="H969" s="35">
        <v>280020</v>
      </c>
      <c r="I969" s="35">
        <v>200007</v>
      </c>
      <c r="J969" s="34" t="s">
        <v>2495</v>
      </c>
      <c r="K969" s="34" t="str">
        <f t="shared" si="31"/>
        <v>重复</v>
      </c>
      <c r="L969" s="34" t="str">
        <f t="shared" si="32"/>
        <v>不重复</v>
      </c>
    </row>
    <row r="970" spans="1:12" ht="15">
      <c r="A970" s="35" t="s">
        <v>11378</v>
      </c>
      <c r="B970" s="35" t="s">
        <v>2917</v>
      </c>
      <c r="C970" s="36" t="s">
        <v>2918</v>
      </c>
      <c r="D970" s="35" t="s">
        <v>2919</v>
      </c>
      <c r="E970" s="35" t="s">
        <v>11147</v>
      </c>
      <c r="F970" s="35" t="s">
        <v>11143</v>
      </c>
      <c r="G970" s="35">
        <v>240549</v>
      </c>
      <c r="H970" s="35">
        <v>280020</v>
      </c>
      <c r="I970" s="35">
        <v>200007</v>
      </c>
      <c r="J970" s="34" t="s">
        <v>2293</v>
      </c>
      <c r="K970" s="34" t="str">
        <f t="shared" si="31"/>
        <v>重复</v>
      </c>
      <c r="L970" s="34" t="str">
        <f t="shared" si="32"/>
        <v>重复</v>
      </c>
    </row>
    <row r="971" spans="1:12" ht="27">
      <c r="A971" s="35" t="s">
        <v>11379</v>
      </c>
      <c r="B971" s="35" t="s">
        <v>2917</v>
      </c>
      <c r="C971" s="36" t="s">
        <v>2918</v>
      </c>
      <c r="D971" s="35" t="s">
        <v>2919</v>
      </c>
      <c r="E971" s="35" t="s">
        <v>11147</v>
      </c>
      <c r="F971" s="35" t="s">
        <v>11143</v>
      </c>
      <c r="G971" s="35">
        <v>240550</v>
      </c>
      <c r="H971" s="35">
        <v>280020</v>
      </c>
      <c r="I971" s="35">
        <v>200007</v>
      </c>
      <c r="J971" s="34" t="s">
        <v>2293</v>
      </c>
      <c r="K971" s="34" t="str">
        <f t="shared" si="31"/>
        <v>重复</v>
      </c>
      <c r="L971" s="34" t="str">
        <f t="shared" si="32"/>
        <v>重复</v>
      </c>
    </row>
    <row r="972" spans="1:12" ht="27">
      <c r="A972" s="35" t="s">
        <v>11380</v>
      </c>
      <c r="B972" s="35" t="s">
        <v>2917</v>
      </c>
      <c r="C972" s="36" t="s">
        <v>2920</v>
      </c>
      <c r="D972" s="35" t="s">
        <v>2919</v>
      </c>
      <c r="E972" s="35" t="s">
        <v>11147</v>
      </c>
      <c r="F972" s="35" t="s">
        <v>11143</v>
      </c>
      <c r="G972" s="35">
        <v>240551</v>
      </c>
      <c r="H972" s="35">
        <v>280020</v>
      </c>
      <c r="I972" s="35">
        <v>200007</v>
      </c>
      <c r="J972" s="34" t="s">
        <v>353</v>
      </c>
      <c r="K972" s="34" t="str">
        <f t="shared" si="31"/>
        <v>重复</v>
      </c>
      <c r="L972" s="34" t="str">
        <f t="shared" si="32"/>
        <v>重复</v>
      </c>
    </row>
    <row r="973" spans="1:12" ht="27">
      <c r="A973" s="35" t="s">
        <v>11381</v>
      </c>
      <c r="B973" s="35" t="s">
        <v>2917</v>
      </c>
      <c r="C973" s="36" t="s">
        <v>2921</v>
      </c>
      <c r="D973" s="35" t="s">
        <v>2919</v>
      </c>
      <c r="E973" s="35" t="s">
        <v>11147</v>
      </c>
      <c r="F973" s="35" t="s">
        <v>11143</v>
      </c>
      <c r="G973" s="35">
        <v>240552</v>
      </c>
      <c r="H973" s="35">
        <v>280020</v>
      </c>
      <c r="I973" s="35">
        <v>200007</v>
      </c>
      <c r="J973" s="34" t="s">
        <v>2922</v>
      </c>
      <c r="K973" s="34" t="str">
        <f t="shared" si="31"/>
        <v>不重复</v>
      </c>
      <c r="L973" s="34" t="str">
        <f t="shared" si="32"/>
        <v>重复</v>
      </c>
    </row>
    <row r="974" spans="1:12" ht="15">
      <c r="A974" s="35" t="s">
        <v>11382</v>
      </c>
      <c r="B974" s="35" t="s">
        <v>2923</v>
      </c>
      <c r="C974" s="36" t="s">
        <v>2924</v>
      </c>
      <c r="D974" s="35" t="s">
        <v>2925</v>
      </c>
      <c r="E974" s="35" t="s">
        <v>11147</v>
      </c>
      <c r="F974" s="35" t="s">
        <v>11143</v>
      </c>
      <c r="G974" s="35">
        <v>240553</v>
      </c>
      <c r="H974" s="35">
        <v>280020</v>
      </c>
      <c r="I974" s="35">
        <v>200007</v>
      </c>
      <c r="J974" s="34" t="s">
        <v>2293</v>
      </c>
      <c r="K974" s="34" t="str">
        <f t="shared" si="31"/>
        <v>不重复</v>
      </c>
      <c r="L974" s="34" t="str">
        <f t="shared" si="32"/>
        <v>不重复</v>
      </c>
    </row>
    <row r="975" spans="1:12" ht="15">
      <c r="A975" s="35" t="s">
        <v>11383</v>
      </c>
      <c r="B975" s="35" t="s">
        <v>2926</v>
      </c>
      <c r="C975" s="36" t="s">
        <v>2927</v>
      </c>
      <c r="D975" s="35" t="s">
        <v>2928</v>
      </c>
      <c r="E975" s="35" t="s">
        <v>11147</v>
      </c>
      <c r="F975" s="35" t="s">
        <v>11143</v>
      </c>
      <c r="G975" s="35">
        <v>240554</v>
      </c>
      <c r="H975" s="35">
        <v>280020</v>
      </c>
      <c r="I975" s="35">
        <v>200007</v>
      </c>
      <c r="J975" s="34" t="s">
        <v>2573</v>
      </c>
      <c r="K975" s="34" t="str">
        <f t="shared" si="31"/>
        <v>不重复</v>
      </c>
      <c r="L975" s="34" t="str">
        <f t="shared" si="32"/>
        <v>不重复</v>
      </c>
    </row>
    <row r="976" spans="1:12" ht="27">
      <c r="A976" s="35" t="s">
        <v>11384</v>
      </c>
      <c r="B976" s="35" t="s">
        <v>2929</v>
      </c>
      <c r="C976" s="36" t="s">
        <v>2930</v>
      </c>
      <c r="D976" s="35" t="s">
        <v>2931</v>
      </c>
      <c r="E976" s="35" t="s">
        <v>11147</v>
      </c>
      <c r="F976" s="35" t="s">
        <v>11143</v>
      </c>
      <c r="G976" s="35">
        <v>240555</v>
      </c>
      <c r="H976" s="35">
        <v>280020</v>
      </c>
      <c r="I976" s="35">
        <v>200007</v>
      </c>
      <c r="J976" s="34" t="s">
        <v>363</v>
      </c>
      <c r="K976" s="34" t="str">
        <f t="shared" si="31"/>
        <v>重复</v>
      </c>
      <c r="L976" s="34" t="str">
        <f t="shared" si="32"/>
        <v>不重复</v>
      </c>
    </row>
    <row r="977" spans="1:12" ht="15">
      <c r="A977" s="35" t="s">
        <v>11385</v>
      </c>
      <c r="B977" s="35" t="s">
        <v>2932</v>
      </c>
      <c r="C977" s="36" t="s">
        <v>1148</v>
      </c>
      <c r="D977" s="35" t="s">
        <v>2933</v>
      </c>
      <c r="E977" s="35" t="s">
        <v>11147</v>
      </c>
      <c r="F977" s="35" t="s">
        <v>11143</v>
      </c>
      <c r="G977" s="35">
        <v>240556</v>
      </c>
      <c r="H977" s="35">
        <v>280020</v>
      </c>
      <c r="I977" s="35">
        <v>200007</v>
      </c>
      <c r="J977" s="34" t="s">
        <v>2934</v>
      </c>
      <c r="K977" s="34" t="str">
        <f t="shared" si="31"/>
        <v>重复</v>
      </c>
      <c r="L977" s="34" t="str">
        <f t="shared" si="32"/>
        <v>重复</v>
      </c>
    </row>
    <row r="978" spans="1:12" ht="27">
      <c r="A978" s="35" t="s">
        <v>11386</v>
      </c>
      <c r="B978" s="35" t="s">
        <v>2932</v>
      </c>
      <c r="C978" s="36" t="s">
        <v>1148</v>
      </c>
      <c r="D978" s="35" t="s">
        <v>2933</v>
      </c>
      <c r="E978" s="35" t="s">
        <v>11147</v>
      </c>
      <c r="F978" s="35" t="s">
        <v>11143</v>
      </c>
      <c r="G978" s="35">
        <v>240557</v>
      </c>
      <c r="H978" s="35">
        <v>280020</v>
      </c>
      <c r="I978" s="35">
        <v>200007</v>
      </c>
      <c r="J978" s="34" t="s">
        <v>2934</v>
      </c>
      <c r="K978" s="34" t="str">
        <f t="shared" si="31"/>
        <v>重复</v>
      </c>
      <c r="L978" s="34" t="str">
        <f t="shared" si="32"/>
        <v>重复</v>
      </c>
    </row>
    <row r="979" spans="1:12" ht="27">
      <c r="A979" s="35" t="s">
        <v>11387</v>
      </c>
      <c r="B979" s="35" t="s">
        <v>2932</v>
      </c>
      <c r="C979" s="36" t="s">
        <v>2935</v>
      </c>
      <c r="D979" s="35" t="s">
        <v>2933</v>
      </c>
      <c r="E979" s="35" t="s">
        <v>11147</v>
      </c>
      <c r="F979" s="35" t="s">
        <v>11143</v>
      </c>
      <c r="G979" s="35">
        <v>240558</v>
      </c>
      <c r="H979" s="35">
        <v>280020</v>
      </c>
      <c r="I979" s="35">
        <v>200007</v>
      </c>
      <c r="J979" s="34" t="s">
        <v>2674</v>
      </c>
      <c r="K979" s="34" t="str">
        <f t="shared" si="31"/>
        <v>不重复</v>
      </c>
      <c r="L979" s="34" t="str">
        <f t="shared" si="32"/>
        <v>重复</v>
      </c>
    </row>
    <row r="980" spans="1:12" ht="15">
      <c r="A980" s="35" t="s">
        <v>11388</v>
      </c>
      <c r="B980" s="35" t="s">
        <v>2936</v>
      </c>
      <c r="C980" s="36" t="s">
        <v>2894</v>
      </c>
      <c r="D980" s="35" t="s">
        <v>2937</v>
      </c>
      <c r="E980" s="35" t="s">
        <v>11147</v>
      </c>
      <c r="F980" s="35" t="s">
        <v>11143</v>
      </c>
      <c r="G980" s="35">
        <v>240559</v>
      </c>
      <c r="H980" s="35">
        <v>280020</v>
      </c>
      <c r="I980" s="35">
        <v>200007</v>
      </c>
      <c r="J980" s="34" t="s">
        <v>932</v>
      </c>
      <c r="K980" s="34" t="str">
        <f t="shared" si="31"/>
        <v>重复</v>
      </c>
      <c r="L980" s="34" t="str">
        <f t="shared" si="32"/>
        <v>不重复</v>
      </c>
    </row>
    <row r="981" spans="1:12" ht="15">
      <c r="A981" s="35" t="s">
        <v>11389</v>
      </c>
      <c r="B981" s="35" t="s">
        <v>2938</v>
      </c>
      <c r="C981" s="36" t="s">
        <v>2939</v>
      </c>
      <c r="D981" s="35" t="s">
        <v>2940</v>
      </c>
      <c r="E981" s="35" t="s">
        <v>11147</v>
      </c>
      <c r="F981" s="35" t="s">
        <v>11143</v>
      </c>
      <c r="G981" s="35">
        <v>240560</v>
      </c>
      <c r="H981" s="35">
        <v>280020</v>
      </c>
      <c r="I981" s="35">
        <v>200007</v>
      </c>
      <c r="J981" s="34" t="s">
        <v>2466</v>
      </c>
      <c r="K981" s="34" t="str">
        <f t="shared" si="31"/>
        <v>不重复</v>
      </c>
      <c r="L981" s="34" t="str">
        <f t="shared" si="32"/>
        <v>不重复</v>
      </c>
    </row>
    <row r="982" spans="1:12" ht="15">
      <c r="A982" s="35" t="s">
        <v>11390</v>
      </c>
      <c r="B982" s="35" t="s">
        <v>2941</v>
      </c>
      <c r="C982" s="36" t="s">
        <v>378</v>
      </c>
      <c r="D982" s="35" t="s">
        <v>2942</v>
      </c>
      <c r="E982" s="35" t="s">
        <v>11147</v>
      </c>
      <c r="F982" s="35" t="s">
        <v>11143</v>
      </c>
      <c r="G982" s="35">
        <v>240561</v>
      </c>
      <c r="H982" s="35">
        <v>280020</v>
      </c>
      <c r="I982" s="35">
        <v>200007</v>
      </c>
      <c r="J982" s="34" t="s">
        <v>2240</v>
      </c>
      <c r="K982" s="34" t="str">
        <f t="shared" si="33" ref="K982:K1045">IF(COUNTIF(C:C,C982)&gt;=2,"重复","不重复")</f>
        <v>重复</v>
      </c>
      <c r="L982" s="34" t="str">
        <f t="shared" si="32"/>
        <v>不重复</v>
      </c>
    </row>
    <row r="983" spans="1:12" ht="15">
      <c r="A983" s="35" t="s">
        <v>11391</v>
      </c>
      <c r="B983" s="35" t="s">
        <v>2943</v>
      </c>
      <c r="C983" s="36" t="s">
        <v>2944</v>
      </c>
      <c r="D983" s="35" t="s">
        <v>2945</v>
      </c>
      <c r="E983" s="35" t="s">
        <v>11147</v>
      </c>
      <c r="F983" s="35" t="s">
        <v>11143</v>
      </c>
      <c r="G983" s="35">
        <v>240562</v>
      </c>
      <c r="H983" s="35">
        <v>280020</v>
      </c>
      <c r="I983" s="35">
        <v>200007</v>
      </c>
      <c r="J983" s="34" t="s">
        <v>2674</v>
      </c>
      <c r="K983" s="34" t="str">
        <f t="shared" si="33"/>
        <v>不重复</v>
      </c>
      <c r="L983" s="34" t="str">
        <f t="shared" si="32"/>
        <v>不重复</v>
      </c>
    </row>
    <row r="984" spans="1:12" ht="15">
      <c r="A984" s="35" t="s">
        <v>11392</v>
      </c>
      <c r="B984" s="35" t="s">
        <v>2946</v>
      </c>
      <c r="C984" s="36" t="s">
        <v>600</v>
      </c>
      <c r="D984" s="35" t="s">
        <v>772</v>
      </c>
      <c r="E984" s="35" t="s">
        <v>11147</v>
      </c>
      <c r="F984" s="35" t="s">
        <v>11143</v>
      </c>
      <c r="G984" s="35">
        <v>240563</v>
      </c>
      <c r="H984" s="35">
        <v>280020</v>
      </c>
      <c r="I984" s="35">
        <v>200007</v>
      </c>
      <c r="J984" s="34" t="s">
        <v>821</v>
      </c>
      <c r="K984" s="34" t="str">
        <f t="shared" si="33"/>
        <v>重复</v>
      </c>
      <c r="L984" s="34" t="str">
        <f t="shared" si="32"/>
        <v>重复</v>
      </c>
    </row>
    <row r="985" spans="1:12" ht="15">
      <c r="A985" s="35" t="s">
        <v>11393</v>
      </c>
      <c r="B985" s="35" t="s">
        <v>2946</v>
      </c>
      <c r="C985" s="36" t="s">
        <v>2947</v>
      </c>
      <c r="D985" s="35" t="s">
        <v>772</v>
      </c>
      <c r="E985" s="35" t="s">
        <v>11147</v>
      </c>
      <c r="F985" s="35" t="s">
        <v>11143</v>
      </c>
      <c r="G985" s="35">
        <v>240564</v>
      </c>
      <c r="H985" s="35">
        <v>280020</v>
      </c>
      <c r="I985" s="35">
        <v>200007</v>
      </c>
      <c r="J985" s="34" t="s">
        <v>2674</v>
      </c>
      <c r="K985" s="34" t="str">
        <f t="shared" si="33"/>
        <v>不重复</v>
      </c>
      <c r="L985" s="34" t="str">
        <f t="shared" si="32"/>
        <v>重复</v>
      </c>
    </row>
    <row r="986" spans="1:12" ht="27">
      <c r="A986" s="35" t="s">
        <v>11394</v>
      </c>
      <c r="B986" s="35" t="s">
        <v>2948</v>
      </c>
      <c r="C986" s="36" t="s">
        <v>2949</v>
      </c>
      <c r="D986" s="35" t="s">
        <v>2950</v>
      </c>
      <c r="E986" s="35" t="s">
        <v>11147</v>
      </c>
      <c r="F986" s="35" t="s">
        <v>11143</v>
      </c>
      <c r="G986" s="35">
        <v>240565</v>
      </c>
      <c r="H986" s="35">
        <v>280020</v>
      </c>
      <c r="I986" s="35">
        <v>200007</v>
      </c>
      <c r="J986" s="34" t="s">
        <v>2951</v>
      </c>
      <c r="K986" s="34" t="str">
        <f t="shared" si="33"/>
        <v>不重复</v>
      </c>
      <c r="L986" s="34" t="str">
        <f t="shared" si="32"/>
        <v>不重复</v>
      </c>
    </row>
    <row r="987" spans="1:12" ht="15">
      <c r="A987" s="35" t="s">
        <v>11395</v>
      </c>
      <c r="B987" s="35" t="s">
        <v>2952</v>
      </c>
      <c r="C987" s="36" t="s">
        <v>2953</v>
      </c>
      <c r="D987" s="35" t="s">
        <v>2954</v>
      </c>
      <c r="E987" s="35" t="s">
        <v>11147</v>
      </c>
      <c r="F987" s="35" t="s">
        <v>11143</v>
      </c>
      <c r="G987" s="35">
        <v>240566</v>
      </c>
      <c r="H987" s="35">
        <v>280020</v>
      </c>
      <c r="I987" s="35">
        <v>200007</v>
      </c>
      <c r="J987" s="34" t="s">
        <v>2361</v>
      </c>
      <c r="K987" s="34" t="str">
        <f t="shared" si="33"/>
        <v>重复</v>
      </c>
      <c r="L987" s="34" t="str">
        <f t="shared" si="32"/>
        <v>不重复</v>
      </c>
    </row>
    <row r="988" spans="1:12" ht="30">
      <c r="A988" s="35" t="s">
        <v>11396</v>
      </c>
      <c r="B988" s="35" t="s">
        <v>2955</v>
      </c>
      <c r="C988" s="36" t="s">
        <v>2956</v>
      </c>
      <c r="D988" s="35" t="s">
        <v>2957</v>
      </c>
      <c r="E988" s="35" t="s">
        <v>11147</v>
      </c>
      <c r="F988" s="35" t="s">
        <v>11143</v>
      </c>
      <c r="G988" s="35">
        <v>240567</v>
      </c>
      <c r="H988" s="35">
        <v>280020</v>
      </c>
      <c r="I988" s="35">
        <v>200007</v>
      </c>
      <c r="J988" s="34" t="s">
        <v>2851</v>
      </c>
      <c r="K988" s="34" t="str">
        <f t="shared" si="33"/>
        <v>不重复</v>
      </c>
      <c r="L988" s="34" t="str">
        <f t="shared" si="32"/>
        <v>不重复</v>
      </c>
    </row>
    <row r="989" spans="1:12" ht="30">
      <c r="A989" s="35" t="s">
        <v>11397</v>
      </c>
      <c r="B989" s="35" t="s">
        <v>2958</v>
      </c>
      <c r="C989" s="36" t="s">
        <v>2959</v>
      </c>
      <c r="D989" s="35" t="s">
        <v>2960</v>
      </c>
      <c r="E989" s="35" t="s">
        <v>11147</v>
      </c>
      <c r="F989" s="35" t="s">
        <v>11143</v>
      </c>
      <c r="G989" s="35">
        <v>240568</v>
      </c>
      <c r="H989" s="35">
        <v>280020</v>
      </c>
      <c r="I989" s="35">
        <v>200007</v>
      </c>
      <c r="J989" s="34" t="s">
        <v>183</v>
      </c>
      <c r="K989" s="34" t="str">
        <f t="shared" si="33"/>
        <v>不重复</v>
      </c>
      <c r="L989" s="34" t="str">
        <f t="shared" si="32"/>
        <v>不重复</v>
      </c>
    </row>
    <row r="990" spans="1:12" ht="27">
      <c r="A990" s="35" t="s">
        <v>11398</v>
      </c>
      <c r="B990" s="35" t="s">
        <v>2961</v>
      </c>
      <c r="C990" s="36" t="s">
        <v>2962</v>
      </c>
      <c r="D990" s="35" t="s">
        <v>2963</v>
      </c>
      <c r="E990" s="35" t="s">
        <v>11147</v>
      </c>
      <c r="F990" s="35" t="s">
        <v>11143</v>
      </c>
      <c r="G990" s="35">
        <v>240569</v>
      </c>
      <c r="H990" s="35">
        <v>280020</v>
      </c>
      <c r="I990" s="35">
        <v>200007</v>
      </c>
      <c r="J990" s="34" t="s">
        <v>2293</v>
      </c>
      <c r="K990" s="34" t="str">
        <f t="shared" si="33"/>
        <v>不重复</v>
      </c>
      <c r="L990" s="34" t="str">
        <f t="shared" si="32"/>
        <v>重复</v>
      </c>
    </row>
    <row r="991" spans="1:12" ht="30">
      <c r="A991" s="35" t="s">
        <v>11399</v>
      </c>
      <c r="B991" s="35" t="s">
        <v>2964</v>
      </c>
      <c r="C991" s="36" t="s">
        <v>2965</v>
      </c>
      <c r="D991" s="35" t="s">
        <v>2966</v>
      </c>
      <c r="E991" s="35" t="s">
        <v>11147</v>
      </c>
      <c r="F991" s="35" t="s">
        <v>11143</v>
      </c>
      <c r="G991" s="35">
        <v>240570</v>
      </c>
      <c r="H991" s="35">
        <v>280020</v>
      </c>
      <c r="I991" s="35">
        <v>200007</v>
      </c>
      <c r="J991" s="34" t="s">
        <v>2874</v>
      </c>
      <c r="K991" s="34" t="str">
        <f t="shared" si="33"/>
        <v>重复</v>
      </c>
      <c r="L991" s="34" t="str">
        <f t="shared" si="32"/>
        <v>不重复</v>
      </c>
    </row>
    <row r="992" spans="1:12" ht="27">
      <c r="A992" s="35" t="s">
        <v>11400</v>
      </c>
      <c r="B992" s="35" t="s">
        <v>2967</v>
      </c>
      <c r="C992" s="36" t="s">
        <v>2968</v>
      </c>
      <c r="D992" s="35" t="s">
        <v>2969</v>
      </c>
      <c r="E992" s="35" t="s">
        <v>11147</v>
      </c>
      <c r="F992" s="35" t="s">
        <v>11143</v>
      </c>
      <c r="G992" s="35">
        <v>240571</v>
      </c>
      <c r="H992" s="35">
        <v>280020</v>
      </c>
      <c r="I992" s="35">
        <v>200007</v>
      </c>
      <c r="J992" s="34" t="s">
        <v>2577</v>
      </c>
      <c r="K992" s="34" t="str">
        <f t="shared" si="33"/>
        <v>重复</v>
      </c>
      <c r="L992" s="34" t="str">
        <f t="shared" si="32"/>
        <v>重复</v>
      </c>
    </row>
    <row r="993" spans="1:12" ht="27">
      <c r="A993" s="35" t="s">
        <v>11401</v>
      </c>
      <c r="B993" s="35" t="s">
        <v>2970</v>
      </c>
      <c r="C993" s="36" t="s">
        <v>2971</v>
      </c>
      <c r="D993" s="35" t="s">
        <v>2969</v>
      </c>
      <c r="E993" s="35" t="s">
        <v>11147</v>
      </c>
      <c r="F993" s="35" t="s">
        <v>11143</v>
      </c>
      <c r="G993" s="35">
        <v>240572</v>
      </c>
      <c r="H993" s="35">
        <v>280020</v>
      </c>
      <c r="I993" s="35">
        <v>200007</v>
      </c>
      <c r="J993" s="34" t="s">
        <v>1114</v>
      </c>
      <c r="K993" s="34" t="str">
        <f t="shared" si="33"/>
        <v>不重复</v>
      </c>
      <c r="L993" s="34" t="str">
        <f t="shared" si="32"/>
        <v>重复</v>
      </c>
    </row>
    <row r="994" spans="1:12" ht="27">
      <c r="A994" s="35" t="s">
        <v>11402</v>
      </c>
      <c r="B994" s="35" t="s">
        <v>2972</v>
      </c>
      <c r="C994" s="36" t="s">
        <v>2522</v>
      </c>
      <c r="D994" s="35" t="s">
        <v>2973</v>
      </c>
      <c r="E994" s="35" t="s">
        <v>11147</v>
      </c>
      <c r="F994" s="35" t="s">
        <v>11143</v>
      </c>
      <c r="G994" s="35">
        <v>240573</v>
      </c>
      <c r="H994" s="35">
        <v>280020</v>
      </c>
      <c r="I994" s="35">
        <v>200007</v>
      </c>
      <c r="J994" s="34" t="s">
        <v>2974</v>
      </c>
      <c r="K994" s="34" t="str">
        <f t="shared" si="33"/>
        <v>重复</v>
      </c>
      <c r="L994" s="34" t="str">
        <f t="shared" si="32"/>
        <v>不重复</v>
      </c>
    </row>
    <row r="995" spans="1:12" ht="27">
      <c r="A995" s="35" t="s">
        <v>11403</v>
      </c>
      <c r="B995" s="35" t="s">
        <v>2975</v>
      </c>
      <c r="C995" s="36" t="s">
        <v>2976</v>
      </c>
      <c r="D995" s="35" t="s">
        <v>2977</v>
      </c>
      <c r="E995" s="35" t="s">
        <v>11147</v>
      </c>
      <c r="F995" s="35" t="s">
        <v>11143</v>
      </c>
      <c r="G995" s="35">
        <v>240574</v>
      </c>
      <c r="H995" s="35">
        <v>280020</v>
      </c>
      <c r="I995" s="35">
        <v>200007</v>
      </c>
      <c r="J995" s="34" t="s">
        <v>2532</v>
      </c>
      <c r="K995" s="34" t="str">
        <f t="shared" si="33"/>
        <v>不重复</v>
      </c>
      <c r="L995" s="34" t="str">
        <f t="shared" si="32"/>
        <v>不重复</v>
      </c>
    </row>
    <row r="996" spans="1:12" ht="27">
      <c r="A996" s="35" t="s">
        <v>11404</v>
      </c>
      <c r="B996" s="35" t="s">
        <v>2978</v>
      </c>
      <c r="C996" s="36" t="s">
        <v>2473</v>
      </c>
      <c r="D996" s="35" t="s">
        <v>2979</v>
      </c>
      <c r="E996" s="35" t="s">
        <v>11147</v>
      </c>
      <c r="F996" s="35" t="s">
        <v>11143</v>
      </c>
      <c r="G996" s="35">
        <v>240575</v>
      </c>
      <c r="H996" s="35">
        <v>280020</v>
      </c>
      <c r="I996" s="35">
        <v>200007</v>
      </c>
      <c r="J996" s="34" t="s">
        <v>2874</v>
      </c>
      <c r="K996" s="34" t="str">
        <f t="shared" si="33"/>
        <v>重复</v>
      </c>
      <c r="L996" s="34" t="str">
        <f t="shared" si="32"/>
        <v>不重复</v>
      </c>
    </row>
    <row r="997" spans="1:12" ht="27">
      <c r="A997" s="35" t="s">
        <v>11405</v>
      </c>
      <c r="B997" s="35" t="s">
        <v>2980</v>
      </c>
      <c r="C997" s="36" t="s">
        <v>2355</v>
      </c>
      <c r="D997" s="35" t="s">
        <v>2981</v>
      </c>
      <c r="E997" s="35" t="s">
        <v>11147</v>
      </c>
      <c r="F997" s="35" t="s">
        <v>11143</v>
      </c>
      <c r="G997" s="35">
        <v>240576</v>
      </c>
      <c r="H997" s="35">
        <v>280020</v>
      </c>
      <c r="I997" s="35">
        <v>200007</v>
      </c>
      <c r="J997" s="34" t="s">
        <v>2934</v>
      </c>
      <c r="K997" s="34" t="str">
        <f t="shared" si="33"/>
        <v>重复</v>
      </c>
      <c r="L997" s="34" t="str">
        <f t="shared" si="32"/>
        <v>不重复</v>
      </c>
    </row>
    <row r="998" spans="1:12" ht="27">
      <c r="A998" s="35" t="s">
        <v>11406</v>
      </c>
      <c r="B998" s="35" t="s">
        <v>2982</v>
      </c>
      <c r="C998" s="36" t="s">
        <v>2837</v>
      </c>
      <c r="D998" s="35" t="s">
        <v>2983</v>
      </c>
      <c r="E998" s="35" t="s">
        <v>11147</v>
      </c>
      <c r="F998" s="35" t="s">
        <v>11143</v>
      </c>
      <c r="G998" s="35">
        <v>240577</v>
      </c>
      <c r="H998" s="35">
        <v>280020</v>
      </c>
      <c r="I998" s="35">
        <v>200007</v>
      </c>
      <c r="J998" s="34" t="s">
        <v>2984</v>
      </c>
      <c r="K998" s="34" t="str">
        <f t="shared" si="33"/>
        <v>重复</v>
      </c>
      <c r="L998" s="34" t="str">
        <f t="shared" si="32"/>
        <v>不重复</v>
      </c>
    </row>
    <row r="999" spans="1:12" ht="27">
      <c r="A999" s="35" t="s">
        <v>11407</v>
      </c>
      <c r="B999" s="35" t="s">
        <v>2985</v>
      </c>
      <c r="C999" s="36" t="s">
        <v>2986</v>
      </c>
      <c r="D999" s="35" t="s">
        <v>2987</v>
      </c>
      <c r="E999" s="35" t="s">
        <v>11147</v>
      </c>
      <c r="F999" s="35" t="s">
        <v>11143</v>
      </c>
      <c r="G999" s="35">
        <v>240578</v>
      </c>
      <c r="H999" s="35">
        <v>280020</v>
      </c>
      <c r="I999" s="35">
        <v>200007</v>
      </c>
      <c r="J999" s="34" t="s">
        <v>2674</v>
      </c>
      <c r="K999" s="34" t="str">
        <f t="shared" si="33"/>
        <v>不重复</v>
      </c>
      <c r="L999" s="34" t="str">
        <f t="shared" si="32"/>
        <v>不重复</v>
      </c>
    </row>
    <row r="1000" spans="1:12" ht="30">
      <c r="A1000" s="35" t="s">
        <v>11408</v>
      </c>
      <c r="B1000" s="35" t="s">
        <v>2988</v>
      </c>
      <c r="C1000" s="36" t="s">
        <v>123</v>
      </c>
      <c r="D1000" s="35" t="s">
        <v>2989</v>
      </c>
      <c r="E1000" s="35" t="s">
        <v>11147</v>
      </c>
      <c r="F1000" s="35" t="s">
        <v>11143</v>
      </c>
      <c r="G1000" s="35">
        <v>240579</v>
      </c>
      <c r="H1000" s="35">
        <v>280020</v>
      </c>
      <c r="I1000" s="35">
        <v>200007</v>
      </c>
      <c r="J1000" s="34" t="s">
        <v>2698</v>
      </c>
      <c r="K1000" s="34" t="str">
        <f t="shared" si="33"/>
        <v>重复</v>
      </c>
      <c r="L1000" s="34" t="str">
        <f t="shared" si="32"/>
        <v>重复</v>
      </c>
    </row>
    <row r="1001" spans="1:12" ht="27">
      <c r="A1001" s="35" t="s">
        <v>11409</v>
      </c>
      <c r="B1001" s="35" t="s">
        <v>2990</v>
      </c>
      <c r="C1001" s="36" t="s">
        <v>2991</v>
      </c>
      <c r="D1001" s="35" t="s">
        <v>2989</v>
      </c>
      <c r="E1001" s="35" t="s">
        <v>11147</v>
      </c>
      <c r="F1001" s="35" t="s">
        <v>11143</v>
      </c>
      <c r="G1001" s="35">
        <v>240580</v>
      </c>
      <c r="H1001" s="35">
        <v>280020</v>
      </c>
      <c r="I1001" s="35">
        <v>200007</v>
      </c>
      <c r="J1001" s="34" t="s">
        <v>363</v>
      </c>
      <c r="K1001" s="34" t="str">
        <f t="shared" si="33"/>
        <v>重复</v>
      </c>
      <c r="L1001" s="34" t="str">
        <f t="shared" si="34" ref="L1001:L1064">IF(COUNTIF(D:D,D1001)&gt;=2,"重复","不重复")</f>
        <v>重复</v>
      </c>
    </row>
    <row r="1002" spans="1:12" ht="27">
      <c r="A1002" s="35" t="s">
        <v>11410</v>
      </c>
      <c r="B1002" s="35" t="s">
        <v>2992</v>
      </c>
      <c r="C1002" s="36" t="s">
        <v>2993</v>
      </c>
      <c r="D1002" s="35" t="s">
        <v>2994</v>
      </c>
      <c r="E1002" s="35" t="s">
        <v>11147</v>
      </c>
      <c r="F1002" s="35" t="s">
        <v>11143</v>
      </c>
      <c r="G1002" s="35">
        <v>240581</v>
      </c>
      <c r="H1002" s="35">
        <v>280020</v>
      </c>
      <c r="I1002" s="35">
        <v>200007</v>
      </c>
      <c r="J1002" s="34" t="s">
        <v>2698</v>
      </c>
      <c r="K1002" s="34" t="str">
        <f t="shared" si="33"/>
        <v>重复</v>
      </c>
      <c r="L1002" s="34" t="str">
        <f t="shared" si="34"/>
        <v>重复</v>
      </c>
    </row>
    <row r="1003" spans="1:12" ht="40.5">
      <c r="A1003" s="35" t="s">
        <v>11411</v>
      </c>
      <c r="B1003" s="35" t="s">
        <v>2992</v>
      </c>
      <c r="C1003" s="36" t="s">
        <v>2993</v>
      </c>
      <c r="D1003" s="35" t="s">
        <v>2994</v>
      </c>
      <c r="E1003" s="35" t="s">
        <v>11147</v>
      </c>
      <c r="F1003" s="35" t="s">
        <v>11143</v>
      </c>
      <c r="G1003" s="35">
        <v>240582</v>
      </c>
      <c r="H1003" s="35">
        <v>280020</v>
      </c>
      <c r="I1003" s="35">
        <v>200007</v>
      </c>
      <c r="J1003" s="34" t="s">
        <v>2698</v>
      </c>
      <c r="K1003" s="34" t="str">
        <f t="shared" si="33"/>
        <v>重复</v>
      </c>
      <c r="L1003" s="34" t="str">
        <f t="shared" si="34"/>
        <v>重复</v>
      </c>
    </row>
    <row r="1004" spans="1:12" ht="27">
      <c r="A1004" s="35" t="s">
        <v>11412</v>
      </c>
      <c r="B1004" s="35" t="s">
        <v>2992</v>
      </c>
      <c r="C1004" s="36" t="s">
        <v>2995</v>
      </c>
      <c r="D1004" s="35" t="s">
        <v>2994</v>
      </c>
      <c r="E1004" s="35" t="s">
        <v>11147</v>
      </c>
      <c r="F1004" s="35" t="s">
        <v>11143</v>
      </c>
      <c r="G1004" s="35">
        <v>240583</v>
      </c>
      <c r="H1004" s="35">
        <v>280020</v>
      </c>
      <c r="I1004" s="35">
        <v>200007</v>
      </c>
      <c r="J1004" s="34" t="s">
        <v>2996</v>
      </c>
      <c r="K1004" s="34" t="str">
        <f t="shared" si="33"/>
        <v>不重复</v>
      </c>
      <c r="L1004" s="34" t="str">
        <f t="shared" si="34"/>
        <v>重复</v>
      </c>
    </row>
    <row r="1005" spans="1:12" ht="27">
      <c r="A1005" s="35" t="s">
        <v>11413</v>
      </c>
      <c r="B1005" s="35" t="s">
        <v>2997</v>
      </c>
      <c r="C1005" s="36" t="s">
        <v>552</v>
      </c>
      <c r="D1005" s="35" t="s">
        <v>2998</v>
      </c>
      <c r="E1005" s="35" t="s">
        <v>11147</v>
      </c>
      <c r="F1005" s="35" t="s">
        <v>11143</v>
      </c>
      <c r="G1005" s="35">
        <v>240584</v>
      </c>
      <c r="H1005" s="35">
        <v>280020</v>
      </c>
      <c r="I1005" s="35">
        <v>200007</v>
      </c>
      <c r="J1005" s="34" t="s">
        <v>2361</v>
      </c>
      <c r="K1005" s="34" t="str">
        <f t="shared" si="33"/>
        <v>重复</v>
      </c>
      <c r="L1005" s="34" t="str">
        <f t="shared" si="34"/>
        <v>不重复</v>
      </c>
    </row>
    <row r="1006" spans="1:12" ht="15">
      <c r="A1006" s="35" t="s">
        <v>11414</v>
      </c>
      <c r="B1006" s="35" t="s">
        <v>2999</v>
      </c>
      <c r="C1006" s="36" t="s">
        <v>1148</v>
      </c>
      <c r="D1006" s="35" t="s">
        <v>3000</v>
      </c>
      <c r="E1006" s="35" t="s">
        <v>11147</v>
      </c>
      <c r="F1006" s="35" t="s">
        <v>11143</v>
      </c>
      <c r="G1006" s="35">
        <v>240585</v>
      </c>
      <c r="H1006" s="35">
        <v>280020</v>
      </c>
      <c r="I1006" s="35">
        <v>200007</v>
      </c>
      <c r="J1006" s="34" t="s">
        <v>2440</v>
      </c>
      <c r="K1006" s="34" t="str">
        <f t="shared" si="33"/>
        <v>重复</v>
      </c>
      <c r="L1006" s="34" t="str">
        <f t="shared" si="34"/>
        <v>不重复</v>
      </c>
    </row>
    <row r="1007" spans="1:12" ht="15">
      <c r="A1007" s="35" t="s">
        <v>11415</v>
      </c>
      <c r="B1007" s="35" t="s">
        <v>3001</v>
      </c>
      <c r="C1007" s="36" t="s">
        <v>644</v>
      </c>
      <c r="D1007" s="35" t="s">
        <v>3002</v>
      </c>
      <c r="E1007" s="35" t="s">
        <v>11147</v>
      </c>
      <c r="F1007" s="35" t="s">
        <v>11143</v>
      </c>
      <c r="G1007" s="35">
        <v>240586</v>
      </c>
      <c r="H1007" s="35">
        <v>280020</v>
      </c>
      <c r="I1007" s="35">
        <v>200007</v>
      </c>
      <c r="J1007" s="34" t="s">
        <v>270</v>
      </c>
      <c r="K1007" s="34" t="str">
        <f t="shared" si="33"/>
        <v>重复</v>
      </c>
      <c r="L1007" s="34" t="str">
        <f t="shared" si="34"/>
        <v>不重复</v>
      </c>
    </row>
    <row r="1008" spans="1:12" ht="15">
      <c r="A1008" s="35" t="s">
        <v>11416</v>
      </c>
      <c r="B1008" s="35" t="s">
        <v>3003</v>
      </c>
      <c r="C1008" s="36" t="s">
        <v>987</v>
      </c>
      <c r="D1008" s="35" t="s">
        <v>3004</v>
      </c>
      <c r="E1008" s="35" t="s">
        <v>11147</v>
      </c>
      <c r="F1008" s="35" t="s">
        <v>11143</v>
      </c>
      <c r="G1008" s="35">
        <v>240587</v>
      </c>
      <c r="H1008" s="35">
        <v>280020</v>
      </c>
      <c r="I1008" s="35">
        <v>200007</v>
      </c>
      <c r="J1008" s="34" t="s">
        <v>932</v>
      </c>
      <c r="K1008" s="34" t="str">
        <f t="shared" si="33"/>
        <v>重复</v>
      </c>
      <c r="L1008" s="34" t="str">
        <f t="shared" si="34"/>
        <v>不重复</v>
      </c>
    </row>
    <row r="1009" spans="1:12" ht="30">
      <c r="A1009" s="35" t="s">
        <v>11417</v>
      </c>
      <c r="B1009" s="35" t="s">
        <v>3005</v>
      </c>
      <c r="C1009" s="36" t="s">
        <v>3006</v>
      </c>
      <c r="D1009" s="35" t="s">
        <v>3007</v>
      </c>
      <c r="E1009" s="35" t="s">
        <v>11147</v>
      </c>
      <c r="F1009" s="35" t="s">
        <v>11143</v>
      </c>
      <c r="G1009" s="35">
        <v>240588</v>
      </c>
      <c r="H1009" s="35">
        <v>280020</v>
      </c>
      <c r="I1009" s="35">
        <v>200007</v>
      </c>
      <c r="J1009" s="34" t="s">
        <v>2874</v>
      </c>
      <c r="K1009" s="34" t="str">
        <f t="shared" si="33"/>
        <v>不重复</v>
      </c>
      <c r="L1009" s="34" t="str">
        <f t="shared" si="34"/>
        <v>不重复</v>
      </c>
    </row>
    <row r="1010" spans="1:12" ht="27">
      <c r="A1010" s="35" t="s">
        <v>11418</v>
      </c>
      <c r="B1010" s="35" t="s">
        <v>3008</v>
      </c>
      <c r="C1010" s="36" t="s">
        <v>3009</v>
      </c>
      <c r="D1010" s="35" t="s">
        <v>3010</v>
      </c>
      <c r="E1010" s="35" t="s">
        <v>11147</v>
      </c>
      <c r="F1010" s="35" t="s">
        <v>11143</v>
      </c>
      <c r="G1010" s="35">
        <v>240589</v>
      </c>
      <c r="H1010" s="35">
        <v>280020</v>
      </c>
      <c r="I1010" s="35">
        <v>200007</v>
      </c>
      <c r="J1010" s="34" t="s">
        <v>2240</v>
      </c>
      <c r="K1010" s="34" t="str">
        <f t="shared" si="33"/>
        <v>不重复</v>
      </c>
      <c r="L1010" s="34" t="str">
        <f t="shared" si="34"/>
        <v>重复</v>
      </c>
    </row>
    <row r="1011" spans="1:12" ht="30">
      <c r="A1011" s="35" t="s">
        <v>11419</v>
      </c>
      <c r="B1011" s="35" t="s">
        <v>3011</v>
      </c>
      <c r="C1011" s="36" t="s">
        <v>3012</v>
      </c>
      <c r="D1011" s="35" t="s">
        <v>3013</v>
      </c>
      <c r="E1011" s="35" t="s">
        <v>11147</v>
      </c>
      <c r="F1011" s="35" t="s">
        <v>11143</v>
      </c>
      <c r="G1011" s="35">
        <v>240590</v>
      </c>
      <c r="H1011" s="35">
        <v>280020</v>
      </c>
      <c r="I1011" s="35">
        <v>200007</v>
      </c>
      <c r="J1011" s="34" t="s">
        <v>1186</v>
      </c>
      <c r="K1011" s="34" t="str">
        <f t="shared" si="33"/>
        <v>重复</v>
      </c>
      <c r="L1011" s="34" t="str">
        <f t="shared" si="34"/>
        <v>不重复</v>
      </c>
    </row>
    <row r="1012" spans="1:12" ht="27">
      <c r="A1012" s="35" t="s">
        <v>11420</v>
      </c>
      <c r="B1012" s="35" t="s">
        <v>3014</v>
      </c>
      <c r="C1012" s="36" t="s">
        <v>3015</v>
      </c>
      <c r="D1012" s="35" t="s">
        <v>3016</v>
      </c>
      <c r="E1012" s="35" t="s">
        <v>11147</v>
      </c>
      <c r="F1012" s="35" t="s">
        <v>11143</v>
      </c>
      <c r="G1012" s="35">
        <v>240591</v>
      </c>
      <c r="H1012" s="35">
        <v>280020</v>
      </c>
      <c r="I1012" s="35">
        <v>200007</v>
      </c>
      <c r="J1012" s="34" t="s">
        <v>1186</v>
      </c>
      <c r="K1012" s="34" t="str">
        <f t="shared" si="33"/>
        <v>重复</v>
      </c>
      <c r="L1012" s="34" t="str">
        <f t="shared" si="34"/>
        <v>不重复</v>
      </c>
    </row>
    <row r="1013" spans="1:12" ht="30">
      <c r="A1013" s="35" t="s">
        <v>11421</v>
      </c>
      <c r="B1013" s="35" t="s">
        <v>3017</v>
      </c>
      <c r="C1013" s="36" t="s">
        <v>3018</v>
      </c>
      <c r="D1013" s="35" t="s">
        <v>3019</v>
      </c>
      <c r="E1013" s="35" t="s">
        <v>11147</v>
      </c>
      <c r="F1013" s="35" t="s">
        <v>11143</v>
      </c>
      <c r="G1013" s="35">
        <v>240592</v>
      </c>
      <c r="H1013" s="35">
        <v>280020</v>
      </c>
      <c r="I1013" s="35">
        <v>200007</v>
      </c>
      <c r="J1013" s="34" t="s">
        <v>3020</v>
      </c>
      <c r="K1013" s="34" t="str">
        <f t="shared" si="33"/>
        <v>不重复</v>
      </c>
      <c r="L1013" s="34" t="str">
        <f t="shared" si="34"/>
        <v>不重复</v>
      </c>
    </row>
    <row r="1014" spans="1:12" ht="30">
      <c r="A1014" s="35" t="s">
        <v>11422</v>
      </c>
      <c r="B1014" s="35" t="s">
        <v>3021</v>
      </c>
      <c r="C1014" s="36" t="s">
        <v>3022</v>
      </c>
      <c r="D1014" s="35" t="s">
        <v>3023</v>
      </c>
      <c r="E1014" s="35" t="s">
        <v>11147</v>
      </c>
      <c r="F1014" s="35" t="s">
        <v>11143</v>
      </c>
      <c r="G1014" s="35">
        <v>240593</v>
      </c>
      <c r="H1014" s="35">
        <v>280020</v>
      </c>
      <c r="I1014" s="35">
        <v>200007</v>
      </c>
      <c r="J1014" s="34" t="s">
        <v>2839</v>
      </c>
      <c r="K1014" s="34" t="str">
        <f t="shared" si="33"/>
        <v>不重复</v>
      </c>
      <c r="L1014" s="34" t="str">
        <f t="shared" si="34"/>
        <v>不重复</v>
      </c>
    </row>
    <row r="1015" spans="1:12" ht="15">
      <c r="A1015" s="35" t="s">
        <v>11423</v>
      </c>
      <c r="B1015" s="35" t="s">
        <v>3024</v>
      </c>
      <c r="C1015" s="36" t="s">
        <v>3025</v>
      </c>
      <c r="D1015" s="35" t="s">
        <v>3026</v>
      </c>
      <c r="E1015" s="35" t="s">
        <v>11147</v>
      </c>
      <c r="F1015" s="35" t="s">
        <v>11143</v>
      </c>
      <c r="G1015" s="35">
        <v>240594</v>
      </c>
      <c r="H1015" s="35">
        <v>280020</v>
      </c>
      <c r="I1015" s="35">
        <v>200007</v>
      </c>
      <c r="J1015" s="34" t="s">
        <v>2839</v>
      </c>
      <c r="K1015" s="34" t="str">
        <f t="shared" si="33"/>
        <v>重复</v>
      </c>
      <c r="L1015" s="34" t="str">
        <f t="shared" si="34"/>
        <v>不重复</v>
      </c>
    </row>
    <row r="1016" spans="1:12" ht="15">
      <c r="A1016" s="35" t="s">
        <v>11424</v>
      </c>
      <c r="B1016" s="35" t="s">
        <v>3027</v>
      </c>
      <c r="C1016" s="36" t="s">
        <v>3028</v>
      </c>
      <c r="D1016" s="35" t="s">
        <v>3029</v>
      </c>
      <c r="E1016" s="35" t="s">
        <v>11147</v>
      </c>
      <c r="F1016" s="35" t="s">
        <v>11143</v>
      </c>
      <c r="G1016" s="35">
        <v>240595</v>
      </c>
      <c r="H1016" s="35">
        <v>280020</v>
      </c>
      <c r="I1016" s="35">
        <v>200007</v>
      </c>
      <c r="J1016" s="34" t="s">
        <v>3020</v>
      </c>
      <c r="K1016" s="34" t="str">
        <f t="shared" si="33"/>
        <v>不重复</v>
      </c>
      <c r="L1016" s="34" t="str">
        <f t="shared" si="34"/>
        <v>不重复</v>
      </c>
    </row>
    <row r="1017" spans="1:12" ht="30">
      <c r="A1017" s="35" t="s">
        <v>11425</v>
      </c>
      <c r="B1017" s="35" t="s">
        <v>3030</v>
      </c>
      <c r="C1017" s="36" t="s">
        <v>3031</v>
      </c>
      <c r="D1017" s="35" t="s">
        <v>3032</v>
      </c>
      <c r="E1017" s="35" t="s">
        <v>11147</v>
      </c>
      <c r="F1017" s="35" t="s">
        <v>11143</v>
      </c>
      <c r="G1017" s="35">
        <v>240596</v>
      </c>
      <c r="H1017" s="35">
        <v>280020</v>
      </c>
      <c r="I1017" s="35">
        <v>200007</v>
      </c>
      <c r="J1017" s="34" t="s">
        <v>2839</v>
      </c>
      <c r="K1017" s="34" t="str">
        <f t="shared" si="33"/>
        <v>不重复</v>
      </c>
      <c r="L1017" s="34" t="str">
        <f t="shared" si="34"/>
        <v>不重复</v>
      </c>
    </row>
    <row r="1018" spans="1:12" ht="30">
      <c r="A1018" s="35" t="s">
        <v>11426</v>
      </c>
      <c r="B1018" s="35" t="s">
        <v>3033</v>
      </c>
      <c r="C1018" s="36" t="s">
        <v>3034</v>
      </c>
      <c r="D1018" s="35" t="s">
        <v>3035</v>
      </c>
      <c r="E1018" s="35" t="s">
        <v>11147</v>
      </c>
      <c r="F1018" s="35" t="s">
        <v>11143</v>
      </c>
      <c r="G1018" s="35">
        <v>240597</v>
      </c>
      <c r="H1018" s="35">
        <v>280020</v>
      </c>
      <c r="I1018" s="35">
        <v>200007</v>
      </c>
      <c r="J1018" s="34" t="s">
        <v>2674</v>
      </c>
      <c r="K1018" s="34" t="str">
        <f t="shared" si="33"/>
        <v>重复</v>
      </c>
      <c r="L1018" s="34" t="str">
        <f t="shared" si="34"/>
        <v>不重复</v>
      </c>
    </row>
    <row r="1019" spans="1:12" ht="30">
      <c r="A1019" s="35" t="s">
        <v>11427</v>
      </c>
      <c r="B1019" s="35" t="s">
        <v>3036</v>
      </c>
      <c r="C1019" s="36" t="s">
        <v>3037</v>
      </c>
      <c r="D1019" s="35" t="s">
        <v>3038</v>
      </c>
      <c r="E1019" s="35" t="s">
        <v>11147</v>
      </c>
      <c r="F1019" s="35" t="s">
        <v>11143</v>
      </c>
      <c r="G1019" s="35">
        <v>240598</v>
      </c>
      <c r="H1019" s="35">
        <v>280020</v>
      </c>
      <c r="I1019" s="35">
        <v>200007</v>
      </c>
      <c r="J1019" s="34" t="s">
        <v>2361</v>
      </c>
      <c r="K1019" s="34" t="str">
        <f t="shared" si="33"/>
        <v>不重复</v>
      </c>
      <c r="L1019" s="34" t="str">
        <f t="shared" si="34"/>
        <v>不重复</v>
      </c>
    </row>
    <row r="1020" spans="1:12" ht="15">
      <c r="A1020" s="35" t="s">
        <v>11428</v>
      </c>
      <c r="B1020" s="35" t="s">
        <v>3039</v>
      </c>
      <c r="C1020" s="36" t="s">
        <v>3040</v>
      </c>
      <c r="D1020" s="35" t="s">
        <v>3041</v>
      </c>
      <c r="E1020" s="35" t="s">
        <v>11147</v>
      </c>
      <c r="F1020" s="35" t="s">
        <v>11143</v>
      </c>
      <c r="G1020" s="35">
        <v>240599</v>
      </c>
      <c r="H1020" s="35">
        <v>280020</v>
      </c>
      <c r="I1020" s="35">
        <v>200007</v>
      </c>
      <c r="J1020" s="34" t="s">
        <v>2219</v>
      </c>
      <c r="K1020" s="34" t="str">
        <f t="shared" si="33"/>
        <v>重复</v>
      </c>
      <c r="L1020" s="34" t="str">
        <f t="shared" si="34"/>
        <v>不重复</v>
      </c>
    </row>
    <row r="1021" spans="1:12" ht="15">
      <c r="A1021" s="35" t="s">
        <v>11429</v>
      </c>
      <c r="B1021" s="35" t="s">
        <v>3042</v>
      </c>
      <c r="C1021" s="36" t="s">
        <v>3043</v>
      </c>
      <c r="D1021" s="35" t="s">
        <v>3044</v>
      </c>
      <c r="E1021" s="35" t="s">
        <v>11147</v>
      </c>
      <c r="F1021" s="35" t="s">
        <v>11143</v>
      </c>
      <c r="G1021" s="35">
        <v>240600</v>
      </c>
      <c r="H1021" s="35">
        <v>280020</v>
      </c>
      <c r="I1021" s="35">
        <v>200007</v>
      </c>
      <c r="J1021" s="34" t="s">
        <v>3045</v>
      </c>
      <c r="K1021" s="34" t="str">
        <f t="shared" si="33"/>
        <v>重复</v>
      </c>
      <c r="L1021" s="34" t="str">
        <f t="shared" si="34"/>
        <v>不重复</v>
      </c>
    </row>
    <row r="1022" spans="1:12" ht="30">
      <c r="A1022" s="35" t="s">
        <v>11430</v>
      </c>
      <c r="B1022" s="35" t="s">
        <v>3046</v>
      </c>
      <c r="C1022" s="36" t="s">
        <v>600</v>
      </c>
      <c r="D1022" s="35" t="s">
        <v>3047</v>
      </c>
      <c r="E1022" s="35" t="s">
        <v>11147</v>
      </c>
      <c r="F1022" s="35" t="s">
        <v>11143</v>
      </c>
      <c r="G1022" s="35">
        <v>240601</v>
      </c>
      <c r="H1022" s="35">
        <v>280020</v>
      </c>
      <c r="I1022" s="35">
        <v>200007</v>
      </c>
      <c r="J1022" s="34" t="s">
        <v>2674</v>
      </c>
      <c r="K1022" s="34" t="str">
        <f t="shared" si="33"/>
        <v>重复</v>
      </c>
      <c r="L1022" s="34" t="str">
        <f t="shared" si="34"/>
        <v>不重复</v>
      </c>
    </row>
    <row r="1023" spans="1:12" ht="27">
      <c r="A1023" s="35" t="s">
        <v>11431</v>
      </c>
      <c r="B1023" s="35" t="s">
        <v>3048</v>
      </c>
      <c r="C1023" s="36" t="s">
        <v>3049</v>
      </c>
      <c r="D1023" s="35" t="s">
        <v>3050</v>
      </c>
      <c r="E1023" s="35" t="s">
        <v>11147</v>
      </c>
      <c r="F1023" s="35" t="s">
        <v>11143</v>
      </c>
      <c r="G1023" s="35">
        <v>240602</v>
      </c>
      <c r="H1023" s="35">
        <v>280020</v>
      </c>
      <c r="I1023" s="35">
        <v>200007</v>
      </c>
      <c r="J1023" s="34" t="s">
        <v>2737</v>
      </c>
      <c r="K1023" s="34" t="str">
        <f t="shared" si="33"/>
        <v>不重复</v>
      </c>
      <c r="L1023" s="34" t="str">
        <f t="shared" si="34"/>
        <v>不重复</v>
      </c>
    </row>
    <row r="1024" spans="1:12" ht="27">
      <c r="A1024" s="35" t="s">
        <v>11432</v>
      </c>
      <c r="B1024" s="35" t="s">
        <v>3051</v>
      </c>
      <c r="C1024" s="36" t="s">
        <v>3052</v>
      </c>
      <c r="D1024" s="35" t="s">
        <v>3053</v>
      </c>
      <c r="E1024" s="35" t="s">
        <v>11147</v>
      </c>
      <c r="F1024" s="35" t="s">
        <v>11143</v>
      </c>
      <c r="G1024" s="35">
        <v>240603</v>
      </c>
      <c r="H1024" s="35">
        <v>280020</v>
      </c>
      <c r="I1024" s="35">
        <v>200007</v>
      </c>
      <c r="J1024" s="34" t="s">
        <v>3054</v>
      </c>
      <c r="K1024" s="34" t="str">
        <f t="shared" si="33"/>
        <v>不重复</v>
      </c>
      <c r="L1024" s="34" t="str">
        <f t="shared" si="34"/>
        <v>不重复</v>
      </c>
    </row>
    <row r="1025" spans="1:12" ht="27">
      <c r="A1025" s="35" t="s">
        <v>11433</v>
      </c>
      <c r="B1025" s="35" t="s">
        <v>3055</v>
      </c>
      <c r="C1025" s="36" t="s">
        <v>3056</v>
      </c>
      <c r="D1025" s="35" t="s">
        <v>3057</v>
      </c>
      <c r="E1025" s="35" t="s">
        <v>11147</v>
      </c>
      <c r="F1025" s="35" t="s">
        <v>11143</v>
      </c>
      <c r="G1025" s="35">
        <v>240604</v>
      </c>
      <c r="H1025" s="35">
        <v>280020</v>
      </c>
      <c r="I1025" s="35">
        <v>200007</v>
      </c>
      <c r="J1025" s="34" t="s">
        <v>3058</v>
      </c>
      <c r="K1025" s="34" t="str">
        <f t="shared" si="33"/>
        <v>不重复</v>
      </c>
      <c r="L1025" s="34" t="str">
        <f t="shared" si="34"/>
        <v>不重复</v>
      </c>
    </row>
    <row r="1026" spans="1:12" ht="27">
      <c r="A1026" s="35" t="s">
        <v>11434</v>
      </c>
      <c r="B1026" s="35" t="s">
        <v>3059</v>
      </c>
      <c r="C1026" s="36" t="s">
        <v>3060</v>
      </c>
      <c r="D1026" s="35" t="s">
        <v>3061</v>
      </c>
      <c r="E1026" s="35" t="s">
        <v>11147</v>
      </c>
      <c r="F1026" s="35" t="s">
        <v>11143</v>
      </c>
      <c r="G1026" s="35">
        <v>240605</v>
      </c>
      <c r="H1026" s="35">
        <v>280020</v>
      </c>
      <c r="I1026" s="35">
        <v>200007</v>
      </c>
      <c r="J1026" s="34" t="s">
        <v>2737</v>
      </c>
      <c r="K1026" s="34" t="str">
        <f t="shared" si="33"/>
        <v>不重复</v>
      </c>
      <c r="L1026" s="34" t="str">
        <f t="shared" si="34"/>
        <v>不重复</v>
      </c>
    </row>
    <row r="1027" spans="1:12" ht="27">
      <c r="A1027" s="35" t="s">
        <v>11435</v>
      </c>
      <c r="B1027" s="35" t="s">
        <v>3062</v>
      </c>
      <c r="C1027" s="36" t="s">
        <v>3063</v>
      </c>
      <c r="D1027" s="35" t="s">
        <v>3064</v>
      </c>
      <c r="E1027" s="35" t="s">
        <v>11147</v>
      </c>
      <c r="F1027" s="35" t="s">
        <v>11143</v>
      </c>
      <c r="G1027" s="35">
        <v>240606</v>
      </c>
      <c r="H1027" s="35">
        <v>280020</v>
      </c>
      <c r="I1027" s="35">
        <v>200007</v>
      </c>
      <c r="J1027" s="34" t="s">
        <v>2630</v>
      </c>
      <c r="K1027" s="34" t="str">
        <f t="shared" si="33"/>
        <v>不重复</v>
      </c>
      <c r="L1027" s="34" t="str">
        <f t="shared" si="34"/>
        <v>不重复</v>
      </c>
    </row>
    <row r="1028" spans="1:12" ht="15">
      <c r="A1028" s="35" t="s">
        <v>11436</v>
      </c>
      <c r="B1028" s="35" t="s">
        <v>3065</v>
      </c>
      <c r="C1028" s="36" t="s">
        <v>3066</v>
      </c>
      <c r="D1028" s="35" t="s">
        <v>3067</v>
      </c>
      <c r="E1028" s="35" t="s">
        <v>11147</v>
      </c>
      <c r="F1028" s="35" t="s">
        <v>11143</v>
      </c>
      <c r="G1028" s="35">
        <v>240607</v>
      </c>
      <c r="H1028" s="35">
        <v>280020</v>
      </c>
      <c r="I1028" s="35">
        <v>200007</v>
      </c>
      <c r="J1028" s="34" t="s">
        <v>2512</v>
      </c>
      <c r="K1028" s="34" t="str">
        <f t="shared" si="33"/>
        <v>重复</v>
      </c>
      <c r="L1028" s="34" t="str">
        <f t="shared" si="34"/>
        <v>重复</v>
      </c>
    </row>
    <row r="1029" spans="1:12" ht="27">
      <c r="A1029" s="35" t="s">
        <v>11437</v>
      </c>
      <c r="B1029" s="35" t="s">
        <v>3065</v>
      </c>
      <c r="C1029" s="36" t="s">
        <v>3068</v>
      </c>
      <c r="D1029" s="35" t="s">
        <v>3067</v>
      </c>
      <c r="E1029" s="35" t="s">
        <v>11147</v>
      </c>
      <c r="F1029" s="35" t="s">
        <v>11143</v>
      </c>
      <c r="G1029" s="35">
        <v>240608</v>
      </c>
      <c r="H1029" s="35">
        <v>280020</v>
      </c>
      <c r="I1029" s="35">
        <v>200007</v>
      </c>
      <c r="J1029" s="34" t="s">
        <v>3069</v>
      </c>
      <c r="K1029" s="34" t="str">
        <f t="shared" si="33"/>
        <v>不重复</v>
      </c>
      <c r="L1029" s="34" t="str">
        <f t="shared" si="34"/>
        <v>重复</v>
      </c>
    </row>
    <row r="1030" spans="1:12" ht="27">
      <c r="A1030" s="35" t="s">
        <v>11438</v>
      </c>
      <c r="B1030" s="35" t="s">
        <v>3065</v>
      </c>
      <c r="C1030" s="36" t="s">
        <v>3066</v>
      </c>
      <c r="D1030" s="35" t="s">
        <v>3067</v>
      </c>
      <c r="E1030" s="35" t="s">
        <v>11147</v>
      </c>
      <c r="F1030" s="35" t="s">
        <v>11143</v>
      </c>
      <c r="G1030" s="35">
        <v>240609</v>
      </c>
      <c r="H1030" s="35">
        <v>280020</v>
      </c>
      <c r="I1030" s="35">
        <v>200007</v>
      </c>
      <c r="J1030" s="34" t="s">
        <v>2512</v>
      </c>
      <c r="K1030" s="34" t="str">
        <f t="shared" si="33"/>
        <v>重复</v>
      </c>
      <c r="L1030" s="34" t="str">
        <f t="shared" si="34"/>
        <v>重复</v>
      </c>
    </row>
    <row r="1031" spans="1:12" ht="27">
      <c r="A1031" s="35" t="s">
        <v>11439</v>
      </c>
      <c r="B1031" s="35" t="s">
        <v>3065</v>
      </c>
      <c r="C1031" s="36" t="s">
        <v>3070</v>
      </c>
      <c r="D1031" s="35" t="s">
        <v>3067</v>
      </c>
      <c r="E1031" s="35" t="s">
        <v>11147</v>
      </c>
      <c r="F1031" s="35" t="s">
        <v>11143</v>
      </c>
      <c r="G1031" s="35">
        <v>240610</v>
      </c>
      <c r="H1031" s="35">
        <v>280020</v>
      </c>
      <c r="I1031" s="35">
        <v>200007</v>
      </c>
      <c r="J1031" s="34" t="s">
        <v>2974</v>
      </c>
      <c r="K1031" s="34" t="str">
        <f t="shared" si="33"/>
        <v>重复</v>
      </c>
      <c r="L1031" s="34" t="str">
        <f t="shared" si="34"/>
        <v>重复</v>
      </c>
    </row>
    <row r="1032" spans="1:12" ht="27">
      <c r="A1032" s="35" t="s">
        <v>11440</v>
      </c>
      <c r="B1032" s="35" t="s">
        <v>3071</v>
      </c>
      <c r="C1032" s="36" t="s">
        <v>3072</v>
      </c>
      <c r="D1032" s="35" t="s">
        <v>3073</v>
      </c>
      <c r="E1032" s="35" t="s">
        <v>11147</v>
      </c>
      <c r="F1032" s="35" t="s">
        <v>11143</v>
      </c>
      <c r="G1032" s="35">
        <v>240611</v>
      </c>
      <c r="H1032" s="35">
        <v>280020</v>
      </c>
      <c r="I1032" s="35">
        <v>200007</v>
      </c>
      <c r="J1032" s="34" t="s">
        <v>3074</v>
      </c>
      <c r="K1032" s="34" t="str">
        <f t="shared" si="33"/>
        <v>不重复</v>
      </c>
      <c r="L1032" s="34" t="str">
        <f t="shared" si="34"/>
        <v>不重复</v>
      </c>
    </row>
    <row r="1033" spans="1:12" ht="27">
      <c r="A1033" s="35" t="s">
        <v>11441</v>
      </c>
      <c r="B1033" s="35" t="s">
        <v>3075</v>
      </c>
      <c r="C1033" s="36" t="s">
        <v>3076</v>
      </c>
      <c r="D1033" s="35" t="s">
        <v>3077</v>
      </c>
      <c r="E1033" s="35" t="s">
        <v>11147</v>
      </c>
      <c r="F1033" s="35" t="s">
        <v>11143</v>
      </c>
      <c r="G1033" s="35">
        <v>240612</v>
      </c>
      <c r="H1033" s="35">
        <v>280020</v>
      </c>
      <c r="I1033" s="35">
        <v>200007</v>
      </c>
      <c r="J1033" s="34" t="s">
        <v>270</v>
      </c>
      <c r="K1033" s="34" t="str">
        <f t="shared" si="33"/>
        <v>不重复</v>
      </c>
      <c r="L1033" s="34" t="str">
        <f t="shared" si="34"/>
        <v>不重复</v>
      </c>
    </row>
    <row r="1034" spans="1:12" ht="30">
      <c r="A1034" s="35" t="s">
        <v>11442</v>
      </c>
      <c r="B1034" s="35" t="s">
        <v>3078</v>
      </c>
      <c r="C1034" s="36" t="s">
        <v>617</v>
      </c>
      <c r="D1034" s="35" t="s">
        <v>3079</v>
      </c>
      <c r="E1034" s="35" t="s">
        <v>11147</v>
      </c>
      <c r="F1034" s="35" t="s">
        <v>11143</v>
      </c>
      <c r="G1034" s="35">
        <v>240613</v>
      </c>
      <c r="H1034" s="35">
        <v>280020</v>
      </c>
      <c r="I1034" s="35">
        <v>200007</v>
      </c>
      <c r="J1034" s="34" t="s">
        <v>2059</v>
      </c>
      <c r="K1034" s="34" t="str">
        <f t="shared" si="33"/>
        <v>重复</v>
      </c>
      <c r="L1034" s="34" t="str">
        <f t="shared" si="34"/>
        <v>不重复</v>
      </c>
    </row>
    <row r="1035" spans="1:12" ht="15">
      <c r="A1035" s="35" t="s">
        <v>11443</v>
      </c>
      <c r="B1035" s="35" t="s">
        <v>3080</v>
      </c>
      <c r="C1035" s="36" t="s">
        <v>3081</v>
      </c>
      <c r="D1035" s="35" t="s">
        <v>3082</v>
      </c>
      <c r="E1035" s="35" t="s">
        <v>11147</v>
      </c>
      <c r="F1035" s="35" t="s">
        <v>11143</v>
      </c>
      <c r="G1035" s="35">
        <v>240614</v>
      </c>
      <c r="H1035" s="35">
        <v>280020</v>
      </c>
      <c r="I1035" s="35">
        <v>200007</v>
      </c>
      <c r="J1035" s="34" t="s">
        <v>3083</v>
      </c>
      <c r="K1035" s="34" t="str">
        <f t="shared" si="33"/>
        <v>重复</v>
      </c>
      <c r="L1035" s="34" t="str">
        <f t="shared" si="34"/>
        <v>不重复</v>
      </c>
    </row>
    <row r="1036" spans="1:12" ht="15">
      <c r="A1036" s="35" t="s">
        <v>11444</v>
      </c>
      <c r="B1036" s="35" t="s">
        <v>3084</v>
      </c>
      <c r="C1036" s="36" t="s">
        <v>3085</v>
      </c>
      <c r="D1036" s="35" t="s">
        <v>3086</v>
      </c>
      <c r="E1036" s="35" t="s">
        <v>11147</v>
      </c>
      <c r="F1036" s="35" t="s">
        <v>11143</v>
      </c>
      <c r="G1036" s="35">
        <v>240615</v>
      </c>
      <c r="H1036" s="35">
        <v>280020</v>
      </c>
      <c r="I1036" s="35">
        <v>200007</v>
      </c>
      <c r="J1036" s="34" t="s">
        <v>2796</v>
      </c>
      <c r="K1036" s="34" t="str">
        <f t="shared" si="33"/>
        <v>不重复</v>
      </c>
      <c r="L1036" s="34" t="str">
        <f t="shared" si="34"/>
        <v>不重复</v>
      </c>
    </row>
    <row r="1037" spans="1:12" ht="30">
      <c r="A1037" s="35" t="s">
        <v>11445</v>
      </c>
      <c r="B1037" s="35" t="s">
        <v>3087</v>
      </c>
      <c r="C1037" s="36" t="s">
        <v>3088</v>
      </c>
      <c r="D1037" s="35" t="s">
        <v>3089</v>
      </c>
      <c r="E1037" s="35" t="s">
        <v>11147</v>
      </c>
      <c r="F1037" s="35" t="s">
        <v>11143</v>
      </c>
      <c r="G1037" s="35">
        <v>240616</v>
      </c>
      <c r="H1037" s="35">
        <v>280020</v>
      </c>
      <c r="I1037" s="35">
        <v>200007</v>
      </c>
      <c r="J1037" s="34" t="s">
        <v>183</v>
      </c>
      <c r="K1037" s="34" t="str">
        <f t="shared" si="33"/>
        <v>重复</v>
      </c>
      <c r="L1037" s="34" t="str">
        <f t="shared" si="34"/>
        <v>不重复</v>
      </c>
    </row>
    <row r="1038" spans="1:12" ht="15">
      <c r="A1038" s="35" t="s">
        <v>11446</v>
      </c>
      <c r="B1038" s="35" t="s">
        <v>3090</v>
      </c>
      <c r="C1038" s="36" t="s">
        <v>3091</v>
      </c>
      <c r="D1038" s="35" t="s">
        <v>3092</v>
      </c>
      <c r="E1038" s="35" t="s">
        <v>11147</v>
      </c>
      <c r="F1038" s="35" t="s">
        <v>11143</v>
      </c>
      <c r="G1038" s="35">
        <v>240617</v>
      </c>
      <c r="H1038" s="35">
        <v>280020</v>
      </c>
      <c r="I1038" s="35">
        <v>200007</v>
      </c>
      <c r="J1038" s="34" t="s">
        <v>1186</v>
      </c>
      <c r="K1038" s="34" t="str">
        <f t="shared" si="33"/>
        <v>不重复</v>
      </c>
      <c r="L1038" s="34" t="str">
        <f t="shared" si="34"/>
        <v>不重复</v>
      </c>
    </row>
    <row r="1039" spans="1:12" ht="15">
      <c r="A1039" s="35" t="s">
        <v>11447</v>
      </c>
      <c r="B1039" s="35" t="s">
        <v>3093</v>
      </c>
      <c r="C1039" s="36" t="s">
        <v>3094</v>
      </c>
      <c r="D1039" s="35" t="s">
        <v>3095</v>
      </c>
      <c r="E1039" s="35" t="s">
        <v>11147</v>
      </c>
      <c r="F1039" s="35" t="s">
        <v>11143</v>
      </c>
      <c r="G1039" s="35">
        <v>240618</v>
      </c>
      <c r="H1039" s="35">
        <v>280020</v>
      </c>
      <c r="I1039" s="35">
        <v>200007</v>
      </c>
      <c r="J1039" s="34" t="s">
        <v>2240</v>
      </c>
      <c r="K1039" s="34" t="str">
        <f t="shared" si="33"/>
        <v>重复</v>
      </c>
      <c r="L1039" s="34" t="str">
        <f t="shared" si="34"/>
        <v>不重复</v>
      </c>
    </row>
    <row r="1040" spans="1:12" ht="15">
      <c r="A1040" s="35" t="s">
        <v>11448</v>
      </c>
      <c r="B1040" s="35" t="s">
        <v>3096</v>
      </c>
      <c r="C1040" s="36" t="s">
        <v>11</v>
      </c>
      <c r="D1040" s="35" t="s">
        <v>3097</v>
      </c>
      <c r="E1040" s="35" t="s">
        <v>11147</v>
      </c>
      <c r="F1040" s="35" t="s">
        <v>11143</v>
      </c>
      <c r="G1040" s="35">
        <v>240619</v>
      </c>
      <c r="H1040" s="35">
        <v>280020</v>
      </c>
      <c r="I1040" s="35">
        <v>200007</v>
      </c>
      <c r="J1040" s="34" t="s">
        <v>2357</v>
      </c>
      <c r="K1040" s="34" t="str">
        <f t="shared" si="33"/>
        <v>重复</v>
      </c>
      <c r="L1040" s="34" t="str">
        <f t="shared" si="34"/>
        <v>不重复</v>
      </c>
    </row>
    <row r="1041" spans="1:12" ht="15">
      <c r="A1041" s="35" t="s">
        <v>11449</v>
      </c>
      <c r="B1041" s="35" t="s">
        <v>3098</v>
      </c>
      <c r="C1041" s="36" t="s">
        <v>3099</v>
      </c>
      <c r="D1041" s="35" t="s">
        <v>3100</v>
      </c>
      <c r="E1041" s="35" t="s">
        <v>11147</v>
      </c>
      <c r="F1041" s="35" t="s">
        <v>11143</v>
      </c>
      <c r="G1041" s="35">
        <v>240620</v>
      </c>
      <c r="H1041" s="35">
        <v>280020</v>
      </c>
      <c r="I1041" s="35">
        <v>200007</v>
      </c>
      <c r="J1041" s="34" t="s">
        <v>3074</v>
      </c>
      <c r="K1041" s="34" t="str">
        <f t="shared" si="33"/>
        <v>重复</v>
      </c>
      <c r="L1041" s="34" t="str">
        <f t="shared" si="34"/>
        <v>不重复</v>
      </c>
    </row>
    <row r="1042" spans="1:12" ht="30">
      <c r="A1042" s="35" t="s">
        <v>11450</v>
      </c>
      <c r="B1042" s="35" t="s">
        <v>3101</v>
      </c>
      <c r="C1042" s="36" t="s">
        <v>3102</v>
      </c>
      <c r="D1042" s="35" t="s">
        <v>3103</v>
      </c>
      <c r="E1042" s="35" t="s">
        <v>11147</v>
      </c>
      <c r="F1042" s="35" t="s">
        <v>11143</v>
      </c>
      <c r="G1042" s="35">
        <v>240621</v>
      </c>
      <c r="H1042" s="35">
        <v>280020</v>
      </c>
      <c r="I1042" s="35">
        <v>200007</v>
      </c>
      <c r="J1042" s="34" t="s">
        <v>2698</v>
      </c>
      <c r="K1042" s="34" t="str">
        <f t="shared" si="33"/>
        <v>不重复</v>
      </c>
      <c r="L1042" s="34" t="str">
        <f t="shared" si="34"/>
        <v>不重复</v>
      </c>
    </row>
    <row r="1043" spans="1:12" ht="30">
      <c r="A1043" s="35" t="s">
        <v>11451</v>
      </c>
      <c r="B1043" s="35" t="s">
        <v>3104</v>
      </c>
      <c r="C1043" s="36" t="s">
        <v>3105</v>
      </c>
      <c r="D1043" s="35" t="s">
        <v>3106</v>
      </c>
      <c r="E1043" s="35" t="s">
        <v>11147</v>
      </c>
      <c r="F1043" s="35" t="s">
        <v>11143</v>
      </c>
      <c r="G1043" s="35">
        <v>240622</v>
      </c>
      <c r="H1043" s="35">
        <v>280020</v>
      </c>
      <c r="I1043" s="35">
        <v>200007</v>
      </c>
      <c r="J1043" s="34" t="s">
        <v>3107</v>
      </c>
      <c r="K1043" s="34" t="str">
        <f t="shared" si="33"/>
        <v>不重复</v>
      </c>
      <c r="L1043" s="34" t="str">
        <f t="shared" si="34"/>
        <v>不重复</v>
      </c>
    </row>
    <row r="1044" spans="1:12" ht="15">
      <c r="A1044" s="35" t="s">
        <v>11452</v>
      </c>
      <c r="B1044" s="35" t="s">
        <v>3108</v>
      </c>
      <c r="C1044" s="36" t="s">
        <v>1209</v>
      </c>
      <c r="D1044" s="35" t="s">
        <v>3109</v>
      </c>
      <c r="E1044" s="35" t="s">
        <v>11147</v>
      </c>
      <c r="F1044" s="35" t="s">
        <v>11143</v>
      </c>
      <c r="G1044" s="35">
        <v>240623</v>
      </c>
      <c r="H1044" s="35">
        <v>280020</v>
      </c>
      <c r="I1044" s="35">
        <v>200007</v>
      </c>
      <c r="J1044" s="34" t="s">
        <v>3110</v>
      </c>
      <c r="K1044" s="34" t="str">
        <f t="shared" si="33"/>
        <v>重复</v>
      </c>
      <c r="L1044" s="34" t="str">
        <f t="shared" si="34"/>
        <v>不重复</v>
      </c>
    </row>
    <row r="1045" spans="1:12" ht="27">
      <c r="A1045" s="35" t="s">
        <v>11453</v>
      </c>
      <c r="B1045" s="35" t="s">
        <v>3111</v>
      </c>
      <c r="C1045" s="36" t="s">
        <v>3112</v>
      </c>
      <c r="D1045" s="35" t="s">
        <v>3113</v>
      </c>
      <c r="E1045" s="35" t="s">
        <v>11147</v>
      </c>
      <c r="F1045" s="35" t="s">
        <v>11143</v>
      </c>
      <c r="G1045" s="35">
        <v>240624</v>
      </c>
      <c r="H1045" s="35">
        <v>280020</v>
      </c>
      <c r="I1045" s="35">
        <v>200007</v>
      </c>
      <c r="J1045" s="34" t="s">
        <v>3114</v>
      </c>
      <c r="K1045" s="34" t="str">
        <f t="shared" si="33"/>
        <v>重复</v>
      </c>
      <c r="L1045" s="34" t="str">
        <f t="shared" si="34"/>
        <v>不重复</v>
      </c>
    </row>
    <row r="1046" spans="1:12" ht="27">
      <c r="A1046" s="35" t="s">
        <v>11454</v>
      </c>
      <c r="B1046" s="35" t="s">
        <v>3115</v>
      </c>
      <c r="C1046" s="36" t="s">
        <v>496</v>
      </c>
      <c r="D1046" s="35" t="s">
        <v>3116</v>
      </c>
      <c r="E1046" s="35" t="s">
        <v>11147</v>
      </c>
      <c r="F1046" s="35" t="s">
        <v>11143</v>
      </c>
      <c r="G1046" s="35">
        <v>240625</v>
      </c>
      <c r="H1046" s="35">
        <v>280020</v>
      </c>
      <c r="I1046" s="35">
        <v>200007</v>
      </c>
      <c r="J1046" s="34" t="s">
        <v>2874</v>
      </c>
      <c r="K1046" s="34" t="str">
        <f t="shared" si="35" ref="K1046:K1109">IF(COUNTIF(C:C,C1046)&gt;=2,"重复","不重复")</f>
        <v>重复</v>
      </c>
      <c r="L1046" s="34" t="str">
        <f t="shared" si="34"/>
        <v>不重复</v>
      </c>
    </row>
    <row r="1047" spans="1:12" ht="27">
      <c r="A1047" s="35" t="s">
        <v>11455</v>
      </c>
      <c r="B1047" s="35" t="s">
        <v>3117</v>
      </c>
      <c r="C1047" s="36" t="s">
        <v>3118</v>
      </c>
      <c r="D1047" s="35" t="s">
        <v>3119</v>
      </c>
      <c r="E1047" s="35" t="s">
        <v>11147</v>
      </c>
      <c r="F1047" s="35" t="s">
        <v>11143</v>
      </c>
      <c r="G1047" s="35">
        <v>240626</v>
      </c>
      <c r="H1047" s="35">
        <v>280020</v>
      </c>
      <c r="I1047" s="35">
        <v>200007</v>
      </c>
      <c r="J1047" s="34" t="s">
        <v>3074</v>
      </c>
      <c r="K1047" s="34" t="str">
        <f t="shared" si="35"/>
        <v>不重复</v>
      </c>
      <c r="L1047" s="34" t="str">
        <f t="shared" si="34"/>
        <v>不重复</v>
      </c>
    </row>
    <row r="1048" spans="1:12" ht="27">
      <c r="A1048" s="35" t="s">
        <v>11456</v>
      </c>
      <c r="B1048" s="35" t="s">
        <v>3120</v>
      </c>
      <c r="C1048" s="36" t="s">
        <v>3121</v>
      </c>
      <c r="D1048" s="35" t="s">
        <v>3122</v>
      </c>
      <c r="E1048" s="35" t="s">
        <v>11147</v>
      </c>
      <c r="F1048" s="35" t="s">
        <v>11143</v>
      </c>
      <c r="G1048" s="35">
        <v>240627</v>
      </c>
      <c r="H1048" s="35">
        <v>280020</v>
      </c>
      <c r="I1048" s="35">
        <v>200007</v>
      </c>
      <c r="J1048" s="34" t="s">
        <v>1114</v>
      </c>
      <c r="K1048" s="34" t="str">
        <f t="shared" si="35"/>
        <v>不重复</v>
      </c>
      <c r="L1048" s="34" t="str">
        <f t="shared" si="34"/>
        <v>不重复</v>
      </c>
    </row>
    <row r="1049" spans="1:12" ht="15">
      <c r="A1049" s="35" t="s">
        <v>11457</v>
      </c>
      <c r="B1049" s="35" t="s">
        <v>3123</v>
      </c>
      <c r="C1049" s="36" t="s">
        <v>3124</v>
      </c>
      <c r="D1049" s="35" t="s">
        <v>3125</v>
      </c>
      <c r="E1049" s="35" t="s">
        <v>11147</v>
      </c>
      <c r="F1049" s="35" t="s">
        <v>11143</v>
      </c>
      <c r="G1049" s="35">
        <v>240628</v>
      </c>
      <c r="H1049" s="35">
        <v>280020</v>
      </c>
      <c r="I1049" s="35">
        <v>200007</v>
      </c>
      <c r="J1049" s="34" t="s">
        <v>2361</v>
      </c>
      <c r="K1049" s="34" t="str">
        <f t="shared" si="35"/>
        <v>不重复</v>
      </c>
      <c r="L1049" s="34" t="str">
        <f t="shared" si="34"/>
        <v>不重复</v>
      </c>
    </row>
    <row r="1050" spans="1:12" ht="15">
      <c r="A1050" s="35" t="s">
        <v>11458</v>
      </c>
      <c r="B1050" s="35" t="s">
        <v>3126</v>
      </c>
      <c r="C1050" s="36" t="s">
        <v>3127</v>
      </c>
      <c r="D1050" s="35" t="s">
        <v>3128</v>
      </c>
      <c r="E1050" s="35" t="s">
        <v>11147</v>
      </c>
      <c r="F1050" s="35" t="s">
        <v>11143</v>
      </c>
      <c r="G1050" s="35">
        <v>240629</v>
      </c>
      <c r="H1050" s="35">
        <v>280020</v>
      </c>
      <c r="I1050" s="35">
        <v>200007</v>
      </c>
      <c r="J1050" s="34" t="s">
        <v>2609</v>
      </c>
      <c r="K1050" s="34" t="str">
        <f t="shared" si="35"/>
        <v>重复</v>
      </c>
      <c r="L1050" s="34" t="str">
        <f t="shared" si="34"/>
        <v>不重复</v>
      </c>
    </row>
    <row r="1051" spans="1:12" ht="15">
      <c r="A1051" s="35" t="s">
        <v>11459</v>
      </c>
      <c r="B1051" s="35" t="s">
        <v>3129</v>
      </c>
      <c r="C1051" s="36" t="s">
        <v>3130</v>
      </c>
      <c r="D1051" s="35" t="s">
        <v>3131</v>
      </c>
      <c r="E1051" s="35" t="s">
        <v>11147</v>
      </c>
      <c r="F1051" s="35" t="s">
        <v>11143</v>
      </c>
      <c r="G1051" s="35">
        <v>240630</v>
      </c>
      <c r="H1051" s="35">
        <v>280020</v>
      </c>
      <c r="I1051" s="35">
        <v>200007</v>
      </c>
      <c r="J1051" s="34" t="s">
        <v>2361</v>
      </c>
      <c r="K1051" s="34" t="str">
        <f t="shared" si="35"/>
        <v>不重复</v>
      </c>
      <c r="L1051" s="34" t="str">
        <f t="shared" si="34"/>
        <v>不重复</v>
      </c>
    </row>
    <row r="1052" spans="1:12" ht="15">
      <c r="A1052" s="35" t="s">
        <v>11460</v>
      </c>
      <c r="B1052" s="35" t="s">
        <v>3132</v>
      </c>
      <c r="C1052" s="36" t="s">
        <v>777</v>
      </c>
      <c r="D1052" s="35" t="s">
        <v>3133</v>
      </c>
      <c r="E1052" s="35" t="s">
        <v>11147</v>
      </c>
      <c r="F1052" s="35" t="s">
        <v>11143</v>
      </c>
      <c r="G1052" s="35">
        <v>240631</v>
      </c>
      <c r="H1052" s="35">
        <v>280020</v>
      </c>
      <c r="I1052" s="35">
        <v>200007</v>
      </c>
      <c r="J1052" s="34" t="s">
        <v>2440</v>
      </c>
      <c r="K1052" s="34" t="str">
        <f t="shared" si="35"/>
        <v>重复</v>
      </c>
      <c r="L1052" s="34" t="str">
        <f t="shared" si="34"/>
        <v>不重复</v>
      </c>
    </row>
    <row r="1053" spans="1:12" ht="15">
      <c r="A1053" s="35" t="s">
        <v>11461</v>
      </c>
      <c r="B1053" s="35" t="s">
        <v>3134</v>
      </c>
      <c r="C1053" s="36" t="s">
        <v>3135</v>
      </c>
      <c r="D1053" s="35" t="s">
        <v>3136</v>
      </c>
      <c r="E1053" s="35" t="s">
        <v>11147</v>
      </c>
      <c r="F1053" s="35" t="s">
        <v>11143</v>
      </c>
      <c r="G1053" s="35">
        <v>240632</v>
      </c>
      <c r="H1053" s="35">
        <v>280020</v>
      </c>
      <c r="I1053" s="35">
        <v>200007</v>
      </c>
      <c r="J1053" s="34" t="s">
        <v>2713</v>
      </c>
      <c r="K1053" s="34" t="str">
        <f t="shared" si="35"/>
        <v>不重复</v>
      </c>
      <c r="L1053" s="34" t="str">
        <f t="shared" si="34"/>
        <v>不重复</v>
      </c>
    </row>
    <row r="1054" spans="1:12" ht="15">
      <c r="A1054" s="35" t="s">
        <v>11462</v>
      </c>
      <c r="B1054" s="35" t="s">
        <v>3137</v>
      </c>
      <c r="C1054" s="36" t="s">
        <v>3138</v>
      </c>
      <c r="D1054" s="35" t="s">
        <v>3139</v>
      </c>
      <c r="E1054" s="35" t="s">
        <v>11147</v>
      </c>
      <c r="F1054" s="35" t="s">
        <v>11143</v>
      </c>
      <c r="G1054" s="35">
        <v>240633</v>
      </c>
      <c r="H1054" s="35">
        <v>280020</v>
      </c>
      <c r="I1054" s="35">
        <v>200007</v>
      </c>
      <c r="J1054" s="34" t="s">
        <v>2934</v>
      </c>
      <c r="K1054" s="34" t="str">
        <f t="shared" si="35"/>
        <v>重复</v>
      </c>
      <c r="L1054" s="34" t="str">
        <f t="shared" si="34"/>
        <v>重复</v>
      </c>
    </row>
    <row r="1055" spans="1:12" ht="27">
      <c r="A1055" s="35" t="s">
        <v>11463</v>
      </c>
      <c r="B1055" s="35" t="s">
        <v>3137</v>
      </c>
      <c r="C1055" s="36" t="s">
        <v>3138</v>
      </c>
      <c r="D1055" s="35" t="s">
        <v>3139</v>
      </c>
      <c r="E1055" s="35" t="s">
        <v>11147</v>
      </c>
      <c r="F1055" s="35" t="s">
        <v>11143</v>
      </c>
      <c r="G1055" s="35">
        <v>240634</v>
      </c>
      <c r="H1055" s="35">
        <v>280020</v>
      </c>
      <c r="I1055" s="35">
        <v>200007</v>
      </c>
      <c r="J1055" s="34" t="s">
        <v>2934</v>
      </c>
      <c r="K1055" s="34" t="str">
        <f t="shared" si="35"/>
        <v>重复</v>
      </c>
      <c r="L1055" s="34" t="str">
        <f t="shared" si="34"/>
        <v>重复</v>
      </c>
    </row>
    <row r="1056" spans="1:12" ht="27">
      <c r="A1056" s="35" t="s">
        <v>11464</v>
      </c>
      <c r="B1056" s="35" t="s">
        <v>3137</v>
      </c>
      <c r="C1056" s="36" t="s">
        <v>3140</v>
      </c>
      <c r="D1056" s="35" t="s">
        <v>3139</v>
      </c>
      <c r="E1056" s="35" t="s">
        <v>11147</v>
      </c>
      <c r="F1056" s="35" t="s">
        <v>11143</v>
      </c>
      <c r="G1056" s="35">
        <v>240635</v>
      </c>
      <c r="H1056" s="35">
        <v>280020</v>
      </c>
      <c r="I1056" s="35">
        <v>200007</v>
      </c>
      <c r="J1056" s="34" t="s">
        <v>2698</v>
      </c>
      <c r="K1056" s="34" t="str">
        <f t="shared" si="35"/>
        <v>不重复</v>
      </c>
      <c r="L1056" s="34" t="str">
        <f t="shared" si="34"/>
        <v>重复</v>
      </c>
    </row>
    <row r="1057" spans="1:12" ht="15">
      <c r="A1057" s="35" t="s">
        <v>11465</v>
      </c>
      <c r="B1057" s="35" t="s">
        <v>3141</v>
      </c>
      <c r="C1057" s="36" t="s">
        <v>2896</v>
      </c>
      <c r="D1057" s="35" t="s">
        <v>3139</v>
      </c>
      <c r="E1057" s="35" t="s">
        <v>11147</v>
      </c>
      <c r="F1057" s="35" t="s">
        <v>11143</v>
      </c>
      <c r="G1057" s="35">
        <v>240636</v>
      </c>
      <c r="H1057" s="35">
        <v>280020</v>
      </c>
      <c r="I1057" s="35">
        <v>200007</v>
      </c>
      <c r="J1057" s="34" t="s">
        <v>2240</v>
      </c>
      <c r="K1057" s="34" t="str">
        <f t="shared" si="35"/>
        <v>重复</v>
      </c>
      <c r="L1057" s="34" t="str">
        <f t="shared" si="34"/>
        <v>重复</v>
      </c>
    </row>
    <row r="1058" spans="1:12" ht="30">
      <c r="A1058" s="35" t="s">
        <v>11466</v>
      </c>
      <c r="B1058" s="35" t="s">
        <v>3142</v>
      </c>
      <c r="C1058" s="36" t="s">
        <v>3143</v>
      </c>
      <c r="D1058" s="35" t="s">
        <v>3144</v>
      </c>
      <c r="E1058" s="35" t="s">
        <v>11147</v>
      </c>
      <c r="F1058" s="35" t="s">
        <v>11143</v>
      </c>
      <c r="G1058" s="35">
        <v>240637</v>
      </c>
      <c r="H1058" s="35">
        <v>280020</v>
      </c>
      <c r="I1058" s="35">
        <v>200007</v>
      </c>
      <c r="J1058" s="34" t="s">
        <v>2338</v>
      </c>
      <c r="K1058" s="34" t="str">
        <f t="shared" si="35"/>
        <v>重复</v>
      </c>
      <c r="L1058" s="34" t="str">
        <f t="shared" si="34"/>
        <v>重复</v>
      </c>
    </row>
    <row r="1059" spans="1:12" ht="30">
      <c r="A1059" s="35" t="s">
        <v>11467</v>
      </c>
      <c r="B1059" s="35" t="s">
        <v>3142</v>
      </c>
      <c r="C1059" s="36" t="s">
        <v>3143</v>
      </c>
      <c r="D1059" s="35" t="s">
        <v>3144</v>
      </c>
      <c r="E1059" s="35" t="s">
        <v>11147</v>
      </c>
      <c r="F1059" s="35" t="s">
        <v>11143</v>
      </c>
      <c r="G1059" s="35">
        <v>240638</v>
      </c>
      <c r="H1059" s="35">
        <v>280020</v>
      </c>
      <c r="I1059" s="35">
        <v>200007</v>
      </c>
      <c r="J1059" s="34" t="s">
        <v>2338</v>
      </c>
      <c r="K1059" s="34" t="str">
        <f t="shared" si="35"/>
        <v>重复</v>
      </c>
      <c r="L1059" s="34" t="str">
        <f t="shared" si="34"/>
        <v>重复</v>
      </c>
    </row>
    <row r="1060" spans="1:12" ht="30">
      <c r="A1060" s="35" t="s">
        <v>11468</v>
      </c>
      <c r="B1060" s="35" t="s">
        <v>3142</v>
      </c>
      <c r="C1060" s="36" t="s">
        <v>3043</v>
      </c>
      <c r="D1060" s="35" t="s">
        <v>3144</v>
      </c>
      <c r="E1060" s="35" t="s">
        <v>11147</v>
      </c>
      <c r="F1060" s="35" t="s">
        <v>11143</v>
      </c>
      <c r="G1060" s="35">
        <v>240639</v>
      </c>
      <c r="H1060" s="35">
        <v>280020</v>
      </c>
      <c r="I1060" s="35">
        <v>200007</v>
      </c>
      <c r="J1060" s="34" t="s">
        <v>3145</v>
      </c>
      <c r="K1060" s="34" t="str">
        <f t="shared" si="35"/>
        <v>重复</v>
      </c>
      <c r="L1060" s="34" t="str">
        <f t="shared" si="34"/>
        <v>重复</v>
      </c>
    </row>
    <row r="1061" spans="1:12" ht="15">
      <c r="A1061" s="35" t="s">
        <v>11469</v>
      </c>
      <c r="B1061" s="35" t="s">
        <v>3146</v>
      </c>
      <c r="C1061" s="36" t="s">
        <v>3147</v>
      </c>
      <c r="D1061" s="35" t="s">
        <v>2887</v>
      </c>
      <c r="E1061" s="35" t="s">
        <v>11147</v>
      </c>
      <c r="F1061" s="35" t="s">
        <v>11143</v>
      </c>
      <c r="G1061" s="35">
        <v>240640</v>
      </c>
      <c r="H1061" s="35">
        <v>280020</v>
      </c>
      <c r="I1061" s="35">
        <v>200007</v>
      </c>
      <c r="J1061" s="34" t="s">
        <v>2713</v>
      </c>
      <c r="K1061" s="34" t="str">
        <f t="shared" si="35"/>
        <v>重复</v>
      </c>
      <c r="L1061" s="34" t="str">
        <f t="shared" si="34"/>
        <v>重复</v>
      </c>
    </row>
    <row r="1062" spans="1:12" ht="15">
      <c r="A1062" s="35" t="s">
        <v>11470</v>
      </c>
      <c r="B1062" s="35" t="s">
        <v>3148</v>
      </c>
      <c r="C1062" s="36" t="s">
        <v>844</v>
      </c>
      <c r="D1062" s="35" t="s">
        <v>3149</v>
      </c>
      <c r="E1062" s="35" t="s">
        <v>11147</v>
      </c>
      <c r="F1062" s="35" t="s">
        <v>11143</v>
      </c>
      <c r="G1062" s="35">
        <v>240641</v>
      </c>
      <c r="H1062" s="35">
        <v>280020</v>
      </c>
      <c r="I1062" s="35">
        <v>200007</v>
      </c>
      <c r="J1062" s="34" t="s">
        <v>2698</v>
      </c>
      <c r="K1062" s="34" t="str">
        <f t="shared" si="35"/>
        <v>重复</v>
      </c>
      <c r="L1062" s="34" t="str">
        <f t="shared" si="34"/>
        <v>不重复</v>
      </c>
    </row>
    <row r="1063" spans="1:12" ht="15">
      <c r="A1063" s="35" t="s">
        <v>11471</v>
      </c>
      <c r="B1063" s="35" t="s">
        <v>3150</v>
      </c>
      <c r="C1063" s="36" t="s">
        <v>3151</v>
      </c>
      <c r="D1063" s="35" t="s">
        <v>3152</v>
      </c>
      <c r="E1063" s="35" t="s">
        <v>11147</v>
      </c>
      <c r="F1063" s="35" t="s">
        <v>11143</v>
      </c>
      <c r="G1063" s="35">
        <v>240642</v>
      </c>
      <c r="H1063" s="35">
        <v>280020</v>
      </c>
      <c r="I1063" s="35">
        <v>200007</v>
      </c>
      <c r="J1063" s="34" t="s">
        <v>3069</v>
      </c>
      <c r="K1063" s="34" t="str">
        <f t="shared" si="35"/>
        <v>重复</v>
      </c>
      <c r="L1063" s="34" t="str">
        <f t="shared" si="34"/>
        <v>重复</v>
      </c>
    </row>
    <row r="1064" spans="1:12" ht="15">
      <c r="A1064" s="35" t="s">
        <v>11472</v>
      </c>
      <c r="B1064" s="35" t="s">
        <v>3153</v>
      </c>
      <c r="C1064" s="36" t="s">
        <v>840</v>
      </c>
      <c r="D1064" s="35" t="s">
        <v>3154</v>
      </c>
      <c r="E1064" s="35" t="s">
        <v>11147</v>
      </c>
      <c r="F1064" s="35" t="s">
        <v>11143</v>
      </c>
      <c r="G1064" s="35">
        <v>240643</v>
      </c>
      <c r="H1064" s="35">
        <v>280020</v>
      </c>
      <c r="I1064" s="35">
        <v>200007</v>
      </c>
      <c r="J1064" s="34" t="s">
        <v>2505</v>
      </c>
      <c r="K1064" s="34" t="str">
        <f t="shared" si="35"/>
        <v>重复</v>
      </c>
      <c r="L1064" s="34" t="str">
        <f t="shared" si="34"/>
        <v>不重复</v>
      </c>
    </row>
    <row r="1065" spans="1:12" ht="15">
      <c r="A1065" s="35" t="s">
        <v>11473</v>
      </c>
      <c r="B1065" s="35" t="s">
        <v>3155</v>
      </c>
      <c r="C1065" s="36" t="s">
        <v>3156</v>
      </c>
      <c r="D1065" s="35" t="s">
        <v>3157</v>
      </c>
      <c r="E1065" s="35" t="s">
        <v>11147</v>
      </c>
      <c r="F1065" s="35" t="s">
        <v>11143</v>
      </c>
      <c r="G1065" s="35">
        <v>240644</v>
      </c>
      <c r="H1065" s="35">
        <v>280020</v>
      </c>
      <c r="I1065" s="35">
        <v>200007</v>
      </c>
      <c r="J1065" s="34" t="s">
        <v>2698</v>
      </c>
      <c r="K1065" s="34" t="str">
        <f t="shared" si="35"/>
        <v>不重复</v>
      </c>
      <c r="L1065" s="34" t="str">
        <f t="shared" si="36" ref="L1065:L1128">IF(COUNTIF(D:D,D1065)&gt;=2,"重复","不重复")</f>
        <v>重复</v>
      </c>
    </row>
    <row r="1066" spans="1:12" ht="15">
      <c r="A1066" s="35" t="s">
        <v>11474</v>
      </c>
      <c r="B1066" s="35" t="s">
        <v>3158</v>
      </c>
      <c r="C1066" s="36" t="s">
        <v>3159</v>
      </c>
      <c r="D1066" s="35" t="s">
        <v>3160</v>
      </c>
      <c r="E1066" s="35" t="s">
        <v>11147</v>
      </c>
      <c r="F1066" s="35" t="s">
        <v>11143</v>
      </c>
      <c r="G1066" s="35">
        <v>240645</v>
      </c>
      <c r="H1066" s="35">
        <v>280020</v>
      </c>
      <c r="I1066" s="35">
        <v>200007</v>
      </c>
      <c r="J1066" s="34" t="s">
        <v>2495</v>
      </c>
      <c r="K1066" s="34" t="str">
        <f t="shared" si="35"/>
        <v>重复</v>
      </c>
      <c r="L1066" s="34" t="str">
        <f t="shared" si="36"/>
        <v>不重复</v>
      </c>
    </row>
    <row r="1067" spans="1:12" ht="15">
      <c r="A1067" s="35" t="s">
        <v>11475</v>
      </c>
      <c r="B1067" s="35" t="s">
        <v>3161</v>
      </c>
      <c r="C1067" s="36" t="s">
        <v>3162</v>
      </c>
      <c r="D1067" s="35" t="s">
        <v>3163</v>
      </c>
      <c r="E1067" s="35" t="s">
        <v>11147</v>
      </c>
      <c r="F1067" s="35" t="s">
        <v>11143</v>
      </c>
      <c r="G1067" s="35">
        <v>240646</v>
      </c>
      <c r="H1067" s="35">
        <v>280020</v>
      </c>
      <c r="I1067" s="35">
        <v>200007</v>
      </c>
      <c r="J1067" s="34" t="s">
        <v>3164</v>
      </c>
      <c r="K1067" s="34" t="str">
        <f t="shared" si="35"/>
        <v>重复</v>
      </c>
      <c r="L1067" s="34" t="str">
        <f t="shared" si="36"/>
        <v>不重复</v>
      </c>
    </row>
    <row r="1068" spans="1:12" ht="15">
      <c r="A1068" s="35" t="s">
        <v>11476</v>
      </c>
      <c r="B1068" s="35" t="s">
        <v>3165</v>
      </c>
      <c r="C1068" s="36" t="s">
        <v>3015</v>
      </c>
      <c r="D1068" s="35" t="s">
        <v>3166</v>
      </c>
      <c r="E1068" s="35" t="s">
        <v>11147</v>
      </c>
      <c r="F1068" s="35" t="s">
        <v>11143</v>
      </c>
      <c r="G1068" s="35">
        <v>240647</v>
      </c>
      <c r="H1068" s="35">
        <v>280020</v>
      </c>
      <c r="I1068" s="35">
        <v>200007</v>
      </c>
      <c r="J1068" s="34" t="s">
        <v>3145</v>
      </c>
      <c r="K1068" s="34" t="str">
        <f t="shared" si="35"/>
        <v>重复</v>
      </c>
      <c r="L1068" s="34" t="str">
        <f t="shared" si="36"/>
        <v>不重复</v>
      </c>
    </row>
    <row r="1069" spans="1:12" ht="30">
      <c r="A1069" s="35" t="s">
        <v>11477</v>
      </c>
      <c r="B1069" s="35" t="s">
        <v>3167</v>
      </c>
      <c r="C1069" s="36" t="s">
        <v>3168</v>
      </c>
      <c r="D1069" s="35" t="s">
        <v>3169</v>
      </c>
      <c r="E1069" s="35" t="s">
        <v>11147</v>
      </c>
      <c r="F1069" s="35" t="s">
        <v>11143</v>
      </c>
      <c r="G1069" s="35">
        <v>240648</v>
      </c>
      <c r="H1069" s="35">
        <v>280020</v>
      </c>
      <c r="I1069" s="35">
        <v>200007</v>
      </c>
      <c r="J1069" s="34" t="s">
        <v>2674</v>
      </c>
      <c r="K1069" s="34" t="str">
        <f t="shared" si="35"/>
        <v>不重复</v>
      </c>
      <c r="L1069" s="34" t="str">
        <f t="shared" si="36"/>
        <v>不重复</v>
      </c>
    </row>
    <row r="1070" spans="1:12" ht="30">
      <c r="A1070" s="35" t="s">
        <v>11478</v>
      </c>
      <c r="B1070" s="35" t="s">
        <v>3170</v>
      </c>
      <c r="C1070" s="36" t="s">
        <v>2583</v>
      </c>
      <c r="D1070" s="35" t="s">
        <v>3171</v>
      </c>
      <c r="E1070" s="35" t="s">
        <v>11147</v>
      </c>
      <c r="F1070" s="35" t="s">
        <v>11143</v>
      </c>
      <c r="G1070" s="35">
        <v>240649</v>
      </c>
      <c r="H1070" s="35">
        <v>280020</v>
      </c>
      <c r="I1070" s="35">
        <v>200007</v>
      </c>
      <c r="J1070" s="34" t="s">
        <v>2832</v>
      </c>
      <c r="K1070" s="34" t="str">
        <f t="shared" si="35"/>
        <v>重复</v>
      </c>
      <c r="L1070" s="34" t="str">
        <f t="shared" si="36"/>
        <v>不重复</v>
      </c>
    </row>
    <row r="1071" spans="1:12" ht="27">
      <c r="A1071" s="35" t="s">
        <v>11479</v>
      </c>
      <c r="B1071" s="35" t="s">
        <v>3172</v>
      </c>
      <c r="C1071" s="36" t="s">
        <v>139</v>
      </c>
      <c r="D1071" s="35" t="s">
        <v>3173</v>
      </c>
      <c r="E1071" s="35" t="s">
        <v>11147</v>
      </c>
      <c r="F1071" s="35" t="s">
        <v>11143</v>
      </c>
      <c r="G1071" s="35">
        <v>240650</v>
      </c>
      <c r="H1071" s="35">
        <v>280020</v>
      </c>
      <c r="I1071" s="35">
        <v>200007</v>
      </c>
      <c r="J1071" s="34" t="s">
        <v>3174</v>
      </c>
      <c r="K1071" s="34" t="str">
        <f t="shared" si="35"/>
        <v>重复</v>
      </c>
      <c r="L1071" s="34" t="str">
        <f t="shared" si="36"/>
        <v>不重复</v>
      </c>
    </row>
    <row r="1072" spans="1:12" ht="15">
      <c r="A1072" s="35" t="s">
        <v>11480</v>
      </c>
      <c r="B1072" s="35" t="s">
        <v>3175</v>
      </c>
      <c r="C1072" s="36" t="s">
        <v>3176</v>
      </c>
      <c r="D1072" s="35" t="s">
        <v>3177</v>
      </c>
      <c r="E1072" s="35" t="s">
        <v>11147</v>
      </c>
      <c r="F1072" s="35" t="s">
        <v>11143</v>
      </c>
      <c r="G1072" s="35">
        <v>240651</v>
      </c>
      <c r="H1072" s="35">
        <v>280020</v>
      </c>
      <c r="I1072" s="35">
        <v>200007</v>
      </c>
      <c r="J1072" s="34" t="s">
        <v>1137</v>
      </c>
      <c r="K1072" s="34" t="str">
        <f t="shared" si="35"/>
        <v>不重复</v>
      </c>
      <c r="L1072" s="34" t="str">
        <f t="shared" si="36"/>
        <v>不重复</v>
      </c>
    </row>
    <row r="1073" spans="1:12" ht="27">
      <c r="A1073" s="35" t="s">
        <v>11481</v>
      </c>
      <c r="B1073" s="35" t="s">
        <v>3178</v>
      </c>
      <c r="C1073" s="36" t="s">
        <v>3179</v>
      </c>
      <c r="D1073" s="35" t="s">
        <v>3180</v>
      </c>
      <c r="E1073" s="35" t="s">
        <v>11147</v>
      </c>
      <c r="F1073" s="35" t="s">
        <v>11143</v>
      </c>
      <c r="G1073" s="35">
        <v>240652</v>
      </c>
      <c r="H1073" s="35">
        <v>280020</v>
      </c>
      <c r="I1073" s="35">
        <v>200007</v>
      </c>
      <c r="J1073" s="34" t="s">
        <v>3181</v>
      </c>
      <c r="K1073" s="34" t="str">
        <f t="shared" si="35"/>
        <v>不重复</v>
      </c>
      <c r="L1073" s="34" t="str">
        <f t="shared" si="36"/>
        <v>不重复</v>
      </c>
    </row>
    <row r="1074" spans="1:12" ht="15">
      <c r="A1074" s="35" t="s">
        <v>11482</v>
      </c>
      <c r="B1074" s="35" t="s">
        <v>3182</v>
      </c>
      <c r="C1074" s="36" t="s">
        <v>3183</v>
      </c>
      <c r="D1074" s="35" t="s">
        <v>3184</v>
      </c>
      <c r="E1074" s="35" t="s">
        <v>11147</v>
      </c>
      <c r="F1074" s="35" t="s">
        <v>11143</v>
      </c>
      <c r="G1074" s="35">
        <v>240653</v>
      </c>
      <c r="H1074" s="35">
        <v>280020</v>
      </c>
      <c r="I1074" s="35">
        <v>200007</v>
      </c>
      <c r="J1074" s="34" t="s">
        <v>3185</v>
      </c>
      <c r="K1074" s="34" t="str">
        <f t="shared" si="35"/>
        <v>不重复</v>
      </c>
      <c r="L1074" s="34" t="str">
        <f t="shared" si="36"/>
        <v>不重复</v>
      </c>
    </row>
    <row r="1075" spans="1:12" ht="15">
      <c r="A1075" s="35" t="s">
        <v>11483</v>
      </c>
      <c r="B1075" s="35" t="s">
        <v>3186</v>
      </c>
      <c r="C1075" s="36" t="s">
        <v>2827</v>
      </c>
      <c r="D1075" s="35" t="s">
        <v>3187</v>
      </c>
      <c r="E1075" s="35" t="s">
        <v>11147</v>
      </c>
      <c r="F1075" s="35" t="s">
        <v>11143</v>
      </c>
      <c r="G1075" s="35">
        <v>240654</v>
      </c>
      <c r="H1075" s="35">
        <v>280020</v>
      </c>
      <c r="I1075" s="35">
        <v>200007</v>
      </c>
      <c r="J1075" s="34" t="s">
        <v>2984</v>
      </c>
      <c r="K1075" s="34" t="str">
        <f t="shared" si="35"/>
        <v>重复</v>
      </c>
      <c r="L1075" s="34" t="str">
        <f t="shared" si="36"/>
        <v>不重复</v>
      </c>
    </row>
    <row r="1076" spans="1:12" ht="30">
      <c r="A1076" s="35" t="s">
        <v>11484</v>
      </c>
      <c r="B1076" s="35" t="s">
        <v>3188</v>
      </c>
      <c r="C1076" s="36" t="s">
        <v>3189</v>
      </c>
      <c r="D1076" s="35" t="s">
        <v>3190</v>
      </c>
      <c r="E1076" s="35" t="s">
        <v>11147</v>
      </c>
      <c r="F1076" s="35" t="s">
        <v>11143</v>
      </c>
      <c r="G1076" s="35">
        <v>240655</v>
      </c>
      <c r="H1076" s="35">
        <v>280020</v>
      </c>
      <c r="I1076" s="35">
        <v>200007</v>
      </c>
      <c r="J1076" s="34" t="s">
        <v>3191</v>
      </c>
      <c r="K1076" s="34" t="str">
        <f t="shared" si="35"/>
        <v>不重复</v>
      </c>
      <c r="L1076" s="34" t="str">
        <f t="shared" si="36"/>
        <v>不重复</v>
      </c>
    </row>
    <row r="1077" spans="1:12" ht="15">
      <c r="A1077" s="35" t="s">
        <v>11485</v>
      </c>
      <c r="B1077" s="35" t="s">
        <v>3192</v>
      </c>
      <c r="C1077" s="36" t="s">
        <v>3193</v>
      </c>
      <c r="D1077" s="35" t="s">
        <v>3194</v>
      </c>
      <c r="E1077" s="35" t="s">
        <v>11147</v>
      </c>
      <c r="F1077" s="35" t="s">
        <v>11143</v>
      </c>
      <c r="G1077" s="35">
        <v>240656</v>
      </c>
      <c r="H1077" s="35">
        <v>280020</v>
      </c>
      <c r="I1077" s="35">
        <v>200007</v>
      </c>
      <c r="J1077" s="34" t="s">
        <v>2440</v>
      </c>
      <c r="K1077" s="34" t="str">
        <f t="shared" si="35"/>
        <v>不重复</v>
      </c>
      <c r="L1077" s="34" t="str">
        <f t="shared" si="36"/>
        <v>不重复</v>
      </c>
    </row>
    <row r="1078" spans="1:12" ht="15">
      <c r="A1078" s="35" t="s">
        <v>11486</v>
      </c>
      <c r="B1078" s="35" t="s">
        <v>3195</v>
      </c>
      <c r="C1078" s="36" t="s">
        <v>2359</v>
      </c>
      <c r="D1078" s="35" t="s">
        <v>3196</v>
      </c>
      <c r="E1078" s="35" t="s">
        <v>11147</v>
      </c>
      <c r="F1078" s="35" t="s">
        <v>11143</v>
      </c>
      <c r="G1078" s="35">
        <v>240657</v>
      </c>
      <c r="H1078" s="35">
        <v>280020</v>
      </c>
      <c r="I1078" s="35">
        <v>200007</v>
      </c>
      <c r="J1078" s="34" t="s">
        <v>363</v>
      </c>
      <c r="K1078" s="34" t="str">
        <f t="shared" si="35"/>
        <v>重复</v>
      </c>
      <c r="L1078" s="34" t="str">
        <f t="shared" si="36"/>
        <v>重复</v>
      </c>
    </row>
    <row r="1079" spans="1:12" ht="15">
      <c r="A1079" s="35" t="s">
        <v>11487</v>
      </c>
      <c r="B1079" s="35" t="s">
        <v>3197</v>
      </c>
      <c r="C1079" s="36" t="s">
        <v>3198</v>
      </c>
      <c r="D1079" s="35" t="s">
        <v>3199</v>
      </c>
      <c r="E1079" s="35" t="s">
        <v>11147</v>
      </c>
      <c r="F1079" s="35" t="s">
        <v>11143</v>
      </c>
      <c r="G1079" s="35">
        <v>240658</v>
      </c>
      <c r="H1079" s="35">
        <v>280020</v>
      </c>
      <c r="I1079" s="35">
        <v>200007</v>
      </c>
      <c r="J1079" s="34" t="s">
        <v>2495</v>
      </c>
      <c r="K1079" s="34" t="str">
        <f t="shared" si="35"/>
        <v>不重复</v>
      </c>
      <c r="L1079" s="34" t="str">
        <f t="shared" si="36"/>
        <v>不重复</v>
      </c>
    </row>
    <row r="1080" spans="1:12" ht="30">
      <c r="A1080" s="35" t="s">
        <v>11488</v>
      </c>
      <c r="B1080" s="35" t="s">
        <v>3200</v>
      </c>
      <c r="C1080" s="36" t="s">
        <v>3201</v>
      </c>
      <c r="D1080" s="35" t="s">
        <v>3202</v>
      </c>
      <c r="E1080" s="35" t="s">
        <v>11147</v>
      </c>
      <c r="F1080" s="35" t="s">
        <v>11143</v>
      </c>
      <c r="G1080" s="35">
        <v>240659</v>
      </c>
      <c r="H1080" s="35">
        <v>280020</v>
      </c>
      <c r="I1080" s="35">
        <v>200007</v>
      </c>
      <c r="J1080" s="34" t="s">
        <v>311</v>
      </c>
      <c r="K1080" s="34" t="str">
        <f t="shared" si="35"/>
        <v>不重复</v>
      </c>
      <c r="L1080" s="34" t="str">
        <f t="shared" si="36"/>
        <v>不重复</v>
      </c>
    </row>
    <row r="1081" spans="1:12" ht="27">
      <c r="A1081" s="35" t="s">
        <v>11489</v>
      </c>
      <c r="B1081" s="35" t="s">
        <v>3203</v>
      </c>
      <c r="C1081" s="36" t="s">
        <v>3204</v>
      </c>
      <c r="D1081" s="35" t="s">
        <v>3205</v>
      </c>
      <c r="E1081" s="35" t="s">
        <v>11147</v>
      </c>
      <c r="F1081" s="35" t="s">
        <v>11143</v>
      </c>
      <c r="G1081" s="35">
        <v>240660</v>
      </c>
      <c r="H1081" s="35">
        <v>280020</v>
      </c>
      <c r="I1081" s="35">
        <v>200007</v>
      </c>
      <c r="J1081" s="34" t="s">
        <v>2440</v>
      </c>
      <c r="K1081" s="34" t="str">
        <f t="shared" si="35"/>
        <v>重复</v>
      </c>
      <c r="L1081" s="34" t="str">
        <f t="shared" si="36"/>
        <v>不重复</v>
      </c>
    </row>
    <row r="1082" spans="1:12" ht="30">
      <c r="A1082" s="35" t="s">
        <v>11490</v>
      </c>
      <c r="B1082" s="35" t="s">
        <v>3206</v>
      </c>
      <c r="C1082" s="36" t="s">
        <v>3207</v>
      </c>
      <c r="D1082" s="35" t="s">
        <v>3208</v>
      </c>
      <c r="E1082" s="35" t="s">
        <v>11147</v>
      </c>
      <c r="F1082" s="35" t="s">
        <v>11143</v>
      </c>
      <c r="G1082" s="35">
        <v>240661</v>
      </c>
      <c r="H1082" s="35">
        <v>280020</v>
      </c>
      <c r="I1082" s="35">
        <v>200007</v>
      </c>
      <c r="J1082" s="34" t="s">
        <v>3209</v>
      </c>
      <c r="K1082" s="34" t="str">
        <f t="shared" si="35"/>
        <v>重复</v>
      </c>
      <c r="L1082" s="34" t="str">
        <f t="shared" si="36"/>
        <v>不重复</v>
      </c>
    </row>
    <row r="1083" spans="1:12" ht="27">
      <c r="A1083" s="35" t="s">
        <v>11491</v>
      </c>
      <c r="B1083" s="35" t="s">
        <v>3210</v>
      </c>
      <c r="C1083" s="36" t="s">
        <v>3211</v>
      </c>
      <c r="D1083" s="35" t="s">
        <v>3212</v>
      </c>
      <c r="E1083" s="35" t="s">
        <v>11147</v>
      </c>
      <c r="F1083" s="35" t="s">
        <v>11143</v>
      </c>
      <c r="G1083" s="35">
        <v>240662</v>
      </c>
      <c r="H1083" s="35">
        <v>280020</v>
      </c>
      <c r="I1083" s="35">
        <v>200007</v>
      </c>
      <c r="J1083" s="34" t="s">
        <v>1143</v>
      </c>
      <c r="K1083" s="34" t="str">
        <f t="shared" si="35"/>
        <v>不重复</v>
      </c>
      <c r="L1083" s="34" t="str">
        <f t="shared" si="36"/>
        <v>不重复</v>
      </c>
    </row>
    <row r="1084" spans="1:12" ht="27">
      <c r="A1084" s="35" t="s">
        <v>11492</v>
      </c>
      <c r="B1084" s="35" t="s">
        <v>3213</v>
      </c>
      <c r="C1084" s="36" t="s">
        <v>3214</v>
      </c>
      <c r="D1084" s="35" t="s">
        <v>3215</v>
      </c>
      <c r="E1084" s="35" t="s">
        <v>11147</v>
      </c>
      <c r="F1084" s="35" t="s">
        <v>11143</v>
      </c>
      <c r="G1084" s="35">
        <v>240663</v>
      </c>
      <c r="H1084" s="35">
        <v>280020</v>
      </c>
      <c r="I1084" s="35">
        <v>200007</v>
      </c>
      <c r="J1084" s="34" t="s">
        <v>2495</v>
      </c>
      <c r="K1084" s="34" t="str">
        <f t="shared" si="35"/>
        <v>重复</v>
      </c>
      <c r="L1084" s="34" t="str">
        <f t="shared" si="36"/>
        <v>不重复</v>
      </c>
    </row>
    <row r="1085" spans="1:12" ht="27">
      <c r="A1085" s="35" t="s">
        <v>11493</v>
      </c>
      <c r="B1085" s="35" t="s">
        <v>3216</v>
      </c>
      <c r="C1085" s="36" t="s">
        <v>69</v>
      </c>
      <c r="D1085" s="35" t="s">
        <v>3217</v>
      </c>
      <c r="E1085" s="35" t="s">
        <v>11147</v>
      </c>
      <c r="F1085" s="35" t="s">
        <v>11143</v>
      </c>
      <c r="G1085" s="35">
        <v>240664</v>
      </c>
      <c r="H1085" s="35">
        <v>280020</v>
      </c>
      <c r="I1085" s="35">
        <v>200007</v>
      </c>
      <c r="J1085" s="34" t="s">
        <v>2495</v>
      </c>
      <c r="K1085" s="34" t="str">
        <f t="shared" si="35"/>
        <v>重复</v>
      </c>
      <c r="L1085" s="34" t="str">
        <f t="shared" si="36"/>
        <v>不重复</v>
      </c>
    </row>
    <row r="1086" spans="1:12" ht="30">
      <c r="A1086" s="35" t="s">
        <v>11494</v>
      </c>
      <c r="B1086" s="35" t="s">
        <v>3218</v>
      </c>
      <c r="C1086" s="36" t="s">
        <v>3219</v>
      </c>
      <c r="D1086" s="35" t="s">
        <v>3220</v>
      </c>
      <c r="E1086" s="35" t="s">
        <v>11147</v>
      </c>
      <c r="F1086" s="35" t="s">
        <v>11143</v>
      </c>
      <c r="G1086" s="35">
        <v>240665</v>
      </c>
      <c r="H1086" s="35">
        <v>280020</v>
      </c>
      <c r="I1086" s="35">
        <v>200007</v>
      </c>
      <c r="J1086" s="34" t="s">
        <v>3221</v>
      </c>
      <c r="K1086" s="34" t="str">
        <f t="shared" si="35"/>
        <v>不重复</v>
      </c>
      <c r="L1086" s="34" t="str">
        <f t="shared" si="36"/>
        <v>不重复</v>
      </c>
    </row>
    <row r="1087" spans="1:12" ht="15">
      <c r="A1087" s="35" t="s">
        <v>11495</v>
      </c>
      <c r="B1087" s="35" t="s">
        <v>3222</v>
      </c>
      <c r="C1087" s="36" t="s">
        <v>3223</v>
      </c>
      <c r="D1087" s="35" t="s">
        <v>3224</v>
      </c>
      <c r="E1087" s="35" t="s">
        <v>11147</v>
      </c>
      <c r="F1087" s="35" t="s">
        <v>11143</v>
      </c>
      <c r="G1087" s="35">
        <v>240666</v>
      </c>
      <c r="H1087" s="35">
        <v>280020</v>
      </c>
      <c r="I1087" s="35">
        <v>200007</v>
      </c>
      <c r="J1087" s="34" t="s">
        <v>2630</v>
      </c>
      <c r="K1087" s="34" t="str">
        <f t="shared" si="35"/>
        <v>不重复</v>
      </c>
      <c r="L1087" s="34" t="str">
        <f t="shared" si="36"/>
        <v>不重复</v>
      </c>
    </row>
    <row r="1088" spans="1:12" ht="15">
      <c r="A1088" s="35" t="s">
        <v>11496</v>
      </c>
      <c r="B1088" s="35" t="s">
        <v>3225</v>
      </c>
      <c r="C1088" s="36" t="s">
        <v>3226</v>
      </c>
      <c r="D1088" s="35" t="s">
        <v>3227</v>
      </c>
      <c r="E1088" s="35" t="s">
        <v>11147</v>
      </c>
      <c r="F1088" s="35" t="s">
        <v>11143</v>
      </c>
      <c r="G1088" s="35">
        <v>240667</v>
      </c>
      <c r="H1088" s="35">
        <v>280020</v>
      </c>
      <c r="I1088" s="35">
        <v>200007</v>
      </c>
      <c r="J1088" s="34" t="s">
        <v>3228</v>
      </c>
      <c r="K1088" s="34" t="str">
        <f t="shared" si="35"/>
        <v>重复</v>
      </c>
      <c r="L1088" s="34" t="str">
        <f t="shared" si="36"/>
        <v>不重复</v>
      </c>
    </row>
    <row r="1089" spans="1:12" ht="15">
      <c r="A1089" s="35" t="s">
        <v>11497</v>
      </c>
      <c r="B1089" s="35" t="s">
        <v>3229</v>
      </c>
      <c r="C1089" s="36" t="s">
        <v>1021</v>
      </c>
      <c r="D1089" s="35" t="s">
        <v>3230</v>
      </c>
      <c r="E1089" s="35" t="s">
        <v>11147</v>
      </c>
      <c r="F1089" s="35" t="s">
        <v>11143</v>
      </c>
      <c r="G1089" s="35">
        <v>240668</v>
      </c>
      <c r="H1089" s="35">
        <v>280020</v>
      </c>
      <c r="I1089" s="35">
        <v>200007</v>
      </c>
      <c r="J1089" s="34" t="s">
        <v>1331</v>
      </c>
      <c r="K1089" s="34" t="str">
        <f t="shared" si="35"/>
        <v>重复</v>
      </c>
      <c r="L1089" s="34" t="str">
        <f t="shared" si="36"/>
        <v>不重复</v>
      </c>
    </row>
    <row r="1090" spans="1:12" ht="15">
      <c r="A1090" s="35" t="s">
        <v>11498</v>
      </c>
      <c r="B1090" s="35" t="s">
        <v>3231</v>
      </c>
      <c r="C1090" s="36" t="s">
        <v>2892</v>
      </c>
      <c r="D1090" s="35" t="s">
        <v>3232</v>
      </c>
      <c r="E1090" s="35" t="s">
        <v>11147</v>
      </c>
      <c r="F1090" s="35" t="s">
        <v>11143</v>
      </c>
      <c r="G1090" s="35">
        <v>240669</v>
      </c>
      <c r="H1090" s="35">
        <v>280020</v>
      </c>
      <c r="I1090" s="35">
        <v>200007</v>
      </c>
      <c r="J1090" s="34" t="s">
        <v>1292</v>
      </c>
      <c r="K1090" s="34" t="str">
        <f t="shared" si="35"/>
        <v>重复</v>
      </c>
      <c r="L1090" s="34" t="str">
        <f t="shared" si="36"/>
        <v>重复</v>
      </c>
    </row>
    <row r="1091" spans="1:12" ht="15">
      <c r="A1091" s="35" t="s">
        <v>11499</v>
      </c>
      <c r="B1091" s="35" t="s">
        <v>3233</v>
      </c>
      <c r="C1091" s="36" t="s">
        <v>3234</v>
      </c>
      <c r="D1091" s="35" t="s">
        <v>3235</v>
      </c>
      <c r="E1091" s="35" t="s">
        <v>11147</v>
      </c>
      <c r="F1091" s="35" t="s">
        <v>11143</v>
      </c>
      <c r="G1091" s="35">
        <v>240670</v>
      </c>
      <c r="H1091" s="35">
        <v>280020</v>
      </c>
      <c r="I1091" s="35">
        <v>200007</v>
      </c>
      <c r="J1091" s="34" t="s">
        <v>2630</v>
      </c>
      <c r="K1091" s="34" t="str">
        <f t="shared" si="35"/>
        <v>重复</v>
      </c>
      <c r="L1091" s="34" t="str">
        <f t="shared" si="36"/>
        <v>不重复</v>
      </c>
    </row>
    <row r="1092" spans="1:12" ht="15">
      <c r="A1092" s="35" t="s">
        <v>11500</v>
      </c>
      <c r="B1092" s="35" t="s">
        <v>3236</v>
      </c>
      <c r="C1092" s="36" t="s">
        <v>3237</v>
      </c>
      <c r="D1092" s="35" t="s">
        <v>3238</v>
      </c>
      <c r="E1092" s="35" t="s">
        <v>11147</v>
      </c>
      <c r="F1092" s="35" t="s">
        <v>11143</v>
      </c>
      <c r="G1092" s="35">
        <v>240671</v>
      </c>
      <c r="H1092" s="35">
        <v>280020</v>
      </c>
      <c r="I1092" s="35">
        <v>200007</v>
      </c>
      <c r="J1092" s="34" t="s">
        <v>3191</v>
      </c>
      <c r="K1092" s="34" t="str">
        <f t="shared" si="35"/>
        <v>重复</v>
      </c>
      <c r="L1092" s="34" t="str">
        <f t="shared" si="36"/>
        <v>不重复</v>
      </c>
    </row>
    <row r="1093" spans="1:12" ht="15">
      <c r="A1093" s="35" t="s">
        <v>11501</v>
      </c>
      <c r="B1093" s="35" t="s">
        <v>3239</v>
      </c>
      <c r="C1093" s="36" t="s">
        <v>3240</v>
      </c>
      <c r="D1093" s="35" t="s">
        <v>3241</v>
      </c>
      <c r="E1093" s="35" t="s">
        <v>11147</v>
      </c>
      <c r="F1093" s="35" t="s">
        <v>11143</v>
      </c>
      <c r="G1093" s="35">
        <v>240672</v>
      </c>
      <c r="H1093" s="35">
        <v>280020</v>
      </c>
      <c r="I1093" s="35">
        <v>200007</v>
      </c>
      <c r="J1093" s="34" t="s">
        <v>1292</v>
      </c>
      <c r="K1093" s="34" t="str">
        <f t="shared" si="35"/>
        <v>重复</v>
      </c>
      <c r="L1093" s="34" t="str">
        <f t="shared" si="36"/>
        <v>不重复</v>
      </c>
    </row>
    <row r="1094" spans="1:12" ht="15">
      <c r="A1094" s="35" t="s">
        <v>11502</v>
      </c>
      <c r="B1094" s="35" t="s">
        <v>3242</v>
      </c>
      <c r="C1094" s="36" t="s">
        <v>3243</v>
      </c>
      <c r="D1094" s="35" t="s">
        <v>3244</v>
      </c>
      <c r="E1094" s="35" t="s">
        <v>11147</v>
      </c>
      <c r="F1094" s="35" t="s">
        <v>11143</v>
      </c>
      <c r="G1094" s="35">
        <v>240673</v>
      </c>
      <c r="H1094" s="35">
        <v>280020</v>
      </c>
      <c r="I1094" s="35">
        <v>200007</v>
      </c>
      <c r="J1094" s="34" t="s">
        <v>3245</v>
      </c>
      <c r="K1094" s="34" t="str">
        <f t="shared" si="35"/>
        <v>不重复</v>
      </c>
      <c r="L1094" s="34" t="str">
        <f t="shared" si="36"/>
        <v>重复</v>
      </c>
    </row>
    <row r="1095" spans="1:12" ht="15">
      <c r="A1095" s="35" t="s">
        <v>11503</v>
      </c>
      <c r="B1095" s="35" t="s">
        <v>3246</v>
      </c>
      <c r="C1095" s="36" t="s">
        <v>2503</v>
      </c>
      <c r="D1095" s="35" t="s">
        <v>3247</v>
      </c>
      <c r="E1095" s="35" t="s">
        <v>11147</v>
      </c>
      <c r="F1095" s="35" t="s">
        <v>11143</v>
      </c>
      <c r="G1095" s="35">
        <v>240674</v>
      </c>
      <c r="H1095" s="35">
        <v>280020</v>
      </c>
      <c r="I1095" s="35">
        <v>200007</v>
      </c>
      <c r="J1095" s="34" t="s">
        <v>1335</v>
      </c>
      <c r="K1095" s="34" t="str">
        <f t="shared" si="35"/>
        <v>重复</v>
      </c>
      <c r="L1095" s="34" t="str">
        <f t="shared" si="36"/>
        <v>不重复</v>
      </c>
    </row>
    <row r="1096" spans="1:12" ht="15">
      <c r="A1096" s="35" t="s">
        <v>11504</v>
      </c>
      <c r="B1096" s="35" t="s">
        <v>3248</v>
      </c>
      <c r="C1096" s="36" t="s">
        <v>3249</v>
      </c>
      <c r="D1096" s="35" t="s">
        <v>3250</v>
      </c>
      <c r="E1096" s="35" t="s">
        <v>11147</v>
      </c>
      <c r="F1096" s="35" t="s">
        <v>11143</v>
      </c>
      <c r="G1096" s="35">
        <v>240675</v>
      </c>
      <c r="H1096" s="35">
        <v>280020</v>
      </c>
      <c r="I1096" s="35">
        <v>200007</v>
      </c>
      <c r="J1096" s="34" t="s">
        <v>1292</v>
      </c>
      <c r="K1096" s="34" t="str">
        <f t="shared" si="35"/>
        <v>重复</v>
      </c>
      <c r="L1096" s="34" t="str">
        <f t="shared" si="36"/>
        <v>不重复</v>
      </c>
    </row>
    <row r="1097" spans="1:12" ht="15">
      <c r="A1097" s="35" t="s">
        <v>11505</v>
      </c>
      <c r="B1097" s="35" t="s">
        <v>3251</v>
      </c>
      <c r="C1097" s="36" t="s">
        <v>654</v>
      </c>
      <c r="D1097" s="35" t="s">
        <v>3252</v>
      </c>
      <c r="E1097" s="35" t="s">
        <v>11147</v>
      </c>
      <c r="F1097" s="35" t="s">
        <v>11143</v>
      </c>
      <c r="G1097" s="35">
        <v>240676</v>
      </c>
      <c r="H1097" s="35">
        <v>280020</v>
      </c>
      <c r="I1097" s="35">
        <v>200007</v>
      </c>
      <c r="J1097" s="34" t="s">
        <v>1288</v>
      </c>
      <c r="K1097" s="34" t="str">
        <f t="shared" si="35"/>
        <v>重复</v>
      </c>
      <c r="L1097" s="34" t="str">
        <f t="shared" si="36"/>
        <v>不重复</v>
      </c>
    </row>
    <row r="1098" spans="1:12" ht="30">
      <c r="A1098" s="35" t="s">
        <v>11506</v>
      </c>
      <c r="B1098" s="35" t="s">
        <v>3253</v>
      </c>
      <c r="C1098" s="36" t="s">
        <v>3254</v>
      </c>
      <c r="D1098" s="35" t="s">
        <v>3255</v>
      </c>
      <c r="E1098" s="35" t="s">
        <v>11147</v>
      </c>
      <c r="F1098" s="35" t="s">
        <v>11143</v>
      </c>
      <c r="G1098" s="35">
        <v>240677</v>
      </c>
      <c r="H1098" s="35">
        <v>280020</v>
      </c>
      <c r="I1098" s="35">
        <v>200007</v>
      </c>
      <c r="J1098" s="34" t="s">
        <v>2219</v>
      </c>
      <c r="K1098" s="34" t="str">
        <f t="shared" si="35"/>
        <v>不重复</v>
      </c>
      <c r="L1098" s="34" t="str">
        <f t="shared" si="36"/>
        <v>不重复</v>
      </c>
    </row>
    <row r="1099" spans="1:12" ht="30">
      <c r="A1099" s="35" t="s">
        <v>11507</v>
      </c>
      <c r="B1099" s="35" t="s">
        <v>3256</v>
      </c>
      <c r="C1099" s="36" t="s">
        <v>3257</v>
      </c>
      <c r="D1099" s="35" t="s">
        <v>3258</v>
      </c>
      <c r="E1099" s="35" t="s">
        <v>11147</v>
      </c>
      <c r="F1099" s="35" t="s">
        <v>11143</v>
      </c>
      <c r="G1099" s="35">
        <v>240678</v>
      </c>
      <c r="H1099" s="35">
        <v>280020</v>
      </c>
      <c r="I1099" s="35">
        <v>200007</v>
      </c>
      <c r="J1099" s="34" t="s">
        <v>3191</v>
      </c>
      <c r="K1099" s="34" t="str">
        <f t="shared" si="35"/>
        <v>不重复</v>
      </c>
      <c r="L1099" s="34" t="str">
        <f t="shared" si="36"/>
        <v>重复</v>
      </c>
    </row>
    <row r="1100" spans="1:12" ht="15">
      <c r="A1100" s="35" t="s">
        <v>11508</v>
      </c>
      <c r="B1100" s="35" t="s">
        <v>3259</v>
      </c>
      <c r="C1100" s="36" t="s">
        <v>657</v>
      </c>
      <c r="D1100" s="35" t="s">
        <v>3258</v>
      </c>
      <c r="E1100" s="35" t="s">
        <v>11147</v>
      </c>
      <c r="F1100" s="35" t="s">
        <v>11143</v>
      </c>
      <c r="G1100" s="35">
        <v>240679</v>
      </c>
      <c r="H1100" s="35">
        <v>280020</v>
      </c>
      <c r="I1100" s="35">
        <v>200007</v>
      </c>
      <c r="J1100" s="34" t="s">
        <v>288</v>
      </c>
      <c r="K1100" s="34" t="str">
        <f t="shared" si="35"/>
        <v>重复</v>
      </c>
      <c r="L1100" s="34" t="str">
        <f t="shared" si="36"/>
        <v>重复</v>
      </c>
    </row>
    <row r="1101" spans="1:12" ht="15">
      <c r="A1101" s="35" t="s">
        <v>11509</v>
      </c>
      <c r="B1101" s="35" t="s">
        <v>3260</v>
      </c>
      <c r="C1101" s="36" t="s">
        <v>3261</v>
      </c>
      <c r="D1101" s="35" t="s">
        <v>3262</v>
      </c>
      <c r="E1101" s="35" t="s">
        <v>11147</v>
      </c>
      <c r="F1101" s="35" t="s">
        <v>11143</v>
      </c>
      <c r="G1101" s="35">
        <v>240680</v>
      </c>
      <c r="H1101" s="35">
        <v>280020</v>
      </c>
      <c r="I1101" s="35">
        <v>200007</v>
      </c>
      <c r="J1101" s="34" t="s">
        <v>3263</v>
      </c>
      <c r="K1101" s="34" t="str">
        <f t="shared" si="35"/>
        <v>不重复</v>
      </c>
      <c r="L1101" s="34" t="str">
        <f t="shared" si="36"/>
        <v>重复</v>
      </c>
    </row>
    <row r="1102" spans="1:12" ht="30">
      <c r="A1102" s="35" t="s">
        <v>11510</v>
      </c>
      <c r="B1102" s="35" t="s">
        <v>3264</v>
      </c>
      <c r="C1102" s="36" t="s">
        <v>3265</v>
      </c>
      <c r="D1102" s="35" t="s">
        <v>1142</v>
      </c>
      <c r="E1102" s="35" t="s">
        <v>11147</v>
      </c>
      <c r="F1102" s="35" t="s">
        <v>11143</v>
      </c>
      <c r="G1102" s="35">
        <v>240681</v>
      </c>
      <c r="H1102" s="35">
        <v>280020</v>
      </c>
      <c r="I1102" s="35">
        <v>200007</v>
      </c>
      <c r="J1102" s="34" t="s">
        <v>3263</v>
      </c>
      <c r="K1102" s="34" t="str">
        <f t="shared" si="35"/>
        <v>重复</v>
      </c>
      <c r="L1102" s="34" t="str">
        <f t="shared" si="36"/>
        <v>重复</v>
      </c>
    </row>
    <row r="1103" spans="1:12" ht="30">
      <c r="A1103" s="35" t="s">
        <v>11511</v>
      </c>
      <c r="B1103" s="35" t="s">
        <v>3266</v>
      </c>
      <c r="C1103" s="36" t="s">
        <v>3267</v>
      </c>
      <c r="D1103" s="35" t="s">
        <v>3268</v>
      </c>
      <c r="E1103" s="35" t="s">
        <v>11147</v>
      </c>
      <c r="F1103" s="35" t="s">
        <v>11143</v>
      </c>
      <c r="G1103" s="35">
        <v>240682</v>
      </c>
      <c r="H1103" s="35">
        <v>280020</v>
      </c>
      <c r="I1103" s="35">
        <v>200007</v>
      </c>
      <c r="J1103" s="34" t="s">
        <v>3269</v>
      </c>
      <c r="K1103" s="34" t="str">
        <f t="shared" si="35"/>
        <v>不重复</v>
      </c>
      <c r="L1103" s="34" t="str">
        <f t="shared" si="36"/>
        <v>不重复</v>
      </c>
    </row>
    <row r="1104" spans="1:12" ht="30">
      <c r="A1104" s="35" t="s">
        <v>11512</v>
      </c>
      <c r="B1104" s="35" t="s">
        <v>3270</v>
      </c>
      <c r="C1104" s="36" t="s">
        <v>2416</v>
      </c>
      <c r="D1104" s="35" t="s">
        <v>3271</v>
      </c>
      <c r="E1104" s="35" t="s">
        <v>11147</v>
      </c>
      <c r="F1104" s="35" t="s">
        <v>11143</v>
      </c>
      <c r="G1104" s="35">
        <v>240683</v>
      </c>
      <c r="H1104" s="35">
        <v>280020</v>
      </c>
      <c r="I1104" s="35">
        <v>200007</v>
      </c>
      <c r="J1104" s="34" t="s">
        <v>1114</v>
      </c>
      <c r="K1104" s="34" t="str">
        <f t="shared" si="35"/>
        <v>重复</v>
      </c>
      <c r="L1104" s="34" t="str">
        <f t="shared" si="36"/>
        <v>不重复</v>
      </c>
    </row>
    <row r="1105" spans="1:12" ht="30">
      <c r="A1105" s="35" t="s">
        <v>11513</v>
      </c>
      <c r="B1105" s="35" t="s">
        <v>3272</v>
      </c>
      <c r="C1105" s="36" t="s">
        <v>971</v>
      </c>
      <c r="D1105" s="35" t="s">
        <v>3273</v>
      </c>
      <c r="E1105" s="35" t="s">
        <v>11147</v>
      </c>
      <c r="F1105" s="35" t="s">
        <v>11143</v>
      </c>
      <c r="G1105" s="35">
        <v>240684</v>
      </c>
      <c r="H1105" s="35">
        <v>280020</v>
      </c>
      <c r="I1105" s="35">
        <v>200007</v>
      </c>
      <c r="J1105" s="34" t="s">
        <v>2874</v>
      </c>
      <c r="K1105" s="34" t="str">
        <f t="shared" si="35"/>
        <v>重复</v>
      </c>
      <c r="L1105" s="34" t="str">
        <f t="shared" si="36"/>
        <v>重复</v>
      </c>
    </row>
    <row r="1106" spans="1:12" ht="15">
      <c r="A1106" s="35" t="s">
        <v>11514</v>
      </c>
      <c r="B1106" s="35" t="s">
        <v>3274</v>
      </c>
      <c r="C1106" s="36" t="s">
        <v>3275</v>
      </c>
      <c r="D1106" s="35" t="s">
        <v>3273</v>
      </c>
      <c r="E1106" s="35" t="s">
        <v>11147</v>
      </c>
      <c r="F1106" s="35" t="s">
        <v>11143</v>
      </c>
      <c r="G1106" s="35">
        <v>240685</v>
      </c>
      <c r="H1106" s="35">
        <v>280020</v>
      </c>
      <c r="I1106" s="35">
        <v>200007</v>
      </c>
      <c r="J1106" s="34" t="s">
        <v>2495</v>
      </c>
      <c r="K1106" s="34" t="str">
        <f t="shared" si="35"/>
        <v>不重复</v>
      </c>
      <c r="L1106" s="34" t="str">
        <f t="shared" si="36"/>
        <v>重复</v>
      </c>
    </row>
    <row r="1107" spans="1:12" ht="15">
      <c r="A1107" s="35" t="s">
        <v>11515</v>
      </c>
      <c r="B1107" s="35" t="s">
        <v>3276</v>
      </c>
      <c r="C1107" s="36" t="s">
        <v>3277</v>
      </c>
      <c r="D1107" s="35" t="s">
        <v>3278</v>
      </c>
      <c r="E1107" s="35" t="s">
        <v>11147</v>
      </c>
      <c r="F1107" s="35" t="s">
        <v>11143</v>
      </c>
      <c r="G1107" s="35">
        <v>240686</v>
      </c>
      <c r="H1107" s="35">
        <v>280020</v>
      </c>
      <c r="I1107" s="35">
        <v>200007</v>
      </c>
      <c r="J1107" s="34" t="s">
        <v>1331</v>
      </c>
      <c r="K1107" s="34" t="str">
        <f t="shared" si="35"/>
        <v>不重复</v>
      </c>
      <c r="L1107" s="34" t="str">
        <f t="shared" si="36"/>
        <v>不重复</v>
      </c>
    </row>
    <row r="1108" spans="1:12" ht="15">
      <c r="A1108" s="35" t="s">
        <v>11516</v>
      </c>
      <c r="B1108" s="35" t="s">
        <v>3279</v>
      </c>
      <c r="C1108" s="36" t="s">
        <v>3280</v>
      </c>
      <c r="D1108" s="35" t="s">
        <v>3281</v>
      </c>
      <c r="E1108" s="35" t="s">
        <v>11147</v>
      </c>
      <c r="F1108" s="35" t="s">
        <v>11143</v>
      </c>
      <c r="G1108" s="35">
        <v>240687</v>
      </c>
      <c r="H1108" s="35">
        <v>280020</v>
      </c>
      <c r="I1108" s="35">
        <v>200007</v>
      </c>
      <c r="J1108" s="34" t="s">
        <v>3282</v>
      </c>
      <c r="K1108" s="34" t="str">
        <f t="shared" si="35"/>
        <v>不重复</v>
      </c>
      <c r="L1108" s="34" t="str">
        <f t="shared" si="36"/>
        <v>不重复</v>
      </c>
    </row>
    <row r="1109" spans="1:12" ht="27">
      <c r="A1109" s="35" t="s">
        <v>11517</v>
      </c>
      <c r="B1109" s="35" t="s">
        <v>3283</v>
      </c>
      <c r="C1109" s="36" t="s">
        <v>2878</v>
      </c>
      <c r="D1109" s="35" t="s">
        <v>3284</v>
      </c>
      <c r="E1109" s="35" t="s">
        <v>11147</v>
      </c>
      <c r="F1109" s="35" t="s">
        <v>11143</v>
      </c>
      <c r="G1109" s="35">
        <v>240688</v>
      </c>
      <c r="H1109" s="35">
        <v>280020</v>
      </c>
      <c r="I1109" s="35">
        <v>200007</v>
      </c>
      <c r="J1109" s="34" t="s">
        <v>2585</v>
      </c>
      <c r="K1109" s="34" t="str">
        <f t="shared" si="35"/>
        <v>重复</v>
      </c>
      <c r="L1109" s="34" t="str">
        <f t="shared" si="36"/>
        <v>不重复</v>
      </c>
    </row>
    <row r="1110" spans="1:12" ht="30">
      <c r="A1110" s="35" t="s">
        <v>11518</v>
      </c>
      <c r="B1110" s="35" t="s">
        <v>3285</v>
      </c>
      <c r="C1110" s="36" t="s">
        <v>798</v>
      </c>
      <c r="D1110" s="35" t="s">
        <v>3286</v>
      </c>
      <c r="E1110" s="35" t="s">
        <v>11147</v>
      </c>
      <c r="F1110" s="35" t="s">
        <v>11143</v>
      </c>
      <c r="G1110" s="35">
        <v>240689</v>
      </c>
      <c r="H1110" s="35">
        <v>280020</v>
      </c>
      <c r="I1110" s="35">
        <v>200007</v>
      </c>
      <c r="J1110" s="34" t="s">
        <v>311</v>
      </c>
      <c r="K1110" s="34" t="str">
        <f t="shared" si="37" ref="K1110:K1173">IF(COUNTIF(C:C,C1110)&gt;=2,"重复","不重复")</f>
        <v>重复</v>
      </c>
      <c r="L1110" s="34" t="str">
        <f t="shared" si="36"/>
        <v>重复</v>
      </c>
    </row>
    <row r="1111" spans="1:12" ht="30">
      <c r="A1111" s="35" t="s">
        <v>11519</v>
      </c>
      <c r="B1111" s="35" t="s">
        <v>3287</v>
      </c>
      <c r="C1111" s="36" t="s">
        <v>3288</v>
      </c>
      <c r="D1111" s="35" t="s">
        <v>3289</v>
      </c>
      <c r="E1111" s="35" t="s">
        <v>11147</v>
      </c>
      <c r="F1111" s="35" t="s">
        <v>11143</v>
      </c>
      <c r="G1111" s="35">
        <v>240690</v>
      </c>
      <c r="H1111" s="35">
        <v>280020</v>
      </c>
      <c r="I1111" s="35">
        <v>200007</v>
      </c>
      <c r="J1111" s="34" t="s">
        <v>3290</v>
      </c>
      <c r="K1111" s="34" t="str">
        <f t="shared" si="37"/>
        <v>不重复</v>
      </c>
      <c r="L1111" s="34" t="str">
        <f t="shared" si="36"/>
        <v>不重复</v>
      </c>
    </row>
    <row r="1112" spans="1:12" ht="30">
      <c r="A1112" s="35" t="s">
        <v>11520</v>
      </c>
      <c r="B1112" s="35" t="s">
        <v>3291</v>
      </c>
      <c r="C1112" s="36" t="s">
        <v>3292</v>
      </c>
      <c r="D1112" s="35" t="s">
        <v>3293</v>
      </c>
      <c r="E1112" s="35" t="s">
        <v>11147</v>
      </c>
      <c r="F1112" s="35" t="s">
        <v>11143</v>
      </c>
      <c r="G1112" s="35">
        <v>240691</v>
      </c>
      <c r="H1112" s="35">
        <v>280020</v>
      </c>
      <c r="I1112" s="35">
        <v>200007</v>
      </c>
      <c r="J1112" s="34" t="s">
        <v>2495</v>
      </c>
      <c r="K1112" s="34" t="str">
        <f t="shared" si="37"/>
        <v>不重复</v>
      </c>
      <c r="L1112" s="34" t="str">
        <f t="shared" si="36"/>
        <v>不重复</v>
      </c>
    </row>
    <row r="1113" spans="1:12" ht="30">
      <c r="A1113" s="35" t="s">
        <v>11521</v>
      </c>
      <c r="B1113" s="35" t="s">
        <v>3294</v>
      </c>
      <c r="C1113" s="36" t="s">
        <v>3295</v>
      </c>
      <c r="D1113" s="35" t="s">
        <v>3296</v>
      </c>
      <c r="E1113" s="35" t="s">
        <v>11147</v>
      </c>
      <c r="F1113" s="35" t="s">
        <v>11143</v>
      </c>
      <c r="G1113" s="35">
        <v>240692</v>
      </c>
      <c r="H1113" s="35">
        <v>280020</v>
      </c>
      <c r="I1113" s="35">
        <v>200007</v>
      </c>
      <c r="J1113" s="34" t="s">
        <v>3263</v>
      </c>
      <c r="K1113" s="34" t="str">
        <f t="shared" si="37"/>
        <v>不重复</v>
      </c>
      <c r="L1113" s="34" t="str">
        <f t="shared" si="36"/>
        <v>不重复</v>
      </c>
    </row>
    <row r="1114" spans="1:12" ht="30">
      <c r="A1114" s="35" t="s">
        <v>11522</v>
      </c>
      <c r="B1114" s="35" t="s">
        <v>3297</v>
      </c>
      <c r="C1114" s="36" t="s">
        <v>2859</v>
      </c>
      <c r="D1114" s="35" t="s">
        <v>3298</v>
      </c>
      <c r="E1114" s="35" t="s">
        <v>11147</v>
      </c>
      <c r="F1114" s="35" t="s">
        <v>11143</v>
      </c>
      <c r="G1114" s="35">
        <v>240693</v>
      </c>
      <c r="H1114" s="35">
        <v>280020</v>
      </c>
      <c r="I1114" s="35">
        <v>200007</v>
      </c>
      <c r="J1114" s="34" t="s">
        <v>2293</v>
      </c>
      <c r="K1114" s="34" t="str">
        <f t="shared" si="37"/>
        <v>重复</v>
      </c>
      <c r="L1114" s="34" t="str">
        <f t="shared" si="36"/>
        <v>不重复</v>
      </c>
    </row>
    <row r="1115" spans="1:12" ht="30">
      <c r="A1115" s="35" t="s">
        <v>11523</v>
      </c>
      <c r="B1115" s="35" t="s">
        <v>3299</v>
      </c>
      <c r="C1115" s="36" t="s">
        <v>2295</v>
      </c>
      <c r="D1115" s="35" t="s">
        <v>3300</v>
      </c>
      <c r="E1115" s="35" t="s">
        <v>11147</v>
      </c>
      <c r="F1115" s="35" t="s">
        <v>11143</v>
      </c>
      <c r="G1115" s="35">
        <v>240694</v>
      </c>
      <c r="H1115" s="35">
        <v>280020</v>
      </c>
      <c r="I1115" s="35">
        <v>200007</v>
      </c>
      <c r="J1115" s="34" t="s">
        <v>1134</v>
      </c>
      <c r="K1115" s="34" t="str">
        <f t="shared" si="37"/>
        <v>重复</v>
      </c>
      <c r="L1115" s="34" t="str">
        <f t="shared" si="36"/>
        <v>不重复</v>
      </c>
    </row>
    <row r="1116" spans="1:12" ht="30">
      <c r="A1116" s="35" t="s">
        <v>11524</v>
      </c>
      <c r="B1116" s="35" t="s">
        <v>3301</v>
      </c>
      <c r="C1116" s="36" t="s">
        <v>3302</v>
      </c>
      <c r="D1116" s="35" t="s">
        <v>3303</v>
      </c>
      <c r="E1116" s="35" t="s">
        <v>11147</v>
      </c>
      <c r="F1116" s="35" t="s">
        <v>11143</v>
      </c>
      <c r="G1116" s="35">
        <v>240695</v>
      </c>
      <c r="H1116" s="35">
        <v>280020</v>
      </c>
      <c r="I1116" s="35">
        <v>200007</v>
      </c>
      <c r="J1116" s="34" t="s">
        <v>2338</v>
      </c>
      <c r="K1116" s="34" t="str">
        <f t="shared" si="37"/>
        <v>重复</v>
      </c>
      <c r="L1116" s="34" t="str">
        <f t="shared" si="36"/>
        <v>不重复</v>
      </c>
    </row>
    <row r="1117" spans="1:12" ht="30">
      <c r="A1117" s="35" t="s">
        <v>11525</v>
      </c>
      <c r="B1117" s="35" t="s">
        <v>3304</v>
      </c>
      <c r="C1117" s="36" t="s">
        <v>3305</v>
      </c>
      <c r="D1117" s="35" t="s">
        <v>3306</v>
      </c>
      <c r="E1117" s="35" t="s">
        <v>11147</v>
      </c>
      <c r="F1117" s="35" t="s">
        <v>11143</v>
      </c>
      <c r="G1117" s="35">
        <v>240696</v>
      </c>
      <c r="H1117" s="35">
        <v>280020</v>
      </c>
      <c r="I1117" s="35">
        <v>200007</v>
      </c>
      <c r="J1117" s="34" t="s">
        <v>3307</v>
      </c>
      <c r="K1117" s="34" t="str">
        <f t="shared" si="37"/>
        <v>不重复</v>
      </c>
      <c r="L1117" s="34" t="str">
        <f t="shared" si="36"/>
        <v>不重复</v>
      </c>
    </row>
    <row r="1118" spans="1:12" ht="30">
      <c r="A1118" s="35" t="s">
        <v>11526</v>
      </c>
      <c r="B1118" s="35" t="s">
        <v>3308</v>
      </c>
      <c r="C1118" s="36" t="s">
        <v>3309</v>
      </c>
      <c r="D1118" s="35" t="s">
        <v>3310</v>
      </c>
      <c r="E1118" s="35" t="s">
        <v>11147</v>
      </c>
      <c r="F1118" s="35" t="s">
        <v>11143</v>
      </c>
      <c r="G1118" s="35">
        <v>240697</v>
      </c>
      <c r="H1118" s="35">
        <v>280020</v>
      </c>
      <c r="I1118" s="35">
        <v>200007</v>
      </c>
      <c r="J1118" s="34" t="s">
        <v>2742</v>
      </c>
      <c r="K1118" s="34" t="str">
        <f t="shared" si="37"/>
        <v>重复</v>
      </c>
      <c r="L1118" s="34" t="str">
        <f t="shared" si="36"/>
        <v>不重复</v>
      </c>
    </row>
    <row r="1119" spans="1:12" ht="30">
      <c r="A1119" s="35" t="s">
        <v>11527</v>
      </c>
      <c r="B1119" s="35" t="s">
        <v>3311</v>
      </c>
      <c r="C1119" s="36" t="s">
        <v>3312</v>
      </c>
      <c r="D1119" s="35" t="s">
        <v>3313</v>
      </c>
      <c r="E1119" s="35" t="s">
        <v>11147</v>
      </c>
      <c r="F1119" s="35" t="s">
        <v>11143</v>
      </c>
      <c r="G1119" s="35">
        <v>240698</v>
      </c>
      <c r="H1119" s="35">
        <v>280020</v>
      </c>
      <c r="I1119" s="35">
        <v>200007</v>
      </c>
      <c r="J1119" s="34" t="s">
        <v>2495</v>
      </c>
      <c r="K1119" s="34" t="str">
        <f t="shared" si="37"/>
        <v>重复</v>
      </c>
      <c r="L1119" s="34" t="str">
        <f t="shared" si="36"/>
        <v>不重复</v>
      </c>
    </row>
    <row r="1120" spans="1:12" ht="30">
      <c r="A1120" s="35" t="s">
        <v>11528</v>
      </c>
      <c r="B1120" s="35" t="s">
        <v>3314</v>
      </c>
      <c r="C1120" s="36" t="s">
        <v>1059</v>
      </c>
      <c r="D1120" s="35" t="s">
        <v>3315</v>
      </c>
      <c r="E1120" s="35" t="s">
        <v>11147</v>
      </c>
      <c r="F1120" s="35" t="s">
        <v>11143</v>
      </c>
      <c r="G1120" s="35">
        <v>240699</v>
      </c>
      <c r="H1120" s="35">
        <v>280020</v>
      </c>
      <c r="I1120" s="35">
        <v>200007</v>
      </c>
      <c r="J1120" s="34" t="s">
        <v>3290</v>
      </c>
      <c r="K1120" s="34" t="str">
        <f t="shared" si="37"/>
        <v>重复</v>
      </c>
      <c r="L1120" s="34" t="str">
        <f t="shared" si="36"/>
        <v>不重复</v>
      </c>
    </row>
    <row r="1121" spans="1:12" ht="30">
      <c r="A1121" s="35" t="s">
        <v>11529</v>
      </c>
      <c r="B1121" s="35" t="s">
        <v>3316</v>
      </c>
      <c r="C1121" s="36" t="s">
        <v>2965</v>
      </c>
      <c r="D1121" s="35" t="s">
        <v>3317</v>
      </c>
      <c r="E1121" s="35" t="s">
        <v>11147</v>
      </c>
      <c r="F1121" s="35" t="s">
        <v>11143</v>
      </c>
      <c r="G1121" s="35">
        <v>240700</v>
      </c>
      <c r="H1121" s="35">
        <v>280020</v>
      </c>
      <c r="I1121" s="35">
        <v>200007</v>
      </c>
      <c r="J1121" s="34" t="s">
        <v>288</v>
      </c>
      <c r="K1121" s="34" t="str">
        <f t="shared" si="37"/>
        <v>重复</v>
      </c>
      <c r="L1121" s="34" t="str">
        <f t="shared" si="36"/>
        <v>重复</v>
      </c>
    </row>
    <row r="1122" spans="1:12" ht="30">
      <c r="A1122" s="35" t="s">
        <v>11530</v>
      </c>
      <c r="B1122" s="35" t="s">
        <v>3318</v>
      </c>
      <c r="C1122" s="36" t="s">
        <v>91</v>
      </c>
      <c r="D1122" s="35" t="s">
        <v>3319</v>
      </c>
      <c r="E1122" s="35" t="s">
        <v>11147</v>
      </c>
      <c r="F1122" s="35" t="s">
        <v>11143</v>
      </c>
      <c r="G1122" s="35">
        <v>240701</v>
      </c>
      <c r="H1122" s="35">
        <v>280020</v>
      </c>
      <c r="I1122" s="35">
        <v>200007</v>
      </c>
      <c r="J1122" s="34" t="s">
        <v>1114</v>
      </c>
      <c r="K1122" s="34" t="str">
        <f t="shared" si="37"/>
        <v>重复</v>
      </c>
      <c r="L1122" s="34" t="str">
        <f t="shared" si="36"/>
        <v>不重复</v>
      </c>
    </row>
    <row r="1123" spans="1:12" ht="30">
      <c r="A1123" s="35" t="s">
        <v>11531</v>
      </c>
      <c r="B1123" s="35" t="s">
        <v>3320</v>
      </c>
      <c r="C1123" s="36" t="s">
        <v>3321</v>
      </c>
      <c r="D1123" s="35" t="s">
        <v>3322</v>
      </c>
      <c r="E1123" s="35" t="s">
        <v>11147</v>
      </c>
      <c r="F1123" s="35" t="s">
        <v>11143</v>
      </c>
      <c r="G1123" s="35">
        <v>240702</v>
      </c>
      <c r="H1123" s="35">
        <v>280020</v>
      </c>
      <c r="I1123" s="35">
        <v>200007</v>
      </c>
      <c r="J1123" s="34" t="s">
        <v>1335</v>
      </c>
      <c r="K1123" s="34" t="str">
        <f t="shared" si="37"/>
        <v>重复</v>
      </c>
      <c r="L1123" s="34" t="str">
        <f t="shared" si="36"/>
        <v>不重复</v>
      </c>
    </row>
    <row r="1124" spans="1:12" ht="30">
      <c r="A1124" s="35" t="s">
        <v>11532</v>
      </c>
      <c r="B1124" s="35" t="s">
        <v>3323</v>
      </c>
      <c r="C1124" s="36" t="s">
        <v>1374</v>
      </c>
      <c r="D1124" s="35" t="s">
        <v>3324</v>
      </c>
      <c r="E1124" s="35" t="s">
        <v>11147</v>
      </c>
      <c r="F1124" s="35" t="s">
        <v>11143</v>
      </c>
      <c r="G1124" s="35">
        <v>240703</v>
      </c>
      <c r="H1124" s="35">
        <v>280020</v>
      </c>
      <c r="I1124" s="35">
        <v>200007</v>
      </c>
      <c r="J1124" s="34" t="s">
        <v>2219</v>
      </c>
      <c r="K1124" s="34" t="str">
        <f t="shared" si="37"/>
        <v>重复</v>
      </c>
      <c r="L1124" s="34" t="str">
        <f t="shared" si="36"/>
        <v>重复</v>
      </c>
    </row>
    <row r="1125" spans="1:12" ht="15">
      <c r="A1125" s="35" t="s">
        <v>11533</v>
      </c>
      <c r="B1125" s="35" t="s">
        <v>3325</v>
      </c>
      <c r="C1125" s="36" t="s">
        <v>3326</v>
      </c>
      <c r="D1125" s="35" t="s">
        <v>3327</v>
      </c>
      <c r="E1125" s="35" t="s">
        <v>11147</v>
      </c>
      <c r="F1125" s="35" t="s">
        <v>11143</v>
      </c>
      <c r="G1125" s="35">
        <v>240704</v>
      </c>
      <c r="H1125" s="35">
        <v>280020</v>
      </c>
      <c r="I1125" s="35">
        <v>200007</v>
      </c>
      <c r="J1125" s="34" t="s">
        <v>1114</v>
      </c>
      <c r="K1125" s="34" t="str">
        <f t="shared" si="37"/>
        <v>不重复</v>
      </c>
      <c r="L1125" s="34" t="str">
        <f t="shared" si="36"/>
        <v>重复</v>
      </c>
    </row>
    <row r="1126" spans="1:12" ht="30">
      <c r="A1126" s="35" t="s">
        <v>11534</v>
      </c>
      <c r="B1126" s="35" t="s">
        <v>3328</v>
      </c>
      <c r="C1126" s="36" t="s">
        <v>3034</v>
      </c>
      <c r="D1126" s="35" t="s">
        <v>3329</v>
      </c>
      <c r="E1126" s="35" t="s">
        <v>11147</v>
      </c>
      <c r="F1126" s="35" t="s">
        <v>11143</v>
      </c>
      <c r="G1126" s="35">
        <v>240705</v>
      </c>
      <c r="H1126" s="35">
        <v>280020</v>
      </c>
      <c r="I1126" s="35">
        <v>200007</v>
      </c>
      <c r="J1126" s="34" t="s">
        <v>3191</v>
      </c>
      <c r="K1126" s="34" t="str">
        <f t="shared" si="37"/>
        <v>重复</v>
      </c>
      <c r="L1126" s="34" t="str">
        <f t="shared" si="36"/>
        <v>重复</v>
      </c>
    </row>
    <row r="1127" spans="1:12" ht="30">
      <c r="A1127" s="35" t="s">
        <v>11535</v>
      </c>
      <c r="B1127" s="35" t="s">
        <v>3330</v>
      </c>
      <c r="C1127" s="36" t="s">
        <v>3331</v>
      </c>
      <c r="D1127" s="35" t="s">
        <v>3332</v>
      </c>
      <c r="E1127" s="35" t="s">
        <v>11147</v>
      </c>
      <c r="F1127" s="35" t="s">
        <v>11143</v>
      </c>
      <c r="G1127" s="35">
        <v>240706</v>
      </c>
      <c r="H1127" s="35">
        <v>280020</v>
      </c>
      <c r="I1127" s="35">
        <v>200007</v>
      </c>
      <c r="J1127" s="34" t="s">
        <v>3191</v>
      </c>
      <c r="K1127" s="34" t="str">
        <f t="shared" si="37"/>
        <v>不重复</v>
      </c>
      <c r="L1127" s="34" t="str">
        <f t="shared" si="36"/>
        <v>不重复</v>
      </c>
    </row>
    <row r="1128" spans="1:12" ht="15">
      <c r="A1128" s="35" t="s">
        <v>11536</v>
      </c>
      <c r="B1128" s="35" t="s">
        <v>3333</v>
      </c>
      <c r="C1128" s="36" t="s">
        <v>3334</v>
      </c>
      <c r="D1128" s="35" t="s">
        <v>3335</v>
      </c>
      <c r="E1128" s="35" t="s">
        <v>11147</v>
      </c>
      <c r="F1128" s="35" t="s">
        <v>11143</v>
      </c>
      <c r="G1128" s="35">
        <v>240707</v>
      </c>
      <c r="H1128" s="35">
        <v>280020</v>
      </c>
      <c r="I1128" s="35">
        <v>200007</v>
      </c>
      <c r="J1128" s="34" t="s">
        <v>2796</v>
      </c>
      <c r="K1128" s="34" t="str">
        <f t="shared" si="37"/>
        <v>重复</v>
      </c>
      <c r="L1128" s="34" t="str">
        <f t="shared" si="36"/>
        <v>不重复</v>
      </c>
    </row>
    <row r="1129" spans="1:12" ht="15">
      <c r="A1129" s="35" t="s">
        <v>11537</v>
      </c>
      <c r="B1129" s="35" t="s">
        <v>3336</v>
      </c>
      <c r="C1129" s="36" t="s">
        <v>146</v>
      </c>
      <c r="D1129" s="35" t="s">
        <v>3337</v>
      </c>
      <c r="E1129" s="35" t="s">
        <v>11147</v>
      </c>
      <c r="F1129" s="35" t="s">
        <v>11143</v>
      </c>
      <c r="G1129" s="35">
        <v>240708</v>
      </c>
      <c r="H1129" s="35">
        <v>280020</v>
      </c>
      <c r="I1129" s="35">
        <v>200007</v>
      </c>
      <c r="J1129" s="34" t="s">
        <v>3338</v>
      </c>
      <c r="K1129" s="34" t="str">
        <f t="shared" si="37"/>
        <v>重复</v>
      </c>
      <c r="L1129" s="34" t="str">
        <f t="shared" si="38" ref="L1129:L1192">IF(COUNTIF(D:D,D1129)&gt;=2,"重复","不重复")</f>
        <v>不重复</v>
      </c>
    </row>
    <row r="1130" spans="1:12" ht="15">
      <c r="A1130" s="35" t="s">
        <v>11538</v>
      </c>
      <c r="B1130" s="35" t="s">
        <v>3339</v>
      </c>
      <c r="C1130" s="36" t="s">
        <v>3340</v>
      </c>
      <c r="D1130" s="35" t="s">
        <v>3341</v>
      </c>
      <c r="E1130" s="35" t="s">
        <v>11147</v>
      </c>
      <c r="F1130" s="35" t="s">
        <v>11143</v>
      </c>
      <c r="G1130" s="35">
        <v>240709</v>
      </c>
      <c r="H1130" s="35">
        <v>280020</v>
      </c>
      <c r="I1130" s="35">
        <v>200007</v>
      </c>
      <c r="J1130" s="34" t="s">
        <v>2674</v>
      </c>
      <c r="K1130" s="34" t="str">
        <f t="shared" si="37"/>
        <v>不重复</v>
      </c>
      <c r="L1130" s="34" t="str">
        <f t="shared" si="38"/>
        <v>重复</v>
      </c>
    </row>
    <row r="1131" spans="1:12" ht="15">
      <c r="A1131" s="35" t="s">
        <v>11539</v>
      </c>
      <c r="B1131" s="35" t="s">
        <v>3342</v>
      </c>
      <c r="C1131" s="36" t="s">
        <v>3343</v>
      </c>
      <c r="D1131" s="35" t="s">
        <v>3344</v>
      </c>
      <c r="E1131" s="35" t="s">
        <v>11147</v>
      </c>
      <c r="F1131" s="35" t="s">
        <v>11143</v>
      </c>
      <c r="G1131" s="35">
        <v>240710</v>
      </c>
      <c r="H1131" s="35">
        <v>280020</v>
      </c>
      <c r="I1131" s="35">
        <v>200007</v>
      </c>
      <c r="J1131" s="34" t="s">
        <v>3345</v>
      </c>
      <c r="K1131" s="34" t="str">
        <f t="shared" si="37"/>
        <v>不重复</v>
      </c>
      <c r="L1131" s="34" t="str">
        <f t="shared" si="38"/>
        <v>重复</v>
      </c>
    </row>
    <row r="1132" spans="1:12" ht="15">
      <c r="A1132" s="35" t="s">
        <v>11540</v>
      </c>
      <c r="B1132" s="35" t="s">
        <v>3346</v>
      </c>
      <c r="C1132" s="36" t="s">
        <v>3347</v>
      </c>
      <c r="D1132" s="35" t="s">
        <v>3348</v>
      </c>
      <c r="E1132" s="35" t="s">
        <v>11147</v>
      </c>
      <c r="F1132" s="35" t="s">
        <v>11143</v>
      </c>
      <c r="G1132" s="35">
        <v>240711</v>
      </c>
      <c r="H1132" s="35">
        <v>280020</v>
      </c>
      <c r="I1132" s="35">
        <v>200007</v>
      </c>
      <c r="J1132" s="34" t="s">
        <v>3185</v>
      </c>
      <c r="K1132" s="34" t="str">
        <f t="shared" si="37"/>
        <v>重复</v>
      </c>
      <c r="L1132" s="34" t="str">
        <f t="shared" si="38"/>
        <v>不重复</v>
      </c>
    </row>
    <row r="1133" spans="1:12" ht="15">
      <c r="A1133" s="35" t="s">
        <v>11541</v>
      </c>
      <c r="B1133" s="35" t="s">
        <v>3349</v>
      </c>
      <c r="C1133" s="36" t="s">
        <v>3350</v>
      </c>
      <c r="D1133" s="35" t="s">
        <v>3351</v>
      </c>
      <c r="E1133" s="35" t="s">
        <v>11147</v>
      </c>
      <c r="F1133" s="35" t="s">
        <v>11143</v>
      </c>
      <c r="G1133" s="35">
        <v>240712</v>
      </c>
      <c r="H1133" s="35">
        <v>280020</v>
      </c>
      <c r="I1133" s="35">
        <v>200007</v>
      </c>
      <c r="J1133" s="34" t="s">
        <v>458</v>
      </c>
      <c r="K1133" s="34" t="str">
        <f t="shared" si="37"/>
        <v>不重复</v>
      </c>
      <c r="L1133" s="34" t="str">
        <f t="shared" si="38"/>
        <v>不重复</v>
      </c>
    </row>
    <row r="1134" spans="1:12" ht="15">
      <c r="A1134" s="35" t="s">
        <v>11542</v>
      </c>
      <c r="B1134" s="35" t="s">
        <v>3352</v>
      </c>
      <c r="C1134" s="36" t="s">
        <v>3353</v>
      </c>
      <c r="D1134" s="35" t="s">
        <v>3354</v>
      </c>
      <c r="E1134" s="35" t="s">
        <v>11147</v>
      </c>
      <c r="F1134" s="35" t="s">
        <v>11143</v>
      </c>
      <c r="G1134" s="35">
        <v>240713</v>
      </c>
      <c r="H1134" s="35">
        <v>280020</v>
      </c>
      <c r="I1134" s="35">
        <v>200007</v>
      </c>
      <c r="J1134" s="34" t="s">
        <v>2996</v>
      </c>
      <c r="K1134" s="34" t="str">
        <f t="shared" si="37"/>
        <v>重复</v>
      </c>
      <c r="L1134" s="34" t="str">
        <f t="shared" si="38"/>
        <v>不重复</v>
      </c>
    </row>
    <row r="1135" spans="1:12" ht="15">
      <c r="A1135" s="35" t="s">
        <v>11543</v>
      </c>
      <c r="B1135" s="35" t="s">
        <v>3355</v>
      </c>
      <c r="C1135" s="36" t="s">
        <v>3356</v>
      </c>
      <c r="D1135" s="35" t="s">
        <v>3357</v>
      </c>
      <c r="E1135" s="35" t="s">
        <v>11147</v>
      </c>
      <c r="F1135" s="35" t="s">
        <v>11143</v>
      </c>
      <c r="G1135" s="35">
        <v>240714</v>
      </c>
      <c r="H1135" s="35">
        <v>280020</v>
      </c>
      <c r="I1135" s="35">
        <v>200007</v>
      </c>
      <c r="J1135" s="34" t="s">
        <v>2387</v>
      </c>
      <c r="K1135" s="34" t="str">
        <f t="shared" si="37"/>
        <v>重复</v>
      </c>
      <c r="L1135" s="34" t="str">
        <f t="shared" si="38"/>
        <v>不重复</v>
      </c>
    </row>
    <row r="1136" spans="1:12" ht="15">
      <c r="A1136" s="35" t="s">
        <v>11544</v>
      </c>
      <c r="B1136" s="35" t="s">
        <v>3358</v>
      </c>
      <c r="C1136" s="36" t="s">
        <v>3359</v>
      </c>
      <c r="D1136" s="35" t="s">
        <v>3360</v>
      </c>
      <c r="E1136" s="35" t="s">
        <v>11147</v>
      </c>
      <c r="F1136" s="35" t="s">
        <v>11143</v>
      </c>
      <c r="G1136" s="35">
        <v>240715</v>
      </c>
      <c r="H1136" s="35">
        <v>280020</v>
      </c>
      <c r="I1136" s="35">
        <v>200007</v>
      </c>
      <c r="J1136" s="34" t="s">
        <v>288</v>
      </c>
      <c r="K1136" s="34" t="str">
        <f t="shared" si="37"/>
        <v>不重复</v>
      </c>
      <c r="L1136" s="34" t="str">
        <f t="shared" si="38"/>
        <v>不重复</v>
      </c>
    </row>
    <row r="1137" spans="1:12" ht="15">
      <c r="A1137" s="35" t="s">
        <v>11545</v>
      </c>
      <c r="B1137" s="35" t="s">
        <v>3361</v>
      </c>
      <c r="C1137" s="36" t="s">
        <v>3362</v>
      </c>
      <c r="D1137" s="35" t="s">
        <v>3363</v>
      </c>
      <c r="E1137" s="35" t="s">
        <v>11147</v>
      </c>
      <c r="F1137" s="35" t="s">
        <v>11143</v>
      </c>
      <c r="G1137" s="35">
        <v>240716</v>
      </c>
      <c r="H1137" s="35">
        <v>280020</v>
      </c>
      <c r="I1137" s="35">
        <v>200007</v>
      </c>
      <c r="J1137" s="34" t="s">
        <v>3364</v>
      </c>
      <c r="K1137" s="34" t="str">
        <f t="shared" si="37"/>
        <v>不重复</v>
      </c>
      <c r="L1137" s="34" t="str">
        <f t="shared" si="38"/>
        <v>重复</v>
      </c>
    </row>
    <row r="1138" spans="1:12" ht="15">
      <c r="A1138" s="35" t="s">
        <v>11546</v>
      </c>
      <c r="B1138" s="35" t="s">
        <v>3365</v>
      </c>
      <c r="C1138" s="36" t="s">
        <v>3366</v>
      </c>
      <c r="D1138" s="35" t="s">
        <v>3367</v>
      </c>
      <c r="E1138" s="35" t="s">
        <v>11147</v>
      </c>
      <c r="F1138" s="35" t="s">
        <v>11143</v>
      </c>
      <c r="G1138" s="35">
        <v>240717</v>
      </c>
      <c r="H1138" s="35">
        <v>280020</v>
      </c>
      <c r="I1138" s="35">
        <v>200007</v>
      </c>
      <c r="J1138" s="34" t="s">
        <v>3368</v>
      </c>
      <c r="K1138" s="34" t="str">
        <f t="shared" si="37"/>
        <v>重复</v>
      </c>
      <c r="L1138" s="34" t="str">
        <f t="shared" si="38"/>
        <v>不重复</v>
      </c>
    </row>
    <row r="1139" spans="1:12" ht="27">
      <c r="A1139" s="35" t="s">
        <v>11547</v>
      </c>
      <c r="B1139" s="35" t="s">
        <v>3369</v>
      </c>
      <c r="C1139" s="36" t="s">
        <v>3370</v>
      </c>
      <c r="D1139" s="35" t="s">
        <v>3371</v>
      </c>
      <c r="E1139" s="35" t="s">
        <v>11147</v>
      </c>
      <c r="F1139" s="35" t="s">
        <v>11143</v>
      </c>
      <c r="G1139" s="35">
        <v>240718</v>
      </c>
      <c r="H1139" s="35">
        <v>280020</v>
      </c>
      <c r="I1139" s="35">
        <v>200007</v>
      </c>
      <c r="J1139" s="34" t="s">
        <v>3181</v>
      </c>
      <c r="K1139" s="34" t="str">
        <f t="shared" si="37"/>
        <v>不重复</v>
      </c>
      <c r="L1139" s="34" t="str">
        <f t="shared" si="38"/>
        <v>不重复</v>
      </c>
    </row>
    <row r="1140" spans="1:12" ht="15">
      <c r="A1140" s="35" t="s">
        <v>11548</v>
      </c>
      <c r="B1140" s="35" t="s">
        <v>3372</v>
      </c>
      <c r="C1140" s="36" t="s">
        <v>3373</v>
      </c>
      <c r="D1140" s="35" t="s">
        <v>3374</v>
      </c>
      <c r="E1140" s="35" t="s">
        <v>11147</v>
      </c>
      <c r="F1140" s="35" t="s">
        <v>11143</v>
      </c>
      <c r="G1140" s="35">
        <v>240719</v>
      </c>
      <c r="H1140" s="35">
        <v>280020</v>
      </c>
      <c r="I1140" s="35">
        <v>200007</v>
      </c>
      <c r="J1140" s="34" t="s">
        <v>2796</v>
      </c>
      <c r="K1140" s="34" t="str">
        <f t="shared" si="37"/>
        <v>重复</v>
      </c>
      <c r="L1140" s="34" t="str">
        <f t="shared" si="38"/>
        <v>不重复</v>
      </c>
    </row>
    <row r="1141" spans="1:12" ht="30">
      <c r="A1141" s="35" t="s">
        <v>11549</v>
      </c>
      <c r="B1141" s="35" t="s">
        <v>3375</v>
      </c>
      <c r="C1141" s="36" t="s">
        <v>3376</v>
      </c>
      <c r="D1141" s="35" t="s">
        <v>3377</v>
      </c>
      <c r="E1141" s="35" t="s">
        <v>11147</v>
      </c>
      <c r="F1141" s="35" t="s">
        <v>11143</v>
      </c>
      <c r="G1141" s="35">
        <v>240720</v>
      </c>
      <c r="H1141" s="35">
        <v>280020</v>
      </c>
      <c r="I1141" s="35">
        <v>200007</v>
      </c>
      <c r="J1141" s="34" t="s">
        <v>2630</v>
      </c>
      <c r="K1141" s="34" t="str">
        <f t="shared" si="37"/>
        <v>不重复</v>
      </c>
      <c r="L1141" s="34" t="str">
        <f t="shared" si="38"/>
        <v>不重复</v>
      </c>
    </row>
    <row r="1142" spans="1:12" ht="30">
      <c r="A1142" s="35" t="s">
        <v>11550</v>
      </c>
      <c r="B1142" s="35" t="s">
        <v>3378</v>
      </c>
      <c r="C1142" s="36" t="s">
        <v>3379</v>
      </c>
      <c r="D1142" s="35" t="s">
        <v>3380</v>
      </c>
      <c r="E1142" s="35" t="s">
        <v>11147</v>
      </c>
      <c r="F1142" s="35" t="s">
        <v>11143</v>
      </c>
      <c r="G1142" s="35">
        <v>240721</v>
      </c>
      <c r="H1142" s="35">
        <v>280020</v>
      </c>
      <c r="I1142" s="35">
        <v>200007</v>
      </c>
      <c r="J1142" s="34" t="s">
        <v>2391</v>
      </c>
      <c r="K1142" s="34" t="str">
        <f t="shared" si="37"/>
        <v>重复</v>
      </c>
      <c r="L1142" s="34" t="str">
        <f t="shared" si="38"/>
        <v>重复</v>
      </c>
    </row>
    <row r="1143" spans="1:12" ht="30">
      <c r="A1143" s="35" t="s">
        <v>11551</v>
      </c>
      <c r="B1143" s="35" t="s">
        <v>3381</v>
      </c>
      <c r="C1143" s="36" t="s">
        <v>3382</v>
      </c>
      <c r="D1143" s="35" t="s">
        <v>3383</v>
      </c>
      <c r="E1143" s="35" t="s">
        <v>11147</v>
      </c>
      <c r="F1143" s="35" t="s">
        <v>11143</v>
      </c>
      <c r="G1143" s="35">
        <v>240722</v>
      </c>
      <c r="H1143" s="35">
        <v>280020</v>
      </c>
      <c r="I1143" s="35">
        <v>200007</v>
      </c>
      <c r="J1143" s="34" t="s">
        <v>311</v>
      </c>
      <c r="K1143" s="34" t="str">
        <f t="shared" si="37"/>
        <v>重复</v>
      </c>
      <c r="L1143" s="34" t="str">
        <f t="shared" si="38"/>
        <v>不重复</v>
      </c>
    </row>
    <row r="1144" spans="1:12" ht="30">
      <c r="A1144" s="35" t="s">
        <v>11552</v>
      </c>
      <c r="B1144" s="35" t="s">
        <v>3384</v>
      </c>
      <c r="C1144" s="36" t="s">
        <v>1902</v>
      </c>
      <c r="D1144" s="35" t="s">
        <v>3385</v>
      </c>
      <c r="E1144" s="35" t="s">
        <v>11147</v>
      </c>
      <c r="F1144" s="35" t="s">
        <v>11143</v>
      </c>
      <c r="G1144" s="35">
        <v>240723</v>
      </c>
      <c r="H1144" s="35">
        <v>280020</v>
      </c>
      <c r="I1144" s="35">
        <v>200007</v>
      </c>
      <c r="J1144" s="34" t="s">
        <v>3209</v>
      </c>
      <c r="K1144" s="34" t="str">
        <f t="shared" si="37"/>
        <v>重复</v>
      </c>
      <c r="L1144" s="34" t="str">
        <f t="shared" si="38"/>
        <v>不重复</v>
      </c>
    </row>
    <row r="1145" spans="1:12" ht="30">
      <c r="A1145" s="35" t="s">
        <v>11553</v>
      </c>
      <c r="B1145" s="35" t="s">
        <v>3386</v>
      </c>
      <c r="C1145" s="36" t="s">
        <v>2664</v>
      </c>
      <c r="D1145" s="35" t="s">
        <v>3387</v>
      </c>
      <c r="E1145" s="35" t="s">
        <v>11147</v>
      </c>
      <c r="F1145" s="35" t="s">
        <v>11143</v>
      </c>
      <c r="G1145" s="35">
        <v>240724</v>
      </c>
      <c r="H1145" s="35">
        <v>280020</v>
      </c>
      <c r="I1145" s="35">
        <v>200007</v>
      </c>
      <c r="J1145" s="34" t="s">
        <v>2630</v>
      </c>
      <c r="K1145" s="34" t="str">
        <f t="shared" si="37"/>
        <v>重复</v>
      </c>
      <c r="L1145" s="34" t="str">
        <f t="shared" si="38"/>
        <v>不重复</v>
      </c>
    </row>
    <row r="1146" spans="1:12" ht="30">
      <c r="A1146" s="35" t="s">
        <v>11554</v>
      </c>
      <c r="B1146" s="35" t="s">
        <v>3388</v>
      </c>
      <c r="C1146" s="36" t="s">
        <v>3389</v>
      </c>
      <c r="D1146" s="35" t="s">
        <v>946</v>
      </c>
      <c r="E1146" s="35" t="s">
        <v>11147</v>
      </c>
      <c r="F1146" s="35" t="s">
        <v>11143</v>
      </c>
      <c r="G1146" s="35">
        <v>240725</v>
      </c>
      <c r="H1146" s="35">
        <v>280020</v>
      </c>
      <c r="I1146" s="35">
        <v>200007</v>
      </c>
      <c r="J1146" s="34" t="s">
        <v>288</v>
      </c>
      <c r="K1146" s="34" t="str">
        <f t="shared" si="37"/>
        <v>不重复</v>
      </c>
      <c r="L1146" s="34" t="str">
        <f t="shared" si="38"/>
        <v>重复</v>
      </c>
    </row>
    <row r="1147" spans="1:12" ht="30">
      <c r="A1147" s="35" t="s">
        <v>11555</v>
      </c>
      <c r="B1147" s="35" t="s">
        <v>3388</v>
      </c>
      <c r="C1147" s="36" t="s">
        <v>3390</v>
      </c>
      <c r="D1147" s="35" t="s">
        <v>946</v>
      </c>
      <c r="E1147" s="35" t="s">
        <v>11147</v>
      </c>
      <c r="F1147" s="35" t="s">
        <v>11143</v>
      </c>
      <c r="G1147" s="35">
        <v>240726</v>
      </c>
      <c r="H1147" s="35">
        <v>280020</v>
      </c>
      <c r="I1147" s="35">
        <v>200007</v>
      </c>
      <c r="J1147" s="34" t="s">
        <v>2630</v>
      </c>
      <c r="K1147" s="34" t="str">
        <f t="shared" si="37"/>
        <v>不重复</v>
      </c>
      <c r="L1147" s="34" t="str">
        <f t="shared" si="38"/>
        <v>重复</v>
      </c>
    </row>
    <row r="1148" spans="1:12" ht="30">
      <c r="A1148" s="35" t="s">
        <v>11556</v>
      </c>
      <c r="B1148" s="35" t="s">
        <v>3388</v>
      </c>
      <c r="C1148" s="36" t="s">
        <v>3391</v>
      </c>
      <c r="D1148" s="35" t="s">
        <v>946</v>
      </c>
      <c r="E1148" s="35" t="s">
        <v>11147</v>
      </c>
      <c r="F1148" s="35" t="s">
        <v>11143</v>
      </c>
      <c r="G1148" s="35">
        <v>240727</v>
      </c>
      <c r="H1148" s="35">
        <v>280020</v>
      </c>
      <c r="I1148" s="35">
        <v>200007</v>
      </c>
      <c r="J1148" s="34" t="s">
        <v>288</v>
      </c>
      <c r="K1148" s="34" t="str">
        <f t="shared" si="37"/>
        <v>重复</v>
      </c>
      <c r="L1148" s="34" t="str">
        <f t="shared" si="38"/>
        <v>重复</v>
      </c>
    </row>
    <row r="1149" spans="1:12" ht="15">
      <c r="A1149" s="35" t="s">
        <v>11557</v>
      </c>
      <c r="B1149" s="35" t="s">
        <v>3392</v>
      </c>
      <c r="C1149" s="36" t="s">
        <v>3334</v>
      </c>
      <c r="D1149" s="35" t="s">
        <v>3393</v>
      </c>
      <c r="E1149" s="35" t="s">
        <v>11147</v>
      </c>
      <c r="F1149" s="35" t="s">
        <v>11143</v>
      </c>
      <c r="G1149" s="35">
        <v>240728</v>
      </c>
      <c r="H1149" s="35">
        <v>280020</v>
      </c>
      <c r="I1149" s="35">
        <v>200007</v>
      </c>
      <c r="J1149" s="34" t="s">
        <v>288</v>
      </c>
      <c r="K1149" s="34" t="str">
        <f t="shared" si="37"/>
        <v>重复</v>
      </c>
      <c r="L1149" s="34" t="str">
        <f t="shared" si="38"/>
        <v>不重复</v>
      </c>
    </row>
    <row r="1150" spans="1:12" ht="15">
      <c r="A1150" s="35" t="s">
        <v>11558</v>
      </c>
      <c r="B1150" s="35" t="s">
        <v>3394</v>
      </c>
      <c r="C1150" s="36" t="s">
        <v>3395</v>
      </c>
      <c r="D1150" s="35" t="s">
        <v>3396</v>
      </c>
      <c r="E1150" s="35" t="s">
        <v>11147</v>
      </c>
      <c r="F1150" s="35" t="s">
        <v>11143</v>
      </c>
      <c r="G1150" s="35">
        <v>240729</v>
      </c>
      <c r="H1150" s="35">
        <v>280020</v>
      </c>
      <c r="I1150" s="35">
        <v>200007</v>
      </c>
      <c r="J1150" s="34" t="s">
        <v>288</v>
      </c>
      <c r="K1150" s="34" t="str">
        <f t="shared" si="37"/>
        <v>重复</v>
      </c>
      <c r="L1150" s="34" t="str">
        <f t="shared" si="38"/>
        <v>不重复</v>
      </c>
    </row>
    <row r="1151" spans="1:12" ht="30">
      <c r="A1151" s="35" t="s">
        <v>11559</v>
      </c>
      <c r="B1151" s="35" t="s">
        <v>3397</v>
      </c>
      <c r="C1151" s="36" t="s">
        <v>513</v>
      </c>
      <c r="D1151" s="35" t="s">
        <v>1508</v>
      </c>
      <c r="E1151" s="35" t="s">
        <v>11147</v>
      </c>
      <c r="F1151" s="35" t="s">
        <v>11143</v>
      </c>
      <c r="G1151" s="35">
        <v>240730</v>
      </c>
      <c r="H1151" s="35">
        <v>280020</v>
      </c>
      <c r="I1151" s="35">
        <v>200007</v>
      </c>
      <c r="J1151" s="34" t="s">
        <v>3338</v>
      </c>
      <c r="K1151" s="34" t="str">
        <f t="shared" si="37"/>
        <v>重复</v>
      </c>
      <c r="L1151" s="34" t="str">
        <f t="shared" si="38"/>
        <v>重复</v>
      </c>
    </row>
    <row r="1152" spans="1:12" ht="30">
      <c r="A1152" s="35" t="s">
        <v>11560</v>
      </c>
      <c r="B1152" s="35" t="s">
        <v>3398</v>
      </c>
      <c r="C1152" s="36" t="s">
        <v>268</v>
      </c>
      <c r="D1152" s="35" t="s">
        <v>3399</v>
      </c>
      <c r="E1152" s="35" t="s">
        <v>11147</v>
      </c>
      <c r="F1152" s="35" t="s">
        <v>11143</v>
      </c>
      <c r="G1152" s="35">
        <v>240731</v>
      </c>
      <c r="H1152" s="35">
        <v>280020</v>
      </c>
      <c r="I1152" s="35">
        <v>200007</v>
      </c>
      <c r="J1152" s="34" t="s">
        <v>3191</v>
      </c>
      <c r="K1152" s="34" t="str">
        <f t="shared" si="37"/>
        <v>重复</v>
      </c>
      <c r="L1152" s="34" t="str">
        <f t="shared" si="38"/>
        <v>不重复</v>
      </c>
    </row>
    <row r="1153" spans="1:12" ht="15">
      <c r="A1153" s="35" t="s">
        <v>11561</v>
      </c>
      <c r="B1153" s="35" t="s">
        <v>3400</v>
      </c>
      <c r="C1153" s="36" t="s">
        <v>3401</v>
      </c>
      <c r="D1153" s="35" t="s">
        <v>3402</v>
      </c>
      <c r="E1153" s="35" t="s">
        <v>11147</v>
      </c>
      <c r="F1153" s="35" t="s">
        <v>11143</v>
      </c>
      <c r="G1153" s="35">
        <v>240732</v>
      </c>
      <c r="H1153" s="35">
        <v>280020</v>
      </c>
      <c r="I1153" s="35">
        <v>200007</v>
      </c>
      <c r="J1153" s="34" t="s">
        <v>3403</v>
      </c>
      <c r="K1153" s="34" t="str">
        <f t="shared" si="37"/>
        <v>重复</v>
      </c>
      <c r="L1153" s="34" t="str">
        <f t="shared" si="38"/>
        <v>不重复</v>
      </c>
    </row>
    <row r="1154" spans="1:12" ht="30">
      <c r="A1154" s="35" t="s">
        <v>11562</v>
      </c>
      <c r="B1154" s="35" t="s">
        <v>3404</v>
      </c>
      <c r="C1154" s="36" t="s">
        <v>3405</v>
      </c>
      <c r="D1154" s="35" t="s">
        <v>3406</v>
      </c>
      <c r="E1154" s="35" t="s">
        <v>11147</v>
      </c>
      <c r="F1154" s="35" t="s">
        <v>11143</v>
      </c>
      <c r="G1154" s="35">
        <v>240733</v>
      </c>
      <c r="H1154" s="35">
        <v>280020</v>
      </c>
      <c r="I1154" s="35">
        <v>200007</v>
      </c>
      <c r="J1154" s="34" t="s">
        <v>2996</v>
      </c>
      <c r="K1154" s="34" t="str">
        <f t="shared" si="37"/>
        <v>不重复</v>
      </c>
      <c r="L1154" s="34" t="str">
        <f t="shared" si="38"/>
        <v>不重复</v>
      </c>
    </row>
    <row r="1155" spans="1:12" ht="15">
      <c r="A1155" s="35" t="s">
        <v>11563</v>
      </c>
      <c r="B1155" s="35" t="s">
        <v>3407</v>
      </c>
      <c r="C1155" s="36" t="s">
        <v>3408</v>
      </c>
      <c r="D1155" s="35" t="s">
        <v>3409</v>
      </c>
      <c r="E1155" s="35" t="s">
        <v>11147</v>
      </c>
      <c r="F1155" s="35" t="s">
        <v>11143</v>
      </c>
      <c r="G1155" s="35">
        <v>240734</v>
      </c>
      <c r="H1155" s="35">
        <v>280020</v>
      </c>
      <c r="I1155" s="35">
        <v>200007</v>
      </c>
      <c r="J1155" s="34" t="s">
        <v>2440</v>
      </c>
      <c r="K1155" s="34" t="str">
        <f t="shared" si="37"/>
        <v>重复</v>
      </c>
      <c r="L1155" s="34" t="str">
        <f t="shared" si="38"/>
        <v>不重复</v>
      </c>
    </row>
    <row r="1156" spans="1:12" ht="15">
      <c r="A1156" s="35" t="s">
        <v>11564</v>
      </c>
      <c r="B1156" s="35" t="s">
        <v>3410</v>
      </c>
      <c r="C1156" s="36" t="s">
        <v>3411</v>
      </c>
      <c r="D1156" s="35" t="s">
        <v>3412</v>
      </c>
      <c r="E1156" s="35" t="s">
        <v>11147</v>
      </c>
      <c r="F1156" s="35" t="s">
        <v>11143</v>
      </c>
      <c r="G1156" s="35">
        <v>240735</v>
      </c>
      <c r="H1156" s="35">
        <v>280020</v>
      </c>
      <c r="I1156" s="35">
        <v>200007</v>
      </c>
      <c r="J1156" s="34" t="s">
        <v>2338</v>
      </c>
      <c r="K1156" s="34" t="str">
        <f t="shared" si="37"/>
        <v>不重复</v>
      </c>
      <c r="L1156" s="34" t="str">
        <f t="shared" si="38"/>
        <v>不重复</v>
      </c>
    </row>
    <row r="1157" spans="1:12" ht="15">
      <c r="A1157" s="35" t="s">
        <v>11565</v>
      </c>
      <c r="B1157" s="35" t="s">
        <v>3413</v>
      </c>
      <c r="C1157" s="36" t="s">
        <v>3414</v>
      </c>
      <c r="D1157" s="35" t="s">
        <v>3415</v>
      </c>
      <c r="E1157" s="35" t="s">
        <v>11147</v>
      </c>
      <c r="F1157" s="35" t="s">
        <v>11143</v>
      </c>
      <c r="G1157" s="35">
        <v>240736</v>
      </c>
      <c r="H1157" s="35">
        <v>280020</v>
      </c>
      <c r="I1157" s="35">
        <v>200007</v>
      </c>
      <c r="J1157" s="34" t="s">
        <v>1331</v>
      </c>
      <c r="K1157" s="34" t="str">
        <f t="shared" si="37"/>
        <v>不重复</v>
      </c>
      <c r="L1157" s="34" t="str">
        <f t="shared" si="38"/>
        <v>不重复</v>
      </c>
    </row>
    <row r="1158" spans="1:12" ht="15">
      <c r="A1158" s="35" t="s">
        <v>11566</v>
      </c>
      <c r="B1158" s="35" t="s">
        <v>3416</v>
      </c>
      <c r="C1158" s="36" t="s">
        <v>706</v>
      </c>
      <c r="D1158" s="35" t="s">
        <v>3417</v>
      </c>
      <c r="E1158" s="35" t="s">
        <v>11147</v>
      </c>
      <c r="F1158" s="35" t="s">
        <v>11143</v>
      </c>
      <c r="G1158" s="35">
        <v>240737</v>
      </c>
      <c r="H1158" s="35">
        <v>280020</v>
      </c>
      <c r="I1158" s="35">
        <v>200007</v>
      </c>
      <c r="J1158" s="34" t="s">
        <v>2293</v>
      </c>
      <c r="K1158" s="34" t="str">
        <f t="shared" si="37"/>
        <v>重复</v>
      </c>
      <c r="L1158" s="34" t="str">
        <f t="shared" si="38"/>
        <v>不重复</v>
      </c>
    </row>
    <row r="1159" spans="1:12" ht="15">
      <c r="A1159" s="35" t="s">
        <v>11567</v>
      </c>
      <c r="B1159" s="35" t="s">
        <v>3418</v>
      </c>
      <c r="C1159" s="36" t="s">
        <v>3419</v>
      </c>
      <c r="D1159" s="35" t="s">
        <v>3420</v>
      </c>
      <c r="E1159" s="35" t="s">
        <v>11147</v>
      </c>
      <c r="F1159" s="35" t="s">
        <v>11143</v>
      </c>
      <c r="G1159" s="35">
        <v>240738</v>
      </c>
      <c r="H1159" s="35">
        <v>280020</v>
      </c>
      <c r="I1159" s="35">
        <v>200007</v>
      </c>
      <c r="J1159" s="34" t="s">
        <v>2495</v>
      </c>
      <c r="K1159" s="34" t="str">
        <f t="shared" si="37"/>
        <v>重复</v>
      </c>
      <c r="L1159" s="34" t="str">
        <f t="shared" si="38"/>
        <v>不重复</v>
      </c>
    </row>
    <row r="1160" spans="1:12" ht="15">
      <c r="A1160" s="35" t="s">
        <v>11568</v>
      </c>
      <c r="B1160" s="35" t="s">
        <v>3421</v>
      </c>
      <c r="C1160" s="36" t="s">
        <v>3240</v>
      </c>
      <c r="D1160" s="35" t="s">
        <v>3422</v>
      </c>
      <c r="E1160" s="35" t="s">
        <v>11147</v>
      </c>
      <c r="F1160" s="35" t="s">
        <v>11143</v>
      </c>
      <c r="G1160" s="35">
        <v>240739</v>
      </c>
      <c r="H1160" s="35">
        <v>280020</v>
      </c>
      <c r="I1160" s="35">
        <v>200007</v>
      </c>
      <c r="J1160" s="34" t="s">
        <v>311</v>
      </c>
      <c r="K1160" s="34" t="str">
        <f t="shared" si="37"/>
        <v>重复</v>
      </c>
      <c r="L1160" s="34" t="str">
        <f t="shared" si="38"/>
        <v>不重复</v>
      </c>
    </row>
    <row r="1161" spans="1:12" ht="15">
      <c r="A1161" s="35" t="s">
        <v>11569</v>
      </c>
      <c r="B1161" s="35" t="s">
        <v>3423</v>
      </c>
      <c r="C1161" s="36" t="s">
        <v>2332</v>
      </c>
      <c r="D1161" s="35" t="s">
        <v>543</v>
      </c>
      <c r="E1161" s="35" t="s">
        <v>11147</v>
      </c>
      <c r="F1161" s="35" t="s">
        <v>11143</v>
      </c>
      <c r="G1161" s="35">
        <v>240740</v>
      </c>
      <c r="H1161" s="35">
        <v>280020</v>
      </c>
      <c r="I1161" s="35">
        <v>200007</v>
      </c>
      <c r="J1161" s="34" t="s">
        <v>2708</v>
      </c>
      <c r="K1161" s="34" t="str">
        <f t="shared" si="37"/>
        <v>重复</v>
      </c>
      <c r="L1161" s="34" t="str">
        <f t="shared" si="38"/>
        <v>重复</v>
      </c>
    </row>
    <row r="1162" spans="1:12" ht="27">
      <c r="A1162" s="35" t="s">
        <v>11570</v>
      </c>
      <c r="B1162" s="35" t="s">
        <v>3424</v>
      </c>
      <c r="C1162" s="36" t="s">
        <v>3425</v>
      </c>
      <c r="D1162" s="35" t="s">
        <v>3426</v>
      </c>
      <c r="E1162" s="35" t="s">
        <v>11147</v>
      </c>
      <c r="F1162" s="35" t="s">
        <v>11143</v>
      </c>
      <c r="G1162" s="35">
        <v>240741</v>
      </c>
      <c r="H1162" s="35">
        <v>280020</v>
      </c>
      <c r="I1162" s="35">
        <v>200007</v>
      </c>
      <c r="J1162" s="34" t="s">
        <v>3427</v>
      </c>
      <c r="K1162" s="34" t="str">
        <f t="shared" si="37"/>
        <v>不重复</v>
      </c>
      <c r="L1162" s="34" t="str">
        <f t="shared" si="38"/>
        <v>不重复</v>
      </c>
    </row>
    <row r="1163" spans="1:12" ht="15">
      <c r="A1163" s="35" t="s">
        <v>11571</v>
      </c>
      <c r="B1163" s="35" t="s">
        <v>3428</v>
      </c>
      <c r="C1163" s="36" t="s">
        <v>3429</v>
      </c>
      <c r="D1163" s="35" t="s">
        <v>3430</v>
      </c>
      <c r="E1163" s="35" t="s">
        <v>11147</v>
      </c>
      <c r="F1163" s="35" t="s">
        <v>11143</v>
      </c>
      <c r="G1163" s="35">
        <v>240742</v>
      </c>
      <c r="H1163" s="35">
        <v>280020</v>
      </c>
      <c r="I1163" s="35">
        <v>200007</v>
      </c>
      <c r="J1163" s="34" t="s">
        <v>390</v>
      </c>
      <c r="K1163" s="34" t="str">
        <f t="shared" si="37"/>
        <v>重复</v>
      </c>
      <c r="L1163" s="34" t="str">
        <f t="shared" si="38"/>
        <v>不重复</v>
      </c>
    </row>
    <row r="1164" spans="1:12" ht="27">
      <c r="A1164" s="35" t="s">
        <v>11572</v>
      </c>
      <c r="B1164" s="35" t="s">
        <v>3431</v>
      </c>
      <c r="C1164" s="36" t="s">
        <v>3432</v>
      </c>
      <c r="D1164" s="35" t="s">
        <v>3433</v>
      </c>
      <c r="E1164" s="35" t="s">
        <v>11147</v>
      </c>
      <c r="F1164" s="35" t="s">
        <v>11143</v>
      </c>
      <c r="G1164" s="35">
        <v>240743</v>
      </c>
      <c r="H1164" s="35">
        <v>280020</v>
      </c>
      <c r="I1164" s="35">
        <v>200007</v>
      </c>
      <c r="J1164" s="34" t="s">
        <v>3185</v>
      </c>
      <c r="K1164" s="34" t="str">
        <f t="shared" si="37"/>
        <v>不重复</v>
      </c>
      <c r="L1164" s="34" t="str">
        <f t="shared" si="38"/>
        <v>不重复</v>
      </c>
    </row>
    <row r="1165" spans="1:12" ht="15">
      <c r="A1165" s="35" t="s">
        <v>11573</v>
      </c>
      <c r="B1165" s="35" t="s">
        <v>3434</v>
      </c>
      <c r="C1165" s="36" t="s">
        <v>3435</v>
      </c>
      <c r="D1165" s="35" t="s">
        <v>3436</v>
      </c>
      <c r="E1165" s="35" t="s">
        <v>11147</v>
      </c>
      <c r="F1165" s="35" t="s">
        <v>11143</v>
      </c>
      <c r="G1165" s="35">
        <v>240744</v>
      </c>
      <c r="H1165" s="35">
        <v>280020</v>
      </c>
      <c r="I1165" s="35">
        <v>200007</v>
      </c>
      <c r="J1165" s="34" t="s">
        <v>3437</v>
      </c>
      <c r="K1165" s="34" t="str">
        <f t="shared" si="37"/>
        <v>不重复</v>
      </c>
      <c r="L1165" s="34" t="str">
        <f t="shared" si="38"/>
        <v>不重复</v>
      </c>
    </row>
    <row r="1166" spans="1:12" ht="30">
      <c r="A1166" s="35" t="s">
        <v>11574</v>
      </c>
      <c r="B1166" s="35" t="s">
        <v>3438</v>
      </c>
      <c r="C1166" s="36" t="s">
        <v>3439</v>
      </c>
      <c r="D1166" s="35" t="s">
        <v>2027</v>
      </c>
      <c r="E1166" s="35" t="s">
        <v>11147</v>
      </c>
      <c r="F1166" s="35" t="s">
        <v>11143</v>
      </c>
      <c r="G1166" s="35">
        <v>240745</v>
      </c>
      <c r="H1166" s="35">
        <v>280020</v>
      </c>
      <c r="I1166" s="35">
        <v>200007</v>
      </c>
      <c r="J1166" s="34" t="s">
        <v>3440</v>
      </c>
      <c r="K1166" s="34" t="str">
        <f t="shared" si="37"/>
        <v>重复</v>
      </c>
      <c r="L1166" s="34" t="str">
        <f t="shared" si="38"/>
        <v>重复</v>
      </c>
    </row>
    <row r="1167" spans="1:12" ht="27">
      <c r="A1167" s="35" t="s">
        <v>11575</v>
      </c>
      <c r="B1167" s="35" t="s">
        <v>3441</v>
      </c>
      <c r="C1167" s="36" t="s">
        <v>3442</v>
      </c>
      <c r="D1167" s="35" t="s">
        <v>2027</v>
      </c>
      <c r="E1167" s="35" t="s">
        <v>11147</v>
      </c>
      <c r="F1167" s="35" t="s">
        <v>11143</v>
      </c>
      <c r="G1167" s="35">
        <v>240746</v>
      </c>
      <c r="H1167" s="35">
        <v>280020</v>
      </c>
      <c r="I1167" s="35">
        <v>200007</v>
      </c>
      <c r="J1167" s="34" t="s">
        <v>3443</v>
      </c>
      <c r="K1167" s="34" t="str">
        <f t="shared" si="37"/>
        <v>不重复</v>
      </c>
      <c r="L1167" s="34" t="str">
        <f t="shared" si="38"/>
        <v>重复</v>
      </c>
    </row>
    <row r="1168" spans="1:12" ht="15">
      <c r="A1168" s="35" t="s">
        <v>11576</v>
      </c>
      <c r="B1168" s="35" t="s">
        <v>3444</v>
      </c>
      <c r="C1168" s="36" t="s">
        <v>3445</v>
      </c>
      <c r="D1168" s="35" t="s">
        <v>3446</v>
      </c>
      <c r="E1168" s="35" t="s">
        <v>11147</v>
      </c>
      <c r="F1168" s="35" t="s">
        <v>11143</v>
      </c>
      <c r="G1168" s="35">
        <v>240747</v>
      </c>
      <c r="H1168" s="35">
        <v>280020</v>
      </c>
      <c r="I1168" s="35">
        <v>200007</v>
      </c>
      <c r="J1168" s="34" t="s">
        <v>458</v>
      </c>
      <c r="K1168" s="34" t="str">
        <f t="shared" si="37"/>
        <v>重复</v>
      </c>
      <c r="L1168" s="34" t="str">
        <f t="shared" si="38"/>
        <v>不重复</v>
      </c>
    </row>
    <row r="1169" spans="1:12" ht="15">
      <c r="A1169" s="35" t="s">
        <v>11577</v>
      </c>
      <c r="B1169" s="35" t="s">
        <v>3447</v>
      </c>
      <c r="C1169" s="36" t="s">
        <v>2040</v>
      </c>
      <c r="D1169" s="35" t="s">
        <v>3448</v>
      </c>
      <c r="E1169" s="35" t="s">
        <v>11147</v>
      </c>
      <c r="F1169" s="35" t="s">
        <v>11143</v>
      </c>
      <c r="G1169" s="35">
        <v>240748</v>
      </c>
      <c r="H1169" s="35">
        <v>280020</v>
      </c>
      <c r="I1169" s="35">
        <v>200007</v>
      </c>
      <c r="J1169" s="34" t="s">
        <v>3185</v>
      </c>
      <c r="K1169" s="34" t="str">
        <f t="shared" si="37"/>
        <v>重复</v>
      </c>
      <c r="L1169" s="34" t="str">
        <f t="shared" si="38"/>
        <v>重复</v>
      </c>
    </row>
    <row r="1170" spans="1:12" ht="27">
      <c r="A1170" s="35" t="s">
        <v>11578</v>
      </c>
      <c r="B1170" s="35" t="s">
        <v>3447</v>
      </c>
      <c r="C1170" s="36" t="s">
        <v>2040</v>
      </c>
      <c r="D1170" s="35" t="s">
        <v>3448</v>
      </c>
      <c r="E1170" s="35" t="s">
        <v>11147</v>
      </c>
      <c r="F1170" s="35" t="s">
        <v>11143</v>
      </c>
      <c r="G1170" s="35">
        <v>240749</v>
      </c>
      <c r="H1170" s="35">
        <v>280020</v>
      </c>
      <c r="I1170" s="35">
        <v>200007</v>
      </c>
      <c r="J1170" s="34" t="s">
        <v>3440</v>
      </c>
      <c r="K1170" s="34" t="str">
        <f t="shared" si="37"/>
        <v>重复</v>
      </c>
      <c r="L1170" s="34" t="str">
        <f t="shared" si="38"/>
        <v>重复</v>
      </c>
    </row>
    <row r="1171" spans="1:12" ht="27">
      <c r="A1171" s="35" t="s">
        <v>11579</v>
      </c>
      <c r="B1171" s="35" t="s">
        <v>3447</v>
      </c>
      <c r="C1171" s="36" t="s">
        <v>2040</v>
      </c>
      <c r="D1171" s="35" t="s">
        <v>3448</v>
      </c>
      <c r="E1171" s="35" t="s">
        <v>11147</v>
      </c>
      <c r="F1171" s="35" t="s">
        <v>11143</v>
      </c>
      <c r="G1171" s="35">
        <v>240750</v>
      </c>
      <c r="H1171" s="35">
        <v>280020</v>
      </c>
      <c r="I1171" s="35">
        <v>200007</v>
      </c>
      <c r="J1171" s="34" t="s">
        <v>3185</v>
      </c>
      <c r="K1171" s="34" t="str">
        <f t="shared" si="37"/>
        <v>重复</v>
      </c>
      <c r="L1171" s="34" t="str">
        <f t="shared" si="38"/>
        <v>重复</v>
      </c>
    </row>
    <row r="1172" spans="1:12" ht="27">
      <c r="A1172" s="35" t="s">
        <v>11580</v>
      </c>
      <c r="B1172" s="35" t="s">
        <v>3447</v>
      </c>
      <c r="C1172" s="36" t="s">
        <v>2040</v>
      </c>
      <c r="D1172" s="35" t="s">
        <v>3448</v>
      </c>
      <c r="E1172" s="35" t="s">
        <v>11147</v>
      </c>
      <c r="F1172" s="35" t="s">
        <v>11143</v>
      </c>
      <c r="G1172" s="35">
        <v>240751</v>
      </c>
      <c r="H1172" s="35">
        <v>280020</v>
      </c>
      <c r="I1172" s="35">
        <v>200007</v>
      </c>
      <c r="J1172" s="34" t="s">
        <v>2974</v>
      </c>
      <c r="K1172" s="34" t="str">
        <f t="shared" si="37"/>
        <v>重复</v>
      </c>
      <c r="L1172" s="34" t="str">
        <f t="shared" si="38"/>
        <v>重复</v>
      </c>
    </row>
    <row r="1173" spans="1:12" ht="30">
      <c r="A1173" s="35" t="s">
        <v>11581</v>
      </c>
      <c r="B1173" s="35" t="s">
        <v>3449</v>
      </c>
      <c r="C1173" s="36" t="s">
        <v>3450</v>
      </c>
      <c r="D1173" s="35" t="s">
        <v>2037</v>
      </c>
      <c r="E1173" s="35" t="s">
        <v>11147</v>
      </c>
      <c r="F1173" s="35" t="s">
        <v>11143</v>
      </c>
      <c r="G1173" s="35">
        <v>240752</v>
      </c>
      <c r="H1173" s="35">
        <v>280020</v>
      </c>
      <c r="I1173" s="35">
        <v>200007</v>
      </c>
      <c r="J1173" s="34" t="s">
        <v>3427</v>
      </c>
      <c r="K1173" s="34" t="str">
        <f t="shared" si="37"/>
        <v>不重复</v>
      </c>
      <c r="L1173" s="34" t="str">
        <f t="shared" si="38"/>
        <v>重复</v>
      </c>
    </row>
    <row r="1174" spans="1:12" ht="15">
      <c r="A1174" s="35" t="s">
        <v>11582</v>
      </c>
      <c r="B1174" s="35" t="s">
        <v>3451</v>
      </c>
      <c r="C1174" s="36" t="s">
        <v>516</v>
      </c>
      <c r="D1174" s="35" t="s">
        <v>718</v>
      </c>
      <c r="E1174" s="35" t="s">
        <v>11147</v>
      </c>
      <c r="F1174" s="35" t="s">
        <v>11143</v>
      </c>
      <c r="G1174" s="35">
        <v>240753</v>
      </c>
      <c r="H1174" s="35">
        <v>280020</v>
      </c>
      <c r="I1174" s="35">
        <v>200007</v>
      </c>
      <c r="J1174" s="34" t="s">
        <v>3185</v>
      </c>
      <c r="K1174" s="34" t="str">
        <f t="shared" si="39" ref="K1174:K1237">IF(COUNTIF(C:C,C1174)&gt;=2,"重复","不重复")</f>
        <v>重复</v>
      </c>
      <c r="L1174" s="34" t="str">
        <f t="shared" si="38"/>
        <v>重复</v>
      </c>
    </row>
    <row r="1175" spans="1:12" ht="30">
      <c r="A1175" s="35" t="s">
        <v>11583</v>
      </c>
      <c r="B1175" s="35" t="s">
        <v>3452</v>
      </c>
      <c r="C1175" s="36" t="s">
        <v>3453</v>
      </c>
      <c r="D1175" s="35" t="s">
        <v>3454</v>
      </c>
      <c r="E1175" s="35" t="s">
        <v>11147</v>
      </c>
      <c r="F1175" s="35" t="s">
        <v>11143</v>
      </c>
      <c r="G1175" s="35">
        <v>240754</v>
      </c>
      <c r="H1175" s="35">
        <v>280020</v>
      </c>
      <c r="I1175" s="35">
        <v>200007</v>
      </c>
      <c r="J1175" s="34" t="s">
        <v>2387</v>
      </c>
      <c r="K1175" s="34" t="str">
        <f t="shared" si="39"/>
        <v>重复</v>
      </c>
      <c r="L1175" s="34" t="str">
        <f t="shared" si="38"/>
        <v>重复</v>
      </c>
    </row>
    <row r="1176" spans="1:12" ht="40.5">
      <c r="A1176" s="35" t="s">
        <v>11584</v>
      </c>
      <c r="B1176" s="35" t="s">
        <v>3452</v>
      </c>
      <c r="C1176" s="36" t="s">
        <v>3453</v>
      </c>
      <c r="D1176" s="35" t="s">
        <v>3454</v>
      </c>
      <c r="E1176" s="35" t="s">
        <v>11147</v>
      </c>
      <c r="F1176" s="35" t="s">
        <v>11143</v>
      </c>
      <c r="G1176" s="35">
        <v>240755</v>
      </c>
      <c r="H1176" s="35">
        <v>280020</v>
      </c>
      <c r="I1176" s="35">
        <v>200007</v>
      </c>
      <c r="J1176" s="34" t="s">
        <v>3455</v>
      </c>
      <c r="K1176" s="34" t="str">
        <f t="shared" si="39"/>
        <v>重复</v>
      </c>
      <c r="L1176" s="34" t="str">
        <f t="shared" si="38"/>
        <v>重复</v>
      </c>
    </row>
    <row r="1177" spans="1:12" ht="40.5">
      <c r="A1177" s="35" t="s">
        <v>11585</v>
      </c>
      <c r="B1177" s="35" t="s">
        <v>3452</v>
      </c>
      <c r="C1177" s="36" t="s">
        <v>3453</v>
      </c>
      <c r="D1177" s="35" t="s">
        <v>3454</v>
      </c>
      <c r="E1177" s="35" t="s">
        <v>11147</v>
      </c>
      <c r="F1177" s="35" t="s">
        <v>11143</v>
      </c>
      <c r="G1177" s="35">
        <v>240756</v>
      </c>
      <c r="H1177" s="35">
        <v>280020</v>
      </c>
      <c r="I1177" s="35">
        <v>200007</v>
      </c>
      <c r="J1177" s="34" t="s">
        <v>2387</v>
      </c>
      <c r="K1177" s="34" t="str">
        <f t="shared" si="39"/>
        <v>重复</v>
      </c>
      <c r="L1177" s="34" t="str">
        <f t="shared" si="38"/>
        <v>重复</v>
      </c>
    </row>
    <row r="1178" spans="1:12" ht="30">
      <c r="A1178" s="35" t="s">
        <v>11586</v>
      </c>
      <c r="B1178" s="35" t="s">
        <v>3456</v>
      </c>
      <c r="C1178" s="36" t="s">
        <v>3457</v>
      </c>
      <c r="D1178" s="35" t="s">
        <v>3458</v>
      </c>
      <c r="E1178" s="35" t="s">
        <v>11147</v>
      </c>
      <c r="F1178" s="35" t="s">
        <v>11143</v>
      </c>
      <c r="G1178" s="35">
        <v>240757</v>
      </c>
      <c r="H1178" s="35">
        <v>280020</v>
      </c>
      <c r="I1178" s="35">
        <v>200007</v>
      </c>
      <c r="J1178" s="34" t="s">
        <v>2974</v>
      </c>
      <c r="K1178" s="34" t="str">
        <f t="shared" si="39"/>
        <v>重复</v>
      </c>
      <c r="L1178" s="34" t="str">
        <f t="shared" si="38"/>
        <v>不重复</v>
      </c>
    </row>
    <row r="1179" spans="1:12" ht="15">
      <c r="A1179" s="35" t="s">
        <v>11587</v>
      </c>
      <c r="B1179" s="35" t="s">
        <v>3459</v>
      </c>
      <c r="C1179" s="36" t="s">
        <v>3460</v>
      </c>
      <c r="D1179" s="35" t="s">
        <v>3461</v>
      </c>
      <c r="E1179" s="35" t="s">
        <v>11147</v>
      </c>
      <c r="F1179" s="35" t="s">
        <v>11143</v>
      </c>
      <c r="G1179" s="35">
        <v>240758</v>
      </c>
      <c r="H1179" s="35">
        <v>280020</v>
      </c>
      <c r="I1179" s="35">
        <v>200007</v>
      </c>
      <c r="J1179" s="34" t="s">
        <v>152</v>
      </c>
      <c r="K1179" s="34" t="str">
        <f t="shared" si="39"/>
        <v>重复</v>
      </c>
      <c r="L1179" s="34" t="str">
        <f t="shared" si="38"/>
        <v>不重复</v>
      </c>
    </row>
    <row r="1180" spans="1:12" ht="30">
      <c r="A1180" s="35" t="s">
        <v>11588</v>
      </c>
      <c r="B1180" s="35" t="s">
        <v>3462</v>
      </c>
      <c r="C1180" s="36" t="s">
        <v>3463</v>
      </c>
      <c r="D1180" s="35" t="s">
        <v>3464</v>
      </c>
      <c r="E1180" s="35" t="s">
        <v>11147</v>
      </c>
      <c r="F1180" s="35" t="s">
        <v>11143</v>
      </c>
      <c r="G1180" s="35">
        <v>240759</v>
      </c>
      <c r="H1180" s="35">
        <v>280020</v>
      </c>
      <c r="I1180" s="35">
        <v>200007</v>
      </c>
      <c r="J1180" s="34" t="s">
        <v>2387</v>
      </c>
      <c r="K1180" s="34" t="str">
        <f t="shared" si="39"/>
        <v>不重复</v>
      </c>
      <c r="L1180" s="34" t="str">
        <f t="shared" si="38"/>
        <v>不重复</v>
      </c>
    </row>
    <row r="1181" spans="1:12" ht="30">
      <c r="A1181" s="35" t="s">
        <v>11589</v>
      </c>
      <c r="B1181" s="35" t="s">
        <v>3465</v>
      </c>
      <c r="C1181" s="36" t="s">
        <v>3439</v>
      </c>
      <c r="D1181" s="35" t="s">
        <v>3466</v>
      </c>
      <c r="E1181" s="35" t="s">
        <v>11147</v>
      </c>
      <c r="F1181" s="35" t="s">
        <v>11143</v>
      </c>
      <c r="G1181" s="35">
        <v>240760</v>
      </c>
      <c r="H1181" s="35">
        <v>280020</v>
      </c>
      <c r="I1181" s="35">
        <v>200007</v>
      </c>
      <c r="J1181" s="34" t="s">
        <v>2839</v>
      </c>
      <c r="K1181" s="34" t="str">
        <f t="shared" si="39"/>
        <v>重复</v>
      </c>
      <c r="L1181" s="34" t="str">
        <f t="shared" si="38"/>
        <v>不重复</v>
      </c>
    </row>
    <row r="1182" spans="1:12" ht="30">
      <c r="A1182" s="35" t="s">
        <v>11590</v>
      </c>
      <c r="B1182" s="35" t="s">
        <v>3467</v>
      </c>
      <c r="C1182" s="36" t="s">
        <v>3468</v>
      </c>
      <c r="D1182" s="35" t="s">
        <v>3469</v>
      </c>
      <c r="E1182" s="35" t="s">
        <v>11147</v>
      </c>
      <c r="F1182" s="35" t="s">
        <v>11143</v>
      </c>
      <c r="G1182" s="35">
        <v>240761</v>
      </c>
      <c r="H1182" s="35">
        <v>280020</v>
      </c>
      <c r="I1182" s="35">
        <v>200007</v>
      </c>
      <c r="J1182" s="34" t="s">
        <v>3185</v>
      </c>
      <c r="K1182" s="34" t="str">
        <f t="shared" si="39"/>
        <v>重复</v>
      </c>
      <c r="L1182" s="34" t="str">
        <f t="shared" si="38"/>
        <v>不重复</v>
      </c>
    </row>
    <row r="1183" spans="1:12" ht="30">
      <c r="A1183" s="35" t="s">
        <v>11591</v>
      </c>
      <c r="B1183" s="35" t="s">
        <v>3470</v>
      </c>
      <c r="C1183" s="36" t="s">
        <v>3471</v>
      </c>
      <c r="D1183" s="35" t="s">
        <v>3472</v>
      </c>
      <c r="E1183" s="35" t="s">
        <v>11147</v>
      </c>
      <c r="F1183" s="35" t="s">
        <v>11143</v>
      </c>
      <c r="G1183" s="35">
        <v>240762</v>
      </c>
      <c r="H1183" s="35">
        <v>280020</v>
      </c>
      <c r="I1183" s="35">
        <v>200007</v>
      </c>
      <c r="J1183" s="34" t="s">
        <v>3473</v>
      </c>
      <c r="K1183" s="34" t="str">
        <f t="shared" si="39"/>
        <v>重复</v>
      </c>
      <c r="L1183" s="34" t="str">
        <f t="shared" si="38"/>
        <v>不重复</v>
      </c>
    </row>
    <row r="1184" spans="1:12" ht="15">
      <c r="A1184" s="35" t="s">
        <v>11592</v>
      </c>
      <c r="B1184" s="35" t="s">
        <v>3474</v>
      </c>
      <c r="C1184" s="36" t="s">
        <v>3475</v>
      </c>
      <c r="D1184" s="35" t="s">
        <v>3327</v>
      </c>
      <c r="E1184" s="35" t="s">
        <v>11147</v>
      </c>
      <c r="F1184" s="35" t="s">
        <v>11143</v>
      </c>
      <c r="G1184" s="35">
        <v>240763</v>
      </c>
      <c r="H1184" s="35">
        <v>280020</v>
      </c>
      <c r="I1184" s="35">
        <v>200007</v>
      </c>
      <c r="J1184" s="34" t="s">
        <v>3185</v>
      </c>
      <c r="K1184" s="34" t="str">
        <f t="shared" si="39"/>
        <v>不重复</v>
      </c>
      <c r="L1184" s="34" t="str">
        <f t="shared" si="38"/>
        <v>重复</v>
      </c>
    </row>
    <row r="1185" spans="1:12" ht="30">
      <c r="A1185" s="35" t="s">
        <v>11593</v>
      </c>
      <c r="B1185" s="35" t="s">
        <v>3476</v>
      </c>
      <c r="C1185" s="36" t="s">
        <v>1748</v>
      </c>
      <c r="D1185" s="35" t="s">
        <v>3477</v>
      </c>
      <c r="E1185" s="35" t="s">
        <v>11147</v>
      </c>
      <c r="F1185" s="35" t="s">
        <v>11143</v>
      </c>
      <c r="G1185" s="35">
        <v>240764</v>
      </c>
      <c r="H1185" s="35">
        <v>280020</v>
      </c>
      <c r="I1185" s="35">
        <v>200007</v>
      </c>
      <c r="J1185" s="34" t="s">
        <v>3478</v>
      </c>
      <c r="K1185" s="34" t="str">
        <f t="shared" si="39"/>
        <v>重复</v>
      </c>
      <c r="L1185" s="34" t="str">
        <f t="shared" si="38"/>
        <v>重复</v>
      </c>
    </row>
    <row r="1186" spans="1:12" ht="40.5">
      <c r="A1186" s="35" t="s">
        <v>11594</v>
      </c>
      <c r="B1186" s="35" t="s">
        <v>3476</v>
      </c>
      <c r="C1186" s="36" t="s">
        <v>1748</v>
      </c>
      <c r="D1186" s="35" t="s">
        <v>3477</v>
      </c>
      <c r="E1186" s="35" t="s">
        <v>11147</v>
      </c>
      <c r="F1186" s="35" t="s">
        <v>11143</v>
      </c>
      <c r="G1186" s="35">
        <v>240765</v>
      </c>
      <c r="H1186" s="35">
        <v>280020</v>
      </c>
      <c r="I1186" s="35">
        <v>200007</v>
      </c>
      <c r="J1186" s="34" t="s">
        <v>3479</v>
      </c>
      <c r="K1186" s="34" t="str">
        <f t="shared" si="39"/>
        <v>重复</v>
      </c>
      <c r="L1186" s="34" t="str">
        <f t="shared" si="38"/>
        <v>重复</v>
      </c>
    </row>
    <row r="1187" spans="1:12" ht="30">
      <c r="A1187" s="35" t="s">
        <v>11595</v>
      </c>
      <c r="B1187" s="35" t="s">
        <v>3480</v>
      </c>
      <c r="C1187" s="36" t="s">
        <v>3481</v>
      </c>
      <c r="D1187" s="35" t="s">
        <v>3482</v>
      </c>
      <c r="E1187" s="35" t="s">
        <v>11147</v>
      </c>
      <c r="F1187" s="35" t="s">
        <v>11143</v>
      </c>
      <c r="G1187" s="35">
        <v>240766</v>
      </c>
      <c r="H1187" s="35">
        <v>280020</v>
      </c>
      <c r="I1187" s="35">
        <v>200007</v>
      </c>
      <c r="J1187" s="34" t="s">
        <v>3437</v>
      </c>
      <c r="K1187" s="34" t="str">
        <f t="shared" si="39"/>
        <v>重复</v>
      </c>
      <c r="L1187" s="34" t="str">
        <f t="shared" si="38"/>
        <v>不重复</v>
      </c>
    </row>
    <row r="1188" spans="1:12" ht="27">
      <c r="A1188" s="35" t="s">
        <v>11596</v>
      </c>
      <c r="B1188" s="35" t="s">
        <v>3483</v>
      </c>
      <c r="C1188" s="36" t="s">
        <v>3484</v>
      </c>
      <c r="D1188" s="35" t="s">
        <v>3485</v>
      </c>
      <c r="E1188" s="35" t="s">
        <v>11147</v>
      </c>
      <c r="F1188" s="35" t="s">
        <v>11143</v>
      </c>
      <c r="G1188" s="35">
        <v>240767</v>
      </c>
      <c r="H1188" s="35">
        <v>280020</v>
      </c>
      <c r="I1188" s="35">
        <v>200007</v>
      </c>
      <c r="J1188" s="34" t="s">
        <v>2219</v>
      </c>
      <c r="K1188" s="34" t="str">
        <f t="shared" si="39"/>
        <v>不重复</v>
      </c>
      <c r="L1188" s="34" t="str">
        <f t="shared" si="38"/>
        <v>不重复</v>
      </c>
    </row>
    <row r="1189" spans="1:12" ht="27">
      <c r="A1189" s="35" t="s">
        <v>11597</v>
      </c>
      <c r="B1189" s="35" t="s">
        <v>3486</v>
      </c>
      <c r="C1189" s="36" t="s">
        <v>3487</v>
      </c>
      <c r="D1189" s="35" t="s">
        <v>3488</v>
      </c>
      <c r="E1189" s="35" t="s">
        <v>11147</v>
      </c>
      <c r="F1189" s="35" t="s">
        <v>11143</v>
      </c>
      <c r="G1189" s="35">
        <v>240768</v>
      </c>
      <c r="H1189" s="35">
        <v>280020</v>
      </c>
      <c r="I1189" s="35">
        <v>200007</v>
      </c>
      <c r="J1189" s="34" t="s">
        <v>3489</v>
      </c>
      <c r="K1189" s="34" t="str">
        <f t="shared" si="39"/>
        <v>重复</v>
      </c>
      <c r="L1189" s="34" t="str">
        <f t="shared" si="38"/>
        <v>不重复</v>
      </c>
    </row>
    <row r="1190" spans="1:12" ht="15">
      <c r="A1190" s="35" t="s">
        <v>11598</v>
      </c>
      <c r="B1190" s="35" t="s">
        <v>3490</v>
      </c>
      <c r="C1190" s="36" t="s">
        <v>3491</v>
      </c>
      <c r="D1190" s="35" t="s">
        <v>3492</v>
      </c>
      <c r="E1190" s="35" t="s">
        <v>11147</v>
      </c>
      <c r="F1190" s="35" t="s">
        <v>11143</v>
      </c>
      <c r="G1190" s="35">
        <v>240769</v>
      </c>
      <c r="H1190" s="35">
        <v>280020</v>
      </c>
      <c r="I1190" s="35">
        <v>200007</v>
      </c>
      <c r="J1190" s="34" t="s">
        <v>3493</v>
      </c>
      <c r="K1190" s="34" t="str">
        <f t="shared" si="39"/>
        <v>重复</v>
      </c>
      <c r="L1190" s="34" t="str">
        <f t="shared" si="38"/>
        <v>不重复</v>
      </c>
    </row>
    <row r="1191" spans="1:12" ht="27">
      <c r="A1191" s="35" t="s">
        <v>11599</v>
      </c>
      <c r="B1191" s="35" t="s">
        <v>3494</v>
      </c>
      <c r="C1191" s="36" t="s">
        <v>3495</v>
      </c>
      <c r="D1191" s="35" t="s">
        <v>3496</v>
      </c>
      <c r="E1191" s="35" t="s">
        <v>11147</v>
      </c>
      <c r="F1191" s="35" t="s">
        <v>11143</v>
      </c>
      <c r="G1191" s="35">
        <v>240770</v>
      </c>
      <c r="H1191" s="35">
        <v>280020</v>
      </c>
      <c r="I1191" s="35">
        <v>200007</v>
      </c>
      <c r="J1191" s="34" t="s">
        <v>458</v>
      </c>
      <c r="K1191" s="34" t="str">
        <f t="shared" si="39"/>
        <v>不重复</v>
      </c>
      <c r="L1191" s="34" t="str">
        <f t="shared" si="38"/>
        <v>不重复</v>
      </c>
    </row>
    <row r="1192" spans="1:12" ht="15">
      <c r="A1192" s="35" t="s">
        <v>11600</v>
      </c>
      <c r="B1192" s="35" t="s">
        <v>3497</v>
      </c>
      <c r="C1192" s="36" t="s">
        <v>1296</v>
      </c>
      <c r="D1192" s="35" t="s">
        <v>3498</v>
      </c>
      <c r="E1192" s="35" t="s">
        <v>11147</v>
      </c>
      <c r="F1192" s="35" t="s">
        <v>11143</v>
      </c>
      <c r="G1192" s="35">
        <v>240771</v>
      </c>
      <c r="H1192" s="35">
        <v>280020</v>
      </c>
      <c r="I1192" s="35">
        <v>200007</v>
      </c>
      <c r="J1192" s="34" t="s">
        <v>1143</v>
      </c>
      <c r="K1192" s="34" t="str">
        <f t="shared" si="39"/>
        <v>重复</v>
      </c>
      <c r="L1192" s="34" t="str">
        <f t="shared" si="38"/>
        <v>不重复</v>
      </c>
    </row>
    <row r="1193" spans="1:12" ht="15">
      <c r="A1193" s="35" t="s">
        <v>11601</v>
      </c>
      <c r="B1193" s="35" t="s">
        <v>3499</v>
      </c>
      <c r="C1193" s="36" t="s">
        <v>2710</v>
      </c>
      <c r="D1193" s="35" t="s">
        <v>3500</v>
      </c>
      <c r="E1193" s="35" t="s">
        <v>11147</v>
      </c>
      <c r="F1193" s="35" t="s">
        <v>11143</v>
      </c>
      <c r="G1193" s="35">
        <v>240772</v>
      </c>
      <c r="H1193" s="35">
        <v>280020</v>
      </c>
      <c r="I1193" s="35">
        <v>200007</v>
      </c>
      <c r="J1193" s="34" t="s">
        <v>3501</v>
      </c>
      <c r="K1193" s="34" t="str">
        <f t="shared" si="39"/>
        <v>重复</v>
      </c>
      <c r="L1193" s="34" t="str">
        <f t="shared" si="40" ref="L1193:L1256">IF(COUNTIF(D:D,D1193)&gt;=2,"重复","不重复")</f>
        <v>不重复</v>
      </c>
    </row>
    <row r="1194" spans="1:12" ht="15">
      <c r="A1194" s="35" t="s">
        <v>11602</v>
      </c>
      <c r="B1194" s="35" t="s">
        <v>3502</v>
      </c>
      <c r="C1194" s="36" t="s">
        <v>3503</v>
      </c>
      <c r="D1194" s="35" t="s">
        <v>3504</v>
      </c>
      <c r="E1194" s="35" t="s">
        <v>11147</v>
      </c>
      <c r="F1194" s="35" t="s">
        <v>11143</v>
      </c>
      <c r="G1194" s="35">
        <v>240773</v>
      </c>
      <c r="H1194" s="35">
        <v>280020</v>
      </c>
      <c r="I1194" s="35">
        <v>200007</v>
      </c>
      <c r="J1194" s="34" t="s">
        <v>2796</v>
      </c>
      <c r="K1194" s="34" t="str">
        <f t="shared" si="39"/>
        <v>不重复</v>
      </c>
      <c r="L1194" s="34" t="str">
        <f t="shared" si="40"/>
        <v>不重复</v>
      </c>
    </row>
    <row r="1195" spans="1:12" ht="15">
      <c r="A1195" s="35" t="s">
        <v>11603</v>
      </c>
      <c r="B1195" s="35" t="s">
        <v>3505</v>
      </c>
      <c r="C1195" s="36" t="s">
        <v>3506</v>
      </c>
      <c r="D1195" s="35" t="s">
        <v>3507</v>
      </c>
      <c r="E1195" s="35" t="s">
        <v>11147</v>
      </c>
      <c r="F1195" s="35" t="s">
        <v>11143</v>
      </c>
      <c r="G1195" s="35">
        <v>240774</v>
      </c>
      <c r="H1195" s="35">
        <v>280020</v>
      </c>
      <c r="I1195" s="35">
        <v>200007</v>
      </c>
      <c r="J1195" s="34" t="s">
        <v>3185</v>
      </c>
      <c r="K1195" s="34" t="str">
        <f t="shared" si="39"/>
        <v>重复</v>
      </c>
      <c r="L1195" s="34" t="str">
        <f t="shared" si="40"/>
        <v>不重复</v>
      </c>
    </row>
    <row r="1196" spans="1:12" ht="15">
      <c r="A1196" s="35" t="s">
        <v>11604</v>
      </c>
      <c r="B1196" s="35" t="s">
        <v>3508</v>
      </c>
      <c r="C1196" s="36" t="s">
        <v>3509</v>
      </c>
      <c r="D1196" s="35" t="s">
        <v>3510</v>
      </c>
      <c r="E1196" s="35" t="s">
        <v>11147</v>
      </c>
      <c r="F1196" s="35" t="s">
        <v>11143</v>
      </c>
      <c r="G1196" s="35">
        <v>240775</v>
      </c>
      <c r="H1196" s="35">
        <v>280020</v>
      </c>
      <c r="I1196" s="35">
        <v>200007</v>
      </c>
      <c r="J1196" s="34" t="s">
        <v>3511</v>
      </c>
      <c r="K1196" s="34" t="str">
        <f t="shared" si="39"/>
        <v>不重复</v>
      </c>
      <c r="L1196" s="34" t="str">
        <f t="shared" si="40"/>
        <v>不重复</v>
      </c>
    </row>
    <row r="1197" spans="1:12" ht="15">
      <c r="A1197" s="35" t="s">
        <v>11605</v>
      </c>
      <c r="B1197" s="35" t="s">
        <v>3512</v>
      </c>
      <c r="C1197" s="36" t="s">
        <v>2727</v>
      </c>
      <c r="D1197" s="35" t="s">
        <v>3513</v>
      </c>
      <c r="E1197" s="35" t="s">
        <v>11147</v>
      </c>
      <c r="F1197" s="35" t="s">
        <v>11143</v>
      </c>
      <c r="G1197" s="35">
        <v>240776</v>
      </c>
      <c r="H1197" s="35">
        <v>280020</v>
      </c>
      <c r="I1197" s="35">
        <v>200007</v>
      </c>
      <c r="J1197" s="34" t="s">
        <v>2387</v>
      </c>
      <c r="K1197" s="34" t="str">
        <f t="shared" si="39"/>
        <v>重复</v>
      </c>
      <c r="L1197" s="34" t="str">
        <f t="shared" si="40"/>
        <v>不重复</v>
      </c>
    </row>
    <row r="1198" spans="1:12" ht="15">
      <c r="A1198" s="35" t="s">
        <v>11606</v>
      </c>
      <c r="B1198" s="35" t="s">
        <v>3514</v>
      </c>
      <c r="C1198" s="36" t="s">
        <v>670</v>
      </c>
      <c r="D1198" s="35" t="s">
        <v>3515</v>
      </c>
      <c r="E1198" s="35" t="s">
        <v>11147</v>
      </c>
      <c r="F1198" s="35" t="s">
        <v>11143</v>
      </c>
      <c r="G1198" s="35">
        <v>240777</v>
      </c>
      <c r="H1198" s="35">
        <v>280020</v>
      </c>
      <c r="I1198" s="35">
        <v>200007</v>
      </c>
      <c r="J1198" s="34" t="s">
        <v>3516</v>
      </c>
      <c r="K1198" s="34" t="str">
        <f t="shared" si="39"/>
        <v>重复</v>
      </c>
      <c r="L1198" s="34" t="str">
        <f t="shared" si="40"/>
        <v>不重复</v>
      </c>
    </row>
    <row r="1199" spans="1:12" ht="15">
      <c r="A1199" s="35" t="s">
        <v>11607</v>
      </c>
      <c r="B1199" s="35" t="s">
        <v>3517</v>
      </c>
      <c r="C1199" s="36" t="s">
        <v>3094</v>
      </c>
      <c r="D1199" s="35" t="s">
        <v>3518</v>
      </c>
      <c r="E1199" s="35" t="s">
        <v>11147</v>
      </c>
      <c r="F1199" s="35" t="s">
        <v>11143</v>
      </c>
      <c r="G1199" s="35">
        <v>240778</v>
      </c>
      <c r="H1199" s="35">
        <v>280020</v>
      </c>
      <c r="I1199" s="35">
        <v>200007</v>
      </c>
      <c r="J1199" s="34" t="s">
        <v>2219</v>
      </c>
      <c r="K1199" s="34" t="str">
        <f t="shared" si="39"/>
        <v>重复</v>
      </c>
      <c r="L1199" s="34" t="str">
        <f t="shared" si="40"/>
        <v>重复</v>
      </c>
    </row>
    <row r="1200" spans="1:12" ht="15">
      <c r="A1200" s="35" t="s">
        <v>11608</v>
      </c>
      <c r="B1200" s="35" t="s">
        <v>3519</v>
      </c>
      <c r="C1200" s="36" t="s">
        <v>181</v>
      </c>
      <c r="D1200" s="35" t="s">
        <v>3518</v>
      </c>
      <c r="E1200" s="35" t="s">
        <v>11147</v>
      </c>
      <c r="F1200" s="35" t="s">
        <v>11143</v>
      </c>
      <c r="G1200" s="35">
        <v>240779</v>
      </c>
      <c r="H1200" s="35">
        <v>280020</v>
      </c>
      <c r="I1200" s="35">
        <v>200007</v>
      </c>
      <c r="J1200" s="34" t="s">
        <v>2577</v>
      </c>
      <c r="K1200" s="34" t="str">
        <f t="shared" si="39"/>
        <v>重复</v>
      </c>
      <c r="L1200" s="34" t="str">
        <f t="shared" si="40"/>
        <v>重复</v>
      </c>
    </row>
    <row r="1201" spans="1:12" ht="15">
      <c r="A1201" s="35" t="s">
        <v>11609</v>
      </c>
      <c r="B1201" s="35" t="s">
        <v>3520</v>
      </c>
      <c r="C1201" s="36" t="s">
        <v>1422</v>
      </c>
      <c r="D1201" s="35" t="s">
        <v>3521</v>
      </c>
      <c r="E1201" s="35" t="s">
        <v>11147</v>
      </c>
      <c r="F1201" s="35" t="s">
        <v>11143</v>
      </c>
      <c r="G1201" s="35">
        <v>240780</v>
      </c>
      <c r="H1201" s="35">
        <v>280020</v>
      </c>
      <c r="I1201" s="35">
        <v>200007</v>
      </c>
      <c r="J1201" s="34" t="s">
        <v>2334</v>
      </c>
      <c r="K1201" s="34" t="str">
        <f t="shared" si="39"/>
        <v>重复</v>
      </c>
      <c r="L1201" s="34" t="str">
        <f t="shared" si="40"/>
        <v>不重复</v>
      </c>
    </row>
    <row r="1202" spans="1:12" ht="15">
      <c r="A1202" s="35" t="s">
        <v>11610</v>
      </c>
      <c r="B1202" s="35" t="s">
        <v>3522</v>
      </c>
      <c r="C1202" s="36" t="s">
        <v>1429</v>
      </c>
      <c r="D1202" s="35" t="s">
        <v>3523</v>
      </c>
      <c r="E1202" s="35" t="s">
        <v>11147</v>
      </c>
      <c r="F1202" s="35" t="s">
        <v>11143</v>
      </c>
      <c r="G1202" s="35">
        <v>240781</v>
      </c>
      <c r="H1202" s="35">
        <v>280020</v>
      </c>
      <c r="I1202" s="35">
        <v>200007</v>
      </c>
      <c r="J1202" s="34" t="s">
        <v>3524</v>
      </c>
      <c r="K1202" s="34" t="str">
        <f t="shared" si="39"/>
        <v>重复</v>
      </c>
      <c r="L1202" s="34" t="str">
        <f t="shared" si="40"/>
        <v>重复</v>
      </c>
    </row>
    <row r="1203" spans="1:12" ht="15">
      <c r="A1203" s="35" t="s">
        <v>11611</v>
      </c>
      <c r="B1203" s="35" t="s">
        <v>3525</v>
      </c>
      <c r="C1203" s="36" t="s">
        <v>3526</v>
      </c>
      <c r="D1203" s="35" t="s">
        <v>3523</v>
      </c>
      <c r="E1203" s="35" t="s">
        <v>11147</v>
      </c>
      <c r="F1203" s="35" t="s">
        <v>11143</v>
      </c>
      <c r="G1203" s="35">
        <v>240782</v>
      </c>
      <c r="H1203" s="35">
        <v>280020</v>
      </c>
      <c r="I1203" s="35">
        <v>200007</v>
      </c>
      <c r="J1203" s="34" t="s">
        <v>2317</v>
      </c>
      <c r="K1203" s="34" t="str">
        <f t="shared" si="39"/>
        <v>重复</v>
      </c>
      <c r="L1203" s="34" t="str">
        <f t="shared" si="40"/>
        <v>重复</v>
      </c>
    </row>
    <row r="1204" spans="1:12" ht="15">
      <c r="A1204" s="35" t="s">
        <v>11612</v>
      </c>
      <c r="B1204" s="35" t="s">
        <v>3527</v>
      </c>
      <c r="C1204" s="36" t="s">
        <v>3528</v>
      </c>
      <c r="D1204" s="35" t="s">
        <v>3529</v>
      </c>
      <c r="E1204" s="35" t="s">
        <v>11147</v>
      </c>
      <c r="F1204" s="35" t="s">
        <v>11143</v>
      </c>
      <c r="G1204" s="35">
        <v>240783</v>
      </c>
      <c r="H1204" s="35">
        <v>280020</v>
      </c>
      <c r="I1204" s="35">
        <v>200007</v>
      </c>
      <c r="J1204" s="34" t="s">
        <v>3489</v>
      </c>
      <c r="K1204" s="34" t="str">
        <f t="shared" si="39"/>
        <v>重复</v>
      </c>
      <c r="L1204" s="34" t="str">
        <f t="shared" si="40"/>
        <v>不重复</v>
      </c>
    </row>
    <row r="1205" spans="1:12" ht="15">
      <c r="A1205" s="35" t="s">
        <v>11613</v>
      </c>
      <c r="B1205" s="35" t="s">
        <v>3530</v>
      </c>
      <c r="C1205" s="36" t="s">
        <v>1377</v>
      </c>
      <c r="D1205" s="35" t="s">
        <v>3531</v>
      </c>
      <c r="E1205" s="35" t="s">
        <v>11147</v>
      </c>
      <c r="F1205" s="35" t="s">
        <v>11143</v>
      </c>
      <c r="G1205" s="35">
        <v>240784</v>
      </c>
      <c r="H1205" s="35">
        <v>280020</v>
      </c>
      <c r="I1205" s="35">
        <v>200007</v>
      </c>
      <c r="J1205" s="34" t="s">
        <v>2317</v>
      </c>
      <c r="K1205" s="34" t="str">
        <f t="shared" si="39"/>
        <v>重复</v>
      </c>
      <c r="L1205" s="34" t="str">
        <f t="shared" si="40"/>
        <v>重复</v>
      </c>
    </row>
    <row r="1206" spans="1:12" ht="15">
      <c r="A1206" s="35" t="s">
        <v>11614</v>
      </c>
      <c r="B1206" s="35" t="s">
        <v>3532</v>
      </c>
      <c r="C1206" s="36" t="s">
        <v>2710</v>
      </c>
      <c r="D1206" s="35" t="s">
        <v>3531</v>
      </c>
      <c r="E1206" s="35" t="s">
        <v>11147</v>
      </c>
      <c r="F1206" s="35" t="s">
        <v>11143</v>
      </c>
      <c r="G1206" s="35">
        <v>240785</v>
      </c>
      <c r="H1206" s="35">
        <v>280020</v>
      </c>
      <c r="I1206" s="35">
        <v>200007</v>
      </c>
      <c r="J1206" s="34" t="s">
        <v>3533</v>
      </c>
      <c r="K1206" s="34" t="str">
        <f t="shared" si="39"/>
        <v>重复</v>
      </c>
      <c r="L1206" s="34" t="str">
        <f t="shared" si="40"/>
        <v>重复</v>
      </c>
    </row>
    <row r="1207" spans="1:12" ht="15">
      <c r="A1207" s="35" t="s">
        <v>11615</v>
      </c>
      <c r="B1207" s="35" t="s">
        <v>3534</v>
      </c>
      <c r="C1207" s="36" t="s">
        <v>3535</v>
      </c>
      <c r="D1207" s="35" t="s">
        <v>3531</v>
      </c>
      <c r="E1207" s="35" t="s">
        <v>11147</v>
      </c>
      <c r="F1207" s="35" t="s">
        <v>11143</v>
      </c>
      <c r="G1207" s="35">
        <v>240786</v>
      </c>
      <c r="H1207" s="35">
        <v>280020</v>
      </c>
      <c r="I1207" s="35">
        <v>200007</v>
      </c>
      <c r="J1207" s="34" t="s">
        <v>3516</v>
      </c>
      <c r="K1207" s="34" t="str">
        <f t="shared" si="39"/>
        <v>不重复</v>
      </c>
      <c r="L1207" s="34" t="str">
        <f t="shared" si="40"/>
        <v>重复</v>
      </c>
    </row>
    <row r="1208" spans="1:12" ht="15">
      <c r="A1208" s="35" t="s">
        <v>11616</v>
      </c>
      <c r="B1208" s="35" t="s">
        <v>3536</v>
      </c>
      <c r="C1208" s="36" t="s">
        <v>3537</v>
      </c>
      <c r="D1208" s="35" t="s">
        <v>3538</v>
      </c>
      <c r="E1208" s="35" t="s">
        <v>11147</v>
      </c>
      <c r="F1208" s="35" t="s">
        <v>11143</v>
      </c>
      <c r="G1208" s="35">
        <v>240787</v>
      </c>
      <c r="H1208" s="35">
        <v>280020</v>
      </c>
      <c r="I1208" s="35">
        <v>200007</v>
      </c>
      <c r="J1208" s="34" t="s">
        <v>3478</v>
      </c>
      <c r="K1208" s="34" t="str">
        <f t="shared" si="39"/>
        <v>不重复</v>
      </c>
      <c r="L1208" s="34" t="str">
        <f t="shared" si="40"/>
        <v>不重复</v>
      </c>
    </row>
    <row r="1209" spans="1:12" ht="15">
      <c r="A1209" s="35" t="s">
        <v>11617</v>
      </c>
      <c r="B1209" s="35" t="s">
        <v>3539</v>
      </c>
      <c r="C1209" s="36" t="s">
        <v>3540</v>
      </c>
      <c r="D1209" s="35" t="s">
        <v>3541</v>
      </c>
      <c r="E1209" s="35" t="s">
        <v>11147</v>
      </c>
      <c r="F1209" s="35" t="s">
        <v>11143</v>
      </c>
      <c r="G1209" s="35">
        <v>240788</v>
      </c>
      <c r="H1209" s="35">
        <v>280020</v>
      </c>
      <c r="I1209" s="35">
        <v>200007</v>
      </c>
      <c r="J1209" s="34" t="s">
        <v>1143</v>
      </c>
      <c r="K1209" s="34" t="str">
        <f t="shared" si="39"/>
        <v>不重复</v>
      </c>
      <c r="L1209" s="34" t="str">
        <f t="shared" si="40"/>
        <v>不重复</v>
      </c>
    </row>
    <row r="1210" spans="1:12" ht="15">
      <c r="A1210" s="35" t="s">
        <v>11618</v>
      </c>
      <c r="B1210" s="35" t="s">
        <v>3542</v>
      </c>
      <c r="C1210" s="36" t="s">
        <v>1052</v>
      </c>
      <c r="D1210" s="35" t="s">
        <v>3543</v>
      </c>
      <c r="E1210" s="35" t="s">
        <v>11147</v>
      </c>
      <c r="F1210" s="35" t="s">
        <v>11143</v>
      </c>
      <c r="G1210" s="35">
        <v>240789</v>
      </c>
      <c r="H1210" s="35">
        <v>280020</v>
      </c>
      <c r="I1210" s="35">
        <v>200007</v>
      </c>
      <c r="J1210" s="34" t="s">
        <v>3544</v>
      </c>
      <c r="K1210" s="34" t="str">
        <f t="shared" si="39"/>
        <v>重复</v>
      </c>
      <c r="L1210" s="34" t="str">
        <f t="shared" si="40"/>
        <v>不重复</v>
      </c>
    </row>
    <row r="1211" spans="1:12" ht="15">
      <c r="A1211" s="35" t="s">
        <v>11619</v>
      </c>
      <c r="B1211" s="35" t="s">
        <v>3545</v>
      </c>
      <c r="C1211" s="36" t="s">
        <v>3546</v>
      </c>
      <c r="D1211" s="35" t="s">
        <v>3547</v>
      </c>
      <c r="E1211" s="35" t="s">
        <v>11147</v>
      </c>
      <c r="F1211" s="35" t="s">
        <v>11143</v>
      </c>
      <c r="G1211" s="35">
        <v>240790</v>
      </c>
      <c r="H1211" s="35">
        <v>280020</v>
      </c>
      <c r="I1211" s="35">
        <v>200007</v>
      </c>
      <c r="J1211" s="34" t="s">
        <v>3548</v>
      </c>
      <c r="K1211" s="34" t="str">
        <f t="shared" si="39"/>
        <v>不重复</v>
      </c>
      <c r="L1211" s="34" t="str">
        <f t="shared" si="40"/>
        <v>不重复</v>
      </c>
    </row>
    <row r="1212" spans="1:12" ht="15">
      <c r="A1212" s="35" t="s">
        <v>11620</v>
      </c>
      <c r="B1212" s="35" t="s">
        <v>3549</v>
      </c>
      <c r="C1212" s="36" t="s">
        <v>3550</v>
      </c>
      <c r="D1212" s="35" t="s">
        <v>3551</v>
      </c>
      <c r="E1212" s="35" t="s">
        <v>11147</v>
      </c>
      <c r="F1212" s="35" t="s">
        <v>11143</v>
      </c>
      <c r="G1212" s="35">
        <v>240791</v>
      </c>
      <c r="H1212" s="35">
        <v>280020</v>
      </c>
      <c r="I1212" s="35">
        <v>200007</v>
      </c>
      <c r="J1212" s="34" t="s">
        <v>3552</v>
      </c>
      <c r="K1212" s="34" t="str">
        <f t="shared" si="39"/>
        <v>不重复</v>
      </c>
      <c r="L1212" s="34" t="str">
        <f t="shared" si="40"/>
        <v>不重复</v>
      </c>
    </row>
    <row r="1213" spans="1:12" ht="15">
      <c r="A1213" s="35" t="s">
        <v>11621</v>
      </c>
      <c r="B1213" s="35" t="s">
        <v>3553</v>
      </c>
      <c r="C1213" s="36" t="s">
        <v>3554</v>
      </c>
      <c r="D1213" s="35" t="s">
        <v>3555</v>
      </c>
      <c r="E1213" s="35" t="s">
        <v>11147</v>
      </c>
      <c r="F1213" s="35" t="s">
        <v>11143</v>
      </c>
      <c r="G1213" s="35">
        <v>240792</v>
      </c>
      <c r="H1213" s="35">
        <v>280020</v>
      </c>
      <c r="I1213" s="35">
        <v>200007</v>
      </c>
      <c r="J1213" s="34" t="s">
        <v>3478</v>
      </c>
      <c r="K1213" s="34" t="str">
        <f t="shared" si="39"/>
        <v>不重复</v>
      </c>
      <c r="L1213" s="34" t="str">
        <f t="shared" si="40"/>
        <v>不重复</v>
      </c>
    </row>
    <row r="1214" spans="1:12" ht="15">
      <c r="A1214" s="35" t="s">
        <v>11622</v>
      </c>
      <c r="B1214" s="35" t="s">
        <v>3556</v>
      </c>
      <c r="C1214" s="36" t="s">
        <v>1422</v>
      </c>
      <c r="D1214" s="35" t="s">
        <v>3557</v>
      </c>
      <c r="E1214" s="35" t="s">
        <v>11147</v>
      </c>
      <c r="F1214" s="35" t="s">
        <v>11143</v>
      </c>
      <c r="G1214" s="35">
        <v>240793</v>
      </c>
      <c r="H1214" s="35">
        <v>280020</v>
      </c>
      <c r="I1214" s="35">
        <v>200007</v>
      </c>
      <c r="J1214" s="34" t="s">
        <v>3473</v>
      </c>
      <c r="K1214" s="34" t="str">
        <f t="shared" si="39"/>
        <v>重复</v>
      </c>
      <c r="L1214" s="34" t="str">
        <f t="shared" si="40"/>
        <v>不重复</v>
      </c>
    </row>
    <row r="1215" spans="1:12" ht="15">
      <c r="A1215" s="35" t="s">
        <v>11623</v>
      </c>
      <c r="B1215" s="35" t="s">
        <v>3558</v>
      </c>
      <c r="C1215" s="36" t="s">
        <v>1032</v>
      </c>
      <c r="D1215" s="35" t="s">
        <v>3559</v>
      </c>
      <c r="E1215" s="35" t="s">
        <v>11147</v>
      </c>
      <c r="F1215" s="35" t="s">
        <v>11143</v>
      </c>
      <c r="G1215" s="35">
        <v>240794</v>
      </c>
      <c r="H1215" s="35">
        <v>280020</v>
      </c>
      <c r="I1215" s="35">
        <v>200007</v>
      </c>
      <c r="J1215" s="34" t="s">
        <v>3478</v>
      </c>
      <c r="K1215" s="34" t="str">
        <f t="shared" si="39"/>
        <v>重复</v>
      </c>
      <c r="L1215" s="34" t="str">
        <f t="shared" si="40"/>
        <v>不重复</v>
      </c>
    </row>
    <row r="1216" spans="1:12" ht="15">
      <c r="A1216" s="35" t="s">
        <v>11624</v>
      </c>
      <c r="B1216" s="35" t="s">
        <v>3560</v>
      </c>
      <c r="C1216" s="36" t="s">
        <v>3561</v>
      </c>
      <c r="D1216" s="35" t="s">
        <v>3562</v>
      </c>
      <c r="E1216" s="35" t="s">
        <v>11147</v>
      </c>
      <c r="F1216" s="35" t="s">
        <v>11143</v>
      </c>
      <c r="G1216" s="35">
        <v>240795</v>
      </c>
      <c r="H1216" s="35">
        <v>280020</v>
      </c>
      <c r="I1216" s="35">
        <v>200007</v>
      </c>
      <c r="J1216" s="34" t="s">
        <v>2512</v>
      </c>
      <c r="K1216" s="34" t="str">
        <f t="shared" si="39"/>
        <v>不重复</v>
      </c>
      <c r="L1216" s="34" t="str">
        <f t="shared" si="40"/>
        <v>不重复</v>
      </c>
    </row>
    <row r="1217" spans="1:12" ht="30">
      <c r="A1217" s="35" t="s">
        <v>11625</v>
      </c>
      <c r="B1217" s="35" t="s">
        <v>3563</v>
      </c>
      <c r="C1217" s="36" t="s">
        <v>215</v>
      </c>
      <c r="D1217" s="35" t="s">
        <v>3564</v>
      </c>
      <c r="E1217" s="35" t="s">
        <v>11147</v>
      </c>
      <c r="F1217" s="35" t="s">
        <v>11143</v>
      </c>
      <c r="G1217" s="35">
        <v>240796</v>
      </c>
      <c r="H1217" s="35">
        <v>280020</v>
      </c>
      <c r="I1217" s="35">
        <v>200007</v>
      </c>
      <c r="J1217" s="34" t="s">
        <v>3565</v>
      </c>
      <c r="K1217" s="34" t="str">
        <f t="shared" si="39"/>
        <v>重复</v>
      </c>
      <c r="L1217" s="34" t="str">
        <f t="shared" si="40"/>
        <v>不重复</v>
      </c>
    </row>
    <row r="1218" spans="1:12" ht="15">
      <c r="A1218" s="35" t="s">
        <v>11626</v>
      </c>
      <c r="B1218" s="35" t="s">
        <v>3566</v>
      </c>
      <c r="C1218" s="36" t="s">
        <v>1422</v>
      </c>
      <c r="D1218" s="35" t="s">
        <v>3567</v>
      </c>
      <c r="E1218" s="35" t="s">
        <v>11147</v>
      </c>
      <c r="F1218" s="35" t="s">
        <v>11143</v>
      </c>
      <c r="G1218" s="35">
        <v>240797</v>
      </c>
      <c r="H1218" s="35">
        <v>280020</v>
      </c>
      <c r="I1218" s="35">
        <v>200007</v>
      </c>
      <c r="J1218" s="34" t="s">
        <v>3568</v>
      </c>
      <c r="K1218" s="34" t="str">
        <f t="shared" si="39"/>
        <v>重复</v>
      </c>
      <c r="L1218" s="34" t="str">
        <f t="shared" si="40"/>
        <v>不重复</v>
      </c>
    </row>
    <row r="1219" spans="1:12" ht="15">
      <c r="A1219" s="35" t="s">
        <v>11627</v>
      </c>
      <c r="B1219" s="35" t="s">
        <v>3569</v>
      </c>
      <c r="C1219" s="36" t="s">
        <v>208</v>
      </c>
      <c r="D1219" s="35" t="s">
        <v>3570</v>
      </c>
      <c r="E1219" s="35" t="s">
        <v>11147</v>
      </c>
      <c r="F1219" s="35" t="s">
        <v>11143</v>
      </c>
      <c r="G1219" s="35">
        <v>240798</v>
      </c>
      <c r="H1219" s="35">
        <v>280020</v>
      </c>
      <c r="I1219" s="35">
        <v>200007</v>
      </c>
      <c r="J1219" s="34" t="s">
        <v>3565</v>
      </c>
      <c r="K1219" s="34" t="str">
        <f t="shared" si="39"/>
        <v>重复</v>
      </c>
      <c r="L1219" s="34" t="str">
        <f t="shared" si="40"/>
        <v>不重复</v>
      </c>
    </row>
    <row r="1220" spans="1:12" ht="15">
      <c r="A1220" s="35" t="s">
        <v>11628</v>
      </c>
      <c r="B1220" s="35" t="s">
        <v>3571</v>
      </c>
      <c r="C1220" s="36" t="s">
        <v>2706</v>
      </c>
      <c r="D1220" s="35" t="s">
        <v>3572</v>
      </c>
      <c r="E1220" s="35" t="s">
        <v>11147</v>
      </c>
      <c r="F1220" s="35" t="s">
        <v>11143</v>
      </c>
      <c r="G1220" s="35">
        <v>240799</v>
      </c>
      <c r="H1220" s="35">
        <v>280020</v>
      </c>
      <c r="I1220" s="35">
        <v>200007</v>
      </c>
      <c r="J1220" s="34" t="s">
        <v>2219</v>
      </c>
      <c r="K1220" s="34" t="str">
        <f t="shared" si="39"/>
        <v>重复</v>
      </c>
      <c r="L1220" s="34" t="str">
        <f t="shared" si="40"/>
        <v>不重复</v>
      </c>
    </row>
    <row r="1221" spans="1:12" ht="15">
      <c r="A1221" s="35" t="s">
        <v>11629</v>
      </c>
      <c r="B1221" s="35" t="s">
        <v>3573</v>
      </c>
      <c r="C1221" s="36" t="s">
        <v>631</v>
      </c>
      <c r="D1221" s="35" t="s">
        <v>3574</v>
      </c>
      <c r="E1221" s="35" t="s">
        <v>11147</v>
      </c>
      <c r="F1221" s="35" t="s">
        <v>11143</v>
      </c>
      <c r="G1221" s="35">
        <v>240800</v>
      </c>
      <c r="H1221" s="35">
        <v>280020</v>
      </c>
      <c r="I1221" s="35">
        <v>200007</v>
      </c>
      <c r="J1221" s="34" t="s">
        <v>2219</v>
      </c>
      <c r="K1221" s="34" t="str">
        <f t="shared" si="39"/>
        <v>重复</v>
      </c>
      <c r="L1221" s="34" t="str">
        <f t="shared" si="40"/>
        <v>重复</v>
      </c>
    </row>
    <row r="1222" spans="1:12" ht="15">
      <c r="A1222" s="35" t="s">
        <v>11630</v>
      </c>
      <c r="B1222" s="35" t="s">
        <v>3575</v>
      </c>
      <c r="C1222" s="36" t="s">
        <v>3576</v>
      </c>
      <c r="D1222" s="35" t="s">
        <v>3574</v>
      </c>
      <c r="E1222" s="35" t="s">
        <v>11147</v>
      </c>
      <c r="F1222" s="35" t="s">
        <v>11143</v>
      </c>
      <c r="G1222" s="35">
        <v>240801</v>
      </c>
      <c r="H1222" s="35">
        <v>280020</v>
      </c>
      <c r="I1222" s="35">
        <v>200007</v>
      </c>
      <c r="J1222" s="34" t="s">
        <v>1143</v>
      </c>
      <c r="K1222" s="34" t="str">
        <f t="shared" si="39"/>
        <v>重复</v>
      </c>
      <c r="L1222" s="34" t="str">
        <f t="shared" si="40"/>
        <v>重复</v>
      </c>
    </row>
    <row r="1223" spans="1:12" ht="15">
      <c r="A1223" s="35" t="s">
        <v>11631</v>
      </c>
      <c r="B1223" s="35" t="s">
        <v>3577</v>
      </c>
      <c r="C1223" s="36" t="s">
        <v>2628</v>
      </c>
      <c r="D1223" s="35" t="s">
        <v>3578</v>
      </c>
      <c r="E1223" s="35" t="s">
        <v>11147</v>
      </c>
      <c r="F1223" s="35" t="s">
        <v>11143</v>
      </c>
      <c r="G1223" s="35">
        <v>240802</v>
      </c>
      <c r="H1223" s="35">
        <v>280020</v>
      </c>
      <c r="I1223" s="35">
        <v>200007</v>
      </c>
      <c r="J1223" s="34" t="s">
        <v>711</v>
      </c>
      <c r="K1223" s="34" t="str">
        <f t="shared" si="39"/>
        <v>重复</v>
      </c>
      <c r="L1223" s="34" t="str">
        <f t="shared" si="40"/>
        <v>重复</v>
      </c>
    </row>
    <row r="1224" spans="1:12" ht="15">
      <c r="A1224" s="35" t="s">
        <v>11632</v>
      </c>
      <c r="B1224" s="35" t="s">
        <v>3577</v>
      </c>
      <c r="C1224" s="36" t="s">
        <v>3579</v>
      </c>
      <c r="D1224" s="35" t="s">
        <v>3578</v>
      </c>
      <c r="E1224" s="35" t="s">
        <v>11147</v>
      </c>
      <c r="F1224" s="35" t="s">
        <v>11143</v>
      </c>
      <c r="G1224" s="35">
        <v>240803</v>
      </c>
      <c r="H1224" s="35">
        <v>280020</v>
      </c>
      <c r="I1224" s="35">
        <v>200007</v>
      </c>
      <c r="J1224" s="34" t="s">
        <v>3516</v>
      </c>
      <c r="K1224" s="34" t="str">
        <f t="shared" si="39"/>
        <v>重复</v>
      </c>
      <c r="L1224" s="34" t="str">
        <f t="shared" si="40"/>
        <v>重复</v>
      </c>
    </row>
    <row r="1225" spans="1:12" ht="27">
      <c r="A1225" s="35" t="s">
        <v>11633</v>
      </c>
      <c r="B1225" s="35" t="s">
        <v>3577</v>
      </c>
      <c r="C1225" s="36" t="s">
        <v>2628</v>
      </c>
      <c r="D1225" s="35" t="s">
        <v>3578</v>
      </c>
      <c r="E1225" s="35" t="s">
        <v>11147</v>
      </c>
      <c r="F1225" s="35" t="s">
        <v>11143</v>
      </c>
      <c r="G1225" s="35">
        <v>240804</v>
      </c>
      <c r="H1225" s="35">
        <v>280020</v>
      </c>
      <c r="I1225" s="35">
        <v>200007</v>
      </c>
      <c r="J1225" s="34" t="s">
        <v>711</v>
      </c>
      <c r="K1225" s="34" t="str">
        <f t="shared" si="39"/>
        <v>重复</v>
      </c>
      <c r="L1225" s="34" t="str">
        <f t="shared" si="40"/>
        <v>重复</v>
      </c>
    </row>
    <row r="1226" spans="1:12" ht="30">
      <c r="A1226" s="35" t="s">
        <v>11634</v>
      </c>
      <c r="B1226" s="35" t="s">
        <v>3580</v>
      </c>
      <c r="C1226" s="36" t="s">
        <v>3581</v>
      </c>
      <c r="D1226" s="35" t="s">
        <v>3582</v>
      </c>
      <c r="E1226" s="35" t="s">
        <v>11147</v>
      </c>
      <c r="F1226" s="35" t="s">
        <v>11143</v>
      </c>
      <c r="G1226" s="35">
        <v>240805</v>
      </c>
      <c r="H1226" s="35">
        <v>280020</v>
      </c>
      <c r="I1226" s="35">
        <v>200007</v>
      </c>
      <c r="J1226" s="34" t="s">
        <v>3524</v>
      </c>
      <c r="K1226" s="34" t="str">
        <f t="shared" si="39"/>
        <v>不重复</v>
      </c>
      <c r="L1226" s="34" t="str">
        <f t="shared" si="40"/>
        <v>不重复</v>
      </c>
    </row>
    <row r="1227" spans="1:12" ht="30">
      <c r="A1227" s="35" t="s">
        <v>11635</v>
      </c>
      <c r="B1227" s="35" t="s">
        <v>3583</v>
      </c>
      <c r="C1227" s="36" t="s">
        <v>3584</v>
      </c>
      <c r="D1227" s="35" t="s">
        <v>3585</v>
      </c>
      <c r="E1227" s="35" t="s">
        <v>11147</v>
      </c>
      <c r="F1227" s="35" t="s">
        <v>11143</v>
      </c>
      <c r="G1227" s="35">
        <v>240806</v>
      </c>
      <c r="H1227" s="35">
        <v>280020</v>
      </c>
      <c r="I1227" s="35">
        <v>200007</v>
      </c>
      <c r="J1227" s="34" t="s">
        <v>3586</v>
      </c>
      <c r="K1227" s="34" t="str">
        <f t="shared" si="39"/>
        <v>不重复</v>
      </c>
      <c r="L1227" s="34" t="str">
        <f t="shared" si="40"/>
        <v>不重复</v>
      </c>
    </row>
    <row r="1228" spans="1:12" ht="27">
      <c r="A1228" s="35" t="s">
        <v>11636</v>
      </c>
      <c r="B1228" s="35" t="s">
        <v>3587</v>
      </c>
      <c r="C1228" s="36" t="s">
        <v>3588</v>
      </c>
      <c r="D1228" s="35" t="s">
        <v>3589</v>
      </c>
      <c r="E1228" s="35" t="s">
        <v>11147</v>
      </c>
      <c r="F1228" s="35" t="s">
        <v>11143</v>
      </c>
      <c r="G1228" s="35">
        <v>240807</v>
      </c>
      <c r="H1228" s="35">
        <v>280020</v>
      </c>
      <c r="I1228" s="35">
        <v>200007</v>
      </c>
      <c r="J1228" s="34" t="s">
        <v>3185</v>
      </c>
      <c r="K1228" s="34" t="str">
        <f t="shared" si="39"/>
        <v>不重复</v>
      </c>
      <c r="L1228" s="34" t="str">
        <f t="shared" si="40"/>
        <v>不重复</v>
      </c>
    </row>
    <row r="1229" spans="1:12" ht="30">
      <c r="A1229" s="35" t="s">
        <v>11637</v>
      </c>
      <c r="B1229" s="35" t="s">
        <v>3590</v>
      </c>
      <c r="C1229" s="36" t="s">
        <v>3471</v>
      </c>
      <c r="D1229" s="35" t="s">
        <v>3591</v>
      </c>
      <c r="E1229" s="35" t="s">
        <v>11147</v>
      </c>
      <c r="F1229" s="35" t="s">
        <v>11143</v>
      </c>
      <c r="G1229" s="35">
        <v>240808</v>
      </c>
      <c r="H1229" s="35">
        <v>280020</v>
      </c>
      <c r="I1229" s="35">
        <v>200007</v>
      </c>
      <c r="J1229" s="34" t="s">
        <v>3592</v>
      </c>
      <c r="K1229" s="34" t="str">
        <f t="shared" si="39"/>
        <v>重复</v>
      </c>
      <c r="L1229" s="34" t="str">
        <f t="shared" si="40"/>
        <v>不重复</v>
      </c>
    </row>
    <row r="1230" spans="1:12" ht="30">
      <c r="A1230" s="35" t="s">
        <v>11638</v>
      </c>
      <c r="B1230" s="35" t="s">
        <v>3593</v>
      </c>
      <c r="C1230" s="36" t="s">
        <v>3445</v>
      </c>
      <c r="D1230" s="35" t="s">
        <v>3594</v>
      </c>
      <c r="E1230" s="35" t="s">
        <v>11147</v>
      </c>
      <c r="F1230" s="35" t="s">
        <v>11143</v>
      </c>
      <c r="G1230" s="35">
        <v>240809</v>
      </c>
      <c r="H1230" s="35">
        <v>280020</v>
      </c>
      <c r="I1230" s="35">
        <v>200007</v>
      </c>
      <c r="J1230" s="34" t="s">
        <v>3185</v>
      </c>
      <c r="K1230" s="34" t="str">
        <f t="shared" si="39"/>
        <v>重复</v>
      </c>
      <c r="L1230" s="34" t="str">
        <f t="shared" si="40"/>
        <v>重复</v>
      </c>
    </row>
    <row r="1231" spans="1:12" ht="30">
      <c r="A1231" s="35" t="s">
        <v>11639</v>
      </c>
      <c r="B1231" s="35" t="s">
        <v>3593</v>
      </c>
      <c r="C1231" s="36" t="s">
        <v>3595</v>
      </c>
      <c r="D1231" s="35" t="s">
        <v>3594</v>
      </c>
      <c r="E1231" s="35" t="s">
        <v>11147</v>
      </c>
      <c r="F1231" s="35" t="s">
        <v>11143</v>
      </c>
      <c r="G1231" s="35">
        <v>240810</v>
      </c>
      <c r="H1231" s="35">
        <v>280020</v>
      </c>
      <c r="I1231" s="35">
        <v>200007</v>
      </c>
      <c r="J1231" s="34" t="s">
        <v>1143</v>
      </c>
      <c r="K1231" s="34" t="str">
        <f t="shared" si="39"/>
        <v>不重复</v>
      </c>
      <c r="L1231" s="34" t="str">
        <f t="shared" si="40"/>
        <v>重复</v>
      </c>
    </row>
    <row r="1232" spans="1:12" ht="40.5">
      <c r="A1232" s="35" t="s">
        <v>11640</v>
      </c>
      <c r="B1232" s="35" t="s">
        <v>3593</v>
      </c>
      <c r="C1232" s="36" t="s">
        <v>3445</v>
      </c>
      <c r="D1232" s="35" t="s">
        <v>3594</v>
      </c>
      <c r="E1232" s="35" t="s">
        <v>11147</v>
      </c>
      <c r="F1232" s="35" t="s">
        <v>11143</v>
      </c>
      <c r="G1232" s="35">
        <v>240811</v>
      </c>
      <c r="H1232" s="35">
        <v>280020</v>
      </c>
      <c r="I1232" s="35">
        <v>200007</v>
      </c>
      <c r="J1232" s="34" t="s">
        <v>3185</v>
      </c>
      <c r="K1232" s="34" t="str">
        <f t="shared" si="39"/>
        <v>重复</v>
      </c>
      <c r="L1232" s="34" t="str">
        <f t="shared" si="40"/>
        <v>重复</v>
      </c>
    </row>
    <row r="1233" spans="1:12" ht="30">
      <c r="A1233" s="35" t="s">
        <v>11641</v>
      </c>
      <c r="B1233" s="35" t="s">
        <v>3596</v>
      </c>
      <c r="C1233" s="36" t="s">
        <v>3597</v>
      </c>
      <c r="D1233" s="35" t="s">
        <v>3598</v>
      </c>
      <c r="E1233" s="35" t="s">
        <v>11147</v>
      </c>
      <c r="F1233" s="35" t="s">
        <v>11143</v>
      </c>
      <c r="G1233" s="35">
        <v>240812</v>
      </c>
      <c r="H1233" s="35">
        <v>280020</v>
      </c>
      <c r="I1233" s="35">
        <v>200007</v>
      </c>
      <c r="J1233" s="34" t="s">
        <v>3185</v>
      </c>
      <c r="K1233" s="34" t="str">
        <f t="shared" si="39"/>
        <v>不重复</v>
      </c>
      <c r="L1233" s="34" t="str">
        <f t="shared" si="40"/>
        <v>不重复</v>
      </c>
    </row>
    <row r="1234" spans="1:12" ht="27">
      <c r="A1234" s="35" t="s">
        <v>11642</v>
      </c>
      <c r="B1234" s="35" t="s">
        <v>3599</v>
      </c>
      <c r="C1234" s="36" t="s">
        <v>3600</v>
      </c>
      <c r="D1234" s="35" t="s">
        <v>3601</v>
      </c>
      <c r="E1234" s="35" t="s">
        <v>11147</v>
      </c>
      <c r="F1234" s="35" t="s">
        <v>11143</v>
      </c>
      <c r="G1234" s="35">
        <v>240813</v>
      </c>
      <c r="H1234" s="35">
        <v>280020</v>
      </c>
      <c r="I1234" s="35">
        <v>200007</v>
      </c>
      <c r="J1234" s="34" t="s">
        <v>3493</v>
      </c>
      <c r="K1234" s="34" t="str">
        <f t="shared" si="39"/>
        <v>重复</v>
      </c>
      <c r="L1234" s="34" t="str">
        <f t="shared" si="40"/>
        <v>不重复</v>
      </c>
    </row>
    <row r="1235" spans="1:12" ht="30">
      <c r="A1235" s="35" t="s">
        <v>11643</v>
      </c>
      <c r="B1235" s="35" t="s">
        <v>3602</v>
      </c>
      <c r="C1235" s="36" t="s">
        <v>3460</v>
      </c>
      <c r="D1235" s="35" t="s">
        <v>3603</v>
      </c>
      <c r="E1235" s="35" t="s">
        <v>11147</v>
      </c>
      <c r="F1235" s="35" t="s">
        <v>11143</v>
      </c>
      <c r="G1235" s="35">
        <v>240814</v>
      </c>
      <c r="H1235" s="35">
        <v>280020</v>
      </c>
      <c r="I1235" s="35">
        <v>200007</v>
      </c>
      <c r="J1235" s="34" t="s">
        <v>3437</v>
      </c>
      <c r="K1235" s="34" t="str">
        <f t="shared" si="39"/>
        <v>重复</v>
      </c>
      <c r="L1235" s="34" t="str">
        <f t="shared" si="40"/>
        <v>重复</v>
      </c>
    </row>
    <row r="1236" spans="1:12" ht="30">
      <c r="A1236" s="35" t="s">
        <v>11644</v>
      </c>
      <c r="B1236" s="35" t="s">
        <v>3602</v>
      </c>
      <c r="C1236" s="36" t="s">
        <v>3604</v>
      </c>
      <c r="D1236" s="35" t="s">
        <v>3603</v>
      </c>
      <c r="E1236" s="35" t="s">
        <v>11147</v>
      </c>
      <c r="F1236" s="35" t="s">
        <v>11143</v>
      </c>
      <c r="G1236" s="35">
        <v>240815</v>
      </c>
      <c r="H1236" s="35">
        <v>280020</v>
      </c>
      <c r="I1236" s="35">
        <v>200007</v>
      </c>
      <c r="J1236" s="34" t="s">
        <v>3605</v>
      </c>
      <c r="K1236" s="34" t="str">
        <f t="shared" si="39"/>
        <v>不重复</v>
      </c>
      <c r="L1236" s="34" t="str">
        <f t="shared" si="40"/>
        <v>重复</v>
      </c>
    </row>
    <row r="1237" spans="1:12" ht="40.5">
      <c r="A1237" s="35" t="s">
        <v>11645</v>
      </c>
      <c r="B1237" s="35" t="s">
        <v>3602</v>
      </c>
      <c r="C1237" s="36" t="s">
        <v>3460</v>
      </c>
      <c r="D1237" s="35" t="s">
        <v>3603</v>
      </c>
      <c r="E1237" s="35" t="s">
        <v>11147</v>
      </c>
      <c r="F1237" s="35" t="s">
        <v>11143</v>
      </c>
      <c r="G1237" s="35">
        <v>240816</v>
      </c>
      <c r="H1237" s="35">
        <v>280020</v>
      </c>
      <c r="I1237" s="35">
        <v>200007</v>
      </c>
      <c r="J1237" s="34" t="s">
        <v>3437</v>
      </c>
      <c r="K1237" s="34" t="str">
        <f t="shared" si="39"/>
        <v>重复</v>
      </c>
      <c r="L1237" s="34" t="str">
        <f t="shared" si="40"/>
        <v>重复</v>
      </c>
    </row>
    <row r="1238" spans="1:12" ht="30">
      <c r="A1238" s="35" t="s">
        <v>11646</v>
      </c>
      <c r="B1238" s="35" t="s">
        <v>3606</v>
      </c>
      <c r="C1238" s="36" t="s">
        <v>3607</v>
      </c>
      <c r="D1238" s="35" t="s">
        <v>3608</v>
      </c>
      <c r="E1238" s="35" t="s">
        <v>11147</v>
      </c>
      <c r="F1238" s="35" t="s">
        <v>11143</v>
      </c>
      <c r="G1238" s="35">
        <v>240817</v>
      </c>
      <c r="H1238" s="35">
        <v>280020</v>
      </c>
      <c r="I1238" s="35">
        <v>200007</v>
      </c>
      <c r="J1238" s="34" t="s">
        <v>3609</v>
      </c>
      <c r="K1238" s="34" t="str">
        <f t="shared" si="41" ref="K1238:K1301">IF(COUNTIF(C:C,C1238)&gt;=2,"重复","不重复")</f>
        <v>不重复</v>
      </c>
      <c r="L1238" s="34" t="str">
        <f t="shared" si="40"/>
        <v>重复</v>
      </c>
    </row>
    <row r="1239" spans="1:12" ht="30">
      <c r="A1239" s="35" t="s">
        <v>11647</v>
      </c>
      <c r="B1239" s="35" t="s">
        <v>3610</v>
      </c>
      <c r="C1239" s="36" t="s">
        <v>3611</v>
      </c>
      <c r="D1239" s="35" t="s">
        <v>3612</v>
      </c>
      <c r="E1239" s="35" t="s">
        <v>11147</v>
      </c>
      <c r="F1239" s="35" t="s">
        <v>11143</v>
      </c>
      <c r="G1239" s="35">
        <v>240818</v>
      </c>
      <c r="H1239" s="35">
        <v>280020</v>
      </c>
      <c r="I1239" s="35">
        <v>200007</v>
      </c>
      <c r="J1239" s="34" t="s">
        <v>152</v>
      </c>
      <c r="K1239" s="34" t="str">
        <f t="shared" si="41"/>
        <v>重复</v>
      </c>
      <c r="L1239" s="34" t="str">
        <f t="shared" si="40"/>
        <v>重复</v>
      </c>
    </row>
    <row r="1240" spans="1:12" ht="30">
      <c r="A1240" s="35" t="s">
        <v>11648</v>
      </c>
      <c r="B1240" s="35" t="s">
        <v>3610</v>
      </c>
      <c r="C1240" s="36" t="s">
        <v>3613</v>
      </c>
      <c r="D1240" s="35" t="s">
        <v>3612</v>
      </c>
      <c r="E1240" s="35" t="s">
        <v>11147</v>
      </c>
      <c r="F1240" s="35" t="s">
        <v>11143</v>
      </c>
      <c r="G1240" s="35">
        <v>240819</v>
      </c>
      <c r="H1240" s="35">
        <v>280020</v>
      </c>
      <c r="I1240" s="35">
        <v>200007</v>
      </c>
      <c r="J1240" s="34" t="s">
        <v>3516</v>
      </c>
      <c r="K1240" s="34" t="str">
        <f t="shared" si="41"/>
        <v>不重复</v>
      </c>
      <c r="L1240" s="34" t="str">
        <f t="shared" si="40"/>
        <v>重复</v>
      </c>
    </row>
    <row r="1241" spans="1:12" ht="30">
      <c r="A1241" s="35" t="s">
        <v>11649</v>
      </c>
      <c r="B1241" s="35" t="s">
        <v>3610</v>
      </c>
      <c r="C1241" s="36" t="s">
        <v>3614</v>
      </c>
      <c r="D1241" s="35" t="s">
        <v>3612</v>
      </c>
      <c r="E1241" s="35" t="s">
        <v>11147</v>
      </c>
      <c r="F1241" s="35" t="s">
        <v>11143</v>
      </c>
      <c r="G1241" s="35">
        <v>240820</v>
      </c>
      <c r="H1241" s="35">
        <v>280020</v>
      </c>
      <c r="I1241" s="35">
        <v>200007</v>
      </c>
      <c r="J1241" s="34" t="s">
        <v>3443</v>
      </c>
      <c r="K1241" s="34" t="str">
        <f t="shared" si="41"/>
        <v>不重复</v>
      </c>
      <c r="L1241" s="34" t="str">
        <f t="shared" si="40"/>
        <v>重复</v>
      </c>
    </row>
    <row r="1242" spans="1:12" ht="40.5">
      <c r="A1242" s="35" t="s">
        <v>11650</v>
      </c>
      <c r="B1242" s="35" t="s">
        <v>3610</v>
      </c>
      <c r="C1242" s="36" t="s">
        <v>3611</v>
      </c>
      <c r="D1242" s="35" t="s">
        <v>3612</v>
      </c>
      <c r="E1242" s="35" t="s">
        <v>11147</v>
      </c>
      <c r="F1242" s="35" t="s">
        <v>11143</v>
      </c>
      <c r="G1242" s="35">
        <v>240821</v>
      </c>
      <c r="H1242" s="35">
        <v>280020</v>
      </c>
      <c r="I1242" s="35">
        <v>200007</v>
      </c>
      <c r="J1242" s="34" t="s">
        <v>152</v>
      </c>
      <c r="K1242" s="34" t="str">
        <f t="shared" si="41"/>
        <v>重复</v>
      </c>
      <c r="L1242" s="34" t="str">
        <f t="shared" si="40"/>
        <v>重复</v>
      </c>
    </row>
    <row r="1243" spans="1:12" ht="27">
      <c r="A1243" s="35" t="s">
        <v>11651</v>
      </c>
      <c r="B1243" s="35" t="s">
        <v>3615</v>
      </c>
      <c r="C1243" s="36" t="s">
        <v>3616</v>
      </c>
      <c r="D1243" s="35" t="s">
        <v>3617</v>
      </c>
      <c r="E1243" s="35" t="s">
        <v>11147</v>
      </c>
      <c r="F1243" s="35" t="s">
        <v>11143</v>
      </c>
      <c r="G1243" s="35">
        <v>240822</v>
      </c>
      <c r="H1243" s="35">
        <v>280020</v>
      </c>
      <c r="I1243" s="35">
        <v>200007</v>
      </c>
      <c r="J1243" s="34" t="s">
        <v>3618</v>
      </c>
      <c r="K1243" s="34" t="str">
        <f t="shared" si="41"/>
        <v>不重复</v>
      </c>
      <c r="L1243" s="34" t="str">
        <f t="shared" si="40"/>
        <v>不重复</v>
      </c>
    </row>
    <row r="1244" spans="1:12" ht="30">
      <c r="A1244" s="35" t="s">
        <v>11652</v>
      </c>
      <c r="B1244" s="35" t="s">
        <v>3619</v>
      </c>
      <c r="C1244" s="36" t="s">
        <v>3620</v>
      </c>
      <c r="D1244" s="35" t="s">
        <v>3621</v>
      </c>
      <c r="E1244" s="35" t="s">
        <v>11147</v>
      </c>
      <c r="F1244" s="35" t="s">
        <v>11143</v>
      </c>
      <c r="G1244" s="35">
        <v>240823</v>
      </c>
      <c r="H1244" s="35">
        <v>280020</v>
      </c>
      <c r="I1244" s="35">
        <v>200007</v>
      </c>
      <c r="J1244" s="34" t="s">
        <v>2839</v>
      </c>
      <c r="K1244" s="34" t="str">
        <f t="shared" si="41"/>
        <v>重复</v>
      </c>
      <c r="L1244" s="34" t="str">
        <f t="shared" si="40"/>
        <v>不重复</v>
      </c>
    </row>
    <row r="1245" spans="1:12" ht="27">
      <c r="A1245" s="35" t="s">
        <v>11653</v>
      </c>
      <c r="B1245" s="35" t="s">
        <v>3622</v>
      </c>
      <c r="C1245" s="36" t="s">
        <v>2368</v>
      </c>
      <c r="D1245" s="35" t="s">
        <v>3623</v>
      </c>
      <c r="E1245" s="35" t="s">
        <v>11147</v>
      </c>
      <c r="F1245" s="35" t="s">
        <v>11143</v>
      </c>
      <c r="G1245" s="35">
        <v>240824</v>
      </c>
      <c r="H1245" s="35">
        <v>280020</v>
      </c>
      <c r="I1245" s="35">
        <v>200007</v>
      </c>
      <c r="J1245" s="34" t="s">
        <v>2839</v>
      </c>
      <c r="K1245" s="34" t="str">
        <f t="shared" si="41"/>
        <v>重复</v>
      </c>
      <c r="L1245" s="34" t="str">
        <f t="shared" si="40"/>
        <v>不重复</v>
      </c>
    </row>
    <row r="1246" spans="1:12" ht="30">
      <c r="A1246" s="35" t="s">
        <v>11654</v>
      </c>
      <c r="B1246" s="35" t="s">
        <v>3624</v>
      </c>
      <c r="C1246" s="36" t="s">
        <v>3445</v>
      </c>
      <c r="D1246" s="35" t="s">
        <v>3594</v>
      </c>
      <c r="E1246" s="35" t="s">
        <v>11147</v>
      </c>
      <c r="F1246" s="35" t="s">
        <v>11143</v>
      </c>
      <c r="G1246" s="35">
        <v>240825</v>
      </c>
      <c r="H1246" s="35">
        <v>280020</v>
      </c>
      <c r="I1246" s="35">
        <v>200007</v>
      </c>
      <c r="J1246" s="34" t="s">
        <v>2839</v>
      </c>
      <c r="K1246" s="34" t="str">
        <f t="shared" si="41"/>
        <v>重复</v>
      </c>
      <c r="L1246" s="34" t="str">
        <f t="shared" si="40"/>
        <v>重复</v>
      </c>
    </row>
    <row r="1247" spans="1:12" ht="30">
      <c r="A1247" s="35" t="s">
        <v>11655</v>
      </c>
      <c r="B1247" s="35" t="s">
        <v>3625</v>
      </c>
      <c r="C1247" s="36" t="s">
        <v>3626</v>
      </c>
      <c r="D1247" s="35" t="s">
        <v>3627</v>
      </c>
      <c r="E1247" s="35" t="s">
        <v>11147</v>
      </c>
      <c r="F1247" s="35" t="s">
        <v>11143</v>
      </c>
      <c r="G1247" s="35">
        <v>240826</v>
      </c>
      <c r="H1247" s="35">
        <v>280020</v>
      </c>
      <c r="I1247" s="35">
        <v>200007</v>
      </c>
      <c r="J1247" s="34" t="s">
        <v>3516</v>
      </c>
      <c r="K1247" s="34" t="str">
        <f t="shared" si="41"/>
        <v>不重复</v>
      </c>
      <c r="L1247" s="34" t="str">
        <f t="shared" si="40"/>
        <v>重复</v>
      </c>
    </row>
    <row r="1248" spans="1:12" ht="30">
      <c r="A1248" s="35" t="s">
        <v>11656</v>
      </c>
      <c r="B1248" s="35" t="s">
        <v>3628</v>
      </c>
      <c r="C1248" s="36" t="s">
        <v>3629</v>
      </c>
      <c r="D1248" s="35" t="s">
        <v>3630</v>
      </c>
      <c r="E1248" s="35" t="s">
        <v>11147</v>
      </c>
      <c r="F1248" s="35" t="s">
        <v>11143</v>
      </c>
      <c r="G1248" s="35">
        <v>240827</v>
      </c>
      <c r="H1248" s="35">
        <v>280020</v>
      </c>
      <c r="I1248" s="35">
        <v>200007</v>
      </c>
      <c r="J1248" s="34" t="s">
        <v>3083</v>
      </c>
      <c r="K1248" s="34" t="str">
        <f t="shared" si="41"/>
        <v>不重复</v>
      </c>
      <c r="L1248" s="34" t="str">
        <f t="shared" si="40"/>
        <v>不重复</v>
      </c>
    </row>
    <row r="1249" spans="1:12" ht="30">
      <c r="A1249" s="35" t="s">
        <v>11657</v>
      </c>
      <c r="B1249" s="35" t="s">
        <v>3631</v>
      </c>
      <c r="C1249" s="36" t="s">
        <v>3457</v>
      </c>
      <c r="D1249" s="35" t="s">
        <v>3632</v>
      </c>
      <c r="E1249" s="35" t="s">
        <v>11147</v>
      </c>
      <c r="F1249" s="35" t="s">
        <v>11143</v>
      </c>
      <c r="G1249" s="35">
        <v>240828</v>
      </c>
      <c r="H1249" s="35">
        <v>280020</v>
      </c>
      <c r="I1249" s="35">
        <v>200007</v>
      </c>
      <c r="J1249" s="34" t="s">
        <v>3516</v>
      </c>
      <c r="K1249" s="34" t="str">
        <f t="shared" si="41"/>
        <v>重复</v>
      </c>
      <c r="L1249" s="34" t="str">
        <f t="shared" si="40"/>
        <v>不重复</v>
      </c>
    </row>
    <row r="1250" spans="1:12" ht="27">
      <c r="A1250" s="35" t="s">
        <v>11658</v>
      </c>
      <c r="B1250" s="35" t="s">
        <v>3633</v>
      </c>
      <c r="C1250" s="36" t="s">
        <v>3634</v>
      </c>
      <c r="D1250" s="35" t="s">
        <v>3635</v>
      </c>
      <c r="E1250" s="35" t="s">
        <v>11147</v>
      </c>
      <c r="F1250" s="35" t="s">
        <v>11143</v>
      </c>
      <c r="G1250" s="35">
        <v>240829</v>
      </c>
      <c r="H1250" s="35">
        <v>280020</v>
      </c>
      <c r="I1250" s="35">
        <v>200007</v>
      </c>
      <c r="J1250" s="34" t="s">
        <v>2839</v>
      </c>
      <c r="K1250" s="34" t="str">
        <f t="shared" si="41"/>
        <v>不重复</v>
      </c>
      <c r="L1250" s="34" t="str">
        <f t="shared" si="40"/>
        <v>不重复</v>
      </c>
    </row>
    <row r="1251" spans="1:12" ht="30">
      <c r="A1251" s="35" t="s">
        <v>11659</v>
      </c>
      <c r="B1251" s="35" t="s">
        <v>3636</v>
      </c>
      <c r="C1251" s="36" t="s">
        <v>3637</v>
      </c>
      <c r="D1251" s="35" t="s">
        <v>3638</v>
      </c>
      <c r="E1251" s="35" t="s">
        <v>11147</v>
      </c>
      <c r="F1251" s="35" t="s">
        <v>11143</v>
      </c>
      <c r="G1251" s="35">
        <v>240830</v>
      </c>
      <c r="H1251" s="35">
        <v>280020</v>
      </c>
      <c r="I1251" s="35">
        <v>200007</v>
      </c>
      <c r="J1251" s="34" t="s">
        <v>3639</v>
      </c>
      <c r="K1251" s="34" t="str">
        <f t="shared" si="41"/>
        <v>不重复</v>
      </c>
      <c r="L1251" s="34" t="str">
        <f t="shared" si="40"/>
        <v>不重复</v>
      </c>
    </row>
    <row r="1252" spans="1:12" ht="30">
      <c r="A1252" s="35" t="s">
        <v>11660</v>
      </c>
      <c r="B1252" s="35" t="s">
        <v>3640</v>
      </c>
      <c r="C1252" s="36" t="s">
        <v>3099</v>
      </c>
      <c r="D1252" s="35" t="s">
        <v>3641</v>
      </c>
      <c r="E1252" s="35" t="s">
        <v>11147</v>
      </c>
      <c r="F1252" s="35" t="s">
        <v>11143</v>
      </c>
      <c r="G1252" s="35">
        <v>240831</v>
      </c>
      <c r="H1252" s="35">
        <v>280020</v>
      </c>
      <c r="I1252" s="35">
        <v>200007</v>
      </c>
      <c r="J1252" s="34" t="s">
        <v>3427</v>
      </c>
      <c r="K1252" s="34" t="str">
        <f t="shared" si="41"/>
        <v>重复</v>
      </c>
      <c r="L1252" s="34" t="str">
        <f t="shared" si="40"/>
        <v>不重复</v>
      </c>
    </row>
    <row r="1253" spans="1:12" ht="30">
      <c r="A1253" s="35" t="s">
        <v>11661</v>
      </c>
      <c r="B1253" s="35" t="s">
        <v>3642</v>
      </c>
      <c r="C1253" s="36" t="s">
        <v>3643</v>
      </c>
      <c r="D1253" s="35" t="s">
        <v>88</v>
      </c>
      <c r="E1253" s="35" t="s">
        <v>11147</v>
      </c>
      <c r="F1253" s="35" t="s">
        <v>11143</v>
      </c>
      <c r="G1253" s="35">
        <v>240832</v>
      </c>
      <c r="H1253" s="35">
        <v>280020</v>
      </c>
      <c r="I1253" s="35">
        <v>200007</v>
      </c>
      <c r="J1253" s="34" t="s">
        <v>3644</v>
      </c>
      <c r="K1253" s="34" t="str">
        <f t="shared" si="41"/>
        <v>不重复</v>
      </c>
      <c r="L1253" s="34" t="str">
        <f t="shared" si="40"/>
        <v>重复</v>
      </c>
    </row>
    <row r="1254" spans="1:12" ht="15">
      <c r="A1254" s="35" t="s">
        <v>11662</v>
      </c>
      <c r="B1254" s="35" t="s">
        <v>3645</v>
      </c>
      <c r="C1254" s="36" t="s">
        <v>1017</v>
      </c>
      <c r="D1254" s="35" t="s">
        <v>3646</v>
      </c>
      <c r="E1254" s="35" t="s">
        <v>11147</v>
      </c>
      <c r="F1254" s="35" t="s">
        <v>11143</v>
      </c>
      <c r="G1254" s="35">
        <v>240833</v>
      </c>
      <c r="H1254" s="35">
        <v>280020</v>
      </c>
      <c r="I1254" s="35">
        <v>200007</v>
      </c>
      <c r="J1254" s="34" t="s">
        <v>89</v>
      </c>
      <c r="K1254" s="34" t="str">
        <f t="shared" si="41"/>
        <v>重复</v>
      </c>
      <c r="L1254" s="34" t="str">
        <f t="shared" si="40"/>
        <v>重复</v>
      </c>
    </row>
    <row r="1255" spans="1:12" ht="27">
      <c r="A1255" s="35" t="s">
        <v>11663</v>
      </c>
      <c r="B1255" s="35" t="s">
        <v>3645</v>
      </c>
      <c r="C1255" s="36" t="s">
        <v>3647</v>
      </c>
      <c r="D1255" s="35" t="s">
        <v>3646</v>
      </c>
      <c r="E1255" s="35" t="s">
        <v>11147</v>
      </c>
      <c r="F1255" s="35" t="s">
        <v>11143</v>
      </c>
      <c r="G1255" s="35">
        <v>240834</v>
      </c>
      <c r="H1255" s="35">
        <v>280020</v>
      </c>
      <c r="I1255" s="35">
        <v>200007</v>
      </c>
      <c r="J1255" s="34" t="s">
        <v>89</v>
      </c>
      <c r="K1255" s="34" t="str">
        <f t="shared" si="41"/>
        <v>不重复</v>
      </c>
      <c r="L1255" s="34" t="str">
        <f t="shared" si="40"/>
        <v>重复</v>
      </c>
    </row>
    <row r="1256" spans="1:12" ht="15">
      <c r="A1256" s="35" t="s">
        <v>11664</v>
      </c>
      <c r="B1256" s="35" t="s">
        <v>3645</v>
      </c>
      <c r="C1256" s="36" t="s">
        <v>3408</v>
      </c>
      <c r="D1256" s="35" t="s">
        <v>3646</v>
      </c>
      <c r="E1256" s="35" t="s">
        <v>11147</v>
      </c>
      <c r="F1256" s="35" t="s">
        <v>11143</v>
      </c>
      <c r="G1256" s="35">
        <v>240835</v>
      </c>
      <c r="H1256" s="35">
        <v>280020</v>
      </c>
      <c r="I1256" s="35">
        <v>200007</v>
      </c>
      <c r="J1256" s="34" t="s">
        <v>985</v>
      </c>
      <c r="K1256" s="34" t="str">
        <f t="shared" si="41"/>
        <v>重复</v>
      </c>
      <c r="L1256" s="34" t="str">
        <f t="shared" si="40"/>
        <v>重复</v>
      </c>
    </row>
    <row r="1257" spans="1:12" ht="15">
      <c r="A1257" s="35" t="s">
        <v>11665</v>
      </c>
      <c r="B1257" s="35" t="s">
        <v>3648</v>
      </c>
      <c r="C1257" s="36" t="s">
        <v>3649</v>
      </c>
      <c r="D1257" s="35" t="s">
        <v>88</v>
      </c>
      <c r="E1257" s="35" t="s">
        <v>11147</v>
      </c>
      <c r="F1257" s="35" t="s">
        <v>11143</v>
      </c>
      <c r="G1257" s="35">
        <v>240836</v>
      </c>
      <c r="H1257" s="35">
        <v>280020</v>
      </c>
      <c r="I1257" s="35">
        <v>200007</v>
      </c>
      <c r="J1257" s="34" t="s">
        <v>89</v>
      </c>
      <c r="K1257" s="34" t="str">
        <f t="shared" si="41"/>
        <v>重复</v>
      </c>
      <c r="L1257" s="34" t="str">
        <f t="shared" si="42" ref="L1257:L1320">IF(COUNTIF(D:D,D1257)&gt;=2,"重复","不重复")</f>
        <v>重复</v>
      </c>
    </row>
    <row r="1258" spans="1:12" ht="15">
      <c r="A1258" s="35" t="s">
        <v>11666</v>
      </c>
      <c r="B1258" s="35" t="s">
        <v>3650</v>
      </c>
      <c r="C1258" s="36" t="s">
        <v>3651</v>
      </c>
      <c r="D1258" s="35" t="s">
        <v>3652</v>
      </c>
      <c r="E1258" s="35" t="s">
        <v>11147</v>
      </c>
      <c r="F1258" s="35" t="s">
        <v>11143</v>
      </c>
      <c r="G1258" s="35">
        <v>240837</v>
      </c>
      <c r="H1258" s="35">
        <v>280020</v>
      </c>
      <c r="I1258" s="35">
        <v>200007</v>
      </c>
      <c r="J1258" s="34" t="s">
        <v>2741</v>
      </c>
      <c r="K1258" s="34" t="str">
        <f t="shared" si="41"/>
        <v>重复</v>
      </c>
      <c r="L1258" s="34" t="str">
        <f t="shared" si="42"/>
        <v>不重复</v>
      </c>
    </row>
    <row r="1259" spans="1:12" ht="15">
      <c r="A1259" s="35" t="s">
        <v>11667</v>
      </c>
      <c r="B1259" s="35" t="s">
        <v>3653</v>
      </c>
      <c r="C1259" s="36" t="s">
        <v>987</v>
      </c>
      <c r="D1259" s="35" t="s">
        <v>3654</v>
      </c>
      <c r="E1259" s="35" t="s">
        <v>11147</v>
      </c>
      <c r="F1259" s="35" t="s">
        <v>11143</v>
      </c>
      <c r="G1259" s="35">
        <v>240838</v>
      </c>
      <c r="H1259" s="35">
        <v>280020</v>
      </c>
      <c r="I1259" s="35">
        <v>200007</v>
      </c>
      <c r="J1259" s="34" t="s">
        <v>531</v>
      </c>
      <c r="K1259" s="34" t="str">
        <f t="shared" si="41"/>
        <v>重复</v>
      </c>
      <c r="L1259" s="34" t="str">
        <f t="shared" si="42"/>
        <v>重复</v>
      </c>
    </row>
    <row r="1260" spans="1:12" ht="15">
      <c r="A1260" s="35" t="s">
        <v>11668</v>
      </c>
      <c r="B1260" s="35" t="s">
        <v>3653</v>
      </c>
      <c r="C1260" s="36" t="s">
        <v>3439</v>
      </c>
      <c r="D1260" s="35" t="s">
        <v>3654</v>
      </c>
      <c r="E1260" s="35" t="s">
        <v>11147</v>
      </c>
      <c r="F1260" s="35" t="s">
        <v>11143</v>
      </c>
      <c r="G1260" s="35">
        <v>240839</v>
      </c>
      <c r="H1260" s="35">
        <v>280020</v>
      </c>
      <c r="I1260" s="35">
        <v>200007</v>
      </c>
      <c r="J1260" s="34" t="s">
        <v>3655</v>
      </c>
      <c r="K1260" s="34" t="str">
        <f t="shared" si="41"/>
        <v>重复</v>
      </c>
      <c r="L1260" s="34" t="str">
        <f t="shared" si="42"/>
        <v>重复</v>
      </c>
    </row>
    <row r="1261" spans="1:12" ht="15">
      <c r="A1261" s="35" t="s">
        <v>11669</v>
      </c>
      <c r="B1261" s="35" t="s">
        <v>3653</v>
      </c>
      <c r="C1261" s="36" t="s">
        <v>2447</v>
      </c>
      <c r="D1261" s="35" t="s">
        <v>3654</v>
      </c>
      <c r="E1261" s="35" t="s">
        <v>11147</v>
      </c>
      <c r="F1261" s="35" t="s">
        <v>11143</v>
      </c>
      <c r="G1261" s="35">
        <v>240840</v>
      </c>
      <c r="H1261" s="35">
        <v>280020</v>
      </c>
      <c r="I1261" s="35">
        <v>200007</v>
      </c>
      <c r="J1261" s="34" t="s">
        <v>3656</v>
      </c>
      <c r="K1261" s="34" t="str">
        <f t="shared" si="41"/>
        <v>重复</v>
      </c>
      <c r="L1261" s="34" t="str">
        <f t="shared" si="42"/>
        <v>重复</v>
      </c>
    </row>
    <row r="1262" spans="1:12" ht="15">
      <c r="A1262" s="35" t="s">
        <v>11670</v>
      </c>
      <c r="B1262" s="35" t="s">
        <v>3657</v>
      </c>
      <c r="C1262" s="36" t="s">
        <v>3468</v>
      </c>
      <c r="D1262" s="35" t="s">
        <v>3658</v>
      </c>
      <c r="E1262" s="35" t="s">
        <v>11147</v>
      </c>
      <c r="F1262" s="35" t="s">
        <v>11143</v>
      </c>
      <c r="G1262" s="35">
        <v>240841</v>
      </c>
      <c r="H1262" s="35">
        <v>280020</v>
      </c>
      <c r="I1262" s="35">
        <v>200007</v>
      </c>
      <c r="J1262" s="34" t="s">
        <v>3659</v>
      </c>
      <c r="K1262" s="34" t="str">
        <f t="shared" si="41"/>
        <v>重复</v>
      </c>
      <c r="L1262" s="34" t="str">
        <f t="shared" si="42"/>
        <v>不重复</v>
      </c>
    </row>
    <row r="1263" spans="1:12" ht="15">
      <c r="A1263" s="35" t="s">
        <v>11671</v>
      </c>
      <c r="B1263" s="35" t="s">
        <v>3660</v>
      </c>
      <c r="C1263" s="36" t="s">
        <v>3661</v>
      </c>
      <c r="D1263" s="35" t="s">
        <v>3662</v>
      </c>
      <c r="E1263" s="35" t="s">
        <v>11147</v>
      </c>
      <c r="F1263" s="35" t="s">
        <v>11143</v>
      </c>
      <c r="G1263" s="35">
        <v>240842</v>
      </c>
      <c r="H1263" s="35">
        <v>280020</v>
      </c>
      <c r="I1263" s="35">
        <v>200007</v>
      </c>
      <c r="J1263" s="34" t="s">
        <v>3659</v>
      </c>
      <c r="K1263" s="34" t="str">
        <f t="shared" si="41"/>
        <v>不重复</v>
      </c>
      <c r="L1263" s="34" t="str">
        <f t="shared" si="42"/>
        <v>不重复</v>
      </c>
    </row>
    <row r="1264" spans="1:12" ht="15">
      <c r="A1264" s="35" t="s">
        <v>11672</v>
      </c>
      <c r="B1264" s="35" t="s">
        <v>3663</v>
      </c>
      <c r="C1264" s="36" t="s">
        <v>3127</v>
      </c>
      <c r="D1264" s="35" t="s">
        <v>3664</v>
      </c>
      <c r="E1264" s="35" t="s">
        <v>11147</v>
      </c>
      <c r="F1264" s="35" t="s">
        <v>11143</v>
      </c>
      <c r="G1264" s="35">
        <v>240843</v>
      </c>
      <c r="H1264" s="35">
        <v>280020</v>
      </c>
      <c r="I1264" s="35">
        <v>200007</v>
      </c>
      <c r="J1264" s="34" t="s">
        <v>3659</v>
      </c>
      <c r="K1264" s="34" t="str">
        <f t="shared" si="41"/>
        <v>重复</v>
      </c>
      <c r="L1264" s="34" t="str">
        <f t="shared" si="42"/>
        <v>重复</v>
      </c>
    </row>
    <row r="1265" spans="1:12" ht="15">
      <c r="A1265" s="35" t="s">
        <v>11673</v>
      </c>
      <c r="B1265" s="35" t="s">
        <v>3665</v>
      </c>
      <c r="C1265" s="36" t="s">
        <v>3666</v>
      </c>
      <c r="D1265" s="35" t="s">
        <v>3664</v>
      </c>
      <c r="E1265" s="35" t="s">
        <v>11147</v>
      </c>
      <c r="F1265" s="35" t="s">
        <v>11143</v>
      </c>
      <c r="G1265" s="35">
        <v>240844</v>
      </c>
      <c r="H1265" s="35">
        <v>280020</v>
      </c>
      <c r="I1265" s="35">
        <v>200007</v>
      </c>
      <c r="J1265" s="34" t="s">
        <v>3667</v>
      </c>
      <c r="K1265" s="34" t="str">
        <f t="shared" si="41"/>
        <v>不重复</v>
      </c>
      <c r="L1265" s="34" t="str">
        <f t="shared" si="42"/>
        <v>重复</v>
      </c>
    </row>
    <row r="1266" spans="1:12" ht="30">
      <c r="A1266" s="35" t="s">
        <v>11674</v>
      </c>
      <c r="B1266" s="35" t="s">
        <v>3668</v>
      </c>
      <c r="C1266" s="36" t="s">
        <v>54</v>
      </c>
      <c r="D1266" s="35" t="s">
        <v>3669</v>
      </c>
      <c r="E1266" s="35" t="s">
        <v>11147</v>
      </c>
      <c r="F1266" s="35" t="s">
        <v>11143</v>
      </c>
      <c r="G1266" s="35">
        <v>240845</v>
      </c>
      <c r="H1266" s="35">
        <v>280020</v>
      </c>
      <c r="I1266" s="35">
        <v>200007</v>
      </c>
      <c r="J1266" s="34" t="s">
        <v>3655</v>
      </c>
      <c r="K1266" s="34" t="str">
        <f t="shared" si="41"/>
        <v>重复</v>
      </c>
      <c r="L1266" s="34" t="str">
        <f t="shared" si="42"/>
        <v>不重复</v>
      </c>
    </row>
    <row r="1267" spans="1:12" ht="15">
      <c r="A1267" s="35" t="s">
        <v>11675</v>
      </c>
      <c r="B1267" s="35" t="s">
        <v>3670</v>
      </c>
      <c r="C1267" s="36" t="s">
        <v>2312</v>
      </c>
      <c r="D1267" s="35" t="s">
        <v>3671</v>
      </c>
      <c r="E1267" s="35" t="s">
        <v>11147</v>
      </c>
      <c r="F1267" s="35" t="s">
        <v>11143</v>
      </c>
      <c r="G1267" s="35">
        <v>240846</v>
      </c>
      <c r="H1267" s="35">
        <v>280020</v>
      </c>
      <c r="I1267" s="35">
        <v>200007</v>
      </c>
      <c r="J1267" s="34" t="s">
        <v>152</v>
      </c>
      <c r="K1267" s="34" t="str">
        <f t="shared" si="41"/>
        <v>重复</v>
      </c>
      <c r="L1267" s="34" t="str">
        <f t="shared" si="42"/>
        <v>重复</v>
      </c>
    </row>
    <row r="1268" spans="1:12" ht="15">
      <c r="A1268" s="35" t="s">
        <v>11676</v>
      </c>
      <c r="B1268" s="35" t="s">
        <v>3670</v>
      </c>
      <c r="C1268" s="36" t="s">
        <v>3672</v>
      </c>
      <c r="D1268" s="35" t="s">
        <v>3671</v>
      </c>
      <c r="E1268" s="35" t="s">
        <v>11147</v>
      </c>
      <c r="F1268" s="35" t="s">
        <v>11143</v>
      </c>
      <c r="G1268" s="35">
        <v>240847</v>
      </c>
      <c r="H1268" s="35">
        <v>280020</v>
      </c>
      <c r="I1268" s="35">
        <v>200007</v>
      </c>
      <c r="J1268" s="34" t="s">
        <v>3673</v>
      </c>
      <c r="K1268" s="34" t="str">
        <f t="shared" si="41"/>
        <v>不重复</v>
      </c>
      <c r="L1268" s="34" t="str">
        <f t="shared" si="42"/>
        <v>重复</v>
      </c>
    </row>
    <row r="1269" spans="1:12" ht="27">
      <c r="A1269" s="35" t="s">
        <v>11677</v>
      </c>
      <c r="B1269" s="35" t="s">
        <v>3670</v>
      </c>
      <c r="C1269" s="36" t="s">
        <v>3674</v>
      </c>
      <c r="D1269" s="35" t="s">
        <v>3671</v>
      </c>
      <c r="E1269" s="35" t="s">
        <v>11147</v>
      </c>
      <c r="F1269" s="35" t="s">
        <v>11143</v>
      </c>
      <c r="G1269" s="35">
        <v>240848</v>
      </c>
      <c r="H1269" s="35">
        <v>280020</v>
      </c>
      <c r="I1269" s="35">
        <v>200007</v>
      </c>
      <c r="J1269" s="34" t="s">
        <v>152</v>
      </c>
      <c r="K1269" s="34" t="str">
        <f t="shared" si="41"/>
        <v>重复</v>
      </c>
      <c r="L1269" s="34" t="str">
        <f t="shared" si="42"/>
        <v>重复</v>
      </c>
    </row>
    <row r="1270" spans="1:12" ht="15">
      <c r="A1270" s="35" t="s">
        <v>11678</v>
      </c>
      <c r="B1270" s="35" t="s">
        <v>3675</v>
      </c>
      <c r="C1270" s="36" t="s">
        <v>3676</v>
      </c>
      <c r="D1270" s="35" t="s">
        <v>3677</v>
      </c>
      <c r="E1270" s="35" t="s">
        <v>11147</v>
      </c>
      <c r="F1270" s="35" t="s">
        <v>11143</v>
      </c>
      <c r="G1270" s="35">
        <v>240849</v>
      </c>
      <c r="H1270" s="35">
        <v>280020</v>
      </c>
      <c r="I1270" s="35">
        <v>200007</v>
      </c>
      <c r="J1270" s="34" t="s">
        <v>3678</v>
      </c>
      <c r="K1270" s="34" t="str">
        <f t="shared" si="41"/>
        <v>重复</v>
      </c>
      <c r="L1270" s="34" t="str">
        <f t="shared" si="42"/>
        <v>不重复</v>
      </c>
    </row>
    <row r="1271" spans="1:12" ht="15">
      <c r="A1271" s="35" t="s">
        <v>11679</v>
      </c>
      <c r="B1271" s="35" t="s">
        <v>3679</v>
      </c>
      <c r="C1271" s="36" t="s">
        <v>3680</v>
      </c>
      <c r="D1271" s="35" t="s">
        <v>3681</v>
      </c>
      <c r="E1271" s="35" t="s">
        <v>11147</v>
      </c>
      <c r="F1271" s="35" t="s">
        <v>11143</v>
      </c>
      <c r="G1271" s="35">
        <v>240850</v>
      </c>
      <c r="H1271" s="35">
        <v>280020</v>
      </c>
      <c r="I1271" s="35">
        <v>200007</v>
      </c>
      <c r="J1271" s="34" t="s">
        <v>2624</v>
      </c>
      <c r="K1271" s="34" t="str">
        <f t="shared" si="41"/>
        <v>重复</v>
      </c>
      <c r="L1271" s="34" t="str">
        <f t="shared" si="42"/>
        <v>重复</v>
      </c>
    </row>
    <row r="1272" spans="1:12" ht="27">
      <c r="A1272" s="35" t="s">
        <v>11680</v>
      </c>
      <c r="B1272" s="35" t="s">
        <v>3679</v>
      </c>
      <c r="C1272" s="36" t="s">
        <v>3682</v>
      </c>
      <c r="D1272" s="35" t="s">
        <v>3681</v>
      </c>
      <c r="E1272" s="35" t="s">
        <v>11147</v>
      </c>
      <c r="F1272" s="35" t="s">
        <v>11143</v>
      </c>
      <c r="G1272" s="35">
        <v>240851</v>
      </c>
      <c r="H1272" s="35">
        <v>280020</v>
      </c>
      <c r="I1272" s="35">
        <v>200007</v>
      </c>
      <c r="J1272" s="34" t="s">
        <v>3659</v>
      </c>
      <c r="K1272" s="34" t="str">
        <f t="shared" si="41"/>
        <v>不重复</v>
      </c>
      <c r="L1272" s="34" t="str">
        <f t="shared" si="42"/>
        <v>重复</v>
      </c>
    </row>
    <row r="1273" spans="1:12" ht="27">
      <c r="A1273" s="35" t="s">
        <v>11681</v>
      </c>
      <c r="B1273" s="35" t="s">
        <v>3679</v>
      </c>
      <c r="C1273" s="36" t="s">
        <v>3680</v>
      </c>
      <c r="D1273" s="35" t="s">
        <v>3681</v>
      </c>
      <c r="E1273" s="35" t="s">
        <v>11147</v>
      </c>
      <c r="F1273" s="35" t="s">
        <v>11143</v>
      </c>
      <c r="G1273" s="35">
        <v>240852</v>
      </c>
      <c r="H1273" s="35">
        <v>280020</v>
      </c>
      <c r="I1273" s="35">
        <v>200007</v>
      </c>
      <c r="J1273" s="34" t="s">
        <v>2624</v>
      </c>
      <c r="K1273" s="34" t="str">
        <f t="shared" si="41"/>
        <v>重复</v>
      </c>
      <c r="L1273" s="34" t="str">
        <f t="shared" si="42"/>
        <v>重复</v>
      </c>
    </row>
    <row r="1274" spans="1:12" ht="15">
      <c r="A1274" s="35" t="s">
        <v>11682</v>
      </c>
      <c r="B1274" s="35" t="s">
        <v>3683</v>
      </c>
      <c r="C1274" s="36" t="s">
        <v>3684</v>
      </c>
      <c r="D1274" s="35" t="s">
        <v>3685</v>
      </c>
      <c r="E1274" s="35" t="s">
        <v>11147</v>
      </c>
      <c r="F1274" s="35" t="s">
        <v>11143</v>
      </c>
      <c r="G1274" s="35">
        <v>240853</v>
      </c>
      <c r="H1274" s="35">
        <v>280020</v>
      </c>
      <c r="I1274" s="35">
        <v>200007</v>
      </c>
      <c r="J1274" s="34" t="s">
        <v>343</v>
      </c>
      <c r="K1274" s="34" t="str">
        <f t="shared" si="41"/>
        <v>不重复</v>
      </c>
      <c r="L1274" s="34" t="str">
        <f t="shared" si="42"/>
        <v>不重复</v>
      </c>
    </row>
    <row r="1275" spans="1:12" ht="15">
      <c r="A1275" s="35" t="s">
        <v>11683</v>
      </c>
      <c r="B1275" s="35" t="s">
        <v>3686</v>
      </c>
      <c r="C1275" s="36" t="s">
        <v>2347</v>
      </c>
      <c r="D1275" s="35" t="s">
        <v>3687</v>
      </c>
      <c r="E1275" s="35" t="s">
        <v>11147</v>
      </c>
      <c r="F1275" s="35" t="s">
        <v>11143</v>
      </c>
      <c r="G1275" s="35">
        <v>240854</v>
      </c>
      <c r="H1275" s="35">
        <v>280020</v>
      </c>
      <c r="I1275" s="35">
        <v>200007</v>
      </c>
      <c r="J1275" s="34" t="s">
        <v>3673</v>
      </c>
      <c r="K1275" s="34" t="str">
        <f t="shared" si="41"/>
        <v>重复</v>
      </c>
      <c r="L1275" s="34" t="str">
        <f t="shared" si="42"/>
        <v>不重复</v>
      </c>
    </row>
    <row r="1276" spans="1:12" ht="15">
      <c r="A1276" s="35" t="s">
        <v>11684</v>
      </c>
      <c r="B1276" s="35" t="s">
        <v>3688</v>
      </c>
      <c r="C1276" s="36" t="s">
        <v>3689</v>
      </c>
      <c r="D1276" s="35" t="s">
        <v>3690</v>
      </c>
      <c r="E1276" s="35" t="s">
        <v>11147</v>
      </c>
      <c r="F1276" s="35" t="s">
        <v>11143</v>
      </c>
      <c r="G1276" s="35">
        <v>240855</v>
      </c>
      <c r="H1276" s="35">
        <v>280020</v>
      </c>
      <c r="I1276" s="35">
        <v>200007</v>
      </c>
      <c r="J1276" s="34" t="s">
        <v>2624</v>
      </c>
      <c r="K1276" s="34" t="str">
        <f t="shared" si="41"/>
        <v>重复</v>
      </c>
      <c r="L1276" s="34" t="str">
        <f t="shared" si="42"/>
        <v>重复</v>
      </c>
    </row>
    <row r="1277" spans="1:12" ht="27">
      <c r="A1277" s="35" t="s">
        <v>11685</v>
      </c>
      <c r="B1277" s="35" t="s">
        <v>3688</v>
      </c>
      <c r="C1277" s="36" t="s">
        <v>1493</v>
      </c>
      <c r="D1277" s="35" t="s">
        <v>3690</v>
      </c>
      <c r="E1277" s="35" t="s">
        <v>11147</v>
      </c>
      <c r="F1277" s="35" t="s">
        <v>11143</v>
      </c>
      <c r="G1277" s="35">
        <v>240856</v>
      </c>
      <c r="H1277" s="35">
        <v>280020</v>
      </c>
      <c r="I1277" s="35">
        <v>200007</v>
      </c>
      <c r="J1277" s="34" t="s">
        <v>3659</v>
      </c>
      <c r="K1277" s="34" t="str">
        <f t="shared" si="41"/>
        <v>重复</v>
      </c>
      <c r="L1277" s="34" t="str">
        <f t="shared" si="42"/>
        <v>重复</v>
      </c>
    </row>
    <row r="1278" spans="1:12" ht="27">
      <c r="A1278" s="35" t="s">
        <v>11686</v>
      </c>
      <c r="B1278" s="35" t="s">
        <v>3688</v>
      </c>
      <c r="C1278" s="36" t="s">
        <v>3689</v>
      </c>
      <c r="D1278" s="35" t="s">
        <v>3690</v>
      </c>
      <c r="E1278" s="35" t="s">
        <v>11147</v>
      </c>
      <c r="F1278" s="35" t="s">
        <v>11143</v>
      </c>
      <c r="G1278" s="35">
        <v>240857</v>
      </c>
      <c r="H1278" s="35">
        <v>280020</v>
      </c>
      <c r="I1278" s="35">
        <v>200007</v>
      </c>
      <c r="J1278" s="34" t="s">
        <v>2624</v>
      </c>
      <c r="K1278" s="34" t="str">
        <f t="shared" si="41"/>
        <v>重复</v>
      </c>
      <c r="L1278" s="34" t="str">
        <f t="shared" si="42"/>
        <v>重复</v>
      </c>
    </row>
    <row r="1279" spans="1:12" ht="15">
      <c r="A1279" s="35" t="s">
        <v>11687</v>
      </c>
      <c r="B1279" s="35" t="s">
        <v>3691</v>
      </c>
      <c r="C1279" s="36" t="s">
        <v>3692</v>
      </c>
      <c r="D1279" s="35" t="s">
        <v>3693</v>
      </c>
      <c r="E1279" s="35" t="s">
        <v>11147</v>
      </c>
      <c r="F1279" s="35" t="s">
        <v>11143</v>
      </c>
      <c r="G1279" s="35">
        <v>240858</v>
      </c>
      <c r="H1279" s="35">
        <v>280020</v>
      </c>
      <c r="I1279" s="35">
        <v>200007</v>
      </c>
      <c r="J1279" s="34" t="s">
        <v>2361</v>
      </c>
      <c r="K1279" s="34" t="str">
        <f t="shared" si="41"/>
        <v>不重复</v>
      </c>
      <c r="L1279" s="34" t="str">
        <f t="shared" si="42"/>
        <v>不重复</v>
      </c>
    </row>
    <row r="1280" spans="1:12" ht="15">
      <c r="A1280" s="35" t="s">
        <v>11688</v>
      </c>
      <c r="B1280" s="35" t="s">
        <v>3694</v>
      </c>
      <c r="C1280" s="36" t="s">
        <v>3695</v>
      </c>
      <c r="D1280" s="35" t="s">
        <v>3696</v>
      </c>
      <c r="E1280" s="35" t="s">
        <v>11147</v>
      </c>
      <c r="F1280" s="35" t="s">
        <v>11143</v>
      </c>
      <c r="G1280" s="35">
        <v>240859</v>
      </c>
      <c r="H1280" s="35">
        <v>280020</v>
      </c>
      <c r="I1280" s="35">
        <v>200007</v>
      </c>
      <c r="J1280" s="34" t="s">
        <v>2512</v>
      </c>
      <c r="K1280" s="34" t="str">
        <f t="shared" si="41"/>
        <v>不重复</v>
      </c>
      <c r="L1280" s="34" t="str">
        <f t="shared" si="42"/>
        <v>不重复</v>
      </c>
    </row>
    <row r="1281" spans="1:12" ht="30">
      <c r="A1281" s="35" t="s">
        <v>11689</v>
      </c>
      <c r="B1281" s="35" t="s">
        <v>3697</v>
      </c>
      <c r="C1281" s="36" t="s">
        <v>3698</v>
      </c>
      <c r="D1281" s="35" t="s">
        <v>3699</v>
      </c>
      <c r="E1281" s="35" t="s">
        <v>11147</v>
      </c>
      <c r="F1281" s="35" t="s">
        <v>11143</v>
      </c>
      <c r="G1281" s="35">
        <v>240860</v>
      </c>
      <c r="H1281" s="35">
        <v>280020</v>
      </c>
      <c r="I1281" s="35">
        <v>200007</v>
      </c>
      <c r="J1281" s="34" t="s">
        <v>363</v>
      </c>
      <c r="K1281" s="34" t="str">
        <f t="shared" si="41"/>
        <v>不重复</v>
      </c>
      <c r="L1281" s="34" t="str">
        <f t="shared" si="42"/>
        <v>不重复</v>
      </c>
    </row>
    <row r="1282" spans="1:12" ht="15">
      <c r="A1282" s="35" t="s">
        <v>11690</v>
      </c>
      <c r="B1282" s="35" t="s">
        <v>3700</v>
      </c>
      <c r="C1282" s="36" t="s">
        <v>3701</v>
      </c>
      <c r="D1282" s="35" t="s">
        <v>3702</v>
      </c>
      <c r="E1282" s="35" t="s">
        <v>11147</v>
      </c>
      <c r="F1282" s="35" t="s">
        <v>11143</v>
      </c>
      <c r="G1282" s="35">
        <v>240861</v>
      </c>
      <c r="H1282" s="35">
        <v>280020</v>
      </c>
      <c r="I1282" s="35">
        <v>200007</v>
      </c>
      <c r="J1282" s="34" t="s">
        <v>363</v>
      </c>
      <c r="K1282" s="34" t="str">
        <f t="shared" si="41"/>
        <v>重复</v>
      </c>
      <c r="L1282" s="34" t="str">
        <f t="shared" si="42"/>
        <v>不重复</v>
      </c>
    </row>
    <row r="1283" spans="1:12" ht="15">
      <c r="A1283" s="35" t="s">
        <v>11691</v>
      </c>
      <c r="B1283" s="35" t="s">
        <v>3703</v>
      </c>
      <c r="C1283" s="36" t="s">
        <v>3704</v>
      </c>
      <c r="D1283" s="35" t="s">
        <v>3705</v>
      </c>
      <c r="E1283" s="35" t="s">
        <v>11147</v>
      </c>
      <c r="F1283" s="35" t="s">
        <v>11143</v>
      </c>
      <c r="G1283" s="35">
        <v>240862</v>
      </c>
      <c r="H1283" s="35">
        <v>280020</v>
      </c>
      <c r="I1283" s="35">
        <v>200007</v>
      </c>
      <c r="J1283" s="34" t="s">
        <v>328</v>
      </c>
      <c r="K1283" s="34" t="str">
        <f t="shared" si="41"/>
        <v>重复</v>
      </c>
      <c r="L1283" s="34" t="str">
        <f t="shared" si="42"/>
        <v>不重复</v>
      </c>
    </row>
    <row r="1284" spans="1:12" ht="30">
      <c r="A1284" s="35" t="s">
        <v>11692</v>
      </c>
      <c r="B1284" s="35" t="s">
        <v>3706</v>
      </c>
      <c r="C1284" s="36" t="s">
        <v>3707</v>
      </c>
      <c r="D1284" s="35" t="s">
        <v>3708</v>
      </c>
      <c r="E1284" s="35" t="s">
        <v>11147</v>
      </c>
      <c r="F1284" s="35" t="s">
        <v>11143</v>
      </c>
      <c r="G1284" s="35">
        <v>240863</v>
      </c>
      <c r="H1284" s="35">
        <v>280020</v>
      </c>
      <c r="I1284" s="35">
        <v>200007</v>
      </c>
      <c r="J1284" s="34" t="s">
        <v>2512</v>
      </c>
      <c r="K1284" s="34" t="str">
        <f t="shared" si="41"/>
        <v>重复</v>
      </c>
      <c r="L1284" s="34" t="str">
        <f t="shared" si="42"/>
        <v>不重复</v>
      </c>
    </row>
    <row r="1285" spans="1:12" ht="15">
      <c r="A1285" s="35" t="s">
        <v>11693</v>
      </c>
      <c r="B1285" s="35" t="s">
        <v>3709</v>
      </c>
      <c r="C1285" s="36" t="s">
        <v>1581</v>
      </c>
      <c r="D1285" s="35" t="s">
        <v>3710</v>
      </c>
      <c r="E1285" s="35" t="s">
        <v>11147</v>
      </c>
      <c r="F1285" s="35" t="s">
        <v>11143</v>
      </c>
      <c r="G1285" s="35">
        <v>240864</v>
      </c>
      <c r="H1285" s="35">
        <v>280020</v>
      </c>
      <c r="I1285" s="35">
        <v>200007</v>
      </c>
      <c r="J1285" s="34" t="s">
        <v>3711</v>
      </c>
      <c r="K1285" s="34" t="str">
        <f t="shared" si="41"/>
        <v>重复</v>
      </c>
      <c r="L1285" s="34" t="str">
        <f t="shared" si="42"/>
        <v>不重复</v>
      </c>
    </row>
    <row r="1286" spans="1:12" ht="15">
      <c r="A1286" s="35" t="s">
        <v>11694</v>
      </c>
      <c r="B1286" s="35" t="s">
        <v>3712</v>
      </c>
      <c r="C1286" s="36" t="s">
        <v>3713</v>
      </c>
      <c r="D1286" s="35" t="s">
        <v>3714</v>
      </c>
      <c r="E1286" s="35" t="s">
        <v>11147</v>
      </c>
      <c r="F1286" s="35" t="s">
        <v>11143</v>
      </c>
      <c r="G1286" s="35">
        <v>240865</v>
      </c>
      <c r="H1286" s="35">
        <v>280020</v>
      </c>
      <c r="I1286" s="35">
        <v>200007</v>
      </c>
      <c r="J1286" s="34" t="s">
        <v>3715</v>
      </c>
      <c r="K1286" s="34" t="str">
        <f t="shared" si="41"/>
        <v>重复</v>
      </c>
      <c r="L1286" s="34" t="str">
        <f t="shared" si="42"/>
        <v>不重复</v>
      </c>
    </row>
    <row r="1287" spans="1:12" ht="15">
      <c r="A1287" s="35" t="s">
        <v>11695</v>
      </c>
      <c r="B1287" s="35" t="s">
        <v>3716</v>
      </c>
      <c r="C1287" s="36" t="s">
        <v>3717</v>
      </c>
      <c r="D1287" s="35" t="s">
        <v>3718</v>
      </c>
      <c r="E1287" s="35" t="s">
        <v>11147</v>
      </c>
      <c r="F1287" s="35" t="s">
        <v>11143</v>
      </c>
      <c r="G1287" s="35">
        <v>240866</v>
      </c>
      <c r="H1287" s="35">
        <v>280020</v>
      </c>
      <c r="I1287" s="35">
        <v>200007</v>
      </c>
      <c r="J1287" s="34" t="s">
        <v>148</v>
      </c>
      <c r="K1287" s="34" t="str">
        <f t="shared" si="41"/>
        <v>不重复</v>
      </c>
      <c r="L1287" s="34" t="str">
        <f t="shared" si="42"/>
        <v>不重复</v>
      </c>
    </row>
    <row r="1288" spans="1:12" ht="15">
      <c r="A1288" s="35" t="s">
        <v>11696</v>
      </c>
      <c r="B1288" s="35" t="s">
        <v>3719</v>
      </c>
      <c r="C1288" s="36" t="s">
        <v>2646</v>
      </c>
      <c r="D1288" s="35" t="s">
        <v>3720</v>
      </c>
      <c r="E1288" s="35" t="s">
        <v>11147</v>
      </c>
      <c r="F1288" s="35" t="s">
        <v>11143</v>
      </c>
      <c r="G1288" s="35">
        <v>240867</v>
      </c>
      <c r="H1288" s="35">
        <v>280020</v>
      </c>
      <c r="I1288" s="35">
        <v>200007</v>
      </c>
      <c r="J1288" s="34" t="s">
        <v>557</v>
      </c>
      <c r="K1288" s="34" t="str">
        <f t="shared" si="41"/>
        <v>重复</v>
      </c>
      <c r="L1288" s="34" t="str">
        <f t="shared" si="42"/>
        <v>不重复</v>
      </c>
    </row>
    <row r="1289" spans="1:12" ht="30">
      <c r="A1289" s="35" t="s">
        <v>11697</v>
      </c>
      <c r="B1289" s="35" t="s">
        <v>3721</v>
      </c>
      <c r="C1289" s="36" t="s">
        <v>3722</v>
      </c>
      <c r="D1289" s="35" t="s">
        <v>3723</v>
      </c>
      <c r="E1289" s="35" t="s">
        <v>11147</v>
      </c>
      <c r="F1289" s="35" t="s">
        <v>11143</v>
      </c>
      <c r="G1289" s="35">
        <v>240868</v>
      </c>
      <c r="H1289" s="35">
        <v>280020</v>
      </c>
      <c r="I1289" s="35">
        <v>200007</v>
      </c>
      <c r="J1289" s="34" t="s">
        <v>3724</v>
      </c>
      <c r="K1289" s="34" t="str">
        <f t="shared" si="41"/>
        <v>重复</v>
      </c>
      <c r="L1289" s="34" t="str">
        <f t="shared" si="42"/>
        <v>不重复</v>
      </c>
    </row>
    <row r="1290" spans="1:12" ht="15">
      <c r="A1290" s="35" t="s">
        <v>11698</v>
      </c>
      <c r="B1290" s="35" t="s">
        <v>3725</v>
      </c>
      <c r="C1290" s="36" t="s">
        <v>3726</v>
      </c>
      <c r="D1290" s="35" t="s">
        <v>3727</v>
      </c>
      <c r="E1290" s="35" t="s">
        <v>11147</v>
      </c>
      <c r="F1290" s="35" t="s">
        <v>11143</v>
      </c>
      <c r="G1290" s="35">
        <v>240869</v>
      </c>
      <c r="H1290" s="35">
        <v>280020</v>
      </c>
      <c r="I1290" s="35">
        <v>200007</v>
      </c>
      <c r="J1290" s="34" t="s">
        <v>3715</v>
      </c>
      <c r="K1290" s="34" t="str">
        <f t="shared" si="41"/>
        <v>不重复</v>
      </c>
      <c r="L1290" s="34" t="str">
        <f t="shared" si="42"/>
        <v>不重复</v>
      </c>
    </row>
    <row r="1291" spans="1:12" ht="15">
      <c r="A1291" s="35" t="s">
        <v>11699</v>
      </c>
      <c r="B1291" s="35" t="s">
        <v>3728</v>
      </c>
      <c r="C1291" s="36" t="s">
        <v>3373</v>
      </c>
      <c r="D1291" s="35" t="s">
        <v>3729</v>
      </c>
      <c r="E1291" s="35" t="s">
        <v>11147</v>
      </c>
      <c r="F1291" s="35" t="s">
        <v>11143</v>
      </c>
      <c r="G1291" s="35">
        <v>240870</v>
      </c>
      <c r="H1291" s="35">
        <v>280020</v>
      </c>
      <c r="I1291" s="35">
        <v>200007</v>
      </c>
      <c r="J1291" s="34" t="s">
        <v>328</v>
      </c>
      <c r="K1291" s="34" t="str">
        <f t="shared" si="41"/>
        <v>重复</v>
      </c>
      <c r="L1291" s="34" t="str">
        <f t="shared" si="42"/>
        <v>不重复</v>
      </c>
    </row>
    <row r="1292" spans="1:12" ht="15">
      <c r="A1292" s="35" t="s">
        <v>11700</v>
      </c>
      <c r="B1292" s="35" t="s">
        <v>3730</v>
      </c>
      <c r="C1292" s="36" t="s">
        <v>3731</v>
      </c>
      <c r="D1292" s="35" t="s">
        <v>3244</v>
      </c>
      <c r="E1292" s="35" t="s">
        <v>11147</v>
      </c>
      <c r="F1292" s="35" t="s">
        <v>11143</v>
      </c>
      <c r="G1292" s="35">
        <v>240871</v>
      </c>
      <c r="H1292" s="35">
        <v>280020</v>
      </c>
      <c r="I1292" s="35">
        <v>200007</v>
      </c>
      <c r="J1292" s="34" t="s">
        <v>3711</v>
      </c>
      <c r="K1292" s="34" t="str">
        <f t="shared" si="41"/>
        <v>不重复</v>
      </c>
      <c r="L1292" s="34" t="str">
        <f t="shared" si="42"/>
        <v>重复</v>
      </c>
    </row>
    <row r="1293" spans="1:12" ht="30">
      <c r="A1293" s="35" t="s">
        <v>11701</v>
      </c>
      <c r="B1293" s="35" t="s">
        <v>3732</v>
      </c>
      <c r="C1293" s="36" t="s">
        <v>574</v>
      </c>
      <c r="D1293" s="35" t="s">
        <v>3733</v>
      </c>
      <c r="E1293" s="35" t="s">
        <v>11147</v>
      </c>
      <c r="F1293" s="35" t="s">
        <v>11143</v>
      </c>
      <c r="G1293" s="35">
        <v>240872</v>
      </c>
      <c r="H1293" s="35">
        <v>280020</v>
      </c>
      <c r="I1293" s="35">
        <v>200007</v>
      </c>
      <c r="J1293" s="34" t="s">
        <v>3734</v>
      </c>
      <c r="K1293" s="34" t="str">
        <f t="shared" si="41"/>
        <v>重复</v>
      </c>
      <c r="L1293" s="34" t="str">
        <f t="shared" si="42"/>
        <v>不重复</v>
      </c>
    </row>
    <row r="1294" spans="1:12" ht="15">
      <c r="A1294" s="35" t="s">
        <v>11702</v>
      </c>
      <c r="B1294" s="35" t="s">
        <v>3735</v>
      </c>
      <c r="C1294" s="36" t="s">
        <v>3736</v>
      </c>
      <c r="D1294" s="35" t="s">
        <v>3737</v>
      </c>
      <c r="E1294" s="35" t="s">
        <v>11147</v>
      </c>
      <c r="F1294" s="35" t="s">
        <v>11143</v>
      </c>
      <c r="G1294" s="35">
        <v>240873</v>
      </c>
      <c r="H1294" s="35">
        <v>280020</v>
      </c>
      <c r="I1294" s="35">
        <v>200007</v>
      </c>
      <c r="J1294" s="34" t="s">
        <v>3738</v>
      </c>
      <c r="K1294" s="34" t="str">
        <f t="shared" si="41"/>
        <v>不重复</v>
      </c>
      <c r="L1294" s="34" t="str">
        <f t="shared" si="42"/>
        <v>重复</v>
      </c>
    </row>
    <row r="1295" spans="1:12" ht="15">
      <c r="A1295" s="35" t="s">
        <v>11703</v>
      </c>
      <c r="B1295" s="35" t="s">
        <v>3739</v>
      </c>
      <c r="C1295" s="36" t="s">
        <v>3740</v>
      </c>
      <c r="D1295" s="35" t="s">
        <v>3737</v>
      </c>
      <c r="E1295" s="35" t="s">
        <v>11147</v>
      </c>
      <c r="F1295" s="35" t="s">
        <v>11143</v>
      </c>
      <c r="G1295" s="35">
        <v>240874</v>
      </c>
      <c r="H1295" s="35">
        <v>280020</v>
      </c>
      <c r="I1295" s="35">
        <v>200007</v>
      </c>
      <c r="J1295" s="34" t="s">
        <v>3741</v>
      </c>
      <c r="K1295" s="34" t="str">
        <f t="shared" si="41"/>
        <v>重复</v>
      </c>
      <c r="L1295" s="34" t="str">
        <f t="shared" si="42"/>
        <v>重复</v>
      </c>
    </row>
    <row r="1296" spans="1:12" ht="15">
      <c r="A1296" s="35" t="s">
        <v>11704</v>
      </c>
      <c r="B1296" s="35" t="s">
        <v>3742</v>
      </c>
      <c r="C1296" s="36" t="s">
        <v>3704</v>
      </c>
      <c r="D1296" s="35" t="s">
        <v>3743</v>
      </c>
      <c r="E1296" s="35" t="s">
        <v>11147</v>
      </c>
      <c r="F1296" s="35" t="s">
        <v>11143</v>
      </c>
      <c r="G1296" s="35">
        <v>240875</v>
      </c>
      <c r="H1296" s="35">
        <v>280020</v>
      </c>
      <c r="I1296" s="35">
        <v>200007</v>
      </c>
      <c r="J1296" s="34" t="s">
        <v>2874</v>
      </c>
      <c r="K1296" s="34" t="str">
        <f t="shared" si="41"/>
        <v>重复</v>
      </c>
      <c r="L1296" s="34" t="str">
        <f t="shared" si="42"/>
        <v>不重复</v>
      </c>
    </row>
    <row r="1297" spans="1:12" ht="15">
      <c r="A1297" s="35" t="s">
        <v>11705</v>
      </c>
      <c r="B1297" s="35" t="s">
        <v>3744</v>
      </c>
      <c r="C1297" s="36" t="s">
        <v>3745</v>
      </c>
      <c r="D1297" s="35" t="s">
        <v>3746</v>
      </c>
      <c r="E1297" s="35" t="s">
        <v>11147</v>
      </c>
      <c r="F1297" s="35" t="s">
        <v>11143</v>
      </c>
      <c r="G1297" s="35">
        <v>240876</v>
      </c>
      <c r="H1297" s="35">
        <v>280020</v>
      </c>
      <c r="I1297" s="35">
        <v>200007</v>
      </c>
      <c r="J1297" s="34" t="s">
        <v>962</v>
      </c>
      <c r="K1297" s="34" t="str">
        <f t="shared" si="41"/>
        <v>不重复</v>
      </c>
      <c r="L1297" s="34" t="str">
        <f t="shared" si="42"/>
        <v>不重复</v>
      </c>
    </row>
    <row r="1298" spans="1:12" ht="30">
      <c r="A1298" s="35" t="s">
        <v>11706</v>
      </c>
      <c r="B1298" s="35" t="s">
        <v>3747</v>
      </c>
      <c r="C1298" s="36" t="s">
        <v>3620</v>
      </c>
      <c r="D1298" s="35" t="s">
        <v>3748</v>
      </c>
      <c r="E1298" s="35" t="s">
        <v>11147</v>
      </c>
      <c r="F1298" s="35" t="s">
        <v>11143</v>
      </c>
      <c r="G1298" s="35">
        <v>240877</v>
      </c>
      <c r="H1298" s="35">
        <v>280020</v>
      </c>
      <c r="I1298" s="35">
        <v>200007</v>
      </c>
      <c r="J1298" s="34" t="s">
        <v>3749</v>
      </c>
      <c r="K1298" s="34" t="str">
        <f t="shared" si="41"/>
        <v>重复</v>
      </c>
      <c r="L1298" s="34" t="str">
        <f t="shared" si="42"/>
        <v>不重复</v>
      </c>
    </row>
    <row r="1299" spans="1:12" ht="30">
      <c r="A1299" s="35" t="s">
        <v>11707</v>
      </c>
      <c r="B1299" s="35" t="s">
        <v>3750</v>
      </c>
      <c r="C1299" s="36" t="s">
        <v>987</v>
      </c>
      <c r="D1299" s="35" t="s">
        <v>3751</v>
      </c>
      <c r="E1299" s="35" t="s">
        <v>11147</v>
      </c>
      <c r="F1299" s="35" t="s">
        <v>11143</v>
      </c>
      <c r="G1299" s="35">
        <v>240878</v>
      </c>
      <c r="H1299" s="35">
        <v>280020</v>
      </c>
      <c r="I1299" s="35">
        <v>200007</v>
      </c>
      <c r="J1299" s="34" t="s">
        <v>932</v>
      </c>
      <c r="K1299" s="34" t="str">
        <f t="shared" si="41"/>
        <v>重复</v>
      </c>
      <c r="L1299" s="34" t="str">
        <f t="shared" si="42"/>
        <v>不重复</v>
      </c>
    </row>
    <row r="1300" spans="1:12" ht="15">
      <c r="A1300" s="35" t="s">
        <v>11708</v>
      </c>
      <c r="B1300" s="35" t="s">
        <v>3752</v>
      </c>
      <c r="C1300" s="36" t="s">
        <v>3753</v>
      </c>
      <c r="D1300" s="35" t="s">
        <v>3754</v>
      </c>
      <c r="E1300" s="35" t="s">
        <v>11708</v>
      </c>
      <c r="F1300" s="35" t="s">
        <v>11143</v>
      </c>
      <c r="G1300" s="35">
        <v>240900</v>
      </c>
      <c r="H1300" s="35">
        <v>280030</v>
      </c>
      <c r="I1300" s="35">
        <v>200007</v>
      </c>
      <c r="J1300" s="34" t="s">
        <v>16</v>
      </c>
      <c r="K1300" s="34" t="str">
        <f t="shared" si="41"/>
        <v>不重复</v>
      </c>
      <c r="L1300" s="34" t="str">
        <f t="shared" si="42"/>
        <v>不重复</v>
      </c>
    </row>
    <row r="1301" spans="1:12" ht="30">
      <c r="A1301" s="35" t="s">
        <v>11709</v>
      </c>
      <c r="B1301" s="35" t="s">
        <v>3755</v>
      </c>
      <c r="C1301" s="36" t="s">
        <v>3756</v>
      </c>
      <c r="D1301" s="35" t="s">
        <v>3757</v>
      </c>
      <c r="E1301" s="35" t="s">
        <v>11708</v>
      </c>
      <c r="F1301" s="35" t="s">
        <v>11143</v>
      </c>
      <c r="G1301" s="35">
        <v>240901</v>
      </c>
      <c r="H1301" s="35">
        <v>280030</v>
      </c>
      <c r="I1301" s="35">
        <v>200007</v>
      </c>
      <c r="J1301" s="34" t="s">
        <v>3758</v>
      </c>
      <c r="K1301" s="34" t="str">
        <f t="shared" si="41"/>
        <v>不重复</v>
      </c>
      <c r="L1301" s="34" t="str">
        <f t="shared" si="42"/>
        <v>不重复</v>
      </c>
    </row>
    <row r="1302" spans="1:12" ht="15">
      <c r="A1302" s="35" t="s">
        <v>11710</v>
      </c>
      <c r="B1302" s="35" t="s">
        <v>3759</v>
      </c>
      <c r="C1302" s="36" t="s">
        <v>3760</v>
      </c>
      <c r="D1302" s="35" t="s">
        <v>3761</v>
      </c>
      <c r="E1302" s="35" t="s">
        <v>11710</v>
      </c>
      <c r="F1302" s="35" t="s">
        <v>11143</v>
      </c>
      <c r="G1302" s="35">
        <v>241000</v>
      </c>
      <c r="H1302" s="35">
        <v>280040</v>
      </c>
      <c r="I1302" s="35">
        <v>200007</v>
      </c>
      <c r="J1302" s="34" t="s">
        <v>16</v>
      </c>
      <c r="K1302" s="34" t="str">
        <f t="shared" si="43" ref="K1302:K1365">IF(COUNTIF(C:C,C1302)&gt;=2,"重复","不重复")</f>
        <v>不重复</v>
      </c>
      <c r="L1302" s="34" t="str">
        <f t="shared" si="42"/>
        <v>不重复</v>
      </c>
    </row>
    <row r="1303" spans="1:12" ht="27">
      <c r="A1303" s="35" t="s">
        <v>11711</v>
      </c>
      <c r="B1303" s="35" t="s">
        <v>3762</v>
      </c>
      <c r="C1303" s="36" t="s">
        <v>3763</v>
      </c>
      <c r="D1303" s="35" t="s">
        <v>3764</v>
      </c>
      <c r="E1303" s="35" t="s">
        <v>11710</v>
      </c>
      <c r="F1303" s="35" t="s">
        <v>11143</v>
      </c>
      <c r="G1303" s="35">
        <v>241001</v>
      </c>
      <c r="H1303" s="35">
        <v>280040</v>
      </c>
      <c r="I1303" s="35">
        <v>200007</v>
      </c>
      <c r="J1303" s="34" t="s">
        <v>3083</v>
      </c>
      <c r="K1303" s="34" t="str">
        <f t="shared" si="43"/>
        <v>不重复</v>
      </c>
      <c r="L1303" s="34" t="str">
        <f t="shared" si="42"/>
        <v>不重复</v>
      </c>
    </row>
    <row r="1304" spans="1:12" ht="27">
      <c r="A1304" s="35" t="s">
        <v>11712</v>
      </c>
      <c r="B1304" s="35" t="s">
        <v>3765</v>
      </c>
      <c r="C1304" s="36" t="s">
        <v>2429</v>
      </c>
      <c r="D1304" s="35" t="s">
        <v>3766</v>
      </c>
      <c r="E1304" s="35" t="s">
        <v>11710</v>
      </c>
      <c r="F1304" s="35" t="s">
        <v>11143</v>
      </c>
      <c r="G1304" s="35">
        <v>241002</v>
      </c>
      <c r="H1304" s="35">
        <v>280040</v>
      </c>
      <c r="I1304" s="35">
        <v>200007</v>
      </c>
      <c r="J1304" s="34" t="s">
        <v>3767</v>
      </c>
      <c r="K1304" s="34" t="str">
        <f t="shared" si="43"/>
        <v>重复</v>
      </c>
      <c r="L1304" s="34" t="str">
        <f t="shared" si="42"/>
        <v>不重复</v>
      </c>
    </row>
    <row r="1305" spans="1:12" ht="15">
      <c r="A1305" s="35" t="s">
        <v>11713</v>
      </c>
      <c r="B1305" s="35" t="s">
        <v>3768</v>
      </c>
      <c r="C1305" s="36" t="s">
        <v>3769</v>
      </c>
      <c r="D1305" s="35" t="s">
        <v>2304</v>
      </c>
      <c r="E1305" s="35" t="s">
        <v>11710</v>
      </c>
      <c r="F1305" s="35" t="s">
        <v>11143</v>
      </c>
      <c r="G1305" s="35">
        <v>241003</v>
      </c>
      <c r="H1305" s="35">
        <v>280040</v>
      </c>
      <c r="I1305" s="35">
        <v>200007</v>
      </c>
      <c r="J1305" s="34" t="s">
        <v>3770</v>
      </c>
      <c r="K1305" s="34" t="str">
        <f t="shared" si="43"/>
        <v>重复</v>
      </c>
      <c r="L1305" s="34" t="str">
        <f t="shared" si="42"/>
        <v>重复</v>
      </c>
    </row>
    <row r="1306" spans="1:12" ht="15">
      <c r="A1306" s="35" t="s">
        <v>11713</v>
      </c>
      <c r="B1306" s="35" t="s">
        <v>3768</v>
      </c>
      <c r="C1306" s="36" t="s">
        <v>3769</v>
      </c>
      <c r="D1306" s="35" t="s">
        <v>2304</v>
      </c>
      <c r="E1306" s="35" t="s">
        <v>11710</v>
      </c>
      <c r="F1306" s="35" t="s">
        <v>11143</v>
      </c>
      <c r="G1306" s="35">
        <v>241004</v>
      </c>
      <c r="H1306" s="35">
        <v>280040</v>
      </c>
      <c r="I1306" s="35">
        <v>200007</v>
      </c>
      <c r="J1306" s="34" t="s">
        <v>363</v>
      </c>
      <c r="K1306" s="34" t="str">
        <f t="shared" si="43"/>
        <v>重复</v>
      </c>
      <c r="L1306" s="34" t="str">
        <f t="shared" si="42"/>
        <v>重复</v>
      </c>
    </row>
    <row r="1307" spans="1:12" ht="15">
      <c r="A1307" s="35" t="s">
        <v>11714</v>
      </c>
      <c r="B1307" s="35" t="s">
        <v>3771</v>
      </c>
      <c r="C1307" s="36" t="s">
        <v>3772</v>
      </c>
      <c r="D1307" s="35" t="s">
        <v>2775</v>
      </c>
      <c r="E1307" s="35" t="s">
        <v>11710</v>
      </c>
      <c r="F1307" s="35" t="s">
        <v>11143</v>
      </c>
      <c r="G1307" s="35">
        <v>241005</v>
      </c>
      <c r="H1307" s="35">
        <v>280040</v>
      </c>
      <c r="I1307" s="35">
        <v>200007</v>
      </c>
      <c r="J1307" s="34" t="s">
        <v>2387</v>
      </c>
      <c r="K1307" s="34" t="str">
        <f t="shared" si="43"/>
        <v>重复</v>
      </c>
      <c r="L1307" s="34" t="str">
        <f t="shared" si="42"/>
        <v>重复</v>
      </c>
    </row>
    <row r="1308" spans="1:12" ht="30">
      <c r="A1308" s="35" t="s">
        <v>11715</v>
      </c>
      <c r="B1308" s="35" t="s">
        <v>3773</v>
      </c>
      <c r="C1308" s="36" t="s">
        <v>3774</v>
      </c>
      <c r="D1308" s="35" t="s">
        <v>3775</v>
      </c>
      <c r="E1308" s="35" t="s">
        <v>11710</v>
      </c>
      <c r="F1308" s="35" t="s">
        <v>11143</v>
      </c>
      <c r="G1308" s="35">
        <v>241006</v>
      </c>
      <c r="H1308" s="35">
        <v>280040</v>
      </c>
      <c r="I1308" s="35">
        <v>200007</v>
      </c>
      <c r="J1308" s="34" t="s">
        <v>2387</v>
      </c>
      <c r="K1308" s="34" t="str">
        <f t="shared" si="43"/>
        <v>重复</v>
      </c>
      <c r="L1308" s="34" t="str">
        <f t="shared" si="42"/>
        <v>不重复</v>
      </c>
    </row>
    <row r="1309" spans="1:12" ht="30">
      <c r="A1309" s="35" t="s">
        <v>11716</v>
      </c>
      <c r="B1309" s="35" t="s">
        <v>3776</v>
      </c>
      <c r="C1309" s="36" t="s">
        <v>2908</v>
      </c>
      <c r="D1309" s="35" t="s">
        <v>3777</v>
      </c>
      <c r="E1309" s="35" t="s">
        <v>11710</v>
      </c>
      <c r="F1309" s="35" t="s">
        <v>11143</v>
      </c>
      <c r="G1309" s="35">
        <v>241007</v>
      </c>
      <c r="H1309" s="35">
        <v>280040</v>
      </c>
      <c r="I1309" s="35">
        <v>200007</v>
      </c>
      <c r="J1309" s="34" t="s">
        <v>3778</v>
      </c>
      <c r="K1309" s="34" t="str">
        <f t="shared" si="43"/>
        <v>重复</v>
      </c>
      <c r="L1309" s="34" t="str">
        <f t="shared" si="42"/>
        <v>不重复</v>
      </c>
    </row>
    <row r="1310" spans="1:12" ht="15">
      <c r="A1310" s="35" t="s">
        <v>11717</v>
      </c>
      <c r="B1310" s="35" t="s">
        <v>3779</v>
      </c>
      <c r="C1310" s="36" t="s">
        <v>3780</v>
      </c>
      <c r="D1310" s="35" t="s">
        <v>3781</v>
      </c>
      <c r="E1310" s="35" t="s">
        <v>11710</v>
      </c>
      <c r="F1310" s="35" t="s">
        <v>11143</v>
      </c>
      <c r="G1310" s="35">
        <v>241008</v>
      </c>
      <c r="H1310" s="35">
        <v>280040</v>
      </c>
      <c r="I1310" s="35">
        <v>200007</v>
      </c>
      <c r="J1310" s="34" t="s">
        <v>2387</v>
      </c>
      <c r="K1310" s="34" t="str">
        <f t="shared" si="43"/>
        <v>重复</v>
      </c>
      <c r="L1310" s="34" t="str">
        <f t="shared" si="42"/>
        <v>不重复</v>
      </c>
    </row>
    <row r="1311" spans="1:12" ht="30">
      <c r="A1311" s="35" t="s">
        <v>11718</v>
      </c>
      <c r="B1311" s="35" t="s">
        <v>3782</v>
      </c>
      <c r="C1311" s="36" t="s">
        <v>3783</v>
      </c>
      <c r="D1311" s="35" t="s">
        <v>3784</v>
      </c>
      <c r="E1311" s="35" t="s">
        <v>11710</v>
      </c>
      <c r="F1311" s="35" t="s">
        <v>11143</v>
      </c>
      <c r="G1311" s="35">
        <v>241009</v>
      </c>
      <c r="H1311" s="35">
        <v>280040</v>
      </c>
      <c r="I1311" s="35">
        <v>200007</v>
      </c>
      <c r="J1311" s="34" t="s">
        <v>2338</v>
      </c>
      <c r="K1311" s="34" t="str">
        <f t="shared" si="43"/>
        <v>重复</v>
      </c>
      <c r="L1311" s="34" t="str">
        <f t="shared" si="42"/>
        <v>不重复</v>
      </c>
    </row>
    <row r="1312" spans="1:12" ht="30">
      <c r="A1312" s="35" t="s">
        <v>11719</v>
      </c>
      <c r="B1312" s="35" t="s">
        <v>3785</v>
      </c>
      <c r="C1312" s="36" t="s">
        <v>3786</v>
      </c>
      <c r="D1312" s="35" t="s">
        <v>3787</v>
      </c>
      <c r="E1312" s="35" t="s">
        <v>11710</v>
      </c>
      <c r="F1312" s="35" t="s">
        <v>11143</v>
      </c>
      <c r="G1312" s="35">
        <v>241010</v>
      </c>
      <c r="H1312" s="35">
        <v>280040</v>
      </c>
      <c r="I1312" s="35">
        <v>200007</v>
      </c>
      <c r="J1312" s="34" t="s">
        <v>3788</v>
      </c>
      <c r="K1312" s="34" t="str">
        <f t="shared" si="43"/>
        <v>不重复</v>
      </c>
      <c r="L1312" s="34" t="str">
        <f t="shared" si="42"/>
        <v>重复</v>
      </c>
    </row>
    <row r="1313" spans="1:12" ht="15">
      <c r="A1313" s="35" t="s">
        <v>11720</v>
      </c>
      <c r="B1313" s="35" t="s">
        <v>3789</v>
      </c>
      <c r="C1313" s="36" t="s">
        <v>3790</v>
      </c>
      <c r="D1313" s="35" t="s">
        <v>3791</v>
      </c>
      <c r="E1313" s="35" t="s">
        <v>11710</v>
      </c>
      <c r="F1313" s="35" t="s">
        <v>11143</v>
      </c>
      <c r="G1313" s="35">
        <v>241011</v>
      </c>
      <c r="H1313" s="35">
        <v>280040</v>
      </c>
      <c r="I1313" s="35">
        <v>200007</v>
      </c>
      <c r="J1313" s="34" t="s">
        <v>270</v>
      </c>
      <c r="K1313" s="34" t="str">
        <f t="shared" si="43"/>
        <v>不重复</v>
      </c>
      <c r="L1313" s="34" t="str">
        <f t="shared" si="42"/>
        <v>不重复</v>
      </c>
    </row>
    <row r="1314" spans="1:12" ht="15">
      <c r="A1314" s="35" t="s">
        <v>11721</v>
      </c>
      <c r="B1314" s="35" t="s">
        <v>3792</v>
      </c>
      <c r="C1314" s="36" t="s">
        <v>3793</v>
      </c>
      <c r="D1314" s="35" t="s">
        <v>3794</v>
      </c>
      <c r="E1314" s="35" t="s">
        <v>11710</v>
      </c>
      <c r="F1314" s="35" t="s">
        <v>11143</v>
      </c>
      <c r="G1314" s="35">
        <v>241012</v>
      </c>
      <c r="H1314" s="35">
        <v>280040</v>
      </c>
      <c r="I1314" s="35">
        <v>200007</v>
      </c>
      <c r="J1314" s="34" t="s">
        <v>3767</v>
      </c>
      <c r="K1314" s="34" t="str">
        <f t="shared" si="43"/>
        <v>重复</v>
      </c>
      <c r="L1314" s="34" t="str">
        <f t="shared" si="42"/>
        <v>不重复</v>
      </c>
    </row>
    <row r="1315" spans="1:12" ht="15">
      <c r="A1315" s="35" t="s">
        <v>11722</v>
      </c>
      <c r="B1315" s="35" t="s">
        <v>3795</v>
      </c>
      <c r="C1315" s="36" t="s">
        <v>3796</v>
      </c>
      <c r="D1315" s="35" t="s">
        <v>3797</v>
      </c>
      <c r="E1315" s="35" t="s">
        <v>11710</v>
      </c>
      <c r="F1315" s="35" t="s">
        <v>11143</v>
      </c>
      <c r="G1315" s="35">
        <v>241013</v>
      </c>
      <c r="H1315" s="35">
        <v>280040</v>
      </c>
      <c r="I1315" s="35">
        <v>200007</v>
      </c>
      <c r="J1315" s="34" t="s">
        <v>3724</v>
      </c>
      <c r="K1315" s="34" t="str">
        <f t="shared" si="43"/>
        <v>不重复</v>
      </c>
      <c r="L1315" s="34" t="str">
        <f t="shared" si="42"/>
        <v>不重复</v>
      </c>
    </row>
    <row r="1316" spans="1:12" ht="15">
      <c r="A1316" s="35" t="s">
        <v>11723</v>
      </c>
      <c r="B1316" s="35" t="s">
        <v>3798</v>
      </c>
      <c r="C1316" s="36" t="s">
        <v>3799</v>
      </c>
      <c r="D1316" s="35" t="s">
        <v>2142</v>
      </c>
      <c r="E1316" s="35" t="s">
        <v>11710</v>
      </c>
      <c r="F1316" s="35" t="s">
        <v>11143</v>
      </c>
      <c r="G1316" s="35">
        <v>241014</v>
      </c>
      <c r="H1316" s="35">
        <v>280040</v>
      </c>
      <c r="I1316" s="35">
        <v>200007</v>
      </c>
      <c r="J1316" s="34" t="s">
        <v>270</v>
      </c>
      <c r="K1316" s="34" t="str">
        <f t="shared" si="43"/>
        <v>不重复</v>
      </c>
      <c r="L1316" s="34" t="str">
        <f t="shared" si="42"/>
        <v>重复</v>
      </c>
    </row>
    <row r="1317" spans="1:12" ht="30">
      <c r="A1317" s="35" t="s">
        <v>11724</v>
      </c>
      <c r="B1317" s="35" t="s">
        <v>3800</v>
      </c>
      <c r="C1317" s="36" t="s">
        <v>3801</v>
      </c>
      <c r="D1317" s="35" t="s">
        <v>3802</v>
      </c>
      <c r="E1317" s="35" t="s">
        <v>11710</v>
      </c>
      <c r="F1317" s="35" t="s">
        <v>11143</v>
      </c>
      <c r="G1317" s="35">
        <v>241015</v>
      </c>
      <c r="H1317" s="35">
        <v>280040</v>
      </c>
      <c r="I1317" s="35">
        <v>200007</v>
      </c>
      <c r="J1317" s="34" t="s">
        <v>3803</v>
      </c>
      <c r="K1317" s="34" t="str">
        <f t="shared" si="43"/>
        <v>不重复</v>
      </c>
      <c r="L1317" s="34" t="str">
        <f t="shared" si="42"/>
        <v>不重复</v>
      </c>
    </row>
    <row r="1318" spans="1:12" ht="15">
      <c r="A1318" s="35" t="s">
        <v>11725</v>
      </c>
      <c r="B1318" s="35" t="s">
        <v>3804</v>
      </c>
      <c r="C1318" s="36" t="s">
        <v>3805</v>
      </c>
      <c r="D1318" s="35" t="s">
        <v>3806</v>
      </c>
      <c r="E1318" s="35" t="s">
        <v>11710</v>
      </c>
      <c r="F1318" s="35" t="s">
        <v>11143</v>
      </c>
      <c r="G1318" s="35">
        <v>241016</v>
      </c>
      <c r="H1318" s="35">
        <v>280040</v>
      </c>
      <c r="I1318" s="35">
        <v>200007</v>
      </c>
      <c r="J1318" s="34" t="s">
        <v>2317</v>
      </c>
      <c r="K1318" s="34" t="str">
        <f t="shared" si="43"/>
        <v>不重复</v>
      </c>
      <c r="L1318" s="34" t="str">
        <f t="shared" si="42"/>
        <v>不重复</v>
      </c>
    </row>
    <row r="1319" spans="1:12" ht="30">
      <c r="A1319" s="35" t="s">
        <v>11726</v>
      </c>
      <c r="B1319" s="35" t="s">
        <v>3807</v>
      </c>
      <c r="C1319" s="36" t="s">
        <v>3808</v>
      </c>
      <c r="D1319" s="35" t="s">
        <v>3809</v>
      </c>
      <c r="E1319" s="35" t="s">
        <v>11710</v>
      </c>
      <c r="F1319" s="35" t="s">
        <v>11143</v>
      </c>
      <c r="G1319" s="35">
        <v>241017</v>
      </c>
      <c r="H1319" s="35">
        <v>280040</v>
      </c>
      <c r="I1319" s="35">
        <v>200007</v>
      </c>
      <c r="J1319" s="34" t="s">
        <v>3767</v>
      </c>
      <c r="K1319" s="34" t="str">
        <f t="shared" si="43"/>
        <v>不重复</v>
      </c>
      <c r="L1319" s="34" t="str">
        <f t="shared" si="42"/>
        <v>不重复</v>
      </c>
    </row>
    <row r="1320" spans="1:12" ht="30">
      <c r="A1320" s="35" t="s">
        <v>11727</v>
      </c>
      <c r="B1320" s="35" t="s">
        <v>3810</v>
      </c>
      <c r="C1320" s="36" t="s">
        <v>3772</v>
      </c>
      <c r="D1320" s="35" t="s">
        <v>3811</v>
      </c>
      <c r="E1320" s="35" t="s">
        <v>11710</v>
      </c>
      <c r="F1320" s="35" t="s">
        <v>11143</v>
      </c>
      <c r="G1320" s="35">
        <v>241018</v>
      </c>
      <c r="H1320" s="35">
        <v>280040</v>
      </c>
      <c r="I1320" s="35">
        <v>200007</v>
      </c>
      <c r="J1320" s="34" t="s">
        <v>3812</v>
      </c>
      <c r="K1320" s="34" t="str">
        <f t="shared" si="43"/>
        <v>重复</v>
      </c>
      <c r="L1320" s="34" t="str">
        <f t="shared" si="42"/>
        <v>不重复</v>
      </c>
    </row>
    <row r="1321" spans="1:12" ht="30">
      <c r="A1321" s="35" t="s">
        <v>11728</v>
      </c>
      <c r="B1321" s="35" t="s">
        <v>3813</v>
      </c>
      <c r="C1321" s="36" t="s">
        <v>3814</v>
      </c>
      <c r="D1321" s="35" t="s">
        <v>3815</v>
      </c>
      <c r="E1321" s="35" t="s">
        <v>11710</v>
      </c>
      <c r="F1321" s="35" t="s">
        <v>11143</v>
      </c>
      <c r="G1321" s="35">
        <v>241019</v>
      </c>
      <c r="H1321" s="35">
        <v>280040</v>
      </c>
      <c r="I1321" s="35">
        <v>200007</v>
      </c>
      <c r="J1321" s="34" t="s">
        <v>3816</v>
      </c>
      <c r="K1321" s="34" t="str">
        <f t="shared" si="43"/>
        <v>重复</v>
      </c>
      <c r="L1321" s="34" t="str">
        <f t="shared" si="44" ref="L1321:L1384">IF(COUNTIF(D:D,D1321)&gt;=2,"重复","不重复")</f>
        <v>重复</v>
      </c>
    </row>
    <row r="1322" spans="1:12" ht="30">
      <c r="A1322" s="35" t="s">
        <v>11729</v>
      </c>
      <c r="B1322" s="35" t="s">
        <v>3817</v>
      </c>
      <c r="C1322" s="36" t="s">
        <v>3818</v>
      </c>
      <c r="D1322" s="35" t="s">
        <v>3819</v>
      </c>
      <c r="E1322" s="35" t="s">
        <v>11710</v>
      </c>
      <c r="F1322" s="35" t="s">
        <v>11143</v>
      </c>
      <c r="G1322" s="35">
        <v>241020</v>
      </c>
      <c r="H1322" s="35">
        <v>280040</v>
      </c>
      <c r="I1322" s="35">
        <v>200007</v>
      </c>
      <c r="J1322" s="34" t="s">
        <v>3820</v>
      </c>
      <c r="K1322" s="34" t="str">
        <f t="shared" si="43"/>
        <v>不重复</v>
      </c>
      <c r="L1322" s="34" t="str">
        <f t="shared" si="44"/>
        <v>不重复</v>
      </c>
    </row>
    <row r="1323" spans="1:12" ht="30">
      <c r="A1323" s="35" t="s">
        <v>11730</v>
      </c>
      <c r="B1323" s="35" t="s">
        <v>3821</v>
      </c>
      <c r="C1323" s="36" t="s">
        <v>1169</v>
      </c>
      <c r="D1323" s="35" t="s">
        <v>3822</v>
      </c>
      <c r="E1323" s="35" t="s">
        <v>11710</v>
      </c>
      <c r="F1323" s="35" t="s">
        <v>11143</v>
      </c>
      <c r="G1323" s="35">
        <v>241021</v>
      </c>
      <c r="H1323" s="35">
        <v>280040</v>
      </c>
      <c r="I1323" s="35">
        <v>200007</v>
      </c>
      <c r="J1323" s="34" t="s">
        <v>3778</v>
      </c>
      <c r="K1323" s="34" t="str">
        <f t="shared" si="43"/>
        <v>重复</v>
      </c>
      <c r="L1323" s="34" t="str">
        <f t="shared" si="44"/>
        <v>不重复</v>
      </c>
    </row>
    <row r="1324" spans="1:12" ht="30">
      <c r="A1324" s="35" t="s">
        <v>11731</v>
      </c>
      <c r="B1324" s="35" t="s">
        <v>3823</v>
      </c>
      <c r="C1324" s="36" t="s">
        <v>3824</v>
      </c>
      <c r="D1324" s="35" t="s">
        <v>3825</v>
      </c>
      <c r="E1324" s="35" t="s">
        <v>11710</v>
      </c>
      <c r="F1324" s="35" t="s">
        <v>11143</v>
      </c>
      <c r="G1324" s="35">
        <v>241022</v>
      </c>
      <c r="H1324" s="35">
        <v>280040</v>
      </c>
      <c r="I1324" s="35">
        <v>200007</v>
      </c>
      <c r="J1324" s="34" t="s">
        <v>458</v>
      </c>
      <c r="K1324" s="34" t="str">
        <f t="shared" si="43"/>
        <v>不重复</v>
      </c>
      <c r="L1324" s="34" t="str">
        <f t="shared" si="44"/>
        <v>不重复</v>
      </c>
    </row>
    <row r="1325" spans="1:12" ht="15">
      <c r="A1325" s="35" t="s">
        <v>11732</v>
      </c>
      <c r="B1325" s="35" t="s">
        <v>3826</v>
      </c>
      <c r="C1325" s="36" t="s">
        <v>3827</v>
      </c>
      <c r="D1325" s="35" t="s">
        <v>402</v>
      </c>
      <c r="E1325" s="35" t="s">
        <v>11710</v>
      </c>
      <c r="F1325" s="35" t="s">
        <v>11143</v>
      </c>
      <c r="G1325" s="35">
        <v>241023</v>
      </c>
      <c r="H1325" s="35">
        <v>280040</v>
      </c>
      <c r="I1325" s="35">
        <v>200007</v>
      </c>
      <c r="J1325" s="34" t="s">
        <v>3828</v>
      </c>
      <c r="K1325" s="34" t="str">
        <f t="shared" si="43"/>
        <v>重复</v>
      </c>
      <c r="L1325" s="34" t="str">
        <f t="shared" si="44"/>
        <v>重复</v>
      </c>
    </row>
    <row r="1326" spans="1:12" ht="15">
      <c r="A1326" s="35" t="s">
        <v>11733</v>
      </c>
      <c r="B1326" s="35" t="s">
        <v>3829</v>
      </c>
      <c r="C1326" s="36" t="s">
        <v>3830</v>
      </c>
      <c r="D1326" s="35" t="s">
        <v>3831</v>
      </c>
      <c r="E1326" s="35" t="s">
        <v>11710</v>
      </c>
      <c r="F1326" s="35" t="s">
        <v>11143</v>
      </c>
      <c r="G1326" s="35">
        <v>241024</v>
      </c>
      <c r="H1326" s="35">
        <v>280040</v>
      </c>
      <c r="I1326" s="35">
        <v>200007</v>
      </c>
      <c r="J1326" s="34" t="s">
        <v>3803</v>
      </c>
      <c r="K1326" s="34" t="str">
        <f t="shared" si="43"/>
        <v>不重复</v>
      </c>
      <c r="L1326" s="34" t="str">
        <f t="shared" si="44"/>
        <v>重复</v>
      </c>
    </row>
    <row r="1327" spans="1:12" ht="15">
      <c r="A1327" s="35" t="s">
        <v>11734</v>
      </c>
      <c r="B1327" s="35" t="s">
        <v>3832</v>
      </c>
      <c r="C1327" s="36" t="s">
        <v>3833</v>
      </c>
      <c r="D1327" s="35" t="s">
        <v>3834</v>
      </c>
      <c r="E1327" s="35" t="s">
        <v>11710</v>
      </c>
      <c r="F1327" s="35" t="s">
        <v>11143</v>
      </c>
      <c r="G1327" s="35">
        <v>241025</v>
      </c>
      <c r="H1327" s="35">
        <v>280040</v>
      </c>
      <c r="I1327" s="35">
        <v>200007</v>
      </c>
      <c r="J1327" s="34" t="s">
        <v>3778</v>
      </c>
      <c r="K1327" s="34" t="str">
        <f t="shared" si="43"/>
        <v>不重复</v>
      </c>
      <c r="L1327" s="34" t="str">
        <f t="shared" si="44"/>
        <v>重复</v>
      </c>
    </row>
    <row r="1328" spans="1:12" ht="15">
      <c r="A1328" s="35" t="s">
        <v>11735</v>
      </c>
      <c r="B1328" s="35" t="s">
        <v>3835</v>
      </c>
      <c r="C1328" s="36" t="s">
        <v>3836</v>
      </c>
      <c r="D1328" s="35" t="s">
        <v>3837</v>
      </c>
      <c r="E1328" s="35" t="s">
        <v>11710</v>
      </c>
      <c r="F1328" s="35" t="s">
        <v>11143</v>
      </c>
      <c r="G1328" s="35">
        <v>241026</v>
      </c>
      <c r="H1328" s="35">
        <v>280040</v>
      </c>
      <c r="I1328" s="35">
        <v>200007</v>
      </c>
      <c r="J1328" s="34" t="s">
        <v>3838</v>
      </c>
      <c r="K1328" s="34" t="str">
        <f t="shared" si="43"/>
        <v>不重复</v>
      </c>
      <c r="L1328" s="34" t="str">
        <f t="shared" si="44"/>
        <v>重复</v>
      </c>
    </row>
    <row r="1329" spans="1:12" ht="15">
      <c r="A1329" s="35" t="s">
        <v>11736</v>
      </c>
      <c r="B1329" s="35" t="s">
        <v>3839</v>
      </c>
      <c r="C1329" s="36" t="s">
        <v>3840</v>
      </c>
      <c r="D1329" s="35" t="s">
        <v>3841</v>
      </c>
      <c r="E1329" s="35" t="s">
        <v>11710</v>
      </c>
      <c r="F1329" s="35" t="s">
        <v>11143</v>
      </c>
      <c r="G1329" s="35">
        <v>241027</v>
      </c>
      <c r="H1329" s="35">
        <v>280040</v>
      </c>
      <c r="I1329" s="35">
        <v>200007</v>
      </c>
      <c r="J1329" s="34" t="s">
        <v>311</v>
      </c>
      <c r="K1329" s="34" t="str">
        <f t="shared" si="43"/>
        <v>不重复</v>
      </c>
      <c r="L1329" s="34" t="str">
        <f t="shared" si="44"/>
        <v>重复</v>
      </c>
    </row>
    <row r="1330" spans="1:12" ht="15">
      <c r="A1330" s="35" t="s">
        <v>11737</v>
      </c>
      <c r="B1330" s="35" t="s">
        <v>3842</v>
      </c>
      <c r="C1330" s="36" t="s">
        <v>3843</v>
      </c>
      <c r="D1330" s="35" t="s">
        <v>3844</v>
      </c>
      <c r="E1330" s="35" t="s">
        <v>11710</v>
      </c>
      <c r="F1330" s="35" t="s">
        <v>11143</v>
      </c>
      <c r="G1330" s="35">
        <v>241028</v>
      </c>
      <c r="H1330" s="35">
        <v>280040</v>
      </c>
      <c r="I1330" s="35">
        <v>200007</v>
      </c>
      <c r="J1330" s="34" t="s">
        <v>2440</v>
      </c>
      <c r="K1330" s="34" t="str">
        <f t="shared" si="43"/>
        <v>不重复</v>
      </c>
      <c r="L1330" s="34" t="str">
        <f t="shared" si="44"/>
        <v>不重复</v>
      </c>
    </row>
    <row r="1331" spans="1:12" ht="30">
      <c r="A1331" s="35" t="s">
        <v>11738</v>
      </c>
      <c r="B1331" s="35" t="s">
        <v>3845</v>
      </c>
      <c r="C1331" s="36" t="s">
        <v>3846</v>
      </c>
      <c r="D1331" s="35" t="s">
        <v>3847</v>
      </c>
      <c r="E1331" s="35" t="s">
        <v>11710</v>
      </c>
      <c r="F1331" s="35" t="s">
        <v>11143</v>
      </c>
      <c r="G1331" s="35">
        <v>241029</v>
      </c>
      <c r="H1331" s="35">
        <v>280040</v>
      </c>
      <c r="I1331" s="35">
        <v>200007</v>
      </c>
      <c r="J1331" s="34" t="s">
        <v>3848</v>
      </c>
      <c r="K1331" s="34" t="str">
        <f t="shared" si="43"/>
        <v>不重复</v>
      </c>
      <c r="L1331" s="34" t="str">
        <f t="shared" si="44"/>
        <v>不重复</v>
      </c>
    </row>
    <row r="1332" spans="1:12" ht="30">
      <c r="A1332" s="35" t="s">
        <v>11739</v>
      </c>
      <c r="B1332" s="35" t="s">
        <v>3849</v>
      </c>
      <c r="C1332" s="36" t="s">
        <v>3850</v>
      </c>
      <c r="D1332" s="35" t="s">
        <v>3851</v>
      </c>
      <c r="E1332" s="35" t="s">
        <v>11710</v>
      </c>
      <c r="F1332" s="35" t="s">
        <v>11143</v>
      </c>
      <c r="G1332" s="35">
        <v>241030</v>
      </c>
      <c r="H1332" s="35">
        <v>280040</v>
      </c>
      <c r="I1332" s="35">
        <v>200007</v>
      </c>
      <c r="J1332" s="34" t="s">
        <v>3767</v>
      </c>
      <c r="K1332" s="34" t="str">
        <f t="shared" si="43"/>
        <v>重复</v>
      </c>
      <c r="L1332" s="34" t="str">
        <f t="shared" si="44"/>
        <v>不重复</v>
      </c>
    </row>
    <row r="1333" spans="1:12" ht="15">
      <c r="A1333" s="35" t="s">
        <v>11740</v>
      </c>
      <c r="B1333" s="35" t="s">
        <v>3852</v>
      </c>
      <c r="C1333" s="36" t="s">
        <v>3853</v>
      </c>
      <c r="D1333" s="35" t="s">
        <v>3854</v>
      </c>
      <c r="E1333" s="35" t="s">
        <v>11710</v>
      </c>
      <c r="F1333" s="35" t="s">
        <v>11143</v>
      </c>
      <c r="G1333" s="35">
        <v>241031</v>
      </c>
      <c r="H1333" s="35">
        <v>280040</v>
      </c>
      <c r="I1333" s="35">
        <v>200007</v>
      </c>
      <c r="J1333" s="34" t="s">
        <v>2059</v>
      </c>
      <c r="K1333" s="34" t="str">
        <f t="shared" si="43"/>
        <v>不重复</v>
      </c>
      <c r="L1333" s="34" t="str">
        <f t="shared" si="44"/>
        <v>不重复</v>
      </c>
    </row>
    <row r="1334" spans="1:12" ht="15">
      <c r="A1334" s="35" t="s">
        <v>11741</v>
      </c>
      <c r="B1334" s="35" t="s">
        <v>3855</v>
      </c>
      <c r="C1334" s="36" t="s">
        <v>3856</v>
      </c>
      <c r="D1334" s="35" t="s">
        <v>3857</v>
      </c>
      <c r="E1334" s="35" t="s">
        <v>11710</v>
      </c>
      <c r="F1334" s="35" t="s">
        <v>11143</v>
      </c>
      <c r="G1334" s="35">
        <v>241032</v>
      </c>
      <c r="H1334" s="35">
        <v>280040</v>
      </c>
      <c r="I1334" s="35">
        <v>200007</v>
      </c>
      <c r="J1334" s="34" t="s">
        <v>3858</v>
      </c>
      <c r="K1334" s="34" t="str">
        <f t="shared" si="43"/>
        <v>重复</v>
      </c>
      <c r="L1334" s="34" t="str">
        <f t="shared" si="44"/>
        <v>不重复</v>
      </c>
    </row>
    <row r="1335" spans="1:12" ht="15">
      <c r="A1335" s="35" t="s">
        <v>11742</v>
      </c>
      <c r="B1335" s="35" t="s">
        <v>3859</v>
      </c>
      <c r="C1335" s="36" t="s">
        <v>3860</v>
      </c>
      <c r="D1335" s="35" t="s">
        <v>3861</v>
      </c>
      <c r="E1335" s="35" t="s">
        <v>11710</v>
      </c>
      <c r="F1335" s="35" t="s">
        <v>11143</v>
      </c>
      <c r="G1335" s="35">
        <v>241033</v>
      </c>
      <c r="H1335" s="35">
        <v>280040</v>
      </c>
      <c r="I1335" s="35">
        <v>200007</v>
      </c>
      <c r="J1335" s="34" t="s">
        <v>3862</v>
      </c>
      <c r="K1335" s="34" t="str">
        <f t="shared" si="43"/>
        <v>重复</v>
      </c>
      <c r="L1335" s="34" t="str">
        <f t="shared" si="44"/>
        <v>不重复</v>
      </c>
    </row>
    <row r="1336" spans="1:12" ht="15">
      <c r="A1336" s="35" t="s">
        <v>11743</v>
      </c>
      <c r="B1336" s="35" t="s">
        <v>3863</v>
      </c>
      <c r="C1336" s="36" t="s">
        <v>3864</v>
      </c>
      <c r="D1336" s="35" t="s">
        <v>3865</v>
      </c>
      <c r="E1336" s="35" t="s">
        <v>11710</v>
      </c>
      <c r="F1336" s="35" t="s">
        <v>11143</v>
      </c>
      <c r="G1336" s="35">
        <v>241034</v>
      </c>
      <c r="H1336" s="35">
        <v>280040</v>
      </c>
      <c r="I1336" s="35">
        <v>200007</v>
      </c>
      <c r="J1336" s="34" t="s">
        <v>2796</v>
      </c>
      <c r="K1336" s="34" t="str">
        <f t="shared" si="43"/>
        <v>不重复</v>
      </c>
      <c r="L1336" s="34" t="str">
        <f t="shared" si="44"/>
        <v>不重复</v>
      </c>
    </row>
    <row r="1337" spans="1:12" ht="15">
      <c r="A1337" s="35" t="s">
        <v>11744</v>
      </c>
      <c r="B1337" s="35" t="s">
        <v>3866</v>
      </c>
      <c r="C1337" s="36" t="s">
        <v>3867</v>
      </c>
      <c r="D1337" s="35" t="s">
        <v>3868</v>
      </c>
      <c r="E1337" s="35" t="s">
        <v>11710</v>
      </c>
      <c r="F1337" s="35" t="s">
        <v>11143</v>
      </c>
      <c r="G1337" s="35">
        <v>241035</v>
      </c>
      <c r="H1337" s="35">
        <v>280040</v>
      </c>
      <c r="I1337" s="35">
        <v>200007</v>
      </c>
      <c r="J1337" s="34" t="s">
        <v>2338</v>
      </c>
      <c r="K1337" s="34" t="str">
        <f t="shared" si="43"/>
        <v>重复</v>
      </c>
      <c r="L1337" s="34" t="str">
        <f t="shared" si="44"/>
        <v>不重复</v>
      </c>
    </row>
    <row r="1338" spans="1:12" ht="27">
      <c r="A1338" s="35" t="s">
        <v>11745</v>
      </c>
      <c r="B1338" s="35" t="s">
        <v>3869</v>
      </c>
      <c r="C1338" s="36" t="s">
        <v>3870</v>
      </c>
      <c r="D1338" s="35" t="s">
        <v>3871</v>
      </c>
      <c r="E1338" s="35" t="s">
        <v>11710</v>
      </c>
      <c r="F1338" s="35" t="s">
        <v>11143</v>
      </c>
      <c r="G1338" s="35">
        <v>241036</v>
      </c>
      <c r="H1338" s="35">
        <v>280040</v>
      </c>
      <c r="I1338" s="35">
        <v>200007</v>
      </c>
      <c r="J1338" s="34" t="s">
        <v>3872</v>
      </c>
      <c r="K1338" s="34" t="str">
        <f t="shared" si="43"/>
        <v>不重复</v>
      </c>
      <c r="L1338" s="34" t="str">
        <f t="shared" si="44"/>
        <v>不重复</v>
      </c>
    </row>
    <row r="1339" spans="1:12" ht="15">
      <c r="A1339" s="35" t="s">
        <v>11746</v>
      </c>
      <c r="B1339" s="35" t="s">
        <v>3873</v>
      </c>
      <c r="C1339" s="36" t="s">
        <v>3874</v>
      </c>
      <c r="D1339" s="35" t="s">
        <v>3875</v>
      </c>
      <c r="E1339" s="35" t="s">
        <v>11710</v>
      </c>
      <c r="F1339" s="35" t="s">
        <v>11143</v>
      </c>
      <c r="G1339" s="35">
        <v>241037</v>
      </c>
      <c r="H1339" s="35">
        <v>280040</v>
      </c>
      <c r="I1339" s="35">
        <v>200007</v>
      </c>
      <c r="J1339" s="34" t="s">
        <v>2495</v>
      </c>
      <c r="K1339" s="34" t="str">
        <f t="shared" si="43"/>
        <v>重复</v>
      </c>
      <c r="L1339" s="34" t="str">
        <f t="shared" si="44"/>
        <v>不重复</v>
      </c>
    </row>
    <row r="1340" spans="1:12" ht="15">
      <c r="A1340" s="35" t="s">
        <v>11747</v>
      </c>
      <c r="B1340" s="35" t="s">
        <v>3876</v>
      </c>
      <c r="C1340" s="36" t="s">
        <v>3877</v>
      </c>
      <c r="D1340" s="35" t="s">
        <v>3878</v>
      </c>
      <c r="E1340" s="35" t="s">
        <v>11710</v>
      </c>
      <c r="F1340" s="35" t="s">
        <v>11143</v>
      </c>
      <c r="G1340" s="35">
        <v>241038</v>
      </c>
      <c r="H1340" s="35">
        <v>280040</v>
      </c>
      <c r="I1340" s="35">
        <v>200007</v>
      </c>
      <c r="J1340" s="34" t="s">
        <v>3858</v>
      </c>
      <c r="K1340" s="34" t="str">
        <f t="shared" si="43"/>
        <v>重复</v>
      </c>
      <c r="L1340" s="34" t="str">
        <f t="shared" si="44"/>
        <v>重复</v>
      </c>
    </row>
    <row r="1341" spans="1:12" ht="15">
      <c r="A1341" s="35" t="s">
        <v>11748</v>
      </c>
      <c r="B1341" s="35" t="s">
        <v>3879</v>
      </c>
      <c r="C1341" s="36" t="s">
        <v>3880</v>
      </c>
      <c r="D1341" s="35" t="s">
        <v>3878</v>
      </c>
      <c r="E1341" s="35" t="s">
        <v>11710</v>
      </c>
      <c r="F1341" s="35" t="s">
        <v>11143</v>
      </c>
      <c r="G1341" s="35">
        <v>241039</v>
      </c>
      <c r="H1341" s="35">
        <v>280040</v>
      </c>
      <c r="I1341" s="35">
        <v>200007</v>
      </c>
      <c r="J1341" s="34" t="s">
        <v>3858</v>
      </c>
      <c r="K1341" s="34" t="str">
        <f t="shared" si="43"/>
        <v>不重复</v>
      </c>
      <c r="L1341" s="34" t="str">
        <f t="shared" si="44"/>
        <v>重复</v>
      </c>
    </row>
    <row r="1342" spans="1:12" ht="15">
      <c r="A1342" s="35" t="s">
        <v>11749</v>
      </c>
      <c r="B1342" s="35" t="s">
        <v>3881</v>
      </c>
      <c r="C1342" s="36" t="s">
        <v>3882</v>
      </c>
      <c r="D1342" s="35" t="s">
        <v>3883</v>
      </c>
      <c r="E1342" s="35" t="s">
        <v>11710</v>
      </c>
      <c r="F1342" s="35" t="s">
        <v>11143</v>
      </c>
      <c r="G1342" s="35">
        <v>241040</v>
      </c>
      <c r="H1342" s="35">
        <v>280040</v>
      </c>
      <c r="I1342" s="35">
        <v>200007</v>
      </c>
      <c r="J1342" s="34" t="s">
        <v>3862</v>
      </c>
      <c r="K1342" s="34" t="str">
        <f t="shared" si="43"/>
        <v>不重复</v>
      </c>
      <c r="L1342" s="34" t="str">
        <f t="shared" si="44"/>
        <v>不重复</v>
      </c>
    </row>
    <row r="1343" spans="1:12" ht="15">
      <c r="A1343" s="35" t="s">
        <v>11750</v>
      </c>
      <c r="B1343" s="35" t="s">
        <v>3884</v>
      </c>
      <c r="C1343" s="36" t="s">
        <v>3885</v>
      </c>
      <c r="D1343" s="35" t="s">
        <v>3627</v>
      </c>
      <c r="E1343" s="35" t="s">
        <v>11710</v>
      </c>
      <c r="F1343" s="35" t="s">
        <v>11143</v>
      </c>
      <c r="G1343" s="35">
        <v>241041</v>
      </c>
      <c r="H1343" s="35">
        <v>280040</v>
      </c>
      <c r="I1343" s="35">
        <v>200007</v>
      </c>
      <c r="J1343" s="34" t="s">
        <v>3862</v>
      </c>
      <c r="K1343" s="34" t="str">
        <f t="shared" si="43"/>
        <v>不重复</v>
      </c>
      <c r="L1343" s="34" t="str">
        <f t="shared" si="44"/>
        <v>重复</v>
      </c>
    </row>
    <row r="1344" spans="1:12" ht="15">
      <c r="A1344" s="35" t="s">
        <v>11751</v>
      </c>
      <c r="B1344" s="35" t="s">
        <v>3886</v>
      </c>
      <c r="C1344" s="36" t="s">
        <v>3887</v>
      </c>
      <c r="D1344" s="35" t="s">
        <v>3888</v>
      </c>
      <c r="E1344" s="35" t="s">
        <v>11710</v>
      </c>
      <c r="F1344" s="35" t="s">
        <v>11143</v>
      </c>
      <c r="G1344" s="35">
        <v>241042</v>
      </c>
      <c r="H1344" s="35">
        <v>280040</v>
      </c>
      <c r="I1344" s="35">
        <v>200007</v>
      </c>
      <c r="J1344" s="34" t="s">
        <v>3858</v>
      </c>
      <c r="K1344" s="34" t="str">
        <f t="shared" si="43"/>
        <v>不重复</v>
      </c>
      <c r="L1344" s="34" t="str">
        <f t="shared" si="44"/>
        <v>不重复</v>
      </c>
    </row>
    <row r="1345" spans="1:12" ht="15">
      <c r="A1345" s="35" t="s">
        <v>11752</v>
      </c>
      <c r="B1345" s="35" t="s">
        <v>3889</v>
      </c>
      <c r="C1345" s="36" t="s">
        <v>3890</v>
      </c>
      <c r="D1345" s="35" t="s">
        <v>3891</v>
      </c>
      <c r="E1345" s="35" t="s">
        <v>11710</v>
      </c>
      <c r="F1345" s="35" t="s">
        <v>11143</v>
      </c>
      <c r="G1345" s="35">
        <v>241043</v>
      </c>
      <c r="H1345" s="35">
        <v>280040</v>
      </c>
      <c r="I1345" s="35">
        <v>200007</v>
      </c>
      <c r="J1345" s="34" t="s">
        <v>3892</v>
      </c>
      <c r="K1345" s="34" t="str">
        <f t="shared" si="43"/>
        <v>重复</v>
      </c>
      <c r="L1345" s="34" t="str">
        <f t="shared" si="44"/>
        <v>不重复</v>
      </c>
    </row>
    <row r="1346" spans="1:12" ht="15">
      <c r="A1346" s="35" t="s">
        <v>11753</v>
      </c>
      <c r="B1346" s="35" t="s">
        <v>3893</v>
      </c>
      <c r="C1346" s="36" t="s">
        <v>3894</v>
      </c>
      <c r="D1346" s="35" t="s">
        <v>3608</v>
      </c>
      <c r="E1346" s="35" t="s">
        <v>11710</v>
      </c>
      <c r="F1346" s="35" t="s">
        <v>11143</v>
      </c>
      <c r="G1346" s="35">
        <v>241044</v>
      </c>
      <c r="H1346" s="35">
        <v>280040</v>
      </c>
      <c r="I1346" s="35">
        <v>200007</v>
      </c>
      <c r="J1346" s="34" t="s">
        <v>183</v>
      </c>
      <c r="K1346" s="34" t="str">
        <f t="shared" si="43"/>
        <v>不重复</v>
      </c>
      <c r="L1346" s="34" t="str">
        <f t="shared" si="44"/>
        <v>重复</v>
      </c>
    </row>
    <row r="1347" spans="1:12" ht="15">
      <c r="A1347" s="35" t="s">
        <v>11754</v>
      </c>
      <c r="B1347" s="35" t="s">
        <v>3895</v>
      </c>
      <c r="C1347" s="36" t="s">
        <v>3896</v>
      </c>
      <c r="D1347" s="35" t="s">
        <v>3897</v>
      </c>
      <c r="E1347" s="35" t="s">
        <v>11710</v>
      </c>
      <c r="F1347" s="35" t="s">
        <v>11143</v>
      </c>
      <c r="G1347" s="35">
        <v>241045</v>
      </c>
      <c r="H1347" s="35">
        <v>280040</v>
      </c>
      <c r="I1347" s="35">
        <v>200007</v>
      </c>
      <c r="J1347" s="34" t="s">
        <v>3898</v>
      </c>
      <c r="K1347" s="34" t="str">
        <f t="shared" si="43"/>
        <v>不重复</v>
      </c>
      <c r="L1347" s="34" t="str">
        <f t="shared" si="44"/>
        <v>不重复</v>
      </c>
    </row>
    <row r="1348" spans="1:12" ht="27">
      <c r="A1348" s="35" t="s">
        <v>11755</v>
      </c>
      <c r="B1348" s="35" t="s">
        <v>3899</v>
      </c>
      <c r="C1348" s="36" t="s">
        <v>3900</v>
      </c>
      <c r="D1348" s="35" t="s">
        <v>3901</v>
      </c>
      <c r="E1348" s="35" t="s">
        <v>11710</v>
      </c>
      <c r="F1348" s="35" t="s">
        <v>11143</v>
      </c>
      <c r="G1348" s="35">
        <v>241046</v>
      </c>
      <c r="H1348" s="35">
        <v>280040</v>
      </c>
      <c r="I1348" s="35">
        <v>200007</v>
      </c>
      <c r="J1348" s="34" t="s">
        <v>3902</v>
      </c>
      <c r="K1348" s="34" t="str">
        <f t="shared" si="43"/>
        <v>不重复</v>
      </c>
      <c r="L1348" s="34" t="str">
        <f t="shared" si="44"/>
        <v>不重复</v>
      </c>
    </row>
    <row r="1349" spans="1:12" ht="30">
      <c r="A1349" s="35" t="s">
        <v>11756</v>
      </c>
      <c r="B1349" s="35" t="s">
        <v>3903</v>
      </c>
      <c r="C1349" s="36" t="s">
        <v>3904</v>
      </c>
      <c r="D1349" s="35" t="s">
        <v>3905</v>
      </c>
      <c r="E1349" s="35" t="s">
        <v>11710</v>
      </c>
      <c r="F1349" s="35" t="s">
        <v>11143</v>
      </c>
      <c r="G1349" s="35">
        <v>241047</v>
      </c>
      <c r="H1349" s="35">
        <v>280040</v>
      </c>
      <c r="I1349" s="35">
        <v>200007</v>
      </c>
      <c r="J1349" s="34" t="s">
        <v>3838</v>
      </c>
      <c r="K1349" s="34" t="str">
        <f t="shared" si="43"/>
        <v>重复</v>
      </c>
      <c r="L1349" s="34" t="str">
        <f t="shared" si="44"/>
        <v>不重复</v>
      </c>
    </row>
    <row r="1350" spans="1:12" ht="27">
      <c r="A1350" s="35" t="s">
        <v>11757</v>
      </c>
      <c r="B1350" s="35" t="s">
        <v>3906</v>
      </c>
      <c r="C1350" s="36" t="s">
        <v>3907</v>
      </c>
      <c r="D1350" s="35" t="s">
        <v>3908</v>
      </c>
      <c r="E1350" s="35" t="s">
        <v>11710</v>
      </c>
      <c r="F1350" s="35" t="s">
        <v>11143</v>
      </c>
      <c r="G1350" s="35">
        <v>241048</v>
      </c>
      <c r="H1350" s="35">
        <v>280040</v>
      </c>
      <c r="I1350" s="35">
        <v>200007</v>
      </c>
      <c r="J1350" s="34" t="s">
        <v>3909</v>
      </c>
      <c r="K1350" s="34" t="str">
        <f t="shared" si="43"/>
        <v>重复</v>
      </c>
      <c r="L1350" s="34" t="str">
        <f t="shared" si="44"/>
        <v>重复</v>
      </c>
    </row>
    <row r="1351" spans="1:12" ht="27">
      <c r="A1351" s="35" t="s">
        <v>11758</v>
      </c>
      <c r="B1351" s="35" t="s">
        <v>3910</v>
      </c>
      <c r="C1351" s="36" t="s">
        <v>3911</v>
      </c>
      <c r="D1351" s="35" t="s">
        <v>3908</v>
      </c>
      <c r="E1351" s="35" t="s">
        <v>11710</v>
      </c>
      <c r="F1351" s="35" t="s">
        <v>11143</v>
      </c>
      <c r="G1351" s="35">
        <v>241049</v>
      </c>
      <c r="H1351" s="35">
        <v>280040</v>
      </c>
      <c r="I1351" s="35">
        <v>200007</v>
      </c>
      <c r="J1351" s="34" t="s">
        <v>3565</v>
      </c>
      <c r="K1351" s="34" t="str">
        <f t="shared" si="43"/>
        <v>不重复</v>
      </c>
      <c r="L1351" s="34" t="str">
        <f t="shared" si="44"/>
        <v>重复</v>
      </c>
    </row>
    <row r="1352" spans="1:12" ht="27">
      <c r="A1352" s="35" t="s">
        <v>11759</v>
      </c>
      <c r="B1352" s="35" t="s">
        <v>3912</v>
      </c>
      <c r="C1352" s="36" t="s">
        <v>1998</v>
      </c>
      <c r="D1352" s="35" t="s">
        <v>3913</v>
      </c>
      <c r="E1352" s="35" t="s">
        <v>11710</v>
      </c>
      <c r="F1352" s="35" t="s">
        <v>11143</v>
      </c>
      <c r="G1352" s="35">
        <v>241050</v>
      </c>
      <c r="H1352" s="35">
        <v>280040</v>
      </c>
      <c r="I1352" s="35">
        <v>200007</v>
      </c>
      <c r="J1352" s="34" t="s">
        <v>1143</v>
      </c>
      <c r="K1352" s="34" t="str">
        <f t="shared" si="43"/>
        <v>重复</v>
      </c>
      <c r="L1352" s="34" t="str">
        <f t="shared" si="44"/>
        <v>重复</v>
      </c>
    </row>
    <row r="1353" spans="1:12" ht="30">
      <c r="A1353" s="35" t="s">
        <v>11760</v>
      </c>
      <c r="B1353" s="35" t="s">
        <v>3914</v>
      </c>
      <c r="C1353" s="36" t="s">
        <v>3915</v>
      </c>
      <c r="D1353" s="35" t="s">
        <v>3913</v>
      </c>
      <c r="E1353" s="35" t="s">
        <v>11710</v>
      </c>
      <c r="F1353" s="35" t="s">
        <v>11143</v>
      </c>
      <c r="G1353" s="35">
        <v>241051</v>
      </c>
      <c r="H1353" s="35">
        <v>280040</v>
      </c>
      <c r="I1353" s="35">
        <v>200007</v>
      </c>
      <c r="J1353" s="34" t="s">
        <v>3778</v>
      </c>
      <c r="K1353" s="34" t="str">
        <f t="shared" si="43"/>
        <v>不重复</v>
      </c>
      <c r="L1353" s="34" t="str">
        <f t="shared" si="44"/>
        <v>重复</v>
      </c>
    </row>
    <row r="1354" spans="1:12" ht="27">
      <c r="A1354" s="35" t="s">
        <v>11761</v>
      </c>
      <c r="B1354" s="35" t="s">
        <v>3916</v>
      </c>
      <c r="C1354" s="36" t="s">
        <v>3579</v>
      </c>
      <c r="D1354" s="35" t="s">
        <v>3917</v>
      </c>
      <c r="E1354" s="35" t="s">
        <v>11710</v>
      </c>
      <c r="F1354" s="35" t="s">
        <v>11143</v>
      </c>
      <c r="G1354" s="35">
        <v>241052</v>
      </c>
      <c r="H1354" s="35">
        <v>280040</v>
      </c>
      <c r="I1354" s="35">
        <v>200007</v>
      </c>
      <c r="J1354" s="34" t="s">
        <v>2440</v>
      </c>
      <c r="K1354" s="34" t="str">
        <f t="shared" si="43"/>
        <v>重复</v>
      </c>
      <c r="L1354" s="34" t="str">
        <f t="shared" si="44"/>
        <v>不重复</v>
      </c>
    </row>
    <row r="1355" spans="1:12" ht="27">
      <c r="A1355" s="35" t="s">
        <v>11762</v>
      </c>
      <c r="B1355" s="35" t="s">
        <v>3918</v>
      </c>
      <c r="C1355" s="36" t="s">
        <v>3919</v>
      </c>
      <c r="D1355" s="35" t="s">
        <v>3920</v>
      </c>
      <c r="E1355" s="35" t="s">
        <v>11710</v>
      </c>
      <c r="F1355" s="35" t="s">
        <v>11143</v>
      </c>
      <c r="G1355" s="35">
        <v>241053</v>
      </c>
      <c r="H1355" s="35">
        <v>280040</v>
      </c>
      <c r="I1355" s="35">
        <v>200007</v>
      </c>
      <c r="J1355" s="34" t="s">
        <v>3565</v>
      </c>
      <c r="K1355" s="34" t="str">
        <f t="shared" si="43"/>
        <v>不重复</v>
      </c>
      <c r="L1355" s="34" t="str">
        <f t="shared" si="44"/>
        <v>不重复</v>
      </c>
    </row>
    <row r="1356" spans="1:12" ht="27">
      <c r="A1356" s="35" t="s">
        <v>11763</v>
      </c>
      <c r="B1356" s="35" t="s">
        <v>3921</v>
      </c>
      <c r="C1356" s="36" t="s">
        <v>3576</v>
      </c>
      <c r="D1356" s="35" t="s">
        <v>2458</v>
      </c>
      <c r="E1356" s="35" t="s">
        <v>11710</v>
      </c>
      <c r="F1356" s="35" t="s">
        <v>11143</v>
      </c>
      <c r="G1356" s="35">
        <v>241054</v>
      </c>
      <c r="H1356" s="35">
        <v>280040</v>
      </c>
      <c r="I1356" s="35">
        <v>200007</v>
      </c>
      <c r="J1356" s="34" t="s">
        <v>2532</v>
      </c>
      <c r="K1356" s="34" t="str">
        <f t="shared" si="43"/>
        <v>重复</v>
      </c>
      <c r="L1356" s="34" t="str">
        <f t="shared" si="44"/>
        <v>重复</v>
      </c>
    </row>
    <row r="1357" spans="1:12" ht="27">
      <c r="A1357" s="35" t="s">
        <v>11764</v>
      </c>
      <c r="B1357" s="35" t="s">
        <v>3922</v>
      </c>
      <c r="C1357" s="36" t="s">
        <v>3923</v>
      </c>
      <c r="D1357" s="35" t="s">
        <v>3924</v>
      </c>
      <c r="E1357" s="35" t="s">
        <v>11710</v>
      </c>
      <c r="F1357" s="35" t="s">
        <v>11143</v>
      </c>
      <c r="G1357" s="35">
        <v>241055</v>
      </c>
      <c r="H1357" s="35">
        <v>280040</v>
      </c>
      <c r="I1357" s="35">
        <v>200007</v>
      </c>
      <c r="J1357" s="34" t="s">
        <v>3838</v>
      </c>
      <c r="K1357" s="34" t="str">
        <f t="shared" si="43"/>
        <v>不重复</v>
      </c>
      <c r="L1357" s="34" t="str">
        <f t="shared" si="44"/>
        <v>不重复</v>
      </c>
    </row>
    <row r="1358" spans="1:12" ht="30">
      <c r="A1358" s="35" t="s">
        <v>11765</v>
      </c>
      <c r="B1358" s="35" t="s">
        <v>3925</v>
      </c>
      <c r="C1358" s="36" t="s">
        <v>3926</v>
      </c>
      <c r="D1358" s="35" t="s">
        <v>3927</v>
      </c>
      <c r="E1358" s="35" t="s">
        <v>11710</v>
      </c>
      <c r="F1358" s="35" t="s">
        <v>11143</v>
      </c>
      <c r="G1358" s="35">
        <v>241056</v>
      </c>
      <c r="H1358" s="35">
        <v>280040</v>
      </c>
      <c r="I1358" s="35">
        <v>200007</v>
      </c>
      <c r="J1358" s="34" t="s">
        <v>3565</v>
      </c>
      <c r="K1358" s="34" t="str">
        <f t="shared" si="43"/>
        <v>不重复</v>
      </c>
      <c r="L1358" s="34" t="str">
        <f t="shared" si="44"/>
        <v>不重复</v>
      </c>
    </row>
    <row r="1359" spans="1:12" ht="27">
      <c r="A1359" s="35" t="s">
        <v>11766</v>
      </c>
      <c r="B1359" s="35" t="s">
        <v>3928</v>
      </c>
      <c r="C1359" s="36" t="s">
        <v>3929</v>
      </c>
      <c r="D1359" s="35" t="s">
        <v>3930</v>
      </c>
      <c r="E1359" s="35" t="s">
        <v>11710</v>
      </c>
      <c r="F1359" s="35" t="s">
        <v>11143</v>
      </c>
      <c r="G1359" s="35">
        <v>241057</v>
      </c>
      <c r="H1359" s="35">
        <v>280040</v>
      </c>
      <c r="I1359" s="35">
        <v>200007</v>
      </c>
      <c r="J1359" s="34" t="s">
        <v>2532</v>
      </c>
      <c r="K1359" s="34" t="str">
        <f t="shared" si="43"/>
        <v>不重复</v>
      </c>
      <c r="L1359" s="34" t="str">
        <f t="shared" si="44"/>
        <v>不重复</v>
      </c>
    </row>
    <row r="1360" spans="1:12" ht="30">
      <c r="A1360" s="35" t="s">
        <v>11767</v>
      </c>
      <c r="B1360" s="35" t="s">
        <v>3931</v>
      </c>
      <c r="C1360" s="36" t="s">
        <v>2438</v>
      </c>
      <c r="D1360" s="35" t="s">
        <v>3932</v>
      </c>
      <c r="E1360" s="35" t="s">
        <v>11710</v>
      </c>
      <c r="F1360" s="35" t="s">
        <v>11143</v>
      </c>
      <c r="G1360" s="35">
        <v>241058</v>
      </c>
      <c r="H1360" s="35">
        <v>280040</v>
      </c>
      <c r="I1360" s="35">
        <v>200007</v>
      </c>
      <c r="J1360" s="34" t="s">
        <v>3933</v>
      </c>
      <c r="K1360" s="34" t="str">
        <f t="shared" si="43"/>
        <v>重复</v>
      </c>
      <c r="L1360" s="34" t="str">
        <f t="shared" si="44"/>
        <v>不重复</v>
      </c>
    </row>
    <row r="1361" spans="1:12" ht="27">
      <c r="A1361" s="35" t="s">
        <v>11768</v>
      </c>
      <c r="B1361" s="35" t="s">
        <v>3934</v>
      </c>
      <c r="C1361" s="36" t="s">
        <v>3935</v>
      </c>
      <c r="D1361" s="35" t="s">
        <v>3936</v>
      </c>
      <c r="E1361" s="35" t="s">
        <v>11710</v>
      </c>
      <c r="F1361" s="35" t="s">
        <v>11143</v>
      </c>
      <c r="G1361" s="35">
        <v>241059</v>
      </c>
      <c r="H1361" s="35">
        <v>280040</v>
      </c>
      <c r="I1361" s="35">
        <v>200007</v>
      </c>
      <c r="J1361" s="34" t="s">
        <v>2387</v>
      </c>
      <c r="K1361" s="34" t="str">
        <f t="shared" si="43"/>
        <v>重复</v>
      </c>
      <c r="L1361" s="34" t="str">
        <f t="shared" si="44"/>
        <v>重复</v>
      </c>
    </row>
    <row r="1362" spans="1:12" ht="27">
      <c r="A1362" s="35" t="s">
        <v>11769</v>
      </c>
      <c r="B1362" s="35" t="s">
        <v>3937</v>
      </c>
      <c r="C1362" s="36" t="s">
        <v>3265</v>
      </c>
      <c r="D1362" s="35" t="s">
        <v>3936</v>
      </c>
      <c r="E1362" s="35" t="s">
        <v>11710</v>
      </c>
      <c r="F1362" s="35" t="s">
        <v>11143</v>
      </c>
      <c r="G1362" s="35">
        <v>241060</v>
      </c>
      <c r="H1362" s="35">
        <v>280040</v>
      </c>
      <c r="I1362" s="35">
        <v>200007</v>
      </c>
      <c r="J1362" s="34" t="s">
        <v>2532</v>
      </c>
      <c r="K1362" s="34" t="str">
        <f t="shared" si="43"/>
        <v>重复</v>
      </c>
      <c r="L1362" s="34" t="str">
        <f t="shared" si="44"/>
        <v>重复</v>
      </c>
    </row>
    <row r="1363" spans="1:12" ht="27">
      <c r="A1363" s="35" t="s">
        <v>11770</v>
      </c>
      <c r="B1363" s="35" t="s">
        <v>3938</v>
      </c>
      <c r="C1363" s="36" t="s">
        <v>1548</v>
      </c>
      <c r="D1363" s="35" t="s">
        <v>3939</v>
      </c>
      <c r="E1363" s="35" t="s">
        <v>11710</v>
      </c>
      <c r="F1363" s="35" t="s">
        <v>11143</v>
      </c>
      <c r="G1363" s="35">
        <v>241061</v>
      </c>
      <c r="H1363" s="35">
        <v>280040</v>
      </c>
      <c r="I1363" s="35">
        <v>200007</v>
      </c>
      <c r="J1363" s="34" t="s">
        <v>2387</v>
      </c>
      <c r="K1363" s="34" t="str">
        <f t="shared" si="43"/>
        <v>重复</v>
      </c>
      <c r="L1363" s="34" t="str">
        <f t="shared" si="44"/>
        <v>不重复</v>
      </c>
    </row>
    <row r="1364" spans="1:12" ht="27">
      <c r="A1364" s="35" t="s">
        <v>11771</v>
      </c>
      <c r="B1364" s="35" t="s">
        <v>3940</v>
      </c>
      <c r="C1364" s="36" t="s">
        <v>1998</v>
      </c>
      <c r="D1364" s="35" t="s">
        <v>3941</v>
      </c>
      <c r="E1364" s="35" t="s">
        <v>11710</v>
      </c>
      <c r="F1364" s="35" t="s">
        <v>11143</v>
      </c>
      <c r="G1364" s="35">
        <v>241062</v>
      </c>
      <c r="H1364" s="35">
        <v>280040</v>
      </c>
      <c r="I1364" s="35">
        <v>200007</v>
      </c>
      <c r="J1364" s="34" t="s">
        <v>3767</v>
      </c>
      <c r="K1364" s="34" t="str">
        <f t="shared" si="43"/>
        <v>重复</v>
      </c>
      <c r="L1364" s="34" t="str">
        <f t="shared" si="44"/>
        <v>重复</v>
      </c>
    </row>
    <row r="1365" spans="1:12" ht="27">
      <c r="A1365" s="35" t="s">
        <v>11772</v>
      </c>
      <c r="B1365" s="35" t="s">
        <v>3942</v>
      </c>
      <c r="C1365" s="36" t="s">
        <v>3943</v>
      </c>
      <c r="D1365" s="35" t="s">
        <v>3941</v>
      </c>
      <c r="E1365" s="35" t="s">
        <v>11710</v>
      </c>
      <c r="F1365" s="35" t="s">
        <v>11143</v>
      </c>
      <c r="G1365" s="35">
        <v>241063</v>
      </c>
      <c r="H1365" s="35">
        <v>280040</v>
      </c>
      <c r="I1365" s="35">
        <v>200007</v>
      </c>
      <c r="J1365" s="34" t="s">
        <v>3944</v>
      </c>
      <c r="K1365" s="34" t="str">
        <f t="shared" si="43"/>
        <v>不重复</v>
      </c>
      <c r="L1365" s="34" t="str">
        <f t="shared" si="44"/>
        <v>重复</v>
      </c>
    </row>
    <row r="1366" spans="1:12" ht="27">
      <c r="A1366" s="35" t="s">
        <v>11773</v>
      </c>
      <c r="B1366" s="35" t="s">
        <v>3945</v>
      </c>
      <c r="C1366" s="36" t="s">
        <v>3094</v>
      </c>
      <c r="D1366" s="35" t="s">
        <v>3946</v>
      </c>
      <c r="E1366" s="35" t="s">
        <v>11710</v>
      </c>
      <c r="F1366" s="35" t="s">
        <v>11143</v>
      </c>
      <c r="G1366" s="35">
        <v>241064</v>
      </c>
      <c r="H1366" s="35">
        <v>280040</v>
      </c>
      <c r="I1366" s="35">
        <v>200007</v>
      </c>
      <c r="J1366" s="34" t="s">
        <v>2219</v>
      </c>
      <c r="K1366" s="34" t="str">
        <f t="shared" si="45" ref="K1366:K1429">IF(COUNTIF(C:C,C1366)&gt;=2,"重复","不重复")</f>
        <v>重复</v>
      </c>
      <c r="L1366" s="34" t="str">
        <f t="shared" si="44"/>
        <v>不重复</v>
      </c>
    </row>
    <row r="1367" spans="1:12" ht="30">
      <c r="A1367" s="35" t="s">
        <v>11774</v>
      </c>
      <c r="B1367" s="35" t="s">
        <v>3947</v>
      </c>
      <c r="C1367" s="36" t="s">
        <v>3948</v>
      </c>
      <c r="D1367" s="35" t="s">
        <v>1412</v>
      </c>
      <c r="E1367" s="35" t="s">
        <v>11710</v>
      </c>
      <c r="F1367" s="35" t="s">
        <v>11143</v>
      </c>
      <c r="G1367" s="35">
        <v>241065</v>
      </c>
      <c r="H1367" s="35">
        <v>280040</v>
      </c>
      <c r="I1367" s="35">
        <v>200007</v>
      </c>
      <c r="J1367" s="34" t="s">
        <v>3767</v>
      </c>
      <c r="K1367" s="34" t="str">
        <f t="shared" si="45"/>
        <v>不重复</v>
      </c>
      <c r="L1367" s="34" t="str">
        <f t="shared" si="44"/>
        <v>重复</v>
      </c>
    </row>
    <row r="1368" spans="1:12" ht="30">
      <c r="A1368" s="35" t="s">
        <v>11775</v>
      </c>
      <c r="B1368" s="35" t="s">
        <v>3949</v>
      </c>
      <c r="C1368" s="36" t="s">
        <v>3950</v>
      </c>
      <c r="D1368" s="35" t="s">
        <v>3951</v>
      </c>
      <c r="E1368" s="35" t="s">
        <v>11710</v>
      </c>
      <c r="F1368" s="35" t="s">
        <v>11143</v>
      </c>
      <c r="G1368" s="35">
        <v>241066</v>
      </c>
      <c r="H1368" s="35">
        <v>280040</v>
      </c>
      <c r="I1368" s="35">
        <v>200007</v>
      </c>
      <c r="J1368" s="34" t="s">
        <v>1110</v>
      </c>
      <c r="K1368" s="34" t="str">
        <f t="shared" si="45"/>
        <v>不重复</v>
      </c>
      <c r="L1368" s="34" t="str">
        <f t="shared" si="44"/>
        <v>不重复</v>
      </c>
    </row>
    <row r="1369" spans="1:12" ht="15">
      <c r="A1369" s="35" t="s">
        <v>11776</v>
      </c>
      <c r="B1369" s="35" t="s">
        <v>3952</v>
      </c>
      <c r="C1369" s="36" t="s">
        <v>1262</v>
      </c>
      <c r="D1369" s="35" t="s">
        <v>3953</v>
      </c>
      <c r="E1369" s="35" t="s">
        <v>11710</v>
      </c>
      <c r="F1369" s="35" t="s">
        <v>11143</v>
      </c>
      <c r="G1369" s="35">
        <v>241067</v>
      </c>
      <c r="H1369" s="35">
        <v>280040</v>
      </c>
      <c r="I1369" s="35">
        <v>200007</v>
      </c>
      <c r="J1369" s="34" t="s">
        <v>3944</v>
      </c>
      <c r="K1369" s="34" t="str">
        <f t="shared" si="45"/>
        <v>重复</v>
      </c>
      <c r="L1369" s="34" t="str">
        <f t="shared" si="44"/>
        <v>不重复</v>
      </c>
    </row>
    <row r="1370" spans="1:12" ht="27">
      <c r="A1370" s="35" t="s">
        <v>11777</v>
      </c>
      <c r="B1370" s="35" t="s">
        <v>3954</v>
      </c>
      <c r="C1370" s="36" t="s">
        <v>3955</v>
      </c>
      <c r="D1370" s="35" t="s">
        <v>3956</v>
      </c>
      <c r="E1370" s="35" t="s">
        <v>11710</v>
      </c>
      <c r="F1370" s="35" t="s">
        <v>11143</v>
      </c>
      <c r="G1370" s="35">
        <v>241068</v>
      </c>
      <c r="H1370" s="35">
        <v>280040</v>
      </c>
      <c r="I1370" s="35">
        <v>200007</v>
      </c>
      <c r="J1370" s="34" t="s">
        <v>3565</v>
      </c>
      <c r="K1370" s="34" t="str">
        <f t="shared" si="45"/>
        <v>不重复</v>
      </c>
      <c r="L1370" s="34" t="str">
        <f t="shared" si="44"/>
        <v>重复</v>
      </c>
    </row>
    <row r="1371" spans="1:12" ht="27">
      <c r="A1371" s="35" t="s">
        <v>11778</v>
      </c>
      <c r="B1371" s="35" t="s">
        <v>3957</v>
      </c>
      <c r="C1371" s="36" t="s">
        <v>3958</v>
      </c>
      <c r="D1371" s="35" t="s">
        <v>3959</v>
      </c>
      <c r="E1371" s="35" t="s">
        <v>11710</v>
      </c>
      <c r="F1371" s="35" t="s">
        <v>11143</v>
      </c>
      <c r="G1371" s="35">
        <v>241069</v>
      </c>
      <c r="H1371" s="35">
        <v>280040</v>
      </c>
      <c r="I1371" s="35">
        <v>200007</v>
      </c>
      <c r="J1371" s="34" t="s">
        <v>3427</v>
      </c>
      <c r="K1371" s="34" t="str">
        <f t="shared" si="45"/>
        <v>不重复</v>
      </c>
      <c r="L1371" s="34" t="str">
        <f t="shared" si="44"/>
        <v>不重复</v>
      </c>
    </row>
    <row r="1372" spans="1:12" ht="30">
      <c r="A1372" s="35" t="s">
        <v>11779</v>
      </c>
      <c r="B1372" s="35" t="s">
        <v>3960</v>
      </c>
      <c r="C1372" s="36" t="s">
        <v>2694</v>
      </c>
      <c r="D1372" s="35" t="s">
        <v>3961</v>
      </c>
      <c r="E1372" s="35" t="s">
        <v>11710</v>
      </c>
      <c r="F1372" s="35" t="s">
        <v>11143</v>
      </c>
      <c r="G1372" s="35">
        <v>241070</v>
      </c>
      <c r="H1372" s="35">
        <v>280040</v>
      </c>
      <c r="I1372" s="35">
        <v>200007</v>
      </c>
      <c r="J1372" s="34" t="s">
        <v>3788</v>
      </c>
      <c r="K1372" s="34" t="str">
        <f t="shared" si="45"/>
        <v>重复</v>
      </c>
      <c r="L1372" s="34" t="str">
        <f t="shared" si="44"/>
        <v>重复</v>
      </c>
    </row>
    <row r="1373" spans="1:12" ht="30">
      <c r="A1373" s="35" t="s">
        <v>11780</v>
      </c>
      <c r="B1373" s="35" t="s">
        <v>3962</v>
      </c>
      <c r="C1373" s="36" t="s">
        <v>3963</v>
      </c>
      <c r="D1373" s="35" t="s">
        <v>3961</v>
      </c>
      <c r="E1373" s="35" t="s">
        <v>11710</v>
      </c>
      <c r="F1373" s="35" t="s">
        <v>11143</v>
      </c>
      <c r="G1373" s="35">
        <v>241071</v>
      </c>
      <c r="H1373" s="35">
        <v>280040</v>
      </c>
      <c r="I1373" s="35">
        <v>200007</v>
      </c>
      <c r="J1373" s="34" t="s">
        <v>3816</v>
      </c>
      <c r="K1373" s="34" t="str">
        <f t="shared" si="45"/>
        <v>不重复</v>
      </c>
      <c r="L1373" s="34" t="str">
        <f t="shared" si="44"/>
        <v>重复</v>
      </c>
    </row>
    <row r="1374" spans="1:12" ht="30">
      <c r="A1374" s="35" t="s">
        <v>11781</v>
      </c>
      <c r="B1374" s="35" t="s">
        <v>3964</v>
      </c>
      <c r="C1374" s="36" t="s">
        <v>3965</v>
      </c>
      <c r="D1374" s="35" t="s">
        <v>3961</v>
      </c>
      <c r="E1374" s="35" t="s">
        <v>11710</v>
      </c>
      <c r="F1374" s="35" t="s">
        <v>11143</v>
      </c>
      <c r="G1374" s="35">
        <v>241072</v>
      </c>
      <c r="H1374" s="35">
        <v>280040</v>
      </c>
      <c r="I1374" s="35">
        <v>200007</v>
      </c>
      <c r="J1374" s="34" t="s">
        <v>3966</v>
      </c>
      <c r="K1374" s="34" t="str">
        <f t="shared" si="45"/>
        <v>不重复</v>
      </c>
      <c r="L1374" s="34" t="str">
        <f t="shared" si="44"/>
        <v>重复</v>
      </c>
    </row>
    <row r="1375" spans="1:12" ht="27">
      <c r="A1375" s="35" t="s">
        <v>11782</v>
      </c>
      <c r="B1375" s="35" t="s">
        <v>3967</v>
      </c>
      <c r="C1375" s="36" t="s">
        <v>3968</v>
      </c>
      <c r="D1375" s="35" t="s">
        <v>1832</v>
      </c>
      <c r="E1375" s="35" t="s">
        <v>11710</v>
      </c>
      <c r="F1375" s="35" t="s">
        <v>11143</v>
      </c>
      <c r="G1375" s="35">
        <v>241073</v>
      </c>
      <c r="H1375" s="35">
        <v>280040</v>
      </c>
      <c r="I1375" s="35">
        <v>200007</v>
      </c>
      <c r="J1375" s="34" t="s">
        <v>1143</v>
      </c>
      <c r="K1375" s="34" t="str">
        <f t="shared" si="45"/>
        <v>不重复</v>
      </c>
      <c r="L1375" s="34" t="str">
        <f t="shared" si="44"/>
        <v>重复</v>
      </c>
    </row>
    <row r="1376" spans="1:12" ht="27">
      <c r="A1376" s="35" t="s">
        <v>11783</v>
      </c>
      <c r="B1376" s="35" t="s">
        <v>3969</v>
      </c>
      <c r="C1376" s="36" t="s">
        <v>198</v>
      </c>
      <c r="D1376" s="35" t="s">
        <v>1832</v>
      </c>
      <c r="E1376" s="35" t="s">
        <v>11710</v>
      </c>
      <c r="F1376" s="35" t="s">
        <v>11143</v>
      </c>
      <c r="G1376" s="35">
        <v>241074</v>
      </c>
      <c r="H1376" s="35">
        <v>280040</v>
      </c>
      <c r="I1376" s="35">
        <v>200007</v>
      </c>
      <c r="J1376" s="34" t="s">
        <v>681</v>
      </c>
      <c r="K1376" s="34" t="str">
        <f t="shared" si="45"/>
        <v>重复</v>
      </c>
      <c r="L1376" s="34" t="str">
        <f t="shared" si="44"/>
        <v>重复</v>
      </c>
    </row>
    <row r="1377" spans="1:12" ht="27">
      <c r="A1377" s="35" t="s">
        <v>11784</v>
      </c>
      <c r="B1377" s="35" t="s">
        <v>3970</v>
      </c>
      <c r="C1377" s="36" t="s">
        <v>1268</v>
      </c>
      <c r="D1377" s="35" t="s">
        <v>1832</v>
      </c>
      <c r="E1377" s="35" t="s">
        <v>11710</v>
      </c>
      <c r="F1377" s="35" t="s">
        <v>11143</v>
      </c>
      <c r="G1377" s="35">
        <v>241075</v>
      </c>
      <c r="H1377" s="35">
        <v>280040</v>
      </c>
      <c r="I1377" s="35">
        <v>200007</v>
      </c>
      <c r="J1377" s="34" t="s">
        <v>3971</v>
      </c>
      <c r="K1377" s="34" t="str">
        <f t="shared" si="45"/>
        <v>重复</v>
      </c>
      <c r="L1377" s="34" t="str">
        <f t="shared" si="44"/>
        <v>重复</v>
      </c>
    </row>
    <row r="1378" spans="1:12" ht="30">
      <c r="A1378" s="35" t="s">
        <v>11785</v>
      </c>
      <c r="B1378" s="35" t="s">
        <v>3972</v>
      </c>
      <c r="C1378" s="36" t="s">
        <v>3973</v>
      </c>
      <c r="D1378" s="35" t="s">
        <v>1832</v>
      </c>
      <c r="E1378" s="35" t="s">
        <v>11710</v>
      </c>
      <c r="F1378" s="35" t="s">
        <v>11143</v>
      </c>
      <c r="G1378" s="35">
        <v>241076</v>
      </c>
      <c r="H1378" s="35">
        <v>280040</v>
      </c>
      <c r="I1378" s="35">
        <v>200007</v>
      </c>
      <c r="J1378" s="34" t="s">
        <v>3974</v>
      </c>
      <c r="K1378" s="34" t="str">
        <f t="shared" si="45"/>
        <v>不重复</v>
      </c>
      <c r="L1378" s="34" t="str">
        <f t="shared" si="44"/>
        <v>重复</v>
      </c>
    </row>
    <row r="1379" spans="1:12" ht="27">
      <c r="A1379" s="35" t="s">
        <v>11786</v>
      </c>
      <c r="B1379" s="35" t="s">
        <v>3975</v>
      </c>
      <c r="C1379" s="36" t="s">
        <v>3976</v>
      </c>
      <c r="D1379" s="35" t="s">
        <v>3977</v>
      </c>
      <c r="E1379" s="35" t="s">
        <v>11710</v>
      </c>
      <c r="F1379" s="35" t="s">
        <v>11143</v>
      </c>
      <c r="G1379" s="35">
        <v>241077</v>
      </c>
      <c r="H1379" s="35">
        <v>280040</v>
      </c>
      <c r="I1379" s="35">
        <v>200007</v>
      </c>
      <c r="J1379" s="34" t="s">
        <v>2532</v>
      </c>
      <c r="K1379" s="34" t="str">
        <f t="shared" si="45"/>
        <v>不重复</v>
      </c>
      <c r="L1379" s="34" t="str">
        <f t="shared" si="44"/>
        <v>不重复</v>
      </c>
    </row>
    <row r="1380" spans="1:12" ht="30">
      <c r="A1380" s="35" t="s">
        <v>11787</v>
      </c>
      <c r="B1380" s="35" t="s">
        <v>3978</v>
      </c>
      <c r="C1380" s="36" t="s">
        <v>3979</v>
      </c>
      <c r="D1380" s="35" t="s">
        <v>3980</v>
      </c>
      <c r="E1380" s="35" t="s">
        <v>11710</v>
      </c>
      <c r="F1380" s="35" t="s">
        <v>11143</v>
      </c>
      <c r="G1380" s="35">
        <v>241078</v>
      </c>
      <c r="H1380" s="35">
        <v>280040</v>
      </c>
      <c r="I1380" s="35">
        <v>200007</v>
      </c>
      <c r="J1380" s="34" t="s">
        <v>3892</v>
      </c>
      <c r="K1380" s="34" t="str">
        <f t="shared" si="45"/>
        <v>重复</v>
      </c>
      <c r="L1380" s="34" t="str">
        <f t="shared" si="44"/>
        <v>重复</v>
      </c>
    </row>
    <row r="1381" spans="1:12" ht="30">
      <c r="A1381" s="35" t="s">
        <v>11788</v>
      </c>
      <c r="B1381" s="35" t="s">
        <v>3981</v>
      </c>
      <c r="C1381" s="36" t="s">
        <v>3982</v>
      </c>
      <c r="D1381" s="35" t="s">
        <v>1835</v>
      </c>
      <c r="E1381" s="35" t="s">
        <v>11710</v>
      </c>
      <c r="F1381" s="35" t="s">
        <v>11143</v>
      </c>
      <c r="G1381" s="35">
        <v>241079</v>
      </c>
      <c r="H1381" s="35">
        <v>280040</v>
      </c>
      <c r="I1381" s="35">
        <v>200007</v>
      </c>
      <c r="J1381" s="34" t="s">
        <v>3427</v>
      </c>
      <c r="K1381" s="34" t="str">
        <f t="shared" si="45"/>
        <v>不重复</v>
      </c>
      <c r="L1381" s="34" t="str">
        <f t="shared" si="44"/>
        <v>重复</v>
      </c>
    </row>
    <row r="1382" spans="1:12" ht="27">
      <c r="A1382" s="35" t="s">
        <v>11789</v>
      </c>
      <c r="B1382" s="35" t="s">
        <v>3983</v>
      </c>
      <c r="C1382" s="36" t="s">
        <v>3984</v>
      </c>
      <c r="D1382" s="35" t="s">
        <v>431</v>
      </c>
      <c r="E1382" s="35" t="s">
        <v>11710</v>
      </c>
      <c r="F1382" s="35" t="s">
        <v>11143</v>
      </c>
      <c r="G1382" s="35">
        <v>241080</v>
      </c>
      <c r="H1382" s="35">
        <v>280040</v>
      </c>
      <c r="I1382" s="35">
        <v>200007</v>
      </c>
      <c r="J1382" s="34" t="s">
        <v>2741</v>
      </c>
      <c r="K1382" s="34" t="str">
        <f t="shared" si="45"/>
        <v>不重复</v>
      </c>
      <c r="L1382" s="34" t="str">
        <f t="shared" si="44"/>
        <v>重复</v>
      </c>
    </row>
    <row r="1383" spans="1:12" ht="27">
      <c r="A1383" s="35" t="s">
        <v>11790</v>
      </c>
      <c r="B1383" s="35" t="s">
        <v>3985</v>
      </c>
      <c r="C1383" s="36" t="s">
        <v>3986</v>
      </c>
      <c r="D1383" s="35" t="s">
        <v>3987</v>
      </c>
      <c r="E1383" s="35" t="s">
        <v>11710</v>
      </c>
      <c r="F1383" s="35" t="s">
        <v>11143</v>
      </c>
      <c r="G1383" s="35">
        <v>241081</v>
      </c>
      <c r="H1383" s="35">
        <v>280040</v>
      </c>
      <c r="I1383" s="35">
        <v>200007</v>
      </c>
      <c r="J1383" s="34" t="s">
        <v>3565</v>
      </c>
      <c r="K1383" s="34" t="str">
        <f t="shared" si="45"/>
        <v>不重复</v>
      </c>
      <c r="L1383" s="34" t="str">
        <f t="shared" si="44"/>
        <v>不重复</v>
      </c>
    </row>
    <row r="1384" spans="1:12" ht="30">
      <c r="A1384" s="35" t="s">
        <v>11791</v>
      </c>
      <c r="B1384" s="35" t="s">
        <v>3988</v>
      </c>
      <c r="C1384" s="36" t="s">
        <v>3989</v>
      </c>
      <c r="D1384" s="35" t="s">
        <v>3990</v>
      </c>
      <c r="E1384" s="35" t="s">
        <v>11710</v>
      </c>
      <c r="F1384" s="35" t="s">
        <v>11143</v>
      </c>
      <c r="G1384" s="35">
        <v>241082</v>
      </c>
      <c r="H1384" s="35">
        <v>280040</v>
      </c>
      <c r="I1384" s="35">
        <v>200007</v>
      </c>
      <c r="J1384" s="34" t="s">
        <v>1143</v>
      </c>
      <c r="K1384" s="34" t="str">
        <f t="shared" si="45"/>
        <v>不重复</v>
      </c>
      <c r="L1384" s="34" t="str">
        <f t="shared" si="44"/>
        <v>不重复</v>
      </c>
    </row>
    <row r="1385" spans="1:12" ht="30">
      <c r="A1385" s="35" t="s">
        <v>11792</v>
      </c>
      <c r="B1385" s="35" t="s">
        <v>3991</v>
      </c>
      <c r="C1385" s="36" t="s">
        <v>2694</v>
      </c>
      <c r="D1385" s="35" t="s">
        <v>3992</v>
      </c>
      <c r="E1385" s="35" t="s">
        <v>11710</v>
      </c>
      <c r="F1385" s="35" t="s">
        <v>11143</v>
      </c>
      <c r="G1385" s="35">
        <v>241083</v>
      </c>
      <c r="H1385" s="35">
        <v>280040</v>
      </c>
      <c r="I1385" s="35">
        <v>200007</v>
      </c>
      <c r="J1385" s="34" t="s">
        <v>2532</v>
      </c>
      <c r="K1385" s="34" t="str">
        <f t="shared" si="45"/>
        <v>重复</v>
      </c>
      <c r="L1385" s="34" t="str">
        <f t="shared" si="46" ref="L1385:L1448">IF(COUNTIF(D:D,D1385)&gt;=2,"重复","不重复")</f>
        <v>不重复</v>
      </c>
    </row>
    <row r="1386" spans="1:12" ht="30">
      <c r="A1386" s="35" t="s">
        <v>11793</v>
      </c>
      <c r="B1386" s="35" t="s">
        <v>3993</v>
      </c>
      <c r="C1386" s="36" t="s">
        <v>3994</v>
      </c>
      <c r="D1386" s="35" t="s">
        <v>3995</v>
      </c>
      <c r="E1386" s="35" t="s">
        <v>11710</v>
      </c>
      <c r="F1386" s="35" t="s">
        <v>11143</v>
      </c>
      <c r="G1386" s="35">
        <v>241084</v>
      </c>
      <c r="H1386" s="35">
        <v>280040</v>
      </c>
      <c r="I1386" s="35">
        <v>200007</v>
      </c>
      <c r="J1386" s="34" t="s">
        <v>3966</v>
      </c>
      <c r="K1386" s="34" t="str">
        <f t="shared" si="45"/>
        <v>不重复</v>
      </c>
      <c r="L1386" s="34" t="str">
        <f t="shared" si="46"/>
        <v>不重复</v>
      </c>
    </row>
    <row r="1387" spans="1:12" ht="27">
      <c r="A1387" s="35" t="s">
        <v>11794</v>
      </c>
      <c r="B1387" s="35" t="s">
        <v>3996</v>
      </c>
      <c r="C1387" s="36" t="s">
        <v>670</v>
      </c>
      <c r="D1387" s="35" t="s">
        <v>3997</v>
      </c>
      <c r="E1387" s="35" t="s">
        <v>11710</v>
      </c>
      <c r="F1387" s="35" t="s">
        <v>11143</v>
      </c>
      <c r="G1387" s="35">
        <v>241085</v>
      </c>
      <c r="H1387" s="35">
        <v>280040</v>
      </c>
      <c r="I1387" s="35">
        <v>200007</v>
      </c>
      <c r="J1387" s="34" t="s">
        <v>2387</v>
      </c>
      <c r="K1387" s="34" t="str">
        <f t="shared" si="45"/>
        <v>重复</v>
      </c>
      <c r="L1387" s="34" t="str">
        <f t="shared" si="46"/>
        <v>重复</v>
      </c>
    </row>
    <row r="1388" spans="1:12" ht="30">
      <c r="A1388" s="35" t="s">
        <v>11795</v>
      </c>
      <c r="B1388" s="35" t="s">
        <v>3998</v>
      </c>
      <c r="C1388" s="36" t="s">
        <v>3999</v>
      </c>
      <c r="D1388" s="35" t="s">
        <v>3997</v>
      </c>
      <c r="E1388" s="35" t="s">
        <v>11710</v>
      </c>
      <c r="F1388" s="35" t="s">
        <v>11143</v>
      </c>
      <c r="G1388" s="35">
        <v>241086</v>
      </c>
      <c r="H1388" s="35">
        <v>280040</v>
      </c>
      <c r="I1388" s="35">
        <v>200007</v>
      </c>
      <c r="J1388" s="34" t="s">
        <v>3568</v>
      </c>
      <c r="K1388" s="34" t="str">
        <f t="shared" si="45"/>
        <v>不重复</v>
      </c>
      <c r="L1388" s="34" t="str">
        <f t="shared" si="46"/>
        <v>重复</v>
      </c>
    </row>
    <row r="1389" spans="1:12" ht="27">
      <c r="A1389" s="35" t="s">
        <v>11796</v>
      </c>
      <c r="B1389" s="35" t="s">
        <v>4000</v>
      </c>
      <c r="C1389" s="36" t="s">
        <v>1422</v>
      </c>
      <c r="D1389" s="35" t="s">
        <v>290</v>
      </c>
      <c r="E1389" s="35" t="s">
        <v>11710</v>
      </c>
      <c r="F1389" s="35" t="s">
        <v>11143</v>
      </c>
      <c r="G1389" s="35">
        <v>241087</v>
      </c>
      <c r="H1389" s="35">
        <v>280040</v>
      </c>
      <c r="I1389" s="35">
        <v>200007</v>
      </c>
      <c r="J1389" s="34" t="s">
        <v>3565</v>
      </c>
      <c r="K1389" s="34" t="str">
        <f t="shared" si="45"/>
        <v>重复</v>
      </c>
      <c r="L1389" s="34" t="str">
        <f t="shared" si="46"/>
        <v>重复</v>
      </c>
    </row>
    <row r="1390" spans="1:12" ht="27">
      <c r="A1390" s="35" t="s">
        <v>11797</v>
      </c>
      <c r="B1390" s="35" t="s">
        <v>4001</v>
      </c>
      <c r="C1390" s="36" t="s">
        <v>4002</v>
      </c>
      <c r="D1390" s="35" t="s">
        <v>4003</v>
      </c>
      <c r="E1390" s="35" t="s">
        <v>11710</v>
      </c>
      <c r="F1390" s="35" t="s">
        <v>11143</v>
      </c>
      <c r="G1390" s="35">
        <v>241088</v>
      </c>
      <c r="H1390" s="35">
        <v>280040</v>
      </c>
      <c r="I1390" s="35">
        <v>200007</v>
      </c>
      <c r="J1390" s="34" t="s">
        <v>2495</v>
      </c>
      <c r="K1390" s="34" t="str">
        <f t="shared" si="45"/>
        <v>不重复</v>
      </c>
      <c r="L1390" s="34" t="str">
        <f t="shared" si="46"/>
        <v>重复</v>
      </c>
    </row>
    <row r="1391" spans="1:12" ht="27">
      <c r="A1391" s="35" t="s">
        <v>11798</v>
      </c>
      <c r="B1391" s="35" t="s">
        <v>4004</v>
      </c>
      <c r="C1391" s="36" t="s">
        <v>4005</v>
      </c>
      <c r="D1391" s="35" t="s">
        <v>4006</v>
      </c>
      <c r="E1391" s="35" t="s">
        <v>11710</v>
      </c>
      <c r="F1391" s="35" t="s">
        <v>11143</v>
      </c>
      <c r="G1391" s="35">
        <v>241089</v>
      </c>
      <c r="H1391" s="35">
        <v>280040</v>
      </c>
      <c r="I1391" s="35">
        <v>200007</v>
      </c>
      <c r="J1391" s="34" t="s">
        <v>4007</v>
      </c>
      <c r="K1391" s="34" t="str">
        <f t="shared" si="45"/>
        <v>不重复</v>
      </c>
      <c r="L1391" s="34" t="str">
        <f t="shared" si="46"/>
        <v>不重复</v>
      </c>
    </row>
    <row r="1392" spans="1:12" ht="27">
      <c r="A1392" s="35" t="s">
        <v>11799</v>
      </c>
      <c r="B1392" s="35" t="s">
        <v>4008</v>
      </c>
      <c r="C1392" s="36" t="s">
        <v>4009</v>
      </c>
      <c r="D1392" s="35" t="s">
        <v>4010</v>
      </c>
      <c r="E1392" s="35" t="s">
        <v>11710</v>
      </c>
      <c r="F1392" s="35" t="s">
        <v>11143</v>
      </c>
      <c r="G1392" s="35">
        <v>241090</v>
      </c>
      <c r="H1392" s="35">
        <v>280040</v>
      </c>
      <c r="I1392" s="35">
        <v>200007</v>
      </c>
      <c r="J1392" s="34" t="s">
        <v>3565</v>
      </c>
      <c r="K1392" s="34" t="str">
        <f t="shared" si="45"/>
        <v>不重复</v>
      </c>
      <c r="L1392" s="34" t="str">
        <f t="shared" si="46"/>
        <v>不重复</v>
      </c>
    </row>
    <row r="1393" spans="1:12" ht="27">
      <c r="A1393" s="35" t="s">
        <v>11800</v>
      </c>
      <c r="B1393" s="35" t="s">
        <v>4011</v>
      </c>
      <c r="C1393" s="36" t="s">
        <v>4012</v>
      </c>
      <c r="D1393" s="35" t="s">
        <v>4013</v>
      </c>
      <c r="E1393" s="35" t="s">
        <v>11710</v>
      </c>
      <c r="F1393" s="35" t="s">
        <v>11143</v>
      </c>
      <c r="G1393" s="35">
        <v>241091</v>
      </c>
      <c r="H1393" s="35">
        <v>280040</v>
      </c>
      <c r="I1393" s="35">
        <v>200007</v>
      </c>
      <c r="J1393" s="34" t="s">
        <v>3565</v>
      </c>
      <c r="K1393" s="34" t="str">
        <f t="shared" si="45"/>
        <v>不重复</v>
      </c>
      <c r="L1393" s="34" t="str">
        <f t="shared" si="46"/>
        <v>重复</v>
      </c>
    </row>
    <row r="1394" spans="1:12" ht="27">
      <c r="A1394" s="35" t="s">
        <v>11801</v>
      </c>
      <c r="B1394" s="35" t="s">
        <v>4014</v>
      </c>
      <c r="C1394" s="36" t="s">
        <v>189</v>
      </c>
      <c r="D1394" s="35" t="s">
        <v>4013</v>
      </c>
      <c r="E1394" s="35" t="s">
        <v>11710</v>
      </c>
      <c r="F1394" s="35" t="s">
        <v>11143</v>
      </c>
      <c r="G1394" s="35">
        <v>241092</v>
      </c>
      <c r="H1394" s="35">
        <v>280040</v>
      </c>
      <c r="I1394" s="35">
        <v>200007</v>
      </c>
      <c r="J1394" s="34" t="s">
        <v>3898</v>
      </c>
      <c r="K1394" s="34" t="str">
        <f t="shared" si="45"/>
        <v>重复</v>
      </c>
      <c r="L1394" s="34" t="str">
        <f t="shared" si="46"/>
        <v>重复</v>
      </c>
    </row>
    <row r="1395" spans="1:12" ht="27">
      <c r="A1395" s="35" t="s">
        <v>11802</v>
      </c>
      <c r="B1395" s="35" t="s">
        <v>4015</v>
      </c>
      <c r="C1395" s="36" t="s">
        <v>4016</v>
      </c>
      <c r="D1395" s="35" t="s">
        <v>4013</v>
      </c>
      <c r="E1395" s="35" t="s">
        <v>11710</v>
      </c>
      <c r="F1395" s="35" t="s">
        <v>11143</v>
      </c>
      <c r="G1395" s="35">
        <v>241093</v>
      </c>
      <c r="H1395" s="35">
        <v>280040</v>
      </c>
      <c r="I1395" s="35">
        <v>200007</v>
      </c>
      <c r="J1395" s="34" t="s">
        <v>681</v>
      </c>
      <c r="K1395" s="34" t="str">
        <f t="shared" si="45"/>
        <v>重复</v>
      </c>
      <c r="L1395" s="34" t="str">
        <f t="shared" si="46"/>
        <v>重复</v>
      </c>
    </row>
    <row r="1396" spans="1:12" ht="27">
      <c r="A1396" s="35" t="s">
        <v>11803</v>
      </c>
      <c r="B1396" s="35" t="s">
        <v>4017</v>
      </c>
      <c r="C1396" s="36" t="s">
        <v>4018</v>
      </c>
      <c r="D1396" s="35" t="s">
        <v>4013</v>
      </c>
      <c r="E1396" s="35" t="s">
        <v>11710</v>
      </c>
      <c r="F1396" s="35" t="s">
        <v>11143</v>
      </c>
      <c r="G1396" s="35">
        <v>241094</v>
      </c>
      <c r="H1396" s="35">
        <v>280040</v>
      </c>
      <c r="I1396" s="35">
        <v>200007</v>
      </c>
      <c r="J1396" s="34" t="s">
        <v>2387</v>
      </c>
      <c r="K1396" s="34" t="str">
        <f t="shared" si="45"/>
        <v>不重复</v>
      </c>
      <c r="L1396" s="34" t="str">
        <f t="shared" si="46"/>
        <v>重复</v>
      </c>
    </row>
    <row r="1397" spans="1:12" ht="27">
      <c r="A1397" s="35" t="s">
        <v>11804</v>
      </c>
      <c r="B1397" s="35" t="s">
        <v>4019</v>
      </c>
      <c r="C1397" s="36" t="s">
        <v>4020</v>
      </c>
      <c r="D1397" s="35" t="s">
        <v>4021</v>
      </c>
      <c r="E1397" s="35" t="s">
        <v>11710</v>
      </c>
      <c r="F1397" s="35" t="s">
        <v>11143</v>
      </c>
      <c r="G1397" s="35">
        <v>241095</v>
      </c>
      <c r="H1397" s="35">
        <v>280040</v>
      </c>
      <c r="I1397" s="35">
        <v>200007</v>
      </c>
      <c r="J1397" s="34" t="s">
        <v>681</v>
      </c>
      <c r="K1397" s="34" t="str">
        <f t="shared" si="45"/>
        <v>不重复</v>
      </c>
      <c r="L1397" s="34" t="str">
        <f t="shared" si="46"/>
        <v>重复</v>
      </c>
    </row>
    <row r="1398" spans="1:12" ht="27">
      <c r="A1398" s="35" t="s">
        <v>11805</v>
      </c>
      <c r="B1398" s="35" t="s">
        <v>4022</v>
      </c>
      <c r="C1398" s="36" t="s">
        <v>3506</v>
      </c>
      <c r="D1398" s="35" t="s">
        <v>4021</v>
      </c>
      <c r="E1398" s="35" t="s">
        <v>11710</v>
      </c>
      <c r="F1398" s="35" t="s">
        <v>11143</v>
      </c>
      <c r="G1398" s="35">
        <v>241096</v>
      </c>
      <c r="H1398" s="35">
        <v>280040</v>
      </c>
      <c r="I1398" s="35">
        <v>200007</v>
      </c>
      <c r="J1398" s="34" t="s">
        <v>390</v>
      </c>
      <c r="K1398" s="34" t="str">
        <f t="shared" si="45"/>
        <v>重复</v>
      </c>
      <c r="L1398" s="34" t="str">
        <f t="shared" si="46"/>
        <v>重复</v>
      </c>
    </row>
    <row r="1399" spans="1:12" ht="27">
      <c r="A1399" s="35" t="s">
        <v>11806</v>
      </c>
      <c r="B1399" s="35" t="s">
        <v>4023</v>
      </c>
      <c r="C1399" s="36" t="s">
        <v>1377</v>
      </c>
      <c r="D1399" s="35" t="s">
        <v>4024</v>
      </c>
      <c r="E1399" s="35" t="s">
        <v>11710</v>
      </c>
      <c r="F1399" s="35" t="s">
        <v>11143</v>
      </c>
      <c r="G1399" s="35">
        <v>241097</v>
      </c>
      <c r="H1399" s="35">
        <v>280040</v>
      </c>
      <c r="I1399" s="35">
        <v>200007</v>
      </c>
      <c r="J1399" s="34" t="s">
        <v>2219</v>
      </c>
      <c r="K1399" s="34" t="str">
        <f t="shared" si="45"/>
        <v>重复</v>
      </c>
      <c r="L1399" s="34" t="str">
        <f t="shared" si="46"/>
        <v>不重复</v>
      </c>
    </row>
    <row r="1400" spans="1:12" ht="27">
      <c r="A1400" s="35" t="s">
        <v>11807</v>
      </c>
      <c r="B1400" s="35" t="s">
        <v>4025</v>
      </c>
      <c r="C1400" s="36" t="s">
        <v>2419</v>
      </c>
      <c r="D1400" s="35" t="s">
        <v>4026</v>
      </c>
      <c r="E1400" s="35" t="s">
        <v>11710</v>
      </c>
      <c r="F1400" s="35" t="s">
        <v>11143</v>
      </c>
      <c r="G1400" s="35">
        <v>241098</v>
      </c>
      <c r="H1400" s="35">
        <v>280040</v>
      </c>
      <c r="I1400" s="35">
        <v>200007</v>
      </c>
      <c r="J1400" s="34" t="s">
        <v>3427</v>
      </c>
      <c r="K1400" s="34" t="str">
        <f t="shared" si="45"/>
        <v>重复</v>
      </c>
      <c r="L1400" s="34" t="str">
        <f t="shared" si="46"/>
        <v>不重复</v>
      </c>
    </row>
    <row r="1401" spans="1:12" ht="27">
      <c r="A1401" s="35" t="s">
        <v>11808</v>
      </c>
      <c r="B1401" s="35" t="s">
        <v>4027</v>
      </c>
      <c r="C1401" s="36" t="s">
        <v>1296</v>
      </c>
      <c r="D1401" s="35" t="s">
        <v>293</v>
      </c>
      <c r="E1401" s="35" t="s">
        <v>11710</v>
      </c>
      <c r="F1401" s="35" t="s">
        <v>11143</v>
      </c>
      <c r="G1401" s="35">
        <v>241099</v>
      </c>
      <c r="H1401" s="35">
        <v>280040</v>
      </c>
      <c r="I1401" s="35">
        <v>200007</v>
      </c>
      <c r="J1401" s="34" t="s">
        <v>3778</v>
      </c>
      <c r="K1401" s="34" t="str">
        <f t="shared" si="45"/>
        <v>重复</v>
      </c>
      <c r="L1401" s="34" t="str">
        <f t="shared" si="46"/>
        <v>重复</v>
      </c>
    </row>
    <row r="1402" spans="1:12" ht="27">
      <c r="A1402" s="35" t="s">
        <v>11809</v>
      </c>
      <c r="B1402" s="35" t="s">
        <v>4028</v>
      </c>
      <c r="C1402" s="36" t="s">
        <v>4029</v>
      </c>
      <c r="D1402" s="35" t="s">
        <v>4030</v>
      </c>
      <c r="E1402" s="35" t="s">
        <v>11710</v>
      </c>
      <c r="F1402" s="35" t="s">
        <v>11143</v>
      </c>
      <c r="G1402" s="35">
        <v>241100</v>
      </c>
      <c r="H1402" s="35">
        <v>280040</v>
      </c>
      <c r="I1402" s="35">
        <v>200007</v>
      </c>
      <c r="J1402" s="34" t="s">
        <v>4031</v>
      </c>
      <c r="K1402" s="34" t="str">
        <f t="shared" si="45"/>
        <v>不重复</v>
      </c>
      <c r="L1402" s="34" t="str">
        <f t="shared" si="46"/>
        <v>不重复</v>
      </c>
    </row>
    <row r="1403" spans="1:12" ht="30">
      <c r="A1403" s="35" t="s">
        <v>11810</v>
      </c>
      <c r="B1403" s="35" t="s">
        <v>4032</v>
      </c>
      <c r="C1403" s="36" t="s">
        <v>1419</v>
      </c>
      <c r="D1403" s="35" t="s">
        <v>4033</v>
      </c>
      <c r="E1403" s="35" t="s">
        <v>11710</v>
      </c>
      <c r="F1403" s="35" t="s">
        <v>11143</v>
      </c>
      <c r="G1403" s="35">
        <v>241101</v>
      </c>
      <c r="H1403" s="35">
        <v>280040</v>
      </c>
      <c r="I1403" s="35">
        <v>200007</v>
      </c>
      <c r="J1403" s="34" t="s">
        <v>3778</v>
      </c>
      <c r="K1403" s="34" t="str">
        <f t="shared" si="45"/>
        <v>重复</v>
      </c>
      <c r="L1403" s="34" t="str">
        <f t="shared" si="46"/>
        <v>不重复</v>
      </c>
    </row>
    <row r="1404" spans="1:12" ht="30">
      <c r="A1404" s="35" t="s">
        <v>11811</v>
      </c>
      <c r="B1404" s="35" t="s">
        <v>4034</v>
      </c>
      <c r="C1404" s="36" t="s">
        <v>4035</v>
      </c>
      <c r="D1404" s="35" t="s">
        <v>4036</v>
      </c>
      <c r="E1404" s="35" t="s">
        <v>11710</v>
      </c>
      <c r="F1404" s="35" t="s">
        <v>11143</v>
      </c>
      <c r="G1404" s="35">
        <v>241102</v>
      </c>
      <c r="H1404" s="35">
        <v>280040</v>
      </c>
      <c r="I1404" s="35">
        <v>200007</v>
      </c>
      <c r="J1404" s="34" t="s">
        <v>390</v>
      </c>
      <c r="K1404" s="34" t="str">
        <f t="shared" si="45"/>
        <v>不重复</v>
      </c>
      <c r="L1404" s="34" t="str">
        <f t="shared" si="46"/>
        <v>不重复</v>
      </c>
    </row>
    <row r="1405" spans="1:12" ht="30">
      <c r="A1405" s="35" t="s">
        <v>11812</v>
      </c>
      <c r="B1405" s="35" t="s">
        <v>4037</v>
      </c>
      <c r="C1405" s="36" t="s">
        <v>2628</v>
      </c>
      <c r="D1405" s="35" t="s">
        <v>4038</v>
      </c>
      <c r="E1405" s="35" t="s">
        <v>11710</v>
      </c>
      <c r="F1405" s="35" t="s">
        <v>11143</v>
      </c>
      <c r="G1405" s="35">
        <v>241103</v>
      </c>
      <c r="H1405" s="35">
        <v>280040</v>
      </c>
      <c r="I1405" s="35">
        <v>200007</v>
      </c>
      <c r="J1405" s="34" t="s">
        <v>3788</v>
      </c>
      <c r="K1405" s="34" t="str">
        <f t="shared" si="45"/>
        <v>重复</v>
      </c>
      <c r="L1405" s="34" t="str">
        <f t="shared" si="46"/>
        <v>不重复</v>
      </c>
    </row>
    <row r="1406" spans="1:12" ht="30">
      <c r="A1406" s="35" t="s">
        <v>11813</v>
      </c>
      <c r="B1406" s="35" t="s">
        <v>4039</v>
      </c>
      <c r="C1406" s="36" t="s">
        <v>2438</v>
      </c>
      <c r="D1406" s="35" t="s">
        <v>4040</v>
      </c>
      <c r="E1406" s="35" t="s">
        <v>11710</v>
      </c>
      <c r="F1406" s="35" t="s">
        <v>11143</v>
      </c>
      <c r="G1406" s="35">
        <v>241104</v>
      </c>
      <c r="H1406" s="35">
        <v>280040</v>
      </c>
      <c r="I1406" s="35">
        <v>200007</v>
      </c>
      <c r="J1406" s="34" t="s">
        <v>4041</v>
      </c>
      <c r="K1406" s="34" t="str">
        <f t="shared" si="45"/>
        <v>重复</v>
      </c>
      <c r="L1406" s="34" t="str">
        <f t="shared" si="46"/>
        <v>不重复</v>
      </c>
    </row>
    <row r="1407" spans="1:12" ht="27">
      <c r="A1407" s="35" t="s">
        <v>11814</v>
      </c>
      <c r="B1407" s="35" t="s">
        <v>4042</v>
      </c>
      <c r="C1407" s="36" t="s">
        <v>2394</v>
      </c>
      <c r="D1407" s="35" t="s">
        <v>4043</v>
      </c>
      <c r="E1407" s="35" t="s">
        <v>11710</v>
      </c>
      <c r="F1407" s="35" t="s">
        <v>11143</v>
      </c>
      <c r="G1407" s="35">
        <v>241105</v>
      </c>
      <c r="H1407" s="35">
        <v>280040</v>
      </c>
      <c r="I1407" s="35">
        <v>200007</v>
      </c>
      <c r="J1407" s="34" t="s">
        <v>4044</v>
      </c>
      <c r="K1407" s="34" t="str">
        <f t="shared" si="45"/>
        <v>重复</v>
      </c>
      <c r="L1407" s="34" t="str">
        <f t="shared" si="46"/>
        <v>不重复</v>
      </c>
    </row>
    <row r="1408" spans="1:12" ht="27">
      <c r="A1408" s="35" t="s">
        <v>11815</v>
      </c>
      <c r="B1408" s="35" t="s">
        <v>4045</v>
      </c>
      <c r="C1408" s="36" t="s">
        <v>4046</v>
      </c>
      <c r="D1408" s="35" t="s">
        <v>4047</v>
      </c>
      <c r="E1408" s="35" t="s">
        <v>11710</v>
      </c>
      <c r="F1408" s="35" t="s">
        <v>11143</v>
      </c>
      <c r="G1408" s="35">
        <v>241106</v>
      </c>
      <c r="H1408" s="35">
        <v>280040</v>
      </c>
      <c r="I1408" s="35">
        <v>200007</v>
      </c>
      <c r="J1408" s="34" t="s">
        <v>3788</v>
      </c>
      <c r="K1408" s="34" t="str">
        <f t="shared" si="45"/>
        <v>重复</v>
      </c>
      <c r="L1408" s="34" t="str">
        <f t="shared" si="46"/>
        <v>不重复</v>
      </c>
    </row>
    <row r="1409" spans="1:12" ht="27">
      <c r="A1409" s="35" t="s">
        <v>11816</v>
      </c>
      <c r="B1409" s="35" t="s">
        <v>4048</v>
      </c>
      <c r="C1409" s="36" t="s">
        <v>1256</v>
      </c>
      <c r="D1409" s="35" t="s">
        <v>4049</v>
      </c>
      <c r="E1409" s="35" t="s">
        <v>11710</v>
      </c>
      <c r="F1409" s="35" t="s">
        <v>11143</v>
      </c>
      <c r="G1409" s="35">
        <v>241107</v>
      </c>
      <c r="H1409" s="35">
        <v>280040</v>
      </c>
      <c r="I1409" s="35">
        <v>200007</v>
      </c>
      <c r="J1409" s="34" t="s">
        <v>2532</v>
      </c>
      <c r="K1409" s="34" t="str">
        <f t="shared" si="45"/>
        <v>重复</v>
      </c>
      <c r="L1409" s="34" t="str">
        <f t="shared" si="46"/>
        <v>不重复</v>
      </c>
    </row>
    <row r="1410" spans="1:12" ht="27">
      <c r="A1410" s="35" t="s">
        <v>11817</v>
      </c>
      <c r="B1410" s="35" t="s">
        <v>4050</v>
      </c>
      <c r="C1410" s="36" t="s">
        <v>4051</v>
      </c>
      <c r="D1410" s="35" t="s">
        <v>4052</v>
      </c>
      <c r="E1410" s="35" t="s">
        <v>11710</v>
      </c>
      <c r="F1410" s="35" t="s">
        <v>11143</v>
      </c>
      <c r="G1410" s="35">
        <v>241108</v>
      </c>
      <c r="H1410" s="35">
        <v>280040</v>
      </c>
      <c r="I1410" s="35">
        <v>200007</v>
      </c>
      <c r="J1410" s="34" t="s">
        <v>3828</v>
      </c>
      <c r="K1410" s="34" t="str">
        <f t="shared" si="45"/>
        <v>重复</v>
      </c>
      <c r="L1410" s="34" t="str">
        <f t="shared" si="46"/>
        <v>不重复</v>
      </c>
    </row>
    <row r="1411" spans="1:12" ht="27">
      <c r="A1411" s="35" t="s">
        <v>11818</v>
      </c>
      <c r="B1411" s="35" t="s">
        <v>4053</v>
      </c>
      <c r="C1411" s="36" t="s">
        <v>4054</v>
      </c>
      <c r="D1411" s="35" t="s">
        <v>4055</v>
      </c>
      <c r="E1411" s="35" t="s">
        <v>11710</v>
      </c>
      <c r="F1411" s="35" t="s">
        <v>11143</v>
      </c>
      <c r="G1411" s="35">
        <v>241109</v>
      </c>
      <c r="H1411" s="35">
        <v>280040</v>
      </c>
      <c r="I1411" s="35">
        <v>200007</v>
      </c>
      <c r="J1411" s="34" t="s">
        <v>3838</v>
      </c>
      <c r="K1411" s="34" t="str">
        <f t="shared" si="45"/>
        <v>不重复</v>
      </c>
      <c r="L1411" s="34" t="str">
        <f t="shared" si="46"/>
        <v>不重复</v>
      </c>
    </row>
    <row r="1412" spans="1:12" ht="27">
      <c r="A1412" s="35" t="s">
        <v>11819</v>
      </c>
      <c r="B1412" s="35" t="s">
        <v>4056</v>
      </c>
      <c r="C1412" s="36" t="s">
        <v>628</v>
      </c>
      <c r="D1412" s="35" t="s">
        <v>4057</v>
      </c>
      <c r="E1412" s="35" t="s">
        <v>11710</v>
      </c>
      <c r="F1412" s="35" t="s">
        <v>11143</v>
      </c>
      <c r="G1412" s="35">
        <v>241110</v>
      </c>
      <c r="H1412" s="35">
        <v>280040</v>
      </c>
      <c r="I1412" s="35">
        <v>200007</v>
      </c>
      <c r="J1412" s="34" t="s">
        <v>3788</v>
      </c>
      <c r="K1412" s="34" t="str">
        <f t="shared" si="45"/>
        <v>重复</v>
      </c>
      <c r="L1412" s="34" t="str">
        <f t="shared" si="46"/>
        <v>不重复</v>
      </c>
    </row>
    <row r="1413" spans="1:12" ht="27">
      <c r="A1413" s="35" t="s">
        <v>11820</v>
      </c>
      <c r="B1413" s="35" t="s">
        <v>4058</v>
      </c>
      <c r="C1413" s="36" t="s">
        <v>4059</v>
      </c>
      <c r="D1413" s="35" t="s">
        <v>4060</v>
      </c>
      <c r="E1413" s="35" t="s">
        <v>11710</v>
      </c>
      <c r="F1413" s="35" t="s">
        <v>11143</v>
      </c>
      <c r="G1413" s="35">
        <v>241111</v>
      </c>
      <c r="H1413" s="35">
        <v>280040</v>
      </c>
      <c r="I1413" s="35">
        <v>200007</v>
      </c>
      <c r="J1413" s="34" t="s">
        <v>4044</v>
      </c>
      <c r="K1413" s="34" t="str">
        <f t="shared" si="45"/>
        <v>不重复</v>
      </c>
      <c r="L1413" s="34" t="str">
        <f t="shared" si="46"/>
        <v>不重复</v>
      </c>
    </row>
    <row r="1414" spans="1:12" ht="27">
      <c r="A1414" s="35" t="s">
        <v>11821</v>
      </c>
      <c r="B1414" s="35" t="s">
        <v>4061</v>
      </c>
      <c r="C1414" s="36" t="s">
        <v>1161</v>
      </c>
      <c r="D1414" s="35" t="s">
        <v>4062</v>
      </c>
      <c r="E1414" s="35" t="s">
        <v>11710</v>
      </c>
      <c r="F1414" s="35" t="s">
        <v>11143</v>
      </c>
      <c r="G1414" s="35">
        <v>241112</v>
      </c>
      <c r="H1414" s="35">
        <v>280040</v>
      </c>
      <c r="I1414" s="35">
        <v>200007</v>
      </c>
      <c r="J1414" s="34" t="s">
        <v>4044</v>
      </c>
      <c r="K1414" s="34" t="str">
        <f t="shared" si="45"/>
        <v>重复</v>
      </c>
      <c r="L1414" s="34" t="str">
        <f t="shared" si="46"/>
        <v>重复</v>
      </c>
    </row>
    <row r="1415" spans="1:12" ht="30">
      <c r="A1415" s="35" t="s">
        <v>11822</v>
      </c>
      <c r="B1415" s="35" t="s">
        <v>4063</v>
      </c>
      <c r="C1415" s="36" t="s">
        <v>2604</v>
      </c>
      <c r="D1415" s="35" t="s">
        <v>4062</v>
      </c>
      <c r="E1415" s="35" t="s">
        <v>11710</v>
      </c>
      <c r="F1415" s="35" t="s">
        <v>11143</v>
      </c>
      <c r="G1415" s="35">
        <v>241113</v>
      </c>
      <c r="H1415" s="35">
        <v>280040</v>
      </c>
      <c r="I1415" s="35">
        <v>200007</v>
      </c>
      <c r="J1415" s="34" t="s">
        <v>2219</v>
      </c>
      <c r="K1415" s="34" t="str">
        <f t="shared" si="45"/>
        <v>重复</v>
      </c>
      <c r="L1415" s="34" t="str">
        <f t="shared" si="46"/>
        <v>重复</v>
      </c>
    </row>
    <row r="1416" spans="1:12" ht="30">
      <c r="A1416" s="35" t="s">
        <v>11823</v>
      </c>
      <c r="B1416" s="35" t="s">
        <v>4064</v>
      </c>
      <c r="C1416" s="36" t="s">
        <v>4065</v>
      </c>
      <c r="D1416" s="35" t="s">
        <v>4066</v>
      </c>
      <c r="E1416" s="35" t="s">
        <v>11710</v>
      </c>
      <c r="F1416" s="35" t="s">
        <v>11143</v>
      </c>
      <c r="G1416" s="35">
        <v>241114</v>
      </c>
      <c r="H1416" s="35">
        <v>280040</v>
      </c>
      <c r="I1416" s="35">
        <v>200007</v>
      </c>
      <c r="J1416" s="34" t="s">
        <v>4044</v>
      </c>
      <c r="K1416" s="34" t="str">
        <f t="shared" si="45"/>
        <v>不重复</v>
      </c>
      <c r="L1416" s="34" t="str">
        <f t="shared" si="46"/>
        <v>重复</v>
      </c>
    </row>
    <row r="1417" spans="1:12" ht="27">
      <c r="A1417" s="35" t="s">
        <v>11824</v>
      </c>
      <c r="B1417" s="35" t="s">
        <v>4067</v>
      </c>
      <c r="C1417" s="36" t="s">
        <v>4068</v>
      </c>
      <c r="D1417" s="35" t="s">
        <v>4066</v>
      </c>
      <c r="E1417" s="35" t="s">
        <v>11710</v>
      </c>
      <c r="F1417" s="35" t="s">
        <v>11143</v>
      </c>
      <c r="G1417" s="35">
        <v>241115</v>
      </c>
      <c r="H1417" s="35">
        <v>280040</v>
      </c>
      <c r="I1417" s="35">
        <v>200007</v>
      </c>
      <c r="J1417" s="34" t="s">
        <v>4044</v>
      </c>
      <c r="K1417" s="34" t="str">
        <f t="shared" si="45"/>
        <v>重复</v>
      </c>
      <c r="L1417" s="34" t="str">
        <f t="shared" si="46"/>
        <v>重复</v>
      </c>
    </row>
    <row r="1418" spans="1:12" ht="15">
      <c r="A1418" s="35" t="s">
        <v>11825</v>
      </c>
      <c r="B1418" s="35" t="s">
        <v>4069</v>
      </c>
      <c r="C1418" s="36" t="s">
        <v>3890</v>
      </c>
      <c r="D1418" s="35" t="s">
        <v>4066</v>
      </c>
      <c r="E1418" s="35" t="s">
        <v>11710</v>
      </c>
      <c r="F1418" s="35" t="s">
        <v>11143</v>
      </c>
      <c r="G1418" s="35">
        <v>241116</v>
      </c>
      <c r="H1418" s="35">
        <v>280040</v>
      </c>
      <c r="I1418" s="35">
        <v>200007</v>
      </c>
      <c r="J1418" s="34" t="s">
        <v>4044</v>
      </c>
      <c r="K1418" s="34" t="str">
        <f t="shared" si="45"/>
        <v>重复</v>
      </c>
      <c r="L1418" s="34" t="str">
        <f t="shared" si="46"/>
        <v>重复</v>
      </c>
    </row>
    <row r="1419" spans="1:12" ht="27">
      <c r="A1419" s="35" t="s">
        <v>11826</v>
      </c>
      <c r="B1419" s="35" t="s">
        <v>4070</v>
      </c>
      <c r="C1419" s="36" t="s">
        <v>4071</v>
      </c>
      <c r="D1419" s="35" t="s">
        <v>4072</v>
      </c>
      <c r="E1419" s="35" t="s">
        <v>11710</v>
      </c>
      <c r="F1419" s="35" t="s">
        <v>11143</v>
      </c>
      <c r="G1419" s="35">
        <v>241117</v>
      </c>
      <c r="H1419" s="35">
        <v>280040</v>
      </c>
      <c r="I1419" s="35">
        <v>200007</v>
      </c>
      <c r="J1419" s="34" t="s">
        <v>2219</v>
      </c>
      <c r="K1419" s="34" t="str">
        <f t="shared" si="45"/>
        <v>重复</v>
      </c>
      <c r="L1419" s="34" t="str">
        <f t="shared" si="46"/>
        <v>不重复</v>
      </c>
    </row>
    <row r="1420" spans="1:12" ht="27">
      <c r="A1420" s="35" t="s">
        <v>11827</v>
      </c>
      <c r="B1420" s="35" t="s">
        <v>4073</v>
      </c>
      <c r="C1420" s="36" t="s">
        <v>3088</v>
      </c>
      <c r="D1420" s="35" t="s">
        <v>4074</v>
      </c>
      <c r="E1420" s="35" t="s">
        <v>11710</v>
      </c>
      <c r="F1420" s="35" t="s">
        <v>11143</v>
      </c>
      <c r="G1420" s="35">
        <v>241118</v>
      </c>
      <c r="H1420" s="35">
        <v>280040</v>
      </c>
      <c r="I1420" s="35">
        <v>200007</v>
      </c>
      <c r="J1420" s="34" t="s">
        <v>2532</v>
      </c>
      <c r="K1420" s="34" t="str">
        <f t="shared" si="45"/>
        <v>重复</v>
      </c>
      <c r="L1420" s="34" t="str">
        <f t="shared" si="46"/>
        <v>不重复</v>
      </c>
    </row>
    <row r="1421" spans="1:12" ht="30">
      <c r="A1421" s="35" t="s">
        <v>11828</v>
      </c>
      <c r="B1421" s="35" t="s">
        <v>4075</v>
      </c>
      <c r="C1421" s="36" t="s">
        <v>4076</v>
      </c>
      <c r="D1421" s="35" t="s">
        <v>4077</v>
      </c>
      <c r="E1421" s="35" t="s">
        <v>11710</v>
      </c>
      <c r="F1421" s="35" t="s">
        <v>11143</v>
      </c>
      <c r="G1421" s="35">
        <v>241119</v>
      </c>
      <c r="H1421" s="35">
        <v>280040</v>
      </c>
      <c r="I1421" s="35">
        <v>200007</v>
      </c>
      <c r="J1421" s="34" t="s">
        <v>3838</v>
      </c>
      <c r="K1421" s="34" t="str">
        <f t="shared" si="45"/>
        <v>不重复</v>
      </c>
      <c r="L1421" s="34" t="str">
        <f t="shared" si="46"/>
        <v>不重复</v>
      </c>
    </row>
    <row r="1422" spans="1:12" ht="15">
      <c r="A1422" s="35" t="s">
        <v>11829</v>
      </c>
      <c r="B1422" s="35" t="s">
        <v>4078</v>
      </c>
      <c r="C1422" s="36" t="s">
        <v>4079</v>
      </c>
      <c r="D1422" s="35" t="s">
        <v>4080</v>
      </c>
      <c r="E1422" s="35" t="s">
        <v>11710</v>
      </c>
      <c r="F1422" s="35" t="s">
        <v>11143</v>
      </c>
      <c r="G1422" s="35">
        <v>241120</v>
      </c>
      <c r="H1422" s="35">
        <v>280040</v>
      </c>
      <c r="I1422" s="35">
        <v>200007</v>
      </c>
      <c r="J1422" s="34" t="s">
        <v>4081</v>
      </c>
      <c r="K1422" s="34" t="str">
        <f t="shared" si="45"/>
        <v>不重复</v>
      </c>
      <c r="L1422" s="34" t="str">
        <f t="shared" si="46"/>
        <v>重复</v>
      </c>
    </row>
    <row r="1423" spans="1:12" ht="15">
      <c r="A1423" s="35" t="s">
        <v>11830</v>
      </c>
      <c r="B1423" s="35" t="s">
        <v>4082</v>
      </c>
      <c r="C1423" s="36" t="s">
        <v>4083</v>
      </c>
      <c r="D1423" s="35" t="s">
        <v>4080</v>
      </c>
      <c r="E1423" s="35" t="s">
        <v>11710</v>
      </c>
      <c r="F1423" s="35" t="s">
        <v>11143</v>
      </c>
      <c r="G1423" s="35">
        <v>241121</v>
      </c>
      <c r="H1423" s="35">
        <v>280040</v>
      </c>
      <c r="I1423" s="35">
        <v>200007</v>
      </c>
      <c r="J1423" s="34" t="s">
        <v>4084</v>
      </c>
      <c r="K1423" s="34" t="str">
        <f t="shared" si="45"/>
        <v>不重复</v>
      </c>
      <c r="L1423" s="34" t="str">
        <f t="shared" si="46"/>
        <v>重复</v>
      </c>
    </row>
    <row r="1424" spans="1:12" ht="27">
      <c r="A1424" s="35" t="s">
        <v>11831</v>
      </c>
      <c r="B1424" s="35" t="s">
        <v>4085</v>
      </c>
      <c r="C1424" s="36" t="s">
        <v>4086</v>
      </c>
      <c r="D1424" s="35" t="s">
        <v>4087</v>
      </c>
      <c r="E1424" s="35" t="s">
        <v>11710</v>
      </c>
      <c r="F1424" s="35" t="s">
        <v>11143</v>
      </c>
      <c r="G1424" s="35">
        <v>241122</v>
      </c>
      <c r="H1424" s="35">
        <v>280040</v>
      </c>
      <c r="I1424" s="35">
        <v>200007</v>
      </c>
      <c r="J1424" s="34" t="s">
        <v>4088</v>
      </c>
      <c r="K1424" s="34" t="str">
        <f t="shared" si="45"/>
        <v>不重复</v>
      </c>
      <c r="L1424" s="34" t="str">
        <f t="shared" si="46"/>
        <v>不重复</v>
      </c>
    </row>
    <row r="1425" spans="1:12" ht="15">
      <c r="A1425" s="35" t="s">
        <v>11832</v>
      </c>
      <c r="B1425" s="35" t="s">
        <v>4089</v>
      </c>
      <c r="C1425" s="36" t="s">
        <v>4090</v>
      </c>
      <c r="D1425" s="35" t="s">
        <v>4091</v>
      </c>
      <c r="E1425" s="35" t="s">
        <v>11710</v>
      </c>
      <c r="F1425" s="35" t="s">
        <v>11143</v>
      </c>
      <c r="G1425" s="35">
        <v>241123</v>
      </c>
      <c r="H1425" s="35">
        <v>280040</v>
      </c>
      <c r="I1425" s="35">
        <v>200007</v>
      </c>
      <c r="J1425" s="34" t="s">
        <v>1186</v>
      </c>
      <c r="K1425" s="34" t="str">
        <f t="shared" si="45"/>
        <v>不重复</v>
      </c>
      <c r="L1425" s="34" t="str">
        <f t="shared" si="46"/>
        <v>不重复</v>
      </c>
    </row>
    <row r="1426" spans="1:12" ht="15">
      <c r="A1426" s="35" t="s">
        <v>11833</v>
      </c>
      <c r="B1426" s="35" t="s">
        <v>4092</v>
      </c>
      <c r="C1426" s="36" t="s">
        <v>279</v>
      </c>
      <c r="D1426" s="35" t="s">
        <v>4093</v>
      </c>
      <c r="E1426" s="35" t="s">
        <v>11710</v>
      </c>
      <c r="F1426" s="35" t="s">
        <v>11143</v>
      </c>
      <c r="G1426" s="35">
        <v>241124</v>
      </c>
      <c r="H1426" s="35">
        <v>280040</v>
      </c>
      <c r="I1426" s="35">
        <v>200007</v>
      </c>
      <c r="J1426" s="34" t="s">
        <v>4044</v>
      </c>
      <c r="K1426" s="34" t="str">
        <f t="shared" si="45"/>
        <v>重复</v>
      </c>
      <c r="L1426" s="34" t="str">
        <f t="shared" si="46"/>
        <v>不重复</v>
      </c>
    </row>
    <row r="1427" spans="1:12" ht="15">
      <c r="A1427" s="35" t="s">
        <v>11834</v>
      </c>
      <c r="B1427" s="35" t="s">
        <v>4094</v>
      </c>
      <c r="C1427" s="36" t="s">
        <v>2230</v>
      </c>
      <c r="D1427" s="35" t="s">
        <v>4095</v>
      </c>
      <c r="E1427" s="35" t="s">
        <v>11710</v>
      </c>
      <c r="F1427" s="35" t="s">
        <v>11143</v>
      </c>
      <c r="G1427" s="35">
        <v>241125</v>
      </c>
      <c r="H1427" s="35">
        <v>280040</v>
      </c>
      <c r="I1427" s="35">
        <v>200007</v>
      </c>
      <c r="J1427" s="34" t="s">
        <v>2674</v>
      </c>
      <c r="K1427" s="34" t="str">
        <f t="shared" si="45"/>
        <v>重复</v>
      </c>
      <c r="L1427" s="34" t="str">
        <f t="shared" si="46"/>
        <v>不重复</v>
      </c>
    </row>
    <row r="1428" spans="1:12" ht="15">
      <c r="A1428" s="35" t="s">
        <v>11835</v>
      </c>
      <c r="B1428" s="35" t="s">
        <v>4096</v>
      </c>
      <c r="C1428" s="36" t="s">
        <v>2777</v>
      </c>
      <c r="D1428" s="35" t="s">
        <v>4097</v>
      </c>
      <c r="E1428" s="35" t="s">
        <v>11710</v>
      </c>
      <c r="F1428" s="35" t="s">
        <v>11143</v>
      </c>
      <c r="G1428" s="35">
        <v>241126</v>
      </c>
      <c r="H1428" s="35">
        <v>280040</v>
      </c>
      <c r="I1428" s="35">
        <v>200007</v>
      </c>
      <c r="J1428" s="34" t="s">
        <v>2585</v>
      </c>
      <c r="K1428" s="34" t="str">
        <f t="shared" si="45"/>
        <v>重复</v>
      </c>
      <c r="L1428" s="34" t="str">
        <f t="shared" si="46"/>
        <v>不重复</v>
      </c>
    </row>
    <row r="1429" spans="1:12" ht="15">
      <c r="A1429" s="35" t="s">
        <v>11836</v>
      </c>
      <c r="B1429" s="35" t="s">
        <v>4098</v>
      </c>
      <c r="C1429" s="36" t="s">
        <v>445</v>
      </c>
      <c r="D1429" s="35" t="s">
        <v>4099</v>
      </c>
      <c r="E1429" s="35" t="s">
        <v>11710</v>
      </c>
      <c r="F1429" s="35" t="s">
        <v>11143</v>
      </c>
      <c r="G1429" s="35">
        <v>241127</v>
      </c>
      <c r="H1429" s="35">
        <v>280040</v>
      </c>
      <c r="I1429" s="35">
        <v>200007</v>
      </c>
      <c r="J1429" s="34" t="s">
        <v>2674</v>
      </c>
      <c r="K1429" s="34" t="str">
        <f t="shared" si="45"/>
        <v>重复</v>
      </c>
      <c r="L1429" s="34" t="str">
        <f t="shared" si="46"/>
        <v>重复</v>
      </c>
    </row>
    <row r="1430" spans="1:12" ht="15">
      <c r="A1430" s="35" t="s">
        <v>11837</v>
      </c>
      <c r="B1430" s="35" t="s">
        <v>4100</v>
      </c>
      <c r="C1430" s="36" t="s">
        <v>1374</v>
      </c>
      <c r="D1430" s="35" t="s">
        <v>4099</v>
      </c>
      <c r="E1430" s="35" t="s">
        <v>11710</v>
      </c>
      <c r="F1430" s="35" t="s">
        <v>11143</v>
      </c>
      <c r="G1430" s="35">
        <v>241128</v>
      </c>
      <c r="H1430" s="35">
        <v>280040</v>
      </c>
      <c r="I1430" s="35">
        <v>200007</v>
      </c>
      <c r="J1430" s="34" t="s">
        <v>458</v>
      </c>
      <c r="K1430" s="34" t="str">
        <f t="shared" si="47" ref="K1430:K1493">IF(COUNTIF(C:C,C1430)&gt;=2,"重复","不重复")</f>
        <v>重复</v>
      </c>
      <c r="L1430" s="34" t="str">
        <f t="shared" si="46"/>
        <v>重复</v>
      </c>
    </row>
    <row r="1431" spans="1:12" ht="15">
      <c r="A1431" s="35" t="s">
        <v>11838</v>
      </c>
      <c r="B1431" s="35" t="s">
        <v>4101</v>
      </c>
      <c r="C1431" s="36" t="s">
        <v>237</v>
      </c>
      <c r="D1431" s="35" t="s">
        <v>4102</v>
      </c>
      <c r="E1431" s="35" t="s">
        <v>11710</v>
      </c>
      <c r="F1431" s="35" t="s">
        <v>11143</v>
      </c>
      <c r="G1431" s="35">
        <v>241129</v>
      </c>
      <c r="H1431" s="35">
        <v>280040</v>
      </c>
      <c r="I1431" s="35">
        <v>200007</v>
      </c>
      <c r="J1431" s="34" t="s">
        <v>458</v>
      </c>
      <c r="K1431" s="34" t="str">
        <f t="shared" si="47"/>
        <v>重复</v>
      </c>
      <c r="L1431" s="34" t="str">
        <f t="shared" si="46"/>
        <v>不重复</v>
      </c>
    </row>
    <row r="1432" spans="1:12" ht="15">
      <c r="A1432" s="35" t="s">
        <v>11839</v>
      </c>
      <c r="B1432" s="35" t="s">
        <v>4103</v>
      </c>
      <c r="C1432" s="36" t="s">
        <v>2770</v>
      </c>
      <c r="D1432" s="35" t="s">
        <v>4104</v>
      </c>
      <c r="E1432" s="35" t="s">
        <v>11710</v>
      </c>
      <c r="F1432" s="35" t="s">
        <v>11143</v>
      </c>
      <c r="G1432" s="35">
        <v>241130</v>
      </c>
      <c r="H1432" s="35">
        <v>280040</v>
      </c>
      <c r="I1432" s="35">
        <v>200007</v>
      </c>
      <c r="J1432" s="34" t="s">
        <v>557</v>
      </c>
      <c r="K1432" s="34" t="str">
        <f t="shared" si="47"/>
        <v>重复</v>
      </c>
      <c r="L1432" s="34" t="str">
        <f t="shared" si="46"/>
        <v>不重复</v>
      </c>
    </row>
    <row r="1433" spans="1:12" ht="15">
      <c r="A1433" s="35" t="s">
        <v>11840</v>
      </c>
      <c r="B1433" s="35" t="s">
        <v>4105</v>
      </c>
      <c r="C1433" s="36" t="s">
        <v>3379</v>
      </c>
      <c r="D1433" s="35" t="s">
        <v>4106</v>
      </c>
      <c r="E1433" s="35" t="s">
        <v>11710</v>
      </c>
      <c r="F1433" s="35" t="s">
        <v>11143</v>
      </c>
      <c r="G1433" s="35">
        <v>241131</v>
      </c>
      <c r="H1433" s="35">
        <v>280040</v>
      </c>
      <c r="I1433" s="35">
        <v>200007</v>
      </c>
      <c r="J1433" s="34" t="s">
        <v>715</v>
      </c>
      <c r="K1433" s="34" t="str">
        <f t="shared" si="47"/>
        <v>重复</v>
      </c>
      <c r="L1433" s="34" t="str">
        <f t="shared" si="46"/>
        <v>不重复</v>
      </c>
    </row>
    <row r="1434" spans="1:12" ht="15">
      <c r="A1434" s="35" t="s">
        <v>11841</v>
      </c>
      <c r="B1434" s="35" t="s">
        <v>4107</v>
      </c>
      <c r="C1434" s="36" t="s">
        <v>4108</v>
      </c>
      <c r="D1434" s="35" t="s">
        <v>4109</v>
      </c>
      <c r="E1434" s="35" t="s">
        <v>11710</v>
      </c>
      <c r="F1434" s="35" t="s">
        <v>11143</v>
      </c>
      <c r="G1434" s="35">
        <v>241132</v>
      </c>
      <c r="H1434" s="35">
        <v>280040</v>
      </c>
      <c r="I1434" s="35">
        <v>200007</v>
      </c>
      <c r="J1434" s="34" t="s">
        <v>363</v>
      </c>
      <c r="K1434" s="34" t="str">
        <f t="shared" si="47"/>
        <v>重复</v>
      </c>
      <c r="L1434" s="34" t="str">
        <f t="shared" si="46"/>
        <v>不重复</v>
      </c>
    </row>
    <row r="1435" spans="1:12" ht="15">
      <c r="A1435" s="35" t="s">
        <v>11842</v>
      </c>
      <c r="B1435" s="35" t="s">
        <v>4110</v>
      </c>
      <c r="C1435" s="36" t="s">
        <v>4111</v>
      </c>
      <c r="D1435" s="35" t="s">
        <v>4112</v>
      </c>
      <c r="E1435" s="35" t="s">
        <v>11710</v>
      </c>
      <c r="F1435" s="35" t="s">
        <v>11143</v>
      </c>
      <c r="G1435" s="35">
        <v>241133</v>
      </c>
      <c r="H1435" s="35">
        <v>280040</v>
      </c>
      <c r="I1435" s="35">
        <v>200007</v>
      </c>
      <c r="J1435" s="34" t="s">
        <v>2741</v>
      </c>
      <c r="K1435" s="34" t="str">
        <f t="shared" si="47"/>
        <v>不重复</v>
      </c>
      <c r="L1435" s="34" t="str">
        <f t="shared" si="46"/>
        <v>重复</v>
      </c>
    </row>
    <row r="1436" spans="1:12" ht="15">
      <c r="A1436" s="35" t="s">
        <v>11843</v>
      </c>
      <c r="B1436" s="35" t="s">
        <v>4113</v>
      </c>
      <c r="C1436" s="36" t="s">
        <v>4114</v>
      </c>
      <c r="D1436" s="35" t="s">
        <v>4115</v>
      </c>
      <c r="E1436" s="35" t="s">
        <v>11710</v>
      </c>
      <c r="F1436" s="35" t="s">
        <v>11143</v>
      </c>
      <c r="G1436" s="35">
        <v>241134</v>
      </c>
      <c r="H1436" s="35">
        <v>280040</v>
      </c>
      <c r="I1436" s="35">
        <v>200007</v>
      </c>
      <c r="J1436" s="34" t="s">
        <v>557</v>
      </c>
      <c r="K1436" s="34" t="str">
        <f t="shared" si="47"/>
        <v>不重复</v>
      </c>
      <c r="L1436" s="34" t="str">
        <f t="shared" si="46"/>
        <v>重复</v>
      </c>
    </row>
    <row r="1437" spans="1:12" ht="30">
      <c r="A1437" s="35" t="s">
        <v>11844</v>
      </c>
      <c r="B1437" s="35" t="s">
        <v>4116</v>
      </c>
      <c r="C1437" s="36" t="s">
        <v>4117</v>
      </c>
      <c r="D1437" s="35" t="s">
        <v>4118</v>
      </c>
      <c r="E1437" s="35" t="s">
        <v>11710</v>
      </c>
      <c r="F1437" s="35" t="s">
        <v>11143</v>
      </c>
      <c r="G1437" s="35">
        <v>241135</v>
      </c>
      <c r="H1437" s="35">
        <v>280040</v>
      </c>
      <c r="I1437" s="35">
        <v>200007</v>
      </c>
      <c r="J1437" s="34" t="s">
        <v>2548</v>
      </c>
      <c r="K1437" s="34" t="str">
        <f t="shared" si="47"/>
        <v>重复</v>
      </c>
      <c r="L1437" s="34" t="str">
        <f t="shared" si="46"/>
        <v>不重复</v>
      </c>
    </row>
    <row r="1438" spans="1:12" ht="30">
      <c r="A1438" s="35" t="s">
        <v>11845</v>
      </c>
      <c r="B1438" s="35" t="s">
        <v>4119</v>
      </c>
      <c r="C1438" s="36" t="s">
        <v>552</v>
      </c>
      <c r="D1438" s="35" t="s">
        <v>4120</v>
      </c>
      <c r="E1438" s="35" t="s">
        <v>11710</v>
      </c>
      <c r="F1438" s="35" t="s">
        <v>11143</v>
      </c>
      <c r="G1438" s="35">
        <v>241136</v>
      </c>
      <c r="H1438" s="35">
        <v>280040</v>
      </c>
      <c r="I1438" s="35">
        <v>200007</v>
      </c>
      <c r="J1438" s="34" t="s">
        <v>3618</v>
      </c>
      <c r="K1438" s="34" t="str">
        <f t="shared" si="47"/>
        <v>重复</v>
      </c>
      <c r="L1438" s="34" t="str">
        <f t="shared" si="46"/>
        <v>重复</v>
      </c>
    </row>
    <row r="1439" spans="1:12" ht="15">
      <c r="A1439" s="35" t="s">
        <v>11846</v>
      </c>
      <c r="B1439" s="35" t="s">
        <v>4121</v>
      </c>
      <c r="C1439" s="36" t="s">
        <v>4122</v>
      </c>
      <c r="D1439" s="35" t="s">
        <v>4123</v>
      </c>
      <c r="E1439" s="35" t="s">
        <v>11710</v>
      </c>
      <c r="F1439" s="35" t="s">
        <v>11143</v>
      </c>
      <c r="G1439" s="35">
        <v>241137</v>
      </c>
      <c r="H1439" s="35">
        <v>280040</v>
      </c>
      <c r="I1439" s="35">
        <v>200007</v>
      </c>
      <c r="J1439" s="34" t="s">
        <v>4124</v>
      </c>
      <c r="K1439" s="34" t="str">
        <f t="shared" si="47"/>
        <v>不重复</v>
      </c>
      <c r="L1439" s="34" t="str">
        <f t="shared" si="46"/>
        <v>不重复</v>
      </c>
    </row>
    <row r="1440" spans="1:12" ht="15">
      <c r="A1440" s="35" t="s">
        <v>11847</v>
      </c>
      <c r="B1440" s="35" t="s">
        <v>4125</v>
      </c>
      <c r="C1440" s="36" t="s">
        <v>3780</v>
      </c>
      <c r="D1440" s="35" t="s">
        <v>4126</v>
      </c>
      <c r="E1440" s="35" t="s">
        <v>11710</v>
      </c>
      <c r="F1440" s="35" t="s">
        <v>11143</v>
      </c>
      <c r="G1440" s="35">
        <v>241138</v>
      </c>
      <c r="H1440" s="35">
        <v>280040</v>
      </c>
      <c r="I1440" s="35">
        <v>200007</v>
      </c>
      <c r="J1440" s="34" t="s">
        <v>2874</v>
      </c>
      <c r="K1440" s="34" t="str">
        <f t="shared" si="47"/>
        <v>重复</v>
      </c>
      <c r="L1440" s="34" t="str">
        <f t="shared" si="46"/>
        <v>不重复</v>
      </c>
    </row>
    <row r="1441" spans="1:12" ht="30">
      <c r="A1441" s="35" t="s">
        <v>11848</v>
      </c>
      <c r="B1441" s="35" t="s">
        <v>4127</v>
      </c>
      <c r="C1441" s="36" t="s">
        <v>4128</v>
      </c>
      <c r="D1441" s="35" t="s">
        <v>4129</v>
      </c>
      <c r="E1441" s="35" t="s">
        <v>11710</v>
      </c>
      <c r="F1441" s="35" t="s">
        <v>11143</v>
      </c>
      <c r="G1441" s="35">
        <v>241139</v>
      </c>
      <c r="H1441" s="35">
        <v>280040</v>
      </c>
      <c r="I1441" s="35">
        <v>200007</v>
      </c>
      <c r="J1441" s="34" t="s">
        <v>2868</v>
      </c>
      <c r="K1441" s="34" t="str">
        <f t="shared" si="47"/>
        <v>不重复</v>
      </c>
      <c r="L1441" s="34" t="str">
        <f t="shared" si="46"/>
        <v>不重复</v>
      </c>
    </row>
    <row r="1442" spans="1:12" ht="15">
      <c r="A1442" s="35" t="s">
        <v>11849</v>
      </c>
      <c r="B1442" s="35" t="s">
        <v>4130</v>
      </c>
      <c r="C1442" s="36" t="s">
        <v>4131</v>
      </c>
      <c r="D1442" s="35" t="s">
        <v>4132</v>
      </c>
      <c r="E1442" s="35" t="s">
        <v>11710</v>
      </c>
      <c r="F1442" s="35" t="s">
        <v>11143</v>
      </c>
      <c r="G1442" s="35">
        <v>241140</v>
      </c>
      <c r="H1442" s="35">
        <v>280040</v>
      </c>
      <c r="I1442" s="35">
        <v>200007</v>
      </c>
      <c r="J1442" s="34" t="s">
        <v>4133</v>
      </c>
      <c r="K1442" s="34" t="str">
        <f t="shared" si="47"/>
        <v>不重复</v>
      </c>
      <c r="L1442" s="34" t="str">
        <f t="shared" si="46"/>
        <v>不重复</v>
      </c>
    </row>
    <row r="1443" spans="1:12" ht="15">
      <c r="A1443" s="35" t="s">
        <v>11850</v>
      </c>
      <c r="B1443" s="35" t="s">
        <v>4134</v>
      </c>
      <c r="C1443" s="36" t="s">
        <v>4135</v>
      </c>
      <c r="D1443" s="35" t="s">
        <v>4136</v>
      </c>
      <c r="E1443" s="35" t="s">
        <v>11710</v>
      </c>
      <c r="F1443" s="35" t="s">
        <v>11143</v>
      </c>
      <c r="G1443" s="35">
        <v>241141</v>
      </c>
      <c r="H1443" s="35">
        <v>280040</v>
      </c>
      <c r="I1443" s="35">
        <v>200007</v>
      </c>
      <c r="J1443" s="34" t="s">
        <v>2796</v>
      </c>
      <c r="K1443" s="34" t="str">
        <f t="shared" si="47"/>
        <v>重复</v>
      </c>
      <c r="L1443" s="34" t="str">
        <f t="shared" si="46"/>
        <v>不重复</v>
      </c>
    </row>
    <row r="1444" spans="1:12" ht="15">
      <c r="A1444" s="35" t="s">
        <v>11851</v>
      </c>
      <c r="B1444" s="35" t="s">
        <v>4137</v>
      </c>
      <c r="C1444" s="36" t="s">
        <v>4138</v>
      </c>
      <c r="D1444" s="35" t="s">
        <v>4139</v>
      </c>
      <c r="E1444" s="35" t="s">
        <v>11710</v>
      </c>
      <c r="F1444" s="35" t="s">
        <v>11143</v>
      </c>
      <c r="G1444" s="35">
        <v>241142</v>
      </c>
      <c r="H1444" s="35">
        <v>280040</v>
      </c>
      <c r="I1444" s="35">
        <v>200007</v>
      </c>
      <c r="J1444" s="34" t="s">
        <v>2874</v>
      </c>
      <c r="K1444" s="34" t="str">
        <f t="shared" si="47"/>
        <v>不重复</v>
      </c>
      <c r="L1444" s="34" t="str">
        <f t="shared" si="46"/>
        <v>不重复</v>
      </c>
    </row>
    <row r="1445" spans="1:12" ht="15">
      <c r="A1445" s="35" t="s">
        <v>11852</v>
      </c>
      <c r="B1445" s="35" t="s">
        <v>4140</v>
      </c>
      <c r="C1445" s="36" t="s">
        <v>4141</v>
      </c>
      <c r="D1445" s="35" t="s">
        <v>4142</v>
      </c>
      <c r="E1445" s="35" t="s">
        <v>11710</v>
      </c>
      <c r="F1445" s="35" t="s">
        <v>11143</v>
      </c>
      <c r="G1445" s="35">
        <v>241143</v>
      </c>
      <c r="H1445" s="35">
        <v>280040</v>
      </c>
      <c r="I1445" s="35">
        <v>200007</v>
      </c>
      <c r="J1445" s="34" t="s">
        <v>1134</v>
      </c>
      <c r="K1445" s="34" t="str">
        <f t="shared" si="47"/>
        <v>不重复</v>
      </c>
      <c r="L1445" s="34" t="str">
        <f t="shared" si="46"/>
        <v>重复</v>
      </c>
    </row>
    <row r="1446" spans="1:12" ht="27">
      <c r="A1446" s="35" t="s">
        <v>11853</v>
      </c>
      <c r="B1446" s="35" t="s">
        <v>4140</v>
      </c>
      <c r="C1446" s="36" t="s">
        <v>4143</v>
      </c>
      <c r="D1446" s="35" t="s">
        <v>4142</v>
      </c>
      <c r="E1446" s="35" t="s">
        <v>11710</v>
      </c>
      <c r="F1446" s="35" t="s">
        <v>11143</v>
      </c>
      <c r="G1446" s="35">
        <v>241144</v>
      </c>
      <c r="H1446" s="35">
        <v>280040</v>
      </c>
      <c r="I1446" s="35">
        <v>200007</v>
      </c>
      <c r="J1446" s="34" t="s">
        <v>2495</v>
      </c>
      <c r="K1446" s="34" t="str">
        <f t="shared" si="47"/>
        <v>不重复</v>
      </c>
      <c r="L1446" s="34" t="str">
        <f t="shared" si="46"/>
        <v>重复</v>
      </c>
    </row>
    <row r="1447" spans="1:12" ht="27">
      <c r="A1447" s="35" t="s">
        <v>11854</v>
      </c>
      <c r="B1447" s="35" t="s">
        <v>4140</v>
      </c>
      <c r="C1447" s="36" t="s">
        <v>4144</v>
      </c>
      <c r="D1447" s="35" t="s">
        <v>4142</v>
      </c>
      <c r="E1447" s="35" t="s">
        <v>11710</v>
      </c>
      <c r="F1447" s="35" t="s">
        <v>11143</v>
      </c>
      <c r="G1447" s="35">
        <v>241145</v>
      </c>
      <c r="H1447" s="35">
        <v>280040</v>
      </c>
      <c r="I1447" s="35">
        <v>200007</v>
      </c>
      <c r="J1447" s="34" t="s">
        <v>4145</v>
      </c>
      <c r="K1447" s="34" t="str">
        <f t="shared" si="47"/>
        <v>重复</v>
      </c>
      <c r="L1447" s="34" t="str">
        <f t="shared" si="46"/>
        <v>重复</v>
      </c>
    </row>
    <row r="1448" spans="1:12" ht="27">
      <c r="A1448" s="35" t="s">
        <v>11855</v>
      </c>
      <c r="B1448" s="35" t="s">
        <v>4140</v>
      </c>
      <c r="C1448" s="36" t="s">
        <v>4146</v>
      </c>
      <c r="D1448" s="35" t="s">
        <v>4142</v>
      </c>
      <c r="E1448" s="35" t="s">
        <v>11710</v>
      </c>
      <c r="F1448" s="35" t="s">
        <v>11143</v>
      </c>
      <c r="G1448" s="35">
        <v>241146</v>
      </c>
      <c r="H1448" s="35">
        <v>280040</v>
      </c>
      <c r="I1448" s="35">
        <v>200007</v>
      </c>
      <c r="J1448" s="34" t="s">
        <v>1134</v>
      </c>
      <c r="K1448" s="34" t="str">
        <f t="shared" si="47"/>
        <v>不重复</v>
      </c>
      <c r="L1448" s="34" t="str">
        <f t="shared" si="46"/>
        <v>重复</v>
      </c>
    </row>
    <row r="1449" spans="1:12" ht="15">
      <c r="A1449" s="35" t="s">
        <v>11856</v>
      </c>
      <c r="B1449" s="35" t="s">
        <v>4147</v>
      </c>
      <c r="C1449" s="36" t="s">
        <v>4148</v>
      </c>
      <c r="D1449" s="35" t="s">
        <v>4149</v>
      </c>
      <c r="E1449" s="35" t="s">
        <v>11710</v>
      </c>
      <c r="F1449" s="35" t="s">
        <v>11143</v>
      </c>
      <c r="G1449" s="35">
        <v>241147</v>
      </c>
      <c r="H1449" s="35">
        <v>280040</v>
      </c>
      <c r="I1449" s="35">
        <v>200007</v>
      </c>
      <c r="J1449" s="34" t="s">
        <v>1134</v>
      </c>
      <c r="K1449" s="34" t="str">
        <f t="shared" si="47"/>
        <v>不重复</v>
      </c>
      <c r="L1449" s="34" t="str">
        <f t="shared" si="48" ref="L1449:L1512">IF(COUNTIF(D:D,D1449)&gt;=2,"重复","不重复")</f>
        <v>不重复</v>
      </c>
    </row>
    <row r="1450" spans="1:12" ht="27">
      <c r="A1450" s="35" t="s">
        <v>11857</v>
      </c>
      <c r="B1450" s="35" t="s">
        <v>4150</v>
      </c>
      <c r="C1450" s="36" t="s">
        <v>4151</v>
      </c>
      <c r="D1450" s="35" t="s">
        <v>2563</v>
      </c>
      <c r="E1450" s="35" t="s">
        <v>11710</v>
      </c>
      <c r="F1450" s="35" t="s">
        <v>11143</v>
      </c>
      <c r="G1450" s="35">
        <v>241148</v>
      </c>
      <c r="H1450" s="35">
        <v>280040</v>
      </c>
      <c r="I1450" s="35">
        <v>200007</v>
      </c>
      <c r="J1450" s="34" t="s">
        <v>4152</v>
      </c>
      <c r="K1450" s="34" t="str">
        <f t="shared" si="47"/>
        <v>不重复</v>
      </c>
      <c r="L1450" s="34" t="str">
        <f t="shared" si="48"/>
        <v>重复</v>
      </c>
    </row>
    <row r="1451" spans="1:12" ht="27">
      <c r="A1451" s="35" t="s">
        <v>11858</v>
      </c>
      <c r="B1451" s="35" t="s">
        <v>4153</v>
      </c>
      <c r="C1451" s="36" t="s">
        <v>4154</v>
      </c>
      <c r="D1451" s="35" t="s">
        <v>4155</v>
      </c>
      <c r="E1451" s="35" t="s">
        <v>11710</v>
      </c>
      <c r="F1451" s="35" t="s">
        <v>11143</v>
      </c>
      <c r="G1451" s="35">
        <v>241149</v>
      </c>
      <c r="H1451" s="35">
        <v>280040</v>
      </c>
      <c r="I1451" s="35">
        <v>200007</v>
      </c>
      <c r="J1451" s="34" t="s">
        <v>557</v>
      </c>
      <c r="K1451" s="34" t="str">
        <f t="shared" si="47"/>
        <v>不重复</v>
      </c>
      <c r="L1451" s="34" t="str">
        <f t="shared" si="48"/>
        <v>重复</v>
      </c>
    </row>
    <row r="1452" spans="1:12" ht="27">
      <c r="A1452" s="35" t="s">
        <v>11859</v>
      </c>
      <c r="B1452" s="35" t="s">
        <v>4156</v>
      </c>
      <c r="C1452" s="36" t="s">
        <v>4157</v>
      </c>
      <c r="D1452" s="35" t="s">
        <v>4158</v>
      </c>
      <c r="E1452" s="35" t="s">
        <v>11710</v>
      </c>
      <c r="F1452" s="35" t="s">
        <v>11143</v>
      </c>
      <c r="G1452" s="35">
        <v>241150</v>
      </c>
      <c r="H1452" s="35">
        <v>280040</v>
      </c>
      <c r="I1452" s="35">
        <v>200007</v>
      </c>
      <c r="J1452" s="34" t="s">
        <v>4159</v>
      </c>
      <c r="K1452" s="34" t="str">
        <f t="shared" si="47"/>
        <v>重复</v>
      </c>
      <c r="L1452" s="34" t="str">
        <f t="shared" si="48"/>
        <v>不重复</v>
      </c>
    </row>
    <row r="1453" spans="1:12" ht="27">
      <c r="A1453" s="35" t="s">
        <v>11860</v>
      </c>
      <c r="B1453" s="35" t="s">
        <v>4160</v>
      </c>
      <c r="C1453" s="36" t="s">
        <v>4161</v>
      </c>
      <c r="D1453" s="35" t="s">
        <v>4162</v>
      </c>
      <c r="E1453" s="35" t="s">
        <v>11710</v>
      </c>
      <c r="F1453" s="35" t="s">
        <v>11143</v>
      </c>
      <c r="G1453" s="35">
        <v>241151</v>
      </c>
      <c r="H1453" s="35">
        <v>280040</v>
      </c>
      <c r="I1453" s="35">
        <v>200007</v>
      </c>
      <c r="J1453" s="34" t="s">
        <v>557</v>
      </c>
      <c r="K1453" s="34" t="str">
        <f t="shared" si="47"/>
        <v>不重复</v>
      </c>
      <c r="L1453" s="34" t="str">
        <f t="shared" si="48"/>
        <v>不重复</v>
      </c>
    </row>
    <row r="1454" spans="1:12" ht="27">
      <c r="A1454" s="35" t="s">
        <v>11861</v>
      </c>
      <c r="B1454" s="35" t="s">
        <v>4163</v>
      </c>
      <c r="C1454" s="36" t="s">
        <v>4164</v>
      </c>
      <c r="D1454" s="35" t="s">
        <v>1951</v>
      </c>
      <c r="E1454" s="35" t="s">
        <v>11710</v>
      </c>
      <c r="F1454" s="35" t="s">
        <v>11143</v>
      </c>
      <c r="G1454" s="35">
        <v>241152</v>
      </c>
      <c r="H1454" s="35">
        <v>280040</v>
      </c>
      <c r="I1454" s="35">
        <v>200007</v>
      </c>
      <c r="J1454" s="34" t="s">
        <v>1134</v>
      </c>
      <c r="K1454" s="34" t="str">
        <f t="shared" si="47"/>
        <v>不重复</v>
      </c>
      <c r="L1454" s="34" t="str">
        <f t="shared" si="48"/>
        <v>重复</v>
      </c>
    </row>
    <row r="1455" spans="1:12" ht="15">
      <c r="A1455" s="35" t="s">
        <v>11862</v>
      </c>
      <c r="B1455" s="35" t="s">
        <v>4165</v>
      </c>
      <c r="C1455" s="36" t="s">
        <v>4166</v>
      </c>
      <c r="D1455" s="35" t="s">
        <v>4167</v>
      </c>
      <c r="E1455" s="35" t="s">
        <v>11710</v>
      </c>
      <c r="F1455" s="35" t="s">
        <v>11143</v>
      </c>
      <c r="G1455" s="35">
        <v>241153</v>
      </c>
      <c r="H1455" s="35">
        <v>280040</v>
      </c>
      <c r="I1455" s="35">
        <v>200007</v>
      </c>
      <c r="J1455" s="34" t="s">
        <v>557</v>
      </c>
      <c r="K1455" s="34" t="str">
        <f t="shared" si="47"/>
        <v>不重复</v>
      </c>
      <c r="L1455" s="34" t="str">
        <f t="shared" si="48"/>
        <v>重复</v>
      </c>
    </row>
    <row r="1456" spans="1:12" ht="30">
      <c r="A1456" s="35" t="s">
        <v>11863</v>
      </c>
      <c r="B1456" s="35" t="s">
        <v>4168</v>
      </c>
      <c r="C1456" s="36" t="s">
        <v>4169</v>
      </c>
      <c r="D1456" s="35" t="s">
        <v>4170</v>
      </c>
      <c r="E1456" s="35" t="s">
        <v>11710</v>
      </c>
      <c r="F1456" s="35" t="s">
        <v>11143</v>
      </c>
      <c r="G1456" s="35">
        <v>241154</v>
      </c>
      <c r="H1456" s="35">
        <v>280040</v>
      </c>
      <c r="I1456" s="35">
        <v>200007</v>
      </c>
      <c r="J1456" s="34" t="s">
        <v>363</v>
      </c>
      <c r="K1456" s="34" t="str">
        <f t="shared" si="47"/>
        <v>不重复</v>
      </c>
      <c r="L1456" s="34" t="str">
        <f t="shared" si="48"/>
        <v>不重复</v>
      </c>
    </row>
    <row r="1457" spans="1:12" ht="15">
      <c r="A1457" s="35" t="s">
        <v>11864</v>
      </c>
      <c r="B1457" s="35" t="s">
        <v>4171</v>
      </c>
      <c r="C1457" s="36" t="s">
        <v>4172</v>
      </c>
      <c r="D1457" s="35" t="s">
        <v>4173</v>
      </c>
      <c r="E1457" s="35" t="s">
        <v>11710</v>
      </c>
      <c r="F1457" s="35" t="s">
        <v>11143</v>
      </c>
      <c r="G1457" s="35">
        <v>241155</v>
      </c>
      <c r="H1457" s="35">
        <v>280040</v>
      </c>
      <c r="I1457" s="35">
        <v>200007</v>
      </c>
      <c r="J1457" s="34" t="s">
        <v>1186</v>
      </c>
      <c r="K1457" s="34" t="str">
        <f t="shared" si="47"/>
        <v>不重复</v>
      </c>
      <c r="L1457" s="34" t="str">
        <f t="shared" si="48"/>
        <v>重复</v>
      </c>
    </row>
    <row r="1458" spans="1:12" ht="15">
      <c r="A1458" s="35" t="s">
        <v>11865</v>
      </c>
      <c r="B1458" s="35" t="s">
        <v>4174</v>
      </c>
      <c r="C1458" s="36" t="s">
        <v>4175</v>
      </c>
      <c r="D1458" s="35" t="s">
        <v>4176</v>
      </c>
      <c r="E1458" s="35" t="s">
        <v>11710</v>
      </c>
      <c r="F1458" s="35" t="s">
        <v>11143</v>
      </c>
      <c r="G1458" s="35">
        <v>241156</v>
      </c>
      <c r="H1458" s="35">
        <v>280040</v>
      </c>
      <c r="I1458" s="35">
        <v>200007</v>
      </c>
      <c r="J1458" s="34" t="s">
        <v>1114</v>
      </c>
      <c r="K1458" s="34" t="str">
        <f t="shared" si="47"/>
        <v>不重复</v>
      </c>
      <c r="L1458" s="34" t="str">
        <f t="shared" si="48"/>
        <v>不重复</v>
      </c>
    </row>
    <row r="1459" spans="1:12" ht="15">
      <c r="A1459" s="35" t="s">
        <v>11866</v>
      </c>
      <c r="B1459" s="35" t="s">
        <v>4177</v>
      </c>
      <c r="C1459" s="36" t="s">
        <v>4178</v>
      </c>
      <c r="D1459" s="35" t="s">
        <v>4179</v>
      </c>
      <c r="E1459" s="35" t="s">
        <v>11710</v>
      </c>
      <c r="F1459" s="35" t="s">
        <v>11143</v>
      </c>
      <c r="G1459" s="35">
        <v>241157</v>
      </c>
      <c r="H1459" s="35">
        <v>280040</v>
      </c>
      <c r="I1459" s="35">
        <v>200007</v>
      </c>
      <c r="J1459" s="34" t="s">
        <v>3724</v>
      </c>
      <c r="K1459" s="34" t="str">
        <f t="shared" si="47"/>
        <v>不重复</v>
      </c>
      <c r="L1459" s="34" t="str">
        <f t="shared" si="48"/>
        <v>不重复</v>
      </c>
    </row>
    <row r="1460" spans="1:12" ht="15">
      <c r="A1460" s="35" t="s">
        <v>11867</v>
      </c>
      <c r="B1460" s="35" t="s">
        <v>4180</v>
      </c>
      <c r="C1460" s="36" t="s">
        <v>58</v>
      </c>
      <c r="D1460" s="35" t="s">
        <v>4181</v>
      </c>
      <c r="E1460" s="35" t="s">
        <v>11710</v>
      </c>
      <c r="F1460" s="35" t="s">
        <v>11143</v>
      </c>
      <c r="G1460" s="35">
        <v>241158</v>
      </c>
      <c r="H1460" s="35">
        <v>280040</v>
      </c>
      <c r="I1460" s="35">
        <v>200007</v>
      </c>
      <c r="J1460" s="34" t="s">
        <v>4182</v>
      </c>
      <c r="K1460" s="34" t="str">
        <f t="shared" si="47"/>
        <v>重复</v>
      </c>
      <c r="L1460" s="34" t="str">
        <f t="shared" si="48"/>
        <v>不重复</v>
      </c>
    </row>
    <row r="1461" spans="1:12" ht="27">
      <c r="A1461" s="35" t="s">
        <v>11868</v>
      </c>
      <c r="B1461" s="35" t="s">
        <v>4183</v>
      </c>
      <c r="C1461" s="36" t="s">
        <v>1289</v>
      </c>
      <c r="D1461" s="35" t="s">
        <v>4184</v>
      </c>
      <c r="E1461" s="35" t="s">
        <v>11710</v>
      </c>
      <c r="F1461" s="35" t="s">
        <v>11143</v>
      </c>
      <c r="G1461" s="35">
        <v>241159</v>
      </c>
      <c r="H1461" s="35">
        <v>280040</v>
      </c>
      <c r="I1461" s="35">
        <v>200007</v>
      </c>
      <c r="J1461" s="34" t="s">
        <v>3724</v>
      </c>
      <c r="K1461" s="34" t="str">
        <f t="shared" si="47"/>
        <v>重复</v>
      </c>
      <c r="L1461" s="34" t="str">
        <f t="shared" si="48"/>
        <v>不重复</v>
      </c>
    </row>
    <row r="1462" spans="1:12" ht="15">
      <c r="A1462" s="35" t="s">
        <v>11869</v>
      </c>
      <c r="B1462" s="35" t="s">
        <v>4185</v>
      </c>
      <c r="C1462" s="36" t="s">
        <v>4186</v>
      </c>
      <c r="D1462" s="35" t="s">
        <v>4187</v>
      </c>
      <c r="E1462" s="35" t="s">
        <v>11710</v>
      </c>
      <c r="F1462" s="35" t="s">
        <v>11143</v>
      </c>
      <c r="G1462" s="35">
        <v>241160</v>
      </c>
      <c r="H1462" s="35">
        <v>280040</v>
      </c>
      <c r="I1462" s="35">
        <v>200007</v>
      </c>
      <c r="J1462" s="34" t="s">
        <v>4159</v>
      </c>
      <c r="K1462" s="34" t="str">
        <f t="shared" si="47"/>
        <v>重复</v>
      </c>
      <c r="L1462" s="34" t="str">
        <f t="shared" si="48"/>
        <v>不重复</v>
      </c>
    </row>
    <row r="1463" spans="1:12" ht="15">
      <c r="A1463" s="35" t="s">
        <v>11870</v>
      </c>
      <c r="B1463" s="35" t="s">
        <v>4188</v>
      </c>
      <c r="C1463" s="36" t="s">
        <v>4189</v>
      </c>
      <c r="D1463" s="35" t="s">
        <v>4190</v>
      </c>
      <c r="E1463" s="35" t="s">
        <v>11710</v>
      </c>
      <c r="F1463" s="35" t="s">
        <v>11143</v>
      </c>
      <c r="G1463" s="35">
        <v>241161</v>
      </c>
      <c r="H1463" s="35">
        <v>280040</v>
      </c>
      <c r="I1463" s="35">
        <v>200007</v>
      </c>
      <c r="J1463" s="34" t="s">
        <v>3364</v>
      </c>
      <c r="K1463" s="34" t="str">
        <f t="shared" si="47"/>
        <v>重复</v>
      </c>
      <c r="L1463" s="34" t="str">
        <f t="shared" si="48"/>
        <v>不重复</v>
      </c>
    </row>
    <row r="1464" spans="1:12" ht="30">
      <c r="A1464" s="35" t="s">
        <v>11871</v>
      </c>
      <c r="B1464" s="35" t="s">
        <v>4191</v>
      </c>
      <c r="C1464" s="36" t="s">
        <v>4192</v>
      </c>
      <c r="D1464" s="35" t="s">
        <v>4193</v>
      </c>
      <c r="E1464" s="35" t="s">
        <v>11710</v>
      </c>
      <c r="F1464" s="35" t="s">
        <v>11143</v>
      </c>
      <c r="G1464" s="35">
        <v>241162</v>
      </c>
      <c r="H1464" s="35">
        <v>280040</v>
      </c>
      <c r="I1464" s="35">
        <v>200007</v>
      </c>
      <c r="J1464" s="34" t="s">
        <v>1047</v>
      </c>
      <c r="K1464" s="34" t="str">
        <f t="shared" si="47"/>
        <v>重复</v>
      </c>
      <c r="L1464" s="34" t="str">
        <f t="shared" si="48"/>
        <v>不重复</v>
      </c>
    </row>
    <row r="1465" spans="1:12" ht="30">
      <c r="A1465" s="35" t="s">
        <v>11872</v>
      </c>
      <c r="B1465" s="35" t="s">
        <v>4194</v>
      </c>
      <c r="C1465" s="36" t="s">
        <v>4195</v>
      </c>
      <c r="D1465" s="35" t="s">
        <v>4196</v>
      </c>
      <c r="E1465" s="35" t="s">
        <v>11710</v>
      </c>
      <c r="F1465" s="35" t="s">
        <v>11143</v>
      </c>
      <c r="G1465" s="35">
        <v>241163</v>
      </c>
      <c r="H1465" s="35">
        <v>280040</v>
      </c>
      <c r="I1465" s="35">
        <v>200007</v>
      </c>
      <c r="J1465" s="34" t="s">
        <v>4197</v>
      </c>
      <c r="K1465" s="34" t="str">
        <f t="shared" si="47"/>
        <v>不重复</v>
      </c>
      <c r="L1465" s="34" t="str">
        <f t="shared" si="48"/>
        <v>不重复</v>
      </c>
    </row>
    <row r="1466" spans="1:12" ht="15">
      <c r="A1466" s="35" t="s">
        <v>11873</v>
      </c>
      <c r="B1466" s="35" t="s">
        <v>4198</v>
      </c>
      <c r="C1466" s="36" t="s">
        <v>4199</v>
      </c>
      <c r="D1466" s="35" t="s">
        <v>4200</v>
      </c>
      <c r="E1466" s="35" t="s">
        <v>11710</v>
      </c>
      <c r="F1466" s="35" t="s">
        <v>11143</v>
      </c>
      <c r="G1466" s="35">
        <v>241164</v>
      </c>
      <c r="H1466" s="35">
        <v>280040</v>
      </c>
      <c r="I1466" s="35">
        <v>200007</v>
      </c>
      <c r="J1466" s="34" t="s">
        <v>2440</v>
      </c>
      <c r="K1466" s="34" t="str">
        <f t="shared" si="47"/>
        <v>不重复</v>
      </c>
      <c r="L1466" s="34" t="str">
        <f t="shared" si="48"/>
        <v>不重复</v>
      </c>
    </row>
    <row r="1467" spans="1:12" ht="27">
      <c r="A1467" s="35" t="s">
        <v>11874</v>
      </c>
      <c r="B1467" s="35" t="s">
        <v>4201</v>
      </c>
      <c r="C1467" s="36" t="s">
        <v>1289</v>
      </c>
      <c r="D1467" s="35" t="s">
        <v>4202</v>
      </c>
      <c r="E1467" s="35" t="s">
        <v>11710</v>
      </c>
      <c r="F1467" s="35" t="s">
        <v>11143</v>
      </c>
      <c r="G1467" s="35">
        <v>241165</v>
      </c>
      <c r="H1467" s="35">
        <v>280040</v>
      </c>
      <c r="I1467" s="35">
        <v>200007</v>
      </c>
      <c r="J1467" s="34" t="s">
        <v>2391</v>
      </c>
      <c r="K1467" s="34" t="str">
        <f t="shared" si="47"/>
        <v>重复</v>
      </c>
      <c r="L1467" s="34" t="str">
        <f t="shared" si="48"/>
        <v>不重复</v>
      </c>
    </row>
    <row r="1468" spans="1:12" ht="30">
      <c r="A1468" s="35" t="s">
        <v>11875</v>
      </c>
      <c r="B1468" s="35" t="s">
        <v>4203</v>
      </c>
      <c r="C1468" s="36" t="s">
        <v>4204</v>
      </c>
      <c r="D1468" s="35" t="s">
        <v>4205</v>
      </c>
      <c r="E1468" s="35" t="s">
        <v>11710</v>
      </c>
      <c r="F1468" s="35" t="s">
        <v>11143</v>
      </c>
      <c r="G1468" s="35">
        <v>241166</v>
      </c>
      <c r="H1468" s="35">
        <v>280040</v>
      </c>
      <c r="I1468" s="35">
        <v>200007</v>
      </c>
      <c r="J1468" s="34" t="s">
        <v>1057</v>
      </c>
      <c r="K1468" s="34" t="str">
        <f t="shared" si="47"/>
        <v>不重复</v>
      </c>
      <c r="L1468" s="34" t="str">
        <f t="shared" si="48"/>
        <v>不重复</v>
      </c>
    </row>
    <row r="1469" spans="1:12" ht="15">
      <c r="A1469" s="35" t="s">
        <v>11876</v>
      </c>
      <c r="B1469" s="35" t="s">
        <v>4206</v>
      </c>
      <c r="C1469" s="36" t="s">
        <v>4207</v>
      </c>
      <c r="D1469" s="35" t="s">
        <v>4208</v>
      </c>
      <c r="E1469" s="35" t="s">
        <v>11710</v>
      </c>
      <c r="F1469" s="35" t="s">
        <v>11143</v>
      </c>
      <c r="G1469" s="35">
        <v>241167</v>
      </c>
      <c r="H1469" s="35">
        <v>280040</v>
      </c>
      <c r="I1469" s="35">
        <v>200007</v>
      </c>
      <c r="J1469" s="34" t="s">
        <v>2624</v>
      </c>
      <c r="K1469" s="34" t="str">
        <f t="shared" si="47"/>
        <v>不重复</v>
      </c>
      <c r="L1469" s="34" t="str">
        <f t="shared" si="48"/>
        <v>不重复</v>
      </c>
    </row>
    <row r="1470" spans="1:12" ht="30">
      <c r="A1470" s="35" t="s">
        <v>11877</v>
      </c>
      <c r="B1470" s="35" t="s">
        <v>4209</v>
      </c>
      <c r="C1470" s="36" t="s">
        <v>4210</v>
      </c>
      <c r="D1470" s="35" t="s">
        <v>4211</v>
      </c>
      <c r="E1470" s="35" t="s">
        <v>11710</v>
      </c>
      <c r="F1470" s="35" t="s">
        <v>11143</v>
      </c>
      <c r="G1470" s="35">
        <v>241168</v>
      </c>
      <c r="H1470" s="35">
        <v>280040</v>
      </c>
      <c r="I1470" s="35">
        <v>200007</v>
      </c>
      <c r="J1470" s="34" t="s">
        <v>3749</v>
      </c>
      <c r="K1470" s="34" t="str">
        <f t="shared" si="47"/>
        <v>重复</v>
      </c>
      <c r="L1470" s="34" t="str">
        <f t="shared" si="48"/>
        <v>不重复</v>
      </c>
    </row>
    <row r="1471" spans="1:12" ht="15">
      <c r="A1471" s="35" t="s">
        <v>11878</v>
      </c>
      <c r="B1471" s="35" t="s">
        <v>4212</v>
      </c>
      <c r="C1471" s="36" t="s">
        <v>3722</v>
      </c>
      <c r="D1471" s="35" t="s">
        <v>4213</v>
      </c>
      <c r="E1471" s="35" t="s">
        <v>11878</v>
      </c>
      <c r="F1471" s="35" t="s">
        <v>11143</v>
      </c>
      <c r="G1471" s="35">
        <v>241200</v>
      </c>
      <c r="H1471" s="35">
        <v>280050</v>
      </c>
      <c r="I1471" s="35">
        <v>200007</v>
      </c>
      <c r="J1471" s="34" t="s">
        <v>16</v>
      </c>
      <c r="K1471" s="34" t="str">
        <f t="shared" si="47"/>
        <v>重复</v>
      </c>
      <c r="L1471" s="34" t="str">
        <f t="shared" si="48"/>
        <v>不重复</v>
      </c>
    </row>
    <row r="1472" spans="1:12" ht="27">
      <c r="A1472" s="35" t="s">
        <v>11879</v>
      </c>
      <c r="B1472" s="35" t="s">
        <v>4214</v>
      </c>
      <c r="C1472" s="36" t="s">
        <v>4215</v>
      </c>
      <c r="D1472" s="35" t="s">
        <v>4216</v>
      </c>
      <c r="E1472" s="35" t="s">
        <v>11878</v>
      </c>
      <c r="F1472" s="35" t="s">
        <v>11143</v>
      </c>
      <c r="G1472" s="35">
        <v>241201</v>
      </c>
      <c r="H1472" s="35">
        <v>280050</v>
      </c>
      <c r="I1472" s="35">
        <v>200007</v>
      </c>
      <c r="J1472" s="34" t="s">
        <v>557</v>
      </c>
      <c r="K1472" s="34" t="str">
        <f t="shared" si="47"/>
        <v>重复</v>
      </c>
      <c r="L1472" s="34" t="str">
        <f t="shared" si="48"/>
        <v>不重复</v>
      </c>
    </row>
    <row r="1473" spans="1:12" ht="30">
      <c r="A1473" s="35" t="s">
        <v>11880</v>
      </c>
      <c r="B1473" s="35" t="s">
        <v>4217</v>
      </c>
      <c r="C1473" s="36" t="s">
        <v>4218</v>
      </c>
      <c r="D1473" s="35" t="s">
        <v>4219</v>
      </c>
      <c r="E1473" s="35" t="s">
        <v>11878</v>
      </c>
      <c r="F1473" s="35" t="s">
        <v>11143</v>
      </c>
      <c r="G1473" s="35">
        <v>241202</v>
      </c>
      <c r="H1473" s="35">
        <v>280050</v>
      </c>
      <c r="I1473" s="35">
        <v>200007</v>
      </c>
      <c r="J1473" s="34" t="s">
        <v>4220</v>
      </c>
      <c r="K1473" s="34" t="str">
        <f t="shared" si="47"/>
        <v>不重复</v>
      </c>
      <c r="L1473" s="34" t="str">
        <f t="shared" si="48"/>
        <v>不重复</v>
      </c>
    </row>
    <row r="1474" spans="1:12" ht="30">
      <c r="A1474" s="35" t="s">
        <v>11881</v>
      </c>
      <c r="B1474" s="35" t="s">
        <v>4221</v>
      </c>
      <c r="C1474" s="36" t="s">
        <v>4222</v>
      </c>
      <c r="D1474" s="35" t="s">
        <v>4223</v>
      </c>
      <c r="E1474" s="35" t="s">
        <v>11878</v>
      </c>
      <c r="F1474" s="35" t="s">
        <v>11143</v>
      </c>
      <c r="G1474" s="35">
        <v>241203</v>
      </c>
      <c r="H1474" s="35">
        <v>280050</v>
      </c>
      <c r="I1474" s="35">
        <v>200007</v>
      </c>
      <c r="J1474" s="34" t="s">
        <v>1143</v>
      </c>
      <c r="K1474" s="34" t="str">
        <f t="shared" si="47"/>
        <v>重复</v>
      </c>
      <c r="L1474" s="34" t="str">
        <f t="shared" si="48"/>
        <v>重复</v>
      </c>
    </row>
    <row r="1475" spans="1:12" ht="30">
      <c r="A1475" s="35" t="s">
        <v>11882</v>
      </c>
      <c r="B1475" s="35" t="s">
        <v>4221</v>
      </c>
      <c r="C1475" s="36" t="s">
        <v>666</v>
      </c>
      <c r="D1475" s="35" t="s">
        <v>4223</v>
      </c>
      <c r="E1475" s="35" t="s">
        <v>11878</v>
      </c>
      <c r="F1475" s="35" t="s">
        <v>11143</v>
      </c>
      <c r="G1475" s="35">
        <v>241204</v>
      </c>
      <c r="H1475" s="35">
        <v>280050</v>
      </c>
      <c r="I1475" s="35">
        <v>200007</v>
      </c>
      <c r="J1475" s="34" t="s">
        <v>3069</v>
      </c>
      <c r="K1475" s="34" t="str">
        <f t="shared" si="47"/>
        <v>重复</v>
      </c>
      <c r="L1475" s="34" t="str">
        <f t="shared" si="48"/>
        <v>重复</v>
      </c>
    </row>
    <row r="1476" spans="1:12" ht="40.5">
      <c r="A1476" s="35" t="s">
        <v>11883</v>
      </c>
      <c r="B1476" s="35" t="s">
        <v>4221</v>
      </c>
      <c r="C1476" s="36" t="s">
        <v>4222</v>
      </c>
      <c r="D1476" s="35" t="s">
        <v>4223</v>
      </c>
      <c r="E1476" s="35" t="s">
        <v>11878</v>
      </c>
      <c r="F1476" s="35" t="s">
        <v>11143</v>
      </c>
      <c r="G1476" s="35">
        <v>241205</v>
      </c>
      <c r="H1476" s="35">
        <v>280050</v>
      </c>
      <c r="I1476" s="35">
        <v>200007</v>
      </c>
      <c r="J1476" s="34" t="s">
        <v>1143</v>
      </c>
      <c r="K1476" s="34" t="str">
        <f t="shared" si="47"/>
        <v>重复</v>
      </c>
      <c r="L1476" s="34" t="str">
        <f t="shared" si="48"/>
        <v>重复</v>
      </c>
    </row>
    <row r="1477" spans="1:12" ht="15">
      <c r="A1477" s="35" t="s">
        <v>11884</v>
      </c>
      <c r="B1477" s="35" t="s">
        <v>4224</v>
      </c>
      <c r="C1477" s="36" t="s">
        <v>4225</v>
      </c>
      <c r="D1477" s="35" t="s">
        <v>4226</v>
      </c>
      <c r="E1477" s="35" t="s">
        <v>11878</v>
      </c>
      <c r="F1477" s="35" t="s">
        <v>11143</v>
      </c>
      <c r="G1477" s="35">
        <v>241206</v>
      </c>
      <c r="H1477" s="35">
        <v>280050</v>
      </c>
      <c r="I1477" s="35">
        <v>200007</v>
      </c>
      <c r="J1477" s="34" t="s">
        <v>2338</v>
      </c>
      <c r="K1477" s="34" t="str">
        <f t="shared" si="47"/>
        <v>重复</v>
      </c>
      <c r="L1477" s="34" t="str">
        <f t="shared" si="48"/>
        <v>不重复</v>
      </c>
    </row>
    <row r="1478" spans="1:12" ht="27">
      <c r="A1478" s="35" t="s">
        <v>11885</v>
      </c>
      <c r="B1478" s="35" t="s">
        <v>4227</v>
      </c>
      <c r="C1478" s="36" t="s">
        <v>4228</v>
      </c>
      <c r="D1478" s="35" t="s">
        <v>4229</v>
      </c>
      <c r="E1478" s="35" t="s">
        <v>11878</v>
      </c>
      <c r="F1478" s="35" t="s">
        <v>11143</v>
      </c>
      <c r="G1478" s="35">
        <v>241207</v>
      </c>
      <c r="H1478" s="35">
        <v>280050</v>
      </c>
      <c r="I1478" s="35">
        <v>200007</v>
      </c>
      <c r="J1478" s="34" t="s">
        <v>2585</v>
      </c>
      <c r="K1478" s="34" t="str">
        <f t="shared" si="47"/>
        <v>不重复</v>
      </c>
      <c r="L1478" s="34" t="str">
        <f t="shared" si="48"/>
        <v>不重复</v>
      </c>
    </row>
    <row r="1479" spans="1:12" ht="27">
      <c r="A1479" s="35" t="s">
        <v>11886</v>
      </c>
      <c r="B1479" s="35" t="s">
        <v>4230</v>
      </c>
      <c r="C1479" s="36" t="s">
        <v>4231</v>
      </c>
      <c r="D1479" s="35" t="s">
        <v>4232</v>
      </c>
      <c r="E1479" s="35" t="s">
        <v>11878</v>
      </c>
      <c r="F1479" s="35" t="s">
        <v>11143</v>
      </c>
      <c r="G1479" s="35">
        <v>241208</v>
      </c>
      <c r="H1479" s="35">
        <v>280050</v>
      </c>
      <c r="I1479" s="35">
        <v>200007</v>
      </c>
      <c r="J1479" s="34" t="s">
        <v>1143</v>
      </c>
      <c r="K1479" s="34" t="str">
        <f t="shared" si="47"/>
        <v>不重复</v>
      </c>
      <c r="L1479" s="34" t="str">
        <f t="shared" si="48"/>
        <v>不重复</v>
      </c>
    </row>
    <row r="1480" spans="1:12" ht="27">
      <c r="A1480" s="35" t="s">
        <v>11887</v>
      </c>
      <c r="B1480" s="35" t="s">
        <v>4233</v>
      </c>
      <c r="C1480" s="36" t="s">
        <v>4234</v>
      </c>
      <c r="D1480" s="35" t="s">
        <v>4235</v>
      </c>
      <c r="E1480" s="35" t="s">
        <v>11878</v>
      </c>
      <c r="F1480" s="35" t="s">
        <v>11143</v>
      </c>
      <c r="G1480" s="35">
        <v>241209</v>
      </c>
      <c r="H1480" s="35">
        <v>280050</v>
      </c>
      <c r="I1480" s="35">
        <v>200007</v>
      </c>
      <c r="J1480" s="34" t="s">
        <v>557</v>
      </c>
      <c r="K1480" s="34" t="str">
        <f t="shared" si="47"/>
        <v>不重复</v>
      </c>
      <c r="L1480" s="34" t="str">
        <f t="shared" si="48"/>
        <v>不重复</v>
      </c>
    </row>
    <row r="1481" spans="1:12" ht="30">
      <c r="A1481" s="35" t="s">
        <v>11888</v>
      </c>
      <c r="B1481" s="35" t="s">
        <v>4236</v>
      </c>
      <c r="C1481" s="36" t="s">
        <v>4237</v>
      </c>
      <c r="D1481" s="35" t="s">
        <v>4238</v>
      </c>
      <c r="E1481" s="35" t="s">
        <v>11878</v>
      </c>
      <c r="F1481" s="35" t="s">
        <v>11143</v>
      </c>
      <c r="G1481" s="35">
        <v>241210</v>
      </c>
      <c r="H1481" s="35">
        <v>280050</v>
      </c>
      <c r="I1481" s="35">
        <v>200007</v>
      </c>
      <c r="J1481" s="34" t="s">
        <v>1143</v>
      </c>
      <c r="K1481" s="34" t="str">
        <f t="shared" si="47"/>
        <v>不重复</v>
      </c>
      <c r="L1481" s="34" t="str">
        <f t="shared" si="48"/>
        <v>不重复</v>
      </c>
    </row>
    <row r="1482" spans="1:12" ht="15">
      <c r="A1482" s="35" t="s">
        <v>11889</v>
      </c>
      <c r="B1482" s="35" t="s">
        <v>4239</v>
      </c>
      <c r="C1482" s="36" t="s">
        <v>4240</v>
      </c>
      <c r="D1482" s="35" t="s">
        <v>4241</v>
      </c>
      <c r="E1482" s="35" t="s">
        <v>11878</v>
      </c>
      <c r="F1482" s="35" t="s">
        <v>11143</v>
      </c>
      <c r="G1482" s="35">
        <v>241211</v>
      </c>
      <c r="H1482" s="35">
        <v>280050</v>
      </c>
      <c r="I1482" s="35">
        <v>200007</v>
      </c>
      <c r="J1482" s="34" t="s">
        <v>3749</v>
      </c>
      <c r="K1482" s="34" t="str">
        <f t="shared" si="47"/>
        <v>不重复</v>
      </c>
      <c r="L1482" s="34" t="str">
        <f t="shared" si="48"/>
        <v>不重复</v>
      </c>
    </row>
    <row r="1483" spans="1:12" ht="30">
      <c r="A1483" s="35" t="s">
        <v>11890</v>
      </c>
      <c r="B1483" s="35" t="s">
        <v>4242</v>
      </c>
      <c r="C1483" s="36" t="s">
        <v>717</v>
      </c>
      <c r="D1483" s="35" t="s">
        <v>4243</v>
      </c>
      <c r="E1483" s="35" t="s">
        <v>11878</v>
      </c>
      <c r="F1483" s="35" t="s">
        <v>11143</v>
      </c>
      <c r="G1483" s="35">
        <v>241212</v>
      </c>
      <c r="H1483" s="35">
        <v>280050</v>
      </c>
      <c r="I1483" s="35">
        <v>200007</v>
      </c>
      <c r="J1483" s="34" t="s">
        <v>2630</v>
      </c>
      <c r="K1483" s="34" t="str">
        <f t="shared" si="47"/>
        <v>重复</v>
      </c>
      <c r="L1483" s="34" t="str">
        <f t="shared" si="48"/>
        <v>不重复</v>
      </c>
    </row>
    <row r="1484" spans="1:12" ht="27">
      <c r="A1484" s="35" t="s">
        <v>11891</v>
      </c>
      <c r="B1484" s="35" t="s">
        <v>4244</v>
      </c>
      <c r="C1484" s="36" t="s">
        <v>706</v>
      </c>
      <c r="D1484" s="35" t="s">
        <v>3010</v>
      </c>
      <c r="E1484" s="35" t="s">
        <v>11878</v>
      </c>
      <c r="F1484" s="35" t="s">
        <v>11143</v>
      </c>
      <c r="G1484" s="35">
        <v>241213</v>
      </c>
      <c r="H1484" s="35">
        <v>280050</v>
      </c>
      <c r="I1484" s="35">
        <v>200007</v>
      </c>
      <c r="J1484" s="34" t="s">
        <v>3437</v>
      </c>
      <c r="K1484" s="34" t="str">
        <f t="shared" si="47"/>
        <v>重复</v>
      </c>
      <c r="L1484" s="34" t="str">
        <f t="shared" si="48"/>
        <v>重复</v>
      </c>
    </row>
    <row r="1485" spans="1:12" ht="30">
      <c r="A1485" s="35" t="s">
        <v>11892</v>
      </c>
      <c r="B1485" s="35" t="s">
        <v>4245</v>
      </c>
      <c r="C1485" s="36" t="s">
        <v>4246</v>
      </c>
      <c r="D1485" s="35" t="s">
        <v>4247</v>
      </c>
      <c r="E1485" s="35" t="s">
        <v>11878</v>
      </c>
      <c r="F1485" s="35" t="s">
        <v>11143</v>
      </c>
      <c r="G1485" s="35">
        <v>241214</v>
      </c>
      <c r="H1485" s="35">
        <v>280050</v>
      </c>
      <c r="I1485" s="35">
        <v>200007</v>
      </c>
      <c r="J1485" s="34" t="s">
        <v>3820</v>
      </c>
      <c r="K1485" s="34" t="str">
        <f t="shared" si="47"/>
        <v>重复</v>
      </c>
      <c r="L1485" s="34" t="str">
        <f t="shared" si="48"/>
        <v>不重复</v>
      </c>
    </row>
    <row r="1486" spans="1:12" ht="27">
      <c r="A1486" s="35" t="s">
        <v>11893</v>
      </c>
      <c r="B1486" s="35" t="s">
        <v>4248</v>
      </c>
      <c r="C1486" s="36" t="s">
        <v>3429</v>
      </c>
      <c r="D1486" s="35" t="s">
        <v>4249</v>
      </c>
      <c r="E1486" s="35" t="s">
        <v>11878</v>
      </c>
      <c r="F1486" s="35" t="s">
        <v>11143</v>
      </c>
      <c r="G1486" s="35">
        <v>241215</v>
      </c>
      <c r="H1486" s="35">
        <v>280050</v>
      </c>
      <c r="I1486" s="35">
        <v>200007</v>
      </c>
      <c r="J1486" s="34" t="s">
        <v>2630</v>
      </c>
      <c r="K1486" s="34" t="str">
        <f t="shared" si="47"/>
        <v>重复</v>
      </c>
      <c r="L1486" s="34" t="str">
        <f t="shared" si="48"/>
        <v>不重复</v>
      </c>
    </row>
    <row r="1487" spans="1:12" ht="27">
      <c r="A1487" s="35" t="s">
        <v>11894</v>
      </c>
      <c r="B1487" s="35" t="s">
        <v>4250</v>
      </c>
      <c r="C1487" s="36" t="s">
        <v>614</v>
      </c>
      <c r="D1487" s="35" t="s">
        <v>4251</v>
      </c>
      <c r="E1487" s="35" t="s">
        <v>11878</v>
      </c>
      <c r="F1487" s="35" t="s">
        <v>11143</v>
      </c>
      <c r="G1487" s="35">
        <v>241216</v>
      </c>
      <c r="H1487" s="35">
        <v>280050</v>
      </c>
      <c r="I1487" s="35">
        <v>200007</v>
      </c>
      <c r="J1487" s="34" t="s">
        <v>4252</v>
      </c>
      <c r="K1487" s="34" t="str">
        <f t="shared" si="47"/>
        <v>重复</v>
      </c>
      <c r="L1487" s="34" t="str">
        <f t="shared" si="48"/>
        <v>不重复</v>
      </c>
    </row>
    <row r="1488" spans="1:12" ht="30">
      <c r="A1488" s="35" t="s">
        <v>11895</v>
      </c>
      <c r="B1488" s="35" t="s">
        <v>4253</v>
      </c>
      <c r="C1488" s="36" t="s">
        <v>4254</v>
      </c>
      <c r="D1488" s="35" t="s">
        <v>4255</v>
      </c>
      <c r="E1488" s="35" t="s">
        <v>11878</v>
      </c>
      <c r="F1488" s="35" t="s">
        <v>11143</v>
      </c>
      <c r="G1488" s="35">
        <v>241217</v>
      </c>
      <c r="H1488" s="35">
        <v>280050</v>
      </c>
      <c r="I1488" s="35">
        <v>200007</v>
      </c>
      <c r="J1488" s="34" t="s">
        <v>1114</v>
      </c>
      <c r="K1488" s="34" t="str">
        <f t="shared" si="47"/>
        <v>重复</v>
      </c>
      <c r="L1488" s="34" t="str">
        <f t="shared" si="48"/>
        <v>重复</v>
      </c>
    </row>
    <row r="1489" spans="1:12" ht="30">
      <c r="A1489" s="35" t="s">
        <v>11896</v>
      </c>
      <c r="B1489" s="35" t="s">
        <v>4253</v>
      </c>
      <c r="C1489" s="36" t="s">
        <v>4254</v>
      </c>
      <c r="D1489" s="35" t="s">
        <v>4255</v>
      </c>
      <c r="E1489" s="35" t="s">
        <v>11878</v>
      </c>
      <c r="F1489" s="35" t="s">
        <v>11143</v>
      </c>
      <c r="G1489" s="35">
        <v>241218</v>
      </c>
      <c r="H1489" s="35">
        <v>280050</v>
      </c>
      <c r="I1489" s="35">
        <v>200007</v>
      </c>
      <c r="J1489" s="34" t="s">
        <v>1114</v>
      </c>
      <c r="K1489" s="34" t="str">
        <f t="shared" si="47"/>
        <v>重复</v>
      </c>
      <c r="L1489" s="34" t="str">
        <f t="shared" si="48"/>
        <v>重复</v>
      </c>
    </row>
    <row r="1490" spans="1:12" ht="30">
      <c r="A1490" s="35" t="s">
        <v>11897</v>
      </c>
      <c r="B1490" s="35" t="s">
        <v>4253</v>
      </c>
      <c r="C1490" s="36" t="s">
        <v>4256</v>
      </c>
      <c r="D1490" s="35" t="s">
        <v>4255</v>
      </c>
      <c r="E1490" s="35" t="s">
        <v>11878</v>
      </c>
      <c r="F1490" s="35" t="s">
        <v>11143</v>
      </c>
      <c r="G1490" s="35">
        <v>241219</v>
      </c>
      <c r="H1490" s="35">
        <v>280050</v>
      </c>
      <c r="I1490" s="35">
        <v>200007</v>
      </c>
      <c r="J1490" s="34" t="s">
        <v>3145</v>
      </c>
      <c r="K1490" s="34" t="str">
        <f t="shared" si="47"/>
        <v>不重复</v>
      </c>
      <c r="L1490" s="34" t="str">
        <f t="shared" si="48"/>
        <v>重复</v>
      </c>
    </row>
    <row r="1491" spans="1:12" ht="30">
      <c r="A1491" s="35" t="s">
        <v>11898</v>
      </c>
      <c r="B1491" s="35" t="s">
        <v>4257</v>
      </c>
      <c r="C1491" s="36" t="s">
        <v>4258</v>
      </c>
      <c r="D1491" s="35" t="s">
        <v>4259</v>
      </c>
      <c r="E1491" s="35" t="s">
        <v>11878</v>
      </c>
      <c r="F1491" s="35" t="s">
        <v>11143</v>
      </c>
      <c r="G1491" s="35">
        <v>241220</v>
      </c>
      <c r="H1491" s="35">
        <v>280050</v>
      </c>
      <c r="I1491" s="35">
        <v>200007</v>
      </c>
      <c r="J1491" s="34" t="s">
        <v>3145</v>
      </c>
      <c r="K1491" s="34" t="str">
        <f t="shared" si="47"/>
        <v>重复</v>
      </c>
      <c r="L1491" s="34" t="str">
        <f t="shared" si="48"/>
        <v>不重复</v>
      </c>
    </row>
    <row r="1492" spans="1:12" ht="30">
      <c r="A1492" s="35" t="s">
        <v>11899</v>
      </c>
      <c r="B1492" s="35" t="s">
        <v>4260</v>
      </c>
      <c r="C1492" s="36" t="s">
        <v>4261</v>
      </c>
      <c r="D1492" s="35" t="s">
        <v>4262</v>
      </c>
      <c r="E1492" s="35" t="s">
        <v>11878</v>
      </c>
      <c r="F1492" s="35" t="s">
        <v>11143</v>
      </c>
      <c r="G1492" s="35">
        <v>241221</v>
      </c>
      <c r="H1492" s="35">
        <v>280050</v>
      </c>
      <c r="I1492" s="35">
        <v>200007</v>
      </c>
      <c r="J1492" s="34" t="s">
        <v>4263</v>
      </c>
      <c r="K1492" s="34" t="str">
        <f t="shared" si="47"/>
        <v>重复</v>
      </c>
      <c r="L1492" s="34" t="str">
        <f t="shared" si="48"/>
        <v>重复</v>
      </c>
    </row>
    <row r="1493" spans="1:12" ht="30">
      <c r="A1493" s="35" t="s">
        <v>11900</v>
      </c>
      <c r="B1493" s="35" t="s">
        <v>4264</v>
      </c>
      <c r="C1493" s="36" t="s">
        <v>4265</v>
      </c>
      <c r="D1493" s="35" t="s">
        <v>4266</v>
      </c>
      <c r="E1493" s="35" t="s">
        <v>11878</v>
      </c>
      <c r="F1493" s="35" t="s">
        <v>11143</v>
      </c>
      <c r="G1493" s="35">
        <v>241222</v>
      </c>
      <c r="H1493" s="35">
        <v>280050</v>
      </c>
      <c r="I1493" s="35">
        <v>200007</v>
      </c>
      <c r="J1493" s="34" t="s">
        <v>3145</v>
      </c>
      <c r="K1493" s="34" t="str">
        <f t="shared" si="47"/>
        <v>重复</v>
      </c>
      <c r="L1493" s="34" t="str">
        <f t="shared" si="48"/>
        <v>不重复</v>
      </c>
    </row>
    <row r="1494" spans="1:12" ht="27">
      <c r="A1494" s="35" t="s">
        <v>11901</v>
      </c>
      <c r="B1494" s="35" t="s">
        <v>4267</v>
      </c>
      <c r="C1494" s="36" t="s">
        <v>2721</v>
      </c>
      <c r="D1494" s="35" t="s">
        <v>4268</v>
      </c>
      <c r="E1494" s="35" t="s">
        <v>11878</v>
      </c>
      <c r="F1494" s="35" t="s">
        <v>11143</v>
      </c>
      <c r="G1494" s="35">
        <v>241223</v>
      </c>
      <c r="H1494" s="35">
        <v>280050</v>
      </c>
      <c r="I1494" s="35">
        <v>200007</v>
      </c>
      <c r="J1494" s="34" t="s">
        <v>557</v>
      </c>
      <c r="K1494" s="34" t="str">
        <f t="shared" si="49" ref="K1494:K1557">IF(COUNTIF(C:C,C1494)&gt;=2,"重复","不重复")</f>
        <v>重复</v>
      </c>
      <c r="L1494" s="34" t="str">
        <f t="shared" si="48"/>
        <v>不重复</v>
      </c>
    </row>
    <row r="1495" spans="1:12" ht="27">
      <c r="A1495" s="35" t="s">
        <v>11902</v>
      </c>
      <c r="B1495" s="35" t="s">
        <v>4269</v>
      </c>
      <c r="C1495" s="36" t="s">
        <v>4270</v>
      </c>
      <c r="D1495" s="35" t="s">
        <v>4271</v>
      </c>
      <c r="E1495" s="35" t="s">
        <v>11878</v>
      </c>
      <c r="F1495" s="35" t="s">
        <v>11143</v>
      </c>
      <c r="G1495" s="35">
        <v>241224</v>
      </c>
      <c r="H1495" s="35">
        <v>280050</v>
      </c>
      <c r="I1495" s="35">
        <v>200007</v>
      </c>
      <c r="J1495" s="34" t="s">
        <v>557</v>
      </c>
      <c r="K1495" s="34" t="str">
        <f t="shared" si="49"/>
        <v>重复</v>
      </c>
      <c r="L1495" s="34" t="str">
        <f t="shared" si="48"/>
        <v>不重复</v>
      </c>
    </row>
    <row r="1496" spans="1:12" ht="30">
      <c r="A1496" s="35" t="s">
        <v>11903</v>
      </c>
      <c r="B1496" s="35" t="s">
        <v>4272</v>
      </c>
      <c r="C1496" s="36" t="s">
        <v>3877</v>
      </c>
      <c r="D1496" s="35" t="s">
        <v>4273</v>
      </c>
      <c r="E1496" s="35" t="s">
        <v>11878</v>
      </c>
      <c r="F1496" s="35" t="s">
        <v>11143</v>
      </c>
      <c r="G1496" s="35">
        <v>241225</v>
      </c>
      <c r="H1496" s="35">
        <v>280050</v>
      </c>
      <c r="I1496" s="35">
        <v>200007</v>
      </c>
      <c r="J1496" s="34" t="s">
        <v>4274</v>
      </c>
      <c r="K1496" s="34" t="str">
        <f t="shared" si="49"/>
        <v>重复</v>
      </c>
      <c r="L1496" s="34" t="str">
        <f t="shared" si="48"/>
        <v>重复</v>
      </c>
    </row>
    <row r="1497" spans="1:12" ht="40.5">
      <c r="A1497" s="35" t="s">
        <v>11904</v>
      </c>
      <c r="B1497" s="35" t="s">
        <v>4272</v>
      </c>
      <c r="C1497" s="36" t="s">
        <v>3877</v>
      </c>
      <c r="D1497" s="35" t="s">
        <v>4273</v>
      </c>
      <c r="E1497" s="35" t="s">
        <v>11878</v>
      </c>
      <c r="F1497" s="35" t="s">
        <v>11143</v>
      </c>
      <c r="G1497" s="35">
        <v>241226</v>
      </c>
      <c r="H1497" s="35">
        <v>280050</v>
      </c>
      <c r="I1497" s="35">
        <v>200007</v>
      </c>
      <c r="J1497" s="34" t="s">
        <v>4274</v>
      </c>
      <c r="K1497" s="34" t="str">
        <f t="shared" si="49"/>
        <v>重复</v>
      </c>
      <c r="L1497" s="34" t="str">
        <f t="shared" si="48"/>
        <v>重复</v>
      </c>
    </row>
    <row r="1498" spans="1:12" ht="30">
      <c r="A1498" s="35" t="s">
        <v>11905</v>
      </c>
      <c r="B1498" s="35" t="s">
        <v>4272</v>
      </c>
      <c r="C1498" s="36" t="s">
        <v>4275</v>
      </c>
      <c r="D1498" s="35" t="s">
        <v>4273</v>
      </c>
      <c r="E1498" s="35" t="s">
        <v>11878</v>
      </c>
      <c r="F1498" s="35" t="s">
        <v>11143</v>
      </c>
      <c r="G1498" s="35">
        <v>241227</v>
      </c>
      <c r="H1498" s="35">
        <v>280050</v>
      </c>
      <c r="I1498" s="35">
        <v>200007</v>
      </c>
      <c r="J1498" s="34" t="s">
        <v>4276</v>
      </c>
      <c r="K1498" s="34" t="str">
        <f t="shared" si="49"/>
        <v>不重复</v>
      </c>
      <c r="L1498" s="34" t="str">
        <f t="shared" si="48"/>
        <v>重复</v>
      </c>
    </row>
    <row r="1499" spans="1:12" ht="30">
      <c r="A1499" s="35" t="s">
        <v>11906</v>
      </c>
      <c r="B1499" s="35" t="s">
        <v>4277</v>
      </c>
      <c r="C1499" s="36" t="s">
        <v>4278</v>
      </c>
      <c r="D1499" s="35" t="s">
        <v>4273</v>
      </c>
      <c r="E1499" s="35" t="s">
        <v>11878</v>
      </c>
      <c r="F1499" s="35" t="s">
        <v>11143</v>
      </c>
      <c r="G1499" s="35">
        <v>241228</v>
      </c>
      <c r="H1499" s="35">
        <v>280050</v>
      </c>
      <c r="I1499" s="35">
        <v>200007</v>
      </c>
      <c r="J1499" s="34" t="s">
        <v>4274</v>
      </c>
      <c r="K1499" s="34" t="str">
        <f t="shared" si="49"/>
        <v>重复</v>
      </c>
      <c r="L1499" s="34" t="str">
        <f t="shared" si="48"/>
        <v>重复</v>
      </c>
    </row>
    <row r="1500" spans="1:12" ht="30">
      <c r="A1500" s="35" t="s">
        <v>11907</v>
      </c>
      <c r="B1500" s="35" t="s">
        <v>4279</v>
      </c>
      <c r="C1500" s="36" t="s">
        <v>4280</v>
      </c>
      <c r="D1500" s="35" t="s">
        <v>4281</v>
      </c>
      <c r="E1500" s="35" t="s">
        <v>11878</v>
      </c>
      <c r="F1500" s="35" t="s">
        <v>11143</v>
      </c>
      <c r="G1500" s="35">
        <v>241229</v>
      </c>
      <c r="H1500" s="35">
        <v>280050</v>
      </c>
      <c r="I1500" s="35">
        <v>200007</v>
      </c>
      <c r="J1500" s="34" t="s">
        <v>2495</v>
      </c>
      <c r="K1500" s="34" t="str">
        <f t="shared" si="49"/>
        <v>不重复</v>
      </c>
      <c r="L1500" s="34" t="str">
        <f t="shared" si="48"/>
        <v>重复</v>
      </c>
    </row>
    <row r="1501" spans="1:12" ht="30">
      <c r="A1501" s="35" t="s">
        <v>11908</v>
      </c>
      <c r="B1501" s="35" t="s">
        <v>4282</v>
      </c>
      <c r="C1501" s="36" t="s">
        <v>4283</v>
      </c>
      <c r="D1501" s="35" t="s">
        <v>4281</v>
      </c>
      <c r="E1501" s="35" t="s">
        <v>11878</v>
      </c>
      <c r="F1501" s="35" t="s">
        <v>11143</v>
      </c>
      <c r="G1501" s="35">
        <v>241230</v>
      </c>
      <c r="H1501" s="35">
        <v>280050</v>
      </c>
      <c r="I1501" s="35">
        <v>200007</v>
      </c>
      <c r="J1501" s="34" t="s">
        <v>3749</v>
      </c>
      <c r="K1501" s="34" t="str">
        <f t="shared" si="49"/>
        <v>重复</v>
      </c>
      <c r="L1501" s="34" t="str">
        <f t="shared" si="48"/>
        <v>重复</v>
      </c>
    </row>
    <row r="1502" spans="1:12" ht="30">
      <c r="A1502" s="35" t="s">
        <v>11909</v>
      </c>
      <c r="B1502" s="35" t="s">
        <v>4282</v>
      </c>
      <c r="C1502" s="36" t="s">
        <v>4283</v>
      </c>
      <c r="D1502" s="35" t="s">
        <v>4281</v>
      </c>
      <c r="E1502" s="35" t="s">
        <v>11878</v>
      </c>
      <c r="F1502" s="35" t="s">
        <v>11143</v>
      </c>
      <c r="G1502" s="35">
        <v>241231</v>
      </c>
      <c r="H1502" s="35">
        <v>280050</v>
      </c>
      <c r="I1502" s="35">
        <v>200007</v>
      </c>
      <c r="J1502" s="34" t="s">
        <v>2796</v>
      </c>
      <c r="K1502" s="34" t="str">
        <f t="shared" si="49"/>
        <v>重复</v>
      </c>
      <c r="L1502" s="34" t="str">
        <f t="shared" si="48"/>
        <v>重复</v>
      </c>
    </row>
    <row r="1503" spans="1:12" ht="30">
      <c r="A1503" s="35" t="s">
        <v>11910</v>
      </c>
      <c r="B1503" s="35" t="s">
        <v>4282</v>
      </c>
      <c r="C1503" s="36" t="s">
        <v>4284</v>
      </c>
      <c r="D1503" s="35" t="s">
        <v>4281</v>
      </c>
      <c r="E1503" s="35" t="s">
        <v>11878</v>
      </c>
      <c r="F1503" s="35" t="s">
        <v>11143</v>
      </c>
      <c r="G1503" s="35">
        <v>241232</v>
      </c>
      <c r="H1503" s="35">
        <v>280050</v>
      </c>
      <c r="I1503" s="35">
        <v>200007</v>
      </c>
      <c r="J1503" s="34" t="s">
        <v>557</v>
      </c>
      <c r="K1503" s="34" t="str">
        <f t="shared" si="49"/>
        <v>不重复</v>
      </c>
      <c r="L1503" s="34" t="str">
        <f t="shared" si="48"/>
        <v>重复</v>
      </c>
    </row>
    <row r="1504" spans="1:12" ht="30">
      <c r="A1504" s="35" t="s">
        <v>11911</v>
      </c>
      <c r="B1504" s="35" t="s">
        <v>4285</v>
      </c>
      <c r="C1504" s="36" t="s">
        <v>4286</v>
      </c>
      <c r="D1504" s="35" t="s">
        <v>4287</v>
      </c>
      <c r="E1504" s="35" t="s">
        <v>11878</v>
      </c>
      <c r="F1504" s="35" t="s">
        <v>11143</v>
      </c>
      <c r="G1504" s="35">
        <v>241233</v>
      </c>
      <c r="H1504" s="35">
        <v>280050</v>
      </c>
      <c r="I1504" s="35">
        <v>200007</v>
      </c>
      <c r="J1504" s="34" t="s">
        <v>3069</v>
      </c>
      <c r="K1504" s="34" t="str">
        <f t="shared" si="49"/>
        <v>不重复</v>
      </c>
      <c r="L1504" s="34" t="str">
        <f t="shared" si="48"/>
        <v>重复</v>
      </c>
    </row>
    <row r="1505" spans="1:12" ht="30">
      <c r="A1505" s="35" t="s">
        <v>11912</v>
      </c>
      <c r="B1505" s="35" t="s">
        <v>4288</v>
      </c>
      <c r="C1505" s="36" t="s">
        <v>4289</v>
      </c>
      <c r="D1505" s="35" t="s">
        <v>4290</v>
      </c>
      <c r="E1505" s="35" t="s">
        <v>11878</v>
      </c>
      <c r="F1505" s="35" t="s">
        <v>11143</v>
      </c>
      <c r="G1505" s="35">
        <v>241234</v>
      </c>
      <c r="H1505" s="35">
        <v>280050</v>
      </c>
      <c r="I1505" s="35">
        <v>200007</v>
      </c>
      <c r="J1505" s="34" t="s">
        <v>3820</v>
      </c>
      <c r="K1505" s="34" t="str">
        <f t="shared" si="49"/>
        <v>不重复</v>
      </c>
      <c r="L1505" s="34" t="str">
        <f t="shared" si="48"/>
        <v>不重复</v>
      </c>
    </row>
    <row r="1506" spans="1:12" ht="30">
      <c r="A1506" s="35" t="s">
        <v>11913</v>
      </c>
      <c r="B1506" s="35" t="s">
        <v>4291</v>
      </c>
      <c r="C1506" s="36" t="s">
        <v>4292</v>
      </c>
      <c r="D1506" s="35" t="s">
        <v>4293</v>
      </c>
      <c r="E1506" s="35" t="s">
        <v>11878</v>
      </c>
      <c r="F1506" s="35" t="s">
        <v>11143</v>
      </c>
      <c r="G1506" s="35">
        <v>241235</v>
      </c>
      <c r="H1506" s="35">
        <v>280050</v>
      </c>
      <c r="I1506" s="35">
        <v>200007</v>
      </c>
      <c r="J1506" s="34" t="s">
        <v>4252</v>
      </c>
      <c r="K1506" s="34" t="str">
        <f t="shared" si="49"/>
        <v>不重复</v>
      </c>
      <c r="L1506" s="34" t="str">
        <f t="shared" si="48"/>
        <v>不重复</v>
      </c>
    </row>
    <row r="1507" spans="1:12" ht="30">
      <c r="A1507" s="35" t="s">
        <v>11914</v>
      </c>
      <c r="B1507" s="35" t="s">
        <v>4294</v>
      </c>
      <c r="C1507" s="36" t="s">
        <v>3856</v>
      </c>
      <c r="D1507" s="35" t="s">
        <v>4295</v>
      </c>
      <c r="E1507" s="35" t="s">
        <v>11878</v>
      </c>
      <c r="F1507" s="35" t="s">
        <v>11143</v>
      </c>
      <c r="G1507" s="35">
        <v>241236</v>
      </c>
      <c r="H1507" s="35">
        <v>280050</v>
      </c>
      <c r="I1507" s="35">
        <v>200007</v>
      </c>
      <c r="J1507" s="34" t="s">
        <v>4296</v>
      </c>
      <c r="K1507" s="34" t="str">
        <f t="shared" si="49"/>
        <v>重复</v>
      </c>
      <c r="L1507" s="34" t="str">
        <f t="shared" si="48"/>
        <v>重复</v>
      </c>
    </row>
    <row r="1508" spans="1:12" ht="27">
      <c r="A1508" s="35" t="s">
        <v>11915</v>
      </c>
      <c r="B1508" s="35" t="s">
        <v>4297</v>
      </c>
      <c r="C1508" s="36" t="s">
        <v>3481</v>
      </c>
      <c r="D1508" s="35" t="s">
        <v>4298</v>
      </c>
      <c r="E1508" s="35" t="s">
        <v>11878</v>
      </c>
      <c r="F1508" s="35" t="s">
        <v>11143</v>
      </c>
      <c r="G1508" s="35">
        <v>241237</v>
      </c>
      <c r="H1508" s="35">
        <v>280050</v>
      </c>
      <c r="I1508" s="35">
        <v>200007</v>
      </c>
      <c r="J1508" s="34" t="s">
        <v>2495</v>
      </c>
      <c r="K1508" s="34" t="str">
        <f t="shared" si="49"/>
        <v>重复</v>
      </c>
      <c r="L1508" s="34" t="str">
        <f t="shared" si="48"/>
        <v>不重复</v>
      </c>
    </row>
    <row r="1509" spans="1:12" ht="27">
      <c r="A1509" s="35" t="s">
        <v>11916</v>
      </c>
      <c r="B1509" s="35" t="s">
        <v>4299</v>
      </c>
      <c r="C1509" s="36" t="s">
        <v>3487</v>
      </c>
      <c r="D1509" s="35" t="s">
        <v>4300</v>
      </c>
      <c r="E1509" s="35" t="s">
        <v>11878</v>
      </c>
      <c r="F1509" s="35" t="s">
        <v>11143</v>
      </c>
      <c r="G1509" s="35">
        <v>241238</v>
      </c>
      <c r="H1509" s="35">
        <v>280050</v>
      </c>
      <c r="I1509" s="35">
        <v>200007</v>
      </c>
      <c r="J1509" s="34" t="s">
        <v>557</v>
      </c>
      <c r="K1509" s="34" t="str">
        <f t="shared" si="49"/>
        <v>重复</v>
      </c>
      <c r="L1509" s="34" t="str">
        <f t="shared" si="48"/>
        <v>不重复</v>
      </c>
    </row>
    <row r="1510" spans="1:12" ht="30">
      <c r="A1510" s="35" t="s">
        <v>11917</v>
      </c>
      <c r="B1510" s="35" t="s">
        <v>4301</v>
      </c>
      <c r="C1510" s="36" t="s">
        <v>4302</v>
      </c>
      <c r="D1510" s="35" t="s">
        <v>4303</v>
      </c>
      <c r="E1510" s="35" t="s">
        <v>11878</v>
      </c>
      <c r="F1510" s="35" t="s">
        <v>11143</v>
      </c>
      <c r="G1510" s="35">
        <v>241239</v>
      </c>
      <c r="H1510" s="35">
        <v>280050</v>
      </c>
      <c r="I1510" s="35">
        <v>200007</v>
      </c>
      <c r="J1510" s="34" t="s">
        <v>3069</v>
      </c>
      <c r="K1510" s="34" t="str">
        <f t="shared" si="49"/>
        <v>不重复</v>
      </c>
      <c r="L1510" s="34" t="str">
        <f t="shared" si="48"/>
        <v>不重复</v>
      </c>
    </row>
    <row r="1511" spans="1:12" ht="27">
      <c r="A1511" s="35" t="s">
        <v>11918</v>
      </c>
      <c r="B1511" s="35" t="s">
        <v>4304</v>
      </c>
      <c r="C1511" s="36" t="s">
        <v>4305</v>
      </c>
      <c r="D1511" s="35" t="s">
        <v>4306</v>
      </c>
      <c r="E1511" s="35" t="s">
        <v>11878</v>
      </c>
      <c r="F1511" s="35" t="s">
        <v>11143</v>
      </c>
      <c r="G1511" s="35">
        <v>241240</v>
      </c>
      <c r="H1511" s="35">
        <v>280050</v>
      </c>
      <c r="I1511" s="35">
        <v>200007</v>
      </c>
      <c r="J1511" s="34" t="s">
        <v>1143</v>
      </c>
      <c r="K1511" s="34" t="str">
        <f t="shared" si="49"/>
        <v>重复</v>
      </c>
      <c r="L1511" s="34" t="str">
        <f t="shared" si="48"/>
        <v>不重复</v>
      </c>
    </row>
    <row r="1512" spans="1:12" ht="30">
      <c r="A1512" s="35" t="s">
        <v>11919</v>
      </c>
      <c r="B1512" s="35" t="s">
        <v>4307</v>
      </c>
      <c r="C1512" s="36" t="s">
        <v>4308</v>
      </c>
      <c r="D1512" s="35" t="s">
        <v>4309</v>
      </c>
      <c r="E1512" s="35" t="s">
        <v>11878</v>
      </c>
      <c r="F1512" s="35" t="s">
        <v>11143</v>
      </c>
      <c r="G1512" s="35">
        <v>241241</v>
      </c>
      <c r="H1512" s="35">
        <v>280050</v>
      </c>
      <c r="I1512" s="35">
        <v>200007</v>
      </c>
      <c r="J1512" s="34" t="s">
        <v>1143</v>
      </c>
      <c r="K1512" s="34" t="str">
        <f t="shared" si="49"/>
        <v>不重复</v>
      </c>
      <c r="L1512" s="34" t="str">
        <f t="shared" si="48"/>
        <v>不重复</v>
      </c>
    </row>
    <row r="1513" spans="1:12" ht="15">
      <c r="A1513" s="35" t="s">
        <v>11920</v>
      </c>
      <c r="B1513" s="35" t="s">
        <v>4310</v>
      </c>
      <c r="C1513" s="36" t="s">
        <v>1105</v>
      </c>
      <c r="D1513" s="35" t="s">
        <v>4311</v>
      </c>
      <c r="E1513" s="35" t="s">
        <v>11878</v>
      </c>
      <c r="F1513" s="35" t="s">
        <v>11143</v>
      </c>
      <c r="G1513" s="35">
        <v>241242</v>
      </c>
      <c r="H1513" s="35">
        <v>280050</v>
      </c>
      <c r="I1513" s="35">
        <v>200007</v>
      </c>
      <c r="J1513" s="34" t="s">
        <v>2984</v>
      </c>
      <c r="K1513" s="34" t="str">
        <f t="shared" si="49"/>
        <v>重复</v>
      </c>
      <c r="L1513" s="34" t="str">
        <f t="shared" si="50" ref="L1513:L1576">IF(COUNTIF(D:D,D1513)&gt;=2,"重复","不重复")</f>
        <v>重复</v>
      </c>
    </row>
    <row r="1514" spans="1:12" ht="27">
      <c r="A1514" s="35" t="s">
        <v>11921</v>
      </c>
      <c r="B1514" s="35" t="s">
        <v>4310</v>
      </c>
      <c r="C1514" s="36" t="s">
        <v>4312</v>
      </c>
      <c r="D1514" s="35" t="s">
        <v>4311</v>
      </c>
      <c r="E1514" s="35" t="s">
        <v>11878</v>
      </c>
      <c r="F1514" s="35" t="s">
        <v>11143</v>
      </c>
      <c r="G1514" s="35">
        <v>241243</v>
      </c>
      <c r="H1514" s="35">
        <v>280050</v>
      </c>
      <c r="I1514" s="35">
        <v>200007</v>
      </c>
      <c r="J1514" s="34" t="s">
        <v>2512</v>
      </c>
      <c r="K1514" s="34" t="str">
        <f t="shared" si="49"/>
        <v>重复</v>
      </c>
      <c r="L1514" s="34" t="str">
        <f t="shared" si="50"/>
        <v>重复</v>
      </c>
    </row>
    <row r="1515" spans="1:12" ht="27">
      <c r="A1515" s="35" t="s">
        <v>11922</v>
      </c>
      <c r="B1515" s="35" t="s">
        <v>4310</v>
      </c>
      <c r="C1515" s="36" t="s">
        <v>1105</v>
      </c>
      <c r="D1515" s="35" t="s">
        <v>4311</v>
      </c>
      <c r="E1515" s="35" t="s">
        <v>11878</v>
      </c>
      <c r="F1515" s="35" t="s">
        <v>11143</v>
      </c>
      <c r="G1515" s="35">
        <v>241244</v>
      </c>
      <c r="H1515" s="35">
        <v>280050</v>
      </c>
      <c r="I1515" s="35">
        <v>200007</v>
      </c>
      <c r="J1515" s="34" t="s">
        <v>2984</v>
      </c>
      <c r="K1515" s="34" t="str">
        <f t="shared" si="49"/>
        <v>重复</v>
      </c>
      <c r="L1515" s="34" t="str">
        <f t="shared" si="50"/>
        <v>重复</v>
      </c>
    </row>
    <row r="1516" spans="1:12" ht="27">
      <c r="A1516" s="35" t="s">
        <v>11923</v>
      </c>
      <c r="B1516" s="35" t="s">
        <v>4313</v>
      </c>
      <c r="C1516" s="36" t="s">
        <v>2604</v>
      </c>
      <c r="D1516" s="35" t="s">
        <v>4311</v>
      </c>
      <c r="E1516" s="35" t="s">
        <v>11878</v>
      </c>
      <c r="F1516" s="35" t="s">
        <v>11143</v>
      </c>
      <c r="G1516" s="35">
        <v>241245</v>
      </c>
      <c r="H1516" s="35">
        <v>280050</v>
      </c>
      <c r="I1516" s="35">
        <v>200007</v>
      </c>
      <c r="J1516" s="34" t="s">
        <v>557</v>
      </c>
      <c r="K1516" s="34" t="str">
        <f t="shared" si="49"/>
        <v>重复</v>
      </c>
      <c r="L1516" s="34" t="str">
        <f t="shared" si="50"/>
        <v>重复</v>
      </c>
    </row>
    <row r="1517" spans="1:12" ht="27">
      <c r="A1517" s="35" t="s">
        <v>11924</v>
      </c>
      <c r="B1517" s="35" t="s">
        <v>4314</v>
      </c>
      <c r="C1517" s="36" t="s">
        <v>4315</v>
      </c>
      <c r="D1517" s="35" t="s">
        <v>4316</v>
      </c>
      <c r="E1517" s="35" t="s">
        <v>11878</v>
      </c>
      <c r="F1517" s="35" t="s">
        <v>11143</v>
      </c>
      <c r="G1517" s="35">
        <v>241246</v>
      </c>
      <c r="H1517" s="35">
        <v>280050</v>
      </c>
      <c r="I1517" s="35">
        <v>200007</v>
      </c>
      <c r="J1517" s="34" t="s">
        <v>3145</v>
      </c>
      <c r="K1517" s="34" t="str">
        <f t="shared" si="49"/>
        <v>重复</v>
      </c>
      <c r="L1517" s="34" t="str">
        <f t="shared" si="50"/>
        <v>不重复</v>
      </c>
    </row>
    <row r="1518" spans="1:12" ht="15">
      <c r="A1518" s="35" t="s">
        <v>11925</v>
      </c>
      <c r="B1518" s="35" t="s">
        <v>4317</v>
      </c>
      <c r="C1518" s="36" t="s">
        <v>4318</v>
      </c>
      <c r="D1518" s="35" t="s">
        <v>4319</v>
      </c>
      <c r="E1518" s="35" t="s">
        <v>11878</v>
      </c>
      <c r="F1518" s="35" t="s">
        <v>11143</v>
      </c>
      <c r="G1518" s="35">
        <v>241247</v>
      </c>
      <c r="H1518" s="35">
        <v>280050</v>
      </c>
      <c r="I1518" s="35">
        <v>200007</v>
      </c>
      <c r="J1518" s="34" t="s">
        <v>821</v>
      </c>
      <c r="K1518" s="34" t="str">
        <f t="shared" si="49"/>
        <v>不重复</v>
      </c>
      <c r="L1518" s="34" t="str">
        <f t="shared" si="50"/>
        <v>不重复</v>
      </c>
    </row>
    <row r="1519" spans="1:12" ht="15">
      <c r="A1519" s="35" t="s">
        <v>11926</v>
      </c>
      <c r="B1519" s="35" t="s">
        <v>4320</v>
      </c>
      <c r="C1519" s="36" t="s">
        <v>3025</v>
      </c>
      <c r="D1519" s="35" t="s">
        <v>4321</v>
      </c>
      <c r="E1519" s="35" t="s">
        <v>11878</v>
      </c>
      <c r="F1519" s="35" t="s">
        <v>11143</v>
      </c>
      <c r="G1519" s="35">
        <v>241248</v>
      </c>
      <c r="H1519" s="35">
        <v>280050</v>
      </c>
      <c r="I1519" s="35">
        <v>200007</v>
      </c>
      <c r="J1519" s="34" t="s">
        <v>2641</v>
      </c>
      <c r="K1519" s="34" t="str">
        <f t="shared" si="49"/>
        <v>重复</v>
      </c>
      <c r="L1519" s="34" t="str">
        <f t="shared" si="50"/>
        <v>不重复</v>
      </c>
    </row>
    <row r="1520" spans="1:12" ht="15">
      <c r="A1520" s="35" t="s">
        <v>11927</v>
      </c>
      <c r="B1520" s="35" t="s">
        <v>4322</v>
      </c>
      <c r="C1520" s="36" t="s">
        <v>4323</v>
      </c>
      <c r="D1520" s="35" t="s">
        <v>4324</v>
      </c>
      <c r="E1520" s="35" t="s">
        <v>11878</v>
      </c>
      <c r="F1520" s="35" t="s">
        <v>11143</v>
      </c>
      <c r="G1520" s="35">
        <v>241249</v>
      </c>
      <c r="H1520" s="35">
        <v>280050</v>
      </c>
      <c r="I1520" s="35">
        <v>200007</v>
      </c>
      <c r="J1520" s="34" t="s">
        <v>3820</v>
      </c>
      <c r="K1520" s="34" t="str">
        <f t="shared" si="49"/>
        <v>不重复</v>
      </c>
      <c r="L1520" s="34" t="str">
        <f t="shared" si="50"/>
        <v>不重复</v>
      </c>
    </row>
    <row r="1521" spans="1:12" ht="27">
      <c r="A1521" s="35" t="s">
        <v>11928</v>
      </c>
      <c r="B1521" s="35" t="s">
        <v>4325</v>
      </c>
      <c r="C1521" s="36" t="s">
        <v>2866</v>
      </c>
      <c r="D1521" s="35" t="s">
        <v>4326</v>
      </c>
      <c r="E1521" s="35" t="s">
        <v>11878</v>
      </c>
      <c r="F1521" s="35" t="s">
        <v>11143</v>
      </c>
      <c r="G1521" s="35">
        <v>241250</v>
      </c>
      <c r="H1521" s="35">
        <v>280050</v>
      </c>
      <c r="I1521" s="35">
        <v>200007</v>
      </c>
      <c r="J1521" s="34" t="s">
        <v>311</v>
      </c>
      <c r="K1521" s="34" t="str">
        <f t="shared" si="49"/>
        <v>重复</v>
      </c>
      <c r="L1521" s="34" t="str">
        <f t="shared" si="50"/>
        <v>不重复</v>
      </c>
    </row>
    <row r="1522" spans="1:12" ht="27">
      <c r="A1522" s="35" t="s">
        <v>11929</v>
      </c>
      <c r="B1522" s="35" t="s">
        <v>4327</v>
      </c>
      <c r="C1522" s="36" t="s">
        <v>2886</v>
      </c>
      <c r="D1522" s="35" t="s">
        <v>4328</v>
      </c>
      <c r="E1522" s="35" t="s">
        <v>11878</v>
      </c>
      <c r="F1522" s="35" t="s">
        <v>11143</v>
      </c>
      <c r="G1522" s="35">
        <v>241251</v>
      </c>
      <c r="H1522" s="35">
        <v>280050</v>
      </c>
      <c r="I1522" s="35">
        <v>200007</v>
      </c>
      <c r="J1522" s="34" t="s">
        <v>4329</v>
      </c>
      <c r="K1522" s="34" t="str">
        <f t="shared" si="49"/>
        <v>重复</v>
      </c>
      <c r="L1522" s="34" t="str">
        <f t="shared" si="50"/>
        <v>不重复</v>
      </c>
    </row>
    <row r="1523" spans="1:12" ht="30">
      <c r="A1523" s="35" t="s">
        <v>11930</v>
      </c>
      <c r="B1523" s="35" t="s">
        <v>4330</v>
      </c>
      <c r="C1523" s="36" t="s">
        <v>3366</v>
      </c>
      <c r="D1523" s="35" t="s">
        <v>4331</v>
      </c>
      <c r="E1523" s="35" t="s">
        <v>11878</v>
      </c>
      <c r="F1523" s="35" t="s">
        <v>11143</v>
      </c>
      <c r="G1523" s="35">
        <v>241252</v>
      </c>
      <c r="H1523" s="35">
        <v>280050</v>
      </c>
      <c r="I1523" s="35">
        <v>200007</v>
      </c>
      <c r="J1523" s="34" t="s">
        <v>2984</v>
      </c>
      <c r="K1523" s="34" t="str">
        <f t="shared" si="49"/>
        <v>重复</v>
      </c>
      <c r="L1523" s="34" t="str">
        <f t="shared" si="50"/>
        <v>不重复</v>
      </c>
    </row>
    <row r="1524" spans="1:12" ht="27">
      <c r="A1524" s="35" t="s">
        <v>11931</v>
      </c>
      <c r="B1524" s="35" t="s">
        <v>4332</v>
      </c>
      <c r="C1524" s="36" t="s">
        <v>4333</v>
      </c>
      <c r="D1524" s="35" t="s">
        <v>3258</v>
      </c>
      <c r="E1524" s="35" t="s">
        <v>11878</v>
      </c>
      <c r="F1524" s="35" t="s">
        <v>11143</v>
      </c>
      <c r="G1524" s="35">
        <v>241253</v>
      </c>
      <c r="H1524" s="35">
        <v>280050</v>
      </c>
      <c r="I1524" s="35">
        <v>200007</v>
      </c>
      <c r="J1524" s="34" t="s">
        <v>3820</v>
      </c>
      <c r="K1524" s="34" t="str">
        <f t="shared" si="49"/>
        <v>不重复</v>
      </c>
      <c r="L1524" s="34" t="str">
        <f t="shared" si="50"/>
        <v>重复</v>
      </c>
    </row>
    <row r="1525" spans="1:12" ht="30">
      <c r="A1525" s="35" t="s">
        <v>11932</v>
      </c>
      <c r="B1525" s="35" t="s">
        <v>4334</v>
      </c>
      <c r="C1525" s="36" t="s">
        <v>496</v>
      </c>
      <c r="D1525" s="35" t="s">
        <v>3262</v>
      </c>
      <c r="E1525" s="35" t="s">
        <v>11878</v>
      </c>
      <c r="F1525" s="35" t="s">
        <v>11143</v>
      </c>
      <c r="G1525" s="35">
        <v>241254</v>
      </c>
      <c r="H1525" s="35">
        <v>280050</v>
      </c>
      <c r="I1525" s="35">
        <v>200007</v>
      </c>
      <c r="J1525" s="34" t="s">
        <v>4335</v>
      </c>
      <c r="K1525" s="34" t="str">
        <f t="shared" si="49"/>
        <v>重复</v>
      </c>
      <c r="L1525" s="34" t="str">
        <f t="shared" si="50"/>
        <v>重复</v>
      </c>
    </row>
    <row r="1526" spans="1:12" ht="30">
      <c r="A1526" s="35" t="s">
        <v>11933</v>
      </c>
      <c r="B1526" s="35" t="s">
        <v>4336</v>
      </c>
      <c r="C1526" s="36" t="s">
        <v>4337</v>
      </c>
      <c r="D1526" s="35" t="s">
        <v>4338</v>
      </c>
      <c r="E1526" s="35" t="s">
        <v>11878</v>
      </c>
      <c r="F1526" s="35" t="s">
        <v>11143</v>
      </c>
      <c r="G1526" s="35">
        <v>241255</v>
      </c>
      <c r="H1526" s="35">
        <v>280050</v>
      </c>
      <c r="I1526" s="35">
        <v>200007</v>
      </c>
      <c r="J1526" s="34" t="s">
        <v>4339</v>
      </c>
      <c r="K1526" s="34" t="str">
        <f t="shared" si="49"/>
        <v>不重复</v>
      </c>
      <c r="L1526" s="34" t="str">
        <f t="shared" si="50"/>
        <v>不重复</v>
      </c>
    </row>
    <row r="1527" spans="1:12" ht="27">
      <c r="A1527" s="35" t="s">
        <v>11934</v>
      </c>
      <c r="B1527" s="35" t="s">
        <v>4340</v>
      </c>
      <c r="C1527" s="36" t="s">
        <v>4341</v>
      </c>
      <c r="D1527" s="35" t="s">
        <v>4342</v>
      </c>
      <c r="E1527" s="35" t="s">
        <v>11878</v>
      </c>
      <c r="F1527" s="35" t="s">
        <v>11143</v>
      </c>
      <c r="G1527" s="35">
        <v>241256</v>
      </c>
      <c r="H1527" s="35">
        <v>280050</v>
      </c>
      <c r="I1527" s="35">
        <v>200007</v>
      </c>
      <c r="J1527" s="34" t="s">
        <v>3548</v>
      </c>
      <c r="K1527" s="34" t="str">
        <f t="shared" si="49"/>
        <v>不重复</v>
      </c>
      <c r="L1527" s="34" t="str">
        <f t="shared" si="50"/>
        <v>重复</v>
      </c>
    </row>
    <row r="1528" spans="1:12" ht="30">
      <c r="A1528" s="35" t="s">
        <v>11935</v>
      </c>
      <c r="B1528" s="35" t="s">
        <v>4343</v>
      </c>
      <c r="C1528" s="36" t="s">
        <v>4344</v>
      </c>
      <c r="D1528" s="35" t="s">
        <v>4345</v>
      </c>
      <c r="E1528" s="35" t="s">
        <v>11878</v>
      </c>
      <c r="F1528" s="35" t="s">
        <v>11143</v>
      </c>
      <c r="G1528" s="35">
        <v>241257</v>
      </c>
      <c r="H1528" s="35">
        <v>280050</v>
      </c>
      <c r="I1528" s="35">
        <v>200007</v>
      </c>
      <c r="J1528" s="34" t="s">
        <v>4220</v>
      </c>
      <c r="K1528" s="34" t="str">
        <f t="shared" si="49"/>
        <v>不重复</v>
      </c>
      <c r="L1528" s="34" t="str">
        <f t="shared" si="50"/>
        <v>不重复</v>
      </c>
    </row>
    <row r="1529" spans="1:12" ht="27">
      <c r="A1529" s="35" t="s">
        <v>11936</v>
      </c>
      <c r="B1529" s="35" t="s">
        <v>4346</v>
      </c>
      <c r="C1529" s="36" t="s">
        <v>4347</v>
      </c>
      <c r="D1529" s="35" t="s">
        <v>4348</v>
      </c>
      <c r="E1529" s="35" t="s">
        <v>11878</v>
      </c>
      <c r="F1529" s="35" t="s">
        <v>11143</v>
      </c>
      <c r="G1529" s="35">
        <v>241258</v>
      </c>
      <c r="H1529" s="35">
        <v>280050</v>
      </c>
      <c r="I1529" s="35">
        <v>200007</v>
      </c>
      <c r="J1529" s="34" t="s">
        <v>2440</v>
      </c>
      <c r="K1529" s="34" t="str">
        <f t="shared" si="49"/>
        <v>重复</v>
      </c>
      <c r="L1529" s="34" t="str">
        <f t="shared" si="50"/>
        <v>不重复</v>
      </c>
    </row>
    <row r="1530" spans="1:12" ht="27">
      <c r="A1530" s="35" t="s">
        <v>11937</v>
      </c>
      <c r="B1530" s="35" t="s">
        <v>4349</v>
      </c>
      <c r="C1530" s="36" t="s">
        <v>4350</v>
      </c>
      <c r="D1530" s="35" t="s">
        <v>4351</v>
      </c>
      <c r="E1530" s="35" t="s">
        <v>11878</v>
      </c>
      <c r="F1530" s="35" t="s">
        <v>11143</v>
      </c>
      <c r="G1530" s="35">
        <v>241259</v>
      </c>
      <c r="H1530" s="35">
        <v>280050</v>
      </c>
      <c r="I1530" s="35">
        <v>200007</v>
      </c>
      <c r="J1530" s="34" t="s">
        <v>4352</v>
      </c>
      <c r="K1530" s="34" t="str">
        <f t="shared" si="49"/>
        <v>不重复</v>
      </c>
      <c r="L1530" s="34" t="str">
        <f t="shared" si="50"/>
        <v>不重复</v>
      </c>
    </row>
    <row r="1531" spans="1:12" ht="27">
      <c r="A1531" s="35" t="s">
        <v>11938</v>
      </c>
      <c r="B1531" s="35" t="s">
        <v>4353</v>
      </c>
      <c r="C1531" s="36" t="s">
        <v>4354</v>
      </c>
      <c r="D1531" s="35" t="s">
        <v>4355</v>
      </c>
      <c r="E1531" s="35" t="s">
        <v>11878</v>
      </c>
      <c r="F1531" s="35" t="s">
        <v>11143</v>
      </c>
      <c r="G1531" s="35">
        <v>241260</v>
      </c>
      <c r="H1531" s="35">
        <v>280050</v>
      </c>
      <c r="I1531" s="35">
        <v>200007</v>
      </c>
      <c r="J1531" s="34" t="s">
        <v>1143</v>
      </c>
      <c r="K1531" s="34" t="str">
        <f t="shared" si="49"/>
        <v>不重复</v>
      </c>
      <c r="L1531" s="34" t="str">
        <f t="shared" si="50"/>
        <v>不重复</v>
      </c>
    </row>
    <row r="1532" spans="1:12" ht="30">
      <c r="A1532" s="35" t="s">
        <v>11939</v>
      </c>
      <c r="B1532" s="35" t="s">
        <v>4356</v>
      </c>
      <c r="C1532" s="36" t="s">
        <v>3040</v>
      </c>
      <c r="D1532" s="35" t="s">
        <v>4357</v>
      </c>
      <c r="E1532" s="35" t="s">
        <v>11878</v>
      </c>
      <c r="F1532" s="35" t="s">
        <v>11143</v>
      </c>
      <c r="G1532" s="35">
        <v>241261</v>
      </c>
      <c r="H1532" s="35">
        <v>280050</v>
      </c>
      <c r="I1532" s="35">
        <v>200007</v>
      </c>
      <c r="J1532" s="34" t="s">
        <v>406</v>
      </c>
      <c r="K1532" s="34" t="str">
        <f t="shared" si="49"/>
        <v>重复</v>
      </c>
      <c r="L1532" s="34" t="str">
        <f t="shared" si="50"/>
        <v>不重复</v>
      </c>
    </row>
    <row r="1533" spans="1:12" ht="30">
      <c r="A1533" s="35" t="s">
        <v>11940</v>
      </c>
      <c r="B1533" s="35" t="s">
        <v>4358</v>
      </c>
      <c r="C1533" s="36" t="s">
        <v>4359</v>
      </c>
      <c r="D1533" s="35" t="s">
        <v>4360</v>
      </c>
      <c r="E1533" s="35" t="s">
        <v>11878</v>
      </c>
      <c r="F1533" s="35" t="s">
        <v>11143</v>
      </c>
      <c r="G1533" s="35">
        <v>241262</v>
      </c>
      <c r="H1533" s="35">
        <v>280050</v>
      </c>
      <c r="I1533" s="35">
        <v>200007</v>
      </c>
      <c r="J1533" s="34" t="s">
        <v>4361</v>
      </c>
      <c r="K1533" s="34" t="str">
        <f t="shared" si="49"/>
        <v>重复</v>
      </c>
      <c r="L1533" s="34" t="str">
        <f t="shared" si="50"/>
        <v>不重复</v>
      </c>
    </row>
    <row r="1534" spans="1:12" ht="15">
      <c r="A1534" s="35" t="s">
        <v>11941</v>
      </c>
      <c r="B1534" s="35" t="s">
        <v>4362</v>
      </c>
      <c r="C1534" s="36" t="s">
        <v>4192</v>
      </c>
      <c r="D1534" s="35" t="s">
        <v>4363</v>
      </c>
      <c r="E1534" s="35" t="s">
        <v>11878</v>
      </c>
      <c r="F1534" s="35" t="s">
        <v>11143</v>
      </c>
      <c r="G1534" s="35">
        <v>241263</v>
      </c>
      <c r="H1534" s="35">
        <v>280050</v>
      </c>
      <c r="I1534" s="35">
        <v>200007</v>
      </c>
      <c r="J1534" s="34" t="s">
        <v>311</v>
      </c>
      <c r="K1534" s="34" t="str">
        <f t="shared" si="49"/>
        <v>重复</v>
      </c>
      <c r="L1534" s="34" t="str">
        <f t="shared" si="50"/>
        <v>不重复</v>
      </c>
    </row>
    <row r="1535" spans="1:12" ht="30">
      <c r="A1535" s="35" t="s">
        <v>11942</v>
      </c>
      <c r="B1535" s="35" t="s">
        <v>4364</v>
      </c>
      <c r="C1535" s="36" t="s">
        <v>4365</v>
      </c>
      <c r="D1535" s="35" t="s">
        <v>4366</v>
      </c>
      <c r="E1535" s="35" t="s">
        <v>11878</v>
      </c>
      <c r="F1535" s="35" t="s">
        <v>11143</v>
      </c>
      <c r="G1535" s="35">
        <v>241264</v>
      </c>
      <c r="H1535" s="35">
        <v>280050</v>
      </c>
      <c r="I1535" s="35">
        <v>200007</v>
      </c>
      <c r="J1535" s="34" t="s">
        <v>2585</v>
      </c>
      <c r="K1535" s="34" t="str">
        <f t="shared" si="49"/>
        <v>不重复</v>
      </c>
      <c r="L1535" s="34" t="str">
        <f t="shared" si="50"/>
        <v>不重复</v>
      </c>
    </row>
    <row r="1536" spans="1:12" ht="30">
      <c r="A1536" s="35" t="s">
        <v>11943</v>
      </c>
      <c r="B1536" s="35" t="s">
        <v>4367</v>
      </c>
      <c r="C1536" s="36" t="s">
        <v>3979</v>
      </c>
      <c r="D1536" s="35" t="s">
        <v>4368</v>
      </c>
      <c r="E1536" s="35" t="s">
        <v>11878</v>
      </c>
      <c r="F1536" s="35" t="s">
        <v>11143</v>
      </c>
      <c r="G1536" s="35">
        <v>241265</v>
      </c>
      <c r="H1536" s="35">
        <v>280050</v>
      </c>
      <c r="I1536" s="35">
        <v>200007</v>
      </c>
      <c r="J1536" s="34" t="s">
        <v>1057</v>
      </c>
      <c r="K1536" s="34" t="str">
        <f t="shared" si="49"/>
        <v>重复</v>
      </c>
      <c r="L1536" s="34" t="str">
        <f t="shared" si="50"/>
        <v>不重复</v>
      </c>
    </row>
    <row r="1537" spans="1:12" ht="30">
      <c r="A1537" s="35" t="s">
        <v>11944</v>
      </c>
      <c r="B1537" s="35" t="s">
        <v>4369</v>
      </c>
      <c r="C1537" s="36" t="s">
        <v>4370</v>
      </c>
      <c r="D1537" s="35" t="s">
        <v>2909</v>
      </c>
      <c r="E1537" s="35" t="s">
        <v>11878</v>
      </c>
      <c r="F1537" s="35" t="s">
        <v>11143</v>
      </c>
      <c r="G1537" s="35">
        <v>241266</v>
      </c>
      <c r="H1537" s="35">
        <v>280050</v>
      </c>
      <c r="I1537" s="35">
        <v>200007</v>
      </c>
      <c r="J1537" s="34" t="s">
        <v>4274</v>
      </c>
      <c r="K1537" s="34" t="str">
        <f t="shared" si="49"/>
        <v>不重复</v>
      </c>
      <c r="L1537" s="34" t="str">
        <f t="shared" si="50"/>
        <v>重复</v>
      </c>
    </row>
    <row r="1538" spans="1:12" ht="30">
      <c r="A1538" s="35" t="s">
        <v>11945</v>
      </c>
      <c r="B1538" s="35" t="s">
        <v>4371</v>
      </c>
      <c r="C1538" s="36" t="s">
        <v>4372</v>
      </c>
      <c r="D1538" s="35" t="s">
        <v>4373</v>
      </c>
      <c r="E1538" s="35" t="s">
        <v>11878</v>
      </c>
      <c r="F1538" s="35" t="s">
        <v>11143</v>
      </c>
      <c r="G1538" s="35">
        <v>241267</v>
      </c>
      <c r="H1538" s="35">
        <v>280050</v>
      </c>
      <c r="I1538" s="35">
        <v>200007</v>
      </c>
      <c r="J1538" s="34" t="s">
        <v>2585</v>
      </c>
      <c r="K1538" s="34" t="str">
        <f t="shared" si="49"/>
        <v>不重复</v>
      </c>
      <c r="L1538" s="34" t="str">
        <f t="shared" si="50"/>
        <v>不重复</v>
      </c>
    </row>
    <row r="1539" spans="1:12" ht="30">
      <c r="A1539" s="35" t="s">
        <v>11946</v>
      </c>
      <c r="B1539" s="35" t="s">
        <v>4374</v>
      </c>
      <c r="C1539" s="36" t="s">
        <v>2583</v>
      </c>
      <c r="D1539" s="35" t="s">
        <v>4375</v>
      </c>
      <c r="E1539" s="35" t="s">
        <v>11878</v>
      </c>
      <c r="F1539" s="35" t="s">
        <v>11143</v>
      </c>
      <c r="G1539" s="35">
        <v>241268</v>
      </c>
      <c r="H1539" s="35">
        <v>280050</v>
      </c>
      <c r="I1539" s="35">
        <v>200007</v>
      </c>
      <c r="J1539" s="34" t="s">
        <v>2874</v>
      </c>
      <c r="K1539" s="34" t="str">
        <f t="shared" si="49"/>
        <v>重复</v>
      </c>
      <c r="L1539" s="34" t="str">
        <f t="shared" si="50"/>
        <v>重复</v>
      </c>
    </row>
    <row r="1540" spans="1:12" ht="30">
      <c r="A1540" s="35" t="s">
        <v>11947</v>
      </c>
      <c r="B1540" s="35" t="s">
        <v>4374</v>
      </c>
      <c r="C1540" s="36" t="s">
        <v>4376</v>
      </c>
      <c r="D1540" s="35" t="s">
        <v>4375</v>
      </c>
      <c r="E1540" s="35" t="s">
        <v>11878</v>
      </c>
      <c r="F1540" s="35" t="s">
        <v>11143</v>
      </c>
      <c r="G1540" s="35">
        <v>241269</v>
      </c>
      <c r="H1540" s="35">
        <v>280050</v>
      </c>
      <c r="I1540" s="35">
        <v>200007</v>
      </c>
      <c r="J1540" s="34" t="s">
        <v>2874</v>
      </c>
      <c r="K1540" s="34" t="str">
        <f t="shared" si="49"/>
        <v>重复</v>
      </c>
      <c r="L1540" s="34" t="str">
        <f t="shared" si="50"/>
        <v>重复</v>
      </c>
    </row>
    <row r="1541" spans="1:12" ht="40.5">
      <c r="A1541" s="35" t="s">
        <v>11948</v>
      </c>
      <c r="B1541" s="35" t="s">
        <v>4374</v>
      </c>
      <c r="C1541" s="36" t="s">
        <v>2583</v>
      </c>
      <c r="D1541" s="35" t="s">
        <v>4375</v>
      </c>
      <c r="E1541" s="35" t="s">
        <v>11878</v>
      </c>
      <c r="F1541" s="35" t="s">
        <v>11143</v>
      </c>
      <c r="G1541" s="35">
        <v>241270</v>
      </c>
      <c r="H1541" s="35">
        <v>280050</v>
      </c>
      <c r="I1541" s="35">
        <v>200007</v>
      </c>
      <c r="J1541" s="34" t="s">
        <v>2874</v>
      </c>
      <c r="K1541" s="34" t="str">
        <f t="shared" si="49"/>
        <v>重复</v>
      </c>
      <c r="L1541" s="34" t="str">
        <f t="shared" si="50"/>
        <v>重复</v>
      </c>
    </row>
    <row r="1542" spans="1:12" ht="30">
      <c r="A1542" s="35" t="s">
        <v>11949</v>
      </c>
      <c r="B1542" s="35" t="s">
        <v>4377</v>
      </c>
      <c r="C1542" s="36" t="s">
        <v>3162</v>
      </c>
      <c r="D1542" s="35" t="s">
        <v>3157</v>
      </c>
      <c r="E1542" s="35" t="s">
        <v>11878</v>
      </c>
      <c r="F1542" s="35" t="s">
        <v>11143</v>
      </c>
      <c r="G1542" s="35">
        <v>241271</v>
      </c>
      <c r="H1542" s="35">
        <v>280050</v>
      </c>
      <c r="I1542" s="35">
        <v>200007</v>
      </c>
      <c r="J1542" s="34" t="s">
        <v>3678</v>
      </c>
      <c r="K1542" s="34" t="str">
        <f t="shared" si="49"/>
        <v>重复</v>
      </c>
      <c r="L1542" s="34" t="str">
        <f t="shared" si="50"/>
        <v>重复</v>
      </c>
    </row>
    <row r="1543" spans="1:12" ht="27">
      <c r="A1543" s="35" t="s">
        <v>11950</v>
      </c>
      <c r="B1543" s="35" t="s">
        <v>4378</v>
      </c>
      <c r="C1543" s="36" t="s">
        <v>2733</v>
      </c>
      <c r="D1543" s="35" t="s">
        <v>2594</v>
      </c>
      <c r="E1543" s="35" t="s">
        <v>11878</v>
      </c>
      <c r="F1543" s="35" t="s">
        <v>11143</v>
      </c>
      <c r="G1543" s="35">
        <v>241272</v>
      </c>
      <c r="H1543" s="35">
        <v>280050</v>
      </c>
      <c r="I1543" s="35">
        <v>200007</v>
      </c>
      <c r="J1543" s="34" t="s">
        <v>2874</v>
      </c>
      <c r="K1543" s="34" t="str">
        <f t="shared" si="49"/>
        <v>重复</v>
      </c>
      <c r="L1543" s="34" t="str">
        <f t="shared" si="50"/>
        <v>重复</v>
      </c>
    </row>
    <row r="1544" spans="1:12" ht="30">
      <c r="A1544" s="35" t="s">
        <v>11951</v>
      </c>
      <c r="B1544" s="35" t="s">
        <v>4379</v>
      </c>
      <c r="C1544" s="36" t="s">
        <v>4380</v>
      </c>
      <c r="D1544" s="35" t="s">
        <v>4381</v>
      </c>
      <c r="E1544" s="35" t="s">
        <v>11878</v>
      </c>
      <c r="F1544" s="35" t="s">
        <v>11143</v>
      </c>
      <c r="G1544" s="35">
        <v>241273</v>
      </c>
      <c r="H1544" s="35">
        <v>280050</v>
      </c>
      <c r="I1544" s="35">
        <v>200007</v>
      </c>
      <c r="J1544" s="34" t="s">
        <v>1143</v>
      </c>
      <c r="K1544" s="34" t="str">
        <f t="shared" si="49"/>
        <v>重复</v>
      </c>
      <c r="L1544" s="34" t="str">
        <f t="shared" si="50"/>
        <v>不重复</v>
      </c>
    </row>
    <row r="1545" spans="1:12" ht="30">
      <c r="A1545" s="35" t="s">
        <v>11952</v>
      </c>
      <c r="B1545" s="35" t="s">
        <v>4382</v>
      </c>
      <c r="C1545" s="36" t="s">
        <v>4383</v>
      </c>
      <c r="D1545" s="35" t="s">
        <v>2887</v>
      </c>
      <c r="E1545" s="35" t="s">
        <v>11878</v>
      </c>
      <c r="F1545" s="35" t="s">
        <v>11143</v>
      </c>
      <c r="G1545" s="35">
        <v>241274</v>
      </c>
      <c r="H1545" s="35">
        <v>280050</v>
      </c>
      <c r="I1545" s="35">
        <v>200007</v>
      </c>
      <c r="J1545" s="34" t="s">
        <v>3820</v>
      </c>
      <c r="K1545" s="34" t="str">
        <f t="shared" si="49"/>
        <v>重复</v>
      </c>
      <c r="L1545" s="34" t="str">
        <f t="shared" si="50"/>
        <v>重复</v>
      </c>
    </row>
    <row r="1546" spans="1:12" ht="30">
      <c r="A1546" s="35" t="s">
        <v>11953</v>
      </c>
      <c r="B1546" s="35" t="s">
        <v>4384</v>
      </c>
      <c r="C1546" s="36" t="s">
        <v>3151</v>
      </c>
      <c r="D1546" s="35" t="s">
        <v>3152</v>
      </c>
      <c r="E1546" s="35" t="s">
        <v>11878</v>
      </c>
      <c r="F1546" s="35" t="s">
        <v>11143</v>
      </c>
      <c r="G1546" s="35">
        <v>241275</v>
      </c>
      <c r="H1546" s="35">
        <v>280050</v>
      </c>
      <c r="I1546" s="35">
        <v>200007</v>
      </c>
      <c r="J1546" s="34" t="s">
        <v>557</v>
      </c>
      <c r="K1546" s="34" t="str">
        <f t="shared" si="49"/>
        <v>重复</v>
      </c>
      <c r="L1546" s="34" t="str">
        <f t="shared" si="50"/>
        <v>重复</v>
      </c>
    </row>
    <row r="1547" spans="1:12" ht="15">
      <c r="A1547" s="35" t="s">
        <v>11954</v>
      </c>
      <c r="B1547" s="35" t="s">
        <v>4385</v>
      </c>
      <c r="C1547" s="36" t="s">
        <v>4386</v>
      </c>
      <c r="D1547" s="35" t="s">
        <v>4387</v>
      </c>
      <c r="E1547" s="35" t="s">
        <v>11954</v>
      </c>
      <c r="F1547" s="35" t="s">
        <v>11955</v>
      </c>
      <c r="G1547" s="35">
        <v>250100</v>
      </c>
      <c r="H1547" s="35">
        <v>290000</v>
      </c>
      <c r="I1547" s="35">
        <v>200008</v>
      </c>
      <c r="J1547" s="34" t="s">
        <v>16</v>
      </c>
      <c r="K1547" s="34" t="str">
        <f t="shared" si="49"/>
        <v>不重复</v>
      </c>
      <c r="L1547" s="34" t="str">
        <f t="shared" si="50"/>
        <v>重复</v>
      </c>
    </row>
    <row r="1548" spans="1:12" ht="15">
      <c r="A1548" s="35" t="s">
        <v>11956</v>
      </c>
      <c r="B1548" s="35" t="s">
        <v>4388</v>
      </c>
      <c r="C1548" s="36" t="s">
        <v>4389</v>
      </c>
      <c r="D1548" s="35" t="s">
        <v>4390</v>
      </c>
      <c r="E1548" s="35" t="s">
        <v>11957</v>
      </c>
      <c r="F1548" s="35" t="s">
        <v>11955</v>
      </c>
      <c r="G1548" s="35">
        <v>250101</v>
      </c>
      <c r="H1548" s="35">
        <v>290010</v>
      </c>
      <c r="I1548" s="35">
        <v>200008</v>
      </c>
      <c r="J1548" s="34" t="s">
        <v>3058</v>
      </c>
      <c r="K1548" s="34" t="str">
        <f t="shared" si="49"/>
        <v>重复</v>
      </c>
      <c r="L1548" s="34" t="str">
        <f t="shared" si="50"/>
        <v>不重复</v>
      </c>
    </row>
    <row r="1549" spans="1:12" ht="15">
      <c r="A1549" s="35" t="s">
        <v>11958</v>
      </c>
      <c r="B1549" s="35" t="s">
        <v>4391</v>
      </c>
      <c r="C1549" s="36" t="s">
        <v>4392</v>
      </c>
      <c r="D1549" s="35" t="s">
        <v>4393</v>
      </c>
      <c r="E1549" s="35" t="s">
        <v>11957</v>
      </c>
      <c r="F1549" s="35" t="s">
        <v>11955</v>
      </c>
      <c r="G1549" s="35">
        <v>250102</v>
      </c>
      <c r="H1549" s="35">
        <v>290010</v>
      </c>
      <c r="I1549" s="35">
        <v>200008</v>
      </c>
      <c r="J1549" s="34" t="s">
        <v>4394</v>
      </c>
      <c r="K1549" s="34" t="str">
        <f t="shared" si="49"/>
        <v>不重复</v>
      </c>
      <c r="L1549" s="34" t="str">
        <f t="shared" si="50"/>
        <v>不重复</v>
      </c>
    </row>
    <row r="1550" spans="1:12" ht="15">
      <c r="A1550" s="35" t="s">
        <v>11959</v>
      </c>
      <c r="B1550" s="35" t="s">
        <v>4395</v>
      </c>
      <c r="C1550" s="36" t="s">
        <v>4396</v>
      </c>
      <c r="D1550" s="35" t="s">
        <v>4397</v>
      </c>
      <c r="E1550" s="35" t="s">
        <v>11957</v>
      </c>
      <c r="F1550" s="35" t="s">
        <v>11955</v>
      </c>
      <c r="G1550" s="35">
        <v>250103</v>
      </c>
      <c r="H1550" s="35">
        <v>290010</v>
      </c>
      <c r="I1550" s="35">
        <v>200008</v>
      </c>
      <c r="J1550" s="34" t="s">
        <v>878</v>
      </c>
      <c r="K1550" s="34" t="str">
        <f t="shared" si="49"/>
        <v>不重复</v>
      </c>
      <c r="L1550" s="34" t="str">
        <f t="shared" si="50"/>
        <v>不重复</v>
      </c>
    </row>
    <row r="1551" spans="1:12" ht="15">
      <c r="A1551" s="35" t="s">
        <v>11960</v>
      </c>
      <c r="B1551" s="35" t="s">
        <v>4398</v>
      </c>
      <c r="C1551" s="36" t="s">
        <v>4399</v>
      </c>
      <c r="D1551" s="35" t="s">
        <v>4400</v>
      </c>
      <c r="E1551" s="35" t="s">
        <v>11957</v>
      </c>
      <c r="F1551" s="35" t="s">
        <v>11955</v>
      </c>
      <c r="G1551" s="35">
        <v>250104</v>
      </c>
      <c r="H1551" s="35">
        <v>290010</v>
      </c>
      <c r="I1551" s="35">
        <v>200008</v>
      </c>
      <c r="J1551" s="34" t="s">
        <v>3221</v>
      </c>
      <c r="K1551" s="34" t="str">
        <f t="shared" si="49"/>
        <v>重复</v>
      </c>
      <c r="L1551" s="34" t="str">
        <f t="shared" si="50"/>
        <v>不重复</v>
      </c>
    </row>
    <row r="1552" spans="1:12" ht="15">
      <c r="A1552" s="35" t="s">
        <v>11961</v>
      </c>
      <c r="B1552" s="35" t="s">
        <v>4401</v>
      </c>
      <c r="C1552" s="36" t="s">
        <v>4402</v>
      </c>
      <c r="D1552" s="35" t="s">
        <v>4403</v>
      </c>
      <c r="E1552" s="35" t="s">
        <v>11957</v>
      </c>
      <c r="F1552" s="35" t="s">
        <v>11955</v>
      </c>
      <c r="G1552" s="35">
        <v>250105</v>
      </c>
      <c r="H1552" s="35">
        <v>290010</v>
      </c>
      <c r="I1552" s="35">
        <v>200008</v>
      </c>
      <c r="J1552" s="34" t="s">
        <v>531</v>
      </c>
      <c r="K1552" s="34" t="str">
        <f t="shared" si="49"/>
        <v>不重复</v>
      </c>
      <c r="L1552" s="34" t="str">
        <f t="shared" si="50"/>
        <v>重复</v>
      </c>
    </row>
    <row r="1553" spans="1:12" ht="15">
      <c r="A1553" s="35" t="s">
        <v>11962</v>
      </c>
      <c r="B1553" s="35" t="s">
        <v>4404</v>
      </c>
      <c r="C1553" s="36" t="s">
        <v>4405</v>
      </c>
      <c r="D1553" s="35" t="s">
        <v>4406</v>
      </c>
      <c r="E1553" s="35" t="s">
        <v>11957</v>
      </c>
      <c r="F1553" s="35" t="s">
        <v>11955</v>
      </c>
      <c r="G1553" s="35">
        <v>250106</v>
      </c>
      <c r="H1553" s="35">
        <v>290010</v>
      </c>
      <c r="I1553" s="35">
        <v>200008</v>
      </c>
      <c r="J1553" s="34" t="s">
        <v>152</v>
      </c>
      <c r="K1553" s="34" t="str">
        <f t="shared" si="49"/>
        <v>不重复</v>
      </c>
      <c r="L1553" s="34" t="str">
        <f t="shared" si="50"/>
        <v>重复</v>
      </c>
    </row>
    <row r="1554" spans="1:12" ht="15">
      <c r="A1554" s="35" t="s">
        <v>11963</v>
      </c>
      <c r="B1554" s="35" t="s">
        <v>4407</v>
      </c>
      <c r="C1554" s="36" t="s">
        <v>4408</v>
      </c>
      <c r="D1554" s="35" t="s">
        <v>4409</v>
      </c>
      <c r="E1554" s="35" t="s">
        <v>11957</v>
      </c>
      <c r="F1554" s="35" t="s">
        <v>11955</v>
      </c>
      <c r="G1554" s="35">
        <v>250107</v>
      </c>
      <c r="H1554" s="35">
        <v>290010</v>
      </c>
      <c r="I1554" s="35">
        <v>200008</v>
      </c>
      <c r="J1554" s="34" t="s">
        <v>152</v>
      </c>
      <c r="K1554" s="34" t="str">
        <f t="shared" si="49"/>
        <v>不重复</v>
      </c>
      <c r="L1554" s="34" t="str">
        <f t="shared" si="50"/>
        <v>不重复</v>
      </c>
    </row>
    <row r="1555" spans="1:12" ht="15">
      <c r="A1555" s="35" t="s">
        <v>11964</v>
      </c>
      <c r="B1555" s="35" t="s">
        <v>4410</v>
      </c>
      <c r="C1555" s="36" t="s">
        <v>4411</v>
      </c>
      <c r="D1555" s="35" t="s">
        <v>4406</v>
      </c>
      <c r="E1555" s="35" t="s">
        <v>11957</v>
      </c>
      <c r="F1555" s="35" t="s">
        <v>11955</v>
      </c>
      <c r="G1555" s="35">
        <v>250108</v>
      </c>
      <c r="H1555" s="35">
        <v>290010</v>
      </c>
      <c r="I1555" s="35">
        <v>200008</v>
      </c>
      <c r="J1555" s="34" t="s">
        <v>557</v>
      </c>
      <c r="K1555" s="34" t="str">
        <f t="shared" si="49"/>
        <v>不重复</v>
      </c>
      <c r="L1555" s="34" t="str">
        <f t="shared" si="50"/>
        <v>重复</v>
      </c>
    </row>
    <row r="1556" spans="1:12" ht="15">
      <c r="A1556" s="35" t="s">
        <v>11965</v>
      </c>
      <c r="B1556" s="35" t="s">
        <v>4412</v>
      </c>
      <c r="C1556" s="36" t="s">
        <v>4413</v>
      </c>
      <c r="D1556" s="35" t="s">
        <v>4414</v>
      </c>
      <c r="E1556" s="35" t="s">
        <v>11957</v>
      </c>
      <c r="F1556" s="35" t="s">
        <v>11955</v>
      </c>
      <c r="G1556" s="35">
        <v>250109</v>
      </c>
      <c r="H1556" s="35">
        <v>290010</v>
      </c>
      <c r="I1556" s="35">
        <v>200008</v>
      </c>
      <c r="J1556" s="34" t="s">
        <v>557</v>
      </c>
      <c r="K1556" s="34" t="str">
        <f t="shared" si="49"/>
        <v>不重复</v>
      </c>
      <c r="L1556" s="34" t="str">
        <f t="shared" si="50"/>
        <v>不重复</v>
      </c>
    </row>
    <row r="1557" spans="1:12" ht="27">
      <c r="A1557" s="35" t="s">
        <v>11966</v>
      </c>
      <c r="B1557" s="35" t="s">
        <v>4415</v>
      </c>
      <c r="C1557" s="36" t="s">
        <v>4416</v>
      </c>
      <c r="D1557" s="35" t="s">
        <v>4417</v>
      </c>
      <c r="E1557" s="35" t="s">
        <v>11957</v>
      </c>
      <c r="F1557" s="35" t="s">
        <v>11955</v>
      </c>
      <c r="G1557" s="35">
        <v>250110</v>
      </c>
      <c r="H1557" s="35">
        <v>290010</v>
      </c>
      <c r="I1557" s="35">
        <v>200008</v>
      </c>
      <c r="J1557" s="34" t="s">
        <v>270</v>
      </c>
      <c r="K1557" s="34" t="str">
        <f t="shared" si="49"/>
        <v>不重复</v>
      </c>
      <c r="L1557" s="34" t="str">
        <f t="shared" si="50"/>
        <v>不重复</v>
      </c>
    </row>
    <row r="1558" spans="1:12" ht="27">
      <c r="A1558" s="35" t="s">
        <v>11967</v>
      </c>
      <c r="B1558" s="35" t="s">
        <v>4418</v>
      </c>
      <c r="C1558" s="36" t="s">
        <v>4419</v>
      </c>
      <c r="D1558" s="35" t="s">
        <v>4420</v>
      </c>
      <c r="E1558" s="35" t="s">
        <v>11957</v>
      </c>
      <c r="F1558" s="35" t="s">
        <v>11955</v>
      </c>
      <c r="G1558" s="35">
        <v>250111</v>
      </c>
      <c r="H1558" s="35">
        <v>290010</v>
      </c>
      <c r="I1558" s="35">
        <v>200008</v>
      </c>
      <c r="J1558" s="34" t="s">
        <v>458</v>
      </c>
      <c r="K1558" s="34" t="str">
        <f t="shared" si="51" ref="K1558:K1621">IF(COUNTIF(C:C,C1558)&gt;=2,"重复","不重复")</f>
        <v>不重复</v>
      </c>
      <c r="L1558" s="34" t="str">
        <f t="shared" si="50"/>
        <v>不重复</v>
      </c>
    </row>
    <row r="1559" spans="1:12" ht="15">
      <c r="A1559" s="35" t="s">
        <v>11968</v>
      </c>
      <c r="B1559" s="35" t="s">
        <v>4421</v>
      </c>
      <c r="C1559" s="36" t="s">
        <v>4422</v>
      </c>
      <c r="D1559" s="35" t="s">
        <v>4423</v>
      </c>
      <c r="E1559" s="35" t="s">
        <v>11957</v>
      </c>
      <c r="F1559" s="35" t="s">
        <v>11955</v>
      </c>
      <c r="G1559" s="35">
        <v>250112</v>
      </c>
      <c r="H1559" s="35">
        <v>290010</v>
      </c>
      <c r="I1559" s="35">
        <v>200008</v>
      </c>
      <c r="J1559" s="34" t="s">
        <v>668</v>
      </c>
      <c r="K1559" s="34" t="str">
        <f t="shared" si="51"/>
        <v>不重复</v>
      </c>
      <c r="L1559" s="34" t="str">
        <f t="shared" si="50"/>
        <v>不重复</v>
      </c>
    </row>
    <row r="1560" spans="1:12" ht="30">
      <c r="A1560" s="35" t="s">
        <v>11969</v>
      </c>
      <c r="B1560" s="35" t="s">
        <v>4424</v>
      </c>
      <c r="C1560" s="36" t="s">
        <v>4425</v>
      </c>
      <c r="D1560" s="35" t="s">
        <v>4426</v>
      </c>
      <c r="E1560" s="35" t="s">
        <v>11957</v>
      </c>
      <c r="F1560" s="35" t="s">
        <v>11955</v>
      </c>
      <c r="G1560" s="35">
        <v>250113</v>
      </c>
      <c r="H1560" s="35">
        <v>290010</v>
      </c>
      <c r="I1560" s="35">
        <v>200008</v>
      </c>
      <c r="J1560" s="34" t="s">
        <v>363</v>
      </c>
      <c r="K1560" s="34" t="str">
        <f t="shared" si="51"/>
        <v>不重复</v>
      </c>
      <c r="L1560" s="34" t="str">
        <f t="shared" si="50"/>
        <v>不重复</v>
      </c>
    </row>
    <row r="1561" spans="1:12" ht="15">
      <c r="A1561" s="35" t="s">
        <v>11970</v>
      </c>
      <c r="B1561" s="35" t="s">
        <v>4427</v>
      </c>
      <c r="C1561" s="36" t="s">
        <v>4428</v>
      </c>
      <c r="D1561" s="35" t="s">
        <v>4429</v>
      </c>
      <c r="E1561" s="35" t="s">
        <v>11970</v>
      </c>
      <c r="F1561" s="35" t="s">
        <v>11955</v>
      </c>
      <c r="G1561" s="35">
        <v>250200</v>
      </c>
      <c r="H1561" s="35">
        <v>290020</v>
      </c>
      <c r="I1561" s="35">
        <v>200008</v>
      </c>
      <c r="J1561" s="34" t="s">
        <v>16</v>
      </c>
      <c r="K1561" s="34" t="str">
        <f t="shared" si="51"/>
        <v>不重复</v>
      </c>
      <c r="L1561" s="34" t="str">
        <f t="shared" si="50"/>
        <v>不重复</v>
      </c>
    </row>
    <row r="1562" spans="1:12" ht="15">
      <c r="A1562" s="35" t="s">
        <v>11971</v>
      </c>
      <c r="B1562" s="35" t="s">
        <v>4430</v>
      </c>
      <c r="C1562" s="36" t="s">
        <v>4431</v>
      </c>
      <c r="D1562" s="35" t="s">
        <v>4432</v>
      </c>
      <c r="E1562" s="35" t="s">
        <v>11972</v>
      </c>
      <c r="F1562" s="35" t="s">
        <v>11955</v>
      </c>
      <c r="G1562" s="35">
        <v>250201</v>
      </c>
      <c r="H1562" s="35">
        <v>290020</v>
      </c>
      <c r="I1562" s="35">
        <v>200008</v>
      </c>
      <c r="J1562" s="34" t="s">
        <v>89</v>
      </c>
      <c r="K1562" s="34" t="str">
        <f t="shared" si="51"/>
        <v>重复</v>
      </c>
      <c r="L1562" s="34" t="str">
        <f t="shared" si="50"/>
        <v>不重复</v>
      </c>
    </row>
    <row r="1563" spans="1:12" ht="15">
      <c r="A1563" s="35" t="s">
        <v>11973</v>
      </c>
      <c r="B1563" s="35" t="s">
        <v>4433</v>
      </c>
      <c r="C1563" s="36" t="s">
        <v>4434</v>
      </c>
      <c r="D1563" s="35" t="s">
        <v>4435</v>
      </c>
      <c r="E1563" s="35" t="s">
        <v>11973</v>
      </c>
      <c r="F1563" s="35" t="s">
        <v>11955</v>
      </c>
      <c r="G1563" s="35">
        <v>250300</v>
      </c>
      <c r="H1563" s="35">
        <v>290030</v>
      </c>
      <c r="I1563" s="35">
        <v>200008</v>
      </c>
      <c r="J1563" s="34" t="s">
        <v>16</v>
      </c>
      <c r="K1563" s="34" t="str">
        <f t="shared" si="51"/>
        <v>不重复</v>
      </c>
      <c r="L1563" s="34" t="str">
        <f t="shared" si="50"/>
        <v>不重复</v>
      </c>
    </row>
    <row r="1564" spans="1:12" ht="15">
      <c r="A1564" s="35" t="s">
        <v>11974</v>
      </c>
      <c r="B1564" s="35" t="s">
        <v>4436</v>
      </c>
      <c r="C1564" s="36" t="s">
        <v>2930</v>
      </c>
      <c r="D1564" s="35" t="s">
        <v>4437</v>
      </c>
      <c r="E1564" s="35" t="s">
        <v>11973</v>
      </c>
      <c r="F1564" s="35" t="s">
        <v>11955</v>
      </c>
      <c r="G1564" s="35">
        <v>250301</v>
      </c>
      <c r="H1564" s="35">
        <v>290030</v>
      </c>
      <c r="I1564" s="35">
        <v>200008</v>
      </c>
      <c r="J1564" s="34" t="s">
        <v>2839</v>
      </c>
      <c r="K1564" s="34" t="str">
        <f t="shared" si="51"/>
        <v>重复</v>
      </c>
      <c r="L1564" s="34" t="str">
        <f t="shared" si="50"/>
        <v>不重复</v>
      </c>
    </row>
    <row r="1565" spans="1:12" ht="15">
      <c r="A1565" s="35" t="s">
        <v>11975</v>
      </c>
      <c r="B1565" s="35" t="s">
        <v>4438</v>
      </c>
      <c r="C1565" s="36" t="s">
        <v>4439</v>
      </c>
      <c r="D1565" s="35" t="s">
        <v>3329</v>
      </c>
      <c r="E1565" s="35" t="s">
        <v>11973</v>
      </c>
      <c r="F1565" s="35" t="s">
        <v>11955</v>
      </c>
      <c r="G1565" s="35">
        <v>250302</v>
      </c>
      <c r="H1565" s="35">
        <v>290030</v>
      </c>
      <c r="I1565" s="35">
        <v>200008</v>
      </c>
      <c r="J1565" s="34" t="s">
        <v>2839</v>
      </c>
      <c r="K1565" s="34" t="str">
        <f t="shared" si="51"/>
        <v>不重复</v>
      </c>
      <c r="L1565" s="34" t="str">
        <f t="shared" si="50"/>
        <v>重复</v>
      </c>
    </row>
    <row r="1566" spans="1:12" ht="15">
      <c r="A1566" s="35" t="s">
        <v>11132</v>
      </c>
      <c r="B1566" s="35" t="s">
        <v>2250</v>
      </c>
      <c r="C1566" s="36" t="s">
        <v>2251</v>
      </c>
      <c r="D1566" s="35" t="s">
        <v>2252</v>
      </c>
      <c r="E1566" s="35" t="s">
        <v>11132</v>
      </c>
      <c r="F1566" s="35" t="s">
        <v>11955</v>
      </c>
      <c r="G1566" s="35">
        <v>250400</v>
      </c>
      <c r="H1566" s="35">
        <v>290040</v>
      </c>
      <c r="I1566" s="35">
        <v>200008</v>
      </c>
      <c r="J1566" s="34" t="s">
        <v>16</v>
      </c>
      <c r="K1566" s="34" t="str">
        <f t="shared" si="51"/>
        <v>重复</v>
      </c>
      <c r="L1566" s="34" t="str">
        <f t="shared" si="50"/>
        <v>重复</v>
      </c>
    </row>
    <row r="1567" spans="1:12" ht="15">
      <c r="A1567" s="35" t="s">
        <v>11976</v>
      </c>
      <c r="B1567" s="35" t="s">
        <v>4440</v>
      </c>
      <c r="C1567" s="36" t="s">
        <v>4441</v>
      </c>
      <c r="D1567" s="35" t="s">
        <v>4442</v>
      </c>
      <c r="E1567" s="35" t="s">
        <v>11132</v>
      </c>
      <c r="F1567" s="35" t="s">
        <v>11955</v>
      </c>
      <c r="G1567" s="35">
        <v>250401</v>
      </c>
      <c r="H1567" s="35">
        <v>290040</v>
      </c>
      <c r="I1567" s="35">
        <v>200008</v>
      </c>
      <c r="J1567" s="34" t="s">
        <v>985</v>
      </c>
      <c r="K1567" s="34" t="str">
        <f t="shared" si="51"/>
        <v>不重复</v>
      </c>
      <c r="L1567" s="34" t="str">
        <f t="shared" si="50"/>
        <v>不重复</v>
      </c>
    </row>
    <row r="1568" spans="1:12" ht="15">
      <c r="A1568" s="35" t="s">
        <v>11977</v>
      </c>
      <c r="B1568" s="35" t="s">
        <v>4443</v>
      </c>
      <c r="C1568" s="36" t="s">
        <v>4444</v>
      </c>
      <c r="D1568" s="35" t="s">
        <v>4445</v>
      </c>
      <c r="E1568" s="35" t="s">
        <v>11132</v>
      </c>
      <c r="F1568" s="35" t="s">
        <v>11955</v>
      </c>
      <c r="G1568" s="35">
        <v>250402</v>
      </c>
      <c r="H1568" s="35">
        <v>290040</v>
      </c>
      <c r="I1568" s="35">
        <v>200008</v>
      </c>
      <c r="J1568" s="34" t="s">
        <v>4446</v>
      </c>
      <c r="K1568" s="34" t="str">
        <f t="shared" si="51"/>
        <v>重复</v>
      </c>
      <c r="L1568" s="34" t="str">
        <f t="shared" si="50"/>
        <v>不重复</v>
      </c>
    </row>
    <row r="1569" spans="1:12" ht="15">
      <c r="A1569" s="35" t="s">
        <v>11978</v>
      </c>
      <c r="B1569" s="35" t="s">
        <v>4447</v>
      </c>
      <c r="C1569" s="36" t="s">
        <v>4448</v>
      </c>
      <c r="D1569" s="35" t="s">
        <v>4449</v>
      </c>
      <c r="E1569" s="35" t="s">
        <v>11978</v>
      </c>
      <c r="F1569" s="35" t="s">
        <v>11955</v>
      </c>
      <c r="G1569" s="35">
        <v>250500</v>
      </c>
      <c r="H1569" s="35">
        <v>290050</v>
      </c>
      <c r="I1569" s="35">
        <v>200008</v>
      </c>
      <c r="J1569" s="34" t="s">
        <v>16</v>
      </c>
      <c r="K1569" s="34" t="str">
        <f t="shared" si="51"/>
        <v>不重复</v>
      </c>
      <c r="L1569" s="34" t="str">
        <f t="shared" si="50"/>
        <v>不重复</v>
      </c>
    </row>
    <row r="1570" spans="1:12" ht="30">
      <c r="A1570" s="35" t="s">
        <v>11979</v>
      </c>
      <c r="B1570" s="35" t="s">
        <v>4450</v>
      </c>
      <c r="C1570" s="36" t="s">
        <v>4451</v>
      </c>
      <c r="D1570" s="35" t="s">
        <v>4452</v>
      </c>
      <c r="E1570" s="35" t="s">
        <v>11978</v>
      </c>
      <c r="F1570" s="35" t="s">
        <v>11955</v>
      </c>
      <c r="G1570" s="35">
        <v>250501</v>
      </c>
      <c r="H1570" s="35">
        <v>290050</v>
      </c>
      <c r="I1570" s="35">
        <v>200008</v>
      </c>
      <c r="J1570" s="34" t="s">
        <v>4453</v>
      </c>
      <c r="K1570" s="34" t="str">
        <f t="shared" si="51"/>
        <v>不重复</v>
      </c>
      <c r="L1570" s="34" t="str">
        <f t="shared" si="50"/>
        <v>不重复</v>
      </c>
    </row>
    <row r="1571" spans="1:12" ht="30">
      <c r="A1571" s="35" t="s">
        <v>11980</v>
      </c>
      <c r="B1571" s="35" t="s">
        <v>4454</v>
      </c>
      <c r="C1571" s="36" t="s">
        <v>4455</v>
      </c>
      <c r="D1571" s="35" t="s">
        <v>4456</v>
      </c>
      <c r="E1571" s="35" t="s">
        <v>11978</v>
      </c>
      <c r="F1571" s="35" t="s">
        <v>11955</v>
      </c>
      <c r="G1571" s="35">
        <v>250502</v>
      </c>
      <c r="H1571" s="35">
        <v>290050</v>
      </c>
      <c r="I1571" s="35">
        <v>200008</v>
      </c>
      <c r="J1571" s="34" t="s">
        <v>270</v>
      </c>
      <c r="K1571" s="34" t="str">
        <f t="shared" si="51"/>
        <v>重复</v>
      </c>
      <c r="L1571" s="34" t="str">
        <f t="shared" si="50"/>
        <v>不重复</v>
      </c>
    </row>
    <row r="1572" spans="1:12" ht="30">
      <c r="A1572" s="35" t="s">
        <v>11981</v>
      </c>
      <c r="B1572" s="35" t="s">
        <v>4457</v>
      </c>
      <c r="C1572" s="36" t="s">
        <v>4444</v>
      </c>
      <c r="D1572" s="35" t="s">
        <v>4458</v>
      </c>
      <c r="E1572" s="35" t="s">
        <v>11978</v>
      </c>
      <c r="F1572" s="35" t="s">
        <v>11955</v>
      </c>
      <c r="G1572" s="35">
        <v>250503</v>
      </c>
      <c r="H1572" s="35">
        <v>290050</v>
      </c>
      <c r="I1572" s="35">
        <v>200008</v>
      </c>
      <c r="J1572" s="34" t="s">
        <v>288</v>
      </c>
      <c r="K1572" s="34" t="str">
        <f t="shared" si="51"/>
        <v>重复</v>
      </c>
      <c r="L1572" s="34" t="str">
        <f t="shared" si="50"/>
        <v>重复</v>
      </c>
    </row>
    <row r="1573" spans="1:12" ht="30">
      <c r="A1573" s="35" t="s">
        <v>11982</v>
      </c>
      <c r="B1573" s="35" t="s">
        <v>4459</v>
      </c>
      <c r="C1573" s="36" t="s">
        <v>4460</v>
      </c>
      <c r="D1573" s="35" t="s">
        <v>4461</v>
      </c>
      <c r="E1573" s="35" t="s">
        <v>11978</v>
      </c>
      <c r="F1573" s="35" t="s">
        <v>11955</v>
      </c>
      <c r="G1573" s="35">
        <v>250504</v>
      </c>
      <c r="H1573" s="35">
        <v>290050</v>
      </c>
      <c r="I1573" s="35">
        <v>200008</v>
      </c>
      <c r="J1573" s="34" t="s">
        <v>363</v>
      </c>
      <c r="K1573" s="34" t="str">
        <f t="shared" si="51"/>
        <v>不重复</v>
      </c>
      <c r="L1573" s="34" t="str">
        <f t="shared" si="50"/>
        <v>不重复</v>
      </c>
    </row>
    <row r="1574" spans="1:12" ht="30">
      <c r="A1574" s="35" t="s">
        <v>11983</v>
      </c>
      <c r="B1574" s="35" t="s">
        <v>4462</v>
      </c>
      <c r="C1574" s="36" t="s">
        <v>4463</v>
      </c>
      <c r="D1574" s="35" t="s">
        <v>4464</v>
      </c>
      <c r="E1574" s="35" t="s">
        <v>11978</v>
      </c>
      <c r="F1574" s="35" t="s">
        <v>11955</v>
      </c>
      <c r="G1574" s="35">
        <v>250505</v>
      </c>
      <c r="H1574" s="35">
        <v>290050</v>
      </c>
      <c r="I1574" s="35">
        <v>200008</v>
      </c>
      <c r="J1574" s="34" t="s">
        <v>270</v>
      </c>
      <c r="K1574" s="34" t="str">
        <f t="shared" si="51"/>
        <v>重复</v>
      </c>
      <c r="L1574" s="34" t="str">
        <f t="shared" si="50"/>
        <v>不重复</v>
      </c>
    </row>
    <row r="1575" spans="1:12" ht="15">
      <c r="A1575" s="35" t="s">
        <v>11984</v>
      </c>
      <c r="B1575" s="35" t="s">
        <v>4465</v>
      </c>
      <c r="C1575" s="36" t="s">
        <v>4466</v>
      </c>
      <c r="D1575" s="35" t="s">
        <v>4467</v>
      </c>
      <c r="E1575" s="35" t="s">
        <v>11984</v>
      </c>
      <c r="F1575" s="35" t="s">
        <v>11955</v>
      </c>
      <c r="G1575" s="35">
        <v>250600</v>
      </c>
      <c r="H1575" s="35">
        <v>290060</v>
      </c>
      <c r="I1575" s="35">
        <v>200008</v>
      </c>
      <c r="J1575" s="34" t="s">
        <v>16</v>
      </c>
      <c r="K1575" s="34" t="str">
        <f t="shared" si="51"/>
        <v>重复</v>
      </c>
      <c r="L1575" s="34" t="str">
        <f t="shared" si="50"/>
        <v>不重复</v>
      </c>
    </row>
    <row r="1576" spans="1:12" ht="15">
      <c r="A1576" s="35" t="s">
        <v>11985</v>
      </c>
      <c r="B1576" s="35" t="s">
        <v>4468</v>
      </c>
      <c r="C1576" s="36" t="s">
        <v>4466</v>
      </c>
      <c r="D1576" s="35" t="s">
        <v>4469</v>
      </c>
      <c r="E1576" s="35" t="s">
        <v>11984</v>
      </c>
      <c r="F1576" s="35" t="s">
        <v>11955</v>
      </c>
      <c r="G1576" s="35">
        <v>250601</v>
      </c>
      <c r="H1576" s="35">
        <v>290060</v>
      </c>
      <c r="I1576" s="35">
        <v>200008</v>
      </c>
      <c r="J1576" s="34" t="s">
        <v>962</v>
      </c>
      <c r="K1576" s="34" t="str">
        <f t="shared" si="51"/>
        <v>重复</v>
      </c>
      <c r="L1576" s="34" t="str">
        <f t="shared" si="50"/>
        <v>重复</v>
      </c>
    </row>
    <row r="1577" spans="1:12" ht="27">
      <c r="A1577" s="35" t="s">
        <v>11986</v>
      </c>
      <c r="B1577" s="35" t="s">
        <v>4468</v>
      </c>
      <c r="C1577" s="36" t="s">
        <v>4466</v>
      </c>
      <c r="D1577" s="35" t="s">
        <v>4469</v>
      </c>
      <c r="E1577" s="35" t="s">
        <v>11984</v>
      </c>
      <c r="F1577" s="35" t="s">
        <v>11955</v>
      </c>
      <c r="G1577" s="35">
        <v>250602</v>
      </c>
      <c r="H1577" s="35">
        <v>290060</v>
      </c>
      <c r="I1577" s="35">
        <v>200008</v>
      </c>
      <c r="J1577" s="34" t="s">
        <v>962</v>
      </c>
      <c r="K1577" s="34" t="str">
        <f t="shared" si="51"/>
        <v>重复</v>
      </c>
      <c r="L1577" s="34" t="str">
        <f t="shared" si="52" ref="L1577:L1640">IF(COUNTIF(D:D,D1577)&gt;=2,"重复","不重复")</f>
        <v>重复</v>
      </c>
    </row>
    <row r="1578" spans="1:12" ht="27">
      <c r="A1578" s="35" t="s">
        <v>11987</v>
      </c>
      <c r="B1578" s="35" t="s">
        <v>4468</v>
      </c>
      <c r="C1578" s="36" t="s">
        <v>4470</v>
      </c>
      <c r="D1578" s="35" t="s">
        <v>4469</v>
      </c>
      <c r="E1578" s="35" t="s">
        <v>11984</v>
      </c>
      <c r="F1578" s="35" t="s">
        <v>11955</v>
      </c>
      <c r="G1578" s="35">
        <v>250603</v>
      </c>
      <c r="H1578" s="35">
        <v>290060</v>
      </c>
      <c r="I1578" s="35">
        <v>200008</v>
      </c>
      <c r="J1578" s="34" t="s">
        <v>2346</v>
      </c>
      <c r="K1578" s="34" t="str">
        <f t="shared" si="51"/>
        <v>重复</v>
      </c>
      <c r="L1578" s="34" t="str">
        <f t="shared" si="52"/>
        <v>重复</v>
      </c>
    </row>
    <row r="1579" spans="1:12" ht="15">
      <c r="A1579" s="35" t="s">
        <v>11988</v>
      </c>
      <c r="B1579" s="35" t="s">
        <v>4471</v>
      </c>
      <c r="C1579" s="36" t="s">
        <v>4472</v>
      </c>
      <c r="D1579" s="35" t="s">
        <v>4473</v>
      </c>
      <c r="E1579" s="35" t="s">
        <v>11988</v>
      </c>
      <c r="F1579" s="35" t="s">
        <v>11955</v>
      </c>
      <c r="G1579" s="35">
        <v>250700</v>
      </c>
      <c r="H1579" s="35">
        <v>290070</v>
      </c>
      <c r="I1579" s="35">
        <v>200008</v>
      </c>
      <c r="J1579" s="34" t="s">
        <v>16</v>
      </c>
      <c r="K1579" s="34" t="str">
        <f t="shared" si="51"/>
        <v>不重复</v>
      </c>
      <c r="L1579" s="34" t="str">
        <f t="shared" si="52"/>
        <v>不重复</v>
      </c>
    </row>
    <row r="1580" spans="1:12" ht="15">
      <c r="A1580" s="35" t="s">
        <v>11989</v>
      </c>
      <c r="B1580" s="35" t="s">
        <v>4474</v>
      </c>
      <c r="C1580" s="36" t="s">
        <v>4475</v>
      </c>
      <c r="D1580" s="35" t="s">
        <v>4476</v>
      </c>
      <c r="E1580" s="35" t="s">
        <v>11988</v>
      </c>
      <c r="F1580" s="35" t="s">
        <v>11955</v>
      </c>
      <c r="G1580" s="35">
        <v>250701</v>
      </c>
      <c r="H1580" s="35">
        <v>290070</v>
      </c>
      <c r="I1580" s="35">
        <v>200008</v>
      </c>
      <c r="J1580" s="34" t="s">
        <v>557</v>
      </c>
      <c r="K1580" s="34" t="str">
        <f t="shared" si="51"/>
        <v>不重复</v>
      </c>
      <c r="L1580" s="34" t="str">
        <f t="shared" si="52"/>
        <v>不重复</v>
      </c>
    </row>
    <row r="1581" spans="1:12" ht="15">
      <c r="A1581" s="35" t="s">
        <v>11990</v>
      </c>
      <c r="B1581" s="35" t="s">
        <v>4477</v>
      </c>
      <c r="C1581" s="36" t="s">
        <v>1077</v>
      </c>
      <c r="D1581" s="35" t="s">
        <v>4478</v>
      </c>
      <c r="E1581" s="35" t="s">
        <v>11988</v>
      </c>
      <c r="F1581" s="35" t="s">
        <v>11955</v>
      </c>
      <c r="G1581" s="35">
        <v>250702</v>
      </c>
      <c r="H1581" s="35">
        <v>290070</v>
      </c>
      <c r="I1581" s="35">
        <v>200008</v>
      </c>
      <c r="J1581" s="34" t="s">
        <v>2469</v>
      </c>
      <c r="K1581" s="34" t="str">
        <f t="shared" si="51"/>
        <v>重复</v>
      </c>
      <c r="L1581" s="34" t="str">
        <f t="shared" si="52"/>
        <v>不重复</v>
      </c>
    </row>
    <row r="1582" spans="1:12" ht="15">
      <c r="A1582" s="35" t="s">
        <v>11991</v>
      </c>
      <c r="B1582" s="35" t="s">
        <v>4479</v>
      </c>
      <c r="C1582" s="36" t="s">
        <v>4480</v>
      </c>
      <c r="D1582" s="35" t="s">
        <v>4481</v>
      </c>
      <c r="E1582" s="35" t="s">
        <v>11991</v>
      </c>
      <c r="F1582" s="35" t="s">
        <v>11955</v>
      </c>
      <c r="G1582" s="35">
        <v>250800</v>
      </c>
      <c r="H1582" s="35">
        <v>290080</v>
      </c>
      <c r="I1582" s="35">
        <v>200008</v>
      </c>
      <c r="J1582" s="34" t="s">
        <v>16</v>
      </c>
      <c r="K1582" s="34" t="str">
        <f t="shared" si="51"/>
        <v>重复</v>
      </c>
      <c r="L1582" s="34" t="str">
        <f t="shared" si="52"/>
        <v>不重复</v>
      </c>
    </row>
    <row r="1583" spans="1:12" ht="15">
      <c r="A1583" s="35" t="s">
        <v>11992</v>
      </c>
      <c r="B1583" s="35" t="s">
        <v>4482</v>
      </c>
      <c r="C1583" s="36" t="s">
        <v>603</v>
      </c>
      <c r="D1583" s="35" t="s">
        <v>4483</v>
      </c>
      <c r="E1583" s="35" t="s">
        <v>11991</v>
      </c>
      <c r="F1583" s="35" t="s">
        <v>11955</v>
      </c>
      <c r="G1583" s="35">
        <v>250801</v>
      </c>
      <c r="H1583" s="35">
        <v>290080</v>
      </c>
      <c r="I1583" s="35">
        <v>200008</v>
      </c>
      <c r="J1583" s="34" t="s">
        <v>962</v>
      </c>
      <c r="K1583" s="34" t="str">
        <f t="shared" si="51"/>
        <v>重复</v>
      </c>
      <c r="L1583" s="34" t="str">
        <f t="shared" si="52"/>
        <v>不重复</v>
      </c>
    </row>
    <row r="1584" spans="1:12" ht="30">
      <c r="A1584" s="35" t="s">
        <v>11993</v>
      </c>
      <c r="B1584" s="35" t="s">
        <v>4484</v>
      </c>
      <c r="C1584" s="36" t="s">
        <v>2714</v>
      </c>
      <c r="D1584" s="35" t="s">
        <v>4485</v>
      </c>
      <c r="E1584" s="35" t="s">
        <v>11991</v>
      </c>
      <c r="F1584" s="35" t="s">
        <v>11955</v>
      </c>
      <c r="G1584" s="35">
        <v>250802</v>
      </c>
      <c r="H1584" s="35">
        <v>290080</v>
      </c>
      <c r="I1584" s="35">
        <v>200008</v>
      </c>
      <c r="J1584" s="34" t="s">
        <v>2338</v>
      </c>
      <c r="K1584" s="34" t="str">
        <f t="shared" si="51"/>
        <v>重复</v>
      </c>
      <c r="L1584" s="34" t="str">
        <f t="shared" si="52"/>
        <v>不重复</v>
      </c>
    </row>
    <row r="1585" spans="1:12" ht="27">
      <c r="A1585" s="35" t="s">
        <v>11994</v>
      </c>
      <c r="B1585" s="35" t="s">
        <v>4486</v>
      </c>
      <c r="C1585" s="36" t="s">
        <v>3151</v>
      </c>
      <c r="D1585" s="35" t="s">
        <v>4487</v>
      </c>
      <c r="E1585" s="35" t="s">
        <v>11991</v>
      </c>
      <c r="F1585" s="35" t="s">
        <v>11955</v>
      </c>
      <c r="G1585" s="35">
        <v>250803</v>
      </c>
      <c r="H1585" s="35">
        <v>290080</v>
      </c>
      <c r="I1585" s="35">
        <v>200008</v>
      </c>
      <c r="J1585" s="34" t="s">
        <v>2984</v>
      </c>
      <c r="K1585" s="34" t="str">
        <f t="shared" si="51"/>
        <v>重复</v>
      </c>
      <c r="L1585" s="34" t="str">
        <f t="shared" si="52"/>
        <v>不重复</v>
      </c>
    </row>
    <row r="1586" spans="1:12" ht="27">
      <c r="A1586" s="35" t="s">
        <v>11995</v>
      </c>
      <c r="B1586" s="35" t="s">
        <v>4488</v>
      </c>
      <c r="C1586" s="36" t="s">
        <v>2593</v>
      </c>
      <c r="D1586" s="35" t="s">
        <v>4489</v>
      </c>
      <c r="E1586" s="35" t="s">
        <v>11991</v>
      </c>
      <c r="F1586" s="35" t="s">
        <v>11955</v>
      </c>
      <c r="G1586" s="35">
        <v>250804</v>
      </c>
      <c r="H1586" s="35">
        <v>290080</v>
      </c>
      <c r="I1586" s="35">
        <v>200008</v>
      </c>
      <c r="J1586" s="34" t="s">
        <v>4490</v>
      </c>
      <c r="K1586" s="34" t="str">
        <f t="shared" si="51"/>
        <v>重复</v>
      </c>
      <c r="L1586" s="34" t="str">
        <f t="shared" si="52"/>
        <v>不重复</v>
      </c>
    </row>
    <row r="1587" spans="1:12" ht="27">
      <c r="A1587" s="35" t="s">
        <v>11996</v>
      </c>
      <c r="B1587" s="35" t="s">
        <v>4491</v>
      </c>
      <c r="C1587" s="36" t="s">
        <v>4492</v>
      </c>
      <c r="D1587" s="35" t="s">
        <v>4493</v>
      </c>
      <c r="E1587" s="35" t="s">
        <v>11991</v>
      </c>
      <c r="F1587" s="35" t="s">
        <v>11955</v>
      </c>
      <c r="G1587" s="35">
        <v>250805</v>
      </c>
      <c r="H1587" s="35">
        <v>290080</v>
      </c>
      <c r="I1587" s="35">
        <v>200008</v>
      </c>
      <c r="J1587" s="34" t="s">
        <v>2440</v>
      </c>
      <c r="K1587" s="34" t="str">
        <f t="shared" si="51"/>
        <v>不重复</v>
      </c>
      <c r="L1587" s="34" t="str">
        <f t="shared" si="52"/>
        <v>不重复</v>
      </c>
    </row>
    <row r="1588" spans="1:12" ht="15">
      <c r="A1588" s="35" t="s">
        <v>11997</v>
      </c>
      <c r="B1588" s="35" t="s">
        <v>4494</v>
      </c>
      <c r="C1588" s="36" t="s">
        <v>4495</v>
      </c>
      <c r="D1588" s="35" t="s">
        <v>4496</v>
      </c>
      <c r="E1588" s="35" t="s">
        <v>11991</v>
      </c>
      <c r="F1588" s="35" t="s">
        <v>11955</v>
      </c>
      <c r="G1588" s="35">
        <v>250806</v>
      </c>
      <c r="H1588" s="35">
        <v>290080</v>
      </c>
      <c r="I1588" s="35">
        <v>200008</v>
      </c>
      <c r="J1588" s="34" t="s">
        <v>458</v>
      </c>
      <c r="K1588" s="34" t="str">
        <f t="shared" si="51"/>
        <v>重复</v>
      </c>
      <c r="L1588" s="34" t="str">
        <f t="shared" si="52"/>
        <v>重复</v>
      </c>
    </row>
    <row r="1589" spans="1:12" ht="15">
      <c r="A1589" s="35" t="s">
        <v>11998</v>
      </c>
      <c r="B1589" s="35" t="s">
        <v>4497</v>
      </c>
      <c r="C1589" s="36" t="s">
        <v>4498</v>
      </c>
      <c r="D1589" s="35" t="s">
        <v>4499</v>
      </c>
      <c r="E1589" s="35" t="s">
        <v>11991</v>
      </c>
      <c r="F1589" s="35" t="s">
        <v>11955</v>
      </c>
      <c r="G1589" s="35">
        <v>250807</v>
      </c>
      <c r="H1589" s="35">
        <v>290080</v>
      </c>
      <c r="I1589" s="35">
        <v>200008</v>
      </c>
      <c r="J1589" s="34" t="s">
        <v>458</v>
      </c>
      <c r="K1589" s="34" t="str">
        <f t="shared" si="51"/>
        <v>不重复</v>
      </c>
      <c r="L1589" s="34" t="str">
        <f t="shared" si="52"/>
        <v>不重复</v>
      </c>
    </row>
    <row r="1590" spans="1:12" ht="15">
      <c r="A1590" s="35" t="s">
        <v>11999</v>
      </c>
      <c r="B1590" s="35" t="s">
        <v>4500</v>
      </c>
      <c r="C1590" s="36" t="s">
        <v>4495</v>
      </c>
      <c r="D1590" s="35" t="s">
        <v>4501</v>
      </c>
      <c r="E1590" s="35" t="s">
        <v>11991</v>
      </c>
      <c r="F1590" s="35" t="s">
        <v>11955</v>
      </c>
      <c r="G1590" s="35">
        <v>250808</v>
      </c>
      <c r="H1590" s="35">
        <v>290080</v>
      </c>
      <c r="I1590" s="35">
        <v>200008</v>
      </c>
      <c r="J1590" s="34" t="s">
        <v>2630</v>
      </c>
      <c r="K1590" s="34" t="str">
        <f t="shared" si="51"/>
        <v>重复</v>
      </c>
      <c r="L1590" s="34" t="str">
        <f t="shared" si="52"/>
        <v>不重复</v>
      </c>
    </row>
    <row r="1591" spans="1:12" ht="15">
      <c r="A1591" s="35" t="s">
        <v>12000</v>
      </c>
      <c r="B1591" s="35" t="s">
        <v>4502</v>
      </c>
      <c r="C1591" s="36" t="s">
        <v>4503</v>
      </c>
      <c r="D1591" s="35" t="s">
        <v>4504</v>
      </c>
      <c r="E1591" s="35" t="s">
        <v>11991</v>
      </c>
      <c r="F1591" s="35" t="s">
        <v>11955</v>
      </c>
      <c r="G1591" s="35">
        <v>250809</v>
      </c>
      <c r="H1591" s="35">
        <v>290080</v>
      </c>
      <c r="I1591" s="35">
        <v>200008</v>
      </c>
      <c r="J1591" s="34" t="s">
        <v>2293</v>
      </c>
      <c r="K1591" s="34" t="str">
        <f t="shared" si="51"/>
        <v>重复</v>
      </c>
      <c r="L1591" s="34" t="str">
        <f t="shared" si="52"/>
        <v>不重复</v>
      </c>
    </row>
    <row r="1592" spans="1:12" ht="30">
      <c r="A1592" s="35" t="s">
        <v>12001</v>
      </c>
      <c r="B1592" s="35" t="s">
        <v>4505</v>
      </c>
      <c r="C1592" s="36" t="s">
        <v>4506</v>
      </c>
      <c r="D1592" s="35" t="s">
        <v>4507</v>
      </c>
      <c r="E1592" s="35" t="s">
        <v>11991</v>
      </c>
      <c r="F1592" s="35" t="s">
        <v>11955</v>
      </c>
      <c r="G1592" s="35">
        <v>250810</v>
      </c>
      <c r="H1592" s="35">
        <v>290080</v>
      </c>
      <c r="I1592" s="35">
        <v>200008</v>
      </c>
      <c r="J1592" s="34" t="s">
        <v>2219</v>
      </c>
      <c r="K1592" s="34" t="str">
        <f t="shared" si="51"/>
        <v>不重复</v>
      </c>
      <c r="L1592" s="34" t="str">
        <f t="shared" si="52"/>
        <v>不重复</v>
      </c>
    </row>
    <row r="1593" spans="1:12" ht="15">
      <c r="A1593" s="35" t="s">
        <v>12002</v>
      </c>
      <c r="B1593" s="35" t="s">
        <v>4508</v>
      </c>
      <c r="C1593" s="36" t="s">
        <v>4509</v>
      </c>
      <c r="D1593" s="35" t="s">
        <v>4496</v>
      </c>
      <c r="E1593" s="35" t="s">
        <v>11991</v>
      </c>
      <c r="F1593" s="35" t="s">
        <v>11955</v>
      </c>
      <c r="G1593" s="35">
        <v>250811</v>
      </c>
      <c r="H1593" s="35">
        <v>290080</v>
      </c>
      <c r="I1593" s="35">
        <v>200008</v>
      </c>
      <c r="J1593" s="34" t="s">
        <v>4510</v>
      </c>
      <c r="K1593" s="34" t="str">
        <f t="shared" si="51"/>
        <v>不重复</v>
      </c>
      <c r="L1593" s="34" t="str">
        <f t="shared" si="52"/>
        <v>重复</v>
      </c>
    </row>
    <row r="1594" spans="1:12" ht="15">
      <c r="A1594" s="35" t="s">
        <v>12003</v>
      </c>
      <c r="B1594" s="35" t="s">
        <v>4511</v>
      </c>
      <c r="C1594" s="36" t="s">
        <v>4512</v>
      </c>
      <c r="D1594" s="35" t="s">
        <v>4513</v>
      </c>
      <c r="E1594" s="35" t="s">
        <v>11991</v>
      </c>
      <c r="F1594" s="35" t="s">
        <v>11955</v>
      </c>
      <c r="G1594" s="35">
        <v>250812</v>
      </c>
      <c r="H1594" s="35">
        <v>290080</v>
      </c>
      <c r="I1594" s="35">
        <v>200008</v>
      </c>
      <c r="J1594" s="34" t="s">
        <v>4514</v>
      </c>
      <c r="K1594" s="34" t="str">
        <f t="shared" si="51"/>
        <v>不重复</v>
      </c>
      <c r="L1594" s="34" t="str">
        <f t="shared" si="52"/>
        <v>不重复</v>
      </c>
    </row>
    <row r="1595" spans="1:12" ht="30">
      <c r="A1595" s="35" t="s">
        <v>12004</v>
      </c>
      <c r="B1595" s="35" t="s">
        <v>4515</v>
      </c>
      <c r="C1595" s="36" t="s">
        <v>4516</v>
      </c>
      <c r="D1595" s="35" t="s">
        <v>4517</v>
      </c>
      <c r="E1595" s="35" t="s">
        <v>11991</v>
      </c>
      <c r="F1595" s="35" t="s">
        <v>11955</v>
      </c>
      <c r="G1595" s="35">
        <v>250813</v>
      </c>
      <c r="H1595" s="35">
        <v>290080</v>
      </c>
      <c r="I1595" s="35">
        <v>200008</v>
      </c>
      <c r="J1595" s="34" t="s">
        <v>2219</v>
      </c>
      <c r="K1595" s="34" t="str">
        <f t="shared" si="51"/>
        <v>不重复</v>
      </c>
      <c r="L1595" s="34" t="str">
        <f t="shared" si="52"/>
        <v>不重复</v>
      </c>
    </row>
    <row r="1596" spans="1:12" ht="30">
      <c r="A1596" s="35" t="s">
        <v>12005</v>
      </c>
      <c r="B1596" s="35" t="s">
        <v>4518</v>
      </c>
      <c r="C1596" s="36" t="s">
        <v>4519</v>
      </c>
      <c r="D1596" s="35" t="s">
        <v>4520</v>
      </c>
      <c r="E1596" s="35" t="s">
        <v>11991</v>
      </c>
      <c r="F1596" s="35" t="s">
        <v>11955</v>
      </c>
      <c r="G1596" s="35">
        <v>250814</v>
      </c>
      <c r="H1596" s="35">
        <v>290080</v>
      </c>
      <c r="I1596" s="35">
        <v>200008</v>
      </c>
      <c r="J1596" s="34" t="s">
        <v>2293</v>
      </c>
      <c r="K1596" s="34" t="str">
        <f t="shared" si="51"/>
        <v>重复</v>
      </c>
      <c r="L1596" s="34" t="str">
        <f t="shared" si="52"/>
        <v>重复</v>
      </c>
    </row>
    <row r="1597" spans="1:12" ht="15">
      <c r="A1597" s="35" t="s">
        <v>12006</v>
      </c>
      <c r="B1597" s="35" t="s">
        <v>4521</v>
      </c>
      <c r="C1597" s="36" t="s">
        <v>4519</v>
      </c>
      <c r="D1597" s="35" t="s">
        <v>4520</v>
      </c>
      <c r="E1597" s="35" t="s">
        <v>11991</v>
      </c>
      <c r="F1597" s="35" t="s">
        <v>11955</v>
      </c>
      <c r="G1597" s="35">
        <v>250815</v>
      </c>
      <c r="H1597" s="35">
        <v>290080</v>
      </c>
      <c r="I1597" s="35">
        <v>200008</v>
      </c>
      <c r="J1597" s="34" t="s">
        <v>311</v>
      </c>
      <c r="K1597" s="34" t="str">
        <f t="shared" si="51"/>
        <v>重复</v>
      </c>
      <c r="L1597" s="34" t="str">
        <f t="shared" si="52"/>
        <v>重复</v>
      </c>
    </row>
    <row r="1598" spans="1:12" ht="15">
      <c r="A1598" s="35" t="s">
        <v>12007</v>
      </c>
      <c r="B1598" s="35" t="s">
        <v>4522</v>
      </c>
      <c r="C1598" s="36" t="s">
        <v>4523</v>
      </c>
      <c r="D1598" s="35" t="s">
        <v>4524</v>
      </c>
      <c r="E1598" s="35" t="s">
        <v>11991</v>
      </c>
      <c r="F1598" s="35" t="s">
        <v>11955</v>
      </c>
      <c r="G1598" s="35">
        <v>250816</v>
      </c>
      <c r="H1598" s="35">
        <v>290080</v>
      </c>
      <c r="I1598" s="35">
        <v>200008</v>
      </c>
      <c r="J1598" s="34" t="s">
        <v>2495</v>
      </c>
      <c r="K1598" s="34" t="str">
        <f t="shared" si="51"/>
        <v>不重复</v>
      </c>
      <c r="L1598" s="34" t="str">
        <f t="shared" si="52"/>
        <v>重复</v>
      </c>
    </row>
    <row r="1599" spans="1:12" ht="15">
      <c r="A1599" s="35" t="s">
        <v>12008</v>
      </c>
      <c r="B1599" s="35" t="s">
        <v>4525</v>
      </c>
      <c r="C1599" s="36" t="s">
        <v>4526</v>
      </c>
      <c r="D1599" s="35" t="s">
        <v>4527</v>
      </c>
      <c r="E1599" s="35" t="s">
        <v>11991</v>
      </c>
      <c r="F1599" s="35" t="s">
        <v>11955</v>
      </c>
      <c r="G1599" s="35">
        <v>250817</v>
      </c>
      <c r="H1599" s="35">
        <v>290080</v>
      </c>
      <c r="I1599" s="35">
        <v>200008</v>
      </c>
      <c r="J1599" s="34" t="s">
        <v>311</v>
      </c>
      <c r="K1599" s="34" t="str">
        <f t="shared" si="51"/>
        <v>不重复</v>
      </c>
      <c r="L1599" s="34" t="str">
        <f t="shared" si="52"/>
        <v>不重复</v>
      </c>
    </row>
    <row r="1600" spans="1:12" ht="15">
      <c r="A1600" s="35" t="s">
        <v>12009</v>
      </c>
      <c r="B1600" s="35" t="s">
        <v>4528</v>
      </c>
      <c r="C1600" s="36" t="s">
        <v>4529</v>
      </c>
      <c r="D1600" s="35" t="s">
        <v>4530</v>
      </c>
      <c r="E1600" s="35" t="s">
        <v>11991</v>
      </c>
      <c r="F1600" s="35" t="s">
        <v>11955</v>
      </c>
      <c r="G1600" s="35">
        <v>250818</v>
      </c>
      <c r="H1600" s="35">
        <v>290080</v>
      </c>
      <c r="I1600" s="35">
        <v>200008</v>
      </c>
      <c r="J1600" s="34" t="s">
        <v>4531</v>
      </c>
      <c r="K1600" s="34" t="str">
        <f t="shared" si="51"/>
        <v>不重复</v>
      </c>
      <c r="L1600" s="34" t="str">
        <f t="shared" si="52"/>
        <v>重复</v>
      </c>
    </row>
    <row r="1601" spans="1:12" ht="30">
      <c r="A1601" s="35" t="s">
        <v>12010</v>
      </c>
      <c r="B1601" s="35" t="s">
        <v>4532</v>
      </c>
      <c r="C1601" s="36" t="s">
        <v>4533</v>
      </c>
      <c r="D1601" s="35" t="s">
        <v>4534</v>
      </c>
      <c r="E1601" s="35" t="s">
        <v>11991</v>
      </c>
      <c r="F1601" s="35" t="s">
        <v>11955</v>
      </c>
      <c r="G1601" s="35">
        <v>250819</v>
      </c>
      <c r="H1601" s="35">
        <v>290080</v>
      </c>
      <c r="I1601" s="35">
        <v>200008</v>
      </c>
      <c r="J1601" s="34" t="s">
        <v>2391</v>
      </c>
      <c r="K1601" s="34" t="str">
        <f t="shared" si="51"/>
        <v>不重复</v>
      </c>
      <c r="L1601" s="34" t="str">
        <f t="shared" si="52"/>
        <v>不重复</v>
      </c>
    </row>
    <row r="1602" spans="1:12" ht="15">
      <c r="A1602" s="35" t="s">
        <v>12011</v>
      </c>
      <c r="B1602" s="35" t="s">
        <v>4535</v>
      </c>
      <c r="C1602" s="36" t="s">
        <v>4536</v>
      </c>
      <c r="D1602" s="35" t="s">
        <v>4530</v>
      </c>
      <c r="E1602" s="35" t="s">
        <v>11991</v>
      </c>
      <c r="F1602" s="35" t="s">
        <v>11955</v>
      </c>
      <c r="G1602" s="35">
        <v>250820</v>
      </c>
      <c r="H1602" s="35">
        <v>290080</v>
      </c>
      <c r="I1602" s="35">
        <v>200008</v>
      </c>
      <c r="J1602" s="34" t="s">
        <v>2219</v>
      </c>
      <c r="K1602" s="34" t="str">
        <f t="shared" si="51"/>
        <v>不重复</v>
      </c>
      <c r="L1602" s="34" t="str">
        <f t="shared" si="52"/>
        <v>重复</v>
      </c>
    </row>
    <row r="1603" spans="1:12" ht="30">
      <c r="A1603" s="35" t="s">
        <v>12012</v>
      </c>
      <c r="B1603" s="35" t="s">
        <v>4537</v>
      </c>
      <c r="C1603" s="36" t="s">
        <v>4538</v>
      </c>
      <c r="D1603" s="35" t="s">
        <v>4539</v>
      </c>
      <c r="E1603" s="35" t="s">
        <v>11991</v>
      </c>
      <c r="F1603" s="35" t="s">
        <v>11955</v>
      </c>
      <c r="G1603" s="35">
        <v>250821</v>
      </c>
      <c r="H1603" s="35">
        <v>290080</v>
      </c>
      <c r="I1603" s="35">
        <v>200008</v>
      </c>
      <c r="J1603" s="34" t="s">
        <v>152</v>
      </c>
      <c r="K1603" s="34" t="str">
        <f t="shared" si="51"/>
        <v>重复</v>
      </c>
      <c r="L1603" s="34" t="str">
        <f t="shared" si="52"/>
        <v>重复</v>
      </c>
    </row>
    <row r="1604" spans="1:12" ht="30">
      <c r="A1604" s="35" t="s">
        <v>12013</v>
      </c>
      <c r="B1604" s="35" t="s">
        <v>4540</v>
      </c>
      <c r="C1604" s="36" t="s">
        <v>4541</v>
      </c>
      <c r="D1604" s="35" t="s">
        <v>4542</v>
      </c>
      <c r="E1604" s="35" t="s">
        <v>11991</v>
      </c>
      <c r="F1604" s="35" t="s">
        <v>11955</v>
      </c>
      <c r="G1604" s="35">
        <v>250822</v>
      </c>
      <c r="H1604" s="35">
        <v>290080</v>
      </c>
      <c r="I1604" s="35">
        <v>200008</v>
      </c>
      <c r="J1604" s="34" t="s">
        <v>2219</v>
      </c>
      <c r="K1604" s="34" t="str">
        <f t="shared" si="51"/>
        <v>不重复</v>
      </c>
      <c r="L1604" s="34" t="str">
        <f t="shared" si="52"/>
        <v>不重复</v>
      </c>
    </row>
    <row r="1605" spans="1:12" ht="15">
      <c r="A1605" s="35" t="s">
        <v>12014</v>
      </c>
      <c r="B1605" s="35" t="s">
        <v>4543</v>
      </c>
      <c r="C1605" s="36" t="s">
        <v>4544</v>
      </c>
      <c r="D1605" s="35" t="s">
        <v>4545</v>
      </c>
      <c r="E1605" s="35" t="s">
        <v>11991</v>
      </c>
      <c r="F1605" s="35" t="s">
        <v>11955</v>
      </c>
      <c r="G1605" s="35">
        <v>250823</v>
      </c>
      <c r="H1605" s="35">
        <v>290080</v>
      </c>
      <c r="I1605" s="35">
        <v>200008</v>
      </c>
      <c r="J1605" s="34" t="s">
        <v>311</v>
      </c>
      <c r="K1605" s="34" t="str">
        <f t="shared" si="51"/>
        <v>不重复</v>
      </c>
      <c r="L1605" s="34" t="str">
        <f t="shared" si="52"/>
        <v>不重复</v>
      </c>
    </row>
    <row r="1606" spans="1:12" ht="15">
      <c r="A1606" s="35" t="s">
        <v>12015</v>
      </c>
      <c r="B1606" s="35" t="s">
        <v>4546</v>
      </c>
      <c r="C1606" s="36" t="s">
        <v>4547</v>
      </c>
      <c r="D1606" s="35" t="s">
        <v>4548</v>
      </c>
      <c r="E1606" s="35" t="s">
        <v>11991</v>
      </c>
      <c r="F1606" s="35" t="s">
        <v>11955</v>
      </c>
      <c r="G1606" s="35">
        <v>250824</v>
      </c>
      <c r="H1606" s="35">
        <v>290080</v>
      </c>
      <c r="I1606" s="35">
        <v>200008</v>
      </c>
      <c r="J1606" s="34" t="s">
        <v>2573</v>
      </c>
      <c r="K1606" s="34" t="str">
        <f t="shared" si="51"/>
        <v>不重复</v>
      </c>
      <c r="L1606" s="34" t="str">
        <f t="shared" si="52"/>
        <v>不重复</v>
      </c>
    </row>
    <row r="1607" spans="1:12" ht="30">
      <c r="A1607" s="35" t="s">
        <v>12016</v>
      </c>
      <c r="B1607" s="35" t="s">
        <v>4549</v>
      </c>
      <c r="C1607" s="36" t="s">
        <v>4258</v>
      </c>
      <c r="D1607" s="35" t="s">
        <v>4539</v>
      </c>
      <c r="E1607" s="35" t="s">
        <v>11991</v>
      </c>
      <c r="F1607" s="35" t="s">
        <v>11955</v>
      </c>
      <c r="G1607" s="35">
        <v>250825</v>
      </c>
      <c r="H1607" s="35">
        <v>290080</v>
      </c>
      <c r="I1607" s="35">
        <v>200008</v>
      </c>
      <c r="J1607" s="34" t="s">
        <v>1134</v>
      </c>
      <c r="K1607" s="34" t="str">
        <f t="shared" si="51"/>
        <v>重复</v>
      </c>
      <c r="L1607" s="34" t="str">
        <f t="shared" si="52"/>
        <v>重复</v>
      </c>
    </row>
    <row r="1608" spans="1:12" ht="30">
      <c r="A1608" s="35" t="s">
        <v>12017</v>
      </c>
      <c r="B1608" s="35" t="s">
        <v>4550</v>
      </c>
      <c r="C1608" s="36" t="s">
        <v>4551</v>
      </c>
      <c r="D1608" s="35" t="s">
        <v>4552</v>
      </c>
      <c r="E1608" s="35" t="s">
        <v>11991</v>
      </c>
      <c r="F1608" s="35" t="s">
        <v>11955</v>
      </c>
      <c r="G1608" s="35">
        <v>250826</v>
      </c>
      <c r="H1608" s="35">
        <v>290080</v>
      </c>
      <c r="I1608" s="35">
        <v>200008</v>
      </c>
      <c r="J1608" s="34" t="s">
        <v>2495</v>
      </c>
      <c r="K1608" s="34" t="str">
        <f t="shared" si="51"/>
        <v>不重复</v>
      </c>
      <c r="L1608" s="34" t="str">
        <f t="shared" si="52"/>
        <v>不重复</v>
      </c>
    </row>
    <row r="1609" spans="1:12" ht="15">
      <c r="A1609" s="35" t="s">
        <v>12018</v>
      </c>
      <c r="B1609" s="35" t="s">
        <v>4553</v>
      </c>
      <c r="C1609" s="36" t="s">
        <v>4554</v>
      </c>
      <c r="D1609" s="35" t="s">
        <v>4555</v>
      </c>
      <c r="E1609" s="35" t="s">
        <v>11991</v>
      </c>
      <c r="F1609" s="35" t="s">
        <v>11955</v>
      </c>
      <c r="G1609" s="35">
        <v>250827</v>
      </c>
      <c r="H1609" s="35">
        <v>290080</v>
      </c>
      <c r="I1609" s="35">
        <v>200008</v>
      </c>
      <c r="J1609" s="34" t="s">
        <v>932</v>
      </c>
      <c r="K1609" s="34" t="str">
        <f t="shared" si="51"/>
        <v>不重复</v>
      </c>
      <c r="L1609" s="34" t="str">
        <f t="shared" si="52"/>
        <v>不重复</v>
      </c>
    </row>
    <row r="1610" spans="1:12" ht="15">
      <c r="A1610" s="35" t="s">
        <v>12019</v>
      </c>
      <c r="B1610" s="35" t="s">
        <v>4556</v>
      </c>
      <c r="C1610" s="36" t="s">
        <v>1899</v>
      </c>
      <c r="D1610" s="35" t="s">
        <v>2842</v>
      </c>
      <c r="E1610" s="35" t="s">
        <v>11991</v>
      </c>
      <c r="F1610" s="35" t="s">
        <v>11955</v>
      </c>
      <c r="G1610" s="35">
        <v>250828</v>
      </c>
      <c r="H1610" s="35">
        <v>290080</v>
      </c>
      <c r="I1610" s="35">
        <v>200008</v>
      </c>
      <c r="J1610" s="34" t="s">
        <v>363</v>
      </c>
      <c r="K1610" s="34" t="str">
        <f t="shared" si="51"/>
        <v>重复</v>
      </c>
      <c r="L1610" s="34" t="str">
        <f t="shared" si="52"/>
        <v>重复</v>
      </c>
    </row>
    <row r="1611" spans="1:12" ht="15">
      <c r="A1611" s="35" t="s">
        <v>12020</v>
      </c>
      <c r="B1611" s="35" t="s">
        <v>4557</v>
      </c>
      <c r="C1611" s="36" t="s">
        <v>4558</v>
      </c>
      <c r="D1611" s="35" t="s">
        <v>4559</v>
      </c>
      <c r="E1611" s="35" t="s">
        <v>11991</v>
      </c>
      <c r="F1611" s="35" t="s">
        <v>11955</v>
      </c>
      <c r="G1611" s="35">
        <v>250829</v>
      </c>
      <c r="H1611" s="35">
        <v>290080</v>
      </c>
      <c r="I1611" s="35">
        <v>200008</v>
      </c>
      <c r="J1611" s="34" t="s">
        <v>1040</v>
      </c>
      <c r="K1611" s="34" t="str">
        <f t="shared" si="51"/>
        <v>不重复</v>
      </c>
      <c r="L1611" s="34" t="str">
        <f t="shared" si="52"/>
        <v>不重复</v>
      </c>
    </row>
    <row r="1612" spans="1:12" ht="15">
      <c r="A1612" s="35" t="s">
        <v>12021</v>
      </c>
      <c r="B1612" s="35" t="s">
        <v>4560</v>
      </c>
      <c r="C1612" s="36" t="s">
        <v>4561</v>
      </c>
      <c r="D1612" s="35" t="s">
        <v>4562</v>
      </c>
      <c r="E1612" s="35" t="s">
        <v>11991</v>
      </c>
      <c r="F1612" s="35" t="s">
        <v>11955</v>
      </c>
      <c r="G1612" s="35">
        <v>250830</v>
      </c>
      <c r="H1612" s="35">
        <v>290080</v>
      </c>
      <c r="I1612" s="35">
        <v>200008</v>
      </c>
      <c r="J1612" s="34" t="s">
        <v>1929</v>
      </c>
      <c r="K1612" s="34" t="str">
        <f t="shared" si="51"/>
        <v>不重复</v>
      </c>
      <c r="L1612" s="34" t="str">
        <f t="shared" si="52"/>
        <v>不重复</v>
      </c>
    </row>
    <row r="1613" spans="1:12" ht="30">
      <c r="A1613" s="35" t="s">
        <v>12022</v>
      </c>
      <c r="B1613" s="35" t="s">
        <v>4563</v>
      </c>
      <c r="C1613" s="36" t="s">
        <v>4564</v>
      </c>
      <c r="D1613" s="35" t="s">
        <v>4565</v>
      </c>
      <c r="E1613" s="35" t="s">
        <v>12023</v>
      </c>
      <c r="F1613" s="35" t="s">
        <v>11955</v>
      </c>
      <c r="G1613" s="35">
        <v>250900</v>
      </c>
      <c r="H1613" s="35">
        <v>290090</v>
      </c>
      <c r="I1613" s="35">
        <v>200008</v>
      </c>
      <c r="J1613" s="34" t="s">
        <v>311</v>
      </c>
      <c r="K1613" s="34" t="str">
        <f t="shared" si="51"/>
        <v>不重复</v>
      </c>
      <c r="L1613" s="34" t="str">
        <f t="shared" si="52"/>
        <v>重复</v>
      </c>
    </row>
    <row r="1614" spans="1:12" ht="30">
      <c r="A1614" s="35" t="s">
        <v>12024</v>
      </c>
      <c r="B1614" s="35" t="s">
        <v>4566</v>
      </c>
      <c r="C1614" s="36" t="s">
        <v>1156</v>
      </c>
      <c r="D1614" s="35" t="s">
        <v>4567</v>
      </c>
      <c r="E1614" s="35" t="s">
        <v>12023</v>
      </c>
      <c r="F1614" s="35" t="s">
        <v>11955</v>
      </c>
      <c r="G1614" s="35">
        <v>250901</v>
      </c>
      <c r="H1614" s="35">
        <v>290090</v>
      </c>
      <c r="I1614" s="35">
        <v>200008</v>
      </c>
      <c r="J1614" s="34" t="s">
        <v>2624</v>
      </c>
      <c r="K1614" s="34" t="str">
        <f t="shared" si="51"/>
        <v>重复</v>
      </c>
      <c r="L1614" s="34" t="str">
        <f t="shared" si="52"/>
        <v>不重复</v>
      </c>
    </row>
    <row r="1615" spans="1:12" ht="30">
      <c r="A1615" s="35" t="s">
        <v>12025</v>
      </c>
      <c r="B1615" s="35" t="s">
        <v>4568</v>
      </c>
      <c r="C1615" s="36" t="s">
        <v>717</v>
      </c>
      <c r="D1615" s="35" t="s">
        <v>4569</v>
      </c>
      <c r="E1615" s="35" t="s">
        <v>12023</v>
      </c>
      <c r="F1615" s="35" t="s">
        <v>11955</v>
      </c>
      <c r="G1615" s="35">
        <v>250902</v>
      </c>
      <c r="H1615" s="35">
        <v>290090</v>
      </c>
      <c r="I1615" s="35">
        <v>200008</v>
      </c>
      <c r="J1615" s="34" t="s">
        <v>152</v>
      </c>
      <c r="K1615" s="34" t="str">
        <f t="shared" si="51"/>
        <v>重复</v>
      </c>
      <c r="L1615" s="34" t="str">
        <f t="shared" si="52"/>
        <v>不重复</v>
      </c>
    </row>
    <row r="1616" spans="1:12" ht="30">
      <c r="A1616" s="35" t="s">
        <v>12026</v>
      </c>
      <c r="B1616" s="35" t="s">
        <v>4570</v>
      </c>
      <c r="C1616" s="36" t="s">
        <v>4571</v>
      </c>
      <c r="D1616" s="35" t="s">
        <v>4572</v>
      </c>
      <c r="E1616" s="35" t="s">
        <v>12023</v>
      </c>
      <c r="F1616" s="35" t="s">
        <v>11955</v>
      </c>
      <c r="G1616" s="35">
        <v>250903</v>
      </c>
      <c r="H1616" s="35">
        <v>290090</v>
      </c>
      <c r="I1616" s="35">
        <v>200008</v>
      </c>
      <c r="J1616" s="34" t="s">
        <v>152</v>
      </c>
      <c r="K1616" s="34" t="str">
        <f t="shared" si="51"/>
        <v>重复</v>
      </c>
      <c r="L1616" s="34" t="str">
        <f t="shared" si="52"/>
        <v>不重复</v>
      </c>
    </row>
    <row r="1617" spans="1:12" ht="30">
      <c r="A1617" s="35" t="s">
        <v>12027</v>
      </c>
      <c r="B1617" s="35" t="s">
        <v>4573</v>
      </c>
      <c r="C1617" s="36" t="s">
        <v>4574</v>
      </c>
      <c r="D1617" s="35" t="s">
        <v>4565</v>
      </c>
      <c r="E1617" s="35" t="s">
        <v>12023</v>
      </c>
      <c r="F1617" s="35" t="s">
        <v>11955</v>
      </c>
      <c r="G1617" s="35">
        <v>250904</v>
      </c>
      <c r="H1617" s="35">
        <v>290090</v>
      </c>
      <c r="I1617" s="35">
        <v>200008</v>
      </c>
      <c r="J1617" s="34" t="s">
        <v>1134</v>
      </c>
      <c r="K1617" s="34" t="str">
        <f t="shared" si="51"/>
        <v>重复</v>
      </c>
      <c r="L1617" s="34" t="str">
        <f t="shared" si="52"/>
        <v>重复</v>
      </c>
    </row>
    <row r="1618" spans="1:12" ht="30">
      <c r="A1618" s="35" t="s">
        <v>12028</v>
      </c>
      <c r="B1618" s="35" t="s">
        <v>4575</v>
      </c>
      <c r="C1618" s="36" t="s">
        <v>706</v>
      </c>
      <c r="D1618" s="35" t="s">
        <v>4576</v>
      </c>
      <c r="E1618" s="35" t="s">
        <v>12023</v>
      </c>
      <c r="F1618" s="35" t="s">
        <v>11955</v>
      </c>
      <c r="G1618" s="35">
        <v>250905</v>
      </c>
      <c r="H1618" s="35">
        <v>290090</v>
      </c>
      <c r="I1618" s="35">
        <v>200008</v>
      </c>
      <c r="J1618" s="34" t="s">
        <v>152</v>
      </c>
      <c r="K1618" s="34" t="str">
        <f t="shared" si="51"/>
        <v>重复</v>
      </c>
      <c r="L1618" s="34" t="str">
        <f t="shared" si="52"/>
        <v>不重复</v>
      </c>
    </row>
    <row r="1619" spans="1:12" ht="30">
      <c r="A1619" s="35" t="s">
        <v>12029</v>
      </c>
      <c r="B1619" s="35" t="s">
        <v>4577</v>
      </c>
      <c r="C1619" s="36" t="s">
        <v>4578</v>
      </c>
      <c r="D1619" s="35" t="s">
        <v>4579</v>
      </c>
      <c r="E1619" s="35" t="s">
        <v>12023</v>
      </c>
      <c r="F1619" s="35" t="s">
        <v>11955</v>
      </c>
      <c r="G1619" s="35">
        <v>250906</v>
      </c>
      <c r="H1619" s="35">
        <v>290090</v>
      </c>
      <c r="I1619" s="35">
        <v>200008</v>
      </c>
      <c r="J1619" s="34" t="s">
        <v>2573</v>
      </c>
      <c r="K1619" s="34" t="str">
        <f t="shared" si="51"/>
        <v>不重复</v>
      </c>
      <c r="L1619" s="34" t="str">
        <f t="shared" si="52"/>
        <v>不重复</v>
      </c>
    </row>
    <row r="1620" spans="1:12" ht="30">
      <c r="A1620" s="35" t="s">
        <v>12030</v>
      </c>
      <c r="B1620" s="35" t="s">
        <v>4580</v>
      </c>
      <c r="C1620" s="36" t="s">
        <v>4581</v>
      </c>
      <c r="D1620" s="35" t="s">
        <v>4582</v>
      </c>
      <c r="E1620" s="35" t="s">
        <v>12023</v>
      </c>
      <c r="F1620" s="35" t="s">
        <v>11955</v>
      </c>
      <c r="G1620" s="35">
        <v>250907</v>
      </c>
      <c r="H1620" s="35">
        <v>290090</v>
      </c>
      <c r="I1620" s="35">
        <v>200008</v>
      </c>
      <c r="J1620" s="34" t="s">
        <v>2630</v>
      </c>
      <c r="K1620" s="34" t="str">
        <f t="shared" si="51"/>
        <v>不重复</v>
      </c>
      <c r="L1620" s="34" t="str">
        <f t="shared" si="52"/>
        <v>不重复</v>
      </c>
    </row>
    <row r="1621" spans="1:12" ht="30">
      <c r="A1621" s="35" t="s">
        <v>12031</v>
      </c>
      <c r="B1621" s="35" t="s">
        <v>4583</v>
      </c>
      <c r="C1621" s="36" t="s">
        <v>4584</v>
      </c>
      <c r="D1621" s="35" t="s">
        <v>4585</v>
      </c>
      <c r="E1621" s="35" t="s">
        <v>12023</v>
      </c>
      <c r="F1621" s="35" t="s">
        <v>11955</v>
      </c>
      <c r="G1621" s="35">
        <v>250908</v>
      </c>
      <c r="H1621" s="35">
        <v>290090</v>
      </c>
      <c r="I1621" s="35">
        <v>200008</v>
      </c>
      <c r="J1621" s="34" t="s">
        <v>3263</v>
      </c>
      <c r="K1621" s="34" t="str">
        <f t="shared" si="51"/>
        <v>不重复</v>
      </c>
      <c r="L1621" s="34" t="str">
        <f t="shared" si="52"/>
        <v>不重复</v>
      </c>
    </row>
    <row r="1622" spans="1:12" ht="15">
      <c r="A1622" s="35" t="s">
        <v>12032</v>
      </c>
      <c r="B1622" s="35" t="s">
        <v>4586</v>
      </c>
      <c r="C1622" s="36" t="s">
        <v>4587</v>
      </c>
      <c r="D1622" s="35" t="s">
        <v>4588</v>
      </c>
      <c r="E1622" s="35" t="s">
        <v>12032</v>
      </c>
      <c r="F1622" s="35" t="s">
        <v>11955</v>
      </c>
      <c r="G1622" s="35">
        <v>251000</v>
      </c>
      <c r="H1622" s="35">
        <v>290100</v>
      </c>
      <c r="I1622" s="35">
        <v>200008</v>
      </c>
      <c r="J1622" s="34" t="s">
        <v>16</v>
      </c>
      <c r="K1622" s="34" t="str">
        <f t="shared" si="53" ref="K1622:K1685">IF(COUNTIF(C:C,C1622)&gt;=2,"重复","不重复")</f>
        <v>不重复</v>
      </c>
      <c r="L1622" s="34" t="str">
        <f t="shared" si="52"/>
        <v>不重复</v>
      </c>
    </row>
    <row r="1623" spans="1:12" ht="15">
      <c r="A1623" s="35" t="s">
        <v>12033</v>
      </c>
      <c r="B1623" s="35" t="s">
        <v>4589</v>
      </c>
      <c r="C1623" s="36" t="s">
        <v>4590</v>
      </c>
      <c r="D1623" s="35" t="s">
        <v>4591</v>
      </c>
      <c r="E1623" s="35" t="s">
        <v>12032</v>
      </c>
      <c r="F1623" s="35" t="s">
        <v>11955</v>
      </c>
      <c r="G1623" s="35">
        <v>251001</v>
      </c>
      <c r="H1623" s="35">
        <v>290100</v>
      </c>
      <c r="I1623" s="35">
        <v>200008</v>
      </c>
      <c r="J1623" s="34" t="s">
        <v>2240</v>
      </c>
      <c r="K1623" s="34" t="str">
        <f t="shared" si="53"/>
        <v>不重复</v>
      </c>
      <c r="L1623" s="34" t="str">
        <f t="shared" si="52"/>
        <v>不重复</v>
      </c>
    </row>
    <row r="1624" spans="1:12" ht="15">
      <c r="A1624" s="35" t="s">
        <v>12034</v>
      </c>
      <c r="B1624" s="35" t="s">
        <v>4592</v>
      </c>
      <c r="C1624" s="36" t="s">
        <v>4593</v>
      </c>
      <c r="D1624" s="35" t="s">
        <v>4594</v>
      </c>
      <c r="E1624" s="35" t="s">
        <v>12032</v>
      </c>
      <c r="F1624" s="35" t="s">
        <v>11955</v>
      </c>
      <c r="G1624" s="35">
        <v>251002</v>
      </c>
      <c r="H1624" s="35">
        <v>290100</v>
      </c>
      <c r="I1624" s="35">
        <v>200008</v>
      </c>
      <c r="J1624" s="34" t="s">
        <v>4595</v>
      </c>
      <c r="K1624" s="34" t="str">
        <f t="shared" si="53"/>
        <v>不重复</v>
      </c>
      <c r="L1624" s="34" t="str">
        <f t="shared" si="52"/>
        <v>不重复</v>
      </c>
    </row>
    <row r="1625" spans="1:12" ht="27">
      <c r="A1625" s="35" t="s">
        <v>12035</v>
      </c>
      <c r="B1625" s="35" t="s">
        <v>4596</v>
      </c>
      <c r="C1625" s="36" t="s">
        <v>1009</v>
      </c>
      <c r="D1625" s="35" t="s">
        <v>4597</v>
      </c>
      <c r="E1625" s="35" t="s">
        <v>12032</v>
      </c>
      <c r="F1625" s="35" t="s">
        <v>11955</v>
      </c>
      <c r="G1625" s="35">
        <v>251003</v>
      </c>
      <c r="H1625" s="35">
        <v>290100</v>
      </c>
      <c r="I1625" s="35">
        <v>200008</v>
      </c>
      <c r="J1625" s="34" t="s">
        <v>1110</v>
      </c>
      <c r="K1625" s="34" t="str">
        <f t="shared" si="53"/>
        <v>重复</v>
      </c>
      <c r="L1625" s="34" t="str">
        <f t="shared" si="52"/>
        <v>重复</v>
      </c>
    </row>
    <row r="1626" spans="1:12" ht="40.5">
      <c r="A1626" s="35" t="s">
        <v>12036</v>
      </c>
      <c r="B1626" s="35" t="s">
        <v>4596</v>
      </c>
      <c r="C1626" s="36" t="s">
        <v>4598</v>
      </c>
      <c r="D1626" s="35" t="s">
        <v>4597</v>
      </c>
      <c r="E1626" s="35" t="s">
        <v>12032</v>
      </c>
      <c r="F1626" s="35" t="s">
        <v>11955</v>
      </c>
      <c r="G1626" s="35">
        <v>251004</v>
      </c>
      <c r="H1626" s="35">
        <v>290100</v>
      </c>
      <c r="I1626" s="35">
        <v>200008</v>
      </c>
      <c r="J1626" s="34" t="s">
        <v>1110</v>
      </c>
      <c r="K1626" s="34" t="str">
        <f t="shared" si="53"/>
        <v>不重复</v>
      </c>
      <c r="L1626" s="34" t="str">
        <f t="shared" si="52"/>
        <v>重复</v>
      </c>
    </row>
    <row r="1627" spans="1:12" ht="27">
      <c r="A1627" s="35" t="s">
        <v>12037</v>
      </c>
      <c r="B1627" s="35" t="s">
        <v>4596</v>
      </c>
      <c r="C1627" s="36" t="s">
        <v>3353</v>
      </c>
      <c r="D1627" s="35" t="s">
        <v>4597</v>
      </c>
      <c r="E1627" s="35" t="s">
        <v>12032</v>
      </c>
      <c r="F1627" s="35" t="s">
        <v>11955</v>
      </c>
      <c r="G1627" s="35">
        <v>251005</v>
      </c>
      <c r="H1627" s="35">
        <v>290100</v>
      </c>
      <c r="I1627" s="35">
        <v>200008</v>
      </c>
      <c r="J1627" s="34" t="s">
        <v>2338</v>
      </c>
      <c r="K1627" s="34" t="str">
        <f t="shared" si="53"/>
        <v>重复</v>
      </c>
      <c r="L1627" s="34" t="str">
        <f t="shared" si="52"/>
        <v>重复</v>
      </c>
    </row>
    <row r="1628" spans="1:12" ht="27">
      <c r="A1628" s="35" t="s">
        <v>12038</v>
      </c>
      <c r="B1628" s="35" t="s">
        <v>4596</v>
      </c>
      <c r="C1628" s="36" t="s">
        <v>4599</v>
      </c>
      <c r="D1628" s="35" t="s">
        <v>4597</v>
      </c>
      <c r="E1628" s="35" t="s">
        <v>12032</v>
      </c>
      <c r="F1628" s="35" t="s">
        <v>11955</v>
      </c>
      <c r="G1628" s="35">
        <v>251006</v>
      </c>
      <c r="H1628" s="35">
        <v>290100</v>
      </c>
      <c r="I1628" s="35">
        <v>200008</v>
      </c>
      <c r="J1628" s="34" t="s">
        <v>1057</v>
      </c>
      <c r="K1628" s="34" t="str">
        <f t="shared" si="53"/>
        <v>不重复</v>
      </c>
      <c r="L1628" s="34" t="str">
        <f t="shared" si="52"/>
        <v>重复</v>
      </c>
    </row>
    <row r="1629" spans="1:12" ht="27">
      <c r="A1629" s="35" t="s">
        <v>12039</v>
      </c>
      <c r="B1629" s="35" t="s">
        <v>4600</v>
      </c>
      <c r="C1629" s="36" t="s">
        <v>4601</v>
      </c>
      <c r="D1629" s="35" t="s">
        <v>4602</v>
      </c>
      <c r="E1629" s="35" t="s">
        <v>12032</v>
      </c>
      <c r="F1629" s="35" t="s">
        <v>11955</v>
      </c>
      <c r="G1629" s="35">
        <v>251007</v>
      </c>
      <c r="H1629" s="35">
        <v>290100</v>
      </c>
      <c r="I1629" s="35">
        <v>200008</v>
      </c>
      <c r="J1629" s="34" t="s">
        <v>3058</v>
      </c>
      <c r="K1629" s="34" t="str">
        <f t="shared" si="53"/>
        <v>不重复</v>
      </c>
      <c r="L1629" s="34" t="str">
        <f t="shared" si="52"/>
        <v>不重复</v>
      </c>
    </row>
    <row r="1630" spans="1:12" ht="27">
      <c r="A1630" s="35" t="s">
        <v>12040</v>
      </c>
      <c r="B1630" s="35" t="s">
        <v>4603</v>
      </c>
      <c r="C1630" s="36" t="s">
        <v>4604</v>
      </c>
      <c r="D1630" s="35" t="s">
        <v>4605</v>
      </c>
      <c r="E1630" s="35" t="s">
        <v>12032</v>
      </c>
      <c r="F1630" s="35" t="s">
        <v>11955</v>
      </c>
      <c r="G1630" s="35">
        <v>251008</v>
      </c>
      <c r="H1630" s="35">
        <v>290100</v>
      </c>
      <c r="I1630" s="35">
        <v>200008</v>
      </c>
      <c r="J1630" s="34" t="s">
        <v>2219</v>
      </c>
      <c r="K1630" s="34" t="str">
        <f t="shared" si="53"/>
        <v>不重复</v>
      </c>
      <c r="L1630" s="34" t="str">
        <f t="shared" si="52"/>
        <v>不重复</v>
      </c>
    </row>
    <row r="1631" spans="1:12" ht="27">
      <c r="A1631" s="35" t="s">
        <v>12041</v>
      </c>
      <c r="B1631" s="35" t="s">
        <v>4606</v>
      </c>
      <c r="C1631" s="36" t="s">
        <v>4607</v>
      </c>
      <c r="D1631" s="35" t="s">
        <v>4608</v>
      </c>
      <c r="E1631" s="35" t="s">
        <v>12032</v>
      </c>
      <c r="F1631" s="35" t="s">
        <v>11955</v>
      </c>
      <c r="G1631" s="35">
        <v>251009</v>
      </c>
      <c r="H1631" s="35">
        <v>290100</v>
      </c>
      <c r="I1631" s="35">
        <v>200008</v>
      </c>
      <c r="J1631" s="34" t="s">
        <v>4088</v>
      </c>
      <c r="K1631" s="34" t="str">
        <f t="shared" si="53"/>
        <v>不重复</v>
      </c>
      <c r="L1631" s="34" t="str">
        <f t="shared" si="52"/>
        <v>不重复</v>
      </c>
    </row>
    <row r="1632" spans="1:12" ht="27">
      <c r="A1632" s="35" t="s">
        <v>12042</v>
      </c>
      <c r="B1632" s="35" t="s">
        <v>4609</v>
      </c>
      <c r="C1632" s="36" t="s">
        <v>4610</v>
      </c>
      <c r="D1632" s="35" t="s">
        <v>4611</v>
      </c>
      <c r="E1632" s="35" t="s">
        <v>12032</v>
      </c>
      <c r="F1632" s="35" t="s">
        <v>11955</v>
      </c>
      <c r="G1632" s="35">
        <v>251010</v>
      </c>
      <c r="H1632" s="35">
        <v>290100</v>
      </c>
      <c r="I1632" s="35">
        <v>200008</v>
      </c>
      <c r="J1632" s="34" t="s">
        <v>4612</v>
      </c>
      <c r="K1632" s="34" t="str">
        <f t="shared" si="53"/>
        <v>重复</v>
      </c>
      <c r="L1632" s="34" t="str">
        <f t="shared" si="52"/>
        <v>不重复</v>
      </c>
    </row>
    <row r="1633" spans="1:12" ht="27">
      <c r="A1633" s="35" t="s">
        <v>12043</v>
      </c>
      <c r="B1633" s="35" t="s">
        <v>4613</v>
      </c>
      <c r="C1633" s="36" t="s">
        <v>4614</v>
      </c>
      <c r="D1633" s="35" t="s">
        <v>4615</v>
      </c>
      <c r="E1633" s="35" t="s">
        <v>12032</v>
      </c>
      <c r="F1633" s="35" t="s">
        <v>11955</v>
      </c>
      <c r="G1633" s="35">
        <v>251011</v>
      </c>
      <c r="H1633" s="35">
        <v>290100</v>
      </c>
      <c r="I1633" s="35">
        <v>200008</v>
      </c>
      <c r="J1633" s="34" t="s">
        <v>4616</v>
      </c>
      <c r="K1633" s="34" t="str">
        <f t="shared" si="53"/>
        <v>不重复</v>
      </c>
      <c r="L1633" s="34" t="str">
        <f t="shared" si="52"/>
        <v>不重复</v>
      </c>
    </row>
    <row r="1634" spans="1:12" ht="27">
      <c r="A1634" s="35" t="s">
        <v>12044</v>
      </c>
      <c r="B1634" s="35" t="s">
        <v>4617</v>
      </c>
      <c r="C1634" s="36" t="s">
        <v>4618</v>
      </c>
      <c r="D1634" s="35" t="s">
        <v>4619</v>
      </c>
      <c r="E1634" s="35" t="s">
        <v>12032</v>
      </c>
      <c r="F1634" s="35" t="s">
        <v>11955</v>
      </c>
      <c r="G1634" s="35">
        <v>251012</v>
      </c>
      <c r="H1634" s="35">
        <v>290100</v>
      </c>
      <c r="I1634" s="35">
        <v>200008</v>
      </c>
      <c r="J1634" s="34" t="s">
        <v>1186</v>
      </c>
      <c r="K1634" s="34" t="str">
        <f t="shared" si="53"/>
        <v>不重复</v>
      </c>
      <c r="L1634" s="34" t="str">
        <f t="shared" si="52"/>
        <v>重复</v>
      </c>
    </row>
    <row r="1635" spans="1:12" ht="30">
      <c r="A1635" s="35" t="s">
        <v>12045</v>
      </c>
      <c r="B1635" s="35" t="s">
        <v>4620</v>
      </c>
      <c r="C1635" s="36" t="s">
        <v>4621</v>
      </c>
      <c r="D1635" s="35" t="s">
        <v>4622</v>
      </c>
      <c r="E1635" s="35" t="s">
        <v>12032</v>
      </c>
      <c r="F1635" s="35" t="s">
        <v>11955</v>
      </c>
      <c r="G1635" s="35">
        <v>251013</v>
      </c>
      <c r="H1635" s="35">
        <v>290100</v>
      </c>
      <c r="I1635" s="35">
        <v>200008</v>
      </c>
      <c r="J1635" s="34" t="s">
        <v>1114</v>
      </c>
      <c r="K1635" s="34" t="str">
        <f t="shared" si="53"/>
        <v>不重复</v>
      </c>
      <c r="L1635" s="34" t="str">
        <f t="shared" si="52"/>
        <v>不重复</v>
      </c>
    </row>
    <row r="1636" spans="1:12" ht="27">
      <c r="A1636" s="35" t="s">
        <v>12046</v>
      </c>
      <c r="B1636" s="35" t="s">
        <v>4623</v>
      </c>
      <c r="C1636" s="36" t="s">
        <v>4624</v>
      </c>
      <c r="D1636" s="35" t="s">
        <v>4625</v>
      </c>
      <c r="E1636" s="35" t="s">
        <v>12032</v>
      </c>
      <c r="F1636" s="35" t="s">
        <v>11955</v>
      </c>
      <c r="G1636" s="35">
        <v>251014</v>
      </c>
      <c r="H1636" s="35">
        <v>290100</v>
      </c>
      <c r="I1636" s="35">
        <v>200008</v>
      </c>
      <c r="J1636" s="34" t="s">
        <v>2240</v>
      </c>
      <c r="K1636" s="34" t="str">
        <f t="shared" si="53"/>
        <v>不重复</v>
      </c>
      <c r="L1636" s="34" t="str">
        <f t="shared" si="52"/>
        <v>不重复</v>
      </c>
    </row>
    <row r="1637" spans="1:12" ht="30">
      <c r="A1637" s="35" t="s">
        <v>12047</v>
      </c>
      <c r="B1637" s="35" t="s">
        <v>4626</v>
      </c>
      <c r="C1637" s="36" t="s">
        <v>4627</v>
      </c>
      <c r="D1637" s="35" t="s">
        <v>4628</v>
      </c>
      <c r="E1637" s="35" t="s">
        <v>12032</v>
      </c>
      <c r="F1637" s="35" t="s">
        <v>11955</v>
      </c>
      <c r="G1637" s="35">
        <v>251015</v>
      </c>
      <c r="H1637" s="35">
        <v>290100</v>
      </c>
      <c r="I1637" s="35">
        <v>200008</v>
      </c>
      <c r="J1637" s="34" t="s">
        <v>1057</v>
      </c>
      <c r="K1637" s="34" t="str">
        <f t="shared" si="53"/>
        <v>不重复</v>
      </c>
      <c r="L1637" s="34" t="str">
        <f t="shared" si="52"/>
        <v>不重复</v>
      </c>
    </row>
    <row r="1638" spans="1:12" ht="30">
      <c r="A1638" s="35" t="s">
        <v>12048</v>
      </c>
      <c r="B1638" s="35" t="s">
        <v>4629</v>
      </c>
      <c r="C1638" s="36" t="s">
        <v>4630</v>
      </c>
      <c r="D1638" s="35" t="s">
        <v>4631</v>
      </c>
      <c r="E1638" s="35" t="s">
        <v>12032</v>
      </c>
      <c r="F1638" s="35" t="s">
        <v>11955</v>
      </c>
      <c r="G1638" s="35">
        <v>251016</v>
      </c>
      <c r="H1638" s="35">
        <v>290100</v>
      </c>
      <c r="I1638" s="35">
        <v>200008</v>
      </c>
      <c r="J1638" s="34" t="s">
        <v>4612</v>
      </c>
      <c r="K1638" s="34" t="str">
        <f t="shared" si="53"/>
        <v>不重复</v>
      </c>
      <c r="L1638" s="34" t="str">
        <f t="shared" si="52"/>
        <v>重复</v>
      </c>
    </row>
    <row r="1639" spans="1:12" ht="30">
      <c r="A1639" s="35" t="s">
        <v>12049</v>
      </c>
      <c r="B1639" s="35" t="s">
        <v>4632</v>
      </c>
      <c r="C1639" s="36" t="s">
        <v>3356</v>
      </c>
      <c r="D1639" s="35" t="s">
        <v>4633</v>
      </c>
      <c r="E1639" s="35" t="s">
        <v>12032</v>
      </c>
      <c r="F1639" s="35" t="s">
        <v>11955</v>
      </c>
      <c r="G1639" s="35">
        <v>251017</v>
      </c>
      <c r="H1639" s="35">
        <v>290100</v>
      </c>
      <c r="I1639" s="35">
        <v>200008</v>
      </c>
      <c r="J1639" s="34" t="s">
        <v>1057</v>
      </c>
      <c r="K1639" s="34" t="str">
        <f t="shared" si="53"/>
        <v>重复</v>
      </c>
      <c r="L1639" s="34" t="str">
        <f t="shared" si="52"/>
        <v>重复</v>
      </c>
    </row>
    <row r="1640" spans="1:12" ht="15">
      <c r="A1640" s="35" t="s">
        <v>12050</v>
      </c>
      <c r="B1640" s="35" t="s">
        <v>4634</v>
      </c>
      <c r="C1640" s="36" t="s">
        <v>4635</v>
      </c>
      <c r="D1640" s="35" t="s">
        <v>4619</v>
      </c>
      <c r="E1640" s="35" t="s">
        <v>12032</v>
      </c>
      <c r="F1640" s="35" t="s">
        <v>11955</v>
      </c>
      <c r="G1640" s="35">
        <v>251018</v>
      </c>
      <c r="H1640" s="35">
        <v>290100</v>
      </c>
      <c r="I1640" s="35">
        <v>200008</v>
      </c>
      <c r="J1640" s="34" t="s">
        <v>1186</v>
      </c>
      <c r="K1640" s="34" t="str">
        <f t="shared" si="53"/>
        <v>重复</v>
      </c>
      <c r="L1640" s="34" t="str">
        <f t="shared" si="52"/>
        <v>重复</v>
      </c>
    </row>
    <row r="1641" spans="1:12" ht="30">
      <c r="A1641" s="35" t="s">
        <v>12051</v>
      </c>
      <c r="B1641" s="35" t="s">
        <v>4636</v>
      </c>
      <c r="C1641" s="36" t="s">
        <v>4637</v>
      </c>
      <c r="D1641" s="35" t="s">
        <v>4638</v>
      </c>
      <c r="E1641" s="35" t="s">
        <v>12032</v>
      </c>
      <c r="F1641" s="35" t="s">
        <v>11955</v>
      </c>
      <c r="G1641" s="35">
        <v>251019</v>
      </c>
      <c r="H1641" s="35">
        <v>290100</v>
      </c>
      <c r="I1641" s="35">
        <v>200008</v>
      </c>
      <c r="J1641" s="34" t="s">
        <v>4639</v>
      </c>
      <c r="K1641" s="34" t="str">
        <f t="shared" si="53"/>
        <v>重复</v>
      </c>
      <c r="L1641" s="34" t="str">
        <f t="shared" si="54" ref="L1641:L1704">IF(COUNTIF(D:D,D1641)&gt;=2,"重复","不重复")</f>
        <v>不重复</v>
      </c>
    </row>
    <row r="1642" spans="1:12" ht="27">
      <c r="A1642" s="35" t="s">
        <v>12052</v>
      </c>
      <c r="B1642" s="35" t="s">
        <v>4640</v>
      </c>
      <c r="C1642" s="36" t="s">
        <v>4495</v>
      </c>
      <c r="D1642" s="35" t="s">
        <v>4631</v>
      </c>
      <c r="E1642" s="35" t="s">
        <v>12032</v>
      </c>
      <c r="F1642" s="35" t="s">
        <v>11955</v>
      </c>
      <c r="G1642" s="35">
        <v>251020</v>
      </c>
      <c r="H1642" s="35">
        <v>290100</v>
      </c>
      <c r="I1642" s="35">
        <v>200008</v>
      </c>
      <c r="J1642" s="34" t="s">
        <v>1057</v>
      </c>
      <c r="K1642" s="34" t="str">
        <f t="shared" si="53"/>
        <v>重复</v>
      </c>
      <c r="L1642" s="34" t="str">
        <f t="shared" si="54"/>
        <v>重复</v>
      </c>
    </row>
    <row r="1643" spans="1:12" ht="27">
      <c r="A1643" s="35" t="s">
        <v>12053</v>
      </c>
      <c r="B1643" s="35" t="s">
        <v>4641</v>
      </c>
      <c r="C1643" s="36" t="s">
        <v>4642</v>
      </c>
      <c r="D1643" s="35" t="s">
        <v>4643</v>
      </c>
      <c r="E1643" s="35" t="s">
        <v>12032</v>
      </c>
      <c r="F1643" s="35" t="s">
        <v>11955</v>
      </c>
      <c r="G1643" s="35">
        <v>251021</v>
      </c>
      <c r="H1643" s="35">
        <v>290100</v>
      </c>
      <c r="I1643" s="35">
        <v>200008</v>
      </c>
      <c r="J1643" s="34" t="s">
        <v>4644</v>
      </c>
      <c r="K1643" s="34" t="str">
        <f t="shared" si="53"/>
        <v>不重复</v>
      </c>
      <c r="L1643" s="34" t="str">
        <f t="shared" si="54"/>
        <v>不重复</v>
      </c>
    </row>
    <row r="1644" spans="1:12" ht="30">
      <c r="A1644" s="35" t="s">
        <v>12054</v>
      </c>
      <c r="B1644" s="35" t="s">
        <v>4645</v>
      </c>
      <c r="C1644" s="36" t="s">
        <v>4646</v>
      </c>
      <c r="D1644" s="35" t="s">
        <v>4647</v>
      </c>
      <c r="E1644" s="35" t="s">
        <v>12032</v>
      </c>
      <c r="F1644" s="35" t="s">
        <v>11955</v>
      </c>
      <c r="G1644" s="35">
        <v>251022</v>
      </c>
      <c r="H1644" s="35">
        <v>290100</v>
      </c>
      <c r="I1644" s="35">
        <v>200008</v>
      </c>
      <c r="J1644" s="34" t="s">
        <v>4639</v>
      </c>
      <c r="K1644" s="34" t="str">
        <f t="shared" si="53"/>
        <v>不重复</v>
      </c>
      <c r="L1644" s="34" t="str">
        <f t="shared" si="54"/>
        <v>不重复</v>
      </c>
    </row>
    <row r="1645" spans="1:12" ht="15">
      <c r="A1645" s="35" t="s">
        <v>12055</v>
      </c>
      <c r="B1645" s="35" t="s">
        <v>4648</v>
      </c>
      <c r="C1645" s="36" t="s">
        <v>127</v>
      </c>
      <c r="D1645" s="35" t="s">
        <v>4649</v>
      </c>
      <c r="E1645" s="35" t="s">
        <v>12032</v>
      </c>
      <c r="F1645" s="35" t="s">
        <v>11955</v>
      </c>
      <c r="G1645" s="35">
        <v>251023</v>
      </c>
      <c r="H1645" s="35">
        <v>290100</v>
      </c>
      <c r="I1645" s="35">
        <v>200008</v>
      </c>
      <c r="J1645" s="34" t="s">
        <v>2317</v>
      </c>
      <c r="K1645" s="34" t="str">
        <f t="shared" si="53"/>
        <v>重复</v>
      </c>
      <c r="L1645" s="34" t="str">
        <f t="shared" si="54"/>
        <v>重复</v>
      </c>
    </row>
    <row r="1646" spans="1:12" ht="30">
      <c r="A1646" s="35" t="s">
        <v>12056</v>
      </c>
      <c r="B1646" s="35" t="s">
        <v>4650</v>
      </c>
      <c r="C1646" s="36" t="s">
        <v>4651</v>
      </c>
      <c r="D1646" s="35" t="s">
        <v>4652</v>
      </c>
      <c r="E1646" s="35" t="s">
        <v>12032</v>
      </c>
      <c r="F1646" s="35" t="s">
        <v>11955</v>
      </c>
      <c r="G1646" s="35">
        <v>251024</v>
      </c>
      <c r="H1646" s="35">
        <v>290100</v>
      </c>
      <c r="I1646" s="35">
        <v>200008</v>
      </c>
      <c r="J1646" s="34" t="s">
        <v>353</v>
      </c>
      <c r="K1646" s="34" t="str">
        <f t="shared" si="53"/>
        <v>不重复</v>
      </c>
      <c r="L1646" s="34" t="str">
        <f t="shared" si="54"/>
        <v>不重复</v>
      </c>
    </row>
    <row r="1647" spans="1:12" ht="15">
      <c r="A1647" s="35" t="s">
        <v>12057</v>
      </c>
      <c r="B1647" s="35" t="s">
        <v>4653</v>
      </c>
      <c r="C1647" s="36" t="s">
        <v>4654</v>
      </c>
      <c r="D1647" s="35" t="s">
        <v>3344</v>
      </c>
      <c r="E1647" s="35" t="s">
        <v>12032</v>
      </c>
      <c r="F1647" s="35" t="s">
        <v>11955</v>
      </c>
      <c r="G1647" s="35">
        <v>251025</v>
      </c>
      <c r="H1647" s="35">
        <v>290100</v>
      </c>
      <c r="I1647" s="35">
        <v>200008</v>
      </c>
      <c r="J1647" s="34" t="s">
        <v>2829</v>
      </c>
      <c r="K1647" s="34" t="str">
        <f t="shared" si="53"/>
        <v>不重复</v>
      </c>
      <c r="L1647" s="34" t="str">
        <f t="shared" si="54"/>
        <v>重复</v>
      </c>
    </row>
    <row r="1648" spans="1:12" ht="30">
      <c r="A1648" s="35" t="s">
        <v>12058</v>
      </c>
      <c r="B1648" s="35" t="s">
        <v>4655</v>
      </c>
      <c r="C1648" s="36" t="s">
        <v>4656</v>
      </c>
      <c r="D1648" s="35" t="s">
        <v>4657</v>
      </c>
      <c r="E1648" s="35" t="s">
        <v>12032</v>
      </c>
      <c r="F1648" s="35" t="s">
        <v>11955</v>
      </c>
      <c r="G1648" s="35">
        <v>251026</v>
      </c>
      <c r="H1648" s="35">
        <v>290100</v>
      </c>
      <c r="I1648" s="35">
        <v>200008</v>
      </c>
      <c r="J1648" s="34" t="s">
        <v>353</v>
      </c>
      <c r="K1648" s="34" t="str">
        <f t="shared" si="53"/>
        <v>不重复</v>
      </c>
      <c r="L1648" s="34" t="str">
        <f t="shared" si="54"/>
        <v>重复</v>
      </c>
    </row>
    <row r="1649" spans="1:12" ht="30">
      <c r="A1649" s="35" t="s">
        <v>12059</v>
      </c>
      <c r="B1649" s="35" t="s">
        <v>4658</v>
      </c>
      <c r="C1649" s="36" t="s">
        <v>4659</v>
      </c>
      <c r="D1649" s="35" t="s">
        <v>4649</v>
      </c>
      <c r="E1649" s="35" t="s">
        <v>12032</v>
      </c>
      <c r="F1649" s="35" t="s">
        <v>11955</v>
      </c>
      <c r="G1649" s="35">
        <v>251027</v>
      </c>
      <c r="H1649" s="35">
        <v>290100</v>
      </c>
      <c r="I1649" s="35">
        <v>200008</v>
      </c>
      <c r="J1649" s="34" t="s">
        <v>4660</v>
      </c>
      <c r="K1649" s="34" t="str">
        <f t="shared" si="53"/>
        <v>不重复</v>
      </c>
      <c r="L1649" s="34" t="str">
        <f t="shared" si="54"/>
        <v>重复</v>
      </c>
    </row>
    <row r="1650" spans="1:12" ht="15">
      <c r="A1650" s="35" t="s">
        <v>12060</v>
      </c>
      <c r="B1650" s="35" t="s">
        <v>4661</v>
      </c>
      <c r="C1650" s="36" t="s">
        <v>4662</v>
      </c>
      <c r="D1650" s="35" t="s">
        <v>4663</v>
      </c>
      <c r="E1650" s="35" t="s">
        <v>12032</v>
      </c>
      <c r="F1650" s="35" t="s">
        <v>11955</v>
      </c>
      <c r="G1650" s="35">
        <v>251028</v>
      </c>
      <c r="H1650" s="35">
        <v>290100</v>
      </c>
      <c r="I1650" s="35">
        <v>200008</v>
      </c>
      <c r="J1650" s="34" t="s">
        <v>3898</v>
      </c>
      <c r="K1650" s="34" t="str">
        <f t="shared" si="53"/>
        <v>不重复</v>
      </c>
      <c r="L1650" s="34" t="str">
        <f t="shared" si="54"/>
        <v>不重复</v>
      </c>
    </row>
    <row r="1651" spans="1:12" ht="30">
      <c r="A1651" s="35" t="s">
        <v>12061</v>
      </c>
      <c r="B1651" s="35" t="s">
        <v>4664</v>
      </c>
      <c r="C1651" s="36" t="s">
        <v>2604</v>
      </c>
      <c r="D1651" s="35" t="s">
        <v>4633</v>
      </c>
      <c r="E1651" s="35" t="s">
        <v>12032</v>
      </c>
      <c r="F1651" s="35" t="s">
        <v>11955</v>
      </c>
      <c r="G1651" s="35">
        <v>251029</v>
      </c>
      <c r="H1651" s="35">
        <v>290100</v>
      </c>
      <c r="I1651" s="35">
        <v>200008</v>
      </c>
      <c r="J1651" s="34" t="s">
        <v>2219</v>
      </c>
      <c r="K1651" s="34" t="str">
        <f t="shared" si="53"/>
        <v>重复</v>
      </c>
      <c r="L1651" s="34" t="str">
        <f t="shared" si="54"/>
        <v>重复</v>
      </c>
    </row>
    <row r="1652" spans="1:12" ht="30">
      <c r="A1652" s="35" t="s">
        <v>12062</v>
      </c>
      <c r="B1652" s="35" t="s">
        <v>4665</v>
      </c>
      <c r="C1652" s="36" t="s">
        <v>607</v>
      </c>
      <c r="D1652" s="35" t="s">
        <v>4666</v>
      </c>
      <c r="E1652" s="35" t="s">
        <v>12032</v>
      </c>
      <c r="F1652" s="35" t="s">
        <v>11955</v>
      </c>
      <c r="G1652" s="35">
        <v>251030</v>
      </c>
      <c r="H1652" s="35">
        <v>290100</v>
      </c>
      <c r="I1652" s="35">
        <v>200008</v>
      </c>
      <c r="J1652" s="34" t="s">
        <v>4667</v>
      </c>
      <c r="K1652" s="34" t="str">
        <f t="shared" si="53"/>
        <v>重复</v>
      </c>
      <c r="L1652" s="34" t="str">
        <f t="shared" si="54"/>
        <v>不重复</v>
      </c>
    </row>
    <row r="1653" spans="1:12" ht="15">
      <c r="A1653" s="35" t="s">
        <v>12063</v>
      </c>
      <c r="B1653" s="35" t="s">
        <v>4668</v>
      </c>
      <c r="C1653" s="36" t="s">
        <v>4669</v>
      </c>
      <c r="D1653" s="35" t="s">
        <v>4670</v>
      </c>
      <c r="E1653" s="35" t="s">
        <v>12032</v>
      </c>
      <c r="F1653" s="35" t="s">
        <v>11955</v>
      </c>
      <c r="G1653" s="35">
        <v>251031</v>
      </c>
      <c r="H1653" s="35">
        <v>290100</v>
      </c>
      <c r="I1653" s="35">
        <v>200008</v>
      </c>
      <c r="J1653" s="34" t="s">
        <v>2796</v>
      </c>
      <c r="K1653" s="34" t="str">
        <f t="shared" si="53"/>
        <v>不重复</v>
      </c>
      <c r="L1653" s="34" t="str">
        <f t="shared" si="54"/>
        <v>不重复</v>
      </c>
    </row>
    <row r="1654" spans="1:12" ht="30">
      <c r="A1654" s="35" t="s">
        <v>12064</v>
      </c>
      <c r="B1654" s="35" t="s">
        <v>4671</v>
      </c>
      <c r="C1654" s="36" t="s">
        <v>4672</v>
      </c>
      <c r="D1654" s="35" t="s">
        <v>4673</v>
      </c>
      <c r="E1654" s="35" t="s">
        <v>12032</v>
      </c>
      <c r="F1654" s="35" t="s">
        <v>11955</v>
      </c>
      <c r="G1654" s="35">
        <v>251032</v>
      </c>
      <c r="H1654" s="35">
        <v>290100</v>
      </c>
      <c r="I1654" s="35">
        <v>200008</v>
      </c>
      <c r="J1654" s="34" t="s">
        <v>1302</v>
      </c>
      <c r="K1654" s="34" t="str">
        <f t="shared" si="53"/>
        <v>不重复</v>
      </c>
      <c r="L1654" s="34" t="str">
        <f t="shared" si="54"/>
        <v>不重复</v>
      </c>
    </row>
    <row r="1655" spans="1:12" ht="30">
      <c r="A1655" s="35" t="s">
        <v>12065</v>
      </c>
      <c r="B1655" s="35" t="s">
        <v>4674</v>
      </c>
      <c r="C1655" s="36" t="s">
        <v>4675</v>
      </c>
      <c r="D1655" s="35" t="s">
        <v>4676</v>
      </c>
      <c r="E1655" s="35" t="s">
        <v>12032</v>
      </c>
      <c r="F1655" s="35" t="s">
        <v>11955</v>
      </c>
      <c r="G1655" s="35">
        <v>251033</v>
      </c>
      <c r="H1655" s="35">
        <v>290100</v>
      </c>
      <c r="I1655" s="35">
        <v>200008</v>
      </c>
      <c r="J1655" s="34" t="s">
        <v>4677</v>
      </c>
      <c r="K1655" s="34" t="str">
        <f t="shared" si="53"/>
        <v>重复</v>
      </c>
      <c r="L1655" s="34" t="str">
        <f t="shared" si="54"/>
        <v>重复</v>
      </c>
    </row>
    <row r="1656" spans="1:12" ht="30">
      <c r="A1656" s="35" t="s">
        <v>12066</v>
      </c>
      <c r="B1656" s="35" t="s">
        <v>4678</v>
      </c>
      <c r="C1656" s="36" t="s">
        <v>4679</v>
      </c>
      <c r="D1656" s="35" t="s">
        <v>1951</v>
      </c>
      <c r="E1656" s="35" t="s">
        <v>12032</v>
      </c>
      <c r="F1656" s="35" t="s">
        <v>11955</v>
      </c>
      <c r="G1656" s="35">
        <v>251034</v>
      </c>
      <c r="H1656" s="35">
        <v>290100</v>
      </c>
      <c r="I1656" s="35">
        <v>200008</v>
      </c>
      <c r="J1656" s="34" t="s">
        <v>711</v>
      </c>
      <c r="K1656" s="34" t="str">
        <f t="shared" si="53"/>
        <v>不重复</v>
      </c>
      <c r="L1656" s="34" t="str">
        <f t="shared" si="54"/>
        <v>重复</v>
      </c>
    </row>
    <row r="1657" spans="1:12" ht="30">
      <c r="A1657" s="35" t="s">
        <v>12067</v>
      </c>
      <c r="B1657" s="35" t="s">
        <v>4680</v>
      </c>
      <c r="C1657" s="36" t="s">
        <v>4681</v>
      </c>
      <c r="D1657" s="35" t="s">
        <v>4682</v>
      </c>
      <c r="E1657" s="35" t="s">
        <v>12032</v>
      </c>
      <c r="F1657" s="35" t="s">
        <v>11955</v>
      </c>
      <c r="G1657" s="35">
        <v>251035</v>
      </c>
      <c r="H1657" s="35">
        <v>290100</v>
      </c>
      <c r="I1657" s="35">
        <v>200008</v>
      </c>
      <c r="J1657" s="34" t="s">
        <v>3263</v>
      </c>
      <c r="K1657" s="34" t="str">
        <f t="shared" si="53"/>
        <v>重复</v>
      </c>
      <c r="L1657" s="34" t="str">
        <f t="shared" si="54"/>
        <v>不重复</v>
      </c>
    </row>
    <row r="1658" spans="1:12" ht="30">
      <c r="A1658" s="35" t="s">
        <v>12068</v>
      </c>
      <c r="B1658" s="35" t="s">
        <v>4683</v>
      </c>
      <c r="C1658" s="36" t="s">
        <v>4684</v>
      </c>
      <c r="D1658" s="35" t="s">
        <v>4685</v>
      </c>
      <c r="E1658" s="35" t="s">
        <v>12032</v>
      </c>
      <c r="F1658" s="35" t="s">
        <v>11955</v>
      </c>
      <c r="G1658" s="35">
        <v>251036</v>
      </c>
      <c r="H1658" s="35">
        <v>290100</v>
      </c>
      <c r="I1658" s="35">
        <v>200008</v>
      </c>
      <c r="J1658" s="34" t="s">
        <v>3568</v>
      </c>
      <c r="K1658" s="34" t="str">
        <f t="shared" si="53"/>
        <v>重复</v>
      </c>
      <c r="L1658" s="34" t="str">
        <f t="shared" si="54"/>
        <v>不重复</v>
      </c>
    </row>
    <row r="1659" spans="1:12" ht="15">
      <c r="A1659" s="35" t="s">
        <v>12069</v>
      </c>
      <c r="B1659" s="35" t="s">
        <v>4686</v>
      </c>
      <c r="C1659" s="36" t="s">
        <v>297</v>
      </c>
      <c r="D1659" s="35" t="s">
        <v>4687</v>
      </c>
      <c r="E1659" s="35" t="s">
        <v>12032</v>
      </c>
      <c r="F1659" s="35" t="s">
        <v>11955</v>
      </c>
      <c r="G1659" s="35">
        <v>251037</v>
      </c>
      <c r="H1659" s="35">
        <v>290100</v>
      </c>
      <c r="I1659" s="35">
        <v>200008</v>
      </c>
      <c r="J1659" s="34" t="s">
        <v>4688</v>
      </c>
      <c r="K1659" s="34" t="str">
        <f t="shared" si="53"/>
        <v>重复</v>
      </c>
      <c r="L1659" s="34" t="str">
        <f t="shared" si="54"/>
        <v>不重复</v>
      </c>
    </row>
    <row r="1660" spans="1:12" ht="30">
      <c r="A1660" s="35" t="s">
        <v>12070</v>
      </c>
      <c r="B1660" s="35" t="s">
        <v>4689</v>
      </c>
      <c r="C1660" s="36" t="s">
        <v>4690</v>
      </c>
      <c r="D1660" s="35" t="s">
        <v>4691</v>
      </c>
      <c r="E1660" s="35" t="s">
        <v>12032</v>
      </c>
      <c r="F1660" s="35" t="s">
        <v>11955</v>
      </c>
      <c r="G1660" s="35">
        <v>251038</v>
      </c>
      <c r="H1660" s="35">
        <v>290100</v>
      </c>
      <c r="I1660" s="35">
        <v>200008</v>
      </c>
      <c r="J1660" s="34" t="s">
        <v>711</v>
      </c>
      <c r="K1660" s="34" t="str">
        <f t="shared" si="53"/>
        <v>不重复</v>
      </c>
      <c r="L1660" s="34" t="str">
        <f t="shared" si="54"/>
        <v>不重复</v>
      </c>
    </row>
    <row r="1661" spans="1:12" ht="30">
      <c r="A1661" s="35" t="s">
        <v>12071</v>
      </c>
      <c r="B1661" s="35" t="s">
        <v>4692</v>
      </c>
      <c r="C1661" s="36" t="s">
        <v>4693</v>
      </c>
      <c r="D1661" s="35" t="s">
        <v>4694</v>
      </c>
      <c r="E1661" s="35" t="s">
        <v>12032</v>
      </c>
      <c r="F1661" s="35" t="s">
        <v>11955</v>
      </c>
      <c r="G1661" s="35">
        <v>251039</v>
      </c>
      <c r="H1661" s="35">
        <v>290100</v>
      </c>
      <c r="I1661" s="35">
        <v>200008</v>
      </c>
      <c r="J1661" s="34" t="s">
        <v>4695</v>
      </c>
      <c r="K1661" s="34" t="str">
        <f t="shared" si="53"/>
        <v>不重复</v>
      </c>
      <c r="L1661" s="34" t="str">
        <f t="shared" si="54"/>
        <v>重复</v>
      </c>
    </row>
    <row r="1662" spans="1:12" ht="30">
      <c r="A1662" s="35" t="s">
        <v>12072</v>
      </c>
      <c r="B1662" s="35" t="s">
        <v>4696</v>
      </c>
      <c r="C1662" s="36" t="s">
        <v>339</v>
      </c>
      <c r="D1662" s="35" t="s">
        <v>3831</v>
      </c>
      <c r="E1662" s="35" t="s">
        <v>12032</v>
      </c>
      <c r="F1662" s="35" t="s">
        <v>11955</v>
      </c>
      <c r="G1662" s="35">
        <v>251040</v>
      </c>
      <c r="H1662" s="35">
        <v>290100</v>
      </c>
      <c r="I1662" s="35">
        <v>200008</v>
      </c>
      <c r="J1662" s="34" t="s">
        <v>4697</v>
      </c>
      <c r="K1662" s="34" t="str">
        <f t="shared" si="53"/>
        <v>重复</v>
      </c>
      <c r="L1662" s="34" t="str">
        <f t="shared" si="54"/>
        <v>重复</v>
      </c>
    </row>
    <row r="1663" spans="1:12" ht="30">
      <c r="A1663" s="35" t="s">
        <v>12073</v>
      </c>
      <c r="B1663" s="35" t="s">
        <v>4698</v>
      </c>
      <c r="C1663" s="36" t="s">
        <v>4699</v>
      </c>
      <c r="D1663" s="35" t="s">
        <v>4700</v>
      </c>
      <c r="E1663" s="35" t="s">
        <v>12032</v>
      </c>
      <c r="F1663" s="35" t="s">
        <v>11955</v>
      </c>
      <c r="G1663" s="35">
        <v>251041</v>
      </c>
      <c r="H1663" s="35">
        <v>290100</v>
      </c>
      <c r="I1663" s="35">
        <v>200008</v>
      </c>
      <c r="J1663" s="34" t="s">
        <v>353</v>
      </c>
      <c r="K1663" s="34" t="str">
        <f t="shared" si="53"/>
        <v>不重复</v>
      </c>
      <c r="L1663" s="34" t="str">
        <f t="shared" si="54"/>
        <v>不重复</v>
      </c>
    </row>
    <row r="1664" spans="1:12" ht="15">
      <c r="A1664" s="35" t="s">
        <v>12074</v>
      </c>
      <c r="B1664" s="35" t="s">
        <v>4701</v>
      </c>
      <c r="C1664" s="36" t="s">
        <v>4702</v>
      </c>
      <c r="D1664" s="35" t="s">
        <v>4703</v>
      </c>
      <c r="E1664" s="35" t="s">
        <v>12032</v>
      </c>
      <c r="F1664" s="35" t="s">
        <v>11955</v>
      </c>
      <c r="G1664" s="35">
        <v>251042</v>
      </c>
      <c r="H1664" s="35">
        <v>290100</v>
      </c>
      <c r="I1664" s="35">
        <v>200008</v>
      </c>
      <c r="J1664" s="34" t="s">
        <v>4704</v>
      </c>
      <c r="K1664" s="34" t="str">
        <f t="shared" si="53"/>
        <v>重复</v>
      </c>
      <c r="L1664" s="34" t="str">
        <f t="shared" si="54"/>
        <v>重复</v>
      </c>
    </row>
    <row r="1665" spans="1:12" ht="30">
      <c r="A1665" s="35" t="s">
        <v>12075</v>
      </c>
      <c r="B1665" s="35" t="s">
        <v>4705</v>
      </c>
      <c r="C1665" s="36" t="s">
        <v>1300</v>
      </c>
      <c r="D1665" s="35" t="s">
        <v>4676</v>
      </c>
      <c r="E1665" s="35" t="s">
        <v>12032</v>
      </c>
      <c r="F1665" s="35" t="s">
        <v>11955</v>
      </c>
      <c r="G1665" s="35">
        <v>251043</v>
      </c>
      <c r="H1665" s="35">
        <v>290100</v>
      </c>
      <c r="I1665" s="35">
        <v>200008</v>
      </c>
      <c r="J1665" s="34" t="s">
        <v>4704</v>
      </c>
      <c r="K1665" s="34" t="str">
        <f t="shared" si="53"/>
        <v>重复</v>
      </c>
      <c r="L1665" s="34" t="str">
        <f t="shared" si="54"/>
        <v>重复</v>
      </c>
    </row>
    <row r="1666" spans="1:12" ht="15">
      <c r="A1666" s="35" t="s">
        <v>12076</v>
      </c>
      <c r="B1666" s="35" t="s">
        <v>4706</v>
      </c>
      <c r="C1666" s="36" t="s">
        <v>4707</v>
      </c>
      <c r="D1666" s="35" t="s">
        <v>4708</v>
      </c>
      <c r="E1666" s="35" t="s">
        <v>12032</v>
      </c>
      <c r="F1666" s="35" t="s">
        <v>11955</v>
      </c>
      <c r="G1666" s="35">
        <v>251044</v>
      </c>
      <c r="H1666" s="35">
        <v>290100</v>
      </c>
      <c r="I1666" s="35">
        <v>200008</v>
      </c>
      <c r="J1666" s="34" t="s">
        <v>390</v>
      </c>
      <c r="K1666" s="34" t="str">
        <f t="shared" si="53"/>
        <v>重复</v>
      </c>
      <c r="L1666" s="34" t="str">
        <f t="shared" si="54"/>
        <v>不重复</v>
      </c>
    </row>
    <row r="1667" spans="1:12" ht="15">
      <c r="A1667" s="35" t="s">
        <v>12077</v>
      </c>
      <c r="B1667" s="35" t="s">
        <v>4709</v>
      </c>
      <c r="C1667" s="36" t="s">
        <v>1320</v>
      </c>
      <c r="D1667" s="35" t="s">
        <v>4710</v>
      </c>
      <c r="E1667" s="35" t="s">
        <v>12032</v>
      </c>
      <c r="F1667" s="35" t="s">
        <v>11955</v>
      </c>
      <c r="G1667" s="35">
        <v>251045</v>
      </c>
      <c r="H1667" s="35">
        <v>290100</v>
      </c>
      <c r="I1667" s="35">
        <v>200008</v>
      </c>
      <c r="J1667" s="34" t="s">
        <v>2240</v>
      </c>
      <c r="K1667" s="34" t="str">
        <f t="shared" si="53"/>
        <v>重复</v>
      </c>
      <c r="L1667" s="34" t="str">
        <f t="shared" si="54"/>
        <v>不重复</v>
      </c>
    </row>
    <row r="1668" spans="1:12" ht="28.5">
      <c r="A1668" s="35" t="s">
        <v>12078</v>
      </c>
      <c r="B1668" s="35" t="s">
        <v>4711</v>
      </c>
      <c r="C1668" s="36" t="s">
        <v>2136</v>
      </c>
      <c r="D1668" s="35" t="s">
        <v>155</v>
      </c>
      <c r="E1668" s="35" t="s">
        <v>12032</v>
      </c>
      <c r="F1668" s="35" t="s">
        <v>11955</v>
      </c>
      <c r="G1668" s="35">
        <v>251046</v>
      </c>
      <c r="H1668" s="35">
        <v>290100</v>
      </c>
      <c r="I1668" s="35">
        <v>200008</v>
      </c>
      <c r="J1668" s="34" t="s">
        <v>4688</v>
      </c>
      <c r="K1668" s="34" t="str">
        <f t="shared" si="53"/>
        <v>重复</v>
      </c>
      <c r="L1668" s="34" t="str">
        <f t="shared" si="54"/>
        <v>重复</v>
      </c>
    </row>
    <row r="1669" spans="1:12" ht="28.5">
      <c r="A1669" s="35" t="s">
        <v>12079</v>
      </c>
      <c r="B1669" s="35" t="s">
        <v>4712</v>
      </c>
      <c r="C1669" s="36" t="s">
        <v>4305</v>
      </c>
      <c r="D1669" s="35" t="s">
        <v>4713</v>
      </c>
      <c r="E1669" s="35" t="s">
        <v>12032</v>
      </c>
      <c r="F1669" s="35" t="s">
        <v>11955</v>
      </c>
      <c r="G1669" s="35">
        <v>251047</v>
      </c>
      <c r="H1669" s="35">
        <v>290100</v>
      </c>
      <c r="I1669" s="35">
        <v>200008</v>
      </c>
      <c r="J1669" s="34" t="s">
        <v>2577</v>
      </c>
      <c r="K1669" s="34" t="str">
        <f t="shared" si="53"/>
        <v>重复</v>
      </c>
      <c r="L1669" s="34" t="str">
        <f t="shared" si="54"/>
        <v>不重复</v>
      </c>
    </row>
    <row r="1670" spans="1:12" ht="30">
      <c r="A1670" s="35" t="s">
        <v>12080</v>
      </c>
      <c r="B1670" s="35" t="s">
        <v>4714</v>
      </c>
      <c r="C1670" s="36" t="s">
        <v>4715</v>
      </c>
      <c r="D1670" s="35" t="s">
        <v>4716</v>
      </c>
      <c r="E1670" s="35" t="s">
        <v>12032</v>
      </c>
      <c r="F1670" s="35" t="s">
        <v>11955</v>
      </c>
      <c r="G1670" s="35">
        <v>251048</v>
      </c>
      <c r="H1670" s="35">
        <v>290100</v>
      </c>
      <c r="I1670" s="35">
        <v>200008</v>
      </c>
      <c r="J1670" s="34" t="s">
        <v>2512</v>
      </c>
      <c r="K1670" s="34" t="str">
        <f t="shared" si="53"/>
        <v>不重复</v>
      </c>
      <c r="L1670" s="34" t="str">
        <f t="shared" si="54"/>
        <v>重复</v>
      </c>
    </row>
    <row r="1671" spans="1:12" ht="30">
      <c r="A1671" s="35" t="s">
        <v>12081</v>
      </c>
      <c r="B1671" s="35" t="s">
        <v>4714</v>
      </c>
      <c r="C1671" s="36" t="s">
        <v>4717</v>
      </c>
      <c r="D1671" s="35" t="s">
        <v>4716</v>
      </c>
      <c r="E1671" s="35" t="s">
        <v>12032</v>
      </c>
      <c r="F1671" s="35" t="s">
        <v>11955</v>
      </c>
      <c r="G1671" s="35">
        <v>251049</v>
      </c>
      <c r="H1671" s="35">
        <v>290100</v>
      </c>
      <c r="I1671" s="35">
        <v>200008</v>
      </c>
      <c r="J1671" s="34" t="s">
        <v>2512</v>
      </c>
      <c r="K1671" s="34" t="str">
        <f t="shared" si="53"/>
        <v>不重复</v>
      </c>
      <c r="L1671" s="34" t="str">
        <f t="shared" si="54"/>
        <v>重复</v>
      </c>
    </row>
    <row r="1672" spans="1:12" ht="30">
      <c r="A1672" s="35" t="s">
        <v>12082</v>
      </c>
      <c r="B1672" s="35" t="s">
        <v>4714</v>
      </c>
      <c r="C1672" s="36" t="s">
        <v>4538</v>
      </c>
      <c r="D1672" s="35" t="s">
        <v>4716</v>
      </c>
      <c r="E1672" s="35" t="s">
        <v>12032</v>
      </c>
      <c r="F1672" s="35" t="s">
        <v>11955</v>
      </c>
      <c r="G1672" s="35">
        <v>251050</v>
      </c>
      <c r="H1672" s="35">
        <v>290100</v>
      </c>
      <c r="I1672" s="35">
        <v>200008</v>
      </c>
      <c r="J1672" s="34" t="s">
        <v>353</v>
      </c>
      <c r="K1672" s="34" t="str">
        <f t="shared" si="53"/>
        <v>重复</v>
      </c>
      <c r="L1672" s="34" t="str">
        <f t="shared" si="54"/>
        <v>重复</v>
      </c>
    </row>
    <row r="1673" spans="1:12" ht="15">
      <c r="A1673" s="35" t="s">
        <v>12083</v>
      </c>
      <c r="B1673" s="35" t="s">
        <v>4718</v>
      </c>
      <c r="C1673" s="36" t="s">
        <v>1191</v>
      </c>
      <c r="D1673" s="35" t="s">
        <v>4719</v>
      </c>
      <c r="E1673" s="35" t="s">
        <v>12032</v>
      </c>
      <c r="F1673" s="35" t="s">
        <v>11955</v>
      </c>
      <c r="G1673" s="35">
        <v>251051</v>
      </c>
      <c r="H1673" s="35">
        <v>290100</v>
      </c>
      <c r="I1673" s="35">
        <v>200008</v>
      </c>
      <c r="J1673" s="34" t="s">
        <v>2317</v>
      </c>
      <c r="K1673" s="34" t="str">
        <f t="shared" si="53"/>
        <v>重复</v>
      </c>
      <c r="L1673" s="34" t="str">
        <f t="shared" si="54"/>
        <v>不重复</v>
      </c>
    </row>
    <row r="1674" spans="1:12" ht="15">
      <c r="A1674" s="35" t="s">
        <v>12084</v>
      </c>
      <c r="B1674" s="35" t="s">
        <v>2253</v>
      </c>
      <c r="C1674" s="36" t="s">
        <v>2254</v>
      </c>
      <c r="D1674" s="35" t="s">
        <v>2255</v>
      </c>
      <c r="E1674" s="35" t="s">
        <v>12084</v>
      </c>
      <c r="F1674" s="35" t="s">
        <v>11955</v>
      </c>
      <c r="G1674" s="35">
        <v>251100</v>
      </c>
      <c r="H1674" s="35">
        <v>290120</v>
      </c>
      <c r="I1674" s="35">
        <v>200008</v>
      </c>
      <c r="J1674" s="34" t="s">
        <v>16</v>
      </c>
      <c r="K1674" s="34" t="str">
        <f t="shared" si="53"/>
        <v>重复</v>
      </c>
      <c r="L1674" s="34" t="str">
        <f t="shared" si="54"/>
        <v>重复</v>
      </c>
    </row>
    <row r="1675" spans="1:12" ht="15">
      <c r="A1675" s="35" t="s">
        <v>12085</v>
      </c>
      <c r="B1675" s="35" t="s">
        <v>4720</v>
      </c>
      <c r="C1675" s="36" t="s">
        <v>4189</v>
      </c>
      <c r="D1675" s="35" t="s">
        <v>4721</v>
      </c>
      <c r="E1675" s="35" t="s">
        <v>11133</v>
      </c>
      <c r="F1675" s="35" t="s">
        <v>11955</v>
      </c>
      <c r="G1675" s="35">
        <v>251101</v>
      </c>
      <c r="H1675" s="35">
        <v>290120</v>
      </c>
      <c r="I1675" s="35">
        <v>200008</v>
      </c>
      <c r="J1675" s="34" t="s">
        <v>1040</v>
      </c>
      <c r="K1675" s="34" t="str">
        <f t="shared" si="53"/>
        <v>重复</v>
      </c>
      <c r="L1675" s="34" t="str">
        <f t="shared" si="54"/>
        <v>不重复</v>
      </c>
    </row>
    <row r="1676" spans="1:12" ht="15">
      <c r="A1676" s="35" t="s">
        <v>12086</v>
      </c>
      <c r="B1676" s="35" t="s">
        <v>4722</v>
      </c>
      <c r="C1676" s="36" t="s">
        <v>4723</v>
      </c>
      <c r="D1676" s="35" t="s">
        <v>4724</v>
      </c>
      <c r="E1676" s="35" t="s">
        <v>11133</v>
      </c>
      <c r="F1676" s="35" t="s">
        <v>11955</v>
      </c>
      <c r="G1676" s="35">
        <v>251102</v>
      </c>
      <c r="H1676" s="35">
        <v>290120</v>
      </c>
      <c r="I1676" s="35">
        <v>200008</v>
      </c>
      <c r="J1676" s="34" t="s">
        <v>288</v>
      </c>
      <c r="K1676" s="34" t="str">
        <f t="shared" si="53"/>
        <v>不重复</v>
      </c>
      <c r="L1676" s="34" t="str">
        <f t="shared" si="54"/>
        <v>不重复</v>
      </c>
    </row>
    <row r="1677" spans="1:12" ht="15">
      <c r="A1677" s="35" t="s">
        <v>12087</v>
      </c>
      <c r="B1677" s="35" t="s">
        <v>4725</v>
      </c>
      <c r="C1677" s="36" t="s">
        <v>4431</v>
      </c>
      <c r="D1677" s="35" t="s">
        <v>4726</v>
      </c>
      <c r="E1677" s="35" t="s">
        <v>11133</v>
      </c>
      <c r="F1677" s="35" t="s">
        <v>11955</v>
      </c>
      <c r="G1677" s="35">
        <v>251103</v>
      </c>
      <c r="H1677" s="35">
        <v>290120</v>
      </c>
      <c r="I1677" s="35">
        <v>200008</v>
      </c>
      <c r="J1677" s="34" t="s">
        <v>302</v>
      </c>
      <c r="K1677" s="34" t="str">
        <f t="shared" si="53"/>
        <v>重复</v>
      </c>
      <c r="L1677" s="34" t="str">
        <f t="shared" si="54"/>
        <v>不重复</v>
      </c>
    </row>
    <row r="1678" spans="1:12" ht="15">
      <c r="A1678" s="35" t="s">
        <v>12088</v>
      </c>
      <c r="B1678" s="35" t="s">
        <v>4727</v>
      </c>
      <c r="C1678" s="36" t="s">
        <v>4728</v>
      </c>
      <c r="D1678" s="35" t="s">
        <v>4729</v>
      </c>
      <c r="E1678" s="35" t="s">
        <v>12088</v>
      </c>
      <c r="F1678" s="35" t="s">
        <v>12089</v>
      </c>
      <c r="G1678" s="35">
        <v>260100</v>
      </c>
      <c r="H1678" s="35">
        <v>300000</v>
      </c>
      <c r="I1678" s="35">
        <v>200009</v>
      </c>
      <c r="J1678" s="34" t="s">
        <v>16</v>
      </c>
      <c r="K1678" s="34" t="str">
        <f t="shared" si="53"/>
        <v>重复</v>
      </c>
      <c r="L1678" s="34" t="str">
        <f t="shared" si="54"/>
        <v>重复</v>
      </c>
    </row>
    <row r="1679" spans="1:12" ht="27">
      <c r="A1679" s="35" t="s">
        <v>12090</v>
      </c>
      <c r="B1679" s="35" t="s">
        <v>4730</v>
      </c>
      <c r="C1679" s="36" t="s">
        <v>3147</v>
      </c>
      <c r="D1679" s="35" t="s">
        <v>4731</v>
      </c>
      <c r="E1679" s="35" t="s">
        <v>12088</v>
      </c>
      <c r="F1679" s="35" t="s">
        <v>12089</v>
      </c>
      <c r="G1679" s="35">
        <v>260101</v>
      </c>
      <c r="H1679" s="35">
        <v>300000</v>
      </c>
      <c r="I1679" s="35">
        <v>200009</v>
      </c>
      <c r="J1679" s="34" t="s">
        <v>194</v>
      </c>
      <c r="K1679" s="34" t="str">
        <f t="shared" si="53"/>
        <v>重复</v>
      </c>
      <c r="L1679" s="34" t="str">
        <f t="shared" si="54"/>
        <v>不重复</v>
      </c>
    </row>
    <row r="1680" spans="1:12" ht="15">
      <c r="A1680" s="35" t="s">
        <v>12091</v>
      </c>
      <c r="B1680" s="35" t="s">
        <v>4732</v>
      </c>
      <c r="C1680" s="36" t="s">
        <v>4728</v>
      </c>
      <c r="D1680" s="35" t="s">
        <v>4733</v>
      </c>
      <c r="E1680" s="35" t="s">
        <v>12088</v>
      </c>
      <c r="F1680" s="35" t="s">
        <v>12089</v>
      </c>
      <c r="G1680" s="35">
        <v>260102</v>
      </c>
      <c r="H1680" s="35">
        <v>300000</v>
      </c>
      <c r="I1680" s="35">
        <v>200009</v>
      </c>
      <c r="J1680" s="34" t="s">
        <v>2796</v>
      </c>
      <c r="K1680" s="34" t="str">
        <f t="shared" si="53"/>
        <v>重复</v>
      </c>
      <c r="L1680" s="34" t="str">
        <f t="shared" si="54"/>
        <v>不重复</v>
      </c>
    </row>
    <row r="1681" spans="1:12" ht="27">
      <c r="A1681" s="35" t="s">
        <v>12092</v>
      </c>
      <c r="B1681" s="35" t="s">
        <v>4734</v>
      </c>
      <c r="C1681" s="36" t="s">
        <v>4735</v>
      </c>
      <c r="D1681" s="35" t="s">
        <v>4736</v>
      </c>
      <c r="E1681" s="35" t="s">
        <v>12088</v>
      </c>
      <c r="F1681" s="35" t="s">
        <v>12089</v>
      </c>
      <c r="G1681" s="35">
        <v>260103</v>
      </c>
      <c r="H1681" s="35">
        <v>300000</v>
      </c>
      <c r="I1681" s="35">
        <v>200009</v>
      </c>
      <c r="J1681" s="34" t="s">
        <v>4737</v>
      </c>
      <c r="K1681" s="34" t="str">
        <f t="shared" si="53"/>
        <v>不重复</v>
      </c>
      <c r="L1681" s="34" t="str">
        <f t="shared" si="54"/>
        <v>不重复</v>
      </c>
    </row>
    <row r="1682" spans="1:12" ht="15">
      <c r="A1682" s="35" t="s">
        <v>12093</v>
      </c>
      <c r="B1682" s="35" t="s">
        <v>4738</v>
      </c>
      <c r="C1682" s="36" t="s">
        <v>4739</v>
      </c>
      <c r="D1682" s="35" t="s">
        <v>4740</v>
      </c>
      <c r="E1682" s="35" t="s">
        <v>12088</v>
      </c>
      <c r="F1682" s="35" t="s">
        <v>12089</v>
      </c>
      <c r="G1682" s="35">
        <v>260104</v>
      </c>
      <c r="H1682" s="35">
        <v>300000</v>
      </c>
      <c r="I1682" s="35">
        <v>200009</v>
      </c>
      <c r="J1682" s="34" t="s">
        <v>4741</v>
      </c>
      <c r="K1682" s="34" t="str">
        <f t="shared" si="53"/>
        <v>不重复</v>
      </c>
      <c r="L1682" s="34" t="str">
        <f t="shared" si="54"/>
        <v>不重复</v>
      </c>
    </row>
    <row r="1683" spans="1:12" ht="15">
      <c r="A1683" s="35" t="s">
        <v>12094</v>
      </c>
      <c r="B1683" s="35" t="s">
        <v>4742</v>
      </c>
      <c r="C1683" s="36" t="s">
        <v>561</v>
      </c>
      <c r="D1683" s="35" t="s">
        <v>2287</v>
      </c>
      <c r="E1683" s="35" t="s">
        <v>12094</v>
      </c>
      <c r="F1683" s="35" t="s">
        <v>12095</v>
      </c>
      <c r="G1683" s="35">
        <v>270100</v>
      </c>
      <c r="H1683" s="35">
        <v>300010</v>
      </c>
      <c r="I1683" s="35">
        <v>200010</v>
      </c>
      <c r="J1683" s="34" t="s">
        <v>16</v>
      </c>
      <c r="K1683" s="34" t="str">
        <f t="shared" si="53"/>
        <v>重复</v>
      </c>
      <c r="L1683" s="34" t="str">
        <f t="shared" si="54"/>
        <v>重复</v>
      </c>
    </row>
    <row r="1684" spans="1:12" ht="15">
      <c r="A1684" s="35" t="s">
        <v>12096</v>
      </c>
      <c r="B1684" s="35" t="s">
        <v>4743</v>
      </c>
      <c r="C1684" s="36" t="s">
        <v>4744</v>
      </c>
      <c r="D1684" s="35" t="s">
        <v>4745</v>
      </c>
      <c r="E1684" s="35" t="s">
        <v>12096</v>
      </c>
      <c r="F1684" s="35" t="s">
        <v>12095</v>
      </c>
      <c r="G1684" s="35">
        <v>270200</v>
      </c>
      <c r="H1684" s="35">
        <v>300020</v>
      </c>
      <c r="I1684" s="35">
        <v>200010</v>
      </c>
      <c r="J1684" s="34" t="s">
        <v>16</v>
      </c>
      <c r="K1684" s="34" t="str">
        <f t="shared" si="53"/>
        <v>不重复</v>
      </c>
      <c r="L1684" s="34" t="str">
        <f t="shared" si="54"/>
        <v>不重复</v>
      </c>
    </row>
    <row r="1685" spans="1:12" ht="15">
      <c r="A1685" s="35" t="s">
        <v>12097</v>
      </c>
      <c r="B1685" s="35" t="s">
        <v>4746</v>
      </c>
      <c r="C1685" s="36" t="s">
        <v>4747</v>
      </c>
      <c r="D1685" s="35" t="s">
        <v>4748</v>
      </c>
      <c r="E1685" s="35" t="s">
        <v>12096</v>
      </c>
      <c r="F1685" s="35" t="s">
        <v>12095</v>
      </c>
      <c r="G1685" s="35">
        <v>270201</v>
      </c>
      <c r="H1685" s="35">
        <v>300020</v>
      </c>
      <c r="I1685" s="35">
        <v>200010</v>
      </c>
      <c r="J1685" s="34" t="s">
        <v>715</v>
      </c>
      <c r="K1685" s="34" t="str">
        <f t="shared" si="53"/>
        <v>不重复</v>
      </c>
      <c r="L1685" s="34" t="str">
        <f t="shared" si="54"/>
        <v>重复</v>
      </c>
    </row>
    <row r="1686" spans="1:12" ht="15">
      <c r="A1686" s="35" t="s">
        <v>12098</v>
      </c>
      <c r="B1686" s="35" t="s">
        <v>4746</v>
      </c>
      <c r="C1686" s="36" t="s">
        <v>4749</v>
      </c>
      <c r="D1686" s="35" t="s">
        <v>4748</v>
      </c>
      <c r="E1686" s="35" t="s">
        <v>12096</v>
      </c>
      <c r="F1686" s="35" t="s">
        <v>12095</v>
      </c>
      <c r="G1686" s="35">
        <v>270202</v>
      </c>
      <c r="H1686" s="35">
        <v>300020</v>
      </c>
      <c r="I1686" s="35">
        <v>200010</v>
      </c>
      <c r="J1686" s="34" t="s">
        <v>4750</v>
      </c>
      <c r="K1686" s="34" t="str">
        <f t="shared" si="55" ref="K1686:K1749">IF(COUNTIF(C:C,C1686)&gt;=2,"重复","不重复")</f>
        <v>不重复</v>
      </c>
      <c r="L1686" s="34" t="str">
        <f t="shared" si="54"/>
        <v>重复</v>
      </c>
    </row>
    <row r="1687" spans="1:12" ht="15">
      <c r="A1687" s="35" t="s">
        <v>12099</v>
      </c>
      <c r="B1687" s="35" t="s">
        <v>4751</v>
      </c>
      <c r="C1687" s="36" t="s">
        <v>4752</v>
      </c>
      <c r="D1687" s="35" t="s">
        <v>4753</v>
      </c>
      <c r="E1687" s="35" t="s">
        <v>12096</v>
      </c>
      <c r="F1687" s="35" t="s">
        <v>12095</v>
      </c>
      <c r="G1687" s="35">
        <v>270203</v>
      </c>
      <c r="H1687" s="35">
        <v>300020</v>
      </c>
      <c r="I1687" s="35">
        <v>200010</v>
      </c>
      <c r="J1687" s="34" t="s">
        <v>270</v>
      </c>
      <c r="K1687" s="34" t="str">
        <f t="shared" si="55"/>
        <v>不重复</v>
      </c>
      <c r="L1687" s="34" t="str">
        <f t="shared" si="54"/>
        <v>不重复</v>
      </c>
    </row>
    <row r="1688" spans="1:12" ht="15">
      <c r="A1688" s="35" t="s">
        <v>12100</v>
      </c>
      <c r="B1688" s="35" t="s">
        <v>4754</v>
      </c>
      <c r="C1688" s="36" t="s">
        <v>4755</v>
      </c>
      <c r="D1688" s="35" t="s">
        <v>4756</v>
      </c>
      <c r="E1688" s="35" t="s">
        <v>12101</v>
      </c>
      <c r="F1688" s="35" t="s">
        <v>12095</v>
      </c>
      <c r="G1688" s="35">
        <v>270204</v>
      </c>
      <c r="H1688" s="35">
        <v>300030</v>
      </c>
      <c r="I1688" s="35">
        <v>200010</v>
      </c>
      <c r="J1688" s="34" t="s">
        <v>4757</v>
      </c>
      <c r="K1688" s="34" t="str">
        <f t="shared" si="55"/>
        <v>不重复</v>
      </c>
      <c r="L1688" s="34" t="str">
        <f t="shared" si="54"/>
        <v>不重复</v>
      </c>
    </row>
    <row r="1689" spans="1:12" ht="15">
      <c r="A1689" s="35" t="s">
        <v>12102</v>
      </c>
      <c r="B1689" s="35" t="s">
        <v>4758</v>
      </c>
      <c r="C1689" s="36" t="s">
        <v>4759</v>
      </c>
      <c r="D1689" s="35" t="s">
        <v>4760</v>
      </c>
      <c r="E1689" s="35" t="s">
        <v>12102</v>
      </c>
      <c r="F1689" s="35" t="s">
        <v>12103</v>
      </c>
      <c r="G1689" s="35">
        <v>280100</v>
      </c>
      <c r="H1689" s="35">
        <v>310000</v>
      </c>
      <c r="I1689" s="35">
        <v>200011</v>
      </c>
      <c r="J1689" s="34" t="s">
        <v>16</v>
      </c>
      <c r="K1689" s="34" t="str">
        <f t="shared" si="55"/>
        <v>重复</v>
      </c>
      <c r="L1689" s="34" t="str">
        <f t="shared" si="54"/>
        <v>不重复</v>
      </c>
    </row>
    <row r="1690" spans="1:12" ht="27">
      <c r="A1690" s="35" t="s">
        <v>12104</v>
      </c>
      <c r="B1690" s="35" t="s">
        <v>4761</v>
      </c>
      <c r="C1690" s="36" t="s">
        <v>4762</v>
      </c>
      <c r="D1690" s="35" t="s">
        <v>4763</v>
      </c>
      <c r="E1690" s="35" t="s">
        <v>12102</v>
      </c>
      <c r="F1690" s="35" t="s">
        <v>12103</v>
      </c>
      <c r="G1690" s="35">
        <v>280101</v>
      </c>
      <c r="H1690" s="35">
        <v>310000</v>
      </c>
      <c r="I1690" s="35">
        <v>200011</v>
      </c>
      <c r="J1690" s="34" t="s">
        <v>1996</v>
      </c>
      <c r="K1690" s="34" t="str">
        <f t="shared" si="55"/>
        <v>不重复</v>
      </c>
      <c r="L1690" s="34" t="str">
        <f t="shared" si="54"/>
        <v>不重复</v>
      </c>
    </row>
    <row r="1691" spans="1:12" ht="27">
      <c r="A1691" s="35" t="s">
        <v>12105</v>
      </c>
      <c r="B1691" s="35" t="s">
        <v>4764</v>
      </c>
      <c r="C1691" s="36" t="s">
        <v>4765</v>
      </c>
      <c r="D1691" s="35" t="s">
        <v>4766</v>
      </c>
      <c r="E1691" s="35" t="s">
        <v>12102</v>
      </c>
      <c r="F1691" s="35" t="s">
        <v>12103</v>
      </c>
      <c r="G1691" s="35">
        <v>280102</v>
      </c>
      <c r="H1691" s="35">
        <v>310000</v>
      </c>
      <c r="I1691" s="35">
        <v>200011</v>
      </c>
      <c r="J1691" s="34" t="s">
        <v>311</v>
      </c>
      <c r="K1691" s="34" t="str">
        <f t="shared" si="55"/>
        <v>不重复</v>
      </c>
      <c r="L1691" s="34" t="str">
        <f t="shared" si="54"/>
        <v>不重复</v>
      </c>
    </row>
    <row r="1692" spans="1:12" ht="27">
      <c r="A1692" s="35" t="s">
        <v>12106</v>
      </c>
      <c r="B1692" s="35" t="s">
        <v>4767</v>
      </c>
      <c r="C1692" s="36" t="s">
        <v>4768</v>
      </c>
      <c r="D1692" s="35" t="s">
        <v>4769</v>
      </c>
      <c r="E1692" s="35" t="s">
        <v>12102</v>
      </c>
      <c r="F1692" s="35" t="s">
        <v>12103</v>
      </c>
      <c r="G1692" s="35">
        <v>280103</v>
      </c>
      <c r="H1692" s="35">
        <v>310000</v>
      </c>
      <c r="I1692" s="35">
        <v>200011</v>
      </c>
      <c r="J1692" s="34" t="s">
        <v>302</v>
      </c>
      <c r="K1692" s="34" t="str">
        <f t="shared" si="55"/>
        <v>不重复</v>
      </c>
      <c r="L1692" s="34" t="str">
        <f t="shared" si="54"/>
        <v>不重复</v>
      </c>
    </row>
    <row r="1693" spans="1:12" ht="27">
      <c r="A1693" s="35" t="s">
        <v>12107</v>
      </c>
      <c r="B1693" s="35" t="s">
        <v>4770</v>
      </c>
      <c r="C1693" s="36" t="s">
        <v>2389</v>
      </c>
      <c r="D1693" s="35" t="s">
        <v>4771</v>
      </c>
      <c r="E1693" s="35" t="s">
        <v>12102</v>
      </c>
      <c r="F1693" s="35" t="s">
        <v>12103</v>
      </c>
      <c r="G1693" s="35">
        <v>280104</v>
      </c>
      <c r="H1693" s="35">
        <v>310000</v>
      </c>
      <c r="I1693" s="35">
        <v>200011</v>
      </c>
      <c r="J1693" s="34" t="s">
        <v>4772</v>
      </c>
      <c r="K1693" s="34" t="str">
        <f t="shared" si="55"/>
        <v>重复</v>
      </c>
      <c r="L1693" s="34" t="str">
        <f t="shared" si="54"/>
        <v>不重复</v>
      </c>
    </row>
    <row r="1694" spans="1:12" ht="30">
      <c r="A1694" s="35" t="s">
        <v>12108</v>
      </c>
      <c r="B1694" s="35" t="s">
        <v>4773</v>
      </c>
      <c r="C1694" s="36" t="s">
        <v>4574</v>
      </c>
      <c r="D1694" s="35" t="s">
        <v>4774</v>
      </c>
      <c r="E1694" s="35" t="s">
        <v>12102</v>
      </c>
      <c r="F1694" s="35" t="s">
        <v>12103</v>
      </c>
      <c r="G1694" s="35">
        <v>280105</v>
      </c>
      <c r="H1694" s="35">
        <v>310000</v>
      </c>
      <c r="I1694" s="35">
        <v>200011</v>
      </c>
      <c r="J1694" s="34" t="s">
        <v>4775</v>
      </c>
      <c r="K1694" s="34" t="str">
        <f t="shared" si="55"/>
        <v>重复</v>
      </c>
      <c r="L1694" s="34" t="str">
        <f t="shared" si="54"/>
        <v>不重复</v>
      </c>
    </row>
    <row r="1695" spans="1:12" ht="15">
      <c r="A1695" s="35" t="s">
        <v>12109</v>
      </c>
      <c r="B1695" s="35" t="s">
        <v>4776</v>
      </c>
      <c r="C1695" s="36" t="s">
        <v>4777</v>
      </c>
      <c r="D1695" s="35" t="s">
        <v>4778</v>
      </c>
      <c r="E1695" s="35" t="s">
        <v>12102</v>
      </c>
      <c r="F1695" s="35" t="s">
        <v>12103</v>
      </c>
      <c r="G1695" s="35">
        <v>280106</v>
      </c>
      <c r="H1695" s="35">
        <v>310000</v>
      </c>
      <c r="I1695" s="35">
        <v>200011</v>
      </c>
      <c r="J1695" s="34" t="s">
        <v>1468</v>
      </c>
      <c r="K1695" s="34" t="str">
        <f t="shared" si="55"/>
        <v>不重复</v>
      </c>
      <c r="L1695" s="34" t="str">
        <f t="shared" si="54"/>
        <v>不重复</v>
      </c>
    </row>
    <row r="1696" spans="1:12" ht="30">
      <c r="A1696" s="35" t="s">
        <v>12110</v>
      </c>
      <c r="B1696" s="35" t="s">
        <v>4779</v>
      </c>
      <c r="C1696" s="36" t="s">
        <v>4780</v>
      </c>
      <c r="D1696" s="35" t="s">
        <v>4781</v>
      </c>
      <c r="E1696" s="35" t="s">
        <v>12102</v>
      </c>
      <c r="F1696" s="35" t="s">
        <v>12103</v>
      </c>
      <c r="G1696" s="35">
        <v>280107</v>
      </c>
      <c r="H1696" s="35">
        <v>310000</v>
      </c>
      <c r="I1696" s="35">
        <v>200011</v>
      </c>
      <c r="J1696" s="34" t="s">
        <v>363</v>
      </c>
      <c r="K1696" s="34" t="str">
        <f t="shared" si="55"/>
        <v>不重复</v>
      </c>
      <c r="L1696" s="34" t="str">
        <f t="shared" si="54"/>
        <v>不重复</v>
      </c>
    </row>
    <row r="1697" spans="1:12" ht="27">
      <c r="A1697" s="35" t="s">
        <v>12111</v>
      </c>
      <c r="B1697" s="35" t="s">
        <v>4782</v>
      </c>
      <c r="C1697" s="36" t="s">
        <v>4783</v>
      </c>
      <c r="D1697" s="35" t="s">
        <v>4784</v>
      </c>
      <c r="E1697" s="35" t="s">
        <v>12102</v>
      </c>
      <c r="F1697" s="35" t="s">
        <v>12103</v>
      </c>
      <c r="G1697" s="35">
        <v>280108</v>
      </c>
      <c r="H1697" s="35">
        <v>310000</v>
      </c>
      <c r="I1697" s="35">
        <v>200011</v>
      </c>
      <c r="J1697" s="34" t="s">
        <v>1468</v>
      </c>
      <c r="K1697" s="34" t="str">
        <f t="shared" si="55"/>
        <v>不重复</v>
      </c>
      <c r="L1697" s="34" t="str">
        <f t="shared" si="54"/>
        <v>不重复</v>
      </c>
    </row>
    <row r="1698" spans="1:12" ht="27">
      <c r="A1698" s="35" t="s">
        <v>12112</v>
      </c>
      <c r="B1698" s="35" t="s">
        <v>4785</v>
      </c>
      <c r="C1698" s="36" t="s">
        <v>3935</v>
      </c>
      <c r="D1698" s="35" t="s">
        <v>4786</v>
      </c>
      <c r="E1698" s="35" t="s">
        <v>12102</v>
      </c>
      <c r="F1698" s="35" t="s">
        <v>12103</v>
      </c>
      <c r="G1698" s="35">
        <v>280109</v>
      </c>
      <c r="H1698" s="35">
        <v>310000</v>
      </c>
      <c r="I1698" s="35">
        <v>200011</v>
      </c>
      <c r="J1698" s="34" t="s">
        <v>1708</v>
      </c>
      <c r="K1698" s="34" t="str">
        <f t="shared" si="55"/>
        <v>重复</v>
      </c>
      <c r="L1698" s="34" t="str">
        <f t="shared" si="54"/>
        <v>不重复</v>
      </c>
    </row>
    <row r="1699" spans="1:12" ht="15">
      <c r="A1699" s="35" t="s">
        <v>12113</v>
      </c>
      <c r="B1699" s="35" t="s">
        <v>4787</v>
      </c>
      <c r="C1699" s="36" t="s">
        <v>1748</v>
      </c>
      <c r="D1699" s="35" t="s">
        <v>4788</v>
      </c>
      <c r="E1699" s="35" t="s">
        <v>12113</v>
      </c>
      <c r="F1699" s="35" t="s">
        <v>12114</v>
      </c>
      <c r="G1699" s="35">
        <v>290100</v>
      </c>
      <c r="H1699" s="35">
        <v>310010</v>
      </c>
      <c r="I1699" s="35">
        <v>200012</v>
      </c>
      <c r="J1699" s="34" t="s">
        <v>16</v>
      </c>
      <c r="K1699" s="34" t="str">
        <f t="shared" si="55"/>
        <v>重复</v>
      </c>
      <c r="L1699" s="34" t="str">
        <f t="shared" si="54"/>
        <v>重复</v>
      </c>
    </row>
    <row r="1700" spans="1:12" ht="15">
      <c r="A1700" s="35" t="s">
        <v>12115</v>
      </c>
      <c r="B1700" s="35" t="s">
        <v>4789</v>
      </c>
      <c r="C1700" s="36" t="s">
        <v>4790</v>
      </c>
      <c r="D1700" s="35" t="s">
        <v>4791</v>
      </c>
      <c r="E1700" s="35" t="s">
        <v>12113</v>
      </c>
      <c r="F1700" s="35" t="s">
        <v>12114</v>
      </c>
      <c r="G1700" s="35">
        <v>290101</v>
      </c>
      <c r="H1700" s="35">
        <v>310010</v>
      </c>
      <c r="I1700" s="35">
        <v>200012</v>
      </c>
      <c r="J1700" s="34" t="s">
        <v>1266</v>
      </c>
      <c r="K1700" s="34" t="str">
        <f t="shared" si="55"/>
        <v>重复</v>
      </c>
      <c r="L1700" s="34" t="str">
        <f t="shared" si="54"/>
        <v>不重复</v>
      </c>
    </row>
    <row r="1701" spans="1:12" ht="15">
      <c r="A1701" s="35" t="s">
        <v>12116</v>
      </c>
      <c r="B1701" s="35" t="s">
        <v>4792</v>
      </c>
      <c r="C1701" s="36" t="s">
        <v>4793</v>
      </c>
      <c r="D1701" s="35" t="s">
        <v>4794</v>
      </c>
      <c r="E1701" s="35" t="s">
        <v>12116</v>
      </c>
      <c r="F1701" s="35" t="s">
        <v>12114</v>
      </c>
      <c r="G1701" s="35">
        <v>290200</v>
      </c>
      <c r="H1701" s="35">
        <v>310020</v>
      </c>
      <c r="I1701" s="35">
        <v>200012</v>
      </c>
      <c r="J1701" s="34" t="s">
        <v>16</v>
      </c>
      <c r="K1701" s="34" t="str">
        <f t="shared" si="55"/>
        <v>重复</v>
      </c>
      <c r="L1701" s="34" t="str">
        <f t="shared" si="54"/>
        <v>不重复</v>
      </c>
    </row>
    <row r="1702" spans="1:12" ht="27">
      <c r="A1702" s="35" t="s">
        <v>12117</v>
      </c>
      <c r="B1702" s="35" t="s">
        <v>4795</v>
      </c>
      <c r="C1702" s="36" t="s">
        <v>4796</v>
      </c>
      <c r="D1702" s="35" t="s">
        <v>4797</v>
      </c>
      <c r="E1702" s="35" t="s">
        <v>12116</v>
      </c>
      <c r="F1702" s="35" t="s">
        <v>12114</v>
      </c>
      <c r="G1702" s="35">
        <v>290201</v>
      </c>
      <c r="H1702" s="35">
        <v>310020</v>
      </c>
      <c r="I1702" s="35">
        <v>200012</v>
      </c>
      <c r="J1702" s="34" t="s">
        <v>932</v>
      </c>
      <c r="K1702" s="34" t="str">
        <f t="shared" si="55"/>
        <v>不重复</v>
      </c>
      <c r="L1702" s="34" t="str">
        <f t="shared" si="54"/>
        <v>不重复</v>
      </c>
    </row>
    <row r="1703" spans="1:12" ht="27">
      <c r="A1703" s="35" t="s">
        <v>12118</v>
      </c>
      <c r="B1703" s="35" t="s">
        <v>4798</v>
      </c>
      <c r="C1703" s="36" t="s">
        <v>4051</v>
      </c>
      <c r="D1703" s="35" t="s">
        <v>4799</v>
      </c>
      <c r="E1703" s="35" t="s">
        <v>12116</v>
      </c>
      <c r="F1703" s="35" t="s">
        <v>12114</v>
      </c>
      <c r="G1703" s="35">
        <v>290202</v>
      </c>
      <c r="H1703" s="35">
        <v>310020</v>
      </c>
      <c r="I1703" s="35">
        <v>200012</v>
      </c>
      <c r="J1703" s="34" t="s">
        <v>363</v>
      </c>
      <c r="K1703" s="34" t="str">
        <f t="shared" si="55"/>
        <v>重复</v>
      </c>
      <c r="L1703" s="34" t="str">
        <f t="shared" si="54"/>
        <v>不重复</v>
      </c>
    </row>
    <row r="1704" spans="1:12" ht="30">
      <c r="A1704" s="35" t="s">
        <v>12119</v>
      </c>
      <c r="B1704" s="35" t="s">
        <v>4800</v>
      </c>
      <c r="C1704" s="36" t="s">
        <v>4801</v>
      </c>
      <c r="D1704" s="35" t="s">
        <v>4802</v>
      </c>
      <c r="E1704" s="35" t="s">
        <v>12116</v>
      </c>
      <c r="F1704" s="35" t="s">
        <v>12114</v>
      </c>
      <c r="G1704" s="35">
        <v>290203</v>
      </c>
      <c r="H1704" s="35">
        <v>310020</v>
      </c>
      <c r="I1704" s="35">
        <v>200012</v>
      </c>
      <c r="J1704" s="34" t="s">
        <v>4803</v>
      </c>
      <c r="K1704" s="34" t="str">
        <f t="shared" si="55"/>
        <v>重复</v>
      </c>
      <c r="L1704" s="34" t="str">
        <f t="shared" si="54"/>
        <v>不重复</v>
      </c>
    </row>
    <row r="1705" spans="1:12" ht="27">
      <c r="A1705" s="35" t="s">
        <v>12120</v>
      </c>
      <c r="B1705" s="35" t="s">
        <v>4804</v>
      </c>
      <c r="C1705" s="36" t="s">
        <v>4805</v>
      </c>
      <c r="D1705" s="35" t="s">
        <v>4806</v>
      </c>
      <c r="E1705" s="35" t="s">
        <v>12116</v>
      </c>
      <c r="F1705" s="35" t="s">
        <v>12114</v>
      </c>
      <c r="G1705" s="35">
        <v>290204</v>
      </c>
      <c r="H1705" s="35">
        <v>310020</v>
      </c>
      <c r="I1705" s="35">
        <v>200012</v>
      </c>
      <c r="J1705" s="34" t="s">
        <v>932</v>
      </c>
      <c r="K1705" s="34" t="str">
        <f t="shared" si="55"/>
        <v>重复</v>
      </c>
      <c r="L1705" s="34" t="str">
        <f t="shared" si="56" ref="L1705:L1752">IF(COUNTIF(D:D,D1705)&gt;=2,"重复","不重复")</f>
        <v>不重复</v>
      </c>
    </row>
    <row r="1706" spans="1:12" ht="27">
      <c r="A1706" s="35" t="s">
        <v>12121</v>
      </c>
      <c r="B1706" s="35" t="s">
        <v>4807</v>
      </c>
      <c r="C1706" s="36" t="s">
        <v>65</v>
      </c>
      <c r="D1706" s="35" t="s">
        <v>4808</v>
      </c>
      <c r="E1706" s="35" t="s">
        <v>12116</v>
      </c>
      <c r="F1706" s="35" t="s">
        <v>12114</v>
      </c>
      <c r="G1706" s="35">
        <v>290205</v>
      </c>
      <c r="H1706" s="35">
        <v>310020</v>
      </c>
      <c r="I1706" s="35">
        <v>200012</v>
      </c>
      <c r="J1706" s="34" t="s">
        <v>137</v>
      </c>
      <c r="K1706" s="34" t="str">
        <f t="shared" si="55"/>
        <v>重复</v>
      </c>
      <c r="L1706" s="34" t="str">
        <f t="shared" si="56"/>
        <v>不重复</v>
      </c>
    </row>
    <row r="1707" spans="1:12" ht="27">
      <c r="A1707" s="35" t="s">
        <v>12122</v>
      </c>
      <c r="B1707" s="35" t="s">
        <v>4809</v>
      </c>
      <c r="C1707" s="36" t="s">
        <v>4810</v>
      </c>
      <c r="D1707" s="35" t="s">
        <v>4811</v>
      </c>
      <c r="E1707" s="35" t="s">
        <v>12116</v>
      </c>
      <c r="F1707" s="35" t="s">
        <v>12114</v>
      </c>
      <c r="G1707" s="35">
        <v>290206</v>
      </c>
      <c r="H1707" s="35">
        <v>310020</v>
      </c>
      <c r="I1707" s="35">
        <v>200012</v>
      </c>
      <c r="J1707" s="34" t="s">
        <v>359</v>
      </c>
      <c r="K1707" s="34" t="str">
        <f t="shared" si="55"/>
        <v>不重复</v>
      </c>
      <c r="L1707" s="34" t="str">
        <f t="shared" si="56"/>
        <v>不重复</v>
      </c>
    </row>
    <row r="1708" spans="1:12" ht="27">
      <c r="A1708" s="35" t="s">
        <v>12123</v>
      </c>
      <c r="B1708" s="35" t="s">
        <v>4812</v>
      </c>
      <c r="C1708" s="36" t="s">
        <v>2587</v>
      </c>
      <c r="D1708" s="35" t="s">
        <v>4813</v>
      </c>
      <c r="E1708" s="35" t="s">
        <v>12116</v>
      </c>
      <c r="F1708" s="35" t="s">
        <v>12114</v>
      </c>
      <c r="G1708" s="35">
        <v>290207</v>
      </c>
      <c r="H1708" s="35">
        <v>310020</v>
      </c>
      <c r="I1708" s="35">
        <v>200012</v>
      </c>
      <c r="J1708" s="34" t="s">
        <v>715</v>
      </c>
      <c r="K1708" s="34" t="str">
        <f t="shared" si="55"/>
        <v>重复</v>
      </c>
      <c r="L1708" s="34" t="str">
        <f t="shared" si="56"/>
        <v>不重复</v>
      </c>
    </row>
    <row r="1709" spans="1:12" ht="27">
      <c r="A1709" s="35" t="s">
        <v>12124</v>
      </c>
      <c r="B1709" s="35" t="s">
        <v>4814</v>
      </c>
      <c r="C1709" s="36" t="s">
        <v>2604</v>
      </c>
      <c r="D1709" s="35" t="s">
        <v>4815</v>
      </c>
      <c r="E1709" s="35" t="s">
        <v>12116</v>
      </c>
      <c r="F1709" s="35" t="s">
        <v>12114</v>
      </c>
      <c r="G1709" s="35">
        <v>290208</v>
      </c>
      <c r="H1709" s="35">
        <v>310020</v>
      </c>
      <c r="I1709" s="35">
        <v>200012</v>
      </c>
      <c r="J1709" s="34" t="s">
        <v>363</v>
      </c>
      <c r="K1709" s="34" t="str">
        <f t="shared" si="55"/>
        <v>重复</v>
      </c>
      <c r="L1709" s="34" t="str">
        <f t="shared" si="56"/>
        <v>不重复</v>
      </c>
    </row>
    <row r="1710" spans="1:12" ht="15">
      <c r="A1710" s="35" t="s">
        <v>12125</v>
      </c>
      <c r="B1710" s="35" t="s">
        <v>4816</v>
      </c>
      <c r="C1710" s="36" t="s">
        <v>4817</v>
      </c>
      <c r="D1710" s="35" t="s">
        <v>4818</v>
      </c>
      <c r="E1710" s="35" t="s">
        <v>12125</v>
      </c>
      <c r="F1710" s="35" t="s">
        <v>12114</v>
      </c>
      <c r="G1710" s="35">
        <v>290300</v>
      </c>
      <c r="H1710" s="35">
        <v>310030</v>
      </c>
      <c r="I1710" s="35">
        <v>200012</v>
      </c>
      <c r="J1710" s="34" t="s">
        <v>16</v>
      </c>
      <c r="K1710" s="34" t="str">
        <f t="shared" si="55"/>
        <v>不重复</v>
      </c>
      <c r="L1710" s="34" t="str">
        <f t="shared" si="56"/>
        <v>重复</v>
      </c>
    </row>
    <row r="1711" spans="1:12" ht="15">
      <c r="A1711" s="35" t="s">
        <v>12126</v>
      </c>
      <c r="B1711" s="35" t="s">
        <v>4819</v>
      </c>
      <c r="C1711" s="36" t="s">
        <v>4820</v>
      </c>
      <c r="D1711" s="35" t="s">
        <v>4821</v>
      </c>
      <c r="E1711" s="35" t="s">
        <v>12125</v>
      </c>
      <c r="F1711" s="35" t="s">
        <v>12114</v>
      </c>
      <c r="G1711" s="35">
        <v>290301</v>
      </c>
      <c r="H1711" s="35">
        <v>310030</v>
      </c>
      <c r="I1711" s="35">
        <v>200012</v>
      </c>
      <c r="J1711" s="34" t="s">
        <v>1047</v>
      </c>
      <c r="K1711" s="34" t="str">
        <f t="shared" si="55"/>
        <v>不重复</v>
      </c>
      <c r="L1711" s="34" t="str">
        <f t="shared" si="56"/>
        <v>不重复</v>
      </c>
    </row>
    <row r="1712" spans="1:12" ht="30">
      <c r="A1712" s="35" t="s">
        <v>12127</v>
      </c>
      <c r="B1712" s="35" t="s">
        <v>4822</v>
      </c>
      <c r="C1712" s="36" t="s">
        <v>4610</v>
      </c>
      <c r="D1712" s="35" t="s">
        <v>4823</v>
      </c>
      <c r="E1712" s="35" t="s">
        <v>12125</v>
      </c>
      <c r="F1712" s="35" t="s">
        <v>12114</v>
      </c>
      <c r="G1712" s="35">
        <v>290302</v>
      </c>
      <c r="H1712" s="35">
        <v>310030</v>
      </c>
      <c r="I1712" s="35">
        <v>200012</v>
      </c>
      <c r="J1712" s="34" t="s">
        <v>4824</v>
      </c>
      <c r="K1712" s="34" t="str">
        <f t="shared" si="55"/>
        <v>重复</v>
      </c>
      <c r="L1712" s="34" t="str">
        <f t="shared" si="56"/>
        <v>不重复</v>
      </c>
    </row>
    <row r="1713" spans="1:12" ht="15">
      <c r="A1713" s="35" t="s">
        <v>12128</v>
      </c>
      <c r="B1713" s="35" t="s">
        <v>4825</v>
      </c>
      <c r="C1713" s="36" t="s">
        <v>4826</v>
      </c>
      <c r="D1713" s="35" t="s">
        <v>4827</v>
      </c>
      <c r="E1713" s="35" t="s">
        <v>12125</v>
      </c>
      <c r="F1713" s="35" t="s">
        <v>12114</v>
      </c>
      <c r="G1713" s="35">
        <v>290303</v>
      </c>
      <c r="H1713" s="35">
        <v>310030</v>
      </c>
      <c r="I1713" s="35">
        <v>200012</v>
      </c>
      <c r="J1713" s="34" t="s">
        <v>688</v>
      </c>
      <c r="K1713" s="34" t="str">
        <f t="shared" si="55"/>
        <v>不重复</v>
      </c>
      <c r="L1713" s="34" t="str">
        <f t="shared" si="56"/>
        <v>重复</v>
      </c>
    </row>
    <row r="1714" spans="1:12" ht="27">
      <c r="A1714" s="35" t="s">
        <v>12129</v>
      </c>
      <c r="B1714" s="35" t="s">
        <v>4828</v>
      </c>
      <c r="C1714" s="36" t="s">
        <v>4829</v>
      </c>
      <c r="D1714" s="35" t="s">
        <v>4830</v>
      </c>
      <c r="E1714" s="35" t="s">
        <v>12125</v>
      </c>
      <c r="F1714" s="35" t="s">
        <v>12114</v>
      </c>
      <c r="G1714" s="35">
        <v>290304</v>
      </c>
      <c r="H1714" s="35">
        <v>310030</v>
      </c>
      <c r="I1714" s="35">
        <v>200012</v>
      </c>
      <c r="J1714" s="34" t="s">
        <v>889</v>
      </c>
      <c r="K1714" s="34" t="str">
        <f t="shared" si="55"/>
        <v>不重复</v>
      </c>
      <c r="L1714" s="34" t="str">
        <f t="shared" si="56"/>
        <v>不重复</v>
      </c>
    </row>
    <row r="1715" spans="1:12" ht="15">
      <c r="A1715" s="35" t="s">
        <v>12130</v>
      </c>
      <c r="B1715" s="35" t="s">
        <v>4831</v>
      </c>
      <c r="C1715" s="36" t="s">
        <v>4832</v>
      </c>
      <c r="D1715" s="35" t="s">
        <v>4833</v>
      </c>
      <c r="E1715" s="35" t="s">
        <v>12125</v>
      </c>
      <c r="F1715" s="35" t="s">
        <v>12114</v>
      </c>
      <c r="G1715" s="35">
        <v>290305</v>
      </c>
      <c r="H1715" s="35">
        <v>310030</v>
      </c>
      <c r="I1715" s="35">
        <v>200012</v>
      </c>
      <c r="J1715" s="34" t="s">
        <v>311</v>
      </c>
      <c r="K1715" s="34" t="str">
        <f t="shared" si="55"/>
        <v>不重复</v>
      </c>
      <c r="L1715" s="34" t="str">
        <f t="shared" si="56"/>
        <v>重复</v>
      </c>
    </row>
    <row r="1716" spans="1:12" ht="15">
      <c r="A1716" s="35" t="s">
        <v>12131</v>
      </c>
      <c r="B1716" s="35" t="s">
        <v>4831</v>
      </c>
      <c r="C1716" s="36" t="s">
        <v>2295</v>
      </c>
      <c r="D1716" s="35" t="s">
        <v>4833</v>
      </c>
      <c r="E1716" s="35" t="s">
        <v>12125</v>
      </c>
      <c r="F1716" s="35" t="s">
        <v>12114</v>
      </c>
      <c r="G1716" s="35">
        <v>290306</v>
      </c>
      <c r="H1716" s="35">
        <v>310030</v>
      </c>
      <c r="I1716" s="35">
        <v>200012</v>
      </c>
      <c r="J1716" s="34" t="s">
        <v>4834</v>
      </c>
      <c r="K1716" s="34" t="str">
        <f t="shared" si="55"/>
        <v>重复</v>
      </c>
      <c r="L1716" s="34" t="str">
        <f t="shared" si="56"/>
        <v>重复</v>
      </c>
    </row>
    <row r="1717" spans="1:12" ht="30">
      <c r="A1717" s="35" t="s">
        <v>12132</v>
      </c>
      <c r="B1717" s="35" t="s">
        <v>4835</v>
      </c>
      <c r="C1717" s="36" t="s">
        <v>414</v>
      </c>
      <c r="D1717" s="35" t="s">
        <v>4836</v>
      </c>
      <c r="E1717" s="35" t="s">
        <v>12125</v>
      </c>
      <c r="F1717" s="35" t="s">
        <v>12114</v>
      </c>
      <c r="G1717" s="35">
        <v>290307</v>
      </c>
      <c r="H1717" s="35">
        <v>310030</v>
      </c>
      <c r="I1717" s="35">
        <v>200012</v>
      </c>
      <c r="J1717" s="34" t="s">
        <v>932</v>
      </c>
      <c r="K1717" s="34" t="str">
        <f t="shared" si="55"/>
        <v>重复</v>
      </c>
      <c r="L1717" s="34" t="str">
        <f t="shared" si="56"/>
        <v>不重复</v>
      </c>
    </row>
    <row r="1718" spans="1:12" ht="30">
      <c r="A1718" s="35" t="s">
        <v>12133</v>
      </c>
      <c r="B1718" s="35" t="s">
        <v>4837</v>
      </c>
      <c r="C1718" s="36" t="s">
        <v>4838</v>
      </c>
      <c r="D1718" s="35" t="s">
        <v>4839</v>
      </c>
      <c r="E1718" s="35" t="s">
        <v>12125</v>
      </c>
      <c r="F1718" s="35" t="s">
        <v>12114</v>
      </c>
      <c r="G1718" s="35">
        <v>290308</v>
      </c>
      <c r="H1718" s="35">
        <v>310030</v>
      </c>
      <c r="I1718" s="35">
        <v>200012</v>
      </c>
      <c r="J1718" s="34" t="s">
        <v>4197</v>
      </c>
      <c r="K1718" s="34" t="str">
        <f t="shared" si="55"/>
        <v>不重复</v>
      </c>
      <c r="L1718" s="34" t="str">
        <f t="shared" si="56"/>
        <v>重复</v>
      </c>
    </row>
    <row r="1719" spans="1:12" ht="15">
      <c r="A1719" s="35" t="s">
        <v>12134</v>
      </c>
      <c r="B1719" s="35" t="s">
        <v>4840</v>
      </c>
      <c r="C1719" s="36" t="s">
        <v>4841</v>
      </c>
      <c r="D1719" s="35" t="s">
        <v>4842</v>
      </c>
      <c r="E1719" s="35" t="s">
        <v>12125</v>
      </c>
      <c r="F1719" s="35" t="s">
        <v>12114</v>
      </c>
      <c r="G1719" s="35">
        <v>290309</v>
      </c>
      <c r="H1719" s="35">
        <v>310030</v>
      </c>
      <c r="I1719" s="35">
        <v>200012</v>
      </c>
      <c r="J1719" s="34" t="s">
        <v>932</v>
      </c>
      <c r="K1719" s="34" t="str">
        <f t="shared" si="55"/>
        <v>重复</v>
      </c>
      <c r="L1719" s="34" t="str">
        <f t="shared" si="56"/>
        <v>不重复</v>
      </c>
    </row>
    <row r="1720" spans="1:12" ht="30">
      <c r="A1720" s="35" t="s">
        <v>12134</v>
      </c>
      <c r="B1720" s="35" t="s">
        <v>4843</v>
      </c>
      <c r="C1720" s="36" t="s">
        <v>4841</v>
      </c>
      <c r="D1720" s="35" t="s">
        <v>4844</v>
      </c>
      <c r="E1720" s="35" t="s">
        <v>12125</v>
      </c>
      <c r="F1720" s="35" t="s">
        <v>12114</v>
      </c>
      <c r="G1720" s="35">
        <v>290310</v>
      </c>
      <c r="H1720" s="35">
        <v>310030</v>
      </c>
      <c r="I1720" s="35">
        <v>200012</v>
      </c>
      <c r="J1720" s="34" t="s">
        <v>932</v>
      </c>
      <c r="K1720" s="34" t="str">
        <f t="shared" si="55"/>
        <v>重复</v>
      </c>
      <c r="L1720" s="34" t="str">
        <f t="shared" si="56"/>
        <v>不重复</v>
      </c>
    </row>
    <row r="1721" spans="1:12" ht="30">
      <c r="A1721" s="35" t="s">
        <v>12135</v>
      </c>
      <c r="B1721" s="35" t="s">
        <v>4845</v>
      </c>
      <c r="C1721" s="36" t="s">
        <v>4846</v>
      </c>
      <c r="D1721" s="35" t="s">
        <v>4847</v>
      </c>
      <c r="E1721" s="35" t="s">
        <v>12125</v>
      </c>
      <c r="F1721" s="35" t="s">
        <v>12114</v>
      </c>
      <c r="G1721" s="35">
        <v>290311</v>
      </c>
      <c r="H1721" s="35">
        <v>310030</v>
      </c>
      <c r="I1721" s="35">
        <v>200012</v>
      </c>
      <c r="J1721" s="34" t="s">
        <v>4834</v>
      </c>
      <c r="K1721" s="34" t="str">
        <f t="shared" si="55"/>
        <v>重复</v>
      </c>
      <c r="L1721" s="34" t="str">
        <f t="shared" si="56"/>
        <v>不重复</v>
      </c>
    </row>
    <row r="1722" spans="1:12" ht="15">
      <c r="A1722" s="35" t="s">
        <v>12136</v>
      </c>
      <c r="B1722" s="35" t="s">
        <v>4848</v>
      </c>
      <c r="C1722" s="36" t="s">
        <v>4849</v>
      </c>
      <c r="D1722" s="35" t="s">
        <v>4850</v>
      </c>
      <c r="E1722" s="35" t="s">
        <v>12125</v>
      </c>
      <c r="F1722" s="35" t="s">
        <v>12114</v>
      </c>
      <c r="G1722" s="35">
        <v>290312</v>
      </c>
      <c r="H1722" s="35">
        <v>310030</v>
      </c>
      <c r="I1722" s="35">
        <v>200012</v>
      </c>
      <c r="J1722" s="34" t="s">
        <v>932</v>
      </c>
      <c r="K1722" s="34" t="str">
        <f t="shared" si="55"/>
        <v>不重复</v>
      </c>
      <c r="L1722" s="34" t="str">
        <f t="shared" si="56"/>
        <v>不重复</v>
      </c>
    </row>
    <row r="1723" spans="1:12" ht="15">
      <c r="A1723" s="35" t="s">
        <v>12137</v>
      </c>
      <c r="B1723" s="35" t="s">
        <v>4851</v>
      </c>
      <c r="C1723" s="36" t="s">
        <v>816</v>
      </c>
      <c r="D1723" s="35" t="s">
        <v>4852</v>
      </c>
      <c r="E1723" s="35" t="s">
        <v>12125</v>
      </c>
      <c r="F1723" s="35" t="s">
        <v>12114</v>
      </c>
      <c r="G1723" s="35">
        <v>290313</v>
      </c>
      <c r="H1723" s="35">
        <v>310030</v>
      </c>
      <c r="I1723" s="35">
        <v>200012</v>
      </c>
      <c r="J1723" s="34" t="s">
        <v>715</v>
      </c>
      <c r="K1723" s="34" t="str">
        <f t="shared" si="55"/>
        <v>重复</v>
      </c>
      <c r="L1723" s="34" t="str">
        <f t="shared" si="56"/>
        <v>不重复</v>
      </c>
    </row>
    <row r="1724" spans="1:12" ht="30">
      <c r="A1724" s="35" t="s">
        <v>12138</v>
      </c>
      <c r="B1724" s="35" t="s">
        <v>4853</v>
      </c>
      <c r="C1724" s="36" t="s">
        <v>2291</v>
      </c>
      <c r="D1724" s="35" t="s">
        <v>4854</v>
      </c>
      <c r="E1724" s="35" t="s">
        <v>12125</v>
      </c>
      <c r="F1724" s="35" t="s">
        <v>12114</v>
      </c>
      <c r="G1724" s="35">
        <v>290314</v>
      </c>
      <c r="H1724" s="35">
        <v>310030</v>
      </c>
      <c r="I1724" s="35">
        <v>200012</v>
      </c>
      <c r="J1724" s="34" t="s">
        <v>4855</v>
      </c>
      <c r="K1724" s="34" t="str">
        <f t="shared" si="55"/>
        <v>重复</v>
      </c>
      <c r="L1724" s="34" t="str">
        <f t="shared" si="56"/>
        <v>不重复</v>
      </c>
    </row>
    <row r="1725" spans="1:12" ht="30">
      <c r="A1725" s="35" t="s">
        <v>12139</v>
      </c>
      <c r="B1725" s="35" t="s">
        <v>4856</v>
      </c>
      <c r="C1725" s="36" t="s">
        <v>4857</v>
      </c>
      <c r="D1725" s="35" t="s">
        <v>4858</v>
      </c>
      <c r="E1725" s="35" t="s">
        <v>12125</v>
      </c>
      <c r="F1725" s="35" t="s">
        <v>12114</v>
      </c>
      <c r="G1725" s="35">
        <v>290315</v>
      </c>
      <c r="H1725" s="35">
        <v>310030</v>
      </c>
      <c r="I1725" s="35">
        <v>200012</v>
      </c>
      <c r="J1725" s="34" t="s">
        <v>317</v>
      </c>
      <c r="K1725" s="34" t="str">
        <f t="shared" si="55"/>
        <v>不重复</v>
      </c>
      <c r="L1725" s="34" t="str">
        <f t="shared" si="56"/>
        <v>不重复</v>
      </c>
    </row>
    <row r="1726" spans="1:12" ht="30">
      <c r="A1726" s="35" t="s">
        <v>12140</v>
      </c>
      <c r="B1726" s="35" t="s">
        <v>4859</v>
      </c>
      <c r="C1726" s="36" t="s">
        <v>2347</v>
      </c>
      <c r="D1726" s="35" t="s">
        <v>4860</v>
      </c>
      <c r="E1726" s="35" t="s">
        <v>12125</v>
      </c>
      <c r="F1726" s="35" t="s">
        <v>12114</v>
      </c>
      <c r="G1726" s="35">
        <v>290316</v>
      </c>
      <c r="H1726" s="35">
        <v>310030</v>
      </c>
      <c r="I1726" s="35">
        <v>200012</v>
      </c>
      <c r="J1726" s="34" t="s">
        <v>317</v>
      </c>
      <c r="K1726" s="34" t="str">
        <f t="shared" si="55"/>
        <v>重复</v>
      </c>
      <c r="L1726" s="34" t="str">
        <f t="shared" si="56"/>
        <v>不重复</v>
      </c>
    </row>
    <row r="1727" spans="1:12" ht="15">
      <c r="A1727" s="35" t="s">
        <v>12141</v>
      </c>
      <c r="B1727" s="35" t="s">
        <v>4861</v>
      </c>
      <c r="C1727" s="36" t="s">
        <v>4862</v>
      </c>
      <c r="D1727" s="35" t="s">
        <v>4863</v>
      </c>
      <c r="E1727" s="35" t="s">
        <v>12125</v>
      </c>
      <c r="F1727" s="35" t="s">
        <v>12114</v>
      </c>
      <c r="G1727" s="35">
        <v>290317</v>
      </c>
      <c r="H1727" s="35">
        <v>310030</v>
      </c>
      <c r="I1727" s="35">
        <v>200012</v>
      </c>
      <c r="J1727" s="34" t="s">
        <v>16</v>
      </c>
      <c r="K1727" s="34" t="str">
        <f t="shared" si="55"/>
        <v>不重复</v>
      </c>
      <c r="L1727" s="34" t="str">
        <f t="shared" si="56"/>
        <v>不重复</v>
      </c>
    </row>
    <row r="1728" spans="1:12" ht="15">
      <c r="A1728" s="35" t="s">
        <v>12142</v>
      </c>
      <c r="B1728" s="35" t="s">
        <v>4864</v>
      </c>
      <c r="C1728" s="36" t="s">
        <v>4865</v>
      </c>
      <c r="D1728" s="35" t="s">
        <v>4866</v>
      </c>
      <c r="E1728" s="35" t="s">
        <v>12142</v>
      </c>
      <c r="F1728" s="35" t="s">
        <v>12114</v>
      </c>
      <c r="G1728" s="35">
        <v>290400</v>
      </c>
      <c r="H1728" s="35">
        <v>310040</v>
      </c>
      <c r="I1728" s="35">
        <v>200012</v>
      </c>
      <c r="J1728" s="34" t="s">
        <v>16</v>
      </c>
      <c r="K1728" s="34" t="str">
        <f t="shared" si="55"/>
        <v>不重复</v>
      </c>
      <c r="L1728" s="34" t="str">
        <f t="shared" si="56"/>
        <v>不重复</v>
      </c>
    </row>
    <row r="1729" spans="1:12" ht="30">
      <c r="A1729" s="35" t="s">
        <v>12143</v>
      </c>
      <c r="B1729" s="35" t="s">
        <v>4867</v>
      </c>
      <c r="C1729" s="36" t="s">
        <v>3391</v>
      </c>
      <c r="D1729" s="35" t="s">
        <v>4868</v>
      </c>
      <c r="E1729" s="35" t="s">
        <v>12142</v>
      </c>
      <c r="F1729" s="35" t="s">
        <v>12114</v>
      </c>
      <c r="G1729" s="35">
        <v>290401</v>
      </c>
      <c r="H1729" s="35">
        <v>310040</v>
      </c>
      <c r="I1729" s="35">
        <v>200012</v>
      </c>
      <c r="J1729" s="34" t="s">
        <v>4869</v>
      </c>
      <c r="K1729" s="34" t="str">
        <f t="shared" si="55"/>
        <v>重复</v>
      </c>
      <c r="L1729" s="34" t="str">
        <f t="shared" si="56"/>
        <v>不重复</v>
      </c>
    </row>
    <row r="1730" spans="1:12" ht="30">
      <c r="A1730" s="35" t="s">
        <v>12144</v>
      </c>
      <c r="B1730" s="35" t="s">
        <v>4870</v>
      </c>
      <c r="C1730" s="36" t="s">
        <v>4871</v>
      </c>
      <c r="D1730" s="35" t="s">
        <v>4872</v>
      </c>
      <c r="E1730" s="35" t="s">
        <v>12142</v>
      </c>
      <c r="F1730" s="35" t="s">
        <v>12114</v>
      </c>
      <c r="G1730" s="35">
        <v>290402</v>
      </c>
      <c r="H1730" s="35">
        <v>310040</v>
      </c>
      <c r="I1730" s="35">
        <v>200012</v>
      </c>
      <c r="J1730" s="34" t="s">
        <v>932</v>
      </c>
      <c r="K1730" s="34" t="str">
        <f t="shared" si="55"/>
        <v>不重复</v>
      </c>
      <c r="L1730" s="34" t="str">
        <f t="shared" si="56"/>
        <v>重复</v>
      </c>
    </row>
    <row r="1731" spans="1:12" ht="15">
      <c r="A1731" s="35" t="s">
        <v>12145</v>
      </c>
      <c r="B1731" s="35" t="s">
        <v>4873</v>
      </c>
      <c r="C1731" s="36" t="s">
        <v>4874</v>
      </c>
      <c r="D1731" s="35" t="s">
        <v>4875</v>
      </c>
      <c r="E1731" s="35" t="s">
        <v>12146</v>
      </c>
      <c r="F1731" s="35" t="s">
        <v>12114</v>
      </c>
      <c r="G1731" s="35">
        <v>2095300</v>
      </c>
      <c r="H1731" s="35">
        <v>310050</v>
      </c>
      <c r="I1731" s="35">
        <v>200012</v>
      </c>
      <c r="J1731" s="34"/>
      <c r="K1731" s="34" t="str">
        <f t="shared" si="55"/>
        <v>不重复</v>
      </c>
      <c r="L1731" s="34" t="str">
        <f t="shared" si="56"/>
        <v>不重复</v>
      </c>
    </row>
    <row r="1732" spans="1:12" ht="15">
      <c r="A1732" s="35" t="s">
        <v>12147</v>
      </c>
      <c r="B1732" s="35" t="s">
        <v>4876</v>
      </c>
      <c r="C1732" s="36" t="s">
        <v>4877</v>
      </c>
      <c r="D1732" s="35" t="s">
        <v>4878</v>
      </c>
      <c r="E1732" s="35" t="s">
        <v>12146</v>
      </c>
      <c r="F1732" s="35" t="s">
        <v>12114</v>
      </c>
      <c r="G1732" s="35">
        <v>290530</v>
      </c>
      <c r="H1732" s="35">
        <v>310050</v>
      </c>
      <c r="I1732" s="35">
        <v>200012</v>
      </c>
      <c r="J1732" s="34"/>
      <c r="K1732" s="34" t="str">
        <f t="shared" si="55"/>
        <v>不重复</v>
      </c>
      <c r="L1732" s="34" t="str">
        <f t="shared" si="56"/>
        <v>重复</v>
      </c>
    </row>
    <row r="1733" spans="1:12" ht="15">
      <c r="A1733" s="35" t="s">
        <v>12148</v>
      </c>
      <c r="B1733" s="35" t="s">
        <v>4879</v>
      </c>
      <c r="C1733" s="36" t="s">
        <v>4880</v>
      </c>
      <c r="D1733" s="35" t="s">
        <v>4881</v>
      </c>
      <c r="E1733" s="35" t="s">
        <v>12146</v>
      </c>
      <c r="F1733" s="35" t="s">
        <v>12114</v>
      </c>
      <c r="G1733" s="35">
        <v>290500</v>
      </c>
      <c r="H1733" s="35">
        <v>310050</v>
      </c>
      <c r="I1733" s="35">
        <v>200012</v>
      </c>
      <c r="J1733" s="34" t="s">
        <v>4882</v>
      </c>
      <c r="K1733" s="34" t="str">
        <f t="shared" si="55"/>
        <v>不重复</v>
      </c>
      <c r="L1733" s="34" t="str">
        <f t="shared" si="56"/>
        <v>不重复</v>
      </c>
    </row>
    <row r="1734" spans="1:12" ht="15">
      <c r="A1734" s="35" t="s">
        <v>12149</v>
      </c>
      <c r="B1734" s="35" t="s">
        <v>4883</v>
      </c>
      <c r="C1734" s="36" t="s">
        <v>2394</v>
      </c>
      <c r="D1734" s="35" t="s">
        <v>4884</v>
      </c>
      <c r="E1734" s="35" t="s">
        <v>12146</v>
      </c>
      <c r="F1734" s="35" t="s">
        <v>12114</v>
      </c>
      <c r="G1734" s="35">
        <v>290501</v>
      </c>
      <c r="H1734" s="35">
        <v>310050</v>
      </c>
      <c r="I1734" s="35">
        <v>200012</v>
      </c>
      <c r="J1734" s="34" t="s">
        <v>311</v>
      </c>
      <c r="K1734" s="34" t="str">
        <f t="shared" si="55"/>
        <v>重复</v>
      </c>
      <c r="L1734" s="34" t="str">
        <f t="shared" si="56"/>
        <v>不重复</v>
      </c>
    </row>
    <row r="1735" spans="1:12" ht="15">
      <c r="A1735" s="35" t="s">
        <v>12150</v>
      </c>
      <c r="B1735" s="35" t="s">
        <v>4885</v>
      </c>
      <c r="C1735" s="36" t="s">
        <v>2485</v>
      </c>
      <c r="D1735" s="35" t="s">
        <v>4886</v>
      </c>
      <c r="E1735" s="35" t="s">
        <v>12146</v>
      </c>
      <c r="F1735" s="35" t="s">
        <v>12114</v>
      </c>
      <c r="G1735" s="35">
        <v>290502</v>
      </c>
      <c r="H1735" s="35">
        <v>310050</v>
      </c>
      <c r="I1735" s="35">
        <v>200012</v>
      </c>
      <c r="J1735" s="34" t="s">
        <v>4887</v>
      </c>
      <c r="K1735" s="34" t="str">
        <f t="shared" si="55"/>
        <v>重复</v>
      </c>
      <c r="L1735" s="34" t="str">
        <f t="shared" si="56"/>
        <v>不重复</v>
      </c>
    </row>
    <row r="1736" spans="1:12" ht="15">
      <c r="A1736" s="35" t="s">
        <v>12151</v>
      </c>
      <c r="B1736" s="35" t="s">
        <v>4888</v>
      </c>
      <c r="C1736" s="36" t="s">
        <v>2485</v>
      </c>
      <c r="D1736" s="35" t="s">
        <v>4889</v>
      </c>
      <c r="E1736" s="35" t="s">
        <v>12146</v>
      </c>
      <c r="F1736" s="35" t="s">
        <v>12114</v>
      </c>
      <c r="G1736" s="35">
        <v>290503</v>
      </c>
      <c r="H1736" s="35">
        <v>310050</v>
      </c>
      <c r="I1736" s="35">
        <v>200012</v>
      </c>
      <c r="J1736" s="34" t="s">
        <v>4890</v>
      </c>
      <c r="K1736" s="34" t="str">
        <f t="shared" si="55"/>
        <v>重复</v>
      </c>
      <c r="L1736" s="34" t="str">
        <f t="shared" si="56"/>
        <v>不重复</v>
      </c>
    </row>
    <row r="1737" spans="1:12" ht="15">
      <c r="A1737" s="35" t="s">
        <v>12152</v>
      </c>
      <c r="B1737" s="35" t="s">
        <v>4891</v>
      </c>
      <c r="C1737" s="36" t="s">
        <v>2136</v>
      </c>
      <c r="D1737" s="35" t="s">
        <v>4892</v>
      </c>
      <c r="E1737" s="35" t="s">
        <v>12146</v>
      </c>
      <c r="F1737" s="35" t="s">
        <v>12114</v>
      </c>
      <c r="G1737" s="35">
        <v>290504</v>
      </c>
      <c r="H1737" s="35">
        <v>310050</v>
      </c>
      <c r="I1737" s="35">
        <v>200012</v>
      </c>
      <c r="J1737" s="34" t="s">
        <v>317</v>
      </c>
      <c r="K1737" s="34" t="str">
        <f t="shared" si="55"/>
        <v>重复</v>
      </c>
      <c r="L1737" s="34" t="str">
        <f t="shared" si="56"/>
        <v>重复</v>
      </c>
    </row>
    <row r="1738" spans="1:12" ht="15">
      <c r="A1738" s="35" t="s">
        <v>12153</v>
      </c>
      <c r="B1738" s="35" t="s">
        <v>4893</v>
      </c>
      <c r="C1738" s="36" t="s">
        <v>4315</v>
      </c>
      <c r="D1738" s="35" t="s">
        <v>4892</v>
      </c>
      <c r="E1738" s="35" t="s">
        <v>12146</v>
      </c>
      <c r="F1738" s="35" t="s">
        <v>12114</v>
      </c>
      <c r="G1738" s="35">
        <v>290505</v>
      </c>
      <c r="H1738" s="35">
        <v>310050</v>
      </c>
      <c r="I1738" s="35">
        <v>200012</v>
      </c>
      <c r="J1738" s="34" t="s">
        <v>4894</v>
      </c>
      <c r="K1738" s="34" t="str">
        <f t="shared" si="55"/>
        <v>重复</v>
      </c>
      <c r="L1738" s="34" t="str">
        <f t="shared" si="56"/>
        <v>重复</v>
      </c>
    </row>
    <row r="1739" spans="1:12" ht="15">
      <c r="A1739" s="35" t="s">
        <v>12154</v>
      </c>
      <c r="B1739" s="35" t="s">
        <v>4895</v>
      </c>
      <c r="C1739" s="36" t="s">
        <v>2604</v>
      </c>
      <c r="D1739" s="35" t="s">
        <v>4896</v>
      </c>
      <c r="E1739" s="35" t="s">
        <v>12146</v>
      </c>
      <c r="F1739" s="35" t="s">
        <v>12114</v>
      </c>
      <c r="G1739" s="35">
        <v>290506</v>
      </c>
      <c r="H1739" s="35">
        <v>310050</v>
      </c>
      <c r="I1739" s="35">
        <v>200012</v>
      </c>
      <c r="J1739" s="34" t="s">
        <v>932</v>
      </c>
      <c r="K1739" s="34" t="str">
        <f t="shared" si="55"/>
        <v>重复</v>
      </c>
      <c r="L1739" s="34" t="str">
        <f t="shared" si="56"/>
        <v>不重复</v>
      </c>
    </row>
    <row r="1740" spans="1:12" ht="15">
      <c r="A1740" s="35" t="s">
        <v>12155</v>
      </c>
      <c r="B1740" s="35" t="s">
        <v>4897</v>
      </c>
      <c r="C1740" s="36" t="s">
        <v>2604</v>
      </c>
      <c r="D1740" s="35" t="s">
        <v>4898</v>
      </c>
      <c r="E1740" s="35" t="s">
        <v>12146</v>
      </c>
      <c r="F1740" s="35" t="s">
        <v>12114</v>
      </c>
      <c r="G1740" s="35">
        <v>290507</v>
      </c>
      <c r="H1740" s="35">
        <v>310050</v>
      </c>
      <c r="I1740" s="35">
        <v>200012</v>
      </c>
      <c r="J1740" s="34" t="s">
        <v>363</v>
      </c>
      <c r="K1740" s="34" t="str">
        <f t="shared" si="55"/>
        <v>重复</v>
      </c>
      <c r="L1740" s="34" t="str">
        <f t="shared" si="56"/>
        <v>不重复</v>
      </c>
    </row>
    <row r="1741" spans="1:12" ht="15">
      <c r="A1741" s="35" t="s">
        <v>12156</v>
      </c>
      <c r="B1741" s="35" t="s">
        <v>4899</v>
      </c>
      <c r="C1741" s="36" t="s">
        <v>4900</v>
      </c>
      <c r="D1741" s="35" t="s">
        <v>4901</v>
      </c>
      <c r="E1741" s="35" t="s">
        <v>12146</v>
      </c>
      <c r="F1741" s="35" t="s">
        <v>12114</v>
      </c>
      <c r="G1741" s="35">
        <v>290508</v>
      </c>
      <c r="H1741" s="35">
        <v>310050</v>
      </c>
      <c r="I1741" s="35">
        <v>200012</v>
      </c>
      <c r="J1741" s="34" t="s">
        <v>311</v>
      </c>
      <c r="K1741" s="34" t="str">
        <f t="shared" si="55"/>
        <v>不重复</v>
      </c>
      <c r="L1741" s="34" t="str">
        <f t="shared" si="56"/>
        <v>不重复</v>
      </c>
    </row>
    <row r="1742" spans="1:12" ht="15">
      <c r="A1742" s="35" t="s">
        <v>12157</v>
      </c>
      <c r="B1742" s="35" t="s">
        <v>4902</v>
      </c>
      <c r="C1742" s="36" t="s">
        <v>4246</v>
      </c>
      <c r="D1742" s="35" t="s">
        <v>4903</v>
      </c>
      <c r="E1742" s="35" t="s">
        <v>12146</v>
      </c>
      <c r="F1742" s="35" t="s">
        <v>12114</v>
      </c>
      <c r="G1742" s="35">
        <v>290509</v>
      </c>
      <c r="H1742" s="35">
        <v>310050</v>
      </c>
      <c r="I1742" s="35">
        <v>200012</v>
      </c>
      <c r="J1742" s="34" t="s">
        <v>363</v>
      </c>
      <c r="K1742" s="34" t="str">
        <f t="shared" si="55"/>
        <v>重复</v>
      </c>
      <c r="L1742" s="34" t="str">
        <f t="shared" si="56"/>
        <v>不重复</v>
      </c>
    </row>
    <row r="1743" spans="1:12" ht="15">
      <c r="A1743" s="35" t="s">
        <v>12158</v>
      </c>
      <c r="B1743" s="35" t="s">
        <v>4904</v>
      </c>
      <c r="C1743" s="36" t="s">
        <v>993</v>
      </c>
      <c r="D1743" s="35" t="s">
        <v>4905</v>
      </c>
      <c r="E1743" s="35" t="s">
        <v>12146</v>
      </c>
      <c r="F1743" s="35" t="s">
        <v>12114</v>
      </c>
      <c r="G1743" s="35">
        <v>290510</v>
      </c>
      <c r="H1743" s="35">
        <v>310050</v>
      </c>
      <c r="I1743" s="35">
        <v>200012</v>
      </c>
      <c r="J1743" s="34" t="s">
        <v>363</v>
      </c>
      <c r="K1743" s="34" t="str">
        <f t="shared" si="55"/>
        <v>重复</v>
      </c>
      <c r="L1743" s="34" t="str">
        <f t="shared" si="56"/>
        <v>不重复</v>
      </c>
    </row>
    <row r="1744" spans="1:12" ht="15">
      <c r="A1744" s="35" t="s">
        <v>12159</v>
      </c>
      <c r="B1744" s="35" t="s">
        <v>4906</v>
      </c>
      <c r="C1744" s="36" t="s">
        <v>4907</v>
      </c>
      <c r="D1744" s="35" t="s">
        <v>4908</v>
      </c>
      <c r="E1744" s="35" t="s">
        <v>12146</v>
      </c>
      <c r="F1744" s="35" t="s">
        <v>12114</v>
      </c>
      <c r="G1744" s="35">
        <v>290511</v>
      </c>
      <c r="H1744" s="35">
        <v>310050</v>
      </c>
      <c r="I1744" s="35">
        <v>200012</v>
      </c>
      <c r="J1744" s="34" t="s">
        <v>363</v>
      </c>
      <c r="K1744" s="34" t="str">
        <f t="shared" si="55"/>
        <v>不重复</v>
      </c>
      <c r="L1744" s="34" t="str">
        <f t="shared" si="56"/>
        <v>不重复</v>
      </c>
    </row>
    <row r="1745" spans="1:12" ht="30">
      <c r="A1745" s="35" t="s">
        <v>12160</v>
      </c>
      <c r="B1745" s="35" t="s">
        <v>4909</v>
      </c>
      <c r="C1745" s="36" t="s">
        <v>993</v>
      </c>
      <c r="D1745" s="35" t="s">
        <v>4910</v>
      </c>
      <c r="E1745" s="35" t="s">
        <v>12146</v>
      </c>
      <c r="F1745" s="35" t="s">
        <v>12114</v>
      </c>
      <c r="G1745" s="35">
        <v>290512</v>
      </c>
      <c r="H1745" s="35">
        <v>310050</v>
      </c>
      <c r="I1745" s="35">
        <v>200012</v>
      </c>
      <c r="J1745" s="34" t="s">
        <v>932</v>
      </c>
      <c r="K1745" s="34" t="str">
        <f t="shared" si="55"/>
        <v>重复</v>
      </c>
      <c r="L1745" s="34" t="str">
        <f t="shared" si="56"/>
        <v>重复</v>
      </c>
    </row>
    <row r="1746" spans="1:12" ht="15">
      <c r="A1746" s="35" t="s">
        <v>12161</v>
      </c>
      <c r="B1746" s="35" t="s">
        <v>4911</v>
      </c>
      <c r="C1746" s="36" t="s">
        <v>4912</v>
      </c>
      <c r="D1746" s="35" t="s">
        <v>4913</v>
      </c>
      <c r="E1746" s="35" t="s">
        <v>12146</v>
      </c>
      <c r="F1746" s="35" t="s">
        <v>12114</v>
      </c>
      <c r="G1746" s="35">
        <v>290513</v>
      </c>
      <c r="H1746" s="35">
        <v>310050</v>
      </c>
      <c r="I1746" s="35">
        <v>200012</v>
      </c>
      <c r="J1746" s="34" t="s">
        <v>932</v>
      </c>
      <c r="K1746" s="34" t="str">
        <f t="shared" si="55"/>
        <v>重复</v>
      </c>
      <c r="L1746" s="34" t="str">
        <f t="shared" si="56"/>
        <v>不重复</v>
      </c>
    </row>
    <row r="1747" spans="1:12" ht="15">
      <c r="A1747" s="35" t="s">
        <v>12162</v>
      </c>
      <c r="B1747" s="35" t="s">
        <v>4914</v>
      </c>
      <c r="C1747" s="36" t="s">
        <v>588</v>
      </c>
      <c r="D1747" s="35" t="s">
        <v>4915</v>
      </c>
      <c r="E1747" s="35" t="s">
        <v>12146</v>
      </c>
      <c r="F1747" s="35" t="s">
        <v>12114</v>
      </c>
      <c r="G1747" s="35">
        <v>290514</v>
      </c>
      <c r="H1747" s="35">
        <v>310050</v>
      </c>
      <c r="I1747" s="35">
        <v>200012</v>
      </c>
      <c r="J1747" s="34" t="s">
        <v>932</v>
      </c>
      <c r="K1747" s="34" t="str">
        <f t="shared" si="55"/>
        <v>重复</v>
      </c>
      <c r="L1747" s="34" t="str">
        <f t="shared" si="56"/>
        <v>重复</v>
      </c>
    </row>
    <row r="1748" spans="1:12" ht="30">
      <c r="A1748" s="35" t="s">
        <v>12163</v>
      </c>
      <c r="B1748" s="35" t="s">
        <v>4916</v>
      </c>
      <c r="C1748" s="36" t="s">
        <v>4917</v>
      </c>
      <c r="D1748" s="35" t="s">
        <v>4915</v>
      </c>
      <c r="E1748" s="35" t="s">
        <v>12146</v>
      </c>
      <c r="F1748" s="35" t="s">
        <v>12114</v>
      </c>
      <c r="G1748" s="35">
        <v>290515</v>
      </c>
      <c r="H1748" s="35">
        <v>310050</v>
      </c>
      <c r="I1748" s="35">
        <v>200012</v>
      </c>
      <c r="J1748" s="34" t="s">
        <v>363</v>
      </c>
      <c r="K1748" s="34" t="str">
        <f t="shared" si="55"/>
        <v>不重复</v>
      </c>
      <c r="L1748" s="34" t="str">
        <f t="shared" si="56"/>
        <v>重复</v>
      </c>
    </row>
    <row r="1749" spans="1:12" ht="15">
      <c r="A1749" s="35" t="s">
        <v>12164</v>
      </c>
      <c r="B1749" s="35" t="s">
        <v>4918</v>
      </c>
      <c r="C1749" s="36" t="s">
        <v>4919</v>
      </c>
      <c r="D1749" s="35" t="s">
        <v>4915</v>
      </c>
      <c r="E1749" s="35" t="s">
        <v>12146</v>
      </c>
      <c r="F1749" s="35" t="s">
        <v>12114</v>
      </c>
      <c r="G1749" s="35">
        <v>290516</v>
      </c>
      <c r="H1749" s="35">
        <v>310050</v>
      </c>
      <c r="I1749" s="35">
        <v>200012</v>
      </c>
      <c r="J1749" s="34" t="s">
        <v>932</v>
      </c>
      <c r="K1749" s="34" t="str">
        <f t="shared" si="55"/>
        <v>重复</v>
      </c>
      <c r="L1749" s="34" t="str">
        <f t="shared" si="56"/>
        <v>重复</v>
      </c>
    </row>
    <row r="1750" spans="1:12" ht="15">
      <c r="A1750" s="35" t="s">
        <v>12165</v>
      </c>
      <c r="B1750" s="35" t="s">
        <v>4920</v>
      </c>
      <c r="C1750" s="36" t="s">
        <v>4921</v>
      </c>
      <c r="D1750" s="35" t="s">
        <v>4922</v>
      </c>
      <c r="E1750" s="35" t="s">
        <v>12146</v>
      </c>
      <c r="F1750" s="35" t="s">
        <v>12114</v>
      </c>
      <c r="G1750" s="35">
        <v>290517</v>
      </c>
      <c r="H1750" s="35">
        <v>310050</v>
      </c>
      <c r="I1750" s="35">
        <v>200012</v>
      </c>
      <c r="J1750" s="34" t="s">
        <v>493</v>
      </c>
      <c r="K1750" s="34" t="str">
        <f t="shared" si="57" ref="K1750:K1813">IF(COUNTIF(C:C,C1750)&gt;=2,"重复","不重复")</f>
        <v>不重复</v>
      </c>
      <c r="L1750" s="34" t="str">
        <f t="shared" si="56"/>
        <v>不重复</v>
      </c>
    </row>
    <row r="1751" spans="1:12" ht="15">
      <c r="A1751" s="35" t="s">
        <v>12166</v>
      </c>
      <c r="B1751" s="35" t="s">
        <v>4923</v>
      </c>
      <c r="C1751" s="36" t="s">
        <v>2518</v>
      </c>
      <c r="D1751" s="35" t="s">
        <v>4924</v>
      </c>
      <c r="E1751" s="35" t="s">
        <v>12146</v>
      </c>
      <c r="F1751" s="35" t="s">
        <v>12114</v>
      </c>
      <c r="G1751" s="35">
        <v>290518</v>
      </c>
      <c r="H1751" s="35">
        <v>310050</v>
      </c>
      <c r="I1751" s="35">
        <v>200012</v>
      </c>
      <c r="J1751" s="34" t="s">
        <v>4925</v>
      </c>
      <c r="K1751" s="34" t="str">
        <f t="shared" si="57"/>
        <v>重复</v>
      </c>
      <c r="L1751" s="34" t="str">
        <f t="shared" si="56"/>
        <v>不重复</v>
      </c>
    </row>
    <row r="1752" spans="1:12" ht="15">
      <c r="A1752" s="35" t="s">
        <v>12167</v>
      </c>
      <c r="B1752" s="35" t="s">
        <v>4926</v>
      </c>
      <c r="C1752" s="36" t="s">
        <v>4927</v>
      </c>
      <c r="D1752" s="35" t="s">
        <v>4928</v>
      </c>
      <c r="E1752" s="35" t="s">
        <v>12146</v>
      </c>
      <c r="F1752" s="35" t="s">
        <v>12114</v>
      </c>
      <c r="G1752" s="35">
        <v>290519</v>
      </c>
      <c r="H1752" s="35">
        <v>310050</v>
      </c>
      <c r="I1752" s="35">
        <v>200012</v>
      </c>
      <c r="J1752" s="34" t="s">
        <v>317</v>
      </c>
      <c r="K1752" s="34" t="str">
        <f t="shared" si="57"/>
        <v>不重复</v>
      </c>
      <c r="L1752" s="34" t="str">
        <f t="shared" si="56"/>
        <v>重复</v>
      </c>
    </row>
    <row r="1753" spans="1:12" ht="30">
      <c r="A1753" s="35" t="s">
        <v>12168</v>
      </c>
      <c r="B1753" s="35" t="s">
        <v>4929</v>
      </c>
      <c r="C1753" s="36" t="s">
        <v>4930</v>
      </c>
      <c r="D1753" s="35" t="s">
        <v>4928</v>
      </c>
      <c r="E1753" s="35" t="s">
        <v>12146</v>
      </c>
      <c r="F1753" s="35" t="s">
        <v>12114</v>
      </c>
      <c r="G1753" s="35">
        <v>290519</v>
      </c>
      <c r="H1753" s="35">
        <v>310050</v>
      </c>
      <c r="I1753" s="35">
        <v>200012</v>
      </c>
      <c r="J1753" s="34"/>
      <c r="K1753" s="34" t="str">
        <f t="shared" si="57"/>
        <v>不重复</v>
      </c>
      <c r="L1753" s="34"/>
    </row>
    <row r="1754" spans="1:12" ht="15">
      <c r="A1754" s="35" t="s">
        <v>12169</v>
      </c>
      <c r="B1754" s="35" t="s">
        <v>4931</v>
      </c>
      <c r="C1754" s="36" t="s">
        <v>4932</v>
      </c>
      <c r="D1754" s="35" t="s">
        <v>4933</v>
      </c>
      <c r="E1754" s="35" t="s">
        <v>12146</v>
      </c>
      <c r="F1754" s="35" t="s">
        <v>12114</v>
      </c>
      <c r="G1754" s="35">
        <v>290520</v>
      </c>
      <c r="H1754" s="35">
        <v>310050</v>
      </c>
      <c r="I1754" s="35">
        <v>200012</v>
      </c>
      <c r="J1754" s="34" t="s">
        <v>756</v>
      </c>
      <c r="K1754" s="34" t="str">
        <f t="shared" si="57"/>
        <v>不重复</v>
      </c>
      <c r="L1754" s="34" t="str">
        <f t="shared" si="58" ref="L1754:L1817">IF(COUNTIF(D:D,D1754)&gt;=2,"重复","不重复")</f>
        <v>不重复</v>
      </c>
    </row>
    <row r="1755" spans="1:12" ht="15">
      <c r="A1755" s="35" t="s">
        <v>12170</v>
      </c>
      <c r="B1755" s="35" t="s">
        <v>4934</v>
      </c>
      <c r="C1755" s="36" t="s">
        <v>4935</v>
      </c>
      <c r="D1755" s="35" t="s">
        <v>4936</v>
      </c>
      <c r="E1755" s="35" t="s">
        <v>12146</v>
      </c>
      <c r="F1755" s="35" t="s">
        <v>12114</v>
      </c>
      <c r="G1755" s="35">
        <v>290521</v>
      </c>
      <c r="H1755" s="35">
        <v>310050</v>
      </c>
      <c r="I1755" s="35">
        <v>200012</v>
      </c>
      <c r="J1755" s="34" t="s">
        <v>531</v>
      </c>
      <c r="K1755" s="34" t="str">
        <f t="shared" si="57"/>
        <v>不重复</v>
      </c>
      <c r="L1755" s="34" t="str">
        <f t="shared" si="58"/>
        <v>不重复</v>
      </c>
    </row>
    <row r="1756" spans="1:12" ht="15">
      <c r="A1756" s="35" t="s">
        <v>12171</v>
      </c>
      <c r="B1756" s="35" t="s">
        <v>4937</v>
      </c>
      <c r="C1756" s="36" t="s">
        <v>4938</v>
      </c>
      <c r="D1756" s="35" t="s">
        <v>4939</v>
      </c>
      <c r="E1756" s="35" t="s">
        <v>12146</v>
      </c>
      <c r="F1756" s="35" t="s">
        <v>12114</v>
      </c>
      <c r="G1756" s="35">
        <v>290529</v>
      </c>
      <c r="H1756" s="35">
        <v>310050</v>
      </c>
      <c r="I1756" s="35">
        <v>200012</v>
      </c>
      <c r="J1756" s="34"/>
      <c r="K1756" s="34" t="str">
        <f t="shared" si="57"/>
        <v>不重复</v>
      </c>
      <c r="L1756" s="34" t="str">
        <f t="shared" si="58"/>
        <v>不重复</v>
      </c>
    </row>
    <row r="1757" spans="1:12" ht="15">
      <c r="A1757" s="35" t="s">
        <v>12172</v>
      </c>
      <c r="B1757" s="35" t="s">
        <v>4940</v>
      </c>
      <c r="C1757" s="36" t="s">
        <v>4941</v>
      </c>
      <c r="D1757" s="35" t="s">
        <v>4942</v>
      </c>
      <c r="E1757" s="35" t="s">
        <v>12146</v>
      </c>
      <c r="F1757" s="35" t="s">
        <v>12114</v>
      </c>
      <c r="G1757" s="35">
        <v>290522</v>
      </c>
      <c r="H1757" s="35">
        <v>310050</v>
      </c>
      <c r="I1757" s="35">
        <v>200012</v>
      </c>
      <c r="J1757" s="34" t="s">
        <v>317</v>
      </c>
      <c r="K1757" s="34" t="str">
        <f t="shared" si="57"/>
        <v>重复</v>
      </c>
      <c r="L1757" s="34" t="str">
        <f t="shared" si="58"/>
        <v>重复</v>
      </c>
    </row>
    <row r="1758" spans="1:12" ht="15">
      <c r="A1758" s="35" t="s">
        <v>12172</v>
      </c>
      <c r="B1758" s="35" t="s">
        <v>4940</v>
      </c>
      <c r="C1758" s="36" t="s">
        <v>4941</v>
      </c>
      <c r="D1758" s="35" t="s">
        <v>4942</v>
      </c>
      <c r="E1758" s="35" t="s">
        <v>12146</v>
      </c>
      <c r="F1758" s="35" t="s">
        <v>12114</v>
      </c>
      <c r="G1758" s="35">
        <v>290523</v>
      </c>
      <c r="H1758" s="35">
        <v>310050</v>
      </c>
      <c r="I1758" s="35">
        <v>200012</v>
      </c>
      <c r="J1758" s="34" t="s">
        <v>4943</v>
      </c>
      <c r="K1758" s="34" t="str">
        <f t="shared" si="57"/>
        <v>重复</v>
      </c>
      <c r="L1758" s="34" t="str">
        <f t="shared" si="58"/>
        <v>重复</v>
      </c>
    </row>
    <row r="1759" spans="1:12" ht="30">
      <c r="A1759" s="35" t="s">
        <v>12173</v>
      </c>
      <c r="B1759" s="35" t="s">
        <v>4944</v>
      </c>
      <c r="C1759" s="36" t="s">
        <v>4945</v>
      </c>
      <c r="D1759" s="35" t="s">
        <v>4946</v>
      </c>
      <c r="E1759" s="35" t="s">
        <v>12146</v>
      </c>
      <c r="F1759" s="35" t="s">
        <v>12114</v>
      </c>
      <c r="G1759" s="35">
        <v>290524</v>
      </c>
      <c r="H1759" s="35">
        <v>310050</v>
      </c>
      <c r="I1759" s="35">
        <v>200012</v>
      </c>
      <c r="J1759" s="34" t="s">
        <v>962</v>
      </c>
      <c r="K1759" s="34" t="str">
        <f t="shared" si="57"/>
        <v>不重复</v>
      </c>
      <c r="L1759" s="34" t="str">
        <f t="shared" si="58"/>
        <v>不重复</v>
      </c>
    </row>
    <row r="1760" spans="1:12" ht="27">
      <c r="A1760" s="35" t="s">
        <v>12174</v>
      </c>
      <c r="B1760" s="35" t="s">
        <v>4947</v>
      </c>
      <c r="C1760" s="36" t="s">
        <v>4948</v>
      </c>
      <c r="D1760" s="35" t="s">
        <v>2673</v>
      </c>
      <c r="E1760" s="35" t="s">
        <v>12146</v>
      </c>
      <c r="F1760" s="35" t="s">
        <v>12114</v>
      </c>
      <c r="G1760" s="35">
        <v>290525</v>
      </c>
      <c r="H1760" s="35">
        <v>310050</v>
      </c>
      <c r="I1760" s="35">
        <v>200012</v>
      </c>
      <c r="J1760" s="34" t="s">
        <v>932</v>
      </c>
      <c r="K1760" s="34" t="str">
        <f t="shared" si="57"/>
        <v>不重复</v>
      </c>
      <c r="L1760" s="34" t="str">
        <f t="shared" si="58"/>
        <v>重复</v>
      </c>
    </row>
    <row r="1761" spans="1:12" ht="15">
      <c r="A1761" s="35" t="s">
        <v>12175</v>
      </c>
      <c r="B1761" s="35" t="s">
        <v>4949</v>
      </c>
      <c r="C1761" s="36" t="s">
        <v>4950</v>
      </c>
      <c r="D1761" s="35" t="s">
        <v>4951</v>
      </c>
      <c r="E1761" s="35" t="s">
        <v>12146</v>
      </c>
      <c r="F1761" s="35" t="s">
        <v>12114</v>
      </c>
      <c r="G1761" s="35">
        <v>290526</v>
      </c>
      <c r="H1761" s="35">
        <v>310050</v>
      </c>
      <c r="I1761" s="35">
        <v>200012</v>
      </c>
      <c r="J1761" s="34" t="s">
        <v>715</v>
      </c>
      <c r="K1761" s="34" t="str">
        <f t="shared" si="57"/>
        <v>不重复</v>
      </c>
      <c r="L1761" s="34" t="str">
        <f t="shared" si="58"/>
        <v>不重复</v>
      </c>
    </row>
    <row r="1762" spans="1:12" ht="30">
      <c r="A1762" s="35" t="s">
        <v>12176</v>
      </c>
      <c r="B1762" s="35" t="s">
        <v>4952</v>
      </c>
      <c r="C1762" s="36" t="s">
        <v>300</v>
      </c>
      <c r="D1762" s="35" t="s">
        <v>4953</v>
      </c>
      <c r="E1762" s="35" t="s">
        <v>12146</v>
      </c>
      <c r="F1762" s="35" t="s">
        <v>12114</v>
      </c>
      <c r="G1762" s="35">
        <v>290527</v>
      </c>
      <c r="H1762" s="35">
        <v>310050</v>
      </c>
      <c r="I1762" s="35">
        <v>200012</v>
      </c>
      <c r="J1762" s="34" t="s">
        <v>183</v>
      </c>
      <c r="K1762" s="34" t="str">
        <f t="shared" si="57"/>
        <v>重复</v>
      </c>
      <c r="L1762" s="34" t="str">
        <f t="shared" si="58"/>
        <v>不重复</v>
      </c>
    </row>
    <row r="1763" spans="1:12" ht="27">
      <c r="A1763" s="35" t="s">
        <v>12177</v>
      </c>
      <c r="B1763" s="35" t="s">
        <v>4954</v>
      </c>
      <c r="C1763" s="36" t="s">
        <v>3391</v>
      </c>
      <c r="D1763" s="35" t="s">
        <v>4955</v>
      </c>
      <c r="E1763" s="35" t="s">
        <v>12146</v>
      </c>
      <c r="F1763" s="35" t="s">
        <v>12114</v>
      </c>
      <c r="G1763" s="35">
        <v>290528</v>
      </c>
      <c r="H1763" s="35">
        <v>310050</v>
      </c>
      <c r="I1763" s="35">
        <v>200012</v>
      </c>
      <c r="J1763" s="34" t="s">
        <v>932</v>
      </c>
      <c r="K1763" s="34" t="str">
        <f t="shared" si="57"/>
        <v>重复</v>
      </c>
      <c r="L1763" s="34" t="str">
        <f t="shared" si="58"/>
        <v>不重复</v>
      </c>
    </row>
    <row r="1764" spans="1:12" ht="15">
      <c r="A1764" s="35" t="s">
        <v>12178</v>
      </c>
      <c r="B1764" s="35" t="s">
        <v>4956</v>
      </c>
      <c r="C1764" s="36" t="s">
        <v>795</v>
      </c>
      <c r="D1764" s="35" t="s">
        <v>4957</v>
      </c>
      <c r="E1764" s="35" t="s">
        <v>12178</v>
      </c>
      <c r="F1764" s="35" t="s">
        <v>12179</v>
      </c>
      <c r="G1764" s="35">
        <v>290600</v>
      </c>
      <c r="H1764" s="35">
        <v>320000</v>
      </c>
      <c r="I1764" s="35">
        <v>200013</v>
      </c>
      <c r="J1764" s="34" t="s">
        <v>16</v>
      </c>
      <c r="K1764" s="34" t="str">
        <f t="shared" si="57"/>
        <v>重复</v>
      </c>
      <c r="L1764" s="34" t="str">
        <f t="shared" si="58"/>
        <v>不重复</v>
      </c>
    </row>
    <row r="1765" spans="1:12" ht="15">
      <c r="A1765" s="35" t="s">
        <v>12180</v>
      </c>
      <c r="B1765" s="35" t="s">
        <v>4958</v>
      </c>
      <c r="C1765" s="36" t="s">
        <v>3312</v>
      </c>
      <c r="D1765" s="35" t="s">
        <v>4959</v>
      </c>
      <c r="E1765" s="35" t="s">
        <v>12178</v>
      </c>
      <c r="F1765" s="35" t="s">
        <v>12179</v>
      </c>
      <c r="G1765" s="35">
        <v>290601</v>
      </c>
      <c r="H1765" s="35">
        <v>320000</v>
      </c>
      <c r="I1765" s="35">
        <v>200013</v>
      </c>
      <c r="J1765" s="34" t="s">
        <v>4960</v>
      </c>
      <c r="K1765" s="34" t="str">
        <f t="shared" si="57"/>
        <v>重复</v>
      </c>
      <c r="L1765" s="34" t="str">
        <f t="shared" si="58"/>
        <v>不重复</v>
      </c>
    </row>
    <row r="1766" spans="1:12" ht="27">
      <c r="A1766" s="35" t="s">
        <v>12181</v>
      </c>
      <c r="B1766" s="35" t="s">
        <v>4961</v>
      </c>
      <c r="C1766" s="36" t="s">
        <v>120</v>
      </c>
      <c r="D1766" s="35" t="s">
        <v>4962</v>
      </c>
      <c r="E1766" s="35" t="s">
        <v>12178</v>
      </c>
      <c r="F1766" s="35" t="s">
        <v>12179</v>
      </c>
      <c r="G1766" s="35">
        <v>290602</v>
      </c>
      <c r="H1766" s="35">
        <v>320000</v>
      </c>
      <c r="I1766" s="35">
        <v>200013</v>
      </c>
      <c r="J1766" s="34" t="s">
        <v>4963</v>
      </c>
      <c r="K1766" s="34" t="str">
        <f t="shared" si="57"/>
        <v>重复</v>
      </c>
      <c r="L1766" s="34" t="str">
        <f t="shared" si="58"/>
        <v>不重复</v>
      </c>
    </row>
    <row r="1767" spans="1:12" ht="30">
      <c r="A1767" s="35" t="s">
        <v>12182</v>
      </c>
      <c r="B1767" s="35" t="s">
        <v>4964</v>
      </c>
      <c r="C1767" s="36" t="s">
        <v>4965</v>
      </c>
      <c r="D1767" s="35" t="s">
        <v>4966</v>
      </c>
      <c r="E1767" s="35" t="s">
        <v>12178</v>
      </c>
      <c r="F1767" s="35" t="s">
        <v>12179</v>
      </c>
      <c r="G1767" s="35">
        <v>290603</v>
      </c>
      <c r="H1767" s="35">
        <v>320000</v>
      </c>
      <c r="I1767" s="35">
        <v>200013</v>
      </c>
      <c r="J1767" s="34" t="s">
        <v>1288</v>
      </c>
      <c r="K1767" s="34" t="str">
        <f t="shared" si="57"/>
        <v>不重复</v>
      </c>
      <c r="L1767" s="34" t="str">
        <f t="shared" si="58"/>
        <v>不重复</v>
      </c>
    </row>
    <row r="1768" spans="1:12" ht="27">
      <c r="A1768" s="35" t="s">
        <v>12183</v>
      </c>
      <c r="B1768" s="35" t="s">
        <v>4967</v>
      </c>
      <c r="C1768" s="36" t="s">
        <v>791</v>
      </c>
      <c r="D1768" s="35" t="s">
        <v>4968</v>
      </c>
      <c r="E1768" s="35" t="s">
        <v>12178</v>
      </c>
      <c r="F1768" s="35" t="s">
        <v>12179</v>
      </c>
      <c r="G1768" s="35">
        <v>290604</v>
      </c>
      <c r="H1768" s="35">
        <v>320000</v>
      </c>
      <c r="I1768" s="35">
        <v>200013</v>
      </c>
      <c r="J1768" s="34" t="s">
        <v>715</v>
      </c>
      <c r="K1768" s="34" t="str">
        <f t="shared" si="57"/>
        <v>重复</v>
      </c>
      <c r="L1768" s="34" t="str">
        <f t="shared" si="58"/>
        <v>不重复</v>
      </c>
    </row>
    <row r="1769" spans="1:12" ht="27">
      <c r="A1769" s="35" t="s">
        <v>12184</v>
      </c>
      <c r="B1769" s="35" t="s">
        <v>4969</v>
      </c>
      <c r="C1769" s="36" t="s">
        <v>4970</v>
      </c>
      <c r="D1769" s="35" t="s">
        <v>4971</v>
      </c>
      <c r="E1769" s="35" t="s">
        <v>12178</v>
      </c>
      <c r="F1769" s="35" t="s">
        <v>12179</v>
      </c>
      <c r="G1769" s="35">
        <v>290605</v>
      </c>
      <c r="H1769" s="35">
        <v>320000</v>
      </c>
      <c r="I1769" s="35">
        <v>200013</v>
      </c>
      <c r="J1769" s="34" t="s">
        <v>1057</v>
      </c>
      <c r="K1769" s="34" t="str">
        <f t="shared" si="57"/>
        <v>不重复</v>
      </c>
      <c r="L1769" s="34" t="str">
        <f t="shared" si="58"/>
        <v>不重复</v>
      </c>
    </row>
    <row r="1770" spans="1:12" ht="15">
      <c r="A1770" s="35" t="s">
        <v>12185</v>
      </c>
      <c r="B1770" s="35" t="s">
        <v>4972</v>
      </c>
      <c r="C1770" s="36" t="s">
        <v>4973</v>
      </c>
      <c r="D1770" s="35" t="s">
        <v>4974</v>
      </c>
      <c r="E1770" s="35" t="s">
        <v>12178</v>
      </c>
      <c r="F1770" s="35" t="s">
        <v>12179</v>
      </c>
      <c r="G1770" s="35">
        <v>290606</v>
      </c>
      <c r="H1770" s="35">
        <v>320000</v>
      </c>
      <c r="I1770" s="35">
        <v>200013</v>
      </c>
      <c r="J1770" s="34" t="s">
        <v>89</v>
      </c>
      <c r="K1770" s="34" t="str">
        <f t="shared" si="57"/>
        <v>重复</v>
      </c>
      <c r="L1770" s="34" t="str">
        <f t="shared" si="58"/>
        <v>不重复</v>
      </c>
    </row>
    <row r="1771" spans="1:12" ht="15">
      <c r="A1771" s="35" t="s">
        <v>12186</v>
      </c>
      <c r="B1771" s="35" t="s">
        <v>4975</v>
      </c>
      <c r="C1771" s="36" t="s">
        <v>4976</v>
      </c>
      <c r="D1771" s="35" t="s">
        <v>2125</v>
      </c>
      <c r="E1771" s="35" t="s">
        <v>12186</v>
      </c>
      <c r="F1771" s="35" t="s">
        <v>12179</v>
      </c>
      <c r="G1771" s="35">
        <v>290700</v>
      </c>
      <c r="H1771" s="35">
        <v>320010</v>
      </c>
      <c r="I1771" s="35">
        <v>200013</v>
      </c>
      <c r="J1771" s="34" t="s">
        <v>16</v>
      </c>
      <c r="K1771" s="34" t="str">
        <f t="shared" si="57"/>
        <v>不重复</v>
      </c>
      <c r="L1771" s="34" t="str">
        <f t="shared" si="58"/>
        <v>重复</v>
      </c>
    </row>
    <row r="1772" spans="1:12" ht="27">
      <c r="A1772" s="35" t="s">
        <v>12187</v>
      </c>
      <c r="B1772" s="35" t="s">
        <v>4977</v>
      </c>
      <c r="C1772" s="36" t="s">
        <v>150</v>
      </c>
      <c r="D1772" s="35" t="s">
        <v>4978</v>
      </c>
      <c r="E1772" s="35" t="s">
        <v>12186</v>
      </c>
      <c r="F1772" s="35" t="s">
        <v>12179</v>
      </c>
      <c r="G1772" s="35">
        <v>290701</v>
      </c>
      <c r="H1772" s="35">
        <v>320010</v>
      </c>
      <c r="I1772" s="35">
        <v>200013</v>
      </c>
      <c r="J1772" s="34" t="s">
        <v>871</v>
      </c>
      <c r="K1772" s="34" t="str">
        <f t="shared" si="57"/>
        <v>重复</v>
      </c>
      <c r="L1772" s="34" t="str">
        <f t="shared" si="58"/>
        <v>不重复</v>
      </c>
    </row>
    <row r="1773" spans="1:12" ht="27">
      <c r="A1773" s="35" t="s">
        <v>12188</v>
      </c>
      <c r="B1773" s="35" t="s">
        <v>4979</v>
      </c>
      <c r="C1773" s="36" t="s">
        <v>4980</v>
      </c>
      <c r="D1773" s="35" t="s">
        <v>4981</v>
      </c>
      <c r="E1773" s="35" t="s">
        <v>12186</v>
      </c>
      <c r="F1773" s="35" t="s">
        <v>12179</v>
      </c>
      <c r="G1773" s="35">
        <v>290702</v>
      </c>
      <c r="H1773" s="35">
        <v>320010</v>
      </c>
      <c r="I1773" s="35">
        <v>200013</v>
      </c>
      <c r="J1773" s="34" t="s">
        <v>3565</v>
      </c>
      <c r="K1773" s="34" t="str">
        <f t="shared" si="57"/>
        <v>重复</v>
      </c>
      <c r="L1773" s="34" t="str">
        <f t="shared" si="58"/>
        <v>不重复</v>
      </c>
    </row>
    <row r="1774" spans="1:12" ht="15">
      <c r="A1774" s="35" t="s">
        <v>12189</v>
      </c>
      <c r="B1774" s="35" t="s">
        <v>4982</v>
      </c>
      <c r="C1774" s="36" t="s">
        <v>4983</v>
      </c>
      <c r="D1774" s="35" t="s">
        <v>4984</v>
      </c>
      <c r="E1774" s="35" t="s">
        <v>12186</v>
      </c>
      <c r="F1774" s="35" t="s">
        <v>12179</v>
      </c>
      <c r="G1774" s="35">
        <v>290703</v>
      </c>
      <c r="H1774" s="35">
        <v>320010</v>
      </c>
      <c r="I1774" s="35">
        <v>200013</v>
      </c>
      <c r="J1774" s="34" t="s">
        <v>4985</v>
      </c>
      <c r="K1774" s="34" t="str">
        <f t="shared" si="57"/>
        <v>不重复</v>
      </c>
      <c r="L1774" s="34" t="str">
        <f t="shared" si="58"/>
        <v>不重复</v>
      </c>
    </row>
    <row r="1775" spans="1:12" ht="27">
      <c r="A1775" s="35" t="s">
        <v>12190</v>
      </c>
      <c r="B1775" s="35" t="s">
        <v>4986</v>
      </c>
      <c r="C1775" s="36" t="s">
        <v>4987</v>
      </c>
      <c r="D1775" s="35" t="s">
        <v>4988</v>
      </c>
      <c r="E1775" s="35" t="s">
        <v>12186</v>
      </c>
      <c r="F1775" s="35" t="s">
        <v>12179</v>
      </c>
      <c r="G1775" s="35">
        <v>290704</v>
      </c>
      <c r="H1775" s="35">
        <v>320010</v>
      </c>
      <c r="I1775" s="35">
        <v>200013</v>
      </c>
      <c r="J1775" s="34" t="s">
        <v>4989</v>
      </c>
      <c r="K1775" s="34" t="str">
        <f t="shared" si="57"/>
        <v>不重复</v>
      </c>
      <c r="L1775" s="34" t="str">
        <f t="shared" si="58"/>
        <v>不重复</v>
      </c>
    </row>
    <row r="1776" spans="1:12" ht="27">
      <c r="A1776" s="35" t="s">
        <v>12191</v>
      </c>
      <c r="B1776" s="35" t="s">
        <v>4990</v>
      </c>
      <c r="C1776" s="36" t="s">
        <v>4991</v>
      </c>
      <c r="D1776" s="35" t="s">
        <v>4992</v>
      </c>
      <c r="E1776" s="35" t="s">
        <v>12186</v>
      </c>
      <c r="F1776" s="35" t="s">
        <v>12179</v>
      </c>
      <c r="G1776" s="35">
        <v>290705</v>
      </c>
      <c r="H1776" s="35">
        <v>320010</v>
      </c>
      <c r="I1776" s="35">
        <v>200013</v>
      </c>
      <c r="J1776" s="34" t="s">
        <v>4993</v>
      </c>
      <c r="K1776" s="34" t="str">
        <f t="shared" si="57"/>
        <v>重复</v>
      </c>
      <c r="L1776" s="34" t="str">
        <f t="shared" si="58"/>
        <v>重复</v>
      </c>
    </row>
    <row r="1777" spans="1:12" ht="15">
      <c r="A1777" s="35" t="s">
        <v>12192</v>
      </c>
      <c r="B1777" s="35" t="s">
        <v>4994</v>
      </c>
      <c r="C1777" s="36" t="s">
        <v>4995</v>
      </c>
      <c r="D1777" s="35" t="s">
        <v>4996</v>
      </c>
      <c r="E1777" s="35" t="s">
        <v>12186</v>
      </c>
      <c r="F1777" s="35" t="s">
        <v>12179</v>
      </c>
      <c r="G1777" s="35">
        <v>290706</v>
      </c>
      <c r="H1777" s="35">
        <v>320010</v>
      </c>
      <c r="I1777" s="35">
        <v>200013</v>
      </c>
      <c r="J1777" s="34" t="s">
        <v>715</v>
      </c>
      <c r="K1777" s="34" t="str">
        <f t="shared" si="57"/>
        <v>重复</v>
      </c>
      <c r="L1777" s="34" t="str">
        <f t="shared" si="58"/>
        <v>不重复</v>
      </c>
    </row>
    <row r="1778" spans="1:12" ht="15">
      <c r="A1778" s="35" t="s">
        <v>12193</v>
      </c>
      <c r="B1778" s="35" t="s">
        <v>4997</v>
      </c>
      <c r="C1778" s="36" t="s">
        <v>854</v>
      </c>
      <c r="D1778" s="35" t="s">
        <v>4998</v>
      </c>
      <c r="E1778" s="35" t="s">
        <v>12193</v>
      </c>
      <c r="F1778" s="35" t="s">
        <v>12179</v>
      </c>
      <c r="G1778" s="35">
        <v>290800</v>
      </c>
      <c r="H1778" s="35">
        <v>320020</v>
      </c>
      <c r="I1778" s="35">
        <v>200013</v>
      </c>
      <c r="J1778" s="34" t="s">
        <v>16</v>
      </c>
      <c r="K1778" s="34" t="str">
        <f t="shared" si="57"/>
        <v>重复</v>
      </c>
      <c r="L1778" s="34" t="str">
        <f t="shared" si="58"/>
        <v>不重复</v>
      </c>
    </row>
    <row r="1779" spans="1:12" ht="27">
      <c r="A1779" s="35" t="s">
        <v>12194</v>
      </c>
      <c r="B1779" s="35" t="s">
        <v>4999</v>
      </c>
      <c r="C1779" s="36" t="s">
        <v>5000</v>
      </c>
      <c r="D1779" s="35" t="s">
        <v>5001</v>
      </c>
      <c r="E1779" s="35" t="s">
        <v>12193</v>
      </c>
      <c r="F1779" s="35" t="s">
        <v>12179</v>
      </c>
      <c r="G1779" s="35">
        <v>290801</v>
      </c>
      <c r="H1779" s="35">
        <v>320020</v>
      </c>
      <c r="I1779" s="35">
        <v>200013</v>
      </c>
      <c r="J1779" s="34" t="s">
        <v>5002</v>
      </c>
      <c r="K1779" s="34" t="str">
        <f t="shared" si="57"/>
        <v>不重复</v>
      </c>
      <c r="L1779" s="34" t="str">
        <f t="shared" si="58"/>
        <v>不重复</v>
      </c>
    </row>
    <row r="1780" spans="1:12" ht="15">
      <c r="A1780" s="35" t="s">
        <v>12195</v>
      </c>
      <c r="B1780" s="35" t="s">
        <v>5003</v>
      </c>
      <c r="C1780" s="36" t="s">
        <v>5004</v>
      </c>
      <c r="D1780" s="35" t="s">
        <v>5005</v>
      </c>
      <c r="E1780" s="35" t="s">
        <v>12195</v>
      </c>
      <c r="F1780" s="35" t="s">
        <v>12179</v>
      </c>
      <c r="G1780" s="35">
        <v>290900</v>
      </c>
      <c r="H1780" s="35">
        <v>320020</v>
      </c>
      <c r="I1780" s="35">
        <v>200013</v>
      </c>
      <c r="J1780" s="34" t="s">
        <v>16</v>
      </c>
      <c r="K1780" s="34" t="str">
        <f t="shared" si="57"/>
        <v>不重复</v>
      </c>
      <c r="L1780" s="34" t="str">
        <f t="shared" si="58"/>
        <v>不重复</v>
      </c>
    </row>
    <row r="1781" spans="1:12" ht="30">
      <c r="A1781" s="35" t="s">
        <v>12196</v>
      </c>
      <c r="B1781" s="35" t="s">
        <v>5006</v>
      </c>
      <c r="C1781" s="36" t="s">
        <v>5007</v>
      </c>
      <c r="D1781" s="35" t="s">
        <v>5008</v>
      </c>
      <c r="E1781" s="35" t="s">
        <v>12195</v>
      </c>
      <c r="F1781" s="35" t="s">
        <v>12179</v>
      </c>
      <c r="G1781" s="35">
        <v>290901</v>
      </c>
      <c r="H1781" s="35">
        <v>320020</v>
      </c>
      <c r="I1781" s="35">
        <v>200013</v>
      </c>
      <c r="J1781" s="34" t="s">
        <v>5009</v>
      </c>
      <c r="K1781" s="34" t="str">
        <f t="shared" si="57"/>
        <v>不重复</v>
      </c>
      <c r="L1781" s="34" t="str">
        <f t="shared" si="58"/>
        <v>不重复</v>
      </c>
    </row>
    <row r="1782" spans="1:12" ht="27">
      <c r="A1782" s="35" t="s">
        <v>12197</v>
      </c>
      <c r="B1782" s="35" t="s">
        <v>5010</v>
      </c>
      <c r="C1782" s="36" t="s">
        <v>5011</v>
      </c>
      <c r="D1782" s="35" t="s">
        <v>5012</v>
      </c>
      <c r="E1782" s="35" t="s">
        <v>12195</v>
      </c>
      <c r="F1782" s="35" t="s">
        <v>12179</v>
      </c>
      <c r="G1782" s="35">
        <v>290902</v>
      </c>
      <c r="H1782" s="35">
        <v>320020</v>
      </c>
      <c r="I1782" s="35">
        <v>200013</v>
      </c>
      <c r="J1782" s="34" t="s">
        <v>1766</v>
      </c>
      <c r="K1782" s="34" t="str">
        <f t="shared" si="57"/>
        <v>重复</v>
      </c>
      <c r="L1782" s="34" t="str">
        <f t="shared" si="58"/>
        <v>不重复</v>
      </c>
    </row>
    <row r="1783" spans="1:12" ht="30">
      <c r="A1783" s="35" t="s">
        <v>12198</v>
      </c>
      <c r="B1783" s="35" t="s">
        <v>5013</v>
      </c>
      <c r="C1783" s="36" t="s">
        <v>3302</v>
      </c>
      <c r="D1783" s="35" t="s">
        <v>5014</v>
      </c>
      <c r="E1783" s="35" t="s">
        <v>12195</v>
      </c>
      <c r="F1783" s="35" t="s">
        <v>12179</v>
      </c>
      <c r="G1783" s="35">
        <v>290903</v>
      </c>
      <c r="H1783" s="35">
        <v>320020</v>
      </c>
      <c r="I1783" s="35">
        <v>200013</v>
      </c>
      <c r="J1783" s="34" t="s">
        <v>5015</v>
      </c>
      <c r="K1783" s="34" t="str">
        <f t="shared" si="57"/>
        <v>重复</v>
      </c>
      <c r="L1783" s="34" t="str">
        <f t="shared" si="58"/>
        <v>不重复</v>
      </c>
    </row>
    <row r="1784" spans="1:12" ht="30">
      <c r="A1784" s="35" t="s">
        <v>12199</v>
      </c>
      <c r="B1784" s="35" t="s">
        <v>5016</v>
      </c>
      <c r="C1784" s="36" t="s">
        <v>5017</v>
      </c>
      <c r="D1784" s="35" t="s">
        <v>5018</v>
      </c>
      <c r="E1784" s="35" t="s">
        <v>12195</v>
      </c>
      <c r="F1784" s="35" t="s">
        <v>12179</v>
      </c>
      <c r="G1784" s="35">
        <v>290904</v>
      </c>
      <c r="H1784" s="35">
        <v>320020</v>
      </c>
      <c r="I1784" s="35">
        <v>200013</v>
      </c>
      <c r="J1784" s="34" t="s">
        <v>45</v>
      </c>
      <c r="K1784" s="34" t="str">
        <f t="shared" si="57"/>
        <v>不重复</v>
      </c>
      <c r="L1784" s="34" t="str">
        <f t="shared" si="58"/>
        <v>不重复</v>
      </c>
    </row>
    <row r="1785" spans="1:12" ht="27">
      <c r="A1785" s="35" t="s">
        <v>12200</v>
      </c>
      <c r="B1785" s="35" t="s">
        <v>5019</v>
      </c>
      <c r="C1785" s="36" t="s">
        <v>5020</v>
      </c>
      <c r="D1785" s="35" t="s">
        <v>5021</v>
      </c>
      <c r="E1785" s="35" t="s">
        <v>12195</v>
      </c>
      <c r="F1785" s="35" t="s">
        <v>12179</v>
      </c>
      <c r="G1785" s="35">
        <v>290905</v>
      </c>
      <c r="H1785" s="35">
        <v>320020</v>
      </c>
      <c r="I1785" s="35">
        <v>200013</v>
      </c>
      <c r="J1785" s="34" t="s">
        <v>5022</v>
      </c>
      <c r="K1785" s="34" t="str">
        <f t="shared" si="57"/>
        <v>不重复</v>
      </c>
      <c r="L1785" s="34" t="str">
        <f t="shared" si="58"/>
        <v>不重复</v>
      </c>
    </row>
    <row r="1786" spans="1:12" ht="30">
      <c r="A1786" s="35" t="s">
        <v>12201</v>
      </c>
      <c r="B1786" s="35" t="s">
        <v>5023</v>
      </c>
      <c r="C1786" s="36" t="s">
        <v>5024</v>
      </c>
      <c r="D1786" s="35" t="s">
        <v>5025</v>
      </c>
      <c r="E1786" s="35" t="s">
        <v>12195</v>
      </c>
      <c r="F1786" s="35" t="s">
        <v>12179</v>
      </c>
      <c r="G1786" s="35">
        <v>290906</v>
      </c>
      <c r="H1786" s="35">
        <v>320020</v>
      </c>
      <c r="I1786" s="35">
        <v>200013</v>
      </c>
      <c r="J1786" s="34" t="s">
        <v>5026</v>
      </c>
      <c r="K1786" s="34" t="str">
        <f t="shared" si="57"/>
        <v>不重复</v>
      </c>
      <c r="L1786" s="34" t="str">
        <f t="shared" si="58"/>
        <v>不重复</v>
      </c>
    </row>
    <row r="1787" spans="1:12" ht="15">
      <c r="A1787" s="35" t="s">
        <v>12202</v>
      </c>
      <c r="B1787" s="35" t="s">
        <v>5027</v>
      </c>
      <c r="C1787" s="36" t="s">
        <v>5028</v>
      </c>
      <c r="D1787" s="35" t="s">
        <v>5029</v>
      </c>
      <c r="E1787" s="35" t="s">
        <v>12202</v>
      </c>
      <c r="F1787" s="35" t="s">
        <v>12179</v>
      </c>
      <c r="G1787" s="35">
        <v>291000</v>
      </c>
      <c r="H1787" s="35">
        <v>320030</v>
      </c>
      <c r="I1787" s="35">
        <v>200013</v>
      </c>
      <c r="J1787" s="34" t="s">
        <v>16</v>
      </c>
      <c r="K1787" s="34" t="str">
        <f t="shared" si="57"/>
        <v>不重复</v>
      </c>
      <c r="L1787" s="34" t="str">
        <f t="shared" si="58"/>
        <v>重复</v>
      </c>
    </row>
    <row r="1788" spans="1:12" ht="15">
      <c r="A1788" s="35" t="s">
        <v>12203</v>
      </c>
      <c r="B1788" s="35" t="s">
        <v>5030</v>
      </c>
      <c r="C1788" s="36" t="s">
        <v>5031</v>
      </c>
      <c r="D1788" s="35" t="s">
        <v>5032</v>
      </c>
      <c r="E1788" s="35" t="s">
        <v>12202</v>
      </c>
      <c r="F1788" s="35" t="s">
        <v>12179</v>
      </c>
      <c r="G1788" s="35">
        <v>291001</v>
      </c>
      <c r="H1788" s="35">
        <v>320030</v>
      </c>
      <c r="I1788" s="35">
        <v>200013</v>
      </c>
      <c r="J1788" s="34" t="s">
        <v>5033</v>
      </c>
      <c r="K1788" s="34" t="str">
        <f t="shared" si="57"/>
        <v>重复</v>
      </c>
      <c r="L1788" s="34" t="str">
        <f t="shared" si="58"/>
        <v>不重复</v>
      </c>
    </row>
    <row r="1789" spans="1:12" ht="15">
      <c r="A1789" s="35" t="s">
        <v>12204</v>
      </c>
      <c r="B1789" s="35" t="s">
        <v>5034</v>
      </c>
      <c r="C1789" s="36" t="s">
        <v>5035</v>
      </c>
      <c r="D1789" s="35" t="s">
        <v>4992</v>
      </c>
      <c r="E1789" s="35" t="s">
        <v>12202</v>
      </c>
      <c r="F1789" s="35" t="s">
        <v>12179</v>
      </c>
      <c r="G1789" s="35">
        <v>291002</v>
      </c>
      <c r="H1789" s="35">
        <v>320030</v>
      </c>
      <c r="I1789" s="35">
        <v>200013</v>
      </c>
      <c r="J1789" s="34" t="s">
        <v>5036</v>
      </c>
      <c r="K1789" s="34" t="str">
        <f t="shared" si="57"/>
        <v>重复</v>
      </c>
      <c r="L1789" s="34" t="str">
        <f t="shared" si="58"/>
        <v>重复</v>
      </c>
    </row>
    <row r="1790" spans="1:12" ht="15">
      <c r="A1790" s="35" t="s">
        <v>12205</v>
      </c>
      <c r="B1790" s="35" t="s">
        <v>5037</v>
      </c>
      <c r="C1790" s="36" t="s">
        <v>761</v>
      </c>
      <c r="D1790" s="35" t="s">
        <v>5038</v>
      </c>
      <c r="E1790" s="35" t="s">
        <v>12202</v>
      </c>
      <c r="F1790" s="35" t="s">
        <v>12179</v>
      </c>
      <c r="G1790" s="35">
        <v>291003</v>
      </c>
      <c r="H1790" s="35">
        <v>320030</v>
      </c>
      <c r="I1790" s="35">
        <v>200013</v>
      </c>
      <c r="J1790" s="34" t="s">
        <v>311</v>
      </c>
      <c r="K1790" s="34" t="str">
        <f t="shared" si="57"/>
        <v>重复</v>
      </c>
      <c r="L1790" s="34" t="str">
        <f t="shared" si="58"/>
        <v>不重复</v>
      </c>
    </row>
    <row r="1791" spans="1:12" ht="27">
      <c r="A1791" s="35" t="s">
        <v>12206</v>
      </c>
      <c r="B1791" s="35" t="s">
        <v>5039</v>
      </c>
      <c r="C1791" s="36" t="s">
        <v>2777</v>
      </c>
      <c r="D1791" s="35" t="s">
        <v>5040</v>
      </c>
      <c r="E1791" s="35" t="s">
        <v>12202</v>
      </c>
      <c r="F1791" s="35" t="s">
        <v>12179</v>
      </c>
      <c r="G1791" s="35">
        <v>291004</v>
      </c>
      <c r="H1791" s="35">
        <v>320030</v>
      </c>
      <c r="I1791" s="35">
        <v>200013</v>
      </c>
      <c r="J1791" s="34" t="s">
        <v>5041</v>
      </c>
      <c r="K1791" s="34" t="str">
        <f t="shared" si="57"/>
        <v>重复</v>
      </c>
      <c r="L1791" s="34" t="str">
        <f t="shared" si="58"/>
        <v>不重复</v>
      </c>
    </row>
    <row r="1792" spans="1:12" ht="27">
      <c r="A1792" s="35" t="s">
        <v>12207</v>
      </c>
      <c r="B1792" s="35" t="s">
        <v>5042</v>
      </c>
      <c r="C1792" s="36" t="s">
        <v>934</v>
      </c>
      <c r="D1792" s="35" t="s">
        <v>5043</v>
      </c>
      <c r="E1792" s="35" t="s">
        <v>12202</v>
      </c>
      <c r="F1792" s="35" t="s">
        <v>12179</v>
      </c>
      <c r="G1792" s="35">
        <v>291005</v>
      </c>
      <c r="H1792" s="35">
        <v>320030</v>
      </c>
      <c r="I1792" s="35">
        <v>200013</v>
      </c>
      <c r="J1792" s="34" t="s">
        <v>5036</v>
      </c>
      <c r="K1792" s="34" t="str">
        <f t="shared" si="57"/>
        <v>重复</v>
      </c>
      <c r="L1792" s="34" t="str">
        <f t="shared" si="58"/>
        <v>不重复</v>
      </c>
    </row>
    <row r="1793" spans="1:12" ht="27">
      <c r="A1793" s="35" t="s">
        <v>12208</v>
      </c>
      <c r="B1793" s="35" t="s">
        <v>5044</v>
      </c>
      <c r="C1793" s="36" t="s">
        <v>2767</v>
      </c>
      <c r="D1793" s="35" t="s">
        <v>5045</v>
      </c>
      <c r="E1793" s="35" t="s">
        <v>12202</v>
      </c>
      <c r="F1793" s="35" t="s">
        <v>12179</v>
      </c>
      <c r="G1793" s="35">
        <v>291006</v>
      </c>
      <c r="H1793" s="35">
        <v>320030</v>
      </c>
      <c r="I1793" s="35">
        <v>200013</v>
      </c>
      <c r="J1793" s="34" t="s">
        <v>5036</v>
      </c>
      <c r="K1793" s="34" t="str">
        <f t="shared" si="57"/>
        <v>重复</v>
      </c>
      <c r="L1793" s="34" t="str">
        <f t="shared" si="58"/>
        <v>重复</v>
      </c>
    </row>
    <row r="1794" spans="1:12" ht="30">
      <c r="A1794" s="35" t="s">
        <v>12209</v>
      </c>
      <c r="B1794" s="35" t="s">
        <v>5046</v>
      </c>
      <c r="C1794" s="36" t="s">
        <v>5047</v>
      </c>
      <c r="D1794" s="35" t="s">
        <v>5048</v>
      </c>
      <c r="E1794" s="35" t="s">
        <v>12202</v>
      </c>
      <c r="F1794" s="35" t="s">
        <v>12179</v>
      </c>
      <c r="G1794" s="35">
        <v>291007</v>
      </c>
      <c r="H1794" s="35">
        <v>320030</v>
      </c>
      <c r="I1794" s="35">
        <v>200013</v>
      </c>
      <c r="J1794" s="34" t="s">
        <v>4985</v>
      </c>
      <c r="K1794" s="34" t="str">
        <f t="shared" si="57"/>
        <v>不重复</v>
      </c>
      <c r="L1794" s="34" t="str">
        <f t="shared" si="58"/>
        <v>重复</v>
      </c>
    </row>
    <row r="1795" spans="1:12" ht="30">
      <c r="A1795" s="35" t="s">
        <v>12210</v>
      </c>
      <c r="B1795" s="35" t="s">
        <v>5049</v>
      </c>
      <c r="C1795" s="36" t="s">
        <v>5050</v>
      </c>
      <c r="D1795" s="35" t="s">
        <v>5048</v>
      </c>
      <c r="E1795" s="35" t="s">
        <v>12202</v>
      </c>
      <c r="F1795" s="35" t="s">
        <v>12179</v>
      </c>
      <c r="G1795" s="35">
        <v>291008</v>
      </c>
      <c r="H1795" s="35">
        <v>320030</v>
      </c>
      <c r="I1795" s="35">
        <v>200013</v>
      </c>
      <c r="J1795" s="34" t="s">
        <v>458</v>
      </c>
      <c r="K1795" s="34" t="str">
        <f t="shared" si="57"/>
        <v>重复</v>
      </c>
      <c r="L1795" s="34" t="str">
        <f t="shared" si="58"/>
        <v>重复</v>
      </c>
    </row>
    <row r="1796" spans="1:12" ht="30">
      <c r="A1796" s="35" t="s">
        <v>12211</v>
      </c>
      <c r="B1796" s="35" t="s">
        <v>5051</v>
      </c>
      <c r="C1796" s="36" t="s">
        <v>5052</v>
      </c>
      <c r="D1796" s="35" t="s">
        <v>5053</v>
      </c>
      <c r="E1796" s="35" t="s">
        <v>12202</v>
      </c>
      <c r="F1796" s="35" t="s">
        <v>12179</v>
      </c>
      <c r="G1796" s="35">
        <v>291009</v>
      </c>
      <c r="H1796" s="35">
        <v>320030</v>
      </c>
      <c r="I1796" s="35">
        <v>200013</v>
      </c>
      <c r="J1796" s="34" t="s">
        <v>5041</v>
      </c>
      <c r="K1796" s="34" t="str">
        <f t="shared" si="57"/>
        <v>不重复</v>
      </c>
      <c r="L1796" s="34" t="str">
        <f t="shared" si="58"/>
        <v>不重复</v>
      </c>
    </row>
    <row r="1797" spans="1:12" ht="27">
      <c r="A1797" s="35" t="s">
        <v>12212</v>
      </c>
      <c r="B1797" s="35" t="s">
        <v>5054</v>
      </c>
      <c r="C1797" s="36" t="s">
        <v>5055</v>
      </c>
      <c r="D1797" s="35" t="s">
        <v>5056</v>
      </c>
      <c r="E1797" s="35" t="s">
        <v>12202</v>
      </c>
      <c r="F1797" s="35" t="s">
        <v>12179</v>
      </c>
      <c r="G1797" s="35">
        <v>291010</v>
      </c>
      <c r="H1797" s="35">
        <v>320030</v>
      </c>
      <c r="I1797" s="35">
        <v>200013</v>
      </c>
      <c r="J1797" s="34" t="s">
        <v>4985</v>
      </c>
      <c r="K1797" s="34" t="str">
        <f t="shared" si="57"/>
        <v>重复</v>
      </c>
      <c r="L1797" s="34" t="str">
        <f t="shared" si="58"/>
        <v>不重复</v>
      </c>
    </row>
    <row r="1798" spans="1:12" ht="30">
      <c r="A1798" s="35" t="s">
        <v>12213</v>
      </c>
      <c r="B1798" s="35" t="s">
        <v>5057</v>
      </c>
      <c r="C1798" s="36" t="s">
        <v>4463</v>
      </c>
      <c r="D1798" s="35" t="s">
        <v>5058</v>
      </c>
      <c r="E1798" s="35" t="s">
        <v>12202</v>
      </c>
      <c r="F1798" s="35" t="s">
        <v>12179</v>
      </c>
      <c r="G1798" s="35">
        <v>291011</v>
      </c>
      <c r="H1798" s="35">
        <v>320030</v>
      </c>
      <c r="I1798" s="35">
        <v>200013</v>
      </c>
      <c r="J1798" s="34" t="s">
        <v>5033</v>
      </c>
      <c r="K1798" s="34" t="str">
        <f t="shared" si="57"/>
        <v>重复</v>
      </c>
      <c r="L1798" s="34" t="str">
        <f t="shared" si="58"/>
        <v>不重复</v>
      </c>
    </row>
    <row r="1799" spans="1:12" ht="30">
      <c r="A1799" s="35" t="s">
        <v>12214</v>
      </c>
      <c r="B1799" s="35" t="s">
        <v>5059</v>
      </c>
      <c r="C1799" s="36" t="s">
        <v>5060</v>
      </c>
      <c r="D1799" s="35" t="s">
        <v>5061</v>
      </c>
      <c r="E1799" s="35" t="s">
        <v>12202</v>
      </c>
      <c r="F1799" s="35" t="s">
        <v>12179</v>
      </c>
      <c r="G1799" s="35">
        <v>291012</v>
      </c>
      <c r="H1799" s="35">
        <v>320030</v>
      </c>
      <c r="I1799" s="35">
        <v>200013</v>
      </c>
      <c r="J1799" s="34" t="s">
        <v>5036</v>
      </c>
      <c r="K1799" s="34" t="str">
        <f t="shared" si="57"/>
        <v>不重复</v>
      </c>
      <c r="L1799" s="34" t="str">
        <f t="shared" si="58"/>
        <v>不重复</v>
      </c>
    </row>
    <row r="1800" spans="1:12" ht="15">
      <c r="A1800" s="35" t="s">
        <v>12215</v>
      </c>
      <c r="B1800" s="35" t="s">
        <v>5062</v>
      </c>
      <c r="C1800" s="36" t="s">
        <v>5063</v>
      </c>
      <c r="D1800" s="35" t="s">
        <v>5064</v>
      </c>
      <c r="E1800" s="35" t="s">
        <v>12202</v>
      </c>
      <c r="F1800" s="35" t="s">
        <v>12179</v>
      </c>
      <c r="G1800" s="35">
        <v>291013</v>
      </c>
      <c r="H1800" s="35">
        <v>320030</v>
      </c>
      <c r="I1800" s="35">
        <v>200013</v>
      </c>
      <c r="J1800" s="34" t="s">
        <v>5036</v>
      </c>
      <c r="K1800" s="34" t="str">
        <f t="shared" si="57"/>
        <v>不重复</v>
      </c>
      <c r="L1800" s="34" t="str">
        <f t="shared" si="58"/>
        <v>不重复</v>
      </c>
    </row>
    <row r="1801" spans="1:12" ht="30">
      <c r="A1801" s="35" t="s">
        <v>12216</v>
      </c>
      <c r="B1801" s="35" t="s">
        <v>5065</v>
      </c>
      <c r="C1801" s="36" t="s">
        <v>5066</v>
      </c>
      <c r="D1801" s="35" t="s">
        <v>5067</v>
      </c>
      <c r="E1801" s="35" t="s">
        <v>12202</v>
      </c>
      <c r="F1801" s="35" t="s">
        <v>12179</v>
      </c>
      <c r="G1801" s="35">
        <v>291014</v>
      </c>
      <c r="H1801" s="35">
        <v>320030</v>
      </c>
      <c r="I1801" s="35">
        <v>200013</v>
      </c>
      <c r="J1801" s="34" t="s">
        <v>4993</v>
      </c>
      <c r="K1801" s="34" t="str">
        <f t="shared" si="57"/>
        <v>不重复</v>
      </c>
      <c r="L1801" s="34" t="str">
        <f t="shared" si="58"/>
        <v>不重复</v>
      </c>
    </row>
    <row r="1802" spans="1:12" ht="27">
      <c r="A1802" s="35" t="s">
        <v>12217</v>
      </c>
      <c r="B1802" s="35" t="s">
        <v>5068</v>
      </c>
      <c r="C1802" s="36" t="s">
        <v>5069</v>
      </c>
      <c r="D1802" s="35" t="s">
        <v>5070</v>
      </c>
      <c r="E1802" s="35" t="s">
        <v>12202</v>
      </c>
      <c r="F1802" s="35" t="s">
        <v>12179</v>
      </c>
      <c r="G1802" s="35">
        <v>291015</v>
      </c>
      <c r="H1802" s="35">
        <v>320030</v>
      </c>
      <c r="I1802" s="35">
        <v>200013</v>
      </c>
      <c r="J1802" s="34" t="s">
        <v>311</v>
      </c>
      <c r="K1802" s="34" t="str">
        <f t="shared" si="57"/>
        <v>不重复</v>
      </c>
      <c r="L1802" s="34" t="str">
        <f t="shared" si="58"/>
        <v>不重复</v>
      </c>
    </row>
    <row r="1803" spans="1:12" ht="30">
      <c r="A1803" s="35" t="s">
        <v>12218</v>
      </c>
      <c r="B1803" s="35" t="s">
        <v>5071</v>
      </c>
      <c r="C1803" s="36" t="s">
        <v>5072</v>
      </c>
      <c r="D1803" s="35" t="s">
        <v>5073</v>
      </c>
      <c r="E1803" s="35" t="s">
        <v>12202</v>
      </c>
      <c r="F1803" s="35" t="s">
        <v>12179</v>
      </c>
      <c r="G1803" s="35">
        <v>291016</v>
      </c>
      <c r="H1803" s="35">
        <v>320030</v>
      </c>
      <c r="I1803" s="35">
        <v>200013</v>
      </c>
      <c r="J1803" s="34" t="s">
        <v>5036</v>
      </c>
      <c r="K1803" s="34" t="str">
        <f t="shared" si="57"/>
        <v>不重复</v>
      </c>
      <c r="L1803" s="34" t="str">
        <f t="shared" si="58"/>
        <v>重复</v>
      </c>
    </row>
    <row r="1804" spans="1:12" ht="27">
      <c r="A1804" s="35" t="s">
        <v>12219</v>
      </c>
      <c r="B1804" s="35" t="s">
        <v>5074</v>
      </c>
      <c r="C1804" s="36" t="s">
        <v>5075</v>
      </c>
      <c r="D1804" s="35" t="s">
        <v>5076</v>
      </c>
      <c r="E1804" s="35" t="s">
        <v>12202</v>
      </c>
      <c r="F1804" s="35" t="s">
        <v>12179</v>
      </c>
      <c r="G1804" s="35">
        <v>291017</v>
      </c>
      <c r="H1804" s="35">
        <v>320030</v>
      </c>
      <c r="I1804" s="35">
        <v>200013</v>
      </c>
      <c r="J1804" s="34" t="s">
        <v>115</v>
      </c>
      <c r="K1804" s="34" t="str">
        <f t="shared" si="57"/>
        <v>不重复</v>
      </c>
      <c r="L1804" s="34" t="str">
        <f t="shared" si="58"/>
        <v>重复</v>
      </c>
    </row>
    <row r="1805" spans="1:12" ht="27">
      <c r="A1805" s="35" t="s">
        <v>12220</v>
      </c>
      <c r="B1805" s="35" t="s">
        <v>5077</v>
      </c>
      <c r="C1805" s="36" t="s">
        <v>5078</v>
      </c>
      <c r="D1805" s="35" t="s">
        <v>5079</v>
      </c>
      <c r="E1805" s="35" t="s">
        <v>12202</v>
      </c>
      <c r="F1805" s="35" t="s">
        <v>12179</v>
      </c>
      <c r="G1805" s="35">
        <v>291018</v>
      </c>
      <c r="H1805" s="35">
        <v>320030</v>
      </c>
      <c r="I1805" s="35">
        <v>200013</v>
      </c>
      <c r="J1805" s="34" t="s">
        <v>4985</v>
      </c>
      <c r="K1805" s="34" t="str">
        <f t="shared" si="57"/>
        <v>不重复</v>
      </c>
      <c r="L1805" s="34" t="str">
        <f t="shared" si="58"/>
        <v>不重复</v>
      </c>
    </row>
    <row r="1806" spans="1:12" ht="30">
      <c r="A1806" s="35" t="s">
        <v>12221</v>
      </c>
      <c r="B1806" s="35" t="s">
        <v>5080</v>
      </c>
      <c r="C1806" s="36" t="s">
        <v>5081</v>
      </c>
      <c r="D1806" s="35" t="s">
        <v>5082</v>
      </c>
      <c r="E1806" s="35" t="s">
        <v>12202</v>
      </c>
      <c r="F1806" s="35" t="s">
        <v>12179</v>
      </c>
      <c r="G1806" s="35">
        <v>291019</v>
      </c>
      <c r="H1806" s="35">
        <v>320030</v>
      </c>
      <c r="I1806" s="35">
        <v>200013</v>
      </c>
      <c r="J1806" s="34" t="s">
        <v>5083</v>
      </c>
      <c r="K1806" s="34" t="str">
        <f t="shared" si="57"/>
        <v>不重复</v>
      </c>
      <c r="L1806" s="34" t="str">
        <f t="shared" si="58"/>
        <v>重复</v>
      </c>
    </row>
    <row r="1807" spans="1:12" ht="27">
      <c r="A1807" s="35" t="s">
        <v>12222</v>
      </c>
      <c r="B1807" s="35" t="s">
        <v>5084</v>
      </c>
      <c r="C1807" s="36" t="s">
        <v>5085</v>
      </c>
      <c r="D1807" s="35" t="s">
        <v>5086</v>
      </c>
      <c r="E1807" s="35" t="s">
        <v>12202</v>
      </c>
      <c r="F1807" s="35" t="s">
        <v>12179</v>
      </c>
      <c r="G1807" s="35">
        <v>291020</v>
      </c>
      <c r="H1807" s="35">
        <v>320030</v>
      </c>
      <c r="I1807" s="35">
        <v>200013</v>
      </c>
      <c r="J1807" s="34" t="s">
        <v>5083</v>
      </c>
      <c r="K1807" s="34" t="str">
        <f t="shared" si="57"/>
        <v>不重复</v>
      </c>
      <c r="L1807" s="34" t="str">
        <f t="shared" si="58"/>
        <v>不重复</v>
      </c>
    </row>
    <row r="1808" spans="1:12" ht="30">
      <c r="A1808" s="35" t="s">
        <v>12223</v>
      </c>
      <c r="B1808" s="35" t="s">
        <v>5087</v>
      </c>
      <c r="C1808" s="36" t="s">
        <v>5088</v>
      </c>
      <c r="D1808" s="35" t="s">
        <v>5089</v>
      </c>
      <c r="E1808" s="35" t="s">
        <v>12202</v>
      </c>
      <c r="F1808" s="35" t="s">
        <v>12179</v>
      </c>
      <c r="G1808" s="35">
        <v>291021</v>
      </c>
      <c r="H1808" s="35">
        <v>320030</v>
      </c>
      <c r="I1808" s="35">
        <v>200013</v>
      </c>
      <c r="J1808" s="34" t="s">
        <v>5090</v>
      </c>
      <c r="K1808" s="34" t="str">
        <f t="shared" si="57"/>
        <v>重复</v>
      </c>
      <c r="L1808" s="34" t="str">
        <f t="shared" si="58"/>
        <v>不重复</v>
      </c>
    </row>
    <row r="1809" spans="1:12" ht="27">
      <c r="A1809" s="35" t="s">
        <v>12224</v>
      </c>
      <c r="B1809" s="35" t="s">
        <v>5091</v>
      </c>
      <c r="C1809" s="36" t="s">
        <v>5092</v>
      </c>
      <c r="D1809" s="35" t="s">
        <v>5093</v>
      </c>
      <c r="E1809" s="35" t="s">
        <v>12202</v>
      </c>
      <c r="F1809" s="35" t="s">
        <v>12179</v>
      </c>
      <c r="G1809" s="35">
        <v>291022</v>
      </c>
      <c r="H1809" s="35">
        <v>320030</v>
      </c>
      <c r="I1809" s="35">
        <v>200013</v>
      </c>
      <c r="J1809" s="34" t="s">
        <v>1193</v>
      </c>
      <c r="K1809" s="34" t="str">
        <f t="shared" si="57"/>
        <v>不重复</v>
      </c>
      <c r="L1809" s="34" t="str">
        <f t="shared" si="58"/>
        <v>不重复</v>
      </c>
    </row>
    <row r="1810" spans="1:12" ht="30">
      <c r="A1810" s="35" t="s">
        <v>12225</v>
      </c>
      <c r="B1810" s="35" t="s">
        <v>5094</v>
      </c>
      <c r="C1810" s="36" t="s">
        <v>1577</v>
      </c>
      <c r="D1810" s="35" t="s">
        <v>5082</v>
      </c>
      <c r="E1810" s="35" t="s">
        <v>12202</v>
      </c>
      <c r="F1810" s="35" t="s">
        <v>12179</v>
      </c>
      <c r="G1810" s="35">
        <v>291023</v>
      </c>
      <c r="H1810" s="35">
        <v>320030</v>
      </c>
      <c r="I1810" s="35">
        <v>200013</v>
      </c>
      <c r="J1810" s="34" t="s">
        <v>5036</v>
      </c>
      <c r="K1810" s="34" t="str">
        <f t="shared" si="57"/>
        <v>重复</v>
      </c>
      <c r="L1810" s="34" t="str">
        <f t="shared" si="58"/>
        <v>重复</v>
      </c>
    </row>
    <row r="1811" spans="1:12" ht="27">
      <c r="A1811" s="35" t="s">
        <v>12226</v>
      </c>
      <c r="B1811" s="35" t="s">
        <v>5095</v>
      </c>
      <c r="C1811" s="36" t="s">
        <v>5096</v>
      </c>
      <c r="D1811" s="35" t="s">
        <v>5097</v>
      </c>
      <c r="E1811" s="35" t="s">
        <v>12202</v>
      </c>
      <c r="F1811" s="35" t="s">
        <v>12179</v>
      </c>
      <c r="G1811" s="35">
        <v>291024</v>
      </c>
      <c r="H1811" s="35">
        <v>320030</v>
      </c>
      <c r="I1811" s="35">
        <v>200013</v>
      </c>
      <c r="J1811" s="34" t="s">
        <v>5041</v>
      </c>
      <c r="K1811" s="34" t="str">
        <f t="shared" si="57"/>
        <v>不重复</v>
      </c>
      <c r="L1811" s="34" t="str">
        <f t="shared" si="58"/>
        <v>不重复</v>
      </c>
    </row>
    <row r="1812" spans="1:12" ht="27">
      <c r="A1812" s="35" t="s">
        <v>12227</v>
      </c>
      <c r="B1812" s="35" t="s">
        <v>5098</v>
      </c>
      <c r="C1812" s="36" t="s">
        <v>5099</v>
      </c>
      <c r="D1812" s="35" t="s">
        <v>5100</v>
      </c>
      <c r="E1812" s="35" t="s">
        <v>12202</v>
      </c>
      <c r="F1812" s="35" t="s">
        <v>12179</v>
      </c>
      <c r="G1812" s="35">
        <v>291025</v>
      </c>
      <c r="H1812" s="35">
        <v>320030</v>
      </c>
      <c r="I1812" s="35">
        <v>200013</v>
      </c>
      <c r="J1812" s="34" t="s">
        <v>5090</v>
      </c>
      <c r="K1812" s="34" t="str">
        <f t="shared" si="57"/>
        <v>不重复</v>
      </c>
      <c r="L1812" s="34" t="str">
        <f t="shared" si="58"/>
        <v>不重复</v>
      </c>
    </row>
    <row r="1813" spans="1:12" ht="27">
      <c r="A1813" s="35" t="s">
        <v>12228</v>
      </c>
      <c r="B1813" s="35" t="s">
        <v>5101</v>
      </c>
      <c r="C1813" s="36" t="s">
        <v>5102</v>
      </c>
      <c r="D1813" s="35" t="s">
        <v>5103</v>
      </c>
      <c r="E1813" s="35" t="s">
        <v>12202</v>
      </c>
      <c r="F1813" s="35" t="s">
        <v>12179</v>
      </c>
      <c r="G1813" s="35">
        <v>291026</v>
      </c>
      <c r="H1813" s="35">
        <v>320030</v>
      </c>
      <c r="I1813" s="35">
        <v>200013</v>
      </c>
      <c r="J1813" s="34" t="s">
        <v>5036</v>
      </c>
      <c r="K1813" s="34" t="str">
        <f t="shared" si="57"/>
        <v>不重复</v>
      </c>
      <c r="L1813" s="34" t="str">
        <f t="shared" si="58"/>
        <v>不重复</v>
      </c>
    </row>
    <row r="1814" spans="1:12" ht="30">
      <c r="A1814" s="35" t="s">
        <v>12229</v>
      </c>
      <c r="B1814" s="35" t="s">
        <v>5104</v>
      </c>
      <c r="C1814" s="36" t="s">
        <v>5105</v>
      </c>
      <c r="D1814" s="35" t="s">
        <v>5106</v>
      </c>
      <c r="E1814" s="35" t="s">
        <v>12202</v>
      </c>
      <c r="F1814" s="35" t="s">
        <v>12179</v>
      </c>
      <c r="G1814" s="35">
        <v>291027</v>
      </c>
      <c r="H1814" s="35">
        <v>320030</v>
      </c>
      <c r="I1814" s="35">
        <v>200013</v>
      </c>
      <c r="J1814" s="34" t="s">
        <v>5090</v>
      </c>
      <c r="K1814" s="34" t="str">
        <f t="shared" si="59" ref="K1814:K1877">IF(COUNTIF(C:C,C1814)&gt;=2,"重复","不重复")</f>
        <v>不重复</v>
      </c>
      <c r="L1814" s="34" t="str">
        <f t="shared" si="58"/>
        <v>不重复</v>
      </c>
    </row>
    <row r="1815" spans="1:12" ht="27">
      <c r="A1815" s="35" t="s">
        <v>12230</v>
      </c>
      <c r="B1815" s="35" t="s">
        <v>5107</v>
      </c>
      <c r="C1815" s="36" t="s">
        <v>5088</v>
      </c>
      <c r="D1815" s="35" t="s">
        <v>5108</v>
      </c>
      <c r="E1815" s="35" t="s">
        <v>12202</v>
      </c>
      <c r="F1815" s="35" t="s">
        <v>12179</v>
      </c>
      <c r="G1815" s="35">
        <v>291028</v>
      </c>
      <c r="H1815" s="35">
        <v>320030</v>
      </c>
      <c r="I1815" s="35">
        <v>200013</v>
      </c>
      <c r="J1815" s="34" t="s">
        <v>5041</v>
      </c>
      <c r="K1815" s="34" t="str">
        <f t="shared" si="59"/>
        <v>重复</v>
      </c>
      <c r="L1815" s="34" t="str">
        <f t="shared" si="58"/>
        <v>不重复</v>
      </c>
    </row>
    <row r="1816" spans="1:12" ht="27">
      <c r="A1816" s="35" t="s">
        <v>12231</v>
      </c>
      <c r="B1816" s="35" t="s">
        <v>5109</v>
      </c>
      <c r="C1816" s="36" t="s">
        <v>5110</v>
      </c>
      <c r="D1816" s="35" t="s">
        <v>5111</v>
      </c>
      <c r="E1816" s="35" t="s">
        <v>12202</v>
      </c>
      <c r="F1816" s="35" t="s">
        <v>12179</v>
      </c>
      <c r="G1816" s="35">
        <v>291029</v>
      </c>
      <c r="H1816" s="35">
        <v>320030</v>
      </c>
      <c r="I1816" s="35">
        <v>200013</v>
      </c>
      <c r="J1816" s="34" t="s">
        <v>5112</v>
      </c>
      <c r="K1816" s="34" t="str">
        <f t="shared" si="59"/>
        <v>不重复</v>
      </c>
      <c r="L1816" s="34" t="str">
        <f t="shared" si="58"/>
        <v>不重复</v>
      </c>
    </row>
    <row r="1817" spans="1:12" ht="27">
      <c r="A1817" s="35" t="s">
        <v>12232</v>
      </c>
      <c r="B1817" s="35" t="s">
        <v>5113</v>
      </c>
      <c r="C1817" s="36" t="s">
        <v>3491</v>
      </c>
      <c r="D1817" s="35" t="s">
        <v>5114</v>
      </c>
      <c r="E1817" s="35" t="s">
        <v>12202</v>
      </c>
      <c r="F1817" s="35" t="s">
        <v>12179</v>
      </c>
      <c r="G1817" s="35">
        <v>291030</v>
      </c>
      <c r="H1817" s="35">
        <v>320030</v>
      </c>
      <c r="I1817" s="35">
        <v>200013</v>
      </c>
      <c r="J1817" s="34" t="s">
        <v>5115</v>
      </c>
      <c r="K1817" s="34" t="str">
        <f t="shared" si="59"/>
        <v>重复</v>
      </c>
      <c r="L1817" s="34" t="str">
        <f t="shared" si="58"/>
        <v>不重复</v>
      </c>
    </row>
    <row r="1818" spans="1:12" ht="27">
      <c r="A1818" s="35" t="s">
        <v>12233</v>
      </c>
      <c r="B1818" s="35" t="s">
        <v>5116</v>
      </c>
      <c r="C1818" s="36" t="s">
        <v>1523</v>
      </c>
      <c r="D1818" s="35" t="s">
        <v>5117</v>
      </c>
      <c r="E1818" s="35" t="s">
        <v>12202</v>
      </c>
      <c r="F1818" s="35" t="s">
        <v>12179</v>
      </c>
      <c r="G1818" s="35">
        <v>291031</v>
      </c>
      <c r="H1818" s="35">
        <v>320030</v>
      </c>
      <c r="I1818" s="35">
        <v>200013</v>
      </c>
      <c r="J1818" s="34" t="s">
        <v>5033</v>
      </c>
      <c r="K1818" s="34" t="str">
        <f t="shared" si="59"/>
        <v>重复</v>
      </c>
      <c r="L1818" s="34" t="str">
        <f t="shared" si="60" ref="L1818:L1881">IF(COUNTIF(D:D,D1818)&gt;=2,"重复","不重复")</f>
        <v>不重复</v>
      </c>
    </row>
    <row r="1819" spans="1:12" ht="27">
      <c r="A1819" s="35" t="s">
        <v>12234</v>
      </c>
      <c r="B1819" s="35" t="s">
        <v>5118</v>
      </c>
      <c r="C1819" s="36" t="s">
        <v>5119</v>
      </c>
      <c r="D1819" s="35" t="s">
        <v>5120</v>
      </c>
      <c r="E1819" s="35" t="s">
        <v>12202</v>
      </c>
      <c r="F1819" s="35" t="s">
        <v>12179</v>
      </c>
      <c r="G1819" s="35">
        <v>291032</v>
      </c>
      <c r="H1819" s="35">
        <v>320030</v>
      </c>
      <c r="I1819" s="35">
        <v>200013</v>
      </c>
      <c r="J1819" s="34" t="s">
        <v>5036</v>
      </c>
      <c r="K1819" s="34" t="str">
        <f t="shared" si="59"/>
        <v>不重复</v>
      </c>
      <c r="L1819" s="34" t="str">
        <f t="shared" si="60"/>
        <v>不重复</v>
      </c>
    </row>
    <row r="1820" spans="1:12" ht="30">
      <c r="A1820" s="35" t="s">
        <v>12235</v>
      </c>
      <c r="B1820" s="35" t="s">
        <v>5121</v>
      </c>
      <c r="C1820" s="36" t="s">
        <v>4108</v>
      </c>
      <c r="D1820" s="35" t="s">
        <v>5122</v>
      </c>
      <c r="E1820" s="35" t="s">
        <v>12202</v>
      </c>
      <c r="F1820" s="35" t="s">
        <v>12179</v>
      </c>
      <c r="G1820" s="35">
        <v>291033</v>
      </c>
      <c r="H1820" s="35">
        <v>320030</v>
      </c>
      <c r="I1820" s="35">
        <v>200013</v>
      </c>
      <c r="J1820" s="34" t="s">
        <v>4985</v>
      </c>
      <c r="K1820" s="34" t="str">
        <f t="shared" si="59"/>
        <v>重复</v>
      </c>
      <c r="L1820" s="34" t="str">
        <f t="shared" si="60"/>
        <v>重复</v>
      </c>
    </row>
    <row r="1821" spans="1:12" ht="30">
      <c r="A1821" s="35" t="s">
        <v>12236</v>
      </c>
      <c r="B1821" s="35" t="s">
        <v>5123</v>
      </c>
      <c r="C1821" s="36" t="s">
        <v>5124</v>
      </c>
      <c r="D1821" s="35" t="s">
        <v>5125</v>
      </c>
      <c r="E1821" s="35" t="s">
        <v>12202</v>
      </c>
      <c r="F1821" s="35" t="s">
        <v>12179</v>
      </c>
      <c r="G1821" s="35">
        <v>291034</v>
      </c>
      <c r="H1821" s="35">
        <v>320030</v>
      </c>
      <c r="I1821" s="35">
        <v>200013</v>
      </c>
      <c r="J1821" s="34" t="s">
        <v>5126</v>
      </c>
      <c r="K1821" s="34" t="str">
        <f t="shared" si="59"/>
        <v>不重复</v>
      </c>
      <c r="L1821" s="34" t="str">
        <f t="shared" si="60"/>
        <v>不重复</v>
      </c>
    </row>
    <row r="1822" spans="1:12" ht="30">
      <c r="A1822" s="35" t="s">
        <v>12237</v>
      </c>
      <c r="B1822" s="35" t="s">
        <v>5127</v>
      </c>
      <c r="C1822" s="36" t="s">
        <v>5128</v>
      </c>
      <c r="D1822" s="35" t="s">
        <v>5129</v>
      </c>
      <c r="E1822" s="35" t="s">
        <v>12202</v>
      </c>
      <c r="F1822" s="35" t="s">
        <v>12179</v>
      </c>
      <c r="G1822" s="35">
        <v>291035</v>
      </c>
      <c r="H1822" s="35">
        <v>320030</v>
      </c>
      <c r="I1822" s="35">
        <v>200013</v>
      </c>
      <c r="J1822" s="34" t="s">
        <v>311</v>
      </c>
      <c r="K1822" s="34" t="str">
        <f t="shared" si="59"/>
        <v>不重复</v>
      </c>
      <c r="L1822" s="34" t="str">
        <f t="shared" si="60"/>
        <v>不重复</v>
      </c>
    </row>
    <row r="1823" spans="1:12" ht="30">
      <c r="A1823" s="35" t="s">
        <v>12238</v>
      </c>
      <c r="B1823" s="35" t="s">
        <v>5130</v>
      </c>
      <c r="C1823" s="36" t="s">
        <v>5131</v>
      </c>
      <c r="D1823" s="35" t="s">
        <v>5132</v>
      </c>
      <c r="E1823" s="35" t="s">
        <v>12202</v>
      </c>
      <c r="F1823" s="35" t="s">
        <v>12179</v>
      </c>
      <c r="G1823" s="35">
        <v>291036</v>
      </c>
      <c r="H1823" s="35">
        <v>320030</v>
      </c>
      <c r="I1823" s="35">
        <v>200013</v>
      </c>
      <c r="J1823" s="34" t="s">
        <v>715</v>
      </c>
      <c r="K1823" s="34" t="str">
        <f t="shared" si="59"/>
        <v>重复</v>
      </c>
      <c r="L1823" s="34" t="str">
        <f t="shared" si="60"/>
        <v>不重复</v>
      </c>
    </row>
    <row r="1824" spans="1:12" ht="27">
      <c r="A1824" s="35" t="s">
        <v>12239</v>
      </c>
      <c r="B1824" s="35" t="s">
        <v>5133</v>
      </c>
      <c r="C1824" s="36" t="s">
        <v>43</v>
      </c>
      <c r="D1824" s="35" t="s">
        <v>5134</v>
      </c>
      <c r="E1824" s="35" t="s">
        <v>12202</v>
      </c>
      <c r="F1824" s="35" t="s">
        <v>12179</v>
      </c>
      <c r="G1824" s="35">
        <v>291037</v>
      </c>
      <c r="H1824" s="35">
        <v>320030</v>
      </c>
      <c r="I1824" s="35">
        <v>200013</v>
      </c>
      <c r="J1824" s="34" t="s">
        <v>5036</v>
      </c>
      <c r="K1824" s="34" t="str">
        <f t="shared" si="59"/>
        <v>重复</v>
      </c>
      <c r="L1824" s="34" t="str">
        <f t="shared" si="60"/>
        <v>不重复</v>
      </c>
    </row>
    <row r="1825" spans="1:12" ht="30">
      <c r="A1825" s="35" t="s">
        <v>12240</v>
      </c>
      <c r="B1825" s="35" t="s">
        <v>5135</v>
      </c>
      <c r="C1825" s="36" t="s">
        <v>5136</v>
      </c>
      <c r="D1825" s="35" t="s">
        <v>5137</v>
      </c>
      <c r="E1825" s="35" t="s">
        <v>12202</v>
      </c>
      <c r="F1825" s="35" t="s">
        <v>12179</v>
      </c>
      <c r="G1825" s="35">
        <v>291038</v>
      </c>
      <c r="H1825" s="35">
        <v>320030</v>
      </c>
      <c r="I1825" s="35">
        <v>200013</v>
      </c>
      <c r="J1825" s="34" t="s">
        <v>5138</v>
      </c>
      <c r="K1825" s="34" t="str">
        <f t="shared" si="59"/>
        <v>不重复</v>
      </c>
      <c r="L1825" s="34" t="str">
        <f t="shared" si="60"/>
        <v>不重复</v>
      </c>
    </row>
    <row r="1826" spans="1:12" ht="30">
      <c r="A1826" s="35" t="s">
        <v>12241</v>
      </c>
      <c r="B1826" s="35" t="s">
        <v>5139</v>
      </c>
      <c r="C1826" s="36" t="s">
        <v>5140</v>
      </c>
      <c r="D1826" s="35" t="s">
        <v>5141</v>
      </c>
      <c r="E1826" s="35" t="s">
        <v>12202</v>
      </c>
      <c r="F1826" s="35" t="s">
        <v>12179</v>
      </c>
      <c r="G1826" s="35">
        <v>291039</v>
      </c>
      <c r="H1826" s="35">
        <v>320030</v>
      </c>
      <c r="I1826" s="35">
        <v>200013</v>
      </c>
      <c r="J1826" s="34" t="s">
        <v>5142</v>
      </c>
      <c r="K1826" s="34" t="str">
        <f t="shared" si="59"/>
        <v>不重复</v>
      </c>
      <c r="L1826" s="34" t="str">
        <f t="shared" si="60"/>
        <v>不重复</v>
      </c>
    </row>
    <row r="1827" spans="1:12" ht="30">
      <c r="A1827" s="35" t="s">
        <v>12242</v>
      </c>
      <c r="B1827" s="35" t="s">
        <v>5143</v>
      </c>
      <c r="C1827" s="36" t="s">
        <v>5144</v>
      </c>
      <c r="D1827" s="35" t="s">
        <v>5122</v>
      </c>
      <c r="E1827" s="35" t="s">
        <v>12202</v>
      </c>
      <c r="F1827" s="35" t="s">
        <v>12179</v>
      </c>
      <c r="G1827" s="35">
        <v>291040</v>
      </c>
      <c r="H1827" s="35">
        <v>320030</v>
      </c>
      <c r="I1827" s="35">
        <v>200013</v>
      </c>
      <c r="J1827" s="34" t="s">
        <v>5112</v>
      </c>
      <c r="K1827" s="34" t="str">
        <f t="shared" si="59"/>
        <v>重复</v>
      </c>
      <c r="L1827" s="34" t="str">
        <f t="shared" si="60"/>
        <v>重复</v>
      </c>
    </row>
    <row r="1828" spans="1:12" ht="27">
      <c r="A1828" s="35" t="s">
        <v>12243</v>
      </c>
      <c r="B1828" s="35" t="s">
        <v>5145</v>
      </c>
      <c r="C1828" s="36" t="s">
        <v>3780</v>
      </c>
      <c r="D1828" s="35" t="s">
        <v>5146</v>
      </c>
      <c r="E1828" s="35" t="s">
        <v>12202</v>
      </c>
      <c r="F1828" s="35" t="s">
        <v>12179</v>
      </c>
      <c r="G1828" s="35">
        <v>291041</v>
      </c>
      <c r="H1828" s="35">
        <v>320030</v>
      </c>
      <c r="I1828" s="35">
        <v>200013</v>
      </c>
      <c r="J1828" s="34" t="s">
        <v>5036</v>
      </c>
      <c r="K1828" s="34" t="str">
        <f t="shared" si="59"/>
        <v>重复</v>
      </c>
      <c r="L1828" s="34" t="str">
        <f t="shared" si="60"/>
        <v>不重复</v>
      </c>
    </row>
    <row r="1829" spans="1:12" ht="27">
      <c r="A1829" s="35" t="s">
        <v>12244</v>
      </c>
      <c r="B1829" s="35" t="s">
        <v>5147</v>
      </c>
      <c r="C1829" s="36" t="s">
        <v>3707</v>
      </c>
      <c r="D1829" s="35" t="s">
        <v>5148</v>
      </c>
      <c r="E1829" s="35" t="s">
        <v>12202</v>
      </c>
      <c r="F1829" s="35" t="s">
        <v>12179</v>
      </c>
      <c r="G1829" s="35">
        <v>291042</v>
      </c>
      <c r="H1829" s="35">
        <v>320030</v>
      </c>
      <c r="I1829" s="35">
        <v>200013</v>
      </c>
      <c r="J1829" s="34" t="s">
        <v>1700</v>
      </c>
      <c r="K1829" s="34" t="str">
        <f t="shared" si="59"/>
        <v>重复</v>
      </c>
      <c r="L1829" s="34" t="str">
        <f t="shared" si="60"/>
        <v>重复</v>
      </c>
    </row>
    <row r="1830" spans="1:12" ht="30">
      <c r="A1830" s="35" t="s">
        <v>12245</v>
      </c>
      <c r="B1830" s="35" t="s">
        <v>5149</v>
      </c>
      <c r="C1830" s="36" t="s">
        <v>5150</v>
      </c>
      <c r="D1830" s="35" t="s">
        <v>5151</v>
      </c>
      <c r="E1830" s="35" t="s">
        <v>12202</v>
      </c>
      <c r="F1830" s="35" t="s">
        <v>12179</v>
      </c>
      <c r="G1830" s="35">
        <v>291043</v>
      </c>
      <c r="H1830" s="35">
        <v>320030</v>
      </c>
      <c r="I1830" s="35">
        <v>200013</v>
      </c>
      <c r="J1830" s="34" t="s">
        <v>508</v>
      </c>
      <c r="K1830" s="34" t="str">
        <f t="shared" si="59"/>
        <v>不重复</v>
      </c>
      <c r="L1830" s="34" t="str">
        <f t="shared" si="60"/>
        <v>不重复</v>
      </c>
    </row>
    <row r="1831" spans="1:12" ht="30">
      <c r="A1831" s="35" t="s">
        <v>12246</v>
      </c>
      <c r="B1831" s="35" t="s">
        <v>5152</v>
      </c>
      <c r="C1831" s="36" t="s">
        <v>2656</v>
      </c>
      <c r="D1831" s="35" t="s">
        <v>5122</v>
      </c>
      <c r="E1831" s="35" t="s">
        <v>12202</v>
      </c>
      <c r="F1831" s="35" t="s">
        <v>12179</v>
      </c>
      <c r="G1831" s="35">
        <v>291044</v>
      </c>
      <c r="H1831" s="35">
        <v>320030</v>
      </c>
      <c r="I1831" s="35">
        <v>200013</v>
      </c>
      <c r="J1831" s="34" t="s">
        <v>5036</v>
      </c>
      <c r="K1831" s="34" t="str">
        <f t="shared" si="59"/>
        <v>重复</v>
      </c>
      <c r="L1831" s="34" t="str">
        <f t="shared" si="60"/>
        <v>重复</v>
      </c>
    </row>
    <row r="1832" spans="1:12" ht="30">
      <c r="A1832" s="35" t="s">
        <v>12247</v>
      </c>
      <c r="B1832" s="35" t="s">
        <v>5153</v>
      </c>
      <c r="C1832" s="36" t="s">
        <v>4108</v>
      </c>
      <c r="D1832" s="35" t="s">
        <v>5122</v>
      </c>
      <c r="E1832" s="35" t="s">
        <v>12202</v>
      </c>
      <c r="F1832" s="35" t="s">
        <v>12179</v>
      </c>
      <c r="G1832" s="35">
        <v>291045</v>
      </c>
      <c r="H1832" s="35">
        <v>320030</v>
      </c>
      <c r="I1832" s="35">
        <v>200013</v>
      </c>
      <c r="J1832" s="34" t="s">
        <v>311</v>
      </c>
      <c r="K1832" s="34" t="str">
        <f t="shared" si="59"/>
        <v>重复</v>
      </c>
      <c r="L1832" s="34" t="str">
        <f t="shared" si="60"/>
        <v>重复</v>
      </c>
    </row>
    <row r="1833" spans="1:12" ht="27">
      <c r="A1833" s="35" t="s">
        <v>12248</v>
      </c>
      <c r="B1833" s="35" t="s">
        <v>5154</v>
      </c>
      <c r="C1833" s="36" t="s">
        <v>5155</v>
      </c>
      <c r="D1833" s="35" t="s">
        <v>5156</v>
      </c>
      <c r="E1833" s="35" t="s">
        <v>12202</v>
      </c>
      <c r="F1833" s="35" t="s">
        <v>12179</v>
      </c>
      <c r="G1833" s="35">
        <v>291046</v>
      </c>
      <c r="H1833" s="35">
        <v>320030</v>
      </c>
      <c r="I1833" s="35">
        <v>200013</v>
      </c>
      <c r="J1833" s="34" t="s">
        <v>5157</v>
      </c>
      <c r="K1833" s="34" t="str">
        <f t="shared" si="59"/>
        <v>不重复</v>
      </c>
      <c r="L1833" s="34" t="str">
        <f t="shared" si="60"/>
        <v>不重复</v>
      </c>
    </row>
    <row r="1834" spans="1:12" ht="30">
      <c r="A1834" s="35" t="s">
        <v>12249</v>
      </c>
      <c r="B1834" s="35" t="s">
        <v>5158</v>
      </c>
      <c r="C1834" s="36" t="s">
        <v>5159</v>
      </c>
      <c r="D1834" s="35" t="s">
        <v>5160</v>
      </c>
      <c r="E1834" s="35" t="s">
        <v>12202</v>
      </c>
      <c r="F1834" s="35" t="s">
        <v>12179</v>
      </c>
      <c r="G1834" s="35">
        <v>291047</v>
      </c>
      <c r="H1834" s="35">
        <v>320030</v>
      </c>
      <c r="I1834" s="35">
        <v>200013</v>
      </c>
      <c r="J1834" s="34" t="s">
        <v>5161</v>
      </c>
      <c r="K1834" s="34" t="str">
        <f t="shared" si="59"/>
        <v>不重复</v>
      </c>
      <c r="L1834" s="34" t="str">
        <f t="shared" si="60"/>
        <v>不重复</v>
      </c>
    </row>
    <row r="1835" spans="1:12" ht="30">
      <c r="A1835" s="35" t="s">
        <v>12250</v>
      </c>
      <c r="B1835" s="35" t="s">
        <v>5162</v>
      </c>
      <c r="C1835" s="36" t="s">
        <v>5163</v>
      </c>
      <c r="D1835" s="35" t="s">
        <v>5164</v>
      </c>
      <c r="E1835" s="35" t="s">
        <v>12202</v>
      </c>
      <c r="F1835" s="35" t="s">
        <v>12179</v>
      </c>
      <c r="G1835" s="35">
        <v>291048</v>
      </c>
      <c r="H1835" s="35">
        <v>320030</v>
      </c>
      <c r="I1835" s="35">
        <v>200013</v>
      </c>
      <c r="J1835" s="34" t="s">
        <v>5041</v>
      </c>
      <c r="K1835" s="34" t="str">
        <f t="shared" si="59"/>
        <v>重复</v>
      </c>
      <c r="L1835" s="34" t="str">
        <f t="shared" si="60"/>
        <v>不重复</v>
      </c>
    </row>
    <row r="1836" spans="1:12" ht="30">
      <c r="A1836" s="35" t="s">
        <v>12251</v>
      </c>
      <c r="B1836" s="35" t="s">
        <v>5165</v>
      </c>
      <c r="C1836" s="36" t="s">
        <v>5144</v>
      </c>
      <c r="D1836" s="35" t="s">
        <v>5166</v>
      </c>
      <c r="E1836" s="35" t="s">
        <v>12202</v>
      </c>
      <c r="F1836" s="35" t="s">
        <v>12179</v>
      </c>
      <c r="G1836" s="35">
        <v>291049</v>
      </c>
      <c r="H1836" s="35">
        <v>320030</v>
      </c>
      <c r="I1836" s="35">
        <v>200013</v>
      </c>
      <c r="J1836" s="34" t="s">
        <v>5036</v>
      </c>
      <c r="K1836" s="34" t="str">
        <f t="shared" si="59"/>
        <v>重复</v>
      </c>
      <c r="L1836" s="34" t="str">
        <f t="shared" si="60"/>
        <v>不重复</v>
      </c>
    </row>
    <row r="1837" spans="1:12" ht="27">
      <c r="A1837" s="35" t="s">
        <v>12252</v>
      </c>
      <c r="B1837" s="35" t="s">
        <v>5167</v>
      </c>
      <c r="C1837" s="36" t="s">
        <v>5168</v>
      </c>
      <c r="D1837" s="35" t="s">
        <v>5169</v>
      </c>
      <c r="E1837" s="35" t="s">
        <v>12202</v>
      </c>
      <c r="F1837" s="35" t="s">
        <v>12179</v>
      </c>
      <c r="G1837" s="35">
        <v>291050</v>
      </c>
      <c r="H1837" s="35">
        <v>320030</v>
      </c>
      <c r="I1837" s="35">
        <v>200013</v>
      </c>
      <c r="J1837" s="34" t="s">
        <v>5170</v>
      </c>
      <c r="K1837" s="34" t="str">
        <f t="shared" si="59"/>
        <v>不重复</v>
      </c>
      <c r="L1837" s="34" t="str">
        <f t="shared" si="60"/>
        <v>不重复</v>
      </c>
    </row>
    <row r="1838" spans="1:12" ht="30">
      <c r="A1838" s="35" t="s">
        <v>12253</v>
      </c>
      <c r="B1838" s="35" t="s">
        <v>5171</v>
      </c>
      <c r="C1838" s="36" t="s">
        <v>3713</v>
      </c>
      <c r="D1838" s="35" t="s">
        <v>5172</v>
      </c>
      <c r="E1838" s="35" t="s">
        <v>12202</v>
      </c>
      <c r="F1838" s="35" t="s">
        <v>12179</v>
      </c>
      <c r="G1838" s="35">
        <v>291051</v>
      </c>
      <c r="H1838" s="35">
        <v>320030</v>
      </c>
      <c r="I1838" s="35">
        <v>200013</v>
      </c>
      <c r="J1838" s="34" t="s">
        <v>5090</v>
      </c>
      <c r="K1838" s="34" t="str">
        <f t="shared" si="59"/>
        <v>重复</v>
      </c>
      <c r="L1838" s="34" t="str">
        <f t="shared" si="60"/>
        <v>不重复</v>
      </c>
    </row>
    <row r="1839" spans="1:12" ht="30">
      <c r="A1839" s="35" t="s">
        <v>12254</v>
      </c>
      <c r="B1839" s="35" t="s">
        <v>5173</v>
      </c>
      <c r="C1839" s="36" t="s">
        <v>2780</v>
      </c>
      <c r="D1839" s="35" t="s">
        <v>5174</v>
      </c>
      <c r="E1839" s="35" t="s">
        <v>12202</v>
      </c>
      <c r="F1839" s="35" t="s">
        <v>12179</v>
      </c>
      <c r="G1839" s="35">
        <v>291052</v>
      </c>
      <c r="H1839" s="35">
        <v>320030</v>
      </c>
      <c r="I1839" s="35">
        <v>200013</v>
      </c>
      <c r="J1839" s="34" t="s">
        <v>5036</v>
      </c>
      <c r="K1839" s="34" t="str">
        <f t="shared" si="59"/>
        <v>重复</v>
      </c>
      <c r="L1839" s="34" t="str">
        <f t="shared" si="60"/>
        <v>不重复</v>
      </c>
    </row>
    <row r="1840" spans="1:12" ht="30">
      <c r="A1840" s="35" t="s">
        <v>12255</v>
      </c>
      <c r="B1840" s="35" t="s">
        <v>5175</v>
      </c>
      <c r="C1840" s="36" t="s">
        <v>3904</v>
      </c>
      <c r="D1840" s="35" t="s">
        <v>5176</v>
      </c>
      <c r="E1840" s="35" t="s">
        <v>12202</v>
      </c>
      <c r="F1840" s="35" t="s">
        <v>12179</v>
      </c>
      <c r="G1840" s="35">
        <v>291053</v>
      </c>
      <c r="H1840" s="35">
        <v>320030</v>
      </c>
      <c r="I1840" s="35">
        <v>200013</v>
      </c>
      <c r="J1840" s="34" t="s">
        <v>5177</v>
      </c>
      <c r="K1840" s="34" t="str">
        <f t="shared" si="59"/>
        <v>重复</v>
      </c>
      <c r="L1840" s="34" t="str">
        <f t="shared" si="60"/>
        <v>不重复</v>
      </c>
    </row>
    <row r="1841" spans="1:12" ht="30">
      <c r="A1841" s="35" t="s">
        <v>12256</v>
      </c>
      <c r="B1841" s="35" t="s">
        <v>5178</v>
      </c>
      <c r="C1841" s="36" t="s">
        <v>5179</v>
      </c>
      <c r="D1841" s="35" t="s">
        <v>5148</v>
      </c>
      <c r="E1841" s="35" t="s">
        <v>12202</v>
      </c>
      <c r="F1841" s="35" t="s">
        <v>12179</v>
      </c>
      <c r="G1841" s="35">
        <v>291054</v>
      </c>
      <c r="H1841" s="35">
        <v>320030</v>
      </c>
      <c r="I1841" s="35">
        <v>200013</v>
      </c>
      <c r="J1841" s="34" t="s">
        <v>4985</v>
      </c>
      <c r="K1841" s="34" t="str">
        <f t="shared" si="59"/>
        <v>不重复</v>
      </c>
      <c r="L1841" s="34" t="str">
        <f t="shared" si="60"/>
        <v>重复</v>
      </c>
    </row>
    <row r="1842" spans="1:12" ht="30">
      <c r="A1842" s="35" t="s">
        <v>12257</v>
      </c>
      <c r="B1842" s="35" t="s">
        <v>5180</v>
      </c>
      <c r="C1842" s="36" t="s">
        <v>4225</v>
      </c>
      <c r="D1842" s="35" t="s">
        <v>5181</v>
      </c>
      <c r="E1842" s="35" t="s">
        <v>12202</v>
      </c>
      <c r="F1842" s="35" t="s">
        <v>12179</v>
      </c>
      <c r="G1842" s="35">
        <v>291055</v>
      </c>
      <c r="H1842" s="35">
        <v>320030</v>
      </c>
      <c r="I1842" s="35">
        <v>200013</v>
      </c>
      <c r="J1842" s="34" t="s">
        <v>1372</v>
      </c>
      <c r="K1842" s="34" t="str">
        <f t="shared" si="59"/>
        <v>重复</v>
      </c>
      <c r="L1842" s="34" t="str">
        <f t="shared" si="60"/>
        <v>不重复</v>
      </c>
    </row>
    <row r="1843" spans="1:12" ht="30">
      <c r="A1843" s="35" t="s">
        <v>12258</v>
      </c>
      <c r="B1843" s="35" t="s">
        <v>5182</v>
      </c>
      <c r="C1843" s="36" t="s">
        <v>5183</v>
      </c>
      <c r="D1843" s="35" t="s">
        <v>5184</v>
      </c>
      <c r="E1843" s="35" t="s">
        <v>12202</v>
      </c>
      <c r="F1843" s="35" t="s">
        <v>12179</v>
      </c>
      <c r="G1843" s="35">
        <v>291056</v>
      </c>
      <c r="H1843" s="35">
        <v>320030</v>
      </c>
      <c r="I1843" s="35">
        <v>200013</v>
      </c>
      <c r="J1843" s="34" t="s">
        <v>1372</v>
      </c>
      <c r="K1843" s="34" t="str">
        <f t="shared" si="59"/>
        <v>不重复</v>
      </c>
      <c r="L1843" s="34" t="str">
        <f t="shared" si="60"/>
        <v>不重复</v>
      </c>
    </row>
    <row r="1844" spans="1:12" ht="30">
      <c r="A1844" s="35" t="s">
        <v>12259</v>
      </c>
      <c r="B1844" s="35" t="s">
        <v>5185</v>
      </c>
      <c r="C1844" s="36" t="s">
        <v>5186</v>
      </c>
      <c r="D1844" s="35" t="s">
        <v>5187</v>
      </c>
      <c r="E1844" s="35" t="s">
        <v>12202</v>
      </c>
      <c r="F1844" s="35" t="s">
        <v>12179</v>
      </c>
      <c r="G1844" s="35">
        <v>291057</v>
      </c>
      <c r="H1844" s="35">
        <v>320030</v>
      </c>
      <c r="I1844" s="35">
        <v>200013</v>
      </c>
      <c r="J1844" s="34" t="s">
        <v>5036</v>
      </c>
      <c r="K1844" s="34" t="str">
        <f t="shared" si="59"/>
        <v>不重复</v>
      </c>
      <c r="L1844" s="34" t="str">
        <f t="shared" si="60"/>
        <v>不重复</v>
      </c>
    </row>
    <row r="1845" spans="1:12" ht="30">
      <c r="A1845" s="35" t="s">
        <v>12260</v>
      </c>
      <c r="B1845" s="35" t="s">
        <v>5188</v>
      </c>
      <c r="C1845" s="36" t="s">
        <v>1581</v>
      </c>
      <c r="D1845" s="35" t="s">
        <v>5189</v>
      </c>
      <c r="E1845" s="35" t="s">
        <v>12202</v>
      </c>
      <c r="F1845" s="35" t="s">
        <v>12179</v>
      </c>
      <c r="G1845" s="35">
        <v>291058</v>
      </c>
      <c r="H1845" s="35">
        <v>320030</v>
      </c>
      <c r="I1845" s="35">
        <v>200013</v>
      </c>
      <c r="J1845" s="34" t="s">
        <v>5090</v>
      </c>
      <c r="K1845" s="34" t="str">
        <f t="shared" si="59"/>
        <v>重复</v>
      </c>
      <c r="L1845" s="34" t="str">
        <f t="shared" si="60"/>
        <v>不重复</v>
      </c>
    </row>
    <row r="1846" spans="1:12" ht="30">
      <c r="A1846" s="35" t="s">
        <v>12261</v>
      </c>
      <c r="B1846" s="35" t="s">
        <v>5190</v>
      </c>
      <c r="C1846" s="36" t="s">
        <v>5191</v>
      </c>
      <c r="D1846" s="35" t="s">
        <v>5192</v>
      </c>
      <c r="E1846" s="35" t="s">
        <v>12202</v>
      </c>
      <c r="F1846" s="35" t="s">
        <v>12179</v>
      </c>
      <c r="G1846" s="35">
        <v>291059</v>
      </c>
      <c r="H1846" s="35">
        <v>320030</v>
      </c>
      <c r="I1846" s="35">
        <v>200013</v>
      </c>
      <c r="J1846" s="34" t="s">
        <v>5193</v>
      </c>
      <c r="K1846" s="34" t="str">
        <f t="shared" si="59"/>
        <v>重复</v>
      </c>
      <c r="L1846" s="34" t="str">
        <f t="shared" si="60"/>
        <v>不重复</v>
      </c>
    </row>
    <row r="1847" spans="1:12" ht="27">
      <c r="A1847" s="35" t="s">
        <v>12262</v>
      </c>
      <c r="B1847" s="35" t="s">
        <v>5194</v>
      </c>
      <c r="C1847" s="36" t="s">
        <v>4135</v>
      </c>
      <c r="D1847" s="35" t="s">
        <v>5195</v>
      </c>
      <c r="E1847" s="35" t="s">
        <v>12202</v>
      </c>
      <c r="F1847" s="35" t="s">
        <v>12179</v>
      </c>
      <c r="G1847" s="35">
        <v>291060</v>
      </c>
      <c r="H1847" s="35">
        <v>320030</v>
      </c>
      <c r="I1847" s="35">
        <v>200013</v>
      </c>
      <c r="J1847" s="34" t="s">
        <v>458</v>
      </c>
      <c r="K1847" s="34" t="str">
        <f t="shared" si="59"/>
        <v>重复</v>
      </c>
      <c r="L1847" s="34" t="str">
        <f t="shared" si="60"/>
        <v>不重复</v>
      </c>
    </row>
    <row r="1848" spans="1:12" ht="30">
      <c r="A1848" s="35" t="s">
        <v>12263</v>
      </c>
      <c r="B1848" s="35" t="s">
        <v>5196</v>
      </c>
      <c r="C1848" s="36" t="s">
        <v>1087</v>
      </c>
      <c r="D1848" s="35" t="s">
        <v>5197</v>
      </c>
      <c r="E1848" s="35" t="s">
        <v>12202</v>
      </c>
      <c r="F1848" s="35" t="s">
        <v>12179</v>
      </c>
      <c r="G1848" s="35">
        <v>291061</v>
      </c>
      <c r="H1848" s="35">
        <v>320030</v>
      </c>
      <c r="I1848" s="35">
        <v>200013</v>
      </c>
      <c r="J1848" s="34" t="s">
        <v>5036</v>
      </c>
      <c r="K1848" s="34" t="str">
        <f t="shared" si="59"/>
        <v>重复</v>
      </c>
      <c r="L1848" s="34" t="str">
        <f t="shared" si="60"/>
        <v>不重复</v>
      </c>
    </row>
    <row r="1849" spans="1:12" ht="15">
      <c r="A1849" s="35" t="s">
        <v>12264</v>
      </c>
      <c r="B1849" s="35" t="s">
        <v>5198</v>
      </c>
      <c r="C1849" s="36" t="s">
        <v>5199</v>
      </c>
      <c r="D1849" s="35" t="s">
        <v>2154</v>
      </c>
      <c r="E1849" s="35" t="s">
        <v>12264</v>
      </c>
      <c r="F1849" s="35" t="s">
        <v>12265</v>
      </c>
      <c r="G1849" s="35">
        <v>300100</v>
      </c>
      <c r="H1849" s="35">
        <v>330000</v>
      </c>
      <c r="I1849" s="35">
        <v>200014</v>
      </c>
      <c r="J1849" s="34" t="s">
        <v>16</v>
      </c>
      <c r="K1849" s="34" t="str">
        <f t="shared" si="59"/>
        <v>重复</v>
      </c>
      <c r="L1849" s="34" t="str">
        <f t="shared" si="60"/>
        <v>重复</v>
      </c>
    </row>
    <row r="1850" spans="1:12" ht="27">
      <c r="A1850" s="35" t="s">
        <v>12266</v>
      </c>
      <c r="B1850" s="35" t="s">
        <v>5200</v>
      </c>
      <c r="C1850" s="36" t="s">
        <v>5201</v>
      </c>
      <c r="D1850" s="35" t="s">
        <v>5202</v>
      </c>
      <c r="E1850" s="35" t="s">
        <v>12264</v>
      </c>
      <c r="F1850" s="35" t="s">
        <v>12265</v>
      </c>
      <c r="G1850" s="35">
        <v>300101</v>
      </c>
      <c r="H1850" s="35">
        <v>330000</v>
      </c>
      <c r="I1850" s="35">
        <v>200014</v>
      </c>
      <c r="J1850" s="34" t="s">
        <v>1103</v>
      </c>
      <c r="K1850" s="34" t="str">
        <f t="shared" si="59"/>
        <v>重复</v>
      </c>
      <c r="L1850" s="34" t="str">
        <f t="shared" si="60"/>
        <v>不重复</v>
      </c>
    </row>
    <row r="1851" spans="1:12" ht="15">
      <c r="A1851" s="35" t="s">
        <v>12267</v>
      </c>
      <c r="B1851" s="35" t="s">
        <v>5203</v>
      </c>
      <c r="C1851" s="36" t="s">
        <v>5204</v>
      </c>
      <c r="D1851" s="35" t="s">
        <v>2199</v>
      </c>
      <c r="E1851" s="35" t="s">
        <v>12264</v>
      </c>
      <c r="F1851" s="35" t="s">
        <v>12265</v>
      </c>
      <c r="G1851" s="35">
        <v>300102</v>
      </c>
      <c r="H1851" s="35">
        <v>330000</v>
      </c>
      <c r="I1851" s="35">
        <v>200014</v>
      </c>
      <c r="J1851" s="34" t="s">
        <v>231</v>
      </c>
      <c r="K1851" s="34" t="str">
        <f t="shared" si="59"/>
        <v>重复</v>
      </c>
      <c r="L1851" s="34" t="str">
        <f t="shared" si="60"/>
        <v>重复</v>
      </c>
    </row>
    <row r="1852" spans="1:12" ht="15">
      <c r="A1852" s="35" t="s">
        <v>12268</v>
      </c>
      <c r="B1852" s="35" t="s">
        <v>5205</v>
      </c>
      <c r="C1852" s="36" t="s">
        <v>2230</v>
      </c>
      <c r="D1852" s="35" t="s">
        <v>5206</v>
      </c>
      <c r="E1852" s="35" t="s">
        <v>12264</v>
      </c>
      <c r="F1852" s="35" t="s">
        <v>12265</v>
      </c>
      <c r="G1852" s="35">
        <v>300103</v>
      </c>
      <c r="H1852" s="35">
        <v>330000</v>
      </c>
      <c r="I1852" s="35">
        <v>200014</v>
      </c>
      <c r="J1852" s="34" t="s">
        <v>311</v>
      </c>
      <c r="K1852" s="34" t="str">
        <f t="shared" si="59"/>
        <v>重复</v>
      </c>
      <c r="L1852" s="34" t="str">
        <f t="shared" si="60"/>
        <v>不重复</v>
      </c>
    </row>
    <row r="1853" spans="1:12" ht="15">
      <c r="A1853" s="35" t="s">
        <v>12269</v>
      </c>
      <c r="B1853" s="35" t="s">
        <v>5207</v>
      </c>
      <c r="C1853" s="36" t="s">
        <v>5208</v>
      </c>
      <c r="D1853" s="35" t="s">
        <v>5209</v>
      </c>
      <c r="E1853" s="35" t="s">
        <v>12264</v>
      </c>
      <c r="F1853" s="35" t="s">
        <v>12265</v>
      </c>
      <c r="G1853" s="35">
        <v>300104</v>
      </c>
      <c r="H1853" s="35">
        <v>330000</v>
      </c>
      <c r="I1853" s="35">
        <v>200014</v>
      </c>
      <c r="J1853" s="34" t="s">
        <v>715</v>
      </c>
      <c r="K1853" s="34" t="str">
        <f t="shared" si="59"/>
        <v>不重复</v>
      </c>
      <c r="L1853" s="34" t="str">
        <f t="shared" si="60"/>
        <v>重复</v>
      </c>
    </row>
    <row r="1854" spans="1:12" ht="15">
      <c r="A1854" s="35" t="s">
        <v>12270</v>
      </c>
      <c r="B1854" s="35" t="s">
        <v>5210</v>
      </c>
      <c r="C1854" s="36" t="s">
        <v>5211</v>
      </c>
      <c r="D1854" s="35" t="s">
        <v>5212</v>
      </c>
      <c r="E1854" s="35" t="s">
        <v>12264</v>
      </c>
      <c r="F1854" s="35" t="s">
        <v>12265</v>
      </c>
      <c r="G1854" s="35">
        <v>300105</v>
      </c>
      <c r="H1854" s="35">
        <v>330000</v>
      </c>
      <c r="I1854" s="35">
        <v>200014</v>
      </c>
      <c r="J1854" s="34" t="s">
        <v>715</v>
      </c>
      <c r="K1854" s="34" t="str">
        <f t="shared" si="59"/>
        <v>不重复</v>
      </c>
      <c r="L1854" s="34" t="str">
        <f t="shared" si="60"/>
        <v>不重复</v>
      </c>
    </row>
    <row r="1855" spans="1:12" ht="27">
      <c r="A1855" s="35" t="s">
        <v>12271</v>
      </c>
      <c r="B1855" s="35" t="s">
        <v>5213</v>
      </c>
      <c r="C1855" s="36" t="s">
        <v>5214</v>
      </c>
      <c r="D1855" s="35" t="s">
        <v>5215</v>
      </c>
      <c r="E1855" s="35" t="s">
        <v>12264</v>
      </c>
      <c r="F1855" s="35" t="s">
        <v>12265</v>
      </c>
      <c r="G1855" s="35">
        <v>300106</v>
      </c>
      <c r="H1855" s="35">
        <v>330000</v>
      </c>
      <c r="I1855" s="35">
        <v>200014</v>
      </c>
      <c r="J1855" s="34" t="s">
        <v>5216</v>
      </c>
      <c r="K1855" s="34" t="str">
        <f t="shared" si="59"/>
        <v>重复</v>
      </c>
      <c r="L1855" s="34" t="str">
        <f t="shared" si="60"/>
        <v>不重复</v>
      </c>
    </row>
    <row r="1856" spans="1:12" ht="30">
      <c r="A1856" s="35" t="s">
        <v>12272</v>
      </c>
      <c r="B1856" s="35" t="s">
        <v>5217</v>
      </c>
      <c r="C1856" s="36" t="s">
        <v>496</v>
      </c>
      <c r="D1856" s="35" t="s">
        <v>5218</v>
      </c>
      <c r="E1856" s="35" t="s">
        <v>12264</v>
      </c>
      <c r="F1856" s="35" t="s">
        <v>12265</v>
      </c>
      <c r="G1856" s="35">
        <v>300107</v>
      </c>
      <c r="H1856" s="35">
        <v>330000</v>
      </c>
      <c r="I1856" s="35">
        <v>200014</v>
      </c>
      <c r="J1856" s="34" t="s">
        <v>4985</v>
      </c>
      <c r="K1856" s="34" t="str">
        <f t="shared" si="59"/>
        <v>重复</v>
      </c>
      <c r="L1856" s="34" t="str">
        <f t="shared" si="60"/>
        <v>不重复</v>
      </c>
    </row>
    <row r="1857" spans="1:12" ht="27">
      <c r="A1857" s="35" t="s">
        <v>12273</v>
      </c>
      <c r="B1857" s="35" t="s">
        <v>5219</v>
      </c>
      <c r="C1857" s="36" t="s">
        <v>5220</v>
      </c>
      <c r="D1857" s="35" t="s">
        <v>5221</v>
      </c>
      <c r="E1857" s="35" t="s">
        <v>12264</v>
      </c>
      <c r="F1857" s="35" t="s">
        <v>12265</v>
      </c>
      <c r="G1857" s="35">
        <v>300108</v>
      </c>
      <c r="H1857" s="35">
        <v>330000</v>
      </c>
      <c r="I1857" s="35">
        <v>200014</v>
      </c>
      <c r="J1857" s="34" t="s">
        <v>231</v>
      </c>
      <c r="K1857" s="34" t="str">
        <f t="shared" si="59"/>
        <v>不重复</v>
      </c>
      <c r="L1857" s="34" t="str">
        <f t="shared" si="60"/>
        <v>不重复</v>
      </c>
    </row>
    <row r="1858" spans="1:12" ht="27">
      <c r="A1858" s="35" t="s">
        <v>12274</v>
      </c>
      <c r="B1858" s="35" t="s">
        <v>5222</v>
      </c>
      <c r="C1858" s="36" t="s">
        <v>5223</v>
      </c>
      <c r="D1858" s="35" t="s">
        <v>5224</v>
      </c>
      <c r="E1858" s="35" t="s">
        <v>12264</v>
      </c>
      <c r="F1858" s="35" t="s">
        <v>12265</v>
      </c>
      <c r="G1858" s="35">
        <v>300109</v>
      </c>
      <c r="H1858" s="35">
        <v>330000</v>
      </c>
      <c r="I1858" s="35">
        <v>200014</v>
      </c>
      <c r="J1858" s="34" t="s">
        <v>311</v>
      </c>
      <c r="K1858" s="34" t="str">
        <f t="shared" si="59"/>
        <v>不重复</v>
      </c>
      <c r="L1858" s="34" t="str">
        <f t="shared" si="60"/>
        <v>不重复</v>
      </c>
    </row>
    <row r="1859" spans="1:12" ht="27">
      <c r="A1859" s="35" t="s">
        <v>12275</v>
      </c>
      <c r="B1859" s="35" t="s">
        <v>5225</v>
      </c>
      <c r="C1859" s="36" t="s">
        <v>445</v>
      </c>
      <c r="D1859" s="35" t="s">
        <v>5226</v>
      </c>
      <c r="E1859" s="35" t="s">
        <v>12264</v>
      </c>
      <c r="F1859" s="35" t="s">
        <v>12265</v>
      </c>
      <c r="G1859" s="35">
        <v>300110</v>
      </c>
      <c r="H1859" s="35">
        <v>330000</v>
      </c>
      <c r="I1859" s="35">
        <v>200014</v>
      </c>
      <c r="J1859" s="34" t="s">
        <v>4985</v>
      </c>
      <c r="K1859" s="34" t="str">
        <f t="shared" si="59"/>
        <v>重复</v>
      </c>
      <c r="L1859" s="34" t="str">
        <f t="shared" si="60"/>
        <v>不重复</v>
      </c>
    </row>
    <row r="1860" spans="1:12" ht="30">
      <c r="A1860" s="35" t="s">
        <v>12276</v>
      </c>
      <c r="B1860" s="35" t="s">
        <v>5227</v>
      </c>
      <c r="C1860" s="36" t="s">
        <v>5228</v>
      </c>
      <c r="D1860" s="35" t="s">
        <v>5229</v>
      </c>
      <c r="E1860" s="35" t="s">
        <v>12264</v>
      </c>
      <c r="F1860" s="35" t="s">
        <v>12265</v>
      </c>
      <c r="G1860" s="35">
        <v>300111</v>
      </c>
      <c r="H1860" s="35">
        <v>330000</v>
      </c>
      <c r="I1860" s="35">
        <v>200014</v>
      </c>
      <c r="J1860" s="34" t="s">
        <v>1406</v>
      </c>
      <c r="K1860" s="34" t="str">
        <f t="shared" si="59"/>
        <v>不重复</v>
      </c>
      <c r="L1860" s="34" t="str">
        <f t="shared" si="60"/>
        <v>不重复</v>
      </c>
    </row>
    <row r="1861" spans="1:12" ht="30">
      <c r="A1861" s="35" t="s">
        <v>12277</v>
      </c>
      <c r="B1861" s="35" t="s">
        <v>5230</v>
      </c>
      <c r="C1861" s="36" t="s">
        <v>4270</v>
      </c>
      <c r="D1861" s="35" t="s">
        <v>5231</v>
      </c>
      <c r="E1861" s="35" t="s">
        <v>12264</v>
      </c>
      <c r="F1861" s="35" t="s">
        <v>12265</v>
      </c>
      <c r="G1861" s="35">
        <v>300112</v>
      </c>
      <c r="H1861" s="35">
        <v>330000</v>
      </c>
      <c r="I1861" s="35">
        <v>200014</v>
      </c>
      <c r="J1861" s="34" t="s">
        <v>5232</v>
      </c>
      <c r="K1861" s="34" t="str">
        <f t="shared" si="59"/>
        <v>重复</v>
      </c>
      <c r="L1861" s="34" t="str">
        <f t="shared" si="60"/>
        <v>不重复</v>
      </c>
    </row>
    <row r="1862" spans="1:12" ht="27">
      <c r="A1862" s="35" t="s">
        <v>12278</v>
      </c>
      <c r="B1862" s="35" t="s">
        <v>5233</v>
      </c>
      <c r="C1862" s="36" t="s">
        <v>5234</v>
      </c>
      <c r="D1862" s="35" t="s">
        <v>5235</v>
      </c>
      <c r="E1862" s="35" t="s">
        <v>12264</v>
      </c>
      <c r="F1862" s="35" t="s">
        <v>12265</v>
      </c>
      <c r="G1862" s="35">
        <v>300113</v>
      </c>
      <c r="H1862" s="35">
        <v>330000</v>
      </c>
      <c r="I1862" s="35">
        <v>200014</v>
      </c>
      <c r="J1862" s="34" t="s">
        <v>4985</v>
      </c>
      <c r="K1862" s="34" t="str">
        <f t="shared" si="59"/>
        <v>不重复</v>
      </c>
      <c r="L1862" s="34" t="str">
        <f t="shared" si="60"/>
        <v>不重复</v>
      </c>
    </row>
    <row r="1863" spans="1:12" ht="27">
      <c r="A1863" s="35" t="s">
        <v>12279</v>
      </c>
      <c r="B1863" s="35" t="s">
        <v>5236</v>
      </c>
      <c r="C1863" s="36" t="s">
        <v>5237</v>
      </c>
      <c r="D1863" s="35" t="s">
        <v>5238</v>
      </c>
      <c r="E1863" s="35" t="s">
        <v>12264</v>
      </c>
      <c r="F1863" s="35" t="s">
        <v>12265</v>
      </c>
      <c r="G1863" s="35">
        <v>300114</v>
      </c>
      <c r="H1863" s="35">
        <v>330000</v>
      </c>
      <c r="I1863" s="35">
        <v>200014</v>
      </c>
      <c r="J1863" s="34" t="s">
        <v>311</v>
      </c>
      <c r="K1863" s="34" t="str">
        <f t="shared" si="59"/>
        <v>不重复</v>
      </c>
      <c r="L1863" s="34" t="str">
        <f t="shared" si="60"/>
        <v>不重复</v>
      </c>
    </row>
    <row r="1864" spans="1:12" ht="27">
      <c r="A1864" s="35" t="s">
        <v>12280</v>
      </c>
      <c r="B1864" s="35" t="s">
        <v>5239</v>
      </c>
      <c r="C1864" s="36" t="s">
        <v>5240</v>
      </c>
      <c r="D1864" s="35" t="s">
        <v>5241</v>
      </c>
      <c r="E1864" s="35" t="s">
        <v>12264</v>
      </c>
      <c r="F1864" s="35" t="s">
        <v>12265</v>
      </c>
      <c r="G1864" s="35">
        <v>300115</v>
      </c>
      <c r="H1864" s="35">
        <v>330000</v>
      </c>
      <c r="I1864" s="35">
        <v>200014</v>
      </c>
      <c r="J1864" s="34" t="s">
        <v>4985</v>
      </c>
      <c r="K1864" s="34" t="str">
        <f t="shared" si="59"/>
        <v>重复</v>
      </c>
      <c r="L1864" s="34" t="str">
        <f t="shared" si="60"/>
        <v>不重复</v>
      </c>
    </row>
    <row r="1865" spans="1:12" ht="27">
      <c r="A1865" s="35" t="s">
        <v>12281</v>
      </c>
      <c r="B1865" s="35" t="s">
        <v>5242</v>
      </c>
      <c r="C1865" s="36" t="s">
        <v>315</v>
      </c>
      <c r="D1865" s="35" t="s">
        <v>5243</v>
      </c>
      <c r="E1865" s="35" t="s">
        <v>12264</v>
      </c>
      <c r="F1865" s="35" t="s">
        <v>12265</v>
      </c>
      <c r="G1865" s="35">
        <v>300116</v>
      </c>
      <c r="H1865" s="35">
        <v>330000</v>
      </c>
      <c r="I1865" s="35">
        <v>200014</v>
      </c>
      <c r="J1865" s="34" t="s">
        <v>1193</v>
      </c>
      <c r="K1865" s="34" t="str">
        <f t="shared" si="59"/>
        <v>重复</v>
      </c>
      <c r="L1865" s="34" t="str">
        <f t="shared" si="60"/>
        <v>不重复</v>
      </c>
    </row>
    <row r="1866" spans="1:12" ht="27">
      <c r="A1866" s="35" t="s">
        <v>12282</v>
      </c>
      <c r="B1866" s="35" t="s">
        <v>5244</v>
      </c>
      <c r="C1866" s="36" t="s">
        <v>276</v>
      </c>
      <c r="D1866" s="35" t="s">
        <v>5245</v>
      </c>
      <c r="E1866" s="35" t="s">
        <v>12264</v>
      </c>
      <c r="F1866" s="35" t="s">
        <v>12265</v>
      </c>
      <c r="G1866" s="35">
        <v>300117</v>
      </c>
      <c r="H1866" s="35">
        <v>330000</v>
      </c>
      <c r="I1866" s="35">
        <v>200014</v>
      </c>
      <c r="J1866" s="34" t="s">
        <v>1372</v>
      </c>
      <c r="K1866" s="34" t="str">
        <f t="shared" si="59"/>
        <v>重复</v>
      </c>
      <c r="L1866" s="34" t="str">
        <f t="shared" si="60"/>
        <v>不重复</v>
      </c>
    </row>
    <row r="1867" spans="1:12" ht="27">
      <c r="A1867" s="35" t="s">
        <v>12283</v>
      </c>
      <c r="B1867" s="35" t="s">
        <v>5246</v>
      </c>
      <c r="C1867" s="36" t="s">
        <v>1821</v>
      </c>
      <c r="D1867" s="35" t="s">
        <v>5247</v>
      </c>
      <c r="E1867" s="35" t="s">
        <v>12264</v>
      </c>
      <c r="F1867" s="35" t="s">
        <v>12265</v>
      </c>
      <c r="G1867" s="35">
        <v>300118</v>
      </c>
      <c r="H1867" s="35">
        <v>330000</v>
      </c>
      <c r="I1867" s="35">
        <v>200014</v>
      </c>
      <c r="J1867" s="34" t="s">
        <v>4985</v>
      </c>
      <c r="K1867" s="34" t="str">
        <f t="shared" si="59"/>
        <v>重复</v>
      </c>
      <c r="L1867" s="34" t="str">
        <f t="shared" si="60"/>
        <v>重复</v>
      </c>
    </row>
    <row r="1868" spans="1:12" ht="27">
      <c r="A1868" s="35" t="s">
        <v>12284</v>
      </c>
      <c r="B1868" s="35" t="s">
        <v>5248</v>
      </c>
      <c r="C1868" s="36" t="s">
        <v>5249</v>
      </c>
      <c r="D1868" s="35" t="s">
        <v>5250</v>
      </c>
      <c r="E1868" s="35" t="s">
        <v>12264</v>
      </c>
      <c r="F1868" s="35" t="s">
        <v>12265</v>
      </c>
      <c r="G1868" s="35">
        <v>300119</v>
      </c>
      <c r="H1868" s="35">
        <v>330000</v>
      </c>
      <c r="I1868" s="35">
        <v>200014</v>
      </c>
      <c r="J1868" s="34" t="s">
        <v>4985</v>
      </c>
      <c r="K1868" s="34" t="str">
        <f t="shared" si="59"/>
        <v>不重复</v>
      </c>
      <c r="L1868" s="34" t="str">
        <f t="shared" si="60"/>
        <v>不重复</v>
      </c>
    </row>
    <row r="1869" spans="1:12" ht="27">
      <c r="A1869" s="35" t="s">
        <v>12285</v>
      </c>
      <c r="B1869" s="35" t="s">
        <v>5251</v>
      </c>
      <c r="C1869" s="36" t="s">
        <v>5252</v>
      </c>
      <c r="D1869" s="35" t="s">
        <v>5253</v>
      </c>
      <c r="E1869" s="35" t="s">
        <v>12264</v>
      </c>
      <c r="F1869" s="35" t="s">
        <v>12265</v>
      </c>
      <c r="G1869" s="35">
        <v>300120</v>
      </c>
      <c r="H1869" s="35">
        <v>330000</v>
      </c>
      <c r="I1869" s="35">
        <v>200014</v>
      </c>
      <c r="J1869" s="34" t="s">
        <v>692</v>
      </c>
      <c r="K1869" s="34" t="str">
        <f t="shared" si="59"/>
        <v>不重复</v>
      </c>
      <c r="L1869" s="34" t="str">
        <f t="shared" si="60"/>
        <v>不重复</v>
      </c>
    </row>
    <row r="1870" spans="1:12" ht="27">
      <c r="A1870" s="35" t="s">
        <v>12286</v>
      </c>
      <c r="B1870" s="35" t="s">
        <v>5254</v>
      </c>
      <c r="C1870" s="36" t="s">
        <v>2214</v>
      </c>
      <c r="D1870" s="35" t="s">
        <v>5255</v>
      </c>
      <c r="E1870" s="35" t="s">
        <v>12264</v>
      </c>
      <c r="F1870" s="35" t="s">
        <v>12265</v>
      </c>
      <c r="G1870" s="35">
        <v>300121</v>
      </c>
      <c r="H1870" s="35">
        <v>330000</v>
      </c>
      <c r="I1870" s="35">
        <v>200014</v>
      </c>
      <c r="J1870" s="34" t="s">
        <v>4985</v>
      </c>
      <c r="K1870" s="34" t="str">
        <f t="shared" si="59"/>
        <v>重复</v>
      </c>
      <c r="L1870" s="34" t="str">
        <f t="shared" si="60"/>
        <v>不重复</v>
      </c>
    </row>
    <row r="1871" spans="1:12" ht="30">
      <c r="A1871" s="35" t="s">
        <v>12287</v>
      </c>
      <c r="B1871" s="35" t="s">
        <v>5256</v>
      </c>
      <c r="C1871" s="36" t="s">
        <v>2217</v>
      </c>
      <c r="D1871" s="35" t="s">
        <v>5257</v>
      </c>
      <c r="E1871" s="35" t="s">
        <v>12264</v>
      </c>
      <c r="F1871" s="35" t="s">
        <v>12265</v>
      </c>
      <c r="G1871" s="35">
        <v>300122</v>
      </c>
      <c r="H1871" s="35">
        <v>330000</v>
      </c>
      <c r="I1871" s="35">
        <v>200014</v>
      </c>
      <c r="J1871" s="34" t="s">
        <v>1592</v>
      </c>
      <c r="K1871" s="34" t="str">
        <f t="shared" si="59"/>
        <v>重复</v>
      </c>
      <c r="L1871" s="34" t="str">
        <f t="shared" si="60"/>
        <v>重复</v>
      </c>
    </row>
    <row r="1872" spans="1:12" ht="27">
      <c r="A1872" s="35" t="s">
        <v>12288</v>
      </c>
      <c r="B1872" s="35" t="s">
        <v>5258</v>
      </c>
      <c r="C1872" s="36" t="s">
        <v>5259</v>
      </c>
      <c r="D1872" s="35" t="s">
        <v>5260</v>
      </c>
      <c r="E1872" s="35" t="s">
        <v>12264</v>
      </c>
      <c r="F1872" s="35" t="s">
        <v>12265</v>
      </c>
      <c r="G1872" s="35">
        <v>300123</v>
      </c>
      <c r="H1872" s="35">
        <v>330000</v>
      </c>
      <c r="I1872" s="35">
        <v>200014</v>
      </c>
      <c r="J1872" s="34" t="s">
        <v>5232</v>
      </c>
      <c r="K1872" s="34" t="str">
        <f t="shared" si="59"/>
        <v>不重复</v>
      </c>
      <c r="L1872" s="34" t="str">
        <f t="shared" si="60"/>
        <v>不重复</v>
      </c>
    </row>
    <row r="1873" spans="1:12" ht="27">
      <c r="A1873" s="35" t="s">
        <v>12289</v>
      </c>
      <c r="B1873" s="35" t="s">
        <v>5261</v>
      </c>
      <c r="C1873" s="36" t="s">
        <v>3772</v>
      </c>
      <c r="D1873" s="35" t="s">
        <v>5262</v>
      </c>
      <c r="E1873" s="35" t="s">
        <v>12264</v>
      </c>
      <c r="F1873" s="35" t="s">
        <v>12265</v>
      </c>
      <c r="G1873" s="35">
        <v>300124</v>
      </c>
      <c r="H1873" s="35">
        <v>330000</v>
      </c>
      <c r="I1873" s="35">
        <v>200014</v>
      </c>
      <c r="J1873" s="34" t="s">
        <v>243</v>
      </c>
      <c r="K1873" s="34" t="str">
        <f t="shared" si="59"/>
        <v>重复</v>
      </c>
      <c r="L1873" s="34" t="str">
        <f t="shared" si="60"/>
        <v>不重复</v>
      </c>
    </row>
    <row r="1874" spans="1:12" ht="30">
      <c r="A1874" s="35" t="s">
        <v>12290</v>
      </c>
      <c r="B1874" s="35" t="s">
        <v>5263</v>
      </c>
      <c r="C1874" s="36" t="s">
        <v>411</v>
      </c>
      <c r="D1874" s="35" t="s">
        <v>5264</v>
      </c>
      <c r="E1874" s="35" t="s">
        <v>12264</v>
      </c>
      <c r="F1874" s="35" t="s">
        <v>12265</v>
      </c>
      <c r="G1874" s="35">
        <v>300125</v>
      </c>
      <c r="H1874" s="35">
        <v>330000</v>
      </c>
      <c r="I1874" s="35">
        <v>200014</v>
      </c>
      <c r="J1874" s="34" t="s">
        <v>5083</v>
      </c>
      <c r="K1874" s="34" t="str">
        <f t="shared" si="59"/>
        <v>重复</v>
      </c>
      <c r="L1874" s="34" t="str">
        <f t="shared" si="60"/>
        <v>不重复</v>
      </c>
    </row>
    <row r="1875" spans="1:12" ht="15">
      <c r="A1875" s="35" t="s">
        <v>12291</v>
      </c>
      <c r="B1875" s="35" t="s">
        <v>5265</v>
      </c>
      <c r="C1875" s="36" t="s">
        <v>5266</v>
      </c>
      <c r="D1875" s="35" t="s">
        <v>5267</v>
      </c>
      <c r="E1875" s="35" t="s">
        <v>12291</v>
      </c>
      <c r="F1875" s="35" t="s">
        <v>12265</v>
      </c>
      <c r="G1875" s="35">
        <v>300200</v>
      </c>
      <c r="H1875" s="35">
        <v>330010</v>
      </c>
      <c r="I1875" s="35">
        <v>200014</v>
      </c>
      <c r="J1875" s="34" t="s">
        <v>16</v>
      </c>
      <c r="K1875" s="34" t="str">
        <f t="shared" si="59"/>
        <v>不重复</v>
      </c>
      <c r="L1875" s="34" t="str">
        <f t="shared" si="60"/>
        <v>不重复</v>
      </c>
    </row>
    <row r="1876" spans="1:12" ht="30">
      <c r="A1876" s="35" t="s">
        <v>12292</v>
      </c>
      <c r="B1876" s="35" t="s">
        <v>5268</v>
      </c>
      <c r="C1876" s="36" t="s">
        <v>5269</v>
      </c>
      <c r="D1876" s="35" t="s">
        <v>5270</v>
      </c>
      <c r="E1876" s="35" t="s">
        <v>12291</v>
      </c>
      <c r="F1876" s="35" t="s">
        <v>12265</v>
      </c>
      <c r="G1876" s="35">
        <v>300201</v>
      </c>
      <c r="H1876" s="35">
        <v>330010</v>
      </c>
      <c r="I1876" s="35">
        <v>200014</v>
      </c>
      <c r="J1876" s="34" t="s">
        <v>406</v>
      </c>
      <c r="K1876" s="34" t="str">
        <f t="shared" si="59"/>
        <v>不重复</v>
      </c>
      <c r="L1876" s="34" t="str">
        <f t="shared" si="60"/>
        <v>不重复</v>
      </c>
    </row>
    <row r="1877" spans="1:12" ht="30">
      <c r="A1877" s="35" t="s">
        <v>12293</v>
      </c>
      <c r="B1877" s="35" t="s">
        <v>5271</v>
      </c>
      <c r="C1877" s="36" t="s">
        <v>237</v>
      </c>
      <c r="D1877" s="35" t="s">
        <v>5272</v>
      </c>
      <c r="E1877" s="35" t="s">
        <v>12291</v>
      </c>
      <c r="F1877" s="35" t="s">
        <v>12265</v>
      </c>
      <c r="G1877" s="35">
        <v>300202</v>
      </c>
      <c r="H1877" s="35">
        <v>330010</v>
      </c>
      <c r="I1877" s="35">
        <v>200014</v>
      </c>
      <c r="J1877" s="34" t="s">
        <v>4985</v>
      </c>
      <c r="K1877" s="34" t="str">
        <f t="shared" si="59"/>
        <v>重复</v>
      </c>
      <c r="L1877" s="34" t="str">
        <f t="shared" si="60"/>
        <v>不重复</v>
      </c>
    </row>
    <row r="1878" spans="1:12" ht="27">
      <c r="A1878" s="35" t="s">
        <v>12294</v>
      </c>
      <c r="B1878" s="35" t="s">
        <v>5273</v>
      </c>
      <c r="C1878" s="36" t="s">
        <v>2306</v>
      </c>
      <c r="D1878" s="35" t="s">
        <v>5274</v>
      </c>
      <c r="E1878" s="35" t="s">
        <v>12291</v>
      </c>
      <c r="F1878" s="35" t="s">
        <v>12265</v>
      </c>
      <c r="G1878" s="35">
        <v>300203</v>
      </c>
      <c r="H1878" s="35">
        <v>330010</v>
      </c>
      <c r="I1878" s="35">
        <v>200014</v>
      </c>
      <c r="J1878" s="34" t="s">
        <v>5232</v>
      </c>
      <c r="K1878" s="34" t="str">
        <f t="shared" si="61" ref="K1878:K1941">IF(COUNTIF(C:C,C1878)&gt;=2,"重复","不重复")</f>
        <v>重复</v>
      </c>
      <c r="L1878" s="34" t="str">
        <f t="shared" si="60"/>
        <v>不重复</v>
      </c>
    </row>
    <row r="1879" spans="1:12" ht="27">
      <c r="A1879" s="35" t="s">
        <v>12295</v>
      </c>
      <c r="B1879" s="35" t="s">
        <v>5275</v>
      </c>
      <c r="C1879" s="36" t="s">
        <v>5276</v>
      </c>
      <c r="D1879" s="35" t="s">
        <v>5277</v>
      </c>
      <c r="E1879" s="35" t="s">
        <v>12291</v>
      </c>
      <c r="F1879" s="35" t="s">
        <v>12265</v>
      </c>
      <c r="G1879" s="35">
        <v>300204</v>
      </c>
      <c r="H1879" s="35">
        <v>330010</v>
      </c>
      <c r="I1879" s="35">
        <v>200014</v>
      </c>
      <c r="J1879" s="34" t="s">
        <v>5083</v>
      </c>
      <c r="K1879" s="34" t="str">
        <f t="shared" si="61"/>
        <v>重复</v>
      </c>
      <c r="L1879" s="34" t="str">
        <f t="shared" si="60"/>
        <v>不重复</v>
      </c>
    </row>
    <row r="1880" spans="1:12" ht="30">
      <c r="A1880" s="35" t="s">
        <v>12296</v>
      </c>
      <c r="B1880" s="35" t="s">
        <v>5278</v>
      </c>
      <c r="C1880" s="36" t="s">
        <v>1259</v>
      </c>
      <c r="D1880" s="35" t="s">
        <v>5279</v>
      </c>
      <c r="E1880" s="35" t="s">
        <v>12291</v>
      </c>
      <c r="F1880" s="35" t="s">
        <v>12265</v>
      </c>
      <c r="G1880" s="35">
        <v>300205</v>
      </c>
      <c r="H1880" s="35">
        <v>330010</v>
      </c>
      <c r="I1880" s="35">
        <v>200014</v>
      </c>
      <c r="J1880" s="34" t="s">
        <v>288</v>
      </c>
      <c r="K1880" s="34" t="str">
        <f t="shared" si="61"/>
        <v>重复</v>
      </c>
      <c r="L1880" s="34" t="str">
        <f t="shared" si="60"/>
        <v>不重复</v>
      </c>
    </row>
    <row r="1881" spans="1:12" ht="30">
      <c r="A1881" s="35" t="s">
        <v>12297</v>
      </c>
      <c r="B1881" s="35" t="s">
        <v>5280</v>
      </c>
      <c r="C1881" s="36" t="s">
        <v>5281</v>
      </c>
      <c r="D1881" s="35" t="s">
        <v>5282</v>
      </c>
      <c r="E1881" s="35" t="s">
        <v>12291</v>
      </c>
      <c r="F1881" s="35" t="s">
        <v>12265</v>
      </c>
      <c r="G1881" s="35">
        <v>300206</v>
      </c>
      <c r="H1881" s="35">
        <v>330010</v>
      </c>
      <c r="I1881" s="35">
        <v>200014</v>
      </c>
      <c r="J1881" s="34" t="s">
        <v>5283</v>
      </c>
      <c r="K1881" s="34" t="str">
        <f t="shared" si="61"/>
        <v>不重复</v>
      </c>
      <c r="L1881" s="34" t="str">
        <f t="shared" si="60"/>
        <v>不重复</v>
      </c>
    </row>
    <row r="1882" spans="1:12" ht="30">
      <c r="A1882" s="35" t="s">
        <v>12298</v>
      </c>
      <c r="B1882" s="35" t="s">
        <v>5284</v>
      </c>
      <c r="C1882" s="36" t="s">
        <v>5285</v>
      </c>
      <c r="D1882" s="35" t="s">
        <v>5286</v>
      </c>
      <c r="E1882" s="35" t="s">
        <v>12291</v>
      </c>
      <c r="F1882" s="35" t="s">
        <v>12265</v>
      </c>
      <c r="G1882" s="35">
        <v>300207</v>
      </c>
      <c r="H1882" s="35">
        <v>330010</v>
      </c>
      <c r="I1882" s="35">
        <v>200014</v>
      </c>
      <c r="J1882" s="34" t="s">
        <v>5287</v>
      </c>
      <c r="K1882" s="34" t="str">
        <f t="shared" si="61"/>
        <v>重复</v>
      </c>
      <c r="L1882" s="34" t="str">
        <f t="shared" si="62" ref="L1882:L1945">IF(COUNTIF(D:D,D1882)&gt;=2,"重复","不重复")</f>
        <v>不重复</v>
      </c>
    </row>
    <row r="1883" spans="1:12" ht="27">
      <c r="A1883" s="35" t="s">
        <v>12299</v>
      </c>
      <c r="B1883" s="35" t="s">
        <v>5288</v>
      </c>
      <c r="C1883" s="36" t="s">
        <v>819</v>
      </c>
      <c r="D1883" s="35" t="s">
        <v>5289</v>
      </c>
      <c r="E1883" s="35" t="s">
        <v>12291</v>
      </c>
      <c r="F1883" s="35" t="s">
        <v>12265</v>
      </c>
      <c r="G1883" s="35">
        <v>300208</v>
      </c>
      <c r="H1883" s="35">
        <v>330010</v>
      </c>
      <c r="I1883" s="35">
        <v>200014</v>
      </c>
      <c r="J1883" s="34" t="s">
        <v>1186</v>
      </c>
      <c r="K1883" s="34" t="str">
        <f t="shared" si="61"/>
        <v>重复</v>
      </c>
      <c r="L1883" s="34" t="str">
        <f t="shared" si="62"/>
        <v>不重复</v>
      </c>
    </row>
    <row r="1884" spans="1:12" ht="27">
      <c r="A1884" s="35" t="s">
        <v>12300</v>
      </c>
      <c r="B1884" s="35" t="s">
        <v>5290</v>
      </c>
      <c r="C1884" s="36" t="s">
        <v>5291</v>
      </c>
      <c r="D1884" s="35" t="s">
        <v>5292</v>
      </c>
      <c r="E1884" s="35" t="s">
        <v>12301</v>
      </c>
      <c r="F1884" s="35" t="s">
        <v>12265</v>
      </c>
      <c r="G1884" s="35">
        <v>300300</v>
      </c>
      <c r="H1884" s="35">
        <v>330010</v>
      </c>
      <c r="I1884" s="35">
        <v>200014</v>
      </c>
      <c r="J1884" s="34" t="s">
        <v>5293</v>
      </c>
      <c r="K1884" s="34" t="str">
        <f t="shared" si="61"/>
        <v>不重复</v>
      </c>
      <c r="L1884" s="34" t="str">
        <f t="shared" si="62"/>
        <v>不重复</v>
      </c>
    </row>
    <row r="1885" spans="1:12" ht="27">
      <c r="A1885" s="35" t="s">
        <v>12302</v>
      </c>
      <c r="B1885" s="35" t="s">
        <v>5294</v>
      </c>
      <c r="C1885" s="36" t="s">
        <v>2392</v>
      </c>
      <c r="D1885" s="35" t="s">
        <v>5295</v>
      </c>
      <c r="E1885" s="35" t="s">
        <v>12301</v>
      </c>
      <c r="F1885" s="35" t="s">
        <v>12265</v>
      </c>
      <c r="G1885" s="35">
        <v>300301</v>
      </c>
      <c r="H1885" s="35">
        <v>330010</v>
      </c>
      <c r="I1885" s="35">
        <v>200014</v>
      </c>
      <c r="J1885" s="34" t="s">
        <v>1354</v>
      </c>
      <c r="K1885" s="34" t="str">
        <f t="shared" si="61"/>
        <v>重复</v>
      </c>
      <c r="L1885" s="34" t="str">
        <f t="shared" si="62"/>
        <v>不重复</v>
      </c>
    </row>
    <row r="1886" spans="1:12" ht="27">
      <c r="A1886" s="35" t="s">
        <v>12303</v>
      </c>
      <c r="B1886" s="35" t="s">
        <v>5296</v>
      </c>
      <c r="C1886" s="36" t="s">
        <v>1857</v>
      </c>
      <c r="D1886" s="35" t="s">
        <v>2781</v>
      </c>
      <c r="E1886" s="35" t="s">
        <v>12301</v>
      </c>
      <c r="F1886" s="35" t="s">
        <v>12265</v>
      </c>
      <c r="G1886" s="35">
        <v>300302</v>
      </c>
      <c r="H1886" s="35">
        <v>330010</v>
      </c>
      <c r="I1886" s="35">
        <v>200014</v>
      </c>
      <c r="J1886" s="34" t="s">
        <v>5297</v>
      </c>
      <c r="K1886" s="34" t="str">
        <f t="shared" si="61"/>
        <v>重复</v>
      </c>
      <c r="L1886" s="34" t="str">
        <f t="shared" si="62"/>
        <v>重复</v>
      </c>
    </row>
    <row r="1887" spans="1:12" ht="15">
      <c r="A1887" s="35" t="s">
        <v>12304</v>
      </c>
      <c r="B1887" s="35" t="s">
        <v>5298</v>
      </c>
      <c r="C1887" s="36" t="s">
        <v>5299</v>
      </c>
      <c r="D1887" s="35" t="s">
        <v>5300</v>
      </c>
      <c r="E1887" s="35" t="s">
        <v>12305</v>
      </c>
      <c r="F1887" s="35" t="s">
        <v>12265</v>
      </c>
      <c r="G1887" s="35">
        <v>300400</v>
      </c>
      <c r="H1887" s="35">
        <v>330020</v>
      </c>
      <c r="I1887" s="35">
        <v>200014</v>
      </c>
      <c r="J1887" s="34" t="s">
        <v>363</v>
      </c>
      <c r="K1887" s="34" t="str">
        <f t="shared" si="61"/>
        <v>不重复</v>
      </c>
      <c r="L1887" s="34" t="str">
        <f t="shared" si="62"/>
        <v>不重复</v>
      </c>
    </row>
    <row r="1888" spans="1:12" ht="30">
      <c r="A1888" s="35" t="s">
        <v>12306</v>
      </c>
      <c r="B1888" s="35" t="s">
        <v>5301</v>
      </c>
      <c r="C1888" s="36" t="s">
        <v>5302</v>
      </c>
      <c r="D1888" s="35" t="s">
        <v>5303</v>
      </c>
      <c r="E1888" s="35" t="s">
        <v>12305</v>
      </c>
      <c r="F1888" s="35" t="s">
        <v>12265</v>
      </c>
      <c r="G1888" s="35">
        <v>300401</v>
      </c>
      <c r="H1888" s="35">
        <v>330020</v>
      </c>
      <c r="I1888" s="35">
        <v>200014</v>
      </c>
      <c r="J1888" s="34" t="s">
        <v>194</v>
      </c>
      <c r="K1888" s="34" t="str">
        <f t="shared" si="61"/>
        <v>不重复</v>
      </c>
      <c r="L1888" s="34" t="str">
        <f t="shared" si="62"/>
        <v>不重复</v>
      </c>
    </row>
    <row r="1889" spans="1:12" ht="15">
      <c r="A1889" s="35" t="s">
        <v>12307</v>
      </c>
      <c r="B1889" s="35" t="s">
        <v>5304</v>
      </c>
      <c r="C1889" s="36" t="s">
        <v>4399</v>
      </c>
      <c r="D1889" s="35" t="s">
        <v>5305</v>
      </c>
      <c r="E1889" s="35" t="s">
        <v>12305</v>
      </c>
      <c r="F1889" s="35" t="s">
        <v>12265</v>
      </c>
      <c r="G1889" s="35">
        <v>300402</v>
      </c>
      <c r="H1889" s="35">
        <v>330020</v>
      </c>
      <c r="I1889" s="35">
        <v>200014</v>
      </c>
      <c r="J1889" s="34" t="s">
        <v>363</v>
      </c>
      <c r="K1889" s="34" t="str">
        <f t="shared" si="61"/>
        <v>重复</v>
      </c>
      <c r="L1889" s="34" t="str">
        <f t="shared" si="62"/>
        <v>重复</v>
      </c>
    </row>
    <row r="1890" spans="1:12" ht="15">
      <c r="A1890" s="35" t="s">
        <v>12308</v>
      </c>
      <c r="B1890" s="35" t="s">
        <v>5306</v>
      </c>
      <c r="C1890" s="36" t="s">
        <v>5307</v>
      </c>
      <c r="D1890" s="35" t="s">
        <v>5308</v>
      </c>
      <c r="E1890" s="35" t="s">
        <v>12305</v>
      </c>
      <c r="F1890" s="35" t="s">
        <v>12265</v>
      </c>
      <c r="G1890" s="35">
        <v>300403</v>
      </c>
      <c r="H1890" s="35">
        <v>330020</v>
      </c>
      <c r="I1890" s="35">
        <v>200014</v>
      </c>
      <c r="J1890" s="34" t="s">
        <v>2003</v>
      </c>
      <c r="K1890" s="34" t="str">
        <f t="shared" si="61"/>
        <v>不重复</v>
      </c>
      <c r="L1890" s="34" t="str">
        <f t="shared" si="62"/>
        <v>重复</v>
      </c>
    </row>
    <row r="1891" spans="1:12" ht="15">
      <c r="A1891" s="35" t="s">
        <v>12309</v>
      </c>
      <c r="B1891" s="35" t="s">
        <v>5309</v>
      </c>
      <c r="C1891" s="36" t="s">
        <v>5310</v>
      </c>
      <c r="D1891" s="35" t="s">
        <v>5311</v>
      </c>
      <c r="E1891" s="35" t="s">
        <v>12305</v>
      </c>
      <c r="F1891" s="35" t="s">
        <v>12265</v>
      </c>
      <c r="G1891" s="35">
        <v>300404</v>
      </c>
      <c r="H1891" s="35">
        <v>330020</v>
      </c>
      <c r="I1891" s="35">
        <v>200014</v>
      </c>
      <c r="J1891" s="34" t="s">
        <v>962</v>
      </c>
      <c r="K1891" s="34" t="str">
        <f t="shared" si="61"/>
        <v>不重复</v>
      </c>
      <c r="L1891" s="34" t="str">
        <f t="shared" si="62"/>
        <v>不重复</v>
      </c>
    </row>
    <row r="1892" spans="1:12" ht="15">
      <c r="A1892" s="35" t="s">
        <v>12310</v>
      </c>
      <c r="B1892" s="35" t="s">
        <v>5312</v>
      </c>
      <c r="C1892" s="36" t="s">
        <v>5313</v>
      </c>
      <c r="D1892" s="35" t="s">
        <v>5314</v>
      </c>
      <c r="E1892" s="35" t="s">
        <v>12305</v>
      </c>
      <c r="F1892" s="35" t="s">
        <v>12265</v>
      </c>
      <c r="G1892" s="35">
        <v>300405</v>
      </c>
      <c r="H1892" s="35">
        <v>330020</v>
      </c>
      <c r="I1892" s="35">
        <v>200014</v>
      </c>
      <c r="J1892" s="34" t="s">
        <v>5315</v>
      </c>
      <c r="K1892" s="34" t="str">
        <f t="shared" si="61"/>
        <v>重复</v>
      </c>
      <c r="L1892" s="34" t="str">
        <f t="shared" si="62"/>
        <v>重复</v>
      </c>
    </row>
    <row r="1893" spans="1:12" ht="27">
      <c r="A1893" s="35" t="s">
        <v>12311</v>
      </c>
      <c r="B1893" s="35" t="s">
        <v>5316</v>
      </c>
      <c r="C1893" s="36" t="s">
        <v>5317</v>
      </c>
      <c r="D1893" s="35" t="s">
        <v>5318</v>
      </c>
      <c r="E1893" s="35" t="s">
        <v>12305</v>
      </c>
      <c r="F1893" s="35" t="s">
        <v>12265</v>
      </c>
      <c r="G1893" s="35">
        <v>300406</v>
      </c>
      <c r="H1893" s="35">
        <v>330020</v>
      </c>
      <c r="I1893" s="35">
        <v>200014</v>
      </c>
      <c r="J1893" s="34" t="s">
        <v>1406</v>
      </c>
      <c r="K1893" s="34" t="str">
        <f t="shared" si="61"/>
        <v>重复</v>
      </c>
      <c r="L1893" s="34" t="str">
        <f t="shared" si="62"/>
        <v>不重复</v>
      </c>
    </row>
    <row r="1894" spans="1:12" ht="30">
      <c r="A1894" s="35" t="s">
        <v>12312</v>
      </c>
      <c r="B1894" s="35" t="s">
        <v>5319</v>
      </c>
      <c r="C1894" s="36" t="s">
        <v>304</v>
      </c>
      <c r="D1894" s="35" t="s">
        <v>5320</v>
      </c>
      <c r="E1894" s="35" t="s">
        <v>12305</v>
      </c>
      <c r="F1894" s="35" t="s">
        <v>12265</v>
      </c>
      <c r="G1894" s="35">
        <v>300407</v>
      </c>
      <c r="H1894" s="35">
        <v>330020</v>
      </c>
      <c r="I1894" s="35">
        <v>200014</v>
      </c>
      <c r="J1894" s="34" t="s">
        <v>183</v>
      </c>
      <c r="K1894" s="34" t="str">
        <f t="shared" si="61"/>
        <v>重复</v>
      </c>
      <c r="L1894" s="34" t="str">
        <f t="shared" si="62"/>
        <v>不重复</v>
      </c>
    </row>
    <row r="1895" spans="1:12" ht="30">
      <c r="A1895" s="35" t="s">
        <v>12313</v>
      </c>
      <c r="B1895" s="35" t="s">
        <v>5321</v>
      </c>
      <c r="C1895" s="36" t="s">
        <v>5322</v>
      </c>
      <c r="D1895" s="35" t="s">
        <v>5323</v>
      </c>
      <c r="E1895" s="35" t="s">
        <v>12305</v>
      </c>
      <c r="F1895" s="35" t="s">
        <v>12265</v>
      </c>
      <c r="G1895" s="35">
        <v>300408</v>
      </c>
      <c r="H1895" s="35">
        <v>330020</v>
      </c>
      <c r="I1895" s="35">
        <v>200014</v>
      </c>
      <c r="J1895" s="34" t="s">
        <v>1110</v>
      </c>
      <c r="K1895" s="34" t="str">
        <f t="shared" si="61"/>
        <v>重复</v>
      </c>
      <c r="L1895" s="34" t="str">
        <f t="shared" si="62"/>
        <v>不重复</v>
      </c>
    </row>
    <row r="1896" spans="1:12" ht="15">
      <c r="A1896" s="35" t="s">
        <v>12314</v>
      </c>
      <c r="B1896" s="35" t="s">
        <v>5324</v>
      </c>
      <c r="C1896" s="36" t="s">
        <v>5325</v>
      </c>
      <c r="D1896" s="35" t="s">
        <v>5326</v>
      </c>
      <c r="E1896" s="35" t="s">
        <v>12314</v>
      </c>
      <c r="F1896" s="35" t="s">
        <v>12315</v>
      </c>
      <c r="G1896" s="35">
        <v>310100</v>
      </c>
      <c r="H1896" s="35">
        <v>340000</v>
      </c>
      <c r="I1896" s="35">
        <v>200015</v>
      </c>
      <c r="J1896" s="34" t="s">
        <v>16</v>
      </c>
      <c r="K1896" s="34" t="str">
        <f t="shared" si="61"/>
        <v>重复</v>
      </c>
      <c r="L1896" s="34" t="str">
        <f t="shared" si="62"/>
        <v>不重复</v>
      </c>
    </row>
    <row r="1897" spans="1:12" ht="15">
      <c r="A1897" s="35" t="s">
        <v>12316</v>
      </c>
      <c r="B1897" s="35" t="s">
        <v>5327</v>
      </c>
      <c r="C1897" s="36" t="s">
        <v>5325</v>
      </c>
      <c r="D1897" s="35" t="s">
        <v>5328</v>
      </c>
      <c r="E1897" s="35" t="s">
        <v>12314</v>
      </c>
      <c r="F1897" s="35" t="s">
        <v>12315</v>
      </c>
      <c r="G1897" s="35">
        <v>310101</v>
      </c>
      <c r="H1897" s="35">
        <v>340000</v>
      </c>
      <c r="I1897" s="35">
        <v>200015</v>
      </c>
      <c r="J1897" s="34" t="s">
        <v>5329</v>
      </c>
      <c r="K1897" s="34" t="str">
        <f t="shared" si="61"/>
        <v>重复</v>
      </c>
      <c r="L1897" s="34" t="str">
        <f t="shared" si="62"/>
        <v>不重复</v>
      </c>
    </row>
    <row r="1898" spans="1:12" ht="15">
      <c r="A1898" s="35" t="s">
        <v>12317</v>
      </c>
      <c r="B1898" s="35" t="s">
        <v>5330</v>
      </c>
      <c r="C1898" s="36" t="s">
        <v>5331</v>
      </c>
      <c r="D1898" s="35" t="s">
        <v>1558</v>
      </c>
      <c r="E1898" s="35" t="s">
        <v>12317</v>
      </c>
      <c r="F1898" s="35" t="s">
        <v>12315</v>
      </c>
      <c r="G1898" s="35">
        <v>310200</v>
      </c>
      <c r="H1898" s="35">
        <v>340010</v>
      </c>
      <c r="I1898" s="35">
        <v>200015</v>
      </c>
      <c r="J1898" s="34" t="s">
        <v>16</v>
      </c>
      <c r="K1898" s="34" t="str">
        <f t="shared" si="61"/>
        <v>不重复</v>
      </c>
      <c r="L1898" s="34" t="str">
        <f t="shared" si="62"/>
        <v>重复</v>
      </c>
    </row>
    <row r="1899" spans="1:12" ht="27">
      <c r="A1899" s="35" t="s">
        <v>12318</v>
      </c>
      <c r="B1899" s="35" t="s">
        <v>5332</v>
      </c>
      <c r="C1899" s="36" t="s">
        <v>5131</v>
      </c>
      <c r="D1899" s="35" t="s">
        <v>5333</v>
      </c>
      <c r="E1899" s="35" t="s">
        <v>12317</v>
      </c>
      <c r="F1899" s="35" t="s">
        <v>12315</v>
      </c>
      <c r="G1899" s="35">
        <v>310201</v>
      </c>
      <c r="H1899" s="35">
        <v>340010</v>
      </c>
      <c r="I1899" s="35">
        <v>200015</v>
      </c>
      <c r="J1899" s="34" t="s">
        <v>1248</v>
      </c>
      <c r="K1899" s="34" t="str">
        <f t="shared" si="61"/>
        <v>重复</v>
      </c>
      <c r="L1899" s="34" t="str">
        <f t="shared" si="62"/>
        <v>不重复</v>
      </c>
    </row>
    <row r="1900" spans="1:12" ht="30">
      <c r="A1900" s="35" t="s">
        <v>12319</v>
      </c>
      <c r="B1900" s="35" t="s">
        <v>5334</v>
      </c>
      <c r="C1900" s="36" t="s">
        <v>4995</v>
      </c>
      <c r="D1900" s="35" t="s">
        <v>5335</v>
      </c>
      <c r="E1900" s="35" t="s">
        <v>12317</v>
      </c>
      <c r="F1900" s="35" t="s">
        <v>12315</v>
      </c>
      <c r="G1900" s="35">
        <v>310202</v>
      </c>
      <c r="H1900" s="35">
        <v>340010</v>
      </c>
      <c r="I1900" s="35">
        <v>200015</v>
      </c>
      <c r="J1900" s="34" t="s">
        <v>878</v>
      </c>
      <c r="K1900" s="34" t="str">
        <f t="shared" si="61"/>
        <v>重复</v>
      </c>
      <c r="L1900" s="34" t="str">
        <f t="shared" si="62"/>
        <v>不重复</v>
      </c>
    </row>
    <row r="1901" spans="1:12" ht="30">
      <c r="A1901" s="35" t="s">
        <v>12320</v>
      </c>
      <c r="B1901" s="35" t="s">
        <v>5336</v>
      </c>
      <c r="C1901" s="36" t="s">
        <v>5337</v>
      </c>
      <c r="D1901" s="35" t="s">
        <v>5338</v>
      </c>
      <c r="E1901" s="35" t="s">
        <v>12317</v>
      </c>
      <c r="F1901" s="35" t="s">
        <v>12315</v>
      </c>
      <c r="G1901" s="35">
        <v>310203</v>
      </c>
      <c r="H1901" s="35">
        <v>340010</v>
      </c>
      <c r="I1901" s="35">
        <v>200015</v>
      </c>
      <c r="J1901" s="34" t="s">
        <v>231</v>
      </c>
      <c r="K1901" s="34" t="str">
        <f t="shared" si="61"/>
        <v>重复</v>
      </c>
      <c r="L1901" s="34" t="str">
        <f t="shared" si="62"/>
        <v>不重复</v>
      </c>
    </row>
    <row r="1902" spans="1:12" ht="15">
      <c r="A1902" s="35" t="s">
        <v>12321</v>
      </c>
      <c r="B1902" s="35" t="s">
        <v>5339</v>
      </c>
      <c r="C1902" s="36" t="s">
        <v>5340</v>
      </c>
      <c r="D1902" s="35" t="s">
        <v>5341</v>
      </c>
      <c r="E1902" s="35" t="s">
        <v>12321</v>
      </c>
      <c r="F1902" s="35" t="s">
        <v>12315</v>
      </c>
      <c r="G1902" s="35">
        <v>310300</v>
      </c>
      <c r="H1902" s="35">
        <v>340020</v>
      </c>
      <c r="I1902" s="35">
        <v>200015</v>
      </c>
      <c r="J1902" s="34" t="s">
        <v>16</v>
      </c>
      <c r="K1902" s="34" t="str">
        <f t="shared" si="61"/>
        <v>重复</v>
      </c>
      <c r="L1902" s="34" t="str">
        <f t="shared" si="62"/>
        <v>重复</v>
      </c>
    </row>
    <row r="1903" spans="1:12" ht="15">
      <c r="A1903" s="35" t="s">
        <v>12322</v>
      </c>
      <c r="B1903" s="35" t="s">
        <v>5342</v>
      </c>
      <c r="C1903" s="36" t="s">
        <v>5340</v>
      </c>
      <c r="D1903" s="35" t="s">
        <v>5343</v>
      </c>
      <c r="E1903" s="35" t="s">
        <v>12321</v>
      </c>
      <c r="F1903" s="35" t="s">
        <v>12315</v>
      </c>
      <c r="G1903" s="35">
        <v>310301</v>
      </c>
      <c r="H1903" s="35">
        <v>340020</v>
      </c>
      <c r="I1903" s="35">
        <v>200015</v>
      </c>
      <c r="J1903" s="34" t="s">
        <v>288</v>
      </c>
      <c r="K1903" s="34" t="str">
        <f t="shared" si="61"/>
        <v>重复</v>
      </c>
      <c r="L1903" s="34" t="str">
        <f t="shared" si="62"/>
        <v>不重复</v>
      </c>
    </row>
    <row r="1904" spans="1:12" ht="15">
      <c r="A1904" s="35" t="s">
        <v>12323</v>
      </c>
      <c r="B1904" s="35" t="s">
        <v>5344</v>
      </c>
      <c r="C1904" s="36" t="s">
        <v>5345</v>
      </c>
      <c r="D1904" s="35" t="s">
        <v>5346</v>
      </c>
      <c r="E1904" s="35" t="s">
        <v>12323</v>
      </c>
      <c r="F1904" s="35" t="s">
        <v>12315</v>
      </c>
      <c r="G1904" s="35">
        <v>310400</v>
      </c>
      <c r="H1904" s="35">
        <v>340030</v>
      </c>
      <c r="I1904" s="35">
        <v>200015</v>
      </c>
      <c r="J1904" s="34" t="s">
        <v>16</v>
      </c>
      <c r="K1904" s="34" t="str">
        <f t="shared" si="61"/>
        <v>重复</v>
      </c>
      <c r="L1904" s="34" t="str">
        <f t="shared" si="62"/>
        <v>不重复</v>
      </c>
    </row>
    <row r="1905" spans="1:12" ht="27">
      <c r="A1905" s="35" t="s">
        <v>12324</v>
      </c>
      <c r="B1905" s="35" t="s">
        <v>5347</v>
      </c>
      <c r="C1905" s="36" t="s">
        <v>5348</v>
      </c>
      <c r="D1905" s="35" t="s">
        <v>5349</v>
      </c>
      <c r="E1905" s="35" t="s">
        <v>12323</v>
      </c>
      <c r="F1905" s="35" t="s">
        <v>12315</v>
      </c>
      <c r="G1905" s="35">
        <v>310401</v>
      </c>
      <c r="H1905" s="35">
        <v>340030</v>
      </c>
      <c r="I1905" s="35">
        <v>200015</v>
      </c>
      <c r="J1905" s="34" t="s">
        <v>1602</v>
      </c>
      <c r="K1905" s="34" t="str">
        <f t="shared" si="61"/>
        <v>重复</v>
      </c>
      <c r="L1905" s="34" t="str">
        <f t="shared" si="62"/>
        <v>不重复</v>
      </c>
    </row>
    <row r="1906" spans="1:12" ht="15">
      <c r="A1906" s="35" t="s">
        <v>12325</v>
      </c>
      <c r="B1906" s="35" t="s">
        <v>5350</v>
      </c>
      <c r="C1906" s="36" t="s">
        <v>5351</v>
      </c>
      <c r="D1906" s="35" t="s">
        <v>5341</v>
      </c>
      <c r="E1906" s="35" t="s">
        <v>12325</v>
      </c>
      <c r="F1906" s="35" t="s">
        <v>12315</v>
      </c>
      <c r="G1906" s="35">
        <v>310500</v>
      </c>
      <c r="H1906" s="35">
        <v>340040</v>
      </c>
      <c r="I1906" s="35">
        <v>200015</v>
      </c>
      <c r="J1906" s="34" t="s">
        <v>16</v>
      </c>
      <c r="K1906" s="34" t="str">
        <f t="shared" si="61"/>
        <v>不重复</v>
      </c>
      <c r="L1906" s="34" t="str">
        <f t="shared" si="62"/>
        <v>重复</v>
      </c>
    </row>
    <row r="1907" spans="1:12" ht="27">
      <c r="A1907" s="35" t="s">
        <v>12326</v>
      </c>
      <c r="B1907" s="35" t="s">
        <v>5352</v>
      </c>
      <c r="C1907" s="36" t="s">
        <v>5353</v>
      </c>
      <c r="D1907" s="35" t="s">
        <v>5354</v>
      </c>
      <c r="E1907" s="35" t="s">
        <v>12325</v>
      </c>
      <c r="F1907" s="35" t="s">
        <v>12315</v>
      </c>
      <c r="G1907" s="35">
        <v>310501</v>
      </c>
      <c r="H1907" s="35">
        <v>340040</v>
      </c>
      <c r="I1907" s="35">
        <v>200015</v>
      </c>
      <c r="J1907" s="34" t="s">
        <v>5355</v>
      </c>
      <c r="K1907" s="34" t="str">
        <f t="shared" si="61"/>
        <v>不重复</v>
      </c>
      <c r="L1907" s="34" t="str">
        <f t="shared" si="62"/>
        <v>不重复</v>
      </c>
    </row>
    <row r="1908" spans="1:12" ht="15">
      <c r="A1908" s="35" t="s">
        <v>12327</v>
      </c>
      <c r="B1908" s="35" t="s">
        <v>5356</v>
      </c>
      <c r="C1908" s="36" t="s">
        <v>1792</v>
      </c>
      <c r="D1908" s="35" t="s">
        <v>5357</v>
      </c>
      <c r="E1908" s="35" t="s">
        <v>12327</v>
      </c>
      <c r="F1908" s="35" t="s">
        <v>12315</v>
      </c>
      <c r="G1908" s="35">
        <v>310600</v>
      </c>
      <c r="H1908" s="35">
        <v>340050</v>
      </c>
      <c r="I1908" s="35">
        <v>200015</v>
      </c>
      <c r="J1908" s="34" t="s">
        <v>16</v>
      </c>
      <c r="K1908" s="34" t="str">
        <f t="shared" si="61"/>
        <v>重复</v>
      </c>
      <c r="L1908" s="34" t="str">
        <f t="shared" si="62"/>
        <v>不重复</v>
      </c>
    </row>
    <row r="1909" spans="1:12" ht="15">
      <c r="A1909" s="35" t="s">
        <v>12328</v>
      </c>
      <c r="B1909" s="35" t="s">
        <v>5358</v>
      </c>
      <c r="C1909" s="36" t="s">
        <v>5359</v>
      </c>
      <c r="D1909" s="35" t="s">
        <v>5360</v>
      </c>
      <c r="E1909" s="35" t="s">
        <v>12327</v>
      </c>
      <c r="F1909" s="35" t="s">
        <v>12315</v>
      </c>
      <c r="G1909" s="35">
        <v>310601</v>
      </c>
      <c r="H1909" s="35">
        <v>340050</v>
      </c>
      <c r="I1909" s="35">
        <v>200015</v>
      </c>
      <c r="J1909" s="34" t="s">
        <v>5361</v>
      </c>
      <c r="K1909" s="34" t="str">
        <f t="shared" si="61"/>
        <v>不重复</v>
      </c>
      <c r="L1909" s="34" t="str">
        <f t="shared" si="62"/>
        <v>不重复</v>
      </c>
    </row>
    <row r="1910" spans="1:12" ht="27">
      <c r="A1910" s="35" t="s">
        <v>12329</v>
      </c>
      <c r="B1910" s="35" t="s">
        <v>5362</v>
      </c>
      <c r="C1910" s="36" t="s">
        <v>5363</v>
      </c>
      <c r="D1910" s="35" t="s">
        <v>5364</v>
      </c>
      <c r="E1910" s="35" t="s">
        <v>12327</v>
      </c>
      <c r="F1910" s="35" t="s">
        <v>12315</v>
      </c>
      <c r="G1910" s="35">
        <v>310602</v>
      </c>
      <c r="H1910" s="35">
        <v>340050</v>
      </c>
      <c r="I1910" s="35">
        <v>200015</v>
      </c>
      <c r="J1910" s="34" t="s">
        <v>878</v>
      </c>
      <c r="K1910" s="34" t="str">
        <f t="shared" si="61"/>
        <v>重复</v>
      </c>
      <c r="L1910" s="34" t="str">
        <f t="shared" si="62"/>
        <v>不重复</v>
      </c>
    </row>
    <row r="1911" spans="1:12" ht="15">
      <c r="A1911" s="35" t="s">
        <v>12330</v>
      </c>
      <c r="B1911" s="35" t="s">
        <v>5365</v>
      </c>
      <c r="C1911" s="36" t="s">
        <v>5366</v>
      </c>
      <c r="D1911" s="35" t="s">
        <v>5367</v>
      </c>
      <c r="E1911" s="35" t="s">
        <v>12327</v>
      </c>
      <c r="F1911" s="35" t="s">
        <v>12315</v>
      </c>
      <c r="G1911" s="35">
        <v>310603</v>
      </c>
      <c r="H1911" s="35">
        <v>340050</v>
      </c>
      <c r="I1911" s="35">
        <v>200015</v>
      </c>
      <c r="J1911" s="34" t="s">
        <v>493</v>
      </c>
      <c r="K1911" s="34" t="str">
        <f t="shared" si="61"/>
        <v>不重复</v>
      </c>
      <c r="L1911" s="34" t="str">
        <f t="shared" si="62"/>
        <v>不重复</v>
      </c>
    </row>
    <row r="1912" spans="1:12" ht="30">
      <c r="A1912" s="35" t="s">
        <v>12331</v>
      </c>
      <c r="B1912" s="35" t="s">
        <v>5368</v>
      </c>
      <c r="C1912" s="36" t="s">
        <v>3867</v>
      </c>
      <c r="D1912" s="35" t="s">
        <v>5369</v>
      </c>
      <c r="E1912" s="35" t="s">
        <v>12327</v>
      </c>
      <c r="F1912" s="35" t="s">
        <v>12315</v>
      </c>
      <c r="G1912" s="35">
        <v>310604</v>
      </c>
      <c r="H1912" s="35">
        <v>340050</v>
      </c>
      <c r="I1912" s="35">
        <v>200015</v>
      </c>
      <c r="J1912" s="34" t="s">
        <v>5370</v>
      </c>
      <c r="K1912" s="34" t="str">
        <f t="shared" si="61"/>
        <v>重复</v>
      </c>
      <c r="L1912" s="34" t="str">
        <f t="shared" si="62"/>
        <v>不重复</v>
      </c>
    </row>
    <row r="1913" spans="1:12" ht="15">
      <c r="A1913" s="35" t="s">
        <v>12332</v>
      </c>
      <c r="B1913" s="35" t="s">
        <v>5371</v>
      </c>
      <c r="C1913" s="36" t="s">
        <v>5372</v>
      </c>
      <c r="D1913" s="35" t="s">
        <v>5373</v>
      </c>
      <c r="E1913" s="35" t="s">
        <v>12332</v>
      </c>
      <c r="F1913" s="35" t="s">
        <v>12315</v>
      </c>
      <c r="G1913" s="35">
        <v>310700</v>
      </c>
      <c r="H1913" s="35">
        <v>340060</v>
      </c>
      <c r="I1913" s="35">
        <v>200015</v>
      </c>
      <c r="J1913" s="34" t="s">
        <v>16</v>
      </c>
      <c r="K1913" s="34" t="str">
        <f t="shared" si="61"/>
        <v>重复</v>
      </c>
      <c r="L1913" s="34" t="str">
        <f t="shared" si="62"/>
        <v>不重复</v>
      </c>
    </row>
    <row r="1914" spans="1:12" ht="27">
      <c r="A1914" s="35" t="s">
        <v>12333</v>
      </c>
      <c r="B1914" s="35" t="s">
        <v>5374</v>
      </c>
      <c r="C1914" s="36" t="s">
        <v>3226</v>
      </c>
      <c r="D1914" s="35" t="s">
        <v>5375</v>
      </c>
      <c r="E1914" s="35" t="s">
        <v>12332</v>
      </c>
      <c r="F1914" s="35" t="s">
        <v>12315</v>
      </c>
      <c r="G1914" s="35">
        <v>310701</v>
      </c>
      <c r="H1914" s="35">
        <v>340060</v>
      </c>
      <c r="I1914" s="35">
        <v>200015</v>
      </c>
      <c r="J1914" s="34" t="s">
        <v>5376</v>
      </c>
      <c r="K1914" s="34" t="str">
        <f t="shared" si="61"/>
        <v>重复</v>
      </c>
      <c r="L1914" s="34" t="str">
        <f t="shared" si="62"/>
        <v>不重复</v>
      </c>
    </row>
    <row r="1915" spans="1:12" ht="27">
      <c r="A1915" s="35" t="s">
        <v>12334</v>
      </c>
      <c r="B1915" s="35" t="s">
        <v>5377</v>
      </c>
      <c r="C1915" s="36" t="s">
        <v>2507</v>
      </c>
      <c r="D1915" s="35" t="s">
        <v>5378</v>
      </c>
      <c r="E1915" s="35" t="s">
        <v>12332</v>
      </c>
      <c r="F1915" s="35" t="s">
        <v>12315</v>
      </c>
      <c r="G1915" s="35">
        <v>310702</v>
      </c>
      <c r="H1915" s="35">
        <v>340060</v>
      </c>
      <c r="I1915" s="35">
        <v>200015</v>
      </c>
      <c r="J1915" s="34" t="s">
        <v>5379</v>
      </c>
      <c r="K1915" s="34" t="str">
        <f t="shared" si="61"/>
        <v>重复</v>
      </c>
      <c r="L1915" s="34" t="str">
        <f t="shared" si="62"/>
        <v>重复</v>
      </c>
    </row>
    <row r="1916" spans="1:12" ht="15">
      <c r="A1916" s="35" t="s">
        <v>12335</v>
      </c>
      <c r="B1916" s="35" t="s">
        <v>5380</v>
      </c>
      <c r="C1916" s="36" t="s">
        <v>5381</v>
      </c>
      <c r="D1916" s="35" t="s">
        <v>5382</v>
      </c>
      <c r="E1916" s="35" t="s">
        <v>12332</v>
      </c>
      <c r="F1916" s="35" t="s">
        <v>12315</v>
      </c>
      <c r="G1916" s="35">
        <v>310703</v>
      </c>
      <c r="H1916" s="35">
        <v>340060</v>
      </c>
      <c r="I1916" s="35">
        <v>200015</v>
      </c>
      <c r="J1916" s="34" t="s">
        <v>878</v>
      </c>
      <c r="K1916" s="34" t="str">
        <f t="shared" si="61"/>
        <v>不重复</v>
      </c>
      <c r="L1916" s="34" t="str">
        <f t="shared" si="62"/>
        <v>不重复</v>
      </c>
    </row>
    <row r="1917" spans="1:12" ht="27">
      <c r="A1917" s="35" t="s">
        <v>12336</v>
      </c>
      <c r="B1917" s="35" t="s">
        <v>5383</v>
      </c>
      <c r="C1917" s="36" t="s">
        <v>5384</v>
      </c>
      <c r="D1917" s="35" t="s">
        <v>5385</v>
      </c>
      <c r="E1917" s="35" t="s">
        <v>12332</v>
      </c>
      <c r="F1917" s="35" t="s">
        <v>12315</v>
      </c>
      <c r="G1917" s="35">
        <v>310704</v>
      </c>
      <c r="H1917" s="35">
        <v>340060</v>
      </c>
      <c r="I1917" s="35">
        <v>200015</v>
      </c>
      <c r="J1917" s="34" t="s">
        <v>5379</v>
      </c>
      <c r="K1917" s="34" t="str">
        <f t="shared" si="61"/>
        <v>重复</v>
      </c>
      <c r="L1917" s="34" t="str">
        <f t="shared" si="62"/>
        <v>不重复</v>
      </c>
    </row>
    <row r="1918" spans="1:12" ht="27">
      <c r="A1918" s="35" t="s">
        <v>12337</v>
      </c>
      <c r="B1918" s="35" t="s">
        <v>5386</v>
      </c>
      <c r="C1918" s="36" t="s">
        <v>1145</v>
      </c>
      <c r="D1918" s="35" t="s">
        <v>5387</v>
      </c>
      <c r="E1918" s="35" t="s">
        <v>12332</v>
      </c>
      <c r="F1918" s="35" t="s">
        <v>12315</v>
      </c>
      <c r="G1918" s="35">
        <v>310705</v>
      </c>
      <c r="H1918" s="35">
        <v>340060</v>
      </c>
      <c r="I1918" s="35">
        <v>200015</v>
      </c>
      <c r="J1918" s="34" t="s">
        <v>288</v>
      </c>
      <c r="K1918" s="34" t="str">
        <f t="shared" si="61"/>
        <v>重复</v>
      </c>
      <c r="L1918" s="34" t="str">
        <f t="shared" si="62"/>
        <v>不重复</v>
      </c>
    </row>
    <row r="1919" spans="1:12" ht="27">
      <c r="A1919" s="35" t="s">
        <v>12338</v>
      </c>
      <c r="B1919" s="35" t="s">
        <v>5388</v>
      </c>
      <c r="C1919" s="36" t="s">
        <v>5389</v>
      </c>
      <c r="D1919" s="35" t="s">
        <v>5390</v>
      </c>
      <c r="E1919" s="35" t="s">
        <v>12332</v>
      </c>
      <c r="F1919" s="35" t="s">
        <v>12315</v>
      </c>
      <c r="G1919" s="35">
        <v>310706</v>
      </c>
      <c r="H1919" s="35">
        <v>340060</v>
      </c>
      <c r="I1919" s="35">
        <v>200015</v>
      </c>
      <c r="J1919" s="34" t="s">
        <v>1040</v>
      </c>
      <c r="K1919" s="34" t="str">
        <f t="shared" si="61"/>
        <v>不重复</v>
      </c>
      <c r="L1919" s="34" t="str">
        <f t="shared" si="62"/>
        <v>不重复</v>
      </c>
    </row>
    <row r="1920" spans="1:12" ht="27">
      <c r="A1920" s="35" t="s">
        <v>12339</v>
      </c>
      <c r="B1920" s="35" t="s">
        <v>5391</v>
      </c>
      <c r="C1920" s="36" t="s">
        <v>2908</v>
      </c>
      <c r="D1920" s="35" t="s">
        <v>5378</v>
      </c>
      <c r="E1920" s="35" t="s">
        <v>12332</v>
      </c>
      <c r="F1920" s="35" t="s">
        <v>12315</v>
      </c>
      <c r="G1920" s="35">
        <v>310707</v>
      </c>
      <c r="H1920" s="35">
        <v>340060</v>
      </c>
      <c r="I1920" s="35">
        <v>200015</v>
      </c>
      <c r="J1920" s="34" t="s">
        <v>288</v>
      </c>
      <c r="K1920" s="34" t="str">
        <f t="shared" si="61"/>
        <v>重复</v>
      </c>
      <c r="L1920" s="34" t="str">
        <f t="shared" si="62"/>
        <v>重复</v>
      </c>
    </row>
    <row r="1921" spans="1:12" ht="27">
      <c r="A1921" s="35" t="s">
        <v>12340</v>
      </c>
      <c r="B1921" s="35" t="s">
        <v>5392</v>
      </c>
      <c r="C1921" s="36" t="s">
        <v>2332</v>
      </c>
      <c r="D1921" s="35" t="s">
        <v>5393</v>
      </c>
      <c r="E1921" s="35" t="s">
        <v>12332</v>
      </c>
      <c r="F1921" s="35" t="s">
        <v>12315</v>
      </c>
      <c r="G1921" s="35">
        <v>310708</v>
      </c>
      <c r="H1921" s="35">
        <v>340060</v>
      </c>
      <c r="I1921" s="35">
        <v>200015</v>
      </c>
      <c r="J1921" s="34" t="s">
        <v>878</v>
      </c>
      <c r="K1921" s="34" t="str">
        <f t="shared" si="61"/>
        <v>重复</v>
      </c>
      <c r="L1921" s="34" t="str">
        <f t="shared" si="62"/>
        <v>不重复</v>
      </c>
    </row>
    <row r="1922" spans="1:12" ht="27">
      <c r="A1922" s="35" t="s">
        <v>12341</v>
      </c>
      <c r="B1922" s="35" t="s">
        <v>5394</v>
      </c>
      <c r="C1922" s="36" t="s">
        <v>529</v>
      </c>
      <c r="D1922" s="35" t="s">
        <v>5395</v>
      </c>
      <c r="E1922" s="35" t="s">
        <v>12332</v>
      </c>
      <c r="F1922" s="35" t="s">
        <v>12315</v>
      </c>
      <c r="G1922" s="35">
        <v>310709</v>
      </c>
      <c r="H1922" s="35">
        <v>340060</v>
      </c>
      <c r="I1922" s="35">
        <v>200015</v>
      </c>
      <c r="J1922" s="34" t="s">
        <v>5396</v>
      </c>
      <c r="K1922" s="34" t="str">
        <f t="shared" si="61"/>
        <v>重复</v>
      </c>
      <c r="L1922" s="34" t="str">
        <f t="shared" si="62"/>
        <v>不重复</v>
      </c>
    </row>
    <row r="1923" spans="1:12" ht="30">
      <c r="A1923" s="35" t="s">
        <v>12342</v>
      </c>
      <c r="B1923" s="35" t="s">
        <v>5397</v>
      </c>
      <c r="C1923" s="36" t="s">
        <v>5398</v>
      </c>
      <c r="D1923" s="35" t="s">
        <v>5399</v>
      </c>
      <c r="E1923" s="35" t="s">
        <v>12332</v>
      </c>
      <c r="F1923" s="35" t="s">
        <v>12315</v>
      </c>
      <c r="G1923" s="35">
        <v>310710</v>
      </c>
      <c r="H1923" s="35">
        <v>340060</v>
      </c>
      <c r="I1923" s="35">
        <v>200015</v>
      </c>
      <c r="J1923" s="34" t="s">
        <v>5379</v>
      </c>
      <c r="K1923" s="34" t="str">
        <f t="shared" si="61"/>
        <v>不重复</v>
      </c>
      <c r="L1923" s="34" t="str">
        <f t="shared" si="62"/>
        <v>不重复</v>
      </c>
    </row>
    <row r="1924" spans="1:12" ht="27">
      <c r="A1924" s="35" t="s">
        <v>12343</v>
      </c>
      <c r="B1924" s="35" t="s">
        <v>5400</v>
      </c>
      <c r="C1924" s="36" t="s">
        <v>5401</v>
      </c>
      <c r="D1924" s="35" t="s">
        <v>5402</v>
      </c>
      <c r="E1924" s="35" t="s">
        <v>12332</v>
      </c>
      <c r="F1924" s="35" t="s">
        <v>12315</v>
      </c>
      <c r="G1924" s="35">
        <v>310711</v>
      </c>
      <c r="H1924" s="35">
        <v>340060</v>
      </c>
      <c r="I1924" s="35">
        <v>200015</v>
      </c>
      <c r="J1924" s="34" t="s">
        <v>5403</v>
      </c>
      <c r="K1924" s="34" t="str">
        <f t="shared" si="61"/>
        <v>不重复</v>
      </c>
      <c r="L1924" s="34" t="str">
        <f t="shared" si="62"/>
        <v>不重复</v>
      </c>
    </row>
    <row r="1925" spans="1:12" ht="15">
      <c r="A1925" s="35" t="s">
        <v>12344</v>
      </c>
      <c r="B1925" s="35" t="s">
        <v>5404</v>
      </c>
      <c r="C1925" s="36" t="s">
        <v>185</v>
      </c>
      <c r="D1925" s="35" t="s">
        <v>5405</v>
      </c>
      <c r="E1925" s="35" t="s">
        <v>12332</v>
      </c>
      <c r="F1925" s="35" t="s">
        <v>12315</v>
      </c>
      <c r="G1925" s="35">
        <v>310712</v>
      </c>
      <c r="H1925" s="35">
        <v>340060</v>
      </c>
      <c r="I1925" s="35">
        <v>200015</v>
      </c>
      <c r="J1925" s="34" t="s">
        <v>932</v>
      </c>
      <c r="K1925" s="34" t="str">
        <f t="shared" si="61"/>
        <v>重复</v>
      </c>
      <c r="L1925" s="34" t="str">
        <f t="shared" si="62"/>
        <v>不重复</v>
      </c>
    </row>
    <row r="1926" spans="1:12" ht="27">
      <c r="A1926" s="35" t="s">
        <v>12345</v>
      </c>
      <c r="B1926" s="35" t="s">
        <v>5406</v>
      </c>
      <c r="C1926" s="36" t="s">
        <v>5407</v>
      </c>
      <c r="D1926" s="35" t="s">
        <v>5408</v>
      </c>
      <c r="E1926" s="35" t="s">
        <v>12332</v>
      </c>
      <c r="F1926" s="35" t="s">
        <v>12315</v>
      </c>
      <c r="G1926" s="35">
        <v>310713</v>
      </c>
      <c r="H1926" s="35">
        <v>340060</v>
      </c>
      <c r="I1926" s="35">
        <v>200015</v>
      </c>
      <c r="J1926" s="34" t="s">
        <v>311</v>
      </c>
      <c r="K1926" s="34" t="str">
        <f t="shared" si="61"/>
        <v>不重复</v>
      </c>
      <c r="L1926" s="34" t="str">
        <f t="shared" si="62"/>
        <v>不重复</v>
      </c>
    </row>
    <row r="1927" spans="1:12" ht="15">
      <c r="A1927" s="35" t="s">
        <v>12346</v>
      </c>
      <c r="B1927" s="35" t="s">
        <v>5409</v>
      </c>
      <c r="C1927" s="36" t="s">
        <v>4016</v>
      </c>
      <c r="D1927" s="35" t="s">
        <v>5410</v>
      </c>
      <c r="E1927" s="35" t="s">
        <v>12332</v>
      </c>
      <c r="F1927" s="35" t="s">
        <v>12315</v>
      </c>
      <c r="G1927" s="35">
        <v>310714</v>
      </c>
      <c r="H1927" s="35">
        <v>340060</v>
      </c>
      <c r="I1927" s="35">
        <v>200015</v>
      </c>
      <c r="J1927" s="34" t="s">
        <v>5411</v>
      </c>
      <c r="K1927" s="34" t="str">
        <f t="shared" si="61"/>
        <v>重复</v>
      </c>
      <c r="L1927" s="34" t="str">
        <f t="shared" si="62"/>
        <v>不重复</v>
      </c>
    </row>
    <row r="1928" spans="1:12" ht="27">
      <c r="A1928" s="35" t="s">
        <v>12347</v>
      </c>
      <c r="B1928" s="35" t="s">
        <v>5412</v>
      </c>
      <c r="C1928" s="36" t="s">
        <v>3112</v>
      </c>
      <c r="D1928" s="35" t="s">
        <v>5413</v>
      </c>
      <c r="E1928" s="35" t="s">
        <v>12332</v>
      </c>
      <c r="F1928" s="35" t="s">
        <v>12315</v>
      </c>
      <c r="G1928" s="35">
        <v>310715</v>
      </c>
      <c r="H1928" s="35">
        <v>340060</v>
      </c>
      <c r="I1928" s="35">
        <v>200015</v>
      </c>
      <c r="J1928" s="34" t="s">
        <v>317</v>
      </c>
      <c r="K1928" s="34" t="str">
        <f t="shared" si="61"/>
        <v>重复</v>
      </c>
      <c r="L1928" s="34" t="str">
        <f t="shared" si="62"/>
        <v>重复</v>
      </c>
    </row>
    <row r="1929" spans="1:12" ht="27">
      <c r="A1929" s="35" t="s">
        <v>12348</v>
      </c>
      <c r="B1929" s="35" t="s">
        <v>5414</v>
      </c>
      <c r="C1929" s="36" t="s">
        <v>2968</v>
      </c>
      <c r="D1929" s="35" t="s">
        <v>5415</v>
      </c>
      <c r="E1929" s="35" t="s">
        <v>12332</v>
      </c>
      <c r="F1929" s="35" t="s">
        <v>12315</v>
      </c>
      <c r="G1929" s="35">
        <v>310716</v>
      </c>
      <c r="H1929" s="35">
        <v>340060</v>
      </c>
      <c r="I1929" s="35">
        <v>200015</v>
      </c>
      <c r="J1929" s="34" t="s">
        <v>317</v>
      </c>
      <c r="K1929" s="34" t="str">
        <f t="shared" si="61"/>
        <v>重复</v>
      </c>
      <c r="L1929" s="34" t="str">
        <f t="shared" si="62"/>
        <v>不重复</v>
      </c>
    </row>
    <row r="1930" spans="1:12" ht="27">
      <c r="A1930" s="35" t="s">
        <v>12349</v>
      </c>
      <c r="B1930" s="35" t="s">
        <v>5416</v>
      </c>
      <c r="C1930" s="36" t="s">
        <v>5417</v>
      </c>
      <c r="D1930" s="35" t="s">
        <v>5418</v>
      </c>
      <c r="E1930" s="35" t="s">
        <v>12332</v>
      </c>
      <c r="F1930" s="35" t="s">
        <v>12315</v>
      </c>
      <c r="G1930" s="35">
        <v>310717</v>
      </c>
      <c r="H1930" s="35">
        <v>340060</v>
      </c>
      <c r="I1930" s="35">
        <v>200015</v>
      </c>
      <c r="J1930" s="34" t="s">
        <v>932</v>
      </c>
      <c r="K1930" s="34" t="str">
        <f t="shared" si="61"/>
        <v>重复</v>
      </c>
      <c r="L1930" s="34" t="str">
        <f t="shared" si="62"/>
        <v>不重复</v>
      </c>
    </row>
    <row r="1931" spans="1:12" ht="15">
      <c r="A1931" s="35" t="s">
        <v>12350</v>
      </c>
      <c r="B1931" s="35" t="s">
        <v>5419</v>
      </c>
      <c r="C1931" s="36" t="s">
        <v>5420</v>
      </c>
      <c r="D1931" s="35" t="s">
        <v>5421</v>
      </c>
      <c r="E1931" s="35" t="s">
        <v>12332</v>
      </c>
      <c r="F1931" s="35" t="s">
        <v>12315</v>
      </c>
      <c r="G1931" s="35">
        <v>310718</v>
      </c>
      <c r="H1931" s="35">
        <v>340060</v>
      </c>
      <c r="I1931" s="35">
        <v>200015</v>
      </c>
      <c r="J1931" s="34" t="s">
        <v>5396</v>
      </c>
      <c r="K1931" s="34" t="str">
        <f t="shared" si="61"/>
        <v>重复</v>
      </c>
      <c r="L1931" s="34" t="str">
        <f t="shared" si="62"/>
        <v>重复</v>
      </c>
    </row>
    <row r="1932" spans="1:12" ht="15">
      <c r="A1932" s="35" t="s">
        <v>12351</v>
      </c>
      <c r="B1932" s="35" t="s">
        <v>5422</v>
      </c>
      <c r="C1932" s="36" t="s">
        <v>1957</v>
      </c>
      <c r="D1932" s="35" t="s">
        <v>5423</v>
      </c>
      <c r="E1932" s="35" t="s">
        <v>12332</v>
      </c>
      <c r="F1932" s="35" t="s">
        <v>12315</v>
      </c>
      <c r="G1932" s="35">
        <v>310719</v>
      </c>
      <c r="H1932" s="35">
        <v>340060</v>
      </c>
      <c r="I1932" s="35">
        <v>200015</v>
      </c>
      <c r="J1932" s="34" t="s">
        <v>311</v>
      </c>
      <c r="K1932" s="34" t="str">
        <f t="shared" si="61"/>
        <v>重复</v>
      </c>
      <c r="L1932" s="34" t="str">
        <f t="shared" si="62"/>
        <v>不重复</v>
      </c>
    </row>
    <row r="1933" spans="1:12" ht="30">
      <c r="A1933" s="35" t="s">
        <v>12352</v>
      </c>
      <c r="B1933" s="35" t="s">
        <v>5424</v>
      </c>
      <c r="C1933" s="36" t="s">
        <v>5425</v>
      </c>
      <c r="D1933" s="35" t="s">
        <v>5421</v>
      </c>
      <c r="E1933" s="35" t="s">
        <v>12332</v>
      </c>
      <c r="F1933" s="35" t="s">
        <v>12315</v>
      </c>
      <c r="G1933" s="35">
        <v>310720</v>
      </c>
      <c r="H1933" s="35">
        <v>340060</v>
      </c>
      <c r="I1933" s="35">
        <v>200015</v>
      </c>
      <c r="J1933" s="34" t="s">
        <v>715</v>
      </c>
      <c r="K1933" s="34" t="str">
        <f t="shared" si="61"/>
        <v>不重复</v>
      </c>
      <c r="L1933" s="34" t="str">
        <f t="shared" si="62"/>
        <v>重复</v>
      </c>
    </row>
    <row r="1934" spans="1:12" ht="15">
      <c r="A1934" s="35" t="s">
        <v>12353</v>
      </c>
      <c r="B1934" s="35" t="s">
        <v>5426</v>
      </c>
      <c r="C1934" s="36" t="s">
        <v>5420</v>
      </c>
      <c r="D1934" s="35" t="s">
        <v>5427</v>
      </c>
      <c r="E1934" s="35" t="s">
        <v>12332</v>
      </c>
      <c r="F1934" s="35" t="s">
        <v>12315</v>
      </c>
      <c r="G1934" s="35">
        <v>310721</v>
      </c>
      <c r="H1934" s="35">
        <v>340060</v>
      </c>
      <c r="I1934" s="35">
        <v>200015</v>
      </c>
      <c r="J1934" s="34" t="s">
        <v>363</v>
      </c>
      <c r="K1934" s="34" t="str">
        <f t="shared" si="61"/>
        <v>重复</v>
      </c>
      <c r="L1934" s="34" t="str">
        <f t="shared" si="62"/>
        <v>不重复</v>
      </c>
    </row>
    <row r="1935" spans="1:12" ht="15">
      <c r="A1935" s="35" t="s">
        <v>12354</v>
      </c>
      <c r="B1935" s="35" t="s">
        <v>5428</v>
      </c>
      <c r="C1935" s="36" t="s">
        <v>5429</v>
      </c>
      <c r="D1935" s="35" t="s">
        <v>5430</v>
      </c>
      <c r="E1935" s="35" t="s">
        <v>12332</v>
      </c>
      <c r="F1935" s="35" t="s">
        <v>12315</v>
      </c>
      <c r="G1935" s="35">
        <v>310722</v>
      </c>
      <c r="H1935" s="35">
        <v>340060</v>
      </c>
      <c r="I1935" s="35">
        <v>200015</v>
      </c>
      <c r="J1935" s="34" t="s">
        <v>363</v>
      </c>
      <c r="K1935" s="34" t="str">
        <f t="shared" si="61"/>
        <v>不重复</v>
      </c>
      <c r="L1935" s="34" t="str">
        <f t="shared" si="62"/>
        <v>不重复</v>
      </c>
    </row>
    <row r="1936" spans="1:12" ht="30">
      <c r="A1936" s="35" t="s">
        <v>12355</v>
      </c>
      <c r="B1936" s="35" t="s">
        <v>5431</v>
      </c>
      <c r="C1936" s="36" t="s">
        <v>5432</v>
      </c>
      <c r="D1936" s="35" t="s">
        <v>5433</v>
      </c>
      <c r="E1936" s="35" t="s">
        <v>12332</v>
      </c>
      <c r="F1936" s="35" t="s">
        <v>12315</v>
      </c>
      <c r="G1936" s="35">
        <v>310723</v>
      </c>
      <c r="H1936" s="35">
        <v>340060</v>
      </c>
      <c r="I1936" s="35">
        <v>200015</v>
      </c>
      <c r="J1936" s="34" t="s">
        <v>302</v>
      </c>
      <c r="K1936" s="34" t="str">
        <f t="shared" si="61"/>
        <v>重复</v>
      </c>
      <c r="L1936" s="34" t="str">
        <f t="shared" si="62"/>
        <v>不重复</v>
      </c>
    </row>
    <row r="1937" spans="1:12" ht="30">
      <c r="A1937" s="35" t="s">
        <v>12356</v>
      </c>
      <c r="B1937" s="35" t="s">
        <v>5434</v>
      </c>
      <c r="C1937" s="36" t="s">
        <v>5435</v>
      </c>
      <c r="D1937" s="35" t="s">
        <v>3380</v>
      </c>
      <c r="E1937" s="35" t="s">
        <v>12332</v>
      </c>
      <c r="F1937" s="35" t="s">
        <v>12315</v>
      </c>
      <c r="G1937" s="35">
        <v>310724</v>
      </c>
      <c r="H1937" s="35">
        <v>340060</v>
      </c>
      <c r="I1937" s="35">
        <v>200015</v>
      </c>
      <c r="J1937" s="34" t="s">
        <v>183</v>
      </c>
      <c r="K1937" s="34" t="str">
        <f t="shared" si="61"/>
        <v>重复</v>
      </c>
      <c r="L1937" s="34" t="str">
        <f t="shared" si="62"/>
        <v>重复</v>
      </c>
    </row>
    <row r="1938" spans="1:12" ht="30">
      <c r="A1938" s="35" t="s">
        <v>12357</v>
      </c>
      <c r="B1938" s="35" t="s">
        <v>5436</v>
      </c>
      <c r="C1938" s="36" t="s">
        <v>5437</v>
      </c>
      <c r="D1938" s="35" t="s">
        <v>5438</v>
      </c>
      <c r="E1938" s="35" t="s">
        <v>12332</v>
      </c>
      <c r="F1938" s="35" t="s">
        <v>12315</v>
      </c>
      <c r="G1938" s="35">
        <v>310725</v>
      </c>
      <c r="H1938" s="35">
        <v>340060</v>
      </c>
      <c r="I1938" s="35">
        <v>200015</v>
      </c>
      <c r="J1938" s="34" t="s">
        <v>311</v>
      </c>
      <c r="K1938" s="34" t="str">
        <f t="shared" si="61"/>
        <v>不重复</v>
      </c>
      <c r="L1938" s="34" t="str">
        <f t="shared" si="62"/>
        <v>不重复</v>
      </c>
    </row>
    <row r="1939" spans="1:12" ht="15">
      <c r="A1939" s="35" t="s">
        <v>12358</v>
      </c>
      <c r="B1939" s="35" t="s">
        <v>5439</v>
      </c>
      <c r="C1939" s="36" t="s">
        <v>5440</v>
      </c>
      <c r="D1939" s="35" t="s">
        <v>5441</v>
      </c>
      <c r="E1939" s="35" t="s">
        <v>12332</v>
      </c>
      <c r="F1939" s="35" t="s">
        <v>12315</v>
      </c>
      <c r="G1939" s="35">
        <v>310726</v>
      </c>
      <c r="H1939" s="35">
        <v>340060</v>
      </c>
      <c r="I1939" s="35">
        <v>200015</v>
      </c>
      <c r="J1939" s="34" t="s">
        <v>932</v>
      </c>
      <c r="K1939" s="34" t="str">
        <f t="shared" si="61"/>
        <v>不重复</v>
      </c>
      <c r="L1939" s="34" t="str">
        <f t="shared" si="62"/>
        <v>不重复</v>
      </c>
    </row>
    <row r="1940" spans="1:12" ht="15">
      <c r="A1940" s="35" t="s">
        <v>12359</v>
      </c>
      <c r="B1940" s="35" t="s">
        <v>5442</v>
      </c>
      <c r="C1940" s="36" t="s">
        <v>5443</v>
      </c>
      <c r="D1940" s="35" t="s">
        <v>5444</v>
      </c>
      <c r="E1940" s="35" t="s">
        <v>12332</v>
      </c>
      <c r="F1940" s="35" t="s">
        <v>12315</v>
      </c>
      <c r="G1940" s="35">
        <v>310727</v>
      </c>
      <c r="H1940" s="35">
        <v>340060</v>
      </c>
      <c r="I1940" s="35">
        <v>200015</v>
      </c>
      <c r="J1940" s="34" t="s">
        <v>5445</v>
      </c>
      <c r="K1940" s="34" t="str">
        <f t="shared" si="61"/>
        <v>不重复</v>
      </c>
      <c r="L1940" s="34" t="str">
        <f t="shared" si="62"/>
        <v>不重复</v>
      </c>
    </row>
    <row r="1941" spans="1:12" ht="15">
      <c r="A1941" s="35" t="s">
        <v>12360</v>
      </c>
      <c r="B1941" s="35" t="s">
        <v>5446</v>
      </c>
      <c r="C1941" s="36" t="s">
        <v>5432</v>
      </c>
      <c r="D1941" s="35" t="s">
        <v>5447</v>
      </c>
      <c r="E1941" s="35" t="s">
        <v>12332</v>
      </c>
      <c r="F1941" s="35" t="s">
        <v>12315</v>
      </c>
      <c r="G1941" s="35">
        <v>310728</v>
      </c>
      <c r="H1941" s="35">
        <v>340060</v>
      </c>
      <c r="I1941" s="35">
        <v>200015</v>
      </c>
      <c r="J1941" s="34" t="s">
        <v>1040</v>
      </c>
      <c r="K1941" s="34" t="str">
        <f t="shared" si="61"/>
        <v>重复</v>
      </c>
      <c r="L1941" s="34" t="str">
        <f t="shared" si="62"/>
        <v>不重复</v>
      </c>
    </row>
    <row r="1942" spans="1:12" ht="15">
      <c r="A1942" s="35" t="s">
        <v>12361</v>
      </c>
      <c r="B1942" s="35" t="s">
        <v>5448</v>
      </c>
      <c r="C1942" s="36" t="s">
        <v>5449</v>
      </c>
      <c r="D1942" s="35" t="s">
        <v>5450</v>
      </c>
      <c r="E1942" s="35" t="s">
        <v>12332</v>
      </c>
      <c r="F1942" s="35" t="s">
        <v>12315</v>
      </c>
      <c r="G1942" s="35">
        <v>310729</v>
      </c>
      <c r="H1942" s="35">
        <v>340060</v>
      </c>
      <c r="I1942" s="35">
        <v>200015</v>
      </c>
      <c r="J1942" s="34" t="s">
        <v>5396</v>
      </c>
      <c r="K1942" s="34" t="str">
        <f t="shared" si="63" ref="K1942:K2005">IF(COUNTIF(C:C,C1942)&gt;=2,"重复","不重复")</f>
        <v>不重复</v>
      </c>
      <c r="L1942" s="34" t="str">
        <f t="shared" si="62"/>
        <v>不重复</v>
      </c>
    </row>
    <row r="1943" spans="1:12" ht="15">
      <c r="A1943" s="35" t="s">
        <v>12362</v>
      </c>
      <c r="B1943" s="35" t="s">
        <v>5451</v>
      </c>
      <c r="C1943" s="36" t="s">
        <v>5452</v>
      </c>
      <c r="D1943" s="35" t="s">
        <v>5453</v>
      </c>
      <c r="E1943" s="35" t="s">
        <v>12362</v>
      </c>
      <c r="F1943" s="35" t="s">
        <v>12315</v>
      </c>
      <c r="G1943" s="35">
        <v>310800</v>
      </c>
      <c r="H1943" s="35">
        <v>340070</v>
      </c>
      <c r="I1943" s="35">
        <v>200015</v>
      </c>
      <c r="J1943" s="34" t="s">
        <v>16</v>
      </c>
      <c r="K1943" s="34" t="str">
        <f t="shared" si="63"/>
        <v>不重复</v>
      </c>
      <c r="L1943" s="34" t="str">
        <f t="shared" si="62"/>
        <v>不重复</v>
      </c>
    </row>
    <row r="1944" spans="1:12" ht="27">
      <c r="A1944" s="35" t="s">
        <v>12363</v>
      </c>
      <c r="B1944" s="35" t="s">
        <v>5454</v>
      </c>
      <c r="C1944" s="36" t="s">
        <v>5455</v>
      </c>
      <c r="D1944" s="35" t="s">
        <v>5456</v>
      </c>
      <c r="E1944" s="35" t="s">
        <v>12362</v>
      </c>
      <c r="F1944" s="35" t="s">
        <v>12315</v>
      </c>
      <c r="G1944" s="35">
        <v>310801</v>
      </c>
      <c r="H1944" s="35">
        <v>340070</v>
      </c>
      <c r="I1944" s="35">
        <v>200015</v>
      </c>
      <c r="J1944" s="34" t="s">
        <v>5457</v>
      </c>
      <c r="K1944" s="34" t="str">
        <f t="shared" si="63"/>
        <v>重复</v>
      </c>
      <c r="L1944" s="34" t="str">
        <f t="shared" si="62"/>
        <v>不重复</v>
      </c>
    </row>
    <row r="1945" spans="1:12" ht="30">
      <c r="A1945" s="35" t="s">
        <v>12364</v>
      </c>
      <c r="B1945" s="35" t="s">
        <v>5458</v>
      </c>
      <c r="C1945" s="36" t="s">
        <v>5459</v>
      </c>
      <c r="D1945" s="35" t="s">
        <v>5460</v>
      </c>
      <c r="E1945" s="35" t="s">
        <v>12362</v>
      </c>
      <c r="F1945" s="35" t="s">
        <v>12315</v>
      </c>
      <c r="G1945" s="35">
        <v>310802</v>
      </c>
      <c r="H1945" s="35">
        <v>340070</v>
      </c>
      <c r="I1945" s="35">
        <v>200015</v>
      </c>
      <c r="J1945" s="34" t="s">
        <v>5461</v>
      </c>
      <c r="K1945" s="34" t="str">
        <f t="shared" si="63"/>
        <v>重复</v>
      </c>
      <c r="L1945" s="34" t="str">
        <f t="shared" si="62"/>
        <v>不重复</v>
      </c>
    </row>
    <row r="1946" spans="1:12" ht="27">
      <c r="A1946" s="35" t="s">
        <v>12365</v>
      </c>
      <c r="B1946" s="35" t="s">
        <v>5462</v>
      </c>
      <c r="C1946" s="36" t="s">
        <v>883</v>
      </c>
      <c r="D1946" s="35" t="s">
        <v>5463</v>
      </c>
      <c r="E1946" s="35" t="s">
        <v>12362</v>
      </c>
      <c r="F1946" s="35" t="s">
        <v>12315</v>
      </c>
      <c r="G1946" s="35">
        <v>310803</v>
      </c>
      <c r="H1946" s="35">
        <v>340070</v>
      </c>
      <c r="I1946" s="35">
        <v>200015</v>
      </c>
      <c r="J1946" s="34" t="s">
        <v>5464</v>
      </c>
      <c r="K1946" s="34" t="str">
        <f t="shared" si="63"/>
        <v>重复</v>
      </c>
      <c r="L1946" s="34" t="str">
        <f t="shared" si="64" ref="L1946:L2010">IF(COUNTIF(D:D,D1946)&gt;=2,"重复","不重复")</f>
        <v>不重复</v>
      </c>
    </row>
    <row r="1947" spans="1:12" ht="27">
      <c r="A1947" s="35" t="s">
        <v>12366</v>
      </c>
      <c r="B1947" s="35" t="s">
        <v>5465</v>
      </c>
      <c r="C1947" s="36" t="s">
        <v>5276</v>
      </c>
      <c r="D1947" s="35" t="s">
        <v>5466</v>
      </c>
      <c r="E1947" s="35" t="s">
        <v>12362</v>
      </c>
      <c r="F1947" s="35" t="s">
        <v>12315</v>
      </c>
      <c r="G1947" s="35">
        <v>310804</v>
      </c>
      <c r="H1947" s="35">
        <v>340070</v>
      </c>
      <c r="I1947" s="35">
        <v>200015</v>
      </c>
      <c r="J1947" s="34" t="s">
        <v>311</v>
      </c>
      <c r="K1947" s="34" t="str">
        <f t="shared" si="63"/>
        <v>重复</v>
      </c>
      <c r="L1947" s="34" t="str">
        <f t="shared" si="64"/>
        <v>不重复</v>
      </c>
    </row>
    <row r="1948" spans="1:12" ht="27">
      <c r="A1948" s="35" t="s">
        <v>12367</v>
      </c>
      <c r="B1948" s="35" t="s">
        <v>5467</v>
      </c>
      <c r="C1948" s="36" t="s">
        <v>3774</v>
      </c>
      <c r="D1948" s="35" t="s">
        <v>5468</v>
      </c>
      <c r="E1948" s="35" t="s">
        <v>12362</v>
      </c>
      <c r="F1948" s="35" t="s">
        <v>12315</v>
      </c>
      <c r="G1948" s="35">
        <v>310805</v>
      </c>
      <c r="H1948" s="35">
        <v>340070</v>
      </c>
      <c r="I1948" s="35">
        <v>200015</v>
      </c>
      <c r="J1948" s="34" t="s">
        <v>5464</v>
      </c>
      <c r="K1948" s="34" t="str">
        <f t="shared" si="63"/>
        <v>重复</v>
      </c>
      <c r="L1948" s="34" t="str">
        <f t="shared" si="64"/>
        <v>不重复</v>
      </c>
    </row>
    <row r="1949" spans="1:12" ht="27">
      <c r="A1949" s="35" t="s">
        <v>12368</v>
      </c>
      <c r="B1949" s="35" t="s">
        <v>5469</v>
      </c>
      <c r="C1949" s="36" t="s">
        <v>1049</v>
      </c>
      <c r="D1949" s="35" t="s">
        <v>5470</v>
      </c>
      <c r="E1949" s="35" t="s">
        <v>12362</v>
      </c>
      <c r="F1949" s="35" t="s">
        <v>12315</v>
      </c>
      <c r="G1949" s="35">
        <v>310806</v>
      </c>
      <c r="H1949" s="35">
        <v>340070</v>
      </c>
      <c r="I1949" s="35">
        <v>200015</v>
      </c>
      <c r="J1949" s="34" t="s">
        <v>5471</v>
      </c>
      <c r="K1949" s="34" t="str">
        <f t="shared" si="63"/>
        <v>重复</v>
      </c>
      <c r="L1949" s="34" t="str">
        <f t="shared" si="64"/>
        <v>不重复</v>
      </c>
    </row>
    <row r="1950" spans="1:12" ht="27">
      <c r="A1950" s="35" t="s">
        <v>12369</v>
      </c>
      <c r="B1950" s="35" t="s">
        <v>5472</v>
      </c>
      <c r="C1950" s="36" t="s">
        <v>5473</v>
      </c>
      <c r="D1950" s="35" t="s">
        <v>5474</v>
      </c>
      <c r="E1950" s="35" t="s">
        <v>12362</v>
      </c>
      <c r="F1950" s="35" t="s">
        <v>12315</v>
      </c>
      <c r="G1950" s="35">
        <v>310807</v>
      </c>
      <c r="H1950" s="35">
        <v>340070</v>
      </c>
      <c r="I1950" s="35">
        <v>200015</v>
      </c>
      <c r="J1950" s="34" t="s">
        <v>311</v>
      </c>
      <c r="K1950" s="34" t="str">
        <f t="shared" si="63"/>
        <v>不重复</v>
      </c>
      <c r="L1950" s="34" t="str">
        <f t="shared" si="64"/>
        <v>不重复</v>
      </c>
    </row>
    <row r="1951" spans="1:12" ht="27">
      <c r="A1951" s="35" t="s">
        <v>12370</v>
      </c>
      <c r="B1951" s="35" t="s">
        <v>5475</v>
      </c>
      <c r="C1951" s="36" t="s">
        <v>3783</v>
      </c>
      <c r="D1951" s="35" t="s">
        <v>5476</v>
      </c>
      <c r="E1951" s="35" t="s">
        <v>12362</v>
      </c>
      <c r="F1951" s="35" t="s">
        <v>12315</v>
      </c>
      <c r="G1951" s="35">
        <v>310808</v>
      </c>
      <c r="H1951" s="35">
        <v>340070</v>
      </c>
      <c r="I1951" s="35">
        <v>200015</v>
      </c>
      <c r="J1951" s="34" t="s">
        <v>5477</v>
      </c>
      <c r="K1951" s="34" t="str">
        <f t="shared" si="63"/>
        <v>重复</v>
      </c>
      <c r="L1951" s="34" t="str">
        <f t="shared" si="64"/>
        <v>不重复</v>
      </c>
    </row>
    <row r="1952" spans="1:12" ht="27">
      <c r="A1952" s="35" t="s">
        <v>12371</v>
      </c>
      <c r="B1952" s="35" t="s">
        <v>5478</v>
      </c>
      <c r="C1952" s="36" t="s">
        <v>3620</v>
      </c>
      <c r="D1952" s="35" t="s">
        <v>5479</v>
      </c>
      <c r="E1952" s="35" t="s">
        <v>12362</v>
      </c>
      <c r="F1952" s="35" t="s">
        <v>12315</v>
      </c>
      <c r="G1952" s="35">
        <v>310809</v>
      </c>
      <c r="H1952" s="35">
        <v>340070</v>
      </c>
      <c r="I1952" s="35">
        <v>200015</v>
      </c>
      <c r="J1952" s="34" t="s">
        <v>311</v>
      </c>
      <c r="K1952" s="34" t="str">
        <f t="shared" si="63"/>
        <v>重复</v>
      </c>
      <c r="L1952" s="34" t="str">
        <f t="shared" si="64"/>
        <v>重复</v>
      </c>
    </row>
    <row r="1953" spans="1:12" ht="15">
      <c r="A1953" s="35" t="s">
        <v>12372</v>
      </c>
      <c r="B1953" s="35" t="s">
        <v>5480</v>
      </c>
      <c r="C1953" s="36" t="s">
        <v>5481</v>
      </c>
      <c r="D1953" s="35" t="s">
        <v>828</v>
      </c>
      <c r="E1953" s="35" t="s">
        <v>12372</v>
      </c>
      <c r="F1953" s="35" t="s">
        <v>12315</v>
      </c>
      <c r="G1953" s="35">
        <v>310900</v>
      </c>
      <c r="H1953" s="35">
        <v>340080</v>
      </c>
      <c r="I1953" s="35">
        <v>200015</v>
      </c>
      <c r="J1953" s="34" t="s">
        <v>16</v>
      </c>
      <c r="K1953" s="34" t="str">
        <f t="shared" si="63"/>
        <v>不重复</v>
      </c>
      <c r="L1953" s="34" t="str">
        <f t="shared" si="64"/>
        <v>重复</v>
      </c>
    </row>
    <row r="1954" spans="1:12" ht="15">
      <c r="A1954" s="35" t="s">
        <v>12373</v>
      </c>
      <c r="B1954" s="35" t="s">
        <v>5482</v>
      </c>
      <c r="C1954" s="36" t="s">
        <v>5201</v>
      </c>
      <c r="D1954" s="35" t="s">
        <v>5483</v>
      </c>
      <c r="E1954" s="35" t="s">
        <v>12372</v>
      </c>
      <c r="F1954" s="35" t="s">
        <v>12315</v>
      </c>
      <c r="G1954" s="35">
        <v>310901</v>
      </c>
      <c r="H1954" s="35">
        <v>340080</v>
      </c>
      <c r="I1954" s="35">
        <v>200015</v>
      </c>
      <c r="J1954" s="34" t="s">
        <v>1358</v>
      </c>
      <c r="K1954" s="34" t="str">
        <f t="shared" si="63"/>
        <v>重复</v>
      </c>
      <c r="L1954" s="34" t="str">
        <f t="shared" si="64"/>
        <v>不重复</v>
      </c>
    </row>
    <row r="1955" spans="1:12" ht="15">
      <c r="A1955" s="35" t="s">
        <v>12374</v>
      </c>
      <c r="B1955" s="35" t="s">
        <v>5484</v>
      </c>
      <c r="C1955" s="36" t="s">
        <v>5485</v>
      </c>
      <c r="D1955" s="35" t="s">
        <v>5486</v>
      </c>
      <c r="E1955" s="35" t="s">
        <v>12372</v>
      </c>
      <c r="F1955" s="35" t="s">
        <v>12315</v>
      </c>
      <c r="G1955" s="35">
        <v>310902</v>
      </c>
      <c r="H1955" s="35">
        <v>340080</v>
      </c>
      <c r="I1955" s="35">
        <v>200015</v>
      </c>
      <c r="J1955" s="34" t="s">
        <v>5487</v>
      </c>
      <c r="K1955" s="34" t="str">
        <f t="shared" si="63"/>
        <v>重复</v>
      </c>
      <c r="L1955" s="34" t="str">
        <f t="shared" si="64"/>
        <v>不重复</v>
      </c>
    </row>
    <row r="1956" spans="1:12" ht="15">
      <c r="A1956" s="35" t="s">
        <v>12375</v>
      </c>
      <c r="B1956" s="35" t="s">
        <v>5488</v>
      </c>
      <c r="C1956" s="36" t="s">
        <v>150</v>
      </c>
      <c r="D1956" s="35" t="s">
        <v>5489</v>
      </c>
      <c r="E1956" s="35" t="s">
        <v>12372</v>
      </c>
      <c r="F1956" s="35" t="s">
        <v>12315</v>
      </c>
      <c r="G1956" s="35">
        <v>310903</v>
      </c>
      <c r="H1956" s="35">
        <v>340080</v>
      </c>
      <c r="I1956" s="35">
        <v>200015</v>
      </c>
      <c r="J1956" s="34" t="s">
        <v>458</v>
      </c>
      <c r="K1956" s="34" t="str">
        <f t="shared" si="63"/>
        <v>重复</v>
      </c>
      <c r="L1956" s="34" t="str">
        <f t="shared" si="64"/>
        <v>不重复</v>
      </c>
    </row>
    <row r="1957" spans="1:12" ht="15">
      <c r="A1957" s="35" t="s">
        <v>12376</v>
      </c>
      <c r="B1957" s="35" t="s">
        <v>5490</v>
      </c>
      <c r="C1957" s="36" t="s">
        <v>5491</v>
      </c>
      <c r="D1957" s="35" t="s">
        <v>5492</v>
      </c>
      <c r="E1957" s="35" t="s">
        <v>12376</v>
      </c>
      <c r="F1957" s="35" t="s">
        <v>12377</v>
      </c>
      <c r="G1957" s="35">
        <v>320100</v>
      </c>
      <c r="H1957" s="35">
        <v>350000</v>
      </c>
      <c r="I1957" s="35">
        <v>200016</v>
      </c>
      <c r="J1957" s="34" t="s">
        <v>16</v>
      </c>
      <c r="K1957" s="34" t="str">
        <f t="shared" si="63"/>
        <v>重复</v>
      </c>
      <c r="L1957" s="34" t="str">
        <f t="shared" si="64"/>
        <v>不重复</v>
      </c>
    </row>
    <row r="1958" spans="1:12" ht="30">
      <c r="A1958" s="35" t="s">
        <v>12378</v>
      </c>
      <c r="B1958" s="35" t="s">
        <v>5493</v>
      </c>
      <c r="C1958" s="36" t="s">
        <v>5494</v>
      </c>
      <c r="D1958" s="35" t="s">
        <v>2621</v>
      </c>
      <c r="E1958" s="35" t="s">
        <v>12376</v>
      </c>
      <c r="F1958" s="35" t="s">
        <v>12377</v>
      </c>
      <c r="G1958" s="35">
        <v>320101</v>
      </c>
      <c r="H1958" s="35">
        <v>350000</v>
      </c>
      <c r="I1958" s="35">
        <v>200016</v>
      </c>
      <c r="J1958" s="34" t="s">
        <v>5495</v>
      </c>
      <c r="K1958" s="34" t="str">
        <f t="shared" si="63"/>
        <v>重复</v>
      </c>
      <c r="L1958" s="34" t="str">
        <f t="shared" si="64"/>
        <v>重复</v>
      </c>
    </row>
    <row r="1959" spans="1:12" ht="15">
      <c r="A1959" s="35" t="s">
        <v>12379</v>
      </c>
      <c r="B1959" s="35" t="s">
        <v>5496</v>
      </c>
      <c r="C1959" s="36" t="s">
        <v>5497</v>
      </c>
      <c r="D1959" s="35" t="s">
        <v>5498</v>
      </c>
      <c r="E1959" s="35" t="s">
        <v>12379</v>
      </c>
      <c r="F1959" s="35" t="s">
        <v>12377</v>
      </c>
      <c r="G1959" s="35">
        <v>320200</v>
      </c>
      <c r="H1959" s="35">
        <v>350010</v>
      </c>
      <c r="I1959" s="35">
        <v>200016</v>
      </c>
      <c r="J1959" s="34" t="s">
        <v>16</v>
      </c>
      <c r="K1959" s="34" t="str">
        <f t="shared" si="63"/>
        <v>不重复</v>
      </c>
      <c r="L1959" s="34" t="str">
        <f t="shared" si="64"/>
        <v>不重复</v>
      </c>
    </row>
    <row r="1960" spans="1:12" ht="15">
      <c r="A1960" s="35" t="s">
        <v>12380</v>
      </c>
      <c r="B1960" s="35" t="s">
        <v>5499</v>
      </c>
      <c r="C1960" s="36" t="s">
        <v>5500</v>
      </c>
      <c r="D1960" s="35" t="s">
        <v>5501</v>
      </c>
      <c r="E1960" s="35" t="s">
        <v>12379</v>
      </c>
      <c r="F1960" s="35" t="s">
        <v>12377</v>
      </c>
      <c r="G1960" s="35">
        <v>320201</v>
      </c>
      <c r="H1960" s="35">
        <v>350010</v>
      </c>
      <c r="I1960" s="35">
        <v>200016</v>
      </c>
      <c r="J1960" s="34" t="s">
        <v>1700</v>
      </c>
      <c r="K1960" s="34" t="str">
        <f t="shared" si="63"/>
        <v>不重复</v>
      </c>
      <c r="L1960" s="34" t="str">
        <f t="shared" si="64"/>
        <v>不重复</v>
      </c>
    </row>
    <row r="1961" spans="1:12" ht="15">
      <c r="A1961" s="35" t="s">
        <v>12381</v>
      </c>
      <c r="B1961" s="35" t="s">
        <v>5502</v>
      </c>
      <c r="C1961" s="36" t="s">
        <v>5503</v>
      </c>
      <c r="D1961" s="35" t="s">
        <v>5504</v>
      </c>
      <c r="E1961" s="35" t="s">
        <v>12379</v>
      </c>
      <c r="F1961" s="35" t="s">
        <v>12377</v>
      </c>
      <c r="G1961" s="35">
        <v>320202</v>
      </c>
      <c r="H1961" s="35">
        <v>350010</v>
      </c>
      <c r="I1961" s="35">
        <v>200016</v>
      </c>
      <c r="J1961" s="34" t="s">
        <v>115</v>
      </c>
      <c r="K1961" s="34" t="str">
        <f t="shared" si="63"/>
        <v>不重复</v>
      </c>
      <c r="L1961" s="34" t="str">
        <f t="shared" si="64"/>
        <v>不重复</v>
      </c>
    </row>
    <row r="1962" spans="1:12" ht="15">
      <c r="A1962" s="35" t="s">
        <v>12382</v>
      </c>
      <c r="B1962" s="35" t="s">
        <v>5505</v>
      </c>
      <c r="C1962" s="36" t="s">
        <v>5506</v>
      </c>
      <c r="D1962" s="35" t="s">
        <v>4167</v>
      </c>
      <c r="E1962" s="35" t="s">
        <v>12379</v>
      </c>
      <c r="F1962" s="35" t="s">
        <v>12377</v>
      </c>
      <c r="G1962" s="35">
        <v>320203</v>
      </c>
      <c r="H1962" s="35">
        <v>350010</v>
      </c>
      <c r="I1962" s="35">
        <v>200016</v>
      </c>
      <c r="J1962" s="34" t="s">
        <v>1592</v>
      </c>
      <c r="K1962" s="34" t="str">
        <f t="shared" si="63"/>
        <v>不重复</v>
      </c>
      <c r="L1962" s="34" t="str">
        <f t="shared" si="64"/>
        <v>重复</v>
      </c>
    </row>
    <row r="1963" spans="1:12" ht="27">
      <c r="A1963" s="35" t="s">
        <v>12383</v>
      </c>
      <c r="B1963" s="35" t="s">
        <v>5507</v>
      </c>
      <c r="C1963" s="36" t="s">
        <v>5508</v>
      </c>
      <c r="D1963" s="35" t="s">
        <v>5509</v>
      </c>
      <c r="E1963" s="35" t="s">
        <v>12379</v>
      </c>
      <c r="F1963" s="35" t="s">
        <v>12377</v>
      </c>
      <c r="G1963" s="35">
        <v>320204</v>
      </c>
      <c r="H1963" s="35">
        <v>350010</v>
      </c>
      <c r="I1963" s="35">
        <v>200016</v>
      </c>
      <c r="J1963" s="34" t="s">
        <v>1186</v>
      </c>
      <c r="K1963" s="34" t="str">
        <f t="shared" si="63"/>
        <v>不重复</v>
      </c>
      <c r="L1963" s="34" t="str">
        <f t="shared" si="64"/>
        <v>不重复</v>
      </c>
    </row>
    <row r="1964" spans="1:12" ht="15">
      <c r="A1964" s="35" t="s">
        <v>12384</v>
      </c>
      <c r="B1964" s="35" t="s">
        <v>5510</v>
      </c>
      <c r="C1964" s="36" t="s">
        <v>5511</v>
      </c>
      <c r="D1964" s="35" t="s">
        <v>5512</v>
      </c>
      <c r="E1964" s="35" t="s">
        <v>12379</v>
      </c>
      <c r="F1964" s="35" t="s">
        <v>12377</v>
      </c>
      <c r="G1964" s="35">
        <v>320205</v>
      </c>
      <c r="H1964" s="35">
        <v>350010</v>
      </c>
      <c r="I1964" s="35">
        <v>200016</v>
      </c>
      <c r="J1964" s="34" t="s">
        <v>5445</v>
      </c>
      <c r="K1964" s="34" t="str">
        <f t="shared" si="63"/>
        <v>重复</v>
      </c>
      <c r="L1964" s="34" t="str">
        <f t="shared" si="64"/>
        <v>不重复</v>
      </c>
    </row>
    <row r="1965" spans="1:12" ht="15">
      <c r="A1965" s="35" t="s">
        <v>12385</v>
      </c>
      <c r="B1965" s="35" t="s">
        <v>5513</v>
      </c>
      <c r="C1965" s="36" t="s">
        <v>5514</v>
      </c>
      <c r="D1965" s="35" t="s">
        <v>5515</v>
      </c>
      <c r="E1965" s="35" t="s">
        <v>12379</v>
      </c>
      <c r="F1965" s="35" t="s">
        <v>12377</v>
      </c>
      <c r="G1965" s="35">
        <v>320206</v>
      </c>
      <c r="H1965" s="35">
        <v>350010</v>
      </c>
      <c r="I1965" s="35">
        <v>200016</v>
      </c>
      <c r="J1965" s="34" t="s">
        <v>1200</v>
      </c>
      <c r="K1965" s="34" t="str">
        <f t="shared" si="63"/>
        <v>重复</v>
      </c>
      <c r="L1965" s="34" t="str">
        <f t="shared" si="64"/>
        <v>不重复</v>
      </c>
    </row>
    <row r="1966" spans="1:12" ht="15">
      <c r="A1966" s="35" t="s">
        <v>12386</v>
      </c>
      <c r="B1966" s="35" t="s">
        <v>5516</v>
      </c>
      <c r="C1966" s="36" t="s">
        <v>5517</v>
      </c>
      <c r="D1966" s="35" t="s">
        <v>5518</v>
      </c>
      <c r="E1966" s="35" t="s">
        <v>12379</v>
      </c>
      <c r="F1966" s="35" t="s">
        <v>12377</v>
      </c>
      <c r="G1966" s="35">
        <v>320207</v>
      </c>
      <c r="H1966" s="35">
        <v>350010</v>
      </c>
      <c r="I1966" s="35">
        <v>200016</v>
      </c>
      <c r="J1966" s="34" t="s">
        <v>1592</v>
      </c>
      <c r="K1966" s="34" t="str">
        <f t="shared" si="63"/>
        <v>不重复</v>
      </c>
      <c r="L1966" s="34" t="str">
        <f t="shared" si="64"/>
        <v>不重复</v>
      </c>
    </row>
    <row r="1967" spans="1:12" ht="27">
      <c r="A1967" s="35" t="s">
        <v>12387</v>
      </c>
      <c r="B1967" s="35" t="s">
        <v>5519</v>
      </c>
      <c r="C1967" s="36" t="s">
        <v>5520</v>
      </c>
      <c r="D1967" s="35" t="s">
        <v>5521</v>
      </c>
      <c r="E1967" s="35" t="s">
        <v>12379</v>
      </c>
      <c r="F1967" s="35" t="s">
        <v>12377</v>
      </c>
      <c r="G1967" s="35">
        <v>320208</v>
      </c>
      <c r="H1967" s="35">
        <v>350010</v>
      </c>
      <c r="I1967" s="35">
        <v>200016</v>
      </c>
      <c r="J1967" s="34" t="s">
        <v>1103</v>
      </c>
      <c r="K1967" s="34" t="str">
        <f t="shared" si="63"/>
        <v>重复</v>
      </c>
      <c r="L1967" s="34" t="str">
        <f t="shared" si="64"/>
        <v>不重复</v>
      </c>
    </row>
    <row r="1968" spans="1:12" ht="15">
      <c r="A1968" s="35" t="s">
        <v>12388</v>
      </c>
      <c r="B1968" s="35" t="s">
        <v>5522</v>
      </c>
      <c r="C1968" s="36" t="s">
        <v>980</v>
      </c>
      <c r="D1968" s="35" t="s">
        <v>5523</v>
      </c>
      <c r="E1968" s="35" t="s">
        <v>12379</v>
      </c>
      <c r="F1968" s="35" t="s">
        <v>12377</v>
      </c>
      <c r="G1968" s="35">
        <v>320209</v>
      </c>
      <c r="H1968" s="35">
        <v>350010</v>
      </c>
      <c r="I1968" s="35">
        <v>200016</v>
      </c>
      <c r="J1968" s="34" t="s">
        <v>531</v>
      </c>
      <c r="K1968" s="34" t="str">
        <f t="shared" si="63"/>
        <v>重复</v>
      </c>
      <c r="L1968" s="34" t="str">
        <f t="shared" si="64"/>
        <v>不重复</v>
      </c>
    </row>
    <row r="1969" spans="1:12" ht="15">
      <c r="A1969" s="35" t="s">
        <v>12389</v>
      </c>
      <c r="B1969" s="35" t="s">
        <v>5524</v>
      </c>
      <c r="C1969" s="36" t="s">
        <v>5525</v>
      </c>
      <c r="D1969" s="35" t="s">
        <v>5526</v>
      </c>
      <c r="E1969" s="35" t="s">
        <v>12389</v>
      </c>
      <c r="F1969" s="35" t="s">
        <v>12377</v>
      </c>
      <c r="G1969" s="35">
        <v>320300</v>
      </c>
      <c r="H1969" s="35">
        <v>350020</v>
      </c>
      <c r="I1969" s="35">
        <v>200016</v>
      </c>
      <c r="J1969" s="34" t="s">
        <v>16</v>
      </c>
      <c r="K1969" s="34" t="str">
        <f t="shared" si="63"/>
        <v>不重复</v>
      </c>
      <c r="L1969" s="34" t="str">
        <f t="shared" si="64"/>
        <v>不重复</v>
      </c>
    </row>
    <row r="1970" spans="1:12" ht="15">
      <c r="A1970" s="35" t="s">
        <v>12390</v>
      </c>
      <c r="B1970" s="35" t="s">
        <v>5527</v>
      </c>
      <c r="C1970" s="36" t="s">
        <v>5528</v>
      </c>
      <c r="D1970" s="35" t="s">
        <v>5529</v>
      </c>
      <c r="E1970" s="35" t="s">
        <v>12389</v>
      </c>
      <c r="F1970" s="35" t="s">
        <v>12377</v>
      </c>
      <c r="G1970" s="35">
        <v>320301</v>
      </c>
      <c r="H1970" s="35">
        <v>350020</v>
      </c>
      <c r="I1970" s="35">
        <v>200016</v>
      </c>
      <c r="J1970" s="34" t="s">
        <v>5361</v>
      </c>
      <c r="K1970" s="34" t="str">
        <f t="shared" si="63"/>
        <v>不重复</v>
      </c>
      <c r="L1970" s="34" t="str">
        <f t="shared" si="64"/>
        <v>不重复</v>
      </c>
    </row>
    <row r="1971" spans="1:12" ht="15">
      <c r="A1971" s="35" t="s">
        <v>12391</v>
      </c>
      <c r="B1971" s="35" t="s">
        <v>5530</v>
      </c>
      <c r="C1971" s="36" t="s">
        <v>5531</v>
      </c>
      <c r="D1971" s="35" t="s">
        <v>5532</v>
      </c>
      <c r="E1971" s="35" t="s">
        <v>12389</v>
      </c>
      <c r="F1971" s="35" t="s">
        <v>12377</v>
      </c>
      <c r="G1971" s="35">
        <v>320302</v>
      </c>
      <c r="H1971" s="35">
        <v>350020</v>
      </c>
      <c r="I1971" s="35">
        <v>200016</v>
      </c>
      <c r="J1971" s="34" t="s">
        <v>311</v>
      </c>
      <c r="K1971" s="34" t="str">
        <f t="shared" si="63"/>
        <v>重复</v>
      </c>
      <c r="L1971" s="34" t="str">
        <f t="shared" si="64"/>
        <v>重复</v>
      </c>
    </row>
    <row r="1972" spans="1:12" ht="15">
      <c r="A1972" s="35" t="s">
        <v>12392</v>
      </c>
      <c r="B1972" s="35" t="s">
        <v>5533</v>
      </c>
      <c r="C1972" s="36" t="s">
        <v>5534</v>
      </c>
      <c r="D1972" s="35" t="s">
        <v>5532</v>
      </c>
      <c r="E1972" s="35" t="s">
        <v>12389</v>
      </c>
      <c r="F1972" s="35" t="s">
        <v>12377</v>
      </c>
      <c r="G1972" s="35">
        <v>320303</v>
      </c>
      <c r="H1972" s="35">
        <v>350020</v>
      </c>
      <c r="I1972" s="35">
        <v>200016</v>
      </c>
      <c r="J1972" s="34" t="s">
        <v>78</v>
      </c>
      <c r="K1972" s="34" t="str">
        <f t="shared" si="63"/>
        <v>不重复</v>
      </c>
      <c r="L1972" s="34" t="str">
        <f t="shared" si="64"/>
        <v>重复</v>
      </c>
    </row>
    <row r="1973" spans="1:12" ht="15">
      <c r="A1973" s="35" t="s">
        <v>12393</v>
      </c>
      <c r="B1973" s="35" t="s">
        <v>5535</v>
      </c>
      <c r="C1973" s="36" t="s">
        <v>1574</v>
      </c>
      <c r="D1973" s="35" t="s">
        <v>5536</v>
      </c>
      <c r="E1973" s="35" t="s">
        <v>12393</v>
      </c>
      <c r="F1973" s="35" t="s">
        <v>12394</v>
      </c>
      <c r="G1973" s="35">
        <v>330100</v>
      </c>
      <c r="H1973" s="35">
        <v>360000</v>
      </c>
      <c r="I1973" s="35">
        <v>200017</v>
      </c>
      <c r="J1973" s="34" t="s">
        <v>16</v>
      </c>
      <c r="K1973" s="34" t="str">
        <f t="shared" si="63"/>
        <v>重复</v>
      </c>
      <c r="L1973" s="34" t="str">
        <f t="shared" si="64"/>
        <v>不重复</v>
      </c>
    </row>
    <row r="1974" spans="1:12" ht="15">
      <c r="A1974" s="35" t="s">
        <v>12395</v>
      </c>
      <c r="B1974" s="35" t="s">
        <v>5537</v>
      </c>
      <c r="C1974" s="36" t="s">
        <v>1594</v>
      </c>
      <c r="D1974" s="35" t="s">
        <v>1558</v>
      </c>
      <c r="E1974" s="35" t="s">
        <v>12395</v>
      </c>
      <c r="F1974" s="35" t="s">
        <v>12394</v>
      </c>
      <c r="G1974" s="35">
        <v>330200</v>
      </c>
      <c r="H1974" s="35">
        <v>360010</v>
      </c>
      <c r="I1974" s="35">
        <v>200017</v>
      </c>
      <c r="J1974" s="34" t="s">
        <v>16</v>
      </c>
      <c r="K1974" s="34" t="str">
        <f t="shared" si="63"/>
        <v>重复</v>
      </c>
      <c r="L1974" s="34" t="str">
        <f t="shared" si="64"/>
        <v>重复</v>
      </c>
    </row>
    <row r="1975" spans="1:12" ht="15">
      <c r="A1975" s="35" t="s">
        <v>12396</v>
      </c>
      <c r="B1975" s="35" t="s">
        <v>5538</v>
      </c>
      <c r="C1975" s="36" t="s">
        <v>5539</v>
      </c>
      <c r="D1975" s="35" t="s">
        <v>5540</v>
      </c>
      <c r="E1975" s="35" t="s">
        <v>12396</v>
      </c>
      <c r="F1975" s="35" t="s">
        <v>12394</v>
      </c>
      <c r="G1975" s="35">
        <v>330300</v>
      </c>
      <c r="H1975" s="35">
        <v>360020</v>
      </c>
      <c r="I1975" s="35">
        <v>200017</v>
      </c>
      <c r="J1975" s="34" t="s">
        <v>16</v>
      </c>
      <c r="K1975" s="34" t="str">
        <f t="shared" si="63"/>
        <v>重复</v>
      </c>
      <c r="L1975" s="34" t="str">
        <f t="shared" si="64"/>
        <v>不重复</v>
      </c>
    </row>
    <row r="1976" spans="1:12" ht="15">
      <c r="A1976" s="35" t="s">
        <v>12397</v>
      </c>
      <c r="B1976" s="35" t="s">
        <v>5541</v>
      </c>
      <c r="C1976" s="36" t="s">
        <v>5542</v>
      </c>
      <c r="D1976" s="35" t="s">
        <v>5543</v>
      </c>
      <c r="E1976" s="35" t="s">
        <v>12397</v>
      </c>
      <c r="F1976" s="35" t="s">
        <v>12398</v>
      </c>
      <c r="G1976" s="35">
        <v>340100</v>
      </c>
      <c r="H1976" s="35">
        <v>370000</v>
      </c>
      <c r="I1976" s="35">
        <v>200018</v>
      </c>
      <c r="J1976" s="34" t="s">
        <v>16</v>
      </c>
      <c r="K1976" s="34" t="str">
        <f t="shared" si="63"/>
        <v>不重复</v>
      </c>
      <c r="L1976" s="34" t="str">
        <f t="shared" si="64"/>
        <v>不重复</v>
      </c>
    </row>
    <row r="1977" spans="1:12" ht="15">
      <c r="A1977" s="35" t="s">
        <v>12399</v>
      </c>
      <c r="B1977" s="35" t="s">
        <v>5544</v>
      </c>
      <c r="C1977" s="36" t="s">
        <v>3088</v>
      </c>
      <c r="D1977" s="35" t="s">
        <v>5545</v>
      </c>
      <c r="E1977" s="35" t="s">
        <v>12397</v>
      </c>
      <c r="F1977" s="35" t="s">
        <v>12398</v>
      </c>
      <c r="G1977" s="35">
        <v>340101</v>
      </c>
      <c r="H1977" s="35">
        <v>370000</v>
      </c>
      <c r="I1977" s="35">
        <v>200018</v>
      </c>
      <c r="J1977" s="34" t="s">
        <v>531</v>
      </c>
      <c r="K1977" s="34" t="str">
        <f t="shared" si="63"/>
        <v>重复</v>
      </c>
      <c r="L1977" s="34" t="str">
        <f t="shared" si="64"/>
        <v>不重复</v>
      </c>
    </row>
    <row r="1978" spans="1:12" ht="27">
      <c r="A1978" s="35" t="s">
        <v>12400</v>
      </c>
      <c r="B1978" s="35" t="s">
        <v>5546</v>
      </c>
      <c r="C1978" s="36" t="s">
        <v>2930</v>
      </c>
      <c r="D1978" s="35" t="s">
        <v>5547</v>
      </c>
      <c r="E1978" s="35" t="s">
        <v>12397</v>
      </c>
      <c r="F1978" s="35" t="s">
        <v>12398</v>
      </c>
      <c r="G1978" s="35">
        <v>340102</v>
      </c>
      <c r="H1978" s="35">
        <v>370000</v>
      </c>
      <c r="I1978" s="35">
        <v>200018</v>
      </c>
      <c r="J1978" s="34" t="s">
        <v>5548</v>
      </c>
      <c r="K1978" s="34" t="str">
        <f t="shared" si="63"/>
        <v>重复</v>
      </c>
      <c r="L1978" s="34" t="str">
        <f t="shared" si="64"/>
        <v>不重复</v>
      </c>
    </row>
    <row r="1979" spans="1:12" ht="15">
      <c r="A1979" s="35" t="s">
        <v>12401</v>
      </c>
      <c r="B1979" s="35" t="s">
        <v>5549</v>
      </c>
      <c r="C1979" s="36" t="s">
        <v>5550</v>
      </c>
      <c r="D1979" s="35" t="s">
        <v>5551</v>
      </c>
      <c r="E1979" s="35" t="s">
        <v>12401</v>
      </c>
      <c r="F1979" s="35" t="s">
        <v>12398</v>
      </c>
      <c r="G1979" s="35">
        <v>340200</v>
      </c>
      <c r="H1979" s="35">
        <v>370010</v>
      </c>
      <c r="I1979" s="35">
        <v>200018</v>
      </c>
      <c r="J1979" s="34" t="s">
        <v>16</v>
      </c>
      <c r="K1979" s="34" t="str">
        <f t="shared" si="63"/>
        <v>不重复</v>
      </c>
      <c r="L1979" s="34" t="str">
        <f t="shared" si="64"/>
        <v>不重复</v>
      </c>
    </row>
    <row r="1980" spans="1:12" ht="15">
      <c r="A1980" s="35" t="s">
        <v>12402</v>
      </c>
      <c r="B1980" s="35" t="s">
        <v>5552</v>
      </c>
      <c r="C1980" s="36" t="s">
        <v>5553</v>
      </c>
      <c r="D1980" s="35" t="s">
        <v>5554</v>
      </c>
      <c r="E1980" s="35" t="s">
        <v>12401</v>
      </c>
      <c r="F1980" s="35" t="s">
        <v>12398</v>
      </c>
      <c r="G1980" s="35">
        <v>340201</v>
      </c>
      <c r="H1980" s="35">
        <v>370010</v>
      </c>
      <c r="I1980" s="35">
        <v>200018</v>
      </c>
      <c r="J1980" s="34" t="s">
        <v>1937</v>
      </c>
      <c r="K1980" s="34" t="str">
        <f t="shared" si="63"/>
        <v>不重复</v>
      </c>
      <c r="L1980" s="34" t="str">
        <f t="shared" si="64"/>
        <v>不重复</v>
      </c>
    </row>
    <row r="1981" spans="1:12" ht="15">
      <c r="A1981" s="35" t="s">
        <v>12403</v>
      </c>
      <c r="B1981" s="35" t="s">
        <v>5555</v>
      </c>
      <c r="C1981" s="36" t="s">
        <v>5556</v>
      </c>
      <c r="D1981" s="35" t="s">
        <v>5557</v>
      </c>
      <c r="E1981" s="35" t="s">
        <v>12401</v>
      </c>
      <c r="F1981" s="35" t="s">
        <v>12398</v>
      </c>
      <c r="G1981" s="35">
        <v>340202</v>
      </c>
      <c r="H1981" s="35">
        <v>370010</v>
      </c>
      <c r="I1981" s="35">
        <v>200018</v>
      </c>
      <c r="J1981" s="34" t="s">
        <v>3656</v>
      </c>
      <c r="K1981" s="34" t="str">
        <f t="shared" si="63"/>
        <v>不重复</v>
      </c>
      <c r="L1981" s="34" t="str">
        <f t="shared" si="64"/>
        <v>不重复</v>
      </c>
    </row>
    <row r="1982" spans="1:12" ht="15">
      <c r="A1982" s="35" t="s">
        <v>12404</v>
      </c>
      <c r="B1982" s="35" t="s">
        <v>5558</v>
      </c>
      <c r="C1982" s="36" t="s">
        <v>5559</v>
      </c>
      <c r="D1982" s="35" t="s">
        <v>5560</v>
      </c>
      <c r="E1982" s="35" t="s">
        <v>12401</v>
      </c>
      <c r="F1982" s="35" t="s">
        <v>12398</v>
      </c>
      <c r="G1982" s="35">
        <v>340203</v>
      </c>
      <c r="H1982" s="35">
        <v>370010</v>
      </c>
      <c r="I1982" s="35">
        <v>200018</v>
      </c>
      <c r="J1982" s="34" t="s">
        <v>5561</v>
      </c>
      <c r="K1982" s="34" t="str">
        <f t="shared" si="63"/>
        <v>不重复</v>
      </c>
      <c r="L1982" s="34" t="str">
        <f t="shared" si="64"/>
        <v>不重复</v>
      </c>
    </row>
    <row r="1983" spans="1:12" ht="15">
      <c r="A1983" s="35" t="s">
        <v>12405</v>
      </c>
      <c r="B1983" s="35" t="s">
        <v>5562</v>
      </c>
      <c r="C1983" s="36" t="s">
        <v>5563</v>
      </c>
      <c r="D1983" s="35" t="s">
        <v>1570</v>
      </c>
      <c r="E1983" s="35" t="s">
        <v>12405</v>
      </c>
      <c r="F1983" s="35" t="s">
        <v>12398</v>
      </c>
      <c r="G1983" s="35">
        <v>340300</v>
      </c>
      <c r="H1983" s="35">
        <v>370010</v>
      </c>
      <c r="I1983" s="35">
        <v>200018</v>
      </c>
      <c r="J1983" s="34" t="s">
        <v>16</v>
      </c>
      <c r="K1983" s="34" t="str">
        <f t="shared" si="63"/>
        <v>不重复</v>
      </c>
      <c r="L1983" s="34" t="str">
        <f t="shared" si="64"/>
        <v>重复</v>
      </c>
    </row>
    <row r="1984" spans="1:12" ht="27">
      <c r="A1984" s="35" t="s">
        <v>12406</v>
      </c>
      <c r="B1984" s="35" t="s">
        <v>5564</v>
      </c>
      <c r="C1984" s="36" t="s">
        <v>208</v>
      </c>
      <c r="D1984" s="35" t="s">
        <v>5565</v>
      </c>
      <c r="E1984" s="35" t="s">
        <v>12405</v>
      </c>
      <c r="F1984" s="35" t="s">
        <v>12398</v>
      </c>
      <c r="G1984" s="35">
        <v>340301</v>
      </c>
      <c r="H1984" s="35">
        <v>370010</v>
      </c>
      <c r="I1984" s="35">
        <v>200018</v>
      </c>
      <c r="J1984" s="34" t="s">
        <v>89</v>
      </c>
      <c r="K1984" s="34" t="str">
        <f t="shared" si="63"/>
        <v>重复</v>
      </c>
      <c r="L1984" s="34" t="str">
        <f t="shared" si="64"/>
        <v>不重复</v>
      </c>
    </row>
    <row r="1985" spans="1:12" ht="15">
      <c r="A1985" s="35" t="s">
        <v>12407</v>
      </c>
      <c r="B1985" s="35" t="s">
        <v>5566</v>
      </c>
      <c r="C1985" s="36" t="s">
        <v>4071</v>
      </c>
      <c r="D1985" s="35" t="s">
        <v>5029</v>
      </c>
      <c r="E1985" s="35" t="s">
        <v>12407</v>
      </c>
      <c r="F1985" s="35" t="s">
        <v>12398</v>
      </c>
      <c r="G1985" s="35">
        <v>340400</v>
      </c>
      <c r="H1985" s="35">
        <v>370020</v>
      </c>
      <c r="I1985" s="35">
        <v>200018</v>
      </c>
      <c r="J1985" s="34" t="s">
        <v>16</v>
      </c>
      <c r="K1985" s="34" t="str">
        <f t="shared" si="63"/>
        <v>重复</v>
      </c>
      <c r="L1985" s="34" t="str">
        <f t="shared" si="64"/>
        <v>重复</v>
      </c>
    </row>
    <row r="1986" spans="1:12" ht="30">
      <c r="A1986" s="35" t="s">
        <v>12408</v>
      </c>
      <c r="B1986" s="35" t="s">
        <v>5567</v>
      </c>
      <c r="C1986" s="36" t="s">
        <v>5568</v>
      </c>
      <c r="D1986" s="35" t="s">
        <v>5569</v>
      </c>
      <c r="E1986" s="35" t="s">
        <v>12407</v>
      </c>
      <c r="F1986" s="35" t="s">
        <v>12398</v>
      </c>
      <c r="G1986" s="35">
        <v>340401</v>
      </c>
      <c r="H1986" s="35">
        <v>370020</v>
      </c>
      <c r="I1986" s="35">
        <v>200018</v>
      </c>
      <c r="J1986" s="34" t="s">
        <v>115</v>
      </c>
      <c r="K1986" s="34" t="str">
        <f t="shared" si="63"/>
        <v>不重复</v>
      </c>
      <c r="L1986" s="34" t="str">
        <f t="shared" si="64"/>
        <v>不重复</v>
      </c>
    </row>
    <row r="1987" spans="1:12" ht="30">
      <c r="A1987" s="35" t="s">
        <v>12409</v>
      </c>
      <c r="B1987" s="35" t="s">
        <v>5570</v>
      </c>
      <c r="C1987" s="36" t="s">
        <v>276</v>
      </c>
      <c r="D1987" s="35" t="s">
        <v>5571</v>
      </c>
      <c r="E1987" s="35" t="s">
        <v>12407</v>
      </c>
      <c r="F1987" s="35" t="s">
        <v>12398</v>
      </c>
      <c r="G1987" s="35">
        <v>340402</v>
      </c>
      <c r="H1987" s="35">
        <v>370020</v>
      </c>
      <c r="I1987" s="35">
        <v>200018</v>
      </c>
      <c r="J1987" s="34" t="s">
        <v>311</v>
      </c>
      <c r="K1987" s="34" t="str">
        <f t="shared" si="63"/>
        <v>重复</v>
      </c>
      <c r="L1987" s="34" t="str">
        <f t="shared" si="64"/>
        <v>不重复</v>
      </c>
    </row>
    <row r="1988" spans="1:12" ht="30">
      <c r="A1988" s="35" t="s">
        <v>12410</v>
      </c>
      <c r="B1988" s="35" t="s">
        <v>5572</v>
      </c>
      <c r="C1988" s="36" t="s">
        <v>5573</v>
      </c>
      <c r="D1988" s="35" t="s">
        <v>5574</v>
      </c>
      <c r="E1988" s="35" t="s">
        <v>12407</v>
      </c>
      <c r="F1988" s="35" t="s">
        <v>12398</v>
      </c>
      <c r="G1988" s="35">
        <v>340403</v>
      </c>
      <c r="H1988" s="35">
        <v>370020</v>
      </c>
      <c r="I1988" s="35">
        <v>200018</v>
      </c>
      <c r="J1988" s="34" t="s">
        <v>89</v>
      </c>
      <c r="K1988" s="34" t="str">
        <f t="shared" si="63"/>
        <v>不重复</v>
      </c>
      <c r="L1988" s="34" t="str">
        <f t="shared" si="64"/>
        <v>不重复</v>
      </c>
    </row>
    <row r="1989" spans="1:12" ht="15">
      <c r="A1989" s="35" t="s">
        <v>12411</v>
      </c>
      <c r="B1989" s="35" t="s">
        <v>5575</v>
      </c>
      <c r="C1989" s="36" t="s">
        <v>1148</v>
      </c>
      <c r="D1989" s="35" t="s">
        <v>5576</v>
      </c>
      <c r="E1989" s="35" t="s">
        <v>12411</v>
      </c>
      <c r="F1989" s="35" t="s">
        <v>12398</v>
      </c>
      <c r="G1989" s="35">
        <v>340500</v>
      </c>
      <c r="H1989" s="35">
        <v>370030</v>
      </c>
      <c r="I1989" s="35">
        <v>200018</v>
      </c>
      <c r="J1989" s="34" t="s">
        <v>16</v>
      </c>
      <c r="K1989" s="34" t="str">
        <f t="shared" si="63"/>
        <v>重复</v>
      </c>
      <c r="L1989" s="34" t="str">
        <f t="shared" si="64"/>
        <v>重复</v>
      </c>
    </row>
    <row r="1990" spans="1:12" ht="15">
      <c r="A1990" s="35" t="s">
        <v>12412</v>
      </c>
      <c r="B1990" s="35" t="s">
        <v>5577</v>
      </c>
      <c r="C1990" s="36" t="s">
        <v>5578</v>
      </c>
      <c r="D1990" s="35" t="s">
        <v>5579</v>
      </c>
      <c r="E1990" s="35" t="s">
        <v>12412</v>
      </c>
      <c r="F1990" s="35" t="s">
        <v>12398</v>
      </c>
      <c r="G1990" s="35">
        <v>340600</v>
      </c>
      <c r="H1990" s="35">
        <v>370040</v>
      </c>
      <c r="I1990" s="35">
        <v>200018</v>
      </c>
      <c r="J1990" s="34" t="s">
        <v>16</v>
      </c>
      <c r="K1990" s="34" t="str">
        <f t="shared" si="63"/>
        <v>重复</v>
      </c>
      <c r="L1990" s="34" t="str">
        <f t="shared" si="64"/>
        <v>重复</v>
      </c>
    </row>
    <row r="1991" spans="1:12" ht="30">
      <c r="A1991" s="35" t="s">
        <v>12413</v>
      </c>
      <c r="B1991" s="35" t="s">
        <v>5580</v>
      </c>
      <c r="C1991" s="36" t="s">
        <v>5581</v>
      </c>
      <c r="D1991" s="35" t="s">
        <v>5582</v>
      </c>
      <c r="E1991" s="35" t="s">
        <v>12412</v>
      </c>
      <c r="F1991" s="35" t="s">
        <v>12398</v>
      </c>
      <c r="G1991" s="35">
        <v>340601</v>
      </c>
      <c r="H1991" s="35">
        <v>370040</v>
      </c>
      <c r="I1991" s="35">
        <v>200018</v>
      </c>
      <c r="J1991" s="34" t="s">
        <v>288</v>
      </c>
      <c r="K1991" s="34" t="str">
        <f t="shared" si="63"/>
        <v>不重复</v>
      </c>
      <c r="L1991" s="34" t="str">
        <f t="shared" si="64"/>
        <v>不重复</v>
      </c>
    </row>
    <row r="1992" spans="1:12" ht="27">
      <c r="A1992" s="35" t="s">
        <v>12414</v>
      </c>
      <c r="B1992" s="35" t="s">
        <v>5583</v>
      </c>
      <c r="C1992" s="36" t="s">
        <v>5584</v>
      </c>
      <c r="D1992" s="35" t="s">
        <v>5585</v>
      </c>
      <c r="E1992" s="35" t="s">
        <v>12412</v>
      </c>
      <c r="F1992" s="35" t="s">
        <v>12398</v>
      </c>
      <c r="G1992" s="35">
        <v>340602</v>
      </c>
      <c r="H1992" s="35">
        <v>370040</v>
      </c>
      <c r="I1992" s="35">
        <v>200018</v>
      </c>
      <c r="J1992" s="34" t="s">
        <v>5586</v>
      </c>
      <c r="K1992" s="34" t="str">
        <f t="shared" si="63"/>
        <v>不重复</v>
      </c>
      <c r="L1992" s="34" t="str">
        <f t="shared" si="64"/>
        <v>重复</v>
      </c>
    </row>
    <row r="1993" spans="1:12" ht="30">
      <c r="A1993" s="35" t="s">
        <v>12415</v>
      </c>
      <c r="B1993" s="35" t="s">
        <v>5587</v>
      </c>
      <c r="C1993" s="36" t="s">
        <v>5578</v>
      </c>
      <c r="D1993" s="35" t="s">
        <v>5585</v>
      </c>
      <c r="E1993" s="35" t="s">
        <v>12412</v>
      </c>
      <c r="F1993" s="35" t="s">
        <v>12398</v>
      </c>
      <c r="G1993" s="35">
        <v>340603</v>
      </c>
      <c r="H1993" s="35">
        <v>370040</v>
      </c>
      <c r="I1993" s="35">
        <v>200018</v>
      </c>
      <c r="J1993" s="34" t="s">
        <v>1288</v>
      </c>
      <c r="K1993" s="34" t="str">
        <f t="shared" si="63"/>
        <v>重复</v>
      </c>
      <c r="L1993" s="34" t="str">
        <f t="shared" si="64"/>
        <v>重复</v>
      </c>
    </row>
    <row r="1994" spans="1:12" ht="15">
      <c r="A1994" s="35" t="s">
        <v>12416</v>
      </c>
      <c r="B1994" s="35" t="s">
        <v>5588</v>
      </c>
      <c r="C1994" s="36" t="s">
        <v>5589</v>
      </c>
      <c r="D1994" s="35" t="s">
        <v>1500</v>
      </c>
      <c r="E1994" s="35" t="s">
        <v>12416</v>
      </c>
      <c r="F1994" s="35" t="s">
        <v>12398</v>
      </c>
      <c r="G1994" s="35">
        <v>340700</v>
      </c>
      <c r="H1994" s="35">
        <v>370050</v>
      </c>
      <c r="I1994" s="35">
        <v>200018</v>
      </c>
      <c r="J1994" s="34" t="s">
        <v>16</v>
      </c>
      <c r="K1994" s="34" t="str">
        <f t="shared" si="63"/>
        <v>不重复</v>
      </c>
      <c r="L1994" s="34" t="str">
        <f t="shared" si="64"/>
        <v>重复</v>
      </c>
    </row>
    <row r="1995" spans="1:12" ht="15">
      <c r="A1995" s="35" t="s">
        <v>12417</v>
      </c>
      <c r="B1995" s="35" t="s">
        <v>5590</v>
      </c>
      <c r="C1995" s="36" t="s">
        <v>3214</v>
      </c>
      <c r="D1995" s="35" t="s">
        <v>5591</v>
      </c>
      <c r="E1995" s="35" t="s">
        <v>12416</v>
      </c>
      <c r="F1995" s="35" t="s">
        <v>12398</v>
      </c>
      <c r="G1995" s="35">
        <v>340701</v>
      </c>
      <c r="H1995" s="35">
        <v>370050</v>
      </c>
      <c r="I1995" s="35">
        <v>200018</v>
      </c>
      <c r="J1995" s="34" t="s">
        <v>311</v>
      </c>
      <c r="K1995" s="34" t="str">
        <f t="shared" si="63"/>
        <v>重复</v>
      </c>
      <c r="L1995" s="34" t="str">
        <f t="shared" si="64"/>
        <v>重复</v>
      </c>
    </row>
    <row r="1996" spans="1:12" ht="30">
      <c r="A1996" s="35" t="s">
        <v>12418</v>
      </c>
      <c r="B1996" s="35" t="s">
        <v>5592</v>
      </c>
      <c r="C1996" s="36" t="s">
        <v>5593</v>
      </c>
      <c r="D1996" s="35" t="s">
        <v>5594</v>
      </c>
      <c r="E1996" s="35" t="s">
        <v>12416</v>
      </c>
      <c r="F1996" s="35" t="s">
        <v>12398</v>
      </c>
      <c r="G1996" s="35">
        <v>340702</v>
      </c>
      <c r="H1996" s="35">
        <v>370050</v>
      </c>
      <c r="I1996" s="35">
        <v>200018</v>
      </c>
      <c r="J1996" s="34" t="s">
        <v>5477</v>
      </c>
      <c r="K1996" s="34" t="str">
        <f t="shared" si="63"/>
        <v>不重复</v>
      </c>
      <c r="L1996" s="34" t="str">
        <f t="shared" si="64"/>
        <v>不重复</v>
      </c>
    </row>
    <row r="1997" spans="1:12" ht="30">
      <c r="A1997" s="35" t="s">
        <v>12419</v>
      </c>
      <c r="B1997" s="35" t="s">
        <v>5595</v>
      </c>
      <c r="C1997" s="36" t="s">
        <v>3138</v>
      </c>
      <c r="D1997" s="35" t="s">
        <v>5596</v>
      </c>
      <c r="E1997" s="35" t="s">
        <v>12416</v>
      </c>
      <c r="F1997" s="35" t="s">
        <v>12398</v>
      </c>
      <c r="G1997" s="35">
        <v>340703</v>
      </c>
      <c r="H1997" s="35">
        <v>370050</v>
      </c>
      <c r="I1997" s="35">
        <v>200018</v>
      </c>
      <c r="J1997" s="34" t="s">
        <v>71</v>
      </c>
      <c r="K1997" s="34" t="str">
        <f t="shared" si="63"/>
        <v>重复</v>
      </c>
      <c r="L1997" s="34" t="str">
        <f t="shared" si="64"/>
        <v>不重复</v>
      </c>
    </row>
    <row r="1998" spans="1:12" ht="27">
      <c r="A1998" s="35" t="s">
        <v>12420</v>
      </c>
      <c r="B1998" s="35" t="s">
        <v>5597</v>
      </c>
      <c r="C1998" s="36" t="s">
        <v>5598</v>
      </c>
      <c r="D1998" s="35" t="s">
        <v>5599</v>
      </c>
      <c r="E1998" s="35" t="s">
        <v>12416</v>
      </c>
      <c r="F1998" s="35" t="s">
        <v>12398</v>
      </c>
      <c r="G1998" s="35">
        <v>340704</v>
      </c>
      <c r="H1998" s="35">
        <v>370050</v>
      </c>
      <c r="I1998" s="35">
        <v>200018</v>
      </c>
      <c r="J1998" s="34" t="s">
        <v>5600</v>
      </c>
      <c r="K1998" s="34" t="str">
        <f t="shared" si="63"/>
        <v>不重复</v>
      </c>
      <c r="L1998" s="34" t="str">
        <f t="shared" si="64"/>
        <v>不重复</v>
      </c>
    </row>
    <row r="1999" spans="1:12" ht="30">
      <c r="A1999" s="35" t="s">
        <v>12421</v>
      </c>
      <c r="B1999" s="35" t="s">
        <v>5601</v>
      </c>
      <c r="C1999" s="36" t="s">
        <v>5602</v>
      </c>
      <c r="D1999" s="35" t="s">
        <v>5603</v>
      </c>
      <c r="E1999" s="35" t="s">
        <v>12416</v>
      </c>
      <c r="F1999" s="35" t="s">
        <v>12398</v>
      </c>
      <c r="G1999" s="35">
        <v>340705</v>
      </c>
      <c r="H1999" s="35">
        <v>370050</v>
      </c>
      <c r="I1999" s="35">
        <v>200018</v>
      </c>
      <c r="J1999" s="34" t="s">
        <v>363</v>
      </c>
      <c r="K1999" s="34" t="str">
        <f t="shared" si="63"/>
        <v>不重复</v>
      </c>
      <c r="L1999" s="34" t="str">
        <f t="shared" si="64"/>
        <v>不重复</v>
      </c>
    </row>
    <row r="2000" spans="1:12" ht="15">
      <c r="A2000" s="35" t="s">
        <v>12422</v>
      </c>
      <c r="B2000" s="35" t="s">
        <v>5604</v>
      </c>
      <c r="C2000" s="36" t="s">
        <v>5605</v>
      </c>
      <c r="D2000" s="35" t="s">
        <v>5606</v>
      </c>
      <c r="E2000" s="35" t="s">
        <v>12416</v>
      </c>
      <c r="F2000" s="35" t="s">
        <v>12398</v>
      </c>
      <c r="G2000" s="35">
        <v>340706</v>
      </c>
      <c r="H2000" s="35">
        <v>370050</v>
      </c>
      <c r="I2000" s="35">
        <v>200018</v>
      </c>
      <c r="J2000" s="34" t="s">
        <v>2177</v>
      </c>
      <c r="K2000" s="34" t="str">
        <f t="shared" si="63"/>
        <v>不重复</v>
      </c>
      <c r="L2000" s="34" t="str">
        <f t="shared" si="64"/>
        <v>不重复</v>
      </c>
    </row>
    <row r="2001" spans="1:12" ht="30">
      <c r="A2001" s="35" t="s">
        <v>12423</v>
      </c>
      <c r="B2001" s="35" t="s">
        <v>5607</v>
      </c>
      <c r="C2001" s="36" t="s">
        <v>980</v>
      </c>
      <c r="D2001" s="35" t="s">
        <v>5608</v>
      </c>
      <c r="E2001" s="35" t="s">
        <v>12416</v>
      </c>
      <c r="F2001" s="35" t="s">
        <v>12398</v>
      </c>
      <c r="G2001" s="35">
        <v>340707</v>
      </c>
      <c r="H2001" s="35">
        <v>370050</v>
      </c>
      <c r="I2001" s="35">
        <v>200018</v>
      </c>
      <c r="J2001" s="34" t="s">
        <v>5609</v>
      </c>
      <c r="K2001" s="34" t="str">
        <f t="shared" si="63"/>
        <v>重复</v>
      </c>
      <c r="L2001" s="34" t="str">
        <f t="shared" si="64"/>
        <v>不重复</v>
      </c>
    </row>
    <row r="2002" spans="1:12" ht="30">
      <c r="A2002" s="35" t="s">
        <v>12424</v>
      </c>
      <c r="B2002" s="35" t="s">
        <v>5610</v>
      </c>
      <c r="C2002" s="36" t="s">
        <v>5611</v>
      </c>
      <c r="D2002" s="35" t="s">
        <v>5612</v>
      </c>
      <c r="E2002" s="35" t="s">
        <v>12416</v>
      </c>
      <c r="F2002" s="35" t="s">
        <v>12398</v>
      </c>
      <c r="G2002" s="35">
        <v>340708</v>
      </c>
      <c r="H2002" s="35">
        <v>370050</v>
      </c>
      <c r="I2002" s="35">
        <v>200018</v>
      </c>
      <c r="J2002" s="34" t="s">
        <v>363</v>
      </c>
      <c r="K2002" s="34" t="str">
        <f t="shared" si="63"/>
        <v>重复</v>
      </c>
      <c r="L2002" s="34" t="str">
        <f t="shared" si="64"/>
        <v>不重复</v>
      </c>
    </row>
    <row r="2003" spans="1:12" ht="15">
      <c r="A2003" s="35" t="s">
        <v>12425</v>
      </c>
      <c r="B2003" s="35" t="s">
        <v>5613</v>
      </c>
      <c r="C2003" s="36" t="s">
        <v>4793</v>
      </c>
      <c r="D2003" s="35" t="s">
        <v>5614</v>
      </c>
      <c r="E2003" s="35" t="s">
        <v>12416</v>
      </c>
      <c r="F2003" s="35" t="s">
        <v>12398</v>
      </c>
      <c r="G2003" s="35">
        <v>340709</v>
      </c>
      <c r="H2003" s="35">
        <v>370050</v>
      </c>
      <c r="I2003" s="35">
        <v>200018</v>
      </c>
      <c r="J2003" s="34" t="s">
        <v>2177</v>
      </c>
      <c r="K2003" s="34" t="str">
        <f t="shared" si="63"/>
        <v>重复</v>
      </c>
      <c r="L2003" s="34" t="str">
        <f t="shared" si="64"/>
        <v>不重复</v>
      </c>
    </row>
    <row r="2004" spans="1:12" ht="30">
      <c r="A2004" s="35" t="s">
        <v>12426</v>
      </c>
      <c r="B2004" s="35" t="s">
        <v>5615</v>
      </c>
      <c r="C2004" s="36" t="s">
        <v>95</v>
      </c>
      <c r="D2004" s="35" t="s">
        <v>5616</v>
      </c>
      <c r="E2004" s="35" t="s">
        <v>12416</v>
      </c>
      <c r="F2004" s="35" t="s">
        <v>12398</v>
      </c>
      <c r="G2004" s="35">
        <v>340710</v>
      </c>
      <c r="H2004" s="35">
        <v>370050</v>
      </c>
      <c r="I2004" s="35">
        <v>200018</v>
      </c>
      <c r="J2004" s="34" t="s">
        <v>5617</v>
      </c>
      <c r="K2004" s="34" t="str">
        <f t="shared" si="63"/>
        <v>重复</v>
      </c>
      <c r="L2004" s="34" t="str">
        <f t="shared" si="64"/>
        <v>重复</v>
      </c>
    </row>
    <row r="2005" spans="1:12" ht="27">
      <c r="A2005" s="35" t="s">
        <v>12427</v>
      </c>
      <c r="B2005" s="35" t="s">
        <v>5618</v>
      </c>
      <c r="C2005" s="36" t="s">
        <v>2896</v>
      </c>
      <c r="D2005" s="35" t="s">
        <v>5616</v>
      </c>
      <c r="E2005" s="35" t="s">
        <v>12416</v>
      </c>
      <c r="F2005" s="35" t="s">
        <v>12398</v>
      </c>
      <c r="G2005" s="35">
        <v>340711</v>
      </c>
      <c r="H2005" s="35">
        <v>370050</v>
      </c>
      <c r="I2005" s="35">
        <v>200018</v>
      </c>
      <c r="J2005" s="34" t="s">
        <v>5619</v>
      </c>
      <c r="K2005" s="34" t="str">
        <f t="shared" si="63"/>
        <v>重复</v>
      </c>
      <c r="L2005" s="34" t="str">
        <f t="shared" si="64"/>
        <v>重复</v>
      </c>
    </row>
    <row r="2006" spans="1:12" ht="15">
      <c r="A2006" s="35" t="s">
        <v>12428</v>
      </c>
      <c r="B2006" s="35" t="s">
        <v>5620</v>
      </c>
      <c r="C2006" s="36" t="s">
        <v>5621</v>
      </c>
      <c r="D2006" s="35" t="s">
        <v>5622</v>
      </c>
      <c r="E2006" s="35" t="s">
        <v>12416</v>
      </c>
      <c r="F2006" s="35" t="s">
        <v>12398</v>
      </c>
      <c r="G2006" s="35">
        <v>340712</v>
      </c>
      <c r="H2006" s="35">
        <v>370050</v>
      </c>
      <c r="I2006" s="35">
        <v>200018</v>
      </c>
      <c r="J2006" s="34" t="s">
        <v>1103</v>
      </c>
      <c r="K2006" s="34" t="str">
        <f t="shared" si="65" ref="K2006:K2058">IF(COUNTIF(C:C,C2006)&gt;=2,"重复","不重复")</f>
        <v>重复</v>
      </c>
      <c r="L2006" s="34" t="str">
        <f t="shared" si="64"/>
        <v>不重复</v>
      </c>
    </row>
    <row r="2007" spans="1:12" ht="15">
      <c r="A2007" s="35" t="s">
        <v>12429</v>
      </c>
      <c r="B2007" s="35" t="s">
        <v>5623</v>
      </c>
      <c r="C2007" s="36" t="s">
        <v>5624</v>
      </c>
      <c r="D2007" s="35" t="s">
        <v>5625</v>
      </c>
      <c r="E2007" s="35" t="s">
        <v>12416</v>
      </c>
      <c r="F2007" s="35" t="s">
        <v>12398</v>
      </c>
      <c r="G2007" s="35">
        <v>340713</v>
      </c>
      <c r="H2007" s="35">
        <v>370050</v>
      </c>
      <c r="I2007" s="35">
        <v>200018</v>
      </c>
      <c r="J2007" s="34" t="s">
        <v>2177</v>
      </c>
      <c r="K2007" s="34" t="str">
        <f t="shared" si="65"/>
        <v>不重复</v>
      </c>
      <c r="L2007" s="34" t="str">
        <f t="shared" si="64"/>
        <v>不重复</v>
      </c>
    </row>
    <row r="2008" spans="1:12" ht="15">
      <c r="A2008" s="35" t="s">
        <v>12430</v>
      </c>
      <c r="B2008" s="35" t="s">
        <v>5626</v>
      </c>
      <c r="C2008" s="36" t="s">
        <v>980</v>
      </c>
      <c r="D2008" s="35" t="s">
        <v>5627</v>
      </c>
      <c r="E2008" s="35" t="s">
        <v>12416</v>
      </c>
      <c r="F2008" s="35" t="s">
        <v>12398</v>
      </c>
      <c r="G2008" s="35">
        <v>340714</v>
      </c>
      <c r="H2008" s="35">
        <v>370050</v>
      </c>
      <c r="I2008" s="35">
        <v>200018</v>
      </c>
      <c r="J2008" s="34" t="s">
        <v>2177</v>
      </c>
      <c r="K2008" s="34" t="str">
        <f t="shared" si="65"/>
        <v>重复</v>
      </c>
      <c r="L2008" s="34" t="str">
        <f t="shared" si="64"/>
        <v>不重复</v>
      </c>
    </row>
    <row r="2009" spans="1:12" ht="15">
      <c r="A2009" s="35" t="s">
        <v>12431</v>
      </c>
      <c r="B2009" s="35" t="s">
        <v>5628</v>
      </c>
      <c r="C2009" s="36" t="s">
        <v>5621</v>
      </c>
      <c r="D2009" s="35" t="s">
        <v>5629</v>
      </c>
      <c r="E2009" s="35" t="s">
        <v>12416</v>
      </c>
      <c r="F2009" s="35" t="s">
        <v>12398</v>
      </c>
      <c r="G2009" s="35">
        <v>340715</v>
      </c>
      <c r="H2009" s="35">
        <v>370050</v>
      </c>
      <c r="I2009" s="35">
        <v>200018</v>
      </c>
      <c r="J2009" s="34" t="s">
        <v>288</v>
      </c>
      <c r="K2009" s="34" t="str">
        <f t="shared" si="65"/>
        <v>重复</v>
      </c>
      <c r="L2009" s="34" t="str">
        <f t="shared" si="64"/>
        <v>不重复</v>
      </c>
    </row>
    <row r="2010" spans="1:12" ht="30">
      <c r="A2010" s="35" t="s">
        <v>12432</v>
      </c>
      <c r="B2010" s="35" t="s">
        <v>5630</v>
      </c>
      <c r="C2010" s="36" t="s">
        <v>5631</v>
      </c>
      <c r="D2010" s="35" t="s">
        <v>5632</v>
      </c>
      <c r="E2010" s="35" t="s">
        <v>12416</v>
      </c>
      <c r="F2010" s="35" t="s">
        <v>12398</v>
      </c>
      <c r="G2010" s="35">
        <v>340716</v>
      </c>
      <c r="H2010" s="35">
        <v>370050</v>
      </c>
      <c r="I2010" s="35">
        <v>200018</v>
      </c>
      <c r="J2010" s="34" t="s">
        <v>5633</v>
      </c>
      <c r="K2010" s="34" t="str">
        <f t="shared" si="65"/>
        <v>不重复</v>
      </c>
      <c r="L2010" s="34" t="str">
        <f t="shared" si="64"/>
        <v>重复</v>
      </c>
    </row>
    <row r="2011" spans="1:12" ht="15">
      <c r="A2011" s="35" t="s">
        <v>12433</v>
      </c>
      <c r="B2011" s="35" t="s">
        <v>5634</v>
      </c>
      <c r="C2011" s="36" t="s">
        <v>5635</v>
      </c>
      <c r="D2011" s="35" t="s">
        <v>5632</v>
      </c>
      <c r="E2011" s="35" t="s">
        <v>12416</v>
      </c>
      <c r="F2011" s="35" t="s">
        <v>12398</v>
      </c>
      <c r="G2011" s="35">
        <v>340716</v>
      </c>
      <c r="H2011" s="35">
        <v>370050</v>
      </c>
      <c r="I2011" s="35">
        <v>200018</v>
      </c>
      <c r="J2011" s="34"/>
      <c r="K2011" s="34" t="str">
        <f t="shared" si="65"/>
        <v>不重复</v>
      </c>
      <c r="L2011" s="34"/>
    </row>
    <row r="2012" spans="1:12" ht="27">
      <c r="A2012" s="35" t="s">
        <v>12434</v>
      </c>
      <c r="B2012" s="35" t="s">
        <v>5636</v>
      </c>
      <c r="C2012" s="36" t="s">
        <v>592</v>
      </c>
      <c r="D2012" s="35" t="s">
        <v>5637</v>
      </c>
      <c r="E2012" s="35" t="s">
        <v>12416</v>
      </c>
      <c r="F2012" s="35" t="s">
        <v>12398</v>
      </c>
      <c r="G2012" s="35">
        <v>340717</v>
      </c>
      <c r="H2012" s="35">
        <v>370050</v>
      </c>
      <c r="I2012" s="35">
        <v>200018</v>
      </c>
      <c r="J2012" s="34" t="s">
        <v>2177</v>
      </c>
      <c r="K2012" s="34" t="str">
        <f t="shared" si="65"/>
        <v>重复</v>
      </c>
      <c r="L2012" s="34" t="str">
        <f t="shared" si="66" ref="L2012:L2058">IF(COUNTIF(D:D,D2012)&gt;=2,"重复","不重复")</f>
        <v>不重复</v>
      </c>
    </row>
    <row r="2013" spans="1:12" ht="27">
      <c r="A2013" s="35" t="s">
        <v>12435</v>
      </c>
      <c r="B2013" s="35" t="s">
        <v>5638</v>
      </c>
      <c r="C2013" s="36" t="s">
        <v>5639</v>
      </c>
      <c r="D2013" s="35" t="s">
        <v>5640</v>
      </c>
      <c r="E2013" s="35" t="s">
        <v>12416</v>
      </c>
      <c r="F2013" s="35" t="s">
        <v>12398</v>
      </c>
      <c r="G2013" s="35">
        <v>340718</v>
      </c>
      <c r="H2013" s="35">
        <v>370050</v>
      </c>
      <c r="I2013" s="35">
        <v>200018</v>
      </c>
      <c r="J2013" s="34" t="s">
        <v>363</v>
      </c>
      <c r="K2013" s="34" t="str">
        <f t="shared" si="65"/>
        <v>不重复</v>
      </c>
      <c r="L2013" s="34" t="str">
        <f t="shared" si="66"/>
        <v>不重复</v>
      </c>
    </row>
    <row r="2014" spans="1:12" ht="15">
      <c r="A2014" s="35" t="s">
        <v>12436</v>
      </c>
      <c r="B2014" s="35" t="s">
        <v>5641</v>
      </c>
      <c r="C2014" s="36" t="s">
        <v>3214</v>
      </c>
      <c r="D2014" s="35" t="s">
        <v>3286</v>
      </c>
      <c r="E2014" s="35" t="s">
        <v>12416</v>
      </c>
      <c r="F2014" s="35" t="s">
        <v>12398</v>
      </c>
      <c r="G2014" s="35">
        <v>340719</v>
      </c>
      <c r="H2014" s="35">
        <v>370050</v>
      </c>
      <c r="I2014" s="35">
        <v>200018</v>
      </c>
      <c r="J2014" s="34" t="s">
        <v>363</v>
      </c>
      <c r="K2014" s="34" t="str">
        <f t="shared" si="65"/>
        <v>重复</v>
      </c>
      <c r="L2014" s="34" t="str">
        <f t="shared" si="66"/>
        <v>重复</v>
      </c>
    </row>
    <row r="2015" spans="1:12" ht="15">
      <c r="A2015" s="35" t="s">
        <v>12437</v>
      </c>
      <c r="B2015" s="35" t="s">
        <v>5642</v>
      </c>
      <c r="C2015" s="36" t="s">
        <v>5643</v>
      </c>
      <c r="D2015" s="35" t="s">
        <v>5644</v>
      </c>
      <c r="E2015" s="35" t="s">
        <v>12416</v>
      </c>
      <c r="F2015" s="35" t="s">
        <v>12398</v>
      </c>
      <c r="G2015" s="35">
        <v>340720</v>
      </c>
      <c r="H2015" s="35">
        <v>370050</v>
      </c>
      <c r="I2015" s="35">
        <v>200018</v>
      </c>
      <c r="J2015" s="34" t="s">
        <v>363</v>
      </c>
      <c r="K2015" s="34" t="str">
        <f t="shared" si="65"/>
        <v>重复</v>
      </c>
      <c r="L2015" s="34" t="str">
        <f t="shared" si="66"/>
        <v>不重复</v>
      </c>
    </row>
    <row r="2016" spans="1:12" ht="15">
      <c r="A2016" s="35" t="s">
        <v>12438</v>
      </c>
      <c r="B2016" s="35" t="s">
        <v>5645</v>
      </c>
      <c r="C2016" s="36" t="s">
        <v>3162</v>
      </c>
      <c r="D2016" s="35" t="s">
        <v>5646</v>
      </c>
      <c r="E2016" s="35" t="s">
        <v>12416</v>
      </c>
      <c r="F2016" s="35" t="s">
        <v>12398</v>
      </c>
      <c r="G2016" s="35">
        <v>340721</v>
      </c>
      <c r="H2016" s="35">
        <v>370050</v>
      </c>
      <c r="I2016" s="35">
        <v>200018</v>
      </c>
      <c r="J2016" s="34" t="s">
        <v>363</v>
      </c>
      <c r="K2016" s="34" t="str">
        <f t="shared" si="65"/>
        <v>重复</v>
      </c>
      <c r="L2016" s="34" t="str">
        <f t="shared" si="66"/>
        <v>不重复</v>
      </c>
    </row>
    <row r="2017" spans="1:12" ht="30">
      <c r="A2017" s="35" t="s">
        <v>12439</v>
      </c>
      <c r="B2017" s="35" t="s">
        <v>5647</v>
      </c>
      <c r="C2017" s="36" t="s">
        <v>5648</v>
      </c>
      <c r="D2017" s="35" t="s">
        <v>5649</v>
      </c>
      <c r="E2017" s="35" t="s">
        <v>12416</v>
      </c>
      <c r="F2017" s="35" t="s">
        <v>12398</v>
      </c>
      <c r="G2017" s="35">
        <v>340722</v>
      </c>
      <c r="H2017" s="35">
        <v>370050</v>
      </c>
      <c r="I2017" s="35">
        <v>200018</v>
      </c>
      <c r="J2017" s="34" t="s">
        <v>1996</v>
      </c>
      <c r="K2017" s="34" t="str">
        <f t="shared" si="65"/>
        <v>重复</v>
      </c>
      <c r="L2017" s="34" t="str">
        <f t="shared" si="66"/>
        <v>不重复</v>
      </c>
    </row>
    <row r="2018" spans="1:12" ht="15">
      <c r="A2018" s="35" t="s">
        <v>12440</v>
      </c>
      <c r="B2018" s="35" t="s">
        <v>5650</v>
      </c>
      <c r="C2018" s="36" t="s">
        <v>844</v>
      </c>
      <c r="D2018" s="35" t="s">
        <v>5651</v>
      </c>
      <c r="E2018" s="35" t="s">
        <v>12416</v>
      </c>
      <c r="F2018" s="35" t="s">
        <v>12398</v>
      </c>
      <c r="G2018" s="35">
        <v>340723</v>
      </c>
      <c r="H2018" s="35">
        <v>370050</v>
      </c>
      <c r="I2018" s="35">
        <v>200018</v>
      </c>
      <c r="J2018" s="34" t="s">
        <v>71</v>
      </c>
      <c r="K2018" s="34" t="str">
        <f t="shared" si="65"/>
        <v>重复</v>
      </c>
      <c r="L2018" s="34" t="str">
        <f t="shared" si="66"/>
        <v>不重复</v>
      </c>
    </row>
    <row r="2019" spans="1:12" ht="30">
      <c r="A2019" s="35" t="s">
        <v>12441</v>
      </c>
      <c r="B2019" s="35" t="s">
        <v>5652</v>
      </c>
      <c r="C2019" s="36" t="s">
        <v>5653</v>
      </c>
      <c r="D2019" s="35" t="s">
        <v>1524</v>
      </c>
      <c r="E2019" s="35" t="s">
        <v>12416</v>
      </c>
      <c r="F2019" s="35" t="s">
        <v>12398</v>
      </c>
      <c r="G2019" s="35">
        <v>340724</v>
      </c>
      <c r="H2019" s="35">
        <v>370050</v>
      </c>
      <c r="I2019" s="35">
        <v>200018</v>
      </c>
      <c r="J2019" s="34" t="s">
        <v>985</v>
      </c>
      <c r="K2019" s="34" t="str">
        <f t="shared" si="65"/>
        <v>不重复</v>
      </c>
      <c r="L2019" s="34" t="str">
        <f t="shared" si="66"/>
        <v>重复</v>
      </c>
    </row>
    <row r="2020" spans="1:12" ht="15">
      <c r="A2020" s="35" t="s">
        <v>12442</v>
      </c>
      <c r="B2020" s="35" t="s">
        <v>5654</v>
      </c>
      <c r="C2020" s="36" t="s">
        <v>5655</v>
      </c>
      <c r="D2020" s="35" t="s">
        <v>5656</v>
      </c>
      <c r="E2020" s="35" t="s">
        <v>12416</v>
      </c>
      <c r="F2020" s="35" t="s">
        <v>12398</v>
      </c>
      <c r="G2020" s="35">
        <v>340725</v>
      </c>
      <c r="H2020" s="35">
        <v>370050</v>
      </c>
      <c r="I2020" s="35">
        <v>200018</v>
      </c>
      <c r="J2020" s="34" t="s">
        <v>531</v>
      </c>
      <c r="K2020" s="34" t="str">
        <f t="shared" si="65"/>
        <v>不重复</v>
      </c>
      <c r="L2020" s="34" t="str">
        <f t="shared" si="66"/>
        <v>不重复</v>
      </c>
    </row>
    <row r="2021" spans="1:12" ht="30">
      <c r="A2021" s="35" t="s">
        <v>12443</v>
      </c>
      <c r="B2021" s="35" t="s">
        <v>5657</v>
      </c>
      <c r="C2021" s="36" t="s">
        <v>1077</v>
      </c>
      <c r="D2021" s="35" t="s">
        <v>5658</v>
      </c>
      <c r="E2021" s="35" t="s">
        <v>12416</v>
      </c>
      <c r="F2021" s="35" t="s">
        <v>12398</v>
      </c>
      <c r="G2021" s="35">
        <v>340726</v>
      </c>
      <c r="H2021" s="35">
        <v>370050</v>
      </c>
      <c r="I2021" s="35">
        <v>200018</v>
      </c>
      <c r="J2021" s="34" t="s">
        <v>2177</v>
      </c>
      <c r="K2021" s="34" t="str">
        <f t="shared" si="65"/>
        <v>重复</v>
      </c>
      <c r="L2021" s="34" t="str">
        <f t="shared" si="66"/>
        <v>不重复</v>
      </c>
    </row>
    <row r="2022" spans="1:12" ht="15">
      <c r="A2022" s="35" t="s">
        <v>12444</v>
      </c>
      <c r="B2022" s="35" t="s">
        <v>5659</v>
      </c>
      <c r="C2022" s="36" t="s">
        <v>5660</v>
      </c>
      <c r="D2022" s="35" t="s">
        <v>5661</v>
      </c>
      <c r="E2022" s="35" t="s">
        <v>12416</v>
      </c>
      <c r="F2022" s="35" t="s">
        <v>12398</v>
      </c>
      <c r="G2022" s="35">
        <v>340727</v>
      </c>
      <c r="H2022" s="35">
        <v>370050</v>
      </c>
      <c r="I2022" s="35">
        <v>200018</v>
      </c>
      <c r="J2022" s="34" t="s">
        <v>288</v>
      </c>
      <c r="K2022" s="34" t="str">
        <f t="shared" si="65"/>
        <v>不重复</v>
      </c>
      <c r="L2022" s="34" t="str">
        <f t="shared" si="66"/>
        <v>不重复</v>
      </c>
    </row>
    <row r="2023" spans="1:12" ht="15">
      <c r="A2023" s="35" t="s">
        <v>12445</v>
      </c>
      <c r="B2023" s="35" t="s">
        <v>5662</v>
      </c>
      <c r="C2023" s="36" t="s">
        <v>844</v>
      </c>
      <c r="D2023" s="35" t="s">
        <v>5663</v>
      </c>
      <c r="E2023" s="35" t="s">
        <v>12416</v>
      </c>
      <c r="F2023" s="35" t="s">
        <v>12398</v>
      </c>
      <c r="G2023" s="35">
        <v>340728</v>
      </c>
      <c r="H2023" s="35">
        <v>370050</v>
      </c>
      <c r="I2023" s="35">
        <v>200018</v>
      </c>
      <c r="J2023" s="34" t="s">
        <v>288</v>
      </c>
      <c r="K2023" s="34" t="str">
        <f t="shared" si="65"/>
        <v>重复</v>
      </c>
      <c r="L2023" s="34" t="str">
        <f t="shared" si="66"/>
        <v>不重复</v>
      </c>
    </row>
    <row r="2024" spans="1:12" ht="15">
      <c r="A2024" s="35" t="s">
        <v>12446</v>
      </c>
      <c r="B2024" s="35" t="s">
        <v>5664</v>
      </c>
      <c r="C2024" s="36" t="s">
        <v>2091</v>
      </c>
      <c r="D2024" s="35" t="s">
        <v>5665</v>
      </c>
      <c r="E2024" s="35" t="s">
        <v>12416</v>
      </c>
      <c r="F2024" s="35" t="s">
        <v>12398</v>
      </c>
      <c r="G2024" s="35">
        <v>340729</v>
      </c>
      <c r="H2024" s="35">
        <v>370050</v>
      </c>
      <c r="I2024" s="35">
        <v>200018</v>
      </c>
      <c r="J2024" s="34" t="s">
        <v>531</v>
      </c>
      <c r="K2024" s="34" t="str">
        <f t="shared" si="65"/>
        <v>重复</v>
      </c>
      <c r="L2024" s="34" t="str">
        <f t="shared" si="66"/>
        <v>不重复</v>
      </c>
    </row>
    <row r="2025" spans="1:12" ht="15">
      <c r="A2025" s="35" t="s">
        <v>12447</v>
      </c>
      <c r="B2025" s="35" t="s">
        <v>5666</v>
      </c>
      <c r="C2025" s="36" t="s">
        <v>4376</v>
      </c>
      <c r="D2025" s="35" t="s">
        <v>5667</v>
      </c>
      <c r="E2025" s="35" t="s">
        <v>12416</v>
      </c>
      <c r="F2025" s="35" t="s">
        <v>12398</v>
      </c>
      <c r="G2025" s="35">
        <v>340730</v>
      </c>
      <c r="H2025" s="35">
        <v>370050</v>
      </c>
      <c r="I2025" s="35">
        <v>200018</v>
      </c>
      <c r="J2025" s="34" t="s">
        <v>2177</v>
      </c>
      <c r="K2025" s="34" t="str">
        <f t="shared" si="65"/>
        <v>重复</v>
      </c>
      <c r="L2025" s="34" t="str">
        <f t="shared" si="66"/>
        <v>不重复</v>
      </c>
    </row>
    <row r="2026" spans="1:12" ht="15">
      <c r="A2026" s="35" t="s">
        <v>12448</v>
      </c>
      <c r="B2026" s="35" t="s">
        <v>5668</v>
      </c>
      <c r="C2026" s="36" t="s">
        <v>3600</v>
      </c>
      <c r="D2026" s="35" t="s">
        <v>5669</v>
      </c>
      <c r="E2026" s="35" t="s">
        <v>12416</v>
      </c>
      <c r="F2026" s="35" t="s">
        <v>12398</v>
      </c>
      <c r="G2026" s="35">
        <v>340731</v>
      </c>
      <c r="H2026" s="35">
        <v>370050</v>
      </c>
      <c r="I2026" s="35">
        <v>200018</v>
      </c>
      <c r="J2026" s="34" t="s">
        <v>1937</v>
      </c>
      <c r="K2026" s="34" t="str">
        <f t="shared" si="65"/>
        <v>重复</v>
      </c>
      <c r="L2026" s="34" t="str">
        <f t="shared" si="66"/>
        <v>重复</v>
      </c>
    </row>
    <row r="2027" spans="1:12" ht="30">
      <c r="A2027" s="35" t="s">
        <v>12449</v>
      </c>
      <c r="B2027" s="35" t="s">
        <v>5670</v>
      </c>
      <c r="C2027" s="36" t="s">
        <v>5671</v>
      </c>
      <c r="D2027" s="35" t="s">
        <v>5672</v>
      </c>
      <c r="E2027" s="35" t="s">
        <v>12416</v>
      </c>
      <c r="F2027" s="35" t="s">
        <v>12398</v>
      </c>
      <c r="G2027" s="35">
        <v>340732</v>
      </c>
      <c r="H2027" s="35">
        <v>370050</v>
      </c>
      <c r="I2027" s="35">
        <v>200018</v>
      </c>
      <c r="J2027" s="34" t="s">
        <v>715</v>
      </c>
      <c r="K2027" s="34" t="str">
        <f t="shared" si="65"/>
        <v>不重复</v>
      </c>
      <c r="L2027" s="34" t="str">
        <f t="shared" si="66"/>
        <v>不重复</v>
      </c>
    </row>
    <row r="2028" spans="1:12" ht="15">
      <c r="A2028" s="35" t="s">
        <v>12450</v>
      </c>
      <c r="B2028" s="35" t="s">
        <v>5673</v>
      </c>
      <c r="C2028" s="36" t="s">
        <v>3159</v>
      </c>
      <c r="D2028" s="35" t="s">
        <v>5674</v>
      </c>
      <c r="E2028" s="35" t="s">
        <v>12416</v>
      </c>
      <c r="F2028" s="35" t="s">
        <v>12398</v>
      </c>
      <c r="G2028" s="35">
        <v>340733</v>
      </c>
      <c r="H2028" s="35">
        <v>370050</v>
      </c>
      <c r="I2028" s="35">
        <v>200018</v>
      </c>
      <c r="J2028" s="34" t="s">
        <v>458</v>
      </c>
      <c r="K2028" s="34" t="str">
        <f t="shared" si="65"/>
        <v>重复</v>
      </c>
      <c r="L2028" s="34" t="str">
        <f t="shared" si="66"/>
        <v>不重复</v>
      </c>
    </row>
    <row r="2029" spans="1:12" ht="15">
      <c r="A2029" s="35" t="s">
        <v>12451</v>
      </c>
      <c r="B2029" s="35" t="s">
        <v>5675</v>
      </c>
      <c r="C2029" s="36" t="s">
        <v>5676</v>
      </c>
      <c r="D2029" s="35" t="s">
        <v>5677</v>
      </c>
      <c r="E2029" s="35" t="s">
        <v>12416</v>
      </c>
      <c r="F2029" s="35" t="s">
        <v>12398</v>
      </c>
      <c r="G2029" s="35">
        <v>340734</v>
      </c>
      <c r="H2029" s="35">
        <v>370050</v>
      </c>
      <c r="I2029" s="35">
        <v>200018</v>
      </c>
      <c r="J2029" s="34" t="s">
        <v>288</v>
      </c>
      <c r="K2029" s="34" t="str">
        <f t="shared" si="65"/>
        <v>不重复</v>
      </c>
      <c r="L2029" s="34" t="str">
        <f t="shared" si="66"/>
        <v>不重复</v>
      </c>
    </row>
    <row r="2030" spans="1:12" ht="15">
      <c r="A2030" s="35" t="s">
        <v>12452</v>
      </c>
      <c r="B2030" s="35" t="s">
        <v>5678</v>
      </c>
      <c r="C2030" s="36" t="s">
        <v>5679</v>
      </c>
      <c r="D2030" s="35" t="s">
        <v>434</v>
      </c>
      <c r="E2030" s="35" t="s">
        <v>12452</v>
      </c>
      <c r="F2030" s="35" t="s">
        <v>12453</v>
      </c>
      <c r="G2030" s="35">
        <v>350100</v>
      </c>
      <c r="H2030" s="35">
        <v>380000</v>
      </c>
      <c r="I2030" s="35">
        <v>200019</v>
      </c>
      <c r="J2030" s="34" t="s">
        <v>16</v>
      </c>
      <c r="K2030" s="34" t="str">
        <f t="shared" si="65"/>
        <v>不重复</v>
      </c>
      <c r="L2030" s="34" t="str">
        <f t="shared" si="66"/>
        <v>重复</v>
      </c>
    </row>
    <row r="2031" spans="1:12" ht="15">
      <c r="A2031" s="35" t="s">
        <v>12454</v>
      </c>
      <c r="B2031" s="35" t="s">
        <v>5680</v>
      </c>
      <c r="C2031" s="36" t="s">
        <v>588</v>
      </c>
      <c r="D2031" s="35" t="s">
        <v>5681</v>
      </c>
      <c r="E2031" s="35" t="s">
        <v>12452</v>
      </c>
      <c r="F2031" s="35" t="s">
        <v>12453</v>
      </c>
      <c r="G2031" s="35">
        <v>350101</v>
      </c>
      <c r="H2031" s="35">
        <v>380000</v>
      </c>
      <c r="I2031" s="35">
        <v>200019</v>
      </c>
      <c r="J2031" s="34" t="s">
        <v>2801</v>
      </c>
      <c r="K2031" s="34" t="str">
        <f t="shared" si="65"/>
        <v>重复</v>
      </c>
      <c r="L2031" s="34" t="str">
        <f t="shared" si="66"/>
        <v>不重复</v>
      </c>
    </row>
    <row r="2032" spans="1:12" ht="15">
      <c r="A2032" s="35" t="s">
        <v>12455</v>
      </c>
      <c r="B2032" s="35" t="s">
        <v>5682</v>
      </c>
      <c r="C2032" s="36" t="s">
        <v>5683</v>
      </c>
      <c r="D2032" s="35" t="s">
        <v>5684</v>
      </c>
      <c r="E2032" s="35" t="s">
        <v>12452</v>
      </c>
      <c r="F2032" s="35" t="s">
        <v>12453</v>
      </c>
      <c r="G2032" s="35">
        <v>350102</v>
      </c>
      <c r="H2032" s="35">
        <v>380000</v>
      </c>
      <c r="I2032" s="35">
        <v>200019</v>
      </c>
      <c r="J2032" s="34" t="s">
        <v>885</v>
      </c>
      <c r="K2032" s="34" t="str">
        <f t="shared" si="65"/>
        <v>重复</v>
      </c>
      <c r="L2032" s="34" t="str">
        <f t="shared" si="66"/>
        <v>不重复</v>
      </c>
    </row>
    <row r="2033" spans="1:12" ht="15">
      <c r="A2033" s="35" t="s">
        <v>12456</v>
      </c>
      <c r="B2033" s="35" t="s">
        <v>5685</v>
      </c>
      <c r="C2033" s="36" t="s">
        <v>717</v>
      </c>
      <c r="D2033" s="35" t="s">
        <v>5686</v>
      </c>
      <c r="E2033" s="35" t="s">
        <v>12452</v>
      </c>
      <c r="F2033" s="35" t="s">
        <v>12453</v>
      </c>
      <c r="G2033" s="35">
        <v>350103</v>
      </c>
      <c r="H2033" s="35">
        <v>380000</v>
      </c>
      <c r="I2033" s="35">
        <v>200019</v>
      </c>
      <c r="J2033" s="34" t="s">
        <v>1937</v>
      </c>
      <c r="K2033" s="34" t="str">
        <f t="shared" si="65"/>
        <v>重复</v>
      </c>
      <c r="L2033" s="34" t="str">
        <f t="shared" si="66"/>
        <v>不重复</v>
      </c>
    </row>
    <row r="2034" spans="1:12" ht="15">
      <c r="A2034" s="35" t="s">
        <v>12457</v>
      </c>
      <c r="B2034" s="35" t="s">
        <v>5687</v>
      </c>
      <c r="C2034" s="36" t="s">
        <v>620</v>
      </c>
      <c r="D2034" s="35" t="s">
        <v>5688</v>
      </c>
      <c r="E2034" s="35" t="s">
        <v>12452</v>
      </c>
      <c r="F2034" s="35" t="s">
        <v>12453</v>
      </c>
      <c r="G2034" s="35">
        <v>350104</v>
      </c>
      <c r="H2034" s="35">
        <v>380000</v>
      </c>
      <c r="I2034" s="35">
        <v>200019</v>
      </c>
      <c r="J2034" s="34" t="s">
        <v>878</v>
      </c>
      <c r="K2034" s="34" t="str">
        <f t="shared" si="65"/>
        <v>重复</v>
      </c>
      <c r="L2034" s="34" t="str">
        <f t="shared" si="66"/>
        <v>不重复</v>
      </c>
    </row>
    <row r="2035" spans="1:12" ht="15">
      <c r="A2035" s="35" t="s">
        <v>12458</v>
      </c>
      <c r="B2035" s="35" t="s">
        <v>5689</v>
      </c>
      <c r="C2035" s="36" t="s">
        <v>5539</v>
      </c>
      <c r="D2035" s="35" t="s">
        <v>5690</v>
      </c>
      <c r="E2035" s="35" t="s">
        <v>12452</v>
      </c>
      <c r="F2035" s="35" t="s">
        <v>12453</v>
      </c>
      <c r="G2035" s="35">
        <v>350105</v>
      </c>
      <c r="H2035" s="35">
        <v>380000</v>
      </c>
      <c r="I2035" s="35">
        <v>200019</v>
      </c>
      <c r="J2035" s="34" t="s">
        <v>4887</v>
      </c>
      <c r="K2035" s="34" t="str">
        <f t="shared" si="65"/>
        <v>重复</v>
      </c>
      <c r="L2035" s="34" t="str">
        <f t="shared" si="66"/>
        <v>不重复</v>
      </c>
    </row>
    <row r="2036" spans="1:12" ht="15">
      <c r="A2036" s="35" t="s">
        <v>12459</v>
      </c>
      <c r="B2036" s="35" t="s">
        <v>5691</v>
      </c>
      <c r="C2036" s="36" t="s">
        <v>713</v>
      </c>
      <c r="D2036" s="35" t="s">
        <v>5692</v>
      </c>
      <c r="E2036" s="35" t="s">
        <v>12452</v>
      </c>
      <c r="F2036" s="35" t="s">
        <v>12453</v>
      </c>
      <c r="G2036" s="35">
        <v>350106</v>
      </c>
      <c r="H2036" s="35">
        <v>380000</v>
      </c>
      <c r="I2036" s="35">
        <v>200019</v>
      </c>
      <c r="J2036" s="34" t="s">
        <v>878</v>
      </c>
      <c r="K2036" s="34" t="str">
        <f t="shared" si="65"/>
        <v>重复</v>
      </c>
      <c r="L2036" s="34" t="str">
        <f t="shared" si="66"/>
        <v>不重复</v>
      </c>
    </row>
    <row r="2037" spans="1:12" ht="15">
      <c r="A2037" s="35" t="s">
        <v>12460</v>
      </c>
      <c r="B2037" s="35" t="s">
        <v>5693</v>
      </c>
      <c r="C2037" s="36" t="s">
        <v>2518</v>
      </c>
      <c r="D2037" s="35" t="s">
        <v>5694</v>
      </c>
      <c r="E2037" s="35" t="s">
        <v>12452</v>
      </c>
      <c r="F2037" s="35" t="s">
        <v>12453</v>
      </c>
      <c r="G2037" s="35">
        <v>350107</v>
      </c>
      <c r="H2037" s="35">
        <v>380000</v>
      </c>
      <c r="I2037" s="35">
        <v>200019</v>
      </c>
      <c r="J2037" s="34" t="s">
        <v>878</v>
      </c>
      <c r="K2037" s="34" t="str">
        <f t="shared" si="65"/>
        <v>重复</v>
      </c>
      <c r="L2037" s="34" t="str">
        <f t="shared" si="66"/>
        <v>不重复</v>
      </c>
    </row>
    <row r="2038" spans="1:12" ht="15">
      <c r="A2038" s="35" t="s">
        <v>12461</v>
      </c>
      <c r="B2038" s="35" t="s">
        <v>5695</v>
      </c>
      <c r="C2038" s="36" t="s">
        <v>993</v>
      </c>
      <c r="D2038" s="35" t="s">
        <v>5696</v>
      </c>
      <c r="E2038" s="35" t="s">
        <v>12452</v>
      </c>
      <c r="F2038" s="35" t="s">
        <v>12453</v>
      </c>
      <c r="G2038" s="35">
        <v>350108</v>
      </c>
      <c r="H2038" s="35">
        <v>380000</v>
      </c>
      <c r="I2038" s="35">
        <v>200019</v>
      </c>
      <c r="J2038" s="34" t="s">
        <v>5697</v>
      </c>
      <c r="K2038" s="34" t="str">
        <f t="shared" si="65"/>
        <v>重复</v>
      </c>
      <c r="L2038" s="34" t="str">
        <f t="shared" si="66"/>
        <v>不重复</v>
      </c>
    </row>
    <row r="2039" spans="1:12" ht="15">
      <c r="A2039" s="35" t="s">
        <v>12462</v>
      </c>
      <c r="B2039" s="35" t="s">
        <v>5698</v>
      </c>
      <c r="C2039" s="36" t="s">
        <v>5683</v>
      </c>
      <c r="D2039" s="35" t="s">
        <v>5699</v>
      </c>
      <c r="E2039" s="35" t="s">
        <v>12452</v>
      </c>
      <c r="F2039" s="35" t="s">
        <v>12453</v>
      </c>
      <c r="G2039" s="35">
        <v>350109</v>
      </c>
      <c r="H2039" s="35">
        <v>380000</v>
      </c>
      <c r="I2039" s="35">
        <v>200019</v>
      </c>
      <c r="J2039" s="34" t="s">
        <v>878</v>
      </c>
      <c r="K2039" s="34" t="str">
        <f t="shared" si="65"/>
        <v>重复</v>
      </c>
      <c r="L2039" s="34" t="str">
        <f t="shared" si="66"/>
        <v>不重复</v>
      </c>
    </row>
    <row r="2040" spans="1:12" ht="15">
      <c r="A2040" s="35" t="s">
        <v>12463</v>
      </c>
      <c r="B2040" s="35" t="s">
        <v>5700</v>
      </c>
      <c r="C2040" s="36" t="s">
        <v>5701</v>
      </c>
      <c r="D2040" s="35" t="s">
        <v>5702</v>
      </c>
      <c r="E2040" s="35" t="s">
        <v>12452</v>
      </c>
      <c r="F2040" s="35" t="s">
        <v>12453</v>
      </c>
      <c r="G2040" s="35">
        <v>350110</v>
      </c>
      <c r="H2040" s="35">
        <v>380000</v>
      </c>
      <c r="I2040" s="35">
        <v>200019</v>
      </c>
      <c r="J2040" s="34" t="s">
        <v>458</v>
      </c>
      <c r="K2040" s="34" t="str">
        <f t="shared" si="65"/>
        <v>重复</v>
      </c>
      <c r="L2040" s="34" t="str">
        <f t="shared" si="66"/>
        <v>不重复</v>
      </c>
    </row>
    <row r="2041" spans="1:12" ht="15">
      <c r="A2041" s="35" t="s">
        <v>12464</v>
      </c>
      <c r="B2041" s="35" t="s">
        <v>5703</v>
      </c>
      <c r="C2041" s="36" t="s">
        <v>592</v>
      </c>
      <c r="D2041" s="35" t="s">
        <v>5704</v>
      </c>
      <c r="E2041" s="35" t="s">
        <v>12452</v>
      </c>
      <c r="F2041" s="35" t="s">
        <v>12453</v>
      </c>
      <c r="G2041" s="35">
        <v>350111</v>
      </c>
      <c r="H2041" s="35">
        <v>380000</v>
      </c>
      <c r="I2041" s="35">
        <v>200019</v>
      </c>
      <c r="J2041" s="34" t="s">
        <v>5705</v>
      </c>
      <c r="K2041" s="34" t="str">
        <f t="shared" si="65"/>
        <v>重复</v>
      </c>
      <c r="L2041" s="34" t="str">
        <f t="shared" si="66"/>
        <v>不重复</v>
      </c>
    </row>
    <row r="2042" spans="1:12" ht="15">
      <c r="A2042" s="35" t="s">
        <v>12465</v>
      </c>
      <c r="B2042" s="35" t="s">
        <v>5706</v>
      </c>
      <c r="C2042" s="36" t="s">
        <v>5707</v>
      </c>
      <c r="D2042" s="35" t="s">
        <v>5708</v>
      </c>
      <c r="E2042" s="35" t="s">
        <v>12465</v>
      </c>
      <c r="F2042" s="35" t="s">
        <v>12453</v>
      </c>
      <c r="G2042" s="35">
        <v>350200</v>
      </c>
      <c r="H2042" s="35">
        <v>380000</v>
      </c>
      <c r="I2042" s="35">
        <v>200019</v>
      </c>
      <c r="J2042" s="34" t="s">
        <v>16</v>
      </c>
      <c r="K2042" s="34" t="str">
        <f t="shared" si="65"/>
        <v>不重复</v>
      </c>
      <c r="L2042" s="34" t="str">
        <f t="shared" si="66"/>
        <v>重复</v>
      </c>
    </row>
    <row r="2043" spans="1:12" ht="15">
      <c r="A2043" s="35" t="s">
        <v>12466</v>
      </c>
      <c r="B2043" s="35" t="s">
        <v>5709</v>
      </c>
      <c r="C2043" s="36" t="s">
        <v>5710</v>
      </c>
      <c r="D2043" s="35" t="s">
        <v>5711</v>
      </c>
      <c r="E2043" s="35" t="s">
        <v>12465</v>
      </c>
      <c r="F2043" s="35" t="s">
        <v>12453</v>
      </c>
      <c r="G2043" s="35">
        <v>350201</v>
      </c>
      <c r="H2043" s="35">
        <v>380000</v>
      </c>
      <c r="I2043" s="35">
        <v>200019</v>
      </c>
      <c r="J2043" s="34" t="s">
        <v>688</v>
      </c>
      <c r="K2043" s="34" t="str">
        <f t="shared" si="65"/>
        <v>重复</v>
      </c>
      <c r="L2043" s="34" t="str">
        <f t="shared" si="66"/>
        <v>不重复</v>
      </c>
    </row>
    <row r="2044" spans="1:12" ht="15">
      <c r="A2044" s="35" t="s">
        <v>12467</v>
      </c>
      <c r="B2044" s="35" t="s">
        <v>5712</v>
      </c>
      <c r="C2044" s="36" t="s">
        <v>1320</v>
      </c>
      <c r="D2044" s="35" t="s">
        <v>5713</v>
      </c>
      <c r="E2044" s="35" t="s">
        <v>12465</v>
      </c>
      <c r="F2044" s="35" t="s">
        <v>12453</v>
      </c>
      <c r="G2044" s="35">
        <v>350202</v>
      </c>
      <c r="H2044" s="35">
        <v>380000</v>
      </c>
      <c r="I2044" s="35">
        <v>200019</v>
      </c>
      <c r="J2044" s="34" t="s">
        <v>347</v>
      </c>
      <c r="K2044" s="34" t="str">
        <f t="shared" si="65"/>
        <v>重复</v>
      </c>
      <c r="L2044" s="34" t="str">
        <f t="shared" si="66"/>
        <v>不重复</v>
      </c>
    </row>
    <row r="2045" spans="1:12" ht="15">
      <c r="A2045" s="35" t="s">
        <v>12468</v>
      </c>
      <c r="B2045" s="35" t="s">
        <v>5714</v>
      </c>
      <c r="C2045" s="36" t="s">
        <v>5715</v>
      </c>
      <c r="D2045" s="35" t="s">
        <v>5716</v>
      </c>
      <c r="E2045" s="35" t="s">
        <v>12465</v>
      </c>
      <c r="F2045" s="35" t="s">
        <v>12453</v>
      </c>
      <c r="G2045" s="35">
        <v>350203</v>
      </c>
      <c r="H2045" s="35">
        <v>380000</v>
      </c>
      <c r="I2045" s="35">
        <v>200019</v>
      </c>
      <c r="J2045" s="34" t="s">
        <v>311</v>
      </c>
      <c r="K2045" s="34" t="str">
        <f t="shared" si="65"/>
        <v>不重复</v>
      </c>
      <c r="L2045" s="34" t="str">
        <f t="shared" si="66"/>
        <v>不重复</v>
      </c>
    </row>
    <row r="2046" spans="1:12" ht="15">
      <c r="A2046" s="35" t="s">
        <v>12469</v>
      </c>
      <c r="B2046" s="35" t="s">
        <v>5717</v>
      </c>
      <c r="C2046" s="36" t="s">
        <v>5718</v>
      </c>
      <c r="D2046" s="35" t="s">
        <v>5719</v>
      </c>
      <c r="E2046" s="35" t="s">
        <v>12465</v>
      </c>
      <c r="F2046" s="35" t="s">
        <v>12453</v>
      </c>
      <c r="G2046" s="35">
        <v>350204</v>
      </c>
      <c r="H2046" s="35">
        <v>380000</v>
      </c>
      <c r="I2046" s="35">
        <v>200019</v>
      </c>
      <c r="J2046" s="34" t="s">
        <v>932</v>
      </c>
      <c r="K2046" s="34" t="str">
        <f t="shared" si="65"/>
        <v>不重复</v>
      </c>
      <c r="L2046" s="34" t="str">
        <f t="shared" si="66"/>
        <v>不重复</v>
      </c>
    </row>
    <row r="2047" spans="1:12" ht="15">
      <c r="A2047" s="35" t="s">
        <v>12470</v>
      </c>
      <c r="B2047" s="35" t="s">
        <v>5720</v>
      </c>
      <c r="C2047" s="36" t="s">
        <v>960</v>
      </c>
      <c r="D2047" s="35" t="s">
        <v>5721</v>
      </c>
      <c r="E2047" s="35" t="s">
        <v>12465</v>
      </c>
      <c r="F2047" s="35" t="s">
        <v>12453</v>
      </c>
      <c r="G2047" s="35">
        <v>350205</v>
      </c>
      <c r="H2047" s="35">
        <v>380000</v>
      </c>
      <c r="I2047" s="35">
        <v>200019</v>
      </c>
      <c r="J2047" s="34" t="s">
        <v>715</v>
      </c>
      <c r="K2047" s="34" t="str">
        <f t="shared" si="65"/>
        <v>重复</v>
      </c>
      <c r="L2047" s="34" t="str">
        <f t="shared" si="66"/>
        <v>不重复</v>
      </c>
    </row>
    <row r="2048" spans="1:12" ht="15">
      <c r="A2048" s="35" t="s">
        <v>12471</v>
      </c>
      <c r="B2048" s="35" t="s">
        <v>5722</v>
      </c>
      <c r="C2048" s="36" t="s">
        <v>2759</v>
      </c>
      <c r="D2048" s="35" t="s">
        <v>5723</v>
      </c>
      <c r="E2048" s="35" t="s">
        <v>12465</v>
      </c>
      <c r="F2048" s="35" t="s">
        <v>12453</v>
      </c>
      <c r="G2048" s="35">
        <v>350206</v>
      </c>
      <c r="H2048" s="35">
        <v>380000</v>
      </c>
      <c r="I2048" s="35">
        <v>200019</v>
      </c>
      <c r="J2048" s="34" t="s">
        <v>2059</v>
      </c>
      <c r="K2048" s="34" t="str">
        <f t="shared" si="65"/>
        <v>重复</v>
      </c>
      <c r="L2048" s="34" t="str">
        <f t="shared" si="66"/>
        <v>不重复</v>
      </c>
    </row>
    <row r="2049" spans="1:12" ht="15">
      <c r="A2049" s="35" t="s">
        <v>12472</v>
      </c>
      <c r="B2049" s="35" t="s">
        <v>5724</v>
      </c>
      <c r="C2049" s="36" t="s">
        <v>2784</v>
      </c>
      <c r="D2049" s="35" t="s">
        <v>5725</v>
      </c>
      <c r="E2049" s="35" t="s">
        <v>12465</v>
      </c>
      <c r="F2049" s="35" t="s">
        <v>12453</v>
      </c>
      <c r="G2049" s="35">
        <v>350207</v>
      </c>
      <c r="H2049" s="35">
        <v>380000</v>
      </c>
      <c r="I2049" s="35">
        <v>200019</v>
      </c>
      <c r="J2049" s="34" t="s">
        <v>932</v>
      </c>
      <c r="K2049" s="34" t="str">
        <f t="shared" si="65"/>
        <v>重复</v>
      </c>
      <c r="L2049" s="34" t="str">
        <f t="shared" si="66"/>
        <v>不重复</v>
      </c>
    </row>
    <row r="2050" spans="1:12" ht="15">
      <c r="A2050" s="35" t="s">
        <v>12473</v>
      </c>
      <c r="B2050" s="35" t="s">
        <v>5726</v>
      </c>
      <c r="C2050" s="36" t="s">
        <v>5727</v>
      </c>
      <c r="D2050" s="35" t="s">
        <v>5728</v>
      </c>
      <c r="E2050" s="35" t="s">
        <v>12465</v>
      </c>
      <c r="F2050" s="35" t="s">
        <v>12453</v>
      </c>
      <c r="G2050" s="35">
        <v>350208</v>
      </c>
      <c r="H2050" s="35">
        <v>380000</v>
      </c>
      <c r="I2050" s="35">
        <v>200019</v>
      </c>
      <c r="J2050" s="34" t="s">
        <v>688</v>
      </c>
      <c r="K2050" s="34" t="str">
        <f t="shared" si="65"/>
        <v>不重复</v>
      </c>
      <c r="L2050" s="34" t="str">
        <f t="shared" si="66"/>
        <v>不重复</v>
      </c>
    </row>
    <row r="2051" spans="1:12" ht="15">
      <c r="A2051" s="35" t="s">
        <v>12474</v>
      </c>
      <c r="B2051" s="35" t="s">
        <v>5729</v>
      </c>
      <c r="C2051" s="36" t="s">
        <v>2405</v>
      </c>
      <c r="D2051" s="35" t="s">
        <v>5730</v>
      </c>
      <c r="E2051" s="35" t="s">
        <v>12465</v>
      </c>
      <c r="F2051" s="35" t="s">
        <v>12453</v>
      </c>
      <c r="G2051" s="35">
        <v>350209</v>
      </c>
      <c r="H2051" s="35">
        <v>380000</v>
      </c>
      <c r="I2051" s="35">
        <v>200019</v>
      </c>
      <c r="J2051" s="34" t="s">
        <v>531</v>
      </c>
      <c r="K2051" s="34" t="str">
        <f t="shared" si="65"/>
        <v>重复</v>
      </c>
      <c r="L2051" s="34" t="str">
        <f t="shared" si="66"/>
        <v>不重复</v>
      </c>
    </row>
    <row r="2052" spans="1:12" ht="15">
      <c r="A2052" s="35" t="s">
        <v>12475</v>
      </c>
      <c r="B2052" s="35" t="s">
        <v>5731</v>
      </c>
      <c r="C2052" s="36" t="s">
        <v>5732</v>
      </c>
      <c r="D2052" s="35" t="s">
        <v>5733</v>
      </c>
      <c r="E2052" s="35" t="s">
        <v>12465</v>
      </c>
      <c r="F2052" s="35" t="s">
        <v>12453</v>
      </c>
      <c r="G2052" s="35">
        <v>350210</v>
      </c>
      <c r="H2052" s="35">
        <v>380000</v>
      </c>
      <c r="I2052" s="35">
        <v>200019</v>
      </c>
      <c r="J2052" s="34" t="s">
        <v>363</v>
      </c>
      <c r="K2052" s="34" t="str">
        <f t="shared" si="65"/>
        <v>不重复</v>
      </c>
      <c r="L2052" s="34" t="str">
        <f t="shared" si="66"/>
        <v>不重复</v>
      </c>
    </row>
    <row r="2053" spans="1:12" ht="30">
      <c r="A2053" s="35" t="s">
        <v>12476</v>
      </c>
      <c r="B2053" s="35" t="s">
        <v>5734</v>
      </c>
      <c r="C2053" s="36" t="s">
        <v>5735</v>
      </c>
      <c r="D2053" s="35" t="s">
        <v>5736</v>
      </c>
      <c r="E2053" s="35" t="s">
        <v>12465</v>
      </c>
      <c r="F2053" s="35" t="s">
        <v>12453</v>
      </c>
      <c r="G2053" s="35">
        <v>350211</v>
      </c>
      <c r="H2053" s="35">
        <v>380000</v>
      </c>
      <c r="I2053" s="35">
        <v>200019</v>
      </c>
      <c r="J2053" s="34" t="s">
        <v>962</v>
      </c>
      <c r="K2053" s="34" t="str">
        <f t="shared" si="65"/>
        <v>不重复</v>
      </c>
      <c r="L2053" s="34" t="str">
        <f t="shared" si="66"/>
        <v>不重复</v>
      </c>
    </row>
    <row r="2054" spans="1:12" ht="15">
      <c r="A2054" s="35" t="s">
        <v>12477</v>
      </c>
      <c r="B2054" s="35" t="s">
        <v>5737</v>
      </c>
      <c r="C2054" s="36" t="s">
        <v>4707</v>
      </c>
      <c r="D2054" s="35" t="s">
        <v>5738</v>
      </c>
      <c r="E2054" s="35" t="s">
        <v>12465</v>
      </c>
      <c r="F2054" s="35" t="s">
        <v>12453</v>
      </c>
      <c r="G2054" s="35">
        <v>350212</v>
      </c>
      <c r="H2054" s="35">
        <v>380000</v>
      </c>
      <c r="I2054" s="35">
        <v>200019</v>
      </c>
      <c r="J2054" s="34" t="s">
        <v>932</v>
      </c>
      <c r="K2054" s="34" t="str">
        <f t="shared" si="65"/>
        <v>重复</v>
      </c>
      <c r="L2054" s="34" t="str">
        <f t="shared" si="66"/>
        <v>不重复</v>
      </c>
    </row>
    <row r="2055" spans="1:12" ht="15">
      <c r="A2055" s="35" t="s">
        <v>12478</v>
      </c>
      <c r="B2055" s="35" t="s">
        <v>5739</v>
      </c>
      <c r="C2055" s="36" t="s">
        <v>5740</v>
      </c>
      <c r="D2055" s="35" t="s">
        <v>5741</v>
      </c>
      <c r="E2055" s="35" t="s">
        <v>12465</v>
      </c>
      <c r="F2055" s="35" t="s">
        <v>12453</v>
      </c>
      <c r="G2055" s="35">
        <v>350213</v>
      </c>
      <c r="H2055" s="35">
        <v>380000</v>
      </c>
      <c r="I2055" s="35">
        <v>200019</v>
      </c>
      <c r="J2055" s="34" t="s">
        <v>363</v>
      </c>
      <c r="K2055" s="34" t="str">
        <f t="shared" si="65"/>
        <v>不重复</v>
      </c>
      <c r="L2055" s="34" t="str">
        <f t="shared" si="66"/>
        <v>不重复</v>
      </c>
    </row>
    <row r="2056" spans="1:12" ht="15">
      <c r="A2056" s="35" t="s">
        <v>12479</v>
      </c>
      <c r="B2056" s="35" t="s">
        <v>5742</v>
      </c>
      <c r="C2056" s="36" t="s">
        <v>5743</v>
      </c>
      <c r="D2056" s="35" t="s">
        <v>5744</v>
      </c>
      <c r="E2056" s="35" t="s">
        <v>12465</v>
      </c>
      <c r="F2056" s="35" t="s">
        <v>12453</v>
      </c>
      <c r="G2056" s="35">
        <v>350214</v>
      </c>
      <c r="H2056" s="35">
        <v>380000</v>
      </c>
      <c r="I2056" s="35">
        <v>200019</v>
      </c>
      <c r="J2056" s="34" t="s">
        <v>688</v>
      </c>
      <c r="K2056" s="34" t="str">
        <f t="shared" si="65"/>
        <v>不重复</v>
      </c>
      <c r="L2056" s="34" t="str">
        <f t="shared" si="66"/>
        <v>不重复</v>
      </c>
    </row>
    <row r="2057" spans="1:12" ht="15">
      <c r="A2057" s="35" t="s">
        <v>12480</v>
      </c>
      <c r="B2057" s="35" t="s">
        <v>5745</v>
      </c>
      <c r="C2057" s="36" t="s">
        <v>5746</v>
      </c>
      <c r="D2057" s="35" t="s">
        <v>5747</v>
      </c>
      <c r="E2057" s="35" t="s">
        <v>12465</v>
      </c>
      <c r="F2057" s="35" t="s">
        <v>12453</v>
      </c>
      <c r="G2057" s="35">
        <v>350215</v>
      </c>
      <c r="H2057" s="35">
        <v>380000</v>
      </c>
      <c r="I2057" s="35">
        <v>200019</v>
      </c>
      <c r="J2057" s="34" t="s">
        <v>16</v>
      </c>
      <c r="K2057" s="34" t="str">
        <f t="shared" si="65"/>
        <v>重复</v>
      </c>
      <c r="L2057" s="34" t="str">
        <f t="shared" si="66"/>
        <v>重复</v>
      </c>
    </row>
    <row r="2058" spans="1:12" ht="15">
      <c r="A2058" s="35" t="s">
        <v>12481</v>
      </c>
      <c r="B2058" s="35" t="s">
        <v>5748</v>
      </c>
      <c r="C2058" s="36" t="s">
        <v>5749</v>
      </c>
      <c r="D2058" s="35" t="s">
        <v>5750</v>
      </c>
      <c r="E2058" s="35" t="s">
        <v>12465</v>
      </c>
      <c r="F2058" s="35" t="s">
        <v>12453</v>
      </c>
      <c r="G2058" s="35">
        <v>350216</v>
      </c>
      <c r="H2058" s="35">
        <v>380000</v>
      </c>
      <c r="I2058" s="35">
        <v>200019</v>
      </c>
      <c r="J2058" s="34" t="s">
        <v>16</v>
      </c>
      <c r="K2058" s="34" t="str">
        <f t="shared" si="65"/>
        <v>重复</v>
      </c>
      <c r="L2058" s="34" t="str">
        <f t="shared" si="66"/>
        <v>不重复</v>
      </c>
    </row>
    <row r="2059" spans="1:12" ht="27">
      <c r="A2059" s="69" t="s">
        <v>14431</v>
      </c>
      <c r="B2059" s="35" t="s">
        <v>14432</v>
      </c>
      <c r="C2059" s="36" t="s">
        <v>14434</v>
      </c>
      <c r="D2059" s="35"/>
      <c r="E2059" s="69" t="s">
        <v>14433</v>
      </c>
      <c r="F2059" s="35" t="s">
        <v>12483</v>
      </c>
      <c r="G2059" s="35"/>
      <c r="H2059" s="35">
        <v>390000</v>
      </c>
      <c r="I2059" s="35">
        <v>200020</v>
      </c>
      <c r="J2059" s="34" t="s">
        <v>16</v>
      </c>
      <c r="K2059" s="34"/>
      <c r="L2059" s="34"/>
    </row>
    <row r="2060" spans="1:12" ht="15">
      <c r="A2060" s="35" t="s">
        <v>12482</v>
      </c>
      <c r="B2060" s="35" t="s">
        <v>5751</v>
      </c>
      <c r="C2060" s="36" t="s">
        <v>5752</v>
      </c>
      <c r="D2060" s="35" t="s">
        <v>828</v>
      </c>
      <c r="E2060" s="35" t="s">
        <v>12482</v>
      </c>
      <c r="F2060" s="35" t="s">
        <v>12483</v>
      </c>
      <c r="G2060" s="35">
        <v>350300</v>
      </c>
      <c r="H2060" s="35">
        <v>390000</v>
      </c>
      <c r="I2060" s="35">
        <v>200020</v>
      </c>
      <c r="J2060" s="34" t="s">
        <v>16</v>
      </c>
      <c r="K2060" s="34" t="str">
        <f t="shared" si="67" ref="K2060:K2123">IF(COUNTIF(C:C,C2060)&gt;=2,"重复","不重复")</f>
        <v>不重复</v>
      </c>
      <c r="L2060" s="34" t="str">
        <f t="shared" si="68" ref="L2060:L2123">IF(COUNTIF(D:D,D2060)&gt;=2,"重复","不重复")</f>
        <v>重复</v>
      </c>
    </row>
    <row r="2061" spans="1:12" ht="30">
      <c r="A2061" s="35" t="s">
        <v>12484</v>
      </c>
      <c r="B2061" s="35" t="s">
        <v>5753</v>
      </c>
      <c r="C2061" s="36" t="s">
        <v>5754</v>
      </c>
      <c r="D2061" s="35" t="s">
        <v>5755</v>
      </c>
      <c r="E2061" s="35" t="s">
        <v>12482</v>
      </c>
      <c r="F2061" s="35" t="s">
        <v>12453</v>
      </c>
      <c r="G2061" s="35">
        <v>350301</v>
      </c>
      <c r="H2061" s="35">
        <v>390000</v>
      </c>
      <c r="I2061" s="35">
        <v>200020</v>
      </c>
      <c r="J2061" s="34" t="s">
        <v>719</v>
      </c>
      <c r="K2061" s="34" t="str">
        <f t="shared" si="67"/>
        <v>不重复</v>
      </c>
      <c r="L2061" s="34" t="str">
        <f t="shared" si="68"/>
        <v>不重复</v>
      </c>
    </row>
    <row r="2062" spans="1:12" ht="15">
      <c r="A2062" s="35" t="s">
        <v>12485</v>
      </c>
      <c r="B2062" s="35" t="s">
        <v>5756</v>
      </c>
      <c r="C2062" s="36" t="s">
        <v>5757</v>
      </c>
      <c r="D2062" s="35" t="s">
        <v>5758</v>
      </c>
      <c r="E2062" s="35" t="s">
        <v>12482</v>
      </c>
      <c r="F2062" s="35" t="s">
        <v>12453</v>
      </c>
      <c r="G2062" s="35">
        <v>350302</v>
      </c>
      <c r="H2062" s="35">
        <v>390000</v>
      </c>
      <c r="I2062" s="35">
        <v>200020</v>
      </c>
      <c r="J2062" s="34" t="s">
        <v>848</v>
      </c>
      <c r="K2062" s="34" t="str">
        <f t="shared" si="67"/>
        <v>不重复</v>
      </c>
      <c r="L2062" s="34" t="str">
        <f t="shared" si="68"/>
        <v>不重复</v>
      </c>
    </row>
    <row r="2063" spans="1:12" ht="15">
      <c r="A2063" s="35" t="s">
        <v>12486</v>
      </c>
      <c r="B2063" s="35" t="s">
        <v>5759</v>
      </c>
      <c r="C2063" s="36" t="s">
        <v>5760</v>
      </c>
      <c r="D2063" s="35" t="s">
        <v>5761</v>
      </c>
      <c r="E2063" s="35" t="s">
        <v>12482</v>
      </c>
      <c r="F2063" s="35" t="s">
        <v>12453</v>
      </c>
      <c r="G2063" s="35">
        <v>350303</v>
      </c>
      <c r="H2063" s="35">
        <v>390000</v>
      </c>
      <c r="I2063" s="35">
        <v>200020</v>
      </c>
      <c r="J2063" s="34" t="s">
        <v>668</v>
      </c>
      <c r="K2063" s="34" t="str">
        <f t="shared" si="67"/>
        <v>不重复</v>
      </c>
      <c r="L2063" s="34" t="str">
        <f t="shared" si="68"/>
        <v>不重复</v>
      </c>
    </row>
    <row r="2064" spans="1:12" ht="15">
      <c r="A2064" s="35" t="s">
        <v>12487</v>
      </c>
      <c r="B2064" s="35" t="s">
        <v>5762</v>
      </c>
      <c r="C2064" s="36" t="s">
        <v>709</v>
      </c>
      <c r="D2064" s="35" t="s">
        <v>5763</v>
      </c>
      <c r="E2064" s="35" t="s">
        <v>12487</v>
      </c>
      <c r="F2064" s="35" t="s">
        <v>12483</v>
      </c>
      <c r="G2064" s="35">
        <v>350400</v>
      </c>
      <c r="H2064" s="35">
        <v>390010</v>
      </c>
      <c r="I2064" s="35">
        <v>200020</v>
      </c>
      <c r="J2064" s="34" t="s">
        <v>16</v>
      </c>
      <c r="K2064" s="34" t="str">
        <f t="shared" si="67"/>
        <v>重复</v>
      </c>
      <c r="L2064" s="34" t="str">
        <f t="shared" si="68"/>
        <v>不重复</v>
      </c>
    </row>
    <row r="2065" spans="1:12" ht="30">
      <c r="A2065" s="35" t="s">
        <v>12488</v>
      </c>
      <c r="B2065" s="35" t="s">
        <v>5764</v>
      </c>
      <c r="C2065" s="36" t="s">
        <v>5765</v>
      </c>
      <c r="D2065" s="35" t="s">
        <v>5766</v>
      </c>
      <c r="E2065" s="35" t="s">
        <v>12487</v>
      </c>
      <c r="F2065" s="35" t="s">
        <v>12483</v>
      </c>
      <c r="G2065" s="35">
        <v>350401</v>
      </c>
      <c r="H2065" s="35">
        <v>390010</v>
      </c>
      <c r="I2065" s="35">
        <v>200020</v>
      </c>
      <c r="J2065" s="34" t="s">
        <v>3656</v>
      </c>
      <c r="K2065" s="34" t="str">
        <f t="shared" si="67"/>
        <v>不重复</v>
      </c>
      <c r="L2065" s="34" t="str">
        <f t="shared" si="68"/>
        <v>不重复</v>
      </c>
    </row>
    <row r="2066" spans="1:12" ht="27">
      <c r="A2066" s="35" t="s">
        <v>12489</v>
      </c>
      <c r="B2066" s="35" t="s">
        <v>5767</v>
      </c>
      <c r="C2066" s="36" t="s">
        <v>5768</v>
      </c>
      <c r="D2066" s="35" t="s">
        <v>5769</v>
      </c>
      <c r="E2066" s="35" t="s">
        <v>12487</v>
      </c>
      <c r="F2066" s="35" t="s">
        <v>12483</v>
      </c>
      <c r="G2066" s="35">
        <v>350402</v>
      </c>
      <c r="H2066" s="35">
        <v>390010</v>
      </c>
      <c r="I2066" s="35">
        <v>200020</v>
      </c>
      <c r="J2066" s="34" t="s">
        <v>288</v>
      </c>
      <c r="K2066" s="34" t="str">
        <f t="shared" si="67"/>
        <v>不重复</v>
      </c>
      <c r="L2066" s="34" t="str">
        <f t="shared" si="68"/>
        <v>不重复</v>
      </c>
    </row>
    <row r="2067" spans="1:12" ht="27">
      <c r="A2067" s="35" t="s">
        <v>12490</v>
      </c>
      <c r="B2067" s="35" t="s">
        <v>5770</v>
      </c>
      <c r="C2067" s="36" t="s">
        <v>433</v>
      </c>
      <c r="D2067" s="35" t="s">
        <v>5771</v>
      </c>
      <c r="E2067" s="35" t="s">
        <v>12487</v>
      </c>
      <c r="F2067" s="35" t="s">
        <v>12483</v>
      </c>
      <c r="G2067" s="35">
        <v>350403</v>
      </c>
      <c r="H2067" s="35">
        <v>390010</v>
      </c>
      <c r="I2067" s="35">
        <v>200020</v>
      </c>
      <c r="J2067" s="34" t="s">
        <v>458</v>
      </c>
      <c r="K2067" s="34" t="str">
        <f t="shared" si="67"/>
        <v>重复</v>
      </c>
      <c r="L2067" s="34" t="str">
        <f t="shared" si="68"/>
        <v>不重复</v>
      </c>
    </row>
    <row r="2068" spans="1:12" ht="27">
      <c r="A2068" s="35" t="s">
        <v>12491</v>
      </c>
      <c r="B2068" s="35" t="s">
        <v>5772</v>
      </c>
      <c r="C2068" s="36" t="s">
        <v>5773</v>
      </c>
      <c r="D2068" s="35" t="s">
        <v>5774</v>
      </c>
      <c r="E2068" s="35" t="s">
        <v>12487</v>
      </c>
      <c r="F2068" s="35" t="s">
        <v>12483</v>
      </c>
      <c r="G2068" s="35">
        <v>350404</v>
      </c>
      <c r="H2068" s="35">
        <v>390010</v>
      </c>
      <c r="I2068" s="35">
        <v>200020</v>
      </c>
      <c r="J2068" s="34" t="s">
        <v>288</v>
      </c>
      <c r="K2068" s="34" t="str">
        <f t="shared" si="67"/>
        <v>重复</v>
      </c>
      <c r="L2068" s="34" t="str">
        <f t="shared" si="68"/>
        <v>不重复</v>
      </c>
    </row>
    <row r="2069" spans="1:12" ht="15">
      <c r="A2069" s="35" t="s">
        <v>12492</v>
      </c>
      <c r="B2069" s="35" t="s">
        <v>5775</v>
      </c>
      <c r="C2069" s="36" t="s">
        <v>5776</v>
      </c>
      <c r="D2069" s="35" t="s">
        <v>5777</v>
      </c>
      <c r="E2069" s="35" t="s">
        <v>12492</v>
      </c>
      <c r="F2069" s="35" t="s">
        <v>12483</v>
      </c>
      <c r="G2069" s="35">
        <v>350500</v>
      </c>
      <c r="H2069" s="35">
        <v>390020</v>
      </c>
      <c r="I2069" s="35">
        <v>200020</v>
      </c>
      <c r="J2069" s="34" t="s">
        <v>16</v>
      </c>
      <c r="K2069" s="34" t="str">
        <f t="shared" si="67"/>
        <v>重复</v>
      </c>
      <c r="L2069" s="34" t="str">
        <f t="shared" si="68"/>
        <v>不重复</v>
      </c>
    </row>
    <row r="2070" spans="1:12" ht="15">
      <c r="A2070" s="35" t="s">
        <v>12493</v>
      </c>
      <c r="B2070" s="35" t="s">
        <v>5778</v>
      </c>
      <c r="C2070" s="36" t="s">
        <v>5776</v>
      </c>
      <c r="D2070" s="35" t="s">
        <v>5779</v>
      </c>
      <c r="E2070" s="35" t="s">
        <v>12492</v>
      </c>
      <c r="F2070" s="35" t="s">
        <v>12483</v>
      </c>
      <c r="G2070" s="35">
        <v>350501</v>
      </c>
      <c r="H2070" s="35">
        <v>390020</v>
      </c>
      <c r="I2070" s="35">
        <v>200020</v>
      </c>
      <c r="J2070" s="34" t="s">
        <v>985</v>
      </c>
      <c r="K2070" s="34" t="str">
        <f t="shared" si="67"/>
        <v>重复</v>
      </c>
      <c r="L2070" s="34" t="str">
        <f t="shared" si="68"/>
        <v>不重复</v>
      </c>
    </row>
    <row r="2071" spans="1:12" ht="30">
      <c r="A2071" s="35" t="s">
        <v>12494</v>
      </c>
      <c r="B2071" s="35" t="s">
        <v>5780</v>
      </c>
      <c r="C2071" s="36" t="s">
        <v>5781</v>
      </c>
      <c r="D2071" s="35" t="s">
        <v>5782</v>
      </c>
      <c r="E2071" s="35" t="s">
        <v>12492</v>
      </c>
      <c r="F2071" s="35" t="s">
        <v>12483</v>
      </c>
      <c r="G2071" s="35">
        <v>350502</v>
      </c>
      <c r="H2071" s="35">
        <v>390020</v>
      </c>
      <c r="I2071" s="35">
        <v>200020</v>
      </c>
      <c r="J2071" s="34" t="s">
        <v>932</v>
      </c>
      <c r="K2071" s="34" t="str">
        <f t="shared" si="67"/>
        <v>不重复</v>
      </c>
      <c r="L2071" s="34" t="str">
        <f t="shared" si="68"/>
        <v>不重复</v>
      </c>
    </row>
    <row r="2072" spans="1:12" ht="15">
      <c r="A2072" s="35" t="s">
        <v>12495</v>
      </c>
      <c r="B2072" s="35" t="s">
        <v>5783</v>
      </c>
      <c r="C2072" s="36" t="s">
        <v>5784</v>
      </c>
      <c r="D2072" s="35" t="s">
        <v>2148</v>
      </c>
      <c r="E2072" s="35" t="s">
        <v>12495</v>
      </c>
      <c r="F2072" s="35" t="s">
        <v>12483</v>
      </c>
      <c r="G2072" s="35">
        <v>350600</v>
      </c>
      <c r="H2072" s="35">
        <v>390030</v>
      </c>
      <c r="I2072" s="35">
        <v>200020</v>
      </c>
      <c r="J2072" s="34" t="s">
        <v>16</v>
      </c>
      <c r="K2072" s="34" t="str">
        <f t="shared" si="67"/>
        <v>不重复</v>
      </c>
      <c r="L2072" s="34" t="str">
        <f t="shared" si="68"/>
        <v>重复</v>
      </c>
    </row>
    <row r="2073" spans="1:12" ht="15">
      <c r="A2073" s="35" t="s">
        <v>12496</v>
      </c>
      <c r="B2073" s="35" t="s">
        <v>5785</v>
      </c>
      <c r="C2073" s="36" t="s">
        <v>5786</v>
      </c>
      <c r="D2073" s="35" t="s">
        <v>5787</v>
      </c>
      <c r="E2073" s="35" t="s">
        <v>12495</v>
      </c>
      <c r="F2073" s="35" t="s">
        <v>12483</v>
      </c>
      <c r="G2073" s="35">
        <v>350601</v>
      </c>
      <c r="H2073" s="35">
        <v>390030</v>
      </c>
      <c r="I2073" s="35">
        <v>200020</v>
      </c>
      <c r="J2073" s="34" t="s">
        <v>5788</v>
      </c>
      <c r="K2073" s="34" t="str">
        <f t="shared" si="67"/>
        <v>不重复</v>
      </c>
      <c r="L2073" s="34" t="str">
        <f t="shared" si="68"/>
        <v>不重复</v>
      </c>
    </row>
    <row r="2074" spans="1:12" ht="15">
      <c r="A2074" s="35" t="s">
        <v>12497</v>
      </c>
      <c r="B2074" s="35" t="s">
        <v>5789</v>
      </c>
      <c r="C2074" s="36" t="s">
        <v>5790</v>
      </c>
      <c r="D2074" s="35" t="s">
        <v>5791</v>
      </c>
      <c r="E2074" s="35" t="s">
        <v>12495</v>
      </c>
      <c r="F2074" s="35" t="s">
        <v>12483</v>
      </c>
      <c r="G2074" s="35">
        <v>350602</v>
      </c>
      <c r="H2074" s="35">
        <v>390030</v>
      </c>
      <c r="I2074" s="35">
        <v>200020</v>
      </c>
      <c r="J2074" s="34" t="s">
        <v>5792</v>
      </c>
      <c r="K2074" s="34" t="str">
        <f t="shared" si="67"/>
        <v>不重复</v>
      </c>
      <c r="L2074" s="34" t="str">
        <f t="shared" si="68"/>
        <v>不重复</v>
      </c>
    </row>
    <row r="2075" spans="1:12" ht="15">
      <c r="A2075" s="35" t="s">
        <v>12498</v>
      </c>
      <c r="B2075" s="35" t="s">
        <v>5793</v>
      </c>
      <c r="C2075" s="36" t="s">
        <v>5794</v>
      </c>
      <c r="D2075" s="35" t="s">
        <v>5795</v>
      </c>
      <c r="E2075" s="35" t="s">
        <v>12495</v>
      </c>
      <c r="F2075" s="35" t="s">
        <v>12483</v>
      </c>
      <c r="G2075" s="35">
        <v>350603</v>
      </c>
      <c r="H2075" s="35">
        <v>390030</v>
      </c>
      <c r="I2075" s="35">
        <v>200020</v>
      </c>
      <c r="J2075" s="34" t="s">
        <v>692</v>
      </c>
      <c r="K2075" s="34" t="str">
        <f t="shared" si="67"/>
        <v>不重复</v>
      </c>
      <c r="L2075" s="34" t="str">
        <f t="shared" si="68"/>
        <v>不重复</v>
      </c>
    </row>
    <row r="2076" spans="1:12" ht="30">
      <c r="A2076" s="35" t="s">
        <v>12499</v>
      </c>
      <c r="B2076" s="35" t="s">
        <v>5796</v>
      </c>
      <c r="C2076" s="36" t="s">
        <v>5797</v>
      </c>
      <c r="D2076" s="35" t="s">
        <v>5798</v>
      </c>
      <c r="E2076" s="35" t="s">
        <v>12495</v>
      </c>
      <c r="F2076" s="35" t="s">
        <v>12483</v>
      </c>
      <c r="G2076" s="35">
        <v>350604</v>
      </c>
      <c r="H2076" s="35">
        <v>390030</v>
      </c>
      <c r="I2076" s="35">
        <v>200020</v>
      </c>
      <c r="J2076" s="34" t="s">
        <v>5799</v>
      </c>
      <c r="K2076" s="34" t="str">
        <f t="shared" si="67"/>
        <v>不重复</v>
      </c>
      <c r="L2076" s="34" t="str">
        <f t="shared" si="68"/>
        <v>不重复</v>
      </c>
    </row>
    <row r="2077" spans="1:12" ht="15">
      <c r="A2077" s="35" t="s">
        <v>12500</v>
      </c>
      <c r="B2077" s="35" t="s">
        <v>5800</v>
      </c>
      <c r="C2077" s="36" t="s">
        <v>4305</v>
      </c>
      <c r="D2077" s="35" t="s">
        <v>5801</v>
      </c>
      <c r="E2077" s="35" t="s">
        <v>12495</v>
      </c>
      <c r="F2077" s="35" t="s">
        <v>12483</v>
      </c>
      <c r="G2077" s="35">
        <v>350605</v>
      </c>
      <c r="H2077" s="35">
        <v>390030</v>
      </c>
      <c r="I2077" s="35">
        <v>200020</v>
      </c>
      <c r="J2077" s="34" t="s">
        <v>5802</v>
      </c>
      <c r="K2077" s="34" t="str">
        <f t="shared" si="67"/>
        <v>重复</v>
      </c>
      <c r="L2077" s="34" t="str">
        <f t="shared" si="68"/>
        <v>不重复</v>
      </c>
    </row>
    <row r="2078" spans="1:12" ht="15">
      <c r="A2078" s="35" t="s">
        <v>12501</v>
      </c>
      <c r="B2078" s="35" t="s">
        <v>5803</v>
      </c>
      <c r="C2078" s="36" t="s">
        <v>2223</v>
      </c>
      <c r="D2078" s="35" t="s">
        <v>5804</v>
      </c>
      <c r="E2078" s="35" t="s">
        <v>12495</v>
      </c>
      <c r="F2078" s="35" t="s">
        <v>12483</v>
      </c>
      <c r="G2078" s="35">
        <v>350606</v>
      </c>
      <c r="H2078" s="35">
        <v>390030</v>
      </c>
      <c r="I2078" s="35">
        <v>200020</v>
      </c>
      <c r="J2078" s="34" t="s">
        <v>932</v>
      </c>
      <c r="K2078" s="34" t="str">
        <f t="shared" si="67"/>
        <v>重复</v>
      </c>
      <c r="L2078" s="34" t="str">
        <f t="shared" si="68"/>
        <v>不重复</v>
      </c>
    </row>
    <row r="2079" spans="1:12" ht="15">
      <c r="A2079" s="35" t="s">
        <v>12502</v>
      </c>
      <c r="B2079" s="35" t="s">
        <v>5805</v>
      </c>
      <c r="C2079" s="36" t="s">
        <v>844</v>
      </c>
      <c r="D2079" s="35" t="s">
        <v>5806</v>
      </c>
      <c r="E2079" s="35" t="s">
        <v>12495</v>
      </c>
      <c r="F2079" s="35" t="s">
        <v>12483</v>
      </c>
      <c r="G2079" s="35">
        <v>350607</v>
      </c>
      <c r="H2079" s="35">
        <v>390030</v>
      </c>
      <c r="I2079" s="35">
        <v>200020</v>
      </c>
      <c r="J2079" s="34" t="s">
        <v>878</v>
      </c>
      <c r="K2079" s="34" t="str">
        <f t="shared" si="67"/>
        <v>重复</v>
      </c>
      <c r="L2079" s="34" t="str">
        <f t="shared" si="68"/>
        <v>不重复</v>
      </c>
    </row>
    <row r="2080" spans="1:12" ht="15">
      <c r="A2080" s="35" t="s">
        <v>12503</v>
      </c>
      <c r="B2080" s="35" t="s">
        <v>5807</v>
      </c>
      <c r="C2080" s="36" t="s">
        <v>5808</v>
      </c>
      <c r="D2080" s="35" t="s">
        <v>5809</v>
      </c>
      <c r="E2080" s="35" t="s">
        <v>12495</v>
      </c>
      <c r="F2080" s="35" t="s">
        <v>12483</v>
      </c>
      <c r="G2080" s="35">
        <v>350608</v>
      </c>
      <c r="H2080" s="35">
        <v>390030</v>
      </c>
      <c r="I2080" s="35">
        <v>200020</v>
      </c>
      <c r="J2080" s="34" t="s">
        <v>932</v>
      </c>
      <c r="K2080" s="34" t="str">
        <f t="shared" si="67"/>
        <v>不重复</v>
      </c>
      <c r="L2080" s="34" t="str">
        <f t="shared" si="68"/>
        <v>不重复</v>
      </c>
    </row>
    <row r="2081" spans="1:12" ht="30">
      <c r="A2081" s="35" t="s">
        <v>12504</v>
      </c>
      <c r="B2081" s="35" t="s">
        <v>5810</v>
      </c>
      <c r="C2081" s="36" t="s">
        <v>5811</v>
      </c>
      <c r="D2081" s="35" t="s">
        <v>5812</v>
      </c>
      <c r="E2081" s="35" t="s">
        <v>12495</v>
      </c>
      <c r="F2081" s="35" t="s">
        <v>12483</v>
      </c>
      <c r="G2081" s="35">
        <v>350609</v>
      </c>
      <c r="H2081" s="35">
        <v>390030</v>
      </c>
      <c r="I2081" s="35">
        <v>200020</v>
      </c>
      <c r="J2081" s="34" t="s">
        <v>288</v>
      </c>
      <c r="K2081" s="34" t="str">
        <f t="shared" si="67"/>
        <v>不重复</v>
      </c>
      <c r="L2081" s="34" t="str">
        <f t="shared" si="68"/>
        <v>不重复</v>
      </c>
    </row>
    <row r="2082" spans="1:12" ht="15">
      <c r="A2082" s="35" t="s">
        <v>12505</v>
      </c>
      <c r="B2082" s="35" t="s">
        <v>5813</v>
      </c>
      <c r="C2082" s="36" t="s">
        <v>5814</v>
      </c>
      <c r="D2082" s="35" t="s">
        <v>5815</v>
      </c>
      <c r="E2082" s="35" t="s">
        <v>12495</v>
      </c>
      <c r="F2082" s="35" t="s">
        <v>12483</v>
      </c>
      <c r="G2082" s="35">
        <v>350610</v>
      </c>
      <c r="H2082" s="35">
        <v>390030</v>
      </c>
      <c r="I2082" s="35">
        <v>200020</v>
      </c>
      <c r="J2082" s="34" t="s">
        <v>5816</v>
      </c>
      <c r="K2082" s="34" t="str">
        <f t="shared" si="67"/>
        <v>重复</v>
      </c>
      <c r="L2082" s="34" t="str">
        <f t="shared" si="68"/>
        <v>不重复</v>
      </c>
    </row>
    <row r="2083" spans="1:12" ht="15">
      <c r="A2083" s="35" t="s">
        <v>12506</v>
      </c>
      <c r="B2083" s="35" t="s">
        <v>5817</v>
      </c>
      <c r="C2083" s="36" t="s">
        <v>4480</v>
      </c>
      <c r="D2083" s="35" t="s">
        <v>5818</v>
      </c>
      <c r="E2083" s="35" t="s">
        <v>12495</v>
      </c>
      <c r="F2083" s="35" t="s">
        <v>12483</v>
      </c>
      <c r="G2083" s="35">
        <v>350611</v>
      </c>
      <c r="H2083" s="35">
        <v>390030</v>
      </c>
      <c r="I2083" s="35">
        <v>200020</v>
      </c>
      <c r="J2083" s="34" t="s">
        <v>261</v>
      </c>
      <c r="K2083" s="34" t="str">
        <f t="shared" si="67"/>
        <v>重复</v>
      </c>
      <c r="L2083" s="34" t="str">
        <f t="shared" si="68"/>
        <v>不重复</v>
      </c>
    </row>
    <row r="2084" spans="1:12" ht="15">
      <c r="A2084" s="35" t="s">
        <v>12507</v>
      </c>
      <c r="B2084" s="35" t="s">
        <v>5819</v>
      </c>
      <c r="C2084" s="36" t="s">
        <v>5820</v>
      </c>
      <c r="D2084" s="35" t="s">
        <v>1539</v>
      </c>
      <c r="E2084" s="35" t="s">
        <v>12495</v>
      </c>
      <c r="F2084" s="35" t="s">
        <v>12483</v>
      </c>
      <c r="G2084" s="35">
        <v>350612</v>
      </c>
      <c r="H2084" s="35">
        <v>390030</v>
      </c>
      <c r="I2084" s="35">
        <v>200020</v>
      </c>
      <c r="J2084" s="34" t="s">
        <v>5315</v>
      </c>
      <c r="K2084" s="34" t="str">
        <f t="shared" si="67"/>
        <v>不重复</v>
      </c>
      <c r="L2084" s="34" t="str">
        <f t="shared" si="68"/>
        <v>重复</v>
      </c>
    </row>
    <row r="2085" spans="1:12" ht="27">
      <c r="A2085" s="35" t="s">
        <v>12508</v>
      </c>
      <c r="B2085" s="35" t="s">
        <v>5821</v>
      </c>
      <c r="C2085" s="36" t="s">
        <v>5822</v>
      </c>
      <c r="D2085" s="35" t="s">
        <v>5823</v>
      </c>
      <c r="E2085" s="35" t="s">
        <v>12495</v>
      </c>
      <c r="F2085" s="35" t="s">
        <v>12483</v>
      </c>
      <c r="G2085" s="35">
        <v>350613</v>
      </c>
      <c r="H2085" s="35">
        <v>390030</v>
      </c>
      <c r="I2085" s="35">
        <v>200020</v>
      </c>
      <c r="J2085" s="34" t="s">
        <v>311</v>
      </c>
      <c r="K2085" s="34" t="str">
        <f t="shared" si="67"/>
        <v>不重复</v>
      </c>
      <c r="L2085" s="34" t="str">
        <f t="shared" si="68"/>
        <v>不重复</v>
      </c>
    </row>
    <row r="2086" spans="1:12" ht="30">
      <c r="A2086" s="35" t="s">
        <v>12509</v>
      </c>
      <c r="B2086" s="35" t="s">
        <v>5824</v>
      </c>
      <c r="C2086" s="36" t="s">
        <v>5825</v>
      </c>
      <c r="D2086" s="35" t="s">
        <v>5826</v>
      </c>
      <c r="E2086" s="35" t="s">
        <v>12495</v>
      </c>
      <c r="F2086" s="35" t="s">
        <v>12483</v>
      </c>
      <c r="G2086" s="35">
        <v>350614</v>
      </c>
      <c r="H2086" s="35">
        <v>390030</v>
      </c>
      <c r="I2086" s="35">
        <v>200020</v>
      </c>
      <c r="J2086" s="34" t="s">
        <v>4985</v>
      </c>
      <c r="K2086" s="34" t="str">
        <f t="shared" si="67"/>
        <v>不重复</v>
      </c>
      <c r="L2086" s="34" t="str">
        <f t="shared" si="68"/>
        <v>不重复</v>
      </c>
    </row>
    <row r="2087" spans="1:12" ht="27">
      <c r="A2087" s="35" t="s">
        <v>12510</v>
      </c>
      <c r="B2087" s="35" t="s">
        <v>5827</v>
      </c>
      <c r="C2087" s="36" t="s">
        <v>5828</v>
      </c>
      <c r="D2087" s="35" t="s">
        <v>3196</v>
      </c>
      <c r="E2087" s="35" t="s">
        <v>12495</v>
      </c>
      <c r="F2087" s="35" t="s">
        <v>12483</v>
      </c>
      <c r="G2087" s="35">
        <v>350615</v>
      </c>
      <c r="H2087" s="35">
        <v>390030</v>
      </c>
      <c r="I2087" s="35">
        <v>200020</v>
      </c>
      <c r="J2087" s="34" t="s">
        <v>3185</v>
      </c>
      <c r="K2087" s="34" t="str">
        <f t="shared" si="67"/>
        <v>重复</v>
      </c>
      <c r="L2087" s="34" t="str">
        <f t="shared" si="68"/>
        <v>重复</v>
      </c>
    </row>
    <row r="2088" spans="1:12" ht="30">
      <c r="A2088" s="35" t="s">
        <v>12511</v>
      </c>
      <c r="B2088" s="35" t="s">
        <v>5829</v>
      </c>
      <c r="C2088" s="36" t="s">
        <v>5317</v>
      </c>
      <c r="D2088" s="35" t="s">
        <v>5830</v>
      </c>
      <c r="E2088" s="35" t="s">
        <v>12495</v>
      </c>
      <c r="F2088" s="35" t="s">
        <v>12483</v>
      </c>
      <c r="G2088" s="35">
        <v>350616</v>
      </c>
      <c r="H2088" s="35">
        <v>390030</v>
      </c>
      <c r="I2088" s="35">
        <v>200020</v>
      </c>
      <c r="J2088" s="34" t="s">
        <v>715</v>
      </c>
      <c r="K2088" s="34" t="str">
        <f t="shared" si="67"/>
        <v>重复</v>
      </c>
      <c r="L2088" s="34" t="str">
        <f t="shared" si="68"/>
        <v>不重复</v>
      </c>
    </row>
    <row r="2089" spans="1:12" ht="27">
      <c r="A2089" s="35" t="s">
        <v>12512</v>
      </c>
      <c r="B2089" s="35" t="s">
        <v>5831</v>
      </c>
      <c r="C2089" s="36" t="s">
        <v>5832</v>
      </c>
      <c r="D2089" s="35" t="s">
        <v>5833</v>
      </c>
      <c r="E2089" s="35" t="s">
        <v>12495</v>
      </c>
      <c r="F2089" s="35" t="s">
        <v>12483</v>
      </c>
      <c r="G2089" s="35">
        <v>350617</v>
      </c>
      <c r="H2089" s="35">
        <v>390030</v>
      </c>
      <c r="I2089" s="35">
        <v>200020</v>
      </c>
      <c r="J2089" s="34" t="s">
        <v>1134</v>
      </c>
      <c r="K2089" s="34" t="str">
        <f t="shared" si="67"/>
        <v>重复</v>
      </c>
      <c r="L2089" s="34" t="str">
        <f t="shared" si="68"/>
        <v>不重复</v>
      </c>
    </row>
    <row r="2090" spans="1:12" ht="27">
      <c r="A2090" s="35" t="s">
        <v>12513</v>
      </c>
      <c r="B2090" s="35" t="s">
        <v>5834</v>
      </c>
      <c r="C2090" s="36" t="s">
        <v>5835</v>
      </c>
      <c r="D2090" s="35" t="s">
        <v>5836</v>
      </c>
      <c r="E2090" s="35" t="s">
        <v>12495</v>
      </c>
      <c r="F2090" s="35" t="s">
        <v>12483</v>
      </c>
      <c r="G2090" s="35">
        <v>350618</v>
      </c>
      <c r="H2090" s="35">
        <v>390030</v>
      </c>
      <c r="I2090" s="35">
        <v>200020</v>
      </c>
      <c r="J2090" s="34" t="s">
        <v>5837</v>
      </c>
      <c r="K2090" s="34" t="str">
        <f t="shared" si="67"/>
        <v>不重复</v>
      </c>
      <c r="L2090" s="34" t="str">
        <f t="shared" si="68"/>
        <v>不重复</v>
      </c>
    </row>
    <row r="2091" spans="1:12" ht="15">
      <c r="A2091" s="35" t="s">
        <v>12514</v>
      </c>
      <c r="B2091" s="35" t="s">
        <v>5838</v>
      </c>
      <c r="C2091" s="36" t="s">
        <v>3395</v>
      </c>
      <c r="D2091" s="35" t="s">
        <v>5839</v>
      </c>
      <c r="E2091" s="35" t="s">
        <v>12495</v>
      </c>
      <c r="F2091" s="35" t="s">
        <v>12483</v>
      </c>
      <c r="G2091" s="35">
        <v>350619</v>
      </c>
      <c r="H2091" s="35">
        <v>390030</v>
      </c>
      <c r="I2091" s="35">
        <v>200020</v>
      </c>
      <c r="J2091" s="34" t="s">
        <v>1134</v>
      </c>
      <c r="K2091" s="34" t="str">
        <f t="shared" si="67"/>
        <v>重复</v>
      </c>
      <c r="L2091" s="34" t="str">
        <f t="shared" si="68"/>
        <v>不重复</v>
      </c>
    </row>
    <row r="2092" spans="1:12" ht="15">
      <c r="A2092" s="35" t="s">
        <v>12515</v>
      </c>
      <c r="B2092" s="35" t="s">
        <v>5840</v>
      </c>
      <c r="C2092" s="36" t="s">
        <v>1017</v>
      </c>
      <c r="D2092" s="35" t="s">
        <v>2584</v>
      </c>
      <c r="E2092" s="35" t="s">
        <v>12495</v>
      </c>
      <c r="F2092" s="35" t="s">
        <v>12483</v>
      </c>
      <c r="G2092" s="35">
        <v>350620</v>
      </c>
      <c r="H2092" s="35">
        <v>390030</v>
      </c>
      <c r="I2092" s="35">
        <v>200020</v>
      </c>
      <c r="J2092" s="34" t="s">
        <v>1137</v>
      </c>
      <c r="K2092" s="34" t="str">
        <f t="shared" si="67"/>
        <v>重复</v>
      </c>
      <c r="L2092" s="34" t="str">
        <f t="shared" si="68"/>
        <v>重复</v>
      </c>
    </row>
    <row r="2093" spans="1:12" ht="15">
      <c r="A2093" s="35" t="s">
        <v>12516</v>
      </c>
      <c r="B2093" s="35" t="s">
        <v>5841</v>
      </c>
      <c r="C2093" s="36" t="s">
        <v>3649</v>
      </c>
      <c r="D2093" s="35" t="s">
        <v>5842</v>
      </c>
      <c r="E2093" s="35" t="s">
        <v>12495</v>
      </c>
      <c r="F2093" s="35" t="s">
        <v>12483</v>
      </c>
      <c r="G2093" s="35">
        <v>350621</v>
      </c>
      <c r="H2093" s="35">
        <v>390030</v>
      </c>
      <c r="I2093" s="35">
        <v>200020</v>
      </c>
      <c r="J2093" s="34" t="s">
        <v>1114</v>
      </c>
      <c r="K2093" s="34" t="str">
        <f t="shared" si="67"/>
        <v>重复</v>
      </c>
      <c r="L2093" s="34" t="str">
        <f t="shared" si="68"/>
        <v>不重复</v>
      </c>
    </row>
    <row r="2094" spans="1:12" ht="15">
      <c r="A2094" s="35" t="s">
        <v>12517</v>
      </c>
      <c r="B2094" s="35" t="s">
        <v>5843</v>
      </c>
      <c r="C2094" s="36" t="s">
        <v>496</v>
      </c>
      <c r="D2094" s="35" t="s">
        <v>5844</v>
      </c>
      <c r="E2094" s="35" t="s">
        <v>12495</v>
      </c>
      <c r="F2094" s="35" t="s">
        <v>12483</v>
      </c>
      <c r="G2094" s="35">
        <v>350622</v>
      </c>
      <c r="H2094" s="35">
        <v>390030</v>
      </c>
      <c r="I2094" s="35">
        <v>200020</v>
      </c>
      <c r="J2094" s="34" t="s">
        <v>82</v>
      </c>
      <c r="K2094" s="34" t="str">
        <f t="shared" si="67"/>
        <v>重复</v>
      </c>
      <c r="L2094" s="34" t="str">
        <f t="shared" si="68"/>
        <v>不重复</v>
      </c>
    </row>
    <row r="2095" spans="1:12" ht="15">
      <c r="A2095" s="35" t="s">
        <v>12518</v>
      </c>
      <c r="B2095" s="35" t="s">
        <v>5845</v>
      </c>
      <c r="C2095" s="36" t="s">
        <v>5846</v>
      </c>
      <c r="D2095" s="35" t="s">
        <v>5847</v>
      </c>
      <c r="E2095" s="35" t="s">
        <v>12495</v>
      </c>
      <c r="F2095" s="35" t="s">
        <v>12483</v>
      </c>
      <c r="G2095" s="35">
        <v>350623</v>
      </c>
      <c r="H2095" s="35">
        <v>390030</v>
      </c>
      <c r="I2095" s="35">
        <v>200020</v>
      </c>
      <c r="J2095" s="34" t="s">
        <v>5848</v>
      </c>
      <c r="K2095" s="34" t="str">
        <f t="shared" si="67"/>
        <v>不重复</v>
      </c>
      <c r="L2095" s="34" t="str">
        <f t="shared" si="68"/>
        <v>不重复</v>
      </c>
    </row>
    <row r="2096" spans="1:12" ht="15">
      <c r="A2096" s="35" t="s">
        <v>12519</v>
      </c>
      <c r="B2096" s="35" t="s">
        <v>5849</v>
      </c>
      <c r="C2096" s="36" t="s">
        <v>5850</v>
      </c>
      <c r="D2096" s="35" t="s">
        <v>5851</v>
      </c>
      <c r="E2096" s="35" t="s">
        <v>12495</v>
      </c>
      <c r="F2096" s="35" t="s">
        <v>12483</v>
      </c>
      <c r="G2096" s="35">
        <v>350624</v>
      </c>
      <c r="H2096" s="35">
        <v>390030</v>
      </c>
      <c r="I2096" s="35">
        <v>200020</v>
      </c>
      <c r="J2096" s="34" t="s">
        <v>2630</v>
      </c>
      <c r="K2096" s="34" t="str">
        <f t="shared" si="67"/>
        <v>不重复</v>
      </c>
      <c r="L2096" s="34" t="str">
        <f t="shared" si="68"/>
        <v>不重复</v>
      </c>
    </row>
    <row r="2097" spans="1:12" ht="15">
      <c r="A2097" s="35" t="s">
        <v>12520</v>
      </c>
      <c r="B2097" s="35" t="s">
        <v>5852</v>
      </c>
      <c r="C2097" s="36" t="s">
        <v>2503</v>
      </c>
      <c r="D2097" s="35" t="s">
        <v>2912</v>
      </c>
      <c r="E2097" s="35" t="s">
        <v>12495</v>
      </c>
      <c r="F2097" s="35" t="s">
        <v>12483</v>
      </c>
      <c r="G2097" s="35">
        <v>350625</v>
      </c>
      <c r="H2097" s="35">
        <v>390030</v>
      </c>
      <c r="I2097" s="35">
        <v>200020</v>
      </c>
      <c r="J2097" s="34" t="s">
        <v>5853</v>
      </c>
      <c r="K2097" s="34" t="str">
        <f t="shared" si="67"/>
        <v>重复</v>
      </c>
      <c r="L2097" s="34" t="str">
        <f t="shared" si="68"/>
        <v>重复</v>
      </c>
    </row>
    <row r="2098" spans="1:12" ht="15">
      <c r="A2098" s="35" t="s">
        <v>12521</v>
      </c>
      <c r="B2098" s="35" t="s">
        <v>5854</v>
      </c>
      <c r="C2098" s="36" t="s">
        <v>974</v>
      </c>
      <c r="D2098" s="35" t="s">
        <v>5855</v>
      </c>
      <c r="E2098" s="35" t="s">
        <v>12495</v>
      </c>
      <c r="F2098" s="35" t="s">
        <v>12483</v>
      </c>
      <c r="G2098" s="35">
        <v>350626</v>
      </c>
      <c r="H2098" s="35">
        <v>390030</v>
      </c>
      <c r="I2098" s="35">
        <v>200020</v>
      </c>
      <c r="J2098" s="34" t="s">
        <v>3437</v>
      </c>
      <c r="K2098" s="34" t="str">
        <f t="shared" si="67"/>
        <v>重复</v>
      </c>
      <c r="L2098" s="34" t="str">
        <f t="shared" si="68"/>
        <v>不重复</v>
      </c>
    </row>
    <row r="2099" spans="1:12" ht="15">
      <c r="A2099" s="35" t="s">
        <v>12522</v>
      </c>
      <c r="B2099" s="35" t="s">
        <v>5856</v>
      </c>
      <c r="C2099" s="36" t="s">
        <v>3347</v>
      </c>
      <c r="D2099" s="35" t="s">
        <v>5857</v>
      </c>
      <c r="E2099" s="35" t="s">
        <v>12495</v>
      </c>
      <c r="F2099" s="35" t="s">
        <v>12483</v>
      </c>
      <c r="G2099" s="35">
        <v>350627</v>
      </c>
      <c r="H2099" s="35">
        <v>390030</v>
      </c>
      <c r="I2099" s="35">
        <v>200020</v>
      </c>
      <c r="J2099" s="34" t="s">
        <v>5858</v>
      </c>
      <c r="K2099" s="34" t="str">
        <f t="shared" si="67"/>
        <v>重复</v>
      </c>
      <c r="L2099" s="34" t="str">
        <f t="shared" si="68"/>
        <v>不重复</v>
      </c>
    </row>
    <row r="2100" spans="1:12" ht="15">
      <c r="A2100" s="35" t="s">
        <v>12523</v>
      </c>
      <c r="B2100" s="35" t="s">
        <v>5859</v>
      </c>
      <c r="C2100" s="36" t="s">
        <v>2343</v>
      </c>
      <c r="D2100" s="35" t="s">
        <v>5860</v>
      </c>
      <c r="E2100" s="35" t="s">
        <v>12495</v>
      </c>
      <c r="F2100" s="35" t="s">
        <v>12483</v>
      </c>
      <c r="G2100" s="35">
        <v>350628</v>
      </c>
      <c r="H2100" s="35">
        <v>390030</v>
      </c>
      <c r="I2100" s="35">
        <v>200020</v>
      </c>
      <c r="J2100" s="34" t="s">
        <v>688</v>
      </c>
      <c r="K2100" s="34" t="str">
        <f t="shared" si="67"/>
        <v>重复</v>
      </c>
      <c r="L2100" s="34" t="str">
        <f t="shared" si="68"/>
        <v>不重复</v>
      </c>
    </row>
    <row r="2101" spans="1:12" ht="30">
      <c r="A2101" s="35" t="s">
        <v>12524</v>
      </c>
      <c r="B2101" s="35" t="s">
        <v>5861</v>
      </c>
      <c r="C2101" s="36" t="s">
        <v>5862</v>
      </c>
      <c r="D2101" s="35" t="s">
        <v>5863</v>
      </c>
      <c r="E2101" s="35" t="s">
        <v>12495</v>
      </c>
      <c r="F2101" s="35" t="s">
        <v>12483</v>
      </c>
      <c r="G2101" s="35">
        <v>350629</v>
      </c>
      <c r="H2101" s="35">
        <v>390030</v>
      </c>
      <c r="I2101" s="35">
        <v>200020</v>
      </c>
      <c r="J2101" s="34" t="s">
        <v>932</v>
      </c>
      <c r="K2101" s="34" t="str">
        <f t="shared" si="67"/>
        <v>不重复</v>
      </c>
      <c r="L2101" s="34" t="str">
        <f t="shared" si="68"/>
        <v>不重复</v>
      </c>
    </row>
    <row r="2102" spans="1:12" ht="27">
      <c r="A2102" s="35" t="s">
        <v>12525</v>
      </c>
      <c r="B2102" s="35" t="s">
        <v>5864</v>
      </c>
      <c r="C2102" s="36" t="s">
        <v>5865</v>
      </c>
      <c r="D2102" s="35" t="s">
        <v>5866</v>
      </c>
      <c r="E2102" s="35" t="s">
        <v>12495</v>
      </c>
      <c r="F2102" s="35" t="s">
        <v>12483</v>
      </c>
      <c r="G2102" s="35">
        <v>350630</v>
      </c>
      <c r="H2102" s="35">
        <v>390030</v>
      </c>
      <c r="I2102" s="35">
        <v>200020</v>
      </c>
      <c r="J2102" s="34" t="s">
        <v>317</v>
      </c>
      <c r="K2102" s="34" t="str">
        <f t="shared" si="67"/>
        <v>重复</v>
      </c>
      <c r="L2102" s="34" t="str">
        <f t="shared" si="68"/>
        <v>不重复</v>
      </c>
    </row>
    <row r="2103" spans="1:12" ht="27">
      <c r="A2103" s="35" t="s">
        <v>12526</v>
      </c>
      <c r="B2103" s="35" t="s">
        <v>5867</v>
      </c>
      <c r="C2103" s="36" t="s">
        <v>5868</v>
      </c>
      <c r="D2103" s="35" t="s">
        <v>5869</v>
      </c>
      <c r="E2103" s="35" t="s">
        <v>12495</v>
      </c>
      <c r="F2103" s="35" t="s">
        <v>12483</v>
      </c>
      <c r="G2103" s="35">
        <v>350631</v>
      </c>
      <c r="H2103" s="35">
        <v>390030</v>
      </c>
      <c r="I2103" s="35">
        <v>200020</v>
      </c>
      <c r="J2103" s="34" t="s">
        <v>668</v>
      </c>
      <c r="K2103" s="34" t="str">
        <f t="shared" si="67"/>
        <v>重复</v>
      </c>
      <c r="L2103" s="34" t="str">
        <f t="shared" si="68"/>
        <v>不重复</v>
      </c>
    </row>
    <row r="2104" spans="1:12" ht="27">
      <c r="A2104" s="35" t="s">
        <v>12527</v>
      </c>
      <c r="B2104" s="35" t="s">
        <v>5870</v>
      </c>
      <c r="C2104" s="36" t="s">
        <v>3366</v>
      </c>
      <c r="D2104" s="35" t="s">
        <v>5871</v>
      </c>
      <c r="E2104" s="35" t="s">
        <v>12495</v>
      </c>
      <c r="F2104" s="35" t="s">
        <v>12483</v>
      </c>
      <c r="G2104" s="35">
        <v>350632</v>
      </c>
      <c r="H2104" s="35">
        <v>390030</v>
      </c>
      <c r="I2104" s="35">
        <v>200020</v>
      </c>
      <c r="J2104" s="34" t="s">
        <v>2053</v>
      </c>
      <c r="K2104" s="34" t="str">
        <f t="shared" si="67"/>
        <v>重复</v>
      </c>
      <c r="L2104" s="34" t="str">
        <f t="shared" si="68"/>
        <v>不重复</v>
      </c>
    </row>
    <row r="2105" spans="1:12" ht="30">
      <c r="A2105" s="35" t="s">
        <v>12528</v>
      </c>
      <c r="B2105" s="35" t="s">
        <v>5872</v>
      </c>
      <c r="C2105" s="36" t="s">
        <v>241</v>
      </c>
      <c r="D2105" s="35" t="s">
        <v>5873</v>
      </c>
      <c r="E2105" s="35" t="s">
        <v>12495</v>
      </c>
      <c r="F2105" s="35" t="s">
        <v>12483</v>
      </c>
      <c r="G2105" s="35">
        <v>350633</v>
      </c>
      <c r="H2105" s="35">
        <v>390030</v>
      </c>
      <c r="I2105" s="35">
        <v>200020</v>
      </c>
      <c r="J2105" s="34" t="s">
        <v>5177</v>
      </c>
      <c r="K2105" s="34" t="str">
        <f t="shared" si="67"/>
        <v>重复</v>
      </c>
      <c r="L2105" s="34" t="str">
        <f t="shared" si="68"/>
        <v>不重复</v>
      </c>
    </row>
    <row r="2106" spans="1:12" ht="27">
      <c r="A2106" s="35" t="s">
        <v>12529</v>
      </c>
      <c r="B2106" s="35" t="s">
        <v>5874</v>
      </c>
      <c r="C2106" s="36" t="s">
        <v>5875</v>
      </c>
      <c r="D2106" s="35" t="s">
        <v>5876</v>
      </c>
      <c r="E2106" s="35" t="s">
        <v>12495</v>
      </c>
      <c r="F2106" s="35" t="s">
        <v>12483</v>
      </c>
      <c r="G2106" s="35">
        <v>350634</v>
      </c>
      <c r="H2106" s="35">
        <v>390030</v>
      </c>
      <c r="I2106" s="35">
        <v>200020</v>
      </c>
      <c r="J2106" s="34" t="s">
        <v>668</v>
      </c>
      <c r="K2106" s="34" t="str">
        <f t="shared" si="67"/>
        <v>不重复</v>
      </c>
      <c r="L2106" s="34" t="str">
        <f t="shared" si="68"/>
        <v>不重复</v>
      </c>
    </row>
    <row r="2107" spans="1:12" ht="27">
      <c r="A2107" s="35" t="s">
        <v>12530</v>
      </c>
      <c r="B2107" s="35" t="s">
        <v>5877</v>
      </c>
      <c r="C2107" s="36" t="s">
        <v>5878</v>
      </c>
      <c r="D2107" s="35" t="s">
        <v>5879</v>
      </c>
      <c r="E2107" s="35" t="s">
        <v>12495</v>
      </c>
      <c r="F2107" s="35" t="s">
        <v>12483</v>
      </c>
      <c r="G2107" s="35">
        <v>350635</v>
      </c>
      <c r="H2107" s="35">
        <v>390030</v>
      </c>
      <c r="I2107" s="35">
        <v>200020</v>
      </c>
      <c r="J2107" s="34" t="s">
        <v>688</v>
      </c>
      <c r="K2107" s="34" t="str">
        <f t="shared" si="67"/>
        <v>重复</v>
      </c>
      <c r="L2107" s="34" t="str">
        <f t="shared" si="68"/>
        <v>不重复</v>
      </c>
    </row>
    <row r="2108" spans="1:12" ht="30">
      <c r="A2108" s="35" t="s">
        <v>12531</v>
      </c>
      <c r="B2108" s="35" t="s">
        <v>5880</v>
      </c>
      <c r="C2108" s="36" t="s">
        <v>5881</v>
      </c>
      <c r="D2108" s="35" t="s">
        <v>5882</v>
      </c>
      <c r="E2108" s="35" t="s">
        <v>12495</v>
      </c>
      <c r="F2108" s="35" t="s">
        <v>12483</v>
      </c>
      <c r="G2108" s="35">
        <v>350636</v>
      </c>
      <c r="H2108" s="35">
        <v>390030</v>
      </c>
      <c r="I2108" s="35">
        <v>200020</v>
      </c>
      <c r="J2108" s="34" t="s">
        <v>302</v>
      </c>
      <c r="K2108" s="34" t="str">
        <f t="shared" si="67"/>
        <v>不重复</v>
      </c>
      <c r="L2108" s="34" t="str">
        <f t="shared" si="68"/>
        <v>不重复</v>
      </c>
    </row>
    <row r="2109" spans="1:12" ht="15">
      <c r="A2109" s="35" t="s">
        <v>12532</v>
      </c>
      <c r="B2109" s="35" t="s">
        <v>5883</v>
      </c>
      <c r="C2109" s="36" t="s">
        <v>5384</v>
      </c>
      <c r="D2109" s="35" t="s">
        <v>5884</v>
      </c>
      <c r="E2109" s="35" t="s">
        <v>12495</v>
      </c>
      <c r="F2109" s="35" t="s">
        <v>12483</v>
      </c>
      <c r="G2109" s="35">
        <v>350637</v>
      </c>
      <c r="H2109" s="35">
        <v>390030</v>
      </c>
      <c r="I2109" s="35">
        <v>200020</v>
      </c>
      <c r="J2109" s="34" t="s">
        <v>932</v>
      </c>
      <c r="K2109" s="34" t="str">
        <f t="shared" si="67"/>
        <v>重复</v>
      </c>
      <c r="L2109" s="34" t="str">
        <f t="shared" si="68"/>
        <v>不重复</v>
      </c>
    </row>
    <row r="2110" spans="1:12" ht="30">
      <c r="A2110" s="35" t="s">
        <v>12533</v>
      </c>
      <c r="B2110" s="35" t="s">
        <v>5885</v>
      </c>
      <c r="C2110" s="36" t="s">
        <v>5886</v>
      </c>
      <c r="D2110" s="35" t="s">
        <v>5887</v>
      </c>
      <c r="E2110" s="35" t="s">
        <v>12495</v>
      </c>
      <c r="F2110" s="35" t="s">
        <v>12483</v>
      </c>
      <c r="G2110" s="35">
        <v>350638</v>
      </c>
      <c r="H2110" s="35">
        <v>390030</v>
      </c>
      <c r="I2110" s="35">
        <v>200020</v>
      </c>
      <c r="J2110" s="34" t="s">
        <v>317</v>
      </c>
      <c r="K2110" s="34" t="str">
        <f t="shared" si="67"/>
        <v>重复</v>
      </c>
      <c r="L2110" s="34" t="str">
        <f t="shared" si="68"/>
        <v>不重复</v>
      </c>
    </row>
    <row r="2111" spans="1:12" ht="27">
      <c r="A2111" s="35" t="s">
        <v>12534</v>
      </c>
      <c r="B2111" s="35" t="s">
        <v>5888</v>
      </c>
      <c r="C2111" s="36" t="s">
        <v>5889</v>
      </c>
      <c r="D2111" s="35" t="s">
        <v>5890</v>
      </c>
      <c r="E2111" s="35" t="s">
        <v>12495</v>
      </c>
      <c r="F2111" s="35" t="s">
        <v>12483</v>
      </c>
      <c r="G2111" s="35">
        <v>350639</v>
      </c>
      <c r="H2111" s="35">
        <v>390030</v>
      </c>
      <c r="I2111" s="35">
        <v>200020</v>
      </c>
      <c r="J2111" s="34" t="s">
        <v>932</v>
      </c>
      <c r="K2111" s="34" t="str">
        <f t="shared" si="67"/>
        <v>重复</v>
      </c>
      <c r="L2111" s="34" t="str">
        <f t="shared" si="68"/>
        <v>不重复</v>
      </c>
    </row>
    <row r="2112" spans="1:12" ht="15">
      <c r="A2112" s="35" t="s">
        <v>12535</v>
      </c>
      <c r="B2112" s="35" t="s">
        <v>5891</v>
      </c>
      <c r="C2112" s="36" t="s">
        <v>5892</v>
      </c>
      <c r="D2112" s="35" t="s">
        <v>5893</v>
      </c>
      <c r="E2112" s="35" t="s">
        <v>12495</v>
      </c>
      <c r="F2112" s="35" t="s">
        <v>12483</v>
      </c>
      <c r="G2112" s="35">
        <v>350640</v>
      </c>
      <c r="H2112" s="35">
        <v>390030</v>
      </c>
      <c r="I2112" s="35">
        <v>200020</v>
      </c>
      <c r="J2112" s="34" t="s">
        <v>317</v>
      </c>
      <c r="K2112" s="34" t="str">
        <f t="shared" si="67"/>
        <v>不重复</v>
      </c>
      <c r="L2112" s="34" t="str">
        <f t="shared" si="68"/>
        <v>重复</v>
      </c>
    </row>
    <row r="2113" spans="1:12" ht="27">
      <c r="A2113" s="35" t="s">
        <v>12536</v>
      </c>
      <c r="B2113" s="35" t="s">
        <v>5894</v>
      </c>
      <c r="C2113" s="36" t="s">
        <v>5895</v>
      </c>
      <c r="D2113" s="35" t="s">
        <v>5896</v>
      </c>
      <c r="E2113" s="35" t="s">
        <v>12495</v>
      </c>
      <c r="F2113" s="35" t="s">
        <v>12483</v>
      </c>
      <c r="G2113" s="35">
        <v>350641</v>
      </c>
      <c r="H2113" s="35">
        <v>390030</v>
      </c>
      <c r="I2113" s="35">
        <v>200020</v>
      </c>
      <c r="J2113" s="34" t="s">
        <v>715</v>
      </c>
      <c r="K2113" s="34" t="str">
        <f t="shared" si="67"/>
        <v>重复</v>
      </c>
      <c r="L2113" s="34" t="str">
        <f t="shared" si="68"/>
        <v>不重复</v>
      </c>
    </row>
    <row r="2114" spans="1:12" ht="30">
      <c r="A2114" s="35" t="s">
        <v>12537</v>
      </c>
      <c r="B2114" s="35" t="s">
        <v>5897</v>
      </c>
      <c r="C2114" s="36" t="s">
        <v>945</v>
      </c>
      <c r="D2114" s="35" t="s">
        <v>5898</v>
      </c>
      <c r="E2114" s="35" t="s">
        <v>12495</v>
      </c>
      <c r="F2114" s="35" t="s">
        <v>12483</v>
      </c>
      <c r="G2114" s="35">
        <v>350642</v>
      </c>
      <c r="H2114" s="35">
        <v>390030</v>
      </c>
      <c r="I2114" s="35">
        <v>200020</v>
      </c>
      <c r="J2114" s="34" t="s">
        <v>363</v>
      </c>
      <c r="K2114" s="34" t="str">
        <f t="shared" si="67"/>
        <v>重复</v>
      </c>
      <c r="L2114" s="34" t="str">
        <f t="shared" si="68"/>
        <v>不重复</v>
      </c>
    </row>
    <row r="2115" spans="1:12" ht="27">
      <c r="A2115" s="35" t="s">
        <v>12538</v>
      </c>
      <c r="B2115" s="35" t="s">
        <v>5899</v>
      </c>
      <c r="C2115" s="36" t="s">
        <v>388</v>
      </c>
      <c r="D2115" s="35" t="s">
        <v>5900</v>
      </c>
      <c r="E2115" s="35" t="s">
        <v>12495</v>
      </c>
      <c r="F2115" s="35" t="s">
        <v>12483</v>
      </c>
      <c r="G2115" s="35">
        <v>350643</v>
      </c>
      <c r="H2115" s="35">
        <v>390030</v>
      </c>
      <c r="I2115" s="35">
        <v>200020</v>
      </c>
      <c r="J2115" s="34" t="s">
        <v>688</v>
      </c>
      <c r="K2115" s="34" t="str">
        <f t="shared" si="67"/>
        <v>重复</v>
      </c>
      <c r="L2115" s="34" t="str">
        <f t="shared" si="68"/>
        <v>不重复</v>
      </c>
    </row>
    <row r="2116" spans="1:12" ht="15">
      <c r="A2116" s="35" t="s">
        <v>12539</v>
      </c>
      <c r="B2116" s="35" t="s">
        <v>5901</v>
      </c>
      <c r="C2116" s="36" t="s">
        <v>5902</v>
      </c>
      <c r="D2116" s="35" t="s">
        <v>5903</v>
      </c>
      <c r="E2116" s="35" t="s">
        <v>12495</v>
      </c>
      <c r="F2116" s="35" t="s">
        <v>12483</v>
      </c>
      <c r="G2116" s="35">
        <v>350644</v>
      </c>
      <c r="H2116" s="35">
        <v>390030</v>
      </c>
      <c r="I2116" s="35">
        <v>200020</v>
      </c>
      <c r="J2116" s="34" t="s">
        <v>715</v>
      </c>
      <c r="K2116" s="34" t="str">
        <f t="shared" si="67"/>
        <v>不重复</v>
      </c>
      <c r="L2116" s="34" t="str">
        <f t="shared" si="68"/>
        <v>不重复</v>
      </c>
    </row>
    <row r="2117" spans="1:12" ht="27">
      <c r="A2117" s="35" t="s">
        <v>12540</v>
      </c>
      <c r="B2117" s="35" t="s">
        <v>5904</v>
      </c>
      <c r="C2117" s="36" t="s">
        <v>5895</v>
      </c>
      <c r="D2117" s="35" t="s">
        <v>5905</v>
      </c>
      <c r="E2117" s="35" t="s">
        <v>12495</v>
      </c>
      <c r="F2117" s="35" t="s">
        <v>12483</v>
      </c>
      <c r="G2117" s="35">
        <v>350645</v>
      </c>
      <c r="H2117" s="35">
        <v>390030</v>
      </c>
      <c r="I2117" s="35">
        <v>200020</v>
      </c>
      <c r="J2117" s="34" t="s">
        <v>5906</v>
      </c>
      <c r="K2117" s="34" t="str">
        <f t="shared" si="67"/>
        <v>重复</v>
      </c>
      <c r="L2117" s="34" t="str">
        <f t="shared" si="68"/>
        <v>不重复</v>
      </c>
    </row>
    <row r="2118" spans="1:12" ht="27">
      <c r="A2118" s="35" t="s">
        <v>12541</v>
      </c>
      <c r="B2118" s="35" t="s">
        <v>5907</v>
      </c>
      <c r="C2118" s="36" t="s">
        <v>2759</v>
      </c>
      <c r="D2118" s="35" t="s">
        <v>5908</v>
      </c>
      <c r="E2118" s="35" t="s">
        <v>12495</v>
      </c>
      <c r="F2118" s="35" t="s">
        <v>12483</v>
      </c>
      <c r="G2118" s="35">
        <v>350646</v>
      </c>
      <c r="H2118" s="35">
        <v>390030</v>
      </c>
      <c r="I2118" s="35">
        <v>200020</v>
      </c>
      <c r="J2118" s="34" t="s">
        <v>363</v>
      </c>
      <c r="K2118" s="34" t="str">
        <f t="shared" si="67"/>
        <v>重复</v>
      </c>
      <c r="L2118" s="34" t="str">
        <f t="shared" si="68"/>
        <v>不重复</v>
      </c>
    </row>
    <row r="2119" spans="1:12" ht="15">
      <c r="A2119" s="35" t="s">
        <v>12542</v>
      </c>
      <c r="B2119" s="35" t="s">
        <v>5909</v>
      </c>
      <c r="C2119" s="36" t="s">
        <v>4144</v>
      </c>
      <c r="D2119" s="35" t="s">
        <v>5910</v>
      </c>
      <c r="E2119" s="35" t="s">
        <v>12495</v>
      </c>
      <c r="F2119" s="35" t="s">
        <v>12483</v>
      </c>
      <c r="G2119" s="35">
        <v>350647</v>
      </c>
      <c r="H2119" s="35">
        <v>390030</v>
      </c>
      <c r="I2119" s="35">
        <v>200020</v>
      </c>
      <c r="J2119" s="34" t="s">
        <v>1516</v>
      </c>
      <c r="K2119" s="34" t="str">
        <f t="shared" si="67"/>
        <v>重复</v>
      </c>
      <c r="L2119" s="34" t="str">
        <f t="shared" si="68"/>
        <v>不重复</v>
      </c>
    </row>
    <row r="2120" spans="1:12" ht="30">
      <c r="A2120" s="35" t="s">
        <v>12543</v>
      </c>
      <c r="B2120" s="35" t="s">
        <v>5911</v>
      </c>
      <c r="C2120" s="36" t="s">
        <v>5912</v>
      </c>
      <c r="D2120" s="35" t="s">
        <v>5913</v>
      </c>
      <c r="E2120" s="35" t="s">
        <v>12495</v>
      </c>
      <c r="F2120" s="35" t="s">
        <v>12483</v>
      </c>
      <c r="G2120" s="35">
        <v>350648</v>
      </c>
      <c r="H2120" s="35">
        <v>390030</v>
      </c>
      <c r="I2120" s="35">
        <v>200020</v>
      </c>
      <c r="J2120" s="34" t="s">
        <v>985</v>
      </c>
      <c r="K2120" s="34" t="str">
        <f t="shared" si="67"/>
        <v>重复</v>
      </c>
      <c r="L2120" s="34" t="str">
        <f t="shared" si="68"/>
        <v>不重复</v>
      </c>
    </row>
    <row r="2121" spans="1:12" ht="30">
      <c r="A2121" s="35" t="s">
        <v>12544</v>
      </c>
      <c r="B2121" s="35" t="s">
        <v>5914</v>
      </c>
      <c r="C2121" s="36" t="s">
        <v>5773</v>
      </c>
      <c r="D2121" s="35" t="s">
        <v>5915</v>
      </c>
      <c r="E2121" s="35" t="s">
        <v>12495</v>
      </c>
      <c r="F2121" s="35" t="s">
        <v>12483</v>
      </c>
      <c r="G2121" s="35">
        <v>350649</v>
      </c>
      <c r="H2121" s="35">
        <v>390030</v>
      </c>
      <c r="I2121" s="35">
        <v>200020</v>
      </c>
      <c r="J2121" s="34" t="s">
        <v>932</v>
      </c>
      <c r="K2121" s="34" t="str">
        <f t="shared" si="67"/>
        <v>重复</v>
      </c>
      <c r="L2121" s="34" t="str">
        <f t="shared" si="68"/>
        <v>不重复</v>
      </c>
    </row>
    <row r="2122" spans="1:12" ht="27">
      <c r="A2122" s="35" t="s">
        <v>12545</v>
      </c>
      <c r="B2122" s="35" t="s">
        <v>5916</v>
      </c>
      <c r="C2122" s="36" t="s">
        <v>2009</v>
      </c>
      <c r="D2122" s="35" t="s">
        <v>5917</v>
      </c>
      <c r="E2122" s="35" t="s">
        <v>12495</v>
      </c>
      <c r="F2122" s="35" t="s">
        <v>12483</v>
      </c>
      <c r="G2122" s="35">
        <v>350650</v>
      </c>
      <c r="H2122" s="35">
        <v>390030</v>
      </c>
      <c r="I2122" s="35">
        <v>200020</v>
      </c>
      <c r="J2122" s="34" t="s">
        <v>2240</v>
      </c>
      <c r="K2122" s="34" t="str">
        <f t="shared" si="67"/>
        <v>重复</v>
      </c>
      <c r="L2122" s="34" t="str">
        <f t="shared" si="68"/>
        <v>重复</v>
      </c>
    </row>
    <row r="2123" spans="1:12" ht="27">
      <c r="A2123" s="35" t="s">
        <v>12546</v>
      </c>
      <c r="B2123" s="35" t="s">
        <v>5918</v>
      </c>
      <c r="C2123" s="36" t="s">
        <v>939</v>
      </c>
      <c r="D2123" s="35" t="s">
        <v>5917</v>
      </c>
      <c r="E2123" s="35" t="s">
        <v>12495</v>
      </c>
      <c r="F2123" s="35" t="s">
        <v>12483</v>
      </c>
      <c r="G2123" s="35">
        <v>350651</v>
      </c>
      <c r="H2123" s="35">
        <v>390030</v>
      </c>
      <c r="I2123" s="35">
        <v>200020</v>
      </c>
      <c r="J2123" s="34" t="s">
        <v>609</v>
      </c>
      <c r="K2123" s="34" t="str">
        <f t="shared" si="67"/>
        <v>重复</v>
      </c>
      <c r="L2123" s="34" t="str">
        <f t="shared" si="68"/>
        <v>重复</v>
      </c>
    </row>
    <row r="2124" spans="1:12" ht="27">
      <c r="A2124" s="35" t="s">
        <v>12547</v>
      </c>
      <c r="B2124" s="35" t="s">
        <v>5919</v>
      </c>
      <c r="C2124" s="36" t="s">
        <v>1502</v>
      </c>
      <c r="D2124" s="35" t="s">
        <v>5917</v>
      </c>
      <c r="E2124" s="35" t="s">
        <v>12495</v>
      </c>
      <c r="F2124" s="35" t="s">
        <v>12483</v>
      </c>
      <c r="G2124" s="35">
        <v>350652</v>
      </c>
      <c r="H2124" s="35">
        <v>390030</v>
      </c>
      <c r="I2124" s="35">
        <v>200020</v>
      </c>
      <c r="J2124" s="34" t="s">
        <v>932</v>
      </c>
      <c r="K2124" s="34" t="str">
        <f t="shared" si="69" ref="K2124:K2187">IF(COUNTIF(C:C,C2124)&gt;=2,"重复","不重复")</f>
        <v>重复</v>
      </c>
      <c r="L2124" s="34" t="str">
        <f t="shared" si="70" ref="L2124:L2187">IF(COUNTIF(D:D,D2124)&gt;=2,"重复","不重复")</f>
        <v>重复</v>
      </c>
    </row>
    <row r="2125" spans="1:12" ht="30">
      <c r="A2125" s="35" t="s">
        <v>12548</v>
      </c>
      <c r="B2125" s="35" t="s">
        <v>5920</v>
      </c>
      <c r="C2125" s="36" t="s">
        <v>2794</v>
      </c>
      <c r="D2125" s="35" t="s">
        <v>5921</v>
      </c>
      <c r="E2125" s="35" t="s">
        <v>12495</v>
      </c>
      <c r="F2125" s="35" t="s">
        <v>12483</v>
      </c>
      <c r="G2125" s="35">
        <v>350653</v>
      </c>
      <c r="H2125" s="35">
        <v>390030</v>
      </c>
      <c r="I2125" s="35">
        <v>200020</v>
      </c>
      <c r="J2125" s="34" t="s">
        <v>962</v>
      </c>
      <c r="K2125" s="34" t="str">
        <f t="shared" si="69"/>
        <v>重复</v>
      </c>
      <c r="L2125" s="34" t="str">
        <f t="shared" si="70"/>
        <v>不重复</v>
      </c>
    </row>
    <row r="2126" spans="1:12" ht="27">
      <c r="A2126" s="35" t="s">
        <v>12549</v>
      </c>
      <c r="B2126" s="35" t="s">
        <v>5922</v>
      </c>
      <c r="C2126" s="36" t="s">
        <v>945</v>
      </c>
      <c r="D2126" s="35" t="s">
        <v>5923</v>
      </c>
      <c r="E2126" s="35" t="s">
        <v>12495</v>
      </c>
      <c r="F2126" s="35" t="s">
        <v>12483</v>
      </c>
      <c r="G2126" s="35">
        <v>350654</v>
      </c>
      <c r="H2126" s="35">
        <v>390030</v>
      </c>
      <c r="I2126" s="35">
        <v>200020</v>
      </c>
      <c r="J2126" s="34" t="s">
        <v>715</v>
      </c>
      <c r="K2126" s="34" t="str">
        <f t="shared" si="69"/>
        <v>重复</v>
      </c>
      <c r="L2126" s="34" t="str">
        <f t="shared" si="70"/>
        <v>不重复</v>
      </c>
    </row>
    <row r="2127" spans="1:12" ht="30">
      <c r="A2127" s="35" t="s">
        <v>12550</v>
      </c>
      <c r="B2127" s="35" t="s">
        <v>5924</v>
      </c>
      <c r="C2127" s="36" t="s">
        <v>954</v>
      </c>
      <c r="D2127" s="35" t="s">
        <v>5925</v>
      </c>
      <c r="E2127" s="35" t="s">
        <v>12495</v>
      </c>
      <c r="F2127" s="35" t="s">
        <v>12483</v>
      </c>
      <c r="G2127" s="35">
        <v>350655</v>
      </c>
      <c r="H2127" s="35">
        <v>390030</v>
      </c>
      <c r="I2127" s="35">
        <v>200020</v>
      </c>
      <c r="J2127" s="34" t="s">
        <v>2934</v>
      </c>
      <c r="K2127" s="34" t="str">
        <f t="shared" si="69"/>
        <v>重复</v>
      </c>
      <c r="L2127" s="34" t="str">
        <f t="shared" si="70"/>
        <v>重复</v>
      </c>
    </row>
    <row r="2128" spans="1:12" ht="27">
      <c r="A2128" s="35" t="s">
        <v>12551</v>
      </c>
      <c r="B2128" s="35" t="s">
        <v>5926</v>
      </c>
      <c r="C2128" s="36" t="s">
        <v>758</v>
      </c>
      <c r="D2128" s="35" t="s">
        <v>5925</v>
      </c>
      <c r="E2128" s="35" t="s">
        <v>12495</v>
      </c>
      <c r="F2128" s="35" t="s">
        <v>12483</v>
      </c>
      <c r="G2128" s="35">
        <v>350656</v>
      </c>
      <c r="H2128" s="35">
        <v>390030</v>
      </c>
      <c r="I2128" s="35">
        <v>200020</v>
      </c>
      <c r="J2128" s="34" t="s">
        <v>688</v>
      </c>
      <c r="K2128" s="34" t="str">
        <f t="shared" si="69"/>
        <v>重复</v>
      </c>
      <c r="L2128" s="34" t="str">
        <f t="shared" si="70"/>
        <v>重复</v>
      </c>
    </row>
    <row r="2129" spans="1:12" ht="30">
      <c r="A2129" s="35" t="s">
        <v>12552</v>
      </c>
      <c r="B2129" s="35" t="s">
        <v>5927</v>
      </c>
      <c r="C2129" s="36" t="s">
        <v>957</v>
      </c>
      <c r="D2129" s="35" t="s">
        <v>5928</v>
      </c>
      <c r="E2129" s="35" t="s">
        <v>12495</v>
      </c>
      <c r="F2129" s="35" t="s">
        <v>12483</v>
      </c>
      <c r="G2129" s="35">
        <v>350657</v>
      </c>
      <c r="H2129" s="35">
        <v>390030</v>
      </c>
      <c r="I2129" s="35">
        <v>200020</v>
      </c>
      <c r="J2129" s="34" t="s">
        <v>688</v>
      </c>
      <c r="K2129" s="34" t="str">
        <f t="shared" si="69"/>
        <v>重复</v>
      </c>
      <c r="L2129" s="34" t="str">
        <f t="shared" si="70"/>
        <v>不重复</v>
      </c>
    </row>
    <row r="2130" spans="1:12" ht="15">
      <c r="A2130" s="35" t="s">
        <v>12553</v>
      </c>
      <c r="B2130" s="35" t="s">
        <v>5929</v>
      </c>
      <c r="C2130" s="36" t="s">
        <v>4144</v>
      </c>
      <c r="D2130" s="35" t="s">
        <v>5930</v>
      </c>
      <c r="E2130" s="35" t="s">
        <v>12495</v>
      </c>
      <c r="F2130" s="35" t="s">
        <v>12483</v>
      </c>
      <c r="G2130" s="35">
        <v>350658</v>
      </c>
      <c r="H2130" s="35">
        <v>390030</v>
      </c>
      <c r="I2130" s="35">
        <v>200020</v>
      </c>
      <c r="J2130" s="34" t="s">
        <v>1186</v>
      </c>
      <c r="K2130" s="34" t="str">
        <f t="shared" si="69"/>
        <v>重复</v>
      </c>
      <c r="L2130" s="34" t="str">
        <f t="shared" si="70"/>
        <v>重复</v>
      </c>
    </row>
    <row r="2131" spans="1:12" ht="30">
      <c r="A2131" s="35" t="s">
        <v>12554</v>
      </c>
      <c r="B2131" s="35" t="s">
        <v>5931</v>
      </c>
      <c r="C2131" s="36" t="s">
        <v>5832</v>
      </c>
      <c r="D2131" s="35" t="s">
        <v>5930</v>
      </c>
      <c r="E2131" s="35" t="s">
        <v>12495</v>
      </c>
      <c r="F2131" s="35" t="s">
        <v>12483</v>
      </c>
      <c r="G2131" s="35">
        <v>350659</v>
      </c>
      <c r="H2131" s="35">
        <v>390030</v>
      </c>
      <c r="I2131" s="35">
        <v>200020</v>
      </c>
      <c r="J2131" s="34" t="s">
        <v>668</v>
      </c>
      <c r="K2131" s="34" t="str">
        <f t="shared" si="69"/>
        <v>重复</v>
      </c>
      <c r="L2131" s="34" t="str">
        <f t="shared" si="70"/>
        <v>重复</v>
      </c>
    </row>
    <row r="2132" spans="1:12" ht="30">
      <c r="A2132" s="35" t="s">
        <v>12555</v>
      </c>
      <c r="B2132" s="35" t="s">
        <v>5932</v>
      </c>
      <c r="C2132" s="36" t="s">
        <v>5933</v>
      </c>
      <c r="D2132" s="35" t="s">
        <v>5934</v>
      </c>
      <c r="E2132" s="35" t="s">
        <v>12495</v>
      </c>
      <c r="F2132" s="35" t="s">
        <v>12483</v>
      </c>
      <c r="G2132" s="35">
        <v>350660</v>
      </c>
      <c r="H2132" s="35">
        <v>390030</v>
      </c>
      <c r="I2132" s="35">
        <v>200020</v>
      </c>
      <c r="J2132" s="34" t="s">
        <v>715</v>
      </c>
      <c r="K2132" s="34" t="str">
        <f t="shared" si="69"/>
        <v>不重复</v>
      </c>
      <c r="L2132" s="34" t="str">
        <f t="shared" si="70"/>
        <v>不重复</v>
      </c>
    </row>
    <row r="2133" spans="1:12" ht="27">
      <c r="A2133" s="35" t="s">
        <v>12556</v>
      </c>
      <c r="B2133" s="35" t="s">
        <v>5935</v>
      </c>
      <c r="C2133" s="36" t="s">
        <v>957</v>
      </c>
      <c r="D2133" s="35" t="s">
        <v>5936</v>
      </c>
      <c r="E2133" s="35" t="s">
        <v>12495</v>
      </c>
      <c r="F2133" s="35" t="s">
        <v>12483</v>
      </c>
      <c r="G2133" s="35">
        <v>350661</v>
      </c>
      <c r="H2133" s="35">
        <v>390030</v>
      </c>
      <c r="I2133" s="35">
        <v>200020</v>
      </c>
      <c r="J2133" s="34" t="s">
        <v>985</v>
      </c>
      <c r="K2133" s="34" t="str">
        <f t="shared" si="69"/>
        <v>重复</v>
      </c>
      <c r="L2133" s="34" t="str">
        <f t="shared" si="70"/>
        <v>不重复</v>
      </c>
    </row>
    <row r="2134" spans="1:12" ht="27">
      <c r="A2134" s="35" t="s">
        <v>12557</v>
      </c>
      <c r="B2134" s="35" t="s">
        <v>5937</v>
      </c>
      <c r="C2134" s="36" t="s">
        <v>5938</v>
      </c>
      <c r="D2134" s="35" t="s">
        <v>5939</v>
      </c>
      <c r="E2134" s="35" t="s">
        <v>12495</v>
      </c>
      <c r="F2134" s="35" t="s">
        <v>12483</v>
      </c>
      <c r="G2134" s="35">
        <v>350662</v>
      </c>
      <c r="H2134" s="35">
        <v>390030</v>
      </c>
      <c r="I2134" s="35">
        <v>200020</v>
      </c>
      <c r="J2134" s="34" t="s">
        <v>962</v>
      </c>
      <c r="K2134" s="34" t="str">
        <f t="shared" si="69"/>
        <v>重复</v>
      </c>
      <c r="L2134" s="34" t="str">
        <f t="shared" si="70"/>
        <v>重复</v>
      </c>
    </row>
    <row r="2135" spans="1:12" ht="30">
      <c r="A2135" s="35" t="s">
        <v>12558</v>
      </c>
      <c r="B2135" s="35" t="s">
        <v>5940</v>
      </c>
      <c r="C2135" s="36" t="s">
        <v>957</v>
      </c>
      <c r="D2135" s="35" t="s">
        <v>5939</v>
      </c>
      <c r="E2135" s="35" t="s">
        <v>12495</v>
      </c>
      <c r="F2135" s="35" t="s">
        <v>12483</v>
      </c>
      <c r="G2135" s="35">
        <v>350663</v>
      </c>
      <c r="H2135" s="35">
        <v>390030</v>
      </c>
      <c r="I2135" s="35">
        <v>200020</v>
      </c>
      <c r="J2135" s="34" t="s">
        <v>1473</v>
      </c>
      <c r="K2135" s="34" t="str">
        <f t="shared" si="69"/>
        <v>重复</v>
      </c>
      <c r="L2135" s="34" t="str">
        <f t="shared" si="70"/>
        <v>重复</v>
      </c>
    </row>
    <row r="2136" spans="1:12" ht="27">
      <c r="A2136" s="35" t="s">
        <v>12559</v>
      </c>
      <c r="B2136" s="35" t="s">
        <v>5941</v>
      </c>
      <c r="C2136" s="36" t="s">
        <v>5942</v>
      </c>
      <c r="D2136" s="35" t="s">
        <v>5939</v>
      </c>
      <c r="E2136" s="35" t="s">
        <v>12495</v>
      </c>
      <c r="F2136" s="35" t="s">
        <v>12483</v>
      </c>
      <c r="G2136" s="35">
        <v>350664</v>
      </c>
      <c r="H2136" s="35">
        <v>390030</v>
      </c>
      <c r="I2136" s="35">
        <v>200020</v>
      </c>
      <c r="J2136" s="34" t="s">
        <v>1516</v>
      </c>
      <c r="K2136" s="34" t="str">
        <f t="shared" si="69"/>
        <v>重复</v>
      </c>
      <c r="L2136" s="34" t="str">
        <f t="shared" si="70"/>
        <v>重复</v>
      </c>
    </row>
    <row r="2137" spans="1:12" ht="27">
      <c r="A2137" s="35" t="s">
        <v>12560</v>
      </c>
      <c r="B2137" s="35" t="s">
        <v>5943</v>
      </c>
      <c r="C2137" s="36" t="s">
        <v>5285</v>
      </c>
      <c r="D2137" s="35" t="s">
        <v>5944</v>
      </c>
      <c r="E2137" s="35" t="s">
        <v>12495</v>
      </c>
      <c r="F2137" s="35" t="s">
        <v>12483</v>
      </c>
      <c r="G2137" s="35">
        <v>350665</v>
      </c>
      <c r="H2137" s="35">
        <v>390030</v>
      </c>
      <c r="I2137" s="35">
        <v>200020</v>
      </c>
      <c r="J2137" s="34" t="s">
        <v>363</v>
      </c>
      <c r="K2137" s="34" t="str">
        <f t="shared" si="69"/>
        <v>重复</v>
      </c>
      <c r="L2137" s="34" t="str">
        <f t="shared" si="70"/>
        <v>不重复</v>
      </c>
    </row>
    <row r="2138" spans="1:12" ht="27">
      <c r="A2138" s="35" t="s">
        <v>12561</v>
      </c>
      <c r="B2138" s="35" t="s">
        <v>5945</v>
      </c>
      <c r="C2138" s="36" t="s">
        <v>5946</v>
      </c>
      <c r="D2138" s="35" t="s">
        <v>5947</v>
      </c>
      <c r="E2138" s="35" t="s">
        <v>12495</v>
      </c>
      <c r="F2138" s="35" t="s">
        <v>12483</v>
      </c>
      <c r="G2138" s="35">
        <v>350666</v>
      </c>
      <c r="H2138" s="35">
        <v>390030</v>
      </c>
      <c r="I2138" s="35">
        <v>200020</v>
      </c>
      <c r="J2138" s="34" t="s">
        <v>317</v>
      </c>
      <c r="K2138" s="34" t="str">
        <f t="shared" si="69"/>
        <v>不重复</v>
      </c>
      <c r="L2138" s="34" t="str">
        <f t="shared" si="70"/>
        <v>不重复</v>
      </c>
    </row>
    <row r="2139" spans="1:12" ht="30">
      <c r="A2139" s="35" t="s">
        <v>12562</v>
      </c>
      <c r="B2139" s="35" t="s">
        <v>5948</v>
      </c>
      <c r="C2139" s="36" t="s">
        <v>5949</v>
      </c>
      <c r="D2139" s="35" t="s">
        <v>5950</v>
      </c>
      <c r="E2139" s="35" t="s">
        <v>12495</v>
      </c>
      <c r="F2139" s="35" t="s">
        <v>12483</v>
      </c>
      <c r="G2139" s="35">
        <v>350667</v>
      </c>
      <c r="H2139" s="35">
        <v>390030</v>
      </c>
      <c r="I2139" s="35">
        <v>200020</v>
      </c>
      <c r="J2139" s="34" t="s">
        <v>715</v>
      </c>
      <c r="K2139" s="34" t="str">
        <f t="shared" si="69"/>
        <v>不重复</v>
      </c>
      <c r="L2139" s="34" t="str">
        <f t="shared" si="70"/>
        <v>不重复</v>
      </c>
    </row>
    <row r="2140" spans="1:12" ht="27">
      <c r="A2140" s="35" t="s">
        <v>12563</v>
      </c>
      <c r="B2140" s="35" t="s">
        <v>5951</v>
      </c>
      <c r="C2140" s="36" t="s">
        <v>5952</v>
      </c>
      <c r="D2140" s="35" t="s">
        <v>5953</v>
      </c>
      <c r="E2140" s="35" t="s">
        <v>12495</v>
      </c>
      <c r="F2140" s="35" t="s">
        <v>12483</v>
      </c>
      <c r="G2140" s="35">
        <v>350668</v>
      </c>
      <c r="H2140" s="35">
        <v>390030</v>
      </c>
      <c r="I2140" s="35">
        <v>200020</v>
      </c>
      <c r="J2140" s="34" t="s">
        <v>932</v>
      </c>
      <c r="K2140" s="34" t="str">
        <f t="shared" si="69"/>
        <v>不重复</v>
      </c>
      <c r="L2140" s="34" t="str">
        <f t="shared" si="70"/>
        <v>不重复</v>
      </c>
    </row>
    <row r="2141" spans="1:12" ht="27">
      <c r="A2141" s="35" t="s">
        <v>12564</v>
      </c>
      <c r="B2141" s="35" t="s">
        <v>5954</v>
      </c>
      <c r="C2141" s="36" t="s">
        <v>2005</v>
      </c>
      <c r="D2141" s="35" t="s">
        <v>5955</v>
      </c>
      <c r="E2141" s="35" t="s">
        <v>12495</v>
      </c>
      <c r="F2141" s="35" t="s">
        <v>12483</v>
      </c>
      <c r="G2141" s="35">
        <v>350669</v>
      </c>
      <c r="H2141" s="35">
        <v>390030</v>
      </c>
      <c r="I2141" s="35">
        <v>200020</v>
      </c>
      <c r="J2141" s="34" t="s">
        <v>390</v>
      </c>
      <c r="K2141" s="34" t="str">
        <f t="shared" si="69"/>
        <v>重复</v>
      </c>
      <c r="L2141" s="34" t="str">
        <f t="shared" si="70"/>
        <v>不重复</v>
      </c>
    </row>
    <row r="2142" spans="1:12" ht="27">
      <c r="A2142" s="35" t="s">
        <v>12565</v>
      </c>
      <c r="B2142" s="35" t="s">
        <v>5956</v>
      </c>
      <c r="C2142" s="36" t="s">
        <v>2196</v>
      </c>
      <c r="D2142" s="35" t="s">
        <v>5957</v>
      </c>
      <c r="E2142" s="35" t="s">
        <v>12495</v>
      </c>
      <c r="F2142" s="35" t="s">
        <v>12483</v>
      </c>
      <c r="G2142" s="35">
        <v>350670</v>
      </c>
      <c r="H2142" s="35">
        <v>390030</v>
      </c>
      <c r="I2142" s="35">
        <v>200020</v>
      </c>
      <c r="J2142" s="34" t="s">
        <v>288</v>
      </c>
      <c r="K2142" s="34" t="str">
        <f t="shared" si="69"/>
        <v>重复</v>
      </c>
      <c r="L2142" s="34" t="str">
        <f t="shared" si="70"/>
        <v>不重复</v>
      </c>
    </row>
    <row r="2143" spans="1:12" ht="27">
      <c r="A2143" s="35" t="s">
        <v>12566</v>
      </c>
      <c r="B2143" s="35" t="s">
        <v>5958</v>
      </c>
      <c r="C2143" s="36" t="s">
        <v>5959</v>
      </c>
      <c r="D2143" s="35" t="s">
        <v>5960</v>
      </c>
      <c r="E2143" s="35" t="s">
        <v>12495</v>
      </c>
      <c r="F2143" s="35" t="s">
        <v>12483</v>
      </c>
      <c r="G2143" s="35">
        <v>350671</v>
      </c>
      <c r="H2143" s="35">
        <v>390030</v>
      </c>
      <c r="I2143" s="35">
        <v>200020</v>
      </c>
      <c r="J2143" s="34" t="s">
        <v>317</v>
      </c>
      <c r="K2143" s="34" t="str">
        <f t="shared" si="69"/>
        <v>重复</v>
      </c>
      <c r="L2143" s="34" t="str">
        <f t="shared" si="70"/>
        <v>不重复</v>
      </c>
    </row>
    <row r="2144" spans="1:12" ht="30">
      <c r="A2144" s="35" t="s">
        <v>12567</v>
      </c>
      <c r="B2144" s="35" t="s">
        <v>5961</v>
      </c>
      <c r="C2144" s="36" t="s">
        <v>5962</v>
      </c>
      <c r="D2144" s="35" t="s">
        <v>5963</v>
      </c>
      <c r="E2144" s="35" t="s">
        <v>12495</v>
      </c>
      <c r="F2144" s="35" t="s">
        <v>12483</v>
      </c>
      <c r="G2144" s="35">
        <v>350672</v>
      </c>
      <c r="H2144" s="35">
        <v>390030</v>
      </c>
      <c r="I2144" s="35">
        <v>200020</v>
      </c>
      <c r="J2144" s="34" t="s">
        <v>932</v>
      </c>
      <c r="K2144" s="34" t="str">
        <f t="shared" si="69"/>
        <v>重复</v>
      </c>
      <c r="L2144" s="34" t="str">
        <f t="shared" si="70"/>
        <v>不重复</v>
      </c>
    </row>
    <row r="2145" spans="1:12" ht="27">
      <c r="A2145" s="35" t="s">
        <v>12568</v>
      </c>
      <c r="B2145" s="35" t="s">
        <v>5964</v>
      </c>
      <c r="C2145" s="36" t="s">
        <v>157</v>
      </c>
      <c r="D2145" s="35" t="s">
        <v>5965</v>
      </c>
      <c r="E2145" s="35" t="s">
        <v>12495</v>
      </c>
      <c r="F2145" s="35" t="s">
        <v>12483</v>
      </c>
      <c r="G2145" s="35">
        <v>350673</v>
      </c>
      <c r="H2145" s="35">
        <v>390030</v>
      </c>
      <c r="I2145" s="35">
        <v>200020</v>
      </c>
      <c r="J2145" s="34" t="s">
        <v>1473</v>
      </c>
      <c r="K2145" s="34" t="str">
        <f t="shared" si="69"/>
        <v>重复</v>
      </c>
      <c r="L2145" s="34" t="str">
        <f t="shared" si="70"/>
        <v>不重复</v>
      </c>
    </row>
    <row r="2146" spans="1:12" ht="30">
      <c r="A2146" s="35" t="s">
        <v>12569</v>
      </c>
      <c r="B2146" s="35" t="s">
        <v>5966</v>
      </c>
      <c r="C2146" s="36" t="s">
        <v>5967</v>
      </c>
      <c r="D2146" s="35" t="s">
        <v>5968</v>
      </c>
      <c r="E2146" s="35" t="s">
        <v>12495</v>
      </c>
      <c r="F2146" s="35" t="s">
        <v>12483</v>
      </c>
      <c r="G2146" s="35">
        <v>350674</v>
      </c>
      <c r="H2146" s="35">
        <v>390030</v>
      </c>
      <c r="I2146" s="35">
        <v>200020</v>
      </c>
      <c r="J2146" s="34" t="s">
        <v>5969</v>
      </c>
      <c r="K2146" s="34" t="str">
        <f t="shared" si="69"/>
        <v>重复</v>
      </c>
      <c r="L2146" s="34" t="str">
        <f t="shared" si="70"/>
        <v>不重复</v>
      </c>
    </row>
    <row r="2147" spans="1:12" ht="15">
      <c r="A2147" s="35" t="s">
        <v>12570</v>
      </c>
      <c r="B2147" s="35" t="s">
        <v>5970</v>
      </c>
      <c r="C2147" s="36" t="s">
        <v>5971</v>
      </c>
      <c r="D2147" s="35" t="s">
        <v>5972</v>
      </c>
      <c r="E2147" s="35" t="s">
        <v>12495</v>
      </c>
      <c r="F2147" s="35" t="s">
        <v>12483</v>
      </c>
      <c r="G2147" s="35">
        <v>350675</v>
      </c>
      <c r="H2147" s="35">
        <v>390030</v>
      </c>
      <c r="I2147" s="35">
        <v>200020</v>
      </c>
      <c r="J2147" s="34" t="s">
        <v>688</v>
      </c>
      <c r="K2147" s="34" t="str">
        <f t="shared" si="69"/>
        <v>不重复</v>
      </c>
      <c r="L2147" s="34" t="str">
        <f t="shared" si="70"/>
        <v>不重复</v>
      </c>
    </row>
    <row r="2148" spans="1:12" ht="30">
      <c r="A2148" s="35" t="s">
        <v>12571</v>
      </c>
      <c r="B2148" s="35" t="s">
        <v>5973</v>
      </c>
      <c r="C2148" s="36" t="s">
        <v>5974</v>
      </c>
      <c r="D2148" s="35" t="s">
        <v>5975</v>
      </c>
      <c r="E2148" s="35" t="s">
        <v>12495</v>
      </c>
      <c r="F2148" s="35" t="s">
        <v>12483</v>
      </c>
      <c r="G2148" s="35">
        <v>350676</v>
      </c>
      <c r="H2148" s="35">
        <v>390030</v>
      </c>
      <c r="I2148" s="35">
        <v>200020</v>
      </c>
      <c r="J2148" s="34" t="s">
        <v>317</v>
      </c>
      <c r="K2148" s="34" t="str">
        <f t="shared" si="69"/>
        <v>不重复</v>
      </c>
      <c r="L2148" s="34" t="str">
        <f t="shared" si="70"/>
        <v>不重复</v>
      </c>
    </row>
    <row r="2149" spans="1:12" ht="27">
      <c r="A2149" s="35" t="s">
        <v>12572</v>
      </c>
      <c r="B2149" s="35" t="s">
        <v>5976</v>
      </c>
      <c r="C2149" s="36" t="s">
        <v>758</v>
      </c>
      <c r="D2149" s="35" t="s">
        <v>5977</v>
      </c>
      <c r="E2149" s="35" t="s">
        <v>12495</v>
      </c>
      <c r="F2149" s="35" t="s">
        <v>12483</v>
      </c>
      <c r="G2149" s="35">
        <v>350677</v>
      </c>
      <c r="H2149" s="35">
        <v>390030</v>
      </c>
      <c r="I2149" s="35">
        <v>200020</v>
      </c>
      <c r="J2149" s="34" t="s">
        <v>5978</v>
      </c>
      <c r="K2149" s="34" t="str">
        <f t="shared" si="69"/>
        <v>重复</v>
      </c>
      <c r="L2149" s="34" t="str">
        <f t="shared" si="70"/>
        <v>不重复</v>
      </c>
    </row>
    <row r="2150" spans="1:12" ht="27">
      <c r="A2150" s="35" t="s">
        <v>12573</v>
      </c>
      <c r="B2150" s="35" t="s">
        <v>5979</v>
      </c>
      <c r="C2150" s="36" t="s">
        <v>157</v>
      </c>
      <c r="D2150" s="35" t="s">
        <v>5980</v>
      </c>
      <c r="E2150" s="35" t="s">
        <v>12495</v>
      </c>
      <c r="F2150" s="35" t="s">
        <v>12483</v>
      </c>
      <c r="G2150" s="35">
        <v>350678</v>
      </c>
      <c r="H2150" s="35">
        <v>390030</v>
      </c>
      <c r="I2150" s="35">
        <v>200020</v>
      </c>
      <c r="J2150" s="34" t="s">
        <v>347</v>
      </c>
      <c r="K2150" s="34" t="str">
        <f t="shared" si="69"/>
        <v>重复</v>
      </c>
      <c r="L2150" s="34" t="str">
        <f t="shared" si="70"/>
        <v>不重复</v>
      </c>
    </row>
    <row r="2151" spans="1:12" ht="15">
      <c r="A2151" s="35" t="s">
        <v>12574</v>
      </c>
      <c r="B2151" s="35" t="s">
        <v>5981</v>
      </c>
      <c r="C2151" s="36" t="s">
        <v>5982</v>
      </c>
      <c r="D2151" s="35" t="s">
        <v>5983</v>
      </c>
      <c r="E2151" s="35" t="s">
        <v>12495</v>
      </c>
      <c r="F2151" s="35" t="s">
        <v>12483</v>
      </c>
      <c r="G2151" s="35">
        <v>350679</v>
      </c>
      <c r="H2151" s="35">
        <v>390030</v>
      </c>
      <c r="I2151" s="35">
        <v>200020</v>
      </c>
      <c r="J2151" s="34" t="s">
        <v>5984</v>
      </c>
      <c r="K2151" s="34" t="str">
        <f t="shared" si="69"/>
        <v>不重复</v>
      </c>
      <c r="L2151" s="34" t="str">
        <f t="shared" si="70"/>
        <v>不重复</v>
      </c>
    </row>
    <row r="2152" spans="1:12" ht="27">
      <c r="A2152" s="35" t="s">
        <v>12575</v>
      </c>
      <c r="B2152" s="35" t="s">
        <v>5985</v>
      </c>
      <c r="C2152" s="36" t="s">
        <v>5986</v>
      </c>
      <c r="D2152" s="35" t="s">
        <v>5987</v>
      </c>
      <c r="E2152" s="35" t="s">
        <v>12495</v>
      </c>
      <c r="F2152" s="35" t="s">
        <v>12483</v>
      </c>
      <c r="G2152" s="35">
        <v>350680</v>
      </c>
      <c r="H2152" s="35">
        <v>390030</v>
      </c>
      <c r="I2152" s="35">
        <v>200020</v>
      </c>
      <c r="J2152" s="34" t="s">
        <v>5988</v>
      </c>
      <c r="K2152" s="34" t="str">
        <f t="shared" si="69"/>
        <v>不重复</v>
      </c>
      <c r="L2152" s="34" t="str">
        <f t="shared" si="70"/>
        <v>不重复</v>
      </c>
    </row>
    <row r="2153" spans="1:12" ht="30">
      <c r="A2153" s="35" t="s">
        <v>12576</v>
      </c>
      <c r="B2153" s="35" t="s">
        <v>5989</v>
      </c>
      <c r="C2153" s="36" t="s">
        <v>5990</v>
      </c>
      <c r="D2153" s="35" t="s">
        <v>5991</v>
      </c>
      <c r="E2153" s="35" t="s">
        <v>12495</v>
      </c>
      <c r="F2153" s="35" t="s">
        <v>12483</v>
      </c>
      <c r="G2153" s="35">
        <v>350681</v>
      </c>
      <c r="H2153" s="35">
        <v>390030</v>
      </c>
      <c r="I2153" s="35">
        <v>200020</v>
      </c>
      <c r="J2153" s="34" t="s">
        <v>932</v>
      </c>
      <c r="K2153" s="34" t="str">
        <f t="shared" si="69"/>
        <v>不重复</v>
      </c>
      <c r="L2153" s="34" t="str">
        <f t="shared" si="70"/>
        <v>不重复</v>
      </c>
    </row>
    <row r="2154" spans="1:12" ht="27">
      <c r="A2154" s="35" t="s">
        <v>12577</v>
      </c>
      <c r="B2154" s="35" t="s">
        <v>5992</v>
      </c>
      <c r="C2154" s="36" t="s">
        <v>5993</v>
      </c>
      <c r="D2154" s="35" t="s">
        <v>5994</v>
      </c>
      <c r="E2154" s="35" t="s">
        <v>12495</v>
      </c>
      <c r="F2154" s="35" t="s">
        <v>12483</v>
      </c>
      <c r="G2154" s="35">
        <v>350682</v>
      </c>
      <c r="H2154" s="35">
        <v>390030</v>
      </c>
      <c r="I2154" s="35">
        <v>200020</v>
      </c>
      <c r="J2154" s="34" t="s">
        <v>1040</v>
      </c>
      <c r="K2154" s="34" t="str">
        <f t="shared" si="69"/>
        <v>不重复</v>
      </c>
      <c r="L2154" s="34" t="str">
        <f t="shared" si="70"/>
        <v>重复</v>
      </c>
    </row>
    <row r="2155" spans="1:12" ht="15">
      <c r="A2155" s="35" t="s">
        <v>12578</v>
      </c>
      <c r="B2155" s="35" t="s">
        <v>5995</v>
      </c>
      <c r="C2155" s="36" t="s">
        <v>3676</v>
      </c>
      <c r="D2155" s="35" t="s">
        <v>5996</v>
      </c>
      <c r="E2155" s="35" t="s">
        <v>12495</v>
      </c>
      <c r="F2155" s="35" t="s">
        <v>12483</v>
      </c>
      <c r="G2155" s="35">
        <v>350683</v>
      </c>
      <c r="H2155" s="35">
        <v>390030</v>
      </c>
      <c r="I2155" s="35">
        <v>200020</v>
      </c>
      <c r="J2155" s="34" t="s">
        <v>1040</v>
      </c>
      <c r="K2155" s="34" t="str">
        <f t="shared" si="69"/>
        <v>重复</v>
      </c>
      <c r="L2155" s="34" t="str">
        <f t="shared" si="70"/>
        <v>重复</v>
      </c>
    </row>
    <row r="2156" spans="1:12" ht="30">
      <c r="A2156" s="35" t="s">
        <v>12579</v>
      </c>
      <c r="B2156" s="35" t="s">
        <v>5997</v>
      </c>
      <c r="C2156" s="36" t="s">
        <v>945</v>
      </c>
      <c r="D2156" s="35" t="s">
        <v>5998</v>
      </c>
      <c r="E2156" s="35" t="s">
        <v>12495</v>
      </c>
      <c r="F2156" s="35" t="s">
        <v>12483</v>
      </c>
      <c r="G2156" s="35">
        <v>350684</v>
      </c>
      <c r="H2156" s="35">
        <v>390030</v>
      </c>
      <c r="I2156" s="35">
        <v>200020</v>
      </c>
      <c r="J2156" s="34" t="s">
        <v>288</v>
      </c>
      <c r="K2156" s="34" t="str">
        <f t="shared" si="69"/>
        <v>重复</v>
      </c>
      <c r="L2156" s="34" t="str">
        <f t="shared" si="70"/>
        <v>不重复</v>
      </c>
    </row>
    <row r="2157" spans="1:12" ht="27">
      <c r="A2157" s="35" t="s">
        <v>12580</v>
      </c>
      <c r="B2157" s="35" t="s">
        <v>5999</v>
      </c>
      <c r="C2157" s="36" t="s">
        <v>2196</v>
      </c>
      <c r="D2157" s="35" t="s">
        <v>6000</v>
      </c>
      <c r="E2157" s="35" t="s">
        <v>12495</v>
      </c>
      <c r="F2157" s="35" t="s">
        <v>12483</v>
      </c>
      <c r="G2157" s="35">
        <v>350685</v>
      </c>
      <c r="H2157" s="35">
        <v>390030</v>
      </c>
      <c r="I2157" s="35">
        <v>200020</v>
      </c>
      <c r="J2157" s="34" t="s">
        <v>5799</v>
      </c>
      <c r="K2157" s="34" t="str">
        <f t="shared" si="69"/>
        <v>重复</v>
      </c>
      <c r="L2157" s="34" t="str">
        <f t="shared" si="70"/>
        <v>不重复</v>
      </c>
    </row>
    <row r="2158" spans="1:12" ht="15">
      <c r="A2158" s="35" t="s">
        <v>12581</v>
      </c>
      <c r="B2158" s="35" t="s">
        <v>6001</v>
      </c>
      <c r="C2158" s="36" t="s">
        <v>6002</v>
      </c>
      <c r="D2158" s="35" t="s">
        <v>6003</v>
      </c>
      <c r="E2158" s="35" t="s">
        <v>12495</v>
      </c>
      <c r="F2158" s="35" t="s">
        <v>12483</v>
      </c>
      <c r="G2158" s="35">
        <v>350686</v>
      </c>
      <c r="H2158" s="35">
        <v>390030</v>
      </c>
      <c r="I2158" s="35">
        <v>200020</v>
      </c>
      <c r="J2158" s="34" t="s">
        <v>985</v>
      </c>
      <c r="K2158" s="34" t="str">
        <f t="shared" si="69"/>
        <v>不重复</v>
      </c>
      <c r="L2158" s="34" t="str">
        <f t="shared" si="70"/>
        <v>不重复</v>
      </c>
    </row>
    <row r="2159" spans="1:12" ht="15">
      <c r="A2159" s="35" t="s">
        <v>12582</v>
      </c>
      <c r="B2159" s="35" t="s">
        <v>6004</v>
      </c>
      <c r="C2159" s="36" t="s">
        <v>6005</v>
      </c>
      <c r="D2159" s="35" t="s">
        <v>6006</v>
      </c>
      <c r="E2159" s="35" t="s">
        <v>12495</v>
      </c>
      <c r="F2159" s="35" t="s">
        <v>12483</v>
      </c>
      <c r="G2159" s="35">
        <v>350687</v>
      </c>
      <c r="H2159" s="35">
        <v>390030</v>
      </c>
      <c r="I2159" s="35">
        <v>200020</v>
      </c>
      <c r="J2159" s="34" t="s">
        <v>270</v>
      </c>
      <c r="K2159" s="34" t="str">
        <f t="shared" si="69"/>
        <v>不重复</v>
      </c>
      <c r="L2159" s="34" t="str">
        <f t="shared" si="70"/>
        <v>不重复</v>
      </c>
    </row>
    <row r="2160" spans="1:12" ht="27">
      <c r="A2160" s="35" t="s">
        <v>12583</v>
      </c>
      <c r="B2160" s="35" t="s">
        <v>6007</v>
      </c>
      <c r="C2160" s="36" t="s">
        <v>5204</v>
      </c>
      <c r="D2160" s="35" t="s">
        <v>6008</v>
      </c>
      <c r="E2160" s="35" t="s">
        <v>12495</v>
      </c>
      <c r="F2160" s="35" t="s">
        <v>12483</v>
      </c>
      <c r="G2160" s="35">
        <v>350688</v>
      </c>
      <c r="H2160" s="35">
        <v>390030</v>
      </c>
      <c r="I2160" s="35">
        <v>200020</v>
      </c>
      <c r="J2160" s="34" t="s">
        <v>715</v>
      </c>
      <c r="K2160" s="34" t="str">
        <f t="shared" si="69"/>
        <v>重复</v>
      </c>
      <c r="L2160" s="34" t="str">
        <f t="shared" si="70"/>
        <v>不重复</v>
      </c>
    </row>
    <row r="2161" spans="1:12" ht="27">
      <c r="A2161" s="35" t="s">
        <v>12584</v>
      </c>
      <c r="B2161" s="35" t="s">
        <v>6009</v>
      </c>
      <c r="C2161" s="36" t="s">
        <v>5417</v>
      </c>
      <c r="D2161" s="35" t="s">
        <v>2963</v>
      </c>
      <c r="E2161" s="35" t="s">
        <v>12495</v>
      </c>
      <c r="F2161" s="35" t="s">
        <v>12483</v>
      </c>
      <c r="G2161" s="35">
        <v>350689</v>
      </c>
      <c r="H2161" s="35">
        <v>390030</v>
      </c>
      <c r="I2161" s="35">
        <v>200020</v>
      </c>
      <c r="J2161" s="34" t="s">
        <v>6010</v>
      </c>
      <c r="K2161" s="34" t="str">
        <f t="shared" si="69"/>
        <v>重复</v>
      </c>
      <c r="L2161" s="34" t="str">
        <f t="shared" si="70"/>
        <v>重复</v>
      </c>
    </row>
    <row r="2162" spans="1:12" ht="15">
      <c r="A2162" s="35" t="s">
        <v>12585</v>
      </c>
      <c r="B2162" s="35" t="s">
        <v>6011</v>
      </c>
      <c r="C2162" s="36" t="s">
        <v>6012</v>
      </c>
      <c r="D2162" s="35" t="s">
        <v>6013</v>
      </c>
      <c r="E2162" s="35" t="s">
        <v>12495</v>
      </c>
      <c r="F2162" s="35" t="s">
        <v>12483</v>
      </c>
      <c r="G2162" s="35">
        <v>350690</v>
      </c>
      <c r="H2162" s="35">
        <v>390030</v>
      </c>
      <c r="I2162" s="35">
        <v>200020</v>
      </c>
      <c r="J2162" s="34" t="s">
        <v>688</v>
      </c>
      <c r="K2162" s="34" t="str">
        <f t="shared" si="69"/>
        <v>重复</v>
      </c>
      <c r="L2162" s="34" t="str">
        <f t="shared" si="70"/>
        <v>不重复</v>
      </c>
    </row>
    <row r="2163" spans="1:12" ht="27">
      <c r="A2163" s="35" t="s">
        <v>12586</v>
      </c>
      <c r="B2163" s="35" t="s">
        <v>6014</v>
      </c>
      <c r="C2163" s="36" t="s">
        <v>6015</v>
      </c>
      <c r="D2163" s="35" t="s">
        <v>6016</v>
      </c>
      <c r="E2163" s="35" t="s">
        <v>12495</v>
      </c>
      <c r="F2163" s="35" t="s">
        <v>12483</v>
      </c>
      <c r="G2163" s="35">
        <v>350691</v>
      </c>
      <c r="H2163" s="35">
        <v>390030</v>
      </c>
      <c r="I2163" s="35">
        <v>200020</v>
      </c>
      <c r="J2163" s="34" t="s">
        <v>6017</v>
      </c>
      <c r="K2163" s="34" t="str">
        <f t="shared" si="69"/>
        <v>重复</v>
      </c>
      <c r="L2163" s="34" t="str">
        <f t="shared" si="70"/>
        <v>不重复</v>
      </c>
    </row>
    <row r="2164" spans="1:12" ht="27">
      <c r="A2164" s="35" t="s">
        <v>12587</v>
      </c>
      <c r="B2164" s="35" t="s">
        <v>6018</v>
      </c>
      <c r="C2164" s="36" t="s">
        <v>276</v>
      </c>
      <c r="D2164" s="35" t="s">
        <v>6019</v>
      </c>
      <c r="E2164" s="35" t="s">
        <v>12495</v>
      </c>
      <c r="F2164" s="35" t="s">
        <v>12483</v>
      </c>
      <c r="G2164" s="35">
        <v>350692</v>
      </c>
      <c r="H2164" s="35">
        <v>390030</v>
      </c>
      <c r="I2164" s="35">
        <v>200020</v>
      </c>
      <c r="J2164" s="34" t="s">
        <v>1248</v>
      </c>
      <c r="K2164" s="34" t="str">
        <f t="shared" si="69"/>
        <v>重复</v>
      </c>
      <c r="L2164" s="34" t="str">
        <f t="shared" si="70"/>
        <v>不重复</v>
      </c>
    </row>
    <row r="2165" spans="1:12" ht="30">
      <c r="A2165" s="35" t="s">
        <v>12588</v>
      </c>
      <c r="B2165" s="35" t="s">
        <v>6020</v>
      </c>
      <c r="C2165" s="36" t="s">
        <v>6021</v>
      </c>
      <c r="D2165" s="35" t="s">
        <v>6022</v>
      </c>
      <c r="E2165" s="35" t="s">
        <v>12495</v>
      </c>
      <c r="F2165" s="35" t="s">
        <v>12483</v>
      </c>
      <c r="G2165" s="35">
        <v>350693</v>
      </c>
      <c r="H2165" s="35">
        <v>390030</v>
      </c>
      <c r="I2165" s="35">
        <v>200020</v>
      </c>
      <c r="J2165" s="34" t="s">
        <v>194</v>
      </c>
      <c r="K2165" s="34" t="str">
        <f t="shared" si="69"/>
        <v>重复</v>
      </c>
      <c r="L2165" s="34" t="str">
        <f t="shared" si="70"/>
        <v>不重复</v>
      </c>
    </row>
    <row r="2166" spans="1:12" ht="27">
      <c r="A2166" s="35" t="s">
        <v>12589</v>
      </c>
      <c r="B2166" s="35" t="s">
        <v>6023</v>
      </c>
      <c r="C2166" s="36" t="s">
        <v>2968</v>
      </c>
      <c r="D2166" s="35" t="s">
        <v>6024</v>
      </c>
      <c r="E2166" s="35" t="s">
        <v>12495</v>
      </c>
      <c r="F2166" s="35" t="s">
        <v>12483</v>
      </c>
      <c r="G2166" s="35">
        <v>350694</v>
      </c>
      <c r="H2166" s="35">
        <v>390030</v>
      </c>
      <c r="I2166" s="35">
        <v>200020</v>
      </c>
      <c r="J2166" s="34" t="s">
        <v>1019</v>
      </c>
      <c r="K2166" s="34" t="str">
        <f t="shared" si="69"/>
        <v>重复</v>
      </c>
      <c r="L2166" s="34" t="str">
        <f t="shared" si="70"/>
        <v>不重复</v>
      </c>
    </row>
    <row r="2167" spans="1:12" ht="30">
      <c r="A2167" s="35" t="s">
        <v>12590</v>
      </c>
      <c r="B2167" s="35" t="s">
        <v>6025</v>
      </c>
      <c r="C2167" s="36" t="s">
        <v>6026</v>
      </c>
      <c r="D2167" s="35" t="s">
        <v>6027</v>
      </c>
      <c r="E2167" s="35" t="s">
        <v>12495</v>
      </c>
      <c r="F2167" s="35" t="s">
        <v>12483</v>
      </c>
      <c r="G2167" s="35">
        <v>350695</v>
      </c>
      <c r="H2167" s="35">
        <v>390030</v>
      </c>
      <c r="I2167" s="35">
        <v>200020</v>
      </c>
      <c r="J2167" s="34" t="s">
        <v>317</v>
      </c>
      <c r="K2167" s="34" t="str">
        <f t="shared" si="69"/>
        <v>重复</v>
      </c>
      <c r="L2167" s="34" t="str">
        <f t="shared" si="70"/>
        <v>不重复</v>
      </c>
    </row>
    <row r="2168" spans="1:12" ht="30">
      <c r="A2168" s="35" t="s">
        <v>12591</v>
      </c>
      <c r="B2168" s="35" t="s">
        <v>6028</v>
      </c>
      <c r="C2168" s="36" t="s">
        <v>4707</v>
      </c>
      <c r="D2168" s="35" t="s">
        <v>6029</v>
      </c>
      <c r="E2168" s="35" t="s">
        <v>12495</v>
      </c>
      <c r="F2168" s="35" t="s">
        <v>12483</v>
      </c>
      <c r="G2168" s="35">
        <v>350696</v>
      </c>
      <c r="H2168" s="35">
        <v>390030</v>
      </c>
      <c r="I2168" s="35">
        <v>200020</v>
      </c>
      <c r="J2168" s="34" t="s">
        <v>1700</v>
      </c>
      <c r="K2168" s="34" t="str">
        <f t="shared" si="69"/>
        <v>重复</v>
      </c>
      <c r="L2168" s="34" t="str">
        <f t="shared" si="70"/>
        <v>重复</v>
      </c>
    </row>
    <row r="2169" spans="1:12" ht="30">
      <c r="A2169" s="35" t="s">
        <v>12592</v>
      </c>
      <c r="B2169" s="35" t="s">
        <v>6030</v>
      </c>
      <c r="C2169" s="36" t="s">
        <v>6031</v>
      </c>
      <c r="D2169" s="35" t="s">
        <v>6032</v>
      </c>
      <c r="E2169" s="35" t="s">
        <v>12495</v>
      </c>
      <c r="F2169" s="35" t="s">
        <v>12483</v>
      </c>
      <c r="G2169" s="35">
        <v>350697</v>
      </c>
      <c r="H2169" s="35">
        <v>390030</v>
      </c>
      <c r="I2169" s="35">
        <v>200020</v>
      </c>
      <c r="J2169" s="34" t="s">
        <v>311</v>
      </c>
      <c r="K2169" s="34" t="str">
        <f t="shared" si="69"/>
        <v>重复</v>
      </c>
      <c r="L2169" s="34" t="str">
        <f t="shared" si="70"/>
        <v>不重复</v>
      </c>
    </row>
    <row r="2170" spans="1:12" ht="15">
      <c r="A2170" s="35" t="s">
        <v>12593</v>
      </c>
      <c r="B2170" s="35" t="s">
        <v>6033</v>
      </c>
      <c r="C2170" s="36" t="s">
        <v>6034</v>
      </c>
      <c r="D2170" s="35" t="s">
        <v>6035</v>
      </c>
      <c r="E2170" s="35" t="s">
        <v>12495</v>
      </c>
      <c r="F2170" s="35" t="s">
        <v>12483</v>
      </c>
      <c r="G2170" s="35">
        <v>350698</v>
      </c>
      <c r="H2170" s="35">
        <v>390030</v>
      </c>
      <c r="I2170" s="35">
        <v>200020</v>
      </c>
      <c r="J2170" s="34" t="s">
        <v>4993</v>
      </c>
      <c r="K2170" s="34" t="str">
        <f t="shared" si="69"/>
        <v>不重复</v>
      </c>
      <c r="L2170" s="34" t="str">
        <f t="shared" si="70"/>
        <v>不重复</v>
      </c>
    </row>
    <row r="2171" spans="1:12" ht="15">
      <c r="A2171" s="35" t="s">
        <v>12594</v>
      </c>
      <c r="B2171" s="35" t="s">
        <v>6036</v>
      </c>
      <c r="C2171" s="36" t="s">
        <v>6037</v>
      </c>
      <c r="D2171" s="35" t="s">
        <v>6038</v>
      </c>
      <c r="E2171" s="35" t="s">
        <v>12495</v>
      </c>
      <c r="F2171" s="35" t="s">
        <v>12483</v>
      </c>
      <c r="G2171" s="35">
        <v>350699</v>
      </c>
      <c r="H2171" s="35">
        <v>390030</v>
      </c>
      <c r="I2171" s="35">
        <v>200020</v>
      </c>
      <c r="J2171" s="34" t="s">
        <v>6039</v>
      </c>
      <c r="K2171" s="34" t="str">
        <f t="shared" si="69"/>
        <v>不重复</v>
      </c>
      <c r="L2171" s="34" t="str">
        <f t="shared" si="70"/>
        <v>不重复</v>
      </c>
    </row>
    <row r="2172" spans="1:12" ht="15">
      <c r="A2172" s="35" t="s">
        <v>12595</v>
      </c>
      <c r="B2172" s="35" t="s">
        <v>6040</v>
      </c>
      <c r="C2172" s="36" t="s">
        <v>6041</v>
      </c>
      <c r="D2172" s="35" t="s">
        <v>6042</v>
      </c>
      <c r="E2172" s="35" t="s">
        <v>12495</v>
      </c>
      <c r="F2172" s="35" t="s">
        <v>12483</v>
      </c>
      <c r="G2172" s="35">
        <v>350700</v>
      </c>
      <c r="H2172" s="35">
        <v>390030</v>
      </c>
      <c r="I2172" s="35">
        <v>200020</v>
      </c>
      <c r="J2172" s="34" t="s">
        <v>6043</v>
      </c>
      <c r="K2172" s="34" t="str">
        <f t="shared" si="69"/>
        <v>不重复</v>
      </c>
      <c r="L2172" s="34" t="str">
        <f t="shared" si="70"/>
        <v>不重复</v>
      </c>
    </row>
    <row r="2173" spans="1:12" ht="15">
      <c r="A2173" s="35" t="s">
        <v>12596</v>
      </c>
      <c r="B2173" s="35" t="s">
        <v>6044</v>
      </c>
      <c r="C2173" s="36" t="s">
        <v>6045</v>
      </c>
      <c r="D2173" s="35" t="s">
        <v>6046</v>
      </c>
      <c r="E2173" s="35" t="s">
        <v>12495</v>
      </c>
      <c r="F2173" s="35" t="s">
        <v>12483</v>
      </c>
      <c r="G2173" s="35">
        <v>350701</v>
      </c>
      <c r="H2173" s="35">
        <v>390030</v>
      </c>
      <c r="I2173" s="35">
        <v>200020</v>
      </c>
      <c r="J2173" s="34" t="s">
        <v>288</v>
      </c>
      <c r="K2173" s="34" t="str">
        <f t="shared" si="69"/>
        <v>重复</v>
      </c>
      <c r="L2173" s="34" t="str">
        <f t="shared" si="70"/>
        <v>不重复</v>
      </c>
    </row>
    <row r="2174" spans="1:12" ht="15">
      <c r="A2174" s="35" t="s">
        <v>12597</v>
      </c>
      <c r="B2174" s="35" t="s">
        <v>6047</v>
      </c>
      <c r="C2174" s="36" t="s">
        <v>6048</v>
      </c>
      <c r="D2174" s="35" t="s">
        <v>6049</v>
      </c>
      <c r="E2174" s="35" t="s">
        <v>12495</v>
      </c>
      <c r="F2174" s="35" t="s">
        <v>12483</v>
      </c>
      <c r="G2174" s="35">
        <v>350702</v>
      </c>
      <c r="H2174" s="35">
        <v>390030</v>
      </c>
      <c r="I2174" s="35">
        <v>200020</v>
      </c>
      <c r="J2174" s="34" t="s">
        <v>2934</v>
      </c>
      <c r="K2174" s="34" t="str">
        <f t="shared" si="69"/>
        <v>不重复</v>
      </c>
      <c r="L2174" s="34" t="str">
        <f t="shared" si="70"/>
        <v>不重复</v>
      </c>
    </row>
    <row r="2175" spans="1:12" ht="15">
      <c r="A2175" s="35" t="s">
        <v>12598</v>
      </c>
      <c r="B2175" s="35" t="s">
        <v>6050</v>
      </c>
      <c r="C2175" s="36" t="s">
        <v>6051</v>
      </c>
      <c r="D2175" s="35" t="s">
        <v>6052</v>
      </c>
      <c r="E2175" s="35" t="s">
        <v>12495</v>
      </c>
      <c r="F2175" s="35" t="s">
        <v>12483</v>
      </c>
      <c r="G2175" s="35">
        <v>350703</v>
      </c>
      <c r="H2175" s="35">
        <v>390030</v>
      </c>
      <c r="I2175" s="35">
        <v>200020</v>
      </c>
      <c r="J2175" s="34" t="s">
        <v>6039</v>
      </c>
      <c r="K2175" s="34" t="str">
        <f t="shared" si="69"/>
        <v>不重复</v>
      </c>
      <c r="L2175" s="34" t="str">
        <f t="shared" si="70"/>
        <v>不重复</v>
      </c>
    </row>
    <row r="2176" spans="1:12" ht="15">
      <c r="A2176" s="35" t="s">
        <v>12599</v>
      </c>
      <c r="B2176" s="35" t="s">
        <v>6053</v>
      </c>
      <c r="C2176" s="36" t="s">
        <v>6054</v>
      </c>
      <c r="D2176" s="35" t="s">
        <v>6055</v>
      </c>
      <c r="E2176" s="35" t="s">
        <v>12495</v>
      </c>
      <c r="F2176" s="35" t="s">
        <v>12483</v>
      </c>
      <c r="G2176" s="35">
        <v>350704</v>
      </c>
      <c r="H2176" s="35">
        <v>390030</v>
      </c>
      <c r="I2176" s="35">
        <v>200020</v>
      </c>
      <c r="J2176" s="34" t="s">
        <v>6056</v>
      </c>
      <c r="K2176" s="34" t="str">
        <f t="shared" si="69"/>
        <v>不重复</v>
      </c>
      <c r="L2176" s="34" t="str">
        <f t="shared" si="70"/>
        <v>重复</v>
      </c>
    </row>
    <row r="2177" spans="1:12" ht="15">
      <c r="A2177" s="35" t="s">
        <v>12600</v>
      </c>
      <c r="B2177" s="35" t="s">
        <v>6057</v>
      </c>
      <c r="C2177" s="36" t="s">
        <v>5710</v>
      </c>
      <c r="D2177" s="35" t="s">
        <v>6058</v>
      </c>
      <c r="E2177" s="35" t="s">
        <v>12495</v>
      </c>
      <c r="F2177" s="35" t="s">
        <v>12483</v>
      </c>
      <c r="G2177" s="35">
        <v>350705</v>
      </c>
      <c r="H2177" s="35">
        <v>390030</v>
      </c>
      <c r="I2177" s="35">
        <v>200020</v>
      </c>
      <c r="J2177" s="34" t="s">
        <v>311</v>
      </c>
      <c r="K2177" s="34" t="str">
        <f t="shared" si="69"/>
        <v>重复</v>
      </c>
      <c r="L2177" s="34" t="str">
        <f t="shared" si="70"/>
        <v>不重复</v>
      </c>
    </row>
    <row r="2178" spans="1:12" ht="27">
      <c r="A2178" s="35" t="s">
        <v>12601</v>
      </c>
      <c r="B2178" s="35" t="s">
        <v>6059</v>
      </c>
      <c r="C2178" s="36" t="s">
        <v>6060</v>
      </c>
      <c r="D2178" s="35" t="s">
        <v>6061</v>
      </c>
      <c r="E2178" s="35" t="s">
        <v>12495</v>
      </c>
      <c r="F2178" s="35" t="s">
        <v>12483</v>
      </c>
      <c r="G2178" s="35">
        <v>350706</v>
      </c>
      <c r="H2178" s="35">
        <v>390030</v>
      </c>
      <c r="I2178" s="35">
        <v>200020</v>
      </c>
      <c r="J2178" s="34" t="s">
        <v>5177</v>
      </c>
      <c r="K2178" s="34" t="str">
        <f t="shared" si="69"/>
        <v>不重复</v>
      </c>
      <c r="L2178" s="34" t="str">
        <f t="shared" si="70"/>
        <v>不重复</v>
      </c>
    </row>
    <row r="2179" spans="1:12" ht="27">
      <c r="A2179" s="35" t="s">
        <v>12602</v>
      </c>
      <c r="B2179" s="35" t="s">
        <v>6062</v>
      </c>
      <c r="C2179" s="36" t="s">
        <v>6063</v>
      </c>
      <c r="D2179" s="35" t="s">
        <v>6064</v>
      </c>
      <c r="E2179" s="35" t="s">
        <v>12495</v>
      </c>
      <c r="F2179" s="35" t="s">
        <v>12483</v>
      </c>
      <c r="G2179" s="35">
        <v>350707</v>
      </c>
      <c r="H2179" s="35">
        <v>390030</v>
      </c>
      <c r="I2179" s="35">
        <v>200020</v>
      </c>
      <c r="J2179" s="34" t="s">
        <v>317</v>
      </c>
      <c r="K2179" s="34" t="str">
        <f t="shared" si="69"/>
        <v>不重复</v>
      </c>
      <c r="L2179" s="34" t="str">
        <f t="shared" si="70"/>
        <v>不重复</v>
      </c>
    </row>
    <row r="2180" spans="1:12" ht="27">
      <c r="A2180" s="35" t="s">
        <v>12603</v>
      </c>
      <c r="B2180" s="35" t="s">
        <v>6065</v>
      </c>
      <c r="C2180" s="36" t="s">
        <v>6066</v>
      </c>
      <c r="D2180" s="35" t="s">
        <v>6067</v>
      </c>
      <c r="E2180" s="35" t="s">
        <v>12495</v>
      </c>
      <c r="F2180" s="35" t="s">
        <v>12483</v>
      </c>
      <c r="G2180" s="35">
        <v>350708</v>
      </c>
      <c r="H2180" s="35">
        <v>390030</v>
      </c>
      <c r="I2180" s="35">
        <v>200020</v>
      </c>
      <c r="J2180" s="34" t="s">
        <v>311</v>
      </c>
      <c r="K2180" s="34" t="str">
        <f t="shared" si="69"/>
        <v>重复</v>
      </c>
      <c r="L2180" s="34" t="str">
        <f t="shared" si="70"/>
        <v>不重复</v>
      </c>
    </row>
    <row r="2181" spans="1:12" ht="15">
      <c r="A2181" s="35" t="s">
        <v>12604</v>
      </c>
      <c r="B2181" s="35" t="s">
        <v>6068</v>
      </c>
      <c r="C2181" s="36" t="s">
        <v>6026</v>
      </c>
      <c r="D2181" s="35" t="s">
        <v>6069</v>
      </c>
      <c r="E2181" s="35" t="s">
        <v>12495</v>
      </c>
      <c r="F2181" s="35" t="s">
        <v>12483</v>
      </c>
      <c r="G2181" s="35">
        <v>350709</v>
      </c>
      <c r="H2181" s="35">
        <v>390030</v>
      </c>
      <c r="I2181" s="35">
        <v>200020</v>
      </c>
      <c r="J2181" s="34" t="s">
        <v>4252</v>
      </c>
      <c r="K2181" s="34" t="str">
        <f t="shared" si="69"/>
        <v>重复</v>
      </c>
      <c r="L2181" s="34" t="str">
        <f t="shared" si="70"/>
        <v>不重复</v>
      </c>
    </row>
    <row r="2182" spans="1:12" ht="30">
      <c r="A2182" s="35" t="s">
        <v>12605</v>
      </c>
      <c r="B2182" s="35" t="s">
        <v>6070</v>
      </c>
      <c r="C2182" s="36" t="s">
        <v>272</v>
      </c>
      <c r="D2182" s="35" t="s">
        <v>6071</v>
      </c>
      <c r="E2182" s="35" t="s">
        <v>12495</v>
      </c>
      <c r="F2182" s="35" t="s">
        <v>12483</v>
      </c>
      <c r="G2182" s="35">
        <v>350710</v>
      </c>
      <c r="H2182" s="35">
        <v>390030</v>
      </c>
      <c r="I2182" s="35">
        <v>200020</v>
      </c>
      <c r="J2182" s="34" t="s">
        <v>311</v>
      </c>
      <c r="K2182" s="34" t="str">
        <f t="shared" si="69"/>
        <v>重复</v>
      </c>
      <c r="L2182" s="34" t="str">
        <f t="shared" si="70"/>
        <v>不重复</v>
      </c>
    </row>
    <row r="2183" spans="1:12" ht="30">
      <c r="A2183" s="35" t="s">
        <v>12606</v>
      </c>
      <c r="B2183" s="35" t="s">
        <v>6072</v>
      </c>
      <c r="C2183" s="36" t="s">
        <v>2704</v>
      </c>
      <c r="D2183" s="35" t="s">
        <v>6073</v>
      </c>
      <c r="E2183" s="35" t="s">
        <v>12495</v>
      </c>
      <c r="F2183" s="35" t="s">
        <v>12483</v>
      </c>
      <c r="G2183" s="35">
        <v>350711</v>
      </c>
      <c r="H2183" s="35">
        <v>390030</v>
      </c>
      <c r="I2183" s="35">
        <v>200020</v>
      </c>
      <c r="J2183" s="34" t="s">
        <v>6074</v>
      </c>
      <c r="K2183" s="34" t="str">
        <f t="shared" si="69"/>
        <v>重复</v>
      </c>
      <c r="L2183" s="34" t="str">
        <f t="shared" si="70"/>
        <v>不重复</v>
      </c>
    </row>
    <row r="2184" spans="1:12" ht="15">
      <c r="A2184" s="35" t="s">
        <v>12607</v>
      </c>
      <c r="B2184" s="35" t="s">
        <v>6075</v>
      </c>
      <c r="C2184" s="36" t="s">
        <v>6076</v>
      </c>
      <c r="D2184" s="35" t="s">
        <v>6077</v>
      </c>
      <c r="E2184" s="35" t="s">
        <v>12495</v>
      </c>
      <c r="F2184" s="35" t="s">
        <v>12483</v>
      </c>
      <c r="G2184" s="35">
        <v>350712</v>
      </c>
      <c r="H2184" s="35">
        <v>390030</v>
      </c>
      <c r="I2184" s="35">
        <v>200020</v>
      </c>
      <c r="J2184" s="34" t="s">
        <v>311</v>
      </c>
      <c r="K2184" s="34" t="str">
        <f t="shared" si="69"/>
        <v>重复</v>
      </c>
      <c r="L2184" s="34" t="str">
        <f t="shared" si="70"/>
        <v>不重复</v>
      </c>
    </row>
    <row r="2185" spans="1:12" ht="15">
      <c r="A2185" s="35" t="s">
        <v>12608</v>
      </c>
      <c r="B2185" s="35" t="s">
        <v>6078</v>
      </c>
      <c r="C2185" s="36" t="s">
        <v>6076</v>
      </c>
      <c r="D2185" s="35" t="s">
        <v>6079</v>
      </c>
      <c r="E2185" s="35" t="s">
        <v>12495</v>
      </c>
      <c r="F2185" s="35" t="s">
        <v>12483</v>
      </c>
      <c r="G2185" s="35">
        <v>350713</v>
      </c>
      <c r="H2185" s="35">
        <v>390030</v>
      </c>
      <c r="I2185" s="35">
        <v>200020</v>
      </c>
      <c r="J2185" s="34" t="s">
        <v>6080</v>
      </c>
      <c r="K2185" s="34" t="str">
        <f t="shared" si="69"/>
        <v>重复</v>
      </c>
      <c r="L2185" s="34" t="str">
        <f t="shared" si="70"/>
        <v>不重复</v>
      </c>
    </row>
    <row r="2186" spans="1:12" ht="27">
      <c r="A2186" s="35" t="s">
        <v>12609</v>
      </c>
      <c r="B2186" s="35" t="s">
        <v>6081</v>
      </c>
      <c r="C2186" s="36" t="s">
        <v>245</v>
      </c>
      <c r="D2186" s="35" t="s">
        <v>6082</v>
      </c>
      <c r="E2186" s="35" t="s">
        <v>12495</v>
      </c>
      <c r="F2186" s="35" t="s">
        <v>12483</v>
      </c>
      <c r="G2186" s="35">
        <v>350714</v>
      </c>
      <c r="H2186" s="35">
        <v>390030</v>
      </c>
      <c r="I2186" s="35">
        <v>200020</v>
      </c>
      <c r="J2186" s="34" t="s">
        <v>681</v>
      </c>
      <c r="K2186" s="34" t="str">
        <f t="shared" si="69"/>
        <v>重复</v>
      </c>
      <c r="L2186" s="34" t="str">
        <f t="shared" si="70"/>
        <v>不重复</v>
      </c>
    </row>
    <row r="2187" spans="1:12" ht="27">
      <c r="A2187" s="35" t="s">
        <v>12610</v>
      </c>
      <c r="B2187" s="35" t="s">
        <v>6083</v>
      </c>
      <c r="C2187" s="36" t="s">
        <v>6084</v>
      </c>
      <c r="D2187" s="35" t="s">
        <v>6085</v>
      </c>
      <c r="E2187" s="35" t="s">
        <v>12495</v>
      </c>
      <c r="F2187" s="35" t="s">
        <v>12483</v>
      </c>
      <c r="G2187" s="35">
        <v>350715</v>
      </c>
      <c r="H2187" s="35">
        <v>390030</v>
      </c>
      <c r="I2187" s="35">
        <v>200020</v>
      </c>
      <c r="J2187" s="34" t="s">
        <v>6086</v>
      </c>
      <c r="K2187" s="34" t="str">
        <f t="shared" si="69"/>
        <v>重复</v>
      </c>
      <c r="L2187" s="34" t="str">
        <f t="shared" si="70"/>
        <v>不重复</v>
      </c>
    </row>
    <row r="2188" spans="1:12" ht="30">
      <c r="A2188" s="35" t="s">
        <v>12611</v>
      </c>
      <c r="B2188" s="35" t="s">
        <v>6087</v>
      </c>
      <c r="C2188" s="36" t="s">
        <v>2886</v>
      </c>
      <c r="D2188" s="35" t="s">
        <v>6088</v>
      </c>
      <c r="E2188" s="35" t="s">
        <v>12495</v>
      </c>
      <c r="F2188" s="35" t="s">
        <v>12483</v>
      </c>
      <c r="G2188" s="35">
        <v>350716</v>
      </c>
      <c r="H2188" s="35">
        <v>390030</v>
      </c>
      <c r="I2188" s="35">
        <v>200020</v>
      </c>
      <c r="J2188" s="34" t="s">
        <v>5477</v>
      </c>
      <c r="K2188" s="34" t="str">
        <f t="shared" si="71" ref="K2188:K2251">IF(COUNTIF(C:C,C2188)&gt;=2,"重复","不重复")</f>
        <v>重复</v>
      </c>
      <c r="L2188" s="34" t="str">
        <f t="shared" si="72" ref="L2188:L2251">IF(COUNTIF(D:D,D2188)&gt;=2,"重复","不重复")</f>
        <v>不重复</v>
      </c>
    </row>
    <row r="2189" spans="1:12" ht="15">
      <c r="A2189" s="35" t="s">
        <v>12612</v>
      </c>
      <c r="B2189" s="35" t="s">
        <v>6089</v>
      </c>
      <c r="C2189" s="36" t="s">
        <v>5643</v>
      </c>
      <c r="D2189" s="35" t="s">
        <v>6090</v>
      </c>
      <c r="E2189" s="35" t="s">
        <v>12495</v>
      </c>
      <c r="F2189" s="35" t="s">
        <v>12483</v>
      </c>
      <c r="G2189" s="35">
        <v>350717</v>
      </c>
      <c r="H2189" s="35">
        <v>390030</v>
      </c>
      <c r="I2189" s="35">
        <v>200020</v>
      </c>
      <c r="J2189" s="34" t="s">
        <v>6080</v>
      </c>
      <c r="K2189" s="34" t="str">
        <f t="shared" si="71"/>
        <v>重复</v>
      </c>
      <c r="L2189" s="34" t="str">
        <f t="shared" si="72"/>
        <v>重复</v>
      </c>
    </row>
    <row r="2190" spans="1:12" ht="27">
      <c r="A2190" s="35" t="s">
        <v>12613</v>
      </c>
      <c r="B2190" s="35" t="s">
        <v>6091</v>
      </c>
      <c r="C2190" s="36" t="s">
        <v>2510</v>
      </c>
      <c r="D2190" s="35" t="s">
        <v>6092</v>
      </c>
      <c r="E2190" s="35" t="s">
        <v>12495</v>
      </c>
      <c r="F2190" s="35" t="s">
        <v>12483</v>
      </c>
      <c r="G2190" s="35">
        <v>350718</v>
      </c>
      <c r="H2190" s="35">
        <v>390030</v>
      </c>
      <c r="I2190" s="35">
        <v>200020</v>
      </c>
      <c r="J2190" s="34" t="s">
        <v>6080</v>
      </c>
      <c r="K2190" s="34" t="str">
        <f t="shared" si="71"/>
        <v>重复</v>
      </c>
      <c r="L2190" s="34" t="str">
        <f t="shared" si="72"/>
        <v>重复</v>
      </c>
    </row>
    <row r="2191" spans="1:12" ht="30">
      <c r="A2191" s="35" t="s">
        <v>12614</v>
      </c>
      <c r="B2191" s="35" t="s">
        <v>6093</v>
      </c>
      <c r="C2191" s="36" t="s">
        <v>6084</v>
      </c>
      <c r="D2191" s="35" t="s">
        <v>6092</v>
      </c>
      <c r="E2191" s="35" t="s">
        <v>12495</v>
      </c>
      <c r="F2191" s="35" t="s">
        <v>12483</v>
      </c>
      <c r="G2191" s="35">
        <v>350719</v>
      </c>
      <c r="H2191" s="35">
        <v>390030</v>
      </c>
      <c r="I2191" s="35">
        <v>200020</v>
      </c>
      <c r="J2191" s="34" t="s">
        <v>6080</v>
      </c>
      <c r="K2191" s="34" t="str">
        <f t="shared" si="71"/>
        <v>重复</v>
      </c>
      <c r="L2191" s="34" t="str">
        <f t="shared" si="72"/>
        <v>重复</v>
      </c>
    </row>
    <row r="2192" spans="1:12" ht="30">
      <c r="A2192" s="35" t="s">
        <v>12615</v>
      </c>
      <c r="B2192" s="35" t="s">
        <v>6094</v>
      </c>
      <c r="C2192" s="36" t="s">
        <v>6095</v>
      </c>
      <c r="D2192" s="35" t="s">
        <v>6096</v>
      </c>
      <c r="E2192" s="35" t="s">
        <v>12495</v>
      </c>
      <c r="F2192" s="35" t="s">
        <v>12483</v>
      </c>
      <c r="G2192" s="35">
        <v>350720</v>
      </c>
      <c r="H2192" s="35">
        <v>390030</v>
      </c>
      <c r="I2192" s="35">
        <v>200020</v>
      </c>
      <c r="J2192" s="34" t="s">
        <v>6097</v>
      </c>
      <c r="K2192" s="34" t="str">
        <f t="shared" si="71"/>
        <v>重复</v>
      </c>
      <c r="L2192" s="34" t="str">
        <f t="shared" si="72"/>
        <v>不重复</v>
      </c>
    </row>
    <row r="2193" spans="1:12" ht="15">
      <c r="A2193" s="35" t="s">
        <v>12616</v>
      </c>
      <c r="B2193" s="35" t="s">
        <v>6098</v>
      </c>
      <c r="C2193" s="36" t="s">
        <v>5511</v>
      </c>
      <c r="D2193" s="35" t="s">
        <v>6099</v>
      </c>
      <c r="E2193" s="35" t="s">
        <v>12495</v>
      </c>
      <c r="F2193" s="35" t="s">
        <v>12483</v>
      </c>
      <c r="G2193" s="35">
        <v>350721</v>
      </c>
      <c r="H2193" s="35">
        <v>390030</v>
      </c>
      <c r="I2193" s="35">
        <v>200020</v>
      </c>
      <c r="J2193" s="34" t="s">
        <v>363</v>
      </c>
      <c r="K2193" s="34" t="str">
        <f t="shared" si="71"/>
        <v>重复</v>
      </c>
      <c r="L2193" s="34" t="str">
        <f t="shared" si="72"/>
        <v>重复</v>
      </c>
    </row>
    <row r="2194" spans="1:12" ht="15">
      <c r="A2194" s="35" t="s">
        <v>12617</v>
      </c>
      <c r="B2194" s="35" t="s">
        <v>6100</v>
      </c>
      <c r="C2194" s="36" t="s">
        <v>6101</v>
      </c>
      <c r="D2194" s="35" t="s">
        <v>3341</v>
      </c>
      <c r="E2194" s="35" t="s">
        <v>12495</v>
      </c>
      <c r="F2194" s="35" t="s">
        <v>12483</v>
      </c>
      <c r="G2194" s="35">
        <v>350722</v>
      </c>
      <c r="H2194" s="35">
        <v>390030</v>
      </c>
      <c r="I2194" s="35">
        <v>200020</v>
      </c>
      <c r="J2194" s="34" t="s">
        <v>6102</v>
      </c>
      <c r="K2194" s="34" t="str">
        <f t="shared" si="71"/>
        <v>不重复</v>
      </c>
      <c r="L2194" s="34" t="str">
        <f t="shared" si="72"/>
        <v>重复</v>
      </c>
    </row>
    <row r="2195" spans="1:12" ht="30">
      <c r="A2195" s="35" t="s">
        <v>12618</v>
      </c>
      <c r="B2195" s="35" t="s">
        <v>6103</v>
      </c>
      <c r="C2195" s="36" t="s">
        <v>5648</v>
      </c>
      <c r="D2195" s="35" t="s">
        <v>6104</v>
      </c>
      <c r="E2195" s="35" t="s">
        <v>12495</v>
      </c>
      <c r="F2195" s="35" t="s">
        <v>12483</v>
      </c>
      <c r="G2195" s="35">
        <v>350723</v>
      </c>
      <c r="H2195" s="35">
        <v>390030</v>
      </c>
      <c r="I2195" s="35">
        <v>200020</v>
      </c>
      <c r="J2195" s="34" t="s">
        <v>6105</v>
      </c>
      <c r="K2195" s="34" t="str">
        <f t="shared" si="71"/>
        <v>重复</v>
      </c>
      <c r="L2195" s="34" t="str">
        <f t="shared" si="72"/>
        <v>不重复</v>
      </c>
    </row>
    <row r="2196" spans="1:12" ht="15">
      <c r="A2196" s="35" t="s">
        <v>12619</v>
      </c>
      <c r="B2196" s="35" t="s">
        <v>6106</v>
      </c>
      <c r="C2196" s="36" t="s">
        <v>5322</v>
      </c>
      <c r="D2196" s="35" t="s">
        <v>6107</v>
      </c>
      <c r="E2196" s="35" t="s">
        <v>12495</v>
      </c>
      <c r="F2196" s="35" t="s">
        <v>12483</v>
      </c>
      <c r="G2196" s="35">
        <v>350724</v>
      </c>
      <c r="H2196" s="35">
        <v>390030</v>
      </c>
      <c r="I2196" s="35">
        <v>200020</v>
      </c>
      <c r="J2196" s="34" t="s">
        <v>261</v>
      </c>
      <c r="K2196" s="34" t="str">
        <f t="shared" si="71"/>
        <v>重复</v>
      </c>
      <c r="L2196" s="34" t="str">
        <f t="shared" si="72"/>
        <v>不重复</v>
      </c>
    </row>
    <row r="2197" spans="1:12" ht="27">
      <c r="A2197" s="35" t="s">
        <v>12620</v>
      </c>
      <c r="B2197" s="35" t="s">
        <v>6108</v>
      </c>
      <c r="C2197" s="36" t="s">
        <v>6109</v>
      </c>
      <c r="D2197" s="35" t="s">
        <v>6110</v>
      </c>
      <c r="E2197" s="35" t="s">
        <v>12495</v>
      </c>
      <c r="F2197" s="35" t="s">
        <v>12483</v>
      </c>
      <c r="G2197" s="35">
        <v>350725</v>
      </c>
      <c r="H2197" s="35">
        <v>390030</v>
      </c>
      <c r="I2197" s="35">
        <v>200020</v>
      </c>
      <c r="J2197" s="34" t="s">
        <v>609</v>
      </c>
      <c r="K2197" s="34" t="str">
        <f t="shared" si="71"/>
        <v>重复</v>
      </c>
      <c r="L2197" s="34" t="str">
        <f t="shared" si="72"/>
        <v>不重复</v>
      </c>
    </row>
    <row r="2198" spans="1:12" ht="27">
      <c r="A2198" s="35" t="s">
        <v>12621</v>
      </c>
      <c r="B2198" s="35" t="s">
        <v>6111</v>
      </c>
      <c r="C2198" s="36" t="s">
        <v>1038</v>
      </c>
      <c r="D2198" s="35" t="s">
        <v>6112</v>
      </c>
      <c r="E2198" s="35" t="s">
        <v>12495</v>
      </c>
      <c r="F2198" s="35" t="s">
        <v>12483</v>
      </c>
      <c r="G2198" s="35">
        <v>350726</v>
      </c>
      <c r="H2198" s="35">
        <v>390030</v>
      </c>
      <c r="I2198" s="35">
        <v>200020</v>
      </c>
      <c r="J2198" s="34" t="s">
        <v>6113</v>
      </c>
      <c r="K2198" s="34" t="str">
        <f t="shared" si="71"/>
        <v>重复</v>
      </c>
      <c r="L2198" s="34" t="str">
        <f t="shared" si="72"/>
        <v>不重复</v>
      </c>
    </row>
    <row r="2199" spans="1:12" ht="15">
      <c r="A2199" s="35" t="s">
        <v>12622</v>
      </c>
      <c r="B2199" s="35" t="s">
        <v>6114</v>
      </c>
      <c r="C2199" s="36" t="s">
        <v>6115</v>
      </c>
      <c r="D2199" s="35" t="s">
        <v>6116</v>
      </c>
      <c r="E2199" s="35" t="s">
        <v>12495</v>
      </c>
      <c r="F2199" s="35" t="s">
        <v>12483</v>
      </c>
      <c r="G2199" s="35">
        <v>350727</v>
      </c>
      <c r="H2199" s="35">
        <v>390030</v>
      </c>
      <c r="I2199" s="35">
        <v>200020</v>
      </c>
      <c r="J2199" s="34" t="s">
        <v>5170</v>
      </c>
      <c r="K2199" s="34" t="str">
        <f t="shared" si="71"/>
        <v>不重复</v>
      </c>
      <c r="L2199" s="34" t="str">
        <f t="shared" si="72"/>
        <v>不重复</v>
      </c>
    </row>
    <row r="2200" spans="1:12" ht="15">
      <c r="A2200" s="35" t="s">
        <v>12623</v>
      </c>
      <c r="B2200" s="35" t="s">
        <v>6117</v>
      </c>
      <c r="C2200" s="36" t="s">
        <v>6118</v>
      </c>
      <c r="D2200" s="35" t="s">
        <v>6119</v>
      </c>
      <c r="E2200" s="35" t="s">
        <v>12623</v>
      </c>
      <c r="F2200" s="35" t="s">
        <v>12483</v>
      </c>
      <c r="G2200" s="35">
        <v>350900</v>
      </c>
      <c r="H2200" s="35">
        <v>390040</v>
      </c>
      <c r="I2200" s="35">
        <v>200020</v>
      </c>
      <c r="J2200" s="34" t="s">
        <v>16</v>
      </c>
      <c r="K2200" s="34" t="str">
        <f t="shared" si="71"/>
        <v>重复</v>
      </c>
      <c r="L2200" s="34" t="str">
        <f t="shared" si="72"/>
        <v>不重复</v>
      </c>
    </row>
    <row r="2201" spans="1:12" ht="30">
      <c r="A2201" s="35" t="s">
        <v>12624</v>
      </c>
      <c r="B2201" s="35" t="s">
        <v>6120</v>
      </c>
      <c r="C2201" s="36" t="s">
        <v>6121</v>
      </c>
      <c r="D2201" s="35" t="s">
        <v>6122</v>
      </c>
      <c r="E2201" s="35" t="s">
        <v>12623</v>
      </c>
      <c r="F2201" s="35" t="s">
        <v>12483</v>
      </c>
      <c r="G2201" s="35">
        <v>350901</v>
      </c>
      <c r="H2201" s="35">
        <v>390040</v>
      </c>
      <c r="I2201" s="35">
        <v>200020</v>
      </c>
      <c r="J2201" s="34" t="s">
        <v>6123</v>
      </c>
      <c r="K2201" s="34" t="str">
        <f t="shared" si="71"/>
        <v>重复</v>
      </c>
      <c r="L2201" s="34" t="str">
        <f t="shared" si="72"/>
        <v>不重复</v>
      </c>
    </row>
    <row r="2202" spans="1:12" ht="27">
      <c r="A2202" s="35" t="s">
        <v>12625</v>
      </c>
      <c r="B2202" s="35" t="s">
        <v>6124</v>
      </c>
      <c r="C2202" s="36" t="s">
        <v>6125</v>
      </c>
      <c r="D2202" s="35" t="s">
        <v>6126</v>
      </c>
      <c r="E2202" s="35" t="s">
        <v>12623</v>
      </c>
      <c r="F2202" s="35" t="s">
        <v>12483</v>
      </c>
      <c r="G2202" s="35">
        <v>350902</v>
      </c>
      <c r="H2202" s="35">
        <v>390040</v>
      </c>
      <c r="I2202" s="35">
        <v>200020</v>
      </c>
      <c r="J2202" s="34" t="s">
        <v>363</v>
      </c>
      <c r="K2202" s="34" t="str">
        <f t="shared" si="71"/>
        <v>不重复</v>
      </c>
      <c r="L2202" s="34" t="str">
        <f t="shared" si="72"/>
        <v>不重复</v>
      </c>
    </row>
    <row r="2203" spans="1:12" ht="30">
      <c r="A2203" s="35" t="s">
        <v>12626</v>
      </c>
      <c r="B2203" s="35" t="s">
        <v>6127</v>
      </c>
      <c r="C2203" s="36" t="s">
        <v>6128</v>
      </c>
      <c r="D2203" s="35" t="s">
        <v>6129</v>
      </c>
      <c r="E2203" s="35" t="s">
        <v>12623</v>
      </c>
      <c r="F2203" s="35" t="s">
        <v>12483</v>
      </c>
      <c r="G2203" s="35">
        <v>350903</v>
      </c>
      <c r="H2203" s="35">
        <v>390040</v>
      </c>
      <c r="I2203" s="35">
        <v>200020</v>
      </c>
      <c r="J2203" s="34" t="s">
        <v>288</v>
      </c>
      <c r="K2203" s="34" t="str">
        <f t="shared" si="71"/>
        <v>重复</v>
      </c>
      <c r="L2203" s="34" t="str">
        <f t="shared" si="72"/>
        <v>重复</v>
      </c>
    </row>
    <row r="2204" spans="1:12" ht="15">
      <c r="A2204" s="35" t="s">
        <v>12627</v>
      </c>
      <c r="B2204" s="35" t="s">
        <v>6130</v>
      </c>
      <c r="C2204" s="36" t="s">
        <v>6131</v>
      </c>
      <c r="D2204" s="35" t="s">
        <v>6132</v>
      </c>
      <c r="E2204" s="35" t="s">
        <v>12623</v>
      </c>
      <c r="F2204" s="35" t="s">
        <v>12483</v>
      </c>
      <c r="G2204" s="35">
        <v>350904</v>
      </c>
      <c r="H2204" s="35">
        <v>390040</v>
      </c>
      <c r="I2204" s="35">
        <v>200020</v>
      </c>
      <c r="J2204" s="34" t="s">
        <v>6133</v>
      </c>
      <c r="K2204" s="34" t="str">
        <f t="shared" si="71"/>
        <v>重复</v>
      </c>
      <c r="L2204" s="34" t="str">
        <f t="shared" si="72"/>
        <v>重复</v>
      </c>
    </row>
    <row r="2205" spans="1:12" ht="30">
      <c r="A2205" s="35" t="s">
        <v>12628</v>
      </c>
      <c r="B2205" s="35" t="s">
        <v>6134</v>
      </c>
      <c r="C2205" s="36" t="s">
        <v>6131</v>
      </c>
      <c r="D2205" s="35" t="s">
        <v>6135</v>
      </c>
      <c r="E2205" s="35" t="s">
        <v>12623</v>
      </c>
      <c r="F2205" s="35" t="s">
        <v>12483</v>
      </c>
      <c r="G2205" s="35">
        <v>350905</v>
      </c>
      <c r="H2205" s="35">
        <v>390040</v>
      </c>
      <c r="I2205" s="35">
        <v>200020</v>
      </c>
      <c r="J2205" s="34" t="s">
        <v>6136</v>
      </c>
      <c r="K2205" s="34" t="str">
        <f t="shared" si="71"/>
        <v>重复</v>
      </c>
      <c r="L2205" s="34" t="str">
        <f t="shared" si="72"/>
        <v>重复</v>
      </c>
    </row>
    <row r="2206" spans="1:12" ht="30">
      <c r="A2206" s="35" t="s">
        <v>12629</v>
      </c>
      <c r="B2206" s="35" t="s">
        <v>6137</v>
      </c>
      <c r="C2206" s="36" t="s">
        <v>6138</v>
      </c>
      <c r="D2206" s="35" t="s">
        <v>4520</v>
      </c>
      <c r="E2206" s="35" t="s">
        <v>12623</v>
      </c>
      <c r="F2206" s="35" t="s">
        <v>12483</v>
      </c>
      <c r="G2206" s="35">
        <v>350906</v>
      </c>
      <c r="H2206" s="35">
        <v>390040</v>
      </c>
      <c r="I2206" s="35">
        <v>200020</v>
      </c>
      <c r="J2206" s="34" t="s">
        <v>288</v>
      </c>
      <c r="K2206" s="34" t="str">
        <f t="shared" si="71"/>
        <v>不重复</v>
      </c>
      <c r="L2206" s="34" t="str">
        <f t="shared" si="72"/>
        <v>重复</v>
      </c>
    </row>
    <row r="2207" spans="1:12" ht="30">
      <c r="A2207" s="35" t="s">
        <v>12630</v>
      </c>
      <c r="B2207" s="35" t="s">
        <v>6139</v>
      </c>
      <c r="C2207" s="36" t="s">
        <v>3867</v>
      </c>
      <c r="D2207" s="35" t="s">
        <v>6140</v>
      </c>
      <c r="E2207" s="35" t="s">
        <v>12623</v>
      </c>
      <c r="F2207" s="35" t="s">
        <v>12483</v>
      </c>
      <c r="G2207" s="35">
        <v>350907</v>
      </c>
      <c r="H2207" s="35">
        <v>390040</v>
      </c>
      <c r="I2207" s="35">
        <v>200020</v>
      </c>
      <c r="J2207" s="34" t="s">
        <v>288</v>
      </c>
      <c r="K2207" s="34" t="str">
        <f t="shared" si="71"/>
        <v>重复</v>
      </c>
      <c r="L2207" s="34" t="str">
        <f t="shared" si="72"/>
        <v>不重复</v>
      </c>
    </row>
    <row r="2208" spans="1:12" ht="15">
      <c r="A2208" s="35" t="s">
        <v>12631</v>
      </c>
      <c r="B2208" s="35" t="s">
        <v>6141</v>
      </c>
      <c r="C2208" s="36" t="s">
        <v>6142</v>
      </c>
      <c r="D2208" s="35" t="s">
        <v>559</v>
      </c>
      <c r="E2208" s="35" t="s">
        <v>12631</v>
      </c>
      <c r="F2208" s="35" t="s">
        <v>12483</v>
      </c>
      <c r="G2208" s="35">
        <v>351200</v>
      </c>
      <c r="H2208" s="35">
        <v>390050</v>
      </c>
      <c r="I2208" s="35">
        <v>200020</v>
      </c>
      <c r="J2208" s="34" t="s">
        <v>16</v>
      </c>
      <c r="K2208" s="34" t="str">
        <f t="shared" si="71"/>
        <v>重复</v>
      </c>
      <c r="L2208" s="34" t="str">
        <f t="shared" si="72"/>
        <v>重复</v>
      </c>
    </row>
    <row r="2209" spans="1:12" ht="27">
      <c r="A2209" s="35" t="s">
        <v>12632</v>
      </c>
      <c r="B2209" s="35" t="s">
        <v>6143</v>
      </c>
      <c r="C2209" s="36" t="s">
        <v>912</v>
      </c>
      <c r="D2209" s="35" t="s">
        <v>6144</v>
      </c>
      <c r="E2209" s="35" t="s">
        <v>12631</v>
      </c>
      <c r="F2209" s="35" t="s">
        <v>12483</v>
      </c>
      <c r="G2209" s="35">
        <v>351201</v>
      </c>
      <c r="H2209" s="35">
        <v>390050</v>
      </c>
      <c r="I2209" s="35">
        <v>200020</v>
      </c>
      <c r="J2209" s="34" t="s">
        <v>288</v>
      </c>
      <c r="K2209" s="34" t="str">
        <f t="shared" si="71"/>
        <v>重复</v>
      </c>
      <c r="L2209" s="34" t="str">
        <f t="shared" si="72"/>
        <v>不重复</v>
      </c>
    </row>
    <row r="2210" spans="1:12" ht="27">
      <c r="A2210" s="35" t="s">
        <v>12633</v>
      </c>
      <c r="B2210" s="35" t="s">
        <v>6145</v>
      </c>
      <c r="C2210" s="36" t="s">
        <v>5459</v>
      </c>
      <c r="D2210" s="35" t="s">
        <v>6146</v>
      </c>
      <c r="E2210" s="35" t="s">
        <v>12631</v>
      </c>
      <c r="F2210" s="35" t="s">
        <v>12483</v>
      </c>
      <c r="G2210" s="35">
        <v>351202</v>
      </c>
      <c r="H2210" s="35">
        <v>390050</v>
      </c>
      <c r="I2210" s="35">
        <v>200020</v>
      </c>
      <c r="J2210" s="34" t="s">
        <v>668</v>
      </c>
      <c r="K2210" s="34" t="str">
        <f t="shared" si="71"/>
        <v>重复</v>
      </c>
      <c r="L2210" s="34" t="str">
        <f t="shared" si="72"/>
        <v>不重复</v>
      </c>
    </row>
    <row r="2211" spans="1:12" ht="27">
      <c r="A2211" s="35" t="s">
        <v>12634</v>
      </c>
      <c r="B2211" s="35" t="s">
        <v>6147</v>
      </c>
      <c r="C2211" s="36" t="s">
        <v>6148</v>
      </c>
      <c r="D2211" s="35" t="s">
        <v>6149</v>
      </c>
      <c r="E2211" s="35" t="s">
        <v>12631</v>
      </c>
      <c r="F2211" s="35" t="s">
        <v>12483</v>
      </c>
      <c r="G2211" s="35">
        <v>351203</v>
      </c>
      <c r="H2211" s="35">
        <v>390050</v>
      </c>
      <c r="I2211" s="35">
        <v>200020</v>
      </c>
      <c r="J2211" s="34" t="s">
        <v>1040</v>
      </c>
      <c r="K2211" s="34" t="str">
        <f t="shared" si="71"/>
        <v>不重复</v>
      </c>
      <c r="L2211" s="34" t="str">
        <f t="shared" si="72"/>
        <v>不重复</v>
      </c>
    </row>
    <row r="2212" spans="1:12" ht="27">
      <c r="A2212" s="35" t="s">
        <v>12635</v>
      </c>
      <c r="B2212" s="35" t="s">
        <v>6150</v>
      </c>
      <c r="C2212" s="36" t="s">
        <v>6151</v>
      </c>
      <c r="D2212" s="35" t="s">
        <v>6152</v>
      </c>
      <c r="E2212" s="35" t="s">
        <v>12631</v>
      </c>
      <c r="F2212" s="35" t="s">
        <v>12483</v>
      </c>
      <c r="G2212" s="35">
        <v>351204</v>
      </c>
      <c r="H2212" s="35">
        <v>390050</v>
      </c>
      <c r="I2212" s="35">
        <v>200020</v>
      </c>
      <c r="J2212" s="34" t="s">
        <v>688</v>
      </c>
      <c r="K2212" s="34" t="str">
        <f t="shared" si="71"/>
        <v>不重复</v>
      </c>
      <c r="L2212" s="34" t="str">
        <f t="shared" si="72"/>
        <v>不重复</v>
      </c>
    </row>
    <row r="2213" spans="1:12" ht="30">
      <c r="A2213" s="35" t="s">
        <v>12636</v>
      </c>
      <c r="B2213" s="35" t="s">
        <v>6153</v>
      </c>
      <c r="C2213" s="36" t="s">
        <v>1804</v>
      </c>
      <c r="D2213" s="35" t="s">
        <v>6154</v>
      </c>
      <c r="E2213" s="35" t="s">
        <v>12631</v>
      </c>
      <c r="F2213" s="35" t="s">
        <v>12483</v>
      </c>
      <c r="G2213" s="35">
        <v>351205</v>
      </c>
      <c r="H2213" s="35">
        <v>390050</v>
      </c>
      <c r="I2213" s="35">
        <v>200020</v>
      </c>
      <c r="J2213" s="34" t="s">
        <v>878</v>
      </c>
      <c r="K2213" s="34" t="str">
        <f t="shared" si="71"/>
        <v>重复</v>
      </c>
      <c r="L2213" s="34" t="str">
        <f t="shared" si="72"/>
        <v>不重复</v>
      </c>
    </row>
    <row r="2214" spans="1:12" ht="27">
      <c r="A2214" s="35" t="s">
        <v>12637</v>
      </c>
      <c r="B2214" s="35" t="s">
        <v>6155</v>
      </c>
      <c r="C2214" s="36" t="s">
        <v>6156</v>
      </c>
      <c r="D2214" s="35" t="s">
        <v>6157</v>
      </c>
      <c r="E2214" s="35" t="s">
        <v>12631</v>
      </c>
      <c r="F2214" s="35" t="s">
        <v>12483</v>
      </c>
      <c r="G2214" s="35">
        <v>351206</v>
      </c>
      <c r="H2214" s="35">
        <v>390050</v>
      </c>
      <c r="I2214" s="35">
        <v>200020</v>
      </c>
      <c r="J2214" s="34" t="s">
        <v>756</v>
      </c>
      <c r="K2214" s="34" t="str">
        <f t="shared" si="71"/>
        <v>重复</v>
      </c>
      <c r="L2214" s="34" t="str">
        <f t="shared" si="72"/>
        <v>不重复</v>
      </c>
    </row>
    <row r="2215" spans="1:12" ht="30">
      <c r="A2215" s="35" t="s">
        <v>12638</v>
      </c>
      <c r="B2215" s="35" t="s">
        <v>6158</v>
      </c>
      <c r="C2215" s="36" t="s">
        <v>6159</v>
      </c>
      <c r="D2215" s="35" t="s">
        <v>6160</v>
      </c>
      <c r="E2215" s="35" t="s">
        <v>12631</v>
      </c>
      <c r="F2215" s="35" t="s">
        <v>12483</v>
      </c>
      <c r="G2215" s="35">
        <v>351207</v>
      </c>
      <c r="H2215" s="35">
        <v>390050</v>
      </c>
      <c r="I2215" s="35">
        <v>200020</v>
      </c>
      <c r="J2215" s="34" t="s">
        <v>6161</v>
      </c>
      <c r="K2215" s="34" t="str">
        <f t="shared" si="71"/>
        <v>重复</v>
      </c>
      <c r="L2215" s="34" t="str">
        <f t="shared" si="72"/>
        <v>不重复</v>
      </c>
    </row>
    <row r="2216" spans="1:12" ht="30">
      <c r="A2216" s="35" t="s">
        <v>12639</v>
      </c>
      <c r="B2216" s="35" t="s">
        <v>6162</v>
      </c>
      <c r="C2216" s="36" t="s">
        <v>6163</v>
      </c>
      <c r="D2216" s="35" t="s">
        <v>6164</v>
      </c>
      <c r="E2216" s="35" t="s">
        <v>12631</v>
      </c>
      <c r="F2216" s="35" t="s">
        <v>12483</v>
      </c>
      <c r="G2216" s="35">
        <v>351208</v>
      </c>
      <c r="H2216" s="35">
        <v>390050</v>
      </c>
      <c r="I2216" s="35">
        <v>200020</v>
      </c>
      <c r="J2216" s="34" t="s">
        <v>932</v>
      </c>
      <c r="K2216" s="34" t="str">
        <f t="shared" si="71"/>
        <v>不重复</v>
      </c>
      <c r="L2216" s="34" t="str">
        <f t="shared" si="72"/>
        <v>不重复</v>
      </c>
    </row>
    <row r="2217" spans="1:12" ht="15">
      <c r="A2217" s="35" t="s">
        <v>12640</v>
      </c>
      <c r="B2217" s="35" t="s">
        <v>6165</v>
      </c>
      <c r="C2217" s="36" t="s">
        <v>6166</v>
      </c>
      <c r="D2217" s="35" t="s">
        <v>6167</v>
      </c>
      <c r="E2217" s="35" t="s">
        <v>12640</v>
      </c>
      <c r="F2217" s="35" t="s">
        <v>12483</v>
      </c>
      <c r="G2217" s="35">
        <v>351300</v>
      </c>
      <c r="H2217" s="35">
        <v>390060</v>
      </c>
      <c r="I2217" s="35">
        <v>200020</v>
      </c>
      <c r="J2217" s="34" t="s">
        <v>16</v>
      </c>
      <c r="K2217" s="34" t="str">
        <f t="shared" si="71"/>
        <v>重复</v>
      </c>
      <c r="L2217" s="34" t="str">
        <f t="shared" si="72"/>
        <v>不重复</v>
      </c>
    </row>
    <row r="2218" spans="1:12" ht="27">
      <c r="A2218" s="35" t="s">
        <v>12641</v>
      </c>
      <c r="B2218" s="35" t="s">
        <v>6168</v>
      </c>
      <c r="C2218" s="36" t="s">
        <v>6169</v>
      </c>
      <c r="D2218" s="35" t="s">
        <v>6170</v>
      </c>
      <c r="E2218" s="35" t="s">
        <v>12640</v>
      </c>
      <c r="F2218" s="35" t="s">
        <v>12483</v>
      </c>
      <c r="G2218" s="35">
        <v>351301</v>
      </c>
      <c r="H2218" s="35">
        <v>390060</v>
      </c>
      <c r="I2218" s="35">
        <v>200020</v>
      </c>
      <c r="J2218" s="34" t="s">
        <v>1372</v>
      </c>
      <c r="K2218" s="34" t="str">
        <f t="shared" si="71"/>
        <v>不重复</v>
      </c>
      <c r="L2218" s="34" t="str">
        <f t="shared" si="72"/>
        <v>不重复</v>
      </c>
    </row>
    <row r="2219" spans="1:12" ht="15">
      <c r="A2219" s="35" t="s">
        <v>12642</v>
      </c>
      <c r="B2219" s="35" t="s">
        <v>6171</v>
      </c>
      <c r="C2219" s="36" t="s">
        <v>6166</v>
      </c>
      <c r="D2219" s="35" t="s">
        <v>6172</v>
      </c>
      <c r="E2219" s="35" t="s">
        <v>12640</v>
      </c>
      <c r="F2219" s="35" t="s">
        <v>12483</v>
      </c>
      <c r="G2219" s="35">
        <v>351302</v>
      </c>
      <c r="H2219" s="35">
        <v>390060</v>
      </c>
      <c r="I2219" s="35">
        <v>200020</v>
      </c>
      <c r="J2219" s="34" t="s">
        <v>458</v>
      </c>
      <c r="K2219" s="34" t="str">
        <f t="shared" si="71"/>
        <v>重复</v>
      </c>
      <c r="L2219" s="34" t="str">
        <f t="shared" si="72"/>
        <v>不重复</v>
      </c>
    </row>
    <row r="2220" spans="1:12" ht="27">
      <c r="A2220" s="35" t="s">
        <v>12643</v>
      </c>
      <c r="B2220" s="35" t="s">
        <v>6173</v>
      </c>
      <c r="C2220" s="36" t="s">
        <v>6174</v>
      </c>
      <c r="D2220" s="35" t="s">
        <v>6175</v>
      </c>
      <c r="E2220" s="35" t="s">
        <v>12644</v>
      </c>
      <c r="F2220" s="35" t="s">
        <v>12483</v>
      </c>
      <c r="G2220" s="35">
        <v>351500</v>
      </c>
      <c r="H2220" s="35">
        <v>390070</v>
      </c>
      <c r="I2220" s="35">
        <v>200020</v>
      </c>
      <c r="J2220" s="34" t="s">
        <v>288</v>
      </c>
      <c r="K2220" s="34" t="str">
        <f t="shared" si="71"/>
        <v>不重复</v>
      </c>
      <c r="L2220" s="34" t="str">
        <f t="shared" si="72"/>
        <v>不重复</v>
      </c>
    </row>
    <row r="2221" spans="1:12" ht="27">
      <c r="A2221" s="35" t="s">
        <v>12645</v>
      </c>
      <c r="B2221" s="35" t="s">
        <v>6176</v>
      </c>
      <c r="C2221" s="36" t="s">
        <v>6177</v>
      </c>
      <c r="D2221" s="35" t="s">
        <v>6178</v>
      </c>
      <c r="E2221" s="35" t="s">
        <v>12644</v>
      </c>
      <c r="F2221" s="35" t="s">
        <v>12483</v>
      </c>
      <c r="G2221" s="35">
        <v>351501</v>
      </c>
      <c r="H2221" s="35">
        <v>390070</v>
      </c>
      <c r="I2221" s="35">
        <v>200020</v>
      </c>
      <c r="J2221" s="34" t="s">
        <v>6179</v>
      </c>
      <c r="K2221" s="34" t="str">
        <f t="shared" si="71"/>
        <v>不重复</v>
      </c>
      <c r="L2221" s="34" t="str">
        <f t="shared" si="72"/>
        <v>不重复</v>
      </c>
    </row>
    <row r="2222" spans="1:12" ht="15">
      <c r="A2222" s="35" t="s">
        <v>12646</v>
      </c>
      <c r="B2222" s="35" t="s">
        <v>6180</v>
      </c>
      <c r="C2222" s="36" t="s">
        <v>4702</v>
      </c>
      <c r="D2222" s="35" t="s">
        <v>6181</v>
      </c>
      <c r="E2222" s="35" t="s">
        <v>12644</v>
      </c>
      <c r="F2222" s="35" t="s">
        <v>12483</v>
      </c>
      <c r="G2222" s="35">
        <v>351502</v>
      </c>
      <c r="H2222" s="35">
        <v>390070</v>
      </c>
      <c r="I2222" s="35">
        <v>200020</v>
      </c>
      <c r="J2222" s="34" t="s">
        <v>363</v>
      </c>
      <c r="K2222" s="34" t="str">
        <f t="shared" si="71"/>
        <v>重复</v>
      </c>
      <c r="L2222" s="34" t="str">
        <f t="shared" si="72"/>
        <v>不重复</v>
      </c>
    </row>
    <row r="2223" spans="1:12" ht="15">
      <c r="A2223" s="35" t="s">
        <v>12647</v>
      </c>
      <c r="B2223" s="35" t="s">
        <v>6182</v>
      </c>
      <c r="C2223" s="36" t="s">
        <v>6183</v>
      </c>
      <c r="D2223" s="35" t="s">
        <v>6184</v>
      </c>
      <c r="E2223" s="35" t="s">
        <v>12644</v>
      </c>
      <c r="F2223" s="35" t="s">
        <v>12483</v>
      </c>
      <c r="G2223" s="35">
        <v>351503</v>
      </c>
      <c r="H2223" s="35">
        <v>390070</v>
      </c>
      <c r="I2223" s="35">
        <v>200020</v>
      </c>
      <c r="J2223" s="34" t="s">
        <v>1040</v>
      </c>
      <c r="K2223" s="34" t="str">
        <f t="shared" si="71"/>
        <v>重复</v>
      </c>
      <c r="L2223" s="34" t="str">
        <f t="shared" si="72"/>
        <v>不重复</v>
      </c>
    </row>
    <row r="2224" spans="1:12" ht="27">
      <c r="A2224" s="35" t="s">
        <v>12648</v>
      </c>
      <c r="B2224" s="35" t="s">
        <v>6185</v>
      </c>
      <c r="C2224" s="36" t="s">
        <v>6186</v>
      </c>
      <c r="D2224" s="35" t="s">
        <v>6187</v>
      </c>
      <c r="E2224" s="35" t="s">
        <v>12644</v>
      </c>
      <c r="F2224" s="35" t="s">
        <v>12483</v>
      </c>
      <c r="G2224" s="35">
        <v>351504</v>
      </c>
      <c r="H2224" s="35">
        <v>390070</v>
      </c>
      <c r="I2224" s="35">
        <v>200020</v>
      </c>
      <c r="J2224" s="34" t="s">
        <v>288</v>
      </c>
      <c r="K2224" s="34" t="str">
        <f t="shared" si="71"/>
        <v>重复</v>
      </c>
      <c r="L2224" s="34" t="str">
        <f t="shared" si="72"/>
        <v>不重复</v>
      </c>
    </row>
    <row r="2225" spans="1:12" ht="27">
      <c r="A2225" s="35" t="s">
        <v>12649</v>
      </c>
      <c r="B2225" s="35" t="s">
        <v>6188</v>
      </c>
      <c r="C2225" s="36" t="s">
        <v>6189</v>
      </c>
      <c r="D2225" s="35" t="s">
        <v>6190</v>
      </c>
      <c r="E2225" s="35" t="s">
        <v>12644</v>
      </c>
      <c r="F2225" s="35" t="s">
        <v>12483</v>
      </c>
      <c r="G2225" s="35">
        <v>351505</v>
      </c>
      <c r="H2225" s="35">
        <v>390070</v>
      </c>
      <c r="I2225" s="35">
        <v>200020</v>
      </c>
      <c r="J2225" s="34" t="s">
        <v>6191</v>
      </c>
      <c r="K2225" s="34" t="str">
        <f t="shared" si="71"/>
        <v>不重复</v>
      </c>
      <c r="L2225" s="34" t="str">
        <f t="shared" si="72"/>
        <v>重复</v>
      </c>
    </row>
    <row r="2226" spans="1:12" ht="27">
      <c r="A2226" s="35" t="s">
        <v>12650</v>
      </c>
      <c r="B2226" s="35" t="s">
        <v>6192</v>
      </c>
      <c r="C2226" s="36" t="s">
        <v>6193</v>
      </c>
      <c r="D2226" s="35" t="s">
        <v>6190</v>
      </c>
      <c r="E2226" s="35" t="s">
        <v>12644</v>
      </c>
      <c r="F2226" s="35" t="s">
        <v>12483</v>
      </c>
      <c r="G2226" s="35">
        <v>351506</v>
      </c>
      <c r="H2226" s="35">
        <v>390070</v>
      </c>
      <c r="I2226" s="35">
        <v>200020</v>
      </c>
      <c r="J2226" s="34" t="s">
        <v>288</v>
      </c>
      <c r="K2226" s="34" t="str">
        <f t="shared" si="71"/>
        <v>重复</v>
      </c>
      <c r="L2226" s="34" t="str">
        <f t="shared" si="72"/>
        <v>重复</v>
      </c>
    </row>
    <row r="2227" spans="1:12" ht="15">
      <c r="A2227" s="35" t="s">
        <v>12651</v>
      </c>
      <c r="B2227" s="35" t="s">
        <v>6194</v>
      </c>
      <c r="C2227" s="36" t="s">
        <v>6183</v>
      </c>
      <c r="D2227" s="35" t="s">
        <v>6195</v>
      </c>
      <c r="E2227" s="35" t="s">
        <v>12644</v>
      </c>
      <c r="F2227" s="35" t="s">
        <v>12483</v>
      </c>
      <c r="G2227" s="35">
        <v>351507</v>
      </c>
      <c r="H2227" s="35">
        <v>390070</v>
      </c>
      <c r="I2227" s="35">
        <v>200020</v>
      </c>
      <c r="J2227" s="34" t="s">
        <v>1937</v>
      </c>
      <c r="K2227" s="34" t="str">
        <f t="shared" si="71"/>
        <v>重复</v>
      </c>
      <c r="L2227" s="34" t="str">
        <f t="shared" si="72"/>
        <v>重复</v>
      </c>
    </row>
    <row r="2228" spans="1:12" ht="27">
      <c r="A2228" s="35" t="s">
        <v>12652</v>
      </c>
      <c r="B2228" s="35" t="s">
        <v>6196</v>
      </c>
      <c r="C2228" s="36" t="s">
        <v>6197</v>
      </c>
      <c r="D2228" s="35" t="s">
        <v>6195</v>
      </c>
      <c r="E2228" s="35" t="s">
        <v>12644</v>
      </c>
      <c r="F2228" s="35" t="s">
        <v>12483</v>
      </c>
      <c r="G2228" s="35">
        <v>351508</v>
      </c>
      <c r="H2228" s="35">
        <v>390070</v>
      </c>
      <c r="I2228" s="35">
        <v>200020</v>
      </c>
      <c r="J2228" s="34" t="s">
        <v>5083</v>
      </c>
      <c r="K2228" s="34" t="str">
        <f t="shared" si="71"/>
        <v>不重复</v>
      </c>
      <c r="L2228" s="34" t="str">
        <f t="shared" si="72"/>
        <v>重复</v>
      </c>
    </row>
    <row r="2229" spans="1:12" ht="27">
      <c r="A2229" s="35" t="s">
        <v>12653</v>
      </c>
      <c r="B2229" s="35" t="s">
        <v>6198</v>
      </c>
      <c r="C2229" s="36" t="s">
        <v>6199</v>
      </c>
      <c r="D2229" s="35" t="s">
        <v>6195</v>
      </c>
      <c r="E2229" s="35" t="s">
        <v>12644</v>
      </c>
      <c r="F2229" s="35" t="s">
        <v>12483</v>
      </c>
      <c r="G2229" s="35">
        <v>351509</v>
      </c>
      <c r="H2229" s="35">
        <v>390070</v>
      </c>
      <c r="I2229" s="35">
        <v>200020</v>
      </c>
      <c r="J2229" s="34" t="s">
        <v>541</v>
      </c>
      <c r="K2229" s="34" t="str">
        <f t="shared" si="71"/>
        <v>不重复</v>
      </c>
      <c r="L2229" s="34" t="str">
        <f t="shared" si="72"/>
        <v>重复</v>
      </c>
    </row>
    <row r="2230" spans="1:12" ht="27">
      <c r="A2230" s="35" t="s">
        <v>12654</v>
      </c>
      <c r="B2230" s="35" t="s">
        <v>6200</v>
      </c>
      <c r="C2230" s="36" t="s">
        <v>6201</v>
      </c>
      <c r="D2230" s="35" t="s">
        <v>6202</v>
      </c>
      <c r="E2230" s="35" t="s">
        <v>12644</v>
      </c>
      <c r="F2230" s="35" t="s">
        <v>12483</v>
      </c>
      <c r="G2230" s="35">
        <v>351510</v>
      </c>
      <c r="H2230" s="35">
        <v>390070</v>
      </c>
      <c r="I2230" s="35">
        <v>200020</v>
      </c>
      <c r="J2230" s="34" t="s">
        <v>82</v>
      </c>
      <c r="K2230" s="34" t="str">
        <f t="shared" si="71"/>
        <v>重复</v>
      </c>
      <c r="L2230" s="34" t="str">
        <f t="shared" si="72"/>
        <v>不重复</v>
      </c>
    </row>
    <row r="2231" spans="1:12" ht="27">
      <c r="A2231" s="35" t="s">
        <v>12655</v>
      </c>
      <c r="B2231" s="35" t="s">
        <v>6203</v>
      </c>
      <c r="C2231" s="36" t="s">
        <v>6204</v>
      </c>
      <c r="D2231" s="35" t="s">
        <v>6205</v>
      </c>
      <c r="E2231" s="35" t="s">
        <v>12644</v>
      </c>
      <c r="F2231" s="35" t="s">
        <v>12483</v>
      </c>
      <c r="G2231" s="35">
        <v>351511</v>
      </c>
      <c r="H2231" s="35">
        <v>390070</v>
      </c>
      <c r="I2231" s="35">
        <v>200020</v>
      </c>
      <c r="J2231" s="34" t="s">
        <v>288</v>
      </c>
      <c r="K2231" s="34" t="str">
        <f t="shared" si="71"/>
        <v>重复</v>
      </c>
      <c r="L2231" s="34" t="str">
        <f t="shared" si="72"/>
        <v>不重复</v>
      </c>
    </row>
    <row r="2232" spans="1:12" ht="27">
      <c r="A2232" s="35" t="s">
        <v>12656</v>
      </c>
      <c r="B2232" s="35" t="s">
        <v>6206</v>
      </c>
      <c r="C2232" s="36" t="s">
        <v>6207</v>
      </c>
      <c r="D2232" s="35" t="s">
        <v>6208</v>
      </c>
      <c r="E2232" s="35" t="s">
        <v>12644</v>
      </c>
      <c r="F2232" s="35" t="s">
        <v>12483</v>
      </c>
      <c r="G2232" s="35">
        <v>351512</v>
      </c>
      <c r="H2232" s="35">
        <v>390070</v>
      </c>
      <c r="I2232" s="35">
        <v>200020</v>
      </c>
      <c r="J2232" s="34" t="s">
        <v>508</v>
      </c>
      <c r="K2232" s="34" t="str">
        <f t="shared" si="71"/>
        <v>不重复</v>
      </c>
      <c r="L2232" s="34" t="str">
        <f t="shared" si="72"/>
        <v>重复</v>
      </c>
    </row>
    <row r="2233" spans="1:12" ht="27">
      <c r="A2233" s="35" t="s">
        <v>12657</v>
      </c>
      <c r="B2233" s="35" t="s">
        <v>6209</v>
      </c>
      <c r="C2233" s="36" t="s">
        <v>6210</v>
      </c>
      <c r="D2233" s="35" t="s">
        <v>6208</v>
      </c>
      <c r="E2233" s="35" t="s">
        <v>12644</v>
      </c>
      <c r="F2233" s="35" t="s">
        <v>12483</v>
      </c>
      <c r="G2233" s="35">
        <v>351513</v>
      </c>
      <c r="H2233" s="35">
        <v>390070</v>
      </c>
      <c r="I2233" s="35">
        <v>200020</v>
      </c>
      <c r="J2233" s="34" t="s">
        <v>5619</v>
      </c>
      <c r="K2233" s="34" t="str">
        <f t="shared" si="71"/>
        <v>不重复</v>
      </c>
      <c r="L2233" s="34" t="str">
        <f t="shared" si="72"/>
        <v>重复</v>
      </c>
    </row>
    <row r="2234" spans="1:12" ht="27">
      <c r="A2234" s="35" t="s">
        <v>12658</v>
      </c>
      <c r="B2234" s="35" t="s">
        <v>6211</v>
      </c>
      <c r="C2234" s="36" t="s">
        <v>697</v>
      </c>
      <c r="D2234" s="35" t="s">
        <v>6212</v>
      </c>
      <c r="E2234" s="35" t="s">
        <v>12644</v>
      </c>
      <c r="F2234" s="35" t="s">
        <v>12483</v>
      </c>
      <c r="G2234" s="35">
        <v>351514</v>
      </c>
      <c r="H2234" s="35">
        <v>390070</v>
      </c>
      <c r="I2234" s="35">
        <v>200020</v>
      </c>
      <c r="J2234" s="34" t="s">
        <v>2801</v>
      </c>
      <c r="K2234" s="34" t="str">
        <f t="shared" si="71"/>
        <v>重复</v>
      </c>
      <c r="L2234" s="34" t="str">
        <f t="shared" si="72"/>
        <v>不重复</v>
      </c>
    </row>
    <row r="2235" spans="1:12" ht="27">
      <c r="A2235" s="35" t="s">
        <v>12659</v>
      </c>
      <c r="B2235" s="35" t="s">
        <v>6213</v>
      </c>
      <c r="C2235" s="36" t="s">
        <v>6214</v>
      </c>
      <c r="D2235" s="35" t="s">
        <v>6215</v>
      </c>
      <c r="E2235" s="35" t="s">
        <v>12644</v>
      </c>
      <c r="F2235" s="35" t="s">
        <v>12483</v>
      </c>
      <c r="G2235" s="35">
        <v>351515</v>
      </c>
      <c r="H2235" s="35">
        <v>390070</v>
      </c>
      <c r="I2235" s="35">
        <v>200020</v>
      </c>
      <c r="J2235" s="34" t="s">
        <v>288</v>
      </c>
      <c r="K2235" s="34" t="str">
        <f t="shared" si="71"/>
        <v>重复</v>
      </c>
      <c r="L2235" s="34" t="str">
        <f t="shared" si="72"/>
        <v>不重复</v>
      </c>
    </row>
    <row r="2236" spans="1:12" ht="27">
      <c r="A2236" s="35" t="s">
        <v>12660</v>
      </c>
      <c r="B2236" s="35" t="s">
        <v>6216</v>
      </c>
      <c r="C2236" s="36" t="s">
        <v>6217</v>
      </c>
      <c r="D2236" s="35" t="s">
        <v>6218</v>
      </c>
      <c r="E2236" s="35" t="s">
        <v>12644</v>
      </c>
      <c r="F2236" s="35" t="s">
        <v>12483</v>
      </c>
      <c r="G2236" s="35">
        <v>351516</v>
      </c>
      <c r="H2236" s="35">
        <v>390070</v>
      </c>
      <c r="I2236" s="35">
        <v>200020</v>
      </c>
      <c r="J2236" s="34" t="s">
        <v>2019</v>
      </c>
      <c r="K2236" s="34" t="str">
        <f t="shared" si="71"/>
        <v>不重复</v>
      </c>
      <c r="L2236" s="34" t="str">
        <f t="shared" si="72"/>
        <v>不重复</v>
      </c>
    </row>
    <row r="2237" spans="1:12" ht="27">
      <c r="A2237" s="35" t="s">
        <v>12661</v>
      </c>
      <c r="B2237" s="35" t="s">
        <v>6219</v>
      </c>
      <c r="C2237" s="36" t="s">
        <v>6193</v>
      </c>
      <c r="D2237" s="35" t="s">
        <v>6220</v>
      </c>
      <c r="E2237" s="35" t="s">
        <v>12644</v>
      </c>
      <c r="F2237" s="35" t="s">
        <v>12483</v>
      </c>
      <c r="G2237" s="35">
        <v>351517</v>
      </c>
      <c r="H2237" s="35">
        <v>390070</v>
      </c>
      <c r="I2237" s="35">
        <v>200020</v>
      </c>
      <c r="J2237" s="34" t="s">
        <v>4772</v>
      </c>
      <c r="K2237" s="34" t="str">
        <f t="shared" si="71"/>
        <v>重复</v>
      </c>
      <c r="L2237" s="34" t="str">
        <f t="shared" si="72"/>
        <v>不重复</v>
      </c>
    </row>
    <row r="2238" spans="1:12" ht="15">
      <c r="A2238" s="35" t="s">
        <v>12662</v>
      </c>
      <c r="B2238" s="35" t="s">
        <v>6221</v>
      </c>
      <c r="C2238" s="36" t="s">
        <v>6222</v>
      </c>
      <c r="D2238" s="35" t="s">
        <v>6223</v>
      </c>
      <c r="E2238" s="35" t="s">
        <v>12644</v>
      </c>
      <c r="F2238" s="35" t="s">
        <v>12483</v>
      </c>
      <c r="G2238" s="35">
        <v>351518</v>
      </c>
      <c r="H2238" s="35">
        <v>390070</v>
      </c>
      <c r="I2238" s="35">
        <v>200020</v>
      </c>
      <c r="J2238" s="34" t="s">
        <v>6224</v>
      </c>
      <c r="K2238" s="34" t="str">
        <f t="shared" si="71"/>
        <v>不重复</v>
      </c>
      <c r="L2238" s="34" t="str">
        <f t="shared" si="72"/>
        <v>不重复</v>
      </c>
    </row>
    <row r="2239" spans="1:12" ht="27">
      <c r="A2239" s="35" t="s">
        <v>12663</v>
      </c>
      <c r="B2239" s="35" t="s">
        <v>6225</v>
      </c>
      <c r="C2239" s="36" t="s">
        <v>6226</v>
      </c>
      <c r="D2239" s="35" t="s">
        <v>6227</v>
      </c>
      <c r="E2239" s="35" t="s">
        <v>12644</v>
      </c>
      <c r="F2239" s="35" t="s">
        <v>12483</v>
      </c>
      <c r="G2239" s="35">
        <v>351519</v>
      </c>
      <c r="H2239" s="35">
        <v>390070</v>
      </c>
      <c r="I2239" s="35">
        <v>200020</v>
      </c>
      <c r="J2239" s="34" t="s">
        <v>1040</v>
      </c>
      <c r="K2239" s="34" t="str">
        <f t="shared" si="71"/>
        <v>重复</v>
      </c>
      <c r="L2239" s="34" t="str">
        <f t="shared" si="72"/>
        <v>不重复</v>
      </c>
    </row>
    <row r="2240" spans="1:12" ht="27">
      <c r="A2240" s="35" t="s">
        <v>12664</v>
      </c>
      <c r="B2240" s="35" t="s">
        <v>6228</v>
      </c>
      <c r="C2240" s="36" t="s">
        <v>6229</v>
      </c>
      <c r="D2240" s="35" t="s">
        <v>6230</v>
      </c>
      <c r="E2240" s="35" t="s">
        <v>12644</v>
      </c>
      <c r="F2240" s="35" t="s">
        <v>12483</v>
      </c>
      <c r="G2240" s="35">
        <v>351520</v>
      </c>
      <c r="H2240" s="35">
        <v>390070</v>
      </c>
      <c r="I2240" s="35">
        <v>200020</v>
      </c>
      <c r="J2240" s="34" t="s">
        <v>889</v>
      </c>
      <c r="K2240" s="34" t="str">
        <f t="shared" si="71"/>
        <v>不重复</v>
      </c>
      <c r="L2240" s="34" t="str">
        <f t="shared" si="72"/>
        <v>不重复</v>
      </c>
    </row>
    <row r="2241" spans="1:12" ht="15">
      <c r="A2241" s="35" t="s">
        <v>12665</v>
      </c>
      <c r="B2241" s="35" t="s">
        <v>6231</v>
      </c>
      <c r="C2241" s="36" t="s">
        <v>4702</v>
      </c>
      <c r="D2241" s="35" t="s">
        <v>6232</v>
      </c>
      <c r="E2241" s="35" t="s">
        <v>12644</v>
      </c>
      <c r="F2241" s="35" t="s">
        <v>12483</v>
      </c>
      <c r="G2241" s="35">
        <v>351521</v>
      </c>
      <c r="H2241" s="35">
        <v>390070</v>
      </c>
      <c r="I2241" s="35">
        <v>200020</v>
      </c>
      <c r="J2241" s="34" t="s">
        <v>6233</v>
      </c>
      <c r="K2241" s="34" t="str">
        <f t="shared" si="71"/>
        <v>重复</v>
      </c>
      <c r="L2241" s="34" t="str">
        <f t="shared" si="72"/>
        <v>不重复</v>
      </c>
    </row>
    <row r="2242" spans="1:12" ht="27">
      <c r="A2242" s="35" t="s">
        <v>12666</v>
      </c>
      <c r="B2242" s="35" t="s">
        <v>6234</v>
      </c>
      <c r="C2242" s="36" t="s">
        <v>6235</v>
      </c>
      <c r="D2242" s="35" t="s">
        <v>6236</v>
      </c>
      <c r="E2242" s="35" t="s">
        <v>12644</v>
      </c>
      <c r="F2242" s="35" t="s">
        <v>12483</v>
      </c>
      <c r="G2242" s="35">
        <v>351522</v>
      </c>
      <c r="H2242" s="35">
        <v>390070</v>
      </c>
      <c r="I2242" s="35">
        <v>200020</v>
      </c>
      <c r="J2242" s="34" t="s">
        <v>889</v>
      </c>
      <c r="K2242" s="34" t="str">
        <f t="shared" si="71"/>
        <v>重复</v>
      </c>
      <c r="L2242" s="34" t="str">
        <f t="shared" si="72"/>
        <v>不重复</v>
      </c>
    </row>
    <row r="2243" spans="1:12" ht="27">
      <c r="A2243" s="35" t="s">
        <v>12667</v>
      </c>
      <c r="B2243" s="35" t="s">
        <v>6237</v>
      </c>
      <c r="C2243" s="36" t="s">
        <v>6238</v>
      </c>
      <c r="D2243" s="35" t="s">
        <v>6239</v>
      </c>
      <c r="E2243" s="35" t="s">
        <v>12644</v>
      </c>
      <c r="F2243" s="35" t="s">
        <v>12483</v>
      </c>
      <c r="G2243" s="35">
        <v>351523</v>
      </c>
      <c r="H2243" s="35">
        <v>390070</v>
      </c>
      <c r="I2243" s="35">
        <v>200020</v>
      </c>
      <c r="J2243" s="34" t="s">
        <v>288</v>
      </c>
      <c r="K2243" s="34" t="str">
        <f t="shared" si="71"/>
        <v>不重复</v>
      </c>
      <c r="L2243" s="34" t="str">
        <f t="shared" si="72"/>
        <v>不重复</v>
      </c>
    </row>
    <row r="2244" spans="1:12" ht="27">
      <c r="A2244" s="35" t="s">
        <v>12668</v>
      </c>
      <c r="B2244" s="35" t="s">
        <v>6240</v>
      </c>
      <c r="C2244" s="36" t="s">
        <v>6241</v>
      </c>
      <c r="D2244" s="35" t="s">
        <v>6242</v>
      </c>
      <c r="E2244" s="35" t="s">
        <v>12644</v>
      </c>
      <c r="F2244" s="35" t="s">
        <v>12483</v>
      </c>
      <c r="G2244" s="35">
        <v>351524</v>
      </c>
      <c r="H2244" s="35">
        <v>390070</v>
      </c>
      <c r="I2244" s="35">
        <v>200020</v>
      </c>
      <c r="J2244" s="34" t="s">
        <v>508</v>
      </c>
      <c r="K2244" s="34" t="str">
        <f t="shared" si="71"/>
        <v>不重复</v>
      </c>
      <c r="L2244" s="34" t="str">
        <f t="shared" si="72"/>
        <v>不重复</v>
      </c>
    </row>
    <row r="2245" spans="1:12" ht="27">
      <c r="A2245" s="35" t="s">
        <v>12669</v>
      </c>
      <c r="B2245" s="35" t="s">
        <v>6243</v>
      </c>
      <c r="C2245" s="36" t="s">
        <v>6244</v>
      </c>
      <c r="D2245" s="35" t="s">
        <v>6245</v>
      </c>
      <c r="E2245" s="35" t="s">
        <v>12644</v>
      </c>
      <c r="F2245" s="35" t="s">
        <v>12483</v>
      </c>
      <c r="G2245" s="35">
        <v>351525</v>
      </c>
      <c r="H2245" s="35">
        <v>390070</v>
      </c>
      <c r="I2245" s="35">
        <v>200020</v>
      </c>
      <c r="J2245" s="34" t="s">
        <v>889</v>
      </c>
      <c r="K2245" s="34" t="str">
        <f t="shared" si="71"/>
        <v>不重复</v>
      </c>
      <c r="L2245" s="34" t="str">
        <f t="shared" si="72"/>
        <v>不重复</v>
      </c>
    </row>
    <row r="2246" spans="1:12" ht="27">
      <c r="A2246" s="35" t="s">
        <v>12670</v>
      </c>
      <c r="B2246" s="35" t="s">
        <v>6246</v>
      </c>
      <c r="C2246" s="36" t="s">
        <v>6214</v>
      </c>
      <c r="D2246" s="35" t="s">
        <v>6247</v>
      </c>
      <c r="E2246" s="35" t="s">
        <v>12644</v>
      </c>
      <c r="F2246" s="35" t="s">
        <v>12483</v>
      </c>
      <c r="G2246" s="35">
        <v>351526</v>
      </c>
      <c r="H2246" s="35">
        <v>390070</v>
      </c>
      <c r="I2246" s="35">
        <v>200020</v>
      </c>
      <c r="J2246" s="34" t="s">
        <v>1103</v>
      </c>
      <c r="K2246" s="34" t="str">
        <f t="shared" si="71"/>
        <v>重复</v>
      </c>
      <c r="L2246" s="34" t="str">
        <f t="shared" si="72"/>
        <v>不重复</v>
      </c>
    </row>
    <row r="2247" spans="1:12" ht="15">
      <c r="A2247" s="35" t="s">
        <v>12671</v>
      </c>
      <c r="B2247" s="35" t="s">
        <v>6248</v>
      </c>
      <c r="C2247" s="36" t="s">
        <v>6183</v>
      </c>
      <c r="D2247" s="35" t="s">
        <v>6249</v>
      </c>
      <c r="E2247" s="35" t="s">
        <v>12644</v>
      </c>
      <c r="F2247" s="35" t="s">
        <v>12483</v>
      </c>
      <c r="G2247" s="35">
        <v>351527</v>
      </c>
      <c r="H2247" s="35">
        <v>390070</v>
      </c>
      <c r="I2247" s="35">
        <v>200020</v>
      </c>
      <c r="J2247" s="34" t="s">
        <v>288</v>
      </c>
      <c r="K2247" s="34" t="str">
        <f t="shared" si="71"/>
        <v>重复</v>
      </c>
      <c r="L2247" s="34" t="str">
        <f t="shared" si="72"/>
        <v>不重复</v>
      </c>
    </row>
    <row r="2248" spans="1:12" ht="27">
      <c r="A2248" s="35" t="s">
        <v>12672</v>
      </c>
      <c r="B2248" s="35" t="s">
        <v>6250</v>
      </c>
      <c r="C2248" s="36" t="s">
        <v>6251</v>
      </c>
      <c r="D2248" s="35" t="s">
        <v>6252</v>
      </c>
      <c r="E2248" s="35" t="s">
        <v>12644</v>
      </c>
      <c r="F2248" s="35" t="s">
        <v>12483</v>
      </c>
      <c r="G2248" s="35">
        <v>351528</v>
      </c>
      <c r="H2248" s="35">
        <v>390070</v>
      </c>
      <c r="I2248" s="35">
        <v>200020</v>
      </c>
      <c r="J2248" s="34" t="s">
        <v>889</v>
      </c>
      <c r="K2248" s="34" t="str">
        <f t="shared" si="71"/>
        <v>不重复</v>
      </c>
      <c r="L2248" s="34" t="str">
        <f t="shared" si="72"/>
        <v>不重复</v>
      </c>
    </row>
    <row r="2249" spans="1:12" ht="27">
      <c r="A2249" s="35" t="s">
        <v>12673</v>
      </c>
      <c r="B2249" s="35" t="s">
        <v>6253</v>
      </c>
      <c r="C2249" s="36" t="s">
        <v>6254</v>
      </c>
      <c r="D2249" s="35" t="s">
        <v>6255</v>
      </c>
      <c r="E2249" s="35" t="s">
        <v>12644</v>
      </c>
      <c r="F2249" s="35" t="s">
        <v>12483</v>
      </c>
      <c r="G2249" s="35">
        <v>351529</v>
      </c>
      <c r="H2249" s="35">
        <v>390070</v>
      </c>
      <c r="I2249" s="35">
        <v>200020</v>
      </c>
      <c r="J2249" s="34" t="s">
        <v>6256</v>
      </c>
      <c r="K2249" s="34" t="str">
        <f t="shared" si="71"/>
        <v>重复</v>
      </c>
      <c r="L2249" s="34" t="str">
        <f t="shared" si="72"/>
        <v>重复</v>
      </c>
    </row>
    <row r="2250" spans="1:12" ht="27">
      <c r="A2250" s="35" t="s">
        <v>12674</v>
      </c>
      <c r="B2250" s="35" t="s">
        <v>6257</v>
      </c>
      <c r="C2250" s="36" t="s">
        <v>6258</v>
      </c>
      <c r="D2250" s="35" t="s">
        <v>6255</v>
      </c>
      <c r="E2250" s="35" t="s">
        <v>12644</v>
      </c>
      <c r="F2250" s="35" t="s">
        <v>12483</v>
      </c>
      <c r="G2250" s="35">
        <v>351530</v>
      </c>
      <c r="H2250" s="35">
        <v>390070</v>
      </c>
      <c r="I2250" s="35">
        <v>200020</v>
      </c>
      <c r="J2250" s="34" t="s">
        <v>2059</v>
      </c>
      <c r="K2250" s="34" t="str">
        <f t="shared" si="71"/>
        <v>重复</v>
      </c>
      <c r="L2250" s="34" t="str">
        <f t="shared" si="72"/>
        <v>重复</v>
      </c>
    </row>
    <row r="2251" spans="1:12" ht="27">
      <c r="A2251" s="35" t="s">
        <v>12675</v>
      </c>
      <c r="B2251" s="35" t="s">
        <v>6259</v>
      </c>
      <c r="C2251" s="36" t="s">
        <v>6260</v>
      </c>
      <c r="D2251" s="35" t="s">
        <v>6261</v>
      </c>
      <c r="E2251" s="35" t="s">
        <v>12644</v>
      </c>
      <c r="F2251" s="35" t="s">
        <v>12483</v>
      </c>
      <c r="G2251" s="35">
        <v>351531</v>
      </c>
      <c r="H2251" s="35">
        <v>390070</v>
      </c>
      <c r="I2251" s="35">
        <v>200020</v>
      </c>
      <c r="J2251" s="34" t="s">
        <v>5329</v>
      </c>
      <c r="K2251" s="34" t="str">
        <f t="shared" si="71"/>
        <v>不重复</v>
      </c>
      <c r="L2251" s="34" t="str">
        <f t="shared" si="72"/>
        <v>重复</v>
      </c>
    </row>
    <row r="2252" spans="1:12" ht="27">
      <c r="A2252" s="35" t="s">
        <v>12676</v>
      </c>
      <c r="B2252" s="35" t="s">
        <v>6262</v>
      </c>
      <c r="C2252" s="36" t="s">
        <v>6263</v>
      </c>
      <c r="D2252" s="35" t="s">
        <v>6261</v>
      </c>
      <c r="E2252" s="35" t="s">
        <v>12644</v>
      </c>
      <c r="F2252" s="35" t="s">
        <v>12483</v>
      </c>
      <c r="G2252" s="35">
        <v>351532</v>
      </c>
      <c r="H2252" s="35">
        <v>390070</v>
      </c>
      <c r="I2252" s="35">
        <v>200020</v>
      </c>
      <c r="J2252" s="34" t="s">
        <v>878</v>
      </c>
      <c r="K2252" s="34" t="str">
        <f t="shared" si="73" ref="K2252:K2315">IF(COUNTIF(C:C,C2252)&gt;=2,"重复","不重复")</f>
        <v>重复</v>
      </c>
      <c r="L2252" s="34" t="str">
        <f t="shared" si="74" ref="L2252:L2315">IF(COUNTIF(D:D,D2252)&gt;=2,"重复","不重复")</f>
        <v>重复</v>
      </c>
    </row>
    <row r="2253" spans="1:12" ht="27">
      <c r="A2253" s="35" t="s">
        <v>12677</v>
      </c>
      <c r="B2253" s="35" t="s">
        <v>6264</v>
      </c>
      <c r="C2253" s="36" t="s">
        <v>6265</v>
      </c>
      <c r="D2253" s="35" t="s">
        <v>6266</v>
      </c>
      <c r="E2253" s="35" t="s">
        <v>12644</v>
      </c>
      <c r="F2253" s="35" t="s">
        <v>12483</v>
      </c>
      <c r="G2253" s="35">
        <v>351533</v>
      </c>
      <c r="H2253" s="35">
        <v>390070</v>
      </c>
      <c r="I2253" s="35">
        <v>200020</v>
      </c>
      <c r="J2253" s="34" t="s">
        <v>878</v>
      </c>
      <c r="K2253" s="34" t="str">
        <f t="shared" si="73"/>
        <v>不重复</v>
      </c>
      <c r="L2253" s="34" t="str">
        <f t="shared" si="74"/>
        <v>不重复</v>
      </c>
    </row>
    <row r="2254" spans="1:12" ht="30">
      <c r="A2254" s="35" t="s">
        <v>12678</v>
      </c>
      <c r="B2254" s="35" t="s">
        <v>6267</v>
      </c>
      <c r="C2254" s="36" t="s">
        <v>6268</v>
      </c>
      <c r="D2254" s="35" t="s">
        <v>6269</v>
      </c>
      <c r="E2254" s="35" t="s">
        <v>12644</v>
      </c>
      <c r="F2254" s="35" t="s">
        <v>12483</v>
      </c>
      <c r="G2254" s="35">
        <v>351534</v>
      </c>
      <c r="H2254" s="35">
        <v>390070</v>
      </c>
      <c r="I2254" s="35">
        <v>200020</v>
      </c>
      <c r="J2254" s="34" t="s">
        <v>855</v>
      </c>
      <c r="K2254" s="34" t="str">
        <f t="shared" si="73"/>
        <v>不重复</v>
      </c>
      <c r="L2254" s="34" t="str">
        <f t="shared" si="74"/>
        <v>不重复</v>
      </c>
    </row>
    <row r="2255" spans="1:12" ht="27">
      <c r="A2255" s="35" t="s">
        <v>12679</v>
      </c>
      <c r="B2255" s="35" t="s">
        <v>6270</v>
      </c>
      <c r="C2255" s="36" t="s">
        <v>6271</v>
      </c>
      <c r="D2255" s="35" t="s">
        <v>6272</v>
      </c>
      <c r="E2255" s="35" t="s">
        <v>12644</v>
      </c>
      <c r="F2255" s="35" t="s">
        <v>12483</v>
      </c>
      <c r="G2255" s="35">
        <v>351535</v>
      </c>
      <c r="H2255" s="35">
        <v>390070</v>
      </c>
      <c r="I2255" s="35">
        <v>200020</v>
      </c>
      <c r="J2255" s="34" t="s">
        <v>878</v>
      </c>
      <c r="K2255" s="34" t="str">
        <f t="shared" si="73"/>
        <v>重复</v>
      </c>
      <c r="L2255" s="34" t="str">
        <f t="shared" si="74"/>
        <v>不重复</v>
      </c>
    </row>
    <row r="2256" spans="1:12" ht="27">
      <c r="A2256" s="35" t="s">
        <v>12680</v>
      </c>
      <c r="B2256" s="35" t="s">
        <v>6273</v>
      </c>
      <c r="C2256" s="36" t="s">
        <v>6274</v>
      </c>
      <c r="D2256" s="35" t="s">
        <v>6275</v>
      </c>
      <c r="E2256" s="35" t="s">
        <v>12644</v>
      </c>
      <c r="F2256" s="35" t="s">
        <v>12483</v>
      </c>
      <c r="G2256" s="35">
        <v>351536</v>
      </c>
      <c r="H2256" s="35">
        <v>390070</v>
      </c>
      <c r="I2256" s="35">
        <v>200020</v>
      </c>
      <c r="J2256" s="34" t="s">
        <v>5083</v>
      </c>
      <c r="K2256" s="34" t="str">
        <f t="shared" si="73"/>
        <v>不重复</v>
      </c>
      <c r="L2256" s="34" t="str">
        <f t="shared" si="74"/>
        <v>不重复</v>
      </c>
    </row>
    <row r="2257" spans="1:12" ht="27">
      <c r="A2257" s="35" t="s">
        <v>12681</v>
      </c>
      <c r="B2257" s="35" t="s">
        <v>6276</v>
      </c>
      <c r="C2257" s="36" t="s">
        <v>6277</v>
      </c>
      <c r="D2257" s="35" t="s">
        <v>6278</v>
      </c>
      <c r="E2257" s="35" t="s">
        <v>12644</v>
      </c>
      <c r="F2257" s="35" t="s">
        <v>12483</v>
      </c>
      <c r="G2257" s="35">
        <v>351537</v>
      </c>
      <c r="H2257" s="35">
        <v>390070</v>
      </c>
      <c r="I2257" s="35">
        <v>200020</v>
      </c>
      <c r="J2257" s="34" t="s">
        <v>1103</v>
      </c>
      <c r="K2257" s="34" t="str">
        <f t="shared" si="73"/>
        <v>不重复</v>
      </c>
      <c r="L2257" s="34" t="str">
        <f t="shared" si="74"/>
        <v>重复</v>
      </c>
    </row>
    <row r="2258" spans="1:12" ht="27">
      <c r="A2258" s="35" t="s">
        <v>12682</v>
      </c>
      <c r="B2258" s="35" t="s">
        <v>6279</v>
      </c>
      <c r="C2258" s="36" t="s">
        <v>6271</v>
      </c>
      <c r="D2258" s="35" t="s">
        <v>6278</v>
      </c>
      <c r="E2258" s="35" t="s">
        <v>12644</v>
      </c>
      <c r="F2258" s="35" t="s">
        <v>12483</v>
      </c>
      <c r="G2258" s="35">
        <v>351538</v>
      </c>
      <c r="H2258" s="35">
        <v>390070</v>
      </c>
      <c r="I2258" s="35">
        <v>200020</v>
      </c>
      <c r="J2258" s="34" t="s">
        <v>2609</v>
      </c>
      <c r="K2258" s="34" t="str">
        <f t="shared" si="73"/>
        <v>重复</v>
      </c>
      <c r="L2258" s="34" t="str">
        <f t="shared" si="74"/>
        <v>重复</v>
      </c>
    </row>
    <row r="2259" spans="1:12" ht="27">
      <c r="A2259" s="35" t="s">
        <v>12683</v>
      </c>
      <c r="B2259" s="35" t="s">
        <v>6280</v>
      </c>
      <c r="C2259" s="36" t="s">
        <v>6281</v>
      </c>
      <c r="D2259" s="35" t="s">
        <v>6282</v>
      </c>
      <c r="E2259" s="35" t="s">
        <v>12644</v>
      </c>
      <c r="F2259" s="35" t="s">
        <v>12483</v>
      </c>
      <c r="G2259" s="35">
        <v>351539</v>
      </c>
      <c r="H2259" s="35">
        <v>390070</v>
      </c>
      <c r="I2259" s="35">
        <v>200020</v>
      </c>
      <c r="J2259" s="34" t="s">
        <v>5083</v>
      </c>
      <c r="K2259" s="34" t="str">
        <f t="shared" si="73"/>
        <v>不重复</v>
      </c>
      <c r="L2259" s="34" t="str">
        <f t="shared" si="74"/>
        <v>不重复</v>
      </c>
    </row>
    <row r="2260" spans="1:12" ht="27">
      <c r="A2260" s="35" t="s">
        <v>12684</v>
      </c>
      <c r="B2260" s="35" t="s">
        <v>6283</v>
      </c>
      <c r="C2260" s="36" t="s">
        <v>6284</v>
      </c>
      <c r="D2260" s="35" t="s">
        <v>6285</v>
      </c>
      <c r="E2260" s="35" t="s">
        <v>12644</v>
      </c>
      <c r="F2260" s="35" t="s">
        <v>12483</v>
      </c>
      <c r="G2260" s="35">
        <v>351540</v>
      </c>
      <c r="H2260" s="35">
        <v>390070</v>
      </c>
      <c r="I2260" s="35">
        <v>200020</v>
      </c>
      <c r="J2260" s="34" t="s">
        <v>878</v>
      </c>
      <c r="K2260" s="34" t="str">
        <f t="shared" si="73"/>
        <v>不重复</v>
      </c>
      <c r="L2260" s="34" t="str">
        <f t="shared" si="74"/>
        <v>重复</v>
      </c>
    </row>
    <row r="2261" spans="1:12" ht="27">
      <c r="A2261" s="35" t="s">
        <v>12685</v>
      </c>
      <c r="B2261" s="35" t="s">
        <v>6286</v>
      </c>
      <c r="C2261" s="36" t="s">
        <v>6254</v>
      </c>
      <c r="D2261" s="35" t="s">
        <v>6285</v>
      </c>
      <c r="E2261" s="35" t="s">
        <v>12644</v>
      </c>
      <c r="F2261" s="35" t="s">
        <v>12483</v>
      </c>
      <c r="G2261" s="35">
        <v>351541</v>
      </c>
      <c r="H2261" s="35">
        <v>390070</v>
      </c>
      <c r="I2261" s="35">
        <v>200020</v>
      </c>
      <c r="J2261" s="34" t="s">
        <v>152</v>
      </c>
      <c r="K2261" s="34" t="str">
        <f t="shared" si="73"/>
        <v>重复</v>
      </c>
      <c r="L2261" s="34" t="str">
        <f t="shared" si="74"/>
        <v>重复</v>
      </c>
    </row>
    <row r="2262" spans="1:12" ht="27">
      <c r="A2262" s="35" t="s">
        <v>12686</v>
      </c>
      <c r="B2262" s="35" t="s">
        <v>6287</v>
      </c>
      <c r="C2262" s="36" t="s">
        <v>6204</v>
      </c>
      <c r="D2262" s="35" t="s">
        <v>6288</v>
      </c>
      <c r="E2262" s="35" t="s">
        <v>12644</v>
      </c>
      <c r="F2262" s="35" t="s">
        <v>12483</v>
      </c>
      <c r="G2262" s="35">
        <v>351542</v>
      </c>
      <c r="H2262" s="35">
        <v>390070</v>
      </c>
      <c r="I2262" s="35">
        <v>200020</v>
      </c>
      <c r="J2262" s="34" t="s">
        <v>288</v>
      </c>
      <c r="K2262" s="34" t="str">
        <f t="shared" si="73"/>
        <v>重复</v>
      </c>
      <c r="L2262" s="34" t="str">
        <f t="shared" si="74"/>
        <v>不重复</v>
      </c>
    </row>
    <row r="2263" spans="1:12" ht="27">
      <c r="A2263" s="35" t="s">
        <v>12687</v>
      </c>
      <c r="B2263" s="35" t="s">
        <v>6289</v>
      </c>
      <c r="C2263" s="36" t="s">
        <v>6290</v>
      </c>
      <c r="D2263" s="35" t="s">
        <v>6291</v>
      </c>
      <c r="E2263" s="35" t="s">
        <v>12644</v>
      </c>
      <c r="F2263" s="35" t="s">
        <v>12483</v>
      </c>
      <c r="G2263" s="35">
        <v>351543</v>
      </c>
      <c r="H2263" s="35">
        <v>390070</v>
      </c>
      <c r="I2263" s="35">
        <v>200020</v>
      </c>
      <c r="J2263" s="34" t="s">
        <v>878</v>
      </c>
      <c r="K2263" s="34" t="str">
        <f t="shared" si="73"/>
        <v>重复</v>
      </c>
      <c r="L2263" s="34" t="str">
        <f t="shared" si="74"/>
        <v>重复</v>
      </c>
    </row>
    <row r="2264" spans="1:12" ht="30">
      <c r="A2264" s="35" t="s">
        <v>12688</v>
      </c>
      <c r="B2264" s="35" t="s">
        <v>6292</v>
      </c>
      <c r="C2264" s="36" t="s">
        <v>6226</v>
      </c>
      <c r="D2264" s="35" t="s">
        <v>6293</v>
      </c>
      <c r="E2264" s="35" t="s">
        <v>12644</v>
      </c>
      <c r="F2264" s="35" t="s">
        <v>12483</v>
      </c>
      <c r="G2264" s="35">
        <v>351544</v>
      </c>
      <c r="H2264" s="35">
        <v>390070</v>
      </c>
      <c r="I2264" s="35">
        <v>200020</v>
      </c>
      <c r="J2264" s="34" t="s">
        <v>6294</v>
      </c>
      <c r="K2264" s="34" t="str">
        <f t="shared" si="73"/>
        <v>重复</v>
      </c>
      <c r="L2264" s="34" t="str">
        <f t="shared" si="74"/>
        <v>不重复</v>
      </c>
    </row>
    <row r="2265" spans="1:12" ht="27">
      <c r="A2265" s="35" t="s">
        <v>12689</v>
      </c>
      <c r="B2265" s="35" t="s">
        <v>6295</v>
      </c>
      <c r="C2265" s="36" t="s">
        <v>259</v>
      </c>
      <c r="D2265" s="35" t="s">
        <v>6296</v>
      </c>
      <c r="E2265" s="35" t="s">
        <v>12644</v>
      </c>
      <c r="F2265" s="35" t="s">
        <v>12483</v>
      </c>
      <c r="G2265" s="35">
        <v>351545</v>
      </c>
      <c r="H2265" s="35">
        <v>390070</v>
      </c>
      <c r="I2265" s="35">
        <v>200020</v>
      </c>
      <c r="J2265" s="34" t="s">
        <v>311</v>
      </c>
      <c r="K2265" s="34" t="str">
        <f t="shared" si="73"/>
        <v>重复</v>
      </c>
      <c r="L2265" s="34" t="str">
        <f t="shared" si="74"/>
        <v>不重复</v>
      </c>
    </row>
    <row r="2266" spans="1:12" ht="30">
      <c r="A2266" s="35" t="s">
        <v>12690</v>
      </c>
      <c r="B2266" s="35" t="s">
        <v>6297</v>
      </c>
      <c r="C2266" s="36" t="s">
        <v>6298</v>
      </c>
      <c r="D2266" s="35" t="s">
        <v>6299</v>
      </c>
      <c r="E2266" s="35" t="s">
        <v>12644</v>
      </c>
      <c r="F2266" s="35" t="s">
        <v>12483</v>
      </c>
      <c r="G2266" s="35">
        <v>351546</v>
      </c>
      <c r="H2266" s="35">
        <v>390070</v>
      </c>
      <c r="I2266" s="35">
        <v>200020</v>
      </c>
      <c r="J2266" s="34" t="s">
        <v>6300</v>
      </c>
      <c r="K2266" s="34" t="str">
        <f t="shared" si="73"/>
        <v>重复</v>
      </c>
      <c r="L2266" s="34" t="str">
        <f t="shared" si="74"/>
        <v>不重复</v>
      </c>
    </row>
    <row r="2267" spans="1:12" ht="30">
      <c r="A2267" s="35" t="s">
        <v>12691</v>
      </c>
      <c r="B2267" s="35" t="s">
        <v>6301</v>
      </c>
      <c r="C2267" s="36" t="s">
        <v>6302</v>
      </c>
      <c r="D2267" s="35" t="s">
        <v>6303</v>
      </c>
      <c r="E2267" s="35" t="s">
        <v>12644</v>
      </c>
      <c r="F2267" s="35" t="s">
        <v>12483</v>
      </c>
      <c r="G2267" s="35">
        <v>351547</v>
      </c>
      <c r="H2267" s="35">
        <v>390070</v>
      </c>
      <c r="I2267" s="35">
        <v>200020</v>
      </c>
      <c r="J2267" s="34" t="s">
        <v>932</v>
      </c>
      <c r="K2267" s="34" t="str">
        <f t="shared" si="73"/>
        <v>不重复</v>
      </c>
      <c r="L2267" s="34" t="str">
        <f t="shared" si="74"/>
        <v>不重复</v>
      </c>
    </row>
    <row r="2268" spans="1:12" ht="15">
      <c r="A2268" s="35" t="s">
        <v>12692</v>
      </c>
      <c r="B2268" s="35" t="s">
        <v>6304</v>
      </c>
      <c r="C2268" s="36" t="s">
        <v>6183</v>
      </c>
      <c r="D2268" s="35" t="s">
        <v>6255</v>
      </c>
      <c r="E2268" s="35" t="s">
        <v>12644</v>
      </c>
      <c r="F2268" s="35" t="s">
        <v>12483</v>
      </c>
      <c r="G2268" s="35">
        <v>351548</v>
      </c>
      <c r="H2268" s="35">
        <v>390070</v>
      </c>
      <c r="I2268" s="35">
        <v>200020</v>
      </c>
      <c r="J2268" s="34" t="s">
        <v>1248</v>
      </c>
      <c r="K2268" s="34" t="str">
        <f t="shared" si="73"/>
        <v>重复</v>
      </c>
      <c r="L2268" s="34" t="str">
        <f t="shared" si="74"/>
        <v>重复</v>
      </c>
    </row>
    <row r="2269" spans="1:12" ht="27">
      <c r="A2269" s="35" t="s">
        <v>12693</v>
      </c>
      <c r="B2269" s="35" t="s">
        <v>6305</v>
      </c>
      <c r="C2269" s="36" t="s">
        <v>6306</v>
      </c>
      <c r="D2269" s="35" t="s">
        <v>6307</v>
      </c>
      <c r="E2269" s="35" t="s">
        <v>12644</v>
      </c>
      <c r="F2269" s="35" t="s">
        <v>12483</v>
      </c>
      <c r="G2269" s="35">
        <v>351549</v>
      </c>
      <c r="H2269" s="35">
        <v>390070</v>
      </c>
      <c r="I2269" s="35">
        <v>200020</v>
      </c>
      <c r="J2269" s="34" t="s">
        <v>6308</v>
      </c>
      <c r="K2269" s="34" t="str">
        <f t="shared" si="73"/>
        <v>不重复</v>
      </c>
      <c r="L2269" s="34" t="str">
        <f t="shared" si="74"/>
        <v>不重复</v>
      </c>
    </row>
    <row r="2270" spans="1:12" ht="27">
      <c r="A2270" s="35" t="s">
        <v>12694</v>
      </c>
      <c r="B2270" s="35" t="s">
        <v>6309</v>
      </c>
      <c r="C2270" s="36" t="s">
        <v>6310</v>
      </c>
      <c r="D2270" s="35" t="s">
        <v>6311</v>
      </c>
      <c r="E2270" s="35" t="s">
        <v>12644</v>
      </c>
      <c r="F2270" s="35" t="s">
        <v>12483</v>
      </c>
      <c r="G2270" s="35">
        <v>351550</v>
      </c>
      <c r="H2270" s="35">
        <v>390070</v>
      </c>
      <c r="I2270" s="35">
        <v>200020</v>
      </c>
      <c r="J2270" s="34" t="s">
        <v>288</v>
      </c>
      <c r="K2270" s="34" t="str">
        <f t="shared" si="73"/>
        <v>不重复</v>
      </c>
      <c r="L2270" s="34" t="str">
        <f t="shared" si="74"/>
        <v>不重复</v>
      </c>
    </row>
    <row r="2271" spans="1:12" ht="27">
      <c r="A2271" s="35" t="s">
        <v>12695</v>
      </c>
      <c r="B2271" s="35" t="s">
        <v>6312</v>
      </c>
      <c r="C2271" s="36" t="s">
        <v>4305</v>
      </c>
      <c r="D2271" s="35" t="s">
        <v>6313</v>
      </c>
      <c r="E2271" s="35" t="s">
        <v>12644</v>
      </c>
      <c r="F2271" s="35" t="s">
        <v>12483</v>
      </c>
      <c r="G2271" s="35">
        <v>351551</v>
      </c>
      <c r="H2271" s="35">
        <v>390070</v>
      </c>
      <c r="I2271" s="35">
        <v>200020</v>
      </c>
      <c r="J2271" s="34" t="s">
        <v>5376</v>
      </c>
      <c r="K2271" s="34" t="str">
        <f t="shared" si="73"/>
        <v>重复</v>
      </c>
      <c r="L2271" s="34" t="str">
        <f t="shared" si="74"/>
        <v>不重复</v>
      </c>
    </row>
    <row r="2272" spans="1:12" ht="27">
      <c r="A2272" s="35" t="s">
        <v>12696</v>
      </c>
      <c r="B2272" s="35" t="s">
        <v>6314</v>
      </c>
      <c r="C2272" s="36" t="s">
        <v>6315</v>
      </c>
      <c r="D2272" s="35" t="s">
        <v>6316</v>
      </c>
      <c r="E2272" s="35" t="s">
        <v>12644</v>
      </c>
      <c r="F2272" s="35" t="s">
        <v>12483</v>
      </c>
      <c r="G2272" s="35">
        <v>351552</v>
      </c>
      <c r="H2272" s="35">
        <v>390070</v>
      </c>
      <c r="I2272" s="35">
        <v>200020</v>
      </c>
      <c r="J2272" s="34" t="s">
        <v>6256</v>
      </c>
      <c r="K2272" s="34" t="str">
        <f t="shared" si="73"/>
        <v>重复</v>
      </c>
      <c r="L2272" s="34" t="str">
        <f t="shared" si="74"/>
        <v>不重复</v>
      </c>
    </row>
    <row r="2273" spans="1:12" ht="27">
      <c r="A2273" s="35" t="s">
        <v>12697</v>
      </c>
      <c r="B2273" s="35" t="s">
        <v>6317</v>
      </c>
      <c r="C2273" s="36" t="s">
        <v>6318</v>
      </c>
      <c r="D2273" s="35" t="s">
        <v>6319</v>
      </c>
      <c r="E2273" s="35" t="s">
        <v>12644</v>
      </c>
      <c r="F2273" s="35" t="s">
        <v>12483</v>
      </c>
      <c r="G2273" s="35">
        <v>351553</v>
      </c>
      <c r="H2273" s="35">
        <v>390070</v>
      </c>
      <c r="I2273" s="35">
        <v>200020</v>
      </c>
      <c r="J2273" s="34" t="s">
        <v>6256</v>
      </c>
      <c r="K2273" s="34" t="str">
        <f t="shared" si="73"/>
        <v>重复</v>
      </c>
      <c r="L2273" s="34" t="str">
        <f t="shared" si="74"/>
        <v>不重复</v>
      </c>
    </row>
    <row r="2274" spans="1:12" ht="27">
      <c r="A2274" s="35" t="s">
        <v>12698</v>
      </c>
      <c r="B2274" s="35" t="s">
        <v>6320</v>
      </c>
      <c r="C2274" s="36" t="s">
        <v>6321</v>
      </c>
      <c r="D2274" s="35" t="s">
        <v>6322</v>
      </c>
      <c r="E2274" s="35" t="s">
        <v>12644</v>
      </c>
      <c r="F2274" s="35" t="s">
        <v>12483</v>
      </c>
      <c r="G2274" s="35">
        <v>351554</v>
      </c>
      <c r="H2274" s="35">
        <v>390070</v>
      </c>
      <c r="I2274" s="35">
        <v>200020</v>
      </c>
      <c r="J2274" s="34" t="s">
        <v>4197</v>
      </c>
      <c r="K2274" s="34" t="str">
        <f t="shared" si="73"/>
        <v>重复</v>
      </c>
      <c r="L2274" s="34" t="str">
        <f t="shared" si="74"/>
        <v>不重复</v>
      </c>
    </row>
    <row r="2275" spans="1:12" ht="27">
      <c r="A2275" s="35" t="s">
        <v>12699</v>
      </c>
      <c r="B2275" s="35" t="s">
        <v>6323</v>
      </c>
      <c r="C2275" s="36" t="s">
        <v>6324</v>
      </c>
      <c r="D2275" s="35" t="s">
        <v>6325</v>
      </c>
      <c r="E2275" s="35" t="s">
        <v>12644</v>
      </c>
      <c r="F2275" s="35" t="s">
        <v>12483</v>
      </c>
      <c r="G2275" s="35">
        <v>351555</v>
      </c>
      <c r="H2275" s="35">
        <v>390070</v>
      </c>
      <c r="I2275" s="35">
        <v>200020</v>
      </c>
      <c r="J2275" s="34" t="s">
        <v>6326</v>
      </c>
      <c r="K2275" s="34" t="str">
        <f t="shared" si="73"/>
        <v>不重复</v>
      </c>
      <c r="L2275" s="34" t="str">
        <f t="shared" si="74"/>
        <v>不重复</v>
      </c>
    </row>
    <row r="2276" spans="1:12" ht="27">
      <c r="A2276" s="35" t="s">
        <v>12700</v>
      </c>
      <c r="B2276" s="35" t="s">
        <v>6327</v>
      </c>
      <c r="C2276" s="36" t="s">
        <v>6328</v>
      </c>
      <c r="D2276" s="35" t="s">
        <v>6329</v>
      </c>
      <c r="E2276" s="35" t="s">
        <v>12644</v>
      </c>
      <c r="F2276" s="35" t="s">
        <v>12483</v>
      </c>
      <c r="G2276" s="35">
        <v>351556</v>
      </c>
      <c r="H2276" s="35">
        <v>390070</v>
      </c>
      <c r="I2276" s="35">
        <v>200020</v>
      </c>
      <c r="J2276" s="34" t="s">
        <v>932</v>
      </c>
      <c r="K2276" s="34" t="str">
        <f t="shared" si="73"/>
        <v>不重复</v>
      </c>
      <c r="L2276" s="34" t="str">
        <f t="shared" si="74"/>
        <v>不重复</v>
      </c>
    </row>
    <row r="2277" spans="1:12" ht="27">
      <c r="A2277" s="35" t="s">
        <v>12701</v>
      </c>
      <c r="B2277" s="35" t="s">
        <v>6330</v>
      </c>
      <c r="C2277" s="36" t="s">
        <v>6331</v>
      </c>
      <c r="D2277" s="35" t="s">
        <v>6332</v>
      </c>
      <c r="E2277" s="35" t="s">
        <v>12644</v>
      </c>
      <c r="F2277" s="35" t="s">
        <v>12483</v>
      </c>
      <c r="G2277" s="35">
        <v>351557</v>
      </c>
      <c r="H2277" s="35">
        <v>390070</v>
      </c>
      <c r="I2277" s="35">
        <v>200020</v>
      </c>
      <c r="J2277" s="34" t="s">
        <v>932</v>
      </c>
      <c r="K2277" s="34" t="str">
        <f t="shared" si="73"/>
        <v>重复</v>
      </c>
      <c r="L2277" s="34" t="str">
        <f t="shared" si="74"/>
        <v>不重复</v>
      </c>
    </row>
    <row r="2278" spans="1:12" ht="30">
      <c r="A2278" s="35" t="s">
        <v>12702</v>
      </c>
      <c r="B2278" s="35" t="s">
        <v>6333</v>
      </c>
      <c r="C2278" s="36" t="s">
        <v>6334</v>
      </c>
      <c r="D2278" s="35" t="s">
        <v>6029</v>
      </c>
      <c r="E2278" s="35" t="s">
        <v>12644</v>
      </c>
      <c r="F2278" s="35" t="s">
        <v>12483</v>
      </c>
      <c r="G2278" s="35">
        <v>351558</v>
      </c>
      <c r="H2278" s="35">
        <v>390070</v>
      </c>
      <c r="I2278" s="35">
        <v>200020</v>
      </c>
      <c r="J2278" s="34" t="s">
        <v>1040</v>
      </c>
      <c r="K2278" s="34" t="str">
        <f t="shared" si="73"/>
        <v>不重复</v>
      </c>
      <c r="L2278" s="34" t="str">
        <f t="shared" si="74"/>
        <v>重复</v>
      </c>
    </row>
    <row r="2279" spans="1:12" ht="27">
      <c r="A2279" s="35" t="s">
        <v>12703</v>
      </c>
      <c r="B2279" s="35" t="s">
        <v>6335</v>
      </c>
      <c r="C2279" s="36" t="s">
        <v>6336</v>
      </c>
      <c r="D2279" s="35" t="s">
        <v>6337</v>
      </c>
      <c r="E2279" s="35" t="s">
        <v>12644</v>
      </c>
      <c r="F2279" s="35" t="s">
        <v>12483</v>
      </c>
      <c r="G2279" s="35">
        <v>351559</v>
      </c>
      <c r="H2279" s="35">
        <v>390070</v>
      </c>
      <c r="I2279" s="35">
        <v>200020</v>
      </c>
      <c r="J2279" s="34" t="s">
        <v>1700</v>
      </c>
      <c r="K2279" s="34" t="str">
        <f t="shared" si="73"/>
        <v>不重复</v>
      </c>
      <c r="L2279" s="34" t="str">
        <f t="shared" si="74"/>
        <v>不重复</v>
      </c>
    </row>
    <row r="2280" spans="1:12" ht="27">
      <c r="A2280" s="35" t="s">
        <v>12704</v>
      </c>
      <c r="B2280" s="35" t="s">
        <v>6338</v>
      </c>
      <c r="C2280" s="36" t="s">
        <v>6339</v>
      </c>
      <c r="D2280" s="35" t="s">
        <v>6340</v>
      </c>
      <c r="E2280" s="35" t="s">
        <v>12644</v>
      </c>
      <c r="F2280" s="35" t="s">
        <v>12483</v>
      </c>
      <c r="G2280" s="35">
        <v>351560</v>
      </c>
      <c r="H2280" s="35">
        <v>390070</v>
      </c>
      <c r="I2280" s="35">
        <v>200020</v>
      </c>
      <c r="J2280" s="34" t="s">
        <v>6341</v>
      </c>
      <c r="K2280" s="34" t="str">
        <f t="shared" si="73"/>
        <v>不重复</v>
      </c>
      <c r="L2280" s="34" t="str">
        <f t="shared" si="74"/>
        <v>不重复</v>
      </c>
    </row>
    <row r="2281" spans="1:12" ht="27">
      <c r="A2281" s="35" t="s">
        <v>12705</v>
      </c>
      <c r="B2281" s="35" t="s">
        <v>6342</v>
      </c>
      <c r="C2281" s="36" t="s">
        <v>891</v>
      </c>
      <c r="D2281" s="35" t="s">
        <v>6343</v>
      </c>
      <c r="E2281" s="35" t="s">
        <v>12644</v>
      </c>
      <c r="F2281" s="35" t="s">
        <v>12483</v>
      </c>
      <c r="G2281" s="35">
        <v>351561</v>
      </c>
      <c r="H2281" s="35">
        <v>390070</v>
      </c>
      <c r="I2281" s="35">
        <v>200020</v>
      </c>
      <c r="J2281" s="34" t="s">
        <v>317</v>
      </c>
      <c r="K2281" s="34" t="str">
        <f t="shared" si="73"/>
        <v>重复</v>
      </c>
      <c r="L2281" s="34" t="str">
        <f t="shared" si="74"/>
        <v>不重复</v>
      </c>
    </row>
    <row r="2282" spans="1:12" ht="27">
      <c r="A2282" s="35" t="s">
        <v>12706</v>
      </c>
      <c r="B2282" s="35" t="s">
        <v>6344</v>
      </c>
      <c r="C2282" s="36" t="s">
        <v>5214</v>
      </c>
      <c r="D2282" s="35" t="s">
        <v>6345</v>
      </c>
      <c r="E2282" s="35" t="s">
        <v>12644</v>
      </c>
      <c r="F2282" s="35" t="s">
        <v>12483</v>
      </c>
      <c r="G2282" s="35">
        <v>351562</v>
      </c>
      <c r="H2282" s="35">
        <v>390070</v>
      </c>
      <c r="I2282" s="35">
        <v>200020</v>
      </c>
      <c r="J2282" s="34" t="s">
        <v>6346</v>
      </c>
      <c r="K2282" s="34" t="str">
        <f t="shared" si="73"/>
        <v>重复</v>
      </c>
      <c r="L2282" s="34" t="str">
        <f t="shared" si="74"/>
        <v>不重复</v>
      </c>
    </row>
    <row r="2283" spans="1:12" ht="30">
      <c r="A2283" s="35" t="s">
        <v>12707</v>
      </c>
      <c r="B2283" s="35" t="s">
        <v>6347</v>
      </c>
      <c r="C2283" s="36" t="s">
        <v>6348</v>
      </c>
      <c r="D2283" s="35" t="s">
        <v>6349</v>
      </c>
      <c r="E2283" s="35" t="s">
        <v>12644</v>
      </c>
      <c r="F2283" s="35" t="s">
        <v>12483</v>
      </c>
      <c r="G2283" s="35">
        <v>351563</v>
      </c>
      <c r="H2283" s="35">
        <v>390070</v>
      </c>
      <c r="I2283" s="35">
        <v>200020</v>
      </c>
      <c r="J2283" s="34" t="s">
        <v>6256</v>
      </c>
      <c r="K2283" s="34" t="str">
        <f t="shared" si="73"/>
        <v>重复</v>
      </c>
      <c r="L2283" s="34" t="str">
        <f t="shared" si="74"/>
        <v>不重复</v>
      </c>
    </row>
    <row r="2284" spans="1:12" ht="15">
      <c r="A2284" s="35" t="s">
        <v>12708</v>
      </c>
      <c r="B2284" s="35" t="s">
        <v>6350</v>
      </c>
      <c r="C2284" s="36" t="s">
        <v>6351</v>
      </c>
      <c r="D2284" s="35" t="s">
        <v>6352</v>
      </c>
      <c r="E2284" s="35" t="s">
        <v>12644</v>
      </c>
      <c r="F2284" s="35" t="s">
        <v>12483</v>
      </c>
      <c r="G2284" s="35">
        <v>351564</v>
      </c>
      <c r="H2284" s="35">
        <v>390070</v>
      </c>
      <c r="I2284" s="35">
        <v>200020</v>
      </c>
      <c r="J2284" s="34" t="s">
        <v>711</v>
      </c>
      <c r="K2284" s="34" t="str">
        <f t="shared" si="73"/>
        <v>重复</v>
      </c>
      <c r="L2284" s="34" t="str">
        <f t="shared" si="74"/>
        <v>不重复</v>
      </c>
    </row>
    <row r="2285" spans="1:12" ht="27">
      <c r="A2285" s="35" t="s">
        <v>12709</v>
      </c>
      <c r="B2285" s="35" t="s">
        <v>6353</v>
      </c>
      <c r="C2285" s="36" t="s">
        <v>6354</v>
      </c>
      <c r="D2285" s="35" t="s">
        <v>6355</v>
      </c>
      <c r="E2285" s="35" t="s">
        <v>12644</v>
      </c>
      <c r="F2285" s="35" t="s">
        <v>12483</v>
      </c>
      <c r="G2285" s="35">
        <v>351565</v>
      </c>
      <c r="H2285" s="35">
        <v>390070</v>
      </c>
      <c r="I2285" s="35">
        <v>200020</v>
      </c>
      <c r="J2285" s="34" t="s">
        <v>932</v>
      </c>
      <c r="K2285" s="34" t="str">
        <f t="shared" si="73"/>
        <v>不重复</v>
      </c>
      <c r="L2285" s="34" t="str">
        <f t="shared" si="74"/>
        <v>不重复</v>
      </c>
    </row>
    <row r="2286" spans="1:12" ht="27">
      <c r="A2286" s="35" t="s">
        <v>12710</v>
      </c>
      <c r="B2286" s="35" t="s">
        <v>6356</v>
      </c>
      <c r="C2286" s="36" t="s">
        <v>6357</v>
      </c>
      <c r="D2286" s="35" t="s">
        <v>6358</v>
      </c>
      <c r="E2286" s="35" t="s">
        <v>12644</v>
      </c>
      <c r="F2286" s="35" t="s">
        <v>12483</v>
      </c>
      <c r="G2286" s="35">
        <v>351566</v>
      </c>
      <c r="H2286" s="35">
        <v>390070</v>
      </c>
      <c r="I2286" s="35">
        <v>200020</v>
      </c>
      <c r="J2286" s="34" t="s">
        <v>422</v>
      </c>
      <c r="K2286" s="34" t="str">
        <f t="shared" si="73"/>
        <v>重复</v>
      </c>
      <c r="L2286" s="34" t="str">
        <f t="shared" si="74"/>
        <v>重复</v>
      </c>
    </row>
    <row r="2287" spans="1:12" ht="27">
      <c r="A2287" s="35" t="s">
        <v>12711</v>
      </c>
      <c r="B2287" s="35" t="s">
        <v>6359</v>
      </c>
      <c r="C2287" s="36" t="s">
        <v>4258</v>
      </c>
      <c r="D2287" s="35" t="s">
        <v>6360</v>
      </c>
      <c r="E2287" s="35" t="s">
        <v>12644</v>
      </c>
      <c r="F2287" s="35" t="s">
        <v>12483</v>
      </c>
      <c r="G2287" s="35">
        <v>351567</v>
      </c>
      <c r="H2287" s="35">
        <v>390070</v>
      </c>
      <c r="I2287" s="35">
        <v>200020</v>
      </c>
      <c r="J2287" s="34" t="s">
        <v>270</v>
      </c>
      <c r="K2287" s="34" t="str">
        <f t="shared" si="73"/>
        <v>重复</v>
      </c>
      <c r="L2287" s="34" t="str">
        <f t="shared" si="74"/>
        <v>不重复</v>
      </c>
    </row>
    <row r="2288" spans="1:12" ht="30">
      <c r="A2288" s="35" t="s">
        <v>12712</v>
      </c>
      <c r="B2288" s="35" t="s">
        <v>6361</v>
      </c>
      <c r="C2288" s="36" t="s">
        <v>4702</v>
      </c>
      <c r="D2288" s="35" t="s">
        <v>6362</v>
      </c>
      <c r="E2288" s="35" t="s">
        <v>12644</v>
      </c>
      <c r="F2288" s="35" t="s">
        <v>12483</v>
      </c>
      <c r="G2288" s="35">
        <v>351568</v>
      </c>
      <c r="H2288" s="35">
        <v>390070</v>
      </c>
      <c r="I2288" s="35">
        <v>200020</v>
      </c>
      <c r="J2288" s="34" t="s">
        <v>6363</v>
      </c>
      <c r="K2288" s="34" t="str">
        <f t="shared" si="73"/>
        <v>重复</v>
      </c>
      <c r="L2288" s="34" t="str">
        <f t="shared" si="74"/>
        <v>重复</v>
      </c>
    </row>
    <row r="2289" spans="1:12" ht="27">
      <c r="A2289" s="35" t="s">
        <v>12713</v>
      </c>
      <c r="B2289" s="35" t="s">
        <v>6364</v>
      </c>
      <c r="C2289" s="36" t="s">
        <v>6365</v>
      </c>
      <c r="D2289" s="35" t="s">
        <v>6366</v>
      </c>
      <c r="E2289" s="35" t="s">
        <v>12644</v>
      </c>
      <c r="F2289" s="35" t="s">
        <v>12483</v>
      </c>
      <c r="G2289" s="35">
        <v>351569</v>
      </c>
      <c r="H2289" s="35">
        <v>390070</v>
      </c>
      <c r="I2289" s="35">
        <v>200020</v>
      </c>
      <c r="J2289" s="34" t="s">
        <v>1700</v>
      </c>
      <c r="K2289" s="34" t="str">
        <f t="shared" si="73"/>
        <v>不重复</v>
      </c>
      <c r="L2289" s="34" t="str">
        <f t="shared" si="74"/>
        <v>不重复</v>
      </c>
    </row>
    <row r="2290" spans="1:12" ht="15">
      <c r="A2290" s="35" t="s">
        <v>12714</v>
      </c>
      <c r="B2290" s="35" t="s">
        <v>6367</v>
      </c>
      <c r="C2290" s="36" t="s">
        <v>6368</v>
      </c>
      <c r="D2290" s="35" t="s">
        <v>6369</v>
      </c>
      <c r="E2290" s="35" t="s">
        <v>12644</v>
      </c>
      <c r="F2290" s="35" t="s">
        <v>12483</v>
      </c>
      <c r="G2290" s="35">
        <v>351570</v>
      </c>
      <c r="H2290" s="35">
        <v>390070</v>
      </c>
      <c r="I2290" s="35">
        <v>200020</v>
      </c>
      <c r="J2290" s="34" t="s">
        <v>363</v>
      </c>
      <c r="K2290" s="34" t="str">
        <f t="shared" si="73"/>
        <v>不重复</v>
      </c>
      <c r="L2290" s="34" t="str">
        <f t="shared" si="74"/>
        <v>不重复</v>
      </c>
    </row>
    <row r="2291" spans="1:12" ht="27">
      <c r="A2291" s="35" t="s">
        <v>12715</v>
      </c>
      <c r="B2291" s="35" t="s">
        <v>6370</v>
      </c>
      <c r="C2291" s="36" t="s">
        <v>6371</v>
      </c>
      <c r="D2291" s="35" t="s">
        <v>6372</v>
      </c>
      <c r="E2291" s="35" t="s">
        <v>12644</v>
      </c>
      <c r="F2291" s="35" t="s">
        <v>12483</v>
      </c>
      <c r="G2291" s="35">
        <v>351571</v>
      </c>
      <c r="H2291" s="35">
        <v>390070</v>
      </c>
      <c r="I2291" s="35">
        <v>200020</v>
      </c>
      <c r="J2291" s="34" t="s">
        <v>6373</v>
      </c>
      <c r="K2291" s="34" t="str">
        <f t="shared" si="73"/>
        <v>不重复</v>
      </c>
      <c r="L2291" s="34" t="str">
        <f t="shared" si="74"/>
        <v>不重复</v>
      </c>
    </row>
    <row r="2292" spans="1:12" ht="30">
      <c r="A2292" s="35" t="s">
        <v>12716</v>
      </c>
      <c r="B2292" s="35" t="s">
        <v>6374</v>
      </c>
      <c r="C2292" s="36" t="s">
        <v>6375</v>
      </c>
      <c r="D2292" s="35" t="s">
        <v>6376</v>
      </c>
      <c r="E2292" s="35" t="s">
        <v>12644</v>
      </c>
      <c r="F2292" s="35" t="s">
        <v>12483</v>
      </c>
      <c r="G2292" s="35">
        <v>351572</v>
      </c>
      <c r="H2292" s="35">
        <v>390070</v>
      </c>
      <c r="I2292" s="35">
        <v>200020</v>
      </c>
      <c r="J2292" s="34" t="s">
        <v>363</v>
      </c>
      <c r="K2292" s="34" t="str">
        <f t="shared" si="73"/>
        <v>不重复</v>
      </c>
      <c r="L2292" s="34" t="str">
        <f t="shared" si="74"/>
        <v>不重复</v>
      </c>
    </row>
    <row r="2293" spans="1:12" ht="15">
      <c r="A2293" s="35" t="s">
        <v>12644</v>
      </c>
      <c r="B2293" s="35" t="s">
        <v>6377</v>
      </c>
      <c r="C2293" s="36" t="s">
        <v>6378</v>
      </c>
      <c r="D2293" s="35" t="s">
        <v>6379</v>
      </c>
      <c r="E2293" s="35" t="s">
        <v>12644</v>
      </c>
      <c r="F2293" s="35" t="s">
        <v>12483</v>
      </c>
      <c r="G2293" s="35">
        <v>351573</v>
      </c>
      <c r="H2293" s="35">
        <v>390070</v>
      </c>
      <c r="I2293" s="35">
        <v>200020</v>
      </c>
      <c r="J2293" s="34" t="s">
        <v>16</v>
      </c>
      <c r="K2293" s="34" t="str">
        <f t="shared" si="73"/>
        <v>不重复</v>
      </c>
      <c r="L2293" s="34" t="str">
        <f t="shared" si="74"/>
        <v>不重复</v>
      </c>
    </row>
    <row r="2294" spans="1:12" ht="15">
      <c r="A2294" s="35" t="s">
        <v>12717</v>
      </c>
      <c r="B2294" s="35" t="s">
        <v>6380</v>
      </c>
      <c r="C2294" s="36" t="s">
        <v>6381</v>
      </c>
      <c r="D2294" s="35" t="s">
        <v>4387</v>
      </c>
      <c r="E2294" s="35" t="s">
        <v>12717</v>
      </c>
      <c r="F2294" s="35" t="s">
        <v>12483</v>
      </c>
      <c r="G2294" s="35">
        <v>351700</v>
      </c>
      <c r="H2294" s="35">
        <v>390080</v>
      </c>
      <c r="I2294" s="35">
        <v>200020</v>
      </c>
      <c r="J2294" s="34" t="s">
        <v>16</v>
      </c>
      <c r="K2294" s="34" t="str">
        <f t="shared" si="73"/>
        <v>不重复</v>
      </c>
      <c r="L2294" s="34" t="str">
        <f t="shared" si="74"/>
        <v>重复</v>
      </c>
    </row>
    <row r="2295" spans="1:12" ht="15">
      <c r="A2295" s="35" t="s">
        <v>12718</v>
      </c>
      <c r="B2295" s="35" t="s">
        <v>6382</v>
      </c>
      <c r="C2295" s="36" t="s">
        <v>6383</v>
      </c>
      <c r="D2295" s="35" t="s">
        <v>4403</v>
      </c>
      <c r="E2295" s="35" t="s">
        <v>12717</v>
      </c>
      <c r="F2295" s="35" t="s">
        <v>12483</v>
      </c>
      <c r="G2295" s="35">
        <v>351701</v>
      </c>
      <c r="H2295" s="35">
        <v>390080</v>
      </c>
      <c r="I2295" s="35">
        <v>200020</v>
      </c>
      <c r="J2295" s="34" t="s">
        <v>6384</v>
      </c>
      <c r="K2295" s="34" t="str">
        <f t="shared" si="73"/>
        <v>不重复</v>
      </c>
      <c r="L2295" s="34" t="str">
        <f t="shared" si="74"/>
        <v>重复</v>
      </c>
    </row>
    <row r="2296" spans="1:12" ht="15">
      <c r="A2296" s="35" t="s">
        <v>12719</v>
      </c>
      <c r="B2296" s="35" t="s">
        <v>6385</v>
      </c>
      <c r="C2296" s="36" t="s">
        <v>427</v>
      </c>
      <c r="D2296" s="35" t="s">
        <v>6386</v>
      </c>
      <c r="E2296" s="35" t="s">
        <v>12717</v>
      </c>
      <c r="F2296" s="35" t="s">
        <v>12483</v>
      </c>
      <c r="G2296" s="35">
        <v>351702</v>
      </c>
      <c r="H2296" s="35">
        <v>390080</v>
      </c>
      <c r="I2296" s="35">
        <v>200020</v>
      </c>
      <c r="J2296" s="34" t="s">
        <v>6384</v>
      </c>
      <c r="K2296" s="34" t="str">
        <f t="shared" si="73"/>
        <v>重复</v>
      </c>
      <c r="L2296" s="34" t="str">
        <f t="shared" si="74"/>
        <v>不重复</v>
      </c>
    </row>
    <row r="2297" spans="1:12" ht="15">
      <c r="A2297" s="35" t="s">
        <v>12720</v>
      </c>
      <c r="B2297" s="35" t="s">
        <v>6387</v>
      </c>
      <c r="C2297" s="36" t="s">
        <v>6388</v>
      </c>
      <c r="D2297" s="35" t="s">
        <v>6389</v>
      </c>
      <c r="E2297" s="35" t="s">
        <v>12717</v>
      </c>
      <c r="F2297" s="35" t="s">
        <v>12483</v>
      </c>
      <c r="G2297" s="35">
        <v>351703</v>
      </c>
      <c r="H2297" s="35">
        <v>390080</v>
      </c>
      <c r="I2297" s="35">
        <v>200020</v>
      </c>
      <c r="J2297" s="34" t="s">
        <v>1103</v>
      </c>
      <c r="K2297" s="34" t="str">
        <f t="shared" si="73"/>
        <v>不重复</v>
      </c>
      <c r="L2297" s="34" t="str">
        <f t="shared" si="74"/>
        <v>不重复</v>
      </c>
    </row>
    <row r="2298" spans="1:12" ht="15">
      <c r="A2298" s="35" t="s">
        <v>12721</v>
      </c>
      <c r="B2298" s="35" t="s">
        <v>6390</v>
      </c>
      <c r="C2298" s="36" t="s">
        <v>830</v>
      </c>
      <c r="D2298" s="35" t="s">
        <v>6391</v>
      </c>
      <c r="E2298" s="35" t="s">
        <v>12717</v>
      </c>
      <c r="F2298" s="35" t="s">
        <v>12483</v>
      </c>
      <c r="G2298" s="35">
        <v>351704</v>
      </c>
      <c r="H2298" s="35">
        <v>390080</v>
      </c>
      <c r="I2298" s="35">
        <v>200020</v>
      </c>
      <c r="J2298" s="34" t="s">
        <v>1886</v>
      </c>
      <c r="K2298" s="34" t="str">
        <f t="shared" si="73"/>
        <v>重复</v>
      </c>
      <c r="L2298" s="34" t="str">
        <f t="shared" si="74"/>
        <v>不重复</v>
      </c>
    </row>
    <row r="2299" spans="1:12" ht="15">
      <c r="A2299" s="35" t="s">
        <v>12722</v>
      </c>
      <c r="B2299" s="35" t="s">
        <v>6392</v>
      </c>
      <c r="C2299" s="36" t="s">
        <v>6393</v>
      </c>
      <c r="D2299" s="35" t="s">
        <v>6394</v>
      </c>
      <c r="E2299" s="35" t="s">
        <v>12717</v>
      </c>
      <c r="F2299" s="35" t="s">
        <v>12483</v>
      </c>
      <c r="G2299" s="35">
        <v>351705</v>
      </c>
      <c r="H2299" s="35">
        <v>390080</v>
      </c>
      <c r="I2299" s="35">
        <v>200020</v>
      </c>
      <c r="J2299" s="34" t="s">
        <v>688</v>
      </c>
      <c r="K2299" s="34" t="str">
        <f t="shared" si="73"/>
        <v>不重复</v>
      </c>
      <c r="L2299" s="34" t="str">
        <f t="shared" si="74"/>
        <v>不重复</v>
      </c>
    </row>
    <row r="2300" spans="1:12" ht="15">
      <c r="A2300" s="35" t="s">
        <v>12723</v>
      </c>
      <c r="B2300" s="35" t="s">
        <v>6395</v>
      </c>
      <c r="C2300" s="36" t="s">
        <v>6396</v>
      </c>
      <c r="D2300" s="35" t="s">
        <v>12</v>
      </c>
      <c r="E2300" s="35" t="s">
        <v>12723</v>
      </c>
      <c r="F2300" s="35" t="s">
        <v>12483</v>
      </c>
      <c r="G2300" s="35">
        <v>351800</v>
      </c>
      <c r="H2300" s="35">
        <v>390090</v>
      </c>
      <c r="I2300" s="35">
        <v>200020</v>
      </c>
      <c r="J2300" s="34" t="s">
        <v>16</v>
      </c>
      <c r="K2300" s="34" t="str">
        <f t="shared" si="73"/>
        <v>不重复</v>
      </c>
      <c r="L2300" s="34" t="str">
        <f t="shared" si="74"/>
        <v>重复</v>
      </c>
    </row>
    <row r="2301" spans="1:12" ht="27">
      <c r="A2301" s="35" t="s">
        <v>12724</v>
      </c>
      <c r="B2301" s="35" t="s">
        <v>6397</v>
      </c>
      <c r="C2301" s="36" t="s">
        <v>6398</v>
      </c>
      <c r="D2301" s="35" t="s">
        <v>6399</v>
      </c>
      <c r="E2301" s="35" t="s">
        <v>12723</v>
      </c>
      <c r="F2301" s="35" t="s">
        <v>12483</v>
      </c>
      <c r="G2301" s="35">
        <v>351801</v>
      </c>
      <c r="H2301" s="35">
        <v>390090</v>
      </c>
      <c r="I2301" s="35">
        <v>200020</v>
      </c>
      <c r="J2301" s="34" t="s">
        <v>6400</v>
      </c>
      <c r="K2301" s="34" t="str">
        <f t="shared" si="73"/>
        <v>不重复</v>
      </c>
      <c r="L2301" s="34" t="str">
        <f t="shared" si="74"/>
        <v>不重复</v>
      </c>
    </row>
    <row r="2302" spans="1:12" ht="30">
      <c r="A2302" s="35" t="s">
        <v>12725</v>
      </c>
      <c r="B2302" s="35" t="s">
        <v>6401</v>
      </c>
      <c r="C2302" s="36" t="s">
        <v>6402</v>
      </c>
      <c r="D2302" s="35" t="s">
        <v>6403</v>
      </c>
      <c r="E2302" s="35" t="s">
        <v>12723</v>
      </c>
      <c r="F2302" s="35" t="s">
        <v>12483</v>
      </c>
      <c r="G2302" s="35">
        <v>351802</v>
      </c>
      <c r="H2302" s="35">
        <v>390090</v>
      </c>
      <c r="I2302" s="35">
        <v>200020</v>
      </c>
      <c r="J2302" s="34" t="s">
        <v>932</v>
      </c>
      <c r="K2302" s="34" t="str">
        <f t="shared" si="73"/>
        <v>不重复</v>
      </c>
      <c r="L2302" s="34" t="str">
        <f t="shared" si="74"/>
        <v>不重复</v>
      </c>
    </row>
    <row r="2303" spans="1:12" ht="27">
      <c r="A2303" s="35" t="s">
        <v>12726</v>
      </c>
      <c r="B2303" s="35" t="s">
        <v>6404</v>
      </c>
      <c r="C2303" s="36" t="s">
        <v>6405</v>
      </c>
      <c r="D2303" s="35" t="s">
        <v>6406</v>
      </c>
      <c r="E2303" s="35" t="s">
        <v>12723</v>
      </c>
      <c r="F2303" s="35" t="s">
        <v>12483</v>
      </c>
      <c r="G2303" s="35">
        <v>351803</v>
      </c>
      <c r="H2303" s="35">
        <v>390090</v>
      </c>
      <c r="I2303" s="35">
        <v>200020</v>
      </c>
      <c r="J2303" s="34" t="s">
        <v>6407</v>
      </c>
      <c r="K2303" s="34" t="str">
        <f t="shared" si="73"/>
        <v>不重复</v>
      </c>
      <c r="L2303" s="34" t="str">
        <f t="shared" si="74"/>
        <v>不重复</v>
      </c>
    </row>
    <row r="2304" spans="1:12" ht="30">
      <c r="A2304" s="35" t="s">
        <v>12727</v>
      </c>
      <c r="B2304" s="35" t="s">
        <v>6408</v>
      </c>
      <c r="C2304" s="36" t="s">
        <v>6409</v>
      </c>
      <c r="D2304" s="35" t="s">
        <v>6410</v>
      </c>
      <c r="E2304" s="35" t="s">
        <v>12723</v>
      </c>
      <c r="F2304" s="35" t="s">
        <v>12483</v>
      </c>
      <c r="G2304" s="35">
        <v>351804</v>
      </c>
      <c r="H2304" s="35">
        <v>390090</v>
      </c>
      <c r="I2304" s="35">
        <v>200020</v>
      </c>
      <c r="J2304" s="34" t="s">
        <v>5329</v>
      </c>
      <c r="K2304" s="34" t="str">
        <f t="shared" si="73"/>
        <v>不重复</v>
      </c>
      <c r="L2304" s="34" t="str">
        <f t="shared" si="74"/>
        <v>重复</v>
      </c>
    </row>
    <row r="2305" spans="1:12" ht="30">
      <c r="A2305" s="35" t="s">
        <v>12728</v>
      </c>
      <c r="B2305" s="35" t="s">
        <v>6411</v>
      </c>
      <c r="C2305" s="36" t="s">
        <v>6412</v>
      </c>
      <c r="D2305" s="35" t="s">
        <v>6413</v>
      </c>
      <c r="E2305" s="35" t="s">
        <v>12723</v>
      </c>
      <c r="F2305" s="35" t="s">
        <v>12483</v>
      </c>
      <c r="G2305" s="35">
        <v>351805</v>
      </c>
      <c r="H2305" s="35">
        <v>390090</v>
      </c>
      <c r="I2305" s="35">
        <v>200020</v>
      </c>
      <c r="J2305" s="34" t="s">
        <v>6414</v>
      </c>
      <c r="K2305" s="34" t="str">
        <f t="shared" si="73"/>
        <v>不重复</v>
      </c>
      <c r="L2305" s="34" t="str">
        <f t="shared" si="74"/>
        <v>不重复</v>
      </c>
    </row>
    <row r="2306" spans="1:12" ht="27">
      <c r="A2306" s="35" t="s">
        <v>12729</v>
      </c>
      <c r="B2306" s="35" t="s">
        <v>6415</v>
      </c>
      <c r="C2306" s="36" t="s">
        <v>6416</v>
      </c>
      <c r="D2306" s="35" t="s">
        <v>6417</v>
      </c>
      <c r="E2306" s="35" t="s">
        <v>12723</v>
      </c>
      <c r="F2306" s="35" t="s">
        <v>12483</v>
      </c>
      <c r="G2306" s="35">
        <v>351806</v>
      </c>
      <c r="H2306" s="35">
        <v>390090</v>
      </c>
      <c r="I2306" s="35">
        <v>200020</v>
      </c>
      <c r="J2306" s="34" t="s">
        <v>288</v>
      </c>
      <c r="K2306" s="34" t="str">
        <f t="shared" si="73"/>
        <v>不重复</v>
      </c>
      <c r="L2306" s="34" t="str">
        <f t="shared" si="74"/>
        <v>不重复</v>
      </c>
    </row>
    <row r="2307" spans="1:12" ht="27">
      <c r="A2307" s="35" t="s">
        <v>12730</v>
      </c>
      <c r="B2307" s="35" t="s">
        <v>6418</v>
      </c>
      <c r="C2307" s="36" t="s">
        <v>6419</v>
      </c>
      <c r="D2307" s="35" t="s">
        <v>5076</v>
      </c>
      <c r="E2307" s="35" t="s">
        <v>12723</v>
      </c>
      <c r="F2307" s="35" t="s">
        <v>12483</v>
      </c>
      <c r="G2307" s="35">
        <v>351807</v>
      </c>
      <c r="H2307" s="35">
        <v>390090</v>
      </c>
      <c r="I2307" s="35">
        <v>200020</v>
      </c>
      <c r="J2307" s="34" t="s">
        <v>1040</v>
      </c>
      <c r="K2307" s="34" t="str">
        <f t="shared" si="73"/>
        <v>不重复</v>
      </c>
      <c r="L2307" s="34" t="str">
        <f t="shared" si="74"/>
        <v>重复</v>
      </c>
    </row>
    <row r="2308" spans="1:12" ht="15">
      <c r="A2308" s="35" t="s">
        <v>12731</v>
      </c>
      <c r="B2308" s="35" t="s">
        <v>6420</v>
      </c>
      <c r="C2308" s="36" t="s">
        <v>6421</v>
      </c>
      <c r="D2308" s="35" t="s">
        <v>74</v>
      </c>
      <c r="E2308" s="35" t="s">
        <v>12731</v>
      </c>
      <c r="F2308" s="35" t="s">
        <v>12483</v>
      </c>
      <c r="G2308" s="35">
        <v>351900</v>
      </c>
      <c r="H2308" s="35">
        <v>390100</v>
      </c>
      <c r="I2308" s="35">
        <v>200020</v>
      </c>
      <c r="J2308" s="34" t="s">
        <v>16</v>
      </c>
      <c r="K2308" s="34" t="str">
        <f t="shared" si="73"/>
        <v>不重复</v>
      </c>
      <c r="L2308" s="34" t="str">
        <f t="shared" si="74"/>
        <v>重复</v>
      </c>
    </row>
    <row r="2309" spans="1:12" ht="15">
      <c r="A2309" s="35" t="s">
        <v>12732</v>
      </c>
      <c r="B2309" s="35" t="s">
        <v>6422</v>
      </c>
      <c r="C2309" s="36" t="s">
        <v>6423</v>
      </c>
      <c r="D2309" s="35" t="s">
        <v>6424</v>
      </c>
      <c r="E2309" s="35" t="s">
        <v>12731</v>
      </c>
      <c r="F2309" s="35" t="s">
        <v>12483</v>
      </c>
      <c r="G2309" s="35">
        <v>351901</v>
      </c>
      <c r="H2309" s="35">
        <v>390100</v>
      </c>
      <c r="I2309" s="35">
        <v>200020</v>
      </c>
      <c r="J2309" s="34"/>
      <c r="K2309" s="34" t="str">
        <f t="shared" si="73"/>
        <v>不重复</v>
      </c>
      <c r="L2309" s="34" t="str">
        <f t="shared" si="74"/>
        <v>不重复</v>
      </c>
    </row>
    <row r="2310" spans="1:12" ht="15">
      <c r="A2310" s="35" t="s">
        <v>12733</v>
      </c>
      <c r="B2310" s="35" t="s">
        <v>6425</v>
      </c>
      <c r="C2310" s="36" t="s">
        <v>2201</v>
      </c>
      <c r="D2310" s="35" t="s">
        <v>6426</v>
      </c>
      <c r="E2310" s="35" t="s">
        <v>12731</v>
      </c>
      <c r="F2310" s="35" t="s">
        <v>12483</v>
      </c>
      <c r="G2310" s="35">
        <v>351901</v>
      </c>
      <c r="H2310" s="35">
        <v>390100</v>
      </c>
      <c r="I2310" s="35">
        <v>200020</v>
      </c>
      <c r="J2310" s="34" t="s">
        <v>985</v>
      </c>
      <c r="K2310" s="34" t="str">
        <f t="shared" si="73"/>
        <v>重复</v>
      </c>
      <c r="L2310" s="34" t="str">
        <f t="shared" si="74"/>
        <v>不重复</v>
      </c>
    </row>
    <row r="2311" spans="1:12" ht="15">
      <c r="A2311" s="35" t="s">
        <v>12734</v>
      </c>
      <c r="B2311" s="35" t="s">
        <v>6427</v>
      </c>
      <c r="C2311" s="36" t="s">
        <v>106</v>
      </c>
      <c r="D2311" s="35" t="s">
        <v>6428</v>
      </c>
      <c r="E2311" s="35" t="s">
        <v>12731</v>
      </c>
      <c r="F2311" s="35" t="s">
        <v>12483</v>
      </c>
      <c r="G2311" s="35">
        <v>351902</v>
      </c>
      <c r="H2311" s="35">
        <v>390100</v>
      </c>
      <c r="I2311" s="35">
        <v>200020</v>
      </c>
      <c r="J2311" s="34" t="s">
        <v>302</v>
      </c>
      <c r="K2311" s="34" t="str">
        <f t="shared" si="73"/>
        <v>重复</v>
      </c>
      <c r="L2311" s="34" t="str">
        <f t="shared" si="74"/>
        <v>不重复</v>
      </c>
    </row>
    <row r="2312" spans="1:12" ht="15">
      <c r="A2312" s="35" t="s">
        <v>12735</v>
      </c>
      <c r="B2312" s="35" t="s">
        <v>6429</v>
      </c>
      <c r="C2312" s="36" t="s">
        <v>6430</v>
      </c>
      <c r="D2312" s="35" t="s">
        <v>6431</v>
      </c>
      <c r="E2312" s="35" t="s">
        <v>12731</v>
      </c>
      <c r="F2312" s="35" t="s">
        <v>12483</v>
      </c>
      <c r="G2312" s="35">
        <v>351903</v>
      </c>
      <c r="H2312" s="35">
        <v>390100</v>
      </c>
      <c r="I2312" s="35">
        <v>200020</v>
      </c>
      <c r="J2312" s="34" t="s">
        <v>668</v>
      </c>
      <c r="K2312" s="34" t="str">
        <f t="shared" si="73"/>
        <v>不重复</v>
      </c>
      <c r="L2312" s="34" t="str">
        <f t="shared" si="74"/>
        <v>不重复</v>
      </c>
    </row>
    <row r="2313" spans="1:12" ht="15">
      <c r="A2313" s="35" t="s">
        <v>12736</v>
      </c>
      <c r="B2313" s="35" t="s">
        <v>6432</v>
      </c>
      <c r="C2313" s="36" t="s">
        <v>6433</v>
      </c>
      <c r="D2313" s="35" t="s">
        <v>6434</v>
      </c>
      <c r="E2313" s="35" t="s">
        <v>12731</v>
      </c>
      <c r="F2313" s="35" t="s">
        <v>12483</v>
      </c>
      <c r="G2313" s="35">
        <v>351903</v>
      </c>
      <c r="H2313" s="35">
        <v>390100</v>
      </c>
      <c r="I2313" s="35">
        <v>200020</v>
      </c>
      <c r="J2313" s="34"/>
      <c r="K2313" s="34" t="str">
        <f t="shared" si="73"/>
        <v>不重复</v>
      </c>
      <c r="L2313" s="34" t="str">
        <f t="shared" si="74"/>
        <v>重复</v>
      </c>
    </row>
    <row r="2314" spans="1:12" ht="15">
      <c r="A2314" s="35" t="s">
        <v>12737</v>
      </c>
      <c r="B2314" s="35" t="s">
        <v>6435</v>
      </c>
      <c r="C2314" s="36" t="s">
        <v>6436</v>
      </c>
      <c r="D2314" s="35" t="s">
        <v>77</v>
      </c>
      <c r="E2314" s="35" t="s">
        <v>12731</v>
      </c>
      <c r="F2314" s="35" t="s">
        <v>12483</v>
      </c>
      <c r="G2314" s="35">
        <v>351904</v>
      </c>
      <c r="H2314" s="35">
        <v>390100</v>
      </c>
      <c r="I2314" s="35">
        <v>200020</v>
      </c>
      <c r="J2314" s="34" t="s">
        <v>688</v>
      </c>
      <c r="K2314" s="34" t="str">
        <f t="shared" si="73"/>
        <v>不重复</v>
      </c>
      <c r="L2314" s="34" t="str">
        <f t="shared" si="74"/>
        <v>重复</v>
      </c>
    </row>
    <row r="2315" spans="1:12" ht="15">
      <c r="A2315" s="35" t="s">
        <v>12738</v>
      </c>
      <c r="B2315" s="35" t="s">
        <v>6437</v>
      </c>
      <c r="C2315" s="36" t="s">
        <v>395</v>
      </c>
      <c r="D2315" s="35" t="s">
        <v>6438</v>
      </c>
      <c r="E2315" s="35" t="s">
        <v>12731</v>
      </c>
      <c r="F2315" s="35" t="s">
        <v>12483</v>
      </c>
      <c r="G2315" s="35">
        <v>351905</v>
      </c>
      <c r="H2315" s="35">
        <v>390100</v>
      </c>
      <c r="I2315" s="35">
        <v>200020</v>
      </c>
      <c r="J2315" s="34" t="s">
        <v>6439</v>
      </c>
      <c r="K2315" s="34" t="str">
        <f t="shared" si="73"/>
        <v>重复</v>
      </c>
      <c r="L2315" s="34" t="str">
        <f t="shared" si="74"/>
        <v>不重复</v>
      </c>
    </row>
    <row r="2316" spans="1:12" ht="27">
      <c r="A2316" s="35" t="s">
        <v>12739</v>
      </c>
      <c r="B2316" s="35" t="s">
        <v>6440</v>
      </c>
      <c r="C2316" s="36" t="s">
        <v>640</v>
      </c>
      <c r="D2316" s="35" t="s">
        <v>6441</v>
      </c>
      <c r="E2316" s="35" t="s">
        <v>12731</v>
      </c>
      <c r="F2316" s="35" t="s">
        <v>12483</v>
      </c>
      <c r="G2316" s="35">
        <v>351906</v>
      </c>
      <c r="H2316" s="35">
        <v>390100</v>
      </c>
      <c r="I2316" s="35">
        <v>200020</v>
      </c>
      <c r="J2316" s="34" t="s">
        <v>878</v>
      </c>
      <c r="K2316" s="34" t="str">
        <f t="shared" si="75" ref="K2316:K2379">IF(COUNTIF(C:C,C2316)&gt;=2,"重复","不重复")</f>
        <v>重复</v>
      </c>
      <c r="L2316" s="34" t="str">
        <f t="shared" si="76" ref="L2316:L2379">IF(COUNTIF(D:D,D2316)&gt;=2,"重复","不重复")</f>
        <v>不重复</v>
      </c>
    </row>
    <row r="2317" spans="1:12" ht="30">
      <c r="A2317" s="35" t="s">
        <v>12740</v>
      </c>
      <c r="B2317" s="35" t="s">
        <v>6442</v>
      </c>
      <c r="C2317" s="36" t="s">
        <v>6443</v>
      </c>
      <c r="D2317" s="35" t="s">
        <v>6444</v>
      </c>
      <c r="E2317" s="35" t="s">
        <v>12731</v>
      </c>
      <c r="F2317" s="35" t="s">
        <v>12483</v>
      </c>
      <c r="G2317" s="35">
        <v>351907</v>
      </c>
      <c r="H2317" s="35">
        <v>390100</v>
      </c>
      <c r="I2317" s="35">
        <v>200020</v>
      </c>
      <c r="J2317" s="34" t="s">
        <v>1937</v>
      </c>
      <c r="K2317" s="34" t="str">
        <f t="shared" si="75"/>
        <v>重复</v>
      </c>
      <c r="L2317" s="34" t="str">
        <f t="shared" si="76"/>
        <v>不重复</v>
      </c>
    </row>
    <row r="2318" spans="1:12" ht="15">
      <c r="A2318" s="35" t="s">
        <v>12741</v>
      </c>
      <c r="B2318" s="35" t="s">
        <v>6445</v>
      </c>
      <c r="C2318" s="36" t="s">
        <v>6446</v>
      </c>
      <c r="D2318" s="35" t="s">
        <v>6447</v>
      </c>
      <c r="E2318" s="35" t="s">
        <v>12731</v>
      </c>
      <c r="F2318" s="35" t="s">
        <v>12483</v>
      </c>
      <c r="G2318" s="35">
        <v>351908</v>
      </c>
      <c r="H2318" s="35">
        <v>390100</v>
      </c>
      <c r="I2318" s="35">
        <v>200020</v>
      </c>
      <c r="J2318" s="34" t="s">
        <v>1248</v>
      </c>
      <c r="K2318" s="34" t="str">
        <f t="shared" si="75"/>
        <v>不重复</v>
      </c>
      <c r="L2318" s="34" t="str">
        <f t="shared" si="76"/>
        <v>不重复</v>
      </c>
    </row>
    <row r="2319" spans="1:12" ht="27">
      <c r="A2319" s="35" t="s">
        <v>12742</v>
      </c>
      <c r="B2319" s="35" t="s">
        <v>6448</v>
      </c>
      <c r="C2319" s="36" t="s">
        <v>6449</v>
      </c>
      <c r="D2319" s="35" t="s">
        <v>6450</v>
      </c>
      <c r="E2319" s="35" t="s">
        <v>12731</v>
      </c>
      <c r="F2319" s="35" t="s">
        <v>12483</v>
      </c>
      <c r="G2319" s="35">
        <v>351909</v>
      </c>
      <c r="H2319" s="35">
        <v>390100</v>
      </c>
      <c r="I2319" s="35">
        <v>200020</v>
      </c>
      <c r="J2319" s="34" t="s">
        <v>363</v>
      </c>
      <c r="K2319" s="34" t="str">
        <f t="shared" si="75"/>
        <v>不重复</v>
      </c>
      <c r="L2319" s="34" t="str">
        <f t="shared" si="76"/>
        <v>不重复</v>
      </c>
    </row>
    <row r="2320" spans="1:12" ht="15">
      <c r="A2320" s="35" t="s">
        <v>12743</v>
      </c>
      <c r="B2320" s="35" t="s">
        <v>6451</v>
      </c>
      <c r="C2320" s="36" t="s">
        <v>1650</v>
      </c>
      <c r="D2320" s="35" t="s">
        <v>6452</v>
      </c>
      <c r="E2320" s="35" t="s">
        <v>12731</v>
      </c>
      <c r="F2320" s="35" t="s">
        <v>12483</v>
      </c>
      <c r="G2320" s="35">
        <v>351910</v>
      </c>
      <c r="H2320" s="35">
        <v>390100</v>
      </c>
      <c r="I2320" s="35">
        <v>200020</v>
      </c>
      <c r="J2320" s="34" t="s">
        <v>688</v>
      </c>
      <c r="K2320" s="34" t="str">
        <f t="shared" si="75"/>
        <v>重复</v>
      </c>
      <c r="L2320" s="34" t="str">
        <f t="shared" si="76"/>
        <v>不重复</v>
      </c>
    </row>
    <row r="2321" spans="1:12" ht="15">
      <c r="A2321" s="35" t="s">
        <v>12744</v>
      </c>
      <c r="B2321" s="35" t="s">
        <v>6453</v>
      </c>
      <c r="C2321" s="36" t="s">
        <v>6454</v>
      </c>
      <c r="D2321" s="35" t="s">
        <v>6455</v>
      </c>
      <c r="E2321" s="35" t="s">
        <v>12731</v>
      </c>
      <c r="F2321" s="35" t="s">
        <v>12483</v>
      </c>
      <c r="G2321" s="35">
        <v>351911</v>
      </c>
      <c r="H2321" s="35">
        <v>390100</v>
      </c>
      <c r="I2321" s="35">
        <v>200020</v>
      </c>
      <c r="J2321" s="34" t="s">
        <v>1103</v>
      </c>
      <c r="K2321" s="34" t="str">
        <f t="shared" si="75"/>
        <v>不重复</v>
      </c>
      <c r="L2321" s="34" t="str">
        <f t="shared" si="76"/>
        <v>不重复</v>
      </c>
    </row>
    <row r="2322" spans="1:12" ht="15">
      <c r="A2322" s="35" t="s">
        <v>12745</v>
      </c>
      <c r="B2322" s="35" t="s">
        <v>6456</v>
      </c>
      <c r="C2322" s="36" t="s">
        <v>6457</v>
      </c>
      <c r="D2322" s="35" t="s">
        <v>6458</v>
      </c>
      <c r="E2322" s="35" t="s">
        <v>12731</v>
      </c>
      <c r="F2322" s="35" t="s">
        <v>12483</v>
      </c>
      <c r="G2322" s="35">
        <v>351912</v>
      </c>
      <c r="H2322" s="35">
        <v>390100</v>
      </c>
      <c r="I2322" s="35">
        <v>200020</v>
      </c>
      <c r="J2322" s="34" t="s">
        <v>688</v>
      </c>
      <c r="K2322" s="34" t="str">
        <f t="shared" si="75"/>
        <v>不重复</v>
      </c>
      <c r="L2322" s="34" t="str">
        <f t="shared" si="76"/>
        <v>不重复</v>
      </c>
    </row>
    <row r="2323" spans="1:12" ht="15">
      <c r="A2323" s="35" t="s">
        <v>12746</v>
      </c>
      <c r="B2323" s="35" t="s">
        <v>6459</v>
      </c>
      <c r="C2323" s="36" t="s">
        <v>2057</v>
      </c>
      <c r="D2323" s="35" t="s">
        <v>6460</v>
      </c>
      <c r="E2323" s="35" t="s">
        <v>12731</v>
      </c>
      <c r="F2323" s="35" t="s">
        <v>12483</v>
      </c>
      <c r="G2323" s="35">
        <v>351913</v>
      </c>
      <c r="H2323" s="35">
        <v>390100</v>
      </c>
      <c r="I2323" s="35">
        <v>200020</v>
      </c>
      <c r="J2323" s="34" t="s">
        <v>386</v>
      </c>
      <c r="K2323" s="34" t="str">
        <f t="shared" si="75"/>
        <v>重复</v>
      </c>
      <c r="L2323" s="34" t="str">
        <f t="shared" si="76"/>
        <v>重复</v>
      </c>
    </row>
    <row r="2324" spans="1:12" ht="27">
      <c r="A2324" s="35" t="s">
        <v>12747</v>
      </c>
      <c r="B2324" s="35" t="s">
        <v>6461</v>
      </c>
      <c r="C2324" s="36" t="s">
        <v>6462</v>
      </c>
      <c r="D2324" s="35" t="s">
        <v>6460</v>
      </c>
      <c r="E2324" s="35" t="s">
        <v>12731</v>
      </c>
      <c r="F2324" s="35" t="s">
        <v>12483</v>
      </c>
      <c r="G2324" s="35">
        <v>351914</v>
      </c>
      <c r="H2324" s="35">
        <v>390100</v>
      </c>
      <c r="I2324" s="35">
        <v>200020</v>
      </c>
      <c r="J2324" s="34" t="s">
        <v>6463</v>
      </c>
      <c r="K2324" s="34" t="str">
        <f t="shared" si="75"/>
        <v>重复</v>
      </c>
      <c r="L2324" s="34" t="str">
        <f t="shared" si="76"/>
        <v>重复</v>
      </c>
    </row>
    <row r="2325" spans="1:12" ht="15">
      <c r="A2325" s="35" t="s">
        <v>12748</v>
      </c>
      <c r="B2325" s="35" t="s">
        <v>6464</v>
      </c>
      <c r="C2325" s="36" t="s">
        <v>6465</v>
      </c>
      <c r="D2325" s="35" t="s">
        <v>6466</v>
      </c>
      <c r="E2325" s="35" t="s">
        <v>12731</v>
      </c>
      <c r="F2325" s="35" t="s">
        <v>12483</v>
      </c>
      <c r="G2325" s="35">
        <v>351915</v>
      </c>
      <c r="H2325" s="35">
        <v>390100</v>
      </c>
      <c r="I2325" s="35">
        <v>200020</v>
      </c>
      <c r="J2325" s="34" t="s">
        <v>89</v>
      </c>
      <c r="K2325" s="34" t="str">
        <f t="shared" si="75"/>
        <v>不重复</v>
      </c>
      <c r="L2325" s="34" t="str">
        <f t="shared" si="76"/>
        <v>不重复</v>
      </c>
    </row>
    <row r="2326" spans="1:12" ht="15">
      <c r="A2326" s="35" t="s">
        <v>12749</v>
      </c>
      <c r="B2326" s="35" t="s">
        <v>6467</v>
      </c>
      <c r="C2326" s="36" t="s">
        <v>5746</v>
      </c>
      <c r="D2326" s="35" t="s">
        <v>6468</v>
      </c>
      <c r="E2326" s="35" t="s">
        <v>12731</v>
      </c>
      <c r="F2326" s="35" t="s">
        <v>12483</v>
      </c>
      <c r="G2326" s="35">
        <v>351916</v>
      </c>
      <c r="H2326" s="35">
        <v>390100</v>
      </c>
      <c r="I2326" s="35">
        <v>200020</v>
      </c>
      <c r="J2326" s="34" t="s">
        <v>688</v>
      </c>
      <c r="K2326" s="34" t="str">
        <f t="shared" si="75"/>
        <v>重复</v>
      </c>
      <c r="L2326" s="34" t="str">
        <f t="shared" si="76"/>
        <v>不重复</v>
      </c>
    </row>
    <row r="2327" spans="1:12" ht="15">
      <c r="A2327" s="35" t="s">
        <v>12750</v>
      </c>
      <c r="B2327" s="35" t="s">
        <v>6469</v>
      </c>
      <c r="C2327" s="36" t="s">
        <v>2752</v>
      </c>
      <c r="D2327" s="35" t="s">
        <v>6470</v>
      </c>
      <c r="E2327" s="35" t="s">
        <v>12731</v>
      </c>
      <c r="F2327" s="35" t="s">
        <v>12483</v>
      </c>
      <c r="G2327" s="35">
        <v>351917</v>
      </c>
      <c r="H2327" s="35">
        <v>390100</v>
      </c>
      <c r="I2327" s="35">
        <v>200020</v>
      </c>
      <c r="J2327" s="34" t="s">
        <v>6471</v>
      </c>
      <c r="K2327" s="34" t="str">
        <f t="shared" si="75"/>
        <v>重复</v>
      </c>
      <c r="L2327" s="34" t="str">
        <f t="shared" si="76"/>
        <v>不重复</v>
      </c>
    </row>
    <row r="2328" spans="1:12" ht="15">
      <c r="A2328" s="35" t="s">
        <v>12751</v>
      </c>
      <c r="B2328" s="35" t="s">
        <v>6472</v>
      </c>
      <c r="C2328" s="36" t="s">
        <v>6473</v>
      </c>
      <c r="D2328" s="35" t="s">
        <v>5314</v>
      </c>
      <c r="E2328" s="35" t="s">
        <v>12731</v>
      </c>
      <c r="F2328" s="35" t="s">
        <v>12483</v>
      </c>
      <c r="G2328" s="35">
        <v>351918</v>
      </c>
      <c r="H2328" s="35">
        <v>390100</v>
      </c>
      <c r="I2328" s="35">
        <v>200020</v>
      </c>
      <c r="J2328" s="34" t="s">
        <v>878</v>
      </c>
      <c r="K2328" s="34" t="str">
        <f t="shared" si="75"/>
        <v>重复</v>
      </c>
      <c r="L2328" s="34" t="str">
        <f t="shared" si="76"/>
        <v>重复</v>
      </c>
    </row>
    <row r="2329" spans="1:12" ht="15">
      <c r="A2329" s="35" t="s">
        <v>12752</v>
      </c>
      <c r="B2329" s="35" t="s">
        <v>6474</v>
      </c>
      <c r="C2329" s="36" t="s">
        <v>6475</v>
      </c>
      <c r="D2329" s="35" t="s">
        <v>5305</v>
      </c>
      <c r="E2329" s="35" t="s">
        <v>12731</v>
      </c>
      <c r="F2329" s="35" t="s">
        <v>12483</v>
      </c>
      <c r="G2329" s="35">
        <v>351919</v>
      </c>
      <c r="H2329" s="35">
        <v>390100</v>
      </c>
      <c r="I2329" s="35">
        <v>200020</v>
      </c>
      <c r="J2329" s="34" t="s">
        <v>337</v>
      </c>
      <c r="K2329" s="34" t="str">
        <f t="shared" si="75"/>
        <v>不重复</v>
      </c>
      <c r="L2329" s="34" t="str">
        <f t="shared" si="76"/>
        <v>重复</v>
      </c>
    </row>
    <row r="2330" spans="1:12" ht="15">
      <c r="A2330" s="35" t="s">
        <v>12753</v>
      </c>
      <c r="B2330" s="35" t="s">
        <v>6476</v>
      </c>
      <c r="C2330" s="36" t="s">
        <v>617</v>
      </c>
      <c r="D2330" s="35" t="s">
        <v>340</v>
      </c>
      <c r="E2330" s="35" t="s">
        <v>12731</v>
      </c>
      <c r="F2330" s="35" t="s">
        <v>12483</v>
      </c>
      <c r="G2330" s="35">
        <v>351920</v>
      </c>
      <c r="H2330" s="35">
        <v>390100</v>
      </c>
      <c r="I2330" s="35">
        <v>200020</v>
      </c>
      <c r="J2330" s="34" t="s">
        <v>363</v>
      </c>
      <c r="K2330" s="34" t="str">
        <f t="shared" si="75"/>
        <v>重复</v>
      </c>
      <c r="L2330" s="34" t="str">
        <f t="shared" si="76"/>
        <v>重复</v>
      </c>
    </row>
    <row r="2331" spans="1:12" ht="27">
      <c r="A2331" s="35" t="s">
        <v>12754</v>
      </c>
      <c r="B2331" s="35" t="s">
        <v>6477</v>
      </c>
      <c r="C2331" s="36" t="s">
        <v>6478</v>
      </c>
      <c r="D2331" s="35" t="s">
        <v>340</v>
      </c>
      <c r="E2331" s="35" t="s">
        <v>12731</v>
      </c>
      <c r="F2331" s="35" t="s">
        <v>12483</v>
      </c>
      <c r="G2331" s="35">
        <v>351921</v>
      </c>
      <c r="H2331" s="35">
        <v>390100</v>
      </c>
      <c r="I2331" s="35">
        <v>200020</v>
      </c>
      <c r="J2331" s="34" t="s">
        <v>668</v>
      </c>
      <c r="K2331" s="34" t="str">
        <f t="shared" si="75"/>
        <v>重复</v>
      </c>
      <c r="L2331" s="34" t="str">
        <f t="shared" si="76"/>
        <v>重复</v>
      </c>
    </row>
    <row r="2332" spans="1:12" ht="15">
      <c r="A2332" s="35" t="s">
        <v>12755</v>
      </c>
      <c r="B2332" s="35" t="s">
        <v>6479</v>
      </c>
      <c r="C2332" s="36" t="s">
        <v>993</v>
      </c>
      <c r="D2332" s="35" t="s">
        <v>340</v>
      </c>
      <c r="E2332" s="35" t="s">
        <v>12731</v>
      </c>
      <c r="F2332" s="35" t="s">
        <v>12483</v>
      </c>
      <c r="G2332" s="35">
        <v>351922</v>
      </c>
      <c r="H2332" s="35">
        <v>390100</v>
      </c>
      <c r="I2332" s="35">
        <v>200020</v>
      </c>
      <c r="J2332" s="34" t="s">
        <v>363</v>
      </c>
      <c r="K2332" s="34" t="str">
        <f t="shared" si="75"/>
        <v>重复</v>
      </c>
      <c r="L2332" s="34" t="str">
        <f t="shared" si="76"/>
        <v>重复</v>
      </c>
    </row>
    <row r="2333" spans="1:12" ht="15">
      <c r="A2333" s="35" t="s">
        <v>12756</v>
      </c>
      <c r="B2333" s="35" t="s">
        <v>6480</v>
      </c>
      <c r="C2333" s="36" t="s">
        <v>4801</v>
      </c>
      <c r="D2333" s="35" t="s">
        <v>340</v>
      </c>
      <c r="E2333" s="35" t="s">
        <v>12731</v>
      </c>
      <c r="F2333" s="35" t="s">
        <v>12483</v>
      </c>
      <c r="G2333" s="35">
        <v>351923</v>
      </c>
      <c r="H2333" s="35">
        <v>390100</v>
      </c>
      <c r="I2333" s="35">
        <v>200020</v>
      </c>
      <c r="J2333" s="34" t="s">
        <v>878</v>
      </c>
      <c r="K2333" s="34" t="str">
        <f t="shared" si="75"/>
        <v>重复</v>
      </c>
      <c r="L2333" s="34" t="str">
        <f t="shared" si="76"/>
        <v>重复</v>
      </c>
    </row>
    <row r="2334" spans="1:12" ht="15">
      <c r="A2334" s="35" t="s">
        <v>12757</v>
      </c>
      <c r="B2334" s="35" t="s">
        <v>6481</v>
      </c>
      <c r="C2334" s="36" t="s">
        <v>5035</v>
      </c>
      <c r="D2334" s="35" t="s">
        <v>346</v>
      </c>
      <c r="E2334" s="35" t="s">
        <v>12731</v>
      </c>
      <c r="F2334" s="35" t="s">
        <v>12483</v>
      </c>
      <c r="G2334" s="35">
        <v>351924</v>
      </c>
      <c r="H2334" s="35">
        <v>390100</v>
      </c>
      <c r="I2334" s="35">
        <v>200020</v>
      </c>
      <c r="J2334" s="34" t="s">
        <v>878</v>
      </c>
      <c r="K2334" s="34" t="str">
        <f t="shared" si="75"/>
        <v>重复</v>
      </c>
      <c r="L2334" s="34" t="str">
        <f t="shared" si="76"/>
        <v>重复</v>
      </c>
    </row>
    <row r="2335" spans="1:12" ht="27">
      <c r="A2335" s="35" t="s">
        <v>12758</v>
      </c>
      <c r="B2335" s="35" t="s">
        <v>6482</v>
      </c>
      <c r="C2335" s="36" t="s">
        <v>6483</v>
      </c>
      <c r="D2335" s="35" t="s">
        <v>356</v>
      </c>
      <c r="E2335" s="35" t="s">
        <v>12731</v>
      </c>
      <c r="F2335" s="35" t="s">
        <v>12483</v>
      </c>
      <c r="G2335" s="35">
        <v>351925</v>
      </c>
      <c r="H2335" s="35">
        <v>390100</v>
      </c>
      <c r="I2335" s="35">
        <v>200020</v>
      </c>
      <c r="J2335" s="34" t="s">
        <v>6484</v>
      </c>
      <c r="K2335" s="34" t="str">
        <f t="shared" si="75"/>
        <v>不重复</v>
      </c>
      <c r="L2335" s="34" t="str">
        <f t="shared" si="76"/>
        <v>重复</v>
      </c>
    </row>
    <row r="2336" spans="1:12" ht="15">
      <c r="A2336" s="35" t="s">
        <v>12759</v>
      </c>
      <c r="B2336" s="35" t="s">
        <v>6485</v>
      </c>
      <c r="C2336" s="36" t="s">
        <v>2455</v>
      </c>
      <c r="D2336" s="35" t="s">
        <v>6486</v>
      </c>
      <c r="E2336" s="35" t="s">
        <v>12731</v>
      </c>
      <c r="F2336" s="35" t="s">
        <v>12483</v>
      </c>
      <c r="G2336" s="35">
        <v>351926</v>
      </c>
      <c r="H2336" s="35">
        <v>390100</v>
      </c>
      <c r="I2336" s="35">
        <v>200020</v>
      </c>
      <c r="J2336" s="34" t="s">
        <v>5041</v>
      </c>
      <c r="K2336" s="34" t="str">
        <f t="shared" si="75"/>
        <v>重复</v>
      </c>
      <c r="L2336" s="34" t="str">
        <f t="shared" si="76"/>
        <v>不重复</v>
      </c>
    </row>
    <row r="2337" spans="1:12" ht="15">
      <c r="A2337" s="35" t="s">
        <v>12760</v>
      </c>
      <c r="B2337" s="35" t="s">
        <v>6487</v>
      </c>
      <c r="C2337" s="36" t="s">
        <v>758</v>
      </c>
      <c r="D2337" s="35" t="s">
        <v>6488</v>
      </c>
      <c r="E2337" s="35" t="s">
        <v>12731</v>
      </c>
      <c r="F2337" s="35" t="s">
        <v>12483</v>
      </c>
      <c r="G2337" s="35">
        <v>351927</v>
      </c>
      <c r="H2337" s="35">
        <v>390100</v>
      </c>
      <c r="I2337" s="35">
        <v>200020</v>
      </c>
      <c r="J2337" s="34" t="s">
        <v>6471</v>
      </c>
      <c r="K2337" s="34" t="str">
        <f t="shared" si="75"/>
        <v>重复</v>
      </c>
      <c r="L2337" s="34" t="str">
        <f t="shared" si="76"/>
        <v>不重复</v>
      </c>
    </row>
    <row r="2338" spans="1:12" ht="15">
      <c r="A2338" s="35" t="s">
        <v>12761</v>
      </c>
      <c r="B2338" s="35" t="s">
        <v>6489</v>
      </c>
      <c r="C2338" s="36" t="s">
        <v>2485</v>
      </c>
      <c r="D2338" s="35" t="s">
        <v>5308</v>
      </c>
      <c r="E2338" s="35" t="s">
        <v>12731</v>
      </c>
      <c r="F2338" s="35" t="s">
        <v>12483</v>
      </c>
      <c r="G2338" s="35">
        <v>351928</v>
      </c>
      <c r="H2338" s="35">
        <v>390100</v>
      </c>
      <c r="I2338" s="35">
        <v>200020</v>
      </c>
      <c r="J2338" s="34" t="s">
        <v>6439</v>
      </c>
      <c r="K2338" s="34" t="str">
        <f t="shared" si="75"/>
        <v>重复</v>
      </c>
      <c r="L2338" s="34" t="str">
        <f t="shared" si="76"/>
        <v>重复</v>
      </c>
    </row>
    <row r="2339" spans="1:12" ht="15">
      <c r="A2339" s="35" t="s">
        <v>12762</v>
      </c>
      <c r="B2339" s="35" t="s">
        <v>6490</v>
      </c>
      <c r="C2339" s="36" t="s">
        <v>2136</v>
      </c>
      <c r="D2339" s="35" t="s">
        <v>6491</v>
      </c>
      <c r="E2339" s="35" t="s">
        <v>12731</v>
      </c>
      <c r="F2339" s="35" t="s">
        <v>12483</v>
      </c>
      <c r="G2339" s="35">
        <v>351929</v>
      </c>
      <c r="H2339" s="35">
        <v>390100</v>
      </c>
      <c r="I2339" s="35">
        <v>200020</v>
      </c>
      <c r="J2339" s="34" t="s">
        <v>6492</v>
      </c>
      <c r="K2339" s="34" t="str">
        <f t="shared" si="75"/>
        <v>重复</v>
      </c>
      <c r="L2339" s="34" t="str">
        <f t="shared" si="76"/>
        <v>不重复</v>
      </c>
    </row>
    <row r="2340" spans="1:12" ht="15">
      <c r="A2340" s="35" t="s">
        <v>12763</v>
      </c>
      <c r="B2340" s="35" t="s">
        <v>6493</v>
      </c>
      <c r="C2340" s="36" t="s">
        <v>6494</v>
      </c>
      <c r="D2340" s="35" t="s">
        <v>362</v>
      </c>
      <c r="E2340" s="35" t="s">
        <v>12731</v>
      </c>
      <c r="F2340" s="35" t="s">
        <v>12483</v>
      </c>
      <c r="G2340" s="35">
        <v>351930</v>
      </c>
      <c r="H2340" s="35">
        <v>390100</v>
      </c>
      <c r="I2340" s="35">
        <v>200020</v>
      </c>
      <c r="J2340" s="34" t="s">
        <v>363</v>
      </c>
      <c r="K2340" s="34" t="str">
        <f t="shared" si="75"/>
        <v>不重复</v>
      </c>
      <c r="L2340" s="34" t="str">
        <f t="shared" si="76"/>
        <v>重复</v>
      </c>
    </row>
    <row r="2341" spans="1:12" ht="15">
      <c r="A2341" s="35" t="s">
        <v>12764</v>
      </c>
      <c r="B2341" s="35" t="s">
        <v>6495</v>
      </c>
      <c r="C2341" s="36" t="s">
        <v>6496</v>
      </c>
      <c r="D2341" s="35" t="s">
        <v>362</v>
      </c>
      <c r="E2341" s="35" t="s">
        <v>12731</v>
      </c>
      <c r="F2341" s="35" t="s">
        <v>12483</v>
      </c>
      <c r="G2341" s="35">
        <v>351931</v>
      </c>
      <c r="H2341" s="35">
        <v>390100</v>
      </c>
      <c r="I2341" s="35">
        <v>200020</v>
      </c>
      <c r="J2341" s="34" t="s">
        <v>932</v>
      </c>
      <c r="K2341" s="34" t="str">
        <f t="shared" si="75"/>
        <v>不重复</v>
      </c>
      <c r="L2341" s="34" t="str">
        <f t="shared" si="76"/>
        <v>重复</v>
      </c>
    </row>
    <row r="2342" spans="1:12" ht="27">
      <c r="A2342" s="35" t="s">
        <v>12765</v>
      </c>
      <c r="B2342" s="35" t="s">
        <v>6497</v>
      </c>
      <c r="C2342" s="36" t="s">
        <v>6498</v>
      </c>
      <c r="D2342" s="35" t="s">
        <v>362</v>
      </c>
      <c r="E2342" s="35" t="s">
        <v>12731</v>
      </c>
      <c r="F2342" s="35" t="s">
        <v>12483</v>
      </c>
      <c r="G2342" s="35">
        <v>351932</v>
      </c>
      <c r="H2342" s="35">
        <v>390100</v>
      </c>
      <c r="I2342" s="35">
        <v>200020</v>
      </c>
      <c r="J2342" s="34" t="s">
        <v>347</v>
      </c>
      <c r="K2342" s="34" t="str">
        <f t="shared" si="75"/>
        <v>不重复</v>
      </c>
      <c r="L2342" s="34" t="str">
        <f t="shared" si="76"/>
        <v>重复</v>
      </c>
    </row>
    <row r="2343" spans="1:12" ht="15">
      <c r="A2343" s="35" t="s">
        <v>12766</v>
      </c>
      <c r="B2343" s="35" t="s">
        <v>6499</v>
      </c>
      <c r="C2343" s="36" t="s">
        <v>6500</v>
      </c>
      <c r="D2343" s="35" t="s">
        <v>6501</v>
      </c>
      <c r="E2343" s="35" t="s">
        <v>12731</v>
      </c>
      <c r="F2343" s="35" t="s">
        <v>12483</v>
      </c>
      <c r="G2343" s="35">
        <v>351933</v>
      </c>
      <c r="H2343" s="35">
        <v>390100</v>
      </c>
      <c r="I2343" s="35">
        <v>200020</v>
      </c>
      <c r="J2343" s="34" t="s">
        <v>6502</v>
      </c>
      <c r="K2343" s="34" t="str">
        <f t="shared" si="75"/>
        <v>不重复</v>
      </c>
      <c r="L2343" s="34" t="str">
        <f t="shared" si="76"/>
        <v>不重复</v>
      </c>
    </row>
    <row r="2344" spans="1:12" ht="15">
      <c r="A2344" s="35" t="s">
        <v>12767</v>
      </c>
      <c r="B2344" s="35" t="s">
        <v>6503</v>
      </c>
      <c r="C2344" s="36" t="s">
        <v>5749</v>
      </c>
      <c r="D2344" s="35" t="s">
        <v>6504</v>
      </c>
      <c r="E2344" s="35" t="s">
        <v>12731</v>
      </c>
      <c r="F2344" s="35" t="s">
        <v>12483</v>
      </c>
      <c r="G2344" s="35">
        <v>351934</v>
      </c>
      <c r="H2344" s="35">
        <v>390100</v>
      </c>
      <c r="I2344" s="35">
        <v>200020</v>
      </c>
      <c r="J2344" s="34" t="s">
        <v>688</v>
      </c>
      <c r="K2344" s="34" t="str">
        <f t="shared" si="75"/>
        <v>重复</v>
      </c>
      <c r="L2344" s="34" t="str">
        <f t="shared" si="76"/>
        <v>不重复</v>
      </c>
    </row>
    <row r="2345" spans="1:12" ht="15">
      <c r="A2345" s="35" t="s">
        <v>12768</v>
      </c>
      <c r="B2345" s="35" t="s">
        <v>6505</v>
      </c>
      <c r="C2345" s="36" t="s">
        <v>6506</v>
      </c>
      <c r="D2345" s="35" t="s">
        <v>6507</v>
      </c>
      <c r="E2345" s="35" t="s">
        <v>12731</v>
      </c>
      <c r="F2345" s="35" t="s">
        <v>12483</v>
      </c>
      <c r="G2345" s="35">
        <v>351935</v>
      </c>
      <c r="H2345" s="35">
        <v>390100</v>
      </c>
      <c r="I2345" s="35">
        <v>200020</v>
      </c>
      <c r="J2345" s="34" t="s">
        <v>1886</v>
      </c>
      <c r="K2345" s="34" t="str">
        <f t="shared" si="75"/>
        <v>不重复</v>
      </c>
      <c r="L2345" s="34" t="str">
        <f t="shared" si="76"/>
        <v>不重复</v>
      </c>
    </row>
    <row r="2346" spans="1:12" ht="15">
      <c r="A2346" s="35" t="s">
        <v>12769</v>
      </c>
      <c r="B2346" s="35" t="s">
        <v>6508</v>
      </c>
      <c r="C2346" s="36" t="s">
        <v>945</v>
      </c>
      <c r="D2346" s="35" t="s">
        <v>6509</v>
      </c>
      <c r="E2346" s="35" t="s">
        <v>12731</v>
      </c>
      <c r="F2346" s="35" t="s">
        <v>12483</v>
      </c>
      <c r="G2346" s="35">
        <v>351936</v>
      </c>
      <c r="H2346" s="35">
        <v>390100</v>
      </c>
      <c r="I2346" s="35">
        <v>200020</v>
      </c>
      <c r="J2346" s="34" t="s">
        <v>6510</v>
      </c>
      <c r="K2346" s="34" t="str">
        <f t="shared" si="75"/>
        <v>重复</v>
      </c>
      <c r="L2346" s="34" t="str">
        <f t="shared" si="76"/>
        <v>不重复</v>
      </c>
    </row>
    <row r="2347" spans="1:12" ht="27">
      <c r="A2347" s="35" t="s">
        <v>12770</v>
      </c>
      <c r="B2347" s="35" t="s">
        <v>6511</v>
      </c>
      <c r="C2347" s="36" t="s">
        <v>3651</v>
      </c>
      <c r="D2347" s="35" t="s">
        <v>6512</v>
      </c>
      <c r="E2347" s="35" t="s">
        <v>12731</v>
      </c>
      <c r="F2347" s="35" t="s">
        <v>12483</v>
      </c>
      <c r="G2347" s="35">
        <v>351937</v>
      </c>
      <c r="H2347" s="35">
        <v>390100</v>
      </c>
      <c r="I2347" s="35">
        <v>200020</v>
      </c>
      <c r="J2347" s="34" t="s">
        <v>363</v>
      </c>
      <c r="K2347" s="34" t="str">
        <f t="shared" si="75"/>
        <v>重复</v>
      </c>
      <c r="L2347" s="34" t="str">
        <f t="shared" si="76"/>
        <v>不重复</v>
      </c>
    </row>
    <row r="2348" spans="1:12" ht="15">
      <c r="A2348" s="35" t="s">
        <v>12771</v>
      </c>
      <c r="B2348" s="35" t="s">
        <v>6513</v>
      </c>
      <c r="C2348" s="36" t="s">
        <v>6514</v>
      </c>
      <c r="D2348" s="35" t="s">
        <v>6515</v>
      </c>
      <c r="E2348" s="35" t="s">
        <v>12731</v>
      </c>
      <c r="F2348" s="35" t="s">
        <v>12483</v>
      </c>
      <c r="G2348" s="35">
        <v>351938</v>
      </c>
      <c r="H2348" s="35">
        <v>390100</v>
      </c>
      <c r="I2348" s="35">
        <v>200020</v>
      </c>
      <c r="J2348" s="34" t="s">
        <v>878</v>
      </c>
      <c r="K2348" s="34" t="str">
        <f t="shared" si="75"/>
        <v>不重复</v>
      </c>
      <c r="L2348" s="34" t="str">
        <f t="shared" si="76"/>
        <v>不重复</v>
      </c>
    </row>
    <row r="2349" spans="1:12" ht="15">
      <c r="A2349" s="35" t="s">
        <v>12772</v>
      </c>
      <c r="B2349" s="35" t="s">
        <v>6516</v>
      </c>
      <c r="C2349" s="36" t="s">
        <v>6517</v>
      </c>
      <c r="D2349" s="35" t="s">
        <v>6518</v>
      </c>
      <c r="E2349" s="35" t="s">
        <v>12731</v>
      </c>
      <c r="F2349" s="35" t="s">
        <v>12483</v>
      </c>
      <c r="G2349" s="35">
        <v>351971</v>
      </c>
      <c r="H2349" s="35">
        <v>390100</v>
      </c>
      <c r="I2349" s="35">
        <v>200020</v>
      </c>
      <c r="J2349" s="34"/>
      <c r="K2349" s="34" t="str">
        <f t="shared" si="75"/>
        <v>重复</v>
      </c>
      <c r="L2349" s="34" t="str">
        <f t="shared" si="76"/>
        <v>不重复</v>
      </c>
    </row>
    <row r="2350" spans="1:12" ht="15">
      <c r="A2350" s="35" t="s">
        <v>12773</v>
      </c>
      <c r="B2350" s="35" t="s">
        <v>6519</v>
      </c>
      <c r="C2350" s="36" t="s">
        <v>706</v>
      </c>
      <c r="D2350" s="35" t="s">
        <v>6520</v>
      </c>
      <c r="E2350" s="35" t="s">
        <v>12731</v>
      </c>
      <c r="F2350" s="35" t="s">
        <v>12483</v>
      </c>
      <c r="G2350" s="35">
        <v>351939</v>
      </c>
      <c r="H2350" s="35">
        <v>390100</v>
      </c>
      <c r="I2350" s="35">
        <v>200020</v>
      </c>
      <c r="J2350" s="34" t="s">
        <v>288</v>
      </c>
      <c r="K2350" s="34" t="str">
        <f t="shared" si="75"/>
        <v>重复</v>
      </c>
      <c r="L2350" s="34" t="str">
        <f t="shared" si="76"/>
        <v>不重复</v>
      </c>
    </row>
    <row r="2351" spans="1:12" ht="15">
      <c r="A2351" s="35" t="s">
        <v>12774</v>
      </c>
      <c r="B2351" s="35" t="s">
        <v>6521</v>
      </c>
      <c r="C2351" s="36" t="s">
        <v>6522</v>
      </c>
      <c r="D2351" s="35" t="s">
        <v>6523</v>
      </c>
      <c r="E2351" s="35" t="s">
        <v>12731</v>
      </c>
      <c r="F2351" s="35" t="s">
        <v>12483</v>
      </c>
      <c r="G2351" s="35">
        <v>351940</v>
      </c>
      <c r="H2351" s="35">
        <v>390100</v>
      </c>
      <c r="I2351" s="35">
        <v>200020</v>
      </c>
      <c r="J2351" s="34" t="s">
        <v>288</v>
      </c>
      <c r="K2351" s="34" t="str">
        <f t="shared" si="75"/>
        <v>重复</v>
      </c>
      <c r="L2351" s="34" t="str">
        <f t="shared" si="76"/>
        <v>不重复</v>
      </c>
    </row>
    <row r="2352" spans="1:12" ht="15">
      <c r="A2352" s="35" t="s">
        <v>12775</v>
      </c>
      <c r="B2352" s="35" t="s">
        <v>6524</v>
      </c>
      <c r="C2352" s="36" t="s">
        <v>6525</v>
      </c>
      <c r="D2352" s="35" t="s">
        <v>6526</v>
      </c>
      <c r="E2352" s="35" t="s">
        <v>12731</v>
      </c>
      <c r="F2352" s="35" t="s">
        <v>12483</v>
      </c>
      <c r="G2352" s="35">
        <v>351941</v>
      </c>
      <c r="H2352" s="35">
        <v>390100</v>
      </c>
      <c r="I2352" s="35">
        <v>200020</v>
      </c>
      <c r="J2352" s="34" t="s">
        <v>288</v>
      </c>
      <c r="K2352" s="34" t="str">
        <f t="shared" si="75"/>
        <v>重复</v>
      </c>
      <c r="L2352" s="34" t="str">
        <f t="shared" si="76"/>
        <v>不重复</v>
      </c>
    </row>
    <row r="2353" spans="1:12" ht="15">
      <c r="A2353" s="35" t="s">
        <v>12776</v>
      </c>
      <c r="B2353" s="35" t="s">
        <v>6527</v>
      </c>
      <c r="C2353" s="36" t="s">
        <v>4046</v>
      </c>
      <c r="D2353" s="35" t="s">
        <v>6528</v>
      </c>
      <c r="E2353" s="35" t="s">
        <v>12731</v>
      </c>
      <c r="F2353" s="35" t="s">
        <v>12483</v>
      </c>
      <c r="G2353" s="35">
        <v>351942</v>
      </c>
      <c r="H2353" s="35">
        <v>390100</v>
      </c>
      <c r="I2353" s="35">
        <v>200020</v>
      </c>
      <c r="J2353" s="34" t="s">
        <v>288</v>
      </c>
      <c r="K2353" s="34" t="str">
        <f t="shared" si="75"/>
        <v>重复</v>
      </c>
      <c r="L2353" s="34" t="str">
        <f t="shared" si="76"/>
        <v>重复</v>
      </c>
    </row>
    <row r="2354" spans="1:12" ht="15">
      <c r="A2354" s="35" t="s">
        <v>12777</v>
      </c>
      <c r="B2354" s="35" t="s">
        <v>6529</v>
      </c>
      <c r="C2354" s="36" t="s">
        <v>6473</v>
      </c>
      <c r="D2354" s="35" t="s">
        <v>6528</v>
      </c>
      <c r="E2354" s="35" t="s">
        <v>12731</v>
      </c>
      <c r="F2354" s="35" t="s">
        <v>12483</v>
      </c>
      <c r="G2354" s="35">
        <v>351943</v>
      </c>
      <c r="H2354" s="35">
        <v>390100</v>
      </c>
      <c r="I2354" s="35">
        <v>200020</v>
      </c>
      <c r="J2354" s="34" t="s">
        <v>715</v>
      </c>
      <c r="K2354" s="34" t="str">
        <f t="shared" si="75"/>
        <v>重复</v>
      </c>
      <c r="L2354" s="34" t="str">
        <f t="shared" si="76"/>
        <v>重复</v>
      </c>
    </row>
    <row r="2355" spans="1:12" ht="15">
      <c r="A2355" s="35" t="s">
        <v>12778</v>
      </c>
      <c r="B2355" s="35" t="s">
        <v>6530</v>
      </c>
      <c r="C2355" s="36" t="s">
        <v>1748</v>
      </c>
      <c r="D2355" s="35" t="s">
        <v>6531</v>
      </c>
      <c r="E2355" s="35" t="s">
        <v>12731</v>
      </c>
      <c r="F2355" s="35" t="s">
        <v>12483</v>
      </c>
      <c r="G2355" s="35">
        <v>351944</v>
      </c>
      <c r="H2355" s="35">
        <v>390100</v>
      </c>
      <c r="I2355" s="35">
        <v>200020</v>
      </c>
      <c r="J2355" s="34" t="s">
        <v>715</v>
      </c>
      <c r="K2355" s="34" t="str">
        <f t="shared" si="75"/>
        <v>重复</v>
      </c>
      <c r="L2355" s="34" t="str">
        <f t="shared" si="76"/>
        <v>不重复</v>
      </c>
    </row>
    <row r="2356" spans="1:12" ht="15">
      <c r="A2356" s="35" t="s">
        <v>12779</v>
      </c>
      <c r="B2356" s="35" t="s">
        <v>6532</v>
      </c>
      <c r="C2356" s="36" t="s">
        <v>993</v>
      </c>
      <c r="D2356" s="35" t="s">
        <v>6533</v>
      </c>
      <c r="E2356" s="35" t="s">
        <v>12731</v>
      </c>
      <c r="F2356" s="35" t="s">
        <v>12483</v>
      </c>
      <c r="G2356" s="35">
        <v>351945</v>
      </c>
      <c r="H2356" s="35">
        <v>390100</v>
      </c>
      <c r="I2356" s="35">
        <v>200020</v>
      </c>
      <c r="J2356" s="34" t="s">
        <v>302</v>
      </c>
      <c r="K2356" s="34" t="str">
        <f t="shared" si="75"/>
        <v>重复</v>
      </c>
      <c r="L2356" s="34" t="str">
        <f t="shared" si="76"/>
        <v>不重复</v>
      </c>
    </row>
    <row r="2357" spans="1:12" ht="15">
      <c r="A2357" s="35" t="s">
        <v>12780</v>
      </c>
      <c r="B2357" s="35" t="s">
        <v>6534</v>
      </c>
      <c r="C2357" s="36" t="s">
        <v>6109</v>
      </c>
      <c r="D2357" s="35" t="s">
        <v>6535</v>
      </c>
      <c r="E2357" s="35" t="s">
        <v>12731</v>
      </c>
      <c r="F2357" s="35" t="s">
        <v>12483</v>
      </c>
      <c r="G2357" s="35">
        <v>351946</v>
      </c>
      <c r="H2357" s="35">
        <v>390100</v>
      </c>
      <c r="I2357" s="35">
        <v>200020</v>
      </c>
      <c r="J2357" s="34" t="s">
        <v>6536</v>
      </c>
      <c r="K2357" s="34" t="str">
        <f t="shared" si="75"/>
        <v>重复</v>
      </c>
      <c r="L2357" s="34" t="str">
        <f t="shared" si="76"/>
        <v>不重复</v>
      </c>
    </row>
    <row r="2358" spans="1:12" ht="27">
      <c r="A2358" s="35" t="s">
        <v>12781</v>
      </c>
      <c r="B2358" s="35" t="s">
        <v>6537</v>
      </c>
      <c r="C2358" s="36" t="s">
        <v>6538</v>
      </c>
      <c r="D2358" s="35" t="s">
        <v>6539</v>
      </c>
      <c r="E2358" s="35" t="s">
        <v>12731</v>
      </c>
      <c r="F2358" s="35" t="s">
        <v>12483</v>
      </c>
      <c r="G2358" s="35">
        <v>351947</v>
      </c>
      <c r="H2358" s="35">
        <v>390100</v>
      </c>
      <c r="I2358" s="35">
        <v>200020</v>
      </c>
      <c r="J2358" s="34" t="s">
        <v>688</v>
      </c>
      <c r="K2358" s="34" t="str">
        <f t="shared" si="75"/>
        <v>不重复</v>
      </c>
      <c r="L2358" s="34" t="str">
        <f t="shared" si="76"/>
        <v>不重复</v>
      </c>
    </row>
    <row r="2359" spans="1:12" ht="15">
      <c r="A2359" s="35" t="s">
        <v>12782</v>
      </c>
      <c r="B2359" s="35" t="s">
        <v>6540</v>
      </c>
      <c r="C2359" s="36" t="s">
        <v>6541</v>
      </c>
      <c r="D2359" s="35" t="s">
        <v>6542</v>
      </c>
      <c r="E2359" s="35" t="s">
        <v>12731</v>
      </c>
      <c r="F2359" s="35" t="s">
        <v>12483</v>
      </c>
      <c r="G2359" s="35">
        <v>351948</v>
      </c>
      <c r="H2359" s="35">
        <v>390100</v>
      </c>
      <c r="I2359" s="35">
        <v>200020</v>
      </c>
      <c r="J2359" s="34" t="s">
        <v>89</v>
      </c>
      <c r="K2359" s="34" t="str">
        <f t="shared" si="75"/>
        <v>不重复</v>
      </c>
      <c r="L2359" s="34" t="str">
        <f t="shared" si="76"/>
        <v>不重复</v>
      </c>
    </row>
    <row r="2360" spans="1:12" ht="27">
      <c r="A2360" s="35" t="s">
        <v>12783</v>
      </c>
      <c r="B2360" s="35" t="s">
        <v>6543</v>
      </c>
      <c r="C2360" s="36" t="s">
        <v>6544</v>
      </c>
      <c r="D2360" s="35" t="s">
        <v>6545</v>
      </c>
      <c r="E2360" s="35" t="s">
        <v>12731</v>
      </c>
      <c r="F2360" s="35" t="s">
        <v>12483</v>
      </c>
      <c r="G2360" s="35">
        <v>351949</v>
      </c>
      <c r="H2360" s="35">
        <v>390100</v>
      </c>
      <c r="I2360" s="35">
        <v>200020</v>
      </c>
      <c r="J2360" s="34" t="s">
        <v>932</v>
      </c>
      <c r="K2360" s="34" t="str">
        <f t="shared" si="75"/>
        <v>不重复</v>
      </c>
      <c r="L2360" s="34" t="str">
        <f t="shared" si="76"/>
        <v>不重复</v>
      </c>
    </row>
    <row r="2361" spans="1:12" ht="30">
      <c r="A2361" s="35" t="s">
        <v>12784</v>
      </c>
      <c r="B2361" s="35" t="s">
        <v>6546</v>
      </c>
      <c r="C2361" s="36" t="s">
        <v>6547</v>
      </c>
      <c r="D2361" s="35" t="s">
        <v>6548</v>
      </c>
      <c r="E2361" s="35" t="s">
        <v>12731</v>
      </c>
      <c r="F2361" s="35" t="s">
        <v>12483</v>
      </c>
      <c r="G2361" s="35">
        <v>351950</v>
      </c>
      <c r="H2361" s="35">
        <v>390100</v>
      </c>
      <c r="I2361" s="35">
        <v>200020</v>
      </c>
      <c r="J2361" s="34" t="s">
        <v>985</v>
      </c>
      <c r="K2361" s="34" t="str">
        <f t="shared" si="75"/>
        <v>不重复</v>
      </c>
      <c r="L2361" s="34" t="str">
        <f t="shared" si="76"/>
        <v>不重复</v>
      </c>
    </row>
    <row r="2362" spans="1:12" ht="15">
      <c r="A2362" s="35" t="s">
        <v>12785</v>
      </c>
      <c r="B2362" s="35" t="s">
        <v>6549</v>
      </c>
      <c r="C2362" s="36" t="s">
        <v>3309</v>
      </c>
      <c r="D2362" s="35" t="s">
        <v>6550</v>
      </c>
      <c r="E2362" s="35" t="s">
        <v>12731</v>
      </c>
      <c r="F2362" s="35" t="s">
        <v>12483</v>
      </c>
      <c r="G2362" s="35">
        <v>351951</v>
      </c>
      <c r="H2362" s="35">
        <v>390100</v>
      </c>
      <c r="I2362" s="35">
        <v>200020</v>
      </c>
      <c r="J2362" s="34" t="s">
        <v>932</v>
      </c>
      <c r="K2362" s="34" t="str">
        <f t="shared" si="75"/>
        <v>重复</v>
      </c>
      <c r="L2362" s="34" t="str">
        <f t="shared" si="76"/>
        <v>不重复</v>
      </c>
    </row>
    <row r="2363" spans="1:12" ht="15">
      <c r="A2363" s="35" t="s">
        <v>12786</v>
      </c>
      <c r="B2363" s="35" t="s">
        <v>6551</v>
      </c>
      <c r="C2363" s="36" t="s">
        <v>3419</v>
      </c>
      <c r="D2363" s="35" t="s">
        <v>6552</v>
      </c>
      <c r="E2363" s="35" t="s">
        <v>12731</v>
      </c>
      <c r="F2363" s="35" t="s">
        <v>12483</v>
      </c>
      <c r="G2363" s="35">
        <v>351952</v>
      </c>
      <c r="H2363" s="35">
        <v>390100</v>
      </c>
      <c r="I2363" s="35">
        <v>200020</v>
      </c>
      <c r="J2363" s="34" t="s">
        <v>715</v>
      </c>
      <c r="K2363" s="34" t="str">
        <f t="shared" si="75"/>
        <v>重复</v>
      </c>
      <c r="L2363" s="34" t="str">
        <f t="shared" si="76"/>
        <v>不重复</v>
      </c>
    </row>
    <row r="2364" spans="1:12" ht="15">
      <c r="A2364" s="35" t="s">
        <v>12787</v>
      </c>
      <c r="B2364" s="35" t="s">
        <v>6553</v>
      </c>
      <c r="C2364" s="36" t="s">
        <v>6554</v>
      </c>
      <c r="D2364" s="35" t="s">
        <v>6555</v>
      </c>
      <c r="E2364" s="35" t="s">
        <v>12731</v>
      </c>
      <c r="F2364" s="35" t="s">
        <v>12483</v>
      </c>
      <c r="G2364" s="35">
        <v>351953</v>
      </c>
      <c r="H2364" s="35">
        <v>390100</v>
      </c>
      <c r="I2364" s="35">
        <v>200020</v>
      </c>
      <c r="J2364" s="34" t="s">
        <v>6556</v>
      </c>
      <c r="K2364" s="34" t="str">
        <f t="shared" si="75"/>
        <v>重复</v>
      </c>
      <c r="L2364" s="34" t="str">
        <f t="shared" si="76"/>
        <v>不重复</v>
      </c>
    </row>
    <row r="2365" spans="1:12" ht="15">
      <c r="A2365" s="35" t="s">
        <v>12788</v>
      </c>
      <c r="B2365" s="35" t="s">
        <v>6557</v>
      </c>
      <c r="C2365" s="36" t="s">
        <v>6558</v>
      </c>
      <c r="D2365" s="35" t="s">
        <v>6559</v>
      </c>
      <c r="E2365" s="35" t="s">
        <v>12731</v>
      </c>
      <c r="F2365" s="35" t="s">
        <v>12483</v>
      </c>
      <c r="G2365" s="35">
        <v>351954</v>
      </c>
      <c r="H2365" s="35">
        <v>390100</v>
      </c>
      <c r="I2365" s="35">
        <v>200020</v>
      </c>
      <c r="J2365" s="34" t="s">
        <v>1040</v>
      </c>
      <c r="K2365" s="34" t="str">
        <f t="shared" si="75"/>
        <v>重复</v>
      </c>
      <c r="L2365" s="34" t="str">
        <f t="shared" si="76"/>
        <v>不重复</v>
      </c>
    </row>
    <row r="2366" spans="1:12" ht="15">
      <c r="A2366" s="35" t="s">
        <v>12789</v>
      </c>
      <c r="B2366" s="35" t="s">
        <v>6560</v>
      </c>
      <c r="C2366" s="36" t="s">
        <v>6561</v>
      </c>
      <c r="D2366" s="35" t="s">
        <v>6562</v>
      </c>
      <c r="E2366" s="35" t="s">
        <v>12731</v>
      </c>
      <c r="F2366" s="35" t="s">
        <v>12483</v>
      </c>
      <c r="G2366" s="35">
        <v>351955</v>
      </c>
      <c r="H2366" s="35">
        <v>390100</v>
      </c>
      <c r="I2366" s="35">
        <v>200020</v>
      </c>
      <c r="J2366" s="34" t="s">
        <v>1040</v>
      </c>
      <c r="K2366" s="34" t="str">
        <f t="shared" si="75"/>
        <v>重复</v>
      </c>
      <c r="L2366" s="34" t="str">
        <f t="shared" si="76"/>
        <v>不重复</v>
      </c>
    </row>
    <row r="2367" spans="1:12" ht="15">
      <c r="A2367" s="35" t="s">
        <v>12790</v>
      </c>
      <c r="B2367" s="35" t="s">
        <v>6563</v>
      </c>
      <c r="C2367" s="36" t="s">
        <v>2704</v>
      </c>
      <c r="D2367" s="35" t="s">
        <v>6564</v>
      </c>
      <c r="E2367" s="35" t="s">
        <v>12731</v>
      </c>
      <c r="F2367" s="35" t="s">
        <v>12483</v>
      </c>
      <c r="G2367" s="35">
        <v>351956</v>
      </c>
      <c r="H2367" s="35">
        <v>390100</v>
      </c>
      <c r="I2367" s="35">
        <v>200020</v>
      </c>
      <c r="J2367" s="34" t="s">
        <v>878</v>
      </c>
      <c r="K2367" s="34" t="str">
        <f t="shared" si="75"/>
        <v>重复</v>
      </c>
      <c r="L2367" s="34" t="str">
        <f t="shared" si="76"/>
        <v>不重复</v>
      </c>
    </row>
    <row r="2368" spans="1:12" ht="15">
      <c r="A2368" s="35" t="s">
        <v>12791</v>
      </c>
      <c r="B2368" s="35" t="s">
        <v>6565</v>
      </c>
      <c r="C2368" s="36" t="s">
        <v>6566</v>
      </c>
      <c r="D2368" s="35" t="s">
        <v>6567</v>
      </c>
      <c r="E2368" s="35" t="s">
        <v>12731</v>
      </c>
      <c r="F2368" s="35" t="s">
        <v>12483</v>
      </c>
      <c r="G2368" s="35">
        <v>351957</v>
      </c>
      <c r="H2368" s="35">
        <v>390100</v>
      </c>
      <c r="I2368" s="35">
        <v>200020</v>
      </c>
      <c r="J2368" s="34" t="s">
        <v>347</v>
      </c>
      <c r="K2368" s="34" t="str">
        <f t="shared" si="75"/>
        <v>不重复</v>
      </c>
      <c r="L2368" s="34" t="str">
        <f t="shared" si="76"/>
        <v>不重复</v>
      </c>
    </row>
    <row r="2369" spans="1:12" ht="15">
      <c r="A2369" s="35" t="s">
        <v>12792</v>
      </c>
      <c r="B2369" s="35" t="s">
        <v>6568</v>
      </c>
      <c r="C2369" s="36" t="s">
        <v>6569</v>
      </c>
      <c r="D2369" s="35" t="s">
        <v>6570</v>
      </c>
      <c r="E2369" s="35" t="s">
        <v>12731</v>
      </c>
      <c r="F2369" s="35" t="s">
        <v>12483</v>
      </c>
      <c r="G2369" s="35">
        <v>351958</v>
      </c>
      <c r="H2369" s="35">
        <v>390100</v>
      </c>
      <c r="I2369" s="35">
        <v>200020</v>
      </c>
      <c r="J2369" s="34" t="s">
        <v>89</v>
      </c>
      <c r="K2369" s="34" t="str">
        <f t="shared" si="75"/>
        <v>不重复</v>
      </c>
      <c r="L2369" s="34" t="str">
        <f t="shared" si="76"/>
        <v>不重复</v>
      </c>
    </row>
    <row r="2370" spans="1:12" ht="15">
      <c r="A2370" s="35" t="s">
        <v>12793</v>
      </c>
      <c r="B2370" s="35" t="s">
        <v>6571</v>
      </c>
      <c r="C2370" s="36" t="s">
        <v>2752</v>
      </c>
      <c r="D2370" s="35" t="s">
        <v>6572</v>
      </c>
      <c r="E2370" s="35" t="s">
        <v>12731</v>
      </c>
      <c r="F2370" s="35" t="s">
        <v>12483</v>
      </c>
      <c r="G2370" s="35">
        <v>351959</v>
      </c>
      <c r="H2370" s="35">
        <v>390100</v>
      </c>
      <c r="I2370" s="35">
        <v>200020</v>
      </c>
      <c r="J2370" s="34" t="s">
        <v>1103</v>
      </c>
      <c r="K2370" s="34" t="str">
        <f t="shared" si="75"/>
        <v>重复</v>
      </c>
      <c r="L2370" s="34" t="str">
        <f t="shared" si="76"/>
        <v>不重复</v>
      </c>
    </row>
    <row r="2371" spans="1:12" ht="15">
      <c r="A2371" s="35" t="s">
        <v>12794</v>
      </c>
      <c r="B2371" s="35" t="s">
        <v>6573</v>
      </c>
      <c r="C2371" s="36" t="s">
        <v>2794</v>
      </c>
      <c r="D2371" s="35" t="s">
        <v>6574</v>
      </c>
      <c r="E2371" s="35" t="s">
        <v>12731</v>
      </c>
      <c r="F2371" s="35" t="s">
        <v>12483</v>
      </c>
      <c r="G2371" s="35">
        <v>351960</v>
      </c>
      <c r="H2371" s="35">
        <v>390100</v>
      </c>
      <c r="I2371" s="35">
        <v>200020</v>
      </c>
      <c r="J2371" s="34" t="s">
        <v>6575</v>
      </c>
      <c r="K2371" s="34" t="str">
        <f t="shared" si="75"/>
        <v>重复</v>
      </c>
      <c r="L2371" s="34" t="str">
        <f t="shared" si="76"/>
        <v>不重复</v>
      </c>
    </row>
    <row r="2372" spans="1:12" ht="15">
      <c r="A2372" s="35" t="s">
        <v>12795</v>
      </c>
      <c r="B2372" s="35" t="s">
        <v>6576</v>
      </c>
      <c r="C2372" s="36" t="s">
        <v>6577</v>
      </c>
      <c r="D2372" s="35" t="s">
        <v>6578</v>
      </c>
      <c r="E2372" s="35" t="s">
        <v>12731</v>
      </c>
      <c r="F2372" s="35" t="s">
        <v>12483</v>
      </c>
      <c r="G2372" s="35">
        <v>351961</v>
      </c>
      <c r="H2372" s="35">
        <v>390100</v>
      </c>
      <c r="I2372" s="35">
        <v>200020</v>
      </c>
      <c r="J2372" s="34" t="s">
        <v>1103</v>
      </c>
      <c r="K2372" s="34" t="str">
        <f t="shared" si="75"/>
        <v>不重复</v>
      </c>
      <c r="L2372" s="34" t="str">
        <f t="shared" si="76"/>
        <v>不重复</v>
      </c>
    </row>
    <row r="2373" spans="1:12" ht="30">
      <c r="A2373" s="35" t="s">
        <v>12796</v>
      </c>
      <c r="B2373" s="35" t="s">
        <v>6579</v>
      </c>
      <c r="C2373" s="36" t="s">
        <v>6258</v>
      </c>
      <c r="D2373" s="35" t="s">
        <v>6580</v>
      </c>
      <c r="E2373" s="35" t="s">
        <v>12731</v>
      </c>
      <c r="F2373" s="35" t="s">
        <v>12483</v>
      </c>
      <c r="G2373" s="35">
        <v>351962</v>
      </c>
      <c r="H2373" s="35">
        <v>390100</v>
      </c>
      <c r="I2373" s="35">
        <v>200020</v>
      </c>
      <c r="J2373" s="34" t="s">
        <v>302</v>
      </c>
      <c r="K2373" s="34" t="str">
        <f t="shared" si="75"/>
        <v>重复</v>
      </c>
      <c r="L2373" s="34" t="str">
        <f t="shared" si="76"/>
        <v>不重复</v>
      </c>
    </row>
    <row r="2374" spans="1:12" ht="15">
      <c r="A2374" s="35" t="s">
        <v>12797</v>
      </c>
      <c r="B2374" s="35" t="s">
        <v>6581</v>
      </c>
      <c r="C2374" s="36" t="s">
        <v>3366</v>
      </c>
      <c r="D2374" s="35" t="s">
        <v>6582</v>
      </c>
      <c r="E2374" s="35" t="s">
        <v>12731</v>
      </c>
      <c r="F2374" s="35" t="s">
        <v>12483</v>
      </c>
      <c r="G2374" s="35">
        <v>351963</v>
      </c>
      <c r="H2374" s="35">
        <v>390100</v>
      </c>
      <c r="I2374" s="35">
        <v>200020</v>
      </c>
      <c r="J2374" s="34" t="s">
        <v>6583</v>
      </c>
      <c r="K2374" s="34" t="str">
        <f t="shared" si="75"/>
        <v>重复</v>
      </c>
      <c r="L2374" s="34" t="str">
        <f t="shared" si="76"/>
        <v>不重复</v>
      </c>
    </row>
    <row r="2375" spans="1:12" ht="15">
      <c r="A2375" s="35" t="s">
        <v>12798</v>
      </c>
      <c r="B2375" s="35" t="s">
        <v>6584</v>
      </c>
      <c r="C2375" s="36" t="s">
        <v>4470</v>
      </c>
      <c r="D2375" s="35" t="s">
        <v>6585</v>
      </c>
      <c r="E2375" s="35" t="s">
        <v>12731</v>
      </c>
      <c r="F2375" s="35" t="s">
        <v>12483</v>
      </c>
      <c r="G2375" s="35">
        <v>351964</v>
      </c>
      <c r="H2375" s="35">
        <v>390100</v>
      </c>
      <c r="I2375" s="35">
        <v>200020</v>
      </c>
      <c r="J2375" s="34" t="s">
        <v>6492</v>
      </c>
      <c r="K2375" s="34" t="str">
        <f t="shared" si="75"/>
        <v>重复</v>
      </c>
      <c r="L2375" s="34" t="str">
        <f t="shared" si="76"/>
        <v>不重复</v>
      </c>
    </row>
    <row r="2376" spans="1:12" ht="15">
      <c r="A2376" s="35" t="s">
        <v>12799</v>
      </c>
      <c r="B2376" s="35" t="s">
        <v>6586</v>
      </c>
      <c r="C2376" s="36" t="s">
        <v>6587</v>
      </c>
      <c r="D2376" s="35" t="s">
        <v>6588</v>
      </c>
      <c r="E2376" s="35" t="s">
        <v>12731</v>
      </c>
      <c r="F2376" s="35" t="s">
        <v>12483</v>
      </c>
      <c r="G2376" s="35">
        <v>351965</v>
      </c>
      <c r="H2376" s="35">
        <v>390100</v>
      </c>
      <c r="I2376" s="35">
        <v>200020</v>
      </c>
      <c r="J2376" s="34" t="s">
        <v>688</v>
      </c>
      <c r="K2376" s="34" t="str">
        <f t="shared" si="75"/>
        <v>不重复</v>
      </c>
      <c r="L2376" s="34" t="str">
        <f t="shared" si="76"/>
        <v>不重复</v>
      </c>
    </row>
    <row r="2377" spans="1:12" ht="15">
      <c r="A2377" s="35" t="s">
        <v>12800</v>
      </c>
      <c r="B2377" s="35" t="s">
        <v>6589</v>
      </c>
      <c r="C2377" s="36" t="s">
        <v>6590</v>
      </c>
      <c r="D2377" s="35" t="s">
        <v>6591</v>
      </c>
      <c r="E2377" s="35" t="s">
        <v>12731</v>
      </c>
      <c r="F2377" s="35" t="s">
        <v>12483</v>
      </c>
      <c r="G2377" s="35">
        <v>351966</v>
      </c>
      <c r="H2377" s="35">
        <v>390100</v>
      </c>
      <c r="I2377" s="35">
        <v>200020</v>
      </c>
      <c r="J2377" s="34" t="s">
        <v>878</v>
      </c>
      <c r="K2377" s="34" t="str">
        <f t="shared" si="75"/>
        <v>不重复</v>
      </c>
      <c r="L2377" s="34" t="str">
        <f t="shared" si="76"/>
        <v>不重复</v>
      </c>
    </row>
    <row r="2378" spans="1:12" ht="15">
      <c r="A2378" s="35" t="s">
        <v>12801</v>
      </c>
      <c r="B2378" s="35" t="s">
        <v>6592</v>
      </c>
      <c r="C2378" s="36" t="s">
        <v>6593</v>
      </c>
      <c r="D2378" s="35" t="s">
        <v>6594</v>
      </c>
      <c r="E2378" s="35" t="s">
        <v>12731</v>
      </c>
      <c r="F2378" s="35" t="s">
        <v>12483</v>
      </c>
      <c r="G2378" s="35">
        <v>351967</v>
      </c>
      <c r="H2378" s="35">
        <v>390100</v>
      </c>
      <c r="I2378" s="35">
        <v>200020</v>
      </c>
      <c r="J2378" s="34" t="s">
        <v>1103</v>
      </c>
      <c r="K2378" s="34" t="str">
        <f t="shared" si="75"/>
        <v>不重复</v>
      </c>
      <c r="L2378" s="34" t="str">
        <f t="shared" si="76"/>
        <v>不重复</v>
      </c>
    </row>
    <row r="2379" spans="1:12" ht="15">
      <c r="A2379" s="35" t="s">
        <v>12802</v>
      </c>
      <c r="B2379" s="35" t="s">
        <v>6595</v>
      </c>
      <c r="C2379" s="36" t="s">
        <v>6596</v>
      </c>
      <c r="D2379" s="35" t="s">
        <v>6597</v>
      </c>
      <c r="E2379" s="35" t="s">
        <v>12731</v>
      </c>
      <c r="F2379" s="35" t="s">
        <v>12483</v>
      </c>
      <c r="G2379" s="35">
        <v>351968</v>
      </c>
      <c r="H2379" s="35">
        <v>390100</v>
      </c>
      <c r="I2379" s="35">
        <v>200020</v>
      </c>
      <c r="J2379" s="34" t="s">
        <v>878</v>
      </c>
      <c r="K2379" s="34" t="str">
        <f t="shared" si="75"/>
        <v>不重复</v>
      </c>
      <c r="L2379" s="34" t="str">
        <f t="shared" si="76"/>
        <v>不重复</v>
      </c>
    </row>
    <row r="2380" spans="1:12" ht="15">
      <c r="A2380" s="35" t="s">
        <v>12803</v>
      </c>
      <c r="B2380" s="35" t="s">
        <v>6598</v>
      </c>
      <c r="C2380" s="36" t="s">
        <v>6599</v>
      </c>
      <c r="D2380" s="35" t="s">
        <v>6600</v>
      </c>
      <c r="E2380" s="35" t="s">
        <v>12731</v>
      </c>
      <c r="F2380" s="35" t="s">
        <v>12483</v>
      </c>
      <c r="G2380" s="35">
        <v>351969</v>
      </c>
      <c r="H2380" s="35">
        <v>390100</v>
      </c>
      <c r="I2380" s="35">
        <v>200020</v>
      </c>
      <c r="J2380" s="34" t="s">
        <v>932</v>
      </c>
      <c r="K2380" s="34" t="str">
        <f t="shared" si="77" ref="K2380:K2443">IF(COUNTIF(C:C,C2380)&gt;=2,"重复","不重复")</f>
        <v>不重复</v>
      </c>
      <c r="L2380" s="34" t="str">
        <f t="shared" si="78" ref="L2380:L2443">IF(COUNTIF(D:D,D2380)&gt;=2,"重复","不重复")</f>
        <v>不重复</v>
      </c>
    </row>
    <row r="2381" spans="1:12" ht="15">
      <c r="A2381" s="35" t="s">
        <v>12804</v>
      </c>
      <c r="B2381" s="35" t="s">
        <v>6601</v>
      </c>
      <c r="C2381" s="36" t="s">
        <v>6602</v>
      </c>
      <c r="D2381" s="35" t="s">
        <v>6603</v>
      </c>
      <c r="E2381" s="35" t="s">
        <v>12731</v>
      </c>
      <c r="F2381" s="35" t="s">
        <v>12483</v>
      </c>
      <c r="G2381" s="35">
        <v>351970</v>
      </c>
      <c r="H2381" s="35">
        <v>390100</v>
      </c>
      <c r="I2381" s="35">
        <v>200020</v>
      </c>
      <c r="J2381" s="34" t="s">
        <v>302</v>
      </c>
      <c r="K2381" s="34" t="str">
        <f t="shared" si="77"/>
        <v>重复</v>
      </c>
      <c r="L2381" s="34" t="str">
        <f t="shared" si="78"/>
        <v>不重复</v>
      </c>
    </row>
    <row r="2382" spans="1:12" ht="15">
      <c r="A2382" s="35" t="s">
        <v>12805</v>
      </c>
      <c r="B2382" s="35" t="s">
        <v>6604</v>
      </c>
      <c r="C2382" s="36" t="s">
        <v>6605</v>
      </c>
      <c r="D2382" s="35" t="s">
        <v>6606</v>
      </c>
      <c r="E2382" s="35" t="s">
        <v>12805</v>
      </c>
      <c r="F2382" s="35" t="s">
        <v>12483</v>
      </c>
      <c r="G2382" s="35">
        <v>352000</v>
      </c>
      <c r="H2382" s="35">
        <v>390110</v>
      </c>
      <c r="I2382" s="35">
        <v>200020</v>
      </c>
      <c r="J2382" s="34" t="s">
        <v>16</v>
      </c>
      <c r="K2382" s="34" t="str">
        <f t="shared" si="77"/>
        <v>不重复</v>
      </c>
      <c r="L2382" s="34" t="str">
        <f t="shared" si="78"/>
        <v>不重复</v>
      </c>
    </row>
    <row r="2383" spans="1:12" ht="15">
      <c r="A2383" s="35" t="s">
        <v>12806</v>
      </c>
      <c r="B2383" s="35" t="s">
        <v>6607</v>
      </c>
      <c r="C2383" s="36" t="s">
        <v>6608</v>
      </c>
      <c r="D2383" s="35" t="s">
        <v>6609</v>
      </c>
      <c r="E2383" s="35" t="s">
        <v>12805</v>
      </c>
      <c r="F2383" s="35" t="s">
        <v>12483</v>
      </c>
      <c r="G2383" s="35">
        <v>352001</v>
      </c>
      <c r="H2383" s="35">
        <v>390110</v>
      </c>
      <c r="I2383" s="35">
        <v>200020</v>
      </c>
      <c r="J2383" s="34" t="s">
        <v>531</v>
      </c>
      <c r="K2383" s="34" t="str">
        <f t="shared" si="77"/>
        <v>不重复</v>
      </c>
      <c r="L2383" s="34" t="str">
        <f t="shared" si="78"/>
        <v>不重复</v>
      </c>
    </row>
    <row r="2384" spans="1:12" ht="15">
      <c r="A2384" s="35" t="s">
        <v>12807</v>
      </c>
      <c r="B2384" s="35" t="s">
        <v>6610</v>
      </c>
      <c r="C2384" s="36" t="s">
        <v>6611</v>
      </c>
      <c r="D2384" s="35" t="s">
        <v>6612</v>
      </c>
      <c r="E2384" s="35" t="s">
        <v>12805</v>
      </c>
      <c r="F2384" s="35" t="s">
        <v>12483</v>
      </c>
      <c r="G2384" s="35">
        <v>352002</v>
      </c>
      <c r="H2384" s="35">
        <v>390110</v>
      </c>
      <c r="I2384" s="35">
        <v>200020</v>
      </c>
      <c r="J2384" s="34" t="s">
        <v>531</v>
      </c>
      <c r="K2384" s="34" t="str">
        <f t="shared" si="77"/>
        <v>不重复</v>
      </c>
      <c r="L2384" s="34" t="str">
        <f t="shared" si="78"/>
        <v>不重复</v>
      </c>
    </row>
    <row r="2385" spans="1:12" ht="15">
      <c r="A2385" s="35" t="s">
        <v>12808</v>
      </c>
      <c r="B2385" s="35" t="s">
        <v>6613</v>
      </c>
      <c r="C2385" s="36" t="s">
        <v>6614</v>
      </c>
      <c r="D2385" s="35" t="s">
        <v>6615</v>
      </c>
      <c r="E2385" s="35" t="s">
        <v>12808</v>
      </c>
      <c r="F2385" s="35" t="s">
        <v>12483</v>
      </c>
      <c r="G2385" s="35">
        <v>352100</v>
      </c>
      <c r="H2385" s="35">
        <v>390120</v>
      </c>
      <c r="I2385" s="35">
        <v>200020</v>
      </c>
      <c r="J2385" s="34" t="s">
        <v>16</v>
      </c>
      <c r="K2385" s="34" t="str">
        <f t="shared" si="77"/>
        <v>不重复</v>
      </c>
      <c r="L2385" s="34" t="str">
        <f t="shared" si="78"/>
        <v>不重复</v>
      </c>
    </row>
    <row r="2386" spans="1:12" ht="27">
      <c r="A2386" s="35" t="s">
        <v>12809</v>
      </c>
      <c r="B2386" s="35" t="s">
        <v>6616</v>
      </c>
      <c r="C2386" s="36" t="s">
        <v>5865</v>
      </c>
      <c r="D2386" s="35" t="s">
        <v>6617</v>
      </c>
      <c r="E2386" s="35" t="s">
        <v>12808</v>
      </c>
      <c r="F2386" s="35" t="s">
        <v>12483</v>
      </c>
      <c r="G2386" s="35">
        <v>352101</v>
      </c>
      <c r="H2386" s="35">
        <v>390120</v>
      </c>
      <c r="I2386" s="35">
        <v>200020</v>
      </c>
      <c r="J2386" s="34" t="s">
        <v>363</v>
      </c>
      <c r="K2386" s="34" t="str">
        <f t="shared" si="77"/>
        <v>重复</v>
      </c>
      <c r="L2386" s="34" t="str">
        <f t="shared" si="78"/>
        <v>不重复</v>
      </c>
    </row>
    <row r="2387" spans="1:12" ht="27">
      <c r="A2387" s="35" t="s">
        <v>12810</v>
      </c>
      <c r="B2387" s="35" t="s">
        <v>6618</v>
      </c>
      <c r="C2387" s="36" t="s">
        <v>3366</v>
      </c>
      <c r="D2387" s="35" t="s">
        <v>6619</v>
      </c>
      <c r="E2387" s="35" t="s">
        <v>12808</v>
      </c>
      <c r="F2387" s="35" t="s">
        <v>12483</v>
      </c>
      <c r="G2387" s="35">
        <v>352102</v>
      </c>
      <c r="H2387" s="35">
        <v>390120</v>
      </c>
      <c r="I2387" s="35">
        <v>200020</v>
      </c>
      <c r="J2387" s="34" t="s">
        <v>2240</v>
      </c>
      <c r="K2387" s="34" t="str">
        <f t="shared" si="77"/>
        <v>重复</v>
      </c>
      <c r="L2387" s="34" t="str">
        <f t="shared" si="78"/>
        <v>不重复</v>
      </c>
    </row>
    <row r="2388" spans="1:12" ht="27">
      <c r="A2388" s="35" t="s">
        <v>12811</v>
      </c>
      <c r="B2388" s="35" t="s">
        <v>6620</v>
      </c>
      <c r="C2388" s="36" t="s">
        <v>3366</v>
      </c>
      <c r="D2388" s="35" t="s">
        <v>6621</v>
      </c>
      <c r="E2388" s="35" t="s">
        <v>12808</v>
      </c>
      <c r="F2388" s="35" t="s">
        <v>12483</v>
      </c>
      <c r="G2388" s="35">
        <v>352103</v>
      </c>
      <c r="H2388" s="35">
        <v>390120</v>
      </c>
      <c r="I2388" s="35">
        <v>200020</v>
      </c>
      <c r="J2388" s="34" t="s">
        <v>6622</v>
      </c>
      <c r="K2388" s="34" t="str">
        <f t="shared" si="77"/>
        <v>重复</v>
      </c>
      <c r="L2388" s="34" t="str">
        <f t="shared" si="78"/>
        <v>不重复</v>
      </c>
    </row>
    <row r="2389" spans="1:12" ht="15">
      <c r="A2389" s="35" t="s">
        <v>12812</v>
      </c>
      <c r="B2389" s="35" t="s">
        <v>6623</v>
      </c>
      <c r="C2389" s="36" t="s">
        <v>6624</v>
      </c>
      <c r="D2389" s="35" t="s">
        <v>6625</v>
      </c>
      <c r="E2389" s="35" t="s">
        <v>12808</v>
      </c>
      <c r="F2389" s="35" t="s">
        <v>12483</v>
      </c>
      <c r="G2389" s="35">
        <v>352133</v>
      </c>
      <c r="H2389" s="35">
        <v>390120</v>
      </c>
      <c r="I2389" s="35">
        <v>200020</v>
      </c>
      <c r="J2389" s="34"/>
      <c r="K2389" s="34" t="str">
        <f t="shared" si="77"/>
        <v>重复</v>
      </c>
      <c r="L2389" s="34" t="str">
        <f t="shared" si="78"/>
        <v>不重复</v>
      </c>
    </row>
    <row r="2390" spans="1:12" ht="15">
      <c r="A2390" s="35" t="s">
        <v>12812</v>
      </c>
      <c r="B2390" s="35" t="s">
        <v>6626</v>
      </c>
      <c r="C2390" s="36" t="s">
        <v>6624</v>
      </c>
      <c r="D2390" s="35" t="s">
        <v>6627</v>
      </c>
      <c r="E2390" s="35" t="s">
        <v>12808</v>
      </c>
      <c r="F2390" s="35" t="s">
        <v>12483</v>
      </c>
      <c r="G2390" s="35">
        <v>352104</v>
      </c>
      <c r="H2390" s="35">
        <v>390120</v>
      </c>
      <c r="I2390" s="35">
        <v>200020</v>
      </c>
      <c r="J2390" s="34" t="s">
        <v>962</v>
      </c>
      <c r="K2390" s="34" t="str">
        <f t="shared" si="77"/>
        <v>重复</v>
      </c>
      <c r="L2390" s="34" t="str">
        <f t="shared" si="78"/>
        <v>不重复</v>
      </c>
    </row>
    <row r="2391" spans="1:12" ht="27">
      <c r="A2391" s="35" t="s">
        <v>12813</v>
      </c>
      <c r="B2391" s="35" t="s">
        <v>6628</v>
      </c>
      <c r="C2391" s="36" t="s">
        <v>1726</v>
      </c>
      <c r="D2391" s="35" t="s">
        <v>6629</v>
      </c>
      <c r="E2391" s="35" t="s">
        <v>12808</v>
      </c>
      <c r="F2391" s="35" t="s">
        <v>12483</v>
      </c>
      <c r="G2391" s="35">
        <v>352105</v>
      </c>
      <c r="H2391" s="35">
        <v>390120</v>
      </c>
      <c r="I2391" s="35">
        <v>200020</v>
      </c>
      <c r="J2391" s="34" t="s">
        <v>6630</v>
      </c>
      <c r="K2391" s="34" t="str">
        <f t="shared" si="77"/>
        <v>重复</v>
      </c>
      <c r="L2391" s="34" t="str">
        <f t="shared" si="78"/>
        <v>不重复</v>
      </c>
    </row>
    <row r="2392" spans="1:12" ht="27">
      <c r="A2392" s="35" t="s">
        <v>12814</v>
      </c>
      <c r="B2392" s="35" t="s">
        <v>6631</v>
      </c>
      <c r="C2392" s="36" t="s">
        <v>6632</v>
      </c>
      <c r="D2392" s="35" t="s">
        <v>6633</v>
      </c>
      <c r="E2392" s="35" t="s">
        <v>12808</v>
      </c>
      <c r="F2392" s="35" t="s">
        <v>12483</v>
      </c>
      <c r="G2392" s="35">
        <v>352106</v>
      </c>
      <c r="H2392" s="35">
        <v>390120</v>
      </c>
      <c r="I2392" s="35">
        <v>200020</v>
      </c>
      <c r="J2392" s="34" t="s">
        <v>1050</v>
      </c>
      <c r="K2392" s="34" t="str">
        <f t="shared" si="77"/>
        <v>重复</v>
      </c>
      <c r="L2392" s="34" t="str">
        <f t="shared" si="78"/>
        <v>不重复</v>
      </c>
    </row>
    <row r="2393" spans="1:12" ht="15">
      <c r="A2393" s="35" t="s">
        <v>12815</v>
      </c>
      <c r="B2393" s="35" t="s">
        <v>6634</v>
      </c>
      <c r="C2393" s="36" t="s">
        <v>6635</v>
      </c>
      <c r="D2393" s="35" t="s">
        <v>6636</v>
      </c>
      <c r="E2393" s="35" t="s">
        <v>12808</v>
      </c>
      <c r="F2393" s="35" t="s">
        <v>12483</v>
      </c>
      <c r="G2393" s="35">
        <v>352107</v>
      </c>
      <c r="H2393" s="35">
        <v>390120</v>
      </c>
      <c r="I2393" s="35">
        <v>200020</v>
      </c>
      <c r="J2393" s="34" t="s">
        <v>194</v>
      </c>
      <c r="K2393" s="34" t="str">
        <f t="shared" si="77"/>
        <v>不重复</v>
      </c>
      <c r="L2393" s="34" t="str">
        <f t="shared" si="78"/>
        <v>不重复</v>
      </c>
    </row>
    <row r="2394" spans="1:12" ht="15">
      <c r="A2394" s="35" t="s">
        <v>12816</v>
      </c>
      <c r="B2394" s="35" t="s">
        <v>6637</v>
      </c>
      <c r="C2394" s="36" t="s">
        <v>6638</v>
      </c>
      <c r="D2394" s="35" t="s">
        <v>6639</v>
      </c>
      <c r="E2394" s="35" t="s">
        <v>12808</v>
      </c>
      <c r="F2394" s="35" t="s">
        <v>12483</v>
      </c>
      <c r="G2394" s="35">
        <v>352108</v>
      </c>
      <c r="H2394" s="35">
        <v>390120</v>
      </c>
      <c r="I2394" s="35">
        <v>200020</v>
      </c>
      <c r="J2394" s="34" t="s">
        <v>6622</v>
      </c>
      <c r="K2394" s="34" t="str">
        <f t="shared" si="77"/>
        <v>不重复</v>
      </c>
      <c r="L2394" s="34" t="str">
        <f t="shared" si="78"/>
        <v>不重复</v>
      </c>
    </row>
    <row r="2395" spans="1:12" ht="15">
      <c r="A2395" s="35" t="s">
        <v>12817</v>
      </c>
      <c r="B2395" s="35" t="s">
        <v>6640</v>
      </c>
      <c r="C2395" s="36" t="s">
        <v>2721</v>
      </c>
      <c r="D2395" s="35" t="s">
        <v>6641</v>
      </c>
      <c r="E2395" s="35" t="s">
        <v>12808</v>
      </c>
      <c r="F2395" s="35" t="s">
        <v>12483</v>
      </c>
      <c r="G2395" s="35">
        <v>352109</v>
      </c>
      <c r="H2395" s="35">
        <v>390120</v>
      </c>
      <c r="I2395" s="35">
        <v>200020</v>
      </c>
      <c r="J2395" s="34" t="s">
        <v>6346</v>
      </c>
      <c r="K2395" s="34" t="str">
        <f t="shared" si="77"/>
        <v>重复</v>
      </c>
      <c r="L2395" s="34" t="str">
        <f t="shared" si="78"/>
        <v>不重复</v>
      </c>
    </row>
    <row r="2396" spans="1:12" ht="27">
      <c r="A2396" s="35" t="s">
        <v>12818</v>
      </c>
      <c r="B2396" s="35" t="s">
        <v>6642</v>
      </c>
      <c r="C2396" s="36" t="s">
        <v>6643</v>
      </c>
      <c r="D2396" s="35" t="s">
        <v>6644</v>
      </c>
      <c r="E2396" s="35" t="s">
        <v>12808</v>
      </c>
      <c r="F2396" s="35" t="s">
        <v>12483</v>
      </c>
      <c r="G2396" s="35">
        <v>352110</v>
      </c>
      <c r="H2396" s="35">
        <v>390120</v>
      </c>
      <c r="I2396" s="35">
        <v>200020</v>
      </c>
      <c r="J2396" s="34" t="s">
        <v>969</v>
      </c>
      <c r="K2396" s="34" t="str">
        <f t="shared" si="77"/>
        <v>重复</v>
      </c>
      <c r="L2396" s="34" t="str">
        <f t="shared" si="78"/>
        <v>不重复</v>
      </c>
    </row>
    <row r="2397" spans="1:12" ht="27">
      <c r="A2397" s="35" t="s">
        <v>12819</v>
      </c>
      <c r="B2397" s="35" t="s">
        <v>6645</v>
      </c>
      <c r="C2397" s="36" t="s">
        <v>6646</v>
      </c>
      <c r="D2397" s="35" t="s">
        <v>4458</v>
      </c>
      <c r="E2397" s="35" t="s">
        <v>12808</v>
      </c>
      <c r="F2397" s="35" t="s">
        <v>12483</v>
      </c>
      <c r="G2397" s="35">
        <v>352111</v>
      </c>
      <c r="H2397" s="35">
        <v>390120</v>
      </c>
      <c r="I2397" s="35">
        <v>200020</v>
      </c>
      <c r="J2397" s="34" t="s">
        <v>363</v>
      </c>
      <c r="K2397" s="34" t="str">
        <f t="shared" si="77"/>
        <v>不重复</v>
      </c>
      <c r="L2397" s="34" t="str">
        <f t="shared" si="78"/>
        <v>重复</v>
      </c>
    </row>
    <row r="2398" spans="1:12" ht="27">
      <c r="A2398" s="35" t="s">
        <v>12820</v>
      </c>
      <c r="B2398" s="35" t="s">
        <v>6647</v>
      </c>
      <c r="C2398" s="36" t="s">
        <v>6648</v>
      </c>
      <c r="D2398" s="35" t="s">
        <v>6649</v>
      </c>
      <c r="E2398" s="35" t="s">
        <v>12808</v>
      </c>
      <c r="F2398" s="35" t="s">
        <v>12483</v>
      </c>
      <c r="G2398" s="35">
        <v>352112</v>
      </c>
      <c r="H2398" s="35">
        <v>390120</v>
      </c>
      <c r="I2398" s="35">
        <v>200020</v>
      </c>
      <c r="J2398" s="34" t="s">
        <v>932</v>
      </c>
      <c r="K2398" s="34" t="str">
        <f t="shared" si="77"/>
        <v>不重复</v>
      </c>
      <c r="L2398" s="34" t="str">
        <f t="shared" si="78"/>
        <v>不重复</v>
      </c>
    </row>
    <row r="2399" spans="1:12" ht="28.5">
      <c r="A2399" s="35" t="s">
        <v>12821</v>
      </c>
      <c r="B2399" s="35" t="s">
        <v>6650</v>
      </c>
      <c r="C2399" s="36" t="s">
        <v>1126</v>
      </c>
      <c r="D2399" s="35" t="s">
        <v>6651</v>
      </c>
      <c r="E2399" s="35" t="s">
        <v>12808</v>
      </c>
      <c r="F2399" s="35" t="s">
        <v>12483</v>
      </c>
      <c r="G2399" s="35">
        <v>352113</v>
      </c>
      <c r="H2399" s="35">
        <v>390120</v>
      </c>
      <c r="I2399" s="35">
        <v>200020</v>
      </c>
      <c r="J2399" s="34" t="s">
        <v>962</v>
      </c>
      <c r="K2399" s="34" t="str">
        <f t="shared" si="77"/>
        <v>重复</v>
      </c>
      <c r="L2399" s="34" t="str">
        <f t="shared" si="78"/>
        <v>不重复</v>
      </c>
    </row>
    <row r="2400" spans="1:12" ht="30">
      <c r="A2400" s="35" t="s">
        <v>12822</v>
      </c>
      <c r="B2400" s="35" t="s">
        <v>6652</v>
      </c>
      <c r="C2400" s="36" t="s">
        <v>6653</v>
      </c>
      <c r="D2400" s="35" t="s">
        <v>6654</v>
      </c>
      <c r="E2400" s="35" t="s">
        <v>12808</v>
      </c>
      <c r="F2400" s="35" t="s">
        <v>12483</v>
      </c>
      <c r="G2400" s="35">
        <v>352114</v>
      </c>
      <c r="H2400" s="35">
        <v>390120</v>
      </c>
      <c r="I2400" s="35">
        <v>200020</v>
      </c>
      <c r="J2400" s="34" t="s">
        <v>668</v>
      </c>
      <c r="K2400" s="34" t="str">
        <f t="shared" si="77"/>
        <v>重复</v>
      </c>
      <c r="L2400" s="34" t="str">
        <f t="shared" si="78"/>
        <v>不重复</v>
      </c>
    </row>
    <row r="2401" spans="1:12" ht="30">
      <c r="A2401" s="35" t="s">
        <v>12823</v>
      </c>
      <c r="B2401" s="35" t="s">
        <v>6655</v>
      </c>
      <c r="C2401" s="36" t="s">
        <v>1400</v>
      </c>
      <c r="D2401" s="35" t="s">
        <v>6656</v>
      </c>
      <c r="E2401" s="35" t="s">
        <v>12808</v>
      </c>
      <c r="F2401" s="35" t="s">
        <v>12483</v>
      </c>
      <c r="G2401" s="35">
        <v>352115</v>
      </c>
      <c r="H2401" s="35">
        <v>390120</v>
      </c>
      <c r="I2401" s="35">
        <v>200020</v>
      </c>
      <c r="J2401" s="34" t="s">
        <v>5329</v>
      </c>
      <c r="K2401" s="34" t="str">
        <f t="shared" si="77"/>
        <v>重复</v>
      </c>
      <c r="L2401" s="34" t="str">
        <f t="shared" si="78"/>
        <v>不重复</v>
      </c>
    </row>
    <row r="2402" spans="1:12" ht="27">
      <c r="A2402" s="35" t="s">
        <v>12824</v>
      </c>
      <c r="B2402" s="35" t="s">
        <v>6657</v>
      </c>
      <c r="C2402" s="36" t="s">
        <v>550</v>
      </c>
      <c r="D2402" s="35" t="s">
        <v>6658</v>
      </c>
      <c r="E2402" s="35" t="s">
        <v>12808</v>
      </c>
      <c r="F2402" s="35" t="s">
        <v>12483</v>
      </c>
      <c r="G2402" s="35">
        <v>352116</v>
      </c>
      <c r="H2402" s="35">
        <v>390120</v>
      </c>
      <c r="I2402" s="35">
        <v>200020</v>
      </c>
      <c r="J2402" s="34" t="s">
        <v>715</v>
      </c>
      <c r="K2402" s="34" t="str">
        <f t="shared" si="77"/>
        <v>重复</v>
      </c>
      <c r="L2402" s="34" t="str">
        <f t="shared" si="78"/>
        <v>不重复</v>
      </c>
    </row>
    <row r="2403" spans="1:12" ht="30">
      <c r="A2403" s="35" t="s">
        <v>12825</v>
      </c>
      <c r="B2403" s="35" t="s">
        <v>6659</v>
      </c>
      <c r="C2403" s="36" t="s">
        <v>6660</v>
      </c>
      <c r="D2403" s="35" t="s">
        <v>6661</v>
      </c>
      <c r="E2403" s="35" t="s">
        <v>12808</v>
      </c>
      <c r="F2403" s="35" t="s">
        <v>12483</v>
      </c>
      <c r="G2403" s="35">
        <v>352117</v>
      </c>
      <c r="H2403" s="35">
        <v>390120</v>
      </c>
      <c r="I2403" s="35">
        <v>200020</v>
      </c>
      <c r="J2403" s="34" t="s">
        <v>6662</v>
      </c>
      <c r="K2403" s="34" t="str">
        <f t="shared" si="77"/>
        <v>不重复</v>
      </c>
      <c r="L2403" s="34" t="str">
        <f t="shared" si="78"/>
        <v>重复</v>
      </c>
    </row>
    <row r="2404" spans="1:12" ht="30">
      <c r="A2404" s="35" t="s">
        <v>12826</v>
      </c>
      <c r="B2404" s="35" t="s">
        <v>6663</v>
      </c>
      <c r="C2404" s="36" t="s">
        <v>1815</v>
      </c>
      <c r="D2404" s="35" t="s">
        <v>6661</v>
      </c>
      <c r="E2404" s="35" t="s">
        <v>12808</v>
      </c>
      <c r="F2404" s="35" t="s">
        <v>12483</v>
      </c>
      <c r="G2404" s="35">
        <v>352118</v>
      </c>
      <c r="H2404" s="35">
        <v>390120</v>
      </c>
      <c r="I2404" s="35">
        <v>200020</v>
      </c>
      <c r="J2404" s="34" t="s">
        <v>363</v>
      </c>
      <c r="K2404" s="34" t="str">
        <f t="shared" si="77"/>
        <v>重复</v>
      </c>
      <c r="L2404" s="34" t="str">
        <f t="shared" si="78"/>
        <v>重复</v>
      </c>
    </row>
    <row r="2405" spans="1:12" ht="30">
      <c r="A2405" s="35" t="s">
        <v>12827</v>
      </c>
      <c r="B2405" s="35" t="s">
        <v>6664</v>
      </c>
      <c r="C2405" s="36" t="s">
        <v>6665</v>
      </c>
      <c r="D2405" s="35" t="s">
        <v>6666</v>
      </c>
      <c r="E2405" s="35" t="s">
        <v>12808</v>
      </c>
      <c r="F2405" s="35" t="s">
        <v>12483</v>
      </c>
      <c r="G2405" s="35">
        <v>352119</v>
      </c>
      <c r="H2405" s="35">
        <v>390120</v>
      </c>
      <c r="I2405" s="35">
        <v>200020</v>
      </c>
      <c r="J2405" s="34" t="s">
        <v>6622</v>
      </c>
      <c r="K2405" s="34" t="str">
        <f t="shared" si="77"/>
        <v>不重复</v>
      </c>
      <c r="L2405" s="34" t="str">
        <f t="shared" si="78"/>
        <v>不重复</v>
      </c>
    </row>
    <row r="2406" spans="1:12" ht="27">
      <c r="A2406" s="35" t="s">
        <v>12828</v>
      </c>
      <c r="B2406" s="35" t="s">
        <v>6667</v>
      </c>
      <c r="C2406" s="36" t="s">
        <v>6668</v>
      </c>
      <c r="D2406" s="35" t="s">
        <v>6669</v>
      </c>
      <c r="E2406" s="35" t="s">
        <v>12808</v>
      </c>
      <c r="F2406" s="35" t="s">
        <v>12483</v>
      </c>
      <c r="G2406" s="35">
        <v>352120</v>
      </c>
      <c r="H2406" s="35">
        <v>390120</v>
      </c>
      <c r="I2406" s="35">
        <v>200020</v>
      </c>
      <c r="J2406" s="34" t="s">
        <v>2361</v>
      </c>
      <c r="K2406" s="34" t="str">
        <f t="shared" si="77"/>
        <v>不重复</v>
      </c>
      <c r="L2406" s="34" t="str">
        <f t="shared" si="78"/>
        <v>不重复</v>
      </c>
    </row>
    <row r="2407" spans="1:12" ht="15">
      <c r="A2407" s="35" t="s">
        <v>12829</v>
      </c>
      <c r="B2407" s="35" t="s">
        <v>6670</v>
      </c>
      <c r="C2407" s="36" t="s">
        <v>1262</v>
      </c>
      <c r="D2407" s="35" t="s">
        <v>6671</v>
      </c>
      <c r="E2407" s="35" t="s">
        <v>12808</v>
      </c>
      <c r="F2407" s="35" t="s">
        <v>12483</v>
      </c>
      <c r="G2407" s="35">
        <v>352121</v>
      </c>
      <c r="H2407" s="35">
        <v>390120</v>
      </c>
      <c r="I2407" s="35">
        <v>200020</v>
      </c>
      <c r="J2407" s="34" t="s">
        <v>962</v>
      </c>
      <c r="K2407" s="34" t="str">
        <f t="shared" si="77"/>
        <v>重复</v>
      </c>
      <c r="L2407" s="34" t="str">
        <f t="shared" si="78"/>
        <v>不重复</v>
      </c>
    </row>
    <row r="2408" spans="1:12" ht="27">
      <c r="A2408" s="35" t="s">
        <v>12830</v>
      </c>
      <c r="B2408" s="35" t="s">
        <v>6672</v>
      </c>
      <c r="C2408" s="36" t="s">
        <v>6673</v>
      </c>
      <c r="D2408" s="35" t="s">
        <v>6674</v>
      </c>
      <c r="E2408" s="35" t="s">
        <v>12808</v>
      </c>
      <c r="F2408" s="35" t="s">
        <v>12483</v>
      </c>
      <c r="G2408" s="35">
        <v>352122</v>
      </c>
      <c r="H2408" s="35">
        <v>390120</v>
      </c>
      <c r="I2408" s="35">
        <v>200020</v>
      </c>
      <c r="J2408" s="34" t="s">
        <v>6675</v>
      </c>
      <c r="K2408" s="34" t="str">
        <f t="shared" si="77"/>
        <v>重复</v>
      </c>
      <c r="L2408" s="34" t="str">
        <f t="shared" si="78"/>
        <v>不重复</v>
      </c>
    </row>
    <row r="2409" spans="1:12" ht="27">
      <c r="A2409" s="35" t="s">
        <v>12831</v>
      </c>
      <c r="B2409" s="35" t="s">
        <v>6676</v>
      </c>
      <c r="C2409" s="36" t="s">
        <v>6677</v>
      </c>
      <c r="D2409" s="35" t="s">
        <v>6678</v>
      </c>
      <c r="E2409" s="35" t="s">
        <v>12808</v>
      </c>
      <c r="F2409" s="35" t="s">
        <v>12483</v>
      </c>
      <c r="G2409" s="35">
        <v>352123</v>
      </c>
      <c r="H2409" s="35">
        <v>390120</v>
      </c>
      <c r="I2409" s="35">
        <v>200020</v>
      </c>
      <c r="J2409" s="34" t="s">
        <v>6622</v>
      </c>
      <c r="K2409" s="34" t="str">
        <f t="shared" si="77"/>
        <v>不重复</v>
      </c>
      <c r="L2409" s="34" t="str">
        <f t="shared" si="78"/>
        <v>不重复</v>
      </c>
    </row>
    <row r="2410" spans="1:12" ht="27">
      <c r="A2410" s="35" t="s">
        <v>12832</v>
      </c>
      <c r="B2410" s="35" t="s">
        <v>6679</v>
      </c>
      <c r="C2410" s="36" t="s">
        <v>6653</v>
      </c>
      <c r="D2410" s="35" t="s">
        <v>6680</v>
      </c>
      <c r="E2410" s="35" t="s">
        <v>12808</v>
      </c>
      <c r="F2410" s="35" t="s">
        <v>12483</v>
      </c>
      <c r="G2410" s="35">
        <v>352124</v>
      </c>
      <c r="H2410" s="35">
        <v>390120</v>
      </c>
      <c r="I2410" s="35">
        <v>200020</v>
      </c>
      <c r="J2410" s="34" t="s">
        <v>1040</v>
      </c>
      <c r="K2410" s="34" t="str">
        <f t="shared" si="77"/>
        <v>重复</v>
      </c>
      <c r="L2410" s="34" t="str">
        <f t="shared" si="78"/>
        <v>不重复</v>
      </c>
    </row>
    <row r="2411" spans="1:12" ht="27">
      <c r="A2411" s="35" t="s">
        <v>12833</v>
      </c>
      <c r="B2411" s="35" t="s">
        <v>6681</v>
      </c>
      <c r="C2411" s="36" t="s">
        <v>2813</v>
      </c>
      <c r="D2411" s="35" t="s">
        <v>6682</v>
      </c>
      <c r="E2411" s="35" t="s">
        <v>12808</v>
      </c>
      <c r="F2411" s="35" t="s">
        <v>12483</v>
      </c>
      <c r="G2411" s="35">
        <v>352125</v>
      </c>
      <c r="H2411" s="35">
        <v>390120</v>
      </c>
      <c r="I2411" s="35">
        <v>200020</v>
      </c>
      <c r="J2411" s="34" t="s">
        <v>932</v>
      </c>
      <c r="K2411" s="34" t="str">
        <f t="shared" si="77"/>
        <v>重复</v>
      </c>
      <c r="L2411" s="34" t="str">
        <f t="shared" si="78"/>
        <v>重复</v>
      </c>
    </row>
    <row r="2412" spans="1:12" ht="27">
      <c r="A2412" s="35" t="s">
        <v>12834</v>
      </c>
      <c r="B2412" s="35" t="s">
        <v>6683</v>
      </c>
      <c r="C2412" s="36" t="s">
        <v>6684</v>
      </c>
      <c r="D2412" s="35" t="s">
        <v>6685</v>
      </c>
      <c r="E2412" s="35" t="s">
        <v>12808</v>
      </c>
      <c r="F2412" s="35" t="s">
        <v>12483</v>
      </c>
      <c r="G2412" s="35">
        <v>352126</v>
      </c>
      <c r="H2412" s="35">
        <v>390120</v>
      </c>
      <c r="I2412" s="35">
        <v>200020</v>
      </c>
      <c r="J2412" s="34" t="s">
        <v>1040</v>
      </c>
      <c r="K2412" s="34" t="str">
        <f t="shared" si="77"/>
        <v>重复</v>
      </c>
      <c r="L2412" s="34" t="str">
        <f t="shared" si="78"/>
        <v>不重复</v>
      </c>
    </row>
    <row r="2413" spans="1:12" ht="15">
      <c r="A2413" s="35" t="s">
        <v>12835</v>
      </c>
      <c r="B2413" s="35" t="s">
        <v>6686</v>
      </c>
      <c r="C2413" s="36" t="s">
        <v>1262</v>
      </c>
      <c r="D2413" s="35" t="s">
        <v>6687</v>
      </c>
      <c r="E2413" s="35" t="s">
        <v>12808</v>
      </c>
      <c r="F2413" s="35" t="s">
        <v>12483</v>
      </c>
      <c r="G2413" s="35">
        <v>352127</v>
      </c>
      <c r="H2413" s="35">
        <v>390120</v>
      </c>
      <c r="I2413" s="35">
        <v>200020</v>
      </c>
      <c r="J2413" s="34" t="s">
        <v>6688</v>
      </c>
      <c r="K2413" s="34" t="str">
        <f t="shared" si="77"/>
        <v>重复</v>
      </c>
      <c r="L2413" s="34" t="str">
        <f t="shared" si="78"/>
        <v>不重复</v>
      </c>
    </row>
    <row r="2414" spans="1:12" ht="27">
      <c r="A2414" s="35" t="s">
        <v>12836</v>
      </c>
      <c r="B2414" s="35" t="s">
        <v>6689</v>
      </c>
      <c r="C2414" s="36" t="s">
        <v>6690</v>
      </c>
      <c r="D2414" s="35" t="s">
        <v>6691</v>
      </c>
      <c r="E2414" s="35" t="s">
        <v>12808</v>
      </c>
      <c r="F2414" s="35" t="s">
        <v>12483</v>
      </c>
      <c r="G2414" s="35">
        <v>352128</v>
      </c>
      <c r="H2414" s="35">
        <v>390120</v>
      </c>
      <c r="I2414" s="35">
        <v>200020</v>
      </c>
      <c r="J2414" s="34" t="s">
        <v>962</v>
      </c>
      <c r="K2414" s="34" t="str">
        <f t="shared" si="77"/>
        <v>不重复</v>
      </c>
      <c r="L2414" s="34" t="str">
        <f t="shared" si="78"/>
        <v>不重复</v>
      </c>
    </row>
    <row r="2415" spans="1:12" ht="27">
      <c r="A2415" s="35" t="s">
        <v>12837</v>
      </c>
      <c r="B2415" s="35" t="s">
        <v>6692</v>
      </c>
      <c r="C2415" s="36" t="s">
        <v>1895</v>
      </c>
      <c r="D2415" s="35" t="s">
        <v>6693</v>
      </c>
      <c r="E2415" s="35" t="s">
        <v>12808</v>
      </c>
      <c r="F2415" s="35" t="s">
        <v>12483</v>
      </c>
      <c r="G2415" s="35">
        <v>352129</v>
      </c>
      <c r="H2415" s="35">
        <v>390120</v>
      </c>
      <c r="I2415" s="35">
        <v>200020</v>
      </c>
      <c r="J2415" s="34" t="s">
        <v>1468</v>
      </c>
      <c r="K2415" s="34" t="str">
        <f t="shared" si="77"/>
        <v>重复</v>
      </c>
      <c r="L2415" s="34" t="str">
        <f t="shared" si="78"/>
        <v>不重复</v>
      </c>
    </row>
    <row r="2416" spans="1:12" ht="15">
      <c r="A2416" s="35" t="s">
        <v>12838</v>
      </c>
      <c r="B2416" s="35" t="s">
        <v>6694</v>
      </c>
      <c r="C2416" s="36" t="s">
        <v>6695</v>
      </c>
      <c r="D2416" s="35" t="s">
        <v>6696</v>
      </c>
      <c r="E2416" s="35" t="s">
        <v>12808</v>
      </c>
      <c r="F2416" s="35" t="s">
        <v>12483</v>
      </c>
      <c r="G2416" s="35">
        <v>352130</v>
      </c>
      <c r="H2416" s="35">
        <v>390120</v>
      </c>
      <c r="I2416" s="35">
        <v>200020</v>
      </c>
      <c r="J2416" s="34" t="s">
        <v>1137</v>
      </c>
      <c r="K2416" s="34" t="str">
        <f t="shared" si="77"/>
        <v>不重复</v>
      </c>
      <c r="L2416" s="34" t="str">
        <f t="shared" si="78"/>
        <v>不重复</v>
      </c>
    </row>
    <row r="2417" spans="1:12" ht="15">
      <c r="A2417" s="35" t="s">
        <v>12839</v>
      </c>
      <c r="B2417" s="35" t="s">
        <v>6697</v>
      </c>
      <c r="C2417" s="36" t="s">
        <v>6698</v>
      </c>
      <c r="D2417" s="35" t="s">
        <v>6699</v>
      </c>
      <c r="E2417" s="35" t="s">
        <v>12808</v>
      </c>
      <c r="F2417" s="35" t="s">
        <v>12483</v>
      </c>
      <c r="G2417" s="35">
        <v>352131</v>
      </c>
      <c r="H2417" s="35">
        <v>390120</v>
      </c>
      <c r="I2417" s="35">
        <v>200020</v>
      </c>
      <c r="J2417" s="34" t="s">
        <v>962</v>
      </c>
      <c r="K2417" s="34" t="str">
        <f t="shared" si="77"/>
        <v>不重复</v>
      </c>
      <c r="L2417" s="34" t="str">
        <f t="shared" si="78"/>
        <v>不重复</v>
      </c>
    </row>
    <row r="2418" spans="1:12" ht="15">
      <c r="A2418" s="35" t="s">
        <v>12840</v>
      </c>
      <c r="B2418" s="35" t="s">
        <v>6700</v>
      </c>
      <c r="C2418" s="36" t="s">
        <v>6701</v>
      </c>
      <c r="D2418" s="35" t="s">
        <v>6135</v>
      </c>
      <c r="E2418" s="35" t="s">
        <v>12808</v>
      </c>
      <c r="F2418" s="35" t="s">
        <v>12483</v>
      </c>
      <c r="G2418" s="35">
        <v>352132</v>
      </c>
      <c r="H2418" s="35">
        <v>390120</v>
      </c>
      <c r="I2418" s="35">
        <v>200020</v>
      </c>
      <c r="J2418" s="34" t="s">
        <v>288</v>
      </c>
      <c r="K2418" s="34" t="str">
        <f t="shared" si="77"/>
        <v>不重复</v>
      </c>
      <c r="L2418" s="34" t="str">
        <f t="shared" si="78"/>
        <v>重复</v>
      </c>
    </row>
    <row r="2419" spans="1:12" ht="15">
      <c r="A2419" s="35" t="s">
        <v>12841</v>
      </c>
      <c r="B2419" s="35" t="s">
        <v>6702</v>
      </c>
      <c r="C2419" s="36" t="s">
        <v>6703</v>
      </c>
      <c r="D2419" s="35" t="s">
        <v>6704</v>
      </c>
      <c r="E2419" s="35" t="s">
        <v>12841</v>
      </c>
      <c r="F2419" s="35" t="s">
        <v>12483</v>
      </c>
      <c r="G2419" s="35">
        <v>352200</v>
      </c>
      <c r="H2419" s="35">
        <v>390130</v>
      </c>
      <c r="I2419" s="35">
        <v>200020</v>
      </c>
      <c r="J2419" s="34" t="s">
        <v>16</v>
      </c>
      <c r="K2419" s="34" t="str">
        <f t="shared" si="77"/>
        <v>不重复</v>
      </c>
      <c r="L2419" s="34" t="str">
        <f t="shared" si="78"/>
        <v>不重复</v>
      </c>
    </row>
    <row r="2420" spans="1:12" ht="15">
      <c r="A2420" s="35" t="s">
        <v>12842</v>
      </c>
      <c r="B2420" s="35" t="s">
        <v>6705</v>
      </c>
      <c r="C2420" s="36" t="s">
        <v>552</v>
      </c>
      <c r="D2420" s="35" t="s">
        <v>6706</v>
      </c>
      <c r="E2420" s="35" t="s">
        <v>12841</v>
      </c>
      <c r="F2420" s="35" t="s">
        <v>12483</v>
      </c>
      <c r="G2420" s="35">
        <v>352201</v>
      </c>
      <c r="H2420" s="35">
        <v>390130</v>
      </c>
      <c r="I2420" s="35">
        <v>200020</v>
      </c>
      <c r="J2420" s="34" t="s">
        <v>985</v>
      </c>
      <c r="K2420" s="34" t="str">
        <f t="shared" si="77"/>
        <v>重复</v>
      </c>
      <c r="L2420" s="34" t="str">
        <f t="shared" si="78"/>
        <v>不重复</v>
      </c>
    </row>
    <row r="2421" spans="1:12" ht="15">
      <c r="A2421" s="35" t="s">
        <v>12843</v>
      </c>
      <c r="B2421" s="35" t="s">
        <v>6707</v>
      </c>
      <c r="C2421" s="36" t="s">
        <v>6708</v>
      </c>
      <c r="D2421" s="35" t="s">
        <v>6709</v>
      </c>
      <c r="E2421" s="35" t="s">
        <v>12841</v>
      </c>
      <c r="F2421" s="35" t="s">
        <v>12483</v>
      </c>
      <c r="G2421" s="35">
        <v>352202</v>
      </c>
      <c r="H2421" s="35">
        <v>390130</v>
      </c>
      <c r="I2421" s="35">
        <v>200020</v>
      </c>
      <c r="J2421" s="34" t="s">
        <v>932</v>
      </c>
      <c r="K2421" s="34" t="str">
        <f t="shared" si="77"/>
        <v>重复</v>
      </c>
      <c r="L2421" s="34" t="str">
        <f t="shared" si="78"/>
        <v>不重复</v>
      </c>
    </row>
    <row r="2422" spans="1:12" ht="15">
      <c r="A2422" s="35" t="s">
        <v>12844</v>
      </c>
      <c r="B2422" s="35" t="s">
        <v>6710</v>
      </c>
      <c r="C2422" s="36" t="s">
        <v>6711</v>
      </c>
      <c r="D2422" s="35" t="s">
        <v>6712</v>
      </c>
      <c r="E2422" s="35" t="s">
        <v>12841</v>
      </c>
      <c r="F2422" s="35" t="s">
        <v>12483</v>
      </c>
      <c r="G2422" s="35">
        <v>352203</v>
      </c>
      <c r="H2422" s="35">
        <v>390130</v>
      </c>
      <c r="I2422" s="35">
        <v>200020</v>
      </c>
      <c r="J2422" s="34" t="s">
        <v>932</v>
      </c>
      <c r="K2422" s="34" t="str">
        <f t="shared" si="77"/>
        <v>重复</v>
      </c>
      <c r="L2422" s="34" t="str">
        <f t="shared" si="78"/>
        <v>不重复</v>
      </c>
    </row>
    <row r="2423" spans="1:12" ht="15">
      <c r="A2423" s="35" t="s">
        <v>12845</v>
      </c>
      <c r="B2423" s="35" t="s">
        <v>6713</v>
      </c>
      <c r="C2423" s="36" t="s">
        <v>139</v>
      </c>
      <c r="D2423" s="35" t="s">
        <v>6714</v>
      </c>
      <c r="E2423" s="35" t="s">
        <v>12841</v>
      </c>
      <c r="F2423" s="35" t="s">
        <v>12483</v>
      </c>
      <c r="G2423" s="35">
        <v>352204</v>
      </c>
      <c r="H2423" s="35">
        <v>390130</v>
      </c>
      <c r="I2423" s="35">
        <v>200020</v>
      </c>
      <c r="J2423" s="34" t="s">
        <v>932</v>
      </c>
      <c r="K2423" s="34" t="str">
        <f t="shared" si="77"/>
        <v>重复</v>
      </c>
      <c r="L2423" s="34" t="str">
        <f t="shared" si="78"/>
        <v>不重复</v>
      </c>
    </row>
    <row r="2424" spans="1:12" ht="15">
      <c r="A2424" s="35" t="s">
        <v>12846</v>
      </c>
      <c r="B2424" s="35" t="s">
        <v>6715</v>
      </c>
      <c r="C2424" s="36" t="s">
        <v>6711</v>
      </c>
      <c r="D2424" s="35" t="s">
        <v>6716</v>
      </c>
      <c r="E2424" s="35" t="s">
        <v>12841</v>
      </c>
      <c r="F2424" s="35" t="s">
        <v>12483</v>
      </c>
      <c r="G2424" s="35">
        <v>352205</v>
      </c>
      <c r="H2424" s="35">
        <v>390130</v>
      </c>
      <c r="I2424" s="35">
        <v>200020</v>
      </c>
      <c r="J2424" s="34" t="s">
        <v>422</v>
      </c>
      <c r="K2424" s="34" t="str">
        <f t="shared" si="77"/>
        <v>重复</v>
      </c>
      <c r="L2424" s="34" t="str">
        <f t="shared" si="78"/>
        <v>不重复</v>
      </c>
    </row>
    <row r="2425" spans="1:12" ht="15">
      <c r="A2425" s="35" t="s">
        <v>12847</v>
      </c>
      <c r="B2425" s="35" t="s">
        <v>6717</v>
      </c>
      <c r="C2425" s="36" t="s">
        <v>2522</v>
      </c>
      <c r="D2425" s="35" t="s">
        <v>6718</v>
      </c>
      <c r="E2425" s="35" t="s">
        <v>12841</v>
      </c>
      <c r="F2425" s="35" t="s">
        <v>12483</v>
      </c>
      <c r="G2425" s="35">
        <v>352206</v>
      </c>
      <c r="H2425" s="35">
        <v>390130</v>
      </c>
      <c r="I2425" s="35">
        <v>200020</v>
      </c>
      <c r="J2425" s="34" t="s">
        <v>932</v>
      </c>
      <c r="K2425" s="34" t="str">
        <f t="shared" si="77"/>
        <v>重复</v>
      </c>
      <c r="L2425" s="34" t="str">
        <f t="shared" si="78"/>
        <v>不重复</v>
      </c>
    </row>
    <row r="2426" spans="1:12" ht="15">
      <c r="A2426" s="35" t="s">
        <v>12848</v>
      </c>
      <c r="B2426" s="35" t="s">
        <v>6719</v>
      </c>
      <c r="C2426" s="36" t="s">
        <v>2915</v>
      </c>
      <c r="D2426" s="35" t="s">
        <v>6720</v>
      </c>
      <c r="E2426" s="35" t="s">
        <v>12841</v>
      </c>
      <c r="F2426" s="35" t="s">
        <v>12483</v>
      </c>
      <c r="G2426" s="35">
        <v>352207</v>
      </c>
      <c r="H2426" s="35">
        <v>390130</v>
      </c>
      <c r="I2426" s="35">
        <v>200020</v>
      </c>
      <c r="J2426" s="34" t="s">
        <v>311</v>
      </c>
      <c r="K2426" s="34" t="str">
        <f t="shared" si="77"/>
        <v>重复</v>
      </c>
      <c r="L2426" s="34" t="str">
        <f t="shared" si="78"/>
        <v>不重复</v>
      </c>
    </row>
    <row r="2427" spans="1:12" ht="15">
      <c r="A2427" s="35" t="s">
        <v>12849</v>
      </c>
      <c r="B2427" s="35" t="s">
        <v>6721</v>
      </c>
      <c r="C2427" s="36" t="s">
        <v>6722</v>
      </c>
      <c r="D2427" s="35" t="s">
        <v>6723</v>
      </c>
      <c r="E2427" s="35" t="s">
        <v>12841</v>
      </c>
      <c r="F2427" s="35" t="s">
        <v>12483</v>
      </c>
      <c r="G2427" s="35">
        <v>352208</v>
      </c>
      <c r="H2427" s="35">
        <v>390130</v>
      </c>
      <c r="I2427" s="35">
        <v>200020</v>
      </c>
      <c r="J2427" s="34" t="s">
        <v>688</v>
      </c>
      <c r="K2427" s="34" t="str">
        <f t="shared" si="77"/>
        <v>不重复</v>
      </c>
      <c r="L2427" s="34" t="str">
        <f t="shared" si="78"/>
        <v>不重复</v>
      </c>
    </row>
    <row r="2428" spans="1:12" ht="15">
      <c r="A2428" s="35" t="s">
        <v>12850</v>
      </c>
      <c r="B2428" s="35" t="s">
        <v>6724</v>
      </c>
      <c r="C2428" s="36" t="s">
        <v>6725</v>
      </c>
      <c r="D2428" s="35" t="s">
        <v>6726</v>
      </c>
      <c r="E2428" s="35" t="s">
        <v>12841</v>
      </c>
      <c r="F2428" s="35" t="s">
        <v>12483</v>
      </c>
      <c r="G2428" s="35">
        <v>352209</v>
      </c>
      <c r="H2428" s="35">
        <v>390130</v>
      </c>
      <c r="I2428" s="35">
        <v>200020</v>
      </c>
      <c r="J2428" s="34" t="s">
        <v>1040</v>
      </c>
      <c r="K2428" s="34" t="str">
        <f t="shared" si="77"/>
        <v>不重复</v>
      </c>
      <c r="L2428" s="34" t="str">
        <f t="shared" si="78"/>
        <v>不重复</v>
      </c>
    </row>
    <row r="2429" spans="1:12" ht="15">
      <c r="A2429" s="35" t="s">
        <v>12851</v>
      </c>
      <c r="B2429" s="35" t="s">
        <v>6727</v>
      </c>
      <c r="C2429" s="36" t="s">
        <v>6728</v>
      </c>
      <c r="D2429" s="35" t="s">
        <v>6729</v>
      </c>
      <c r="E2429" s="35" t="s">
        <v>12841</v>
      </c>
      <c r="F2429" s="35" t="s">
        <v>12483</v>
      </c>
      <c r="G2429" s="35">
        <v>352210</v>
      </c>
      <c r="H2429" s="35">
        <v>390130</v>
      </c>
      <c r="I2429" s="35">
        <v>200020</v>
      </c>
      <c r="J2429" s="34" t="s">
        <v>311</v>
      </c>
      <c r="K2429" s="34" t="str">
        <f t="shared" si="77"/>
        <v>不重复</v>
      </c>
      <c r="L2429" s="34" t="str">
        <f t="shared" si="78"/>
        <v>不重复</v>
      </c>
    </row>
    <row r="2430" spans="1:12" ht="15">
      <c r="A2430" s="35" t="s">
        <v>12852</v>
      </c>
      <c r="B2430" s="35" t="s">
        <v>6730</v>
      </c>
      <c r="C2430" s="36" t="s">
        <v>2478</v>
      </c>
      <c r="D2430" s="35" t="s">
        <v>6731</v>
      </c>
      <c r="E2430" s="35" t="s">
        <v>12841</v>
      </c>
      <c r="F2430" s="35" t="s">
        <v>12483</v>
      </c>
      <c r="G2430" s="35">
        <v>352211</v>
      </c>
      <c r="H2430" s="35">
        <v>390130</v>
      </c>
      <c r="I2430" s="35">
        <v>200020</v>
      </c>
      <c r="J2430" s="34" t="s">
        <v>932</v>
      </c>
      <c r="K2430" s="34" t="str">
        <f t="shared" si="77"/>
        <v>重复</v>
      </c>
      <c r="L2430" s="34" t="str">
        <f t="shared" si="78"/>
        <v>不重复</v>
      </c>
    </row>
    <row r="2431" spans="1:12" ht="15">
      <c r="A2431" s="35" t="s">
        <v>12853</v>
      </c>
      <c r="B2431" s="35" t="s">
        <v>6732</v>
      </c>
      <c r="C2431" s="36" t="s">
        <v>6733</v>
      </c>
      <c r="D2431" s="35" t="s">
        <v>6734</v>
      </c>
      <c r="E2431" s="35" t="s">
        <v>12841</v>
      </c>
      <c r="F2431" s="35" t="s">
        <v>12483</v>
      </c>
      <c r="G2431" s="35">
        <v>352212</v>
      </c>
      <c r="H2431" s="35">
        <v>390130</v>
      </c>
      <c r="I2431" s="35">
        <v>200020</v>
      </c>
      <c r="J2431" s="34" t="s">
        <v>715</v>
      </c>
      <c r="K2431" s="34" t="str">
        <f t="shared" si="77"/>
        <v>不重复</v>
      </c>
      <c r="L2431" s="34" t="str">
        <f t="shared" si="78"/>
        <v>不重复</v>
      </c>
    </row>
    <row r="2432" spans="1:12" ht="15">
      <c r="A2432" s="35" t="s">
        <v>12854</v>
      </c>
      <c r="B2432" s="35" t="s">
        <v>6735</v>
      </c>
      <c r="C2432" s="36" t="s">
        <v>6736</v>
      </c>
      <c r="D2432" s="35" t="s">
        <v>6737</v>
      </c>
      <c r="E2432" s="35" t="s">
        <v>12841</v>
      </c>
      <c r="F2432" s="35" t="s">
        <v>12483</v>
      </c>
      <c r="G2432" s="35">
        <v>352213</v>
      </c>
      <c r="H2432" s="35">
        <v>390130</v>
      </c>
      <c r="I2432" s="35">
        <v>200020</v>
      </c>
      <c r="J2432" s="34" t="s">
        <v>715</v>
      </c>
      <c r="K2432" s="34" t="str">
        <f t="shared" si="77"/>
        <v>不重复</v>
      </c>
      <c r="L2432" s="34" t="str">
        <f t="shared" si="78"/>
        <v>不重复</v>
      </c>
    </row>
    <row r="2433" spans="1:12" ht="15">
      <c r="A2433" s="35" t="s">
        <v>12855</v>
      </c>
      <c r="B2433" s="35" t="s">
        <v>6738</v>
      </c>
      <c r="C2433" s="36" t="s">
        <v>6711</v>
      </c>
      <c r="D2433" s="35" t="s">
        <v>6739</v>
      </c>
      <c r="E2433" s="35" t="s">
        <v>12841</v>
      </c>
      <c r="F2433" s="35" t="s">
        <v>12483</v>
      </c>
      <c r="G2433" s="35">
        <v>352214</v>
      </c>
      <c r="H2433" s="35">
        <v>390130</v>
      </c>
      <c r="I2433" s="35">
        <v>200020</v>
      </c>
      <c r="J2433" s="34" t="s">
        <v>422</v>
      </c>
      <c r="K2433" s="34" t="str">
        <f t="shared" si="77"/>
        <v>重复</v>
      </c>
      <c r="L2433" s="34" t="str">
        <f t="shared" si="78"/>
        <v>不重复</v>
      </c>
    </row>
    <row r="2434" spans="1:12" ht="15">
      <c r="A2434" s="35" t="s">
        <v>12856</v>
      </c>
      <c r="B2434" s="35" t="s">
        <v>6740</v>
      </c>
      <c r="C2434" s="36" t="s">
        <v>2872</v>
      </c>
      <c r="D2434" s="35" t="s">
        <v>6741</v>
      </c>
      <c r="E2434" s="35" t="s">
        <v>12841</v>
      </c>
      <c r="F2434" s="35" t="s">
        <v>12483</v>
      </c>
      <c r="G2434" s="35">
        <v>352215</v>
      </c>
      <c r="H2434" s="35">
        <v>390130</v>
      </c>
      <c r="I2434" s="35">
        <v>200020</v>
      </c>
      <c r="J2434" s="34" t="s">
        <v>985</v>
      </c>
      <c r="K2434" s="34" t="str">
        <f t="shared" si="77"/>
        <v>重复</v>
      </c>
      <c r="L2434" s="34" t="str">
        <f t="shared" si="78"/>
        <v>不重复</v>
      </c>
    </row>
    <row r="2435" spans="1:12" ht="15">
      <c r="A2435" s="35" t="s">
        <v>12857</v>
      </c>
      <c r="B2435" s="35" t="s">
        <v>6742</v>
      </c>
      <c r="C2435" s="36" t="s">
        <v>6743</v>
      </c>
      <c r="D2435" s="35" t="s">
        <v>6744</v>
      </c>
      <c r="E2435" s="35" t="s">
        <v>12841</v>
      </c>
      <c r="F2435" s="35" t="s">
        <v>12483</v>
      </c>
      <c r="G2435" s="35">
        <v>352216</v>
      </c>
      <c r="H2435" s="35">
        <v>390130</v>
      </c>
      <c r="I2435" s="35">
        <v>200020</v>
      </c>
      <c r="J2435" s="34" t="s">
        <v>2240</v>
      </c>
      <c r="K2435" s="34" t="str">
        <f t="shared" si="77"/>
        <v>不重复</v>
      </c>
      <c r="L2435" s="34" t="str">
        <f t="shared" si="78"/>
        <v>不重复</v>
      </c>
    </row>
    <row r="2436" spans="1:12" ht="15">
      <c r="A2436" s="35" t="s">
        <v>12858</v>
      </c>
      <c r="B2436" s="35" t="s">
        <v>6745</v>
      </c>
      <c r="C2436" s="36" t="s">
        <v>6746</v>
      </c>
      <c r="D2436" s="35" t="s">
        <v>6747</v>
      </c>
      <c r="E2436" s="35" t="s">
        <v>12858</v>
      </c>
      <c r="F2436" s="35" t="s">
        <v>12483</v>
      </c>
      <c r="G2436" s="35" t="s">
        <v>6748</v>
      </c>
      <c r="H2436" s="35" t="s">
        <v>6749</v>
      </c>
      <c r="I2436" s="35">
        <v>200020</v>
      </c>
      <c r="J2436" s="34"/>
      <c r="K2436" s="34" t="str">
        <f t="shared" si="77"/>
        <v>不重复</v>
      </c>
      <c r="L2436" s="34" t="str">
        <f t="shared" si="78"/>
        <v>重复</v>
      </c>
    </row>
    <row r="2437" spans="1:12" ht="15">
      <c r="A2437" s="35" t="s">
        <v>12859</v>
      </c>
      <c r="B2437" s="35" t="s">
        <v>6750</v>
      </c>
      <c r="C2437" s="36" t="s">
        <v>6751</v>
      </c>
      <c r="D2437" s="35" t="s">
        <v>6752</v>
      </c>
      <c r="E2437" s="35" t="s">
        <v>12860</v>
      </c>
      <c r="F2437" s="35" t="s">
        <v>12483</v>
      </c>
      <c r="G2437" s="35">
        <v>352250</v>
      </c>
      <c r="H2437" s="35">
        <v>390131</v>
      </c>
      <c r="I2437" s="35">
        <v>200020</v>
      </c>
      <c r="J2437" s="34"/>
      <c r="K2437" s="34" t="str">
        <f t="shared" si="77"/>
        <v>不重复</v>
      </c>
      <c r="L2437" s="34" t="str">
        <f t="shared" si="78"/>
        <v>重复</v>
      </c>
    </row>
    <row r="2438" spans="1:12" ht="15">
      <c r="A2438" s="35" t="s">
        <v>12861</v>
      </c>
      <c r="B2438" s="35" t="s">
        <v>6753</v>
      </c>
      <c r="C2438" s="36" t="s">
        <v>6754</v>
      </c>
      <c r="D2438" s="35" t="s">
        <v>6755</v>
      </c>
      <c r="E2438" s="35" t="s">
        <v>12860</v>
      </c>
      <c r="F2438" s="35" t="s">
        <v>12483</v>
      </c>
      <c r="G2438" s="35">
        <v>352251</v>
      </c>
      <c r="H2438" s="35">
        <v>390131</v>
      </c>
      <c r="I2438" s="35">
        <v>200020</v>
      </c>
      <c r="J2438" s="34" t="s">
        <v>6756</v>
      </c>
      <c r="K2438" s="34" t="str">
        <f t="shared" si="77"/>
        <v>重复</v>
      </c>
      <c r="L2438" s="34" t="str">
        <f t="shared" si="78"/>
        <v>重复</v>
      </c>
    </row>
    <row r="2439" spans="1:12" ht="15">
      <c r="A2439" s="35" t="s">
        <v>12862</v>
      </c>
      <c r="B2439" s="35" t="s">
        <v>6757</v>
      </c>
      <c r="C2439" s="36" t="s">
        <v>6758</v>
      </c>
      <c r="D2439" s="35" t="s">
        <v>6759</v>
      </c>
      <c r="E2439" s="35" t="s">
        <v>12862</v>
      </c>
      <c r="F2439" s="35" t="s">
        <v>12483</v>
      </c>
      <c r="G2439" s="35">
        <v>352300</v>
      </c>
      <c r="H2439" s="35">
        <v>390140</v>
      </c>
      <c r="I2439" s="35">
        <v>200020</v>
      </c>
      <c r="J2439" s="34" t="s">
        <v>16</v>
      </c>
      <c r="K2439" s="34" t="str">
        <f t="shared" si="77"/>
        <v>不重复</v>
      </c>
      <c r="L2439" s="34" t="str">
        <f t="shared" si="78"/>
        <v>不重复</v>
      </c>
    </row>
    <row r="2440" spans="1:12" ht="27">
      <c r="A2440" s="35" t="s">
        <v>12863</v>
      </c>
      <c r="B2440" s="35" t="s">
        <v>6760</v>
      </c>
      <c r="C2440" s="36" t="s">
        <v>5317</v>
      </c>
      <c r="D2440" s="35" t="s">
        <v>6761</v>
      </c>
      <c r="E2440" s="35" t="s">
        <v>12862</v>
      </c>
      <c r="F2440" s="35" t="s">
        <v>12483</v>
      </c>
      <c r="G2440" s="35">
        <v>352301</v>
      </c>
      <c r="H2440" s="35">
        <v>390140</v>
      </c>
      <c r="I2440" s="35">
        <v>200020</v>
      </c>
      <c r="J2440" s="34" t="s">
        <v>363</v>
      </c>
      <c r="K2440" s="34" t="str">
        <f t="shared" si="77"/>
        <v>重复</v>
      </c>
      <c r="L2440" s="34" t="str">
        <f t="shared" si="78"/>
        <v>不重复</v>
      </c>
    </row>
    <row r="2441" spans="1:12" ht="15">
      <c r="A2441" s="35" t="s">
        <v>12864</v>
      </c>
      <c r="B2441" s="35" t="s">
        <v>6762</v>
      </c>
      <c r="C2441" s="36" t="s">
        <v>2133</v>
      </c>
      <c r="D2441" s="35" t="s">
        <v>6763</v>
      </c>
      <c r="E2441" s="35" t="s">
        <v>12862</v>
      </c>
      <c r="F2441" s="35" t="s">
        <v>12483</v>
      </c>
      <c r="G2441" s="35">
        <v>352302</v>
      </c>
      <c r="H2441" s="35">
        <v>390140</v>
      </c>
      <c r="I2441" s="35">
        <v>200020</v>
      </c>
      <c r="J2441" s="34" t="s">
        <v>288</v>
      </c>
      <c r="K2441" s="34" t="str">
        <f t="shared" si="77"/>
        <v>重复</v>
      </c>
      <c r="L2441" s="34" t="str">
        <f t="shared" si="78"/>
        <v>不重复</v>
      </c>
    </row>
    <row r="2442" spans="1:12" ht="15">
      <c r="A2442" s="35" t="s">
        <v>12865</v>
      </c>
      <c r="B2442" s="35" t="s">
        <v>6764</v>
      </c>
      <c r="C2442" s="36" t="s">
        <v>1594</v>
      </c>
      <c r="D2442" s="35" t="s">
        <v>6765</v>
      </c>
      <c r="E2442" s="35" t="s">
        <v>12862</v>
      </c>
      <c r="F2442" s="35" t="s">
        <v>12483</v>
      </c>
      <c r="G2442" s="35">
        <v>352303</v>
      </c>
      <c r="H2442" s="35">
        <v>390140</v>
      </c>
      <c r="I2442" s="35">
        <v>200020</v>
      </c>
      <c r="J2442" s="34" t="s">
        <v>288</v>
      </c>
      <c r="K2442" s="34" t="str">
        <f t="shared" si="77"/>
        <v>重复</v>
      </c>
      <c r="L2442" s="34" t="str">
        <f t="shared" si="78"/>
        <v>不重复</v>
      </c>
    </row>
    <row r="2443" spans="1:12" ht="15">
      <c r="A2443" s="35" t="s">
        <v>12866</v>
      </c>
      <c r="B2443" s="35" t="s">
        <v>6766</v>
      </c>
      <c r="C2443" s="36" t="s">
        <v>6767</v>
      </c>
      <c r="D2443" s="35" t="s">
        <v>6768</v>
      </c>
      <c r="E2443" s="35" t="s">
        <v>12862</v>
      </c>
      <c r="F2443" s="35" t="s">
        <v>12483</v>
      </c>
      <c r="G2443" s="35">
        <v>352304</v>
      </c>
      <c r="H2443" s="35">
        <v>390140</v>
      </c>
      <c r="I2443" s="35">
        <v>200020</v>
      </c>
      <c r="J2443" s="34" t="s">
        <v>668</v>
      </c>
      <c r="K2443" s="34" t="str">
        <f t="shared" si="77"/>
        <v>不重复</v>
      </c>
      <c r="L2443" s="34" t="str">
        <f t="shared" si="78"/>
        <v>不重复</v>
      </c>
    </row>
    <row r="2444" spans="1:12" ht="15">
      <c r="A2444" s="35" t="s">
        <v>12867</v>
      </c>
      <c r="B2444" s="35" t="s">
        <v>6769</v>
      </c>
      <c r="C2444" s="36" t="s">
        <v>6770</v>
      </c>
      <c r="D2444" s="35" t="s">
        <v>6771</v>
      </c>
      <c r="E2444" s="35" t="s">
        <v>12862</v>
      </c>
      <c r="F2444" s="35" t="s">
        <v>12483</v>
      </c>
      <c r="G2444" s="35">
        <v>352305</v>
      </c>
      <c r="H2444" s="35">
        <v>390140</v>
      </c>
      <c r="I2444" s="35">
        <v>200020</v>
      </c>
      <c r="J2444" s="34" t="s">
        <v>6484</v>
      </c>
      <c r="K2444" s="34" t="str">
        <f t="shared" si="79" ref="K2444:K2507">IF(COUNTIF(C:C,C2444)&gt;=2,"重复","不重复")</f>
        <v>不重复</v>
      </c>
      <c r="L2444" s="34" t="str">
        <f t="shared" si="80" ref="L2444:L2507">IF(COUNTIF(D:D,D2444)&gt;=2,"重复","不重复")</f>
        <v>不重复</v>
      </c>
    </row>
    <row r="2445" spans="1:12" ht="15">
      <c r="A2445" s="35" t="s">
        <v>12868</v>
      </c>
      <c r="B2445" s="35" t="s">
        <v>6772</v>
      </c>
      <c r="C2445" s="36" t="s">
        <v>6773</v>
      </c>
      <c r="D2445" s="35" t="s">
        <v>6774</v>
      </c>
      <c r="E2445" s="35" t="s">
        <v>12862</v>
      </c>
      <c r="F2445" s="35" t="s">
        <v>12483</v>
      </c>
      <c r="G2445" s="35">
        <v>352306</v>
      </c>
      <c r="H2445" s="35">
        <v>390140</v>
      </c>
      <c r="I2445" s="35">
        <v>200020</v>
      </c>
      <c r="J2445" s="34" t="s">
        <v>6484</v>
      </c>
      <c r="K2445" s="34" t="str">
        <f t="shared" si="79"/>
        <v>重复</v>
      </c>
      <c r="L2445" s="34" t="str">
        <f t="shared" si="80"/>
        <v>不重复</v>
      </c>
    </row>
    <row r="2446" spans="1:12" ht="15">
      <c r="A2446" s="35" t="s">
        <v>12869</v>
      </c>
      <c r="B2446" s="35" t="s">
        <v>6775</v>
      </c>
      <c r="C2446" s="36" t="s">
        <v>4046</v>
      </c>
      <c r="D2446" s="35" t="s">
        <v>6776</v>
      </c>
      <c r="E2446" s="35" t="s">
        <v>12862</v>
      </c>
      <c r="F2446" s="35" t="s">
        <v>12483</v>
      </c>
      <c r="G2446" s="35">
        <v>352307</v>
      </c>
      <c r="H2446" s="35">
        <v>390140</v>
      </c>
      <c r="I2446" s="35">
        <v>200020</v>
      </c>
      <c r="J2446" s="34" t="s">
        <v>288</v>
      </c>
      <c r="K2446" s="34" t="str">
        <f t="shared" si="79"/>
        <v>重复</v>
      </c>
      <c r="L2446" s="34" t="str">
        <f t="shared" si="80"/>
        <v>不重复</v>
      </c>
    </row>
    <row r="2447" spans="1:12" ht="15">
      <c r="A2447" s="35" t="s">
        <v>12870</v>
      </c>
      <c r="B2447" s="35" t="s">
        <v>6777</v>
      </c>
      <c r="C2447" s="36" t="s">
        <v>6778</v>
      </c>
      <c r="D2447" s="35" t="s">
        <v>6779</v>
      </c>
      <c r="E2447" s="35" t="s">
        <v>12862</v>
      </c>
      <c r="F2447" s="35" t="s">
        <v>12483</v>
      </c>
      <c r="G2447" s="35">
        <v>352308</v>
      </c>
      <c r="H2447" s="35">
        <v>390140</v>
      </c>
      <c r="I2447" s="35">
        <v>200020</v>
      </c>
      <c r="J2447" s="34" t="s">
        <v>6484</v>
      </c>
      <c r="K2447" s="34" t="str">
        <f t="shared" si="79"/>
        <v>不重复</v>
      </c>
      <c r="L2447" s="34" t="str">
        <f t="shared" si="80"/>
        <v>不重复</v>
      </c>
    </row>
    <row r="2448" spans="1:12" ht="15">
      <c r="A2448" s="35" t="s">
        <v>12871</v>
      </c>
      <c r="B2448" s="35" t="s">
        <v>6780</v>
      </c>
      <c r="C2448" s="36" t="s">
        <v>717</v>
      </c>
      <c r="D2448" s="35" t="s">
        <v>6781</v>
      </c>
      <c r="E2448" s="35" t="s">
        <v>12862</v>
      </c>
      <c r="F2448" s="35" t="s">
        <v>12483</v>
      </c>
      <c r="G2448" s="35">
        <v>352309</v>
      </c>
      <c r="H2448" s="35">
        <v>390140</v>
      </c>
      <c r="I2448" s="35">
        <v>200020</v>
      </c>
      <c r="J2448" s="34" t="s">
        <v>688</v>
      </c>
      <c r="K2448" s="34" t="str">
        <f t="shared" si="79"/>
        <v>重复</v>
      </c>
      <c r="L2448" s="34" t="str">
        <f t="shared" si="80"/>
        <v>不重复</v>
      </c>
    </row>
    <row r="2449" spans="1:12" ht="15">
      <c r="A2449" s="35" t="s">
        <v>12872</v>
      </c>
      <c r="B2449" s="35" t="s">
        <v>6782</v>
      </c>
      <c r="C2449" s="36" t="s">
        <v>6783</v>
      </c>
      <c r="D2449" s="35" t="s">
        <v>6784</v>
      </c>
      <c r="E2449" s="35" t="s">
        <v>12862</v>
      </c>
      <c r="F2449" s="35" t="s">
        <v>12483</v>
      </c>
      <c r="G2449" s="35">
        <v>352310</v>
      </c>
      <c r="H2449" s="35">
        <v>390140</v>
      </c>
      <c r="I2449" s="35">
        <v>200020</v>
      </c>
      <c r="J2449" s="34" t="s">
        <v>878</v>
      </c>
      <c r="K2449" s="34" t="str">
        <f t="shared" si="79"/>
        <v>不重复</v>
      </c>
      <c r="L2449" s="34" t="str">
        <f t="shared" si="80"/>
        <v>不重复</v>
      </c>
    </row>
    <row r="2450" spans="1:12" ht="15">
      <c r="A2450" s="35" t="s">
        <v>12873</v>
      </c>
      <c r="B2450" s="35" t="s">
        <v>6785</v>
      </c>
      <c r="C2450" s="36" t="s">
        <v>6786</v>
      </c>
      <c r="D2450" s="35" t="s">
        <v>6787</v>
      </c>
      <c r="E2450" s="35" t="s">
        <v>12862</v>
      </c>
      <c r="F2450" s="35" t="s">
        <v>12483</v>
      </c>
      <c r="G2450" s="35">
        <v>352311</v>
      </c>
      <c r="H2450" s="35">
        <v>390140</v>
      </c>
      <c r="I2450" s="35">
        <v>200020</v>
      </c>
      <c r="J2450" s="34" t="s">
        <v>4197</v>
      </c>
      <c r="K2450" s="34" t="str">
        <f t="shared" si="79"/>
        <v>不重复</v>
      </c>
      <c r="L2450" s="34" t="str">
        <f t="shared" si="80"/>
        <v>不重复</v>
      </c>
    </row>
    <row r="2451" spans="1:12" ht="15">
      <c r="A2451" s="35" t="s">
        <v>12874</v>
      </c>
      <c r="B2451" s="35" t="s">
        <v>6788</v>
      </c>
      <c r="C2451" s="36" t="s">
        <v>5491</v>
      </c>
      <c r="D2451" s="35" t="s">
        <v>6789</v>
      </c>
      <c r="E2451" s="35" t="s">
        <v>12874</v>
      </c>
      <c r="F2451" s="35" t="s">
        <v>12483</v>
      </c>
      <c r="G2451" s="35">
        <v>352400</v>
      </c>
      <c r="H2451" s="35">
        <v>390150</v>
      </c>
      <c r="I2451" s="35">
        <v>200020</v>
      </c>
      <c r="J2451" s="34" t="s">
        <v>16</v>
      </c>
      <c r="K2451" s="34" t="str">
        <f t="shared" si="79"/>
        <v>重复</v>
      </c>
      <c r="L2451" s="34" t="str">
        <f t="shared" si="80"/>
        <v>不重复</v>
      </c>
    </row>
    <row r="2452" spans="1:12" ht="15">
      <c r="A2452" s="35" t="s">
        <v>12875</v>
      </c>
      <c r="B2452" s="35" t="s">
        <v>6790</v>
      </c>
      <c r="C2452" s="36" t="s">
        <v>6156</v>
      </c>
      <c r="D2452" s="35" t="s">
        <v>6791</v>
      </c>
      <c r="E2452" s="35" t="s">
        <v>12874</v>
      </c>
      <c r="F2452" s="35" t="s">
        <v>12483</v>
      </c>
      <c r="G2452" s="35">
        <v>352401</v>
      </c>
      <c r="H2452" s="35">
        <v>390150</v>
      </c>
      <c r="I2452" s="35">
        <v>200020</v>
      </c>
      <c r="J2452" s="34" t="s">
        <v>1040</v>
      </c>
      <c r="K2452" s="34" t="str">
        <f t="shared" si="79"/>
        <v>重复</v>
      </c>
      <c r="L2452" s="34" t="str">
        <f t="shared" si="80"/>
        <v>不重复</v>
      </c>
    </row>
    <row r="2453" spans="1:12" ht="27">
      <c r="A2453" s="35" t="s">
        <v>12876</v>
      </c>
      <c r="B2453" s="35" t="s">
        <v>6792</v>
      </c>
      <c r="C2453" s="36" t="s">
        <v>6793</v>
      </c>
      <c r="D2453" s="35" t="s">
        <v>6794</v>
      </c>
      <c r="E2453" s="35" t="s">
        <v>12874</v>
      </c>
      <c r="F2453" s="35" t="s">
        <v>12483</v>
      </c>
      <c r="G2453" s="35">
        <v>352402</v>
      </c>
      <c r="H2453" s="35">
        <v>390150</v>
      </c>
      <c r="I2453" s="35">
        <v>200020</v>
      </c>
      <c r="J2453" s="34" t="s">
        <v>6484</v>
      </c>
      <c r="K2453" s="34" t="str">
        <f t="shared" si="79"/>
        <v>不重复</v>
      </c>
      <c r="L2453" s="34" t="str">
        <f t="shared" si="80"/>
        <v>不重复</v>
      </c>
    </row>
    <row r="2454" spans="1:12" ht="15">
      <c r="A2454" s="35" t="s">
        <v>12877</v>
      </c>
      <c r="B2454" s="35" t="s">
        <v>6795</v>
      </c>
      <c r="C2454" s="36" t="s">
        <v>6796</v>
      </c>
      <c r="D2454" s="35" t="s">
        <v>6797</v>
      </c>
      <c r="E2454" s="35" t="s">
        <v>12874</v>
      </c>
      <c r="F2454" s="35" t="s">
        <v>12483</v>
      </c>
      <c r="G2454" s="35">
        <v>352403</v>
      </c>
      <c r="H2454" s="35">
        <v>390150</v>
      </c>
      <c r="I2454" s="35">
        <v>200020</v>
      </c>
      <c r="J2454" s="34" t="s">
        <v>878</v>
      </c>
      <c r="K2454" s="34" t="str">
        <f t="shared" si="79"/>
        <v>不重复</v>
      </c>
      <c r="L2454" s="34" t="str">
        <f t="shared" si="80"/>
        <v>不重复</v>
      </c>
    </row>
    <row r="2455" spans="1:12" ht="15">
      <c r="A2455" s="35" t="s">
        <v>12878</v>
      </c>
      <c r="B2455" s="35" t="s">
        <v>6798</v>
      </c>
      <c r="C2455" s="36" t="s">
        <v>6799</v>
      </c>
      <c r="D2455" s="35" t="s">
        <v>6800</v>
      </c>
      <c r="E2455" s="35" t="s">
        <v>12874</v>
      </c>
      <c r="F2455" s="35" t="s">
        <v>12483</v>
      </c>
      <c r="G2455" s="35">
        <v>352404</v>
      </c>
      <c r="H2455" s="35">
        <v>390150</v>
      </c>
      <c r="I2455" s="35">
        <v>200020</v>
      </c>
      <c r="J2455" s="34" t="s">
        <v>878</v>
      </c>
      <c r="K2455" s="34" t="str">
        <f t="shared" si="79"/>
        <v>不重复</v>
      </c>
      <c r="L2455" s="34" t="str">
        <f t="shared" si="80"/>
        <v>不重复</v>
      </c>
    </row>
    <row r="2456" spans="1:12" ht="15">
      <c r="A2456" s="35" t="s">
        <v>12879</v>
      </c>
      <c r="B2456" s="35" t="s">
        <v>6801</v>
      </c>
      <c r="C2456" s="36" t="s">
        <v>6802</v>
      </c>
      <c r="D2456" s="35" t="s">
        <v>6803</v>
      </c>
      <c r="E2456" s="35" t="s">
        <v>12874</v>
      </c>
      <c r="F2456" s="35" t="s">
        <v>12483</v>
      </c>
      <c r="G2456" s="35">
        <v>352405</v>
      </c>
      <c r="H2456" s="35">
        <v>390150</v>
      </c>
      <c r="I2456" s="35">
        <v>200020</v>
      </c>
      <c r="J2456" s="34" t="s">
        <v>3656</v>
      </c>
      <c r="K2456" s="34" t="str">
        <f t="shared" si="79"/>
        <v>重复</v>
      </c>
      <c r="L2456" s="34" t="str">
        <f t="shared" si="80"/>
        <v>不重复</v>
      </c>
    </row>
    <row r="2457" spans="1:12" ht="15">
      <c r="A2457" s="35" t="s">
        <v>12880</v>
      </c>
      <c r="B2457" s="35" t="s">
        <v>6804</v>
      </c>
      <c r="C2457" s="36" t="s">
        <v>6805</v>
      </c>
      <c r="D2457" s="35" t="s">
        <v>6806</v>
      </c>
      <c r="E2457" s="35" t="s">
        <v>12874</v>
      </c>
      <c r="F2457" s="35" t="s">
        <v>12483</v>
      </c>
      <c r="G2457" s="35">
        <v>352406</v>
      </c>
      <c r="H2457" s="35">
        <v>390150</v>
      </c>
      <c r="I2457" s="35">
        <v>200020</v>
      </c>
      <c r="J2457" s="34" t="s">
        <v>288</v>
      </c>
      <c r="K2457" s="34" t="str">
        <f t="shared" si="79"/>
        <v>不重复</v>
      </c>
      <c r="L2457" s="34" t="str">
        <f t="shared" si="80"/>
        <v>不重复</v>
      </c>
    </row>
    <row r="2458" spans="1:12" ht="15">
      <c r="A2458" s="35" t="s">
        <v>12881</v>
      </c>
      <c r="B2458" s="35" t="s">
        <v>6807</v>
      </c>
      <c r="C2458" s="36" t="s">
        <v>6802</v>
      </c>
      <c r="D2458" s="35" t="s">
        <v>6808</v>
      </c>
      <c r="E2458" s="35" t="s">
        <v>12874</v>
      </c>
      <c r="F2458" s="35" t="s">
        <v>12483</v>
      </c>
      <c r="G2458" s="35">
        <v>352407</v>
      </c>
      <c r="H2458" s="35">
        <v>390150</v>
      </c>
      <c r="I2458" s="35">
        <v>200020</v>
      </c>
      <c r="J2458" s="34" t="s">
        <v>878</v>
      </c>
      <c r="K2458" s="34" t="str">
        <f t="shared" si="79"/>
        <v>重复</v>
      </c>
      <c r="L2458" s="34" t="str">
        <f t="shared" si="80"/>
        <v>不重复</v>
      </c>
    </row>
    <row r="2459" spans="1:12" ht="15">
      <c r="A2459" s="35" t="s">
        <v>12882</v>
      </c>
      <c r="B2459" s="35" t="s">
        <v>6809</v>
      </c>
      <c r="C2459" s="36" t="s">
        <v>2130</v>
      </c>
      <c r="D2459" s="35" t="s">
        <v>6810</v>
      </c>
      <c r="E2459" s="35" t="s">
        <v>12874</v>
      </c>
      <c r="F2459" s="35" t="s">
        <v>12483</v>
      </c>
      <c r="G2459" s="35">
        <v>352408</v>
      </c>
      <c r="H2459" s="35">
        <v>390150</v>
      </c>
      <c r="I2459" s="35">
        <v>200020</v>
      </c>
      <c r="J2459" s="34" t="s">
        <v>878</v>
      </c>
      <c r="K2459" s="34" t="str">
        <f t="shared" si="79"/>
        <v>重复</v>
      </c>
      <c r="L2459" s="34" t="str">
        <f t="shared" si="80"/>
        <v>不重复</v>
      </c>
    </row>
    <row r="2460" spans="1:12" ht="15">
      <c r="A2460" s="35" t="s">
        <v>12883</v>
      </c>
      <c r="B2460" s="35" t="s">
        <v>6811</v>
      </c>
      <c r="C2460" s="36" t="s">
        <v>6812</v>
      </c>
      <c r="D2460" s="35" t="s">
        <v>6813</v>
      </c>
      <c r="E2460" s="35" t="s">
        <v>12874</v>
      </c>
      <c r="F2460" s="35" t="s">
        <v>12483</v>
      </c>
      <c r="G2460" s="35">
        <v>352409</v>
      </c>
      <c r="H2460" s="35">
        <v>390150</v>
      </c>
      <c r="I2460" s="35">
        <v>200020</v>
      </c>
      <c r="J2460" s="34" t="s">
        <v>878</v>
      </c>
      <c r="K2460" s="34" t="str">
        <f t="shared" si="79"/>
        <v>不重复</v>
      </c>
      <c r="L2460" s="34" t="str">
        <f t="shared" si="80"/>
        <v>不重复</v>
      </c>
    </row>
    <row r="2461" spans="1:12" ht="15">
      <c r="A2461" s="35" t="s">
        <v>12884</v>
      </c>
      <c r="B2461" s="35" t="s">
        <v>6814</v>
      </c>
      <c r="C2461" s="36" t="s">
        <v>6815</v>
      </c>
      <c r="D2461" s="35" t="s">
        <v>6816</v>
      </c>
      <c r="E2461" s="35" t="s">
        <v>12874</v>
      </c>
      <c r="F2461" s="35" t="s">
        <v>12483</v>
      </c>
      <c r="G2461" s="35">
        <v>352410</v>
      </c>
      <c r="H2461" s="35">
        <v>390150</v>
      </c>
      <c r="I2461" s="35">
        <v>200020</v>
      </c>
      <c r="J2461" s="34" t="s">
        <v>288</v>
      </c>
      <c r="K2461" s="34" t="str">
        <f t="shared" si="79"/>
        <v>不重复</v>
      </c>
      <c r="L2461" s="34" t="str">
        <f t="shared" si="80"/>
        <v>不重复</v>
      </c>
    </row>
    <row r="2462" spans="1:12" ht="15">
      <c r="A2462" s="35" t="s">
        <v>12885</v>
      </c>
      <c r="B2462" s="35" t="s">
        <v>6817</v>
      </c>
      <c r="C2462" s="36" t="s">
        <v>6818</v>
      </c>
      <c r="D2462" s="35" t="s">
        <v>6819</v>
      </c>
      <c r="E2462" s="35" t="s">
        <v>12874</v>
      </c>
      <c r="F2462" s="35" t="s">
        <v>12483</v>
      </c>
      <c r="G2462" s="35">
        <v>352411</v>
      </c>
      <c r="H2462" s="35">
        <v>390150</v>
      </c>
      <c r="I2462" s="35">
        <v>200020</v>
      </c>
      <c r="J2462" s="34" t="s">
        <v>878</v>
      </c>
      <c r="K2462" s="34" t="str">
        <f t="shared" si="79"/>
        <v>不重复</v>
      </c>
      <c r="L2462" s="34" t="str">
        <f t="shared" si="80"/>
        <v>不重复</v>
      </c>
    </row>
    <row r="2463" spans="1:12" ht="27">
      <c r="A2463" s="35" t="s">
        <v>12886</v>
      </c>
      <c r="B2463" s="35" t="s">
        <v>6820</v>
      </c>
      <c r="C2463" s="36" t="s">
        <v>6821</v>
      </c>
      <c r="D2463" s="35" t="s">
        <v>6822</v>
      </c>
      <c r="E2463" s="35" t="s">
        <v>12874</v>
      </c>
      <c r="F2463" s="35" t="s">
        <v>12483</v>
      </c>
      <c r="G2463" s="35">
        <v>352412</v>
      </c>
      <c r="H2463" s="35">
        <v>390150</v>
      </c>
      <c r="I2463" s="35">
        <v>200020</v>
      </c>
      <c r="J2463" s="34" t="s">
        <v>889</v>
      </c>
      <c r="K2463" s="34" t="str">
        <f t="shared" si="79"/>
        <v>不重复</v>
      </c>
      <c r="L2463" s="34" t="str">
        <f t="shared" si="80"/>
        <v>不重复</v>
      </c>
    </row>
    <row r="2464" spans="1:12" ht="27">
      <c r="A2464" s="35" t="s">
        <v>12887</v>
      </c>
      <c r="B2464" s="35" t="s">
        <v>6823</v>
      </c>
      <c r="C2464" s="36" t="s">
        <v>6824</v>
      </c>
      <c r="D2464" s="35" t="s">
        <v>6825</v>
      </c>
      <c r="E2464" s="35" t="s">
        <v>12874</v>
      </c>
      <c r="F2464" s="35" t="s">
        <v>12483</v>
      </c>
      <c r="G2464" s="35">
        <v>352413</v>
      </c>
      <c r="H2464" s="35">
        <v>390150</v>
      </c>
      <c r="I2464" s="35">
        <v>200020</v>
      </c>
      <c r="J2464" s="34" t="s">
        <v>2328</v>
      </c>
      <c r="K2464" s="34" t="str">
        <f t="shared" si="79"/>
        <v>不重复</v>
      </c>
      <c r="L2464" s="34" t="str">
        <f t="shared" si="80"/>
        <v>不重复</v>
      </c>
    </row>
    <row r="2465" spans="1:12" ht="30">
      <c r="A2465" s="35" t="s">
        <v>12888</v>
      </c>
      <c r="B2465" s="35" t="s">
        <v>6826</v>
      </c>
      <c r="C2465" s="36" t="s">
        <v>6827</v>
      </c>
      <c r="D2465" s="35" t="s">
        <v>6828</v>
      </c>
      <c r="E2465" s="35" t="s">
        <v>12874</v>
      </c>
      <c r="F2465" s="35" t="s">
        <v>12483</v>
      </c>
      <c r="G2465" s="35">
        <v>352414</v>
      </c>
      <c r="H2465" s="35">
        <v>390150</v>
      </c>
      <c r="I2465" s="35">
        <v>200020</v>
      </c>
      <c r="J2465" s="34" t="s">
        <v>363</v>
      </c>
      <c r="K2465" s="34" t="str">
        <f t="shared" si="79"/>
        <v>不重复</v>
      </c>
      <c r="L2465" s="34" t="str">
        <f t="shared" si="80"/>
        <v>不重复</v>
      </c>
    </row>
    <row r="2466" spans="1:12" ht="15">
      <c r="A2466" s="35" t="s">
        <v>12889</v>
      </c>
      <c r="B2466" s="35" t="s">
        <v>6829</v>
      </c>
      <c r="C2466" s="36" t="s">
        <v>6830</v>
      </c>
      <c r="D2466" s="35" t="s">
        <v>6831</v>
      </c>
      <c r="E2466" s="35" t="s">
        <v>12874</v>
      </c>
      <c r="F2466" s="35" t="s">
        <v>12483</v>
      </c>
      <c r="G2466" s="35">
        <v>352415</v>
      </c>
      <c r="H2466" s="35">
        <v>390150</v>
      </c>
      <c r="I2466" s="35">
        <v>200020</v>
      </c>
      <c r="J2466" s="34" t="s">
        <v>223</v>
      </c>
      <c r="K2466" s="34" t="str">
        <f t="shared" si="79"/>
        <v>不重复</v>
      </c>
      <c r="L2466" s="34" t="str">
        <f t="shared" si="80"/>
        <v>不重复</v>
      </c>
    </row>
    <row r="2467" spans="1:12" ht="30">
      <c r="A2467" s="35" t="s">
        <v>12890</v>
      </c>
      <c r="B2467" s="35" t="s">
        <v>6832</v>
      </c>
      <c r="C2467" s="36" t="s">
        <v>2930</v>
      </c>
      <c r="D2467" s="35" t="s">
        <v>6833</v>
      </c>
      <c r="E2467" s="35" t="s">
        <v>12874</v>
      </c>
      <c r="F2467" s="35" t="s">
        <v>12483</v>
      </c>
      <c r="G2467" s="35">
        <v>352416</v>
      </c>
      <c r="H2467" s="35">
        <v>390150</v>
      </c>
      <c r="I2467" s="35">
        <v>200020</v>
      </c>
      <c r="J2467" s="34" t="s">
        <v>688</v>
      </c>
      <c r="K2467" s="34" t="str">
        <f t="shared" si="79"/>
        <v>重复</v>
      </c>
      <c r="L2467" s="34" t="str">
        <f t="shared" si="80"/>
        <v>不重复</v>
      </c>
    </row>
    <row r="2468" spans="1:12" ht="15">
      <c r="A2468" s="35" t="s">
        <v>12891</v>
      </c>
      <c r="B2468" s="35" t="s">
        <v>6834</v>
      </c>
      <c r="C2468" s="36" t="s">
        <v>6835</v>
      </c>
      <c r="D2468" s="35" t="s">
        <v>6836</v>
      </c>
      <c r="E2468" s="35" t="s">
        <v>12874</v>
      </c>
      <c r="F2468" s="35" t="s">
        <v>12483</v>
      </c>
      <c r="G2468" s="35">
        <v>352417</v>
      </c>
      <c r="H2468" s="35">
        <v>390150</v>
      </c>
      <c r="I2468" s="35">
        <v>200020</v>
      </c>
      <c r="J2468" s="34" t="s">
        <v>688</v>
      </c>
      <c r="K2468" s="34" t="str">
        <f t="shared" si="79"/>
        <v>重复</v>
      </c>
      <c r="L2468" s="34" t="str">
        <f t="shared" si="80"/>
        <v>重复</v>
      </c>
    </row>
    <row r="2469" spans="1:12" ht="15">
      <c r="A2469" s="35" t="s">
        <v>12892</v>
      </c>
      <c r="B2469" s="35" t="s">
        <v>6837</v>
      </c>
      <c r="C2469" s="36" t="s">
        <v>5494</v>
      </c>
      <c r="D2469" s="35" t="s">
        <v>6836</v>
      </c>
      <c r="E2469" s="35" t="s">
        <v>12874</v>
      </c>
      <c r="F2469" s="35" t="s">
        <v>12483</v>
      </c>
      <c r="G2469" s="35">
        <v>352418</v>
      </c>
      <c r="H2469" s="35">
        <v>390150</v>
      </c>
      <c r="I2469" s="35">
        <v>200020</v>
      </c>
      <c r="J2469" s="34" t="s">
        <v>1040</v>
      </c>
      <c r="K2469" s="34" t="str">
        <f t="shared" si="79"/>
        <v>重复</v>
      </c>
      <c r="L2469" s="34" t="str">
        <f t="shared" si="80"/>
        <v>重复</v>
      </c>
    </row>
    <row r="2470" spans="1:12" ht="15">
      <c r="A2470" s="35" t="s">
        <v>12893</v>
      </c>
      <c r="B2470" s="35" t="s">
        <v>6838</v>
      </c>
      <c r="C2470" s="36" t="s">
        <v>6839</v>
      </c>
      <c r="D2470" s="35" t="s">
        <v>6840</v>
      </c>
      <c r="E2470" s="35" t="s">
        <v>12874</v>
      </c>
      <c r="F2470" s="35" t="s">
        <v>12483</v>
      </c>
      <c r="G2470" s="35">
        <v>352419</v>
      </c>
      <c r="H2470" s="35">
        <v>390150</v>
      </c>
      <c r="I2470" s="35">
        <v>200020</v>
      </c>
      <c r="J2470" s="34" t="s">
        <v>962</v>
      </c>
      <c r="K2470" s="34" t="str">
        <f t="shared" si="79"/>
        <v>不重复</v>
      </c>
      <c r="L2470" s="34" t="str">
        <f t="shared" si="80"/>
        <v>不重复</v>
      </c>
    </row>
    <row r="2471" spans="1:12" ht="15">
      <c r="A2471" s="35" t="s">
        <v>12894</v>
      </c>
      <c r="B2471" s="35" t="s">
        <v>6841</v>
      </c>
      <c r="C2471" s="36" t="s">
        <v>6842</v>
      </c>
      <c r="D2471" s="35" t="s">
        <v>6843</v>
      </c>
      <c r="E2471" s="35" t="s">
        <v>12874</v>
      </c>
      <c r="F2471" s="35" t="s">
        <v>12483</v>
      </c>
      <c r="G2471" s="35">
        <v>352420</v>
      </c>
      <c r="H2471" s="35">
        <v>390150</v>
      </c>
      <c r="I2471" s="35">
        <v>200020</v>
      </c>
      <c r="J2471" s="34" t="s">
        <v>363</v>
      </c>
      <c r="K2471" s="34" t="str">
        <f t="shared" si="79"/>
        <v>重复</v>
      </c>
      <c r="L2471" s="34" t="str">
        <f t="shared" si="80"/>
        <v>不重复</v>
      </c>
    </row>
    <row r="2472" spans="1:12" ht="15">
      <c r="A2472" s="35" t="s">
        <v>12895</v>
      </c>
      <c r="B2472" s="35" t="s">
        <v>6844</v>
      </c>
      <c r="C2472" s="36" t="s">
        <v>6845</v>
      </c>
      <c r="D2472" s="35" t="s">
        <v>6846</v>
      </c>
      <c r="E2472" s="35" t="s">
        <v>12874</v>
      </c>
      <c r="F2472" s="35" t="s">
        <v>12483</v>
      </c>
      <c r="G2472" s="35">
        <v>352421</v>
      </c>
      <c r="H2472" s="35">
        <v>390150</v>
      </c>
      <c r="I2472" s="35">
        <v>200020</v>
      </c>
      <c r="J2472" s="34" t="s">
        <v>422</v>
      </c>
      <c r="K2472" s="34" t="str">
        <f t="shared" si="79"/>
        <v>不重复</v>
      </c>
      <c r="L2472" s="34" t="str">
        <f t="shared" si="80"/>
        <v>不重复</v>
      </c>
    </row>
    <row r="2473" spans="1:12" ht="30">
      <c r="A2473" s="35" t="s">
        <v>12896</v>
      </c>
      <c r="B2473" s="35" t="s">
        <v>6847</v>
      </c>
      <c r="C2473" s="36" t="s">
        <v>6848</v>
      </c>
      <c r="D2473" s="35" t="s">
        <v>6849</v>
      </c>
      <c r="E2473" s="35" t="s">
        <v>12874</v>
      </c>
      <c r="F2473" s="35" t="s">
        <v>12483</v>
      </c>
      <c r="G2473" s="35">
        <v>352422</v>
      </c>
      <c r="H2473" s="35">
        <v>390150</v>
      </c>
      <c r="I2473" s="35">
        <v>200020</v>
      </c>
      <c r="J2473" s="34" t="s">
        <v>363</v>
      </c>
      <c r="K2473" s="34" t="str">
        <f t="shared" si="79"/>
        <v>不重复</v>
      </c>
      <c r="L2473" s="34" t="str">
        <f t="shared" si="80"/>
        <v>不重复</v>
      </c>
    </row>
    <row r="2474" spans="1:12" ht="15">
      <c r="A2474" s="35" t="s">
        <v>12897</v>
      </c>
      <c r="B2474" s="35" t="s">
        <v>6850</v>
      </c>
      <c r="C2474" s="36" t="s">
        <v>1792</v>
      </c>
      <c r="D2474" s="35" t="s">
        <v>6851</v>
      </c>
      <c r="E2474" s="35" t="s">
        <v>12874</v>
      </c>
      <c r="F2474" s="35" t="s">
        <v>12483</v>
      </c>
      <c r="G2474" s="35">
        <v>352423</v>
      </c>
      <c r="H2474" s="35">
        <v>390150</v>
      </c>
      <c r="I2474" s="35">
        <v>200020</v>
      </c>
      <c r="J2474" s="34" t="s">
        <v>688</v>
      </c>
      <c r="K2474" s="34" t="str">
        <f t="shared" si="79"/>
        <v>重复</v>
      </c>
      <c r="L2474" s="34" t="str">
        <f t="shared" si="80"/>
        <v>重复</v>
      </c>
    </row>
    <row r="2475" spans="1:12" ht="15">
      <c r="A2475" s="35" t="s">
        <v>12898</v>
      </c>
      <c r="B2475" s="35" t="s">
        <v>6852</v>
      </c>
      <c r="C2475" s="36" t="s">
        <v>6853</v>
      </c>
      <c r="D2475" s="35" t="s">
        <v>6851</v>
      </c>
      <c r="E2475" s="35" t="s">
        <v>12874</v>
      </c>
      <c r="F2475" s="35" t="s">
        <v>12483</v>
      </c>
      <c r="G2475" s="35">
        <v>352424</v>
      </c>
      <c r="H2475" s="35">
        <v>390150</v>
      </c>
      <c r="I2475" s="35">
        <v>200020</v>
      </c>
      <c r="J2475" s="34" t="s">
        <v>668</v>
      </c>
      <c r="K2475" s="34" t="str">
        <f t="shared" si="79"/>
        <v>重复</v>
      </c>
      <c r="L2475" s="34" t="str">
        <f t="shared" si="80"/>
        <v>重复</v>
      </c>
    </row>
    <row r="2476" spans="1:12" ht="15">
      <c r="A2476" s="35" t="s">
        <v>12899</v>
      </c>
      <c r="B2476" s="35" t="s">
        <v>6854</v>
      </c>
      <c r="C2476" s="36" t="s">
        <v>1309</v>
      </c>
      <c r="D2476" s="35" t="s">
        <v>6855</v>
      </c>
      <c r="E2476" s="35" t="s">
        <v>12874</v>
      </c>
      <c r="F2476" s="35" t="s">
        <v>12483</v>
      </c>
      <c r="G2476" s="35">
        <v>352425</v>
      </c>
      <c r="H2476" s="35">
        <v>390150</v>
      </c>
      <c r="I2476" s="35">
        <v>200020</v>
      </c>
      <c r="J2476" s="34" t="s">
        <v>688</v>
      </c>
      <c r="K2476" s="34" t="str">
        <f t="shared" si="79"/>
        <v>重复</v>
      </c>
      <c r="L2476" s="34" t="str">
        <f t="shared" si="80"/>
        <v>不重复</v>
      </c>
    </row>
    <row r="2477" spans="1:12" ht="15">
      <c r="A2477" s="35" t="s">
        <v>12900</v>
      </c>
      <c r="B2477" s="35" t="s">
        <v>6856</v>
      </c>
      <c r="C2477" s="36" t="s">
        <v>5348</v>
      </c>
      <c r="D2477" s="35" t="s">
        <v>6857</v>
      </c>
      <c r="E2477" s="35" t="s">
        <v>12874</v>
      </c>
      <c r="F2477" s="35" t="s">
        <v>12483</v>
      </c>
      <c r="G2477" s="35">
        <v>352426</v>
      </c>
      <c r="H2477" s="35">
        <v>390150</v>
      </c>
      <c r="I2477" s="35">
        <v>200020</v>
      </c>
      <c r="J2477" s="34" t="s">
        <v>985</v>
      </c>
      <c r="K2477" s="34" t="str">
        <f t="shared" si="79"/>
        <v>重复</v>
      </c>
      <c r="L2477" s="34" t="str">
        <f t="shared" si="80"/>
        <v>不重复</v>
      </c>
    </row>
    <row r="2478" spans="1:12" ht="15">
      <c r="A2478" s="35" t="s">
        <v>12901</v>
      </c>
      <c r="B2478" s="35" t="s">
        <v>6858</v>
      </c>
      <c r="C2478" s="36" t="s">
        <v>1798</v>
      </c>
      <c r="D2478" s="35" t="s">
        <v>6859</v>
      </c>
      <c r="E2478" s="35" t="s">
        <v>12874</v>
      </c>
      <c r="F2478" s="35" t="s">
        <v>12483</v>
      </c>
      <c r="G2478" s="35">
        <v>352427</v>
      </c>
      <c r="H2478" s="35">
        <v>390150</v>
      </c>
      <c r="I2478" s="35">
        <v>200020</v>
      </c>
      <c r="J2478" s="34" t="s">
        <v>688</v>
      </c>
      <c r="K2478" s="34" t="str">
        <f t="shared" si="79"/>
        <v>重复</v>
      </c>
      <c r="L2478" s="34" t="str">
        <f t="shared" si="80"/>
        <v>不重复</v>
      </c>
    </row>
    <row r="2479" spans="1:12" ht="15">
      <c r="A2479" s="35" t="s">
        <v>12902</v>
      </c>
      <c r="B2479" s="35" t="s">
        <v>6860</v>
      </c>
      <c r="C2479" s="36" t="s">
        <v>6643</v>
      </c>
      <c r="D2479" s="35" t="s">
        <v>6861</v>
      </c>
      <c r="E2479" s="35" t="s">
        <v>12874</v>
      </c>
      <c r="F2479" s="35" t="s">
        <v>12483</v>
      </c>
      <c r="G2479" s="35">
        <v>352428</v>
      </c>
      <c r="H2479" s="35">
        <v>390150</v>
      </c>
      <c r="I2479" s="35">
        <v>200020</v>
      </c>
      <c r="J2479" s="34" t="s">
        <v>302</v>
      </c>
      <c r="K2479" s="34" t="str">
        <f t="shared" si="79"/>
        <v>重复</v>
      </c>
      <c r="L2479" s="34" t="str">
        <f t="shared" si="80"/>
        <v>不重复</v>
      </c>
    </row>
    <row r="2480" spans="1:12" ht="15">
      <c r="A2480" s="35" t="s">
        <v>12903</v>
      </c>
      <c r="B2480" s="35" t="s">
        <v>6862</v>
      </c>
      <c r="C2480" s="36" t="s">
        <v>6863</v>
      </c>
      <c r="D2480" s="35" t="s">
        <v>6864</v>
      </c>
      <c r="E2480" s="35" t="s">
        <v>12874</v>
      </c>
      <c r="F2480" s="35" t="s">
        <v>12483</v>
      </c>
      <c r="G2480" s="35">
        <v>352429</v>
      </c>
      <c r="H2480" s="35">
        <v>390150</v>
      </c>
      <c r="I2480" s="35">
        <v>200020</v>
      </c>
      <c r="J2480" s="34" t="s">
        <v>1516</v>
      </c>
      <c r="K2480" s="34" t="str">
        <f t="shared" si="79"/>
        <v>重复</v>
      </c>
      <c r="L2480" s="34" t="str">
        <f t="shared" si="80"/>
        <v>不重复</v>
      </c>
    </row>
    <row r="2481" spans="1:12" ht="15">
      <c r="A2481" s="35" t="s">
        <v>12904</v>
      </c>
      <c r="B2481" s="35" t="s">
        <v>6865</v>
      </c>
      <c r="C2481" s="36" t="s">
        <v>883</v>
      </c>
      <c r="D2481" s="35" t="s">
        <v>6866</v>
      </c>
      <c r="E2481" s="35" t="s">
        <v>12874</v>
      </c>
      <c r="F2481" s="35" t="s">
        <v>12483</v>
      </c>
      <c r="G2481" s="35">
        <v>352430</v>
      </c>
      <c r="H2481" s="35">
        <v>390150</v>
      </c>
      <c r="I2481" s="35">
        <v>200020</v>
      </c>
      <c r="J2481" s="34" t="s">
        <v>932</v>
      </c>
      <c r="K2481" s="34" t="str">
        <f t="shared" si="79"/>
        <v>重复</v>
      </c>
      <c r="L2481" s="34" t="str">
        <f t="shared" si="80"/>
        <v>不重复</v>
      </c>
    </row>
    <row r="2482" spans="1:12" ht="30">
      <c r="A2482" s="35" t="s">
        <v>12905</v>
      </c>
      <c r="B2482" s="35" t="s">
        <v>6867</v>
      </c>
      <c r="C2482" s="36" t="s">
        <v>4991</v>
      </c>
      <c r="D2482" s="35" t="s">
        <v>6868</v>
      </c>
      <c r="E2482" s="35" t="s">
        <v>12874</v>
      </c>
      <c r="F2482" s="35" t="s">
        <v>12483</v>
      </c>
      <c r="G2482" s="35">
        <v>352431</v>
      </c>
      <c r="H2482" s="35">
        <v>390150</v>
      </c>
      <c r="I2482" s="35">
        <v>200020</v>
      </c>
      <c r="J2482" s="34" t="s">
        <v>985</v>
      </c>
      <c r="K2482" s="34" t="str">
        <f t="shared" si="79"/>
        <v>重复</v>
      </c>
      <c r="L2482" s="34" t="str">
        <f t="shared" si="80"/>
        <v>不重复</v>
      </c>
    </row>
    <row r="2483" spans="1:12" ht="15">
      <c r="A2483" s="35" t="s">
        <v>12906</v>
      </c>
      <c r="B2483" s="35" t="s">
        <v>6869</v>
      </c>
      <c r="C2483" s="36" t="s">
        <v>5494</v>
      </c>
      <c r="D2483" s="35" t="s">
        <v>6870</v>
      </c>
      <c r="E2483" s="35" t="s">
        <v>12874</v>
      </c>
      <c r="F2483" s="35" t="s">
        <v>12483</v>
      </c>
      <c r="G2483" s="35">
        <v>352432</v>
      </c>
      <c r="H2483" s="35">
        <v>390150</v>
      </c>
      <c r="I2483" s="35">
        <v>200020</v>
      </c>
      <c r="J2483" s="34" t="s">
        <v>932</v>
      </c>
      <c r="K2483" s="34" t="str">
        <f t="shared" si="79"/>
        <v>重复</v>
      </c>
      <c r="L2483" s="34" t="str">
        <f t="shared" si="80"/>
        <v>不重复</v>
      </c>
    </row>
    <row r="2484" spans="1:12" ht="15">
      <c r="A2484" s="35" t="s">
        <v>12907</v>
      </c>
      <c r="B2484" s="35" t="s">
        <v>6871</v>
      </c>
      <c r="C2484" s="36" t="s">
        <v>2309</v>
      </c>
      <c r="D2484" s="35" t="s">
        <v>6872</v>
      </c>
      <c r="E2484" s="35" t="s">
        <v>12874</v>
      </c>
      <c r="F2484" s="35" t="s">
        <v>12483</v>
      </c>
      <c r="G2484" s="35">
        <v>352433</v>
      </c>
      <c r="H2484" s="35">
        <v>390150</v>
      </c>
      <c r="I2484" s="35">
        <v>200020</v>
      </c>
      <c r="J2484" s="34" t="s">
        <v>363</v>
      </c>
      <c r="K2484" s="34" t="str">
        <f t="shared" si="79"/>
        <v>重复</v>
      </c>
      <c r="L2484" s="34" t="str">
        <f t="shared" si="80"/>
        <v>不重复</v>
      </c>
    </row>
    <row r="2485" spans="1:12" ht="15">
      <c r="A2485" s="35" t="s">
        <v>12908</v>
      </c>
      <c r="B2485" s="35" t="s">
        <v>6873</v>
      </c>
      <c r="C2485" s="36" t="s">
        <v>6863</v>
      </c>
      <c r="D2485" s="35" t="s">
        <v>6874</v>
      </c>
      <c r="E2485" s="35" t="s">
        <v>12874</v>
      </c>
      <c r="F2485" s="35" t="s">
        <v>12483</v>
      </c>
      <c r="G2485" s="35">
        <v>352434</v>
      </c>
      <c r="H2485" s="35">
        <v>390150</v>
      </c>
      <c r="I2485" s="35">
        <v>200020</v>
      </c>
      <c r="J2485" s="34" t="s">
        <v>932</v>
      </c>
      <c r="K2485" s="34" t="str">
        <f t="shared" si="79"/>
        <v>重复</v>
      </c>
      <c r="L2485" s="34" t="str">
        <f t="shared" si="80"/>
        <v>不重复</v>
      </c>
    </row>
    <row r="2486" spans="1:12" ht="15">
      <c r="A2486" s="35" t="s">
        <v>12909</v>
      </c>
      <c r="B2486" s="35" t="s">
        <v>6875</v>
      </c>
      <c r="C2486" s="36" t="s">
        <v>6876</v>
      </c>
      <c r="D2486" s="35" t="s">
        <v>6877</v>
      </c>
      <c r="E2486" s="35" t="s">
        <v>12874</v>
      </c>
      <c r="F2486" s="35" t="s">
        <v>12483</v>
      </c>
      <c r="G2486" s="35">
        <v>352435</v>
      </c>
      <c r="H2486" s="35">
        <v>390150</v>
      </c>
      <c r="I2486" s="35">
        <v>200020</v>
      </c>
      <c r="J2486" s="34" t="s">
        <v>932</v>
      </c>
      <c r="K2486" s="34" t="str">
        <f t="shared" si="79"/>
        <v>不重复</v>
      </c>
      <c r="L2486" s="34" t="str">
        <f t="shared" si="80"/>
        <v>不重复</v>
      </c>
    </row>
    <row r="2487" spans="1:12" ht="15">
      <c r="A2487" s="35" t="s">
        <v>12910</v>
      </c>
      <c r="B2487" s="35" t="s">
        <v>6878</v>
      </c>
      <c r="C2487" s="36" t="s">
        <v>6879</v>
      </c>
      <c r="D2487" s="35" t="s">
        <v>6880</v>
      </c>
      <c r="E2487" s="35" t="s">
        <v>12874</v>
      </c>
      <c r="F2487" s="35" t="s">
        <v>12483</v>
      </c>
      <c r="G2487" s="35">
        <v>352436</v>
      </c>
      <c r="H2487" s="35">
        <v>390150</v>
      </c>
      <c r="I2487" s="35">
        <v>200020</v>
      </c>
      <c r="J2487" s="34" t="s">
        <v>137</v>
      </c>
      <c r="K2487" s="34" t="str">
        <f t="shared" si="79"/>
        <v>重复</v>
      </c>
      <c r="L2487" s="34" t="str">
        <f t="shared" si="80"/>
        <v>不重复</v>
      </c>
    </row>
    <row r="2488" spans="1:12" ht="15">
      <c r="A2488" s="35" t="s">
        <v>12911</v>
      </c>
      <c r="B2488" s="35" t="s">
        <v>6881</v>
      </c>
      <c r="C2488" s="36" t="s">
        <v>2324</v>
      </c>
      <c r="D2488" s="35" t="s">
        <v>6882</v>
      </c>
      <c r="E2488" s="35" t="s">
        <v>12874</v>
      </c>
      <c r="F2488" s="35" t="s">
        <v>12483</v>
      </c>
      <c r="G2488" s="35">
        <v>352437</v>
      </c>
      <c r="H2488" s="35">
        <v>390150</v>
      </c>
      <c r="I2488" s="35">
        <v>200020</v>
      </c>
      <c r="J2488" s="34" t="s">
        <v>6883</v>
      </c>
      <c r="K2488" s="34" t="str">
        <f t="shared" si="79"/>
        <v>重复</v>
      </c>
      <c r="L2488" s="34" t="str">
        <f t="shared" si="80"/>
        <v>不重复</v>
      </c>
    </row>
    <row r="2489" spans="1:12" ht="15">
      <c r="A2489" s="35" t="s">
        <v>12912</v>
      </c>
      <c r="B2489" s="35" t="s">
        <v>6884</v>
      </c>
      <c r="C2489" s="36" t="s">
        <v>6885</v>
      </c>
      <c r="D2489" s="35" t="s">
        <v>6886</v>
      </c>
      <c r="E2489" s="35" t="s">
        <v>12874</v>
      </c>
      <c r="F2489" s="35" t="s">
        <v>12483</v>
      </c>
      <c r="G2489" s="35">
        <v>352438</v>
      </c>
      <c r="H2489" s="35">
        <v>390150</v>
      </c>
      <c r="I2489" s="35">
        <v>200020</v>
      </c>
      <c r="J2489" s="34" t="s">
        <v>347</v>
      </c>
      <c r="K2489" s="34" t="str">
        <f t="shared" si="79"/>
        <v>不重复</v>
      </c>
      <c r="L2489" s="34" t="str">
        <f t="shared" si="80"/>
        <v>不重复</v>
      </c>
    </row>
    <row r="2490" spans="1:12" ht="15">
      <c r="A2490" s="35" t="s">
        <v>12913</v>
      </c>
      <c r="B2490" s="35" t="s">
        <v>6887</v>
      </c>
      <c r="C2490" s="36" t="s">
        <v>6802</v>
      </c>
      <c r="D2490" s="35" t="s">
        <v>6888</v>
      </c>
      <c r="E2490" s="35" t="s">
        <v>12874</v>
      </c>
      <c r="F2490" s="35" t="s">
        <v>12483</v>
      </c>
      <c r="G2490" s="35">
        <v>352439</v>
      </c>
      <c r="H2490" s="35">
        <v>390150</v>
      </c>
      <c r="I2490" s="35">
        <v>200020</v>
      </c>
      <c r="J2490" s="34" t="s">
        <v>347</v>
      </c>
      <c r="K2490" s="34" t="str">
        <f t="shared" si="79"/>
        <v>重复</v>
      </c>
      <c r="L2490" s="34" t="str">
        <f t="shared" si="80"/>
        <v>不重复</v>
      </c>
    </row>
    <row r="2491" spans="1:12" ht="27">
      <c r="A2491" s="35" t="s">
        <v>12914</v>
      </c>
      <c r="B2491" s="35" t="s">
        <v>6889</v>
      </c>
      <c r="C2491" s="36" t="s">
        <v>6525</v>
      </c>
      <c r="D2491" s="35" t="s">
        <v>6890</v>
      </c>
      <c r="E2491" s="35" t="s">
        <v>12874</v>
      </c>
      <c r="F2491" s="35" t="s">
        <v>12483</v>
      </c>
      <c r="G2491" s="35">
        <v>352440</v>
      </c>
      <c r="H2491" s="35">
        <v>390150</v>
      </c>
      <c r="I2491" s="35">
        <v>200020</v>
      </c>
      <c r="J2491" s="34" t="s">
        <v>688</v>
      </c>
      <c r="K2491" s="34" t="str">
        <f t="shared" si="79"/>
        <v>重复</v>
      </c>
      <c r="L2491" s="34" t="str">
        <f t="shared" si="80"/>
        <v>不重复</v>
      </c>
    </row>
    <row r="2492" spans="1:12" ht="15">
      <c r="A2492" s="35" t="s">
        <v>12915</v>
      </c>
      <c r="B2492" s="35" t="s">
        <v>6891</v>
      </c>
      <c r="C2492" s="36" t="s">
        <v>6892</v>
      </c>
      <c r="D2492" s="35" t="s">
        <v>6893</v>
      </c>
      <c r="E2492" s="35" t="s">
        <v>12874</v>
      </c>
      <c r="F2492" s="35" t="s">
        <v>12483</v>
      </c>
      <c r="G2492" s="35">
        <v>352441</v>
      </c>
      <c r="H2492" s="35">
        <v>390150</v>
      </c>
      <c r="I2492" s="35">
        <v>200020</v>
      </c>
      <c r="J2492" s="34" t="s">
        <v>6894</v>
      </c>
      <c r="K2492" s="34" t="str">
        <f t="shared" si="79"/>
        <v>不重复</v>
      </c>
      <c r="L2492" s="34" t="str">
        <f t="shared" si="80"/>
        <v>重复</v>
      </c>
    </row>
    <row r="2493" spans="1:12" ht="27">
      <c r="A2493" s="35" t="s">
        <v>12916</v>
      </c>
      <c r="B2493" s="35" t="s">
        <v>6895</v>
      </c>
      <c r="C2493" s="36" t="s">
        <v>6896</v>
      </c>
      <c r="D2493" s="35" t="s">
        <v>6897</v>
      </c>
      <c r="E2493" s="35" t="s">
        <v>12874</v>
      </c>
      <c r="F2493" s="35" t="s">
        <v>12483</v>
      </c>
      <c r="G2493" s="35">
        <v>352442</v>
      </c>
      <c r="H2493" s="35">
        <v>390150</v>
      </c>
      <c r="I2493" s="35">
        <v>200020</v>
      </c>
      <c r="J2493" s="34" t="s">
        <v>493</v>
      </c>
      <c r="K2493" s="34" t="str">
        <f t="shared" si="79"/>
        <v>不重复</v>
      </c>
      <c r="L2493" s="34" t="str">
        <f t="shared" si="80"/>
        <v>不重复</v>
      </c>
    </row>
    <row r="2494" spans="1:12" ht="15">
      <c r="A2494" s="35" t="s">
        <v>12917</v>
      </c>
      <c r="B2494" s="35" t="s">
        <v>6898</v>
      </c>
      <c r="C2494" s="36" t="s">
        <v>6899</v>
      </c>
      <c r="D2494" s="35" t="s">
        <v>6900</v>
      </c>
      <c r="E2494" s="35" t="s">
        <v>12874</v>
      </c>
      <c r="F2494" s="35" t="s">
        <v>12483</v>
      </c>
      <c r="G2494" s="35">
        <v>352443</v>
      </c>
      <c r="H2494" s="35">
        <v>390150</v>
      </c>
      <c r="I2494" s="35">
        <v>200020</v>
      </c>
      <c r="J2494" s="34" t="s">
        <v>288</v>
      </c>
      <c r="K2494" s="34" t="str">
        <f t="shared" si="79"/>
        <v>不重复</v>
      </c>
      <c r="L2494" s="34" t="str">
        <f t="shared" si="80"/>
        <v>重复</v>
      </c>
    </row>
    <row r="2495" spans="1:12" ht="15">
      <c r="A2495" s="35" t="s">
        <v>12918</v>
      </c>
      <c r="B2495" s="35" t="s">
        <v>6901</v>
      </c>
      <c r="C2495" s="36" t="s">
        <v>6902</v>
      </c>
      <c r="D2495" s="35" t="s">
        <v>6903</v>
      </c>
      <c r="E2495" s="35" t="s">
        <v>12874</v>
      </c>
      <c r="F2495" s="35" t="s">
        <v>12483</v>
      </c>
      <c r="G2495" s="35">
        <v>352444</v>
      </c>
      <c r="H2495" s="35">
        <v>390150</v>
      </c>
      <c r="I2495" s="35">
        <v>200020</v>
      </c>
      <c r="J2495" s="34" t="s">
        <v>363</v>
      </c>
      <c r="K2495" s="34" t="str">
        <f t="shared" si="79"/>
        <v>不重复</v>
      </c>
      <c r="L2495" s="34" t="str">
        <f t="shared" si="80"/>
        <v>不重复</v>
      </c>
    </row>
    <row r="2496" spans="1:12" ht="15">
      <c r="A2496" s="35" t="s">
        <v>12919</v>
      </c>
      <c r="B2496" s="35" t="s">
        <v>6904</v>
      </c>
      <c r="C2496" s="36" t="s">
        <v>6905</v>
      </c>
      <c r="D2496" s="35" t="s">
        <v>6906</v>
      </c>
      <c r="E2496" s="35" t="s">
        <v>12874</v>
      </c>
      <c r="F2496" s="35" t="s">
        <v>12483</v>
      </c>
      <c r="G2496" s="35">
        <v>352445</v>
      </c>
      <c r="H2496" s="35">
        <v>390150</v>
      </c>
      <c r="I2496" s="35">
        <v>200020</v>
      </c>
      <c r="J2496" s="34" t="s">
        <v>6907</v>
      </c>
      <c r="K2496" s="34" t="str">
        <f t="shared" si="79"/>
        <v>重复</v>
      </c>
      <c r="L2496" s="34" t="str">
        <f t="shared" si="80"/>
        <v>不重复</v>
      </c>
    </row>
    <row r="2497" spans="1:12" ht="30">
      <c r="A2497" s="35" t="s">
        <v>12920</v>
      </c>
      <c r="B2497" s="35" t="s">
        <v>6908</v>
      </c>
      <c r="C2497" s="36" t="s">
        <v>5240</v>
      </c>
      <c r="D2497" s="35" t="s">
        <v>6909</v>
      </c>
      <c r="E2497" s="35" t="s">
        <v>12874</v>
      </c>
      <c r="F2497" s="35" t="s">
        <v>12483</v>
      </c>
      <c r="G2497" s="35">
        <v>352446</v>
      </c>
      <c r="H2497" s="35">
        <v>390150</v>
      </c>
      <c r="I2497" s="35">
        <v>200020</v>
      </c>
      <c r="J2497" s="34" t="s">
        <v>317</v>
      </c>
      <c r="K2497" s="34" t="str">
        <f t="shared" si="79"/>
        <v>重复</v>
      </c>
      <c r="L2497" s="34" t="str">
        <f t="shared" si="80"/>
        <v>不重复</v>
      </c>
    </row>
    <row r="2498" spans="1:12" ht="30">
      <c r="A2498" s="35" t="s">
        <v>12921</v>
      </c>
      <c r="B2498" s="35" t="s">
        <v>6910</v>
      </c>
      <c r="C2498" s="36" t="s">
        <v>3391</v>
      </c>
      <c r="D2498" s="35" t="s">
        <v>6911</v>
      </c>
      <c r="E2498" s="35" t="s">
        <v>12874</v>
      </c>
      <c r="F2498" s="35" t="s">
        <v>12483</v>
      </c>
      <c r="G2498" s="35">
        <v>352447</v>
      </c>
      <c r="H2498" s="35">
        <v>390150</v>
      </c>
      <c r="I2498" s="35">
        <v>200020</v>
      </c>
      <c r="J2498" s="34" t="s">
        <v>6912</v>
      </c>
      <c r="K2498" s="34" t="str">
        <f t="shared" si="79"/>
        <v>重复</v>
      </c>
      <c r="L2498" s="34" t="str">
        <f t="shared" si="80"/>
        <v>不重复</v>
      </c>
    </row>
    <row r="2499" spans="1:12" ht="30">
      <c r="A2499" s="35" t="s">
        <v>12922</v>
      </c>
      <c r="B2499" s="35" t="s">
        <v>6913</v>
      </c>
      <c r="C2499" s="36" t="s">
        <v>3674</v>
      </c>
      <c r="D2499" s="35" t="s">
        <v>570</v>
      </c>
      <c r="E2499" s="35" t="s">
        <v>12874</v>
      </c>
      <c r="F2499" s="35" t="s">
        <v>12483</v>
      </c>
      <c r="G2499" s="35">
        <v>352448</v>
      </c>
      <c r="H2499" s="35">
        <v>390150</v>
      </c>
      <c r="I2499" s="35">
        <v>200020</v>
      </c>
      <c r="J2499" s="34" t="s">
        <v>363</v>
      </c>
      <c r="K2499" s="34" t="str">
        <f t="shared" si="79"/>
        <v>重复</v>
      </c>
      <c r="L2499" s="34" t="str">
        <f t="shared" si="80"/>
        <v>重复</v>
      </c>
    </row>
    <row r="2500" spans="1:12" ht="30">
      <c r="A2500" s="35" t="s">
        <v>12923</v>
      </c>
      <c r="B2500" s="35" t="s">
        <v>6914</v>
      </c>
      <c r="C2500" s="36" t="s">
        <v>6915</v>
      </c>
      <c r="D2500" s="35" t="s">
        <v>6916</v>
      </c>
      <c r="E2500" s="35" t="s">
        <v>12874</v>
      </c>
      <c r="F2500" s="35" t="s">
        <v>12483</v>
      </c>
      <c r="G2500" s="35">
        <v>352449</v>
      </c>
      <c r="H2500" s="35">
        <v>390150</v>
      </c>
      <c r="I2500" s="35">
        <v>200020</v>
      </c>
      <c r="J2500" s="34" t="s">
        <v>390</v>
      </c>
      <c r="K2500" s="34" t="str">
        <f t="shared" si="79"/>
        <v>不重复</v>
      </c>
      <c r="L2500" s="34" t="str">
        <f t="shared" si="80"/>
        <v>不重复</v>
      </c>
    </row>
    <row r="2501" spans="1:12" ht="15">
      <c r="A2501" s="35" t="s">
        <v>12924</v>
      </c>
      <c r="B2501" s="35" t="s">
        <v>6917</v>
      </c>
      <c r="C2501" s="36" t="s">
        <v>1300</v>
      </c>
      <c r="D2501" s="35" t="s">
        <v>6918</v>
      </c>
      <c r="E2501" s="35" t="s">
        <v>12874</v>
      </c>
      <c r="F2501" s="35" t="s">
        <v>12483</v>
      </c>
      <c r="G2501" s="35">
        <v>352450</v>
      </c>
      <c r="H2501" s="35">
        <v>390150</v>
      </c>
      <c r="I2501" s="35">
        <v>200020</v>
      </c>
      <c r="J2501" s="34" t="s">
        <v>363</v>
      </c>
      <c r="K2501" s="34" t="str">
        <f t="shared" si="79"/>
        <v>重复</v>
      </c>
      <c r="L2501" s="34" t="str">
        <f t="shared" si="80"/>
        <v>不重复</v>
      </c>
    </row>
    <row r="2502" spans="1:12" ht="15">
      <c r="A2502" s="35" t="s">
        <v>12925</v>
      </c>
      <c r="B2502" s="35" t="s">
        <v>6919</v>
      </c>
      <c r="C2502" s="36" t="s">
        <v>1191</v>
      </c>
      <c r="D2502" s="35" t="s">
        <v>6920</v>
      </c>
      <c r="E2502" s="35" t="s">
        <v>12874</v>
      </c>
      <c r="F2502" s="35" t="s">
        <v>12483</v>
      </c>
      <c r="G2502" s="35">
        <v>352451</v>
      </c>
      <c r="H2502" s="35">
        <v>390150</v>
      </c>
      <c r="I2502" s="35">
        <v>200020</v>
      </c>
      <c r="J2502" s="34" t="s">
        <v>288</v>
      </c>
      <c r="K2502" s="34" t="str">
        <f t="shared" si="79"/>
        <v>重复</v>
      </c>
      <c r="L2502" s="34" t="str">
        <f t="shared" si="80"/>
        <v>不重复</v>
      </c>
    </row>
    <row r="2503" spans="1:12" ht="15">
      <c r="A2503" s="35" t="s">
        <v>12926</v>
      </c>
      <c r="B2503" s="35" t="s">
        <v>6921</v>
      </c>
      <c r="C2503" s="36" t="s">
        <v>6922</v>
      </c>
      <c r="D2503" s="35" t="s">
        <v>6923</v>
      </c>
      <c r="E2503" s="35" t="s">
        <v>12874</v>
      </c>
      <c r="F2503" s="35" t="s">
        <v>12483</v>
      </c>
      <c r="G2503" s="35">
        <v>352452</v>
      </c>
      <c r="H2503" s="35">
        <v>390150</v>
      </c>
      <c r="I2503" s="35">
        <v>200020</v>
      </c>
      <c r="J2503" s="34" t="s">
        <v>458</v>
      </c>
      <c r="K2503" s="34" t="str">
        <f t="shared" si="79"/>
        <v>重复</v>
      </c>
      <c r="L2503" s="34" t="str">
        <f t="shared" si="80"/>
        <v>不重复</v>
      </c>
    </row>
    <row r="2504" spans="1:12" ht="15">
      <c r="A2504" s="35" t="s">
        <v>12927</v>
      </c>
      <c r="B2504" s="35" t="s">
        <v>6924</v>
      </c>
      <c r="C2504" s="36" t="s">
        <v>6925</v>
      </c>
      <c r="D2504" s="35" t="s">
        <v>6926</v>
      </c>
      <c r="E2504" s="35" t="s">
        <v>12874</v>
      </c>
      <c r="F2504" s="35" t="s">
        <v>12483</v>
      </c>
      <c r="G2504" s="35">
        <v>352453</v>
      </c>
      <c r="H2504" s="35">
        <v>390150</v>
      </c>
      <c r="I2504" s="35">
        <v>200020</v>
      </c>
      <c r="J2504" s="34" t="s">
        <v>223</v>
      </c>
      <c r="K2504" s="34" t="str">
        <f t="shared" si="79"/>
        <v>不重复</v>
      </c>
      <c r="L2504" s="34" t="str">
        <f t="shared" si="80"/>
        <v>不重复</v>
      </c>
    </row>
    <row r="2505" spans="1:12" ht="15">
      <c r="A2505" s="35" t="s">
        <v>12928</v>
      </c>
      <c r="B2505" s="35" t="s">
        <v>6927</v>
      </c>
      <c r="C2505" s="36" t="s">
        <v>6863</v>
      </c>
      <c r="D2505" s="35" t="s">
        <v>6928</v>
      </c>
      <c r="E2505" s="35" t="s">
        <v>12874</v>
      </c>
      <c r="F2505" s="35" t="s">
        <v>12483</v>
      </c>
      <c r="G2505" s="35">
        <v>352454</v>
      </c>
      <c r="H2505" s="35">
        <v>390150</v>
      </c>
      <c r="I2505" s="35">
        <v>200020</v>
      </c>
      <c r="J2505" s="34" t="s">
        <v>6929</v>
      </c>
      <c r="K2505" s="34" t="str">
        <f t="shared" si="79"/>
        <v>重复</v>
      </c>
      <c r="L2505" s="34" t="str">
        <f t="shared" si="80"/>
        <v>不重复</v>
      </c>
    </row>
    <row r="2506" spans="1:12" ht="27">
      <c r="A2506" s="35" t="s">
        <v>12929</v>
      </c>
      <c r="B2506" s="35" t="s">
        <v>6930</v>
      </c>
      <c r="C2506" s="36" t="s">
        <v>5648</v>
      </c>
      <c r="D2506" s="35" t="s">
        <v>6931</v>
      </c>
      <c r="E2506" s="35" t="s">
        <v>12874</v>
      </c>
      <c r="F2506" s="35" t="s">
        <v>12483</v>
      </c>
      <c r="G2506" s="35">
        <v>352455</v>
      </c>
      <c r="H2506" s="35">
        <v>390150</v>
      </c>
      <c r="I2506" s="35">
        <v>200020</v>
      </c>
      <c r="J2506" s="34" t="s">
        <v>317</v>
      </c>
      <c r="K2506" s="34" t="str">
        <f t="shared" si="79"/>
        <v>重复</v>
      </c>
      <c r="L2506" s="34" t="str">
        <f t="shared" si="80"/>
        <v>不重复</v>
      </c>
    </row>
    <row r="2507" spans="1:12" ht="15">
      <c r="A2507" s="35" t="s">
        <v>12930</v>
      </c>
      <c r="B2507" s="35" t="s">
        <v>6932</v>
      </c>
      <c r="C2507" s="36" t="s">
        <v>6933</v>
      </c>
      <c r="D2507" s="35" t="s">
        <v>6934</v>
      </c>
      <c r="E2507" s="35" t="s">
        <v>12930</v>
      </c>
      <c r="F2507" s="35" t="s">
        <v>12483</v>
      </c>
      <c r="G2507" s="35">
        <v>352500</v>
      </c>
      <c r="H2507" s="35">
        <v>390160</v>
      </c>
      <c r="I2507" s="35">
        <v>200020</v>
      </c>
      <c r="J2507" s="34" t="s">
        <v>16</v>
      </c>
      <c r="K2507" s="34" t="str">
        <f t="shared" si="79"/>
        <v>重复</v>
      </c>
      <c r="L2507" s="34" t="str">
        <f t="shared" si="80"/>
        <v>不重复</v>
      </c>
    </row>
    <row r="2508" spans="1:12" ht="30">
      <c r="A2508" s="35" t="s">
        <v>12931</v>
      </c>
      <c r="B2508" s="35" t="s">
        <v>6935</v>
      </c>
      <c r="C2508" s="36" t="s">
        <v>6936</v>
      </c>
      <c r="D2508" s="35" t="s">
        <v>6937</v>
      </c>
      <c r="E2508" s="35" t="s">
        <v>12930</v>
      </c>
      <c r="F2508" s="35" t="s">
        <v>12483</v>
      </c>
      <c r="G2508" s="35">
        <v>352501</v>
      </c>
      <c r="H2508" s="35">
        <v>390160</v>
      </c>
      <c r="I2508" s="35">
        <v>200020</v>
      </c>
      <c r="J2508" s="34" t="s">
        <v>1103</v>
      </c>
      <c r="K2508" s="34" t="str">
        <f t="shared" si="81" ref="K2508:K2571">IF(COUNTIF(C:C,C2508)&gt;=2,"重复","不重复")</f>
        <v>重复</v>
      </c>
      <c r="L2508" s="34" t="str">
        <f t="shared" si="82" ref="L2508:L2571">IF(COUNTIF(D:D,D2508)&gt;=2,"重复","不重复")</f>
        <v>重复</v>
      </c>
    </row>
    <row r="2509" spans="1:12" ht="27">
      <c r="A2509" s="35" t="s">
        <v>12932</v>
      </c>
      <c r="B2509" s="35" t="s">
        <v>6938</v>
      </c>
      <c r="C2509" s="36" t="s">
        <v>6939</v>
      </c>
      <c r="D2509" s="35" t="s">
        <v>6937</v>
      </c>
      <c r="E2509" s="35" t="s">
        <v>12930</v>
      </c>
      <c r="F2509" s="35" t="s">
        <v>12483</v>
      </c>
      <c r="G2509" s="35">
        <v>352502</v>
      </c>
      <c r="H2509" s="35">
        <v>390160</v>
      </c>
      <c r="I2509" s="35">
        <v>200020</v>
      </c>
      <c r="J2509" s="34" t="s">
        <v>688</v>
      </c>
      <c r="K2509" s="34" t="str">
        <f t="shared" si="81"/>
        <v>重复</v>
      </c>
      <c r="L2509" s="34" t="str">
        <f t="shared" si="82"/>
        <v>重复</v>
      </c>
    </row>
    <row r="2510" spans="1:12" ht="27">
      <c r="A2510" s="35" t="s">
        <v>12933</v>
      </c>
      <c r="B2510" s="35" t="s">
        <v>6940</v>
      </c>
      <c r="C2510" s="36" t="s">
        <v>6941</v>
      </c>
      <c r="D2510" s="35" t="s">
        <v>6942</v>
      </c>
      <c r="E2510" s="35" t="s">
        <v>12930</v>
      </c>
      <c r="F2510" s="35" t="s">
        <v>12483</v>
      </c>
      <c r="G2510" s="35">
        <v>352503</v>
      </c>
      <c r="H2510" s="35">
        <v>390160</v>
      </c>
      <c r="I2510" s="35">
        <v>200020</v>
      </c>
      <c r="J2510" s="34" t="s">
        <v>288</v>
      </c>
      <c r="K2510" s="34" t="str">
        <f t="shared" si="81"/>
        <v>不重复</v>
      </c>
      <c r="L2510" s="34" t="str">
        <f t="shared" si="82"/>
        <v>不重复</v>
      </c>
    </row>
    <row r="2511" spans="1:12" ht="27">
      <c r="A2511" s="35" t="s">
        <v>12934</v>
      </c>
      <c r="B2511" s="35" t="s">
        <v>6943</v>
      </c>
      <c r="C2511" s="36" t="s">
        <v>6944</v>
      </c>
      <c r="D2511" s="35" t="s">
        <v>6945</v>
      </c>
      <c r="E2511" s="35" t="s">
        <v>12930</v>
      </c>
      <c r="F2511" s="35" t="s">
        <v>12483</v>
      </c>
      <c r="G2511" s="35">
        <v>352504</v>
      </c>
      <c r="H2511" s="35">
        <v>390160</v>
      </c>
      <c r="I2511" s="35">
        <v>200020</v>
      </c>
      <c r="J2511" s="34" t="s">
        <v>1040</v>
      </c>
      <c r="K2511" s="34" t="str">
        <f t="shared" si="81"/>
        <v>不重复</v>
      </c>
      <c r="L2511" s="34" t="str">
        <f t="shared" si="82"/>
        <v>不重复</v>
      </c>
    </row>
    <row r="2512" spans="1:12" ht="27">
      <c r="A2512" s="35" t="s">
        <v>12935</v>
      </c>
      <c r="B2512" s="35" t="s">
        <v>6946</v>
      </c>
      <c r="C2512" s="36" t="s">
        <v>2052</v>
      </c>
      <c r="D2512" s="35" t="s">
        <v>6947</v>
      </c>
      <c r="E2512" s="35" t="s">
        <v>12930</v>
      </c>
      <c r="F2512" s="35" t="s">
        <v>12483</v>
      </c>
      <c r="G2512" s="35">
        <v>352505</v>
      </c>
      <c r="H2512" s="35">
        <v>390160</v>
      </c>
      <c r="I2512" s="35">
        <v>200020</v>
      </c>
      <c r="J2512" s="34" t="s">
        <v>688</v>
      </c>
      <c r="K2512" s="34" t="str">
        <f t="shared" si="81"/>
        <v>重复</v>
      </c>
      <c r="L2512" s="34" t="str">
        <f t="shared" si="82"/>
        <v>不重复</v>
      </c>
    </row>
    <row r="2513" spans="1:12" ht="27">
      <c r="A2513" s="35" t="s">
        <v>12936</v>
      </c>
      <c r="B2513" s="35" t="s">
        <v>6948</v>
      </c>
      <c r="C2513" s="36" t="s">
        <v>640</v>
      </c>
      <c r="D2513" s="35" t="s">
        <v>6949</v>
      </c>
      <c r="E2513" s="35" t="s">
        <v>12930</v>
      </c>
      <c r="F2513" s="35" t="s">
        <v>12483</v>
      </c>
      <c r="G2513" s="35">
        <v>352506</v>
      </c>
      <c r="H2513" s="35">
        <v>390160</v>
      </c>
      <c r="I2513" s="35">
        <v>200020</v>
      </c>
      <c r="J2513" s="34" t="s">
        <v>668</v>
      </c>
      <c r="K2513" s="34" t="str">
        <f t="shared" si="81"/>
        <v>重复</v>
      </c>
      <c r="L2513" s="34" t="str">
        <f t="shared" si="82"/>
        <v>不重复</v>
      </c>
    </row>
    <row r="2514" spans="1:12" ht="27">
      <c r="A2514" s="35" t="s">
        <v>12937</v>
      </c>
      <c r="B2514" s="35" t="s">
        <v>6950</v>
      </c>
      <c r="C2514" s="36" t="s">
        <v>2036</v>
      </c>
      <c r="D2514" s="35" t="s">
        <v>6951</v>
      </c>
      <c r="E2514" s="35" t="s">
        <v>12930</v>
      </c>
      <c r="F2514" s="35" t="s">
        <v>12483</v>
      </c>
      <c r="G2514" s="35">
        <v>352507</v>
      </c>
      <c r="H2514" s="35">
        <v>390160</v>
      </c>
      <c r="I2514" s="35">
        <v>200020</v>
      </c>
      <c r="J2514" s="34" t="s">
        <v>688</v>
      </c>
      <c r="K2514" s="34" t="str">
        <f t="shared" si="81"/>
        <v>重复</v>
      </c>
      <c r="L2514" s="34" t="str">
        <f t="shared" si="82"/>
        <v>重复</v>
      </c>
    </row>
    <row r="2515" spans="1:12" ht="30">
      <c r="A2515" s="35" t="s">
        <v>12938</v>
      </c>
      <c r="B2515" s="35" t="s">
        <v>6952</v>
      </c>
      <c r="C2515" s="36" t="s">
        <v>3676</v>
      </c>
      <c r="D2515" s="35" t="s">
        <v>6951</v>
      </c>
      <c r="E2515" s="35" t="s">
        <v>12930</v>
      </c>
      <c r="F2515" s="35" t="s">
        <v>12483</v>
      </c>
      <c r="G2515" s="35">
        <v>352508</v>
      </c>
      <c r="H2515" s="35">
        <v>390160</v>
      </c>
      <c r="I2515" s="35">
        <v>200020</v>
      </c>
      <c r="J2515" s="34" t="s">
        <v>288</v>
      </c>
      <c r="K2515" s="34" t="str">
        <f t="shared" si="81"/>
        <v>重复</v>
      </c>
      <c r="L2515" s="34" t="str">
        <f t="shared" si="82"/>
        <v>重复</v>
      </c>
    </row>
    <row r="2516" spans="1:12" ht="27">
      <c r="A2516" s="35" t="s">
        <v>12939</v>
      </c>
      <c r="B2516" s="35" t="s">
        <v>6953</v>
      </c>
      <c r="C2516" s="36" t="s">
        <v>636</v>
      </c>
      <c r="D2516" s="35" t="s">
        <v>6954</v>
      </c>
      <c r="E2516" s="35" t="s">
        <v>12930</v>
      </c>
      <c r="F2516" s="35" t="s">
        <v>12483</v>
      </c>
      <c r="G2516" s="35">
        <v>352509</v>
      </c>
      <c r="H2516" s="35">
        <v>390160</v>
      </c>
      <c r="I2516" s="35">
        <v>200020</v>
      </c>
      <c r="J2516" s="34" t="s">
        <v>878</v>
      </c>
      <c r="K2516" s="34" t="str">
        <f t="shared" si="81"/>
        <v>重复</v>
      </c>
      <c r="L2516" s="34" t="str">
        <f t="shared" si="82"/>
        <v>不重复</v>
      </c>
    </row>
    <row r="2517" spans="1:12" ht="27">
      <c r="A2517" s="35" t="s">
        <v>12940</v>
      </c>
      <c r="B2517" s="35" t="s">
        <v>6955</v>
      </c>
      <c r="C2517" s="36" t="s">
        <v>2040</v>
      </c>
      <c r="D2517" s="35" t="s">
        <v>6956</v>
      </c>
      <c r="E2517" s="35" t="s">
        <v>12930</v>
      </c>
      <c r="F2517" s="35" t="s">
        <v>12483</v>
      </c>
      <c r="G2517" s="35">
        <v>352510</v>
      </c>
      <c r="H2517" s="35">
        <v>390160</v>
      </c>
      <c r="I2517" s="35">
        <v>200020</v>
      </c>
      <c r="J2517" s="34" t="s">
        <v>288</v>
      </c>
      <c r="K2517" s="34" t="str">
        <f t="shared" si="81"/>
        <v>重复</v>
      </c>
      <c r="L2517" s="34" t="str">
        <f t="shared" si="82"/>
        <v>不重复</v>
      </c>
    </row>
    <row r="2518" spans="1:12" ht="30">
      <c r="A2518" s="35" t="s">
        <v>12941</v>
      </c>
      <c r="B2518" s="35" t="s">
        <v>6957</v>
      </c>
      <c r="C2518" s="36" t="s">
        <v>1071</v>
      </c>
      <c r="D2518" s="35" t="s">
        <v>6958</v>
      </c>
      <c r="E2518" s="35" t="s">
        <v>12930</v>
      </c>
      <c r="F2518" s="35" t="s">
        <v>12483</v>
      </c>
      <c r="G2518" s="35">
        <v>352511</v>
      </c>
      <c r="H2518" s="35">
        <v>390160</v>
      </c>
      <c r="I2518" s="35">
        <v>200020</v>
      </c>
      <c r="J2518" s="34" t="s">
        <v>6959</v>
      </c>
      <c r="K2518" s="34" t="str">
        <f t="shared" si="81"/>
        <v>重复</v>
      </c>
      <c r="L2518" s="34" t="str">
        <f t="shared" si="82"/>
        <v>不重复</v>
      </c>
    </row>
    <row r="2519" spans="1:12" ht="27">
      <c r="A2519" s="35" t="s">
        <v>12942</v>
      </c>
      <c r="B2519" s="35" t="s">
        <v>6960</v>
      </c>
      <c r="C2519" s="36" t="s">
        <v>2368</v>
      </c>
      <c r="D2519" s="35" t="s">
        <v>6961</v>
      </c>
      <c r="E2519" s="35" t="s">
        <v>12930</v>
      </c>
      <c r="F2519" s="35" t="s">
        <v>12483</v>
      </c>
      <c r="G2519" s="35">
        <v>352512</v>
      </c>
      <c r="H2519" s="35">
        <v>390160</v>
      </c>
      <c r="I2519" s="35">
        <v>200020</v>
      </c>
      <c r="J2519" s="34" t="s">
        <v>889</v>
      </c>
      <c r="K2519" s="34" t="str">
        <f t="shared" si="81"/>
        <v>重复</v>
      </c>
      <c r="L2519" s="34" t="str">
        <f t="shared" si="82"/>
        <v>不重复</v>
      </c>
    </row>
    <row r="2520" spans="1:12" ht="27">
      <c r="A2520" s="35" t="s">
        <v>12943</v>
      </c>
      <c r="B2520" s="35" t="s">
        <v>6962</v>
      </c>
      <c r="C2520" s="36" t="s">
        <v>6963</v>
      </c>
      <c r="D2520" s="35" t="s">
        <v>6964</v>
      </c>
      <c r="E2520" s="35" t="s">
        <v>12930</v>
      </c>
      <c r="F2520" s="35" t="s">
        <v>12483</v>
      </c>
      <c r="G2520" s="35">
        <v>352513</v>
      </c>
      <c r="H2520" s="35">
        <v>390160</v>
      </c>
      <c r="I2520" s="35">
        <v>200020</v>
      </c>
      <c r="J2520" s="34" t="s">
        <v>878</v>
      </c>
      <c r="K2520" s="34" t="str">
        <f t="shared" si="81"/>
        <v>不重复</v>
      </c>
      <c r="L2520" s="34" t="str">
        <f t="shared" si="82"/>
        <v>不重复</v>
      </c>
    </row>
    <row r="2521" spans="1:12" ht="27">
      <c r="A2521" s="35" t="s">
        <v>12944</v>
      </c>
      <c r="B2521" s="35" t="s">
        <v>6965</v>
      </c>
      <c r="C2521" s="36" t="s">
        <v>3468</v>
      </c>
      <c r="D2521" s="35" t="s">
        <v>6966</v>
      </c>
      <c r="E2521" s="35" t="s">
        <v>12930</v>
      </c>
      <c r="F2521" s="35" t="s">
        <v>12483</v>
      </c>
      <c r="G2521" s="35">
        <v>352514</v>
      </c>
      <c r="H2521" s="35">
        <v>390160</v>
      </c>
      <c r="I2521" s="35">
        <v>200020</v>
      </c>
      <c r="J2521" s="34" t="s">
        <v>5561</v>
      </c>
      <c r="K2521" s="34" t="str">
        <f t="shared" si="81"/>
        <v>重复</v>
      </c>
      <c r="L2521" s="34" t="str">
        <f t="shared" si="82"/>
        <v>不重复</v>
      </c>
    </row>
    <row r="2522" spans="1:12" ht="27">
      <c r="A2522" s="35" t="s">
        <v>12945</v>
      </c>
      <c r="B2522" s="35" t="s">
        <v>6967</v>
      </c>
      <c r="C2522" s="36" t="s">
        <v>408</v>
      </c>
      <c r="D2522" s="35" t="s">
        <v>6968</v>
      </c>
      <c r="E2522" s="35" t="s">
        <v>12930</v>
      </c>
      <c r="F2522" s="35" t="s">
        <v>12483</v>
      </c>
      <c r="G2522" s="35">
        <v>352515</v>
      </c>
      <c r="H2522" s="35">
        <v>390160</v>
      </c>
      <c r="I2522" s="35">
        <v>200020</v>
      </c>
      <c r="J2522" s="34" t="s">
        <v>2059</v>
      </c>
      <c r="K2522" s="34" t="str">
        <f t="shared" si="81"/>
        <v>重复</v>
      </c>
      <c r="L2522" s="34" t="str">
        <f t="shared" si="82"/>
        <v>不重复</v>
      </c>
    </row>
    <row r="2523" spans="1:12" ht="15">
      <c r="A2523" s="35" t="s">
        <v>12946</v>
      </c>
      <c r="B2523" s="35" t="s">
        <v>6969</v>
      </c>
      <c r="C2523" s="36" t="s">
        <v>6970</v>
      </c>
      <c r="D2523" s="35" t="s">
        <v>6971</v>
      </c>
      <c r="E2523" s="35" t="s">
        <v>12946</v>
      </c>
      <c r="F2523" s="35" t="s">
        <v>12483</v>
      </c>
      <c r="G2523" s="35">
        <v>352600</v>
      </c>
      <c r="H2523" s="35">
        <v>390170</v>
      </c>
      <c r="I2523" s="35">
        <v>200020</v>
      </c>
      <c r="J2523" s="34" t="s">
        <v>16</v>
      </c>
      <c r="K2523" s="34" t="str">
        <f t="shared" si="81"/>
        <v>重复</v>
      </c>
      <c r="L2523" s="34" t="str">
        <f t="shared" si="82"/>
        <v>不重复</v>
      </c>
    </row>
    <row r="2524" spans="1:12" ht="15">
      <c r="A2524" s="35" t="s">
        <v>12947</v>
      </c>
      <c r="B2524" s="35" t="s">
        <v>6972</v>
      </c>
      <c r="C2524" s="36" t="s">
        <v>6095</v>
      </c>
      <c r="D2524" s="35" t="s">
        <v>6973</v>
      </c>
      <c r="E2524" s="35" t="s">
        <v>12946</v>
      </c>
      <c r="F2524" s="35" t="s">
        <v>12483</v>
      </c>
      <c r="G2524" s="35">
        <v>352601</v>
      </c>
      <c r="H2524" s="35">
        <v>390170</v>
      </c>
      <c r="I2524" s="35">
        <v>200020</v>
      </c>
      <c r="J2524" s="34" t="s">
        <v>2573</v>
      </c>
      <c r="K2524" s="34" t="str">
        <f t="shared" si="81"/>
        <v>重复</v>
      </c>
      <c r="L2524" s="34" t="str">
        <f t="shared" si="82"/>
        <v>不重复</v>
      </c>
    </row>
    <row r="2525" spans="1:12" ht="15">
      <c r="A2525" s="35" t="s">
        <v>12948</v>
      </c>
      <c r="B2525" s="35" t="s">
        <v>6974</v>
      </c>
      <c r="C2525" s="36" t="s">
        <v>6975</v>
      </c>
      <c r="D2525" s="35" t="s">
        <v>6976</v>
      </c>
      <c r="E2525" s="35" t="s">
        <v>12946</v>
      </c>
      <c r="F2525" s="35" t="s">
        <v>12483</v>
      </c>
      <c r="G2525" s="35">
        <v>352602</v>
      </c>
      <c r="H2525" s="35">
        <v>390170</v>
      </c>
      <c r="I2525" s="35">
        <v>200020</v>
      </c>
      <c r="J2525" s="34" t="s">
        <v>609</v>
      </c>
      <c r="K2525" s="34" t="str">
        <f t="shared" si="81"/>
        <v>不重复</v>
      </c>
      <c r="L2525" s="34" t="str">
        <f t="shared" si="82"/>
        <v>不重复</v>
      </c>
    </row>
    <row r="2526" spans="1:12" ht="15">
      <c r="A2526" s="35" t="s">
        <v>12949</v>
      </c>
      <c r="B2526" s="35" t="s">
        <v>6977</v>
      </c>
      <c r="C2526" s="36" t="s">
        <v>2991</v>
      </c>
      <c r="D2526" s="35" t="s">
        <v>6978</v>
      </c>
      <c r="E2526" s="35" t="s">
        <v>12946</v>
      </c>
      <c r="F2526" s="35" t="s">
        <v>12483</v>
      </c>
      <c r="G2526" s="35">
        <v>352603</v>
      </c>
      <c r="H2526" s="35">
        <v>390170</v>
      </c>
      <c r="I2526" s="35">
        <v>200020</v>
      </c>
      <c r="J2526" s="34" t="s">
        <v>688</v>
      </c>
      <c r="K2526" s="34" t="str">
        <f t="shared" si="81"/>
        <v>重复</v>
      </c>
      <c r="L2526" s="34" t="str">
        <f t="shared" si="82"/>
        <v>不重复</v>
      </c>
    </row>
    <row r="2527" spans="1:12" ht="15">
      <c r="A2527" s="35" t="s">
        <v>12950</v>
      </c>
      <c r="B2527" s="35" t="s">
        <v>6979</v>
      </c>
      <c r="C2527" s="36" t="s">
        <v>6980</v>
      </c>
      <c r="D2527" s="35" t="s">
        <v>6981</v>
      </c>
      <c r="E2527" s="35" t="s">
        <v>12946</v>
      </c>
      <c r="F2527" s="35" t="s">
        <v>12483</v>
      </c>
      <c r="G2527" s="35">
        <v>352604</v>
      </c>
      <c r="H2527" s="35">
        <v>390170</v>
      </c>
      <c r="I2527" s="35">
        <v>200020</v>
      </c>
      <c r="J2527" s="34" t="s">
        <v>715</v>
      </c>
      <c r="K2527" s="34" t="str">
        <f t="shared" si="81"/>
        <v>不重复</v>
      </c>
      <c r="L2527" s="34" t="str">
        <f t="shared" si="82"/>
        <v>不重复</v>
      </c>
    </row>
    <row r="2528" spans="1:12" ht="15">
      <c r="A2528" s="35" t="s">
        <v>12951</v>
      </c>
      <c r="B2528" s="35" t="s">
        <v>6982</v>
      </c>
      <c r="C2528" s="36" t="s">
        <v>6983</v>
      </c>
      <c r="D2528" s="35" t="s">
        <v>6984</v>
      </c>
      <c r="E2528" s="35" t="s">
        <v>12946</v>
      </c>
      <c r="F2528" s="35" t="s">
        <v>12483</v>
      </c>
      <c r="G2528" s="35">
        <v>352605</v>
      </c>
      <c r="H2528" s="35">
        <v>390170</v>
      </c>
      <c r="I2528" s="35">
        <v>200020</v>
      </c>
      <c r="J2528" s="34" t="s">
        <v>609</v>
      </c>
      <c r="K2528" s="34" t="str">
        <f t="shared" si="81"/>
        <v>不重复</v>
      </c>
      <c r="L2528" s="34" t="str">
        <f t="shared" si="82"/>
        <v>不重复</v>
      </c>
    </row>
    <row r="2529" spans="1:12" ht="15">
      <c r="A2529" s="35" t="s">
        <v>12952</v>
      </c>
      <c r="B2529" s="35" t="s">
        <v>6985</v>
      </c>
      <c r="C2529" s="36" t="s">
        <v>6986</v>
      </c>
      <c r="D2529" s="35" t="s">
        <v>6987</v>
      </c>
      <c r="E2529" s="35" t="s">
        <v>12946</v>
      </c>
      <c r="F2529" s="35" t="s">
        <v>12483</v>
      </c>
      <c r="G2529" s="35">
        <v>352606</v>
      </c>
      <c r="H2529" s="35">
        <v>390170</v>
      </c>
      <c r="I2529" s="35">
        <v>200020</v>
      </c>
      <c r="J2529" s="34" t="s">
        <v>688</v>
      </c>
      <c r="K2529" s="34" t="str">
        <f t="shared" si="81"/>
        <v>不重复</v>
      </c>
      <c r="L2529" s="34" t="str">
        <f t="shared" si="82"/>
        <v>不重复</v>
      </c>
    </row>
    <row r="2530" spans="1:12" ht="15">
      <c r="A2530" s="35" t="s">
        <v>12953</v>
      </c>
      <c r="B2530" s="35" t="s">
        <v>6988</v>
      </c>
      <c r="C2530" s="36" t="s">
        <v>6989</v>
      </c>
      <c r="D2530" s="35" t="s">
        <v>6990</v>
      </c>
      <c r="E2530" s="35" t="s">
        <v>12946</v>
      </c>
      <c r="F2530" s="35" t="s">
        <v>12483</v>
      </c>
      <c r="G2530" s="35">
        <v>352607</v>
      </c>
      <c r="H2530" s="35">
        <v>390170</v>
      </c>
      <c r="I2530" s="35">
        <v>200020</v>
      </c>
      <c r="J2530" s="34" t="s">
        <v>1978</v>
      </c>
      <c r="K2530" s="34" t="str">
        <f t="shared" si="81"/>
        <v>不重复</v>
      </c>
      <c r="L2530" s="34" t="str">
        <f t="shared" si="82"/>
        <v>不重复</v>
      </c>
    </row>
    <row r="2531" spans="1:12" ht="15">
      <c r="A2531" s="35" t="s">
        <v>12954</v>
      </c>
      <c r="B2531" s="35" t="s">
        <v>6991</v>
      </c>
      <c r="C2531" s="36" t="s">
        <v>6992</v>
      </c>
      <c r="D2531" s="35" t="s">
        <v>6993</v>
      </c>
      <c r="E2531" s="35" t="s">
        <v>12946</v>
      </c>
      <c r="F2531" s="35" t="s">
        <v>12483</v>
      </c>
      <c r="G2531" s="35">
        <v>352608</v>
      </c>
      <c r="H2531" s="35">
        <v>390170</v>
      </c>
      <c r="I2531" s="35">
        <v>200020</v>
      </c>
      <c r="J2531" s="34" t="s">
        <v>6994</v>
      </c>
      <c r="K2531" s="34" t="str">
        <f t="shared" si="81"/>
        <v>不重复</v>
      </c>
      <c r="L2531" s="34" t="str">
        <f t="shared" si="82"/>
        <v>不重复</v>
      </c>
    </row>
    <row r="2532" spans="1:12" ht="15">
      <c r="A2532" s="35" t="s">
        <v>12955</v>
      </c>
      <c r="B2532" s="35" t="s">
        <v>6995</v>
      </c>
      <c r="C2532" s="36" t="s">
        <v>6996</v>
      </c>
      <c r="D2532" s="35" t="s">
        <v>6997</v>
      </c>
      <c r="E2532" s="35" t="s">
        <v>12946</v>
      </c>
      <c r="F2532" s="35" t="s">
        <v>12483</v>
      </c>
      <c r="G2532" s="35">
        <v>352609</v>
      </c>
      <c r="H2532" s="35">
        <v>390170</v>
      </c>
      <c r="I2532" s="35">
        <v>200020</v>
      </c>
      <c r="J2532" s="34" t="s">
        <v>1137</v>
      </c>
      <c r="K2532" s="34" t="str">
        <f t="shared" si="81"/>
        <v>重复</v>
      </c>
      <c r="L2532" s="34" t="str">
        <f t="shared" si="82"/>
        <v>不重复</v>
      </c>
    </row>
    <row r="2533" spans="1:12" ht="15">
      <c r="A2533" s="35" t="s">
        <v>12956</v>
      </c>
      <c r="B2533" s="35" t="s">
        <v>6998</v>
      </c>
      <c r="C2533" s="36" t="s">
        <v>6996</v>
      </c>
      <c r="D2533" s="35" t="s">
        <v>6999</v>
      </c>
      <c r="E2533" s="35" t="s">
        <v>12946</v>
      </c>
      <c r="F2533" s="35" t="s">
        <v>12483</v>
      </c>
      <c r="G2533" s="35">
        <v>352610</v>
      </c>
      <c r="H2533" s="35">
        <v>390170</v>
      </c>
      <c r="I2533" s="35">
        <v>200020</v>
      </c>
      <c r="J2533" s="34" t="s">
        <v>715</v>
      </c>
      <c r="K2533" s="34" t="str">
        <f t="shared" si="81"/>
        <v>重复</v>
      </c>
      <c r="L2533" s="34" t="str">
        <f t="shared" si="82"/>
        <v>不重复</v>
      </c>
    </row>
    <row r="2534" spans="1:12" ht="15">
      <c r="A2534" s="35" t="s">
        <v>12957</v>
      </c>
      <c r="B2534" s="35" t="s">
        <v>7000</v>
      </c>
      <c r="C2534" s="36" t="s">
        <v>7001</v>
      </c>
      <c r="D2534" s="35" t="s">
        <v>2139</v>
      </c>
      <c r="E2534" s="35" t="s">
        <v>12957</v>
      </c>
      <c r="F2534" s="35" t="s">
        <v>12483</v>
      </c>
      <c r="G2534" s="35">
        <v>352900</v>
      </c>
      <c r="H2534" s="35">
        <v>390180</v>
      </c>
      <c r="I2534" s="35">
        <v>200020</v>
      </c>
      <c r="J2534" s="34" t="s">
        <v>16</v>
      </c>
      <c r="K2534" s="34" t="str">
        <f t="shared" si="81"/>
        <v>重复</v>
      </c>
      <c r="L2534" s="34" t="str">
        <f t="shared" si="82"/>
        <v>重复</v>
      </c>
    </row>
    <row r="2535" spans="1:12" ht="27">
      <c r="A2535" s="35" t="s">
        <v>12958</v>
      </c>
      <c r="B2535" s="35" t="s">
        <v>7002</v>
      </c>
      <c r="C2535" s="36" t="s">
        <v>7003</v>
      </c>
      <c r="D2535" s="35" t="s">
        <v>7004</v>
      </c>
      <c r="E2535" s="35" t="s">
        <v>12957</v>
      </c>
      <c r="F2535" s="35" t="s">
        <v>12483</v>
      </c>
      <c r="G2535" s="35">
        <v>352901</v>
      </c>
      <c r="H2535" s="35">
        <v>390180</v>
      </c>
      <c r="I2535" s="35">
        <v>200020</v>
      </c>
      <c r="J2535" s="34" t="s">
        <v>7005</v>
      </c>
      <c r="K2535" s="34" t="str">
        <f t="shared" si="81"/>
        <v>不重复</v>
      </c>
      <c r="L2535" s="34" t="str">
        <f t="shared" si="82"/>
        <v>不重复</v>
      </c>
    </row>
    <row r="2536" spans="1:12" ht="27">
      <c r="A2536" s="35" t="s">
        <v>12959</v>
      </c>
      <c r="B2536" s="35" t="s">
        <v>7006</v>
      </c>
      <c r="C2536" s="36" t="s">
        <v>7007</v>
      </c>
      <c r="D2536" s="35" t="s">
        <v>7008</v>
      </c>
      <c r="E2536" s="35" t="s">
        <v>12957</v>
      </c>
      <c r="F2536" s="35" t="s">
        <v>12483</v>
      </c>
      <c r="G2536" s="35">
        <v>352902</v>
      </c>
      <c r="H2536" s="35">
        <v>390180</v>
      </c>
      <c r="I2536" s="35">
        <v>200020</v>
      </c>
      <c r="J2536" s="34" t="s">
        <v>2019</v>
      </c>
      <c r="K2536" s="34" t="str">
        <f t="shared" si="81"/>
        <v>不重复</v>
      </c>
      <c r="L2536" s="34" t="str">
        <f t="shared" si="82"/>
        <v>不重复</v>
      </c>
    </row>
    <row r="2537" spans="1:12" ht="27">
      <c r="A2537" s="35" t="s">
        <v>12960</v>
      </c>
      <c r="B2537" s="35" t="s">
        <v>7009</v>
      </c>
      <c r="C2537" s="36" t="s">
        <v>7010</v>
      </c>
      <c r="D2537" s="35" t="s">
        <v>7011</v>
      </c>
      <c r="E2537" s="35" t="s">
        <v>12957</v>
      </c>
      <c r="F2537" s="35" t="s">
        <v>12483</v>
      </c>
      <c r="G2537" s="35">
        <v>352903</v>
      </c>
      <c r="H2537" s="35">
        <v>390180</v>
      </c>
      <c r="I2537" s="35">
        <v>200020</v>
      </c>
      <c r="J2537" s="34" t="s">
        <v>7012</v>
      </c>
      <c r="K2537" s="34" t="str">
        <f t="shared" si="81"/>
        <v>重复</v>
      </c>
      <c r="L2537" s="34" t="str">
        <f t="shared" si="82"/>
        <v>不重复</v>
      </c>
    </row>
    <row r="2538" spans="1:12" ht="27">
      <c r="A2538" s="35" t="s">
        <v>12961</v>
      </c>
      <c r="B2538" s="35" t="s">
        <v>7013</v>
      </c>
      <c r="C2538" s="36" t="s">
        <v>4383</v>
      </c>
      <c r="D2538" s="35" t="s">
        <v>7014</v>
      </c>
      <c r="E2538" s="35" t="s">
        <v>12957</v>
      </c>
      <c r="F2538" s="35" t="s">
        <v>12483</v>
      </c>
      <c r="G2538" s="35">
        <v>352904</v>
      </c>
      <c r="H2538" s="35">
        <v>390180</v>
      </c>
      <c r="I2538" s="35">
        <v>200020</v>
      </c>
      <c r="J2538" s="34" t="s">
        <v>347</v>
      </c>
      <c r="K2538" s="34" t="str">
        <f t="shared" si="81"/>
        <v>重复</v>
      </c>
      <c r="L2538" s="34" t="str">
        <f t="shared" si="82"/>
        <v>不重复</v>
      </c>
    </row>
    <row r="2539" spans="1:12" ht="27">
      <c r="A2539" s="35" t="s">
        <v>12962</v>
      </c>
      <c r="B2539" s="35" t="s">
        <v>7015</v>
      </c>
      <c r="C2539" s="36" t="s">
        <v>245</v>
      </c>
      <c r="D2539" s="35" t="s">
        <v>981</v>
      </c>
      <c r="E2539" s="35" t="s">
        <v>12957</v>
      </c>
      <c r="F2539" s="35" t="s">
        <v>12483</v>
      </c>
      <c r="G2539" s="35">
        <v>352905</v>
      </c>
      <c r="H2539" s="35">
        <v>390180</v>
      </c>
      <c r="I2539" s="35">
        <v>200020</v>
      </c>
      <c r="J2539" s="34" t="s">
        <v>985</v>
      </c>
      <c r="K2539" s="34" t="str">
        <f t="shared" si="81"/>
        <v>重复</v>
      </c>
      <c r="L2539" s="34" t="str">
        <f t="shared" si="82"/>
        <v>重复</v>
      </c>
    </row>
    <row r="2540" spans="1:12" ht="27">
      <c r="A2540" s="35" t="s">
        <v>12963</v>
      </c>
      <c r="B2540" s="35" t="s">
        <v>7016</v>
      </c>
      <c r="C2540" s="36" t="s">
        <v>7017</v>
      </c>
      <c r="D2540" s="35" t="s">
        <v>3787</v>
      </c>
      <c r="E2540" s="35" t="s">
        <v>12957</v>
      </c>
      <c r="F2540" s="35" t="s">
        <v>12483</v>
      </c>
      <c r="G2540" s="35">
        <v>352906</v>
      </c>
      <c r="H2540" s="35">
        <v>390180</v>
      </c>
      <c r="I2540" s="35">
        <v>200020</v>
      </c>
      <c r="J2540" s="34" t="s">
        <v>317</v>
      </c>
      <c r="K2540" s="34" t="str">
        <f t="shared" si="81"/>
        <v>不重复</v>
      </c>
      <c r="L2540" s="34" t="str">
        <f t="shared" si="82"/>
        <v>重复</v>
      </c>
    </row>
    <row r="2541" spans="1:12" ht="30">
      <c r="A2541" s="35" t="s">
        <v>12964</v>
      </c>
      <c r="B2541" s="35" t="s">
        <v>7018</v>
      </c>
      <c r="C2541" s="36" t="s">
        <v>3321</v>
      </c>
      <c r="D2541" s="35" t="s">
        <v>7019</v>
      </c>
      <c r="E2541" s="35" t="s">
        <v>12957</v>
      </c>
      <c r="F2541" s="35" t="s">
        <v>12483</v>
      </c>
      <c r="G2541" s="35">
        <v>352907</v>
      </c>
      <c r="H2541" s="35">
        <v>390180</v>
      </c>
      <c r="I2541" s="35">
        <v>200020</v>
      </c>
      <c r="J2541" s="34" t="s">
        <v>363</v>
      </c>
      <c r="K2541" s="34" t="str">
        <f t="shared" si="81"/>
        <v>重复</v>
      </c>
      <c r="L2541" s="34" t="str">
        <f t="shared" si="82"/>
        <v>不重复</v>
      </c>
    </row>
    <row r="2542" spans="1:12" ht="27">
      <c r="A2542" s="35" t="s">
        <v>12965</v>
      </c>
      <c r="B2542" s="35" t="s">
        <v>7020</v>
      </c>
      <c r="C2542" s="36" t="s">
        <v>7021</v>
      </c>
      <c r="D2542" s="35" t="s">
        <v>7022</v>
      </c>
      <c r="E2542" s="35" t="s">
        <v>12957</v>
      </c>
      <c r="F2542" s="35" t="s">
        <v>12483</v>
      </c>
      <c r="G2542" s="35">
        <v>352908</v>
      </c>
      <c r="H2542" s="35">
        <v>390180</v>
      </c>
      <c r="I2542" s="35">
        <v>200020</v>
      </c>
      <c r="J2542" s="34" t="s">
        <v>363</v>
      </c>
      <c r="K2542" s="34" t="str">
        <f t="shared" si="81"/>
        <v>重复</v>
      </c>
      <c r="L2542" s="34" t="str">
        <f t="shared" si="82"/>
        <v>不重复</v>
      </c>
    </row>
    <row r="2543" spans="1:12" ht="27">
      <c r="A2543" s="35" t="s">
        <v>12966</v>
      </c>
      <c r="B2543" s="35" t="s">
        <v>7023</v>
      </c>
      <c r="C2543" s="36" t="s">
        <v>7024</v>
      </c>
      <c r="D2543" s="35" t="s">
        <v>7025</v>
      </c>
      <c r="E2543" s="35" t="s">
        <v>12957</v>
      </c>
      <c r="F2543" s="35" t="s">
        <v>12483</v>
      </c>
      <c r="G2543" s="35">
        <v>352909</v>
      </c>
      <c r="H2543" s="35">
        <v>390180</v>
      </c>
      <c r="I2543" s="35">
        <v>200020</v>
      </c>
      <c r="J2543" s="34" t="s">
        <v>317</v>
      </c>
      <c r="K2543" s="34" t="str">
        <f t="shared" si="81"/>
        <v>重复</v>
      </c>
      <c r="L2543" s="34" t="str">
        <f t="shared" si="82"/>
        <v>不重复</v>
      </c>
    </row>
    <row r="2544" spans="1:12" ht="27">
      <c r="A2544" s="35" t="s">
        <v>12967</v>
      </c>
      <c r="B2544" s="35" t="s">
        <v>7026</v>
      </c>
      <c r="C2544" s="36" t="s">
        <v>5886</v>
      </c>
      <c r="D2544" s="35" t="s">
        <v>7027</v>
      </c>
      <c r="E2544" s="35" t="s">
        <v>12957</v>
      </c>
      <c r="F2544" s="35" t="s">
        <v>12483</v>
      </c>
      <c r="G2544" s="35">
        <v>352910</v>
      </c>
      <c r="H2544" s="35">
        <v>390180</v>
      </c>
      <c r="I2544" s="35">
        <v>200020</v>
      </c>
      <c r="J2544" s="34" t="s">
        <v>7005</v>
      </c>
      <c r="K2544" s="34" t="str">
        <f t="shared" si="81"/>
        <v>重复</v>
      </c>
      <c r="L2544" s="34" t="str">
        <f t="shared" si="82"/>
        <v>不重复</v>
      </c>
    </row>
    <row r="2545" spans="1:12" ht="27">
      <c r="A2545" s="35" t="s">
        <v>12968</v>
      </c>
      <c r="B2545" s="35" t="s">
        <v>7028</v>
      </c>
      <c r="C2545" s="36" t="s">
        <v>7029</v>
      </c>
      <c r="D2545" s="35" t="s">
        <v>7030</v>
      </c>
      <c r="E2545" s="35" t="s">
        <v>12957</v>
      </c>
      <c r="F2545" s="35" t="s">
        <v>12483</v>
      </c>
      <c r="G2545" s="35">
        <v>352911</v>
      </c>
      <c r="H2545" s="35">
        <v>390180</v>
      </c>
      <c r="I2545" s="35">
        <v>200020</v>
      </c>
      <c r="J2545" s="34" t="s">
        <v>932</v>
      </c>
      <c r="K2545" s="34" t="str">
        <f t="shared" si="81"/>
        <v>不重复</v>
      </c>
      <c r="L2545" s="34" t="str">
        <f t="shared" si="82"/>
        <v>不重复</v>
      </c>
    </row>
    <row r="2546" spans="1:12" ht="15">
      <c r="A2546" s="35" t="s">
        <v>12969</v>
      </c>
      <c r="B2546" s="35" t="s">
        <v>7031</v>
      </c>
      <c r="C2546" s="36" t="s">
        <v>7032</v>
      </c>
      <c r="D2546" s="35" t="s">
        <v>7033</v>
      </c>
      <c r="E2546" s="35" t="s">
        <v>12957</v>
      </c>
      <c r="F2546" s="35" t="s">
        <v>12483</v>
      </c>
      <c r="G2546" s="35">
        <v>352912</v>
      </c>
      <c r="H2546" s="35">
        <v>390180</v>
      </c>
      <c r="I2546" s="35">
        <v>200020</v>
      </c>
      <c r="J2546" s="34" t="s">
        <v>5329</v>
      </c>
      <c r="K2546" s="34" t="str">
        <f t="shared" si="81"/>
        <v>不重复</v>
      </c>
      <c r="L2546" s="34" t="str">
        <f t="shared" si="82"/>
        <v>不重复</v>
      </c>
    </row>
    <row r="2547" spans="1:12" ht="15">
      <c r="A2547" s="35" t="s">
        <v>12970</v>
      </c>
      <c r="B2547" s="35" t="s">
        <v>7034</v>
      </c>
      <c r="C2547" s="36" t="s">
        <v>2859</v>
      </c>
      <c r="D2547" s="35" t="s">
        <v>7035</v>
      </c>
      <c r="E2547" s="35" t="s">
        <v>12957</v>
      </c>
      <c r="F2547" s="35" t="s">
        <v>12483</v>
      </c>
      <c r="G2547" s="35">
        <v>352913</v>
      </c>
      <c r="H2547" s="35">
        <v>390180</v>
      </c>
      <c r="I2547" s="35">
        <v>200020</v>
      </c>
      <c r="J2547" s="34" t="s">
        <v>363</v>
      </c>
      <c r="K2547" s="34" t="str">
        <f t="shared" si="81"/>
        <v>重复</v>
      </c>
      <c r="L2547" s="34" t="str">
        <f t="shared" si="82"/>
        <v>不重复</v>
      </c>
    </row>
    <row r="2548" spans="1:12" ht="15">
      <c r="A2548" s="35" t="s">
        <v>12971</v>
      </c>
      <c r="B2548" s="35" t="s">
        <v>7036</v>
      </c>
      <c r="C2548" s="36" t="s">
        <v>1810</v>
      </c>
      <c r="D2548" s="35" t="s">
        <v>7037</v>
      </c>
      <c r="E2548" s="35" t="s">
        <v>12971</v>
      </c>
      <c r="F2548" s="35" t="s">
        <v>12483</v>
      </c>
      <c r="G2548" s="35">
        <v>353000</v>
      </c>
      <c r="H2548" s="35">
        <v>390190</v>
      </c>
      <c r="I2548" s="35">
        <v>200020</v>
      </c>
      <c r="J2548" s="34" t="s">
        <v>16</v>
      </c>
      <c r="K2548" s="34" t="str">
        <f t="shared" si="81"/>
        <v>重复</v>
      </c>
      <c r="L2548" s="34" t="str">
        <f t="shared" si="82"/>
        <v>不重复</v>
      </c>
    </row>
    <row r="2549" spans="1:12" ht="30">
      <c r="A2549" s="35" t="s">
        <v>12972</v>
      </c>
      <c r="B2549" s="35" t="s">
        <v>7038</v>
      </c>
      <c r="C2549" s="36" t="s">
        <v>7039</v>
      </c>
      <c r="D2549" s="35" t="s">
        <v>7040</v>
      </c>
      <c r="E2549" s="35" t="s">
        <v>12971</v>
      </c>
      <c r="F2549" s="35" t="s">
        <v>12483</v>
      </c>
      <c r="G2549" s="35">
        <v>353001</v>
      </c>
      <c r="H2549" s="35">
        <v>390190</v>
      </c>
      <c r="I2549" s="35">
        <v>200020</v>
      </c>
      <c r="J2549" s="34" t="s">
        <v>7041</v>
      </c>
      <c r="K2549" s="34" t="str">
        <f t="shared" si="81"/>
        <v>不重复</v>
      </c>
      <c r="L2549" s="34" t="str">
        <f t="shared" si="82"/>
        <v>不重复</v>
      </c>
    </row>
    <row r="2550" spans="1:12" ht="15">
      <c r="A2550" s="35" t="s">
        <v>12973</v>
      </c>
      <c r="B2550" s="35" t="s">
        <v>7042</v>
      </c>
      <c r="C2550" s="36" t="s">
        <v>5531</v>
      </c>
      <c r="D2550" s="35" t="s">
        <v>7043</v>
      </c>
      <c r="E2550" s="35" t="s">
        <v>12971</v>
      </c>
      <c r="F2550" s="35" t="s">
        <v>12483</v>
      </c>
      <c r="G2550" s="35">
        <v>353002</v>
      </c>
      <c r="H2550" s="35">
        <v>390190</v>
      </c>
      <c r="I2550" s="35">
        <v>200020</v>
      </c>
      <c r="J2550" s="34" t="s">
        <v>715</v>
      </c>
      <c r="K2550" s="34" t="str">
        <f t="shared" si="81"/>
        <v>重复</v>
      </c>
      <c r="L2550" s="34" t="str">
        <f t="shared" si="82"/>
        <v>不重复</v>
      </c>
    </row>
    <row r="2551" spans="1:12" ht="27">
      <c r="A2551" s="35" t="s">
        <v>12974</v>
      </c>
      <c r="B2551" s="35" t="s">
        <v>7044</v>
      </c>
      <c r="C2551" s="36" t="s">
        <v>4681</v>
      </c>
      <c r="D2551" s="35" t="s">
        <v>7045</v>
      </c>
      <c r="E2551" s="35" t="s">
        <v>12971</v>
      </c>
      <c r="F2551" s="35" t="s">
        <v>12483</v>
      </c>
      <c r="G2551" s="35">
        <v>353003</v>
      </c>
      <c r="H2551" s="35">
        <v>390190</v>
      </c>
      <c r="I2551" s="35">
        <v>200020</v>
      </c>
      <c r="J2551" s="34" t="s">
        <v>363</v>
      </c>
      <c r="K2551" s="34" t="str">
        <f t="shared" si="81"/>
        <v>重复</v>
      </c>
      <c r="L2551" s="34" t="str">
        <f t="shared" si="82"/>
        <v>不重复</v>
      </c>
    </row>
    <row r="2552" spans="1:12" ht="27">
      <c r="A2552" s="35" t="s">
        <v>12975</v>
      </c>
      <c r="B2552" s="35" t="s">
        <v>7046</v>
      </c>
      <c r="C2552" s="36" t="s">
        <v>335</v>
      </c>
      <c r="D2552" s="35" t="s">
        <v>7047</v>
      </c>
      <c r="E2552" s="35" t="s">
        <v>12971</v>
      </c>
      <c r="F2552" s="35" t="s">
        <v>12483</v>
      </c>
      <c r="G2552" s="35">
        <v>353004</v>
      </c>
      <c r="H2552" s="35">
        <v>390190</v>
      </c>
      <c r="I2552" s="35">
        <v>200020</v>
      </c>
      <c r="J2552" s="34" t="s">
        <v>194</v>
      </c>
      <c r="K2552" s="34" t="str">
        <f t="shared" si="81"/>
        <v>重复</v>
      </c>
      <c r="L2552" s="34" t="str">
        <f t="shared" si="82"/>
        <v>不重复</v>
      </c>
    </row>
    <row r="2553" spans="1:12" ht="27">
      <c r="A2553" s="35" t="s">
        <v>12976</v>
      </c>
      <c r="B2553" s="35" t="s">
        <v>7048</v>
      </c>
      <c r="C2553" s="36" t="s">
        <v>4684</v>
      </c>
      <c r="D2553" s="35" t="s">
        <v>7049</v>
      </c>
      <c r="E2553" s="35" t="s">
        <v>12971</v>
      </c>
      <c r="F2553" s="35" t="s">
        <v>12483</v>
      </c>
      <c r="G2553" s="35">
        <v>353005</v>
      </c>
      <c r="H2553" s="35">
        <v>390190</v>
      </c>
      <c r="I2553" s="35">
        <v>200020</v>
      </c>
      <c r="J2553" s="34" t="s">
        <v>878</v>
      </c>
      <c r="K2553" s="34" t="str">
        <f t="shared" si="81"/>
        <v>重复</v>
      </c>
      <c r="L2553" s="34" t="str">
        <f t="shared" si="82"/>
        <v>不重复</v>
      </c>
    </row>
    <row r="2554" spans="1:12" ht="15">
      <c r="A2554" s="35" t="s">
        <v>12977</v>
      </c>
      <c r="B2554" s="35" t="s">
        <v>7050</v>
      </c>
      <c r="C2554" s="36" t="s">
        <v>7051</v>
      </c>
      <c r="D2554" s="35" t="s">
        <v>4788</v>
      </c>
      <c r="E2554" s="35" t="s">
        <v>12977</v>
      </c>
      <c r="F2554" s="35" t="s">
        <v>12483</v>
      </c>
      <c r="G2554" s="35">
        <v>353100</v>
      </c>
      <c r="H2554" s="35">
        <v>390200</v>
      </c>
      <c r="I2554" s="35">
        <v>200020</v>
      </c>
      <c r="J2554" s="34" t="s">
        <v>16</v>
      </c>
      <c r="K2554" s="34" t="str">
        <f t="shared" si="81"/>
        <v>不重复</v>
      </c>
      <c r="L2554" s="34" t="str">
        <f t="shared" si="82"/>
        <v>重复</v>
      </c>
    </row>
    <row r="2555" spans="1:12" ht="27">
      <c r="A2555" s="35" t="s">
        <v>12978</v>
      </c>
      <c r="B2555" s="35" t="s">
        <v>7052</v>
      </c>
      <c r="C2555" s="36" t="s">
        <v>2254</v>
      </c>
      <c r="D2555" s="35" t="s">
        <v>3834</v>
      </c>
      <c r="E2555" s="35" t="s">
        <v>12977</v>
      </c>
      <c r="F2555" s="35" t="s">
        <v>12483</v>
      </c>
      <c r="G2555" s="35">
        <v>353101</v>
      </c>
      <c r="H2555" s="35">
        <v>390200</v>
      </c>
      <c r="I2555" s="35">
        <v>200020</v>
      </c>
      <c r="J2555" s="34" t="s">
        <v>7053</v>
      </c>
      <c r="K2555" s="34" t="str">
        <f t="shared" si="81"/>
        <v>重复</v>
      </c>
      <c r="L2555" s="34" t="str">
        <f t="shared" si="82"/>
        <v>重复</v>
      </c>
    </row>
    <row r="2556" spans="1:12" ht="27">
      <c r="A2556" s="35" t="s">
        <v>12979</v>
      </c>
      <c r="B2556" s="35" t="s">
        <v>7054</v>
      </c>
      <c r="C2556" s="36" t="s">
        <v>7055</v>
      </c>
      <c r="D2556" s="35" t="s">
        <v>7056</v>
      </c>
      <c r="E2556" s="35" t="s">
        <v>12977</v>
      </c>
      <c r="F2556" s="35" t="s">
        <v>12483</v>
      </c>
      <c r="G2556" s="35">
        <v>353102</v>
      </c>
      <c r="H2556" s="35">
        <v>390200</v>
      </c>
      <c r="I2556" s="35">
        <v>200020</v>
      </c>
      <c r="J2556" s="34" t="s">
        <v>715</v>
      </c>
      <c r="K2556" s="34" t="str">
        <f t="shared" si="81"/>
        <v>重复</v>
      </c>
      <c r="L2556" s="34" t="str">
        <f t="shared" si="82"/>
        <v>重复</v>
      </c>
    </row>
    <row r="2557" spans="1:12" ht="27">
      <c r="A2557" s="35" t="s">
        <v>12980</v>
      </c>
      <c r="B2557" s="35" t="s">
        <v>7057</v>
      </c>
      <c r="C2557" s="36" t="s">
        <v>120</v>
      </c>
      <c r="D2557" s="35" t="s">
        <v>7058</v>
      </c>
      <c r="E2557" s="35" t="s">
        <v>12977</v>
      </c>
      <c r="F2557" s="35" t="s">
        <v>12483</v>
      </c>
      <c r="G2557" s="35">
        <v>353103</v>
      </c>
      <c r="H2557" s="35">
        <v>390200</v>
      </c>
      <c r="I2557" s="35">
        <v>200020</v>
      </c>
      <c r="J2557" s="34" t="s">
        <v>7059</v>
      </c>
      <c r="K2557" s="34" t="str">
        <f t="shared" si="81"/>
        <v>重复</v>
      </c>
      <c r="L2557" s="34" t="str">
        <f t="shared" si="82"/>
        <v>不重复</v>
      </c>
    </row>
    <row r="2558" spans="1:12" ht="27">
      <c r="A2558" s="35" t="s">
        <v>12981</v>
      </c>
      <c r="B2558" s="35" t="s">
        <v>7060</v>
      </c>
      <c r="C2558" s="36" t="s">
        <v>854</v>
      </c>
      <c r="D2558" s="35" t="s">
        <v>7061</v>
      </c>
      <c r="E2558" s="35" t="s">
        <v>12977</v>
      </c>
      <c r="F2558" s="35" t="s">
        <v>12483</v>
      </c>
      <c r="G2558" s="35">
        <v>353104</v>
      </c>
      <c r="H2558" s="35">
        <v>390200</v>
      </c>
      <c r="I2558" s="35">
        <v>200020</v>
      </c>
      <c r="J2558" s="34" t="s">
        <v>985</v>
      </c>
      <c r="K2558" s="34" t="str">
        <f t="shared" si="81"/>
        <v>重复</v>
      </c>
      <c r="L2558" s="34" t="str">
        <f t="shared" si="82"/>
        <v>重复</v>
      </c>
    </row>
    <row r="2559" spans="1:12" ht="27">
      <c r="A2559" s="35" t="s">
        <v>12982</v>
      </c>
      <c r="B2559" s="35" t="s">
        <v>7062</v>
      </c>
      <c r="C2559" s="36" t="s">
        <v>7063</v>
      </c>
      <c r="D2559" s="35" t="s">
        <v>7061</v>
      </c>
      <c r="E2559" s="35" t="s">
        <v>12977</v>
      </c>
      <c r="F2559" s="35" t="s">
        <v>12483</v>
      </c>
      <c r="G2559" s="35">
        <v>353105</v>
      </c>
      <c r="H2559" s="35">
        <v>390200</v>
      </c>
      <c r="I2559" s="35">
        <v>200020</v>
      </c>
      <c r="J2559" s="34" t="s">
        <v>1937</v>
      </c>
      <c r="K2559" s="34" t="str">
        <f t="shared" si="81"/>
        <v>重复</v>
      </c>
      <c r="L2559" s="34" t="str">
        <f t="shared" si="82"/>
        <v>重复</v>
      </c>
    </row>
    <row r="2560" spans="1:12" ht="27">
      <c r="A2560" s="35" t="s">
        <v>12983</v>
      </c>
      <c r="B2560" s="35" t="s">
        <v>7064</v>
      </c>
      <c r="C2560" s="36" t="s">
        <v>5199</v>
      </c>
      <c r="D2560" s="35" t="s">
        <v>7065</v>
      </c>
      <c r="E2560" s="35" t="s">
        <v>12977</v>
      </c>
      <c r="F2560" s="35" t="s">
        <v>12483</v>
      </c>
      <c r="G2560" s="35">
        <v>353106</v>
      </c>
      <c r="H2560" s="35">
        <v>390200</v>
      </c>
      <c r="I2560" s="35">
        <v>200020</v>
      </c>
      <c r="J2560" s="34" t="s">
        <v>932</v>
      </c>
      <c r="K2560" s="34" t="str">
        <f t="shared" si="81"/>
        <v>重复</v>
      </c>
      <c r="L2560" s="34" t="str">
        <f t="shared" si="82"/>
        <v>不重复</v>
      </c>
    </row>
    <row r="2561" spans="1:12" ht="27">
      <c r="A2561" s="35" t="s">
        <v>12984</v>
      </c>
      <c r="B2561" s="35" t="s">
        <v>7066</v>
      </c>
      <c r="C2561" s="36" t="s">
        <v>7067</v>
      </c>
      <c r="D2561" s="35" t="s">
        <v>7068</v>
      </c>
      <c r="E2561" s="35" t="s">
        <v>12977</v>
      </c>
      <c r="F2561" s="35" t="s">
        <v>12483</v>
      </c>
      <c r="G2561" s="35">
        <v>353107</v>
      </c>
      <c r="H2561" s="35">
        <v>390200</v>
      </c>
      <c r="I2561" s="35">
        <v>200020</v>
      </c>
      <c r="J2561" s="34" t="s">
        <v>1040</v>
      </c>
      <c r="K2561" s="34" t="str">
        <f t="shared" si="81"/>
        <v>不重复</v>
      </c>
      <c r="L2561" s="34" t="str">
        <f t="shared" si="82"/>
        <v>重复</v>
      </c>
    </row>
    <row r="2562" spans="1:12" ht="15">
      <c r="A2562" s="35" t="s">
        <v>12985</v>
      </c>
      <c r="B2562" s="35" t="s">
        <v>7069</v>
      </c>
      <c r="C2562" s="36" t="s">
        <v>7070</v>
      </c>
      <c r="D2562" s="35" t="s">
        <v>7071</v>
      </c>
      <c r="E2562" s="35" t="s">
        <v>12977</v>
      </c>
      <c r="F2562" s="35" t="s">
        <v>12483</v>
      </c>
      <c r="G2562" s="35">
        <v>353108</v>
      </c>
      <c r="H2562" s="35">
        <v>390200</v>
      </c>
      <c r="I2562" s="35">
        <v>200020</v>
      </c>
      <c r="J2562" s="34" t="s">
        <v>605</v>
      </c>
      <c r="K2562" s="34" t="str">
        <f t="shared" si="81"/>
        <v>不重复</v>
      </c>
      <c r="L2562" s="34" t="str">
        <f t="shared" si="82"/>
        <v>不重复</v>
      </c>
    </row>
    <row r="2563" spans="1:12" ht="27">
      <c r="A2563" s="35" t="s">
        <v>12986</v>
      </c>
      <c r="B2563" s="35" t="s">
        <v>7072</v>
      </c>
      <c r="C2563" s="36" t="s">
        <v>7073</v>
      </c>
      <c r="D2563" s="35" t="s">
        <v>7074</v>
      </c>
      <c r="E2563" s="35" t="s">
        <v>12977</v>
      </c>
      <c r="F2563" s="35" t="s">
        <v>12483</v>
      </c>
      <c r="G2563" s="35">
        <v>353109</v>
      </c>
      <c r="H2563" s="35">
        <v>390200</v>
      </c>
      <c r="I2563" s="35">
        <v>200020</v>
      </c>
      <c r="J2563" s="34" t="s">
        <v>715</v>
      </c>
      <c r="K2563" s="34" t="str">
        <f t="shared" si="81"/>
        <v>重复</v>
      </c>
      <c r="L2563" s="34" t="str">
        <f t="shared" si="82"/>
        <v>不重复</v>
      </c>
    </row>
    <row r="2564" spans="1:12" ht="15">
      <c r="A2564" s="35" t="s">
        <v>12987</v>
      </c>
      <c r="B2564" s="35" t="s">
        <v>7075</v>
      </c>
      <c r="C2564" s="36" t="s">
        <v>1942</v>
      </c>
      <c r="D2564" s="35" t="s">
        <v>7076</v>
      </c>
      <c r="E2564" s="35" t="s">
        <v>12977</v>
      </c>
      <c r="F2564" s="35" t="s">
        <v>12483</v>
      </c>
      <c r="G2564" s="35">
        <v>353110</v>
      </c>
      <c r="H2564" s="35">
        <v>390200</v>
      </c>
      <c r="I2564" s="35">
        <v>200020</v>
      </c>
      <c r="J2564" s="34" t="s">
        <v>1886</v>
      </c>
      <c r="K2564" s="34" t="str">
        <f t="shared" si="81"/>
        <v>重复</v>
      </c>
      <c r="L2564" s="34" t="str">
        <f t="shared" si="82"/>
        <v>重复</v>
      </c>
    </row>
    <row r="2565" spans="1:12" ht="27">
      <c r="A2565" s="35" t="s">
        <v>12988</v>
      </c>
      <c r="B2565" s="35" t="s">
        <v>7077</v>
      </c>
      <c r="C2565" s="36" t="s">
        <v>7078</v>
      </c>
      <c r="D2565" s="35" t="s">
        <v>7079</v>
      </c>
      <c r="E2565" s="35" t="s">
        <v>12977</v>
      </c>
      <c r="F2565" s="35" t="s">
        <v>12483</v>
      </c>
      <c r="G2565" s="35">
        <v>353111</v>
      </c>
      <c r="H2565" s="35">
        <v>390200</v>
      </c>
      <c r="I2565" s="35">
        <v>200020</v>
      </c>
      <c r="J2565" s="34" t="s">
        <v>878</v>
      </c>
      <c r="K2565" s="34" t="str">
        <f t="shared" si="81"/>
        <v>重复</v>
      </c>
      <c r="L2565" s="34" t="str">
        <f t="shared" si="82"/>
        <v>不重复</v>
      </c>
    </row>
    <row r="2566" spans="1:12" ht="27">
      <c r="A2566" s="35" t="s">
        <v>12989</v>
      </c>
      <c r="B2566" s="35" t="s">
        <v>7080</v>
      </c>
      <c r="C2566" s="36" t="s">
        <v>7073</v>
      </c>
      <c r="D2566" s="35" t="s">
        <v>7081</v>
      </c>
      <c r="E2566" s="35" t="s">
        <v>12977</v>
      </c>
      <c r="F2566" s="35" t="s">
        <v>12483</v>
      </c>
      <c r="G2566" s="35">
        <v>353112</v>
      </c>
      <c r="H2566" s="35">
        <v>390200</v>
      </c>
      <c r="I2566" s="35">
        <v>200020</v>
      </c>
      <c r="J2566" s="34" t="s">
        <v>422</v>
      </c>
      <c r="K2566" s="34" t="str">
        <f t="shared" si="81"/>
        <v>重复</v>
      </c>
      <c r="L2566" s="34" t="str">
        <f t="shared" si="82"/>
        <v>不重复</v>
      </c>
    </row>
    <row r="2567" spans="1:12" ht="27">
      <c r="A2567" s="35" t="s">
        <v>12990</v>
      </c>
      <c r="B2567" s="35" t="s">
        <v>7082</v>
      </c>
      <c r="C2567" s="36" t="s">
        <v>7083</v>
      </c>
      <c r="D2567" s="35" t="s">
        <v>7084</v>
      </c>
      <c r="E2567" s="35" t="s">
        <v>12977</v>
      </c>
      <c r="F2567" s="35" t="s">
        <v>12483</v>
      </c>
      <c r="G2567" s="35">
        <v>353113</v>
      </c>
      <c r="H2567" s="35">
        <v>390200</v>
      </c>
      <c r="I2567" s="35">
        <v>200020</v>
      </c>
      <c r="J2567" s="34" t="s">
        <v>932</v>
      </c>
      <c r="K2567" s="34" t="str">
        <f t="shared" si="81"/>
        <v>重复</v>
      </c>
      <c r="L2567" s="34" t="str">
        <f t="shared" si="82"/>
        <v>不重复</v>
      </c>
    </row>
    <row r="2568" spans="1:12" ht="27">
      <c r="A2568" s="35" t="s">
        <v>12991</v>
      </c>
      <c r="B2568" s="35" t="s">
        <v>7085</v>
      </c>
      <c r="C2568" s="36" t="s">
        <v>7086</v>
      </c>
      <c r="D2568" s="35" t="s">
        <v>7087</v>
      </c>
      <c r="E2568" s="35" t="s">
        <v>12977</v>
      </c>
      <c r="F2568" s="35" t="s">
        <v>12483</v>
      </c>
      <c r="G2568" s="35">
        <v>353114</v>
      </c>
      <c r="H2568" s="35">
        <v>390200</v>
      </c>
      <c r="I2568" s="35">
        <v>200020</v>
      </c>
      <c r="J2568" s="34" t="s">
        <v>985</v>
      </c>
      <c r="K2568" s="34" t="str">
        <f t="shared" si="81"/>
        <v>不重复</v>
      </c>
      <c r="L2568" s="34" t="str">
        <f t="shared" si="82"/>
        <v>不重复</v>
      </c>
    </row>
    <row r="2569" spans="1:12" ht="27">
      <c r="A2569" s="35" t="s">
        <v>12992</v>
      </c>
      <c r="B2569" s="35" t="s">
        <v>7088</v>
      </c>
      <c r="C2569" s="36" t="s">
        <v>7089</v>
      </c>
      <c r="D2569" s="35" t="s">
        <v>7090</v>
      </c>
      <c r="E2569" s="35" t="s">
        <v>12977</v>
      </c>
      <c r="F2569" s="35" t="s">
        <v>12483</v>
      </c>
      <c r="G2569" s="35">
        <v>353115</v>
      </c>
      <c r="H2569" s="35">
        <v>390200</v>
      </c>
      <c r="I2569" s="35">
        <v>200020</v>
      </c>
      <c r="J2569" s="34" t="s">
        <v>458</v>
      </c>
      <c r="K2569" s="34" t="str">
        <f t="shared" si="81"/>
        <v>不重复</v>
      </c>
      <c r="L2569" s="34" t="str">
        <f t="shared" si="82"/>
        <v>不重复</v>
      </c>
    </row>
    <row r="2570" spans="1:12" ht="15">
      <c r="A2570" s="35" t="s">
        <v>12993</v>
      </c>
      <c r="B2570" s="35" t="s">
        <v>7091</v>
      </c>
      <c r="C2570" s="36" t="s">
        <v>7092</v>
      </c>
      <c r="D2570" s="35" t="s">
        <v>7093</v>
      </c>
      <c r="E2570" s="35" t="s">
        <v>12993</v>
      </c>
      <c r="F2570" s="35" t="s">
        <v>12483</v>
      </c>
      <c r="G2570" s="35">
        <v>353200</v>
      </c>
      <c r="H2570" s="35">
        <v>390210</v>
      </c>
      <c r="I2570" s="35">
        <v>200020</v>
      </c>
      <c r="J2570" s="34" t="s">
        <v>16</v>
      </c>
      <c r="K2570" s="34" t="str">
        <f t="shared" si="81"/>
        <v>不重复</v>
      </c>
      <c r="L2570" s="34" t="str">
        <f t="shared" si="82"/>
        <v>重复</v>
      </c>
    </row>
    <row r="2571" spans="1:12" ht="30">
      <c r="A2571" s="35" t="s">
        <v>12994</v>
      </c>
      <c r="B2571" s="35" t="s">
        <v>7094</v>
      </c>
      <c r="C2571" s="36" t="s">
        <v>7095</v>
      </c>
      <c r="D2571" s="35" t="s">
        <v>7096</v>
      </c>
      <c r="E2571" s="35" t="s">
        <v>12993</v>
      </c>
      <c r="F2571" s="35" t="s">
        <v>12483</v>
      </c>
      <c r="G2571" s="35">
        <v>353201</v>
      </c>
      <c r="H2571" s="35">
        <v>390210</v>
      </c>
      <c r="I2571" s="35">
        <v>200020</v>
      </c>
      <c r="J2571" s="34" t="s">
        <v>5170</v>
      </c>
      <c r="K2571" s="34" t="str">
        <f t="shared" si="81"/>
        <v>重复</v>
      </c>
      <c r="L2571" s="34" t="str">
        <f t="shared" si="82"/>
        <v>不重复</v>
      </c>
    </row>
    <row r="2572" spans="1:12" ht="30">
      <c r="A2572" s="35" t="s">
        <v>12995</v>
      </c>
      <c r="B2572" s="35" t="s">
        <v>7097</v>
      </c>
      <c r="C2572" s="36" t="s">
        <v>1771</v>
      </c>
      <c r="D2572" s="35" t="s">
        <v>7098</v>
      </c>
      <c r="E2572" s="35" t="s">
        <v>12993</v>
      </c>
      <c r="F2572" s="35" t="s">
        <v>12483</v>
      </c>
      <c r="G2572" s="35">
        <v>353202</v>
      </c>
      <c r="H2572" s="35">
        <v>390210</v>
      </c>
      <c r="I2572" s="35">
        <v>200020</v>
      </c>
      <c r="J2572" s="34" t="s">
        <v>7099</v>
      </c>
      <c r="K2572" s="34" t="str">
        <f t="shared" si="83" ref="K2572:K2635">IF(COUNTIF(C:C,C2572)&gt;=2,"重复","不重复")</f>
        <v>重复</v>
      </c>
      <c r="L2572" s="34" t="str">
        <f t="shared" si="84" ref="L2572:L2635">IF(COUNTIF(D:D,D2572)&gt;=2,"重复","不重复")</f>
        <v>不重复</v>
      </c>
    </row>
    <row r="2573" spans="1:12" ht="15">
      <c r="A2573" s="35" t="s">
        <v>12996</v>
      </c>
      <c r="B2573" s="35" t="s">
        <v>7100</v>
      </c>
      <c r="C2573" s="36" t="s">
        <v>7101</v>
      </c>
      <c r="D2573" s="35" t="s">
        <v>7102</v>
      </c>
      <c r="E2573" s="35" t="s">
        <v>12993</v>
      </c>
      <c r="F2573" s="35" t="s">
        <v>12483</v>
      </c>
      <c r="G2573" s="35">
        <v>353203</v>
      </c>
      <c r="H2573" s="35">
        <v>390210</v>
      </c>
      <c r="I2573" s="35">
        <v>200020</v>
      </c>
      <c r="J2573" s="34" t="s">
        <v>756</v>
      </c>
      <c r="K2573" s="34" t="str">
        <f t="shared" si="83"/>
        <v>不重复</v>
      </c>
      <c r="L2573" s="34" t="str">
        <f t="shared" si="84"/>
        <v>不重复</v>
      </c>
    </row>
    <row r="2574" spans="1:12" ht="30">
      <c r="A2574" s="35" t="s">
        <v>12997</v>
      </c>
      <c r="B2574" s="35" t="s">
        <v>7103</v>
      </c>
      <c r="C2574" s="36" t="s">
        <v>7104</v>
      </c>
      <c r="D2574" s="35" t="s">
        <v>7105</v>
      </c>
      <c r="E2574" s="35" t="s">
        <v>12993</v>
      </c>
      <c r="F2574" s="35" t="s">
        <v>12483</v>
      </c>
      <c r="G2574" s="35">
        <v>353204</v>
      </c>
      <c r="H2574" s="35">
        <v>390210</v>
      </c>
      <c r="I2574" s="35">
        <v>200020</v>
      </c>
      <c r="J2574" s="34" t="s">
        <v>5802</v>
      </c>
      <c r="K2574" s="34" t="str">
        <f t="shared" si="83"/>
        <v>不重复</v>
      </c>
      <c r="L2574" s="34" t="str">
        <f t="shared" si="84"/>
        <v>重复</v>
      </c>
    </row>
    <row r="2575" spans="1:12" ht="30">
      <c r="A2575" s="35" t="s">
        <v>12998</v>
      </c>
      <c r="B2575" s="35" t="s">
        <v>7106</v>
      </c>
      <c r="C2575" s="36" t="s">
        <v>7107</v>
      </c>
      <c r="D2575" s="35" t="s">
        <v>7108</v>
      </c>
      <c r="E2575" s="35" t="s">
        <v>12993</v>
      </c>
      <c r="F2575" s="35" t="s">
        <v>12483</v>
      </c>
      <c r="G2575" s="35">
        <v>353205</v>
      </c>
      <c r="H2575" s="35">
        <v>390210</v>
      </c>
      <c r="I2575" s="35">
        <v>200020</v>
      </c>
      <c r="J2575" s="34" t="s">
        <v>288</v>
      </c>
      <c r="K2575" s="34" t="str">
        <f t="shared" si="83"/>
        <v>不重复</v>
      </c>
      <c r="L2575" s="34" t="str">
        <f t="shared" si="84"/>
        <v>不重复</v>
      </c>
    </row>
    <row r="2576" spans="1:12" ht="30">
      <c r="A2576" s="35" t="s">
        <v>12999</v>
      </c>
      <c r="B2576" s="35" t="s">
        <v>7109</v>
      </c>
      <c r="C2576" s="36" t="s">
        <v>3234</v>
      </c>
      <c r="D2576" s="35" t="s">
        <v>7110</v>
      </c>
      <c r="E2576" s="35" t="s">
        <v>12993</v>
      </c>
      <c r="F2576" s="35" t="s">
        <v>12483</v>
      </c>
      <c r="G2576" s="35">
        <v>353206</v>
      </c>
      <c r="H2576" s="35">
        <v>390210</v>
      </c>
      <c r="I2576" s="35">
        <v>200020</v>
      </c>
      <c r="J2576" s="34" t="s">
        <v>3656</v>
      </c>
      <c r="K2576" s="34" t="str">
        <f t="shared" si="83"/>
        <v>重复</v>
      </c>
      <c r="L2576" s="34" t="str">
        <f t="shared" si="84"/>
        <v>不重复</v>
      </c>
    </row>
    <row r="2577" spans="1:12" ht="27">
      <c r="A2577" s="35" t="s">
        <v>13000</v>
      </c>
      <c r="B2577" s="35" t="s">
        <v>7111</v>
      </c>
      <c r="C2577" s="36" t="s">
        <v>7112</v>
      </c>
      <c r="D2577" s="35" t="s">
        <v>7113</v>
      </c>
      <c r="E2577" s="35" t="s">
        <v>12993</v>
      </c>
      <c r="F2577" s="35" t="s">
        <v>12483</v>
      </c>
      <c r="G2577" s="35">
        <v>353207</v>
      </c>
      <c r="H2577" s="35">
        <v>390210</v>
      </c>
      <c r="I2577" s="35">
        <v>200020</v>
      </c>
      <c r="J2577" s="34" t="s">
        <v>715</v>
      </c>
      <c r="K2577" s="34" t="str">
        <f t="shared" si="83"/>
        <v>重复</v>
      </c>
      <c r="L2577" s="34" t="str">
        <f t="shared" si="84"/>
        <v>不重复</v>
      </c>
    </row>
    <row r="2578" spans="1:12" ht="30">
      <c r="A2578" s="35" t="s">
        <v>13001</v>
      </c>
      <c r="B2578" s="35" t="s">
        <v>7114</v>
      </c>
      <c r="C2578" s="36" t="s">
        <v>5814</v>
      </c>
      <c r="D2578" s="35" t="s">
        <v>7115</v>
      </c>
      <c r="E2578" s="35" t="s">
        <v>12993</v>
      </c>
      <c r="F2578" s="35" t="s">
        <v>12483</v>
      </c>
      <c r="G2578" s="35">
        <v>353208</v>
      </c>
      <c r="H2578" s="35">
        <v>390210</v>
      </c>
      <c r="I2578" s="35">
        <v>200020</v>
      </c>
      <c r="J2578" s="34" t="s">
        <v>89</v>
      </c>
      <c r="K2578" s="34" t="str">
        <f t="shared" si="83"/>
        <v>重复</v>
      </c>
      <c r="L2578" s="34" t="str">
        <f t="shared" si="84"/>
        <v>重复</v>
      </c>
    </row>
    <row r="2579" spans="1:12" ht="30">
      <c r="A2579" s="35" t="s">
        <v>13002</v>
      </c>
      <c r="B2579" s="35" t="s">
        <v>7116</v>
      </c>
      <c r="C2579" s="36" t="s">
        <v>2187</v>
      </c>
      <c r="D2579" s="35" t="s">
        <v>7117</v>
      </c>
      <c r="E2579" s="35" t="s">
        <v>12993</v>
      </c>
      <c r="F2579" s="35" t="s">
        <v>12483</v>
      </c>
      <c r="G2579" s="35">
        <v>353209</v>
      </c>
      <c r="H2579" s="35">
        <v>390210</v>
      </c>
      <c r="I2579" s="35">
        <v>200020</v>
      </c>
      <c r="J2579" s="34" t="s">
        <v>422</v>
      </c>
      <c r="K2579" s="34" t="str">
        <f t="shared" si="83"/>
        <v>重复</v>
      </c>
      <c r="L2579" s="34" t="str">
        <f t="shared" si="84"/>
        <v>不重复</v>
      </c>
    </row>
    <row r="2580" spans="1:12" ht="27">
      <c r="A2580" s="35" t="s">
        <v>13003</v>
      </c>
      <c r="B2580" s="35" t="s">
        <v>7118</v>
      </c>
      <c r="C2580" s="36" t="s">
        <v>5648</v>
      </c>
      <c r="D2580" s="35" t="s">
        <v>7119</v>
      </c>
      <c r="E2580" s="35" t="s">
        <v>12993</v>
      </c>
      <c r="F2580" s="35" t="s">
        <v>12483</v>
      </c>
      <c r="G2580" s="35">
        <v>353210</v>
      </c>
      <c r="H2580" s="35">
        <v>390210</v>
      </c>
      <c r="I2580" s="35">
        <v>200020</v>
      </c>
      <c r="J2580" s="34" t="s">
        <v>688</v>
      </c>
      <c r="K2580" s="34" t="str">
        <f t="shared" si="83"/>
        <v>重复</v>
      </c>
      <c r="L2580" s="34" t="str">
        <f t="shared" si="84"/>
        <v>不重复</v>
      </c>
    </row>
    <row r="2581" spans="1:12" ht="30">
      <c r="A2581" s="35" t="s">
        <v>13004</v>
      </c>
      <c r="B2581" s="35" t="s">
        <v>7120</v>
      </c>
      <c r="C2581" s="36" t="s">
        <v>69</v>
      </c>
      <c r="D2581" s="35" t="s">
        <v>7121</v>
      </c>
      <c r="E2581" s="35" t="s">
        <v>12993</v>
      </c>
      <c r="F2581" s="35" t="s">
        <v>12483</v>
      </c>
      <c r="G2581" s="35">
        <v>353211</v>
      </c>
      <c r="H2581" s="35">
        <v>390210</v>
      </c>
      <c r="I2581" s="35">
        <v>200020</v>
      </c>
      <c r="J2581" s="34" t="s">
        <v>363</v>
      </c>
      <c r="K2581" s="34" t="str">
        <f t="shared" si="83"/>
        <v>重复</v>
      </c>
      <c r="L2581" s="34" t="str">
        <f t="shared" si="84"/>
        <v>不重复</v>
      </c>
    </row>
    <row r="2582" spans="1:12" ht="27">
      <c r="A2582" s="35" t="s">
        <v>13005</v>
      </c>
      <c r="B2582" s="35" t="s">
        <v>7122</v>
      </c>
      <c r="C2582" s="36" t="s">
        <v>7123</v>
      </c>
      <c r="D2582" s="35" t="s">
        <v>5413</v>
      </c>
      <c r="E2582" s="35" t="s">
        <v>12993</v>
      </c>
      <c r="F2582" s="35" t="s">
        <v>12483</v>
      </c>
      <c r="G2582" s="35">
        <v>353212</v>
      </c>
      <c r="H2582" s="35">
        <v>390210</v>
      </c>
      <c r="I2582" s="35">
        <v>200020</v>
      </c>
      <c r="J2582" s="34" t="s">
        <v>932</v>
      </c>
      <c r="K2582" s="34" t="str">
        <f t="shared" si="83"/>
        <v>重复</v>
      </c>
      <c r="L2582" s="34" t="str">
        <f t="shared" si="84"/>
        <v>重复</v>
      </c>
    </row>
    <row r="2583" spans="1:12" ht="15">
      <c r="A2583" s="35" t="s">
        <v>13006</v>
      </c>
      <c r="B2583" s="35" t="s">
        <v>7124</v>
      </c>
      <c r="C2583" s="36" t="s">
        <v>3237</v>
      </c>
      <c r="D2583" s="35" t="s">
        <v>7125</v>
      </c>
      <c r="E2583" s="35" t="s">
        <v>12993</v>
      </c>
      <c r="F2583" s="35" t="s">
        <v>12483</v>
      </c>
      <c r="G2583" s="35">
        <v>353213</v>
      </c>
      <c r="H2583" s="35">
        <v>390210</v>
      </c>
      <c r="I2583" s="35">
        <v>200020</v>
      </c>
      <c r="J2583" s="34" t="s">
        <v>422</v>
      </c>
      <c r="K2583" s="34" t="str">
        <f t="shared" si="83"/>
        <v>重复</v>
      </c>
      <c r="L2583" s="34" t="str">
        <f t="shared" si="84"/>
        <v>不重复</v>
      </c>
    </row>
    <row r="2584" spans="1:12" ht="30">
      <c r="A2584" s="35" t="s">
        <v>13007</v>
      </c>
      <c r="B2584" s="35" t="s">
        <v>7126</v>
      </c>
      <c r="C2584" s="36" t="s">
        <v>3207</v>
      </c>
      <c r="D2584" s="35" t="s">
        <v>7127</v>
      </c>
      <c r="E2584" s="35" t="s">
        <v>12993</v>
      </c>
      <c r="F2584" s="35" t="s">
        <v>12483</v>
      </c>
      <c r="G2584" s="35">
        <v>353214</v>
      </c>
      <c r="H2584" s="35">
        <v>390210</v>
      </c>
      <c r="I2584" s="35">
        <v>200020</v>
      </c>
      <c r="J2584" s="34" t="s">
        <v>985</v>
      </c>
      <c r="K2584" s="34" t="str">
        <f t="shared" si="83"/>
        <v>重复</v>
      </c>
      <c r="L2584" s="34" t="str">
        <f t="shared" si="84"/>
        <v>不重复</v>
      </c>
    </row>
    <row r="2585" spans="1:12" ht="15">
      <c r="A2585" s="35" t="s">
        <v>13008</v>
      </c>
      <c r="B2585" s="35" t="s">
        <v>7128</v>
      </c>
      <c r="C2585" s="36" t="s">
        <v>7129</v>
      </c>
      <c r="D2585" s="35" t="s">
        <v>7130</v>
      </c>
      <c r="E2585" s="35" t="s">
        <v>12993</v>
      </c>
      <c r="F2585" s="35" t="s">
        <v>12483</v>
      </c>
      <c r="G2585" s="35">
        <v>353215</v>
      </c>
      <c r="H2585" s="35">
        <v>390210</v>
      </c>
      <c r="I2585" s="35">
        <v>200020</v>
      </c>
      <c r="J2585" s="34" t="s">
        <v>5802</v>
      </c>
      <c r="K2585" s="34" t="str">
        <f t="shared" si="83"/>
        <v>不重复</v>
      </c>
      <c r="L2585" s="34" t="str">
        <f t="shared" si="84"/>
        <v>不重复</v>
      </c>
    </row>
    <row r="2586" spans="1:12" ht="30">
      <c r="A2586" s="35" t="s">
        <v>13009</v>
      </c>
      <c r="B2586" s="35" t="s">
        <v>7131</v>
      </c>
      <c r="C2586" s="36" t="s">
        <v>7132</v>
      </c>
      <c r="D2586" s="35" t="s">
        <v>7133</v>
      </c>
      <c r="E2586" s="35" t="s">
        <v>12993</v>
      </c>
      <c r="F2586" s="35" t="s">
        <v>12483</v>
      </c>
      <c r="G2586" s="35">
        <v>353216</v>
      </c>
      <c r="H2586" s="35">
        <v>390210</v>
      </c>
      <c r="I2586" s="35">
        <v>200020</v>
      </c>
      <c r="J2586" s="34" t="s">
        <v>7134</v>
      </c>
      <c r="K2586" s="34" t="str">
        <f t="shared" si="83"/>
        <v>重复</v>
      </c>
      <c r="L2586" s="34" t="str">
        <f t="shared" si="84"/>
        <v>不重复</v>
      </c>
    </row>
    <row r="2587" spans="1:12" ht="30">
      <c r="A2587" s="35" t="s">
        <v>13010</v>
      </c>
      <c r="B2587" s="35" t="s">
        <v>7135</v>
      </c>
      <c r="C2587" s="36" t="s">
        <v>3012</v>
      </c>
      <c r="D2587" s="35" t="s">
        <v>7136</v>
      </c>
      <c r="E2587" s="35" t="s">
        <v>12993</v>
      </c>
      <c r="F2587" s="35" t="s">
        <v>12483</v>
      </c>
      <c r="G2587" s="35">
        <v>353217</v>
      </c>
      <c r="H2587" s="35">
        <v>390210</v>
      </c>
      <c r="I2587" s="35">
        <v>200020</v>
      </c>
      <c r="J2587" s="34" t="s">
        <v>311</v>
      </c>
      <c r="K2587" s="34" t="str">
        <f t="shared" si="83"/>
        <v>重复</v>
      </c>
      <c r="L2587" s="34" t="str">
        <f t="shared" si="84"/>
        <v>不重复</v>
      </c>
    </row>
    <row r="2588" spans="1:12" ht="15">
      <c r="A2588" s="35" t="s">
        <v>13011</v>
      </c>
      <c r="B2588" s="35" t="s">
        <v>7137</v>
      </c>
      <c r="C2588" s="36" t="s">
        <v>3237</v>
      </c>
      <c r="D2588" s="35" t="s">
        <v>7138</v>
      </c>
      <c r="E2588" s="35" t="s">
        <v>12993</v>
      </c>
      <c r="F2588" s="35" t="s">
        <v>12483</v>
      </c>
      <c r="G2588" s="35">
        <v>353218</v>
      </c>
      <c r="H2588" s="35">
        <v>390210</v>
      </c>
      <c r="I2588" s="35">
        <v>200020</v>
      </c>
      <c r="J2588" s="34" t="s">
        <v>5396</v>
      </c>
      <c r="K2588" s="34" t="str">
        <f t="shared" si="83"/>
        <v>重复</v>
      </c>
      <c r="L2588" s="34" t="str">
        <f t="shared" si="84"/>
        <v>重复</v>
      </c>
    </row>
    <row r="2589" spans="1:12" ht="27">
      <c r="A2589" s="35" t="s">
        <v>13012</v>
      </c>
      <c r="B2589" s="35" t="s">
        <v>7139</v>
      </c>
      <c r="C2589" s="36" t="s">
        <v>4189</v>
      </c>
      <c r="D2589" s="35" t="s">
        <v>7140</v>
      </c>
      <c r="E2589" s="35" t="s">
        <v>12993</v>
      </c>
      <c r="F2589" s="35" t="s">
        <v>12483</v>
      </c>
      <c r="G2589" s="35">
        <v>353219</v>
      </c>
      <c r="H2589" s="35">
        <v>390210</v>
      </c>
      <c r="I2589" s="35">
        <v>200020</v>
      </c>
      <c r="J2589" s="34" t="s">
        <v>7141</v>
      </c>
      <c r="K2589" s="34" t="str">
        <f t="shared" si="83"/>
        <v>重复</v>
      </c>
      <c r="L2589" s="34" t="str">
        <f t="shared" si="84"/>
        <v>不重复</v>
      </c>
    </row>
    <row r="2590" spans="1:12" ht="15">
      <c r="A2590" s="35" t="s">
        <v>13013</v>
      </c>
      <c r="B2590" s="35" t="s">
        <v>7142</v>
      </c>
      <c r="C2590" s="36" t="s">
        <v>647</v>
      </c>
      <c r="D2590" s="35" t="s">
        <v>7143</v>
      </c>
      <c r="E2590" s="35" t="s">
        <v>12993</v>
      </c>
      <c r="F2590" s="35" t="s">
        <v>12483</v>
      </c>
      <c r="G2590" s="35">
        <v>353220</v>
      </c>
      <c r="H2590" s="35">
        <v>390210</v>
      </c>
      <c r="I2590" s="35">
        <v>200020</v>
      </c>
      <c r="J2590" s="34" t="s">
        <v>688</v>
      </c>
      <c r="K2590" s="34" t="str">
        <f t="shared" si="83"/>
        <v>重复</v>
      </c>
      <c r="L2590" s="34" t="str">
        <f t="shared" si="84"/>
        <v>不重复</v>
      </c>
    </row>
    <row r="2591" spans="1:12" ht="15">
      <c r="A2591" s="35" t="s">
        <v>13014</v>
      </c>
      <c r="B2591" s="35" t="s">
        <v>7144</v>
      </c>
      <c r="C2591" s="36" t="s">
        <v>7145</v>
      </c>
      <c r="D2591" s="35" t="s">
        <v>7146</v>
      </c>
      <c r="E2591" s="35" t="s">
        <v>12993</v>
      </c>
      <c r="F2591" s="35" t="s">
        <v>12483</v>
      </c>
      <c r="G2591" s="35">
        <v>353221</v>
      </c>
      <c r="H2591" s="35">
        <v>390210</v>
      </c>
      <c r="I2591" s="35">
        <v>200020</v>
      </c>
      <c r="J2591" s="34" t="s">
        <v>668</v>
      </c>
      <c r="K2591" s="34" t="str">
        <f t="shared" si="83"/>
        <v>重复</v>
      </c>
      <c r="L2591" s="34" t="str">
        <f t="shared" si="84"/>
        <v>不重复</v>
      </c>
    </row>
    <row r="2592" spans="1:12" ht="15">
      <c r="A2592" s="35" t="s">
        <v>13015</v>
      </c>
      <c r="B2592" s="35" t="s">
        <v>7147</v>
      </c>
      <c r="C2592" s="36" t="s">
        <v>909</v>
      </c>
      <c r="D2592" s="35" t="s">
        <v>7148</v>
      </c>
      <c r="E2592" s="35" t="s">
        <v>12993</v>
      </c>
      <c r="F2592" s="35" t="s">
        <v>12483</v>
      </c>
      <c r="G2592" s="35">
        <v>353222</v>
      </c>
      <c r="H2592" s="35">
        <v>390210</v>
      </c>
      <c r="I2592" s="35">
        <v>200020</v>
      </c>
      <c r="J2592" s="34" t="s">
        <v>668</v>
      </c>
      <c r="K2592" s="34" t="str">
        <f t="shared" si="83"/>
        <v>重复</v>
      </c>
      <c r="L2592" s="34" t="str">
        <f t="shared" si="84"/>
        <v>不重复</v>
      </c>
    </row>
    <row r="2593" spans="1:12" ht="15">
      <c r="A2593" s="35" t="s">
        <v>13016</v>
      </c>
      <c r="B2593" s="35" t="s">
        <v>7149</v>
      </c>
      <c r="C2593" s="36" t="s">
        <v>7150</v>
      </c>
      <c r="D2593" s="35" t="s">
        <v>7151</v>
      </c>
      <c r="E2593" s="35" t="s">
        <v>12993</v>
      </c>
      <c r="F2593" s="35" t="s">
        <v>12483</v>
      </c>
      <c r="G2593" s="35">
        <v>353223</v>
      </c>
      <c r="H2593" s="35">
        <v>390210</v>
      </c>
      <c r="I2593" s="35">
        <v>200020</v>
      </c>
      <c r="J2593" s="34" t="s">
        <v>985</v>
      </c>
      <c r="K2593" s="34" t="str">
        <f t="shared" si="83"/>
        <v>重复</v>
      </c>
      <c r="L2593" s="34" t="str">
        <f t="shared" si="84"/>
        <v>不重复</v>
      </c>
    </row>
    <row r="2594" spans="1:12" ht="15">
      <c r="A2594" s="35" t="s">
        <v>13017</v>
      </c>
      <c r="B2594" s="35" t="s">
        <v>7152</v>
      </c>
      <c r="C2594" s="36" t="s">
        <v>7150</v>
      </c>
      <c r="D2594" s="35" t="s">
        <v>7153</v>
      </c>
      <c r="E2594" s="35" t="s">
        <v>12993</v>
      </c>
      <c r="F2594" s="35" t="s">
        <v>12483</v>
      </c>
      <c r="G2594" s="35">
        <v>353224</v>
      </c>
      <c r="H2594" s="35">
        <v>390210</v>
      </c>
      <c r="I2594" s="35">
        <v>200020</v>
      </c>
      <c r="J2594" s="34" t="s">
        <v>985</v>
      </c>
      <c r="K2594" s="34" t="str">
        <f t="shared" si="83"/>
        <v>重复</v>
      </c>
      <c r="L2594" s="34" t="str">
        <f t="shared" si="84"/>
        <v>不重复</v>
      </c>
    </row>
    <row r="2595" spans="1:12" ht="30">
      <c r="A2595" s="35" t="s">
        <v>13018</v>
      </c>
      <c r="B2595" s="35" t="s">
        <v>7154</v>
      </c>
      <c r="C2595" s="36" t="s">
        <v>7150</v>
      </c>
      <c r="D2595" s="35" t="s">
        <v>7155</v>
      </c>
      <c r="E2595" s="35" t="s">
        <v>12993</v>
      </c>
      <c r="F2595" s="35" t="s">
        <v>12483</v>
      </c>
      <c r="G2595" s="35">
        <v>353225</v>
      </c>
      <c r="H2595" s="35">
        <v>390210</v>
      </c>
      <c r="I2595" s="35">
        <v>200020</v>
      </c>
      <c r="J2595" s="34" t="s">
        <v>7156</v>
      </c>
      <c r="K2595" s="34" t="str">
        <f t="shared" si="83"/>
        <v>重复</v>
      </c>
      <c r="L2595" s="34" t="str">
        <f t="shared" si="84"/>
        <v>不重复</v>
      </c>
    </row>
    <row r="2596" spans="1:12" ht="15">
      <c r="A2596" s="35" t="s">
        <v>13019</v>
      </c>
      <c r="B2596" s="35" t="s">
        <v>7157</v>
      </c>
      <c r="C2596" s="36" t="s">
        <v>7158</v>
      </c>
      <c r="D2596" s="35" t="s">
        <v>7159</v>
      </c>
      <c r="E2596" s="35" t="s">
        <v>13019</v>
      </c>
      <c r="F2596" s="35" t="s">
        <v>12483</v>
      </c>
      <c r="G2596" s="35" t="s">
        <v>7160</v>
      </c>
      <c r="H2596" s="35" t="s">
        <v>7161</v>
      </c>
      <c r="I2596" s="35">
        <v>200020</v>
      </c>
      <c r="J2596" s="34"/>
      <c r="K2596" s="34" t="str">
        <f t="shared" si="83"/>
        <v>不重复</v>
      </c>
      <c r="L2596" s="34" t="str">
        <f t="shared" si="84"/>
        <v>不重复</v>
      </c>
    </row>
    <row r="2597" spans="1:12" ht="15">
      <c r="A2597" s="35" t="s">
        <v>13020</v>
      </c>
      <c r="B2597" s="35" t="s">
        <v>7162</v>
      </c>
      <c r="C2597" s="36" t="s">
        <v>7163</v>
      </c>
      <c r="D2597" s="35" t="s">
        <v>7164</v>
      </c>
      <c r="E2597" s="35" t="s">
        <v>13020</v>
      </c>
      <c r="F2597" s="35" t="s">
        <v>12483</v>
      </c>
      <c r="G2597" s="35">
        <v>353300</v>
      </c>
      <c r="H2597" s="35">
        <v>390220</v>
      </c>
      <c r="I2597" s="35">
        <v>200020</v>
      </c>
      <c r="J2597" s="34" t="s">
        <v>16</v>
      </c>
      <c r="K2597" s="34" t="str">
        <f t="shared" si="83"/>
        <v>不重复</v>
      </c>
      <c r="L2597" s="34" t="str">
        <f t="shared" si="84"/>
        <v>不重复</v>
      </c>
    </row>
    <row r="2598" spans="1:12" ht="27">
      <c r="A2598" s="35" t="s">
        <v>13021</v>
      </c>
      <c r="B2598" s="35" t="s">
        <v>7165</v>
      </c>
      <c r="C2598" s="36" t="s">
        <v>948</v>
      </c>
      <c r="D2598" s="35" t="s">
        <v>7166</v>
      </c>
      <c r="E2598" s="35" t="s">
        <v>13020</v>
      </c>
      <c r="F2598" s="35" t="s">
        <v>12483</v>
      </c>
      <c r="G2598" s="35">
        <v>353301</v>
      </c>
      <c r="H2598" s="35">
        <v>390220</v>
      </c>
      <c r="I2598" s="35">
        <v>200020</v>
      </c>
      <c r="J2598" s="34" t="s">
        <v>7167</v>
      </c>
      <c r="K2598" s="34" t="str">
        <f t="shared" si="83"/>
        <v>重复</v>
      </c>
      <c r="L2598" s="34" t="str">
        <f t="shared" si="84"/>
        <v>不重复</v>
      </c>
    </row>
    <row r="2599" spans="1:12" ht="15">
      <c r="A2599" s="35" t="s">
        <v>13022</v>
      </c>
      <c r="B2599" s="35" t="s">
        <v>7168</v>
      </c>
      <c r="C2599" s="36" t="s">
        <v>6012</v>
      </c>
      <c r="D2599" s="35" t="s">
        <v>7169</v>
      </c>
      <c r="E2599" s="35" t="s">
        <v>13020</v>
      </c>
      <c r="F2599" s="35" t="s">
        <v>12483</v>
      </c>
      <c r="G2599" s="35">
        <v>353302</v>
      </c>
      <c r="H2599" s="35">
        <v>390220</v>
      </c>
      <c r="I2599" s="35">
        <v>200020</v>
      </c>
      <c r="J2599" s="34" t="s">
        <v>347</v>
      </c>
      <c r="K2599" s="34" t="str">
        <f t="shared" si="83"/>
        <v>重复</v>
      </c>
      <c r="L2599" s="34" t="str">
        <f t="shared" si="84"/>
        <v>不重复</v>
      </c>
    </row>
    <row r="2600" spans="1:12" ht="15">
      <c r="A2600" s="35" t="s">
        <v>13023</v>
      </c>
      <c r="B2600" s="35" t="s">
        <v>7170</v>
      </c>
      <c r="C2600" s="36" t="s">
        <v>7171</v>
      </c>
      <c r="D2600" s="35" t="s">
        <v>7172</v>
      </c>
      <c r="E2600" s="35" t="s">
        <v>13020</v>
      </c>
      <c r="F2600" s="35" t="s">
        <v>12483</v>
      </c>
      <c r="G2600" s="35">
        <v>353303</v>
      </c>
      <c r="H2600" s="35">
        <v>390220</v>
      </c>
      <c r="I2600" s="35">
        <v>200020</v>
      </c>
      <c r="J2600" s="34" t="s">
        <v>985</v>
      </c>
      <c r="K2600" s="34" t="str">
        <f t="shared" si="83"/>
        <v>不重复</v>
      </c>
      <c r="L2600" s="34" t="str">
        <f t="shared" si="84"/>
        <v>不重复</v>
      </c>
    </row>
    <row r="2601" spans="1:12" ht="15">
      <c r="A2601" s="35" t="s">
        <v>13024</v>
      </c>
      <c r="B2601" s="35" t="s">
        <v>7173</v>
      </c>
      <c r="C2601" s="36" t="s">
        <v>7174</v>
      </c>
      <c r="D2601" s="35" t="s">
        <v>7175</v>
      </c>
      <c r="E2601" s="35" t="s">
        <v>13020</v>
      </c>
      <c r="F2601" s="35" t="s">
        <v>12483</v>
      </c>
      <c r="G2601" s="35">
        <v>353304</v>
      </c>
      <c r="H2601" s="35">
        <v>390220</v>
      </c>
      <c r="I2601" s="35">
        <v>200020</v>
      </c>
      <c r="J2601" s="34" t="s">
        <v>688</v>
      </c>
      <c r="K2601" s="34" t="str">
        <f t="shared" si="83"/>
        <v>不重复</v>
      </c>
      <c r="L2601" s="34" t="str">
        <f t="shared" si="84"/>
        <v>不重复</v>
      </c>
    </row>
    <row r="2602" spans="1:12" ht="15">
      <c r="A2602" s="35" t="s">
        <v>13025</v>
      </c>
      <c r="B2602" s="35" t="s">
        <v>7176</v>
      </c>
      <c r="C2602" s="36" t="s">
        <v>7177</v>
      </c>
      <c r="D2602" s="35" t="s">
        <v>7178</v>
      </c>
      <c r="E2602" s="35" t="s">
        <v>13020</v>
      </c>
      <c r="F2602" s="35" t="s">
        <v>12483</v>
      </c>
      <c r="G2602" s="35">
        <v>353305</v>
      </c>
      <c r="H2602" s="35">
        <v>390220</v>
      </c>
      <c r="I2602" s="35">
        <v>200020</v>
      </c>
      <c r="J2602" s="34" t="s">
        <v>1103</v>
      </c>
      <c r="K2602" s="34" t="str">
        <f t="shared" si="83"/>
        <v>不重复</v>
      </c>
      <c r="L2602" s="34" t="str">
        <f t="shared" si="84"/>
        <v>不重复</v>
      </c>
    </row>
    <row r="2603" spans="1:12" ht="15">
      <c r="A2603" s="35" t="s">
        <v>13026</v>
      </c>
      <c r="B2603" s="35" t="s">
        <v>7179</v>
      </c>
      <c r="C2603" s="36" t="s">
        <v>7180</v>
      </c>
      <c r="D2603" s="35" t="s">
        <v>7181</v>
      </c>
      <c r="E2603" s="35" t="s">
        <v>13020</v>
      </c>
      <c r="F2603" s="35" t="s">
        <v>12483</v>
      </c>
      <c r="G2603" s="35">
        <v>353306</v>
      </c>
      <c r="H2603" s="35">
        <v>390220</v>
      </c>
      <c r="I2603" s="35">
        <v>200020</v>
      </c>
      <c r="J2603" s="34" t="s">
        <v>878</v>
      </c>
      <c r="K2603" s="34" t="str">
        <f t="shared" si="83"/>
        <v>不重复</v>
      </c>
      <c r="L2603" s="34" t="str">
        <f t="shared" si="84"/>
        <v>不重复</v>
      </c>
    </row>
    <row r="2604" spans="1:12" ht="15">
      <c r="A2604" s="35" t="s">
        <v>13027</v>
      </c>
      <c r="B2604" s="35" t="s">
        <v>7182</v>
      </c>
      <c r="C2604" s="36" t="s">
        <v>7183</v>
      </c>
      <c r="D2604" s="35" t="s">
        <v>7184</v>
      </c>
      <c r="E2604" s="35" t="s">
        <v>13027</v>
      </c>
      <c r="F2604" s="35" t="s">
        <v>12483</v>
      </c>
      <c r="G2604" s="35">
        <v>353400</v>
      </c>
      <c r="H2604" s="35">
        <v>390230</v>
      </c>
      <c r="I2604" s="35">
        <v>200020</v>
      </c>
      <c r="J2604" s="34" t="s">
        <v>16</v>
      </c>
      <c r="K2604" s="34" t="str">
        <f t="shared" si="83"/>
        <v>不重复</v>
      </c>
      <c r="L2604" s="34" t="str">
        <f t="shared" si="84"/>
        <v>不重复</v>
      </c>
    </row>
    <row r="2605" spans="1:12" ht="30">
      <c r="A2605" s="35" t="s">
        <v>13028</v>
      </c>
      <c r="B2605" s="35" t="s">
        <v>7185</v>
      </c>
      <c r="C2605" s="36" t="s">
        <v>7186</v>
      </c>
      <c r="D2605" s="35" t="s">
        <v>7187</v>
      </c>
      <c r="E2605" s="35" t="s">
        <v>13027</v>
      </c>
      <c r="F2605" s="35" t="s">
        <v>12483</v>
      </c>
      <c r="G2605" s="35">
        <v>353401</v>
      </c>
      <c r="H2605" s="35">
        <v>390230</v>
      </c>
      <c r="I2605" s="35">
        <v>200020</v>
      </c>
      <c r="J2605" s="34" t="s">
        <v>3656</v>
      </c>
      <c r="K2605" s="34" t="str">
        <f t="shared" si="83"/>
        <v>不重复</v>
      </c>
      <c r="L2605" s="34" t="str">
        <f t="shared" si="84"/>
        <v>不重复</v>
      </c>
    </row>
    <row r="2606" spans="1:12" ht="30">
      <c r="A2606" s="35" t="s">
        <v>13029</v>
      </c>
      <c r="B2606" s="35" t="s">
        <v>7188</v>
      </c>
      <c r="C2606" s="36" t="s">
        <v>6331</v>
      </c>
      <c r="D2606" s="35" t="s">
        <v>7189</v>
      </c>
      <c r="E2606" s="35" t="s">
        <v>13027</v>
      </c>
      <c r="F2606" s="35" t="s">
        <v>12483</v>
      </c>
      <c r="G2606" s="35">
        <v>353402</v>
      </c>
      <c r="H2606" s="35">
        <v>390230</v>
      </c>
      <c r="I2606" s="35">
        <v>200020</v>
      </c>
      <c r="J2606" s="34" t="s">
        <v>688</v>
      </c>
      <c r="K2606" s="34" t="str">
        <f t="shared" si="83"/>
        <v>重复</v>
      </c>
      <c r="L2606" s="34" t="str">
        <f t="shared" si="84"/>
        <v>不重复</v>
      </c>
    </row>
    <row r="2607" spans="1:12" ht="30">
      <c r="A2607" s="35" t="s">
        <v>13030</v>
      </c>
      <c r="B2607" s="35" t="s">
        <v>7190</v>
      </c>
      <c r="C2607" s="36" t="s">
        <v>6201</v>
      </c>
      <c r="D2607" s="35" t="s">
        <v>7191</v>
      </c>
      <c r="E2607" s="35" t="s">
        <v>13027</v>
      </c>
      <c r="F2607" s="35" t="s">
        <v>12483</v>
      </c>
      <c r="G2607" s="35">
        <v>353403</v>
      </c>
      <c r="H2607" s="35">
        <v>390230</v>
      </c>
      <c r="I2607" s="35">
        <v>200020</v>
      </c>
      <c r="J2607" s="34" t="s">
        <v>932</v>
      </c>
      <c r="K2607" s="34" t="str">
        <f t="shared" si="83"/>
        <v>重复</v>
      </c>
      <c r="L2607" s="34" t="str">
        <f t="shared" si="84"/>
        <v>不重复</v>
      </c>
    </row>
    <row r="2608" spans="1:12" ht="15">
      <c r="A2608" s="35" t="s">
        <v>13031</v>
      </c>
      <c r="B2608" s="35" t="s">
        <v>7192</v>
      </c>
      <c r="C2608" s="36" t="s">
        <v>7193</v>
      </c>
      <c r="D2608" s="35" t="s">
        <v>7194</v>
      </c>
      <c r="E2608" s="35" t="s">
        <v>13031</v>
      </c>
      <c r="F2608" s="35" t="s">
        <v>12483</v>
      </c>
      <c r="G2608" s="35">
        <v>353500</v>
      </c>
      <c r="H2608" s="35">
        <v>390240</v>
      </c>
      <c r="I2608" s="35">
        <v>200020</v>
      </c>
      <c r="J2608" s="34" t="s">
        <v>16</v>
      </c>
      <c r="K2608" s="34" t="str">
        <f t="shared" si="83"/>
        <v>不重复</v>
      </c>
      <c r="L2608" s="34" t="str">
        <f t="shared" si="84"/>
        <v>不重复</v>
      </c>
    </row>
    <row r="2609" spans="1:12" ht="15">
      <c r="A2609" s="35" t="s">
        <v>13032</v>
      </c>
      <c r="B2609" s="35" t="s">
        <v>7195</v>
      </c>
      <c r="C2609" s="36" t="s">
        <v>971</v>
      </c>
      <c r="D2609" s="35" t="s">
        <v>7196</v>
      </c>
      <c r="E2609" s="35" t="s">
        <v>13031</v>
      </c>
      <c r="F2609" s="35" t="s">
        <v>12483</v>
      </c>
      <c r="G2609" s="35">
        <v>353501</v>
      </c>
      <c r="H2609" s="35">
        <v>390240</v>
      </c>
      <c r="I2609" s="35">
        <v>200020</v>
      </c>
      <c r="J2609" s="34" t="s">
        <v>962</v>
      </c>
      <c r="K2609" s="34" t="str">
        <f t="shared" si="83"/>
        <v>重复</v>
      </c>
      <c r="L2609" s="34" t="str">
        <f t="shared" si="84"/>
        <v>重复</v>
      </c>
    </row>
    <row r="2610" spans="1:12" ht="15">
      <c r="A2610" s="35" t="s">
        <v>13033</v>
      </c>
      <c r="B2610" s="35" t="s">
        <v>7197</v>
      </c>
      <c r="C2610" s="36" t="s">
        <v>6066</v>
      </c>
      <c r="D2610" s="35" t="s">
        <v>7196</v>
      </c>
      <c r="E2610" s="35" t="s">
        <v>13031</v>
      </c>
      <c r="F2610" s="35" t="s">
        <v>12483</v>
      </c>
      <c r="G2610" s="35">
        <v>353502</v>
      </c>
      <c r="H2610" s="35">
        <v>390240</v>
      </c>
      <c r="I2610" s="35">
        <v>200020</v>
      </c>
      <c r="J2610" s="34" t="s">
        <v>1468</v>
      </c>
      <c r="K2610" s="34" t="str">
        <f t="shared" si="83"/>
        <v>重复</v>
      </c>
      <c r="L2610" s="34" t="str">
        <f t="shared" si="84"/>
        <v>重复</v>
      </c>
    </row>
    <row r="2611" spans="1:12" ht="15">
      <c r="A2611" s="35" t="s">
        <v>13034</v>
      </c>
      <c r="B2611" s="35" t="s">
        <v>7198</v>
      </c>
      <c r="C2611" s="36" t="s">
        <v>1017</v>
      </c>
      <c r="D2611" s="35" t="s">
        <v>7199</v>
      </c>
      <c r="E2611" s="35" t="s">
        <v>13031</v>
      </c>
      <c r="F2611" s="35" t="s">
        <v>12483</v>
      </c>
      <c r="G2611" s="35">
        <v>353503</v>
      </c>
      <c r="H2611" s="35">
        <v>390240</v>
      </c>
      <c r="I2611" s="35">
        <v>200020</v>
      </c>
      <c r="J2611" s="34" t="s">
        <v>821</v>
      </c>
      <c r="K2611" s="34" t="str">
        <f t="shared" si="83"/>
        <v>重复</v>
      </c>
      <c r="L2611" s="34" t="str">
        <f t="shared" si="84"/>
        <v>不重复</v>
      </c>
    </row>
    <row r="2612" spans="1:12" ht="15">
      <c r="A2612" s="35" t="s">
        <v>13035</v>
      </c>
      <c r="B2612" s="35" t="s">
        <v>7200</v>
      </c>
      <c r="C2612" s="36" t="s">
        <v>7201</v>
      </c>
      <c r="D2612" s="35" t="s">
        <v>7202</v>
      </c>
      <c r="E2612" s="35" t="s">
        <v>13035</v>
      </c>
      <c r="F2612" s="35" t="s">
        <v>12483</v>
      </c>
      <c r="G2612" s="35">
        <v>353600</v>
      </c>
      <c r="H2612" s="35">
        <v>390250</v>
      </c>
      <c r="I2612" s="35">
        <v>200020</v>
      </c>
      <c r="J2612" s="34" t="s">
        <v>16</v>
      </c>
      <c r="K2612" s="34" t="str">
        <f t="shared" si="83"/>
        <v>不重复</v>
      </c>
      <c r="L2612" s="34" t="str">
        <f t="shared" si="84"/>
        <v>不重复</v>
      </c>
    </row>
    <row r="2613" spans="1:12" ht="30">
      <c r="A2613" s="35" t="s">
        <v>13036</v>
      </c>
      <c r="B2613" s="35" t="s">
        <v>7203</v>
      </c>
      <c r="C2613" s="36" t="s">
        <v>7204</v>
      </c>
      <c r="D2613" s="35" t="s">
        <v>7205</v>
      </c>
      <c r="E2613" s="35" t="s">
        <v>13035</v>
      </c>
      <c r="F2613" s="35" t="s">
        <v>12483</v>
      </c>
      <c r="G2613" s="35">
        <v>353601</v>
      </c>
      <c r="H2613" s="35">
        <v>390250</v>
      </c>
      <c r="I2613" s="35">
        <v>200020</v>
      </c>
      <c r="J2613" s="34" t="s">
        <v>688</v>
      </c>
      <c r="K2613" s="34" t="str">
        <f t="shared" si="83"/>
        <v>重复</v>
      </c>
      <c r="L2613" s="34" t="str">
        <f t="shared" si="84"/>
        <v>不重复</v>
      </c>
    </row>
    <row r="2614" spans="1:12" ht="30">
      <c r="A2614" s="35" t="s">
        <v>13037</v>
      </c>
      <c r="B2614" s="35" t="s">
        <v>7206</v>
      </c>
      <c r="C2614" s="36" t="s">
        <v>7207</v>
      </c>
      <c r="D2614" s="35" t="s">
        <v>7208</v>
      </c>
      <c r="E2614" s="35" t="s">
        <v>13035</v>
      </c>
      <c r="F2614" s="35" t="s">
        <v>12483</v>
      </c>
      <c r="G2614" s="35">
        <v>353602</v>
      </c>
      <c r="H2614" s="35">
        <v>390250</v>
      </c>
      <c r="I2614" s="35">
        <v>200020</v>
      </c>
      <c r="J2614" s="34" t="s">
        <v>1040</v>
      </c>
      <c r="K2614" s="34" t="str">
        <f t="shared" si="83"/>
        <v>不重复</v>
      </c>
      <c r="L2614" s="34" t="str">
        <f t="shared" si="84"/>
        <v>不重复</v>
      </c>
    </row>
    <row r="2615" spans="1:12" ht="27">
      <c r="A2615" s="35" t="s">
        <v>13038</v>
      </c>
      <c r="B2615" s="35" t="s">
        <v>7209</v>
      </c>
      <c r="C2615" s="36" t="s">
        <v>7210</v>
      </c>
      <c r="D2615" s="35" t="s">
        <v>7211</v>
      </c>
      <c r="E2615" s="35" t="s">
        <v>13035</v>
      </c>
      <c r="F2615" s="35" t="s">
        <v>12483</v>
      </c>
      <c r="G2615" s="35">
        <v>353603</v>
      </c>
      <c r="H2615" s="35">
        <v>390250</v>
      </c>
      <c r="I2615" s="35">
        <v>200020</v>
      </c>
      <c r="J2615" s="34" t="s">
        <v>681</v>
      </c>
      <c r="K2615" s="34" t="str">
        <f t="shared" si="83"/>
        <v>不重复</v>
      </c>
      <c r="L2615" s="34" t="str">
        <f t="shared" si="84"/>
        <v>不重复</v>
      </c>
    </row>
    <row r="2616" spans="1:12" ht="30">
      <c r="A2616" s="35" t="s">
        <v>13039</v>
      </c>
      <c r="B2616" s="35" t="s">
        <v>7212</v>
      </c>
      <c r="C2616" s="36" t="s">
        <v>7213</v>
      </c>
      <c r="D2616" s="35" t="s">
        <v>7214</v>
      </c>
      <c r="E2616" s="35" t="s">
        <v>13035</v>
      </c>
      <c r="F2616" s="35" t="s">
        <v>12483</v>
      </c>
      <c r="G2616" s="35">
        <v>353604</v>
      </c>
      <c r="H2616" s="35">
        <v>390250</v>
      </c>
      <c r="I2616" s="35">
        <v>200020</v>
      </c>
      <c r="J2616" s="34" t="s">
        <v>311</v>
      </c>
      <c r="K2616" s="34" t="str">
        <f t="shared" si="83"/>
        <v>重复</v>
      </c>
      <c r="L2616" s="34" t="str">
        <f t="shared" si="84"/>
        <v>不重复</v>
      </c>
    </row>
    <row r="2617" spans="1:12" ht="30">
      <c r="A2617" s="35" t="s">
        <v>13040</v>
      </c>
      <c r="B2617" s="35" t="s">
        <v>7215</v>
      </c>
      <c r="C2617" s="36" t="s">
        <v>3874</v>
      </c>
      <c r="D2617" s="35" t="s">
        <v>7216</v>
      </c>
      <c r="E2617" s="35" t="s">
        <v>13035</v>
      </c>
      <c r="F2617" s="35" t="s">
        <v>12483</v>
      </c>
      <c r="G2617" s="35">
        <v>353605</v>
      </c>
      <c r="H2617" s="35">
        <v>390250</v>
      </c>
      <c r="I2617" s="35">
        <v>200020</v>
      </c>
      <c r="J2617" s="34" t="s">
        <v>932</v>
      </c>
      <c r="K2617" s="34" t="str">
        <f t="shared" si="83"/>
        <v>重复</v>
      </c>
      <c r="L2617" s="34" t="str">
        <f t="shared" si="84"/>
        <v>不重复</v>
      </c>
    </row>
    <row r="2618" spans="1:12" ht="30">
      <c r="A2618" s="35" t="s">
        <v>13041</v>
      </c>
      <c r="B2618" s="35" t="s">
        <v>7217</v>
      </c>
      <c r="C2618" s="36" t="s">
        <v>7218</v>
      </c>
      <c r="D2618" s="35" t="s">
        <v>2563</v>
      </c>
      <c r="E2618" s="35" t="s">
        <v>13035</v>
      </c>
      <c r="F2618" s="35" t="s">
        <v>12483</v>
      </c>
      <c r="G2618" s="35">
        <v>353606</v>
      </c>
      <c r="H2618" s="35">
        <v>390250</v>
      </c>
      <c r="I2618" s="35">
        <v>200020</v>
      </c>
      <c r="J2618" s="34" t="s">
        <v>363</v>
      </c>
      <c r="K2618" s="34" t="str">
        <f t="shared" si="83"/>
        <v>不重复</v>
      </c>
      <c r="L2618" s="34" t="str">
        <f t="shared" si="84"/>
        <v>重复</v>
      </c>
    </row>
    <row r="2619" spans="1:12" ht="27">
      <c r="A2619" s="35" t="s">
        <v>13042</v>
      </c>
      <c r="B2619" s="35" t="s">
        <v>7219</v>
      </c>
      <c r="C2619" s="36" t="s">
        <v>7220</v>
      </c>
      <c r="D2619" s="35" t="s">
        <v>2563</v>
      </c>
      <c r="E2619" s="35" t="s">
        <v>13035</v>
      </c>
      <c r="F2619" s="35" t="s">
        <v>12483</v>
      </c>
      <c r="G2619" s="35">
        <v>353607</v>
      </c>
      <c r="H2619" s="35">
        <v>390250</v>
      </c>
      <c r="I2619" s="35">
        <v>200020</v>
      </c>
      <c r="J2619" s="34" t="s">
        <v>1040</v>
      </c>
      <c r="K2619" s="34" t="str">
        <f t="shared" si="83"/>
        <v>不重复</v>
      </c>
      <c r="L2619" s="34" t="str">
        <f t="shared" si="84"/>
        <v>重复</v>
      </c>
    </row>
    <row r="2620" spans="1:12" ht="27">
      <c r="A2620" s="35" t="s">
        <v>13043</v>
      </c>
      <c r="B2620" s="35" t="s">
        <v>7221</v>
      </c>
      <c r="C2620" s="36" t="s">
        <v>7222</v>
      </c>
      <c r="D2620" s="35" t="s">
        <v>4155</v>
      </c>
      <c r="E2620" s="35" t="s">
        <v>13035</v>
      </c>
      <c r="F2620" s="35" t="s">
        <v>12483</v>
      </c>
      <c r="G2620" s="35">
        <v>353608</v>
      </c>
      <c r="H2620" s="35">
        <v>390250</v>
      </c>
      <c r="I2620" s="35">
        <v>200020</v>
      </c>
      <c r="J2620" s="34" t="s">
        <v>1040</v>
      </c>
      <c r="K2620" s="34" t="str">
        <f t="shared" si="83"/>
        <v>不重复</v>
      </c>
      <c r="L2620" s="34" t="str">
        <f t="shared" si="84"/>
        <v>重复</v>
      </c>
    </row>
    <row r="2621" spans="1:12" ht="27">
      <c r="A2621" s="35" t="s">
        <v>13044</v>
      </c>
      <c r="B2621" s="35" t="s">
        <v>7223</v>
      </c>
      <c r="C2621" s="36" t="s">
        <v>7224</v>
      </c>
      <c r="D2621" s="35" t="s">
        <v>30</v>
      </c>
      <c r="E2621" s="35" t="s">
        <v>13035</v>
      </c>
      <c r="F2621" s="35" t="s">
        <v>12483</v>
      </c>
      <c r="G2621" s="35">
        <v>353609</v>
      </c>
      <c r="H2621" s="35">
        <v>390250</v>
      </c>
      <c r="I2621" s="35">
        <v>200020</v>
      </c>
      <c r="J2621" s="34" t="s">
        <v>1040</v>
      </c>
      <c r="K2621" s="34" t="str">
        <f t="shared" si="83"/>
        <v>不重复</v>
      </c>
      <c r="L2621" s="34" t="str">
        <f t="shared" si="84"/>
        <v>重复</v>
      </c>
    </row>
    <row r="2622" spans="1:12" ht="30">
      <c r="A2622" s="35" t="s">
        <v>13045</v>
      </c>
      <c r="B2622" s="35" t="s">
        <v>7225</v>
      </c>
      <c r="C2622" s="36" t="s">
        <v>7226</v>
      </c>
      <c r="D2622" s="35" t="s">
        <v>30</v>
      </c>
      <c r="E2622" s="35" t="s">
        <v>13035</v>
      </c>
      <c r="F2622" s="35" t="s">
        <v>12483</v>
      </c>
      <c r="G2622" s="35">
        <v>353610</v>
      </c>
      <c r="H2622" s="35">
        <v>390250</v>
      </c>
      <c r="I2622" s="35">
        <v>200020</v>
      </c>
      <c r="J2622" s="34" t="s">
        <v>715</v>
      </c>
      <c r="K2622" s="34" t="str">
        <f t="shared" si="83"/>
        <v>重复</v>
      </c>
      <c r="L2622" s="34" t="str">
        <f t="shared" si="84"/>
        <v>重复</v>
      </c>
    </row>
    <row r="2623" spans="1:12" ht="27">
      <c r="A2623" s="35" t="s">
        <v>13046</v>
      </c>
      <c r="B2623" s="35" t="s">
        <v>7227</v>
      </c>
      <c r="C2623" s="36" t="s">
        <v>7228</v>
      </c>
      <c r="D2623" s="35" t="s">
        <v>7229</v>
      </c>
      <c r="E2623" s="35" t="s">
        <v>13035</v>
      </c>
      <c r="F2623" s="35" t="s">
        <v>12483</v>
      </c>
      <c r="G2623" s="35">
        <v>353611</v>
      </c>
      <c r="H2623" s="35">
        <v>390250</v>
      </c>
      <c r="I2623" s="35">
        <v>200020</v>
      </c>
      <c r="J2623" s="34" t="s">
        <v>1040</v>
      </c>
      <c r="K2623" s="34" t="str">
        <f t="shared" si="83"/>
        <v>不重复</v>
      </c>
      <c r="L2623" s="34" t="str">
        <f t="shared" si="84"/>
        <v>不重复</v>
      </c>
    </row>
    <row r="2624" spans="1:12" ht="30">
      <c r="A2624" s="35" t="s">
        <v>13047</v>
      </c>
      <c r="B2624" s="35" t="s">
        <v>7230</v>
      </c>
      <c r="C2624" s="36" t="s">
        <v>7231</v>
      </c>
      <c r="D2624" s="35" t="s">
        <v>7232</v>
      </c>
      <c r="E2624" s="35" t="s">
        <v>13035</v>
      </c>
      <c r="F2624" s="35" t="s">
        <v>12483</v>
      </c>
      <c r="G2624" s="35">
        <v>353612</v>
      </c>
      <c r="H2624" s="35">
        <v>390250</v>
      </c>
      <c r="I2624" s="35">
        <v>200020</v>
      </c>
      <c r="J2624" s="34" t="s">
        <v>1040</v>
      </c>
      <c r="K2624" s="34" t="str">
        <f t="shared" si="83"/>
        <v>不重复</v>
      </c>
      <c r="L2624" s="34" t="str">
        <f t="shared" si="84"/>
        <v>重复</v>
      </c>
    </row>
    <row r="2625" spans="1:12" ht="27">
      <c r="A2625" s="35" t="s">
        <v>13048</v>
      </c>
      <c r="B2625" s="35" t="s">
        <v>7233</v>
      </c>
      <c r="C2625" s="36" t="s">
        <v>7234</v>
      </c>
      <c r="D2625" s="35" t="s">
        <v>7056</v>
      </c>
      <c r="E2625" s="35" t="s">
        <v>13035</v>
      </c>
      <c r="F2625" s="35" t="s">
        <v>12483</v>
      </c>
      <c r="G2625" s="35">
        <v>353613</v>
      </c>
      <c r="H2625" s="35">
        <v>390250</v>
      </c>
      <c r="I2625" s="35">
        <v>200020</v>
      </c>
      <c r="J2625" s="34" t="s">
        <v>719</v>
      </c>
      <c r="K2625" s="34" t="str">
        <f t="shared" si="83"/>
        <v>不重复</v>
      </c>
      <c r="L2625" s="34" t="str">
        <f t="shared" si="84"/>
        <v>重复</v>
      </c>
    </row>
    <row r="2626" spans="1:12" ht="15">
      <c r="A2626" s="35" t="s">
        <v>13049</v>
      </c>
      <c r="B2626" s="35" t="s">
        <v>7235</v>
      </c>
      <c r="C2626" s="36" t="s">
        <v>7236</v>
      </c>
      <c r="D2626" s="35" t="s">
        <v>7237</v>
      </c>
      <c r="E2626" s="35" t="s">
        <v>13035</v>
      </c>
      <c r="F2626" s="35" t="s">
        <v>12483</v>
      </c>
      <c r="G2626" s="35">
        <v>353614</v>
      </c>
      <c r="H2626" s="35">
        <v>390250</v>
      </c>
      <c r="I2626" s="35">
        <v>200020</v>
      </c>
      <c r="J2626" s="34" t="s">
        <v>932</v>
      </c>
      <c r="K2626" s="34" t="str">
        <f t="shared" si="83"/>
        <v>重复</v>
      </c>
      <c r="L2626" s="34" t="str">
        <f t="shared" si="84"/>
        <v>不重复</v>
      </c>
    </row>
    <row r="2627" spans="1:12" ht="27">
      <c r="A2627" s="35" t="s">
        <v>13050</v>
      </c>
      <c r="B2627" s="35" t="s">
        <v>7238</v>
      </c>
      <c r="C2627" s="36" t="s">
        <v>7239</v>
      </c>
      <c r="D2627" s="35" t="s">
        <v>2673</v>
      </c>
      <c r="E2627" s="35" t="s">
        <v>13035</v>
      </c>
      <c r="F2627" s="35" t="s">
        <v>12483</v>
      </c>
      <c r="G2627" s="35">
        <v>353615</v>
      </c>
      <c r="H2627" s="35">
        <v>390250</v>
      </c>
      <c r="I2627" s="35">
        <v>200020</v>
      </c>
      <c r="J2627" s="34" t="s">
        <v>194</v>
      </c>
      <c r="K2627" s="34" t="str">
        <f t="shared" si="83"/>
        <v>不重复</v>
      </c>
      <c r="L2627" s="34" t="str">
        <f t="shared" si="84"/>
        <v>重复</v>
      </c>
    </row>
    <row r="2628" spans="1:12" ht="30">
      <c r="A2628" s="35" t="s">
        <v>13051</v>
      </c>
      <c r="B2628" s="35" t="s">
        <v>7240</v>
      </c>
      <c r="C2628" s="36" t="s">
        <v>7241</v>
      </c>
      <c r="D2628" s="35" t="s">
        <v>4262</v>
      </c>
      <c r="E2628" s="35" t="s">
        <v>13035</v>
      </c>
      <c r="F2628" s="35" t="s">
        <v>12483</v>
      </c>
      <c r="G2628" s="35">
        <v>353616</v>
      </c>
      <c r="H2628" s="35">
        <v>390250</v>
      </c>
      <c r="I2628" s="35">
        <v>200020</v>
      </c>
      <c r="J2628" s="34" t="s">
        <v>347</v>
      </c>
      <c r="K2628" s="34" t="str">
        <f t="shared" si="83"/>
        <v>重复</v>
      </c>
      <c r="L2628" s="34" t="str">
        <f t="shared" si="84"/>
        <v>重复</v>
      </c>
    </row>
    <row r="2629" spans="1:12" ht="27">
      <c r="A2629" s="35" t="s">
        <v>13052</v>
      </c>
      <c r="B2629" s="35" t="s">
        <v>7242</v>
      </c>
      <c r="C2629" s="36" t="s">
        <v>7243</v>
      </c>
      <c r="D2629" s="35" t="s">
        <v>7244</v>
      </c>
      <c r="E2629" s="35" t="s">
        <v>13035</v>
      </c>
      <c r="F2629" s="35" t="s">
        <v>12483</v>
      </c>
      <c r="G2629" s="35">
        <v>353617</v>
      </c>
      <c r="H2629" s="35">
        <v>390250</v>
      </c>
      <c r="I2629" s="35">
        <v>200020</v>
      </c>
      <c r="J2629" s="34" t="s">
        <v>363</v>
      </c>
      <c r="K2629" s="34" t="str">
        <f t="shared" si="83"/>
        <v>不重复</v>
      </c>
      <c r="L2629" s="34" t="str">
        <f t="shared" si="84"/>
        <v>重复</v>
      </c>
    </row>
    <row r="2630" spans="1:12" ht="30">
      <c r="A2630" s="35" t="s">
        <v>13053</v>
      </c>
      <c r="B2630" s="35" t="s">
        <v>7245</v>
      </c>
      <c r="C2630" s="36" t="s">
        <v>4157</v>
      </c>
      <c r="D2630" s="35" t="s">
        <v>7244</v>
      </c>
      <c r="E2630" s="35" t="s">
        <v>13035</v>
      </c>
      <c r="F2630" s="35" t="s">
        <v>12483</v>
      </c>
      <c r="G2630" s="35">
        <v>353618</v>
      </c>
      <c r="H2630" s="35">
        <v>390250</v>
      </c>
      <c r="I2630" s="35">
        <v>200020</v>
      </c>
      <c r="J2630" s="34" t="s">
        <v>137</v>
      </c>
      <c r="K2630" s="34" t="str">
        <f t="shared" si="83"/>
        <v>重复</v>
      </c>
      <c r="L2630" s="34" t="str">
        <f t="shared" si="84"/>
        <v>重复</v>
      </c>
    </row>
    <row r="2631" spans="1:12" ht="27">
      <c r="A2631" s="35" t="s">
        <v>13054</v>
      </c>
      <c r="B2631" s="35" t="s">
        <v>7246</v>
      </c>
      <c r="C2631" s="36" t="s">
        <v>7247</v>
      </c>
      <c r="D2631" s="35" t="s">
        <v>7105</v>
      </c>
      <c r="E2631" s="35" t="s">
        <v>13035</v>
      </c>
      <c r="F2631" s="35" t="s">
        <v>12483</v>
      </c>
      <c r="G2631" s="35">
        <v>353619</v>
      </c>
      <c r="H2631" s="35">
        <v>390250</v>
      </c>
      <c r="I2631" s="35">
        <v>200020</v>
      </c>
      <c r="J2631" s="34" t="s">
        <v>1040</v>
      </c>
      <c r="K2631" s="34" t="str">
        <f t="shared" si="83"/>
        <v>重复</v>
      </c>
      <c r="L2631" s="34" t="str">
        <f t="shared" si="84"/>
        <v>重复</v>
      </c>
    </row>
    <row r="2632" spans="1:12" ht="15">
      <c r="A2632" s="35" t="s">
        <v>13055</v>
      </c>
      <c r="B2632" s="35" t="s">
        <v>7248</v>
      </c>
      <c r="C2632" s="36" t="s">
        <v>7249</v>
      </c>
      <c r="D2632" s="35" t="s">
        <v>7250</v>
      </c>
      <c r="E2632" s="35" t="s">
        <v>13035</v>
      </c>
      <c r="F2632" s="35" t="s">
        <v>12483</v>
      </c>
      <c r="G2632" s="35">
        <v>353620</v>
      </c>
      <c r="H2632" s="35">
        <v>390250</v>
      </c>
      <c r="I2632" s="35">
        <v>200020</v>
      </c>
      <c r="J2632" s="34" t="s">
        <v>715</v>
      </c>
      <c r="K2632" s="34" t="str">
        <f t="shared" si="83"/>
        <v>不重复</v>
      </c>
      <c r="L2632" s="34" t="str">
        <f t="shared" si="84"/>
        <v>不重复</v>
      </c>
    </row>
    <row r="2633" spans="1:12" ht="15">
      <c r="A2633" s="35" t="s">
        <v>13056</v>
      </c>
      <c r="B2633" s="35" t="s">
        <v>7251</v>
      </c>
      <c r="C2633" s="36" t="s">
        <v>7252</v>
      </c>
      <c r="D2633" s="35" t="s">
        <v>7253</v>
      </c>
      <c r="E2633" s="35" t="s">
        <v>13035</v>
      </c>
      <c r="F2633" s="35" t="s">
        <v>12483</v>
      </c>
      <c r="G2633" s="35">
        <v>353621</v>
      </c>
      <c r="H2633" s="35">
        <v>390250</v>
      </c>
      <c r="I2633" s="35">
        <v>200020</v>
      </c>
      <c r="J2633" s="34" t="s">
        <v>1019</v>
      </c>
      <c r="K2633" s="34" t="str">
        <f t="shared" si="83"/>
        <v>重复</v>
      </c>
      <c r="L2633" s="34" t="str">
        <f t="shared" si="84"/>
        <v>不重复</v>
      </c>
    </row>
    <row r="2634" spans="1:12" ht="15">
      <c r="A2634" s="35" t="s">
        <v>13057</v>
      </c>
      <c r="B2634" s="35" t="s">
        <v>7254</v>
      </c>
      <c r="C2634" s="36" t="s">
        <v>7255</v>
      </c>
      <c r="D2634" s="35" t="s">
        <v>7256</v>
      </c>
      <c r="E2634" s="35" t="s">
        <v>13035</v>
      </c>
      <c r="F2634" s="35" t="s">
        <v>12483</v>
      </c>
      <c r="G2634" s="35">
        <v>353622</v>
      </c>
      <c r="H2634" s="35">
        <v>390250</v>
      </c>
      <c r="I2634" s="35">
        <v>200020</v>
      </c>
      <c r="J2634" s="34" t="s">
        <v>363</v>
      </c>
      <c r="K2634" s="34" t="str">
        <f t="shared" si="83"/>
        <v>不重复</v>
      </c>
      <c r="L2634" s="34" t="str">
        <f t="shared" si="84"/>
        <v>不重复</v>
      </c>
    </row>
    <row r="2635" spans="1:12" ht="15">
      <c r="A2635" s="35" t="s">
        <v>13058</v>
      </c>
      <c r="B2635" s="35" t="s">
        <v>7257</v>
      </c>
      <c r="C2635" s="36" t="s">
        <v>7247</v>
      </c>
      <c r="D2635" s="35" t="s">
        <v>7258</v>
      </c>
      <c r="E2635" s="35" t="s">
        <v>13035</v>
      </c>
      <c r="F2635" s="35" t="s">
        <v>12483</v>
      </c>
      <c r="G2635" s="35">
        <v>353623</v>
      </c>
      <c r="H2635" s="35">
        <v>390250</v>
      </c>
      <c r="I2635" s="35">
        <v>200020</v>
      </c>
      <c r="J2635" s="34" t="s">
        <v>7259</v>
      </c>
      <c r="K2635" s="34" t="str">
        <f t="shared" si="83"/>
        <v>重复</v>
      </c>
      <c r="L2635" s="34" t="str">
        <f t="shared" si="84"/>
        <v>不重复</v>
      </c>
    </row>
    <row r="2636" spans="1:12" ht="15">
      <c r="A2636" s="35" t="s">
        <v>13059</v>
      </c>
      <c r="B2636" s="35" t="s">
        <v>7260</v>
      </c>
      <c r="C2636" s="36" t="s">
        <v>7261</v>
      </c>
      <c r="D2636" s="35" t="s">
        <v>7262</v>
      </c>
      <c r="E2636" s="35" t="s">
        <v>13035</v>
      </c>
      <c r="F2636" s="35" t="s">
        <v>12483</v>
      </c>
      <c r="G2636" s="35">
        <v>353624</v>
      </c>
      <c r="H2636" s="35">
        <v>390250</v>
      </c>
      <c r="I2636" s="35">
        <v>200020</v>
      </c>
      <c r="J2636" s="34" t="s">
        <v>715</v>
      </c>
      <c r="K2636" s="34" t="str">
        <f t="shared" si="85" ref="K2636:K2699">IF(COUNTIF(C:C,C2636)&gt;=2,"重复","不重复")</f>
        <v>不重复</v>
      </c>
      <c r="L2636" s="34" t="str">
        <f t="shared" si="86" ref="L2636:L2699">IF(COUNTIF(D:D,D2636)&gt;=2,"重复","不重复")</f>
        <v>重复</v>
      </c>
    </row>
    <row r="2637" spans="1:12" ht="15">
      <c r="A2637" s="35" t="s">
        <v>13060</v>
      </c>
      <c r="B2637" s="35" t="s">
        <v>7263</v>
      </c>
      <c r="C2637" s="36" t="s">
        <v>7226</v>
      </c>
      <c r="D2637" s="35" t="s">
        <v>7262</v>
      </c>
      <c r="E2637" s="35" t="s">
        <v>13035</v>
      </c>
      <c r="F2637" s="35" t="s">
        <v>12483</v>
      </c>
      <c r="G2637" s="35">
        <v>353625</v>
      </c>
      <c r="H2637" s="35">
        <v>390250</v>
      </c>
      <c r="I2637" s="35">
        <v>200020</v>
      </c>
      <c r="J2637" s="34" t="s">
        <v>878</v>
      </c>
      <c r="K2637" s="34" t="str">
        <f t="shared" si="85"/>
        <v>重复</v>
      </c>
      <c r="L2637" s="34" t="str">
        <f t="shared" si="86"/>
        <v>重复</v>
      </c>
    </row>
    <row r="2638" spans="1:12" ht="15">
      <c r="A2638" s="35" t="s">
        <v>13061</v>
      </c>
      <c r="B2638" s="35" t="s">
        <v>7264</v>
      </c>
      <c r="C2638" s="36" t="s">
        <v>4157</v>
      </c>
      <c r="D2638" s="35" t="s">
        <v>7265</v>
      </c>
      <c r="E2638" s="35" t="s">
        <v>13035</v>
      </c>
      <c r="F2638" s="35" t="s">
        <v>12483</v>
      </c>
      <c r="G2638" s="35">
        <v>353626</v>
      </c>
      <c r="H2638" s="35">
        <v>390250</v>
      </c>
      <c r="I2638" s="35">
        <v>200020</v>
      </c>
      <c r="J2638" s="34" t="s">
        <v>756</v>
      </c>
      <c r="K2638" s="34" t="str">
        <f t="shared" si="85"/>
        <v>重复</v>
      </c>
      <c r="L2638" s="34" t="str">
        <f t="shared" si="86"/>
        <v>不重复</v>
      </c>
    </row>
    <row r="2639" spans="1:12" ht="15">
      <c r="A2639" s="35" t="s">
        <v>13062</v>
      </c>
      <c r="B2639" s="35" t="s">
        <v>7266</v>
      </c>
      <c r="C2639" s="36" t="s">
        <v>7267</v>
      </c>
      <c r="D2639" s="35" t="s">
        <v>7268</v>
      </c>
      <c r="E2639" s="35" t="s">
        <v>13035</v>
      </c>
      <c r="F2639" s="35" t="s">
        <v>12483</v>
      </c>
      <c r="G2639" s="35">
        <v>353627</v>
      </c>
      <c r="H2639" s="35">
        <v>390250</v>
      </c>
      <c r="I2639" s="35">
        <v>200020</v>
      </c>
      <c r="J2639" s="34" t="s">
        <v>688</v>
      </c>
      <c r="K2639" s="34" t="str">
        <f t="shared" si="85"/>
        <v>重复</v>
      </c>
      <c r="L2639" s="34" t="str">
        <f t="shared" si="86"/>
        <v>不重复</v>
      </c>
    </row>
    <row r="2640" spans="1:12" ht="15">
      <c r="A2640" s="35" t="s">
        <v>13063</v>
      </c>
      <c r="B2640" s="35" t="s">
        <v>7269</v>
      </c>
      <c r="C2640" s="36" t="s">
        <v>7270</v>
      </c>
      <c r="D2640" s="35" t="s">
        <v>7271</v>
      </c>
      <c r="E2640" s="35" t="s">
        <v>13035</v>
      </c>
      <c r="F2640" s="35" t="s">
        <v>12483</v>
      </c>
      <c r="G2640" s="35">
        <v>353628</v>
      </c>
      <c r="H2640" s="35">
        <v>390250</v>
      </c>
      <c r="I2640" s="35">
        <v>200020</v>
      </c>
      <c r="J2640" s="34" t="s">
        <v>16</v>
      </c>
      <c r="K2640" s="34" t="str">
        <f t="shared" si="85"/>
        <v>不重复</v>
      </c>
      <c r="L2640" s="34" t="str">
        <f t="shared" si="86"/>
        <v>不重复</v>
      </c>
    </row>
    <row r="2641" spans="1:12" ht="15">
      <c r="A2641" s="35" t="s">
        <v>13064</v>
      </c>
      <c r="B2641" s="35" t="s">
        <v>7272</v>
      </c>
      <c r="C2641" s="36" t="s">
        <v>2136</v>
      </c>
      <c r="D2641" s="35" t="s">
        <v>7273</v>
      </c>
      <c r="E2641" s="35" t="s">
        <v>13064</v>
      </c>
      <c r="F2641" s="35" t="s">
        <v>12483</v>
      </c>
      <c r="G2641" s="35">
        <v>353700</v>
      </c>
      <c r="H2641" s="35">
        <v>390260</v>
      </c>
      <c r="I2641" s="35">
        <v>200020</v>
      </c>
      <c r="J2641" s="34" t="s">
        <v>16</v>
      </c>
      <c r="K2641" s="34" t="str">
        <f t="shared" si="85"/>
        <v>重复</v>
      </c>
      <c r="L2641" s="34" t="str">
        <f t="shared" si="86"/>
        <v>不重复</v>
      </c>
    </row>
    <row r="2642" spans="1:12" ht="30">
      <c r="A2642" s="35" t="s">
        <v>13065</v>
      </c>
      <c r="B2642" s="35" t="s">
        <v>7274</v>
      </c>
      <c r="C2642" s="36" t="s">
        <v>7275</v>
      </c>
      <c r="D2642" s="35" t="s">
        <v>4703</v>
      </c>
      <c r="E2642" s="35" t="s">
        <v>13064</v>
      </c>
      <c r="F2642" s="35" t="s">
        <v>12483</v>
      </c>
      <c r="G2642" s="35">
        <v>353701</v>
      </c>
      <c r="H2642" s="35">
        <v>390260</v>
      </c>
      <c r="I2642" s="35">
        <v>200020</v>
      </c>
      <c r="J2642" s="34" t="s">
        <v>3437</v>
      </c>
      <c r="K2642" s="34" t="str">
        <f t="shared" si="85"/>
        <v>不重复</v>
      </c>
      <c r="L2642" s="34" t="str">
        <f t="shared" si="86"/>
        <v>重复</v>
      </c>
    </row>
    <row r="2643" spans="1:12" ht="27">
      <c r="A2643" s="35" t="s">
        <v>13066</v>
      </c>
      <c r="B2643" s="35" t="s">
        <v>7276</v>
      </c>
      <c r="C2643" s="36" t="s">
        <v>7277</v>
      </c>
      <c r="D2643" s="35" t="s">
        <v>7278</v>
      </c>
      <c r="E2643" s="35" t="s">
        <v>13064</v>
      </c>
      <c r="F2643" s="35" t="s">
        <v>12483</v>
      </c>
      <c r="G2643" s="35">
        <v>353702</v>
      </c>
      <c r="H2643" s="35">
        <v>390260</v>
      </c>
      <c r="I2643" s="35">
        <v>200020</v>
      </c>
      <c r="J2643" s="34" t="s">
        <v>5792</v>
      </c>
      <c r="K2643" s="34" t="str">
        <f t="shared" si="85"/>
        <v>不重复</v>
      </c>
      <c r="L2643" s="34" t="str">
        <f t="shared" si="86"/>
        <v>不重复</v>
      </c>
    </row>
    <row r="2644" spans="1:12" ht="27">
      <c r="A2644" s="35" t="s">
        <v>13067</v>
      </c>
      <c r="B2644" s="35" t="s">
        <v>7279</v>
      </c>
      <c r="C2644" s="36" t="s">
        <v>6835</v>
      </c>
      <c r="D2644" s="35" t="s">
        <v>7280</v>
      </c>
      <c r="E2644" s="35" t="s">
        <v>13064</v>
      </c>
      <c r="F2644" s="35" t="s">
        <v>12483</v>
      </c>
      <c r="G2644" s="35">
        <v>353703</v>
      </c>
      <c r="H2644" s="35">
        <v>390260</v>
      </c>
      <c r="I2644" s="35">
        <v>200020</v>
      </c>
      <c r="J2644" s="34" t="s">
        <v>5376</v>
      </c>
      <c r="K2644" s="34" t="str">
        <f t="shared" si="85"/>
        <v>重复</v>
      </c>
      <c r="L2644" s="34" t="str">
        <f t="shared" si="86"/>
        <v>不重复</v>
      </c>
    </row>
    <row r="2645" spans="1:12" ht="27">
      <c r="A2645" s="35" t="s">
        <v>13068</v>
      </c>
      <c r="B2645" s="35" t="s">
        <v>7281</v>
      </c>
      <c r="C2645" s="36" t="s">
        <v>1821</v>
      </c>
      <c r="D2645" s="35" t="s">
        <v>7282</v>
      </c>
      <c r="E2645" s="35" t="s">
        <v>13064</v>
      </c>
      <c r="F2645" s="35" t="s">
        <v>12483</v>
      </c>
      <c r="G2645" s="35">
        <v>353704</v>
      </c>
      <c r="H2645" s="35">
        <v>390260</v>
      </c>
      <c r="I2645" s="35">
        <v>200020</v>
      </c>
      <c r="J2645" s="34" t="s">
        <v>878</v>
      </c>
      <c r="K2645" s="34" t="str">
        <f t="shared" si="85"/>
        <v>重复</v>
      </c>
      <c r="L2645" s="34" t="str">
        <f t="shared" si="86"/>
        <v>不重复</v>
      </c>
    </row>
    <row r="2646" spans="1:12" ht="27">
      <c r="A2646" s="35" t="s">
        <v>13069</v>
      </c>
      <c r="B2646" s="35" t="s">
        <v>7283</v>
      </c>
      <c r="C2646" s="36" t="s">
        <v>6121</v>
      </c>
      <c r="D2646" s="35" t="s">
        <v>7284</v>
      </c>
      <c r="E2646" s="35" t="s">
        <v>13064</v>
      </c>
      <c r="F2646" s="35" t="s">
        <v>12483</v>
      </c>
      <c r="G2646" s="35">
        <v>353705</v>
      </c>
      <c r="H2646" s="35">
        <v>390260</v>
      </c>
      <c r="I2646" s="35">
        <v>200020</v>
      </c>
      <c r="J2646" s="34" t="s">
        <v>6484</v>
      </c>
      <c r="K2646" s="34" t="str">
        <f t="shared" si="85"/>
        <v>重复</v>
      </c>
      <c r="L2646" s="34" t="str">
        <f t="shared" si="86"/>
        <v>不重复</v>
      </c>
    </row>
    <row r="2647" spans="1:12" ht="27">
      <c r="A2647" s="35" t="s">
        <v>13070</v>
      </c>
      <c r="B2647" s="35" t="s">
        <v>7285</v>
      </c>
      <c r="C2647" s="36" t="s">
        <v>5459</v>
      </c>
      <c r="D2647" s="35" t="s">
        <v>7286</v>
      </c>
      <c r="E2647" s="35" t="s">
        <v>13064</v>
      </c>
      <c r="F2647" s="35" t="s">
        <v>12483</v>
      </c>
      <c r="G2647" s="35">
        <v>353706</v>
      </c>
      <c r="H2647" s="35">
        <v>390260</v>
      </c>
      <c r="I2647" s="35">
        <v>200020</v>
      </c>
      <c r="J2647" s="34" t="s">
        <v>7287</v>
      </c>
      <c r="K2647" s="34" t="str">
        <f t="shared" si="85"/>
        <v>重复</v>
      </c>
      <c r="L2647" s="34" t="str">
        <f t="shared" si="86"/>
        <v>不重复</v>
      </c>
    </row>
    <row r="2648" spans="1:12" ht="15">
      <c r="A2648" s="35" t="s">
        <v>13071</v>
      </c>
      <c r="B2648" s="35" t="s">
        <v>7288</v>
      </c>
      <c r="C2648" s="36" t="s">
        <v>7289</v>
      </c>
      <c r="D2648" s="35" t="s">
        <v>7290</v>
      </c>
      <c r="E2648" s="35" t="s">
        <v>13071</v>
      </c>
      <c r="F2648" s="35" t="s">
        <v>12483</v>
      </c>
      <c r="G2648" s="35">
        <v>353800</v>
      </c>
      <c r="H2648" s="35">
        <v>390270</v>
      </c>
      <c r="I2648" s="35">
        <v>200020</v>
      </c>
      <c r="J2648" s="34" t="s">
        <v>16</v>
      </c>
      <c r="K2648" s="34" t="str">
        <f t="shared" si="85"/>
        <v>不重复</v>
      </c>
      <c r="L2648" s="34" t="str">
        <f t="shared" si="86"/>
        <v>不重复</v>
      </c>
    </row>
    <row r="2649" spans="1:12" ht="15">
      <c r="A2649" s="35" t="s">
        <v>13072</v>
      </c>
      <c r="B2649" s="35" t="s">
        <v>7291</v>
      </c>
      <c r="C2649" s="36" t="s">
        <v>7292</v>
      </c>
      <c r="D2649" s="35" t="s">
        <v>7293</v>
      </c>
      <c r="E2649" s="35" t="s">
        <v>13071</v>
      </c>
      <c r="F2649" s="35" t="s">
        <v>12483</v>
      </c>
      <c r="G2649" s="35">
        <v>353801</v>
      </c>
      <c r="H2649" s="35">
        <v>390270</v>
      </c>
      <c r="I2649" s="35">
        <v>200020</v>
      </c>
      <c r="J2649" s="34" t="s">
        <v>985</v>
      </c>
      <c r="K2649" s="34" t="str">
        <f t="shared" si="85"/>
        <v>不重复</v>
      </c>
      <c r="L2649" s="34" t="str">
        <f t="shared" si="86"/>
        <v>不重复</v>
      </c>
    </row>
    <row r="2650" spans="1:12" ht="15">
      <c r="A2650" s="35" t="s">
        <v>13073</v>
      </c>
      <c r="B2650" s="35" t="s">
        <v>7294</v>
      </c>
      <c r="C2650" s="36" t="s">
        <v>3081</v>
      </c>
      <c r="D2650" s="35" t="s">
        <v>7295</v>
      </c>
      <c r="E2650" s="35" t="s">
        <v>13071</v>
      </c>
      <c r="F2650" s="35" t="s">
        <v>12483</v>
      </c>
      <c r="G2650" s="35">
        <v>353802</v>
      </c>
      <c r="H2650" s="35">
        <v>390270</v>
      </c>
      <c r="I2650" s="35">
        <v>200020</v>
      </c>
      <c r="J2650" s="34" t="s">
        <v>878</v>
      </c>
      <c r="K2650" s="34" t="str">
        <f t="shared" si="85"/>
        <v>重复</v>
      </c>
      <c r="L2650" s="34" t="str">
        <f t="shared" si="86"/>
        <v>不重复</v>
      </c>
    </row>
    <row r="2651" spans="1:12" ht="15">
      <c r="A2651" s="35" t="s">
        <v>13074</v>
      </c>
      <c r="B2651" s="35" t="s">
        <v>7296</v>
      </c>
      <c r="C2651" s="36" t="s">
        <v>5520</v>
      </c>
      <c r="D2651" s="35" t="s">
        <v>7297</v>
      </c>
      <c r="E2651" s="35" t="s">
        <v>13071</v>
      </c>
      <c r="F2651" s="35" t="s">
        <v>12483</v>
      </c>
      <c r="G2651" s="35">
        <v>353803</v>
      </c>
      <c r="H2651" s="35">
        <v>390270</v>
      </c>
      <c r="I2651" s="35">
        <v>200020</v>
      </c>
      <c r="J2651" s="34" t="s">
        <v>688</v>
      </c>
      <c r="K2651" s="34" t="str">
        <f t="shared" si="85"/>
        <v>重复</v>
      </c>
      <c r="L2651" s="34" t="str">
        <f t="shared" si="86"/>
        <v>不重复</v>
      </c>
    </row>
    <row r="2652" spans="1:12" ht="15">
      <c r="A2652" s="35" t="s">
        <v>13075</v>
      </c>
      <c r="B2652" s="35" t="s">
        <v>7298</v>
      </c>
      <c r="C2652" s="36" t="s">
        <v>2821</v>
      </c>
      <c r="D2652" s="35" t="s">
        <v>7299</v>
      </c>
      <c r="E2652" s="35" t="s">
        <v>13071</v>
      </c>
      <c r="F2652" s="35" t="s">
        <v>12483</v>
      </c>
      <c r="G2652" s="35">
        <v>353804</v>
      </c>
      <c r="H2652" s="35">
        <v>390270</v>
      </c>
      <c r="I2652" s="35">
        <v>200020</v>
      </c>
      <c r="J2652" s="34" t="s">
        <v>89</v>
      </c>
      <c r="K2652" s="34" t="str">
        <f t="shared" si="85"/>
        <v>重复</v>
      </c>
      <c r="L2652" s="34" t="str">
        <f t="shared" si="86"/>
        <v>不重复</v>
      </c>
    </row>
    <row r="2653" spans="1:12" ht="15">
      <c r="A2653" s="35" t="s">
        <v>13076</v>
      </c>
      <c r="B2653" s="35" t="s">
        <v>7300</v>
      </c>
      <c r="C2653" s="36" t="s">
        <v>5701</v>
      </c>
      <c r="D2653" s="35" t="s">
        <v>7301</v>
      </c>
      <c r="E2653" s="35" t="s">
        <v>13071</v>
      </c>
      <c r="F2653" s="35" t="s">
        <v>12483</v>
      </c>
      <c r="G2653" s="35">
        <v>353805</v>
      </c>
      <c r="H2653" s="35">
        <v>390270</v>
      </c>
      <c r="I2653" s="35">
        <v>200020</v>
      </c>
      <c r="J2653" s="34" t="s">
        <v>688</v>
      </c>
      <c r="K2653" s="34" t="str">
        <f t="shared" si="85"/>
        <v>重复</v>
      </c>
      <c r="L2653" s="34" t="str">
        <f t="shared" si="86"/>
        <v>不重复</v>
      </c>
    </row>
    <row r="2654" spans="1:12" ht="15">
      <c r="A2654" s="35" t="s">
        <v>13077</v>
      </c>
      <c r="B2654" s="35" t="s">
        <v>7302</v>
      </c>
      <c r="C2654" s="36" t="s">
        <v>588</v>
      </c>
      <c r="D2654" s="35" t="s">
        <v>7303</v>
      </c>
      <c r="E2654" s="35" t="s">
        <v>13077</v>
      </c>
      <c r="F2654" s="35" t="s">
        <v>12483</v>
      </c>
      <c r="G2654" s="35">
        <v>354000</v>
      </c>
      <c r="H2654" s="35">
        <v>390280</v>
      </c>
      <c r="I2654" s="35">
        <v>200020</v>
      </c>
      <c r="J2654" s="34" t="s">
        <v>16</v>
      </c>
      <c r="K2654" s="34" t="str">
        <f t="shared" si="85"/>
        <v>重复</v>
      </c>
      <c r="L2654" s="34" t="str">
        <f t="shared" si="86"/>
        <v>重复</v>
      </c>
    </row>
    <row r="2655" spans="1:12" ht="15">
      <c r="A2655" s="35" t="s">
        <v>13078</v>
      </c>
      <c r="B2655" s="35" t="s">
        <v>7304</v>
      </c>
      <c r="C2655" s="36" t="s">
        <v>588</v>
      </c>
      <c r="D2655" s="35" t="s">
        <v>7305</v>
      </c>
      <c r="E2655" s="35" t="s">
        <v>13077</v>
      </c>
      <c r="F2655" s="35" t="s">
        <v>12483</v>
      </c>
      <c r="G2655" s="35">
        <v>354001</v>
      </c>
      <c r="H2655" s="35">
        <v>390280</v>
      </c>
      <c r="I2655" s="35">
        <v>200020</v>
      </c>
      <c r="J2655" s="34" t="s">
        <v>89</v>
      </c>
      <c r="K2655" s="34" t="str">
        <f t="shared" si="85"/>
        <v>重复</v>
      </c>
      <c r="L2655" s="34" t="str">
        <f t="shared" si="86"/>
        <v>不重复</v>
      </c>
    </row>
    <row r="2656" spans="1:12" ht="15">
      <c r="A2656" s="35" t="s">
        <v>13079</v>
      </c>
      <c r="B2656" s="35" t="s">
        <v>7306</v>
      </c>
      <c r="C2656" s="36" t="s">
        <v>1283</v>
      </c>
      <c r="D2656" s="35" t="s">
        <v>4788</v>
      </c>
      <c r="E2656" s="35" t="s">
        <v>13079</v>
      </c>
      <c r="F2656" s="35" t="s">
        <v>12483</v>
      </c>
      <c r="G2656" s="35">
        <v>354100</v>
      </c>
      <c r="H2656" s="35">
        <v>390290</v>
      </c>
      <c r="I2656" s="35">
        <v>200020</v>
      </c>
      <c r="J2656" s="34" t="s">
        <v>16</v>
      </c>
      <c r="K2656" s="34" t="str">
        <f t="shared" si="85"/>
        <v>重复</v>
      </c>
      <c r="L2656" s="34" t="str">
        <f t="shared" si="86"/>
        <v>重复</v>
      </c>
    </row>
    <row r="2657" spans="1:12" ht="15">
      <c r="A2657" s="35" t="s">
        <v>13080</v>
      </c>
      <c r="B2657" s="35" t="s">
        <v>7307</v>
      </c>
      <c r="C2657" s="36" t="s">
        <v>1211</v>
      </c>
      <c r="D2657" s="35" t="s">
        <v>7308</v>
      </c>
      <c r="E2657" s="35" t="s">
        <v>13079</v>
      </c>
      <c r="F2657" s="35" t="s">
        <v>12483</v>
      </c>
      <c r="G2657" s="35">
        <v>354101</v>
      </c>
      <c r="H2657" s="35">
        <v>390290</v>
      </c>
      <c r="I2657" s="35">
        <v>200020</v>
      </c>
      <c r="J2657" s="34" t="s">
        <v>932</v>
      </c>
      <c r="K2657" s="34" t="str">
        <f t="shared" si="85"/>
        <v>重复</v>
      </c>
      <c r="L2657" s="34" t="str">
        <f t="shared" si="86"/>
        <v>不重复</v>
      </c>
    </row>
    <row r="2658" spans="1:12" ht="15">
      <c r="A2658" s="35" t="s">
        <v>13081</v>
      </c>
      <c r="B2658" s="35" t="s">
        <v>7309</v>
      </c>
      <c r="C2658" s="36" t="s">
        <v>7310</v>
      </c>
      <c r="D2658" s="35" t="s">
        <v>863</v>
      </c>
      <c r="E2658" s="35" t="s">
        <v>13081</v>
      </c>
      <c r="F2658" s="35" t="s">
        <v>12483</v>
      </c>
      <c r="G2658" s="35">
        <v>354200</v>
      </c>
      <c r="H2658" s="35">
        <v>390300</v>
      </c>
      <c r="I2658" s="35">
        <v>200020</v>
      </c>
      <c r="J2658" s="34" t="s">
        <v>16</v>
      </c>
      <c r="K2658" s="34" t="str">
        <f t="shared" si="85"/>
        <v>不重复</v>
      </c>
      <c r="L2658" s="34" t="str">
        <f t="shared" si="86"/>
        <v>重复</v>
      </c>
    </row>
    <row r="2659" spans="1:12" ht="27">
      <c r="A2659" s="35" t="s">
        <v>13082</v>
      </c>
      <c r="B2659" s="35" t="s">
        <v>7311</v>
      </c>
      <c r="C2659" s="36" t="s">
        <v>7312</v>
      </c>
      <c r="D2659" s="35" t="s">
        <v>7313</v>
      </c>
      <c r="E2659" s="35" t="s">
        <v>13081</v>
      </c>
      <c r="F2659" s="35" t="s">
        <v>12483</v>
      </c>
      <c r="G2659" s="35">
        <v>354201</v>
      </c>
      <c r="H2659" s="35">
        <v>390300</v>
      </c>
      <c r="I2659" s="35">
        <v>200020</v>
      </c>
      <c r="J2659" s="34" t="s">
        <v>2089</v>
      </c>
      <c r="K2659" s="34" t="str">
        <f t="shared" si="85"/>
        <v>重复</v>
      </c>
      <c r="L2659" s="34" t="str">
        <f t="shared" si="86"/>
        <v>不重复</v>
      </c>
    </row>
    <row r="2660" spans="1:12" ht="27">
      <c r="A2660" s="35" t="s">
        <v>13083</v>
      </c>
      <c r="B2660" s="35" t="s">
        <v>7314</v>
      </c>
      <c r="C2660" s="36" t="s">
        <v>7315</v>
      </c>
      <c r="D2660" s="35" t="s">
        <v>7316</v>
      </c>
      <c r="E2660" s="35" t="s">
        <v>13081</v>
      </c>
      <c r="F2660" s="35" t="s">
        <v>12483</v>
      </c>
      <c r="G2660" s="35">
        <v>354202</v>
      </c>
      <c r="H2660" s="35">
        <v>390300</v>
      </c>
      <c r="I2660" s="35">
        <v>200020</v>
      </c>
      <c r="J2660" s="34" t="s">
        <v>4985</v>
      </c>
      <c r="K2660" s="34" t="str">
        <f t="shared" si="85"/>
        <v>不重复</v>
      </c>
      <c r="L2660" s="34" t="str">
        <f t="shared" si="86"/>
        <v>不重复</v>
      </c>
    </row>
    <row r="2661" spans="1:12" ht="15">
      <c r="A2661" s="35" t="s">
        <v>13084</v>
      </c>
      <c r="B2661" s="35" t="s">
        <v>7317</v>
      </c>
      <c r="C2661" s="36" t="s">
        <v>750</v>
      </c>
      <c r="D2661" s="35" t="s">
        <v>7318</v>
      </c>
      <c r="E2661" s="35" t="s">
        <v>13081</v>
      </c>
      <c r="F2661" s="35" t="s">
        <v>12483</v>
      </c>
      <c r="G2661" s="35">
        <v>354203</v>
      </c>
      <c r="H2661" s="35">
        <v>390300</v>
      </c>
      <c r="I2661" s="35">
        <v>200020</v>
      </c>
      <c r="J2661" s="34" t="s">
        <v>1978</v>
      </c>
      <c r="K2661" s="34" t="str">
        <f t="shared" si="85"/>
        <v>重复</v>
      </c>
      <c r="L2661" s="34" t="str">
        <f t="shared" si="86"/>
        <v>重复</v>
      </c>
    </row>
    <row r="2662" spans="1:12" ht="27">
      <c r="A2662" s="35" t="s">
        <v>13085</v>
      </c>
      <c r="B2662" s="35" t="s">
        <v>7319</v>
      </c>
      <c r="C2662" s="36" t="s">
        <v>7123</v>
      </c>
      <c r="D2662" s="35" t="s">
        <v>7318</v>
      </c>
      <c r="E2662" s="35" t="s">
        <v>13081</v>
      </c>
      <c r="F2662" s="35" t="s">
        <v>12483</v>
      </c>
      <c r="G2662" s="35">
        <v>354204</v>
      </c>
      <c r="H2662" s="35">
        <v>390300</v>
      </c>
      <c r="I2662" s="35">
        <v>200020</v>
      </c>
      <c r="J2662" s="34" t="s">
        <v>508</v>
      </c>
      <c r="K2662" s="34" t="str">
        <f t="shared" si="85"/>
        <v>重复</v>
      </c>
      <c r="L2662" s="34" t="str">
        <f t="shared" si="86"/>
        <v>重复</v>
      </c>
    </row>
    <row r="2663" spans="1:12" ht="27">
      <c r="A2663" s="35" t="s">
        <v>13086</v>
      </c>
      <c r="B2663" s="35" t="s">
        <v>7320</v>
      </c>
      <c r="C2663" s="36" t="s">
        <v>7321</v>
      </c>
      <c r="D2663" s="35" t="s">
        <v>7322</v>
      </c>
      <c r="E2663" s="35" t="s">
        <v>13081</v>
      </c>
      <c r="F2663" s="35" t="s">
        <v>12483</v>
      </c>
      <c r="G2663" s="35">
        <v>354205</v>
      </c>
      <c r="H2663" s="35">
        <v>390300</v>
      </c>
      <c r="I2663" s="35">
        <v>200020</v>
      </c>
      <c r="J2663" s="34" t="s">
        <v>6484</v>
      </c>
      <c r="K2663" s="34" t="str">
        <f t="shared" si="85"/>
        <v>不重复</v>
      </c>
      <c r="L2663" s="34" t="str">
        <f t="shared" si="86"/>
        <v>不重复</v>
      </c>
    </row>
    <row r="2664" spans="1:12" ht="27">
      <c r="A2664" s="35" t="s">
        <v>13087</v>
      </c>
      <c r="B2664" s="35" t="s">
        <v>7323</v>
      </c>
      <c r="C2664" s="36" t="s">
        <v>7324</v>
      </c>
      <c r="D2664" s="35" t="s">
        <v>7325</v>
      </c>
      <c r="E2664" s="35" t="s">
        <v>13081</v>
      </c>
      <c r="F2664" s="35" t="s">
        <v>12483</v>
      </c>
      <c r="G2664" s="35">
        <v>354206</v>
      </c>
      <c r="H2664" s="35">
        <v>390300</v>
      </c>
      <c r="I2664" s="35">
        <v>200020</v>
      </c>
      <c r="J2664" s="34" t="s">
        <v>878</v>
      </c>
      <c r="K2664" s="34" t="str">
        <f t="shared" si="85"/>
        <v>不重复</v>
      </c>
      <c r="L2664" s="34" t="str">
        <f t="shared" si="86"/>
        <v>不重复</v>
      </c>
    </row>
    <row r="2665" spans="1:12" ht="27">
      <c r="A2665" s="35" t="s">
        <v>13088</v>
      </c>
      <c r="B2665" s="35" t="s">
        <v>7326</v>
      </c>
      <c r="C2665" s="36" t="s">
        <v>95</v>
      </c>
      <c r="D2665" s="35" t="s">
        <v>865</v>
      </c>
      <c r="E2665" s="35" t="s">
        <v>13081</v>
      </c>
      <c r="F2665" s="35" t="s">
        <v>12483</v>
      </c>
      <c r="G2665" s="35">
        <v>354207</v>
      </c>
      <c r="H2665" s="35">
        <v>390300</v>
      </c>
      <c r="I2665" s="35">
        <v>200020</v>
      </c>
      <c r="J2665" s="34" t="s">
        <v>7327</v>
      </c>
      <c r="K2665" s="34" t="str">
        <f t="shared" si="85"/>
        <v>重复</v>
      </c>
      <c r="L2665" s="34" t="str">
        <f t="shared" si="86"/>
        <v>重复</v>
      </c>
    </row>
    <row r="2666" spans="1:12" ht="27">
      <c r="A2666" s="35" t="s">
        <v>13089</v>
      </c>
      <c r="B2666" s="35" t="s">
        <v>7328</v>
      </c>
      <c r="C2666" s="36" t="s">
        <v>7132</v>
      </c>
      <c r="D2666" s="35" t="s">
        <v>7329</v>
      </c>
      <c r="E2666" s="35" t="s">
        <v>13081</v>
      </c>
      <c r="F2666" s="35" t="s">
        <v>12483</v>
      </c>
      <c r="G2666" s="35">
        <v>354208</v>
      </c>
      <c r="H2666" s="35">
        <v>390300</v>
      </c>
      <c r="I2666" s="35">
        <v>200020</v>
      </c>
      <c r="J2666" s="34" t="s">
        <v>878</v>
      </c>
      <c r="K2666" s="34" t="str">
        <f t="shared" si="85"/>
        <v>重复</v>
      </c>
      <c r="L2666" s="34" t="str">
        <f t="shared" si="86"/>
        <v>不重复</v>
      </c>
    </row>
    <row r="2667" spans="1:12" ht="27">
      <c r="A2667" s="35" t="s">
        <v>13090</v>
      </c>
      <c r="B2667" s="35" t="s">
        <v>7330</v>
      </c>
      <c r="C2667" s="36" t="s">
        <v>1924</v>
      </c>
      <c r="D2667" s="35" t="s">
        <v>7331</v>
      </c>
      <c r="E2667" s="35" t="s">
        <v>13081</v>
      </c>
      <c r="F2667" s="35" t="s">
        <v>12483</v>
      </c>
      <c r="G2667" s="35">
        <v>354209</v>
      </c>
      <c r="H2667" s="35">
        <v>390300</v>
      </c>
      <c r="I2667" s="35">
        <v>200020</v>
      </c>
      <c r="J2667" s="34" t="s">
        <v>1516</v>
      </c>
      <c r="K2667" s="34" t="str">
        <f t="shared" si="85"/>
        <v>重复</v>
      </c>
      <c r="L2667" s="34" t="str">
        <f t="shared" si="86"/>
        <v>不重复</v>
      </c>
    </row>
    <row r="2668" spans="1:12" ht="15">
      <c r="A2668" s="35" t="s">
        <v>13091</v>
      </c>
      <c r="B2668" s="35" t="s">
        <v>7332</v>
      </c>
      <c r="C2668" s="36" t="s">
        <v>7333</v>
      </c>
      <c r="D2668" s="35" t="s">
        <v>7334</v>
      </c>
      <c r="E2668" s="35" t="s">
        <v>13081</v>
      </c>
      <c r="F2668" s="35" t="s">
        <v>12483</v>
      </c>
      <c r="G2668" s="35">
        <v>354210</v>
      </c>
      <c r="H2668" s="35">
        <v>390300</v>
      </c>
      <c r="I2668" s="35">
        <v>200020</v>
      </c>
      <c r="J2668" s="34" t="s">
        <v>878</v>
      </c>
      <c r="K2668" s="34" t="str">
        <f t="shared" si="85"/>
        <v>不重复</v>
      </c>
      <c r="L2668" s="34" t="str">
        <f t="shared" si="86"/>
        <v>不重复</v>
      </c>
    </row>
    <row r="2669" spans="1:12" ht="27">
      <c r="A2669" s="35" t="s">
        <v>13092</v>
      </c>
      <c r="B2669" s="35" t="s">
        <v>7335</v>
      </c>
      <c r="C2669" s="36" t="s">
        <v>7336</v>
      </c>
      <c r="D2669" s="35" t="s">
        <v>7337</v>
      </c>
      <c r="E2669" s="35" t="s">
        <v>13081</v>
      </c>
      <c r="F2669" s="35" t="s">
        <v>12483</v>
      </c>
      <c r="G2669" s="35">
        <v>354211</v>
      </c>
      <c r="H2669" s="35">
        <v>390300</v>
      </c>
      <c r="I2669" s="35">
        <v>200020</v>
      </c>
      <c r="J2669" s="34" t="s">
        <v>1516</v>
      </c>
      <c r="K2669" s="34" t="str">
        <f t="shared" si="85"/>
        <v>不重复</v>
      </c>
      <c r="L2669" s="34" t="str">
        <f t="shared" si="86"/>
        <v>不重复</v>
      </c>
    </row>
    <row r="2670" spans="1:12" ht="27">
      <c r="A2670" s="35" t="s">
        <v>13093</v>
      </c>
      <c r="B2670" s="35" t="s">
        <v>7338</v>
      </c>
      <c r="C2670" s="36" t="s">
        <v>7339</v>
      </c>
      <c r="D2670" s="35" t="s">
        <v>7340</v>
      </c>
      <c r="E2670" s="35" t="s">
        <v>13081</v>
      </c>
      <c r="F2670" s="35" t="s">
        <v>12483</v>
      </c>
      <c r="G2670" s="35">
        <v>354212</v>
      </c>
      <c r="H2670" s="35">
        <v>390300</v>
      </c>
      <c r="I2670" s="35">
        <v>200020</v>
      </c>
      <c r="J2670" s="34" t="s">
        <v>7341</v>
      </c>
      <c r="K2670" s="34" t="str">
        <f t="shared" si="85"/>
        <v>重复</v>
      </c>
      <c r="L2670" s="34" t="str">
        <f t="shared" si="86"/>
        <v>重复</v>
      </c>
    </row>
    <row r="2671" spans="1:12" ht="15">
      <c r="A2671" s="35" t="s">
        <v>13094</v>
      </c>
      <c r="B2671" s="35" t="s">
        <v>7342</v>
      </c>
      <c r="C2671" s="36" t="s">
        <v>2930</v>
      </c>
      <c r="D2671" s="35" t="s">
        <v>7343</v>
      </c>
      <c r="E2671" s="35" t="s">
        <v>13081</v>
      </c>
      <c r="F2671" s="35" t="s">
        <v>12483</v>
      </c>
      <c r="G2671" s="35">
        <v>354213</v>
      </c>
      <c r="H2671" s="35">
        <v>390300</v>
      </c>
      <c r="I2671" s="35">
        <v>200020</v>
      </c>
      <c r="J2671" s="34" t="s">
        <v>1516</v>
      </c>
      <c r="K2671" s="34" t="str">
        <f t="shared" si="85"/>
        <v>重复</v>
      </c>
      <c r="L2671" s="34" t="str">
        <f t="shared" si="86"/>
        <v>不重复</v>
      </c>
    </row>
    <row r="2672" spans="1:12" ht="27">
      <c r="A2672" s="35" t="s">
        <v>13095</v>
      </c>
      <c r="B2672" s="35" t="s">
        <v>7344</v>
      </c>
      <c r="C2672" s="36" t="s">
        <v>69</v>
      </c>
      <c r="D2672" s="35" t="s">
        <v>7345</v>
      </c>
      <c r="E2672" s="35" t="s">
        <v>13081</v>
      </c>
      <c r="F2672" s="35" t="s">
        <v>12483</v>
      </c>
      <c r="G2672" s="35">
        <v>354214</v>
      </c>
      <c r="H2672" s="35">
        <v>390300</v>
      </c>
      <c r="I2672" s="35">
        <v>200020</v>
      </c>
      <c r="J2672" s="34" t="s">
        <v>878</v>
      </c>
      <c r="K2672" s="34" t="str">
        <f t="shared" si="85"/>
        <v>重复</v>
      </c>
      <c r="L2672" s="34" t="str">
        <f t="shared" si="86"/>
        <v>不重复</v>
      </c>
    </row>
    <row r="2673" spans="1:12" ht="27">
      <c r="A2673" s="35" t="s">
        <v>13096</v>
      </c>
      <c r="B2673" s="35" t="s">
        <v>7346</v>
      </c>
      <c r="C2673" s="36" t="s">
        <v>7347</v>
      </c>
      <c r="D2673" s="35" t="s">
        <v>7348</v>
      </c>
      <c r="E2673" s="35" t="s">
        <v>13081</v>
      </c>
      <c r="F2673" s="35" t="s">
        <v>12483</v>
      </c>
      <c r="G2673" s="35">
        <v>354215</v>
      </c>
      <c r="H2673" s="35">
        <v>390300</v>
      </c>
      <c r="I2673" s="35">
        <v>200020</v>
      </c>
      <c r="J2673" s="34" t="s">
        <v>1040</v>
      </c>
      <c r="K2673" s="34" t="str">
        <f t="shared" si="85"/>
        <v>重复</v>
      </c>
      <c r="L2673" s="34" t="str">
        <f t="shared" si="86"/>
        <v>重复</v>
      </c>
    </row>
    <row r="2674" spans="1:12" ht="27">
      <c r="A2674" s="35" t="s">
        <v>13097</v>
      </c>
      <c r="B2674" s="35" t="s">
        <v>7349</v>
      </c>
      <c r="C2674" s="36" t="s">
        <v>2187</v>
      </c>
      <c r="D2674" s="35" t="s">
        <v>7350</v>
      </c>
      <c r="E2674" s="35" t="s">
        <v>13081</v>
      </c>
      <c r="F2674" s="35" t="s">
        <v>12483</v>
      </c>
      <c r="G2674" s="35">
        <v>354216</v>
      </c>
      <c r="H2674" s="35">
        <v>390300</v>
      </c>
      <c r="I2674" s="35">
        <v>200020</v>
      </c>
      <c r="J2674" s="34" t="s">
        <v>2034</v>
      </c>
      <c r="K2674" s="34" t="str">
        <f t="shared" si="85"/>
        <v>重复</v>
      </c>
      <c r="L2674" s="34" t="str">
        <f t="shared" si="86"/>
        <v>重复</v>
      </c>
    </row>
    <row r="2675" spans="1:12" ht="27">
      <c r="A2675" s="35" t="s">
        <v>13098</v>
      </c>
      <c r="B2675" s="35" t="s">
        <v>7351</v>
      </c>
      <c r="C2675" s="36" t="s">
        <v>7352</v>
      </c>
      <c r="D2675" s="35" t="s">
        <v>7350</v>
      </c>
      <c r="E2675" s="35" t="s">
        <v>13081</v>
      </c>
      <c r="F2675" s="35" t="s">
        <v>12483</v>
      </c>
      <c r="G2675" s="35">
        <v>354217</v>
      </c>
      <c r="H2675" s="35">
        <v>390300</v>
      </c>
      <c r="I2675" s="35">
        <v>200020</v>
      </c>
      <c r="J2675" s="34" t="s">
        <v>7353</v>
      </c>
      <c r="K2675" s="34" t="str">
        <f t="shared" si="85"/>
        <v>不重复</v>
      </c>
      <c r="L2675" s="34" t="str">
        <f t="shared" si="86"/>
        <v>重复</v>
      </c>
    </row>
    <row r="2676" spans="1:12" ht="15">
      <c r="A2676" s="35" t="s">
        <v>13099</v>
      </c>
      <c r="B2676" s="35" t="s">
        <v>7354</v>
      </c>
      <c r="C2676" s="36" t="s">
        <v>7355</v>
      </c>
      <c r="D2676" s="35" t="s">
        <v>7356</v>
      </c>
      <c r="E2676" s="35" t="s">
        <v>13081</v>
      </c>
      <c r="F2676" s="35" t="s">
        <v>12483</v>
      </c>
      <c r="G2676" s="35">
        <v>354218</v>
      </c>
      <c r="H2676" s="35">
        <v>390300</v>
      </c>
      <c r="I2676" s="35">
        <v>200020</v>
      </c>
      <c r="J2676" s="34" t="s">
        <v>1103</v>
      </c>
      <c r="K2676" s="34" t="str">
        <f t="shared" si="85"/>
        <v>不重复</v>
      </c>
      <c r="L2676" s="34" t="str">
        <f t="shared" si="86"/>
        <v>重复</v>
      </c>
    </row>
    <row r="2677" spans="1:12" ht="30">
      <c r="A2677" s="35" t="s">
        <v>13100</v>
      </c>
      <c r="B2677" s="35" t="s">
        <v>7357</v>
      </c>
      <c r="C2677" s="36" t="s">
        <v>7358</v>
      </c>
      <c r="D2677" s="35" t="s">
        <v>7359</v>
      </c>
      <c r="E2677" s="35" t="s">
        <v>13081</v>
      </c>
      <c r="F2677" s="35" t="s">
        <v>12483</v>
      </c>
      <c r="G2677" s="35">
        <v>354219</v>
      </c>
      <c r="H2677" s="35">
        <v>390300</v>
      </c>
      <c r="I2677" s="35">
        <v>200020</v>
      </c>
      <c r="J2677" s="34" t="s">
        <v>1516</v>
      </c>
      <c r="K2677" s="34" t="str">
        <f t="shared" si="85"/>
        <v>重复</v>
      </c>
      <c r="L2677" s="34" t="str">
        <f t="shared" si="86"/>
        <v>不重复</v>
      </c>
    </row>
    <row r="2678" spans="1:12" ht="27">
      <c r="A2678" s="35" t="s">
        <v>13101</v>
      </c>
      <c r="B2678" s="35" t="s">
        <v>7360</v>
      </c>
      <c r="C2678" s="36" t="s">
        <v>6045</v>
      </c>
      <c r="D2678" s="35" t="s">
        <v>7361</v>
      </c>
      <c r="E2678" s="35" t="s">
        <v>13081</v>
      </c>
      <c r="F2678" s="35" t="s">
        <v>12483</v>
      </c>
      <c r="G2678" s="35">
        <v>354220</v>
      </c>
      <c r="H2678" s="35">
        <v>390300</v>
      </c>
      <c r="I2678" s="35">
        <v>200020</v>
      </c>
      <c r="J2678" s="34" t="s">
        <v>878</v>
      </c>
      <c r="K2678" s="34" t="str">
        <f t="shared" si="85"/>
        <v>重复</v>
      </c>
      <c r="L2678" s="34" t="str">
        <f t="shared" si="86"/>
        <v>不重复</v>
      </c>
    </row>
    <row r="2679" spans="1:12" ht="27">
      <c r="A2679" s="35" t="s">
        <v>13102</v>
      </c>
      <c r="B2679" s="35" t="s">
        <v>7362</v>
      </c>
      <c r="C2679" s="36" t="s">
        <v>7363</v>
      </c>
      <c r="D2679" s="35" t="s">
        <v>7364</v>
      </c>
      <c r="E2679" s="35" t="s">
        <v>13081</v>
      </c>
      <c r="F2679" s="35" t="s">
        <v>12483</v>
      </c>
      <c r="G2679" s="35">
        <v>354221</v>
      </c>
      <c r="H2679" s="35">
        <v>390300</v>
      </c>
      <c r="I2679" s="35">
        <v>200020</v>
      </c>
      <c r="J2679" s="34" t="s">
        <v>878</v>
      </c>
      <c r="K2679" s="34" t="str">
        <f t="shared" si="85"/>
        <v>不重复</v>
      </c>
      <c r="L2679" s="34" t="str">
        <f t="shared" si="86"/>
        <v>不重复</v>
      </c>
    </row>
    <row r="2680" spans="1:12" ht="30">
      <c r="A2680" s="35" t="s">
        <v>13103</v>
      </c>
      <c r="B2680" s="35" t="s">
        <v>7365</v>
      </c>
      <c r="C2680" s="36" t="s">
        <v>7358</v>
      </c>
      <c r="D2680" s="35" t="s">
        <v>7366</v>
      </c>
      <c r="E2680" s="35" t="s">
        <v>13081</v>
      </c>
      <c r="F2680" s="35" t="s">
        <v>12483</v>
      </c>
      <c r="G2680" s="35">
        <v>354222</v>
      </c>
      <c r="H2680" s="35">
        <v>390300</v>
      </c>
      <c r="I2680" s="35">
        <v>200020</v>
      </c>
      <c r="J2680" s="34" t="s">
        <v>878</v>
      </c>
      <c r="K2680" s="34" t="str">
        <f t="shared" si="85"/>
        <v>重复</v>
      </c>
      <c r="L2680" s="34" t="str">
        <f t="shared" si="86"/>
        <v>不重复</v>
      </c>
    </row>
    <row r="2681" spans="1:12" ht="30">
      <c r="A2681" s="35" t="s">
        <v>13104</v>
      </c>
      <c r="B2681" s="35" t="s">
        <v>7367</v>
      </c>
      <c r="C2681" s="36" t="s">
        <v>5814</v>
      </c>
      <c r="D2681" s="35" t="s">
        <v>7368</v>
      </c>
      <c r="E2681" s="35" t="s">
        <v>13081</v>
      </c>
      <c r="F2681" s="35" t="s">
        <v>12483</v>
      </c>
      <c r="G2681" s="35">
        <v>354223</v>
      </c>
      <c r="H2681" s="35">
        <v>390300</v>
      </c>
      <c r="I2681" s="35">
        <v>200020</v>
      </c>
      <c r="J2681" s="34" t="s">
        <v>821</v>
      </c>
      <c r="K2681" s="34" t="str">
        <f t="shared" si="85"/>
        <v>重复</v>
      </c>
      <c r="L2681" s="34" t="str">
        <f t="shared" si="86"/>
        <v>不重复</v>
      </c>
    </row>
    <row r="2682" spans="1:12" ht="27">
      <c r="A2682" s="35" t="s">
        <v>13105</v>
      </c>
      <c r="B2682" s="35" t="s">
        <v>7369</v>
      </c>
      <c r="C2682" s="36" t="s">
        <v>7370</v>
      </c>
      <c r="D2682" s="35" t="s">
        <v>7371</v>
      </c>
      <c r="E2682" s="35" t="s">
        <v>13081</v>
      </c>
      <c r="F2682" s="35" t="s">
        <v>12483</v>
      </c>
      <c r="G2682" s="35">
        <v>354224</v>
      </c>
      <c r="H2682" s="35">
        <v>390300</v>
      </c>
      <c r="I2682" s="35">
        <v>200020</v>
      </c>
      <c r="J2682" s="34" t="s">
        <v>7372</v>
      </c>
      <c r="K2682" s="34" t="str">
        <f t="shared" si="85"/>
        <v>不重复</v>
      </c>
      <c r="L2682" s="34" t="str">
        <f t="shared" si="86"/>
        <v>不重复</v>
      </c>
    </row>
    <row r="2683" spans="1:12" ht="15">
      <c r="A2683" s="35" t="s">
        <v>13106</v>
      </c>
      <c r="B2683" s="35" t="s">
        <v>7373</v>
      </c>
      <c r="C2683" s="36" t="s">
        <v>2930</v>
      </c>
      <c r="D2683" s="35" t="s">
        <v>7374</v>
      </c>
      <c r="E2683" s="35" t="s">
        <v>13081</v>
      </c>
      <c r="F2683" s="35" t="s">
        <v>12483</v>
      </c>
      <c r="G2683" s="35">
        <v>354225</v>
      </c>
      <c r="H2683" s="35">
        <v>390300</v>
      </c>
      <c r="I2683" s="35">
        <v>200020</v>
      </c>
      <c r="J2683" s="34" t="s">
        <v>878</v>
      </c>
      <c r="K2683" s="34" t="str">
        <f t="shared" si="85"/>
        <v>重复</v>
      </c>
      <c r="L2683" s="34" t="str">
        <f t="shared" si="86"/>
        <v>不重复</v>
      </c>
    </row>
    <row r="2684" spans="1:12" ht="27">
      <c r="A2684" s="35" t="s">
        <v>13107</v>
      </c>
      <c r="B2684" s="35" t="s">
        <v>7375</v>
      </c>
      <c r="C2684" s="36" t="s">
        <v>7347</v>
      </c>
      <c r="D2684" s="35" t="s">
        <v>7376</v>
      </c>
      <c r="E2684" s="35" t="s">
        <v>13081</v>
      </c>
      <c r="F2684" s="35" t="s">
        <v>12483</v>
      </c>
      <c r="G2684" s="35">
        <v>354226</v>
      </c>
      <c r="H2684" s="35">
        <v>390300</v>
      </c>
      <c r="I2684" s="35">
        <v>200020</v>
      </c>
      <c r="J2684" s="34" t="s">
        <v>288</v>
      </c>
      <c r="K2684" s="34" t="str">
        <f t="shared" si="85"/>
        <v>重复</v>
      </c>
      <c r="L2684" s="34" t="str">
        <f t="shared" si="86"/>
        <v>重复</v>
      </c>
    </row>
    <row r="2685" spans="1:12" ht="27">
      <c r="A2685" s="35" t="s">
        <v>13108</v>
      </c>
      <c r="B2685" s="35" t="s">
        <v>7377</v>
      </c>
      <c r="C2685" s="36" t="s">
        <v>7378</v>
      </c>
      <c r="D2685" s="35" t="s">
        <v>7376</v>
      </c>
      <c r="E2685" s="35" t="s">
        <v>13081</v>
      </c>
      <c r="F2685" s="35" t="s">
        <v>12483</v>
      </c>
      <c r="G2685" s="35">
        <v>354227</v>
      </c>
      <c r="H2685" s="35">
        <v>390300</v>
      </c>
      <c r="I2685" s="35">
        <v>200020</v>
      </c>
      <c r="J2685" s="34" t="s">
        <v>288</v>
      </c>
      <c r="K2685" s="34" t="str">
        <f t="shared" si="85"/>
        <v>不重复</v>
      </c>
      <c r="L2685" s="34" t="str">
        <f t="shared" si="86"/>
        <v>重复</v>
      </c>
    </row>
    <row r="2686" spans="1:12" ht="15">
      <c r="A2686" s="35" t="s">
        <v>13109</v>
      </c>
      <c r="B2686" s="35" t="s">
        <v>7379</v>
      </c>
      <c r="C2686" s="36" t="s">
        <v>6853</v>
      </c>
      <c r="D2686" s="35" t="s">
        <v>7380</v>
      </c>
      <c r="E2686" s="35" t="s">
        <v>13081</v>
      </c>
      <c r="F2686" s="35" t="s">
        <v>12483</v>
      </c>
      <c r="G2686" s="35">
        <v>354228</v>
      </c>
      <c r="H2686" s="35">
        <v>390300</v>
      </c>
      <c r="I2686" s="35">
        <v>200020</v>
      </c>
      <c r="J2686" s="34" t="s">
        <v>878</v>
      </c>
      <c r="K2686" s="34" t="str">
        <f t="shared" si="85"/>
        <v>重复</v>
      </c>
      <c r="L2686" s="34" t="str">
        <f t="shared" si="86"/>
        <v>重复</v>
      </c>
    </row>
    <row r="2687" spans="1:12" ht="27">
      <c r="A2687" s="35" t="s">
        <v>13110</v>
      </c>
      <c r="B2687" s="35" t="s">
        <v>7381</v>
      </c>
      <c r="C2687" s="36" t="s">
        <v>983</v>
      </c>
      <c r="D2687" s="35" t="s">
        <v>7382</v>
      </c>
      <c r="E2687" s="35" t="s">
        <v>13081</v>
      </c>
      <c r="F2687" s="35" t="s">
        <v>12483</v>
      </c>
      <c r="G2687" s="35">
        <v>354229</v>
      </c>
      <c r="H2687" s="35">
        <v>390300</v>
      </c>
      <c r="I2687" s="35">
        <v>200020</v>
      </c>
      <c r="J2687" s="34" t="s">
        <v>7383</v>
      </c>
      <c r="K2687" s="34" t="str">
        <f t="shared" si="85"/>
        <v>重复</v>
      </c>
      <c r="L2687" s="34" t="str">
        <f t="shared" si="86"/>
        <v>重复</v>
      </c>
    </row>
    <row r="2688" spans="1:12" ht="27">
      <c r="A2688" s="35" t="s">
        <v>13111</v>
      </c>
      <c r="B2688" s="35" t="s">
        <v>7384</v>
      </c>
      <c r="C2688" s="36" t="s">
        <v>7385</v>
      </c>
      <c r="D2688" s="35" t="s">
        <v>7386</v>
      </c>
      <c r="E2688" s="35" t="s">
        <v>13081</v>
      </c>
      <c r="F2688" s="35" t="s">
        <v>12483</v>
      </c>
      <c r="G2688" s="35">
        <v>354230</v>
      </c>
      <c r="H2688" s="35">
        <v>390300</v>
      </c>
      <c r="I2688" s="35">
        <v>200020</v>
      </c>
      <c r="J2688" s="34" t="s">
        <v>878</v>
      </c>
      <c r="K2688" s="34" t="str">
        <f t="shared" si="85"/>
        <v>重复</v>
      </c>
      <c r="L2688" s="34" t="str">
        <f t="shared" si="86"/>
        <v>重复</v>
      </c>
    </row>
    <row r="2689" spans="1:12" ht="27">
      <c r="A2689" s="35" t="s">
        <v>13112</v>
      </c>
      <c r="B2689" s="35" t="s">
        <v>7387</v>
      </c>
      <c r="C2689" s="36" t="s">
        <v>5814</v>
      </c>
      <c r="D2689" s="35" t="s">
        <v>7386</v>
      </c>
      <c r="E2689" s="35" t="s">
        <v>13081</v>
      </c>
      <c r="F2689" s="35" t="s">
        <v>12483</v>
      </c>
      <c r="G2689" s="35">
        <v>354231</v>
      </c>
      <c r="H2689" s="35">
        <v>390300</v>
      </c>
      <c r="I2689" s="35">
        <v>200020</v>
      </c>
      <c r="J2689" s="34" t="s">
        <v>7388</v>
      </c>
      <c r="K2689" s="34" t="str">
        <f t="shared" si="85"/>
        <v>重复</v>
      </c>
      <c r="L2689" s="34" t="str">
        <f t="shared" si="86"/>
        <v>重复</v>
      </c>
    </row>
    <row r="2690" spans="1:12" ht="30">
      <c r="A2690" s="35" t="s">
        <v>13113</v>
      </c>
      <c r="B2690" s="35" t="s">
        <v>7389</v>
      </c>
      <c r="C2690" s="36" t="s">
        <v>4186</v>
      </c>
      <c r="D2690" s="35" t="s">
        <v>7390</v>
      </c>
      <c r="E2690" s="35" t="s">
        <v>13081</v>
      </c>
      <c r="F2690" s="35" t="s">
        <v>12483</v>
      </c>
      <c r="G2690" s="35">
        <v>354232</v>
      </c>
      <c r="H2690" s="35">
        <v>390300</v>
      </c>
      <c r="I2690" s="35">
        <v>200020</v>
      </c>
      <c r="J2690" s="34" t="s">
        <v>1516</v>
      </c>
      <c r="K2690" s="34" t="str">
        <f t="shared" si="85"/>
        <v>重复</v>
      </c>
      <c r="L2690" s="34" t="str">
        <f t="shared" si="86"/>
        <v>不重复</v>
      </c>
    </row>
    <row r="2691" spans="1:12" ht="27">
      <c r="A2691" s="35" t="s">
        <v>13114</v>
      </c>
      <c r="B2691" s="35" t="s">
        <v>7391</v>
      </c>
      <c r="C2691" s="36" t="s">
        <v>69</v>
      </c>
      <c r="D2691" s="35" t="s">
        <v>7392</v>
      </c>
      <c r="E2691" s="35" t="s">
        <v>13081</v>
      </c>
      <c r="F2691" s="35" t="s">
        <v>12483</v>
      </c>
      <c r="G2691" s="35">
        <v>354233</v>
      </c>
      <c r="H2691" s="35">
        <v>390300</v>
      </c>
      <c r="I2691" s="35">
        <v>200020</v>
      </c>
      <c r="J2691" s="34" t="s">
        <v>531</v>
      </c>
      <c r="K2691" s="34" t="str">
        <f t="shared" si="85"/>
        <v>重复</v>
      </c>
      <c r="L2691" s="34" t="str">
        <f t="shared" si="86"/>
        <v>不重复</v>
      </c>
    </row>
    <row r="2692" spans="1:12" ht="15">
      <c r="A2692" s="35" t="s">
        <v>13115</v>
      </c>
      <c r="B2692" s="35" t="s">
        <v>7393</v>
      </c>
      <c r="C2692" s="36" t="s">
        <v>7394</v>
      </c>
      <c r="D2692" s="35" t="s">
        <v>7395</v>
      </c>
      <c r="E2692" s="35" t="s">
        <v>13081</v>
      </c>
      <c r="F2692" s="35" t="s">
        <v>12483</v>
      </c>
      <c r="G2692" s="35">
        <v>354234</v>
      </c>
      <c r="H2692" s="35">
        <v>390300</v>
      </c>
      <c r="I2692" s="35">
        <v>200020</v>
      </c>
      <c r="J2692" s="34" t="s">
        <v>2177</v>
      </c>
      <c r="K2692" s="34" t="str">
        <f t="shared" si="85"/>
        <v>不重复</v>
      </c>
      <c r="L2692" s="34" t="str">
        <f t="shared" si="86"/>
        <v>不重复</v>
      </c>
    </row>
    <row r="2693" spans="1:12" ht="27">
      <c r="A2693" s="35" t="s">
        <v>13116</v>
      </c>
      <c r="B2693" s="35" t="s">
        <v>7396</v>
      </c>
      <c r="C2693" s="36" t="s">
        <v>7112</v>
      </c>
      <c r="D2693" s="35" t="s">
        <v>7397</v>
      </c>
      <c r="E2693" s="35" t="s">
        <v>13081</v>
      </c>
      <c r="F2693" s="35" t="s">
        <v>12483</v>
      </c>
      <c r="G2693" s="35">
        <v>354235</v>
      </c>
      <c r="H2693" s="35">
        <v>390300</v>
      </c>
      <c r="I2693" s="35">
        <v>200020</v>
      </c>
      <c r="J2693" s="34" t="s">
        <v>288</v>
      </c>
      <c r="K2693" s="34" t="str">
        <f t="shared" si="85"/>
        <v>重复</v>
      </c>
      <c r="L2693" s="34" t="str">
        <f t="shared" si="86"/>
        <v>不重复</v>
      </c>
    </row>
    <row r="2694" spans="1:12" ht="15">
      <c r="A2694" s="35" t="s">
        <v>13117</v>
      </c>
      <c r="B2694" s="35" t="s">
        <v>7398</v>
      </c>
      <c r="C2694" s="36" t="s">
        <v>4068</v>
      </c>
      <c r="D2694" s="35" t="s">
        <v>7399</v>
      </c>
      <c r="E2694" s="35" t="s">
        <v>13081</v>
      </c>
      <c r="F2694" s="35" t="s">
        <v>12483</v>
      </c>
      <c r="G2694" s="35">
        <v>354236</v>
      </c>
      <c r="H2694" s="35">
        <v>390300</v>
      </c>
      <c r="I2694" s="35">
        <v>200020</v>
      </c>
      <c r="J2694" s="34" t="s">
        <v>89</v>
      </c>
      <c r="K2694" s="34" t="str">
        <f t="shared" si="85"/>
        <v>重复</v>
      </c>
      <c r="L2694" s="34" t="str">
        <f t="shared" si="86"/>
        <v>不重复</v>
      </c>
    </row>
    <row r="2695" spans="1:12" ht="27">
      <c r="A2695" s="35" t="s">
        <v>13118</v>
      </c>
      <c r="B2695" s="35" t="s">
        <v>7400</v>
      </c>
      <c r="C2695" s="36" t="s">
        <v>2193</v>
      </c>
      <c r="D2695" s="35" t="s">
        <v>7401</v>
      </c>
      <c r="E2695" s="35" t="s">
        <v>13081</v>
      </c>
      <c r="F2695" s="35" t="s">
        <v>12483</v>
      </c>
      <c r="G2695" s="35">
        <v>354237</v>
      </c>
      <c r="H2695" s="35">
        <v>390300</v>
      </c>
      <c r="I2695" s="35">
        <v>200020</v>
      </c>
      <c r="J2695" s="34" t="s">
        <v>1410</v>
      </c>
      <c r="K2695" s="34" t="str">
        <f t="shared" si="85"/>
        <v>重复</v>
      </c>
      <c r="L2695" s="34" t="str">
        <f t="shared" si="86"/>
        <v>不重复</v>
      </c>
    </row>
    <row r="2696" spans="1:12" ht="15">
      <c r="A2696" s="35" t="s">
        <v>13119</v>
      </c>
      <c r="B2696" s="35" t="s">
        <v>7402</v>
      </c>
      <c r="C2696" s="36" t="s">
        <v>951</v>
      </c>
      <c r="D2696" s="35" t="s">
        <v>1330</v>
      </c>
      <c r="E2696" s="35" t="s">
        <v>13081</v>
      </c>
      <c r="F2696" s="35" t="s">
        <v>12483</v>
      </c>
      <c r="G2696" s="35">
        <v>354238</v>
      </c>
      <c r="H2696" s="35">
        <v>390300</v>
      </c>
      <c r="I2696" s="35">
        <v>200020</v>
      </c>
      <c r="J2696" s="34" t="s">
        <v>932</v>
      </c>
      <c r="K2696" s="34" t="str">
        <f t="shared" si="85"/>
        <v>重复</v>
      </c>
      <c r="L2696" s="34" t="str">
        <f t="shared" si="86"/>
        <v>重复</v>
      </c>
    </row>
    <row r="2697" spans="1:12" ht="27">
      <c r="A2697" s="35" t="s">
        <v>13120</v>
      </c>
      <c r="B2697" s="35" t="s">
        <v>7403</v>
      </c>
      <c r="C2697" s="36" t="s">
        <v>7404</v>
      </c>
      <c r="D2697" s="35" t="s">
        <v>7405</v>
      </c>
      <c r="E2697" s="35" t="s">
        <v>13081</v>
      </c>
      <c r="F2697" s="35" t="s">
        <v>12483</v>
      </c>
      <c r="G2697" s="35">
        <v>354239</v>
      </c>
      <c r="H2697" s="35">
        <v>390300</v>
      </c>
      <c r="I2697" s="35">
        <v>200020</v>
      </c>
      <c r="J2697" s="34" t="s">
        <v>7406</v>
      </c>
      <c r="K2697" s="34" t="str">
        <f t="shared" si="85"/>
        <v>不重复</v>
      </c>
      <c r="L2697" s="34" t="str">
        <f t="shared" si="86"/>
        <v>不重复</v>
      </c>
    </row>
    <row r="2698" spans="1:12" ht="15">
      <c r="A2698" s="35" t="s">
        <v>13121</v>
      </c>
      <c r="B2698" s="35" t="s">
        <v>7407</v>
      </c>
      <c r="C2698" s="36" t="s">
        <v>7408</v>
      </c>
      <c r="D2698" s="35" t="s">
        <v>7409</v>
      </c>
      <c r="E2698" s="35" t="s">
        <v>13081</v>
      </c>
      <c r="F2698" s="35" t="s">
        <v>12483</v>
      </c>
      <c r="G2698" s="35">
        <v>354240</v>
      </c>
      <c r="H2698" s="35">
        <v>390300</v>
      </c>
      <c r="I2698" s="35">
        <v>200020</v>
      </c>
      <c r="J2698" s="34" t="s">
        <v>848</v>
      </c>
      <c r="K2698" s="34" t="str">
        <f t="shared" si="85"/>
        <v>不重复</v>
      </c>
      <c r="L2698" s="34" t="str">
        <f t="shared" si="86"/>
        <v>不重复</v>
      </c>
    </row>
    <row r="2699" spans="1:12" ht="30">
      <c r="A2699" s="35" t="s">
        <v>13122</v>
      </c>
      <c r="B2699" s="35" t="s">
        <v>7410</v>
      </c>
      <c r="C2699" s="36" t="s">
        <v>1600</v>
      </c>
      <c r="D2699" s="35" t="s">
        <v>7411</v>
      </c>
      <c r="E2699" s="35" t="s">
        <v>13081</v>
      </c>
      <c r="F2699" s="35" t="s">
        <v>12483</v>
      </c>
      <c r="G2699" s="35">
        <v>354241</v>
      </c>
      <c r="H2699" s="35">
        <v>390300</v>
      </c>
      <c r="I2699" s="35">
        <v>200020</v>
      </c>
      <c r="J2699" s="34" t="s">
        <v>363</v>
      </c>
      <c r="K2699" s="34" t="str">
        <f t="shared" si="85"/>
        <v>重复</v>
      </c>
      <c r="L2699" s="34" t="str">
        <f t="shared" si="86"/>
        <v>不重复</v>
      </c>
    </row>
    <row r="2700" spans="1:12" ht="15">
      <c r="A2700" s="35" t="s">
        <v>13123</v>
      </c>
      <c r="B2700" s="35" t="s">
        <v>7412</v>
      </c>
      <c r="C2700" s="36" t="s">
        <v>1597</v>
      </c>
      <c r="D2700" s="35" t="s">
        <v>7413</v>
      </c>
      <c r="E2700" s="35" t="s">
        <v>13081</v>
      </c>
      <c r="F2700" s="35" t="s">
        <v>12483</v>
      </c>
      <c r="G2700" s="35">
        <v>354242</v>
      </c>
      <c r="H2700" s="35">
        <v>390300</v>
      </c>
      <c r="I2700" s="35">
        <v>200020</v>
      </c>
      <c r="J2700" s="34" t="s">
        <v>137</v>
      </c>
      <c r="K2700" s="34" t="str">
        <f t="shared" si="87" ref="K2700:K2763">IF(COUNTIF(C:C,C2700)&gt;=2,"重复","不重复")</f>
        <v>重复</v>
      </c>
      <c r="L2700" s="34" t="str">
        <f t="shared" si="88" ref="L2700:L2763">IF(COUNTIF(D:D,D2700)&gt;=2,"重复","不重复")</f>
        <v>不重复</v>
      </c>
    </row>
    <row r="2701" spans="1:12" ht="15">
      <c r="A2701" s="35" t="s">
        <v>13124</v>
      </c>
      <c r="B2701" s="35" t="s">
        <v>7414</v>
      </c>
      <c r="C2701" s="36" t="s">
        <v>7415</v>
      </c>
      <c r="D2701" s="35" t="s">
        <v>7416</v>
      </c>
      <c r="E2701" s="35" t="s">
        <v>13081</v>
      </c>
      <c r="F2701" s="35" t="s">
        <v>12483</v>
      </c>
      <c r="G2701" s="35">
        <v>354243</v>
      </c>
      <c r="H2701" s="35">
        <v>390300</v>
      </c>
      <c r="I2701" s="35">
        <v>200020</v>
      </c>
      <c r="J2701" s="34" t="s">
        <v>89</v>
      </c>
      <c r="K2701" s="34" t="str">
        <f t="shared" si="87"/>
        <v>不重复</v>
      </c>
      <c r="L2701" s="34" t="str">
        <f t="shared" si="88"/>
        <v>不重复</v>
      </c>
    </row>
    <row r="2702" spans="1:12" ht="30">
      <c r="A2702" s="35" t="s">
        <v>13125</v>
      </c>
      <c r="B2702" s="35" t="s">
        <v>7417</v>
      </c>
      <c r="C2702" s="36" t="s">
        <v>7418</v>
      </c>
      <c r="D2702" s="35" t="s">
        <v>7419</v>
      </c>
      <c r="E2702" s="35" t="s">
        <v>13081</v>
      </c>
      <c r="F2702" s="35" t="s">
        <v>12483</v>
      </c>
      <c r="G2702" s="35">
        <v>354244</v>
      </c>
      <c r="H2702" s="35">
        <v>390300</v>
      </c>
      <c r="I2702" s="35">
        <v>200020</v>
      </c>
      <c r="J2702" s="34" t="s">
        <v>6484</v>
      </c>
      <c r="K2702" s="34" t="str">
        <f t="shared" si="87"/>
        <v>不重复</v>
      </c>
      <c r="L2702" s="34" t="str">
        <f t="shared" si="88"/>
        <v>不重复</v>
      </c>
    </row>
    <row r="2703" spans="1:12" ht="27">
      <c r="A2703" s="35" t="s">
        <v>13126</v>
      </c>
      <c r="B2703" s="35" t="s">
        <v>7420</v>
      </c>
      <c r="C2703" s="36" t="s">
        <v>7421</v>
      </c>
      <c r="D2703" s="35" t="s">
        <v>7422</v>
      </c>
      <c r="E2703" s="35" t="s">
        <v>13081</v>
      </c>
      <c r="F2703" s="35" t="s">
        <v>12483</v>
      </c>
      <c r="G2703" s="35">
        <v>354245</v>
      </c>
      <c r="H2703" s="35">
        <v>390300</v>
      </c>
      <c r="I2703" s="35">
        <v>200020</v>
      </c>
      <c r="J2703" s="34" t="s">
        <v>878</v>
      </c>
      <c r="K2703" s="34" t="str">
        <f t="shared" si="87"/>
        <v>不重复</v>
      </c>
      <c r="L2703" s="34" t="str">
        <f t="shared" si="88"/>
        <v>不重复</v>
      </c>
    </row>
    <row r="2704" spans="1:12" ht="27">
      <c r="A2704" s="35" t="s">
        <v>13127</v>
      </c>
      <c r="B2704" s="35" t="s">
        <v>7423</v>
      </c>
      <c r="C2704" s="36" t="s">
        <v>7424</v>
      </c>
      <c r="D2704" s="35" t="s">
        <v>7425</v>
      </c>
      <c r="E2704" s="35" t="s">
        <v>13081</v>
      </c>
      <c r="F2704" s="35" t="s">
        <v>12483</v>
      </c>
      <c r="G2704" s="35">
        <v>354246</v>
      </c>
      <c r="H2704" s="35">
        <v>390300</v>
      </c>
      <c r="I2704" s="35">
        <v>200020</v>
      </c>
      <c r="J2704" s="34" t="s">
        <v>878</v>
      </c>
      <c r="K2704" s="34" t="str">
        <f t="shared" si="87"/>
        <v>重复</v>
      </c>
      <c r="L2704" s="34" t="str">
        <f t="shared" si="88"/>
        <v>不重复</v>
      </c>
    </row>
    <row r="2705" spans="1:12" ht="27">
      <c r="A2705" s="35" t="s">
        <v>13128</v>
      </c>
      <c r="B2705" s="35" t="s">
        <v>7426</v>
      </c>
      <c r="C2705" s="36" t="s">
        <v>7424</v>
      </c>
      <c r="D2705" s="35" t="s">
        <v>7427</v>
      </c>
      <c r="E2705" s="35" t="s">
        <v>13081</v>
      </c>
      <c r="F2705" s="35" t="s">
        <v>12483</v>
      </c>
      <c r="G2705" s="35">
        <v>354247</v>
      </c>
      <c r="H2705" s="35">
        <v>390300</v>
      </c>
      <c r="I2705" s="35">
        <v>200020</v>
      </c>
      <c r="J2705" s="34" t="s">
        <v>4985</v>
      </c>
      <c r="K2705" s="34" t="str">
        <f t="shared" si="87"/>
        <v>重复</v>
      </c>
      <c r="L2705" s="34" t="str">
        <f t="shared" si="88"/>
        <v>不重复</v>
      </c>
    </row>
    <row r="2706" spans="1:12" ht="27">
      <c r="A2706" s="35" t="s">
        <v>13129</v>
      </c>
      <c r="B2706" s="35" t="s">
        <v>7428</v>
      </c>
      <c r="C2706" s="36" t="s">
        <v>7429</v>
      </c>
      <c r="D2706" s="35" t="s">
        <v>7430</v>
      </c>
      <c r="E2706" s="35" t="s">
        <v>13081</v>
      </c>
      <c r="F2706" s="35" t="s">
        <v>12483</v>
      </c>
      <c r="G2706" s="35">
        <v>354248</v>
      </c>
      <c r="H2706" s="35">
        <v>390300</v>
      </c>
      <c r="I2706" s="35">
        <v>200020</v>
      </c>
      <c r="J2706" s="34" t="s">
        <v>422</v>
      </c>
      <c r="K2706" s="34" t="str">
        <f t="shared" si="87"/>
        <v>重复</v>
      </c>
      <c r="L2706" s="34" t="str">
        <f t="shared" si="88"/>
        <v>不重复</v>
      </c>
    </row>
    <row r="2707" spans="1:12" ht="30">
      <c r="A2707" s="35" t="s">
        <v>13130</v>
      </c>
      <c r="B2707" s="35" t="s">
        <v>7431</v>
      </c>
      <c r="C2707" s="36" t="s">
        <v>7432</v>
      </c>
      <c r="D2707" s="35" t="s">
        <v>7433</v>
      </c>
      <c r="E2707" s="35" t="s">
        <v>13081</v>
      </c>
      <c r="F2707" s="35" t="s">
        <v>12483</v>
      </c>
      <c r="G2707" s="35">
        <v>354249</v>
      </c>
      <c r="H2707" s="35">
        <v>390300</v>
      </c>
      <c r="I2707" s="35">
        <v>200020</v>
      </c>
      <c r="J2707" s="34" t="s">
        <v>932</v>
      </c>
      <c r="K2707" s="34" t="str">
        <f t="shared" si="87"/>
        <v>不重复</v>
      </c>
      <c r="L2707" s="34" t="str">
        <f t="shared" si="88"/>
        <v>不重复</v>
      </c>
    </row>
    <row r="2708" spans="1:12" ht="30">
      <c r="A2708" s="35" t="s">
        <v>13131</v>
      </c>
      <c r="B2708" s="35" t="s">
        <v>7434</v>
      </c>
      <c r="C2708" s="36" t="s">
        <v>7435</v>
      </c>
      <c r="D2708" s="35" t="s">
        <v>6291</v>
      </c>
      <c r="E2708" s="35" t="s">
        <v>13081</v>
      </c>
      <c r="F2708" s="35" t="s">
        <v>12483</v>
      </c>
      <c r="G2708" s="35">
        <v>354250</v>
      </c>
      <c r="H2708" s="35">
        <v>390300</v>
      </c>
      <c r="I2708" s="35">
        <v>200020</v>
      </c>
      <c r="J2708" s="34" t="s">
        <v>1040</v>
      </c>
      <c r="K2708" s="34" t="str">
        <f t="shared" si="87"/>
        <v>不重复</v>
      </c>
      <c r="L2708" s="34" t="str">
        <f t="shared" si="88"/>
        <v>重复</v>
      </c>
    </row>
    <row r="2709" spans="1:12" ht="27">
      <c r="A2709" s="35" t="s">
        <v>13132</v>
      </c>
      <c r="B2709" s="35" t="s">
        <v>7436</v>
      </c>
      <c r="C2709" s="36" t="s">
        <v>7437</v>
      </c>
      <c r="D2709" s="35" t="s">
        <v>7438</v>
      </c>
      <c r="E2709" s="35" t="s">
        <v>13081</v>
      </c>
      <c r="F2709" s="35" t="s">
        <v>12483</v>
      </c>
      <c r="G2709" s="35">
        <v>354251</v>
      </c>
      <c r="H2709" s="35">
        <v>390300</v>
      </c>
      <c r="I2709" s="35">
        <v>200020</v>
      </c>
      <c r="J2709" s="34" t="s">
        <v>985</v>
      </c>
      <c r="K2709" s="34" t="str">
        <f t="shared" si="87"/>
        <v>不重复</v>
      </c>
      <c r="L2709" s="34" t="str">
        <f t="shared" si="88"/>
        <v>重复</v>
      </c>
    </row>
    <row r="2710" spans="1:12" ht="27">
      <c r="A2710" s="35" t="s">
        <v>13133</v>
      </c>
      <c r="B2710" s="35" t="s">
        <v>7439</v>
      </c>
      <c r="C2710" s="36" t="s">
        <v>7440</v>
      </c>
      <c r="D2710" s="35" t="s">
        <v>7438</v>
      </c>
      <c r="E2710" s="35" t="s">
        <v>13081</v>
      </c>
      <c r="F2710" s="35" t="s">
        <v>12483</v>
      </c>
      <c r="G2710" s="35">
        <v>354252</v>
      </c>
      <c r="H2710" s="35">
        <v>390300</v>
      </c>
      <c r="I2710" s="35">
        <v>200020</v>
      </c>
      <c r="J2710" s="34" t="s">
        <v>311</v>
      </c>
      <c r="K2710" s="34" t="str">
        <f t="shared" si="87"/>
        <v>不重复</v>
      </c>
      <c r="L2710" s="34" t="str">
        <f t="shared" si="88"/>
        <v>重复</v>
      </c>
    </row>
    <row r="2711" spans="1:12" ht="27">
      <c r="A2711" s="35" t="s">
        <v>13134</v>
      </c>
      <c r="B2711" s="35" t="s">
        <v>7441</v>
      </c>
      <c r="C2711" s="36" t="s">
        <v>7442</v>
      </c>
      <c r="D2711" s="35" t="s">
        <v>7443</v>
      </c>
      <c r="E2711" s="35" t="s">
        <v>13081</v>
      </c>
      <c r="F2711" s="35" t="s">
        <v>12483</v>
      </c>
      <c r="G2711" s="35">
        <v>354253</v>
      </c>
      <c r="H2711" s="35">
        <v>390300</v>
      </c>
      <c r="I2711" s="35">
        <v>200020</v>
      </c>
      <c r="J2711" s="34" t="s">
        <v>7444</v>
      </c>
      <c r="K2711" s="34" t="str">
        <f t="shared" si="87"/>
        <v>不重复</v>
      </c>
      <c r="L2711" s="34" t="str">
        <f t="shared" si="88"/>
        <v>不重复</v>
      </c>
    </row>
    <row r="2712" spans="1:12" ht="27">
      <c r="A2712" s="35" t="s">
        <v>13135</v>
      </c>
      <c r="B2712" s="35" t="s">
        <v>7445</v>
      </c>
      <c r="C2712" s="36" t="s">
        <v>6318</v>
      </c>
      <c r="D2712" s="35" t="s">
        <v>7446</v>
      </c>
      <c r="E2712" s="35" t="s">
        <v>13081</v>
      </c>
      <c r="F2712" s="35" t="s">
        <v>12483</v>
      </c>
      <c r="G2712" s="35">
        <v>354254</v>
      </c>
      <c r="H2712" s="35">
        <v>390300</v>
      </c>
      <c r="I2712" s="35">
        <v>200020</v>
      </c>
      <c r="J2712" s="34" t="s">
        <v>7447</v>
      </c>
      <c r="K2712" s="34" t="str">
        <f t="shared" si="87"/>
        <v>重复</v>
      </c>
      <c r="L2712" s="34" t="str">
        <f t="shared" si="88"/>
        <v>不重复</v>
      </c>
    </row>
    <row r="2713" spans="1:12" ht="15">
      <c r="A2713" s="35" t="s">
        <v>13136</v>
      </c>
      <c r="B2713" s="35" t="s">
        <v>7448</v>
      </c>
      <c r="C2713" s="36" t="s">
        <v>7449</v>
      </c>
      <c r="D2713" s="35" t="s">
        <v>7450</v>
      </c>
      <c r="E2713" s="35" t="s">
        <v>13081</v>
      </c>
      <c r="F2713" s="35" t="s">
        <v>12483</v>
      </c>
      <c r="G2713" s="35">
        <v>354255</v>
      </c>
      <c r="H2713" s="35">
        <v>390300</v>
      </c>
      <c r="I2713" s="35">
        <v>200020</v>
      </c>
      <c r="J2713" s="34" t="s">
        <v>7451</v>
      </c>
      <c r="K2713" s="34" t="str">
        <f t="shared" si="87"/>
        <v>不重复</v>
      </c>
      <c r="L2713" s="34" t="str">
        <f t="shared" si="88"/>
        <v>不重复</v>
      </c>
    </row>
    <row r="2714" spans="1:12" ht="27">
      <c r="A2714" s="35" t="s">
        <v>13137</v>
      </c>
      <c r="B2714" s="35" t="s">
        <v>7452</v>
      </c>
      <c r="C2714" s="36" t="s">
        <v>5417</v>
      </c>
      <c r="D2714" s="35" t="s">
        <v>7453</v>
      </c>
      <c r="E2714" s="35" t="s">
        <v>13081</v>
      </c>
      <c r="F2714" s="35" t="s">
        <v>12483</v>
      </c>
      <c r="G2714" s="35">
        <v>354256</v>
      </c>
      <c r="H2714" s="35">
        <v>390300</v>
      </c>
      <c r="I2714" s="35">
        <v>200020</v>
      </c>
      <c r="J2714" s="34" t="s">
        <v>932</v>
      </c>
      <c r="K2714" s="34" t="str">
        <f t="shared" si="87"/>
        <v>重复</v>
      </c>
      <c r="L2714" s="34" t="str">
        <f t="shared" si="88"/>
        <v>不重复</v>
      </c>
    </row>
    <row r="2715" spans="1:12" ht="15">
      <c r="A2715" s="35" t="s">
        <v>13138</v>
      </c>
      <c r="B2715" s="35" t="s">
        <v>7454</v>
      </c>
      <c r="C2715" s="36" t="s">
        <v>7455</v>
      </c>
      <c r="D2715" s="35" t="s">
        <v>7456</v>
      </c>
      <c r="E2715" s="35" t="s">
        <v>13081</v>
      </c>
      <c r="F2715" s="35" t="s">
        <v>12483</v>
      </c>
      <c r="G2715" s="35">
        <v>354257</v>
      </c>
      <c r="H2715" s="35">
        <v>390300</v>
      </c>
      <c r="I2715" s="35">
        <v>200020</v>
      </c>
      <c r="J2715" s="34" t="s">
        <v>363</v>
      </c>
      <c r="K2715" s="34" t="str">
        <f t="shared" si="87"/>
        <v>不重复</v>
      </c>
      <c r="L2715" s="34" t="str">
        <f t="shared" si="88"/>
        <v>不重复</v>
      </c>
    </row>
    <row r="2716" spans="1:12" ht="30">
      <c r="A2716" s="35" t="s">
        <v>13139</v>
      </c>
      <c r="B2716" s="35" t="s">
        <v>7457</v>
      </c>
      <c r="C2716" s="36" t="s">
        <v>6673</v>
      </c>
      <c r="D2716" s="35" t="s">
        <v>7458</v>
      </c>
      <c r="E2716" s="35" t="s">
        <v>13081</v>
      </c>
      <c r="F2716" s="35" t="s">
        <v>12483</v>
      </c>
      <c r="G2716" s="35">
        <v>354258</v>
      </c>
      <c r="H2716" s="35">
        <v>390300</v>
      </c>
      <c r="I2716" s="35">
        <v>200020</v>
      </c>
      <c r="J2716" s="34" t="s">
        <v>311</v>
      </c>
      <c r="K2716" s="34" t="str">
        <f t="shared" si="87"/>
        <v>重复</v>
      </c>
      <c r="L2716" s="34" t="str">
        <f t="shared" si="88"/>
        <v>不重复</v>
      </c>
    </row>
    <row r="2717" spans="1:12" ht="30">
      <c r="A2717" s="35" t="s">
        <v>13140</v>
      </c>
      <c r="B2717" s="35" t="s">
        <v>7459</v>
      </c>
      <c r="C2717" s="36" t="s">
        <v>2604</v>
      </c>
      <c r="D2717" s="35" t="s">
        <v>7376</v>
      </c>
      <c r="E2717" s="35" t="s">
        <v>13081</v>
      </c>
      <c r="F2717" s="35" t="s">
        <v>12483</v>
      </c>
      <c r="G2717" s="35">
        <v>354259</v>
      </c>
      <c r="H2717" s="35">
        <v>390300</v>
      </c>
      <c r="I2717" s="35">
        <v>200020</v>
      </c>
      <c r="J2717" s="34" t="s">
        <v>715</v>
      </c>
      <c r="K2717" s="34" t="str">
        <f t="shared" si="87"/>
        <v>重复</v>
      </c>
      <c r="L2717" s="34" t="str">
        <f t="shared" si="88"/>
        <v>重复</v>
      </c>
    </row>
    <row r="2718" spans="1:12" ht="27">
      <c r="A2718" s="35" t="s">
        <v>13141</v>
      </c>
      <c r="B2718" s="35" t="s">
        <v>7460</v>
      </c>
      <c r="C2718" s="36" t="s">
        <v>7010</v>
      </c>
      <c r="D2718" s="35" t="s">
        <v>7461</v>
      </c>
      <c r="E2718" s="35" t="s">
        <v>13081</v>
      </c>
      <c r="F2718" s="35" t="s">
        <v>12483</v>
      </c>
      <c r="G2718" s="35">
        <v>354260</v>
      </c>
      <c r="H2718" s="35">
        <v>390300</v>
      </c>
      <c r="I2718" s="35">
        <v>200020</v>
      </c>
      <c r="J2718" s="34" t="s">
        <v>932</v>
      </c>
      <c r="K2718" s="34" t="str">
        <f t="shared" si="87"/>
        <v>重复</v>
      </c>
      <c r="L2718" s="34" t="str">
        <f t="shared" si="88"/>
        <v>不重复</v>
      </c>
    </row>
    <row r="2719" spans="1:12" ht="30">
      <c r="A2719" s="35" t="s">
        <v>13142</v>
      </c>
      <c r="B2719" s="35" t="s">
        <v>7462</v>
      </c>
      <c r="C2719" s="36" t="s">
        <v>7463</v>
      </c>
      <c r="D2719" s="35" t="s">
        <v>7464</v>
      </c>
      <c r="E2719" s="35" t="s">
        <v>13081</v>
      </c>
      <c r="F2719" s="35" t="s">
        <v>12483</v>
      </c>
      <c r="G2719" s="35">
        <v>354261</v>
      </c>
      <c r="H2719" s="35">
        <v>390300</v>
      </c>
      <c r="I2719" s="35">
        <v>200020</v>
      </c>
      <c r="J2719" s="34" t="s">
        <v>223</v>
      </c>
      <c r="K2719" s="34" t="str">
        <f t="shared" si="87"/>
        <v>不重复</v>
      </c>
      <c r="L2719" s="34" t="str">
        <f t="shared" si="88"/>
        <v>不重复</v>
      </c>
    </row>
    <row r="2720" spans="1:12" ht="30">
      <c r="A2720" s="35" t="s">
        <v>13143</v>
      </c>
      <c r="B2720" s="35" t="s">
        <v>7465</v>
      </c>
      <c r="C2720" s="36" t="s">
        <v>1828</v>
      </c>
      <c r="D2720" s="35" t="s">
        <v>7466</v>
      </c>
      <c r="E2720" s="35" t="s">
        <v>13081</v>
      </c>
      <c r="F2720" s="35" t="s">
        <v>12483</v>
      </c>
      <c r="G2720" s="35">
        <v>354262</v>
      </c>
      <c r="H2720" s="35">
        <v>390300</v>
      </c>
      <c r="I2720" s="35">
        <v>200020</v>
      </c>
      <c r="J2720" s="34" t="s">
        <v>363</v>
      </c>
      <c r="K2720" s="34" t="str">
        <f t="shared" si="87"/>
        <v>重复</v>
      </c>
      <c r="L2720" s="34" t="str">
        <f t="shared" si="88"/>
        <v>不重复</v>
      </c>
    </row>
    <row r="2721" spans="1:12" ht="30">
      <c r="A2721" s="35" t="s">
        <v>13144</v>
      </c>
      <c r="B2721" s="35" t="s">
        <v>7467</v>
      </c>
      <c r="C2721" s="36" t="s">
        <v>6315</v>
      </c>
      <c r="D2721" s="35" t="s">
        <v>7468</v>
      </c>
      <c r="E2721" s="35" t="s">
        <v>13081</v>
      </c>
      <c r="F2721" s="35" t="s">
        <v>12483</v>
      </c>
      <c r="G2721" s="35">
        <v>354263</v>
      </c>
      <c r="H2721" s="35">
        <v>390300</v>
      </c>
      <c r="I2721" s="35">
        <v>200020</v>
      </c>
      <c r="J2721" s="34" t="s">
        <v>878</v>
      </c>
      <c r="K2721" s="34" t="str">
        <f t="shared" si="87"/>
        <v>重复</v>
      </c>
      <c r="L2721" s="34" t="str">
        <f t="shared" si="88"/>
        <v>不重复</v>
      </c>
    </row>
    <row r="2722" spans="1:12" ht="27">
      <c r="A2722" s="35" t="s">
        <v>13145</v>
      </c>
      <c r="B2722" s="35" t="s">
        <v>7469</v>
      </c>
      <c r="C2722" s="36" t="s">
        <v>7470</v>
      </c>
      <c r="D2722" s="35" t="s">
        <v>7471</v>
      </c>
      <c r="E2722" s="35" t="s">
        <v>13081</v>
      </c>
      <c r="F2722" s="35" t="s">
        <v>12483</v>
      </c>
      <c r="G2722" s="35">
        <v>354264</v>
      </c>
      <c r="H2722" s="35">
        <v>390300</v>
      </c>
      <c r="I2722" s="35">
        <v>200020</v>
      </c>
      <c r="J2722" s="34" t="s">
        <v>985</v>
      </c>
      <c r="K2722" s="34" t="str">
        <f t="shared" si="87"/>
        <v>不重复</v>
      </c>
      <c r="L2722" s="34" t="str">
        <f t="shared" si="88"/>
        <v>不重复</v>
      </c>
    </row>
    <row r="2723" spans="1:12" ht="15">
      <c r="A2723" s="35" t="s">
        <v>13146</v>
      </c>
      <c r="B2723" s="35" t="s">
        <v>7472</v>
      </c>
      <c r="C2723" s="36" t="s">
        <v>3526</v>
      </c>
      <c r="D2723" s="35" t="s">
        <v>7473</v>
      </c>
      <c r="E2723" s="35" t="s">
        <v>13081</v>
      </c>
      <c r="F2723" s="35" t="s">
        <v>12483</v>
      </c>
      <c r="G2723" s="35">
        <v>354265</v>
      </c>
      <c r="H2723" s="35">
        <v>390300</v>
      </c>
      <c r="I2723" s="35">
        <v>200020</v>
      </c>
      <c r="J2723" s="34" t="s">
        <v>985</v>
      </c>
      <c r="K2723" s="34" t="str">
        <f t="shared" si="87"/>
        <v>重复</v>
      </c>
      <c r="L2723" s="34" t="str">
        <f t="shared" si="88"/>
        <v>不重复</v>
      </c>
    </row>
    <row r="2724" spans="1:12" ht="30">
      <c r="A2724" s="35" t="s">
        <v>13147</v>
      </c>
      <c r="B2724" s="35" t="s">
        <v>7474</v>
      </c>
      <c r="C2724" s="36" t="s">
        <v>7475</v>
      </c>
      <c r="D2724" s="35" t="s">
        <v>7476</v>
      </c>
      <c r="E2724" s="35" t="s">
        <v>13081</v>
      </c>
      <c r="F2724" s="35" t="s">
        <v>12483</v>
      </c>
      <c r="G2724" s="35">
        <v>354266</v>
      </c>
      <c r="H2724" s="35">
        <v>390300</v>
      </c>
      <c r="I2724" s="35">
        <v>200020</v>
      </c>
      <c r="J2724" s="34" t="s">
        <v>932</v>
      </c>
      <c r="K2724" s="34" t="str">
        <f t="shared" si="87"/>
        <v>不重复</v>
      </c>
      <c r="L2724" s="34" t="str">
        <f t="shared" si="88"/>
        <v>不重复</v>
      </c>
    </row>
    <row r="2725" spans="1:12" ht="15">
      <c r="A2725" s="35" t="s">
        <v>13148</v>
      </c>
      <c r="B2725" s="35" t="s">
        <v>7477</v>
      </c>
      <c r="C2725" s="36" t="s">
        <v>1209</v>
      </c>
      <c r="D2725" s="35" t="s">
        <v>7478</v>
      </c>
      <c r="E2725" s="35" t="s">
        <v>13081</v>
      </c>
      <c r="F2725" s="35" t="s">
        <v>12483</v>
      </c>
      <c r="G2725" s="35">
        <v>354267</v>
      </c>
      <c r="H2725" s="35">
        <v>390300</v>
      </c>
      <c r="I2725" s="35">
        <v>200020</v>
      </c>
      <c r="J2725" s="34" t="s">
        <v>2185</v>
      </c>
      <c r="K2725" s="34" t="str">
        <f t="shared" si="87"/>
        <v>重复</v>
      </c>
      <c r="L2725" s="34" t="str">
        <f t="shared" si="88"/>
        <v>不重复</v>
      </c>
    </row>
    <row r="2726" spans="1:12" ht="15">
      <c r="A2726" s="35" t="s">
        <v>13149</v>
      </c>
      <c r="B2726" s="35" t="s">
        <v>7479</v>
      </c>
      <c r="C2726" s="36" t="s">
        <v>7480</v>
      </c>
      <c r="D2726" s="35" t="s">
        <v>7481</v>
      </c>
      <c r="E2726" s="35" t="s">
        <v>13149</v>
      </c>
      <c r="F2726" s="35" t="s">
        <v>12483</v>
      </c>
      <c r="G2726" s="35">
        <v>354600</v>
      </c>
      <c r="H2726" s="35">
        <v>390400</v>
      </c>
      <c r="I2726" s="35">
        <v>200020</v>
      </c>
      <c r="J2726" s="34" t="s">
        <v>16</v>
      </c>
      <c r="K2726" s="34" t="str">
        <f t="shared" si="87"/>
        <v>重复</v>
      </c>
      <c r="L2726" s="34" t="str">
        <f t="shared" si="88"/>
        <v>不重复</v>
      </c>
    </row>
    <row r="2727" spans="1:12" ht="27">
      <c r="A2727" s="35" t="s">
        <v>13150</v>
      </c>
      <c r="B2727" s="35" t="s">
        <v>7482</v>
      </c>
      <c r="C2727" s="36" t="s">
        <v>7483</v>
      </c>
      <c r="D2727" s="35" t="s">
        <v>7484</v>
      </c>
      <c r="E2727" s="35" t="s">
        <v>13149</v>
      </c>
      <c r="F2727" s="35" t="s">
        <v>12483</v>
      </c>
      <c r="G2727" s="35">
        <v>354601</v>
      </c>
      <c r="H2727" s="35">
        <v>390400</v>
      </c>
      <c r="I2727" s="35">
        <v>200020</v>
      </c>
      <c r="J2727" s="34" t="s">
        <v>390</v>
      </c>
      <c r="K2727" s="34" t="str">
        <f t="shared" si="87"/>
        <v>不重复</v>
      </c>
      <c r="L2727" s="34" t="str">
        <f t="shared" si="88"/>
        <v>不重复</v>
      </c>
    </row>
    <row r="2728" spans="1:12" ht="30">
      <c r="A2728" s="35" t="s">
        <v>13151</v>
      </c>
      <c r="B2728" s="35" t="s">
        <v>7485</v>
      </c>
      <c r="C2728" s="36" t="s">
        <v>6084</v>
      </c>
      <c r="D2728" s="35" t="s">
        <v>7486</v>
      </c>
      <c r="E2728" s="35" t="s">
        <v>13149</v>
      </c>
      <c r="F2728" s="35" t="s">
        <v>12483</v>
      </c>
      <c r="G2728" s="35">
        <v>354602</v>
      </c>
      <c r="H2728" s="35">
        <v>390400</v>
      </c>
      <c r="I2728" s="35">
        <v>200020</v>
      </c>
      <c r="J2728" s="34" t="s">
        <v>715</v>
      </c>
      <c r="K2728" s="34" t="str">
        <f t="shared" si="87"/>
        <v>重复</v>
      </c>
      <c r="L2728" s="34" t="str">
        <f t="shared" si="88"/>
        <v>不重复</v>
      </c>
    </row>
    <row r="2729" spans="1:12" ht="27">
      <c r="A2729" s="35" t="s">
        <v>13152</v>
      </c>
      <c r="B2729" s="35" t="s">
        <v>7487</v>
      </c>
      <c r="C2729" s="36" t="s">
        <v>5868</v>
      </c>
      <c r="D2729" s="35" t="s">
        <v>7488</v>
      </c>
      <c r="E2729" s="35" t="s">
        <v>13149</v>
      </c>
      <c r="F2729" s="35" t="s">
        <v>12483</v>
      </c>
      <c r="G2729" s="35">
        <v>354603</v>
      </c>
      <c r="H2729" s="35">
        <v>390400</v>
      </c>
      <c r="I2729" s="35">
        <v>200020</v>
      </c>
      <c r="J2729" s="34" t="s">
        <v>878</v>
      </c>
      <c r="K2729" s="34" t="str">
        <f t="shared" si="87"/>
        <v>重复</v>
      </c>
      <c r="L2729" s="34" t="str">
        <f t="shared" si="88"/>
        <v>重复</v>
      </c>
    </row>
    <row r="2730" spans="1:12" ht="15">
      <c r="A2730" s="35" t="s">
        <v>13153</v>
      </c>
      <c r="B2730" s="35" t="s">
        <v>7489</v>
      </c>
      <c r="C2730" s="36" t="s">
        <v>7480</v>
      </c>
      <c r="D2730" s="35" t="s">
        <v>7490</v>
      </c>
      <c r="E2730" s="35" t="s">
        <v>13149</v>
      </c>
      <c r="F2730" s="35" t="s">
        <v>12483</v>
      </c>
      <c r="G2730" s="35">
        <v>354604</v>
      </c>
      <c r="H2730" s="35">
        <v>390400</v>
      </c>
      <c r="I2730" s="35">
        <v>200020</v>
      </c>
      <c r="J2730" s="34" t="s">
        <v>390</v>
      </c>
      <c r="K2730" s="34" t="str">
        <f t="shared" si="87"/>
        <v>重复</v>
      </c>
      <c r="L2730" s="34" t="str">
        <f t="shared" si="88"/>
        <v>不重复</v>
      </c>
    </row>
    <row r="2731" spans="1:12" ht="15">
      <c r="A2731" s="35" t="s">
        <v>13154</v>
      </c>
      <c r="B2731" s="35" t="s">
        <v>7491</v>
      </c>
      <c r="C2731" s="36" t="s">
        <v>7492</v>
      </c>
      <c r="D2731" s="35" t="s">
        <v>7493</v>
      </c>
      <c r="E2731" s="35" t="s">
        <v>13154</v>
      </c>
      <c r="F2731" s="35" t="s">
        <v>12483</v>
      </c>
      <c r="G2731" s="35">
        <v>354700</v>
      </c>
      <c r="H2731" s="35">
        <v>390410</v>
      </c>
      <c r="I2731" s="35">
        <v>200020</v>
      </c>
      <c r="J2731" s="34" t="s">
        <v>16</v>
      </c>
      <c r="K2731" s="34" t="str">
        <f t="shared" si="87"/>
        <v>不重复</v>
      </c>
      <c r="L2731" s="34" t="str">
        <f t="shared" si="88"/>
        <v>不重复</v>
      </c>
    </row>
    <row r="2732" spans="1:12" ht="27">
      <c r="A2732" s="35" t="s">
        <v>13155</v>
      </c>
      <c r="B2732" s="35" t="s">
        <v>7494</v>
      </c>
      <c r="C2732" s="36" t="s">
        <v>7495</v>
      </c>
      <c r="D2732" s="35" t="s">
        <v>7496</v>
      </c>
      <c r="E2732" s="35" t="s">
        <v>13154</v>
      </c>
      <c r="F2732" s="35" t="s">
        <v>12483</v>
      </c>
      <c r="G2732" s="35">
        <v>354701</v>
      </c>
      <c r="H2732" s="35">
        <v>390410</v>
      </c>
      <c r="I2732" s="35">
        <v>200020</v>
      </c>
      <c r="J2732" s="34" t="s">
        <v>137</v>
      </c>
      <c r="K2732" s="34" t="str">
        <f t="shared" si="87"/>
        <v>不重复</v>
      </c>
      <c r="L2732" s="34" t="str">
        <f t="shared" si="88"/>
        <v>不重复</v>
      </c>
    </row>
    <row r="2733" spans="1:12" ht="15">
      <c r="A2733" s="35" t="s">
        <v>13156</v>
      </c>
      <c r="B2733" s="35" t="s">
        <v>7497</v>
      </c>
      <c r="C2733" s="36" t="s">
        <v>1159</v>
      </c>
      <c r="D2733" s="35" t="s">
        <v>7498</v>
      </c>
      <c r="E2733" s="35" t="s">
        <v>13154</v>
      </c>
      <c r="F2733" s="35" t="s">
        <v>12483</v>
      </c>
      <c r="G2733" s="35">
        <v>354702</v>
      </c>
      <c r="H2733" s="35">
        <v>390410</v>
      </c>
      <c r="I2733" s="35">
        <v>200020</v>
      </c>
      <c r="J2733" s="34" t="s">
        <v>1040</v>
      </c>
      <c r="K2733" s="34" t="str">
        <f t="shared" si="87"/>
        <v>重复</v>
      </c>
      <c r="L2733" s="34" t="str">
        <f t="shared" si="88"/>
        <v>不重复</v>
      </c>
    </row>
    <row r="2734" spans="1:12" ht="27">
      <c r="A2734" s="35" t="s">
        <v>13157</v>
      </c>
      <c r="B2734" s="35" t="s">
        <v>7499</v>
      </c>
      <c r="C2734" s="36" t="s">
        <v>7500</v>
      </c>
      <c r="D2734" s="35" t="s">
        <v>7501</v>
      </c>
      <c r="E2734" s="35" t="s">
        <v>13154</v>
      </c>
      <c r="F2734" s="35" t="s">
        <v>12483</v>
      </c>
      <c r="G2734" s="35">
        <v>354703</v>
      </c>
      <c r="H2734" s="35">
        <v>390410</v>
      </c>
      <c r="I2734" s="35">
        <v>200020</v>
      </c>
      <c r="J2734" s="34" t="s">
        <v>1040</v>
      </c>
      <c r="K2734" s="34" t="str">
        <f t="shared" si="87"/>
        <v>不重复</v>
      </c>
      <c r="L2734" s="34" t="str">
        <f t="shared" si="88"/>
        <v>不重复</v>
      </c>
    </row>
    <row r="2735" spans="1:12" ht="27">
      <c r="A2735" s="35" t="s">
        <v>13158</v>
      </c>
      <c r="B2735" s="35" t="s">
        <v>7502</v>
      </c>
      <c r="C2735" s="36" t="s">
        <v>7503</v>
      </c>
      <c r="D2735" s="35" t="s">
        <v>7504</v>
      </c>
      <c r="E2735" s="35" t="s">
        <v>13154</v>
      </c>
      <c r="F2735" s="35" t="s">
        <v>12483</v>
      </c>
      <c r="G2735" s="35">
        <v>354704</v>
      </c>
      <c r="H2735" s="35">
        <v>390410</v>
      </c>
      <c r="I2735" s="35">
        <v>200020</v>
      </c>
      <c r="J2735" s="34" t="s">
        <v>1040</v>
      </c>
      <c r="K2735" s="34" t="str">
        <f t="shared" si="87"/>
        <v>重复</v>
      </c>
      <c r="L2735" s="34" t="str">
        <f t="shared" si="88"/>
        <v>不重复</v>
      </c>
    </row>
    <row r="2736" spans="1:12" ht="27">
      <c r="A2736" s="35" t="s">
        <v>13159</v>
      </c>
      <c r="B2736" s="35" t="s">
        <v>7505</v>
      </c>
      <c r="C2736" s="36" t="s">
        <v>7506</v>
      </c>
      <c r="D2736" s="35" t="s">
        <v>7507</v>
      </c>
      <c r="E2736" s="35" t="s">
        <v>13154</v>
      </c>
      <c r="F2736" s="35" t="s">
        <v>12483</v>
      </c>
      <c r="G2736" s="35">
        <v>354705</v>
      </c>
      <c r="H2736" s="35">
        <v>390410</v>
      </c>
      <c r="I2736" s="35">
        <v>200020</v>
      </c>
      <c r="J2736" s="34" t="s">
        <v>7508</v>
      </c>
      <c r="K2736" s="34" t="str">
        <f t="shared" si="87"/>
        <v>不重复</v>
      </c>
      <c r="L2736" s="34" t="str">
        <f t="shared" si="88"/>
        <v>不重复</v>
      </c>
    </row>
    <row r="2737" spans="1:12" ht="27">
      <c r="A2737" s="35" t="s">
        <v>13160</v>
      </c>
      <c r="B2737" s="35" t="s">
        <v>7509</v>
      </c>
      <c r="C2737" s="36" t="s">
        <v>7510</v>
      </c>
      <c r="D2737" s="35" t="s">
        <v>7511</v>
      </c>
      <c r="E2737" s="35" t="s">
        <v>13154</v>
      </c>
      <c r="F2737" s="35" t="s">
        <v>12483</v>
      </c>
      <c r="G2737" s="35">
        <v>354706</v>
      </c>
      <c r="H2737" s="35">
        <v>390410</v>
      </c>
      <c r="I2737" s="35">
        <v>200020</v>
      </c>
      <c r="J2737" s="34" t="s">
        <v>137</v>
      </c>
      <c r="K2737" s="34" t="str">
        <f t="shared" si="87"/>
        <v>不重复</v>
      </c>
      <c r="L2737" s="34" t="str">
        <f t="shared" si="88"/>
        <v>不重复</v>
      </c>
    </row>
    <row r="2738" spans="1:12" ht="27">
      <c r="A2738" s="35" t="s">
        <v>13161</v>
      </c>
      <c r="B2738" s="35" t="s">
        <v>7512</v>
      </c>
      <c r="C2738" s="36" t="s">
        <v>4215</v>
      </c>
      <c r="D2738" s="35" t="s">
        <v>7513</v>
      </c>
      <c r="E2738" s="35" t="s">
        <v>13154</v>
      </c>
      <c r="F2738" s="35" t="s">
        <v>12483</v>
      </c>
      <c r="G2738" s="35">
        <v>354707</v>
      </c>
      <c r="H2738" s="35">
        <v>390410</v>
      </c>
      <c r="I2738" s="35">
        <v>200020</v>
      </c>
      <c r="J2738" s="34" t="s">
        <v>7508</v>
      </c>
      <c r="K2738" s="34" t="str">
        <f t="shared" si="87"/>
        <v>重复</v>
      </c>
      <c r="L2738" s="34" t="str">
        <f t="shared" si="88"/>
        <v>不重复</v>
      </c>
    </row>
    <row r="2739" spans="1:12" ht="27">
      <c r="A2739" s="35" t="s">
        <v>13162</v>
      </c>
      <c r="B2739" s="35" t="s">
        <v>7514</v>
      </c>
      <c r="C2739" s="36" t="s">
        <v>7515</v>
      </c>
      <c r="D2739" s="35" t="s">
        <v>7516</v>
      </c>
      <c r="E2739" s="35" t="s">
        <v>13154</v>
      </c>
      <c r="F2739" s="35" t="s">
        <v>12483</v>
      </c>
      <c r="G2739" s="35">
        <v>354708</v>
      </c>
      <c r="H2739" s="35">
        <v>390410</v>
      </c>
      <c r="I2739" s="35">
        <v>200020</v>
      </c>
      <c r="J2739" s="34" t="s">
        <v>7517</v>
      </c>
      <c r="K2739" s="34" t="str">
        <f t="shared" si="87"/>
        <v>不重复</v>
      </c>
      <c r="L2739" s="34" t="str">
        <f t="shared" si="88"/>
        <v>不重复</v>
      </c>
    </row>
    <row r="2740" spans="1:12" ht="27">
      <c r="A2740" s="35" t="s">
        <v>13163</v>
      </c>
      <c r="B2740" s="35" t="s">
        <v>7518</v>
      </c>
      <c r="C2740" s="36" t="s">
        <v>7519</v>
      </c>
      <c r="D2740" s="35" t="s">
        <v>7520</v>
      </c>
      <c r="E2740" s="35" t="s">
        <v>13154</v>
      </c>
      <c r="F2740" s="35" t="s">
        <v>12483</v>
      </c>
      <c r="G2740" s="35">
        <v>354709</v>
      </c>
      <c r="H2740" s="35">
        <v>390410</v>
      </c>
      <c r="I2740" s="35">
        <v>200020</v>
      </c>
      <c r="J2740" s="34" t="s">
        <v>363</v>
      </c>
      <c r="K2740" s="34" t="str">
        <f t="shared" si="87"/>
        <v>不重复</v>
      </c>
      <c r="L2740" s="34" t="str">
        <f t="shared" si="88"/>
        <v>不重复</v>
      </c>
    </row>
    <row r="2741" spans="1:12" ht="15">
      <c r="A2741" s="35" t="s">
        <v>13164</v>
      </c>
      <c r="B2741" s="35" t="s">
        <v>7521</v>
      </c>
      <c r="C2741" s="36" t="s">
        <v>7522</v>
      </c>
      <c r="D2741" s="35" t="s">
        <v>7523</v>
      </c>
      <c r="E2741" s="35" t="s">
        <v>13154</v>
      </c>
      <c r="F2741" s="35" t="s">
        <v>12483</v>
      </c>
      <c r="G2741" s="35">
        <v>354710</v>
      </c>
      <c r="H2741" s="35">
        <v>390410</v>
      </c>
      <c r="I2741" s="35">
        <v>200020</v>
      </c>
      <c r="J2741" s="34" t="s">
        <v>347</v>
      </c>
      <c r="K2741" s="34" t="str">
        <f t="shared" si="87"/>
        <v>不重复</v>
      </c>
      <c r="L2741" s="34" t="str">
        <f t="shared" si="88"/>
        <v>不重复</v>
      </c>
    </row>
    <row r="2742" spans="1:12" ht="30">
      <c r="A2742" s="35" t="s">
        <v>13165</v>
      </c>
      <c r="B2742" s="35" t="s">
        <v>7524</v>
      </c>
      <c r="C2742" s="36" t="s">
        <v>7525</v>
      </c>
      <c r="D2742" s="35" t="s">
        <v>7526</v>
      </c>
      <c r="E2742" s="35" t="s">
        <v>13154</v>
      </c>
      <c r="F2742" s="35" t="s">
        <v>12483</v>
      </c>
      <c r="G2742" s="35">
        <v>354711</v>
      </c>
      <c r="H2742" s="35">
        <v>390410</v>
      </c>
      <c r="I2742" s="35">
        <v>200020</v>
      </c>
      <c r="J2742" s="34" t="s">
        <v>7527</v>
      </c>
      <c r="K2742" s="34" t="str">
        <f t="shared" si="87"/>
        <v>不重复</v>
      </c>
      <c r="L2742" s="34" t="str">
        <f t="shared" si="88"/>
        <v>不重复</v>
      </c>
    </row>
    <row r="2743" spans="1:12" ht="27">
      <c r="A2743" s="35" t="s">
        <v>13166</v>
      </c>
      <c r="B2743" s="35" t="s">
        <v>7528</v>
      </c>
      <c r="C2743" s="36" t="s">
        <v>7529</v>
      </c>
      <c r="D2743" s="35" t="s">
        <v>7530</v>
      </c>
      <c r="E2743" s="35" t="s">
        <v>13154</v>
      </c>
      <c r="F2743" s="35" t="s">
        <v>12483</v>
      </c>
      <c r="G2743" s="35">
        <v>354712</v>
      </c>
      <c r="H2743" s="35">
        <v>390410</v>
      </c>
      <c r="I2743" s="35">
        <v>200020</v>
      </c>
      <c r="J2743" s="34" t="s">
        <v>985</v>
      </c>
      <c r="K2743" s="34" t="str">
        <f t="shared" si="87"/>
        <v>不重复</v>
      </c>
      <c r="L2743" s="34" t="str">
        <f t="shared" si="88"/>
        <v>不重复</v>
      </c>
    </row>
    <row r="2744" spans="1:12" ht="15">
      <c r="A2744" s="35" t="s">
        <v>13167</v>
      </c>
      <c r="B2744" s="35" t="s">
        <v>7531</v>
      </c>
      <c r="C2744" s="36" t="s">
        <v>7532</v>
      </c>
      <c r="D2744" s="35" t="s">
        <v>7533</v>
      </c>
      <c r="E2744" s="35" t="s">
        <v>13154</v>
      </c>
      <c r="F2744" s="35" t="s">
        <v>12483</v>
      </c>
      <c r="G2744" s="35">
        <v>354713</v>
      </c>
      <c r="H2744" s="35">
        <v>390410</v>
      </c>
      <c r="I2744" s="35">
        <v>200020</v>
      </c>
      <c r="J2744" s="34" t="s">
        <v>243</v>
      </c>
      <c r="K2744" s="34" t="str">
        <f t="shared" si="87"/>
        <v>不重复</v>
      </c>
      <c r="L2744" s="34" t="str">
        <f t="shared" si="88"/>
        <v>不重复</v>
      </c>
    </row>
    <row r="2745" spans="1:12" ht="27">
      <c r="A2745" s="35" t="s">
        <v>13168</v>
      </c>
      <c r="B2745" s="35" t="s">
        <v>7534</v>
      </c>
      <c r="C2745" s="36" t="s">
        <v>1771</v>
      </c>
      <c r="D2745" s="35" t="s">
        <v>7535</v>
      </c>
      <c r="E2745" s="35" t="s">
        <v>13154</v>
      </c>
      <c r="F2745" s="35" t="s">
        <v>12483</v>
      </c>
      <c r="G2745" s="35">
        <v>354714</v>
      </c>
      <c r="H2745" s="35">
        <v>390410</v>
      </c>
      <c r="I2745" s="35">
        <v>200020</v>
      </c>
      <c r="J2745" s="34" t="s">
        <v>311</v>
      </c>
      <c r="K2745" s="34" t="str">
        <f t="shared" si="87"/>
        <v>重复</v>
      </c>
      <c r="L2745" s="34" t="str">
        <f t="shared" si="88"/>
        <v>不重复</v>
      </c>
    </row>
    <row r="2746" spans="1:12" ht="27">
      <c r="A2746" s="35" t="s">
        <v>13169</v>
      </c>
      <c r="B2746" s="35" t="s">
        <v>7536</v>
      </c>
      <c r="C2746" s="36" t="s">
        <v>7537</v>
      </c>
      <c r="D2746" s="35" t="s">
        <v>7538</v>
      </c>
      <c r="E2746" s="35" t="s">
        <v>13154</v>
      </c>
      <c r="F2746" s="35" t="s">
        <v>12483</v>
      </c>
      <c r="G2746" s="35">
        <v>354715</v>
      </c>
      <c r="H2746" s="35">
        <v>390410</v>
      </c>
      <c r="I2746" s="35">
        <v>200020</v>
      </c>
      <c r="J2746" s="34" t="s">
        <v>6929</v>
      </c>
      <c r="K2746" s="34" t="str">
        <f t="shared" si="87"/>
        <v>不重复</v>
      </c>
      <c r="L2746" s="34" t="str">
        <f t="shared" si="88"/>
        <v>不重复</v>
      </c>
    </row>
    <row r="2747" spans="1:12" ht="30">
      <c r="A2747" s="35" t="s">
        <v>13170</v>
      </c>
      <c r="B2747" s="35" t="s">
        <v>7539</v>
      </c>
      <c r="C2747" s="36" t="s">
        <v>304</v>
      </c>
      <c r="D2747" s="35" t="s">
        <v>7540</v>
      </c>
      <c r="E2747" s="35" t="s">
        <v>13154</v>
      </c>
      <c r="F2747" s="35" t="s">
        <v>12483</v>
      </c>
      <c r="G2747" s="35">
        <v>354716</v>
      </c>
      <c r="H2747" s="35">
        <v>390410</v>
      </c>
      <c r="I2747" s="35">
        <v>200020</v>
      </c>
      <c r="J2747" s="34" t="s">
        <v>5799</v>
      </c>
      <c r="K2747" s="34" t="str">
        <f t="shared" si="87"/>
        <v>重复</v>
      </c>
      <c r="L2747" s="34" t="str">
        <f t="shared" si="88"/>
        <v>不重复</v>
      </c>
    </row>
    <row r="2748" spans="1:12" ht="30">
      <c r="A2748" s="35" t="s">
        <v>13171</v>
      </c>
      <c r="B2748" s="35" t="s">
        <v>7541</v>
      </c>
      <c r="C2748" s="36" t="s">
        <v>7542</v>
      </c>
      <c r="D2748" s="35" t="s">
        <v>7543</v>
      </c>
      <c r="E2748" s="35" t="s">
        <v>13154</v>
      </c>
      <c r="F2748" s="35" t="s">
        <v>12483</v>
      </c>
      <c r="G2748" s="35">
        <v>354717</v>
      </c>
      <c r="H2748" s="35">
        <v>390410</v>
      </c>
      <c r="I2748" s="35">
        <v>200020</v>
      </c>
      <c r="J2748" s="34" t="s">
        <v>6086</v>
      </c>
      <c r="K2748" s="34" t="str">
        <f t="shared" si="87"/>
        <v>不重复</v>
      </c>
      <c r="L2748" s="34" t="str">
        <f t="shared" si="88"/>
        <v>不重复</v>
      </c>
    </row>
    <row r="2749" spans="1:12" ht="30">
      <c r="A2749" s="35" t="s">
        <v>13172</v>
      </c>
      <c r="B2749" s="35" t="s">
        <v>7544</v>
      </c>
      <c r="C2749" s="36" t="s">
        <v>7095</v>
      </c>
      <c r="D2749" s="35" t="s">
        <v>7545</v>
      </c>
      <c r="E2749" s="35" t="s">
        <v>13154</v>
      </c>
      <c r="F2749" s="35" t="s">
        <v>12483</v>
      </c>
      <c r="G2749" s="35">
        <v>354718</v>
      </c>
      <c r="H2749" s="35">
        <v>390410</v>
      </c>
      <c r="I2749" s="35">
        <v>200020</v>
      </c>
      <c r="J2749" s="34" t="s">
        <v>3269</v>
      </c>
      <c r="K2749" s="34" t="str">
        <f t="shared" si="87"/>
        <v>重复</v>
      </c>
      <c r="L2749" s="34" t="str">
        <f t="shared" si="88"/>
        <v>不重复</v>
      </c>
    </row>
    <row r="2750" spans="1:12" ht="15">
      <c r="A2750" s="35" t="s">
        <v>13173</v>
      </c>
      <c r="B2750" s="35" t="s">
        <v>7546</v>
      </c>
      <c r="C2750" s="36" t="s">
        <v>7547</v>
      </c>
      <c r="D2750" s="35" t="s">
        <v>7548</v>
      </c>
      <c r="E2750" s="35" t="s">
        <v>13154</v>
      </c>
      <c r="F2750" s="35" t="s">
        <v>12483</v>
      </c>
      <c r="G2750" s="35">
        <v>354719</v>
      </c>
      <c r="H2750" s="35">
        <v>390410</v>
      </c>
      <c r="I2750" s="35">
        <v>200020</v>
      </c>
      <c r="J2750" s="34" t="s">
        <v>311</v>
      </c>
      <c r="K2750" s="34" t="str">
        <f t="shared" si="87"/>
        <v>不重复</v>
      </c>
      <c r="L2750" s="34" t="str">
        <f t="shared" si="88"/>
        <v>不重复</v>
      </c>
    </row>
    <row r="2751" spans="1:12" ht="27">
      <c r="A2751" s="35" t="s">
        <v>13174</v>
      </c>
      <c r="B2751" s="35" t="s">
        <v>7549</v>
      </c>
      <c r="C2751" s="36" t="s">
        <v>127</v>
      </c>
      <c r="D2751" s="35" t="s">
        <v>5591</v>
      </c>
      <c r="E2751" s="35" t="s">
        <v>13154</v>
      </c>
      <c r="F2751" s="35" t="s">
        <v>12483</v>
      </c>
      <c r="G2751" s="35">
        <v>354720</v>
      </c>
      <c r="H2751" s="35">
        <v>390410</v>
      </c>
      <c r="I2751" s="35">
        <v>200020</v>
      </c>
      <c r="J2751" s="34" t="s">
        <v>932</v>
      </c>
      <c r="K2751" s="34" t="str">
        <f t="shared" si="87"/>
        <v>重复</v>
      </c>
      <c r="L2751" s="34" t="str">
        <f t="shared" si="88"/>
        <v>重复</v>
      </c>
    </row>
    <row r="2752" spans="1:12" ht="30">
      <c r="A2752" s="35" t="s">
        <v>13175</v>
      </c>
      <c r="B2752" s="35" t="s">
        <v>7550</v>
      </c>
      <c r="C2752" s="36" t="s">
        <v>7551</v>
      </c>
      <c r="D2752" s="35" t="s">
        <v>7552</v>
      </c>
      <c r="E2752" s="35" t="s">
        <v>13154</v>
      </c>
      <c r="F2752" s="35" t="s">
        <v>12483</v>
      </c>
      <c r="G2752" s="35">
        <v>354721</v>
      </c>
      <c r="H2752" s="35">
        <v>390410</v>
      </c>
      <c r="I2752" s="35">
        <v>200020</v>
      </c>
      <c r="J2752" s="34" t="s">
        <v>311</v>
      </c>
      <c r="K2752" s="34" t="str">
        <f t="shared" si="87"/>
        <v>不重复</v>
      </c>
      <c r="L2752" s="34" t="str">
        <f t="shared" si="88"/>
        <v>不重复</v>
      </c>
    </row>
    <row r="2753" spans="1:12" ht="30">
      <c r="A2753" s="35" t="s">
        <v>13176</v>
      </c>
      <c r="B2753" s="35" t="s">
        <v>7553</v>
      </c>
      <c r="C2753" s="36" t="s">
        <v>3321</v>
      </c>
      <c r="D2753" s="35" t="s">
        <v>7554</v>
      </c>
      <c r="E2753" s="35" t="s">
        <v>13154</v>
      </c>
      <c r="F2753" s="35" t="s">
        <v>12483</v>
      </c>
      <c r="G2753" s="35">
        <v>354722</v>
      </c>
      <c r="H2753" s="35">
        <v>390410</v>
      </c>
      <c r="I2753" s="35">
        <v>200020</v>
      </c>
      <c r="J2753" s="34" t="s">
        <v>458</v>
      </c>
      <c r="K2753" s="34" t="str">
        <f t="shared" si="87"/>
        <v>重复</v>
      </c>
      <c r="L2753" s="34" t="str">
        <f t="shared" si="88"/>
        <v>不重复</v>
      </c>
    </row>
    <row r="2754" spans="1:12" ht="15">
      <c r="A2754" s="35" t="s">
        <v>13177</v>
      </c>
      <c r="B2754" s="35" t="s">
        <v>7555</v>
      </c>
      <c r="C2754" s="36" t="s">
        <v>1366</v>
      </c>
      <c r="D2754" s="35" t="s">
        <v>7556</v>
      </c>
      <c r="E2754" s="35" t="s">
        <v>13154</v>
      </c>
      <c r="F2754" s="35" t="s">
        <v>12483</v>
      </c>
      <c r="G2754" s="35">
        <v>354723</v>
      </c>
      <c r="H2754" s="35">
        <v>390410</v>
      </c>
      <c r="I2754" s="35">
        <v>200020</v>
      </c>
      <c r="J2754" s="34" t="s">
        <v>288</v>
      </c>
      <c r="K2754" s="34" t="str">
        <f t="shared" si="87"/>
        <v>重复</v>
      </c>
      <c r="L2754" s="34" t="str">
        <f t="shared" si="88"/>
        <v>不重复</v>
      </c>
    </row>
    <row r="2755" spans="1:12" ht="30">
      <c r="A2755" s="35" t="s">
        <v>13178</v>
      </c>
      <c r="B2755" s="35" t="s">
        <v>7557</v>
      </c>
      <c r="C2755" s="36" t="s">
        <v>7558</v>
      </c>
      <c r="D2755" s="35" t="s">
        <v>1995</v>
      </c>
      <c r="E2755" s="35" t="s">
        <v>13154</v>
      </c>
      <c r="F2755" s="35" t="s">
        <v>12483</v>
      </c>
      <c r="G2755" s="35">
        <v>354724</v>
      </c>
      <c r="H2755" s="35">
        <v>390410</v>
      </c>
      <c r="I2755" s="35">
        <v>200020</v>
      </c>
      <c r="J2755" s="34" t="s">
        <v>1937</v>
      </c>
      <c r="K2755" s="34" t="str">
        <f t="shared" si="87"/>
        <v>重复</v>
      </c>
      <c r="L2755" s="34" t="str">
        <f t="shared" si="88"/>
        <v>重复</v>
      </c>
    </row>
    <row r="2756" spans="1:12" ht="15">
      <c r="A2756" s="35" t="s">
        <v>13179</v>
      </c>
      <c r="B2756" s="35" t="s">
        <v>7559</v>
      </c>
      <c r="C2756" s="36" t="s">
        <v>7560</v>
      </c>
      <c r="D2756" s="35" t="s">
        <v>7561</v>
      </c>
      <c r="E2756" s="35" t="s">
        <v>13154</v>
      </c>
      <c r="F2756" s="35" t="s">
        <v>12483</v>
      </c>
      <c r="G2756" s="35">
        <v>354725</v>
      </c>
      <c r="H2756" s="35">
        <v>390410</v>
      </c>
      <c r="I2756" s="35">
        <v>200020</v>
      </c>
      <c r="J2756" s="34" t="s">
        <v>1937</v>
      </c>
      <c r="K2756" s="34" t="str">
        <f t="shared" si="87"/>
        <v>重复</v>
      </c>
      <c r="L2756" s="34" t="str">
        <f t="shared" si="88"/>
        <v>不重复</v>
      </c>
    </row>
    <row r="2757" spans="1:12" ht="27">
      <c r="A2757" s="35" t="s">
        <v>13180</v>
      </c>
      <c r="B2757" s="35" t="s">
        <v>7562</v>
      </c>
      <c r="C2757" s="36" t="s">
        <v>7563</v>
      </c>
      <c r="D2757" s="35" t="s">
        <v>7564</v>
      </c>
      <c r="E2757" s="35" t="s">
        <v>13154</v>
      </c>
      <c r="F2757" s="35" t="s">
        <v>12483</v>
      </c>
      <c r="G2757" s="35">
        <v>354726</v>
      </c>
      <c r="H2757" s="35">
        <v>390410</v>
      </c>
      <c r="I2757" s="35">
        <v>200020</v>
      </c>
      <c r="J2757" s="34" t="s">
        <v>889</v>
      </c>
      <c r="K2757" s="34" t="str">
        <f t="shared" si="87"/>
        <v>不重复</v>
      </c>
      <c r="L2757" s="34" t="str">
        <f t="shared" si="88"/>
        <v>不重复</v>
      </c>
    </row>
    <row r="2758" spans="1:12" ht="27">
      <c r="A2758" s="35" t="s">
        <v>13181</v>
      </c>
      <c r="B2758" s="35" t="s">
        <v>7565</v>
      </c>
      <c r="C2758" s="36" t="s">
        <v>7566</v>
      </c>
      <c r="D2758" s="35" t="s">
        <v>7567</v>
      </c>
      <c r="E2758" s="35" t="s">
        <v>13154</v>
      </c>
      <c r="F2758" s="35" t="s">
        <v>12483</v>
      </c>
      <c r="G2758" s="35">
        <v>354727</v>
      </c>
      <c r="H2758" s="35">
        <v>390410</v>
      </c>
      <c r="I2758" s="35">
        <v>200020</v>
      </c>
      <c r="J2758" s="34" t="s">
        <v>288</v>
      </c>
      <c r="K2758" s="34" t="str">
        <f t="shared" si="87"/>
        <v>不重复</v>
      </c>
      <c r="L2758" s="34" t="str">
        <f t="shared" si="88"/>
        <v>重复</v>
      </c>
    </row>
    <row r="2759" spans="1:12" ht="27">
      <c r="A2759" s="35" t="s">
        <v>13182</v>
      </c>
      <c r="B2759" s="35" t="s">
        <v>7568</v>
      </c>
      <c r="C2759" s="36" t="s">
        <v>7569</v>
      </c>
      <c r="D2759" s="35" t="s">
        <v>7567</v>
      </c>
      <c r="E2759" s="35" t="s">
        <v>13154</v>
      </c>
      <c r="F2759" s="35" t="s">
        <v>12483</v>
      </c>
      <c r="G2759" s="35">
        <v>354728</v>
      </c>
      <c r="H2759" s="35">
        <v>390410</v>
      </c>
      <c r="I2759" s="35">
        <v>200020</v>
      </c>
      <c r="J2759" s="34" t="s">
        <v>889</v>
      </c>
      <c r="K2759" s="34" t="str">
        <f t="shared" si="87"/>
        <v>不重复</v>
      </c>
      <c r="L2759" s="34" t="str">
        <f t="shared" si="88"/>
        <v>重复</v>
      </c>
    </row>
    <row r="2760" spans="1:12" ht="27">
      <c r="A2760" s="35" t="s">
        <v>13183</v>
      </c>
      <c r="B2760" s="35" t="s">
        <v>7570</v>
      </c>
      <c r="C2760" s="36" t="s">
        <v>4389</v>
      </c>
      <c r="D2760" s="35" t="s">
        <v>7571</v>
      </c>
      <c r="E2760" s="35" t="s">
        <v>13154</v>
      </c>
      <c r="F2760" s="35" t="s">
        <v>12483</v>
      </c>
      <c r="G2760" s="35">
        <v>354729</v>
      </c>
      <c r="H2760" s="35">
        <v>390410</v>
      </c>
      <c r="I2760" s="35">
        <v>200020</v>
      </c>
      <c r="J2760" s="34" t="s">
        <v>288</v>
      </c>
      <c r="K2760" s="34" t="str">
        <f t="shared" si="87"/>
        <v>重复</v>
      </c>
      <c r="L2760" s="34" t="str">
        <f t="shared" si="88"/>
        <v>不重复</v>
      </c>
    </row>
    <row r="2761" spans="1:12" ht="15">
      <c r="A2761" s="35" t="s">
        <v>13184</v>
      </c>
      <c r="B2761" s="35" t="s">
        <v>7572</v>
      </c>
      <c r="C2761" s="36" t="s">
        <v>7560</v>
      </c>
      <c r="D2761" s="35" t="s">
        <v>7573</v>
      </c>
      <c r="E2761" s="35" t="s">
        <v>13154</v>
      </c>
      <c r="F2761" s="35" t="s">
        <v>12483</v>
      </c>
      <c r="G2761" s="35">
        <v>354730</v>
      </c>
      <c r="H2761" s="35">
        <v>390410</v>
      </c>
      <c r="I2761" s="35">
        <v>200020</v>
      </c>
      <c r="J2761" s="34" t="s">
        <v>288</v>
      </c>
      <c r="K2761" s="34" t="str">
        <f t="shared" si="87"/>
        <v>重复</v>
      </c>
      <c r="L2761" s="34" t="str">
        <f t="shared" si="88"/>
        <v>不重复</v>
      </c>
    </row>
    <row r="2762" spans="1:12" ht="15">
      <c r="A2762" s="35" t="s">
        <v>13185</v>
      </c>
      <c r="B2762" s="35" t="s">
        <v>7574</v>
      </c>
      <c r="C2762" s="36" t="s">
        <v>2721</v>
      </c>
      <c r="D2762" s="35" t="s">
        <v>7575</v>
      </c>
      <c r="E2762" s="35" t="s">
        <v>13154</v>
      </c>
      <c r="F2762" s="35" t="s">
        <v>12483</v>
      </c>
      <c r="G2762" s="35">
        <v>354731</v>
      </c>
      <c r="H2762" s="35">
        <v>390410</v>
      </c>
      <c r="I2762" s="35">
        <v>200020</v>
      </c>
      <c r="J2762" s="34" t="s">
        <v>688</v>
      </c>
      <c r="K2762" s="34" t="str">
        <f t="shared" si="87"/>
        <v>重复</v>
      </c>
      <c r="L2762" s="34" t="str">
        <f t="shared" si="88"/>
        <v>不重复</v>
      </c>
    </row>
    <row r="2763" spans="1:12" ht="27">
      <c r="A2763" s="35" t="s">
        <v>13186</v>
      </c>
      <c r="B2763" s="35" t="s">
        <v>7576</v>
      </c>
      <c r="C2763" s="36" t="s">
        <v>7577</v>
      </c>
      <c r="D2763" s="35" t="s">
        <v>7578</v>
      </c>
      <c r="E2763" s="35" t="s">
        <v>13154</v>
      </c>
      <c r="F2763" s="35" t="s">
        <v>12483</v>
      </c>
      <c r="G2763" s="35">
        <v>354732</v>
      </c>
      <c r="H2763" s="35">
        <v>390410</v>
      </c>
      <c r="I2763" s="35">
        <v>200020</v>
      </c>
      <c r="J2763" s="34" t="s">
        <v>932</v>
      </c>
      <c r="K2763" s="34" t="str">
        <f t="shared" si="87"/>
        <v>不重复</v>
      </c>
      <c r="L2763" s="34" t="str">
        <f t="shared" si="88"/>
        <v>不重复</v>
      </c>
    </row>
    <row r="2764" spans="1:12" ht="27">
      <c r="A2764" s="35" t="s">
        <v>13187</v>
      </c>
      <c r="B2764" s="35" t="s">
        <v>7579</v>
      </c>
      <c r="C2764" s="36" t="s">
        <v>7580</v>
      </c>
      <c r="D2764" s="35" t="s">
        <v>7581</v>
      </c>
      <c r="E2764" s="35" t="s">
        <v>13154</v>
      </c>
      <c r="F2764" s="35" t="s">
        <v>12483</v>
      </c>
      <c r="G2764" s="35">
        <v>354733</v>
      </c>
      <c r="H2764" s="35">
        <v>390410</v>
      </c>
      <c r="I2764" s="35">
        <v>200020</v>
      </c>
      <c r="J2764" s="34" t="s">
        <v>3656</v>
      </c>
      <c r="K2764" s="34" t="str">
        <f t="shared" si="89" ref="K2764:K2827">IF(COUNTIF(C:C,C2764)&gt;=2,"重复","不重复")</f>
        <v>不重复</v>
      </c>
      <c r="L2764" s="34" t="str">
        <f t="shared" si="90" ref="L2764:L2827">IF(COUNTIF(D:D,D2764)&gt;=2,"重复","不重复")</f>
        <v>不重复</v>
      </c>
    </row>
    <row r="2765" spans="1:12" ht="27">
      <c r="A2765" s="35" t="s">
        <v>13188</v>
      </c>
      <c r="B2765" s="35" t="s">
        <v>7582</v>
      </c>
      <c r="C2765" s="36" t="s">
        <v>7583</v>
      </c>
      <c r="D2765" s="35" t="s">
        <v>7584</v>
      </c>
      <c r="E2765" s="35" t="s">
        <v>13154</v>
      </c>
      <c r="F2765" s="35" t="s">
        <v>12483</v>
      </c>
      <c r="G2765" s="35">
        <v>354734</v>
      </c>
      <c r="H2765" s="35">
        <v>390410</v>
      </c>
      <c r="I2765" s="35">
        <v>200020</v>
      </c>
      <c r="J2765" s="34" t="s">
        <v>668</v>
      </c>
      <c r="K2765" s="34" t="str">
        <f t="shared" si="89"/>
        <v>不重复</v>
      </c>
      <c r="L2765" s="34" t="str">
        <f t="shared" si="90"/>
        <v>不重复</v>
      </c>
    </row>
    <row r="2766" spans="1:12" ht="27">
      <c r="A2766" s="35" t="s">
        <v>13189</v>
      </c>
      <c r="B2766" s="35" t="s">
        <v>7585</v>
      </c>
      <c r="C2766" s="36" t="s">
        <v>7586</v>
      </c>
      <c r="D2766" s="35" t="s">
        <v>7587</v>
      </c>
      <c r="E2766" s="35" t="s">
        <v>13154</v>
      </c>
      <c r="F2766" s="35" t="s">
        <v>12483</v>
      </c>
      <c r="G2766" s="35">
        <v>354735</v>
      </c>
      <c r="H2766" s="35">
        <v>390410</v>
      </c>
      <c r="I2766" s="35">
        <v>200020</v>
      </c>
      <c r="J2766" s="34" t="s">
        <v>1473</v>
      </c>
      <c r="K2766" s="34" t="str">
        <f t="shared" si="89"/>
        <v>不重复</v>
      </c>
      <c r="L2766" s="34" t="str">
        <f t="shared" si="90"/>
        <v>不重复</v>
      </c>
    </row>
    <row r="2767" spans="1:12" ht="27">
      <c r="A2767" s="35" t="s">
        <v>13190</v>
      </c>
      <c r="B2767" s="35" t="s">
        <v>7588</v>
      </c>
      <c r="C2767" s="36" t="s">
        <v>7589</v>
      </c>
      <c r="D2767" s="35" t="s">
        <v>7590</v>
      </c>
      <c r="E2767" s="35" t="s">
        <v>13154</v>
      </c>
      <c r="F2767" s="35" t="s">
        <v>12483</v>
      </c>
      <c r="G2767" s="35">
        <v>354736</v>
      </c>
      <c r="H2767" s="35">
        <v>390410</v>
      </c>
      <c r="I2767" s="35">
        <v>200020</v>
      </c>
      <c r="J2767" s="34" t="s">
        <v>6080</v>
      </c>
      <c r="K2767" s="34" t="str">
        <f t="shared" si="89"/>
        <v>重复</v>
      </c>
      <c r="L2767" s="34" t="str">
        <f t="shared" si="90"/>
        <v>不重复</v>
      </c>
    </row>
    <row r="2768" spans="1:12" ht="30">
      <c r="A2768" s="35" t="s">
        <v>13191</v>
      </c>
      <c r="B2768" s="35" t="s">
        <v>7591</v>
      </c>
      <c r="C2768" s="36" t="s">
        <v>7592</v>
      </c>
      <c r="D2768" s="35" t="s">
        <v>7593</v>
      </c>
      <c r="E2768" s="35" t="s">
        <v>13154</v>
      </c>
      <c r="F2768" s="35" t="s">
        <v>12483</v>
      </c>
      <c r="G2768" s="35">
        <v>354737</v>
      </c>
      <c r="H2768" s="35">
        <v>390410</v>
      </c>
      <c r="I2768" s="35">
        <v>200020</v>
      </c>
      <c r="J2768" s="34" t="s">
        <v>363</v>
      </c>
      <c r="K2768" s="34" t="str">
        <f t="shared" si="89"/>
        <v>不重复</v>
      </c>
      <c r="L2768" s="34" t="str">
        <f t="shared" si="90"/>
        <v>不重复</v>
      </c>
    </row>
    <row r="2769" spans="1:12" ht="27">
      <c r="A2769" s="35" t="s">
        <v>13192</v>
      </c>
      <c r="B2769" s="35" t="s">
        <v>7594</v>
      </c>
      <c r="C2769" s="36" t="s">
        <v>7595</v>
      </c>
      <c r="D2769" s="35" t="s">
        <v>7596</v>
      </c>
      <c r="E2769" s="35" t="s">
        <v>13154</v>
      </c>
      <c r="F2769" s="35" t="s">
        <v>12483</v>
      </c>
      <c r="G2769" s="35">
        <v>354738</v>
      </c>
      <c r="H2769" s="35">
        <v>390410</v>
      </c>
      <c r="I2769" s="35">
        <v>200020</v>
      </c>
      <c r="J2769" s="34" t="s">
        <v>363</v>
      </c>
      <c r="K2769" s="34" t="str">
        <f t="shared" si="89"/>
        <v>不重复</v>
      </c>
      <c r="L2769" s="34" t="str">
        <f t="shared" si="90"/>
        <v>不重复</v>
      </c>
    </row>
    <row r="2770" spans="1:12" ht="27">
      <c r="A2770" s="35" t="s">
        <v>13193</v>
      </c>
      <c r="B2770" s="35" t="s">
        <v>7597</v>
      </c>
      <c r="C2770" s="36" t="s">
        <v>7598</v>
      </c>
      <c r="D2770" s="35" t="s">
        <v>7599</v>
      </c>
      <c r="E2770" s="35" t="s">
        <v>13154</v>
      </c>
      <c r="F2770" s="35" t="s">
        <v>12483</v>
      </c>
      <c r="G2770" s="35">
        <v>354739</v>
      </c>
      <c r="H2770" s="35">
        <v>390410</v>
      </c>
      <c r="I2770" s="35">
        <v>200020</v>
      </c>
      <c r="J2770" s="34" t="s">
        <v>1040</v>
      </c>
      <c r="K2770" s="34" t="str">
        <f t="shared" si="89"/>
        <v>不重复</v>
      </c>
      <c r="L2770" s="34" t="str">
        <f t="shared" si="90"/>
        <v>不重复</v>
      </c>
    </row>
    <row r="2771" spans="1:12" ht="27">
      <c r="A2771" s="35" t="s">
        <v>13194</v>
      </c>
      <c r="B2771" s="35" t="s">
        <v>7600</v>
      </c>
      <c r="C2771" s="36" t="s">
        <v>7589</v>
      </c>
      <c r="D2771" s="35" t="s">
        <v>7601</v>
      </c>
      <c r="E2771" s="35" t="s">
        <v>13154</v>
      </c>
      <c r="F2771" s="35" t="s">
        <v>12483</v>
      </c>
      <c r="G2771" s="35">
        <v>354740</v>
      </c>
      <c r="H2771" s="35">
        <v>390410</v>
      </c>
      <c r="I2771" s="35">
        <v>200020</v>
      </c>
      <c r="J2771" s="34" t="s">
        <v>363</v>
      </c>
      <c r="K2771" s="34" t="str">
        <f t="shared" si="89"/>
        <v>重复</v>
      </c>
      <c r="L2771" s="34" t="str">
        <f t="shared" si="90"/>
        <v>不重复</v>
      </c>
    </row>
    <row r="2772" spans="1:12" ht="27">
      <c r="A2772" s="35" t="s">
        <v>13195</v>
      </c>
      <c r="B2772" s="35" t="s">
        <v>7602</v>
      </c>
      <c r="C2772" s="36" t="s">
        <v>1323</v>
      </c>
      <c r="D2772" s="35" t="s">
        <v>7603</v>
      </c>
      <c r="E2772" s="35" t="s">
        <v>13154</v>
      </c>
      <c r="F2772" s="35" t="s">
        <v>12483</v>
      </c>
      <c r="G2772" s="35">
        <v>354741</v>
      </c>
      <c r="H2772" s="35">
        <v>390410</v>
      </c>
      <c r="I2772" s="35">
        <v>200020</v>
      </c>
      <c r="J2772" s="34" t="s">
        <v>363</v>
      </c>
      <c r="K2772" s="34" t="str">
        <f t="shared" si="89"/>
        <v>重复</v>
      </c>
      <c r="L2772" s="34" t="str">
        <f t="shared" si="90"/>
        <v>不重复</v>
      </c>
    </row>
    <row r="2773" spans="1:12" ht="30">
      <c r="A2773" s="35" t="s">
        <v>13196</v>
      </c>
      <c r="B2773" s="35" t="s">
        <v>7604</v>
      </c>
      <c r="C2773" s="36" t="s">
        <v>7358</v>
      </c>
      <c r="D2773" s="35" t="s">
        <v>5616</v>
      </c>
      <c r="E2773" s="35" t="s">
        <v>13154</v>
      </c>
      <c r="F2773" s="35" t="s">
        <v>12483</v>
      </c>
      <c r="G2773" s="35">
        <v>354742</v>
      </c>
      <c r="H2773" s="35">
        <v>390410</v>
      </c>
      <c r="I2773" s="35">
        <v>200020</v>
      </c>
      <c r="J2773" s="34" t="s">
        <v>932</v>
      </c>
      <c r="K2773" s="34" t="str">
        <f t="shared" si="89"/>
        <v>重复</v>
      </c>
      <c r="L2773" s="34" t="str">
        <f t="shared" si="90"/>
        <v>重复</v>
      </c>
    </row>
    <row r="2774" spans="1:12" ht="27">
      <c r="A2774" s="35" t="s">
        <v>13197</v>
      </c>
      <c r="B2774" s="35" t="s">
        <v>7605</v>
      </c>
      <c r="C2774" s="36" t="s">
        <v>7606</v>
      </c>
      <c r="D2774" s="35" t="s">
        <v>5616</v>
      </c>
      <c r="E2774" s="35" t="s">
        <v>13154</v>
      </c>
      <c r="F2774" s="35" t="s">
        <v>12483</v>
      </c>
      <c r="G2774" s="35">
        <v>354743</v>
      </c>
      <c r="H2774" s="35">
        <v>390410</v>
      </c>
      <c r="I2774" s="35">
        <v>200020</v>
      </c>
      <c r="J2774" s="34" t="s">
        <v>1937</v>
      </c>
      <c r="K2774" s="34" t="str">
        <f t="shared" si="89"/>
        <v>重复</v>
      </c>
      <c r="L2774" s="34" t="str">
        <f t="shared" si="90"/>
        <v>重复</v>
      </c>
    </row>
    <row r="2775" spans="1:12" ht="27">
      <c r="A2775" s="35" t="s">
        <v>13198</v>
      </c>
      <c r="B2775" s="35" t="s">
        <v>7607</v>
      </c>
      <c r="C2775" s="36" t="s">
        <v>7312</v>
      </c>
      <c r="D2775" s="35" t="s">
        <v>7608</v>
      </c>
      <c r="E2775" s="35" t="s">
        <v>13154</v>
      </c>
      <c r="F2775" s="35" t="s">
        <v>12483</v>
      </c>
      <c r="G2775" s="35">
        <v>354744</v>
      </c>
      <c r="H2775" s="35">
        <v>390410</v>
      </c>
      <c r="I2775" s="35">
        <v>200020</v>
      </c>
      <c r="J2775" s="34" t="s">
        <v>5799</v>
      </c>
      <c r="K2775" s="34" t="str">
        <f t="shared" si="89"/>
        <v>重复</v>
      </c>
      <c r="L2775" s="34" t="str">
        <f t="shared" si="90"/>
        <v>重复</v>
      </c>
    </row>
    <row r="2776" spans="1:12" ht="27">
      <c r="A2776" s="35" t="s">
        <v>13199</v>
      </c>
      <c r="B2776" s="35" t="s">
        <v>7609</v>
      </c>
      <c r="C2776" s="36" t="s">
        <v>2187</v>
      </c>
      <c r="D2776" s="35" t="s">
        <v>7608</v>
      </c>
      <c r="E2776" s="35" t="s">
        <v>13154</v>
      </c>
      <c r="F2776" s="35" t="s">
        <v>12483</v>
      </c>
      <c r="G2776" s="35">
        <v>354745</v>
      </c>
      <c r="H2776" s="35">
        <v>390410</v>
      </c>
      <c r="I2776" s="35">
        <v>200020</v>
      </c>
      <c r="J2776" s="34" t="s">
        <v>363</v>
      </c>
      <c r="K2776" s="34" t="str">
        <f t="shared" si="89"/>
        <v>重复</v>
      </c>
      <c r="L2776" s="34" t="str">
        <f t="shared" si="90"/>
        <v>重复</v>
      </c>
    </row>
    <row r="2777" spans="1:12" ht="27">
      <c r="A2777" s="35" t="s">
        <v>13200</v>
      </c>
      <c r="B2777" s="35" t="s">
        <v>7610</v>
      </c>
      <c r="C2777" s="36" t="s">
        <v>7611</v>
      </c>
      <c r="D2777" s="35" t="s">
        <v>7612</v>
      </c>
      <c r="E2777" s="35" t="s">
        <v>13154</v>
      </c>
      <c r="F2777" s="35" t="s">
        <v>12483</v>
      </c>
      <c r="G2777" s="35">
        <v>354746</v>
      </c>
      <c r="H2777" s="35">
        <v>390410</v>
      </c>
      <c r="I2777" s="35">
        <v>200020</v>
      </c>
      <c r="J2777" s="34" t="s">
        <v>932</v>
      </c>
      <c r="K2777" s="34" t="str">
        <f t="shared" si="89"/>
        <v>不重复</v>
      </c>
      <c r="L2777" s="34" t="str">
        <f t="shared" si="90"/>
        <v>不重复</v>
      </c>
    </row>
    <row r="2778" spans="1:12" ht="27">
      <c r="A2778" s="35" t="s">
        <v>13201</v>
      </c>
      <c r="B2778" s="35" t="s">
        <v>7613</v>
      </c>
      <c r="C2778" s="36" t="s">
        <v>983</v>
      </c>
      <c r="D2778" s="35" t="s">
        <v>7614</v>
      </c>
      <c r="E2778" s="35" t="s">
        <v>13154</v>
      </c>
      <c r="F2778" s="35" t="s">
        <v>12483</v>
      </c>
      <c r="G2778" s="35">
        <v>354747</v>
      </c>
      <c r="H2778" s="35">
        <v>390410</v>
      </c>
      <c r="I2778" s="35">
        <v>200020</v>
      </c>
      <c r="J2778" s="34" t="s">
        <v>932</v>
      </c>
      <c r="K2778" s="34" t="str">
        <f t="shared" si="89"/>
        <v>重复</v>
      </c>
      <c r="L2778" s="34" t="str">
        <f t="shared" si="90"/>
        <v>不重复</v>
      </c>
    </row>
    <row r="2779" spans="1:12" ht="27">
      <c r="A2779" s="35" t="s">
        <v>13202</v>
      </c>
      <c r="B2779" s="35" t="s">
        <v>7615</v>
      </c>
      <c r="C2779" s="36" t="s">
        <v>7606</v>
      </c>
      <c r="D2779" s="35" t="s">
        <v>7616</v>
      </c>
      <c r="E2779" s="35" t="s">
        <v>13154</v>
      </c>
      <c r="F2779" s="35" t="s">
        <v>12483</v>
      </c>
      <c r="G2779" s="35">
        <v>354748</v>
      </c>
      <c r="H2779" s="35">
        <v>390410</v>
      </c>
      <c r="I2779" s="35">
        <v>200020</v>
      </c>
      <c r="J2779" s="34" t="s">
        <v>668</v>
      </c>
      <c r="K2779" s="34" t="str">
        <f t="shared" si="89"/>
        <v>重复</v>
      </c>
      <c r="L2779" s="34" t="str">
        <f t="shared" si="90"/>
        <v>不重复</v>
      </c>
    </row>
    <row r="2780" spans="1:12" ht="30">
      <c r="A2780" s="35" t="s">
        <v>13203</v>
      </c>
      <c r="B2780" s="35" t="s">
        <v>7617</v>
      </c>
      <c r="C2780" s="36" t="s">
        <v>7618</v>
      </c>
      <c r="D2780" s="35" t="s">
        <v>7619</v>
      </c>
      <c r="E2780" s="35" t="s">
        <v>13154</v>
      </c>
      <c r="F2780" s="35" t="s">
        <v>12483</v>
      </c>
      <c r="G2780" s="35">
        <v>354749</v>
      </c>
      <c r="H2780" s="35">
        <v>390410</v>
      </c>
      <c r="I2780" s="35">
        <v>200020</v>
      </c>
      <c r="J2780" s="34" t="s">
        <v>7620</v>
      </c>
      <c r="K2780" s="34" t="str">
        <f t="shared" si="89"/>
        <v>不重复</v>
      </c>
      <c r="L2780" s="34" t="str">
        <f t="shared" si="90"/>
        <v>不重复</v>
      </c>
    </row>
    <row r="2781" spans="1:12" ht="27">
      <c r="A2781" s="35" t="s">
        <v>13204</v>
      </c>
      <c r="B2781" s="35" t="s">
        <v>7621</v>
      </c>
      <c r="C2781" s="36" t="s">
        <v>5648</v>
      </c>
      <c r="D2781" s="35" t="s">
        <v>7622</v>
      </c>
      <c r="E2781" s="35" t="s">
        <v>13154</v>
      </c>
      <c r="F2781" s="35" t="s">
        <v>12483</v>
      </c>
      <c r="G2781" s="35">
        <v>354750</v>
      </c>
      <c r="H2781" s="35">
        <v>390410</v>
      </c>
      <c r="I2781" s="35">
        <v>200020</v>
      </c>
      <c r="J2781" s="34" t="s">
        <v>7623</v>
      </c>
      <c r="K2781" s="34" t="str">
        <f t="shared" si="89"/>
        <v>重复</v>
      </c>
      <c r="L2781" s="34" t="str">
        <f t="shared" si="90"/>
        <v>不重复</v>
      </c>
    </row>
    <row r="2782" spans="1:12" ht="30">
      <c r="A2782" s="35" t="s">
        <v>13205</v>
      </c>
      <c r="B2782" s="35" t="s">
        <v>7624</v>
      </c>
      <c r="C2782" s="36" t="s">
        <v>977</v>
      </c>
      <c r="D2782" s="35" t="s">
        <v>7625</v>
      </c>
      <c r="E2782" s="35" t="s">
        <v>13154</v>
      </c>
      <c r="F2782" s="35" t="s">
        <v>12483</v>
      </c>
      <c r="G2782" s="35">
        <v>354751</v>
      </c>
      <c r="H2782" s="35">
        <v>390410</v>
      </c>
      <c r="I2782" s="35">
        <v>200020</v>
      </c>
      <c r="J2782" s="34" t="s">
        <v>715</v>
      </c>
      <c r="K2782" s="34" t="str">
        <f t="shared" si="89"/>
        <v>重复</v>
      </c>
      <c r="L2782" s="34" t="str">
        <f t="shared" si="90"/>
        <v>不重复</v>
      </c>
    </row>
    <row r="2783" spans="1:12" ht="27">
      <c r="A2783" s="35" t="s">
        <v>13206</v>
      </c>
      <c r="B2783" s="35" t="s">
        <v>7626</v>
      </c>
      <c r="C2783" s="36" t="s">
        <v>7627</v>
      </c>
      <c r="D2783" s="35" t="s">
        <v>7628</v>
      </c>
      <c r="E2783" s="35" t="s">
        <v>13154</v>
      </c>
      <c r="F2783" s="35" t="s">
        <v>12483</v>
      </c>
      <c r="G2783" s="35">
        <v>354752</v>
      </c>
      <c r="H2783" s="35">
        <v>390410</v>
      </c>
      <c r="I2783" s="35">
        <v>200020</v>
      </c>
      <c r="J2783" s="34" t="s">
        <v>363</v>
      </c>
      <c r="K2783" s="34" t="str">
        <f t="shared" si="89"/>
        <v>不重复</v>
      </c>
      <c r="L2783" s="34" t="str">
        <f t="shared" si="90"/>
        <v>不重复</v>
      </c>
    </row>
    <row r="2784" spans="1:12" ht="30">
      <c r="A2784" s="35" t="s">
        <v>13207</v>
      </c>
      <c r="B2784" s="35" t="s">
        <v>7629</v>
      </c>
      <c r="C2784" s="36" t="s">
        <v>7630</v>
      </c>
      <c r="D2784" s="35" t="s">
        <v>7631</v>
      </c>
      <c r="E2784" s="35" t="s">
        <v>13154</v>
      </c>
      <c r="F2784" s="35" t="s">
        <v>12483</v>
      </c>
      <c r="G2784" s="35">
        <v>354753</v>
      </c>
      <c r="H2784" s="35">
        <v>390410</v>
      </c>
      <c r="I2784" s="35">
        <v>200020</v>
      </c>
      <c r="J2784" s="34" t="s">
        <v>363</v>
      </c>
      <c r="K2784" s="34" t="str">
        <f t="shared" si="89"/>
        <v>不重复</v>
      </c>
      <c r="L2784" s="34" t="str">
        <f t="shared" si="90"/>
        <v>不重复</v>
      </c>
    </row>
    <row r="2785" spans="1:12" ht="27">
      <c r="A2785" s="35" t="s">
        <v>13208</v>
      </c>
      <c r="B2785" s="35" t="s">
        <v>7632</v>
      </c>
      <c r="C2785" s="36" t="s">
        <v>6045</v>
      </c>
      <c r="D2785" s="35" t="s">
        <v>7633</v>
      </c>
      <c r="E2785" s="35" t="s">
        <v>13154</v>
      </c>
      <c r="F2785" s="35" t="s">
        <v>12483</v>
      </c>
      <c r="G2785" s="35">
        <v>354754</v>
      </c>
      <c r="H2785" s="35">
        <v>390410</v>
      </c>
      <c r="I2785" s="35">
        <v>200020</v>
      </c>
      <c r="J2785" s="34" t="s">
        <v>137</v>
      </c>
      <c r="K2785" s="34" t="str">
        <f t="shared" si="89"/>
        <v>重复</v>
      </c>
      <c r="L2785" s="34" t="str">
        <f t="shared" si="90"/>
        <v>不重复</v>
      </c>
    </row>
    <row r="2786" spans="1:12" ht="27">
      <c r="A2786" s="35" t="s">
        <v>13209</v>
      </c>
      <c r="B2786" s="35" t="s">
        <v>7634</v>
      </c>
      <c r="C2786" s="36" t="s">
        <v>7635</v>
      </c>
      <c r="D2786" s="35" t="s">
        <v>7636</v>
      </c>
      <c r="E2786" s="35" t="s">
        <v>13154</v>
      </c>
      <c r="F2786" s="35" t="s">
        <v>12483</v>
      </c>
      <c r="G2786" s="35">
        <v>354755</v>
      </c>
      <c r="H2786" s="35">
        <v>390410</v>
      </c>
      <c r="I2786" s="35">
        <v>200020</v>
      </c>
      <c r="J2786" s="34" t="s">
        <v>311</v>
      </c>
      <c r="K2786" s="34" t="str">
        <f t="shared" si="89"/>
        <v>不重复</v>
      </c>
      <c r="L2786" s="34" t="str">
        <f t="shared" si="90"/>
        <v>不重复</v>
      </c>
    </row>
    <row r="2787" spans="1:12" ht="30">
      <c r="A2787" s="35" t="s">
        <v>13210</v>
      </c>
      <c r="B2787" s="35" t="s">
        <v>7637</v>
      </c>
      <c r="C2787" s="36" t="s">
        <v>7638</v>
      </c>
      <c r="D2787" s="35" t="s">
        <v>7639</v>
      </c>
      <c r="E2787" s="35" t="s">
        <v>13154</v>
      </c>
      <c r="F2787" s="35" t="s">
        <v>12483</v>
      </c>
      <c r="G2787" s="35">
        <v>354756</v>
      </c>
      <c r="H2787" s="35">
        <v>390410</v>
      </c>
      <c r="I2787" s="35">
        <v>200020</v>
      </c>
      <c r="J2787" s="34" t="s">
        <v>347</v>
      </c>
      <c r="K2787" s="34" t="str">
        <f t="shared" si="89"/>
        <v>不重复</v>
      </c>
      <c r="L2787" s="34" t="str">
        <f t="shared" si="90"/>
        <v>不重复</v>
      </c>
    </row>
    <row r="2788" spans="1:12" ht="15">
      <c r="A2788" s="35" t="s">
        <v>13211</v>
      </c>
      <c r="B2788" s="35" t="s">
        <v>7640</v>
      </c>
      <c r="C2788" s="36" t="s">
        <v>7641</v>
      </c>
      <c r="D2788" s="35" t="s">
        <v>7642</v>
      </c>
      <c r="E2788" s="35" t="s">
        <v>13154</v>
      </c>
      <c r="F2788" s="35" t="s">
        <v>12483</v>
      </c>
      <c r="G2788" s="35">
        <v>354833</v>
      </c>
      <c r="H2788" s="35">
        <v>390410</v>
      </c>
      <c r="I2788" s="35">
        <v>200020</v>
      </c>
      <c r="J2788" s="34"/>
      <c r="K2788" s="34" t="str">
        <f t="shared" si="89"/>
        <v>不重复</v>
      </c>
      <c r="L2788" s="34" t="str">
        <f t="shared" si="90"/>
        <v>不重复</v>
      </c>
    </row>
    <row r="2789" spans="1:12" ht="27">
      <c r="A2789" s="35" t="s">
        <v>13212</v>
      </c>
      <c r="B2789" s="35" t="s">
        <v>7643</v>
      </c>
      <c r="C2789" s="36" t="s">
        <v>7644</v>
      </c>
      <c r="D2789" s="35" t="s">
        <v>4827</v>
      </c>
      <c r="E2789" s="35" t="s">
        <v>13154</v>
      </c>
      <c r="F2789" s="35" t="s">
        <v>12483</v>
      </c>
      <c r="G2789" s="35">
        <v>354757</v>
      </c>
      <c r="H2789" s="35">
        <v>390410</v>
      </c>
      <c r="I2789" s="35">
        <v>200020</v>
      </c>
      <c r="J2789" s="34" t="s">
        <v>985</v>
      </c>
      <c r="K2789" s="34" t="str">
        <f t="shared" si="89"/>
        <v>重复</v>
      </c>
      <c r="L2789" s="34" t="str">
        <f t="shared" si="90"/>
        <v>重复</v>
      </c>
    </row>
    <row r="2790" spans="1:12" ht="30">
      <c r="A2790" s="35" t="s">
        <v>13213</v>
      </c>
      <c r="B2790" s="35" t="s">
        <v>7645</v>
      </c>
      <c r="C2790" s="36" t="s">
        <v>272</v>
      </c>
      <c r="D2790" s="35" t="s">
        <v>3262</v>
      </c>
      <c r="E2790" s="35" t="s">
        <v>13154</v>
      </c>
      <c r="F2790" s="35" t="s">
        <v>12483</v>
      </c>
      <c r="G2790" s="35">
        <v>354758</v>
      </c>
      <c r="H2790" s="35">
        <v>390410</v>
      </c>
      <c r="I2790" s="35">
        <v>200020</v>
      </c>
      <c r="J2790" s="34" t="s">
        <v>985</v>
      </c>
      <c r="K2790" s="34" t="str">
        <f t="shared" si="89"/>
        <v>重复</v>
      </c>
      <c r="L2790" s="34" t="str">
        <f t="shared" si="90"/>
        <v>重复</v>
      </c>
    </row>
    <row r="2791" spans="1:12" ht="30">
      <c r="A2791" s="35" t="s">
        <v>13214</v>
      </c>
      <c r="B2791" s="35" t="s">
        <v>7646</v>
      </c>
      <c r="C2791" s="36" t="s">
        <v>7647</v>
      </c>
      <c r="D2791" s="35" t="s">
        <v>7648</v>
      </c>
      <c r="E2791" s="35" t="s">
        <v>13154</v>
      </c>
      <c r="F2791" s="35" t="s">
        <v>12483</v>
      </c>
      <c r="G2791" s="35">
        <v>354759</v>
      </c>
      <c r="H2791" s="35">
        <v>390410</v>
      </c>
      <c r="I2791" s="35">
        <v>200020</v>
      </c>
      <c r="J2791" s="34" t="s">
        <v>288</v>
      </c>
      <c r="K2791" s="34" t="str">
        <f t="shared" si="89"/>
        <v>不重复</v>
      </c>
      <c r="L2791" s="34" t="str">
        <f t="shared" si="90"/>
        <v>不重复</v>
      </c>
    </row>
    <row r="2792" spans="1:12" ht="27">
      <c r="A2792" s="35" t="s">
        <v>13215</v>
      </c>
      <c r="B2792" s="35" t="s">
        <v>7649</v>
      </c>
      <c r="C2792" s="36" t="s">
        <v>6193</v>
      </c>
      <c r="D2792" s="35" t="s">
        <v>7650</v>
      </c>
      <c r="E2792" s="35" t="s">
        <v>13154</v>
      </c>
      <c r="F2792" s="35" t="s">
        <v>12483</v>
      </c>
      <c r="G2792" s="35">
        <v>354760</v>
      </c>
      <c r="H2792" s="35">
        <v>390410</v>
      </c>
      <c r="I2792" s="35">
        <v>200020</v>
      </c>
      <c r="J2792" s="34" t="s">
        <v>5548</v>
      </c>
      <c r="K2792" s="34" t="str">
        <f t="shared" si="89"/>
        <v>重复</v>
      </c>
      <c r="L2792" s="34" t="str">
        <f t="shared" si="90"/>
        <v>不重复</v>
      </c>
    </row>
    <row r="2793" spans="1:12" ht="27">
      <c r="A2793" s="35" t="s">
        <v>13216</v>
      </c>
      <c r="B2793" s="35" t="s">
        <v>7651</v>
      </c>
      <c r="C2793" s="36" t="s">
        <v>7652</v>
      </c>
      <c r="D2793" s="35" t="s">
        <v>7653</v>
      </c>
      <c r="E2793" s="35" t="s">
        <v>13154</v>
      </c>
      <c r="F2793" s="35" t="s">
        <v>12483</v>
      </c>
      <c r="G2793" s="35">
        <v>354761</v>
      </c>
      <c r="H2793" s="35">
        <v>390410</v>
      </c>
      <c r="I2793" s="35">
        <v>200020</v>
      </c>
      <c r="J2793" s="34" t="s">
        <v>5799</v>
      </c>
      <c r="K2793" s="34" t="str">
        <f t="shared" si="89"/>
        <v>不重复</v>
      </c>
      <c r="L2793" s="34" t="str">
        <f t="shared" si="90"/>
        <v>不重复</v>
      </c>
    </row>
    <row r="2794" spans="1:12" ht="15">
      <c r="A2794" s="35" t="s">
        <v>13217</v>
      </c>
      <c r="B2794" s="35" t="s">
        <v>7654</v>
      </c>
      <c r="C2794" s="36" t="s">
        <v>7655</v>
      </c>
      <c r="D2794" s="35" t="s">
        <v>7656</v>
      </c>
      <c r="E2794" s="35" t="s">
        <v>13154</v>
      </c>
      <c r="F2794" s="35" t="s">
        <v>12483</v>
      </c>
      <c r="G2794" s="35">
        <v>354762</v>
      </c>
      <c r="H2794" s="35">
        <v>390410</v>
      </c>
      <c r="I2794" s="35">
        <v>200020</v>
      </c>
      <c r="J2794" s="34" t="s">
        <v>932</v>
      </c>
      <c r="K2794" s="34" t="str">
        <f t="shared" si="89"/>
        <v>重复</v>
      </c>
      <c r="L2794" s="34" t="str">
        <f t="shared" si="90"/>
        <v>不重复</v>
      </c>
    </row>
    <row r="2795" spans="1:12" ht="27">
      <c r="A2795" s="35" t="s">
        <v>13218</v>
      </c>
      <c r="B2795" s="35" t="s">
        <v>7657</v>
      </c>
      <c r="C2795" s="36" t="s">
        <v>1768</v>
      </c>
      <c r="D2795" s="35" t="s">
        <v>7658</v>
      </c>
      <c r="E2795" s="35" t="s">
        <v>13154</v>
      </c>
      <c r="F2795" s="35" t="s">
        <v>12483</v>
      </c>
      <c r="G2795" s="35">
        <v>354763</v>
      </c>
      <c r="H2795" s="35">
        <v>390410</v>
      </c>
      <c r="I2795" s="35">
        <v>200020</v>
      </c>
      <c r="J2795" s="34" t="s">
        <v>7659</v>
      </c>
      <c r="K2795" s="34" t="str">
        <f t="shared" si="89"/>
        <v>重复</v>
      </c>
      <c r="L2795" s="34" t="str">
        <f t="shared" si="90"/>
        <v>不重复</v>
      </c>
    </row>
    <row r="2796" spans="1:12" ht="30">
      <c r="A2796" s="35" t="s">
        <v>13219</v>
      </c>
      <c r="B2796" s="35" t="s">
        <v>7660</v>
      </c>
      <c r="C2796" s="36" t="s">
        <v>7661</v>
      </c>
      <c r="D2796" s="35" t="s">
        <v>7662</v>
      </c>
      <c r="E2796" s="35" t="s">
        <v>13154</v>
      </c>
      <c r="F2796" s="35" t="s">
        <v>12483</v>
      </c>
      <c r="G2796" s="35">
        <v>354764</v>
      </c>
      <c r="H2796" s="35">
        <v>390410</v>
      </c>
      <c r="I2796" s="35">
        <v>200020</v>
      </c>
      <c r="J2796" s="34" t="s">
        <v>932</v>
      </c>
      <c r="K2796" s="34" t="str">
        <f t="shared" si="89"/>
        <v>不重复</v>
      </c>
      <c r="L2796" s="34" t="str">
        <f t="shared" si="90"/>
        <v>不重复</v>
      </c>
    </row>
    <row r="2797" spans="1:12" ht="30">
      <c r="A2797" s="35" t="s">
        <v>13220</v>
      </c>
      <c r="B2797" s="35" t="s">
        <v>7663</v>
      </c>
      <c r="C2797" s="36" t="s">
        <v>5539</v>
      </c>
      <c r="D2797" s="35" t="s">
        <v>7664</v>
      </c>
      <c r="E2797" s="35" t="s">
        <v>13154</v>
      </c>
      <c r="F2797" s="35" t="s">
        <v>12483</v>
      </c>
      <c r="G2797" s="35">
        <v>354765</v>
      </c>
      <c r="H2797" s="35">
        <v>390410</v>
      </c>
      <c r="I2797" s="35">
        <v>200020</v>
      </c>
      <c r="J2797" s="34" t="s">
        <v>4252</v>
      </c>
      <c r="K2797" s="34" t="str">
        <f t="shared" si="89"/>
        <v>重复</v>
      </c>
      <c r="L2797" s="34" t="str">
        <f t="shared" si="90"/>
        <v>不重复</v>
      </c>
    </row>
    <row r="2798" spans="1:12" ht="27">
      <c r="A2798" s="35" t="s">
        <v>13221</v>
      </c>
      <c r="B2798" s="35" t="s">
        <v>7665</v>
      </c>
      <c r="C2798" s="36" t="s">
        <v>7666</v>
      </c>
      <c r="D2798" s="35" t="s">
        <v>6362</v>
      </c>
      <c r="E2798" s="35" t="s">
        <v>13154</v>
      </c>
      <c r="F2798" s="35" t="s">
        <v>12483</v>
      </c>
      <c r="G2798" s="35">
        <v>354766</v>
      </c>
      <c r="H2798" s="35">
        <v>390410</v>
      </c>
      <c r="I2798" s="35">
        <v>200020</v>
      </c>
      <c r="J2798" s="34" t="s">
        <v>681</v>
      </c>
      <c r="K2798" s="34" t="str">
        <f t="shared" si="89"/>
        <v>不重复</v>
      </c>
      <c r="L2798" s="34" t="str">
        <f t="shared" si="90"/>
        <v>重复</v>
      </c>
    </row>
    <row r="2799" spans="1:12" ht="27">
      <c r="A2799" s="35" t="s">
        <v>13222</v>
      </c>
      <c r="B2799" s="35" t="s">
        <v>7667</v>
      </c>
      <c r="C2799" s="36" t="s">
        <v>7668</v>
      </c>
      <c r="D2799" s="35" t="s">
        <v>7669</v>
      </c>
      <c r="E2799" s="35" t="s">
        <v>13154</v>
      </c>
      <c r="F2799" s="35" t="s">
        <v>12483</v>
      </c>
      <c r="G2799" s="35">
        <v>354767</v>
      </c>
      <c r="H2799" s="35">
        <v>390410</v>
      </c>
      <c r="I2799" s="35">
        <v>200020</v>
      </c>
      <c r="J2799" s="34" t="s">
        <v>5329</v>
      </c>
      <c r="K2799" s="34" t="str">
        <f t="shared" si="89"/>
        <v>重复</v>
      </c>
      <c r="L2799" s="34" t="str">
        <f t="shared" si="90"/>
        <v>重复</v>
      </c>
    </row>
    <row r="2800" spans="1:12" ht="27">
      <c r="A2800" s="35" t="s">
        <v>13223</v>
      </c>
      <c r="B2800" s="35" t="s">
        <v>7670</v>
      </c>
      <c r="C2800" s="36" t="s">
        <v>7671</v>
      </c>
      <c r="D2800" s="35" t="s">
        <v>7672</v>
      </c>
      <c r="E2800" s="35" t="s">
        <v>13154</v>
      </c>
      <c r="F2800" s="35" t="s">
        <v>12483</v>
      </c>
      <c r="G2800" s="35">
        <v>354768</v>
      </c>
      <c r="H2800" s="35">
        <v>390410</v>
      </c>
      <c r="I2800" s="35">
        <v>200020</v>
      </c>
      <c r="J2800" s="34" t="s">
        <v>347</v>
      </c>
      <c r="K2800" s="34" t="str">
        <f t="shared" si="89"/>
        <v>不重复</v>
      </c>
      <c r="L2800" s="34" t="str">
        <f t="shared" si="90"/>
        <v>不重复</v>
      </c>
    </row>
    <row r="2801" spans="1:12" ht="27">
      <c r="A2801" s="35" t="s">
        <v>13224</v>
      </c>
      <c r="B2801" s="35" t="s">
        <v>7673</v>
      </c>
      <c r="C2801" s="36" t="s">
        <v>292</v>
      </c>
      <c r="D2801" s="35" t="s">
        <v>7674</v>
      </c>
      <c r="E2801" s="35" t="s">
        <v>13154</v>
      </c>
      <c r="F2801" s="35" t="s">
        <v>12483</v>
      </c>
      <c r="G2801" s="35">
        <v>354769</v>
      </c>
      <c r="H2801" s="35">
        <v>390410</v>
      </c>
      <c r="I2801" s="35">
        <v>200020</v>
      </c>
      <c r="J2801" s="34" t="s">
        <v>363</v>
      </c>
      <c r="K2801" s="34" t="str">
        <f t="shared" si="89"/>
        <v>重复</v>
      </c>
      <c r="L2801" s="34" t="str">
        <f t="shared" si="90"/>
        <v>不重复</v>
      </c>
    </row>
    <row r="2802" spans="1:12" ht="27">
      <c r="A2802" s="35" t="s">
        <v>13225</v>
      </c>
      <c r="B2802" s="35" t="s">
        <v>7675</v>
      </c>
      <c r="C2802" s="36" t="s">
        <v>309</v>
      </c>
      <c r="D2802" s="35" t="s">
        <v>7676</v>
      </c>
      <c r="E2802" s="35" t="s">
        <v>13154</v>
      </c>
      <c r="F2802" s="35" t="s">
        <v>12483</v>
      </c>
      <c r="G2802" s="35">
        <v>354770</v>
      </c>
      <c r="H2802" s="35">
        <v>390410</v>
      </c>
      <c r="I2802" s="35">
        <v>200020</v>
      </c>
      <c r="J2802" s="34" t="s">
        <v>363</v>
      </c>
      <c r="K2802" s="34" t="str">
        <f t="shared" si="89"/>
        <v>重复</v>
      </c>
      <c r="L2802" s="34" t="str">
        <f t="shared" si="90"/>
        <v>不重复</v>
      </c>
    </row>
    <row r="2803" spans="1:12" ht="27">
      <c r="A2803" s="35" t="s">
        <v>13226</v>
      </c>
      <c r="B2803" s="35" t="s">
        <v>7677</v>
      </c>
      <c r="C2803" s="36" t="s">
        <v>7678</v>
      </c>
      <c r="D2803" s="35" t="s">
        <v>7679</v>
      </c>
      <c r="E2803" s="35" t="s">
        <v>13154</v>
      </c>
      <c r="F2803" s="35" t="s">
        <v>12483</v>
      </c>
      <c r="G2803" s="35">
        <v>354771</v>
      </c>
      <c r="H2803" s="35">
        <v>390410</v>
      </c>
      <c r="I2803" s="35">
        <v>200020</v>
      </c>
      <c r="J2803" s="34" t="s">
        <v>363</v>
      </c>
      <c r="K2803" s="34" t="str">
        <f t="shared" si="89"/>
        <v>不重复</v>
      </c>
      <c r="L2803" s="34" t="str">
        <f t="shared" si="90"/>
        <v>不重复</v>
      </c>
    </row>
    <row r="2804" spans="1:12" ht="27">
      <c r="A2804" s="35" t="s">
        <v>13227</v>
      </c>
      <c r="B2804" s="35" t="s">
        <v>7680</v>
      </c>
      <c r="C2804" s="36" t="s">
        <v>4684</v>
      </c>
      <c r="D2804" s="35" t="s">
        <v>7681</v>
      </c>
      <c r="E2804" s="35" t="s">
        <v>13154</v>
      </c>
      <c r="F2804" s="35" t="s">
        <v>12483</v>
      </c>
      <c r="G2804" s="35">
        <v>354772</v>
      </c>
      <c r="H2804" s="35">
        <v>390410</v>
      </c>
      <c r="I2804" s="35">
        <v>200020</v>
      </c>
      <c r="J2804" s="34" t="s">
        <v>1473</v>
      </c>
      <c r="K2804" s="34" t="str">
        <f t="shared" si="89"/>
        <v>重复</v>
      </c>
      <c r="L2804" s="34" t="str">
        <f t="shared" si="90"/>
        <v>不重复</v>
      </c>
    </row>
    <row r="2805" spans="1:12" ht="30">
      <c r="A2805" s="35" t="s">
        <v>13228</v>
      </c>
      <c r="B2805" s="35" t="s">
        <v>7682</v>
      </c>
      <c r="C2805" s="36" t="s">
        <v>1229</v>
      </c>
      <c r="D2805" s="35" t="s">
        <v>7683</v>
      </c>
      <c r="E2805" s="35" t="s">
        <v>13154</v>
      </c>
      <c r="F2805" s="35" t="s">
        <v>12483</v>
      </c>
      <c r="G2805" s="35">
        <v>354773</v>
      </c>
      <c r="H2805" s="35">
        <v>390410</v>
      </c>
      <c r="I2805" s="35">
        <v>200020</v>
      </c>
      <c r="J2805" s="34" t="s">
        <v>363</v>
      </c>
      <c r="K2805" s="34" t="str">
        <f t="shared" si="89"/>
        <v>重复</v>
      </c>
      <c r="L2805" s="34" t="str">
        <f t="shared" si="90"/>
        <v>不重复</v>
      </c>
    </row>
    <row r="2806" spans="1:12" ht="27">
      <c r="A2806" s="35" t="s">
        <v>13229</v>
      </c>
      <c r="B2806" s="35" t="s">
        <v>7684</v>
      </c>
      <c r="C2806" s="36" t="s">
        <v>7685</v>
      </c>
      <c r="D2806" s="35" t="s">
        <v>7686</v>
      </c>
      <c r="E2806" s="35" t="s">
        <v>13154</v>
      </c>
      <c r="F2806" s="35" t="s">
        <v>12483</v>
      </c>
      <c r="G2806" s="35">
        <v>354774</v>
      </c>
      <c r="H2806" s="35">
        <v>390410</v>
      </c>
      <c r="I2806" s="35">
        <v>200020</v>
      </c>
      <c r="J2806" s="34" t="s">
        <v>363</v>
      </c>
      <c r="K2806" s="34" t="str">
        <f t="shared" si="89"/>
        <v>重复</v>
      </c>
      <c r="L2806" s="34" t="str">
        <f t="shared" si="90"/>
        <v>不重复</v>
      </c>
    </row>
    <row r="2807" spans="1:12" ht="27">
      <c r="A2807" s="35" t="s">
        <v>13230</v>
      </c>
      <c r="B2807" s="35" t="s">
        <v>7687</v>
      </c>
      <c r="C2807" s="36" t="s">
        <v>7688</v>
      </c>
      <c r="D2807" s="35" t="s">
        <v>7689</v>
      </c>
      <c r="E2807" s="35" t="s">
        <v>13154</v>
      </c>
      <c r="F2807" s="35" t="s">
        <v>12483</v>
      </c>
      <c r="G2807" s="35">
        <v>354775</v>
      </c>
      <c r="H2807" s="35">
        <v>390410</v>
      </c>
      <c r="I2807" s="35">
        <v>200020</v>
      </c>
      <c r="J2807" s="34" t="s">
        <v>137</v>
      </c>
      <c r="K2807" s="34" t="str">
        <f t="shared" si="89"/>
        <v>不重复</v>
      </c>
      <c r="L2807" s="34" t="str">
        <f t="shared" si="90"/>
        <v>不重复</v>
      </c>
    </row>
    <row r="2808" spans="1:12" ht="27">
      <c r="A2808" s="35" t="s">
        <v>13231</v>
      </c>
      <c r="B2808" s="35" t="s">
        <v>7690</v>
      </c>
      <c r="C2808" s="36" t="s">
        <v>7685</v>
      </c>
      <c r="D2808" s="35" t="s">
        <v>7691</v>
      </c>
      <c r="E2808" s="35" t="s">
        <v>13154</v>
      </c>
      <c r="F2808" s="35" t="s">
        <v>12483</v>
      </c>
      <c r="G2808" s="35">
        <v>354776</v>
      </c>
      <c r="H2808" s="35">
        <v>390410</v>
      </c>
      <c r="I2808" s="35">
        <v>200020</v>
      </c>
      <c r="J2808" s="34" t="s">
        <v>668</v>
      </c>
      <c r="K2808" s="34" t="str">
        <f t="shared" si="89"/>
        <v>重复</v>
      </c>
      <c r="L2808" s="34" t="str">
        <f t="shared" si="90"/>
        <v>不重复</v>
      </c>
    </row>
    <row r="2809" spans="1:12" ht="30">
      <c r="A2809" s="35" t="s">
        <v>13232</v>
      </c>
      <c r="B2809" s="35" t="s">
        <v>7692</v>
      </c>
      <c r="C2809" s="36" t="s">
        <v>2892</v>
      </c>
      <c r="D2809" s="35" t="s">
        <v>7693</v>
      </c>
      <c r="E2809" s="35" t="s">
        <v>13154</v>
      </c>
      <c r="F2809" s="35" t="s">
        <v>12483</v>
      </c>
      <c r="G2809" s="35">
        <v>354777</v>
      </c>
      <c r="H2809" s="35">
        <v>390410</v>
      </c>
      <c r="I2809" s="35">
        <v>200020</v>
      </c>
      <c r="J2809" s="34" t="s">
        <v>363</v>
      </c>
      <c r="K2809" s="34" t="str">
        <f t="shared" si="89"/>
        <v>重复</v>
      </c>
      <c r="L2809" s="34" t="str">
        <f t="shared" si="90"/>
        <v>不重复</v>
      </c>
    </row>
    <row r="2810" spans="1:12" ht="15">
      <c r="A2810" s="35" t="s">
        <v>13233</v>
      </c>
      <c r="B2810" s="35" t="s">
        <v>7694</v>
      </c>
      <c r="C2810" s="36" t="s">
        <v>5868</v>
      </c>
      <c r="D2810" s="35" t="s">
        <v>7695</v>
      </c>
      <c r="E2810" s="35" t="s">
        <v>13154</v>
      </c>
      <c r="F2810" s="35" t="s">
        <v>12483</v>
      </c>
      <c r="G2810" s="35">
        <v>354778</v>
      </c>
      <c r="H2810" s="35">
        <v>390410</v>
      </c>
      <c r="I2810" s="35">
        <v>200020</v>
      </c>
      <c r="J2810" s="34" t="s">
        <v>715</v>
      </c>
      <c r="K2810" s="34" t="str">
        <f t="shared" si="89"/>
        <v>重复</v>
      </c>
      <c r="L2810" s="34" t="str">
        <f t="shared" si="90"/>
        <v>不重复</v>
      </c>
    </row>
    <row r="2811" spans="1:12" ht="15">
      <c r="A2811" s="35" t="s">
        <v>13234</v>
      </c>
      <c r="B2811" s="35" t="s">
        <v>7696</v>
      </c>
      <c r="C2811" s="36" t="s">
        <v>7697</v>
      </c>
      <c r="D2811" s="35" t="s">
        <v>7698</v>
      </c>
      <c r="E2811" s="35" t="s">
        <v>13154</v>
      </c>
      <c r="F2811" s="35" t="s">
        <v>12483</v>
      </c>
      <c r="G2811" s="35">
        <v>354779</v>
      </c>
      <c r="H2811" s="35">
        <v>390410</v>
      </c>
      <c r="I2811" s="35">
        <v>200020</v>
      </c>
      <c r="J2811" s="34" t="s">
        <v>1040</v>
      </c>
      <c r="K2811" s="34" t="str">
        <f t="shared" si="89"/>
        <v>重复</v>
      </c>
      <c r="L2811" s="34" t="str">
        <f t="shared" si="90"/>
        <v>不重复</v>
      </c>
    </row>
    <row r="2812" spans="1:12" ht="15">
      <c r="A2812" s="35" t="s">
        <v>13235</v>
      </c>
      <c r="B2812" s="35" t="s">
        <v>7699</v>
      </c>
      <c r="C2812" s="36" t="s">
        <v>1764</v>
      </c>
      <c r="D2812" s="35" t="s">
        <v>7700</v>
      </c>
      <c r="E2812" s="35" t="s">
        <v>13154</v>
      </c>
      <c r="F2812" s="35" t="s">
        <v>12483</v>
      </c>
      <c r="G2812" s="35">
        <v>354780</v>
      </c>
      <c r="H2812" s="35">
        <v>390410</v>
      </c>
      <c r="I2812" s="35">
        <v>200020</v>
      </c>
      <c r="J2812" s="34" t="s">
        <v>137</v>
      </c>
      <c r="K2812" s="34" t="str">
        <f t="shared" si="89"/>
        <v>重复</v>
      </c>
      <c r="L2812" s="34" t="str">
        <f t="shared" si="90"/>
        <v>不重复</v>
      </c>
    </row>
    <row r="2813" spans="1:12" ht="15">
      <c r="A2813" s="35" t="s">
        <v>13236</v>
      </c>
      <c r="B2813" s="35" t="s">
        <v>7701</v>
      </c>
      <c r="C2813" s="36" t="s">
        <v>7702</v>
      </c>
      <c r="D2813" s="35" t="s">
        <v>7703</v>
      </c>
      <c r="E2813" s="35" t="s">
        <v>13154</v>
      </c>
      <c r="F2813" s="35" t="s">
        <v>12483</v>
      </c>
      <c r="G2813" s="35">
        <v>354781</v>
      </c>
      <c r="H2813" s="35">
        <v>390410</v>
      </c>
      <c r="I2813" s="35">
        <v>200020</v>
      </c>
      <c r="J2813" s="34" t="s">
        <v>363</v>
      </c>
      <c r="K2813" s="34" t="str">
        <f t="shared" si="89"/>
        <v>重复</v>
      </c>
      <c r="L2813" s="34" t="str">
        <f t="shared" si="90"/>
        <v>不重复</v>
      </c>
    </row>
    <row r="2814" spans="1:12" ht="15">
      <c r="A2814" s="35" t="s">
        <v>13237</v>
      </c>
      <c r="B2814" s="35" t="s">
        <v>7704</v>
      </c>
      <c r="C2814" s="36" t="s">
        <v>2332</v>
      </c>
      <c r="D2814" s="35" t="s">
        <v>7705</v>
      </c>
      <c r="E2814" s="35" t="s">
        <v>13154</v>
      </c>
      <c r="F2814" s="35" t="s">
        <v>12483</v>
      </c>
      <c r="G2814" s="35">
        <v>354782</v>
      </c>
      <c r="H2814" s="35">
        <v>390410</v>
      </c>
      <c r="I2814" s="35">
        <v>200020</v>
      </c>
      <c r="J2814" s="34" t="s">
        <v>89</v>
      </c>
      <c r="K2814" s="34" t="str">
        <f t="shared" si="89"/>
        <v>重复</v>
      </c>
      <c r="L2814" s="34" t="str">
        <f t="shared" si="90"/>
        <v>重复</v>
      </c>
    </row>
    <row r="2815" spans="1:12" ht="15">
      <c r="A2815" s="35" t="s">
        <v>13238</v>
      </c>
      <c r="B2815" s="35" t="s">
        <v>7706</v>
      </c>
      <c r="C2815" s="36" t="s">
        <v>7707</v>
      </c>
      <c r="D2815" s="35" t="s">
        <v>7705</v>
      </c>
      <c r="E2815" s="35" t="s">
        <v>13154</v>
      </c>
      <c r="F2815" s="35" t="s">
        <v>12483</v>
      </c>
      <c r="G2815" s="35">
        <v>354783</v>
      </c>
      <c r="H2815" s="35">
        <v>390410</v>
      </c>
      <c r="I2815" s="35">
        <v>200020</v>
      </c>
      <c r="J2815" s="34" t="s">
        <v>2181</v>
      </c>
      <c r="K2815" s="34" t="str">
        <f t="shared" si="89"/>
        <v>不重复</v>
      </c>
      <c r="L2815" s="34" t="str">
        <f t="shared" si="90"/>
        <v>重复</v>
      </c>
    </row>
    <row r="2816" spans="1:12" ht="15">
      <c r="A2816" s="35" t="s">
        <v>13239</v>
      </c>
      <c r="B2816" s="35" t="s">
        <v>7708</v>
      </c>
      <c r="C2816" s="36" t="s">
        <v>7709</v>
      </c>
      <c r="D2816" s="35" t="s">
        <v>7710</v>
      </c>
      <c r="E2816" s="35" t="s">
        <v>13154</v>
      </c>
      <c r="F2816" s="35" t="s">
        <v>12483</v>
      </c>
      <c r="G2816" s="35">
        <v>354784</v>
      </c>
      <c r="H2816" s="35">
        <v>390410</v>
      </c>
      <c r="I2816" s="35">
        <v>200020</v>
      </c>
      <c r="J2816" s="34" t="s">
        <v>688</v>
      </c>
      <c r="K2816" s="34" t="str">
        <f t="shared" si="89"/>
        <v>不重复</v>
      </c>
      <c r="L2816" s="34" t="str">
        <f t="shared" si="90"/>
        <v>不重复</v>
      </c>
    </row>
    <row r="2817" spans="1:12" ht="30">
      <c r="A2817" s="35" t="s">
        <v>13240</v>
      </c>
      <c r="B2817" s="35" t="s">
        <v>7711</v>
      </c>
      <c r="C2817" s="36" t="s">
        <v>7697</v>
      </c>
      <c r="D2817" s="35" t="s">
        <v>7712</v>
      </c>
      <c r="E2817" s="35" t="s">
        <v>13154</v>
      </c>
      <c r="F2817" s="35" t="s">
        <v>12483</v>
      </c>
      <c r="G2817" s="35">
        <v>354785</v>
      </c>
      <c r="H2817" s="35">
        <v>390410</v>
      </c>
      <c r="I2817" s="35">
        <v>200020</v>
      </c>
      <c r="J2817" s="34" t="s">
        <v>2181</v>
      </c>
      <c r="K2817" s="34" t="str">
        <f t="shared" si="89"/>
        <v>重复</v>
      </c>
      <c r="L2817" s="34" t="str">
        <f t="shared" si="90"/>
        <v>不重复</v>
      </c>
    </row>
    <row r="2818" spans="1:12" ht="30">
      <c r="A2818" s="35" t="s">
        <v>13241</v>
      </c>
      <c r="B2818" s="35" t="s">
        <v>7713</v>
      </c>
      <c r="C2818" s="36" t="s">
        <v>1764</v>
      </c>
      <c r="D2818" s="35" t="s">
        <v>7714</v>
      </c>
      <c r="E2818" s="35" t="s">
        <v>13154</v>
      </c>
      <c r="F2818" s="35" t="s">
        <v>12483</v>
      </c>
      <c r="G2818" s="35">
        <v>354786</v>
      </c>
      <c r="H2818" s="35">
        <v>390410</v>
      </c>
      <c r="I2818" s="35">
        <v>200020</v>
      </c>
      <c r="J2818" s="34" t="s">
        <v>302</v>
      </c>
      <c r="K2818" s="34" t="str">
        <f t="shared" si="89"/>
        <v>重复</v>
      </c>
      <c r="L2818" s="34" t="str">
        <f t="shared" si="90"/>
        <v>不重复</v>
      </c>
    </row>
    <row r="2819" spans="1:12" ht="15">
      <c r="A2819" s="35" t="s">
        <v>13242</v>
      </c>
      <c r="B2819" s="35" t="s">
        <v>7715</v>
      </c>
      <c r="C2819" s="36" t="s">
        <v>7063</v>
      </c>
      <c r="D2819" s="35" t="s">
        <v>7716</v>
      </c>
      <c r="E2819" s="35" t="s">
        <v>13154</v>
      </c>
      <c r="F2819" s="35" t="s">
        <v>12483</v>
      </c>
      <c r="G2819" s="35">
        <v>354787</v>
      </c>
      <c r="H2819" s="35">
        <v>390410</v>
      </c>
      <c r="I2819" s="35">
        <v>200020</v>
      </c>
      <c r="J2819" s="34" t="s">
        <v>3656</v>
      </c>
      <c r="K2819" s="34" t="str">
        <f t="shared" si="89"/>
        <v>重复</v>
      </c>
      <c r="L2819" s="34" t="str">
        <f t="shared" si="90"/>
        <v>不重复</v>
      </c>
    </row>
    <row r="2820" spans="1:12" ht="15">
      <c r="A2820" s="35" t="s">
        <v>13243</v>
      </c>
      <c r="B2820" s="35" t="s">
        <v>7717</v>
      </c>
      <c r="C2820" s="36" t="s">
        <v>5455</v>
      </c>
      <c r="D2820" s="35" t="s">
        <v>7718</v>
      </c>
      <c r="E2820" s="35" t="s">
        <v>13154</v>
      </c>
      <c r="F2820" s="35" t="s">
        <v>12483</v>
      </c>
      <c r="G2820" s="35">
        <v>354788</v>
      </c>
      <c r="H2820" s="35">
        <v>390410</v>
      </c>
      <c r="I2820" s="35">
        <v>200020</v>
      </c>
      <c r="J2820" s="34" t="s">
        <v>1186</v>
      </c>
      <c r="K2820" s="34" t="str">
        <f t="shared" si="89"/>
        <v>重复</v>
      </c>
      <c r="L2820" s="34" t="str">
        <f t="shared" si="90"/>
        <v>不重复</v>
      </c>
    </row>
    <row r="2821" spans="1:12" ht="15">
      <c r="A2821" s="35" t="s">
        <v>13244</v>
      </c>
      <c r="B2821" s="35" t="s">
        <v>7719</v>
      </c>
      <c r="C2821" s="36" t="s">
        <v>7720</v>
      </c>
      <c r="D2821" s="35" t="s">
        <v>7721</v>
      </c>
      <c r="E2821" s="35" t="s">
        <v>13154</v>
      </c>
      <c r="F2821" s="35" t="s">
        <v>12483</v>
      </c>
      <c r="G2821" s="35">
        <v>354789</v>
      </c>
      <c r="H2821" s="35">
        <v>390410</v>
      </c>
      <c r="I2821" s="35">
        <v>200020</v>
      </c>
      <c r="J2821" s="34" t="s">
        <v>347</v>
      </c>
      <c r="K2821" s="34" t="str">
        <f t="shared" si="89"/>
        <v>不重复</v>
      </c>
      <c r="L2821" s="34" t="str">
        <f t="shared" si="90"/>
        <v>不重复</v>
      </c>
    </row>
    <row r="2822" spans="1:12" ht="15">
      <c r="A2822" s="35" t="s">
        <v>13245</v>
      </c>
      <c r="B2822" s="35" t="s">
        <v>7722</v>
      </c>
      <c r="C2822" s="36" t="s">
        <v>7723</v>
      </c>
      <c r="D2822" s="35" t="s">
        <v>7724</v>
      </c>
      <c r="E2822" s="35" t="s">
        <v>13154</v>
      </c>
      <c r="F2822" s="35" t="s">
        <v>12483</v>
      </c>
      <c r="G2822" s="35">
        <v>354790</v>
      </c>
      <c r="H2822" s="35">
        <v>390410</v>
      </c>
      <c r="I2822" s="35">
        <v>200020</v>
      </c>
      <c r="J2822" s="34" t="s">
        <v>668</v>
      </c>
      <c r="K2822" s="34" t="str">
        <f t="shared" si="89"/>
        <v>不重复</v>
      </c>
      <c r="L2822" s="34" t="str">
        <f t="shared" si="90"/>
        <v>不重复</v>
      </c>
    </row>
    <row r="2823" spans="1:12" ht="15">
      <c r="A2823" s="35" t="s">
        <v>13246</v>
      </c>
      <c r="B2823" s="35" t="s">
        <v>7725</v>
      </c>
      <c r="C2823" s="36" t="s">
        <v>7726</v>
      </c>
      <c r="D2823" s="35" t="s">
        <v>7727</v>
      </c>
      <c r="E2823" s="35" t="s">
        <v>13154</v>
      </c>
      <c r="F2823" s="35" t="s">
        <v>12483</v>
      </c>
      <c r="G2823" s="35">
        <v>354791</v>
      </c>
      <c r="H2823" s="35">
        <v>390410</v>
      </c>
      <c r="I2823" s="35">
        <v>200020</v>
      </c>
      <c r="J2823" s="34" t="s">
        <v>1040</v>
      </c>
      <c r="K2823" s="34" t="str">
        <f t="shared" si="89"/>
        <v>不重复</v>
      </c>
      <c r="L2823" s="34" t="str">
        <f t="shared" si="90"/>
        <v>不重复</v>
      </c>
    </row>
    <row r="2824" spans="1:12" ht="27">
      <c r="A2824" s="35" t="s">
        <v>13247</v>
      </c>
      <c r="B2824" s="35" t="s">
        <v>7728</v>
      </c>
      <c r="C2824" s="36" t="s">
        <v>7729</v>
      </c>
      <c r="D2824" s="35" t="s">
        <v>7730</v>
      </c>
      <c r="E2824" s="35" t="s">
        <v>13154</v>
      </c>
      <c r="F2824" s="35" t="s">
        <v>12483</v>
      </c>
      <c r="G2824" s="35">
        <v>354792</v>
      </c>
      <c r="H2824" s="35">
        <v>390410</v>
      </c>
      <c r="I2824" s="35">
        <v>200020</v>
      </c>
      <c r="J2824" s="34" t="s">
        <v>1040</v>
      </c>
      <c r="K2824" s="34" t="str">
        <f t="shared" si="89"/>
        <v>不重复</v>
      </c>
      <c r="L2824" s="34" t="str">
        <f t="shared" si="90"/>
        <v>不重复</v>
      </c>
    </row>
    <row r="2825" spans="1:12" ht="27">
      <c r="A2825" s="35" t="s">
        <v>13248</v>
      </c>
      <c r="B2825" s="35" t="s">
        <v>7731</v>
      </c>
      <c r="C2825" s="36" t="s">
        <v>4258</v>
      </c>
      <c r="D2825" s="35" t="s">
        <v>7732</v>
      </c>
      <c r="E2825" s="35" t="s">
        <v>13154</v>
      </c>
      <c r="F2825" s="35" t="s">
        <v>12483</v>
      </c>
      <c r="G2825" s="35">
        <v>354793</v>
      </c>
      <c r="H2825" s="35">
        <v>390410</v>
      </c>
      <c r="I2825" s="35">
        <v>200020</v>
      </c>
      <c r="J2825" s="34" t="s">
        <v>7733</v>
      </c>
      <c r="K2825" s="34" t="str">
        <f t="shared" si="89"/>
        <v>重复</v>
      </c>
      <c r="L2825" s="34" t="str">
        <f t="shared" si="90"/>
        <v>不重复</v>
      </c>
    </row>
    <row r="2826" spans="1:12" ht="27">
      <c r="A2826" s="35" t="s">
        <v>13249</v>
      </c>
      <c r="B2826" s="35" t="s">
        <v>7734</v>
      </c>
      <c r="C2826" s="36" t="s">
        <v>7735</v>
      </c>
      <c r="D2826" s="35" t="s">
        <v>7736</v>
      </c>
      <c r="E2826" s="35" t="s">
        <v>13154</v>
      </c>
      <c r="F2826" s="35" t="s">
        <v>12483</v>
      </c>
      <c r="G2826" s="35">
        <v>354794</v>
      </c>
      <c r="H2826" s="35">
        <v>390410</v>
      </c>
      <c r="I2826" s="35">
        <v>200020</v>
      </c>
      <c r="J2826" s="34" t="s">
        <v>7733</v>
      </c>
      <c r="K2826" s="34" t="str">
        <f t="shared" si="89"/>
        <v>不重复</v>
      </c>
      <c r="L2826" s="34" t="str">
        <f t="shared" si="90"/>
        <v>不重复</v>
      </c>
    </row>
    <row r="2827" spans="1:12" ht="15">
      <c r="A2827" s="35" t="s">
        <v>13250</v>
      </c>
      <c r="B2827" s="35" t="s">
        <v>7737</v>
      </c>
      <c r="C2827" s="36" t="s">
        <v>6315</v>
      </c>
      <c r="D2827" s="35" t="s">
        <v>7738</v>
      </c>
      <c r="E2827" s="35" t="s">
        <v>13154</v>
      </c>
      <c r="F2827" s="35" t="s">
        <v>12483</v>
      </c>
      <c r="G2827" s="35">
        <v>354795</v>
      </c>
      <c r="H2827" s="35">
        <v>390410</v>
      </c>
      <c r="I2827" s="35">
        <v>200020</v>
      </c>
      <c r="J2827" s="34" t="s">
        <v>878</v>
      </c>
      <c r="K2827" s="34" t="str">
        <f t="shared" si="89"/>
        <v>重复</v>
      </c>
      <c r="L2827" s="34" t="str">
        <f t="shared" si="90"/>
        <v>不重复</v>
      </c>
    </row>
    <row r="2828" spans="1:12" ht="15">
      <c r="A2828" s="35" t="s">
        <v>13251</v>
      </c>
      <c r="B2828" s="35" t="s">
        <v>7739</v>
      </c>
      <c r="C2828" s="36" t="s">
        <v>7740</v>
      </c>
      <c r="D2828" s="35" t="s">
        <v>7741</v>
      </c>
      <c r="E2828" s="35" t="s">
        <v>13154</v>
      </c>
      <c r="F2828" s="35" t="s">
        <v>12483</v>
      </c>
      <c r="G2828" s="35">
        <v>354796</v>
      </c>
      <c r="H2828" s="35">
        <v>390410</v>
      </c>
      <c r="I2828" s="35">
        <v>200020</v>
      </c>
      <c r="J2828" s="34" t="s">
        <v>288</v>
      </c>
      <c r="K2828" s="34" t="str">
        <f t="shared" si="91" ref="K2828:K2891">IF(COUNTIF(C:C,C2828)&gt;=2,"重复","不重复")</f>
        <v>不重复</v>
      </c>
      <c r="L2828" s="34" t="str">
        <f t="shared" si="92" ref="L2828:L2891">IF(COUNTIF(D:D,D2828)&gt;=2,"重复","不重复")</f>
        <v>不重复</v>
      </c>
    </row>
    <row r="2829" spans="1:12" ht="15">
      <c r="A2829" s="35" t="s">
        <v>13252</v>
      </c>
      <c r="B2829" s="35" t="s">
        <v>7742</v>
      </c>
      <c r="C2829" s="36" t="s">
        <v>7743</v>
      </c>
      <c r="D2829" s="35" t="s">
        <v>7744</v>
      </c>
      <c r="E2829" s="35" t="s">
        <v>13154</v>
      </c>
      <c r="F2829" s="35" t="s">
        <v>12483</v>
      </c>
      <c r="G2829" s="35">
        <v>354797</v>
      </c>
      <c r="H2829" s="35">
        <v>390410</v>
      </c>
      <c r="I2829" s="35">
        <v>200020</v>
      </c>
      <c r="J2829" s="34" t="s">
        <v>985</v>
      </c>
      <c r="K2829" s="34" t="str">
        <f t="shared" si="91"/>
        <v>不重复</v>
      </c>
      <c r="L2829" s="34" t="str">
        <f t="shared" si="92"/>
        <v>不重复</v>
      </c>
    </row>
    <row r="2830" spans="1:12" ht="15">
      <c r="A2830" s="35" t="s">
        <v>13253</v>
      </c>
      <c r="B2830" s="35" t="s">
        <v>7745</v>
      </c>
      <c r="C2830" s="36" t="s">
        <v>7746</v>
      </c>
      <c r="D2830" s="35" t="s">
        <v>7747</v>
      </c>
      <c r="E2830" s="35" t="s">
        <v>13154</v>
      </c>
      <c r="F2830" s="35" t="s">
        <v>12483</v>
      </c>
      <c r="G2830" s="35">
        <v>354798</v>
      </c>
      <c r="H2830" s="35">
        <v>390410</v>
      </c>
      <c r="I2830" s="35">
        <v>200020</v>
      </c>
      <c r="J2830" s="34" t="s">
        <v>1040</v>
      </c>
      <c r="K2830" s="34" t="str">
        <f t="shared" si="91"/>
        <v>不重复</v>
      </c>
      <c r="L2830" s="34" t="str">
        <f t="shared" si="92"/>
        <v>不重复</v>
      </c>
    </row>
    <row r="2831" spans="1:12" ht="15">
      <c r="A2831" s="35" t="s">
        <v>13254</v>
      </c>
      <c r="B2831" s="35" t="s">
        <v>7748</v>
      </c>
      <c r="C2831" s="36" t="s">
        <v>7644</v>
      </c>
      <c r="D2831" s="35" t="s">
        <v>7749</v>
      </c>
      <c r="E2831" s="35" t="s">
        <v>13154</v>
      </c>
      <c r="F2831" s="35" t="s">
        <v>12483</v>
      </c>
      <c r="G2831" s="35">
        <v>354799</v>
      </c>
      <c r="H2831" s="35">
        <v>390410</v>
      </c>
      <c r="I2831" s="35">
        <v>200020</v>
      </c>
      <c r="J2831" s="34" t="s">
        <v>985</v>
      </c>
      <c r="K2831" s="34" t="str">
        <f t="shared" si="91"/>
        <v>重复</v>
      </c>
      <c r="L2831" s="34" t="str">
        <f t="shared" si="92"/>
        <v>不重复</v>
      </c>
    </row>
    <row r="2832" spans="1:12" ht="15">
      <c r="A2832" s="35" t="s">
        <v>13255</v>
      </c>
      <c r="B2832" s="35" t="s">
        <v>7750</v>
      </c>
      <c r="C2832" s="36" t="s">
        <v>6031</v>
      </c>
      <c r="D2832" s="35" t="s">
        <v>7751</v>
      </c>
      <c r="E2832" s="35" t="s">
        <v>13154</v>
      </c>
      <c r="F2832" s="35" t="s">
        <v>12483</v>
      </c>
      <c r="G2832" s="35">
        <v>354800</v>
      </c>
      <c r="H2832" s="35">
        <v>390410</v>
      </c>
      <c r="I2832" s="35">
        <v>200020</v>
      </c>
      <c r="J2832" s="34" t="s">
        <v>1937</v>
      </c>
      <c r="K2832" s="34" t="str">
        <f t="shared" si="91"/>
        <v>重复</v>
      </c>
      <c r="L2832" s="34" t="str">
        <f t="shared" si="92"/>
        <v>不重复</v>
      </c>
    </row>
    <row r="2833" spans="1:12" ht="15">
      <c r="A2833" s="35" t="s">
        <v>13256</v>
      </c>
      <c r="B2833" s="35" t="s">
        <v>7752</v>
      </c>
      <c r="C2833" s="36" t="s">
        <v>483</v>
      </c>
      <c r="D2833" s="35" t="s">
        <v>7753</v>
      </c>
      <c r="E2833" s="35" t="s">
        <v>13154</v>
      </c>
      <c r="F2833" s="35" t="s">
        <v>12483</v>
      </c>
      <c r="G2833" s="35">
        <v>354801</v>
      </c>
      <c r="H2833" s="35">
        <v>390410</v>
      </c>
      <c r="I2833" s="35">
        <v>200020</v>
      </c>
      <c r="J2833" s="34" t="s">
        <v>288</v>
      </c>
      <c r="K2833" s="34" t="str">
        <f t="shared" si="91"/>
        <v>重复</v>
      </c>
      <c r="L2833" s="34" t="str">
        <f t="shared" si="92"/>
        <v>不重复</v>
      </c>
    </row>
    <row r="2834" spans="1:12" ht="15">
      <c r="A2834" s="35" t="s">
        <v>13257</v>
      </c>
      <c r="B2834" s="35" t="s">
        <v>7754</v>
      </c>
      <c r="C2834" s="36" t="s">
        <v>2721</v>
      </c>
      <c r="D2834" s="35" t="s">
        <v>7755</v>
      </c>
      <c r="E2834" s="35" t="s">
        <v>13154</v>
      </c>
      <c r="F2834" s="35" t="s">
        <v>12483</v>
      </c>
      <c r="G2834" s="35">
        <v>354802</v>
      </c>
      <c r="H2834" s="35">
        <v>390410</v>
      </c>
      <c r="I2834" s="35">
        <v>200020</v>
      </c>
      <c r="J2834" s="34" t="s">
        <v>458</v>
      </c>
      <c r="K2834" s="34" t="str">
        <f t="shared" si="91"/>
        <v>重复</v>
      </c>
      <c r="L2834" s="34" t="str">
        <f t="shared" si="92"/>
        <v>不重复</v>
      </c>
    </row>
    <row r="2835" spans="1:12" ht="15">
      <c r="A2835" s="35" t="s">
        <v>13258</v>
      </c>
      <c r="B2835" s="35" t="s">
        <v>7756</v>
      </c>
      <c r="C2835" s="36" t="s">
        <v>7757</v>
      </c>
      <c r="D2835" s="35" t="s">
        <v>7758</v>
      </c>
      <c r="E2835" s="35" t="s">
        <v>13154</v>
      </c>
      <c r="F2835" s="35" t="s">
        <v>12483</v>
      </c>
      <c r="G2835" s="35">
        <v>354803</v>
      </c>
      <c r="H2835" s="35">
        <v>390410</v>
      </c>
      <c r="I2835" s="35">
        <v>200020</v>
      </c>
      <c r="J2835" s="34" t="s">
        <v>3656</v>
      </c>
      <c r="K2835" s="34" t="str">
        <f t="shared" si="91"/>
        <v>不重复</v>
      </c>
      <c r="L2835" s="34" t="str">
        <f t="shared" si="92"/>
        <v>不重复</v>
      </c>
    </row>
    <row r="2836" spans="1:12" ht="15">
      <c r="A2836" s="35" t="s">
        <v>13259</v>
      </c>
      <c r="B2836" s="35" t="s">
        <v>7759</v>
      </c>
      <c r="C2836" s="36" t="s">
        <v>157</v>
      </c>
      <c r="D2836" s="35" t="s">
        <v>7760</v>
      </c>
      <c r="E2836" s="35" t="s">
        <v>13154</v>
      </c>
      <c r="F2836" s="35" t="s">
        <v>12483</v>
      </c>
      <c r="G2836" s="35">
        <v>354804</v>
      </c>
      <c r="H2836" s="35">
        <v>390410</v>
      </c>
      <c r="I2836" s="35">
        <v>200020</v>
      </c>
      <c r="J2836" s="34" t="s">
        <v>1937</v>
      </c>
      <c r="K2836" s="34" t="str">
        <f t="shared" si="91"/>
        <v>重复</v>
      </c>
      <c r="L2836" s="34" t="str">
        <f t="shared" si="92"/>
        <v>不重复</v>
      </c>
    </row>
    <row r="2837" spans="1:12" ht="27">
      <c r="A2837" s="35" t="s">
        <v>13260</v>
      </c>
      <c r="B2837" s="35" t="s">
        <v>7761</v>
      </c>
      <c r="C2837" s="36" t="s">
        <v>7762</v>
      </c>
      <c r="D2837" s="35" t="s">
        <v>7763</v>
      </c>
      <c r="E2837" s="35" t="s">
        <v>13154</v>
      </c>
      <c r="F2837" s="35" t="s">
        <v>12483</v>
      </c>
      <c r="G2837" s="35">
        <v>354805</v>
      </c>
      <c r="H2837" s="35">
        <v>390410</v>
      </c>
      <c r="I2837" s="35">
        <v>200020</v>
      </c>
      <c r="J2837" s="34" t="s">
        <v>363</v>
      </c>
      <c r="K2837" s="34" t="str">
        <f t="shared" si="91"/>
        <v>重复</v>
      </c>
      <c r="L2837" s="34" t="str">
        <f t="shared" si="92"/>
        <v>不重复</v>
      </c>
    </row>
    <row r="2838" spans="1:12" ht="27">
      <c r="A2838" s="35" t="s">
        <v>13261</v>
      </c>
      <c r="B2838" s="35" t="s">
        <v>7764</v>
      </c>
      <c r="C2838" s="36" t="s">
        <v>526</v>
      </c>
      <c r="D2838" s="35" t="s">
        <v>7765</v>
      </c>
      <c r="E2838" s="35" t="s">
        <v>13154</v>
      </c>
      <c r="F2838" s="35" t="s">
        <v>12483</v>
      </c>
      <c r="G2838" s="35">
        <v>354806</v>
      </c>
      <c r="H2838" s="35">
        <v>390410</v>
      </c>
      <c r="I2838" s="35">
        <v>200020</v>
      </c>
      <c r="J2838" s="34" t="s">
        <v>270</v>
      </c>
      <c r="K2838" s="34" t="str">
        <f t="shared" si="91"/>
        <v>重复</v>
      </c>
      <c r="L2838" s="34" t="str">
        <f t="shared" si="92"/>
        <v>不重复</v>
      </c>
    </row>
    <row r="2839" spans="1:12" ht="30">
      <c r="A2839" s="35" t="s">
        <v>13262</v>
      </c>
      <c r="B2839" s="35" t="s">
        <v>7766</v>
      </c>
      <c r="C2839" s="36" t="s">
        <v>6525</v>
      </c>
      <c r="D2839" s="35" t="s">
        <v>7767</v>
      </c>
      <c r="E2839" s="35" t="s">
        <v>13154</v>
      </c>
      <c r="F2839" s="35" t="s">
        <v>12483</v>
      </c>
      <c r="G2839" s="35">
        <v>354807</v>
      </c>
      <c r="H2839" s="35">
        <v>390410</v>
      </c>
      <c r="I2839" s="35">
        <v>200020</v>
      </c>
      <c r="J2839" s="34" t="s">
        <v>7768</v>
      </c>
      <c r="K2839" s="34" t="str">
        <f t="shared" si="91"/>
        <v>重复</v>
      </c>
      <c r="L2839" s="34" t="str">
        <f t="shared" si="92"/>
        <v>不重复</v>
      </c>
    </row>
    <row r="2840" spans="1:12" ht="30">
      <c r="A2840" s="35" t="s">
        <v>13263</v>
      </c>
      <c r="B2840" s="35" t="s">
        <v>7769</v>
      </c>
      <c r="C2840" s="36" t="s">
        <v>6525</v>
      </c>
      <c r="D2840" s="35" t="s">
        <v>7770</v>
      </c>
      <c r="E2840" s="35" t="s">
        <v>13154</v>
      </c>
      <c r="F2840" s="35" t="s">
        <v>12483</v>
      </c>
      <c r="G2840" s="35">
        <v>354808</v>
      </c>
      <c r="H2840" s="35">
        <v>390410</v>
      </c>
      <c r="I2840" s="35">
        <v>200020</v>
      </c>
      <c r="J2840" s="34" t="s">
        <v>6080</v>
      </c>
      <c r="K2840" s="34" t="str">
        <f t="shared" si="91"/>
        <v>重复</v>
      </c>
      <c r="L2840" s="34" t="str">
        <f t="shared" si="92"/>
        <v>不重复</v>
      </c>
    </row>
    <row r="2841" spans="1:12" ht="27">
      <c r="A2841" s="35" t="s">
        <v>13264</v>
      </c>
      <c r="B2841" s="35" t="s">
        <v>7771</v>
      </c>
      <c r="C2841" s="36" t="s">
        <v>3611</v>
      </c>
      <c r="D2841" s="35" t="s">
        <v>7772</v>
      </c>
      <c r="E2841" s="35" t="s">
        <v>13154</v>
      </c>
      <c r="F2841" s="35" t="s">
        <v>12483</v>
      </c>
      <c r="G2841" s="35">
        <v>354809</v>
      </c>
      <c r="H2841" s="35">
        <v>390410</v>
      </c>
      <c r="I2841" s="35">
        <v>200020</v>
      </c>
      <c r="J2841" s="34" t="s">
        <v>288</v>
      </c>
      <c r="K2841" s="34" t="str">
        <f t="shared" si="91"/>
        <v>重复</v>
      </c>
      <c r="L2841" s="34" t="str">
        <f t="shared" si="92"/>
        <v>不重复</v>
      </c>
    </row>
    <row r="2842" spans="1:12" ht="27">
      <c r="A2842" s="35" t="s">
        <v>13265</v>
      </c>
      <c r="B2842" s="35" t="s">
        <v>7773</v>
      </c>
      <c r="C2842" s="36" t="s">
        <v>761</v>
      </c>
      <c r="D2842" s="35" t="s">
        <v>7774</v>
      </c>
      <c r="E2842" s="35" t="s">
        <v>13154</v>
      </c>
      <c r="F2842" s="35" t="s">
        <v>12483</v>
      </c>
      <c r="G2842" s="35">
        <v>354810</v>
      </c>
      <c r="H2842" s="35">
        <v>390410</v>
      </c>
      <c r="I2842" s="35">
        <v>200020</v>
      </c>
      <c r="J2842" s="34" t="s">
        <v>288</v>
      </c>
      <c r="K2842" s="34" t="str">
        <f t="shared" si="91"/>
        <v>重复</v>
      </c>
      <c r="L2842" s="34" t="str">
        <f t="shared" si="92"/>
        <v>不重复</v>
      </c>
    </row>
    <row r="2843" spans="1:12" ht="15">
      <c r="A2843" s="35" t="s">
        <v>13266</v>
      </c>
      <c r="B2843" s="35" t="s">
        <v>7775</v>
      </c>
      <c r="C2843" s="36" t="s">
        <v>2133</v>
      </c>
      <c r="D2843" s="35" t="s">
        <v>7776</v>
      </c>
      <c r="E2843" s="35" t="s">
        <v>13154</v>
      </c>
      <c r="F2843" s="35" t="s">
        <v>12483</v>
      </c>
      <c r="G2843" s="35">
        <v>354811</v>
      </c>
      <c r="H2843" s="35">
        <v>390410</v>
      </c>
      <c r="I2843" s="35">
        <v>200020</v>
      </c>
      <c r="J2843" s="34" t="s">
        <v>347</v>
      </c>
      <c r="K2843" s="34" t="str">
        <f t="shared" si="91"/>
        <v>重复</v>
      </c>
      <c r="L2843" s="34" t="str">
        <f t="shared" si="92"/>
        <v>不重复</v>
      </c>
    </row>
    <row r="2844" spans="1:12" ht="15">
      <c r="A2844" s="35" t="s">
        <v>13267</v>
      </c>
      <c r="B2844" s="35" t="s">
        <v>7777</v>
      </c>
      <c r="C2844" s="36" t="s">
        <v>2275</v>
      </c>
      <c r="D2844" s="35" t="s">
        <v>7778</v>
      </c>
      <c r="E2844" s="35" t="s">
        <v>13154</v>
      </c>
      <c r="F2844" s="35" t="s">
        <v>12483</v>
      </c>
      <c r="G2844" s="35">
        <v>354812</v>
      </c>
      <c r="H2844" s="35">
        <v>390410</v>
      </c>
      <c r="I2844" s="35">
        <v>200020</v>
      </c>
      <c r="J2844" s="34" t="s">
        <v>1288</v>
      </c>
      <c r="K2844" s="34" t="str">
        <f t="shared" si="91"/>
        <v>重复</v>
      </c>
      <c r="L2844" s="34" t="str">
        <f t="shared" si="92"/>
        <v>不重复</v>
      </c>
    </row>
    <row r="2845" spans="1:12" ht="30">
      <c r="A2845" s="35" t="s">
        <v>13268</v>
      </c>
      <c r="B2845" s="35" t="s">
        <v>7779</v>
      </c>
      <c r="C2845" s="36" t="s">
        <v>1198</v>
      </c>
      <c r="D2845" s="35" t="s">
        <v>7780</v>
      </c>
      <c r="E2845" s="35" t="s">
        <v>13154</v>
      </c>
      <c r="F2845" s="35" t="s">
        <v>12483</v>
      </c>
      <c r="G2845" s="35">
        <v>354813</v>
      </c>
      <c r="H2845" s="35">
        <v>390410</v>
      </c>
      <c r="I2845" s="35">
        <v>200020</v>
      </c>
      <c r="J2845" s="34" t="s">
        <v>311</v>
      </c>
      <c r="K2845" s="34" t="str">
        <f t="shared" si="91"/>
        <v>重复</v>
      </c>
      <c r="L2845" s="34" t="str">
        <f t="shared" si="92"/>
        <v>不重复</v>
      </c>
    </row>
    <row r="2846" spans="1:12" ht="30">
      <c r="A2846" s="35" t="s">
        <v>13269</v>
      </c>
      <c r="B2846" s="35" t="s">
        <v>7781</v>
      </c>
      <c r="C2846" s="36" t="s">
        <v>2040</v>
      </c>
      <c r="D2846" s="35" t="s">
        <v>7782</v>
      </c>
      <c r="E2846" s="35" t="s">
        <v>13154</v>
      </c>
      <c r="F2846" s="35" t="s">
        <v>12483</v>
      </c>
      <c r="G2846" s="35">
        <v>354814</v>
      </c>
      <c r="H2846" s="35">
        <v>390410</v>
      </c>
      <c r="I2846" s="35">
        <v>200020</v>
      </c>
      <c r="J2846" s="34" t="s">
        <v>3269</v>
      </c>
      <c r="K2846" s="34" t="str">
        <f t="shared" si="91"/>
        <v>重复</v>
      </c>
      <c r="L2846" s="34" t="str">
        <f t="shared" si="92"/>
        <v>不重复</v>
      </c>
    </row>
    <row r="2847" spans="1:12" ht="27">
      <c r="A2847" s="35" t="s">
        <v>13270</v>
      </c>
      <c r="B2847" s="35" t="s">
        <v>7783</v>
      </c>
      <c r="C2847" s="36" t="s">
        <v>7784</v>
      </c>
      <c r="D2847" s="35" t="s">
        <v>7785</v>
      </c>
      <c r="E2847" s="35" t="s">
        <v>13154</v>
      </c>
      <c r="F2847" s="35" t="s">
        <v>12483</v>
      </c>
      <c r="G2847" s="35">
        <v>354815</v>
      </c>
      <c r="H2847" s="35">
        <v>390410</v>
      </c>
      <c r="I2847" s="35">
        <v>200020</v>
      </c>
      <c r="J2847" s="34" t="s">
        <v>605</v>
      </c>
      <c r="K2847" s="34" t="str">
        <f t="shared" si="91"/>
        <v>不重复</v>
      </c>
      <c r="L2847" s="34" t="str">
        <f t="shared" si="92"/>
        <v>不重复</v>
      </c>
    </row>
    <row r="2848" spans="1:12" ht="30">
      <c r="A2848" s="35" t="s">
        <v>13271</v>
      </c>
      <c r="B2848" s="35" t="s">
        <v>7786</v>
      </c>
      <c r="C2848" s="36" t="s">
        <v>2040</v>
      </c>
      <c r="D2848" s="35" t="s">
        <v>3262</v>
      </c>
      <c r="E2848" s="35" t="s">
        <v>13154</v>
      </c>
      <c r="F2848" s="35" t="s">
        <v>12483</v>
      </c>
      <c r="G2848" s="35">
        <v>354816</v>
      </c>
      <c r="H2848" s="35">
        <v>390410</v>
      </c>
      <c r="I2848" s="35">
        <v>200020</v>
      </c>
      <c r="J2848" s="34" t="s">
        <v>363</v>
      </c>
      <c r="K2848" s="34" t="str">
        <f t="shared" si="91"/>
        <v>重复</v>
      </c>
      <c r="L2848" s="34" t="str">
        <f t="shared" si="92"/>
        <v>重复</v>
      </c>
    </row>
    <row r="2849" spans="1:12" ht="30">
      <c r="A2849" s="35" t="s">
        <v>13272</v>
      </c>
      <c r="B2849" s="35" t="s">
        <v>7787</v>
      </c>
      <c r="C2849" s="36" t="s">
        <v>6348</v>
      </c>
      <c r="D2849" s="35" t="s">
        <v>4342</v>
      </c>
      <c r="E2849" s="35" t="s">
        <v>13154</v>
      </c>
      <c r="F2849" s="35" t="s">
        <v>12483</v>
      </c>
      <c r="G2849" s="35">
        <v>354817</v>
      </c>
      <c r="H2849" s="35">
        <v>390410</v>
      </c>
      <c r="I2849" s="35">
        <v>200020</v>
      </c>
      <c r="J2849" s="34" t="s">
        <v>89</v>
      </c>
      <c r="K2849" s="34" t="str">
        <f t="shared" si="91"/>
        <v>重复</v>
      </c>
      <c r="L2849" s="34" t="str">
        <f t="shared" si="92"/>
        <v>重复</v>
      </c>
    </row>
    <row r="2850" spans="1:12" ht="27">
      <c r="A2850" s="35" t="s">
        <v>13273</v>
      </c>
      <c r="B2850" s="35" t="s">
        <v>7788</v>
      </c>
      <c r="C2850" s="36" t="s">
        <v>1074</v>
      </c>
      <c r="D2850" s="35" t="s">
        <v>7789</v>
      </c>
      <c r="E2850" s="35" t="s">
        <v>13154</v>
      </c>
      <c r="F2850" s="35" t="s">
        <v>12483</v>
      </c>
      <c r="G2850" s="35">
        <v>354818</v>
      </c>
      <c r="H2850" s="35">
        <v>390410</v>
      </c>
      <c r="I2850" s="35">
        <v>200020</v>
      </c>
      <c r="J2850" s="34" t="s">
        <v>5376</v>
      </c>
      <c r="K2850" s="34" t="str">
        <f t="shared" si="91"/>
        <v>重复</v>
      </c>
      <c r="L2850" s="34" t="str">
        <f t="shared" si="92"/>
        <v>不重复</v>
      </c>
    </row>
    <row r="2851" spans="1:12" ht="27">
      <c r="A2851" s="35" t="s">
        <v>13274</v>
      </c>
      <c r="B2851" s="35" t="s">
        <v>7790</v>
      </c>
      <c r="C2851" s="36" t="s">
        <v>7791</v>
      </c>
      <c r="D2851" s="35" t="s">
        <v>7792</v>
      </c>
      <c r="E2851" s="35" t="s">
        <v>13154</v>
      </c>
      <c r="F2851" s="35" t="s">
        <v>12483</v>
      </c>
      <c r="G2851" s="35">
        <v>354819</v>
      </c>
      <c r="H2851" s="35">
        <v>390410</v>
      </c>
      <c r="I2851" s="35">
        <v>200020</v>
      </c>
      <c r="J2851" s="34" t="s">
        <v>715</v>
      </c>
      <c r="K2851" s="34" t="str">
        <f t="shared" si="91"/>
        <v>不重复</v>
      </c>
      <c r="L2851" s="34" t="str">
        <f t="shared" si="92"/>
        <v>不重复</v>
      </c>
    </row>
    <row r="2852" spans="1:12" ht="27">
      <c r="A2852" s="35" t="s">
        <v>13275</v>
      </c>
      <c r="B2852" s="35" t="s">
        <v>7793</v>
      </c>
      <c r="C2852" s="36" t="s">
        <v>7794</v>
      </c>
      <c r="D2852" s="35" t="s">
        <v>7795</v>
      </c>
      <c r="E2852" s="35" t="s">
        <v>13154</v>
      </c>
      <c r="F2852" s="35" t="s">
        <v>12483</v>
      </c>
      <c r="G2852" s="35">
        <v>354820</v>
      </c>
      <c r="H2852" s="35">
        <v>390410</v>
      </c>
      <c r="I2852" s="35">
        <v>200020</v>
      </c>
      <c r="J2852" s="34" t="s">
        <v>7796</v>
      </c>
      <c r="K2852" s="34" t="str">
        <f t="shared" si="91"/>
        <v>不重复</v>
      </c>
      <c r="L2852" s="34" t="str">
        <f t="shared" si="92"/>
        <v>不重复</v>
      </c>
    </row>
    <row r="2853" spans="1:12" ht="27">
      <c r="A2853" s="35" t="s">
        <v>13276</v>
      </c>
      <c r="B2853" s="35" t="s">
        <v>7797</v>
      </c>
      <c r="C2853" s="36" t="s">
        <v>1042</v>
      </c>
      <c r="D2853" s="35" t="s">
        <v>7798</v>
      </c>
      <c r="E2853" s="35" t="s">
        <v>13154</v>
      </c>
      <c r="F2853" s="35" t="s">
        <v>12483</v>
      </c>
      <c r="G2853" s="35">
        <v>354821</v>
      </c>
      <c r="H2853" s="35">
        <v>390410</v>
      </c>
      <c r="I2853" s="35">
        <v>200020</v>
      </c>
      <c r="J2853" s="34" t="s">
        <v>7259</v>
      </c>
      <c r="K2853" s="34" t="str">
        <f t="shared" si="91"/>
        <v>重复</v>
      </c>
      <c r="L2853" s="34" t="str">
        <f t="shared" si="92"/>
        <v>不重复</v>
      </c>
    </row>
    <row r="2854" spans="1:12" ht="30">
      <c r="A2854" s="35" t="s">
        <v>13277</v>
      </c>
      <c r="B2854" s="35" t="s">
        <v>7799</v>
      </c>
      <c r="C2854" s="36" t="s">
        <v>3620</v>
      </c>
      <c r="D2854" s="35" t="s">
        <v>7800</v>
      </c>
      <c r="E2854" s="35" t="s">
        <v>13154</v>
      </c>
      <c r="F2854" s="35" t="s">
        <v>12483</v>
      </c>
      <c r="G2854" s="35">
        <v>354822</v>
      </c>
      <c r="H2854" s="35">
        <v>390410</v>
      </c>
      <c r="I2854" s="35">
        <v>200020</v>
      </c>
      <c r="J2854" s="34" t="s">
        <v>985</v>
      </c>
      <c r="K2854" s="34" t="str">
        <f t="shared" si="91"/>
        <v>重复</v>
      </c>
      <c r="L2854" s="34" t="str">
        <f t="shared" si="92"/>
        <v>不重复</v>
      </c>
    </row>
    <row r="2855" spans="1:12" ht="30">
      <c r="A2855" s="35" t="s">
        <v>13278</v>
      </c>
      <c r="B2855" s="35" t="s">
        <v>7801</v>
      </c>
      <c r="C2855" s="36" t="s">
        <v>1083</v>
      </c>
      <c r="D2855" s="35" t="s">
        <v>7802</v>
      </c>
      <c r="E2855" s="35" t="s">
        <v>13154</v>
      </c>
      <c r="F2855" s="35" t="s">
        <v>12483</v>
      </c>
      <c r="G2855" s="35">
        <v>354823</v>
      </c>
      <c r="H2855" s="35">
        <v>390410</v>
      </c>
      <c r="I2855" s="35">
        <v>200020</v>
      </c>
      <c r="J2855" s="34" t="s">
        <v>1040</v>
      </c>
      <c r="K2855" s="34" t="str">
        <f t="shared" si="91"/>
        <v>重复</v>
      </c>
      <c r="L2855" s="34" t="str">
        <f t="shared" si="92"/>
        <v>不重复</v>
      </c>
    </row>
    <row r="2856" spans="1:12" ht="27">
      <c r="A2856" s="35" t="s">
        <v>13279</v>
      </c>
      <c r="B2856" s="35" t="s">
        <v>7803</v>
      </c>
      <c r="C2856" s="36" t="s">
        <v>7804</v>
      </c>
      <c r="D2856" s="35" t="s">
        <v>6893</v>
      </c>
      <c r="E2856" s="35" t="s">
        <v>13154</v>
      </c>
      <c r="F2856" s="35" t="s">
        <v>12483</v>
      </c>
      <c r="G2856" s="35">
        <v>354824</v>
      </c>
      <c r="H2856" s="35">
        <v>390410</v>
      </c>
      <c r="I2856" s="35">
        <v>200020</v>
      </c>
      <c r="J2856" s="34" t="s">
        <v>7805</v>
      </c>
      <c r="K2856" s="34" t="str">
        <f t="shared" si="91"/>
        <v>不重复</v>
      </c>
      <c r="L2856" s="34" t="str">
        <f t="shared" si="92"/>
        <v>重复</v>
      </c>
    </row>
    <row r="2857" spans="1:12" ht="30">
      <c r="A2857" s="35" t="s">
        <v>13280</v>
      </c>
      <c r="B2857" s="35" t="s">
        <v>7806</v>
      </c>
      <c r="C2857" s="36" t="s">
        <v>7807</v>
      </c>
      <c r="D2857" s="35" t="s">
        <v>7808</v>
      </c>
      <c r="E2857" s="35" t="s">
        <v>13154</v>
      </c>
      <c r="F2857" s="35" t="s">
        <v>12483</v>
      </c>
      <c r="G2857" s="35">
        <v>354825</v>
      </c>
      <c r="H2857" s="35">
        <v>390410</v>
      </c>
      <c r="I2857" s="35">
        <v>200020</v>
      </c>
      <c r="J2857" s="34" t="s">
        <v>4887</v>
      </c>
      <c r="K2857" s="34" t="str">
        <f t="shared" si="91"/>
        <v>不重复</v>
      </c>
      <c r="L2857" s="34" t="str">
        <f t="shared" si="92"/>
        <v>不重复</v>
      </c>
    </row>
    <row r="2858" spans="1:12" ht="30">
      <c r="A2858" s="35" t="s">
        <v>13281</v>
      </c>
      <c r="B2858" s="35" t="s">
        <v>7809</v>
      </c>
      <c r="C2858" s="36" t="s">
        <v>7810</v>
      </c>
      <c r="D2858" s="35" t="s">
        <v>7811</v>
      </c>
      <c r="E2858" s="35" t="s">
        <v>13154</v>
      </c>
      <c r="F2858" s="35" t="s">
        <v>12483</v>
      </c>
      <c r="G2858" s="35">
        <v>354826</v>
      </c>
      <c r="H2858" s="35">
        <v>390410</v>
      </c>
      <c r="I2858" s="35">
        <v>200020</v>
      </c>
      <c r="J2858" s="34" t="s">
        <v>363</v>
      </c>
      <c r="K2858" s="34" t="str">
        <f t="shared" si="91"/>
        <v>不重复</v>
      </c>
      <c r="L2858" s="34" t="str">
        <f t="shared" si="92"/>
        <v>重复</v>
      </c>
    </row>
    <row r="2859" spans="1:12" ht="30">
      <c r="A2859" s="35" t="s">
        <v>13282</v>
      </c>
      <c r="B2859" s="35" t="s">
        <v>7812</v>
      </c>
      <c r="C2859" s="36" t="s">
        <v>4519</v>
      </c>
      <c r="D2859" s="35" t="s">
        <v>7813</v>
      </c>
      <c r="E2859" s="35" t="s">
        <v>13154</v>
      </c>
      <c r="F2859" s="35" t="s">
        <v>12483</v>
      </c>
      <c r="G2859" s="35">
        <v>354827</v>
      </c>
      <c r="H2859" s="35">
        <v>390410</v>
      </c>
      <c r="I2859" s="35">
        <v>200020</v>
      </c>
      <c r="J2859" s="34" t="s">
        <v>4887</v>
      </c>
      <c r="K2859" s="34" t="str">
        <f t="shared" si="91"/>
        <v>重复</v>
      </c>
      <c r="L2859" s="34" t="str">
        <f t="shared" si="92"/>
        <v>不重复</v>
      </c>
    </row>
    <row r="2860" spans="1:12" ht="30">
      <c r="A2860" s="35" t="s">
        <v>13283</v>
      </c>
      <c r="B2860" s="35" t="s">
        <v>7814</v>
      </c>
      <c r="C2860" s="36" t="s">
        <v>6936</v>
      </c>
      <c r="D2860" s="35" t="s">
        <v>7815</v>
      </c>
      <c r="E2860" s="35" t="s">
        <v>13154</v>
      </c>
      <c r="F2860" s="35" t="s">
        <v>12483</v>
      </c>
      <c r="G2860" s="35">
        <v>354828</v>
      </c>
      <c r="H2860" s="35">
        <v>390410</v>
      </c>
      <c r="I2860" s="35">
        <v>200020</v>
      </c>
      <c r="J2860" s="34" t="s">
        <v>7816</v>
      </c>
      <c r="K2860" s="34" t="str">
        <f t="shared" si="91"/>
        <v>重复</v>
      </c>
      <c r="L2860" s="34" t="str">
        <f t="shared" si="92"/>
        <v>不重复</v>
      </c>
    </row>
    <row r="2861" spans="1:12" ht="15">
      <c r="A2861" s="35" t="s">
        <v>13284</v>
      </c>
      <c r="B2861" s="35" t="s">
        <v>7817</v>
      </c>
      <c r="C2861" s="36" t="s">
        <v>6602</v>
      </c>
      <c r="D2861" s="35" t="s">
        <v>7818</v>
      </c>
      <c r="E2861" s="35" t="s">
        <v>13154</v>
      </c>
      <c r="F2861" s="35" t="s">
        <v>12483</v>
      </c>
      <c r="G2861" s="35">
        <v>354829</v>
      </c>
      <c r="H2861" s="35">
        <v>390410</v>
      </c>
      <c r="I2861" s="35">
        <v>200020</v>
      </c>
      <c r="J2861" s="34" t="s">
        <v>1103</v>
      </c>
      <c r="K2861" s="34" t="str">
        <f t="shared" si="91"/>
        <v>重复</v>
      </c>
      <c r="L2861" s="34" t="str">
        <f t="shared" si="92"/>
        <v>不重复</v>
      </c>
    </row>
    <row r="2862" spans="1:12" ht="15">
      <c r="A2862" s="35" t="s">
        <v>13285</v>
      </c>
      <c r="B2862" s="35" t="s">
        <v>7819</v>
      </c>
      <c r="C2862" s="36" t="s">
        <v>7820</v>
      </c>
      <c r="D2862" s="35" t="s">
        <v>7821</v>
      </c>
      <c r="E2862" s="35" t="s">
        <v>13154</v>
      </c>
      <c r="F2862" s="35" t="s">
        <v>12483</v>
      </c>
      <c r="G2862" s="35">
        <v>354830</v>
      </c>
      <c r="H2862" s="35">
        <v>390410</v>
      </c>
      <c r="I2862" s="35">
        <v>200020</v>
      </c>
      <c r="J2862" s="34" t="s">
        <v>250</v>
      </c>
      <c r="K2862" s="34" t="str">
        <f t="shared" si="91"/>
        <v>不重复</v>
      </c>
      <c r="L2862" s="34" t="str">
        <f t="shared" si="92"/>
        <v>不重复</v>
      </c>
    </row>
    <row r="2863" spans="1:12" ht="27">
      <c r="A2863" s="35" t="s">
        <v>13286</v>
      </c>
      <c r="B2863" s="35" t="s">
        <v>7822</v>
      </c>
      <c r="C2863" s="36" t="s">
        <v>2187</v>
      </c>
      <c r="D2863" s="35" t="s">
        <v>7823</v>
      </c>
      <c r="E2863" s="35" t="s">
        <v>13154</v>
      </c>
      <c r="F2863" s="35" t="s">
        <v>12483</v>
      </c>
      <c r="G2863" s="35">
        <v>354831</v>
      </c>
      <c r="H2863" s="35">
        <v>390410</v>
      </c>
      <c r="I2863" s="35">
        <v>200020</v>
      </c>
      <c r="J2863" s="34" t="s">
        <v>363</v>
      </c>
      <c r="K2863" s="34" t="str">
        <f t="shared" si="91"/>
        <v>重复</v>
      </c>
      <c r="L2863" s="34" t="str">
        <f t="shared" si="92"/>
        <v>不重复</v>
      </c>
    </row>
    <row r="2864" spans="1:12" ht="27">
      <c r="A2864" s="35" t="s">
        <v>13287</v>
      </c>
      <c r="B2864" s="35" t="s">
        <v>7824</v>
      </c>
      <c r="C2864" s="36" t="s">
        <v>7825</v>
      </c>
      <c r="D2864" s="35" t="s">
        <v>7826</v>
      </c>
      <c r="E2864" s="35" t="s">
        <v>13154</v>
      </c>
      <c r="F2864" s="35" t="s">
        <v>12483</v>
      </c>
      <c r="G2864" s="35">
        <v>354832</v>
      </c>
      <c r="H2864" s="35">
        <v>390410</v>
      </c>
      <c r="I2864" s="35">
        <v>200020</v>
      </c>
      <c r="J2864" s="34" t="s">
        <v>889</v>
      </c>
      <c r="K2864" s="34" t="str">
        <f t="shared" si="91"/>
        <v>不重复</v>
      </c>
      <c r="L2864" s="34" t="str">
        <f t="shared" si="92"/>
        <v>不重复</v>
      </c>
    </row>
    <row r="2865" spans="1:12" ht="15">
      <c r="A2865" s="35" t="s">
        <v>13288</v>
      </c>
      <c r="B2865" s="35" t="s">
        <v>7827</v>
      </c>
      <c r="C2865" s="36" t="s">
        <v>7828</v>
      </c>
      <c r="D2865" s="35" t="s">
        <v>7303</v>
      </c>
      <c r="E2865" s="35" t="s">
        <v>13288</v>
      </c>
      <c r="F2865" s="35" t="s">
        <v>12483</v>
      </c>
      <c r="G2865" s="35">
        <v>354900</v>
      </c>
      <c r="H2865" s="35">
        <v>390420</v>
      </c>
      <c r="I2865" s="35">
        <v>200020</v>
      </c>
      <c r="J2865" s="34" t="s">
        <v>16</v>
      </c>
      <c r="K2865" s="34" t="str">
        <f t="shared" si="91"/>
        <v>不重复</v>
      </c>
      <c r="L2865" s="34" t="str">
        <f t="shared" si="92"/>
        <v>重复</v>
      </c>
    </row>
    <row r="2866" spans="1:12" ht="27">
      <c r="A2866" s="35" t="s">
        <v>13289</v>
      </c>
      <c r="B2866" s="35" t="s">
        <v>7829</v>
      </c>
      <c r="C2866" s="36" t="s">
        <v>7830</v>
      </c>
      <c r="D2866" s="35" t="s">
        <v>7831</v>
      </c>
      <c r="E2866" s="35" t="s">
        <v>13288</v>
      </c>
      <c r="F2866" s="35" t="s">
        <v>12483</v>
      </c>
      <c r="G2866" s="35">
        <v>354901</v>
      </c>
      <c r="H2866" s="35">
        <v>390420</v>
      </c>
      <c r="I2866" s="35">
        <v>200020</v>
      </c>
      <c r="J2866" s="34" t="s">
        <v>302</v>
      </c>
      <c r="K2866" s="34" t="str">
        <f t="shared" si="91"/>
        <v>不重复</v>
      </c>
      <c r="L2866" s="34" t="str">
        <f t="shared" si="92"/>
        <v>不重复</v>
      </c>
    </row>
    <row r="2867" spans="1:12" ht="30">
      <c r="A2867" s="35" t="s">
        <v>13290</v>
      </c>
      <c r="B2867" s="35" t="s">
        <v>7832</v>
      </c>
      <c r="C2867" s="36" t="s">
        <v>1309</v>
      </c>
      <c r="D2867" s="35" t="s">
        <v>7833</v>
      </c>
      <c r="E2867" s="35" t="s">
        <v>13288</v>
      </c>
      <c r="F2867" s="35" t="s">
        <v>12483</v>
      </c>
      <c r="G2867" s="35">
        <v>354902</v>
      </c>
      <c r="H2867" s="35">
        <v>390420</v>
      </c>
      <c r="I2867" s="35">
        <v>200020</v>
      </c>
      <c r="J2867" s="34" t="s">
        <v>317</v>
      </c>
      <c r="K2867" s="34" t="str">
        <f t="shared" si="91"/>
        <v>重复</v>
      </c>
      <c r="L2867" s="34" t="str">
        <f t="shared" si="92"/>
        <v>不重复</v>
      </c>
    </row>
    <row r="2868" spans="1:12" ht="27">
      <c r="A2868" s="35" t="s">
        <v>13291</v>
      </c>
      <c r="B2868" s="35" t="s">
        <v>7834</v>
      </c>
      <c r="C2868" s="36" t="s">
        <v>7835</v>
      </c>
      <c r="D2868" s="35" t="s">
        <v>7836</v>
      </c>
      <c r="E2868" s="35" t="s">
        <v>13288</v>
      </c>
      <c r="F2868" s="35" t="s">
        <v>12483</v>
      </c>
      <c r="G2868" s="35">
        <v>354903</v>
      </c>
      <c r="H2868" s="35">
        <v>390420</v>
      </c>
      <c r="I2868" s="35">
        <v>200020</v>
      </c>
      <c r="J2868" s="34" t="s">
        <v>317</v>
      </c>
      <c r="K2868" s="34" t="str">
        <f t="shared" si="91"/>
        <v>不重复</v>
      </c>
      <c r="L2868" s="34" t="str">
        <f t="shared" si="92"/>
        <v>不重复</v>
      </c>
    </row>
    <row r="2869" spans="1:12" ht="27">
      <c r="A2869" s="35" t="s">
        <v>13292</v>
      </c>
      <c r="B2869" s="35" t="s">
        <v>7837</v>
      </c>
      <c r="C2869" s="36" t="s">
        <v>7838</v>
      </c>
      <c r="D2869" s="35" t="s">
        <v>6055</v>
      </c>
      <c r="E2869" s="35" t="s">
        <v>13288</v>
      </c>
      <c r="F2869" s="35" t="s">
        <v>12483</v>
      </c>
      <c r="G2869" s="35">
        <v>354904</v>
      </c>
      <c r="H2869" s="35">
        <v>390420</v>
      </c>
      <c r="I2869" s="35">
        <v>200020</v>
      </c>
      <c r="J2869" s="34" t="s">
        <v>932</v>
      </c>
      <c r="K2869" s="34" t="str">
        <f t="shared" si="91"/>
        <v>不重复</v>
      </c>
      <c r="L2869" s="34" t="str">
        <f t="shared" si="92"/>
        <v>重复</v>
      </c>
    </row>
    <row r="2870" spans="1:12" ht="27">
      <c r="A2870" s="35" t="s">
        <v>13293</v>
      </c>
      <c r="B2870" s="35" t="s">
        <v>7839</v>
      </c>
      <c r="C2870" s="36" t="s">
        <v>7840</v>
      </c>
      <c r="D2870" s="35" t="s">
        <v>7841</v>
      </c>
      <c r="E2870" s="35" t="s">
        <v>13288</v>
      </c>
      <c r="F2870" s="35" t="s">
        <v>12483</v>
      </c>
      <c r="G2870" s="35">
        <v>354905</v>
      </c>
      <c r="H2870" s="35">
        <v>390420</v>
      </c>
      <c r="I2870" s="35">
        <v>200020</v>
      </c>
      <c r="J2870" s="34" t="s">
        <v>347</v>
      </c>
      <c r="K2870" s="34" t="str">
        <f t="shared" si="91"/>
        <v>重复</v>
      </c>
      <c r="L2870" s="34" t="str">
        <f t="shared" si="92"/>
        <v>重复</v>
      </c>
    </row>
    <row r="2871" spans="1:12" ht="15">
      <c r="A2871" s="35" t="s">
        <v>13294</v>
      </c>
      <c r="B2871" s="35" t="s">
        <v>7842</v>
      </c>
      <c r="C2871" s="36" t="s">
        <v>351</v>
      </c>
      <c r="D2871" s="35" t="s">
        <v>7843</v>
      </c>
      <c r="E2871" s="35" t="s">
        <v>13288</v>
      </c>
      <c r="F2871" s="35" t="s">
        <v>12483</v>
      </c>
      <c r="G2871" s="35">
        <v>354906</v>
      </c>
      <c r="H2871" s="35">
        <v>390420</v>
      </c>
      <c r="I2871" s="35">
        <v>200020</v>
      </c>
      <c r="J2871" s="34" t="s">
        <v>347</v>
      </c>
      <c r="K2871" s="34" t="str">
        <f t="shared" si="91"/>
        <v>重复</v>
      </c>
      <c r="L2871" s="34" t="str">
        <f t="shared" si="92"/>
        <v>不重复</v>
      </c>
    </row>
    <row r="2872" spans="1:12" ht="27">
      <c r="A2872" s="35" t="s">
        <v>13295</v>
      </c>
      <c r="B2872" s="35" t="s">
        <v>7844</v>
      </c>
      <c r="C2872" s="36" t="s">
        <v>2133</v>
      </c>
      <c r="D2872" s="35" t="s">
        <v>7845</v>
      </c>
      <c r="E2872" s="35" t="s">
        <v>13288</v>
      </c>
      <c r="F2872" s="35" t="s">
        <v>12483</v>
      </c>
      <c r="G2872" s="35">
        <v>354907</v>
      </c>
      <c r="H2872" s="35">
        <v>390420</v>
      </c>
      <c r="I2872" s="35">
        <v>200020</v>
      </c>
      <c r="J2872" s="34" t="s">
        <v>363</v>
      </c>
      <c r="K2872" s="34" t="str">
        <f t="shared" si="91"/>
        <v>重复</v>
      </c>
      <c r="L2872" s="34" t="str">
        <f t="shared" si="92"/>
        <v>不重复</v>
      </c>
    </row>
    <row r="2873" spans="1:12" ht="27">
      <c r="A2873" s="35" t="s">
        <v>13296</v>
      </c>
      <c r="B2873" s="35" t="s">
        <v>7846</v>
      </c>
      <c r="C2873" s="36" t="s">
        <v>7847</v>
      </c>
      <c r="D2873" s="35" t="s">
        <v>7848</v>
      </c>
      <c r="E2873" s="35" t="s">
        <v>13288</v>
      </c>
      <c r="F2873" s="35" t="s">
        <v>12483</v>
      </c>
      <c r="G2873" s="35">
        <v>354908</v>
      </c>
      <c r="H2873" s="35">
        <v>390420</v>
      </c>
      <c r="I2873" s="35">
        <v>200020</v>
      </c>
      <c r="J2873" s="34" t="s">
        <v>878</v>
      </c>
      <c r="K2873" s="34" t="str">
        <f t="shared" si="91"/>
        <v>不重复</v>
      </c>
      <c r="L2873" s="34" t="str">
        <f t="shared" si="92"/>
        <v>不重复</v>
      </c>
    </row>
    <row r="2874" spans="1:12" ht="15">
      <c r="A2874" s="35" t="s">
        <v>13297</v>
      </c>
      <c r="B2874" s="35" t="s">
        <v>7849</v>
      </c>
      <c r="C2874" s="36" t="s">
        <v>349</v>
      </c>
      <c r="D2874" s="35" t="s">
        <v>7850</v>
      </c>
      <c r="E2874" s="35" t="s">
        <v>13288</v>
      </c>
      <c r="F2874" s="35" t="s">
        <v>12483</v>
      </c>
      <c r="G2874" s="35">
        <v>354909</v>
      </c>
      <c r="H2874" s="35">
        <v>390420</v>
      </c>
      <c r="I2874" s="35">
        <v>200020</v>
      </c>
      <c r="J2874" s="34" t="s">
        <v>1473</v>
      </c>
      <c r="K2874" s="34" t="str">
        <f t="shared" si="91"/>
        <v>重复</v>
      </c>
      <c r="L2874" s="34" t="str">
        <f t="shared" si="92"/>
        <v>不重复</v>
      </c>
    </row>
    <row r="2875" spans="1:12" ht="27">
      <c r="A2875" s="35" t="s">
        <v>13298</v>
      </c>
      <c r="B2875" s="35" t="s">
        <v>7851</v>
      </c>
      <c r="C2875" s="36" t="s">
        <v>592</v>
      </c>
      <c r="D2875" s="35" t="s">
        <v>7852</v>
      </c>
      <c r="E2875" s="35" t="s">
        <v>13288</v>
      </c>
      <c r="F2875" s="35" t="s">
        <v>12483</v>
      </c>
      <c r="G2875" s="35">
        <v>354910</v>
      </c>
      <c r="H2875" s="35">
        <v>390420</v>
      </c>
      <c r="I2875" s="35">
        <v>200020</v>
      </c>
      <c r="J2875" s="34" t="s">
        <v>6929</v>
      </c>
      <c r="K2875" s="34" t="str">
        <f t="shared" si="91"/>
        <v>重复</v>
      </c>
      <c r="L2875" s="34" t="str">
        <f t="shared" si="92"/>
        <v>不重复</v>
      </c>
    </row>
    <row r="2876" spans="1:12" ht="27">
      <c r="A2876" s="35" t="s">
        <v>13299</v>
      </c>
      <c r="B2876" s="35" t="s">
        <v>7853</v>
      </c>
      <c r="C2876" s="36" t="s">
        <v>7854</v>
      </c>
      <c r="D2876" s="35" t="s">
        <v>7855</v>
      </c>
      <c r="E2876" s="35" t="s">
        <v>13288</v>
      </c>
      <c r="F2876" s="35" t="s">
        <v>12483</v>
      </c>
      <c r="G2876" s="35">
        <v>354911</v>
      </c>
      <c r="H2876" s="35">
        <v>390420</v>
      </c>
      <c r="I2876" s="35">
        <v>200020</v>
      </c>
      <c r="J2876" s="34" t="s">
        <v>7856</v>
      </c>
      <c r="K2876" s="34" t="str">
        <f t="shared" si="91"/>
        <v>不重复</v>
      </c>
      <c r="L2876" s="34" t="str">
        <f t="shared" si="92"/>
        <v>不重复</v>
      </c>
    </row>
    <row r="2877" spans="1:12" ht="27">
      <c r="A2877" s="35" t="s">
        <v>13300</v>
      </c>
      <c r="B2877" s="35" t="s">
        <v>7857</v>
      </c>
      <c r="C2877" s="36" t="s">
        <v>5539</v>
      </c>
      <c r="D2877" s="35" t="s">
        <v>7858</v>
      </c>
      <c r="E2877" s="35" t="s">
        <v>13288</v>
      </c>
      <c r="F2877" s="35" t="s">
        <v>12483</v>
      </c>
      <c r="G2877" s="35">
        <v>354912</v>
      </c>
      <c r="H2877" s="35">
        <v>390420</v>
      </c>
      <c r="I2877" s="35">
        <v>200020</v>
      </c>
      <c r="J2877" s="34" t="s">
        <v>288</v>
      </c>
      <c r="K2877" s="34" t="str">
        <f t="shared" si="91"/>
        <v>重复</v>
      </c>
      <c r="L2877" s="34" t="str">
        <f t="shared" si="92"/>
        <v>不重复</v>
      </c>
    </row>
    <row r="2878" spans="1:12" ht="27">
      <c r="A2878" s="35" t="s">
        <v>13301</v>
      </c>
      <c r="B2878" s="35" t="s">
        <v>7859</v>
      </c>
      <c r="C2878" s="36" t="s">
        <v>617</v>
      </c>
      <c r="D2878" s="35" t="s">
        <v>7860</v>
      </c>
      <c r="E2878" s="35" t="s">
        <v>13288</v>
      </c>
      <c r="F2878" s="35" t="s">
        <v>12483</v>
      </c>
      <c r="G2878" s="35">
        <v>354913</v>
      </c>
      <c r="H2878" s="35">
        <v>390420</v>
      </c>
      <c r="I2878" s="35">
        <v>200020</v>
      </c>
      <c r="J2878" s="34" t="s">
        <v>878</v>
      </c>
      <c r="K2878" s="34" t="str">
        <f t="shared" si="91"/>
        <v>重复</v>
      </c>
      <c r="L2878" s="34" t="str">
        <f t="shared" si="92"/>
        <v>不重复</v>
      </c>
    </row>
    <row r="2879" spans="1:12" ht="27">
      <c r="A2879" s="35" t="s">
        <v>13302</v>
      </c>
      <c r="B2879" s="35" t="s">
        <v>7861</v>
      </c>
      <c r="C2879" s="36" t="s">
        <v>717</v>
      </c>
      <c r="D2879" s="35" t="s">
        <v>7862</v>
      </c>
      <c r="E2879" s="35" t="s">
        <v>13288</v>
      </c>
      <c r="F2879" s="35" t="s">
        <v>12483</v>
      </c>
      <c r="G2879" s="35">
        <v>354914</v>
      </c>
      <c r="H2879" s="35">
        <v>390420</v>
      </c>
      <c r="I2879" s="35">
        <v>200020</v>
      </c>
      <c r="J2879" s="34" t="s">
        <v>889</v>
      </c>
      <c r="K2879" s="34" t="str">
        <f t="shared" si="91"/>
        <v>重复</v>
      </c>
      <c r="L2879" s="34" t="str">
        <f t="shared" si="92"/>
        <v>不重复</v>
      </c>
    </row>
    <row r="2880" spans="1:12" ht="27">
      <c r="A2880" s="35" t="s">
        <v>13303</v>
      </c>
      <c r="B2880" s="35" t="s">
        <v>7863</v>
      </c>
      <c r="C2880" s="36" t="s">
        <v>7655</v>
      </c>
      <c r="D2880" s="35" t="s">
        <v>7864</v>
      </c>
      <c r="E2880" s="35" t="s">
        <v>13288</v>
      </c>
      <c r="F2880" s="35" t="s">
        <v>12483</v>
      </c>
      <c r="G2880" s="35">
        <v>354915</v>
      </c>
      <c r="H2880" s="35">
        <v>390420</v>
      </c>
      <c r="I2880" s="35">
        <v>200020</v>
      </c>
      <c r="J2880" s="34" t="s">
        <v>878</v>
      </c>
      <c r="K2880" s="34" t="str">
        <f t="shared" si="91"/>
        <v>重复</v>
      </c>
      <c r="L2880" s="34" t="str">
        <f t="shared" si="92"/>
        <v>不重复</v>
      </c>
    </row>
    <row r="2881" spans="1:12" ht="27">
      <c r="A2881" s="35" t="s">
        <v>13304</v>
      </c>
      <c r="B2881" s="35" t="s">
        <v>7865</v>
      </c>
      <c r="C2881" s="36" t="s">
        <v>7866</v>
      </c>
      <c r="D2881" s="35" t="s">
        <v>7867</v>
      </c>
      <c r="E2881" s="35" t="s">
        <v>13288</v>
      </c>
      <c r="F2881" s="35" t="s">
        <v>12483</v>
      </c>
      <c r="G2881" s="35">
        <v>354916</v>
      </c>
      <c r="H2881" s="35">
        <v>390420</v>
      </c>
      <c r="I2881" s="35">
        <v>200020</v>
      </c>
      <c r="J2881" s="34" t="s">
        <v>3656</v>
      </c>
      <c r="K2881" s="34" t="str">
        <f t="shared" si="91"/>
        <v>不重复</v>
      </c>
      <c r="L2881" s="34" t="str">
        <f t="shared" si="92"/>
        <v>不重复</v>
      </c>
    </row>
    <row r="2882" spans="1:12" ht="27">
      <c r="A2882" s="35" t="s">
        <v>13305</v>
      </c>
      <c r="B2882" s="35" t="s">
        <v>7868</v>
      </c>
      <c r="C2882" s="36" t="s">
        <v>4790</v>
      </c>
      <c r="D2882" s="35" t="s">
        <v>7869</v>
      </c>
      <c r="E2882" s="35" t="s">
        <v>13288</v>
      </c>
      <c r="F2882" s="35" t="s">
        <v>12483</v>
      </c>
      <c r="G2882" s="35">
        <v>354917</v>
      </c>
      <c r="H2882" s="35">
        <v>390420</v>
      </c>
      <c r="I2882" s="35">
        <v>200020</v>
      </c>
      <c r="J2882" s="34" t="s">
        <v>1978</v>
      </c>
      <c r="K2882" s="34" t="str">
        <f t="shared" si="91"/>
        <v>重复</v>
      </c>
      <c r="L2882" s="34" t="str">
        <f t="shared" si="92"/>
        <v>不重复</v>
      </c>
    </row>
    <row r="2883" spans="1:12" ht="27">
      <c r="A2883" s="35" t="s">
        <v>13306</v>
      </c>
      <c r="B2883" s="35" t="s">
        <v>7870</v>
      </c>
      <c r="C2883" s="36" t="s">
        <v>4305</v>
      </c>
      <c r="D2883" s="35" t="s">
        <v>7871</v>
      </c>
      <c r="E2883" s="35" t="s">
        <v>13288</v>
      </c>
      <c r="F2883" s="35" t="s">
        <v>12483</v>
      </c>
      <c r="G2883" s="35">
        <v>354918</v>
      </c>
      <c r="H2883" s="35">
        <v>390420</v>
      </c>
      <c r="I2883" s="35">
        <v>200020</v>
      </c>
      <c r="J2883" s="34" t="s">
        <v>1937</v>
      </c>
      <c r="K2883" s="34" t="str">
        <f t="shared" si="91"/>
        <v>重复</v>
      </c>
      <c r="L2883" s="34" t="str">
        <f t="shared" si="92"/>
        <v>重复</v>
      </c>
    </row>
    <row r="2884" spans="1:12" ht="27">
      <c r="A2884" s="35" t="s">
        <v>13307</v>
      </c>
      <c r="B2884" s="35" t="s">
        <v>7872</v>
      </c>
      <c r="C2884" s="36" t="s">
        <v>2604</v>
      </c>
      <c r="D2884" s="35" t="s">
        <v>7873</v>
      </c>
      <c r="E2884" s="35" t="s">
        <v>13288</v>
      </c>
      <c r="F2884" s="35" t="s">
        <v>12483</v>
      </c>
      <c r="G2884" s="35">
        <v>354919</v>
      </c>
      <c r="H2884" s="35">
        <v>390420</v>
      </c>
      <c r="I2884" s="35">
        <v>200020</v>
      </c>
      <c r="J2884" s="34" t="s">
        <v>878</v>
      </c>
      <c r="K2884" s="34" t="str">
        <f t="shared" si="91"/>
        <v>重复</v>
      </c>
      <c r="L2884" s="34" t="str">
        <f t="shared" si="92"/>
        <v>不重复</v>
      </c>
    </row>
    <row r="2885" spans="1:12" ht="27">
      <c r="A2885" s="35" t="s">
        <v>13308</v>
      </c>
      <c r="B2885" s="35" t="s">
        <v>7874</v>
      </c>
      <c r="C2885" s="36" t="s">
        <v>7875</v>
      </c>
      <c r="D2885" s="35" t="s">
        <v>7876</v>
      </c>
      <c r="E2885" s="35" t="s">
        <v>13288</v>
      </c>
      <c r="F2885" s="35" t="s">
        <v>12483</v>
      </c>
      <c r="G2885" s="35">
        <v>354920</v>
      </c>
      <c r="H2885" s="35">
        <v>390420</v>
      </c>
      <c r="I2885" s="35">
        <v>200020</v>
      </c>
      <c r="J2885" s="34" t="s">
        <v>288</v>
      </c>
      <c r="K2885" s="34" t="str">
        <f t="shared" si="91"/>
        <v>不重复</v>
      </c>
      <c r="L2885" s="34" t="str">
        <f t="shared" si="92"/>
        <v>不重复</v>
      </c>
    </row>
    <row r="2886" spans="1:12" ht="27">
      <c r="A2886" s="35" t="s">
        <v>13309</v>
      </c>
      <c r="B2886" s="35" t="s">
        <v>7877</v>
      </c>
      <c r="C2886" s="36" t="s">
        <v>7480</v>
      </c>
      <c r="D2886" s="35" t="s">
        <v>7878</v>
      </c>
      <c r="E2886" s="35" t="s">
        <v>13288</v>
      </c>
      <c r="F2886" s="35" t="s">
        <v>12483</v>
      </c>
      <c r="G2886" s="35">
        <v>354921</v>
      </c>
      <c r="H2886" s="35">
        <v>390420</v>
      </c>
      <c r="I2886" s="35">
        <v>200020</v>
      </c>
      <c r="J2886" s="34" t="s">
        <v>7856</v>
      </c>
      <c r="K2886" s="34" t="str">
        <f t="shared" si="91"/>
        <v>重复</v>
      </c>
      <c r="L2886" s="34" t="str">
        <f t="shared" si="92"/>
        <v>不重复</v>
      </c>
    </row>
    <row r="2887" spans="1:12" ht="27">
      <c r="A2887" s="35" t="s">
        <v>13310</v>
      </c>
      <c r="B2887" s="35" t="s">
        <v>7879</v>
      </c>
      <c r="C2887" s="36" t="s">
        <v>4046</v>
      </c>
      <c r="D2887" s="35" t="s">
        <v>7880</v>
      </c>
      <c r="E2887" s="35" t="s">
        <v>13288</v>
      </c>
      <c r="F2887" s="35" t="s">
        <v>12483</v>
      </c>
      <c r="G2887" s="35">
        <v>354922</v>
      </c>
      <c r="H2887" s="35">
        <v>390420</v>
      </c>
      <c r="I2887" s="35">
        <v>200020</v>
      </c>
      <c r="J2887" s="34" t="s">
        <v>878</v>
      </c>
      <c r="K2887" s="34" t="str">
        <f t="shared" si="91"/>
        <v>重复</v>
      </c>
      <c r="L2887" s="34" t="str">
        <f t="shared" si="92"/>
        <v>不重复</v>
      </c>
    </row>
    <row r="2888" spans="1:12" ht="27">
      <c r="A2888" s="35" t="s">
        <v>13311</v>
      </c>
      <c r="B2888" s="35" t="s">
        <v>7881</v>
      </c>
      <c r="C2888" s="36" t="s">
        <v>4315</v>
      </c>
      <c r="D2888" s="35" t="s">
        <v>7882</v>
      </c>
      <c r="E2888" s="35" t="s">
        <v>13288</v>
      </c>
      <c r="F2888" s="35" t="s">
        <v>12483</v>
      </c>
      <c r="G2888" s="35">
        <v>354923</v>
      </c>
      <c r="H2888" s="35">
        <v>390420</v>
      </c>
      <c r="I2888" s="35">
        <v>200020</v>
      </c>
      <c r="J2888" s="34" t="s">
        <v>6929</v>
      </c>
      <c r="K2888" s="34" t="str">
        <f t="shared" si="91"/>
        <v>重复</v>
      </c>
      <c r="L2888" s="34" t="str">
        <f t="shared" si="92"/>
        <v>不重复</v>
      </c>
    </row>
    <row r="2889" spans="1:12" ht="15">
      <c r="A2889" s="35" t="s">
        <v>13312</v>
      </c>
      <c r="B2889" s="35" t="s">
        <v>7883</v>
      </c>
      <c r="C2889" s="36" t="s">
        <v>349</v>
      </c>
      <c r="D2889" s="35" t="s">
        <v>7884</v>
      </c>
      <c r="E2889" s="35" t="s">
        <v>13288</v>
      </c>
      <c r="F2889" s="35" t="s">
        <v>12483</v>
      </c>
      <c r="G2889" s="35">
        <v>354924</v>
      </c>
      <c r="H2889" s="35">
        <v>390420</v>
      </c>
      <c r="I2889" s="35">
        <v>200020</v>
      </c>
      <c r="J2889" s="34" t="s">
        <v>1978</v>
      </c>
      <c r="K2889" s="34" t="str">
        <f t="shared" si="91"/>
        <v>重复</v>
      </c>
      <c r="L2889" s="34" t="str">
        <f t="shared" si="92"/>
        <v>不重复</v>
      </c>
    </row>
    <row r="2890" spans="1:12" ht="15">
      <c r="A2890" s="35" t="s">
        <v>13313</v>
      </c>
      <c r="B2890" s="35" t="s">
        <v>7885</v>
      </c>
      <c r="C2890" s="36" t="s">
        <v>7886</v>
      </c>
      <c r="D2890" s="35" t="s">
        <v>7887</v>
      </c>
      <c r="E2890" s="35" t="s">
        <v>13288</v>
      </c>
      <c r="F2890" s="35" t="s">
        <v>12483</v>
      </c>
      <c r="G2890" s="35">
        <v>354925</v>
      </c>
      <c r="H2890" s="35">
        <v>390420</v>
      </c>
      <c r="I2890" s="35">
        <v>200020</v>
      </c>
      <c r="J2890" s="34" t="s">
        <v>6929</v>
      </c>
      <c r="K2890" s="34" t="str">
        <f t="shared" si="91"/>
        <v>不重复</v>
      </c>
      <c r="L2890" s="34" t="str">
        <f t="shared" si="92"/>
        <v>不重复</v>
      </c>
    </row>
    <row r="2891" spans="1:12" ht="27">
      <c r="A2891" s="35" t="s">
        <v>13314</v>
      </c>
      <c r="B2891" s="35" t="s">
        <v>7888</v>
      </c>
      <c r="C2891" s="36" t="s">
        <v>7889</v>
      </c>
      <c r="D2891" s="35" t="s">
        <v>7890</v>
      </c>
      <c r="E2891" s="35" t="s">
        <v>13288</v>
      </c>
      <c r="F2891" s="35" t="s">
        <v>12483</v>
      </c>
      <c r="G2891" s="35">
        <v>354926</v>
      </c>
      <c r="H2891" s="35">
        <v>390420</v>
      </c>
      <c r="I2891" s="35">
        <v>200020</v>
      </c>
      <c r="J2891" s="34" t="s">
        <v>878</v>
      </c>
      <c r="K2891" s="34" t="str">
        <f t="shared" si="91"/>
        <v>不重复</v>
      </c>
      <c r="L2891" s="34" t="str">
        <f t="shared" si="92"/>
        <v>重复</v>
      </c>
    </row>
    <row r="2892" spans="1:12" ht="27">
      <c r="A2892" s="35" t="s">
        <v>13315</v>
      </c>
      <c r="B2892" s="35" t="s">
        <v>7891</v>
      </c>
      <c r="C2892" s="36" t="s">
        <v>7892</v>
      </c>
      <c r="D2892" s="35" t="s">
        <v>7890</v>
      </c>
      <c r="E2892" s="35" t="s">
        <v>13288</v>
      </c>
      <c r="F2892" s="35" t="s">
        <v>12483</v>
      </c>
      <c r="G2892" s="35">
        <v>354927</v>
      </c>
      <c r="H2892" s="35">
        <v>390420</v>
      </c>
      <c r="I2892" s="35">
        <v>200020</v>
      </c>
      <c r="J2892" s="34" t="s">
        <v>1103</v>
      </c>
      <c r="K2892" s="34" t="str">
        <f t="shared" si="93" ref="K2892:K2955">IF(COUNTIF(C:C,C2892)&gt;=2,"重复","不重复")</f>
        <v>不重复</v>
      </c>
      <c r="L2892" s="34" t="str">
        <f t="shared" si="94" ref="L2892:L2955">IF(COUNTIF(D:D,D2892)&gt;=2,"重复","不重复")</f>
        <v>重复</v>
      </c>
    </row>
    <row r="2893" spans="1:12" ht="27">
      <c r="A2893" s="35" t="s">
        <v>13316</v>
      </c>
      <c r="B2893" s="35" t="s">
        <v>7893</v>
      </c>
      <c r="C2893" s="36" t="s">
        <v>4759</v>
      </c>
      <c r="D2893" s="35" t="s">
        <v>7894</v>
      </c>
      <c r="E2893" s="35" t="s">
        <v>13288</v>
      </c>
      <c r="F2893" s="35" t="s">
        <v>12483</v>
      </c>
      <c r="G2893" s="35">
        <v>354928</v>
      </c>
      <c r="H2893" s="35">
        <v>390420</v>
      </c>
      <c r="I2893" s="35">
        <v>200020</v>
      </c>
      <c r="J2893" s="34" t="s">
        <v>878</v>
      </c>
      <c r="K2893" s="34" t="str">
        <f t="shared" si="93"/>
        <v>重复</v>
      </c>
      <c r="L2893" s="34" t="str">
        <f t="shared" si="94"/>
        <v>不重复</v>
      </c>
    </row>
    <row r="2894" spans="1:12" ht="27">
      <c r="A2894" s="35" t="s">
        <v>13317</v>
      </c>
      <c r="B2894" s="35" t="s">
        <v>7895</v>
      </c>
      <c r="C2894" s="36" t="s">
        <v>7896</v>
      </c>
      <c r="D2894" s="35" t="s">
        <v>7897</v>
      </c>
      <c r="E2894" s="35" t="s">
        <v>13288</v>
      </c>
      <c r="F2894" s="35" t="s">
        <v>12483</v>
      </c>
      <c r="G2894" s="35">
        <v>354929</v>
      </c>
      <c r="H2894" s="35">
        <v>390420</v>
      </c>
      <c r="I2894" s="35">
        <v>200020</v>
      </c>
      <c r="J2894" s="34" t="s">
        <v>1978</v>
      </c>
      <c r="K2894" s="34" t="str">
        <f t="shared" si="93"/>
        <v>不重复</v>
      </c>
      <c r="L2894" s="34" t="str">
        <f t="shared" si="94"/>
        <v>不重复</v>
      </c>
    </row>
    <row r="2895" spans="1:12" ht="27">
      <c r="A2895" s="35" t="s">
        <v>13318</v>
      </c>
      <c r="B2895" s="35" t="s">
        <v>7898</v>
      </c>
      <c r="C2895" s="36" t="s">
        <v>717</v>
      </c>
      <c r="D2895" s="35" t="s">
        <v>7899</v>
      </c>
      <c r="E2895" s="35" t="s">
        <v>13288</v>
      </c>
      <c r="F2895" s="35" t="s">
        <v>12483</v>
      </c>
      <c r="G2895" s="35">
        <v>354930</v>
      </c>
      <c r="H2895" s="35">
        <v>390420</v>
      </c>
      <c r="I2895" s="35">
        <v>200020</v>
      </c>
      <c r="J2895" s="34" t="s">
        <v>5619</v>
      </c>
      <c r="K2895" s="34" t="str">
        <f t="shared" si="93"/>
        <v>重复</v>
      </c>
      <c r="L2895" s="34" t="str">
        <f t="shared" si="94"/>
        <v>不重复</v>
      </c>
    </row>
    <row r="2896" spans="1:12" ht="27">
      <c r="A2896" s="35" t="s">
        <v>13319</v>
      </c>
      <c r="B2896" s="35" t="s">
        <v>7900</v>
      </c>
      <c r="C2896" s="36" t="s">
        <v>3481</v>
      </c>
      <c r="D2896" s="35" t="s">
        <v>7901</v>
      </c>
      <c r="E2896" s="35" t="s">
        <v>13288</v>
      </c>
      <c r="F2896" s="35" t="s">
        <v>12483</v>
      </c>
      <c r="G2896" s="35">
        <v>354931</v>
      </c>
      <c r="H2896" s="35">
        <v>390420</v>
      </c>
      <c r="I2896" s="35">
        <v>200020</v>
      </c>
      <c r="J2896" s="34" t="s">
        <v>889</v>
      </c>
      <c r="K2896" s="34" t="str">
        <f t="shared" si="93"/>
        <v>重复</v>
      </c>
      <c r="L2896" s="34" t="str">
        <f t="shared" si="94"/>
        <v>不重复</v>
      </c>
    </row>
    <row r="2897" spans="1:12" ht="27">
      <c r="A2897" s="35" t="s">
        <v>13320</v>
      </c>
      <c r="B2897" s="35" t="s">
        <v>7902</v>
      </c>
      <c r="C2897" s="36" t="s">
        <v>5539</v>
      </c>
      <c r="D2897" s="35" t="s">
        <v>7903</v>
      </c>
      <c r="E2897" s="35" t="s">
        <v>13288</v>
      </c>
      <c r="F2897" s="35" t="s">
        <v>12483</v>
      </c>
      <c r="G2897" s="35">
        <v>354932</v>
      </c>
      <c r="H2897" s="35">
        <v>390420</v>
      </c>
      <c r="I2897" s="35">
        <v>200020</v>
      </c>
      <c r="J2897" s="34" t="s">
        <v>878</v>
      </c>
      <c r="K2897" s="34" t="str">
        <f t="shared" si="93"/>
        <v>重复</v>
      </c>
      <c r="L2897" s="34" t="str">
        <f t="shared" si="94"/>
        <v>重复</v>
      </c>
    </row>
    <row r="2898" spans="1:12" ht="27">
      <c r="A2898" s="35" t="s">
        <v>13321</v>
      </c>
      <c r="B2898" s="35" t="s">
        <v>7904</v>
      </c>
      <c r="C2898" s="36" t="s">
        <v>4571</v>
      </c>
      <c r="D2898" s="35" t="s">
        <v>7903</v>
      </c>
      <c r="E2898" s="35" t="s">
        <v>13288</v>
      </c>
      <c r="F2898" s="35" t="s">
        <v>12483</v>
      </c>
      <c r="G2898" s="35">
        <v>354933</v>
      </c>
      <c r="H2898" s="35">
        <v>390420</v>
      </c>
      <c r="I2898" s="35">
        <v>200020</v>
      </c>
      <c r="J2898" s="34" t="s">
        <v>363</v>
      </c>
      <c r="K2898" s="34" t="str">
        <f t="shared" si="93"/>
        <v>重复</v>
      </c>
      <c r="L2898" s="34" t="str">
        <f t="shared" si="94"/>
        <v>重复</v>
      </c>
    </row>
    <row r="2899" spans="1:12" ht="15">
      <c r="A2899" s="35" t="s">
        <v>13322</v>
      </c>
      <c r="B2899" s="35" t="s">
        <v>7905</v>
      </c>
      <c r="C2899" s="36" t="s">
        <v>349</v>
      </c>
      <c r="D2899" s="35" t="s">
        <v>7906</v>
      </c>
      <c r="E2899" s="35" t="s">
        <v>13288</v>
      </c>
      <c r="F2899" s="35" t="s">
        <v>12483</v>
      </c>
      <c r="G2899" s="35">
        <v>354934</v>
      </c>
      <c r="H2899" s="35">
        <v>390420</v>
      </c>
      <c r="I2899" s="35">
        <v>200020</v>
      </c>
      <c r="J2899" s="34" t="s">
        <v>1978</v>
      </c>
      <c r="K2899" s="34" t="str">
        <f t="shared" si="93"/>
        <v>重复</v>
      </c>
      <c r="L2899" s="34" t="str">
        <f t="shared" si="94"/>
        <v>不重复</v>
      </c>
    </row>
    <row r="2900" spans="1:12" ht="27">
      <c r="A2900" s="35" t="s">
        <v>13323</v>
      </c>
      <c r="B2900" s="35" t="s">
        <v>7907</v>
      </c>
      <c r="C2900" s="36" t="s">
        <v>617</v>
      </c>
      <c r="D2900" s="35" t="s">
        <v>7908</v>
      </c>
      <c r="E2900" s="35" t="s">
        <v>13288</v>
      </c>
      <c r="F2900" s="35" t="s">
        <v>12483</v>
      </c>
      <c r="G2900" s="35">
        <v>354935</v>
      </c>
      <c r="H2900" s="35">
        <v>390420</v>
      </c>
      <c r="I2900" s="35">
        <v>200020</v>
      </c>
      <c r="J2900" s="34" t="s">
        <v>878</v>
      </c>
      <c r="K2900" s="34" t="str">
        <f t="shared" si="93"/>
        <v>重复</v>
      </c>
      <c r="L2900" s="34" t="str">
        <f t="shared" si="94"/>
        <v>不重复</v>
      </c>
    </row>
    <row r="2901" spans="1:12" ht="27">
      <c r="A2901" s="35" t="s">
        <v>13324</v>
      </c>
      <c r="B2901" s="35" t="s">
        <v>7909</v>
      </c>
      <c r="C2901" s="36" t="s">
        <v>7910</v>
      </c>
      <c r="D2901" s="35" t="s">
        <v>7911</v>
      </c>
      <c r="E2901" s="35" t="s">
        <v>13288</v>
      </c>
      <c r="F2901" s="35" t="s">
        <v>12483</v>
      </c>
      <c r="G2901" s="35">
        <v>354936</v>
      </c>
      <c r="H2901" s="35">
        <v>390420</v>
      </c>
      <c r="I2901" s="35">
        <v>200020</v>
      </c>
      <c r="J2901" s="34" t="s">
        <v>878</v>
      </c>
      <c r="K2901" s="34" t="str">
        <f t="shared" si="93"/>
        <v>不重复</v>
      </c>
      <c r="L2901" s="34" t="str">
        <f t="shared" si="94"/>
        <v>不重复</v>
      </c>
    </row>
    <row r="2902" spans="1:12" ht="15">
      <c r="A2902" s="35" t="s">
        <v>13325</v>
      </c>
      <c r="B2902" s="35" t="s">
        <v>7912</v>
      </c>
      <c r="C2902" s="36" t="s">
        <v>7913</v>
      </c>
      <c r="D2902" s="35" t="s">
        <v>7093</v>
      </c>
      <c r="E2902" s="35" t="s">
        <v>13325</v>
      </c>
      <c r="F2902" s="35" t="s">
        <v>12483</v>
      </c>
      <c r="G2902" s="35">
        <v>355000</v>
      </c>
      <c r="H2902" s="35">
        <v>390430</v>
      </c>
      <c r="I2902" s="35">
        <v>200020</v>
      </c>
      <c r="J2902" s="34" t="s">
        <v>16</v>
      </c>
      <c r="K2902" s="34" t="str">
        <f t="shared" si="93"/>
        <v>不重复</v>
      </c>
      <c r="L2902" s="34" t="str">
        <f t="shared" si="94"/>
        <v>重复</v>
      </c>
    </row>
    <row r="2903" spans="1:12" ht="27">
      <c r="A2903" s="35" t="s">
        <v>13326</v>
      </c>
      <c r="B2903" s="35" t="s">
        <v>7914</v>
      </c>
      <c r="C2903" s="36" t="s">
        <v>7915</v>
      </c>
      <c r="D2903" s="35" t="s">
        <v>7916</v>
      </c>
      <c r="E2903" s="35" t="s">
        <v>13325</v>
      </c>
      <c r="F2903" s="35" t="s">
        <v>12483</v>
      </c>
      <c r="G2903" s="35">
        <v>355001</v>
      </c>
      <c r="H2903" s="35">
        <v>390430</v>
      </c>
      <c r="I2903" s="35">
        <v>200020</v>
      </c>
      <c r="J2903" s="34" t="s">
        <v>363</v>
      </c>
      <c r="K2903" s="34" t="str">
        <f t="shared" si="93"/>
        <v>不重复</v>
      </c>
      <c r="L2903" s="34" t="str">
        <f t="shared" si="94"/>
        <v>不重复</v>
      </c>
    </row>
    <row r="2904" spans="1:12" ht="15">
      <c r="A2904" s="35" t="s">
        <v>13327</v>
      </c>
      <c r="B2904" s="35" t="s">
        <v>7917</v>
      </c>
      <c r="C2904" s="36" t="s">
        <v>7204</v>
      </c>
      <c r="D2904" s="35" t="s">
        <v>7918</v>
      </c>
      <c r="E2904" s="35" t="s">
        <v>13325</v>
      </c>
      <c r="F2904" s="35" t="s">
        <v>12483</v>
      </c>
      <c r="G2904" s="35">
        <v>355002</v>
      </c>
      <c r="H2904" s="35">
        <v>390430</v>
      </c>
      <c r="I2904" s="35">
        <v>200020</v>
      </c>
      <c r="J2904" s="34" t="s">
        <v>932</v>
      </c>
      <c r="K2904" s="34" t="str">
        <f t="shared" si="93"/>
        <v>重复</v>
      </c>
      <c r="L2904" s="34" t="str">
        <f t="shared" si="94"/>
        <v>不重复</v>
      </c>
    </row>
    <row r="2905" spans="1:12" ht="27">
      <c r="A2905" s="35" t="s">
        <v>13328</v>
      </c>
      <c r="B2905" s="35" t="s">
        <v>7919</v>
      </c>
      <c r="C2905" s="36" t="s">
        <v>7920</v>
      </c>
      <c r="D2905" s="35" t="s">
        <v>7921</v>
      </c>
      <c r="E2905" s="35" t="s">
        <v>13325</v>
      </c>
      <c r="F2905" s="35" t="s">
        <v>12483</v>
      </c>
      <c r="G2905" s="35">
        <v>355003</v>
      </c>
      <c r="H2905" s="35">
        <v>390430</v>
      </c>
      <c r="I2905" s="35">
        <v>200020</v>
      </c>
      <c r="J2905" s="34" t="s">
        <v>962</v>
      </c>
      <c r="K2905" s="34" t="str">
        <f t="shared" si="93"/>
        <v>不重复</v>
      </c>
      <c r="L2905" s="34" t="str">
        <f t="shared" si="94"/>
        <v>不重复</v>
      </c>
    </row>
    <row r="2906" spans="1:12" ht="27">
      <c r="A2906" s="35" t="s">
        <v>13329</v>
      </c>
      <c r="B2906" s="35" t="s">
        <v>7922</v>
      </c>
      <c r="C2906" s="36" t="s">
        <v>912</v>
      </c>
      <c r="D2906" s="35" t="s">
        <v>7923</v>
      </c>
      <c r="E2906" s="35" t="s">
        <v>13325</v>
      </c>
      <c r="F2906" s="35" t="s">
        <v>12483</v>
      </c>
      <c r="G2906" s="35">
        <v>355004</v>
      </c>
      <c r="H2906" s="35">
        <v>390430</v>
      </c>
      <c r="I2906" s="35">
        <v>200020</v>
      </c>
      <c r="J2906" s="34" t="s">
        <v>363</v>
      </c>
      <c r="K2906" s="34" t="str">
        <f t="shared" si="93"/>
        <v>重复</v>
      </c>
      <c r="L2906" s="34" t="str">
        <f t="shared" si="94"/>
        <v>重复</v>
      </c>
    </row>
    <row r="2907" spans="1:12" ht="27">
      <c r="A2907" s="35" t="s">
        <v>13330</v>
      </c>
      <c r="B2907" s="35" t="s">
        <v>7924</v>
      </c>
      <c r="C2907" s="36" t="s">
        <v>7925</v>
      </c>
      <c r="D2907" s="35" t="s">
        <v>7923</v>
      </c>
      <c r="E2907" s="35" t="s">
        <v>13325</v>
      </c>
      <c r="F2907" s="35" t="s">
        <v>12483</v>
      </c>
      <c r="G2907" s="35">
        <v>355005</v>
      </c>
      <c r="H2907" s="35">
        <v>390430</v>
      </c>
      <c r="I2907" s="35">
        <v>200020</v>
      </c>
      <c r="J2907" s="34" t="s">
        <v>985</v>
      </c>
      <c r="K2907" s="34" t="str">
        <f t="shared" si="93"/>
        <v>不重复</v>
      </c>
      <c r="L2907" s="34" t="str">
        <f t="shared" si="94"/>
        <v>重复</v>
      </c>
    </row>
    <row r="2908" spans="1:12" ht="27">
      <c r="A2908" s="35" t="s">
        <v>13331</v>
      </c>
      <c r="B2908" s="35" t="s">
        <v>7926</v>
      </c>
      <c r="C2908" s="36" t="s">
        <v>7927</v>
      </c>
      <c r="D2908" s="35" t="s">
        <v>7928</v>
      </c>
      <c r="E2908" s="35" t="s">
        <v>13325</v>
      </c>
      <c r="F2908" s="35" t="s">
        <v>12483</v>
      </c>
      <c r="G2908" s="35">
        <v>355006</v>
      </c>
      <c r="H2908" s="35">
        <v>390430</v>
      </c>
      <c r="I2908" s="35">
        <v>200020</v>
      </c>
      <c r="J2908" s="34" t="s">
        <v>347</v>
      </c>
      <c r="K2908" s="34" t="str">
        <f t="shared" si="93"/>
        <v>不重复</v>
      </c>
      <c r="L2908" s="34" t="str">
        <f t="shared" si="94"/>
        <v>不重复</v>
      </c>
    </row>
    <row r="2909" spans="1:12" ht="15">
      <c r="A2909" s="35" t="s">
        <v>13332</v>
      </c>
      <c r="B2909" s="35" t="s">
        <v>7929</v>
      </c>
      <c r="C2909" s="36" t="s">
        <v>6128</v>
      </c>
      <c r="D2909" s="35" t="s">
        <v>7930</v>
      </c>
      <c r="E2909" s="35" t="s">
        <v>13325</v>
      </c>
      <c r="F2909" s="35" t="s">
        <v>12483</v>
      </c>
      <c r="G2909" s="35">
        <v>355007</v>
      </c>
      <c r="H2909" s="35">
        <v>390430</v>
      </c>
      <c r="I2909" s="35">
        <v>200020</v>
      </c>
      <c r="J2909" s="34" t="s">
        <v>932</v>
      </c>
      <c r="K2909" s="34" t="str">
        <f t="shared" si="93"/>
        <v>重复</v>
      </c>
      <c r="L2909" s="34" t="str">
        <f t="shared" si="94"/>
        <v>不重复</v>
      </c>
    </row>
    <row r="2910" spans="1:12" ht="27">
      <c r="A2910" s="35" t="s">
        <v>13333</v>
      </c>
      <c r="B2910" s="35" t="s">
        <v>7931</v>
      </c>
      <c r="C2910" s="36" t="s">
        <v>7932</v>
      </c>
      <c r="D2910" s="35" t="s">
        <v>7933</v>
      </c>
      <c r="E2910" s="35" t="s">
        <v>13325</v>
      </c>
      <c r="F2910" s="35" t="s">
        <v>12483</v>
      </c>
      <c r="G2910" s="35">
        <v>355008</v>
      </c>
      <c r="H2910" s="35">
        <v>390430</v>
      </c>
      <c r="I2910" s="35">
        <v>200020</v>
      </c>
      <c r="J2910" s="34" t="s">
        <v>1516</v>
      </c>
      <c r="K2910" s="34" t="str">
        <f t="shared" si="93"/>
        <v>不重复</v>
      </c>
      <c r="L2910" s="34" t="str">
        <f t="shared" si="94"/>
        <v>不重复</v>
      </c>
    </row>
    <row r="2911" spans="1:12" ht="27">
      <c r="A2911" s="35" t="s">
        <v>13334</v>
      </c>
      <c r="B2911" s="35" t="s">
        <v>7934</v>
      </c>
      <c r="C2911" s="36" t="s">
        <v>6879</v>
      </c>
      <c r="D2911" s="35" t="s">
        <v>7935</v>
      </c>
      <c r="E2911" s="35" t="s">
        <v>13325</v>
      </c>
      <c r="F2911" s="35" t="s">
        <v>12483</v>
      </c>
      <c r="G2911" s="35">
        <v>355009</v>
      </c>
      <c r="H2911" s="35">
        <v>390430</v>
      </c>
      <c r="I2911" s="35">
        <v>200020</v>
      </c>
      <c r="J2911" s="34" t="s">
        <v>347</v>
      </c>
      <c r="K2911" s="34" t="str">
        <f t="shared" si="93"/>
        <v>重复</v>
      </c>
      <c r="L2911" s="34" t="str">
        <f t="shared" si="94"/>
        <v>不重复</v>
      </c>
    </row>
    <row r="2912" spans="1:12" ht="27">
      <c r="A2912" s="35" t="s">
        <v>13335</v>
      </c>
      <c r="B2912" s="35" t="s">
        <v>7936</v>
      </c>
      <c r="C2912" s="36" t="s">
        <v>6863</v>
      </c>
      <c r="D2912" s="35" t="s">
        <v>7937</v>
      </c>
      <c r="E2912" s="35" t="s">
        <v>13325</v>
      </c>
      <c r="F2912" s="35" t="s">
        <v>12483</v>
      </c>
      <c r="G2912" s="35">
        <v>355010</v>
      </c>
      <c r="H2912" s="35">
        <v>390430</v>
      </c>
      <c r="I2912" s="35">
        <v>200020</v>
      </c>
      <c r="J2912" s="34" t="s">
        <v>7938</v>
      </c>
      <c r="K2912" s="34" t="str">
        <f t="shared" si="93"/>
        <v>重复</v>
      </c>
      <c r="L2912" s="34" t="str">
        <f t="shared" si="94"/>
        <v>不重复</v>
      </c>
    </row>
    <row r="2913" spans="1:12" ht="15">
      <c r="A2913" s="35" t="s">
        <v>13336</v>
      </c>
      <c r="B2913" s="35" t="s">
        <v>7939</v>
      </c>
      <c r="C2913" s="36" t="s">
        <v>7940</v>
      </c>
      <c r="D2913" s="35" t="s">
        <v>7941</v>
      </c>
      <c r="E2913" s="35" t="s">
        <v>13325</v>
      </c>
      <c r="F2913" s="35" t="s">
        <v>12483</v>
      </c>
      <c r="G2913" s="35">
        <v>355011</v>
      </c>
      <c r="H2913" s="35">
        <v>390430</v>
      </c>
      <c r="I2913" s="35">
        <v>200020</v>
      </c>
      <c r="J2913" s="34" t="s">
        <v>932</v>
      </c>
      <c r="K2913" s="34" t="str">
        <f t="shared" si="93"/>
        <v>不重复</v>
      </c>
      <c r="L2913" s="34" t="str">
        <f t="shared" si="94"/>
        <v>不重复</v>
      </c>
    </row>
    <row r="2914" spans="1:12" ht="27">
      <c r="A2914" s="35" t="s">
        <v>13337</v>
      </c>
      <c r="B2914" s="35" t="s">
        <v>7942</v>
      </c>
      <c r="C2914" s="36" t="s">
        <v>7943</v>
      </c>
      <c r="D2914" s="35" t="s">
        <v>7944</v>
      </c>
      <c r="E2914" s="35" t="s">
        <v>13325</v>
      </c>
      <c r="F2914" s="35" t="s">
        <v>12483</v>
      </c>
      <c r="G2914" s="35">
        <v>355012</v>
      </c>
      <c r="H2914" s="35">
        <v>390430</v>
      </c>
      <c r="I2914" s="35">
        <v>200020</v>
      </c>
      <c r="J2914" s="34" t="s">
        <v>347</v>
      </c>
      <c r="K2914" s="34" t="str">
        <f t="shared" si="93"/>
        <v>不重复</v>
      </c>
      <c r="L2914" s="34" t="str">
        <f t="shared" si="94"/>
        <v>不重复</v>
      </c>
    </row>
    <row r="2915" spans="1:12" ht="27">
      <c r="A2915" s="35" t="s">
        <v>13338</v>
      </c>
      <c r="B2915" s="35" t="s">
        <v>7945</v>
      </c>
      <c r="C2915" s="36" t="s">
        <v>7946</v>
      </c>
      <c r="D2915" s="35" t="s">
        <v>7947</v>
      </c>
      <c r="E2915" s="35" t="s">
        <v>13325</v>
      </c>
      <c r="F2915" s="35" t="s">
        <v>12483</v>
      </c>
      <c r="G2915" s="35">
        <v>355013</v>
      </c>
      <c r="H2915" s="35">
        <v>390430</v>
      </c>
      <c r="I2915" s="35">
        <v>200020</v>
      </c>
      <c r="J2915" s="34" t="s">
        <v>363</v>
      </c>
      <c r="K2915" s="34" t="str">
        <f t="shared" si="93"/>
        <v>不重复</v>
      </c>
      <c r="L2915" s="34" t="str">
        <f t="shared" si="94"/>
        <v>不重复</v>
      </c>
    </row>
    <row r="2916" spans="1:12" ht="27">
      <c r="A2916" s="35" t="s">
        <v>13339</v>
      </c>
      <c r="B2916" s="35" t="s">
        <v>7948</v>
      </c>
      <c r="C2916" s="36" t="s">
        <v>2309</v>
      </c>
      <c r="D2916" s="35" t="s">
        <v>7949</v>
      </c>
      <c r="E2916" s="35" t="s">
        <v>13325</v>
      </c>
      <c r="F2916" s="35" t="s">
        <v>12483</v>
      </c>
      <c r="G2916" s="35">
        <v>355014</v>
      </c>
      <c r="H2916" s="35">
        <v>390430</v>
      </c>
      <c r="I2916" s="35">
        <v>200020</v>
      </c>
      <c r="J2916" s="34" t="s">
        <v>7950</v>
      </c>
      <c r="K2916" s="34" t="str">
        <f t="shared" si="93"/>
        <v>重复</v>
      </c>
      <c r="L2916" s="34" t="str">
        <f t="shared" si="94"/>
        <v>不重复</v>
      </c>
    </row>
    <row r="2917" spans="1:12" ht="15">
      <c r="A2917" s="35" t="s">
        <v>13340</v>
      </c>
      <c r="B2917" s="35" t="s">
        <v>7951</v>
      </c>
      <c r="C2917" s="36" t="s">
        <v>7055</v>
      </c>
      <c r="D2917" s="35" t="s">
        <v>7952</v>
      </c>
      <c r="E2917" s="35" t="s">
        <v>13325</v>
      </c>
      <c r="F2917" s="35" t="s">
        <v>12483</v>
      </c>
      <c r="G2917" s="35">
        <v>355015</v>
      </c>
      <c r="H2917" s="35">
        <v>390430</v>
      </c>
      <c r="I2917" s="35">
        <v>200020</v>
      </c>
      <c r="J2917" s="34" t="s">
        <v>932</v>
      </c>
      <c r="K2917" s="34" t="str">
        <f t="shared" si="93"/>
        <v>重复</v>
      </c>
      <c r="L2917" s="34" t="str">
        <f t="shared" si="94"/>
        <v>不重复</v>
      </c>
    </row>
    <row r="2918" spans="1:12" ht="27">
      <c r="A2918" s="35" t="s">
        <v>13341</v>
      </c>
      <c r="B2918" s="35" t="s">
        <v>7953</v>
      </c>
      <c r="C2918" s="36" t="s">
        <v>2849</v>
      </c>
      <c r="D2918" s="35" t="s">
        <v>7954</v>
      </c>
      <c r="E2918" s="35" t="s">
        <v>13325</v>
      </c>
      <c r="F2918" s="35" t="s">
        <v>12483</v>
      </c>
      <c r="G2918" s="35">
        <v>355016</v>
      </c>
      <c r="H2918" s="35">
        <v>390430</v>
      </c>
      <c r="I2918" s="35">
        <v>200020</v>
      </c>
      <c r="J2918" s="34" t="s">
        <v>390</v>
      </c>
      <c r="K2918" s="34" t="str">
        <f t="shared" si="93"/>
        <v>重复</v>
      </c>
      <c r="L2918" s="34" t="str">
        <f t="shared" si="94"/>
        <v>不重复</v>
      </c>
    </row>
    <row r="2919" spans="1:12" ht="27">
      <c r="A2919" s="35" t="s">
        <v>13342</v>
      </c>
      <c r="B2919" s="35" t="s">
        <v>7955</v>
      </c>
      <c r="C2919" s="36" t="s">
        <v>1821</v>
      </c>
      <c r="D2919" s="35" t="s">
        <v>7956</v>
      </c>
      <c r="E2919" s="35" t="s">
        <v>13325</v>
      </c>
      <c r="F2919" s="35" t="s">
        <v>12483</v>
      </c>
      <c r="G2919" s="35">
        <v>355017</v>
      </c>
      <c r="H2919" s="35">
        <v>390430</v>
      </c>
      <c r="I2919" s="35">
        <v>200020</v>
      </c>
      <c r="J2919" s="34" t="s">
        <v>2019</v>
      </c>
      <c r="K2919" s="34" t="str">
        <f t="shared" si="93"/>
        <v>重复</v>
      </c>
      <c r="L2919" s="34" t="str">
        <f t="shared" si="94"/>
        <v>不重复</v>
      </c>
    </row>
    <row r="2920" spans="1:12" ht="30">
      <c r="A2920" s="35" t="s">
        <v>13343</v>
      </c>
      <c r="B2920" s="35" t="s">
        <v>7957</v>
      </c>
      <c r="C2920" s="36" t="s">
        <v>7958</v>
      </c>
      <c r="D2920" s="35" t="s">
        <v>7959</v>
      </c>
      <c r="E2920" s="35" t="s">
        <v>13325</v>
      </c>
      <c r="F2920" s="35" t="s">
        <v>12483</v>
      </c>
      <c r="G2920" s="35">
        <v>355018</v>
      </c>
      <c r="H2920" s="35">
        <v>390430</v>
      </c>
      <c r="I2920" s="35">
        <v>200020</v>
      </c>
      <c r="J2920" s="34" t="s">
        <v>932</v>
      </c>
      <c r="K2920" s="34" t="str">
        <f t="shared" si="93"/>
        <v>不重复</v>
      </c>
      <c r="L2920" s="34" t="str">
        <f t="shared" si="94"/>
        <v>重复</v>
      </c>
    </row>
    <row r="2921" spans="1:12" ht="27">
      <c r="A2921" s="35" t="s">
        <v>13344</v>
      </c>
      <c r="B2921" s="35" t="s">
        <v>7960</v>
      </c>
      <c r="C2921" s="36" t="s">
        <v>5494</v>
      </c>
      <c r="D2921" s="35" t="s">
        <v>7959</v>
      </c>
      <c r="E2921" s="35" t="s">
        <v>13325</v>
      </c>
      <c r="F2921" s="35" t="s">
        <v>12483</v>
      </c>
      <c r="G2921" s="35">
        <v>355019</v>
      </c>
      <c r="H2921" s="35">
        <v>390430</v>
      </c>
      <c r="I2921" s="35">
        <v>200020</v>
      </c>
      <c r="J2921" s="34" t="s">
        <v>1040</v>
      </c>
      <c r="K2921" s="34" t="str">
        <f t="shared" si="93"/>
        <v>重复</v>
      </c>
      <c r="L2921" s="34" t="str">
        <f t="shared" si="94"/>
        <v>重复</v>
      </c>
    </row>
    <row r="2922" spans="1:12" ht="15">
      <c r="A2922" s="35" t="s">
        <v>13345</v>
      </c>
      <c r="B2922" s="35" t="s">
        <v>7961</v>
      </c>
      <c r="C2922" s="36" t="s">
        <v>7962</v>
      </c>
      <c r="D2922" s="35" t="s">
        <v>7963</v>
      </c>
      <c r="E2922" s="35" t="s">
        <v>13325</v>
      </c>
      <c r="F2922" s="35" t="s">
        <v>12483</v>
      </c>
      <c r="G2922" s="35">
        <v>355020</v>
      </c>
      <c r="H2922" s="35">
        <v>390430</v>
      </c>
      <c r="I2922" s="35">
        <v>200020</v>
      </c>
      <c r="J2922" s="34" t="s">
        <v>688</v>
      </c>
      <c r="K2922" s="34" t="str">
        <f t="shared" si="93"/>
        <v>重复</v>
      </c>
      <c r="L2922" s="34" t="str">
        <f t="shared" si="94"/>
        <v>不重复</v>
      </c>
    </row>
    <row r="2923" spans="1:12" ht="30">
      <c r="A2923" s="35" t="s">
        <v>13346</v>
      </c>
      <c r="B2923" s="35" t="s">
        <v>7964</v>
      </c>
      <c r="C2923" s="36" t="s">
        <v>7965</v>
      </c>
      <c r="D2923" s="35" t="s">
        <v>7966</v>
      </c>
      <c r="E2923" s="35" t="s">
        <v>13325</v>
      </c>
      <c r="F2923" s="35" t="s">
        <v>12483</v>
      </c>
      <c r="G2923" s="35">
        <v>355021</v>
      </c>
      <c r="H2923" s="35">
        <v>390430</v>
      </c>
      <c r="I2923" s="35">
        <v>200020</v>
      </c>
      <c r="J2923" s="34" t="s">
        <v>5799</v>
      </c>
      <c r="K2923" s="34" t="str">
        <f t="shared" si="93"/>
        <v>重复</v>
      </c>
      <c r="L2923" s="34" t="str">
        <f t="shared" si="94"/>
        <v>不重复</v>
      </c>
    </row>
    <row r="2924" spans="1:12" ht="27">
      <c r="A2924" s="35" t="s">
        <v>13347</v>
      </c>
      <c r="B2924" s="35" t="s">
        <v>7967</v>
      </c>
      <c r="C2924" s="36" t="s">
        <v>883</v>
      </c>
      <c r="D2924" s="35" t="s">
        <v>7968</v>
      </c>
      <c r="E2924" s="35" t="s">
        <v>13325</v>
      </c>
      <c r="F2924" s="35" t="s">
        <v>12483</v>
      </c>
      <c r="G2924" s="35">
        <v>355022</v>
      </c>
      <c r="H2924" s="35">
        <v>390430</v>
      </c>
      <c r="I2924" s="35">
        <v>200020</v>
      </c>
      <c r="J2924" s="34" t="s">
        <v>347</v>
      </c>
      <c r="K2924" s="34" t="str">
        <f t="shared" si="93"/>
        <v>重复</v>
      </c>
      <c r="L2924" s="34" t="str">
        <f t="shared" si="94"/>
        <v>不重复</v>
      </c>
    </row>
    <row r="2925" spans="1:12" ht="27">
      <c r="A2925" s="35" t="s">
        <v>13348</v>
      </c>
      <c r="B2925" s="35" t="s">
        <v>7969</v>
      </c>
      <c r="C2925" s="36" t="s">
        <v>6879</v>
      </c>
      <c r="D2925" s="35" t="s">
        <v>7970</v>
      </c>
      <c r="E2925" s="35" t="s">
        <v>13325</v>
      </c>
      <c r="F2925" s="35" t="s">
        <v>12483</v>
      </c>
      <c r="G2925" s="35">
        <v>355023</v>
      </c>
      <c r="H2925" s="35">
        <v>390430</v>
      </c>
      <c r="I2925" s="35">
        <v>200020</v>
      </c>
      <c r="J2925" s="34" t="s">
        <v>347</v>
      </c>
      <c r="K2925" s="34" t="str">
        <f t="shared" si="93"/>
        <v>重复</v>
      </c>
      <c r="L2925" s="34" t="str">
        <f t="shared" si="94"/>
        <v>不重复</v>
      </c>
    </row>
    <row r="2926" spans="1:12" ht="27">
      <c r="A2926" s="35" t="s">
        <v>13349</v>
      </c>
      <c r="B2926" s="35" t="s">
        <v>7971</v>
      </c>
      <c r="C2926" s="36" t="s">
        <v>6863</v>
      </c>
      <c r="D2926" s="35" t="s">
        <v>7972</v>
      </c>
      <c r="E2926" s="35" t="s">
        <v>13325</v>
      </c>
      <c r="F2926" s="35" t="s">
        <v>12483</v>
      </c>
      <c r="G2926" s="35">
        <v>355024</v>
      </c>
      <c r="H2926" s="35">
        <v>390430</v>
      </c>
      <c r="I2926" s="35">
        <v>200020</v>
      </c>
      <c r="J2926" s="34" t="s">
        <v>363</v>
      </c>
      <c r="K2926" s="34" t="str">
        <f t="shared" si="93"/>
        <v>重复</v>
      </c>
      <c r="L2926" s="34" t="str">
        <f t="shared" si="94"/>
        <v>不重复</v>
      </c>
    </row>
    <row r="2927" spans="1:12" ht="27">
      <c r="A2927" s="35" t="s">
        <v>13350</v>
      </c>
      <c r="B2927" s="35" t="s">
        <v>7973</v>
      </c>
      <c r="C2927" s="36" t="s">
        <v>1821</v>
      </c>
      <c r="D2927" s="35" t="s">
        <v>7974</v>
      </c>
      <c r="E2927" s="35" t="s">
        <v>13325</v>
      </c>
      <c r="F2927" s="35" t="s">
        <v>12483</v>
      </c>
      <c r="G2927" s="35">
        <v>355025</v>
      </c>
      <c r="H2927" s="35">
        <v>390430</v>
      </c>
      <c r="I2927" s="35">
        <v>200020</v>
      </c>
      <c r="J2927" s="34" t="s">
        <v>932</v>
      </c>
      <c r="K2927" s="34" t="str">
        <f t="shared" si="93"/>
        <v>重复</v>
      </c>
      <c r="L2927" s="34" t="str">
        <f t="shared" si="94"/>
        <v>不重复</v>
      </c>
    </row>
    <row r="2928" spans="1:12" ht="30">
      <c r="A2928" s="35" t="s">
        <v>13351</v>
      </c>
      <c r="B2928" s="35" t="s">
        <v>7975</v>
      </c>
      <c r="C2928" s="36" t="s">
        <v>62</v>
      </c>
      <c r="D2928" s="35" t="s">
        <v>7976</v>
      </c>
      <c r="E2928" s="35" t="s">
        <v>13325</v>
      </c>
      <c r="F2928" s="35" t="s">
        <v>12483</v>
      </c>
      <c r="G2928" s="35">
        <v>355026</v>
      </c>
      <c r="H2928" s="35">
        <v>390430</v>
      </c>
      <c r="I2928" s="35">
        <v>200020</v>
      </c>
      <c r="J2928" s="34" t="s">
        <v>422</v>
      </c>
      <c r="K2928" s="34" t="str">
        <f t="shared" si="93"/>
        <v>重复</v>
      </c>
      <c r="L2928" s="34" t="str">
        <f t="shared" si="94"/>
        <v>不重复</v>
      </c>
    </row>
    <row r="2929" spans="1:12" ht="30">
      <c r="A2929" s="35" t="s">
        <v>13352</v>
      </c>
      <c r="B2929" s="35" t="s">
        <v>7977</v>
      </c>
      <c r="C2929" s="36" t="s">
        <v>7978</v>
      </c>
      <c r="D2929" s="35" t="s">
        <v>7979</v>
      </c>
      <c r="E2929" s="35" t="s">
        <v>13325</v>
      </c>
      <c r="F2929" s="35" t="s">
        <v>12483</v>
      </c>
      <c r="G2929" s="35">
        <v>355027</v>
      </c>
      <c r="H2929" s="35">
        <v>390430</v>
      </c>
      <c r="I2929" s="35">
        <v>200020</v>
      </c>
      <c r="J2929" s="34" t="s">
        <v>985</v>
      </c>
      <c r="K2929" s="34" t="str">
        <f t="shared" si="93"/>
        <v>不重复</v>
      </c>
      <c r="L2929" s="34" t="str">
        <f t="shared" si="94"/>
        <v>不重复</v>
      </c>
    </row>
    <row r="2930" spans="1:12" ht="27">
      <c r="A2930" s="35" t="s">
        <v>13353</v>
      </c>
      <c r="B2930" s="35" t="s">
        <v>7980</v>
      </c>
      <c r="C2930" s="36" t="s">
        <v>157</v>
      </c>
      <c r="D2930" s="35" t="s">
        <v>7981</v>
      </c>
      <c r="E2930" s="35" t="s">
        <v>13325</v>
      </c>
      <c r="F2930" s="35" t="s">
        <v>12483</v>
      </c>
      <c r="G2930" s="35">
        <v>355028</v>
      </c>
      <c r="H2930" s="35">
        <v>390430</v>
      </c>
      <c r="I2930" s="35">
        <v>200020</v>
      </c>
      <c r="J2930" s="34" t="s">
        <v>288</v>
      </c>
      <c r="K2930" s="34" t="str">
        <f t="shared" si="93"/>
        <v>重复</v>
      </c>
      <c r="L2930" s="34" t="str">
        <f t="shared" si="94"/>
        <v>不重复</v>
      </c>
    </row>
    <row r="2931" spans="1:12" ht="27">
      <c r="A2931" s="35" t="s">
        <v>13354</v>
      </c>
      <c r="B2931" s="35" t="s">
        <v>7982</v>
      </c>
      <c r="C2931" s="36" t="s">
        <v>7983</v>
      </c>
      <c r="D2931" s="35" t="s">
        <v>7984</v>
      </c>
      <c r="E2931" s="35" t="s">
        <v>13325</v>
      </c>
      <c r="F2931" s="35" t="s">
        <v>12483</v>
      </c>
      <c r="G2931" s="35">
        <v>355029</v>
      </c>
      <c r="H2931" s="35">
        <v>390430</v>
      </c>
      <c r="I2931" s="35">
        <v>200020</v>
      </c>
      <c r="J2931" s="34" t="s">
        <v>1937</v>
      </c>
      <c r="K2931" s="34" t="str">
        <f t="shared" si="93"/>
        <v>不重复</v>
      </c>
      <c r="L2931" s="34" t="str">
        <f t="shared" si="94"/>
        <v>不重复</v>
      </c>
    </row>
    <row r="2932" spans="1:12" ht="27">
      <c r="A2932" s="35" t="s">
        <v>13355</v>
      </c>
      <c r="B2932" s="35" t="s">
        <v>7985</v>
      </c>
      <c r="C2932" s="36" t="s">
        <v>5031</v>
      </c>
      <c r="D2932" s="35" t="s">
        <v>7986</v>
      </c>
      <c r="E2932" s="35" t="s">
        <v>13325</v>
      </c>
      <c r="F2932" s="35" t="s">
        <v>12483</v>
      </c>
      <c r="G2932" s="35">
        <v>355030</v>
      </c>
      <c r="H2932" s="35">
        <v>390430</v>
      </c>
      <c r="I2932" s="35">
        <v>200020</v>
      </c>
      <c r="J2932" s="34" t="s">
        <v>137</v>
      </c>
      <c r="K2932" s="34" t="str">
        <f t="shared" si="93"/>
        <v>重复</v>
      </c>
      <c r="L2932" s="34" t="str">
        <f t="shared" si="94"/>
        <v>不重复</v>
      </c>
    </row>
    <row r="2933" spans="1:12" ht="27">
      <c r="A2933" s="35" t="s">
        <v>13356</v>
      </c>
      <c r="B2933" s="35" t="s">
        <v>7987</v>
      </c>
      <c r="C2933" s="36" t="s">
        <v>7988</v>
      </c>
      <c r="D2933" s="35" t="s">
        <v>7989</v>
      </c>
      <c r="E2933" s="35" t="s">
        <v>13325</v>
      </c>
      <c r="F2933" s="35" t="s">
        <v>12483</v>
      </c>
      <c r="G2933" s="35">
        <v>355031</v>
      </c>
      <c r="H2933" s="35">
        <v>390430</v>
      </c>
      <c r="I2933" s="35">
        <v>200020</v>
      </c>
      <c r="J2933" s="34" t="s">
        <v>7990</v>
      </c>
      <c r="K2933" s="34" t="str">
        <f t="shared" si="93"/>
        <v>重复</v>
      </c>
      <c r="L2933" s="34" t="str">
        <f t="shared" si="94"/>
        <v>不重复</v>
      </c>
    </row>
    <row r="2934" spans="1:12" ht="27">
      <c r="A2934" s="35" t="s">
        <v>13357</v>
      </c>
      <c r="B2934" s="35" t="s">
        <v>7991</v>
      </c>
      <c r="C2934" s="36" t="s">
        <v>5959</v>
      </c>
      <c r="D2934" s="35" t="s">
        <v>7992</v>
      </c>
      <c r="E2934" s="35" t="s">
        <v>13325</v>
      </c>
      <c r="F2934" s="35" t="s">
        <v>12483</v>
      </c>
      <c r="G2934" s="35">
        <v>355032</v>
      </c>
      <c r="H2934" s="35">
        <v>390430</v>
      </c>
      <c r="I2934" s="35">
        <v>200020</v>
      </c>
      <c r="J2934" s="34" t="s">
        <v>3656</v>
      </c>
      <c r="K2934" s="34" t="str">
        <f t="shared" si="93"/>
        <v>重复</v>
      </c>
      <c r="L2934" s="34" t="str">
        <f t="shared" si="94"/>
        <v>重复</v>
      </c>
    </row>
    <row r="2935" spans="1:12" ht="27">
      <c r="A2935" s="35" t="s">
        <v>13358</v>
      </c>
      <c r="B2935" s="35" t="s">
        <v>7993</v>
      </c>
      <c r="C2935" s="36" t="s">
        <v>7994</v>
      </c>
      <c r="D2935" s="35" t="s">
        <v>7992</v>
      </c>
      <c r="E2935" s="35" t="s">
        <v>13325</v>
      </c>
      <c r="F2935" s="35" t="s">
        <v>12483</v>
      </c>
      <c r="G2935" s="35">
        <v>355033</v>
      </c>
      <c r="H2935" s="35">
        <v>390430</v>
      </c>
      <c r="I2935" s="35">
        <v>200020</v>
      </c>
      <c r="J2935" s="34" t="s">
        <v>288</v>
      </c>
      <c r="K2935" s="34" t="str">
        <f t="shared" si="93"/>
        <v>重复</v>
      </c>
      <c r="L2935" s="34" t="str">
        <f t="shared" si="94"/>
        <v>重复</v>
      </c>
    </row>
    <row r="2936" spans="1:12" ht="15">
      <c r="A2936" s="35" t="s">
        <v>13359</v>
      </c>
      <c r="B2936" s="35" t="s">
        <v>7995</v>
      </c>
      <c r="C2936" s="36" t="s">
        <v>6632</v>
      </c>
      <c r="D2936" s="35" t="s">
        <v>7996</v>
      </c>
      <c r="E2936" s="35" t="s">
        <v>13325</v>
      </c>
      <c r="F2936" s="35" t="s">
        <v>12483</v>
      </c>
      <c r="G2936" s="35">
        <v>355034</v>
      </c>
      <c r="H2936" s="35">
        <v>390430</v>
      </c>
      <c r="I2936" s="35">
        <v>200020</v>
      </c>
      <c r="J2936" s="34" t="s">
        <v>89</v>
      </c>
      <c r="K2936" s="34" t="str">
        <f t="shared" si="93"/>
        <v>重复</v>
      </c>
      <c r="L2936" s="34" t="str">
        <f t="shared" si="94"/>
        <v>不重复</v>
      </c>
    </row>
    <row r="2937" spans="1:12" ht="15">
      <c r="A2937" s="35" t="s">
        <v>13360</v>
      </c>
      <c r="B2937" s="35" t="s">
        <v>7997</v>
      </c>
      <c r="C2937" s="36" t="s">
        <v>1366</v>
      </c>
      <c r="D2937" s="35" t="s">
        <v>7998</v>
      </c>
      <c r="E2937" s="35" t="s">
        <v>13325</v>
      </c>
      <c r="F2937" s="35" t="s">
        <v>12483</v>
      </c>
      <c r="G2937" s="35">
        <v>355035</v>
      </c>
      <c r="H2937" s="35">
        <v>390430</v>
      </c>
      <c r="I2937" s="35">
        <v>200020</v>
      </c>
      <c r="J2937" s="34" t="s">
        <v>390</v>
      </c>
      <c r="K2937" s="34" t="str">
        <f t="shared" si="93"/>
        <v>重复</v>
      </c>
      <c r="L2937" s="34" t="str">
        <f t="shared" si="94"/>
        <v>不重复</v>
      </c>
    </row>
    <row r="2938" spans="1:12" ht="27">
      <c r="A2938" s="35" t="s">
        <v>13361</v>
      </c>
      <c r="B2938" s="35" t="s">
        <v>7999</v>
      </c>
      <c r="C2938" s="36" t="s">
        <v>3907</v>
      </c>
      <c r="D2938" s="35" t="s">
        <v>5893</v>
      </c>
      <c r="E2938" s="35" t="s">
        <v>13325</v>
      </c>
      <c r="F2938" s="35" t="s">
        <v>12483</v>
      </c>
      <c r="G2938" s="35">
        <v>355036</v>
      </c>
      <c r="H2938" s="35">
        <v>390430</v>
      </c>
      <c r="I2938" s="35">
        <v>200020</v>
      </c>
      <c r="J2938" s="34" t="s">
        <v>8000</v>
      </c>
      <c r="K2938" s="34" t="str">
        <f t="shared" si="93"/>
        <v>重复</v>
      </c>
      <c r="L2938" s="34" t="str">
        <f t="shared" si="94"/>
        <v>重复</v>
      </c>
    </row>
    <row r="2939" spans="1:12" ht="27">
      <c r="A2939" s="35" t="s">
        <v>13362</v>
      </c>
      <c r="B2939" s="35" t="s">
        <v>8001</v>
      </c>
      <c r="C2939" s="36" t="s">
        <v>189</v>
      </c>
      <c r="D2939" s="35" t="s">
        <v>8002</v>
      </c>
      <c r="E2939" s="35" t="s">
        <v>13325</v>
      </c>
      <c r="F2939" s="35" t="s">
        <v>12483</v>
      </c>
      <c r="G2939" s="35">
        <v>355037</v>
      </c>
      <c r="H2939" s="35">
        <v>390430</v>
      </c>
      <c r="I2939" s="35">
        <v>200020</v>
      </c>
      <c r="J2939" s="34" t="s">
        <v>422</v>
      </c>
      <c r="K2939" s="34" t="str">
        <f t="shared" si="93"/>
        <v>重复</v>
      </c>
      <c r="L2939" s="34" t="str">
        <f t="shared" si="94"/>
        <v>不重复</v>
      </c>
    </row>
    <row r="2940" spans="1:12" ht="27">
      <c r="A2940" s="35" t="s">
        <v>13363</v>
      </c>
      <c r="B2940" s="35" t="s">
        <v>8003</v>
      </c>
      <c r="C2940" s="36" t="s">
        <v>8004</v>
      </c>
      <c r="D2940" s="35" t="s">
        <v>8005</v>
      </c>
      <c r="E2940" s="35" t="s">
        <v>13325</v>
      </c>
      <c r="F2940" s="35" t="s">
        <v>12483</v>
      </c>
      <c r="G2940" s="35">
        <v>355038</v>
      </c>
      <c r="H2940" s="35">
        <v>390430</v>
      </c>
      <c r="I2940" s="35">
        <v>200020</v>
      </c>
      <c r="J2940" s="34" t="s">
        <v>8006</v>
      </c>
      <c r="K2940" s="34" t="str">
        <f t="shared" si="93"/>
        <v>不重复</v>
      </c>
      <c r="L2940" s="34" t="str">
        <f t="shared" si="94"/>
        <v>重复</v>
      </c>
    </row>
    <row r="2941" spans="1:12" ht="27">
      <c r="A2941" s="35" t="s">
        <v>13364</v>
      </c>
      <c r="B2941" s="35" t="s">
        <v>8007</v>
      </c>
      <c r="C2941" s="36" t="s">
        <v>8008</v>
      </c>
      <c r="D2941" s="35" t="s">
        <v>8005</v>
      </c>
      <c r="E2941" s="35" t="s">
        <v>13325</v>
      </c>
      <c r="F2941" s="35" t="s">
        <v>12483</v>
      </c>
      <c r="G2941" s="35">
        <v>355039</v>
      </c>
      <c r="H2941" s="35">
        <v>390430</v>
      </c>
      <c r="I2941" s="35">
        <v>200020</v>
      </c>
      <c r="J2941" s="34" t="s">
        <v>5799</v>
      </c>
      <c r="K2941" s="34" t="str">
        <f t="shared" si="93"/>
        <v>不重复</v>
      </c>
      <c r="L2941" s="34" t="str">
        <f t="shared" si="94"/>
        <v>重复</v>
      </c>
    </row>
    <row r="2942" spans="1:12" ht="15">
      <c r="A2942" s="35" t="s">
        <v>13365</v>
      </c>
      <c r="B2942" s="35" t="s">
        <v>8009</v>
      </c>
      <c r="C2942" s="36" t="s">
        <v>8010</v>
      </c>
      <c r="D2942" s="35" t="s">
        <v>8011</v>
      </c>
      <c r="E2942" s="35" t="s">
        <v>13325</v>
      </c>
      <c r="F2942" s="35" t="s">
        <v>12483</v>
      </c>
      <c r="G2942" s="35">
        <v>355040</v>
      </c>
      <c r="H2942" s="35">
        <v>390430</v>
      </c>
      <c r="I2942" s="35">
        <v>200020</v>
      </c>
      <c r="J2942" s="34" t="s">
        <v>932</v>
      </c>
      <c r="K2942" s="34" t="str">
        <f t="shared" si="93"/>
        <v>不重复</v>
      </c>
      <c r="L2942" s="34" t="str">
        <f t="shared" si="94"/>
        <v>不重复</v>
      </c>
    </row>
    <row r="2943" spans="1:12" ht="27">
      <c r="A2943" s="35" t="s">
        <v>13366</v>
      </c>
      <c r="B2943" s="35" t="s">
        <v>8012</v>
      </c>
      <c r="C2943" s="36" t="s">
        <v>8013</v>
      </c>
      <c r="D2943" s="35" t="s">
        <v>8014</v>
      </c>
      <c r="E2943" s="35" t="s">
        <v>13325</v>
      </c>
      <c r="F2943" s="35" t="s">
        <v>12483</v>
      </c>
      <c r="G2943" s="35">
        <v>355041</v>
      </c>
      <c r="H2943" s="35">
        <v>390430</v>
      </c>
      <c r="I2943" s="35">
        <v>200020</v>
      </c>
      <c r="J2943" s="34" t="s">
        <v>8015</v>
      </c>
      <c r="K2943" s="34" t="str">
        <f t="shared" si="93"/>
        <v>重复</v>
      </c>
      <c r="L2943" s="34" t="str">
        <f t="shared" si="94"/>
        <v>重复</v>
      </c>
    </row>
    <row r="2944" spans="1:12" ht="27">
      <c r="A2944" s="35" t="s">
        <v>13367</v>
      </c>
      <c r="B2944" s="35" t="s">
        <v>8016</v>
      </c>
      <c r="C2944" s="36" t="s">
        <v>3528</v>
      </c>
      <c r="D2944" s="35" t="s">
        <v>8017</v>
      </c>
      <c r="E2944" s="35" t="s">
        <v>13325</v>
      </c>
      <c r="F2944" s="35" t="s">
        <v>12483</v>
      </c>
      <c r="G2944" s="35">
        <v>355042</v>
      </c>
      <c r="H2944" s="35">
        <v>390430</v>
      </c>
      <c r="I2944" s="35">
        <v>200020</v>
      </c>
      <c r="J2944" s="34" t="s">
        <v>1679</v>
      </c>
      <c r="K2944" s="34" t="str">
        <f t="shared" si="93"/>
        <v>重复</v>
      </c>
      <c r="L2944" s="34" t="str">
        <f t="shared" si="94"/>
        <v>不重复</v>
      </c>
    </row>
    <row r="2945" spans="1:12" ht="27">
      <c r="A2945" s="35" t="s">
        <v>13368</v>
      </c>
      <c r="B2945" s="35" t="s">
        <v>8018</v>
      </c>
      <c r="C2945" s="36" t="s">
        <v>215</v>
      </c>
      <c r="D2945" s="35" t="s">
        <v>8019</v>
      </c>
      <c r="E2945" s="35" t="s">
        <v>13325</v>
      </c>
      <c r="F2945" s="35" t="s">
        <v>12483</v>
      </c>
      <c r="G2945" s="35">
        <v>355043</v>
      </c>
      <c r="H2945" s="35">
        <v>390430</v>
      </c>
      <c r="I2945" s="35">
        <v>200020</v>
      </c>
      <c r="J2945" s="34" t="s">
        <v>5799</v>
      </c>
      <c r="K2945" s="34" t="str">
        <f t="shared" si="93"/>
        <v>重复</v>
      </c>
      <c r="L2945" s="34" t="str">
        <f t="shared" si="94"/>
        <v>不重复</v>
      </c>
    </row>
    <row r="2946" spans="1:12" ht="27">
      <c r="A2946" s="35" t="s">
        <v>13369</v>
      </c>
      <c r="B2946" s="35" t="s">
        <v>8020</v>
      </c>
      <c r="C2946" s="36" t="s">
        <v>1422</v>
      </c>
      <c r="D2946" s="35" t="s">
        <v>8021</v>
      </c>
      <c r="E2946" s="35" t="s">
        <v>13325</v>
      </c>
      <c r="F2946" s="35" t="s">
        <v>12483</v>
      </c>
      <c r="G2946" s="35">
        <v>355044</v>
      </c>
      <c r="H2946" s="35">
        <v>390430</v>
      </c>
      <c r="I2946" s="35">
        <v>200020</v>
      </c>
      <c r="J2946" s="34" t="s">
        <v>194</v>
      </c>
      <c r="K2946" s="34" t="str">
        <f t="shared" si="93"/>
        <v>重复</v>
      </c>
      <c r="L2946" s="34" t="str">
        <f t="shared" si="94"/>
        <v>不重复</v>
      </c>
    </row>
    <row r="2947" spans="1:12" ht="27">
      <c r="A2947" s="35" t="s">
        <v>13370</v>
      </c>
      <c r="B2947" s="35" t="s">
        <v>8022</v>
      </c>
      <c r="C2947" s="36" t="s">
        <v>8023</v>
      </c>
      <c r="D2947" s="35" t="s">
        <v>8024</v>
      </c>
      <c r="E2947" s="35" t="s">
        <v>13325</v>
      </c>
      <c r="F2947" s="35" t="s">
        <v>12483</v>
      </c>
      <c r="G2947" s="35">
        <v>355045</v>
      </c>
      <c r="H2947" s="35">
        <v>390430</v>
      </c>
      <c r="I2947" s="35">
        <v>200020</v>
      </c>
      <c r="J2947" s="34" t="s">
        <v>7733</v>
      </c>
      <c r="K2947" s="34" t="str">
        <f t="shared" si="93"/>
        <v>不重复</v>
      </c>
      <c r="L2947" s="34" t="str">
        <f t="shared" si="94"/>
        <v>不重复</v>
      </c>
    </row>
    <row r="2948" spans="1:12" ht="27">
      <c r="A2948" s="35" t="s">
        <v>13371</v>
      </c>
      <c r="B2948" s="35" t="s">
        <v>8025</v>
      </c>
      <c r="C2948" s="36" t="s">
        <v>1296</v>
      </c>
      <c r="D2948" s="35" t="s">
        <v>8026</v>
      </c>
      <c r="E2948" s="35" t="s">
        <v>13325</v>
      </c>
      <c r="F2948" s="35" t="s">
        <v>12483</v>
      </c>
      <c r="G2948" s="35">
        <v>355046</v>
      </c>
      <c r="H2948" s="35">
        <v>390430</v>
      </c>
      <c r="I2948" s="35">
        <v>200020</v>
      </c>
      <c r="J2948" s="34" t="s">
        <v>288</v>
      </c>
      <c r="K2948" s="34" t="str">
        <f t="shared" si="93"/>
        <v>重复</v>
      </c>
      <c r="L2948" s="34" t="str">
        <f t="shared" si="94"/>
        <v>重复</v>
      </c>
    </row>
    <row r="2949" spans="1:12" ht="27">
      <c r="A2949" s="35" t="s">
        <v>13372</v>
      </c>
      <c r="B2949" s="35" t="s">
        <v>8027</v>
      </c>
      <c r="C2949" s="36" t="s">
        <v>8028</v>
      </c>
      <c r="D2949" s="35" t="s">
        <v>8029</v>
      </c>
      <c r="E2949" s="35" t="s">
        <v>13325</v>
      </c>
      <c r="F2949" s="35" t="s">
        <v>12483</v>
      </c>
      <c r="G2949" s="35">
        <v>355047</v>
      </c>
      <c r="H2949" s="35">
        <v>390430</v>
      </c>
      <c r="I2949" s="35">
        <v>200020</v>
      </c>
      <c r="J2949" s="34" t="s">
        <v>1186</v>
      </c>
      <c r="K2949" s="34" t="str">
        <f t="shared" si="93"/>
        <v>不重复</v>
      </c>
      <c r="L2949" s="34" t="str">
        <f t="shared" si="94"/>
        <v>不重复</v>
      </c>
    </row>
    <row r="2950" spans="1:12" ht="27">
      <c r="A2950" s="35" t="s">
        <v>13373</v>
      </c>
      <c r="B2950" s="35" t="s">
        <v>8030</v>
      </c>
      <c r="C2950" s="36" t="s">
        <v>2434</v>
      </c>
      <c r="D2950" s="35" t="s">
        <v>8031</v>
      </c>
      <c r="E2950" s="35" t="s">
        <v>13325</v>
      </c>
      <c r="F2950" s="35" t="s">
        <v>12483</v>
      </c>
      <c r="G2950" s="35">
        <v>355048</v>
      </c>
      <c r="H2950" s="35">
        <v>390430</v>
      </c>
      <c r="I2950" s="35">
        <v>200020</v>
      </c>
      <c r="J2950" s="34" t="s">
        <v>715</v>
      </c>
      <c r="K2950" s="34" t="str">
        <f t="shared" si="93"/>
        <v>重复</v>
      </c>
      <c r="L2950" s="34" t="str">
        <f t="shared" si="94"/>
        <v>不重复</v>
      </c>
    </row>
    <row r="2951" spans="1:12" ht="27">
      <c r="A2951" s="35" t="s">
        <v>13374</v>
      </c>
      <c r="B2951" s="35" t="s">
        <v>8032</v>
      </c>
      <c r="C2951" s="36" t="s">
        <v>8033</v>
      </c>
      <c r="D2951" s="35" t="s">
        <v>8034</v>
      </c>
      <c r="E2951" s="35" t="s">
        <v>13325</v>
      </c>
      <c r="F2951" s="35" t="s">
        <v>12483</v>
      </c>
      <c r="G2951" s="35">
        <v>355049</v>
      </c>
      <c r="H2951" s="35">
        <v>390430</v>
      </c>
      <c r="I2951" s="35">
        <v>200020</v>
      </c>
      <c r="J2951" s="34" t="s">
        <v>1186</v>
      </c>
      <c r="K2951" s="34" t="str">
        <f t="shared" si="93"/>
        <v>不重复</v>
      </c>
      <c r="L2951" s="34" t="str">
        <f t="shared" si="94"/>
        <v>不重复</v>
      </c>
    </row>
    <row r="2952" spans="1:12" ht="27">
      <c r="A2952" s="35" t="s">
        <v>13375</v>
      </c>
      <c r="B2952" s="35" t="s">
        <v>8035</v>
      </c>
      <c r="C2952" s="36" t="s">
        <v>686</v>
      </c>
      <c r="D2952" s="35" t="s">
        <v>8036</v>
      </c>
      <c r="E2952" s="35" t="s">
        <v>13325</v>
      </c>
      <c r="F2952" s="35" t="s">
        <v>12483</v>
      </c>
      <c r="G2952" s="35">
        <v>355050</v>
      </c>
      <c r="H2952" s="35">
        <v>390430</v>
      </c>
      <c r="I2952" s="35">
        <v>200020</v>
      </c>
      <c r="J2952" s="34" t="s">
        <v>1700</v>
      </c>
      <c r="K2952" s="34" t="str">
        <f t="shared" si="93"/>
        <v>重复</v>
      </c>
      <c r="L2952" s="34" t="str">
        <f t="shared" si="94"/>
        <v>重复</v>
      </c>
    </row>
    <row r="2953" spans="1:12" ht="27">
      <c r="A2953" s="35" t="s">
        <v>13376</v>
      </c>
      <c r="B2953" s="35" t="s">
        <v>8037</v>
      </c>
      <c r="C2953" s="36" t="s">
        <v>2730</v>
      </c>
      <c r="D2953" s="35" t="s">
        <v>8038</v>
      </c>
      <c r="E2953" s="35" t="s">
        <v>13325</v>
      </c>
      <c r="F2953" s="35" t="s">
        <v>12483</v>
      </c>
      <c r="G2953" s="35">
        <v>355051</v>
      </c>
      <c r="H2953" s="35">
        <v>390430</v>
      </c>
      <c r="I2953" s="35">
        <v>200020</v>
      </c>
      <c r="J2953" s="34" t="s">
        <v>363</v>
      </c>
      <c r="K2953" s="34" t="str">
        <f t="shared" si="93"/>
        <v>重复</v>
      </c>
      <c r="L2953" s="34" t="str">
        <f t="shared" si="94"/>
        <v>不重复</v>
      </c>
    </row>
    <row r="2954" spans="1:12" ht="27">
      <c r="A2954" s="35" t="s">
        <v>13377</v>
      </c>
      <c r="B2954" s="35" t="s">
        <v>8039</v>
      </c>
      <c r="C2954" s="36" t="s">
        <v>212</v>
      </c>
      <c r="D2954" s="35" t="s">
        <v>8040</v>
      </c>
      <c r="E2954" s="35" t="s">
        <v>13325</v>
      </c>
      <c r="F2954" s="35" t="s">
        <v>12483</v>
      </c>
      <c r="G2954" s="35">
        <v>355052</v>
      </c>
      <c r="H2954" s="35">
        <v>390430</v>
      </c>
      <c r="I2954" s="35">
        <v>200020</v>
      </c>
      <c r="J2954" s="34" t="s">
        <v>183</v>
      </c>
      <c r="K2954" s="34" t="str">
        <f t="shared" si="93"/>
        <v>重复</v>
      </c>
      <c r="L2954" s="34" t="str">
        <f t="shared" si="94"/>
        <v>不重复</v>
      </c>
    </row>
    <row r="2955" spans="1:12" ht="27">
      <c r="A2955" s="35" t="s">
        <v>13378</v>
      </c>
      <c r="B2955" s="35" t="s">
        <v>8041</v>
      </c>
      <c r="C2955" s="36" t="s">
        <v>1538</v>
      </c>
      <c r="D2955" s="35" t="s">
        <v>8042</v>
      </c>
      <c r="E2955" s="35" t="s">
        <v>13325</v>
      </c>
      <c r="F2955" s="35" t="s">
        <v>12483</v>
      </c>
      <c r="G2955" s="35">
        <v>355053</v>
      </c>
      <c r="H2955" s="35">
        <v>390430</v>
      </c>
      <c r="I2955" s="35">
        <v>200020</v>
      </c>
      <c r="J2955" s="34" t="s">
        <v>422</v>
      </c>
      <c r="K2955" s="34" t="str">
        <f t="shared" si="93"/>
        <v>重复</v>
      </c>
      <c r="L2955" s="34" t="str">
        <f t="shared" si="94"/>
        <v>不重复</v>
      </c>
    </row>
    <row r="2956" spans="1:12" ht="27">
      <c r="A2956" s="35" t="s">
        <v>13379</v>
      </c>
      <c r="B2956" s="35" t="s">
        <v>8043</v>
      </c>
      <c r="C2956" s="36" t="s">
        <v>8044</v>
      </c>
      <c r="D2956" s="35" t="s">
        <v>8045</v>
      </c>
      <c r="E2956" s="35" t="s">
        <v>13325</v>
      </c>
      <c r="F2956" s="35" t="s">
        <v>12483</v>
      </c>
      <c r="G2956" s="35">
        <v>355054</v>
      </c>
      <c r="H2956" s="35">
        <v>390430</v>
      </c>
      <c r="I2956" s="35">
        <v>200020</v>
      </c>
      <c r="J2956" s="34" t="s">
        <v>5799</v>
      </c>
      <c r="K2956" s="34" t="str">
        <f t="shared" si="95" ref="K2956:K3019">IF(COUNTIF(C:C,C2956)&gt;=2,"重复","不重复")</f>
        <v>不重复</v>
      </c>
      <c r="L2956" s="34" t="str">
        <f t="shared" si="96" ref="L2956:L3019">IF(COUNTIF(D:D,D2956)&gt;=2,"重复","不重复")</f>
        <v>不重复</v>
      </c>
    </row>
    <row r="2957" spans="1:12" ht="15">
      <c r="A2957" s="35" t="s">
        <v>13380</v>
      </c>
      <c r="B2957" s="35" t="s">
        <v>8046</v>
      </c>
      <c r="C2957" s="36" t="s">
        <v>8047</v>
      </c>
      <c r="D2957" s="35" t="s">
        <v>8048</v>
      </c>
      <c r="E2957" s="35" t="s">
        <v>13325</v>
      </c>
      <c r="F2957" s="35" t="s">
        <v>12483</v>
      </c>
      <c r="G2957" s="35">
        <v>355055</v>
      </c>
      <c r="H2957" s="35">
        <v>390430</v>
      </c>
      <c r="I2957" s="35">
        <v>200020</v>
      </c>
      <c r="J2957" s="34" t="s">
        <v>363</v>
      </c>
      <c r="K2957" s="34" t="str">
        <f t="shared" si="95"/>
        <v>不重复</v>
      </c>
      <c r="L2957" s="34" t="str">
        <f t="shared" si="96"/>
        <v>重复</v>
      </c>
    </row>
    <row r="2958" spans="1:12" ht="27">
      <c r="A2958" s="35" t="s">
        <v>13381</v>
      </c>
      <c r="B2958" s="35" t="s">
        <v>8049</v>
      </c>
      <c r="C2958" s="36" t="s">
        <v>2620</v>
      </c>
      <c r="D2958" s="35" t="s">
        <v>8048</v>
      </c>
      <c r="E2958" s="35" t="s">
        <v>13325</v>
      </c>
      <c r="F2958" s="35" t="s">
        <v>12483</v>
      </c>
      <c r="G2958" s="35">
        <v>355056</v>
      </c>
      <c r="H2958" s="35">
        <v>390430</v>
      </c>
      <c r="I2958" s="35">
        <v>200020</v>
      </c>
      <c r="J2958" s="34" t="s">
        <v>363</v>
      </c>
      <c r="K2958" s="34" t="str">
        <f t="shared" si="95"/>
        <v>重复</v>
      </c>
      <c r="L2958" s="34" t="str">
        <f t="shared" si="96"/>
        <v>重复</v>
      </c>
    </row>
    <row r="2959" spans="1:12" ht="27">
      <c r="A2959" s="35" t="s">
        <v>13382</v>
      </c>
      <c r="B2959" s="35" t="s">
        <v>8050</v>
      </c>
      <c r="C2959" s="36" t="s">
        <v>8051</v>
      </c>
      <c r="D2959" s="35" t="s">
        <v>8052</v>
      </c>
      <c r="E2959" s="35" t="s">
        <v>13325</v>
      </c>
      <c r="F2959" s="35" t="s">
        <v>12483</v>
      </c>
      <c r="G2959" s="35">
        <v>355057</v>
      </c>
      <c r="H2959" s="35">
        <v>390430</v>
      </c>
      <c r="I2959" s="35">
        <v>200020</v>
      </c>
      <c r="J2959" s="34" t="s">
        <v>8053</v>
      </c>
      <c r="K2959" s="34" t="str">
        <f t="shared" si="95"/>
        <v>不重复</v>
      </c>
      <c r="L2959" s="34" t="str">
        <f t="shared" si="96"/>
        <v>不重复</v>
      </c>
    </row>
    <row r="2960" spans="1:12" ht="27">
      <c r="A2960" s="35" t="s">
        <v>13383</v>
      </c>
      <c r="B2960" s="35" t="s">
        <v>8054</v>
      </c>
      <c r="C2960" s="36" t="s">
        <v>8055</v>
      </c>
      <c r="D2960" s="35" t="s">
        <v>8056</v>
      </c>
      <c r="E2960" s="35" t="s">
        <v>13325</v>
      </c>
      <c r="F2960" s="35" t="s">
        <v>12483</v>
      </c>
      <c r="G2960" s="35">
        <v>355058</v>
      </c>
      <c r="H2960" s="35">
        <v>390430</v>
      </c>
      <c r="I2960" s="35">
        <v>200020</v>
      </c>
      <c r="J2960" s="34" t="s">
        <v>347</v>
      </c>
      <c r="K2960" s="34" t="str">
        <f t="shared" si="95"/>
        <v>不重复</v>
      </c>
      <c r="L2960" s="34" t="str">
        <f t="shared" si="96"/>
        <v>不重复</v>
      </c>
    </row>
    <row r="2961" spans="1:12" ht="27">
      <c r="A2961" s="35" t="s">
        <v>13384</v>
      </c>
      <c r="B2961" s="35" t="s">
        <v>8057</v>
      </c>
      <c r="C2961" s="36" t="s">
        <v>6015</v>
      </c>
      <c r="D2961" s="35" t="s">
        <v>8058</v>
      </c>
      <c r="E2961" s="35" t="s">
        <v>13325</v>
      </c>
      <c r="F2961" s="35" t="s">
        <v>12483</v>
      </c>
      <c r="G2961" s="35">
        <v>355059</v>
      </c>
      <c r="H2961" s="35">
        <v>390430</v>
      </c>
      <c r="I2961" s="35">
        <v>200020</v>
      </c>
      <c r="J2961" s="34" t="s">
        <v>422</v>
      </c>
      <c r="K2961" s="34" t="str">
        <f t="shared" si="95"/>
        <v>重复</v>
      </c>
      <c r="L2961" s="34" t="str">
        <f t="shared" si="96"/>
        <v>不重复</v>
      </c>
    </row>
    <row r="2962" spans="1:12" ht="27">
      <c r="A2962" s="35" t="s">
        <v>13385</v>
      </c>
      <c r="B2962" s="35" t="s">
        <v>8059</v>
      </c>
      <c r="C2962" s="36" t="s">
        <v>1666</v>
      </c>
      <c r="D2962" s="35" t="s">
        <v>8026</v>
      </c>
      <c r="E2962" s="35" t="s">
        <v>13325</v>
      </c>
      <c r="F2962" s="35" t="s">
        <v>12483</v>
      </c>
      <c r="G2962" s="35">
        <v>355060</v>
      </c>
      <c r="H2962" s="35">
        <v>390430</v>
      </c>
      <c r="I2962" s="35">
        <v>200020</v>
      </c>
      <c r="J2962" s="34" t="s">
        <v>144</v>
      </c>
      <c r="K2962" s="34" t="str">
        <f t="shared" si="95"/>
        <v>重复</v>
      </c>
      <c r="L2962" s="34" t="str">
        <f t="shared" si="96"/>
        <v>重复</v>
      </c>
    </row>
    <row r="2963" spans="1:12" ht="27">
      <c r="A2963" s="35" t="s">
        <v>13386</v>
      </c>
      <c r="B2963" s="35" t="s">
        <v>8060</v>
      </c>
      <c r="C2963" s="36" t="s">
        <v>103</v>
      </c>
      <c r="D2963" s="35" t="s">
        <v>8036</v>
      </c>
      <c r="E2963" s="35" t="s">
        <v>13325</v>
      </c>
      <c r="F2963" s="35" t="s">
        <v>12483</v>
      </c>
      <c r="G2963" s="35">
        <v>355061</v>
      </c>
      <c r="H2963" s="35">
        <v>390430</v>
      </c>
      <c r="I2963" s="35">
        <v>200020</v>
      </c>
      <c r="J2963" s="34" t="s">
        <v>6929</v>
      </c>
      <c r="K2963" s="34" t="str">
        <f t="shared" si="95"/>
        <v>重复</v>
      </c>
      <c r="L2963" s="34" t="str">
        <f t="shared" si="96"/>
        <v>重复</v>
      </c>
    </row>
    <row r="2964" spans="1:12" ht="27">
      <c r="A2964" s="35" t="s">
        <v>13387</v>
      </c>
      <c r="B2964" s="35" t="s">
        <v>8061</v>
      </c>
      <c r="C2964" s="36" t="s">
        <v>8062</v>
      </c>
      <c r="D2964" s="35" t="s">
        <v>8063</v>
      </c>
      <c r="E2964" s="35" t="s">
        <v>13325</v>
      </c>
      <c r="F2964" s="35" t="s">
        <v>12483</v>
      </c>
      <c r="G2964" s="35">
        <v>355062</v>
      </c>
      <c r="H2964" s="35">
        <v>390430</v>
      </c>
      <c r="I2964" s="35">
        <v>200020</v>
      </c>
      <c r="J2964" s="34" t="s">
        <v>8064</v>
      </c>
      <c r="K2964" s="34" t="str">
        <f t="shared" si="95"/>
        <v>不重复</v>
      </c>
      <c r="L2964" s="34" t="str">
        <f t="shared" si="96"/>
        <v>不重复</v>
      </c>
    </row>
    <row r="2965" spans="1:12" ht="15">
      <c r="A2965" s="35" t="s">
        <v>13388</v>
      </c>
      <c r="B2965" s="35" t="s">
        <v>8065</v>
      </c>
      <c r="C2965" s="36" t="s">
        <v>4312</v>
      </c>
      <c r="D2965" s="35" t="s">
        <v>8066</v>
      </c>
      <c r="E2965" s="35" t="s">
        <v>13325</v>
      </c>
      <c r="F2965" s="35" t="s">
        <v>12483</v>
      </c>
      <c r="G2965" s="35">
        <v>355063</v>
      </c>
      <c r="H2965" s="35">
        <v>390430</v>
      </c>
      <c r="I2965" s="35">
        <v>200020</v>
      </c>
      <c r="J2965" s="34" t="s">
        <v>89</v>
      </c>
      <c r="K2965" s="34" t="str">
        <f t="shared" si="95"/>
        <v>重复</v>
      </c>
      <c r="L2965" s="34" t="str">
        <f t="shared" si="96"/>
        <v>不重复</v>
      </c>
    </row>
    <row r="2966" spans="1:12" ht="27">
      <c r="A2966" s="35" t="s">
        <v>13389</v>
      </c>
      <c r="B2966" s="35" t="s">
        <v>8067</v>
      </c>
      <c r="C2966" s="36" t="s">
        <v>127</v>
      </c>
      <c r="D2966" s="35" t="s">
        <v>8068</v>
      </c>
      <c r="E2966" s="35" t="s">
        <v>13325</v>
      </c>
      <c r="F2966" s="35" t="s">
        <v>12483</v>
      </c>
      <c r="G2966" s="35">
        <v>355064</v>
      </c>
      <c r="H2966" s="35">
        <v>390430</v>
      </c>
      <c r="I2966" s="35">
        <v>200020</v>
      </c>
      <c r="J2966" s="34" t="s">
        <v>302</v>
      </c>
      <c r="K2966" s="34" t="str">
        <f t="shared" si="95"/>
        <v>重复</v>
      </c>
      <c r="L2966" s="34" t="str">
        <f t="shared" si="96"/>
        <v>不重复</v>
      </c>
    </row>
    <row r="2967" spans="1:12" ht="27">
      <c r="A2967" s="35" t="s">
        <v>13390</v>
      </c>
      <c r="B2967" s="35" t="s">
        <v>8069</v>
      </c>
      <c r="C2967" s="36" t="s">
        <v>6905</v>
      </c>
      <c r="D2967" s="35" t="s">
        <v>8070</v>
      </c>
      <c r="E2967" s="35" t="s">
        <v>13325</v>
      </c>
      <c r="F2967" s="35" t="s">
        <v>12483</v>
      </c>
      <c r="G2967" s="35">
        <v>355065</v>
      </c>
      <c r="H2967" s="35">
        <v>390430</v>
      </c>
      <c r="I2967" s="35">
        <v>200020</v>
      </c>
      <c r="J2967" s="34" t="s">
        <v>288</v>
      </c>
      <c r="K2967" s="34" t="str">
        <f t="shared" si="95"/>
        <v>重复</v>
      </c>
      <c r="L2967" s="34" t="str">
        <f t="shared" si="96"/>
        <v>不重复</v>
      </c>
    </row>
    <row r="2968" spans="1:12" ht="27">
      <c r="A2968" s="35" t="s">
        <v>13391</v>
      </c>
      <c r="B2968" s="35" t="s">
        <v>8071</v>
      </c>
      <c r="C2968" s="36" t="s">
        <v>8072</v>
      </c>
      <c r="D2968" s="35" t="s">
        <v>8073</v>
      </c>
      <c r="E2968" s="35" t="s">
        <v>13325</v>
      </c>
      <c r="F2968" s="35" t="s">
        <v>12483</v>
      </c>
      <c r="G2968" s="35">
        <v>355066</v>
      </c>
      <c r="H2968" s="35">
        <v>390430</v>
      </c>
      <c r="I2968" s="35">
        <v>200020</v>
      </c>
      <c r="J2968" s="34" t="s">
        <v>962</v>
      </c>
      <c r="K2968" s="34" t="str">
        <f t="shared" si="95"/>
        <v>重复</v>
      </c>
      <c r="L2968" s="34" t="str">
        <f t="shared" si="96"/>
        <v>不重复</v>
      </c>
    </row>
    <row r="2969" spans="1:12" ht="27">
      <c r="A2969" s="35" t="s">
        <v>13392</v>
      </c>
      <c r="B2969" s="35" t="s">
        <v>8074</v>
      </c>
      <c r="C2969" s="36" t="s">
        <v>8075</v>
      </c>
      <c r="D2969" s="35" t="s">
        <v>8076</v>
      </c>
      <c r="E2969" s="35" t="s">
        <v>13325</v>
      </c>
      <c r="F2969" s="35" t="s">
        <v>12483</v>
      </c>
      <c r="G2969" s="35">
        <v>355067</v>
      </c>
      <c r="H2969" s="35">
        <v>390430</v>
      </c>
      <c r="I2969" s="35">
        <v>200020</v>
      </c>
      <c r="J2969" s="34" t="s">
        <v>302</v>
      </c>
      <c r="K2969" s="34" t="str">
        <f t="shared" si="95"/>
        <v>重复</v>
      </c>
      <c r="L2969" s="34" t="str">
        <f t="shared" si="96"/>
        <v>重复</v>
      </c>
    </row>
    <row r="2970" spans="1:12" ht="27">
      <c r="A2970" s="35" t="s">
        <v>13393</v>
      </c>
      <c r="B2970" s="35" t="s">
        <v>8077</v>
      </c>
      <c r="C2970" s="36" t="s">
        <v>8078</v>
      </c>
      <c r="D2970" s="35" t="s">
        <v>8079</v>
      </c>
      <c r="E2970" s="35" t="s">
        <v>13325</v>
      </c>
      <c r="F2970" s="35" t="s">
        <v>12483</v>
      </c>
      <c r="G2970" s="35">
        <v>355068</v>
      </c>
      <c r="H2970" s="35">
        <v>390430</v>
      </c>
      <c r="I2970" s="35">
        <v>200020</v>
      </c>
      <c r="J2970" s="34" t="s">
        <v>8080</v>
      </c>
      <c r="K2970" s="34" t="str">
        <f t="shared" si="95"/>
        <v>不重复</v>
      </c>
      <c r="L2970" s="34" t="str">
        <f t="shared" si="96"/>
        <v>不重复</v>
      </c>
    </row>
    <row r="2971" spans="1:12" ht="30">
      <c r="A2971" s="35" t="s">
        <v>13394</v>
      </c>
      <c r="B2971" s="35" t="s">
        <v>8081</v>
      </c>
      <c r="C2971" s="36" t="s">
        <v>8082</v>
      </c>
      <c r="D2971" s="35" t="s">
        <v>8083</v>
      </c>
      <c r="E2971" s="35" t="s">
        <v>13325</v>
      </c>
      <c r="F2971" s="35" t="s">
        <v>12483</v>
      </c>
      <c r="G2971" s="35">
        <v>355069</v>
      </c>
      <c r="H2971" s="35">
        <v>390430</v>
      </c>
      <c r="I2971" s="35">
        <v>200020</v>
      </c>
      <c r="J2971" s="34" t="s">
        <v>363</v>
      </c>
      <c r="K2971" s="34" t="str">
        <f t="shared" si="95"/>
        <v>不重复</v>
      </c>
      <c r="L2971" s="34" t="str">
        <f t="shared" si="96"/>
        <v>不重复</v>
      </c>
    </row>
    <row r="2972" spans="1:12" ht="15">
      <c r="A2972" s="35" t="s">
        <v>13395</v>
      </c>
      <c r="B2972" s="35" t="s">
        <v>8084</v>
      </c>
      <c r="C2972" s="36" t="s">
        <v>8085</v>
      </c>
      <c r="D2972" s="35" t="s">
        <v>3815</v>
      </c>
      <c r="E2972" s="35" t="s">
        <v>13325</v>
      </c>
      <c r="F2972" s="35" t="s">
        <v>12483</v>
      </c>
      <c r="G2972" s="35">
        <v>355070</v>
      </c>
      <c r="H2972" s="35">
        <v>390430</v>
      </c>
      <c r="I2972" s="35">
        <v>200020</v>
      </c>
      <c r="J2972" s="34" t="s">
        <v>422</v>
      </c>
      <c r="K2972" s="34" t="str">
        <f t="shared" si="95"/>
        <v>不重复</v>
      </c>
      <c r="L2972" s="34" t="str">
        <f t="shared" si="96"/>
        <v>重复</v>
      </c>
    </row>
    <row r="2973" spans="1:12" ht="27">
      <c r="A2973" s="35" t="s">
        <v>13396</v>
      </c>
      <c r="B2973" s="35" t="s">
        <v>8086</v>
      </c>
      <c r="C2973" s="36" t="s">
        <v>2550</v>
      </c>
      <c r="D2973" s="35" t="s">
        <v>5257</v>
      </c>
      <c r="E2973" s="35" t="s">
        <v>13325</v>
      </c>
      <c r="F2973" s="35" t="s">
        <v>12483</v>
      </c>
      <c r="G2973" s="35">
        <v>355071</v>
      </c>
      <c r="H2973" s="35">
        <v>390430</v>
      </c>
      <c r="I2973" s="35">
        <v>200020</v>
      </c>
      <c r="J2973" s="34" t="s">
        <v>422</v>
      </c>
      <c r="K2973" s="34" t="str">
        <f t="shared" si="95"/>
        <v>重复</v>
      </c>
      <c r="L2973" s="34" t="str">
        <f t="shared" si="96"/>
        <v>重复</v>
      </c>
    </row>
    <row r="2974" spans="1:12" ht="30">
      <c r="A2974" s="35" t="s">
        <v>13397</v>
      </c>
      <c r="B2974" s="35" t="s">
        <v>8087</v>
      </c>
      <c r="C2974" s="36" t="s">
        <v>8088</v>
      </c>
      <c r="D2974" s="35" t="s">
        <v>8089</v>
      </c>
      <c r="E2974" s="35" t="s">
        <v>13325</v>
      </c>
      <c r="F2974" s="35" t="s">
        <v>12483</v>
      </c>
      <c r="G2974" s="35">
        <v>355072</v>
      </c>
      <c r="H2974" s="35">
        <v>390430</v>
      </c>
      <c r="I2974" s="35">
        <v>200020</v>
      </c>
      <c r="J2974" s="34" t="s">
        <v>363</v>
      </c>
      <c r="K2974" s="34" t="str">
        <f t="shared" si="95"/>
        <v>不重复</v>
      </c>
      <c r="L2974" s="34" t="str">
        <f t="shared" si="96"/>
        <v>不重复</v>
      </c>
    </row>
    <row r="2975" spans="1:12" ht="30">
      <c r="A2975" s="35" t="s">
        <v>13398</v>
      </c>
      <c r="B2975" s="35" t="s">
        <v>8090</v>
      </c>
      <c r="C2975" s="36" t="s">
        <v>2866</v>
      </c>
      <c r="D2975" s="35" t="s">
        <v>7115</v>
      </c>
      <c r="E2975" s="35" t="s">
        <v>13325</v>
      </c>
      <c r="F2975" s="35" t="s">
        <v>12483</v>
      </c>
      <c r="G2975" s="35">
        <v>355073</v>
      </c>
      <c r="H2975" s="35">
        <v>390430</v>
      </c>
      <c r="I2975" s="35">
        <v>200020</v>
      </c>
      <c r="J2975" s="34" t="s">
        <v>8091</v>
      </c>
      <c r="K2975" s="34" t="str">
        <f t="shared" si="95"/>
        <v>重复</v>
      </c>
      <c r="L2975" s="34" t="str">
        <f t="shared" si="96"/>
        <v>重复</v>
      </c>
    </row>
    <row r="2976" spans="1:12" ht="30">
      <c r="A2976" s="35" t="s">
        <v>13399</v>
      </c>
      <c r="B2976" s="35" t="s">
        <v>8092</v>
      </c>
      <c r="C2976" s="36" t="s">
        <v>8093</v>
      </c>
      <c r="D2976" s="35" t="s">
        <v>8094</v>
      </c>
      <c r="E2976" s="35" t="s">
        <v>13325</v>
      </c>
      <c r="F2976" s="35" t="s">
        <v>12483</v>
      </c>
      <c r="G2976" s="35">
        <v>355074</v>
      </c>
      <c r="H2976" s="35">
        <v>390430</v>
      </c>
      <c r="I2976" s="35">
        <v>200020</v>
      </c>
      <c r="J2976" s="34" t="s">
        <v>8095</v>
      </c>
      <c r="K2976" s="34" t="str">
        <f t="shared" si="95"/>
        <v>不重复</v>
      </c>
      <c r="L2976" s="34" t="str">
        <f t="shared" si="96"/>
        <v>不重复</v>
      </c>
    </row>
    <row r="2977" spans="1:12" ht="30">
      <c r="A2977" s="35" t="s">
        <v>13400</v>
      </c>
      <c r="B2977" s="35" t="s">
        <v>8096</v>
      </c>
      <c r="C2977" s="36" t="s">
        <v>539</v>
      </c>
      <c r="D2977" s="35" t="s">
        <v>8097</v>
      </c>
      <c r="E2977" s="35" t="s">
        <v>13325</v>
      </c>
      <c r="F2977" s="35" t="s">
        <v>12483</v>
      </c>
      <c r="G2977" s="35">
        <v>355075</v>
      </c>
      <c r="H2977" s="35">
        <v>390430</v>
      </c>
      <c r="I2977" s="35">
        <v>200020</v>
      </c>
      <c r="J2977" s="34" t="s">
        <v>8098</v>
      </c>
      <c r="K2977" s="34" t="str">
        <f t="shared" si="95"/>
        <v>重复</v>
      </c>
      <c r="L2977" s="34" t="str">
        <f t="shared" si="96"/>
        <v>不重复</v>
      </c>
    </row>
    <row r="2978" spans="1:12" ht="30">
      <c r="A2978" s="35" t="s">
        <v>13401</v>
      </c>
      <c r="B2978" s="35" t="s">
        <v>8099</v>
      </c>
      <c r="C2978" s="36" t="s">
        <v>8100</v>
      </c>
      <c r="D2978" s="35" t="s">
        <v>5994</v>
      </c>
      <c r="E2978" s="35" t="s">
        <v>13325</v>
      </c>
      <c r="F2978" s="35" t="s">
        <v>12483</v>
      </c>
      <c r="G2978" s="35">
        <v>355076</v>
      </c>
      <c r="H2978" s="35">
        <v>390430</v>
      </c>
      <c r="I2978" s="35">
        <v>200020</v>
      </c>
      <c r="J2978" s="34" t="s">
        <v>347</v>
      </c>
      <c r="K2978" s="34" t="str">
        <f t="shared" si="95"/>
        <v>不重复</v>
      </c>
      <c r="L2978" s="34" t="str">
        <f t="shared" si="96"/>
        <v>重复</v>
      </c>
    </row>
    <row r="2979" spans="1:12" ht="30">
      <c r="A2979" s="35" t="s">
        <v>13402</v>
      </c>
      <c r="B2979" s="35" t="s">
        <v>8101</v>
      </c>
      <c r="C2979" s="36" t="s">
        <v>8102</v>
      </c>
      <c r="D2979" s="35" t="s">
        <v>5996</v>
      </c>
      <c r="E2979" s="35" t="s">
        <v>13325</v>
      </c>
      <c r="F2979" s="35" t="s">
        <v>12483</v>
      </c>
      <c r="G2979" s="35">
        <v>355077</v>
      </c>
      <c r="H2979" s="35">
        <v>390430</v>
      </c>
      <c r="I2979" s="35">
        <v>200020</v>
      </c>
      <c r="J2979" s="34" t="s">
        <v>363</v>
      </c>
      <c r="K2979" s="34" t="str">
        <f t="shared" si="95"/>
        <v>不重复</v>
      </c>
      <c r="L2979" s="34" t="str">
        <f t="shared" si="96"/>
        <v>重复</v>
      </c>
    </row>
    <row r="2980" spans="1:12" ht="30">
      <c r="A2980" s="35" t="s">
        <v>13403</v>
      </c>
      <c r="B2980" s="35" t="s">
        <v>8103</v>
      </c>
      <c r="C2980" s="36" t="s">
        <v>8104</v>
      </c>
      <c r="D2980" s="35" t="s">
        <v>8105</v>
      </c>
      <c r="E2980" s="35" t="s">
        <v>13325</v>
      </c>
      <c r="F2980" s="35" t="s">
        <v>12483</v>
      </c>
      <c r="G2980" s="35">
        <v>355078</v>
      </c>
      <c r="H2980" s="35">
        <v>390430</v>
      </c>
      <c r="I2980" s="35">
        <v>200020</v>
      </c>
      <c r="J2980" s="34" t="s">
        <v>8106</v>
      </c>
      <c r="K2980" s="34" t="str">
        <f t="shared" si="95"/>
        <v>不重复</v>
      </c>
      <c r="L2980" s="34" t="str">
        <f t="shared" si="96"/>
        <v>不重复</v>
      </c>
    </row>
    <row r="2981" spans="1:12" ht="30">
      <c r="A2981" s="35" t="s">
        <v>13404</v>
      </c>
      <c r="B2981" s="35" t="s">
        <v>8107</v>
      </c>
      <c r="C2981" s="36" t="s">
        <v>8108</v>
      </c>
      <c r="D2981" s="35" t="s">
        <v>8109</v>
      </c>
      <c r="E2981" s="35" t="s">
        <v>13325</v>
      </c>
      <c r="F2981" s="35" t="s">
        <v>12483</v>
      </c>
      <c r="G2981" s="35">
        <v>355079</v>
      </c>
      <c r="H2981" s="35">
        <v>390430</v>
      </c>
      <c r="I2981" s="35">
        <v>200020</v>
      </c>
      <c r="J2981" s="34" t="s">
        <v>288</v>
      </c>
      <c r="K2981" s="34" t="str">
        <f t="shared" si="95"/>
        <v>不重复</v>
      </c>
      <c r="L2981" s="34" t="str">
        <f t="shared" si="96"/>
        <v>不重复</v>
      </c>
    </row>
    <row r="2982" spans="1:12" ht="30">
      <c r="A2982" s="35" t="s">
        <v>13405</v>
      </c>
      <c r="B2982" s="35" t="s">
        <v>8110</v>
      </c>
      <c r="C2982" s="36" t="s">
        <v>8111</v>
      </c>
      <c r="D2982" s="35" t="s">
        <v>8112</v>
      </c>
      <c r="E2982" s="35" t="s">
        <v>13325</v>
      </c>
      <c r="F2982" s="35" t="s">
        <v>12483</v>
      </c>
      <c r="G2982" s="35">
        <v>355080</v>
      </c>
      <c r="H2982" s="35">
        <v>390430</v>
      </c>
      <c r="I2982" s="35">
        <v>200020</v>
      </c>
      <c r="J2982" s="34" t="s">
        <v>288</v>
      </c>
      <c r="K2982" s="34" t="str">
        <f t="shared" si="95"/>
        <v>不重复</v>
      </c>
      <c r="L2982" s="34" t="str">
        <f t="shared" si="96"/>
        <v>不重复</v>
      </c>
    </row>
    <row r="2983" spans="1:12" ht="15">
      <c r="A2983" s="35" t="s">
        <v>13406</v>
      </c>
      <c r="B2983" s="35" t="s">
        <v>8113</v>
      </c>
      <c r="C2983" s="36" t="s">
        <v>8114</v>
      </c>
      <c r="D2983" s="35" t="s">
        <v>8115</v>
      </c>
      <c r="E2983" s="35" t="s">
        <v>13325</v>
      </c>
      <c r="F2983" s="35" t="s">
        <v>12483</v>
      </c>
      <c r="G2983" s="35">
        <v>355081</v>
      </c>
      <c r="H2983" s="35">
        <v>390430</v>
      </c>
      <c r="I2983" s="35">
        <v>200020</v>
      </c>
      <c r="J2983" s="34" t="s">
        <v>6484</v>
      </c>
      <c r="K2983" s="34" t="str">
        <f t="shared" si="95"/>
        <v>不重复</v>
      </c>
      <c r="L2983" s="34" t="str">
        <f t="shared" si="96"/>
        <v>不重复</v>
      </c>
    </row>
    <row r="2984" spans="1:12" ht="15">
      <c r="A2984" s="35" t="s">
        <v>13407</v>
      </c>
      <c r="B2984" s="35" t="s">
        <v>8116</v>
      </c>
      <c r="C2984" s="36" t="s">
        <v>8117</v>
      </c>
      <c r="D2984" s="35" t="s">
        <v>8118</v>
      </c>
      <c r="E2984" s="35" t="s">
        <v>13325</v>
      </c>
      <c r="F2984" s="35" t="s">
        <v>12483</v>
      </c>
      <c r="G2984" s="35">
        <v>355082</v>
      </c>
      <c r="H2984" s="35">
        <v>390430</v>
      </c>
      <c r="I2984" s="35">
        <v>200020</v>
      </c>
      <c r="J2984" s="34" t="s">
        <v>1468</v>
      </c>
      <c r="K2984" s="34" t="str">
        <f t="shared" si="95"/>
        <v>不重复</v>
      </c>
      <c r="L2984" s="34" t="str">
        <f t="shared" si="96"/>
        <v>不重复</v>
      </c>
    </row>
    <row r="2985" spans="1:12" ht="15">
      <c r="A2985" s="35" t="s">
        <v>13408</v>
      </c>
      <c r="B2985" s="35" t="s">
        <v>8119</v>
      </c>
      <c r="C2985" s="36" t="s">
        <v>8120</v>
      </c>
      <c r="D2985" s="35" t="s">
        <v>8121</v>
      </c>
      <c r="E2985" s="35" t="s">
        <v>13325</v>
      </c>
      <c r="F2985" s="35" t="s">
        <v>12483</v>
      </c>
      <c r="G2985" s="35">
        <v>355083</v>
      </c>
      <c r="H2985" s="35">
        <v>390430</v>
      </c>
      <c r="I2985" s="35">
        <v>200020</v>
      </c>
      <c r="J2985" s="34" t="s">
        <v>8122</v>
      </c>
      <c r="K2985" s="34" t="str">
        <f t="shared" si="95"/>
        <v>不重复</v>
      </c>
      <c r="L2985" s="34" t="str">
        <f t="shared" si="96"/>
        <v>不重复</v>
      </c>
    </row>
    <row r="2986" spans="1:12" ht="15">
      <c r="A2986" s="35" t="s">
        <v>13409</v>
      </c>
      <c r="B2986" s="35" t="s">
        <v>8123</v>
      </c>
      <c r="C2986" s="36" t="s">
        <v>5191</v>
      </c>
      <c r="D2986" s="35" t="s">
        <v>8124</v>
      </c>
      <c r="E2986" s="35" t="s">
        <v>13325</v>
      </c>
      <c r="F2986" s="35" t="s">
        <v>12483</v>
      </c>
      <c r="G2986" s="35">
        <v>355084</v>
      </c>
      <c r="H2986" s="35">
        <v>390430</v>
      </c>
      <c r="I2986" s="35">
        <v>200020</v>
      </c>
      <c r="J2986" s="34" t="s">
        <v>5376</v>
      </c>
      <c r="K2986" s="34" t="str">
        <f t="shared" si="95"/>
        <v>重复</v>
      </c>
      <c r="L2986" s="34" t="str">
        <f t="shared" si="96"/>
        <v>不重复</v>
      </c>
    </row>
    <row r="2987" spans="1:12" ht="30">
      <c r="A2987" s="35" t="s">
        <v>13410</v>
      </c>
      <c r="B2987" s="35" t="s">
        <v>8125</v>
      </c>
      <c r="C2987" s="36" t="s">
        <v>8126</v>
      </c>
      <c r="D2987" s="35" t="s">
        <v>8127</v>
      </c>
      <c r="E2987" s="35" t="s">
        <v>13325</v>
      </c>
      <c r="F2987" s="35" t="s">
        <v>12483</v>
      </c>
      <c r="G2987" s="35">
        <v>355085</v>
      </c>
      <c r="H2987" s="35">
        <v>390430</v>
      </c>
      <c r="I2987" s="35">
        <v>200020</v>
      </c>
      <c r="J2987" s="34" t="s">
        <v>5799</v>
      </c>
      <c r="K2987" s="34" t="str">
        <f t="shared" si="95"/>
        <v>不重复</v>
      </c>
      <c r="L2987" s="34" t="str">
        <f t="shared" si="96"/>
        <v>不重复</v>
      </c>
    </row>
    <row r="2988" spans="1:12" ht="15">
      <c r="A2988" s="35" t="s">
        <v>13411</v>
      </c>
      <c r="B2988" s="35" t="s">
        <v>8128</v>
      </c>
      <c r="C2988" s="36" t="s">
        <v>8129</v>
      </c>
      <c r="D2988" s="35" t="s">
        <v>8130</v>
      </c>
      <c r="E2988" s="35" t="s">
        <v>13325</v>
      </c>
      <c r="F2988" s="35" t="s">
        <v>12483</v>
      </c>
      <c r="G2988" s="35">
        <v>355086</v>
      </c>
      <c r="H2988" s="35">
        <v>390430</v>
      </c>
      <c r="I2988" s="35">
        <v>200020</v>
      </c>
      <c r="J2988" s="34" t="s">
        <v>668</v>
      </c>
      <c r="K2988" s="34" t="str">
        <f t="shared" si="95"/>
        <v>重复</v>
      </c>
      <c r="L2988" s="34" t="str">
        <f t="shared" si="96"/>
        <v>不重复</v>
      </c>
    </row>
    <row r="2989" spans="1:12" ht="30">
      <c r="A2989" s="35" t="s">
        <v>13412</v>
      </c>
      <c r="B2989" s="35" t="s">
        <v>8131</v>
      </c>
      <c r="C2989" s="36" t="s">
        <v>3382</v>
      </c>
      <c r="D2989" s="35" t="s">
        <v>8132</v>
      </c>
      <c r="E2989" s="35" t="s">
        <v>13325</v>
      </c>
      <c r="F2989" s="35" t="s">
        <v>12483</v>
      </c>
      <c r="G2989" s="35">
        <v>355087</v>
      </c>
      <c r="H2989" s="35">
        <v>390430</v>
      </c>
      <c r="I2989" s="35">
        <v>200020</v>
      </c>
      <c r="J2989" s="34" t="s">
        <v>288</v>
      </c>
      <c r="K2989" s="34" t="str">
        <f t="shared" si="95"/>
        <v>重复</v>
      </c>
      <c r="L2989" s="34" t="str">
        <f t="shared" si="96"/>
        <v>不重复</v>
      </c>
    </row>
    <row r="2990" spans="1:12" ht="30">
      <c r="A2990" s="35" t="s">
        <v>13413</v>
      </c>
      <c r="B2990" s="35" t="s">
        <v>8133</v>
      </c>
      <c r="C2990" s="36" t="s">
        <v>5459</v>
      </c>
      <c r="D2990" s="35" t="s">
        <v>8134</v>
      </c>
      <c r="E2990" s="35" t="s">
        <v>13325</v>
      </c>
      <c r="F2990" s="35" t="s">
        <v>12483</v>
      </c>
      <c r="G2990" s="35">
        <v>355088</v>
      </c>
      <c r="H2990" s="35">
        <v>390430</v>
      </c>
      <c r="I2990" s="35">
        <v>200020</v>
      </c>
      <c r="J2990" s="34" t="s">
        <v>288</v>
      </c>
      <c r="K2990" s="34" t="str">
        <f t="shared" si="95"/>
        <v>重复</v>
      </c>
      <c r="L2990" s="34" t="str">
        <f t="shared" si="96"/>
        <v>不重复</v>
      </c>
    </row>
    <row r="2991" spans="1:12" ht="30">
      <c r="A2991" s="35" t="s">
        <v>13414</v>
      </c>
      <c r="B2991" s="35" t="s">
        <v>8135</v>
      </c>
      <c r="C2991" s="36" t="s">
        <v>8136</v>
      </c>
      <c r="D2991" s="35" t="s">
        <v>8137</v>
      </c>
      <c r="E2991" s="35" t="s">
        <v>13325</v>
      </c>
      <c r="F2991" s="35" t="s">
        <v>12483</v>
      </c>
      <c r="G2991" s="35">
        <v>355089</v>
      </c>
      <c r="H2991" s="35">
        <v>390430</v>
      </c>
      <c r="I2991" s="35">
        <v>200020</v>
      </c>
      <c r="J2991" s="34" t="s">
        <v>609</v>
      </c>
      <c r="K2991" s="34" t="str">
        <f t="shared" si="95"/>
        <v>不重复</v>
      </c>
      <c r="L2991" s="34" t="str">
        <f t="shared" si="96"/>
        <v>不重复</v>
      </c>
    </row>
    <row r="2992" spans="1:12" ht="15">
      <c r="A2992" s="35" t="s">
        <v>13415</v>
      </c>
      <c r="B2992" s="35" t="s">
        <v>8138</v>
      </c>
      <c r="C2992" s="36" t="s">
        <v>5459</v>
      </c>
      <c r="D2992" s="35" t="s">
        <v>8139</v>
      </c>
      <c r="E2992" s="35" t="s">
        <v>13325</v>
      </c>
      <c r="F2992" s="35" t="s">
        <v>12483</v>
      </c>
      <c r="G2992" s="35">
        <v>355090</v>
      </c>
      <c r="H2992" s="35">
        <v>390430</v>
      </c>
      <c r="I2992" s="35">
        <v>200020</v>
      </c>
      <c r="J2992" s="34" t="s">
        <v>1040</v>
      </c>
      <c r="K2992" s="34" t="str">
        <f t="shared" si="95"/>
        <v>重复</v>
      </c>
      <c r="L2992" s="34" t="str">
        <f t="shared" si="96"/>
        <v>重复</v>
      </c>
    </row>
    <row r="2993" spans="1:12" ht="30">
      <c r="A2993" s="35" t="s">
        <v>13416</v>
      </c>
      <c r="B2993" s="35" t="s">
        <v>8140</v>
      </c>
      <c r="C2993" s="36" t="s">
        <v>993</v>
      </c>
      <c r="D2993" s="35" t="s">
        <v>8139</v>
      </c>
      <c r="E2993" s="35" t="s">
        <v>13325</v>
      </c>
      <c r="F2993" s="35" t="s">
        <v>12483</v>
      </c>
      <c r="G2993" s="35">
        <v>355091</v>
      </c>
      <c r="H2993" s="35">
        <v>390430</v>
      </c>
      <c r="I2993" s="35">
        <v>200020</v>
      </c>
      <c r="J2993" s="34" t="s">
        <v>8141</v>
      </c>
      <c r="K2993" s="34" t="str">
        <f t="shared" si="95"/>
        <v>重复</v>
      </c>
      <c r="L2993" s="34" t="str">
        <f t="shared" si="96"/>
        <v>重复</v>
      </c>
    </row>
    <row r="2994" spans="1:12" ht="15">
      <c r="A2994" s="35" t="s">
        <v>13417</v>
      </c>
      <c r="B2994" s="35" t="s">
        <v>8142</v>
      </c>
      <c r="C2994" s="36" t="s">
        <v>8143</v>
      </c>
      <c r="D2994" s="35" t="s">
        <v>8139</v>
      </c>
      <c r="E2994" s="35" t="s">
        <v>13325</v>
      </c>
      <c r="F2994" s="35" t="s">
        <v>12483</v>
      </c>
      <c r="G2994" s="35">
        <v>355092</v>
      </c>
      <c r="H2994" s="35">
        <v>390430</v>
      </c>
      <c r="I2994" s="35">
        <v>200020</v>
      </c>
      <c r="J2994" s="34" t="s">
        <v>8144</v>
      </c>
      <c r="K2994" s="34" t="str">
        <f t="shared" si="95"/>
        <v>不重复</v>
      </c>
      <c r="L2994" s="34" t="str">
        <f t="shared" si="96"/>
        <v>重复</v>
      </c>
    </row>
    <row r="2995" spans="1:12" ht="30">
      <c r="A2995" s="35" t="s">
        <v>13418</v>
      </c>
      <c r="B2995" s="35" t="s">
        <v>8145</v>
      </c>
      <c r="C2995" s="36" t="s">
        <v>5191</v>
      </c>
      <c r="D2995" s="35" t="s">
        <v>8146</v>
      </c>
      <c r="E2995" s="35" t="s">
        <v>13325</v>
      </c>
      <c r="F2995" s="35" t="s">
        <v>12483</v>
      </c>
      <c r="G2995" s="35">
        <v>355093</v>
      </c>
      <c r="H2995" s="35">
        <v>390430</v>
      </c>
      <c r="I2995" s="35">
        <v>200020</v>
      </c>
      <c r="J2995" s="34" t="s">
        <v>288</v>
      </c>
      <c r="K2995" s="34" t="str">
        <f t="shared" si="95"/>
        <v>重复</v>
      </c>
      <c r="L2995" s="34" t="str">
        <f t="shared" si="96"/>
        <v>不重复</v>
      </c>
    </row>
    <row r="2996" spans="1:12" ht="15">
      <c r="A2996" s="35" t="s">
        <v>13419</v>
      </c>
      <c r="B2996" s="35" t="s">
        <v>8147</v>
      </c>
      <c r="C2996" s="36" t="s">
        <v>8148</v>
      </c>
      <c r="D2996" s="35" t="s">
        <v>8149</v>
      </c>
      <c r="E2996" s="35" t="s">
        <v>13325</v>
      </c>
      <c r="F2996" s="35" t="s">
        <v>12483</v>
      </c>
      <c r="G2996" s="35">
        <v>355094</v>
      </c>
      <c r="H2996" s="35">
        <v>390430</v>
      </c>
      <c r="I2996" s="35">
        <v>200020</v>
      </c>
      <c r="J2996" s="34" t="s">
        <v>985</v>
      </c>
      <c r="K2996" s="34" t="str">
        <f t="shared" si="95"/>
        <v>不重复</v>
      </c>
      <c r="L2996" s="34" t="str">
        <f t="shared" si="96"/>
        <v>不重复</v>
      </c>
    </row>
    <row r="2997" spans="1:12" ht="30">
      <c r="A2997" s="35" t="s">
        <v>13420</v>
      </c>
      <c r="B2997" s="35" t="s">
        <v>8150</v>
      </c>
      <c r="C2997" s="36" t="s">
        <v>5191</v>
      </c>
      <c r="D2997" s="35" t="s">
        <v>8151</v>
      </c>
      <c r="E2997" s="35" t="s">
        <v>13325</v>
      </c>
      <c r="F2997" s="35" t="s">
        <v>12483</v>
      </c>
      <c r="G2997" s="35">
        <v>355095</v>
      </c>
      <c r="H2997" s="35">
        <v>390430</v>
      </c>
      <c r="I2997" s="35">
        <v>200020</v>
      </c>
      <c r="J2997" s="34" t="s">
        <v>878</v>
      </c>
      <c r="K2997" s="34" t="str">
        <f t="shared" si="95"/>
        <v>重复</v>
      </c>
      <c r="L2997" s="34" t="str">
        <f t="shared" si="96"/>
        <v>不重复</v>
      </c>
    </row>
    <row r="2998" spans="1:12" ht="15">
      <c r="A2998" s="35" t="s">
        <v>13421</v>
      </c>
      <c r="B2998" s="35" t="s">
        <v>8152</v>
      </c>
      <c r="C2998" s="36" t="s">
        <v>3382</v>
      </c>
      <c r="D2998" s="35" t="s">
        <v>8153</v>
      </c>
      <c r="E2998" s="35" t="s">
        <v>13325</v>
      </c>
      <c r="F2998" s="35" t="s">
        <v>12483</v>
      </c>
      <c r="G2998" s="35">
        <v>355096</v>
      </c>
      <c r="H2998" s="35">
        <v>390430</v>
      </c>
      <c r="I2998" s="35">
        <v>200020</v>
      </c>
      <c r="J2998" s="34" t="s">
        <v>8154</v>
      </c>
      <c r="K2998" s="34" t="str">
        <f t="shared" si="95"/>
        <v>重复</v>
      </c>
      <c r="L2998" s="34" t="str">
        <f t="shared" si="96"/>
        <v>不重复</v>
      </c>
    </row>
    <row r="2999" spans="1:12" ht="30">
      <c r="A2999" s="35" t="s">
        <v>13422</v>
      </c>
      <c r="B2999" s="35" t="s">
        <v>8155</v>
      </c>
      <c r="C2999" s="36" t="s">
        <v>8156</v>
      </c>
      <c r="D2999" s="35" t="s">
        <v>8157</v>
      </c>
      <c r="E2999" s="35" t="s">
        <v>13325</v>
      </c>
      <c r="F2999" s="35" t="s">
        <v>12483</v>
      </c>
      <c r="G2999" s="35">
        <v>355097</v>
      </c>
      <c r="H2999" s="35">
        <v>390430</v>
      </c>
      <c r="I2999" s="35">
        <v>200020</v>
      </c>
      <c r="J2999" s="34" t="s">
        <v>288</v>
      </c>
      <c r="K2999" s="34" t="str">
        <f t="shared" si="95"/>
        <v>不重复</v>
      </c>
      <c r="L2999" s="34" t="str">
        <f t="shared" si="96"/>
        <v>不重复</v>
      </c>
    </row>
    <row r="3000" spans="1:12" ht="15">
      <c r="A3000" s="35" t="s">
        <v>13423</v>
      </c>
      <c r="B3000" s="35" t="s">
        <v>8158</v>
      </c>
      <c r="C3000" s="36" t="s">
        <v>8159</v>
      </c>
      <c r="D3000" s="35" t="s">
        <v>8160</v>
      </c>
      <c r="E3000" s="35" t="s">
        <v>13325</v>
      </c>
      <c r="F3000" s="35" t="s">
        <v>12483</v>
      </c>
      <c r="G3000" s="35">
        <v>355098</v>
      </c>
      <c r="H3000" s="35">
        <v>390430</v>
      </c>
      <c r="I3000" s="35">
        <v>200020</v>
      </c>
      <c r="J3000" s="34" t="s">
        <v>8161</v>
      </c>
      <c r="K3000" s="34" t="str">
        <f t="shared" si="95"/>
        <v>不重复</v>
      </c>
      <c r="L3000" s="34" t="str">
        <f t="shared" si="96"/>
        <v>不重复</v>
      </c>
    </row>
    <row r="3001" spans="1:12" ht="15">
      <c r="A3001" s="35" t="s">
        <v>13424</v>
      </c>
      <c r="B3001" s="35" t="s">
        <v>8162</v>
      </c>
      <c r="C3001" s="36" t="s">
        <v>3713</v>
      </c>
      <c r="D3001" s="35" t="s">
        <v>8163</v>
      </c>
      <c r="E3001" s="35" t="s">
        <v>13325</v>
      </c>
      <c r="F3001" s="35" t="s">
        <v>12483</v>
      </c>
      <c r="G3001" s="35">
        <v>355099</v>
      </c>
      <c r="H3001" s="35">
        <v>390430</v>
      </c>
      <c r="I3001" s="35">
        <v>200020</v>
      </c>
      <c r="J3001" s="34" t="s">
        <v>288</v>
      </c>
      <c r="K3001" s="34" t="str">
        <f t="shared" si="95"/>
        <v>重复</v>
      </c>
      <c r="L3001" s="34" t="str">
        <f t="shared" si="96"/>
        <v>不重复</v>
      </c>
    </row>
    <row r="3002" spans="1:12" ht="30">
      <c r="A3002" s="35" t="s">
        <v>13425</v>
      </c>
      <c r="B3002" s="35" t="s">
        <v>8164</v>
      </c>
      <c r="C3002" s="36" t="s">
        <v>3740</v>
      </c>
      <c r="D3002" s="35" t="s">
        <v>8165</v>
      </c>
      <c r="E3002" s="35" t="s">
        <v>13325</v>
      </c>
      <c r="F3002" s="35" t="s">
        <v>12483</v>
      </c>
      <c r="G3002" s="35">
        <v>355100</v>
      </c>
      <c r="H3002" s="35">
        <v>390430</v>
      </c>
      <c r="I3002" s="35">
        <v>200020</v>
      </c>
      <c r="J3002" s="34" t="s">
        <v>878</v>
      </c>
      <c r="K3002" s="34" t="str">
        <f t="shared" si="95"/>
        <v>重复</v>
      </c>
      <c r="L3002" s="34" t="str">
        <f t="shared" si="96"/>
        <v>不重复</v>
      </c>
    </row>
    <row r="3003" spans="1:12" ht="15">
      <c r="A3003" s="35" t="s">
        <v>13426</v>
      </c>
      <c r="B3003" s="35" t="s">
        <v>8166</v>
      </c>
      <c r="C3003" s="36" t="s">
        <v>8167</v>
      </c>
      <c r="D3003" s="35" t="s">
        <v>8168</v>
      </c>
      <c r="E3003" s="35" t="s">
        <v>13325</v>
      </c>
      <c r="F3003" s="35" t="s">
        <v>12483</v>
      </c>
      <c r="G3003" s="35">
        <v>355101</v>
      </c>
      <c r="H3003" s="35">
        <v>390430</v>
      </c>
      <c r="I3003" s="35">
        <v>200020</v>
      </c>
      <c r="J3003" s="34" t="s">
        <v>8169</v>
      </c>
      <c r="K3003" s="34" t="str">
        <f t="shared" si="95"/>
        <v>不重复</v>
      </c>
      <c r="L3003" s="34" t="str">
        <f t="shared" si="96"/>
        <v>不重复</v>
      </c>
    </row>
    <row r="3004" spans="1:12" ht="15">
      <c r="A3004" s="35" t="s">
        <v>13427</v>
      </c>
      <c r="B3004" s="35" t="s">
        <v>8170</v>
      </c>
      <c r="C3004" s="36" t="s">
        <v>8171</v>
      </c>
      <c r="D3004" s="35" t="s">
        <v>8172</v>
      </c>
      <c r="E3004" s="35" t="s">
        <v>13325</v>
      </c>
      <c r="F3004" s="35" t="s">
        <v>12483</v>
      </c>
      <c r="G3004" s="35">
        <v>355102</v>
      </c>
      <c r="H3004" s="35">
        <v>390430</v>
      </c>
      <c r="I3004" s="35">
        <v>200020</v>
      </c>
      <c r="J3004" s="34" t="s">
        <v>363</v>
      </c>
      <c r="K3004" s="34" t="str">
        <f t="shared" si="95"/>
        <v>不重复</v>
      </c>
      <c r="L3004" s="34" t="str">
        <f t="shared" si="96"/>
        <v>不重复</v>
      </c>
    </row>
    <row r="3005" spans="1:12" ht="30">
      <c r="A3005" s="35" t="s">
        <v>13428</v>
      </c>
      <c r="B3005" s="35" t="s">
        <v>8173</v>
      </c>
      <c r="C3005" s="36" t="s">
        <v>8174</v>
      </c>
      <c r="D3005" s="35" t="s">
        <v>8175</v>
      </c>
      <c r="E3005" s="35" t="s">
        <v>13325</v>
      </c>
      <c r="F3005" s="35" t="s">
        <v>12483</v>
      </c>
      <c r="G3005" s="35">
        <v>355103</v>
      </c>
      <c r="H3005" s="35">
        <v>390430</v>
      </c>
      <c r="I3005" s="35">
        <v>200020</v>
      </c>
      <c r="J3005" s="34" t="s">
        <v>6929</v>
      </c>
      <c r="K3005" s="34" t="str">
        <f t="shared" si="95"/>
        <v>重复</v>
      </c>
      <c r="L3005" s="34" t="str">
        <f t="shared" si="96"/>
        <v>不重复</v>
      </c>
    </row>
    <row r="3006" spans="1:12" ht="27">
      <c r="A3006" s="35" t="s">
        <v>13429</v>
      </c>
      <c r="B3006" s="35" t="s">
        <v>8176</v>
      </c>
      <c r="C3006" s="36" t="s">
        <v>8177</v>
      </c>
      <c r="D3006" s="35" t="s">
        <v>8178</v>
      </c>
      <c r="E3006" s="35" t="s">
        <v>13325</v>
      </c>
      <c r="F3006" s="35" t="s">
        <v>12483</v>
      </c>
      <c r="G3006" s="35">
        <v>355104</v>
      </c>
      <c r="H3006" s="35">
        <v>390430</v>
      </c>
      <c r="I3006" s="35">
        <v>200020</v>
      </c>
      <c r="J3006" s="34" t="s">
        <v>390</v>
      </c>
      <c r="K3006" s="34" t="str">
        <f t="shared" si="95"/>
        <v>不重复</v>
      </c>
      <c r="L3006" s="34" t="str">
        <f t="shared" si="96"/>
        <v>不重复</v>
      </c>
    </row>
    <row r="3007" spans="1:12" ht="15">
      <c r="A3007" s="35" t="s">
        <v>13430</v>
      </c>
      <c r="B3007" s="35" t="s">
        <v>8179</v>
      </c>
      <c r="C3007" s="36" t="s">
        <v>5163</v>
      </c>
      <c r="D3007" s="35" t="s">
        <v>8180</v>
      </c>
      <c r="E3007" s="35" t="s">
        <v>13325</v>
      </c>
      <c r="F3007" s="35" t="s">
        <v>12483</v>
      </c>
      <c r="G3007" s="35">
        <v>355105</v>
      </c>
      <c r="H3007" s="35">
        <v>390430</v>
      </c>
      <c r="I3007" s="35">
        <v>200020</v>
      </c>
      <c r="J3007" s="34" t="s">
        <v>8181</v>
      </c>
      <c r="K3007" s="34" t="str">
        <f t="shared" si="95"/>
        <v>重复</v>
      </c>
      <c r="L3007" s="34" t="str">
        <f t="shared" si="96"/>
        <v>不重复</v>
      </c>
    </row>
    <row r="3008" spans="1:12" ht="27">
      <c r="A3008" s="35" t="s">
        <v>13431</v>
      </c>
      <c r="B3008" s="35" t="s">
        <v>8182</v>
      </c>
      <c r="C3008" s="36" t="s">
        <v>8183</v>
      </c>
      <c r="D3008" s="35" t="s">
        <v>8184</v>
      </c>
      <c r="E3008" s="35" t="s">
        <v>13325</v>
      </c>
      <c r="F3008" s="35" t="s">
        <v>12483</v>
      </c>
      <c r="G3008" s="35">
        <v>355106</v>
      </c>
      <c r="H3008" s="35">
        <v>390430</v>
      </c>
      <c r="I3008" s="35">
        <v>200020</v>
      </c>
      <c r="J3008" s="34" t="s">
        <v>8185</v>
      </c>
      <c r="K3008" s="34" t="str">
        <f t="shared" si="95"/>
        <v>不重复</v>
      </c>
      <c r="L3008" s="34" t="str">
        <f t="shared" si="96"/>
        <v>不重复</v>
      </c>
    </row>
    <row r="3009" spans="1:12" ht="27">
      <c r="A3009" s="35" t="s">
        <v>13432</v>
      </c>
      <c r="B3009" s="35" t="s">
        <v>8186</v>
      </c>
      <c r="C3009" s="36" t="s">
        <v>791</v>
      </c>
      <c r="D3009" s="35" t="s">
        <v>158</v>
      </c>
      <c r="E3009" s="35" t="s">
        <v>13325</v>
      </c>
      <c r="F3009" s="35" t="s">
        <v>12483</v>
      </c>
      <c r="G3009" s="35">
        <v>355107</v>
      </c>
      <c r="H3009" s="35">
        <v>390430</v>
      </c>
      <c r="I3009" s="35">
        <v>200020</v>
      </c>
      <c r="J3009" s="34" t="s">
        <v>1708</v>
      </c>
      <c r="K3009" s="34" t="str">
        <f t="shared" si="95"/>
        <v>重复</v>
      </c>
      <c r="L3009" s="34" t="str">
        <f t="shared" si="96"/>
        <v>重复</v>
      </c>
    </row>
    <row r="3010" spans="1:12" ht="15">
      <c r="A3010" s="35" t="s">
        <v>13433</v>
      </c>
      <c r="B3010" s="35" t="s">
        <v>8187</v>
      </c>
      <c r="C3010" s="36" t="s">
        <v>5372</v>
      </c>
      <c r="D3010" s="35" t="s">
        <v>8188</v>
      </c>
      <c r="E3010" s="35" t="s">
        <v>13433</v>
      </c>
      <c r="F3010" s="35" t="s">
        <v>12483</v>
      </c>
      <c r="G3010" s="35">
        <v>355200</v>
      </c>
      <c r="H3010" s="35">
        <v>390440</v>
      </c>
      <c r="I3010" s="35">
        <v>200020</v>
      </c>
      <c r="J3010" s="34" t="s">
        <v>16</v>
      </c>
      <c r="K3010" s="34" t="str">
        <f t="shared" si="95"/>
        <v>重复</v>
      </c>
      <c r="L3010" s="34" t="str">
        <f t="shared" si="96"/>
        <v>不重复</v>
      </c>
    </row>
    <row r="3011" spans="1:12" ht="30">
      <c r="A3011" s="35" t="s">
        <v>13434</v>
      </c>
      <c r="B3011" s="35" t="s">
        <v>8189</v>
      </c>
      <c r="C3011" s="36" t="s">
        <v>8190</v>
      </c>
      <c r="D3011" s="35" t="s">
        <v>8191</v>
      </c>
      <c r="E3011" s="35" t="s">
        <v>13433</v>
      </c>
      <c r="F3011" s="35" t="s">
        <v>12483</v>
      </c>
      <c r="G3011" s="35">
        <v>355201</v>
      </c>
      <c r="H3011" s="35">
        <v>390440</v>
      </c>
      <c r="I3011" s="35">
        <v>200020</v>
      </c>
      <c r="J3011" s="34" t="s">
        <v>8192</v>
      </c>
      <c r="K3011" s="34" t="str">
        <f t="shared" si="95"/>
        <v>重复</v>
      </c>
      <c r="L3011" s="34" t="str">
        <f t="shared" si="96"/>
        <v>不重复</v>
      </c>
    </row>
    <row r="3012" spans="1:12" ht="30">
      <c r="A3012" s="35" t="s">
        <v>13435</v>
      </c>
      <c r="B3012" s="35" t="s">
        <v>8193</v>
      </c>
      <c r="C3012" s="36" t="s">
        <v>8194</v>
      </c>
      <c r="D3012" s="35" t="s">
        <v>8195</v>
      </c>
      <c r="E3012" s="35" t="s">
        <v>13433</v>
      </c>
      <c r="F3012" s="35" t="s">
        <v>12483</v>
      </c>
      <c r="G3012" s="35">
        <v>355202</v>
      </c>
      <c r="H3012" s="35">
        <v>390440</v>
      </c>
      <c r="I3012" s="35">
        <v>200020</v>
      </c>
      <c r="J3012" s="34" t="s">
        <v>932</v>
      </c>
      <c r="K3012" s="34" t="str">
        <f t="shared" si="95"/>
        <v>不重复</v>
      </c>
      <c r="L3012" s="34" t="str">
        <f t="shared" si="96"/>
        <v>不重复</v>
      </c>
    </row>
    <row r="3013" spans="1:12" ht="15">
      <c r="A3013" s="35" t="s">
        <v>13436</v>
      </c>
      <c r="B3013" s="35" t="s">
        <v>8196</v>
      </c>
      <c r="C3013" s="36" t="s">
        <v>5420</v>
      </c>
      <c r="D3013" s="35" t="s">
        <v>8197</v>
      </c>
      <c r="E3013" s="35" t="s">
        <v>13433</v>
      </c>
      <c r="F3013" s="35" t="s">
        <v>12483</v>
      </c>
      <c r="G3013" s="35">
        <v>355203</v>
      </c>
      <c r="H3013" s="35">
        <v>390440</v>
      </c>
      <c r="I3013" s="35">
        <v>200020</v>
      </c>
      <c r="J3013" s="34" t="s">
        <v>715</v>
      </c>
      <c r="K3013" s="34" t="str">
        <f t="shared" si="95"/>
        <v>重复</v>
      </c>
      <c r="L3013" s="34" t="str">
        <f t="shared" si="96"/>
        <v>不重复</v>
      </c>
    </row>
    <row r="3014" spans="1:12" ht="30">
      <c r="A3014" s="35" t="s">
        <v>13437</v>
      </c>
      <c r="B3014" s="35" t="s">
        <v>8198</v>
      </c>
      <c r="C3014" s="36" t="s">
        <v>2908</v>
      </c>
      <c r="D3014" s="35" t="s">
        <v>8199</v>
      </c>
      <c r="E3014" s="35" t="s">
        <v>13433</v>
      </c>
      <c r="F3014" s="35" t="s">
        <v>12483</v>
      </c>
      <c r="G3014" s="35">
        <v>355204</v>
      </c>
      <c r="H3014" s="35">
        <v>390440</v>
      </c>
      <c r="I3014" s="35">
        <v>200020</v>
      </c>
      <c r="J3014" s="34" t="s">
        <v>6080</v>
      </c>
      <c r="K3014" s="34" t="str">
        <f t="shared" si="95"/>
        <v>重复</v>
      </c>
      <c r="L3014" s="34" t="str">
        <f t="shared" si="96"/>
        <v>不重复</v>
      </c>
    </row>
    <row r="3015" spans="1:12" ht="30">
      <c r="A3015" s="35" t="s">
        <v>13438</v>
      </c>
      <c r="B3015" s="35" t="s">
        <v>8200</v>
      </c>
      <c r="C3015" s="36" t="s">
        <v>2905</v>
      </c>
      <c r="D3015" s="35" t="s">
        <v>8201</v>
      </c>
      <c r="E3015" s="35" t="s">
        <v>13433</v>
      </c>
      <c r="F3015" s="35" t="s">
        <v>12483</v>
      </c>
      <c r="G3015" s="35">
        <v>355205</v>
      </c>
      <c r="H3015" s="35">
        <v>390440</v>
      </c>
      <c r="I3015" s="35">
        <v>200020</v>
      </c>
      <c r="J3015" s="34" t="s">
        <v>363</v>
      </c>
      <c r="K3015" s="34" t="str">
        <f t="shared" si="95"/>
        <v>重复</v>
      </c>
      <c r="L3015" s="34" t="str">
        <f t="shared" si="96"/>
        <v>不重复</v>
      </c>
    </row>
    <row r="3016" spans="1:12" ht="15">
      <c r="A3016" s="35" t="s">
        <v>13439</v>
      </c>
      <c r="B3016" s="35" t="s">
        <v>8202</v>
      </c>
      <c r="C3016" s="36" t="s">
        <v>8203</v>
      </c>
      <c r="D3016" s="35" t="s">
        <v>8204</v>
      </c>
      <c r="E3016" s="35" t="s">
        <v>13433</v>
      </c>
      <c r="F3016" s="35" t="s">
        <v>12483</v>
      </c>
      <c r="G3016" s="35">
        <v>355206</v>
      </c>
      <c r="H3016" s="35">
        <v>390440</v>
      </c>
      <c r="I3016" s="35">
        <v>200020</v>
      </c>
      <c r="J3016" s="34" t="s">
        <v>668</v>
      </c>
      <c r="K3016" s="34" t="str">
        <f t="shared" si="95"/>
        <v>不重复</v>
      </c>
      <c r="L3016" s="34" t="str">
        <f t="shared" si="96"/>
        <v>不重复</v>
      </c>
    </row>
    <row r="3017" spans="1:12" ht="30">
      <c r="A3017" s="35" t="s">
        <v>13440</v>
      </c>
      <c r="B3017" s="35" t="s">
        <v>8205</v>
      </c>
      <c r="C3017" s="36" t="s">
        <v>4359</v>
      </c>
      <c r="D3017" s="35" t="s">
        <v>4910</v>
      </c>
      <c r="E3017" s="35" t="s">
        <v>13433</v>
      </c>
      <c r="F3017" s="35" t="s">
        <v>12483</v>
      </c>
      <c r="G3017" s="35">
        <v>355207</v>
      </c>
      <c r="H3017" s="35">
        <v>390440</v>
      </c>
      <c r="I3017" s="35">
        <v>200020</v>
      </c>
      <c r="J3017" s="34" t="s">
        <v>363</v>
      </c>
      <c r="K3017" s="34" t="str">
        <f t="shared" si="95"/>
        <v>重复</v>
      </c>
      <c r="L3017" s="34" t="str">
        <f t="shared" si="96"/>
        <v>重复</v>
      </c>
    </row>
    <row r="3018" spans="1:12" ht="30">
      <c r="A3018" s="35" t="s">
        <v>13441</v>
      </c>
      <c r="B3018" s="35" t="s">
        <v>8206</v>
      </c>
      <c r="C3018" s="36" t="s">
        <v>4495</v>
      </c>
      <c r="D3018" s="35" t="s">
        <v>8207</v>
      </c>
      <c r="E3018" s="35" t="s">
        <v>13433</v>
      </c>
      <c r="F3018" s="35" t="s">
        <v>12483</v>
      </c>
      <c r="G3018" s="35">
        <v>355208</v>
      </c>
      <c r="H3018" s="35">
        <v>390440</v>
      </c>
      <c r="I3018" s="35">
        <v>200020</v>
      </c>
      <c r="J3018" s="34" t="s">
        <v>288</v>
      </c>
      <c r="K3018" s="34" t="str">
        <f t="shared" si="95"/>
        <v>重复</v>
      </c>
      <c r="L3018" s="34" t="str">
        <f t="shared" si="96"/>
        <v>不重复</v>
      </c>
    </row>
    <row r="3019" spans="1:12" ht="15">
      <c r="A3019" s="35" t="s">
        <v>13442</v>
      </c>
      <c r="B3019" s="35" t="s">
        <v>8208</v>
      </c>
      <c r="C3019" s="36" t="s">
        <v>8209</v>
      </c>
      <c r="D3019" s="35" t="s">
        <v>8210</v>
      </c>
      <c r="E3019" s="35" t="s">
        <v>13433</v>
      </c>
      <c r="F3019" s="35" t="s">
        <v>12483</v>
      </c>
      <c r="G3019" s="35">
        <v>355209</v>
      </c>
      <c r="H3019" s="35">
        <v>390440</v>
      </c>
      <c r="I3019" s="35">
        <v>200020</v>
      </c>
      <c r="J3019" s="34" t="s">
        <v>932</v>
      </c>
      <c r="K3019" s="34" t="str">
        <f t="shared" si="95"/>
        <v>不重复</v>
      </c>
      <c r="L3019" s="34" t="str">
        <f t="shared" si="96"/>
        <v>不重复</v>
      </c>
    </row>
    <row r="3020" spans="1:12" ht="30">
      <c r="A3020" s="35" t="s">
        <v>13443</v>
      </c>
      <c r="B3020" s="35" t="s">
        <v>8211</v>
      </c>
      <c r="C3020" s="36" t="s">
        <v>8212</v>
      </c>
      <c r="D3020" s="35" t="s">
        <v>8213</v>
      </c>
      <c r="E3020" s="35" t="s">
        <v>13433</v>
      </c>
      <c r="F3020" s="35" t="s">
        <v>12483</v>
      </c>
      <c r="G3020" s="35">
        <v>355210</v>
      </c>
      <c r="H3020" s="35">
        <v>390440</v>
      </c>
      <c r="I3020" s="35">
        <v>200020</v>
      </c>
      <c r="J3020" s="34" t="s">
        <v>668</v>
      </c>
      <c r="K3020" s="34" t="str">
        <f t="shared" si="97" ref="K3020:K3083">IF(COUNTIF(C:C,C3020)&gt;=2,"重复","不重复")</f>
        <v>不重复</v>
      </c>
      <c r="L3020" s="34" t="str">
        <f t="shared" si="98" ref="L3020:L3083">IF(COUNTIF(D:D,D3020)&gt;=2,"重复","不重复")</f>
        <v>不重复</v>
      </c>
    </row>
    <row r="3021" spans="1:12" ht="27">
      <c r="A3021" s="35" t="s">
        <v>13444</v>
      </c>
      <c r="B3021" s="35" t="s">
        <v>8214</v>
      </c>
      <c r="C3021" s="36" t="s">
        <v>6522</v>
      </c>
      <c r="D3021" s="35" t="s">
        <v>8215</v>
      </c>
      <c r="E3021" s="35" t="s">
        <v>13445</v>
      </c>
      <c r="F3021" s="35" t="s">
        <v>12483</v>
      </c>
      <c r="G3021" s="35">
        <v>355400</v>
      </c>
      <c r="H3021" s="35">
        <v>390450</v>
      </c>
      <c r="I3021" s="35">
        <v>200020</v>
      </c>
      <c r="J3021" s="34" t="s">
        <v>3437</v>
      </c>
      <c r="K3021" s="34" t="str">
        <f t="shared" si="97"/>
        <v>重复</v>
      </c>
      <c r="L3021" s="34" t="str">
        <f t="shared" si="98"/>
        <v>不重复</v>
      </c>
    </row>
    <row r="3022" spans="1:12" ht="27">
      <c r="A3022" s="35" t="s">
        <v>13446</v>
      </c>
      <c r="B3022" s="35" t="s">
        <v>8216</v>
      </c>
      <c r="C3022" s="36" t="s">
        <v>8217</v>
      </c>
      <c r="D3022" s="35" t="s">
        <v>8218</v>
      </c>
      <c r="E3022" s="35" t="s">
        <v>13445</v>
      </c>
      <c r="F3022" s="35" t="s">
        <v>12483</v>
      </c>
      <c r="G3022" s="35">
        <v>355401</v>
      </c>
      <c r="H3022" s="35">
        <v>390450</v>
      </c>
      <c r="I3022" s="35">
        <v>200020</v>
      </c>
      <c r="J3022" s="34" t="s">
        <v>8219</v>
      </c>
      <c r="K3022" s="34" t="str">
        <f t="shared" si="97"/>
        <v>不重复</v>
      </c>
      <c r="L3022" s="34" t="str">
        <f t="shared" si="98"/>
        <v>不重复</v>
      </c>
    </row>
    <row r="3023" spans="1:12" ht="27">
      <c r="A3023" s="35" t="s">
        <v>13447</v>
      </c>
      <c r="B3023" s="35" t="s">
        <v>8220</v>
      </c>
      <c r="C3023" s="36" t="s">
        <v>1821</v>
      </c>
      <c r="D3023" s="35" t="s">
        <v>8014</v>
      </c>
      <c r="E3023" s="35" t="s">
        <v>13445</v>
      </c>
      <c r="F3023" s="35" t="s">
        <v>12483</v>
      </c>
      <c r="G3023" s="35">
        <v>355402</v>
      </c>
      <c r="H3023" s="35">
        <v>390450</v>
      </c>
      <c r="I3023" s="35">
        <v>200020</v>
      </c>
      <c r="J3023" s="34" t="s">
        <v>1358</v>
      </c>
      <c r="K3023" s="34" t="str">
        <f t="shared" si="97"/>
        <v>重复</v>
      </c>
      <c r="L3023" s="34" t="str">
        <f t="shared" si="98"/>
        <v>重复</v>
      </c>
    </row>
    <row r="3024" spans="1:12" ht="15">
      <c r="A3024" s="35" t="s">
        <v>13448</v>
      </c>
      <c r="B3024" s="35" t="s">
        <v>8221</v>
      </c>
      <c r="C3024" s="36" t="s">
        <v>8222</v>
      </c>
      <c r="D3024" s="35" t="s">
        <v>1843</v>
      </c>
      <c r="E3024" s="35" t="s">
        <v>13448</v>
      </c>
      <c r="F3024" s="35" t="s">
        <v>12483</v>
      </c>
      <c r="G3024" s="35">
        <v>355500</v>
      </c>
      <c r="H3024" s="35">
        <v>390460</v>
      </c>
      <c r="I3024" s="35">
        <v>200020</v>
      </c>
      <c r="J3024" s="34" t="s">
        <v>16</v>
      </c>
      <c r="K3024" s="34" t="str">
        <f t="shared" si="97"/>
        <v>不重复</v>
      </c>
      <c r="L3024" s="34" t="str">
        <f t="shared" si="98"/>
        <v>重复</v>
      </c>
    </row>
    <row r="3025" spans="1:12" ht="15">
      <c r="A3025" s="35" t="s">
        <v>13449</v>
      </c>
      <c r="B3025" s="35" t="s">
        <v>8223</v>
      </c>
      <c r="C3025" s="36" t="s">
        <v>8224</v>
      </c>
      <c r="D3025" s="35" t="s">
        <v>8225</v>
      </c>
      <c r="E3025" s="35" t="s">
        <v>13448</v>
      </c>
      <c r="F3025" s="35" t="s">
        <v>12483</v>
      </c>
      <c r="G3025" s="35">
        <v>355501</v>
      </c>
      <c r="H3025" s="35">
        <v>390460</v>
      </c>
      <c r="I3025" s="35">
        <v>200020</v>
      </c>
      <c r="J3025" s="34" t="s">
        <v>311</v>
      </c>
      <c r="K3025" s="34" t="str">
        <f t="shared" si="97"/>
        <v>重复</v>
      </c>
      <c r="L3025" s="34" t="str">
        <f t="shared" si="98"/>
        <v>不重复</v>
      </c>
    </row>
    <row r="3026" spans="1:12" ht="15">
      <c r="A3026" s="35" t="s">
        <v>13450</v>
      </c>
      <c r="B3026" s="35" t="s">
        <v>8226</v>
      </c>
      <c r="C3026" s="36" t="s">
        <v>7668</v>
      </c>
      <c r="D3026" s="35" t="s">
        <v>8227</v>
      </c>
      <c r="E3026" s="35" t="s">
        <v>13448</v>
      </c>
      <c r="F3026" s="35" t="s">
        <v>12483</v>
      </c>
      <c r="G3026" s="35">
        <v>355502</v>
      </c>
      <c r="H3026" s="35">
        <v>390460</v>
      </c>
      <c r="I3026" s="35">
        <v>200020</v>
      </c>
      <c r="J3026" s="34" t="s">
        <v>5792</v>
      </c>
      <c r="K3026" s="34" t="str">
        <f t="shared" si="97"/>
        <v>重复</v>
      </c>
      <c r="L3026" s="34" t="str">
        <f t="shared" si="98"/>
        <v>不重复</v>
      </c>
    </row>
    <row r="3027" spans="1:12" ht="15">
      <c r="A3027" s="35" t="s">
        <v>13451</v>
      </c>
      <c r="B3027" s="35" t="s">
        <v>8228</v>
      </c>
      <c r="C3027" s="36" t="s">
        <v>8229</v>
      </c>
      <c r="D3027" s="35" t="s">
        <v>8230</v>
      </c>
      <c r="E3027" s="35" t="s">
        <v>13448</v>
      </c>
      <c r="F3027" s="35" t="s">
        <v>12483</v>
      </c>
      <c r="G3027" s="35">
        <v>355503</v>
      </c>
      <c r="H3027" s="35">
        <v>390460</v>
      </c>
      <c r="I3027" s="35">
        <v>200020</v>
      </c>
      <c r="J3027" s="34" t="s">
        <v>78</v>
      </c>
      <c r="K3027" s="34" t="str">
        <f t="shared" si="97"/>
        <v>不重复</v>
      </c>
      <c r="L3027" s="34" t="str">
        <f t="shared" si="98"/>
        <v>不重复</v>
      </c>
    </row>
    <row r="3028" spans="1:12" ht="15">
      <c r="A3028" s="35" t="s">
        <v>13452</v>
      </c>
      <c r="B3028" s="35" t="s">
        <v>8231</v>
      </c>
      <c r="C3028" s="36" t="s">
        <v>3689</v>
      </c>
      <c r="D3028" s="35" t="s">
        <v>7232</v>
      </c>
      <c r="E3028" s="35" t="s">
        <v>13448</v>
      </c>
      <c r="F3028" s="35" t="s">
        <v>12483</v>
      </c>
      <c r="G3028" s="35">
        <v>355504</v>
      </c>
      <c r="H3028" s="35">
        <v>390460</v>
      </c>
      <c r="I3028" s="35">
        <v>200020</v>
      </c>
      <c r="J3028" s="34" t="s">
        <v>985</v>
      </c>
      <c r="K3028" s="34" t="str">
        <f t="shared" si="97"/>
        <v>重复</v>
      </c>
      <c r="L3028" s="34" t="str">
        <f t="shared" si="98"/>
        <v>重复</v>
      </c>
    </row>
    <row r="3029" spans="1:12" ht="30">
      <c r="A3029" s="35" t="s">
        <v>13453</v>
      </c>
      <c r="B3029" s="35" t="s">
        <v>8232</v>
      </c>
      <c r="C3029" s="36" t="s">
        <v>8233</v>
      </c>
      <c r="D3029" s="35" t="s">
        <v>8234</v>
      </c>
      <c r="E3029" s="35" t="s">
        <v>13448</v>
      </c>
      <c r="F3029" s="35" t="s">
        <v>12483</v>
      </c>
      <c r="G3029" s="35">
        <v>355505</v>
      </c>
      <c r="H3029" s="35">
        <v>390460</v>
      </c>
      <c r="I3029" s="35">
        <v>200020</v>
      </c>
      <c r="J3029" s="34" t="s">
        <v>932</v>
      </c>
      <c r="K3029" s="34" t="str">
        <f t="shared" si="97"/>
        <v>重复</v>
      </c>
      <c r="L3029" s="34" t="str">
        <f t="shared" si="98"/>
        <v>重复</v>
      </c>
    </row>
    <row r="3030" spans="1:12" ht="15">
      <c r="A3030" s="35" t="s">
        <v>13454</v>
      </c>
      <c r="B3030" s="35" t="s">
        <v>8235</v>
      </c>
      <c r="C3030" s="36" t="s">
        <v>8236</v>
      </c>
      <c r="D3030" s="35" t="s">
        <v>4694</v>
      </c>
      <c r="E3030" s="35" t="s">
        <v>13448</v>
      </c>
      <c r="F3030" s="35" t="s">
        <v>12483</v>
      </c>
      <c r="G3030" s="35">
        <v>355506</v>
      </c>
      <c r="H3030" s="35">
        <v>390460</v>
      </c>
      <c r="I3030" s="35">
        <v>200020</v>
      </c>
      <c r="J3030" s="34" t="s">
        <v>1473</v>
      </c>
      <c r="K3030" s="34" t="str">
        <f t="shared" si="97"/>
        <v>不重复</v>
      </c>
      <c r="L3030" s="34" t="str">
        <f t="shared" si="98"/>
        <v>重复</v>
      </c>
    </row>
    <row r="3031" spans="1:12" ht="15">
      <c r="A3031" s="35" t="s">
        <v>13455</v>
      </c>
      <c r="B3031" s="35" t="s">
        <v>8237</v>
      </c>
      <c r="C3031" s="36" t="s">
        <v>4519</v>
      </c>
      <c r="D3031" s="35" t="s">
        <v>8238</v>
      </c>
      <c r="E3031" s="35" t="s">
        <v>13448</v>
      </c>
      <c r="F3031" s="35" t="s">
        <v>12483</v>
      </c>
      <c r="G3031" s="35">
        <v>355507</v>
      </c>
      <c r="H3031" s="35">
        <v>390460</v>
      </c>
      <c r="I3031" s="35">
        <v>200020</v>
      </c>
      <c r="J3031" s="34" t="s">
        <v>4993</v>
      </c>
      <c r="K3031" s="34" t="str">
        <f t="shared" si="97"/>
        <v>重复</v>
      </c>
      <c r="L3031" s="34" t="str">
        <f t="shared" si="98"/>
        <v>不重复</v>
      </c>
    </row>
    <row r="3032" spans="1:12" ht="27">
      <c r="A3032" s="35" t="s">
        <v>13456</v>
      </c>
      <c r="B3032" s="35" t="s">
        <v>8239</v>
      </c>
      <c r="C3032" s="36" t="s">
        <v>8240</v>
      </c>
      <c r="D3032" s="35" t="s">
        <v>4262</v>
      </c>
      <c r="E3032" s="35" t="s">
        <v>13448</v>
      </c>
      <c r="F3032" s="35" t="s">
        <v>12483</v>
      </c>
      <c r="G3032" s="35">
        <v>355508</v>
      </c>
      <c r="H3032" s="35">
        <v>390460</v>
      </c>
      <c r="I3032" s="35">
        <v>200020</v>
      </c>
      <c r="J3032" s="34" t="s">
        <v>8241</v>
      </c>
      <c r="K3032" s="34" t="str">
        <f t="shared" si="97"/>
        <v>不重复</v>
      </c>
      <c r="L3032" s="34" t="str">
        <f t="shared" si="98"/>
        <v>重复</v>
      </c>
    </row>
    <row r="3033" spans="1:12" ht="15">
      <c r="A3033" s="35" t="s">
        <v>13457</v>
      </c>
      <c r="B3033" s="35" t="s">
        <v>8242</v>
      </c>
      <c r="C3033" s="36" t="s">
        <v>6159</v>
      </c>
      <c r="D3033" s="35" t="s">
        <v>4262</v>
      </c>
      <c r="E3033" s="35" t="s">
        <v>13448</v>
      </c>
      <c r="F3033" s="35" t="s">
        <v>12483</v>
      </c>
      <c r="G3033" s="35">
        <v>355509</v>
      </c>
      <c r="H3033" s="35">
        <v>390460</v>
      </c>
      <c r="I3033" s="35">
        <v>200020</v>
      </c>
      <c r="J3033" s="34" t="s">
        <v>6080</v>
      </c>
      <c r="K3033" s="34" t="str">
        <f t="shared" si="97"/>
        <v>重复</v>
      </c>
      <c r="L3033" s="34" t="str">
        <f t="shared" si="98"/>
        <v>重复</v>
      </c>
    </row>
    <row r="3034" spans="1:12" ht="15">
      <c r="A3034" s="35" t="s">
        <v>13458</v>
      </c>
      <c r="B3034" s="35" t="s">
        <v>8243</v>
      </c>
      <c r="C3034" s="36" t="s">
        <v>8244</v>
      </c>
      <c r="D3034" s="35" t="s">
        <v>4262</v>
      </c>
      <c r="E3034" s="35" t="s">
        <v>13448</v>
      </c>
      <c r="F3034" s="35" t="s">
        <v>12483</v>
      </c>
      <c r="G3034" s="35">
        <v>355510</v>
      </c>
      <c r="H3034" s="35">
        <v>390460</v>
      </c>
      <c r="I3034" s="35">
        <v>200020</v>
      </c>
      <c r="J3034" s="34" t="s">
        <v>194</v>
      </c>
      <c r="K3034" s="34" t="str">
        <f t="shared" si="97"/>
        <v>不重复</v>
      </c>
      <c r="L3034" s="34" t="str">
        <f t="shared" si="98"/>
        <v>重复</v>
      </c>
    </row>
    <row r="3035" spans="1:12" ht="15">
      <c r="A3035" s="35" t="s">
        <v>13459</v>
      </c>
      <c r="B3035" s="35" t="s">
        <v>8245</v>
      </c>
      <c r="C3035" s="36" t="s">
        <v>4278</v>
      </c>
      <c r="D3035" s="35" t="s">
        <v>8246</v>
      </c>
      <c r="E3035" s="35" t="s">
        <v>13448</v>
      </c>
      <c r="F3035" s="35" t="s">
        <v>12483</v>
      </c>
      <c r="G3035" s="35">
        <v>355511</v>
      </c>
      <c r="H3035" s="35">
        <v>390460</v>
      </c>
      <c r="I3035" s="35">
        <v>200020</v>
      </c>
      <c r="J3035" s="34" t="s">
        <v>8247</v>
      </c>
      <c r="K3035" s="34" t="str">
        <f t="shared" si="97"/>
        <v>重复</v>
      </c>
      <c r="L3035" s="34" t="str">
        <f t="shared" si="98"/>
        <v>不重复</v>
      </c>
    </row>
    <row r="3036" spans="1:12" ht="30">
      <c r="A3036" s="35" t="s">
        <v>13460</v>
      </c>
      <c r="B3036" s="35" t="s">
        <v>8248</v>
      </c>
      <c r="C3036" s="36" t="s">
        <v>1815</v>
      </c>
      <c r="D3036" s="35" t="s">
        <v>3841</v>
      </c>
      <c r="E3036" s="35" t="s">
        <v>13448</v>
      </c>
      <c r="F3036" s="35" t="s">
        <v>12483</v>
      </c>
      <c r="G3036" s="35">
        <v>355512</v>
      </c>
      <c r="H3036" s="35">
        <v>390460</v>
      </c>
      <c r="I3036" s="35">
        <v>200020</v>
      </c>
      <c r="J3036" s="34" t="s">
        <v>422</v>
      </c>
      <c r="K3036" s="34" t="str">
        <f t="shared" si="97"/>
        <v>重复</v>
      </c>
      <c r="L3036" s="34" t="str">
        <f t="shared" si="98"/>
        <v>重复</v>
      </c>
    </row>
    <row r="3037" spans="1:12" ht="15">
      <c r="A3037" s="35" t="s">
        <v>13461</v>
      </c>
      <c r="B3037" s="35" t="s">
        <v>8249</v>
      </c>
      <c r="C3037" s="36" t="s">
        <v>8250</v>
      </c>
      <c r="D3037" s="35" t="s">
        <v>8251</v>
      </c>
      <c r="E3037" s="35" t="s">
        <v>13448</v>
      </c>
      <c r="F3037" s="35" t="s">
        <v>12483</v>
      </c>
      <c r="G3037" s="35">
        <v>355513</v>
      </c>
      <c r="H3037" s="35">
        <v>390460</v>
      </c>
      <c r="I3037" s="35">
        <v>200020</v>
      </c>
      <c r="J3037" s="34" t="s">
        <v>715</v>
      </c>
      <c r="K3037" s="34" t="str">
        <f t="shared" si="97"/>
        <v>不重复</v>
      </c>
      <c r="L3037" s="34" t="str">
        <f t="shared" si="98"/>
        <v>重复</v>
      </c>
    </row>
    <row r="3038" spans="1:12" ht="15">
      <c r="A3038" s="35" t="s">
        <v>13462</v>
      </c>
      <c r="B3038" s="35" t="s">
        <v>8252</v>
      </c>
      <c r="C3038" s="36" t="s">
        <v>7213</v>
      </c>
      <c r="D3038" s="35" t="s">
        <v>8251</v>
      </c>
      <c r="E3038" s="35" t="s">
        <v>13448</v>
      </c>
      <c r="F3038" s="35" t="s">
        <v>12483</v>
      </c>
      <c r="G3038" s="35">
        <v>355514</v>
      </c>
      <c r="H3038" s="35">
        <v>390460</v>
      </c>
      <c r="I3038" s="35">
        <v>200020</v>
      </c>
      <c r="J3038" s="34" t="s">
        <v>932</v>
      </c>
      <c r="K3038" s="34" t="str">
        <f t="shared" si="97"/>
        <v>重复</v>
      </c>
      <c r="L3038" s="34" t="str">
        <f t="shared" si="98"/>
        <v>重复</v>
      </c>
    </row>
    <row r="3039" spans="1:12" ht="30">
      <c r="A3039" s="35" t="s">
        <v>13463</v>
      </c>
      <c r="B3039" s="35" t="s">
        <v>8253</v>
      </c>
      <c r="C3039" s="36" t="s">
        <v>8254</v>
      </c>
      <c r="D3039" s="35" t="s">
        <v>6358</v>
      </c>
      <c r="E3039" s="35" t="s">
        <v>13448</v>
      </c>
      <c r="F3039" s="35" t="s">
        <v>12483</v>
      </c>
      <c r="G3039" s="35">
        <v>355515</v>
      </c>
      <c r="H3039" s="35">
        <v>390460</v>
      </c>
      <c r="I3039" s="35">
        <v>200020</v>
      </c>
      <c r="J3039" s="34" t="s">
        <v>1700</v>
      </c>
      <c r="K3039" s="34" t="str">
        <f t="shared" si="97"/>
        <v>不重复</v>
      </c>
      <c r="L3039" s="34" t="str">
        <f t="shared" si="98"/>
        <v>重复</v>
      </c>
    </row>
    <row r="3040" spans="1:12" ht="15">
      <c r="A3040" s="35" t="s">
        <v>13464</v>
      </c>
      <c r="B3040" s="35" t="s">
        <v>8255</v>
      </c>
      <c r="C3040" s="36" t="s">
        <v>6128</v>
      </c>
      <c r="D3040" s="35" t="s">
        <v>6682</v>
      </c>
      <c r="E3040" s="35" t="s">
        <v>13448</v>
      </c>
      <c r="F3040" s="35" t="s">
        <v>12483</v>
      </c>
      <c r="G3040" s="35">
        <v>355516</v>
      </c>
      <c r="H3040" s="35">
        <v>390460</v>
      </c>
      <c r="I3040" s="35">
        <v>200020</v>
      </c>
      <c r="J3040" s="34" t="s">
        <v>715</v>
      </c>
      <c r="K3040" s="34" t="str">
        <f t="shared" si="97"/>
        <v>重复</v>
      </c>
      <c r="L3040" s="34" t="str">
        <f t="shared" si="98"/>
        <v>重复</v>
      </c>
    </row>
    <row r="3041" spans="1:12" ht="15">
      <c r="A3041" s="35" t="s">
        <v>13465</v>
      </c>
      <c r="B3041" s="35" t="s">
        <v>8256</v>
      </c>
      <c r="C3041" s="36" t="s">
        <v>8224</v>
      </c>
      <c r="D3041" s="35" t="s">
        <v>8257</v>
      </c>
      <c r="E3041" s="35" t="s">
        <v>13448</v>
      </c>
      <c r="F3041" s="35" t="s">
        <v>12483</v>
      </c>
      <c r="G3041" s="35">
        <v>355517</v>
      </c>
      <c r="H3041" s="35">
        <v>390460</v>
      </c>
      <c r="I3041" s="35">
        <v>200020</v>
      </c>
      <c r="J3041" s="34" t="s">
        <v>1468</v>
      </c>
      <c r="K3041" s="34" t="str">
        <f t="shared" si="97"/>
        <v>重复</v>
      </c>
      <c r="L3041" s="34" t="str">
        <f t="shared" si="98"/>
        <v>不重复</v>
      </c>
    </row>
    <row r="3042" spans="1:12" ht="27">
      <c r="A3042" s="35" t="s">
        <v>13466</v>
      </c>
      <c r="B3042" s="35" t="s">
        <v>8258</v>
      </c>
      <c r="C3042" s="36" t="s">
        <v>8259</v>
      </c>
      <c r="D3042" s="35" t="s">
        <v>8260</v>
      </c>
      <c r="E3042" s="35" t="s">
        <v>13448</v>
      </c>
      <c r="F3042" s="35" t="s">
        <v>12483</v>
      </c>
      <c r="G3042" s="35">
        <v>355518</v>
      </c>
      <c r="H3042" s="35">
        <v>390460</v>
      </c>
      <c r="I3042" s="35">
        <v>200020</v>
      </c>
      <c r="J3042" s="34" t="s">
        <v>1473</v>
      </c>
      <c r="K3042" s="34" t="str">
        <f t="shared" si="97"/>
        <v>不重复</v>
      </c>
      <c r="L3042" s="34" t="str">
        <f t="shared" si="98"/>
        <v>不重复</v>
      </c>
    </row>
    <row r="3043" spans="1:12" ht="15">
      <c r="A3043" s="35" t="s">
        <v>13467</v>
      </c>
      <c r="B3043" s="35" t="s">
        <v>8261</v>
      </c>
      <c r="C3043" s="36" t="s">
        <v>8262</v>
      </c>
      <c r="D3043" s="35" t="s">
        <v>3324</v>
      </c>
      <c r="E3043" s="35" t="s">
        <v>13448</v>
      </c>
      <c r="F3043" s="35" t="s">
        <v>12483</v>
      </c>
      <c r="G3043" s="35">
        <v>355519</v>
      </c>
      <c r="H3043" s="35">
        <v>390460</v>
      </c>
      <c r="I3043" s="35">
        <v>200020</v>
      </c>
      <c r="J3043" s="34" t="s">
        <v>5477</v>
      </c>
      <c r="K3043" s="34" t="str">
        <f t="shared" si="97"/>
        <v>不重复</v>
      </c>
      <c r="L3043" s="34" t="str">
        <f t="shared" si="98"/>
        <v>重复</v>
      </c>
    </row>
    <row r="3044" spans="1:12" ht="15">
      <c r="A3044" s="35" t="s">
        <v>13468</v>
      </c>
      <c r="B3044" s="35" t="s">
        <v>8263</v>
      </c>
      <c r="C3044" s="36" t="s">
        <v>8233</v>
      </c>
      <c r="D3044" s="35" t="s">
        <v>405</v>
      </c>
      <c r="E3044" s="35" t="s">
        <v>13448</v>
      </c>
      <c r="F3044" s="35" t="s">
        <v>12483</v>
      </c>
      <c r="G3044" s="35">
        <v>355520</v>
      </c>
      <c r="H3044" s="35">
        <v>390460</v>
      </c>
      <c r="I3044" s="35">
        <v>200020</v>
      </c>
      <c r="J3044" s="34" t="s">
        <v>1040</v>
      </c>
      <c r="K3044" s="34" t="str">
        <f t="shared" si="97"/>
        <v>重复</v>
      </c>
      <c r="L3044" s="34" t="str">
        <f t="shared" si="98"/>
        <v>重复</v>
      </c>
    </row>
    <row r="3045" spans="1:12" ht="15">
      <c r="A3045" s="35" t="s">
        <v>13469</v>
      </c>
      <c r="B3045" s="35" t="s">
        <v>8264</v>
      </c>
      <c r="C3045" s="36" t="s">
        <v>3867</v>
      </c>
      <c r="D3045" s="35" t="s">
        <v>6900</v>
      </c>
      <c r="E3045" s="35" t="s">
        <v>13448</v>
      </c>
      <c r="F3045" s="35" t="s">
        <v>12483</v>
      </c>
      <c r="G3045" s="35">
        <v>355521</v>
      </c>
      <c r="H3045" s="35">
        <v>390460</v>
      </c>
      <c r="I3045" s="35">
        <v>200020</v>
      </c>
      <c r="J3045" s="34" t="s">
        <v>363</v>
      </c>
      <c r="K3045" s="34" t="str">
        <f t="shared" si="97"/>
        <v>重复</v>
      </c>
      <c r="L3045" s="34" t="str">
        <f t="shared" si="98"/>
        <v>重复</v>
      </c>
    </row>
    <row r="3046" spans="1:12" ht="15">
      <c r="A3046" s="35" t="s">
        <v>13470</v>
      </c>
      <c r="B3046" s="35" t="s">
        <v>8265</v>
      </c>
      <c r="C3046" s="36" t="s">
        <v>4246</v>
      </c>
      <c r="D3046" s="35" t="s">
        <v>4818</v>
      </c>
      <c r="E3046" s="35" t="s">
        <v>13470</v>
      </c>
      <c r="F3046" s="35" t="s">
        <v>12483</v>
      </c>
      <c r="G3046" s="35">
        <v>355600</v>
      </c>
      <c r="H3046" s="35">
        <v>390470</v>
      </c>
      <c r="I3046" s="35">
        <v>200020</v>
      </c>
      <c r="J3046" s="34" t="s">
        <v>16</v>
      </c>
      <c r="K3046" s="34" t="str">
        <f t="shared" si="97"/>
        <v>重复</v>
      </c>
      <c r="L3046" s="34" t="str">
        <f t="shared" si="98"/>
        <v>重复</v>
      </c>
    </row>
    <row r="3047" spans="1:12" ht="30">
      <c r="A3047" s="35" t="s">
        <v>13471</v>
      </c>
      <c r="B3047" s="35" t="s">
        <v>8266</v>
      </c>
      <c r="C3047" s="36" t="s">
        <v>2894</v>
      </c>
      <c r="D3047" s="35" t="s">
        <v>4173</v>
      </c>
      <c r="E3047" s="35" t="s">
        <v>13470</v>
      </c>
      <c r="F3047" s="35" t="s">
        <v>12483</v>
      </c>
      <c r="G3047" s="35">
        <v>355601</v>
      </c>
      <c r="H3047" s="35">
        <v>390470</v>
      </c>
      <c r="I3047" s="35">
        <v>200020</v>
      </c>
      <c r="J3047" s="34" t="s">
        <v>458</v>
      </c>
      <c r="K3047" s="34" t="str">
        <f t="shared" si="97"/>
        <v>重复</v>
      </c>
      <c r="L3047" s="34" t="str">
        <f t="shared" si="98"/>
        <v>重复</v>
      </c>
    </row>
    <row r="3048" spans="1:12" ht="15">
      <c r="A3048" s="35" t="s">
        <v>13472</v>
      </c>
      <c r="B3048" s="35" t="s">
        <v>8267</v>
      </c>
      <c r="C3048" s="36" t="s">
        <v>8268</v>
      </c>
      <c r="D3048" s="35" t="s">
        <v>266</v>
      </c>
      <c r="E3048" s="35" t="s">
        <v>13472</v>
      </c>
      <c r="F3048" s="35" t="s">
        <v>12483</v>
      </c>
      <c r="G3048" s="35">
        <v>355700</v>
      </c>
      <c r="H3048" s="35">
        <v>390480</v>
      </c>
      <c r="I3048" s="35">
        <v>200020</v>
      </c>
      <c r="J3048" s="34" t="s">
        <v>16</v>
      </c>
      <c r="K3048" s="34" t="str">
        <f t="shared" si="97"/>
        <v>重复</v>
      </c>
      <c r="L3048" s="34" t="str">
        <f t="shared" si="98"/>
        <v>重复</v>
      </c>
    </row>
    <row r="3049" spans="1:12" ht="30">
      <c r="A3049" s="35" t="s">
        <v>13473</v>
      </c>
      <c r="B3049" s="35" t="s">
        <v>8269</v>
      </c>
      <c r="C3049" s="36" t="s">
        <v>8270</v>
      </c>
      <c r="D3049" s="35" t="s">
        <v>8271</v>
      </c>
      <c r="E3049" s="35" t="s">
        <v>13472</v>
      </c>
      <c r="F3049" s="35" t="s">
        <v>12483</v>
      </c>
      <c r="G3049" s="35">
        <v>355701</v>
      </c>
      <c r="H3049" s="35">
        <v>390480</v>
      </c>
      <c r="I3049" s="35">
        <v>200020</v>
      </c>
      <c r="J3049" s="34" t="s">
        <v>681</v>
      </c>
      <c r="K3049" s="34" t="str">
        <f t="shared" si="97"/>
        <v>不重复</v>
      </c>
      <c r="L3049" s="34" t="str">
        <f t="shared" si="98"/>
        <v>不重复</v>
      </c>
    </row>
    <row r="3050" spans="1:12" ht="15">
      <c r="A3050" s="35" t="s">
        <v>13474</v>
      </c>
      <c r="B3050" s="35" t="s">
        <v>8272</v>
      </c>
      <c r="C3050" s="36" t="s">
        <v>8268</v>
      </c>
      <c r="D3050" s="35" t="s">
        <v>4003</v>
      </c>
      <c r="E3050" s="35" t="s">
        <v>13472</v>
      </c>
      <c r="F3050" s="35" t="s">
        <v>12483</v>
      </c>
      <c r="G3050" s="35">
        <v>355702</v>
      </c>
      <c r="H3050" s="35">
        <v>390480</v>
      </c>
      <c r="I3050" s="35">
        <v>200020</v>
      </c>
      <c r="J3050" s="34" t="s">
        <v>2034</v>
      </c>
      <c r="K3050" s="34" t="str">
        <f t="shared" si="97"/>
        <v>重复</v>
      </c>
      <c r="L3050" s="34" t="str">
        <f t="shared" si="98"/>
        <v>重复</v>
      </c>
    </row>
    <row r="3051" spans="1:12" ht="15">
      <c r="A3051" s="35" t="s">
        <v>13475</v>
      </c>
      <c r="B3051" s="35" t="s">
        <v>8273</v>
      </c>
      <c r="C3051" s="36" t="s">
        <v>1003</v>
      </c>
      <c r="D3051" s="35" t="s">
        <v>8274</v>
      </c>
      <c r="E3051" s="35" t="s">
        <v>13475</v>
      </c>
      <c r="F3051" s="35" t="s">
        <v>12483</v>
      </c>
      <c r="G3051" s="35">
        <v>355800</v>
      </c>
      <c r="H3051" s="35">
        <v>390490</v>
      </c>
      <c r="I3051" s="35">
        <v>200020</v>
      </c>
      <c r="J3051" s="34" t="s">
        <v>16</v>
      </c>
      <c r="K3051" s="34" t="str">
        <f t="shared" si="97"/>
        <v>重复</v>
      </c>
      <c r="L3051" s="34" t="str">
        <f t="shared" si="98"/>
        <v>不重复</v>
      </c>
    </row>
    <row r="3052" spans="1:12" ht="15">
      <c r="A3052" s="35" t="s">
        <v>13476</v>
      </c>
      <c r="B3052" s="35" t="s">
        <v>8275</v>
      </c>
      <c r="C3052" s="36" t="s">
        <v>8276</v>
      </c>
      <c r="D3052" s="35" t="s">
        <v>8277</v>
      </c>
      <c r="E3052" s="35" t="s">
        <v>13475</v>
      </c>
      <c r="F3052" s="35" t="s">
        <v>12483</v>
      </c>
      <c r="G3052" s="35">
        <v>355801</v>
      </c>
      <c r="H3052" s="35">
        <v>390490</v>
      </c>
      <c r="I3052" s="35">
        <v>200020</v>
      </c>
      <c r="J3052" s="34" t="s">
        <v>715</v>
      </c>
      <c r="K3052" s="34" t="str">
        <f t="shared" si="97"/>
        <v>不重复</v>
      </c>
      <c r="L3052" s="34" t="str">
        <f t="shared" si="98"/>
        <v>不重复</v>
      </c>
    </row>
    <row r="3053" spans="1:12" ht="15">
      <c r="A3053" s="35" t="s">
        <v>13477</v>
      </c>
      <c r="B3053" s="35" t="s">
        <v>8278</v>
      </c>
      <c r="C3053" s="36" t="s">
        <v>8279</v>
      </c>
      <c r="D3053" s="35" t="s">
        <v>8280</v>
      </c>
      <c r="E3053" s="35" t="s">
        <v>13475</v>
      </c>
      <c r="F3053" s="35" t="s">
        <v>12483</v>
      </c>
      <c r="G3053" s="35">
        <v>355802</v>
      </c>
      <c r="H3053" s="35">
        <v>390490</v>
      </c>
      <c r="I3053" s="35">
        <v>200020</v>
      </c>
      <c r="J3053" s="34" t="s">
        <v>668</v>
      </c>
      <c r="K3053" s="34" t="str">
        <f t="shared" si="97"/>
        <v>不重复</v>
      </c>
      <c r="L3053" s="34" t="str">
        <f t="shared" si="98"/>
        <v>不重复</v>
      </c>
    </row>
    <row r="3054" spans="1:12" ht="15">
      <c r="A3054" s="35" t="s">
        <v>13478</v>
      </c>
      <c r="B3054" s="35" t="s">
        <v>8281</v>
      </c>
      <c r="C3054" s="36" t="s">
        <v>6290</v>
      </c>
      <c r="D3054" s="35" t="s">
        <v>8282</v>
      </c>
      <c r="E3054" s="35" t="s">
        <v>13475</v>
      </c>
      <c r="F3054" s="35" t="s">
        <v>12483</v>
      </c>
      <c r="G3054" s="35">
        <v>355803</v>
      </c>
      <c r="H3054" s="35">
        <v>390490</v>
      </c>
      <c r="I3054" s="35">
        <v>200020</v>
      </c>
      <c r="J3054" s="34" t="s">
        <v>1103</v>
      </c>
      <c r="K3054" s="34" t="str">
        <f t="shared" si="97"/>
        <v>重复</v>
      </c>
      <c r="L3054" s="34" t="str">
        <f t="shared" si="98"/>
        <v>不重复</v>
      </c>
    </row>
    <row r="3055" spans="1:12" ht="15">
      <c r="A3055" s="35" t="s">
        <v>13479</v>
      </c>
      <c r="B3055" s="35" t="s">
        <v>8283</v>
      </c>
      <c r="C3055" s="36" t="s">
        <v>8284</v>
      </c>
      <c r="D3055" s="35" t="s">
        <v>8285</v>
      </c>
      <c r="E3055" s="35" t="s">
        <v>13475</v>
      </c>
      <c r="F3055" s="35" t="s">
        <v>12483</v>
      </c>
      <c r="G3055" s="35">
        <v>355804</v>
      </c>
      <c r="H3055" s="35">
        <v>390490</v>
      </c>
      <c r="I3055" s="35">
        <v>200020</v>
      </c>
      <c r="J3055" s="34" t="s">
        <v>6994</v>
      </c>
      <c r="K3055" s="34" t="str">
        <f t="shared" si="97"/>
        <v>重复</v>
      </c>
      <c r="L3055" s="34" t="str">
        <f t="shared" si="98"/>
        <v>不重复</v>
      </c>
    </row>
    <row r="3056" spans="1:12" ht="15">
      <c r="A3056" s="35" t="s">
        <v>13480</v>
      </c>
      <c r="B3056" s="35" t="s">
        <v>8286</v>
      </c>
      <c r="C3056" s="36" t="s">
        <v>8287</v>
      </c>
      <c r="D3056" s="35" t="s">
        <v>8288</v>
      </c>
      <c r="E3056" s="35" t="s">
        <v>13475</v>
      </c>
      <c r="F3056" s="35" t="s">
        <v>12483</v>
      </c>
      <c r="G3056" s="35">
        <v>355805</v>
      </c>
      <c r="H3056" s="35">
        <v>390490</v>
      </c>
      <c r="I3056" s="35">
        <v>200020</v>
      </c>
      <c r="J3056" s="34" t="s">
        <v>288</v>
      </c>
      <c r="K3056" s="34" t="str">
        <f t="shared" si="97"/>
        <v>不重复</v>
      </c>
      <c r="L3056" s="34" t="str">
        <f t="shared" si="98"/>
        <v>不重复</v>
      </c>
    </row>
    <row r="3057" spans="1:12" ht="15">
      <c r="A3057" s="35" t="s">
        <v>13481</v>
      </c>
      <c r="B3057" s="35" t="s">
        <v>8289</v>
      </c>
      <c r="C3057" s="36" t="s">
        <v>8290</v>
      </c>
      <c r="D3057" s="35" t="s">
        <v>8291</v>
      </c>
      <c r="E3057" s="35" t="s">
        <v>13475</v>
      </c>
      <c r="F3057" s="35" t="s">
        <v>12483</v>
      </c>
      <c r="G3057" s="35">
        <v>355806</v>
      </c>
      <c r="H3057" s="35">
        <v>390490</v>
      </c>
      <c r="I3057" s="35">
        <v>200020</v>
      </c>
      <c r="J3057" s="34" t="s">
        <v>692</v>
      </c>
      <c r="K3057" s="34" t="str">
        <f t="shared" si="97"/>
        <v>不重复</v>
      </c>
      <c r="L3057" s="34" t="str">
        <f t="shared" si="98"/>
        <v>不重复</v>
      </c>
    </row>
    <row r="3058" spans="1:12" ht="15">
      <c r="A3058" s="35" t="s">
        <v>13482</v>
      </c>
      <c r="B3058" s="35" t="s">
        <v>8292</v>
      </c>
      <c r="C3058" s="36" t="s">
        <v>8293</v>
      </c>
      <c r="D3058" s="35" t="s">
        <v>863</v>
      </c>
      <c r="E3058" s="35" t="s">
        <v>13482</v>
      </c>
      <c r="F3058" s="35" t="s">
        <v>12483</v>
      </c>
      <c r="G3058" s="35">
        <v>355900</v>
      </c>
      <c r="H3058" s="35">
        <v>390500</v>
      </c>
      <c r="I3058" s="35">
        <v>200020</v>
      </c>
      <c r="J3058" s="34" t="s">
        <v>16</v>
      </c>
      <c r="K3058" s="34" t="str">
        <f t="shared" si="97"/>
        <v>不重复</v>
      </c>
      <c r="L3058" s="34" t="str">
        <f t="shared" si="98"/>
        <v>重复</v>
      </c>
    </row>
    <row r="3059" spans="1:12" ht="30">
      <c r="A3059" s="35" t="s">
        <v>13483</v>
      </c>
      <c r="B3059" s="35" t="s">
        <v>8294</v>
      </c>
      <c r="C3059" s="36" t="s">
        <v>8295</v>
      </c>
      <c r="D3059" s="35" t="s">
        <v>8296</v>
      </c>
      <c r="E3059" s="35" t="s">
        <v>13482</v>
      </c>
      <c r="F3059" s="35" t="s">
        <v>12483</v>
      </c>
      <c r="G3059" s="35">
        <v>355901</v>
      </c>
      <c r="H3059" s="35">
        <v>390500</v>
      </c>
      <c r="I3059" s="35">
        <v>200020</v>
      </c>
      <c r="J3059" s="34" t="s">
        <v>8297</v>
      </c>
      <c r="K3059" s="34" t="str">
        <f t="shared" si="97"/>
        <v>不重复</v>
      </c>
      <c r="L3059" s="34" t="str">
        <f t="shared" si="98"/>
        <v>不重复</v>
      </c>
    </row>
    <row r="3060" spans="1:12" ht="15">
      <c r="A3060" s="35" t="s">
        <v>13484</v>
      </c>
      <c r="B3060" s="35" t="s">
        <v>8298</v>
      </c>
      <c r="C3060" s="36" t="s">
        <v>8299</v>
      </c>
      <c r="D3060" s="35" t="s">
        <v>8300</v>
      </c>
      <c r="E3060" s="35" t="s">
        <v>13482</v>
      </c>
      <c r="F3060" s="35" t="s">
        <v>12483</v>
      </c>
      <c r="G3060" s="35">
        <v>355902</v>
      </c>
      <c r="H3060" s="35">
        <v>390500</v>
      </c>
      <c r="I3060" s="35">
        <v>200020</v>
      </c>
      <c r="J3060" s="34" t="s">
        <v>152</v>
      </c>
      <c r="K3060" s="34" t="str">
        <f t="shared" si="97"/>
        <v>不重复</v>
      </c>
      <c r="L3060" s="34" t="str">
        <f t="shared" si="98"/>
        <v>不重复</v>
      </c>
    </row>
    <row r="3061" spans="1:12" ht="15">
      <c r="A3061" s="35" t="s">
        <v>13485</v>
      </c>
      <c r="B3061" s="35" t="s">
        <v>8301</v>
      </c>
      <c r="C3061" s="36" t="s">
        <v>8302</v>
      </c>
      <c r="D3061" s="35" t="s">
        <v>8303</v>
      </c>
      <c r="E3061" s="35" t="s">
        <v>13482</v>
      </c>
      <c r="F3061" s="35" t="s">
        <v>12483</v>
      </c>
      <c r="G3061" s="35">
        <v>355903</v>
      </c>
      <c r="H3061" s="35">
        <v>390500</v>
      </c>
      <c r="I3061" s="35">
        <v>200020</v>
      </c>
      <c r="J3061" s="34" t="s">
        <v>8304</v>
      </c>
      <c r="K3061" s="34" t="str">
        <f t="shared" si="97"/>
        <v>不重复</v>
      </c>
      <c r="L3061" s="34" t="str">
        <f t="shared" si="98"/>
        <v>不重复</v>
      </c>
    </row>
    <row r="3062" spans="1:12" ht="15">
      <c r="A3062" s="35" t="s">
        <v>13486</v>
      </c>
      <c r="B3062" s="35" t="s">
        <v>8305</v>
      </c>
      <c r="C3062" s="36" t="s">
        <v>8306</v>
      </c>
      <c r="D3062" s="35" t="s">
        <v>266</v>
      </c>
      <c r="E3062" s="35" t="s">
        <v>13486</v>
      </c>
      <c r="F3062" s="35" t="s">
        <v>12483</v>
      </c>
      <c r="G3062" s="35">
        <v>356000</v>
      </c>
      <c r="H3062" s="35">
        <v>390510</v>
      </c>
      <c r="I3062" s="35">
        <v>200020</v>
      </c>
      <c r="J3062" s="34" t="s">
        <v>16</v>
      </c>
      <c r="K3062" s="34" t="str">
        <f t="shared" si="97"/>
        <v>重复</v>
      </c>
      <c r="L3062" s="34" t="str">
        <f t="shared" si="98"/>
        <v>重复</v>
      </c>
    </row>
    <row r="3063" spans="1:12" ht="30">
      <c r="A3063" s="35" t="s">
        <v>13487</v>
      </c>
      <c r="B3063" s="35" t="s">
        <v>8307</v>
      </c>
      <c r="C3063" s="36" t="s">
        <v>3234</v>
      </c>
      <c r="D3063" s="35" t="s">
        <v>8308</v>
      </c>
      <c r="E3063" s="35" t="s">
        <v>13486</v>
      </c>
      <c r="F3063" s="35" t="s">
        <v>12483</v>
      </c>
      <c r="G3063" s="35">
        <v>356001</v>
      </c>
      <c r="H3063" s="35">
        <v>390510</v>
      </c>
      <c r="I3063" s="35">
        <v>200020</v>
      </c>
      <c r="J3063" s="34" t="s">
        <v>8309</v>
      </c>
      <c r="K3063" s="34" t="str">
        <f t="shared" si="97"/>
        <v>重复</v>
      </c>
      <c r="L3063" s="34" t="str">
        <f t="shared" si="98"/>
        <v>不重复</v>
      </c>
    </row>
    <row r="3064" spans="1:12" ht="15">
      <c r="A3064" s="35" t="s">
        <v>13488</v>
      </c>
      <c r="B3064" s="35" t="s">
        <v>8310</v>
      </c>
      <c r="C3064" s="36" t="s">
        <v>8311</v>
      </c>
      <c r="D3064" s="35" t="s">
        <v>8312</v>
      </c>
      <c r="E3064" s="35" t="s">
        <v>13486</v>
      </c>
      <c r="F3064" s="35" t="s">
        <v>12483</v>
      </c>
      <c r="G3064" s="35">
        <v>356002</v>
      </c>
      <c r="H3064" s="35">
        <v>390510</v>
      </c>
      <c r="I3064" s="35">
        <v>200020</v>
      </c>
      <c r="J3064" s="34" t="s">
        <v>311</v>
      </c>
      <c r="K3064" s="34" t="str">
        <f t="shared" si="97"/>
        <v>不重复</v>
      </c>
      <c r="L3064" s="34" t="str">
        <f t="shared" si="98"/>
        <v>不重复</v>
      </c>
    </row>
    <row r="3065" spans="1:12" ht="27">
      <c r="A3065" s="35" t="s">
        <v>13489</v>
      </c>
      <c r="B3065" s="35" t="s">
        <v>8313</v>
      </c>
      <c r="C3065" s="36" t="s">
        <v>8314</v>
      </c>
      <c r="D3065" s="35" t="s">
        <v>8315</v>
      </c>
      <c r="E3065" s="35" t="s">
        <v>13486</v>
      </c>
      <c r="F3065" s="35" t="s">
        <v>12483</v>
      </c>
      <c r="G3065" s="35">
        <v>356003</v>
      </c>
      <c r="H3065" s="35">
        <v>390510</v>
      </c>
      <c r="I3065" s="35">
        <v>200020</v>
      </c>
      <c r="J3065" s="34" t="s">
        <v>8316</v>
      </c>
      <c r="K3065" s="34" t="str">
        <f t="shared" si="97"/>
        <v>不重复</v>
      </c>
      <c r="L3065" s="34" t="str">
        <f t="shared" si="98"/>
        <v>不重复</v>
      </c>
    </row>
    <row r="3066" spans="1:12" ht="27">
      <c r="A3066" s="35" t="s">
        <v>13490</v>
      </c>
      <c r="B3066" s="35" t="s">
        <v>8317</v>
      </c>
      <c r="C3066" s="36" t="s">
        <v>4503</v>
      </c>
      <c r="D3066" s="35" t="s">
        <v>8318</v>
      </c>
      <c r="E3066" s="35" t="s">
        <v>13486</v>
      </c>
      <c r="F3066" s="35" t="s">
        <v>12483</v>
      </c>
      <c r="G3066" s="35">
        <v>356004</v>
      </c>
      <c r="H3066" s="35">
        <v>390510</v>
      </c>
      <c r="I3066" s="35">
        <v>200020</v>
      </c>
      <c r="J3066" s="34" t="s">
        <v>8319</v>
      </c>
      <c r="K3066" s="34" t="str">
        <f t="shared" si="97"/>
        <v>重复</v>
      </c>
      <c r="L3066" s="34" t="str">
        <f t="shared" si="98"/>
        <v>不重复</v>
      </c>
    </row>
    <row r="3067" spans="1:12" ht="15">
      <c r="A3067" s="35" t="s">
        <v>13491</v>
      </c>
      <c r="B3067" s="35" t="s">
        <v>8320</v>
      </c>
      <c r="C3067" s="36" t="s">
        <v>8306</v>
      </c>
      <c r="D3067" s="35" t="s">
        <v>8321</v>
      </c>
      <c r="E3067" s="35" t="s">
        <v>13486</v>
      </c>
      <c r="F3067" s="35" t="s">
        <v>12483</v>
      </c>
      <c r="G3067" s="35">
        <v>356005</v>
      </c>
      <c r="H3067" s="35">
        <v>390510</v>
      </c>
      <c r="I3067" s="35">
        <v>200020</v>
      </c>
      <c r="J3067" s="34" t="s">
        <v>508</v>
      </c>
      <c r="K3067" s="34" t="str">
        <f t="shared" si="97"/>
        <v>重复</v>
      </c>
      <c r="L3067" s="34" t="str">
        <f t="shared" si="98"/>
        <v>不重复</v>
      </c>
    </row>
    <row r="3068" spans="1:12" ht="27">
      <c r="A3068" s="35" t="s">
        <v>13492</v>
      </c>
      <c r="B3068" s="35" t="s">
        <v>8322</v>
      </c>
      <c r="C3068" s="36" t="s">
        <v>939</v>
      </c>
      <c r="D3068" s="35" t="s">
        <v>3941</v>
      </c>
      <c r="E3068" s="35" t="s">
        <v>13486</v>
      </c>
      <c r="F3068" s="35" t="s">
        <v>12483</v>
      </c>
      <c r="G3068" s="35">
        <v>356006</v>
      </c>
      <c r="H3068" s="35">
        <v>390510</v>
      </c>
      <c r="I3068" s="35">
        <v>200020</v>
      </c>
      <c r="J3068" s="34" t="s">
        <v>183</v>
      </c>
      <c r="K3068" s="34" t="str">
        <f t="shared" si="97"/>
        <v>重复</v>
      </c>
      <c r="L3068" s="34" t="str">
        <f t="shared" si="98"/>
        <v>重复</v>
      </c>
    </row>
    <row r="3069" spans="1:12" ht="15">
      <c r="A3069" s="35" t="s">
        <v>13493</v>
      </c>
      <c r="B3069" s="35" t="s">
        <v>8323</v>
      </c>
      <c r="C3069" s="36" t="s">
        <v>5372</v>
      </c>
      <c r="D3069" s="35" t="s">
        <v>8324</v>
      </c>
      <c r="E3069" s="35" t="s">
        <v>13493</v>
      </c>
      <c r="F3069" s="35" t="s">
        <v>12483</v>
      </c>
      <c r="G3069" s="35">
        <v>356100</v>
      </c>
      <c r="H3069" s="35">
        <v>390520</v>
      </c>
      <c r="I3069" s="35">
        <v>200020</v>
      </c>
      <c r="J3069" s="34" t="s">
        <v>16</v>
      </c>
      <c r="K3069" s="34" t="str">
        <f t="shared" si="97"/>
        <v>重复</v>
      </c>
      <c r="L3069" s="34" t="str">
        <f t="shared" si="98"/>
        <v>不重复</v>
      </c>
    </row>
    <row r="3070" spans="1:12" ht="15">
      <c r="A3070" s="35" t="s">
        <v>13494</v>
      </c>
      <c r="B3070" s="35" t="s">
        <v>8325</v>
      </c>
      <c r="C3070" s="36" t="s">
        <v>8326</v>
      </c>
      <c r="D3070" s="35" t="s">
        <v>8327</v>
      </c>
      <c r="E3070" s="35" t="s">
        <v>13493</v>
      </c>
      <c r="F3070" s="35" t="s">
        <v>12483</v>
      </c>
      <c r="G3070" s="35">
        <v>356101</v>
      </c>
      <c r="H3070" s="35">
        <v>390520</v>
      </c>
      <c r="I3070" s="35">
        <v>200020</v>
      </c>
      <c r="J3070" s="34" t="s">
        <v>1040</v>
      </c>
      <c r="K3070" s="34" t="str">
        <f t="shared" si="97"/>
        <v>不重复</v>
      </c>
      <c r="L3070" s="34" t="str">
        <f t="shared" si="98"/>
        <v>不重复</v>
      </c>
    </row>
    <row r="3071" spans="1:12" ht="27">
      <c r="A3071" s="35" t="s">
        <v>13495</v>
      </c>
      <c r="B3071" s="35" t="s">
        <v>8328</v>
      </c>
      <c r="C3071" s="36" t="s">
        <v>791</v>
      </c>
      <c r="D3071" s="35" t="s">
        <v>8329</v>
      </c>
      <c r="E3071" s="35" t="s">
        <v>13493</v>
      </c>
      <c r="F3071" s="35" t="s">
        <v>12483</v>
      </c>
      <c r="G3071" s="35">
        <v>356102</v>
      </c>
      <c r="H3071" s="35">
        <v>390520</v>
      </c>
      <c r="I3071" s="35">
        <v>200020</v>
      </c>
      <c r="J3071" s="34" t="s">
        <v>8330</v>
      </c>
      <c r="K3071" s="34" t="str">
        <f t="shared" si="97"/>
        <v>重复</v>
      </c>
      <c r="L3071" s="34" t="str">
        <f t="shared" si="98"/>
        <v>不重复</v>
      </c>
    </row>
    <row r="3072" spans="1:12" ht="27">
      <c r="A3072" s="35" t="s">
        <v>13496</v>
      </c>
      <c r="B3072" s="35" t="s">
        <v>8331</v>
      </c>
      <c r="C3072" s="36" t="s">
        <v>2295</v>
      </c>
      <c r="D3072" s="35" t="s">
        <v>8332</v>
      </c>
      <c r="E3072" s="35" t="s">
        <v>13493</v>
      </c>
      <c r="F3072" s="35" t="s">
        <v>12483</v>
      </c>
      <c r="G3072" s="35">
        <v>356103</v>
      </c>
      <c r="H3072" s="35">
        <v>390520</v>
      </c>
      <c r="I3072" s="35">
        <v>200020</v>
      </c>
      <c r="J3072" s="34" t="s">
        <v>2796</v>
      </c>
      <c r="K3072" s="34" t="str">
        <f t="shared" si="97"/>
        <v>重复</v>
      </c>
      <c r="L3072" s="34" t="str">
        <f t="shared" si="98"/>
        <v>不重复</v>
      </c>
    </row>
    <row r="3073" spans="1:12" ht="27">
      <c r="A3073" s="35" t="s">
        <v>13497</v>
      </c>
      <c r="B3073" s="35" t="s">
        <v>8333</v>
      </c>
      <c r="C3073" s="36" t="s">
        <v>8334</v>
      </c>
      <c r="D3073" s="35" t="s">
        <v>8335</v>
      </c>
      <c r="E3073" s="35" t="s">
        <v>13493</v>
      </c>
      <c r="F3073" s="35" t="s">
        <v>12483</v>
      </c>
      <c r="G3073" s="35">
        <v>356104</v>
      </c>
      <c r="H3073" s="35">
        <v>390520</v>
      </c>
      <c r="I3073" s="35">
        <v>200020</v>
      </c>
      <c r="J3073" s="34" t="s">
        <v>363</v>
      </c>
      <c r="K3073" s="34" t="str">
        <f t="shared" si="97"/>
        <v>不重复</v>
      </c>
      <c r="L3073" s="34" t="str">
        <f t="shared" si="98"/>
        <v>不重复</v>
      </c>
    </row>
    <row r="3074" spans="1:12" ht="27">
      <c r="A3074" s="35" t="s">
        <v>13498</v>
      </c>
      <c r="B3074" s="35" t="s">
        <v>8336</v>
      </c>
      <c r="C3074" s="36" t="s">
        <v>6922</v>
      </c>
      <c r="D3074" s="35" t="s">
        <v>8337</v>
      </c>
      <c r="E3074" s="35" t="s">
        <v>13493</v>
      </c>
      <c r="F3074" s="35" t="s">
        <v>12483</v>
      </c>
      <c r="G3074" s="35">
        <v>356105</v>
      </c>
      <c r="H3074" s="35">
        <v>390520</v>
      </c>
      <c r="I3074" s="35">
        <v>200020</v>
      </c>
      <c r="J3074" s="34" t="s">
        <v>932</v>
      </c>
      <c r="K3074" s="34" t="str">
        <f t="shared" si="97"/>
        <v>重复</v>
      </c>
      <c r="L3074" s="34" t="str">
        <f t="shared" si="98"/>
        <v>不重复</v>
      </c>
    </row>
    <row r="3075" spans="1:12" ht="27">
      <c r="A3075" s="35" t="s">
        <v>13499</v>
      </c>
      <c r="B3075" s="35" t="s">
        <v>8338</v>
      </c>
      <c r="C3075" s="36" t="s">
        <v>8339</v>
      </c>
      <c r="D3075" s="35" t="s">
        <v>8340</v>
      </c>
      <c r="E3075" s="35" t="s">
        <v>13493</v>
      </c>
      <c r="F3075" s="35" t="s">
        <v>12483</v>
      </c>
      <c r="G3075" s="35">
        <v>356106</v>
      </c>
      <c r="H3075" s="35">
        <v>390520</v>
      </c>
      <c r="I3075" s="35">
        <v>200020</v>
      </c>
      <c r="J3075" s="34" t="s">
        <v>1886</v>
      </c>
      <c r="K3075" s="34" t="str">
        <f t="shared" si="97"/>
        <v>不重复</v>
      </c>
      <c r="L3075" s="34" t="str">
        <f t="shared" si="98"/>
        <v>不重复</v>
      </c>
    </row>
    <row r="3076" spans="1:12" ht="15">
      <c r="A3076" s="35" t="s">
        <v>13500</v>
      </c>
      <c r="B3076" s="35" t="s">
        <v>8341</v>
      </c>
      <c r="C3076" s="36" t="s">
        <v>8342</v>
      </c>
      <c r="D3076" s="35" t="s">
        <v>8343</v>
      </c>
      <c r="E3076" s="35" t="s">
        <v>13493</v>
      </c>
      <c r="F3076" s="35" t="s">
        <v>12483</v>
      </c>
      <c r="G3076" s="35">
        <v>356107</v>
      </c>
      <c r="H3076" s="35">
        <v>390520</v>
      </c>
      <c r="I3076" s="35">
        <v>200020</v>
      </c>
      <c r="J3076" s="34" t="s">
        <v>302</v>
      </c>
      <c r="K3076" s="34" t="str">
        <f t="shared" si="97"/>
        <v>重复</v>
      </c>
      <c r="L3076" s="34" t="str">
        <f t="shared" si="98"/>
        <v>不重复</v>
      </c>
    </row>
    <row r="3077" spans="1:12" ht="15">
      <c r="A3077" s="35" t="s">
        <v>13501</v>
      </c>
      <c r="B3077" s="35" t="s">
        <v>8344</v>
      </c>
      <c r="C3077" s="36" t="s">
        <v>5420</v>
      </c>
      <c r="D3077" s="35" t="s">
        <v>8345</v>
      </c>
      <c r="E3077" s="35" t="s">
        <v>13493</v>
      </c>
      <c r="F3077" s="35" t="s">
        <v>12483</v>
      </c>
      <c r="G3077" s="35">
        <v>356108</v>
      </c>
      <c r="H3077" s="35">
        <v>390520</v>
      </c>
      <c r="I3077" s="35">
        <v>200020</v>
      </c>
      <c r="J3077" s="34" t="s">
        <v>508</v>
      </c>
      <c r="K3077" s="34" t="str">
        <f t="shared" si="97"/>
        <v>重复</v>
      </c>
      <c r="L3077" s="34" t="str">
        <f t="shared" si="98"/>
        <v>不重复</v>
      </c>
    </row>
    <row r="3078" spans="1:12" ht="27">
      <c r="A3078" s="35" t="s">
        <v>13502</v>
      </c>
      <c r="B3078" s="35" t="s">
        <v>8346</v>
      </c>
      <c r="C3078" s="36" t="s">
        <v>758</v>
      </c>
      <c r="D3078" s="35" t="s">
        <v>8347</v>
      </c>
      <c r="E3078" s="35" t="s">
        <v>13493</v>
      </c>
      <c r="F3078" s="35" t="s">
        <v>12483</v>
      </c>
      <c r="G3078" s="35">
        <v>356109</v>
      </c>
      <c r="H3078" s="35">
        <v>390520</v>
      </c>
      <c r="I3078" s="35">
        <v>200020</v>
      </c>
      <c r="J3078" s="34" t="s">
        <v>317</v>
      </c>
      <c r="K3078" s="34" t="str">
        <f t="shared" si="97"/>
        <v>重复</v>
      </c>
      <c r="L3078" s="34" t="str">
        <f t="shared" si="98"/>
        <v>不重复</v>
      </c>
    </row>
    <row r="3079" spans="1:12" ht="30">
      <c r="A3079" s="35" t="s">
        <v>13503</v>
      </c>
      <c r="B3079" s="35" t="s">
        <v>8348</v>
      </c>
      <c r="C3079" s="36" t="s">
        <v>3401</v>
      </c>
      <c r="D3079" s="35" t="s">
        <v>8349</v>
      </c>
      <c r="E3079" s="35" t="s">
        <v>13493</v>
      </c>
      <c r="F3079" s="35" t="s">
        <v>12483</v>
      </c>
      <c r="G3079" s="35">
        <v>356110</v>
      </c>
      <c r="H3079" s="35">
        <v>390520</v>
      </c>
      <c r="I3079" s="35">
        <v>200020</v>
      </c>
      <c r="J3079" s="34" t="s">
        <v>8350</v>
      </c>
      <c r="K3079" s="34" t="str">
        <f t="shared" si="97"/>
        <v>重复</v>
      </c>
      <c r="L3079" s="34" t="str">
        <f t="shared" si="98"/>
        <v>不重复</v>
      </c>
    </row>
    <row r="3080" spans="1:12" ht="27">
      <c r="A3080" s="35" t="s">
        <v>13504</v>
      </c>
      <c r="B3080" s="35" t="s">
        <v>8351</v>
      </c>
      <c r="C3080" s="36" t="s">
        <v>8352</v>
      </c>
      <c r="D3080" s="35" t="s">
        <v>8353</v>
      </c>
      <c r="E3080" s="35" t="s">
        <v>13493</v>
      </c>
      <c r="F3080" s="35" t="s">
        <v>12483</v>
      </c>
      <c r="G3080" s="35">
        <v>356111</v>
      </c>
      <c r="H3080" s="35">
        <v>390520</v>
      </c>
      <c r="I3080" s="35">
        <v>200020</v>
      </c>
      <c r="J3080" s="34" t="s">
        <v>8354</v>
      </c>
      <c r="K3080" s="34" t="str">
        <f t="shared" si="97"/>
        <v>不重复</v>
      </c>
      <c r="L3080" s="34" t="str">
        <f t="shared" si="98"/>
        <v>不重复</v>
      </c>
    </row>
    <row r="3081" spans="1:12" ht="15">
      <c r="A3081" s="35" t="s">
        <v>13505</v>
      </c>
      <c r="B3081" s="35" t="s">
        <v>8355</v>
      </c>
      <c r="C3081" s="36" t="s">
        <v>2866</v>
      </c>
      <c r="D3081" s="35" t="s">
        <v>8356</v>
      </c>
      <c r="E3081" s="35" t="s">
        <v>13493</v>
      </c>
      <c r="F3081" s="35" t="s">
        <v>12483</v>
      </c>
      <c r="G3081" s="35">
        <v>356112</v>
      </c>
      <c r="H3081" s="35">
        <v>390520</v>
      </c>
      <c r="I3081" s="35">
        <v>200020</v>
      </c>
      <c r="J3081" s="34" t="s">
        <v>270</v>
      </c>
      <c r="K3081" s="34" t="str">
        <f t="shared" si="97"/>
        <v>重复</v>
      </c>
      <c r="L3081" s="34" t="str">
        <f t="shared" si="98"/>
        <v>不重复</v>
      </c>
    </row>
    <row r="3082" spans="1:12" ht="27">
      <c r="A3082" s="35" t="s">
        <v>13506</v>
      </c>
      <c r="B3082" s="35" t="s">
        <v>8357</v>
      </c>
      <c r="C3082" s="36" t="s">
        <v>7150</v>
      </c>
      <c r="D3082" s="35" t="s">
        <v>8358</v>
      </c>
      <c r="E3082" s="35" t="s">
        <v>13493</v>
      </c>
      <c r="F3082" s="35" t="s">
        <v>12483</v>
      </c>
      <c r="G3082" s="35">
        <v>356113</v>
      </c>
      <c r="H3082" s="35">
        <v>390520</v>
      </c>
      <c r="I3082" s="35">
        <v>200020</v>
      </c>
      <c r="J3082" s="34" t="s">
        <v>363</v>
      </c>
      <c r="K3082" s="34" t="str">
        <f t="shared" si="97"/>
        <v>重复</v>
      </c>
      <c r="L3082" s="34" t="str">
        <f t="shared" si="98"/>
        <v>不重复</v>
      </c>
    </row>
    <row r="3083" spans="1:12" ht="15">
      <c r="A3083" s="35" t="s">
        <v>13507</v>
      </c>
      <c r="B3083" s="35" t="s">
        <v>8359</v>
      </c>
      <c r="C3083" s="36" t="s">
        <v>8360</v>
      </c>
      <c r="D3083" s="35" t="s">
        <v>8361</v>
      </c>
      <c r="E3083" s="35" t="s">
        <v>13493</v>
      </c>
      <c r="F3083" s="35" t="s">
        <v>12483</v>
      </c>
      <c r="G3083" s="35">
        <v>356114</v>
      </c>
      <c r="H3083" s="35">
        <v>390520</v>
      </c>
      <c r="I3083" s="35">
        <v>200020</v>
      </c>
      <c r="J3083" s="34" t="s">
        <v>8362</v>
      </c>
      <c r="K3083" s="34" t="str">
        <f t="shared" si="97"/>
        <v>不重复</v>
      </c>
      <c r="L3083" s="34" t="str">
        <f t="shared" si="98"/>
        <v>不重复</v>
      </c>
    </row>
    <row r="3084" spans="1:12" ht="15">
      <c r="A3084" s="35" t="s">
        <v>13508</v>
      </c>
      <c r="B3084" s="35" t="s">
        <v>8363</v>
      </c>
      <c r="C3084" s="36" t="s">
        <v>8364</v>
      </c>
      <c r="D3084" s="35" t="s">
        <v>8365</v>
      </c>
      <c r="E3084" s="35" t="s">
        <v>13493</v>
      </c>
      <c r="F3084" s="35" t="s">
        <v>12483</v>
      </c>
      <c r="G3084" s="35">
        <v>356115</v>
      </c>
      <c r="H3084" s="35">
        <v>390520</v>
      </c>
      <c r="I3084" s="35">
        <v>200020</v>
      </c>
      <c r="J3084" s="34" t="s">
        <v>932</v>
      </c>
      <c r="K3084" s="34" t="str">
        <f t="shared" si="99" ref="K3084:K3147">IF(COUNTIF(C:C,C3084)&gt;=2,"重复","不重复")</f>
        <v>不重复</v>
      </c>
      <c r="L3084" s="34" t="str">
        <f t="shared" si="100" ref="L3084:L3147">IF(COUNTIF(D:D,D3084)&gt;=2,"重复","不重复")</f>
        <v>不重复</v>
      </c>
    </row>
    <row r="3085" spans="1:12" ht="15">
      <c r="A3085" s="35" t="s">
        <v>13509</v>
      </c>
      <c r="B3085" s="35" t="s">
        <v>8366</v>
      </c>
      <c r="C3085" s="36" t="s">
        <v>1874</v>
      </c>
      <c r="D3085" s="35" t="s">
        <v>8367</v>
      </c>
      <c r="E3085" s="35" t="s">
        <v>13493</v>
      </c>
      <c r="F3085" s="35" t="s">
        <v>12483</v>
      </c>
      <c r="G3085" s="35">
        <v>356116</v>
      </c>
      <c r="H3085" s="35">
        <v>390520</v>
      </c>
      <c r="I3085" s="35">
        <v>200020</v>
      </c>
      <c r="J3085" s="34" t="s">
        <v>317</v>
      </c>
      <c r="K3085" s="34" t="str">
        <f t="shared" si="99"/>
        <v>重复</v>
      </c>
      <c r="L3085" s="34" t="str">
        <f t="shared" si="100"/>
        <v>不重复</v>
      </c>
    </row>
    <row r="3086" spans="1:12" ht="15">
      <c r="A3086" s="35" t="s">
        <v>13510</v>
      </c>
      <c r="B3086" s="35" t="s">
        <v>8368</v>
      </c>
      <c r="C3086" s="36" t="s">
        <v>8369</v>
      </c>
      <c r="D3086" s="35" t="s">
        <v>8076</v>
      </c>
      <c r="E3086" s="35" t="s">
        <v>13493</v>
      </c>
      <c r="F3086" s="35" t="s">
        <v>12483</v>
      </c>
      <c r="G3086" s="35">
        <v>356117</v>
      </c>
      <c r="H3086" s="35">
        <v>390520</v>
      </c>
      <c r="I3086" s="35">
        <v>200020</v>
      </c>
      <c r="J3086" s="34" t="s">
        <v>243</v>
      </c>
      <c r="K3086" s="34" t="str">
        <f t="shared" si="99"/>
        <v>不重复</v>
      </c>
      <c r="L3086" s="34" t="str">
        <f t="shared" si="100"/>
        <v>重复</v>
      </c>
    </row>
    <row r="3087" spans="1:12" ht="27">
      <c r="A3087" s="35" t="s">
        <v>13511</v>
      </c>
      <c r="B3087" s="35" t="s">
        <v>8370</v>
      </c>
      <c r="C3087" s="36" t="s">
        <v>3088</v>
      </c>
      <c r="D3087" s="35" t="s">
        <v>8371</v>
      </c>
      <c r="E3087" s="35" t="s">
        <v>13493</v>
      </c>
      <c r="F3087" s="35" t="s">
        <v>12483</v>
      </c>
      <c r="G3087" s="35">
        <v>356118</v>
      </c>
      <c r="H3087" s="35">
        <v>390520</v>
      </c>
      <c r="I3087" s="35">
        <v>200020</v>
      </c>
      <c r="J3087" s="34" t="s">
        <v>390</v>
      </c>
      <c r="K3087" s="34" t="str">
        <f t="shared" si="99"/>
        <v>重复</v>
      </c>
      <c r="L3087" s="34" t="str">
        <f t="shared" si="100"/>
        <v>不重复</v>
      </c>
    </row>
    <row r="3088" spans="1:12" ht="15">
      <c r="A3088" s="35" t="s">
        <v>13512</v>
      </c>
      <c r="B3088" s="35" t="s">
        <v>8372</v>
      </c>
      <c r="C3088" s="36" t="s">
        <v>8373</v>
      </c>
      <c r="D3088" s="35" t="s">
        <v>8374</v>
      </c>
      <c r="E3088" s="35" t="s">
        <v>13493</v>
      </c>
      <c r="F3088" s="35" t="s">
        <v>12483</v>
      </c>
      <c r="G3088" s="35">
        <v>356119</v>
      </c>
      <c r="H3088" s="35">
        <v>390520</v>
      </c>
      <c r="I3088" s="35">
        <v>200020</v>
      </c>
      <c r="J3088" s="34" t="s">
        <v>932</v>
      </c>
      <c r="K3088" s="34" t="str">
        <f t="shared" si="99"/>
        <v>不重复</v>
      </c>
      <c r="L3088" s="34" t="str">
        <f t="shared" si="100"/>
        <v>不重复</v>
      </c>
    </row>
    <row r="3089" spans="1:12" ht="27">
      <c r="A3089" s="35" t="s">
        <v>13513</v>
      </c>
      <c r="B3089" s="35" t="s">
        <v>8375</v>
      </c>
      <c r="C3089" s="36" t="s">
        <v>706</v>
      </c>
      <c r="D3089" s="35" t="s">
        <v>8376</v>
      </c>
      <c r="E3089" s="35" t="s">
        <v>13493</v>
      </c>
      <c r="F3089" s="35" t="s">
        <v>12483</v>
      </c>
      <c r="G3089" s="35">
        <v>356120</v>
      </c>
      <c r="H3089" s="35">
        <v>390520</v>
      </c>
      <c r="I3089" s="35">
        <v>200020</v>
      </c>
      <c r="J3089" s="34" t="s">
        <v>8377</v>
      </c>
      <c r="K3089" s="34" t="str">
        <f t="shared" si="99"/>
        <v>重复</v>
      </c>
      <c r="L3089" s="34" t="str">
        <f t="shared" si="100"/>
        <v>不重复</v>
      </c>
    </row>
    <row r="3090" spans="1:12" ht="27">
      <c r="A3090" s="35" t="s">
        <v>13514</v>
      </c>
      <c r="B3090" s="35" t="s">
        <v>8378</v>
      </c>
      <c r="C3090" s="36" t="s">
        <v>717</v>
      </c>
      <c r="D3090" s="35" t="s">
        <v>8379</v>
      </c>
      <c r="E3090" s="35" t="s">
        <v>13493</v>
      </c>
      <c r="F3090" s="35" t="s">
        <v>12483</v>
      </c>
      <c r="G3090" s="35">
        <v>356121</v>
      </c>
      <c r="H3090" s="35">
        <v>390520</v>
      </c>
      <c r="I3090" s="35">
        <v>200020</v>
      </c>
      <c r="J3090" s="34" t="s">
        <v>6086</v>
      </c>
      <c r="K3090" s="34" t="str">
        <f t="shared" si="99"/>
        <v>重复</v>
      </c>
      <c r="L3090" s="34" t="str">
        <f t="shared" si="100"/>
        <v>不重复</v>
      </c>
    </row>
    <row r="3091" spans="1:12" ht="27">
      <c r="A3091" s="35" t="s">
        <v>13515</v>
      </c>
      <c r="B3091" s="35" t="s">
        <v>8380</v>
      </c>
      <c r="C3091" s="36" t="s">
        <v>1650</v>
      </c>
      <c r="D3091" s="35" t="s">
        <v>8381</v>
      </c>
      <c r="E3091" s="35" t="s">
        <v>13493</v>
      </c>
      <c r="F3091" s="35" t="s">
        <v>12483</v>
      </c>
      <c r="G3091" s="35">
        <v>356122</v>
      </c>
      <c r="H3091" s="35">
        <v>390520</v>
      </c>
      <c r="I3091" s="35">
        <v>200020</v>
      </c>
      <c r="J3091" s="34" t="s">
        <v>8382</v>
      </c>
      <c r="K3091" s="34" t="str">
        <f t="shared" si="99"/>
        <v>重复</v>
      </c>
      <c r="L3091" s="34" t="str">
        <f t="shared" si="100"/>
        <v>不重复</v>
      </c>
    </row>
    <row r="3092" spans="1:12" ht="30">
      <c r="A3092" s="35" t="s">
        <v>13516</v>
      </c>
      <c r="B3092" s="35" t="s">
        <v>8383</v>
      </c>
      <c r="C3092" s="36" t="s">
        <v>8384</v>
      </c>
      <c r="D3092" s="35" t="s">
        <v>8385</v>
      </c>
      <c r="E3092" s="35" t="s">
        <v>13493</v>
      </c>
      <c r="F3092" s="35" t="s">
        <v>12483</v>
      </c>
      <c r="G3092" s="35">
        <v>356123</v>
      </c>
      <c r="H3092" s="35">
        <v>390520</v>
      </c>
      <c r="I3092" s="35">
        <v>200020</v>
      </c>
      <c r="J3092" s="34" t="s">
        <v>2219</v>
      </c>
      <c r="K3092" s="34" t="str">
        <f t="shared" si="99"/>
        <v>不重复</v>
      </c>
      <c r="L3092" s="34" t="str">
        <f t="shared" si="100"/>
        <v>不重复</v>
      </c>
    </row>
    <row r="3093" spans="1:12" ht="30">
      <c r="A3093" s="35" t="s">
        <v>13517</v>
      </c>
      <c r="B3093" s="35" t="s">
        <v>8386</v>
      </c>
      <c r="C3093" s="36" t="s">
        <v>5889</v>
      </c>
      <c r="D3093" s="35" t="s">
        <v>8387</v>
      </c>
      <c r="E3093" s="35" t="s">
        <v>13493</v>
      </c>
      <c r="F3093" s="35" t="s">
        <v>12483</v>
      </c>
      <c r="G3093" s="35">
        <v>356124</v>
      </c>
      <c r="H3093" s="35">
        <v>390520</v>
      </c>
      <c r="I3093" s="35">
        <v>200020</v>
      </c>
      <c r="J3093" s="34" t="s">
        <v>288</v>
      </c>
      <c r="K3093" s="34" t="str">
        <f t="shared" si="99"/>
        <v>重复</v>
      </c>
      <c r="L3093" s="34" t="str">
        <f t="shared" si="100"/>
        <v>不重复</v>
      </c>
    </row>
    <row r="3094" spans="1:12" ht="27">
      <c r="A3094" s="35" t="s">
        <v>13518</v>
      </c>
      <c r="B3094" s="35" t="s">
        <v>8388</v>
      </c>
      <c r="C3094" s="36" t="s">
        <v>6066</v>
      </c>
      <c r="D3094" s="35" t="s">
        <v>8389</v>
      </c>
      <c r="E3094" s="35" t="s">
        <v>13493</v>
      </c>
      <c r="F3094" s="35" t="s">
        <v>12483</v>
      </c>
      <c r="G3094" s="35">
        <v>356125</v>
      </c>
      <c r="H3094" s="35">
        <v>390520</v>
      </c>
      <c r="I3094" s="35">
        <v>200020</v>
      </c>
      <c r="J3094" s="34" t="s">
        <v>347</v>
      </c>
      <c r="K3094" s="34" t="str">
        <f t="shared" si="99"/>
        <v>重复</v>
      </c>
      <c r="L3094" s="34" t="str">
        <f t="shared" si="100"/>
        <v>不重复</v>
      </c>
    </row>
    <row r="3095" spans="1:12" ht="15">
      <c r="A3095" s="35" t="s">
        <v>13519</v>
      </c>
      <c r="B3095" s="35" t="s">
        <v>8390</v>
      </c>
      <c r="C3095" s="36" t="s">
        <v>8391</v>
      </c>
      <c r="D3095" s="35" t="s">
        <v>8392</v>
      </c>
      <c r="E3095" s="35" t="s">
        <v>13493</v>
      </c>
      <c r="F3095" s="35" t="s">
        <v>12483</v>
      </c>
      <c r="G3095" s="35">
        <v>356126</v>
      </c>
      <c r="H3095" s="35">
        <v>390520</v>
      </c>
      <c r="I3095" s="35">
        <v>200020</v>
      </c>
      <c r="J3095" s="34" t="s">
        <v>2412</v>
      </c>
      <c r="K3095" s="34" t="str">
        <f t="shared" si="99"/>
        <v>不重复</v>
      </c>
      <c r="L3095" s="34" t="str">
        <f t="shared" si="100"/>
        <v>不重复</v>
      </c>
    </row>
    <row r="3096" spans="1:12" ht="15">
      <c r="A3096" s="35" t="s">
        <v>13520</v>
      </c>
      <c r="B3096" s="35" t="s">
        <v>8393</v>
      </c>
      <c r="C3096" s="36" t="s">
        <v>3356</v>
      </c>
      <c r="D3096" s="35" t="s">
        <v>8394</v>
      </c>
      <c r="E3096" s="35" t="s">
        <v>13493</v>
      </c>
      <c r="F3096" s="35" t="s">
        <v>12483</v>
      </c>
      <c r="G3096" s="35">
        <v>356127</v>
      </c>
      <c r="H3096" s="35">
        <v>390520</v>
      </c>
      <c r="I3096" s="35">
        <v>200020</v>
      </c>
      <c r="J3096" s="34" t="s">
        <v>363</v>
      </c>
      <c r="K3096" s="34" t="str">
        <f t="shared" si="99"/>
        <v>重复</v>
      </c>
      <c r="L3096" s="34" t="str">
        <f t="shared" si="100"/>
        <v>不重复</v>
      </c>
    </row>
    <row r="3097" spans="1:12" ht="15">
      <c r="A3097" s="35" t="s">
        <v>13521</v>
      </c>
      <c r="B3097" s="35" t="s">
        <v>8395</v>
      </c>
      <c r="C3097" s="36" t="s">
        <v>724</v>
      </c>
      <c r="D3097" s="35" t="s">
        <v>8396</v>
      </c>
      <c r="E3097" s="35" t="s">
        <v>13493</v>
      </c>
      <c r="F3097" s="35" t="s">
        <v>12483</v>
      </c>
      <c r="G3097" s="35">
        <v>356128</v>
      </c>
      <c r="H3097" s="35">
        <v>390520</v>
      </c>
      <c r="I3097" s="35">
        <v>200020</v>
      </c>
      <c r="J3097" s="34" t="s">
        <v>363</v>
      </c>
      <c r="K3097" s="34" t="str">
        <f t="shared" si="99"/>
        <v>重复</v>
      </c>
      <c r="L3097" s="34" t="str">
        <f t="shared" si="100"/>
        <v>不重复</v>
      </c>
    </row>
    <row r="3098" spans="1:12" ht="15">
      <c r="A3098" s="35" t="s">
        <v>13522</v>
      </c>
      <c r="B3098" s="35" t="s">
        <v>8397</v>
      </c>
      <c r="C3098" s="36" t="s">
        <v>8398</v>
      </c>
      <c r="D3098" s="35" t="s">
        <v>8399</v>
      </c>
      <c r="E3098" s="35" t="s">
        <v>13493</v>
      </c>
      <c r="F3098" s="35" t="s">
        <v>12483</v>
      </c>
      <c r="G3098" s="35">
        <v>356129</v>
      </c>
      <c r="H3098" s="35">
        <v>390520</v>
      </c>
      <c r="I3098" s="35">
        <v>200020</v>
      </c>
      <c r="J3098" s="34" t="s">
        <v>317</v>
      </c>
      <c r="K3098" s="34" t="str">
        <f t="shared" si="99"/>
        <v>重复</v>
      </c>
      <c r="L3098" s="34" t="str">
        <f t="shared" si="100"/>
        <v>不重复</v>
      </c>
    </row>
    <row r="3099" spans="1:12" ht="15">
      <c r="A3099" s="35" t="s">
        <v>13523</v>
      </c>
      <c r="B3099" s="35" t="s">
        <v>8400</v>
      </c>
      <c r="C3099" s="36" t="s">
        <v>4503</v>
      </c>
      <c r="D3099" s="35" t="s">
        <v>8401</v>
      </c>
      <c r="E3099" s="35" t="s">
        <v>13493</v>
      </c>
      <c r="F3099" s="35" t="s">
        <v>12483</v>
      </c>
      <c r="G3099" s="35">
        <v>356130</v>
      </c>
      <c r="H3099" s="35">
        <v>390520</v>
      </c>
      <c r="I3099" s="35">
        <v>200020</v>
      </c>
      <c r="J3099" s="34" t="s">
        <v>668</v>
      </c>
      <c r="K3099" s="34" t="str">
        <f t="shared" si="99"/>
        <v>重复</v>
      </c>
      <c r="L3099" s="34" t="str">
        <f t="shared" si="100"/>
        <v>不重复</v>
      </c>
    </row>
    <row r="3100" spans="1:12" ht="15">
      <c r="A3100" s="35" t="s">
        <v>13524</v>
      </c>
      <c r="B3100" s="35" t="s">
        <v>8402</v>
      </c>
      <c r="C3100" s="36" t="s">
        <v>1953</v>
      </c>
      <c r="D3100" s="35" t="s">
        <v>8403</v>
      </c>
      <c r="E3100" s="35" t="s">
        <v>13493</v>
      </c>
      <c r="F3100" s="35" t="s">
        <v>12483</v>
      </c>
      <c r="G3100" s="35">
        <v>356131</v>
      </c>
      <c r="H3100" s="35">
        <v>390520</v>
      </c>
      <c r="I3100" s="35">
        <v>200020</v>
      </c>
      <c r="J3100" s="34" t="s">
        <v>363</v>
      </c>
      <c r="K3100" s="34" t="str">
        <f t="shared" si="99"/>
        <v>重复</v>
      </c>
      <c r="L3100" s="34" t="str">
        <f t="shared" si="100"/>
        <v>不重复</v>
      </c>
    </row>
    <row r="3101" spans="1:12" ht="15">
      <c r="A3101" s="35" t="s">
        <v>13525</v>
      </c>
      <c r="B3101" s="35" t="s">
        <v>8404</v>
      </c>
      <c r="C3101" s="36" t="s">
        <v>8405</v>
      </c>
      <c r="D3101" s="35" t="s">
        <v>8406</v>
      </c>
      <c r="E3101" s="35" t="s">
        <v>13493</v>
      </c>
      <c r="F3101" s="35" t="s">
        <v>12483</v>
      </c>
      <c r="G3101" s="35">
        <v>356132</v>
      </c>
      <c r="H3101" s="35">
        <v>390520</v>
      </c>
      <c r="I3101" s="35">
        <v>200020</v>
      </c>
      <c r="J3101" s="34" t="s">
        <v>317</v>
      </c>
      <c r="K3101" s="34" t="str">
        <f t="shared" si="99"/>
        <v>不重复</v>
      </c>
      <c r="L3101" s="34" t="str">
        <f t="shared" si="100"/>
        <v>不重复</v>
      </c>
    </row>
    <row r="3102" spans="1:12" ht="30">
      <c r="A3102" s="35" t="s">
        <v>13526</v>
      </c>
      <c r="B3102" s="35" t="s">
        <v>8407</v>
      </c>
      <c r="C3102" s="36" t="s">
        <v>2214</v>
      </c>
      <c r="D3102" s="35" t="s">
        <v>8408</v>
      </c>
      <c r="E3102" s="35" t="s">
        <v>13493</v>
      </c>
      <c r="F3102" s="35" t="s">
        <v>12483</v>
      </c>
      <c r="G3102" s="35">
        <v>356133</v>
      </c>
      <c r="H3102" s="35">
        <v>390520</v>
      </c>
      <c r="I3102" s="35">
        <v>200020</v>
      </c>
      <c r="J3102" s="34" t="s">
        <v>317</v>
      </c>
      <c r="K3102" s="34" t="str">
        <f t="shared" si="99"/>
        <v>重复</v>
      </c>
      <c r="L3102" s="34" t="str">
        <f t="shared" si="100"/>
        <v>不重复</v>
      </c>
    </row>
    <row r="3103" spans="1:12" ht="30">
      <c r="A3103" s="35" t="s">
        <v>13527</v>
      </c>
      <c r="B3103" s="35" t="s">
        <v>8409</v>
      </c>
      <c r="C3103" s="36" t="s">
        <v>8410</v>
      </c>
      <c r="D3103" s="35" t="s">
        <v>8411</v>
      </c>
      <c r="E3103" s="35" t="s">
        <v>13493</v>
      </c>
      <c r="F3103" s="35" t="s">
        <v>12483</v>
      </c>
      <c r="G3103" s="35">
        <v>356134</v>
      </c>
      <c r="H3103" s="35">
        <v>390520</v>
      </c>
      <c r="I3103" s="35">
        <v>200020</v>
      </c>
      <c r="J3103" s="34" t="s">
        <v>2219</v>
      </c>
      <c r="K3103" s="34" t="str">
        <f t="shared" si="99"/>
        <v>不重复</v>
      </c>
      <c r="L3103" s="34" t="str">
        <f t="shared" si="100"/>
        <v>不重复</v>
      </c>
    </row>
    <row r="3104" spans="1:12" ht="15">
      <c r="A3104" s="69" t="s">
        <v>14455</v>
      </c>
      <c r="B3104" s="35" t="s">
        <v>14456</v>
      </c>
      <c r="C3104" s="36" t="s">
        <v>14457</v>
      </c>
      <c r="D3104" s="35"/>
      <c r="E3104" s="35" t="s">
        <v>13493</v>
      </c>
      <c r="F3104" s="35" t="s">
        <v>12483</v>
      </c>
      <c r="G3104" s="35"/>
      <c r="H3104" s="35">
        <v>390520</v>
      </c>
      <c r="I3104" s="35">
        <v>200020</v>
      </c>
      <c r="J3104" s="34" t="s">
        <v>681</v>
      </c>
      <c r="K3104" s="34" t="str">
        <f t="shared" si="99"/>
        <v>不重复</v>
      </c>
      <c r="L3104" s="34" t="str">
        <f t="shared" si="100"/>
        <v>不重复</v>
      </c>
    </row>
    <row r="3105" spans="1:12" ht="15">
      <c r="A3105" s="35" t="s">
        <v>13528</v>
      </c>
      <c r="B3105" s="35" t="s">
        <v>8412</v>
      </c>
      <c r="C3105" s="36" t="s">
        <v>8413</v>
      </c>
      <c r="D3105" s="35" t="s">
        <v>8414</v>
      </c>
      <c r="E3105" s="35" t="s">
        <v>13493</v>
      </c>
      <c r="F3105" s="35" t="s">
        <v>12483</v>
      </c>
      <c r="G3105" s="35">
        <v>356135</v>
      </c>
      <c r="H3105" s="35">
        <v>390520</v>
      </c>
      <c r="I3105" s="35">
        <v>200020</v>
      </c>
      <c r="J3105" s="34" t="s">
        <v>681</v>
      </c>
      <c r="K3105" s="34" t="str">
        <f t="shared" si="99"/>
        <v>不重复</v>
      </c>
      <c r="L3105" s="34" t="str">
        <f t="shared" si="100"/>
        <v>不重复</v>
      </c>
    </row>
    <row r="3106" spans="1:12" ht="30">
      <c r="A3106" s="35" t="s">
        <v>13529</v>
      </c>
      <c r="B3106" s="35" t="s">
        <v>8415</v>
      </c>
      <c r="C3106" s="36" t="s">
        <v>4265</v>
      </c>
      <c r="D3106" s="35" t="s">
        <v>8416</v>
      </c>
      <c r="E3106" s="35" t="s">
        <v>13493</v>
      </c>
      <c r="F3106" s="35" t="s">
        <v>12483</v>
      </c>
      <c r="G3106" s="35">
        <v>356136</v>
      </c>
      <c r="H3106" s="35">
        <v>390520</v>
      </c>
      <c r="I3106" s="35">
        <v>200020</v>
      </c>
      <c r="J3106" s="34" t="s">
        <v>962</v>
      </c>
      <c r="K3106" s="34" t="str">
        <f t="shared" si="99"/>
        <v>重复</v>
      </c>
      <c r="L3106" s="34" t="str">
        <f t="shared" si="100"/>
        <v>不重复</v>
      </c>
    </row>
    <row r="3107" spans="1:12" ht="15">
      <c r="A3107" s="35" t="s">
        <v>13530</v>
      </c>
      <c r="B3107" s="35" t="s">
        <v>8417</v>
      </c>
      <c r="C3107" s="36" t="s">
        <v>91</v>
      </c>
      <c r="D3107" s="35" t="s">
        <v>8418</v>
      </c>
      <c r="E3107" s="35" t="s">
        <v>13493</v>
      </c>
      <c r="F3107" s="35" t="s">
        <v>12483</v>
      </c>
      <c r="G3107" s="35">
        <v>356137</v>
      </c>
      <c r="H3107" s="35">
        <v>390520</v>
      </c>
      <c r="I3107" s="35">
        <v>200020</v>
      </c>
      <c r="J3107" s="34" t="s">
        <v>2796</v>
      </c>
      <c r="K3107" s="34" t="str">
        <f t="shared" si="99"/>
        <v>重复</v>
      </c>
      <c r="L3107" s="34" t="str">
        <f t="shared" si="100"/>
        <v>不重复</v>
      </c>
    </row>
    <row r="3108" spans="1:12" ht="27">
      <c r="A3108" s="35" t="s">
        <v>13531</v>
      </c>
      <c r="B3108" s="35" t="s">
        <v>8419</v>
      </c>
      <c r="C3108" s="36" t="s">
        <v>245</v>
      </c>
      <c r="D3108" s="35" t="s">
        <v>8420</v>
      </c>
      <c r="E3108" s="35" t="s">
        <v>13493</v>
      </c>
      <c r="F3108" s="35" t="s">
        <v>12483</v>
      </c>
      <c r="G3108" s="35">
        <v>356138</v>
      </c>
      <c r="H3108" s="35">
        <v>390520</v>
      </c>
      <c r="I3108" s="35">
        <v>200020</v>
      </c>
      <c r="J3108" s="34" t="s">
        <v>363</v>
      </c>
      <c r="K3108" s="34" t="str">
        <f t="shared" si="99"/>
        <v>重复</v>
      </c>
      <c r="L3108" s="34" t="str">
        <f t="shared" si="100"/>
        <v>不重复</v>
      </c>
    </row>
    <row r="3109" spans="1:12" ht="15">
      <c r="A3109" s="35" t="s">
        <v>13532</v>
      </c>
      <c r="B3109" s="35" t="s">
        <v>8421</v>
      </c>
      <c r="C3109" s="36" t="s">
        <v>91</v>
      </c>
      <c r="D3109" s="35" t="s">
        <v>8422</v>
      </c>
      <c r="E3109" s="35" t="s">
        <v>13493</v>
      </c>
      <c r="F3109" s="35" t="s">
        <v>12483</v>
      </c>
      <c r="G3109" s="35">
        <v>356139</v>
      </c>
      <c r="H3109" s="35">
        <v>390520</v>
      </c>
      <c r="I3109" s="35">
        <v>200020</v>
      </c>
      <c r="J3109" s="34" t="s">
        <v>1679</v>
      </c>
      <c r="K3109" s="34" t="str">
        <f t="shared" si="99"/>
        <v>重复</v>
      </c>
      <c r="L3109" s="34" t="str">
        <f t="shared" si="100"/>
        <v>不重复</v>
      </c>
    </row>
    <row r="3110" spans="1:12" ht="15">
      <c r="A3110" s="35" t="s">
        <v>13533</v>
      </c>
      <c r="B3110" s="35" t="s">
        <v>8423</v>
      </c>
      <c r="C3110" s="36" t="s">
        <v>8424</v>
      </c>
      <c r="D3110" s="35" t="s">
        <v>8425</v>
      </c>
      <c r="E3110" s="35" t="s">
        <v>13493</v>
      </c>
      <c r="F3110" s="35" t="s">
        <v>12483</v>
      </c>
      <c r="G3110" s="35">
        <v>356140</v>
      </c>
      <c r="H3110" s="35">
        <v>390520</v>
      </c>
      <c r="I3110" s="35">
        <v>200020</v>
      </c>
      <c r="J3110" s="34" t="s">
        <v>6894</v>
      </c>
      <c r="K3110" s="34" t="str">
        <f t="shared" si="99"/>
        <v>重复</v>
      </c>
      <c r="L3110" s="34" t="str">
        <f t="shared" si="100"/>
        <v>不重复</v>
      </c>
    </row>
    <row r="3111" spans="1:12" ht="27">
      <c r="A3111" s="35" t="s">
        <v>13534</v>
      </c>
      <c r="B3111" s="35" t="s">
        <v>8426</v>
      </c>
      <c r="C3111" s="36" t="s">
        <v>5962</v>
      </c>
      <c r="D3111" s="35" t="s">
        <v>8427</v>
      </c>
      <c r="E3111" s="35" t="s">
        <v>13493</v>
      </c>
      <c r="F3111" s="35" t="s">
        <v>12483</v>
      </c>
      <c r="G3111" s="35">
        <v>356141</v>
      </c>
      <c r="H3111" s="35">
        <v>390520</v>
      </c>
      <c r="I3111" s="35">
        <v>200020</v>
      </c>
      <c r="J3111" s="34" t="s">
        <v>386</v>
      </c>
      <c r="K3111" s="34" t="str">
        <f t="shared" si="99"/>
        <v>重复</v>
      </c>
      <c r="L3111" s="34" t="str">
        <f t="shared" si="100"/>
        <v>不重复</v>
      </c>
    </row>
    <row r="3112" spans="1:12" ht="30">
      <c r="A3112" s="35" t="s">
        <v>13535</v>
      </c>
      <c r="B3112" s="35" t="s">
        <v>8428</v>
      </c>
      <c r="C3112" s="36" t="s">
        <v>8429</v>
      </c>
      <c r="D3112" s="35" t="s">
        <v>8430</v>
      </c>
      <c r="E3112" s="35" t="s">
        <v>13493</v>
      </c>
      <c r="F3112" s="35" t="s">
        <v>12483</v>
      </c>
      <c r="G3112" s="35">
        <v>356142</v>
      </c>
      <c r="H3112" s="35">
        <v>390520</v>
      </c>
      <c r="I3112" s="35">
        <v>200020</v>
      </c>
      <c r="J3112" s="34" t="s">
        <v>363</v>
      </c>
      <c r="K3112" s="34" t="str">
        <f t="shared" si="99"/>
        <v>重复</v>
      </c>
      <c r="L3112" s="34" t="str">
        <f t="shared" si="100"/>
        <v>不重复</v>
      </c>
    </row>
    <row r="3113" spans="1:12" ht="27">
      <c r="A3113" s="35" t="s">
        <v>13536</v>
      </c>
      <c r="B3113" s="35" t="s">
        <v>8431</v>
      </c>
      <c r="C3113" s="36" t="s">
        <v>6156</v>
      </c>
      <c r="D3113" s="35" t="s">
        <v>8432</v>
      </c>
      <c r="E3113" s="35" t="s">
        <v>13493</v>
      </c>
      <c r="F3113" s="35" t="s">
        <v>12483</v>
      </c>
      <c r="G3113" s="35">
        <v>356143</v>
      </c>
      <c r="H3113" s="35">
        <v>390520</v>
      </c>
      <c r="I3113" s="35">
        <v>200020</v>
      </c>
      <c r="J3113" s="34" t="s">
        <v>8122</v>
      </c>
      <c r="K3113" s="34" t="str">
        <f t="shared" si="99"/>
        <v>重复</v>
      </c>
      <c r="L3113" s="34" t="str">
        <f t="shared" si="100"/>
        <v>不重复</v>
      </c>
    </row>
    <row r="3114" spans="1:12" ht="30">
      <c r="A3114" s="35" t="s">
        <v>13537</v>
      </c>
      <c r="B3114" s="35" t="s">
        <v>8433</v>
      </c>
      <c r="C3114" s="36" t="s">
        <v>6863</v>
      </c>
      <c r="D3114" s="35" t="s">
        <v>8434</v>
      </c>
      <c r="E3114" s="35" t="s">
        <v>13493</v>
      </c>
      <c r="F3114" s="35" t="s">
        <v>12483</v>
      </c>
      <c r="G3114" s="35">
        <v>356144</v>
      </c>
      <c r="H3114" s="35">
        <v>390520</v>
      </c>
      <c r="I3114" s="35">
        <v>200020</v>
      </c>
      <c r="J3114" s="34" t="s">
        <v>363</v>
      </c>
      <c r="K3114" s="34" t="str">
        <f t="shared" si="99"/>
        <v>重复</v>
      </c>
      <c r="L3114" s="34" t="str">
        <f t="shared" si="100"/>
        <v>不重复</v>
      </c>
    </row>
    <row r="3115" spans="1:12" ht="15">
      <c r="A3115" s="35" t="s">
        <v>13538</v>
      </c>
      <c r="B3115" s="35" t="s">
        <v>8435</v>
      </c>
      <c r="C3115" s="36" t="s">
        <v>8436</v>
      </c>
      <c r="D3115" s="35" t="s">
        <v>8437</v>
      </c>
      <c r="E3115" s="35" t="s">
        <v>13493</v>
      </c>
      <c r="F3115" s="35" t="s">
        <v>12483</v>
      </c>
      <c r="G3115" s="35">
        <v>356145</v>
      </c>
      <c r="H3115" s="35">
        <v>390520</v>
      </c>
      <c r="I3115" s="35">
        <v>200020</v>
      </c>
      <c r="J3115" s="34" t="s">
        <v>4772</v>
      </c>
      <c r="K3115" s="34" t="str">
        <f t="shared" si="99"/>
        <v>不重复</v>
      </c>
      <c r="L3115" s="34" t="str">
        <f t="shared" si="100"/>
        <v>不重复</v>
      </c>
    </row>
    <row r="3116" spans="1:12" ht="15">
      <c r="A3116" s="35" t="s">
        <v>13539</v>
      </c>
      <c r="B3116" s="35" t="s">
        <v>8438</v>
      </c>
      <c r="C3116" s="36" t="s">
        <v>404</v>
      </c>
      <c r="D3116" s="35" t="s">
        <v>8439</v>
      </c>
      <c r="E3116" s="35" t="s">
        <v>13493</v>
      </c>
      <c r="F3116" s="35" t="s">
        <v>12483</v>
      </c>
      <c r="G3116" s="35">
        <v>356146</v>
      </c>
      <c r="H3116" s="35">
        <v>390520</v>
      </c>
      <c r="I3116" s="35">
        <v>200020</v>
      </c>
      <c r="J3116" s="34" t="s">
        <v>878</v>
      </c>
      <c r="K3116" s="34" t="str">
        <f t="shared" si="99"/>
        <v>重复</v>
      </c>
      <c r="L3116" s="34" t="str">
        <f t="shared" si="100"/>
        <v>不重复</v>
      </c>
    </row>
    <row r="3117" spans="1:12" ht="15">
      <c r="A3117" s="35" t="s">
        <v>13540</v>
      </c>
      <c r="B3117" s="35" t="s">
        <v>8440</v>
      </c>
      <c r="C3117" s="36" t="s">
        <v>8441</v>
      </c>
      <c r="D3117" s="35" t="s">
        <v>8442</v>
      </c>
      <c r="E3117" s="35" t="s">
        <v>13493</v>
      </c>
      <c r="F3117" s="35" t="s">
        <v>12483</v>
      </c>
      <c r="G3117" s="35">
        <v>356147</v>
      </c>
      <c r="H3117" s="35">
        <v>390520</v>
      </c>
      <c r="I3117" s="35">
        <v>200020</v>
      </c>
      <c r="J3117" s="34" t="s">
        <v>668</v>
      </c>
      <c r="K3117" s="34" t="str">
        <f t="shared" si="99"/>
        <v>不重复</v>
      </c>
      <c r="L3117" s="34" t="str">
        <f t="shared" si="100"/>
        <v>不重复</v>
      </c>
    </row>
    <row r="3118" spans="1:12" ht="15">
      <c r="A3118" s="35" t="s">
        <v>13541</v>
      </c>
      <c r="B3118" s="35" t="s">
        <v>8443</v>
      </c>
      <c r="C3118" s="36" t="s">
        <v>8444</v>
      </c>
      <c r="D3118" s="35" t="s">
        <v>8445</v>
      </c>
      <c r="E3118" s="35" t="s">
        <v>13493</v>
      </c>
      <c r="F3118" s="35" t="s">
        <v>12483</v>
      </c>
      <c r="G3118" s="35">
        <v>356148</v>
      </c>
      <c r="H3118" s="35">
        <v>390520</v>
      </c>
      <c r="I3118" s="35">
        <v>200020</v>
      </c>
      <c r="J3118" s="34" t="s">
        <v>985</v>
      </c>
      <c r="K3118" s="34" t="str">
        <f t="shared" si="99"/>
        <v>不重复</v>
      </c>
      <c r="L3118" s="34" t="str">
        <f t="shared" si="100"/>
        <v>不重复</v>
      </c>
    </row>
    <row r="3119" spans="1:12" ht="15">
      <c r="A3119" s="35" t="s">
        <v>13542</v>
      </c>
      <c r="B3119" s="35" t="s">
        <v>8446</v>
      </c>
      <c r="C3119" s="36" t="s">
        <v>8447</v>
      </c>
      <c r="D3119" s="35" t="s">
        <v>8448</v>
      </c>
      <c r="E3119" s="35" t="s">
        <v>13493</v>
      </c>
      <c r="F3119" s="35" t="s">
        <v>12483</v>
      </c>
      <c r="G3119" s="35">
        <v>356149</v>
      </c>
      <c r="H3119" s="35">
        <v>390520</v>
      </c>
      <c r="I3119" s="35">
        <v>200020</v>
      </c>
      <c r="J3119" s="34" t="s">
        <v>878</v>
      </c>
      <c r="K3119" s="34" t="str">
        <f t="shared" si="99"/>
        <v>重复</v>
      </c>
      <c r="L3119" s="34" t="str">
        <f t="shared" si="100"/>
        <v>不重复</v>
      </c>
    </row>
    <row r="3120" spans="1:12" ht="15">
      <c r="A3120" s="35" t="s">
        <v>13543</v>
      </c>
      <c r="B3120" s="35" t="s">
        <v>8449</v>
      </c>
      <c r="C3120" s="36" t="s">
        <v>6708</v>
      </c>
      <c r="D3120" s="35" t="s">
        <v>8450</v>
      </c>
      <c r="E3120" s="35" t="s">
        <v>13493</v>
      </c>
      <c r="F3120" s="35" t="s">
        <v>12483</v>
      </c>
      <c r="G3120" s="35">
        <v>356150</v>
      </c>
      <c r="H3120" s="35">
        <v>390520</v>
      </c>
      <c r="I3120" s="35">
        <v>200020</v>
      </c>
      <c r="J3120" s="34" t="s">
        <v>878</v>
      </c>
      <c r="K3120" s="34" t="str">
        <f t="shared" si="99"/>
        <v>重复</v>
      </c>
      <c r="L3120" s="34" t="str">
        <f t="shared" si="100"/>
        <v>不重复</v>
      </c>
    </row>
    <row r="3121" spans="1:12" ht="15">
      <c r="A3121" s="35" t="s">
        <v>13544</v>
      </c>
      <c r="B3121" s="35" t="s">
        <v>8451</v>
      </c>
      <c r="C3121" s="36" t="s">
        <v>8452</v>
      </c>
      <c r="D3121" s="35" t="s">
        <v>1327</v>
      </c>
      <c r="E3121" s="35" t="s">
        <v>13493</v>
      </c>
      <c r="F3121" s="35" t="s">
        <v>12483</v>
      </c>
      <c r="G3121" s="35">
        <v>356151</v>
      </c>
      <c r="H3121" s="35">
        <v>390520</v>
      </c>
      <c r="I3121" s="35">
        <v>200020</v>
      </c>
      <c r="J3121" s="34" t="s">
        <v>8453</v>
      </c>
      <c r="K3121" s="34" t="str">
        <f t="shared" si="99"/>
        <v>不重复</v>
      </c>
      <c r="L3121" s="34" t="str">
        <f t="shared" si="100"/>
        <v>重复</v>
      </c>
    </row>
    <row r="3122" spans="1:12" ht="15">
      <c r="A3122" s="35" t="s">
        <v>13545</v>
      </c>
      <c r="B3122" s="35" t="s">
        <v>8454</v>
      </c>
      <c r="C3122" s="36" t="s">
        <v>8447</v>
      </c>
      <c r="D3122" s="35" t="s">
        <v>8455</v>
      </c>
      <c r="E3122" s="35" t="s">
        <v>13493</v>
      </c>
      <c r="F3122" s="35" t="s">
        <v>12483</v>
      </c>
      <c r="G3122" s="35">
        <v>356152</v>
      </c>
      <c r="H3122" s="35">
        <v>390520</v>
      </c>
      <c r="I3122" s="35">
        <v>200020</v>
      </c>
      <c r="J3122" s="34" t="s">
        <v>878</v>
      </c>
      <c r="K3122" s="34" t="str">
        <f t="shared" si="99"/>
        <v>重复</v>
      </c>
      <c r="L3122" s="34" t="str">
        <f t="shared" si="100"/>
        <v>不重复</v>
      </c>
    </row>
    <row r="3123" spans="1:12" ht="15">
      <c r="A3123" s="35" t="s">
        <v>13546</v>
      </c>
      <c r="B3123" s="35" t="s">
        <v>8456</v>
      </c>
      <c r="C3123" s="36" t="s">
        <v>8457</v>
      </c>
      <c r="D3123" s="35" t="s">
        <v>8458</v>
      </c>
      <c r="E3123" s="35" t="s">
        <v>13493</v>
      </c>
      <c r="F3123" s="35" t="s">
        <v>12483</v>
      </c>
      <c r="G3123" s="35">
        <v>356153</v>
      </c>
      <c r="H3123" s="35">
        <v>390520</v>
      </c>
      <c r="I3123" s="35">
        <v>200020</v>
      </c>
      <c r="J3123" s="34" t="s">
        <v>1096</v>
      </c>
      <c r="K3123" s="34" t="str">
        <f t="shared" si="99"/>
        <v>不重复</v>
      </c>
      <c r="L3123" s="34" t="str">
        <f t="shared" si="100"/>
        <v>不重复</v>
      </c>
    </row>
    <row r="3124" spans="1:12" ht="15">
      <c r="A3124" s="35" t="s">
        <v>13547</v>
      </c>
      <c r="B3124" s="35" t="s">
        <v>8459</v>
      </c>
      <c r="C3124" s="36" t="s">
        <v>8460</v>
      </c>
      <c r="D3124" s="35" t="s">
        <v>8461</v>
      </c>
      <c r="E3124" s="35" t="s">
        <v>13547</v>
      </c>
      <c r="F3124" s="35" t="s">
        <v>12483</v>
      </c>
      <c r="G3124" s="35">
        <v>356200</v>
      </c>
      <c r="H3124" s="35">
        <v>390530</v>
      </c>
      <c r="I3124" s="35">
        <v>200020</v>
      </c>
      <c r="J3124" s="34" t="s">
        <v>16</v>
      </c>
      <c r="K3124" s="34" t="str">
        <f t="shared" si="99"/>
        <v>不重复</v>
      </c>
      <c r="L3124" s="34" t="str">
        <f t="shared" si="100"/>
        <v>不重复</v>
      </c>
    </row>
    <row r="3125" spans="1:12" ht="15">
      <c r="A3125" s="35" t="s">
        <v>13548</v>
      </c>
      <c r="B3125" s="35" t="s">
        <v>8462</v>
      </c>
      <c r="C3125" s="36" t="s">
        <v>8463</v>
      </c>
      <c r="D3125" s="35" t="s">
        <v>8464</v>
      </c>
      <c r="E3125" s="35" t="s">
        <v>13547</v>
      </c>
      <c r="F3125" s="35" t="s">
        <v>12483</v>
      </c>
      <c r="G3125" s="35">
        <v>356201</v>
      </c>
      <c r="H3125" s="35">
        <v>390530</v>
      </c>
      <c r="I3125" s="35">
        <v>200020</v>
      </c>
      <c r="J3125" s="34" t="s">
        <v>508</v>
      </c>
      <c r="K3125" s="34" t="str">
        <f t="shared" si="99"/>
        <v>不重复</v>
      </c>
      <c r="L3125" s="34" t="str">
        <f t="shared" si="100"/>
        <v>不重复</v>
      </c>
    </row>
    <row r="3126" spans="1:12" ht="15">
      <c r="A3126" s="35" t="s">
        <v>13549</v>
      </c>
      <c r="B3126" s="35" t="s">
        <v>8465</v>
      </c>
      <c r="C3126" s="36" t="s">
        <v>8342</v>
      </c>
      <c r="D3126" s="35" t="s">
        <v>8466</v>
      </c>
      <c r="E3126" s="35" t="s">
        <v>13547</v>
      </c>
      <c r="F3126" s="35" t="s">
        <v>12483</v>
      </c>
      <c r="G3126" s="35">
        <v>356202</v>
      </c>
      <c r="H3126" s="35">
        <v>390530</v>
      </c>
      <c r="I3126" s="35">
        <v>200020</v>
      </c>
      <c r="J3126" s="34" t="s">
        <v>8467</v>
      </c>
      <c r="K3126" s="34" t="str">
        <f t="shared" si="99"/>
        <v>重复</v>
      </c>
      <c r="L3126" s="34" t="str">
        <f t="shared" si="100"/>
        <v>不重复</v>
      </c>
    </row>
    <row r="3127" spans="1:12" ht="15">
      <c r="A3127" s="35" t="s">
        <v>13550</v>
      </c>
      <c r="B3127" s="35" t="s">
        <v>8468</v>
      </c>
      <c r="C3127" s="36" t="s">
        <v>8469</v>
      </c>
      <c r="D3127" s="35" t="s">
        <v>8470</v>
      </c>
      <c r="E3127" s="35" t="s">
        <v>13547</v>
      </c>
      <c r="F3127" s="35" t="s">
        <v>12483</v>
      </c>
      <c r="G3127" s="35">
        <v>356203</v>
      </c>
      <c r="H3127" s="35">
        <v>390530</v>
      </c>
      <c r="I3127" s="35">
        <v>200020</v>
      </c>
      <c r="J3127" s="34" t="s">
        <v>8471</v>
      </c>
      <c r="K3127" s="34" t="str">
        <f t="shared" si="99"/>
        <v>重复</v>
      </c>
      <c r="L3127" s="34" t="str">
        <f t="shared" si="100"/>
        <v>不重复</v>
      </c>
    </row>
    <row r="3128" spans="1:12" ht="15">
      <c r="A3128" s="35" t="s">
        <v>13551</v>
      </c>
      <c r="B3128" s="35" t="s">
        <v>8472</v>
      </c>
      <c r="C3128" s="36" t="s">
        <v>8473</v>
      </c>
      <c r="D3128" s="35" t="s">
        <v>8474</v>
      </c>
      <c r="E3128" s="35" t="s">
        <v>13547</v>
      </c>
      <c r="F3128" s="35" t="s">
        <v>12483</v>
      </c>
      <c r="G3128" s="35">
        <v>356204</v>
      </c>
      <c r="H3128" s="35">
        <v>390530</v>
      </c>
      <c r="I3128" s="35">
        <v>200020</v>
      </c>
      <c r="J3128" s="34" t="s">
        <v>715</v>
      </c>
      <c r="K3128" s="34" t="str">
        <f t="shared" si="99"/>
        <v>不重复</v>
      </c>
      <c r="L3128" s="34" t="str">
        <f t="shared" si="100"/>
        <v>不重复</v>
      </c>
    </row>
    <row r="3129" spans="1:12" ht="15">
      <c r="A3129" s="35" t="s">
        <v>13552</v>
      </c>
      <c r="B3129" s="35" t="s">
        <v>8475</v>
      </c>
      <c r="C3129" s="36" t="s">
        <v>8476</v>
      </c>
      <c r="D3129" s="35" t="s">
        <v>8477</v>
      </c>
      <c r="E3129" s="35" t="s">
        <v>13553</v>
      </c>
      <c r="F3129" s="35" t="s">
        <v>12483</v>
      </c>
      <c r="G3129" s="35">
        <v>356205</v>
      </c>
      <c r="H3129" s="35">
        <v>390530</v>
      </c>
      <c r="I3129" s="35">
        <v>200020</v>
      </c>
      <c r="J3129" s="34" t="s">
        <v>2412</v>
      </c>
      <c r="K3129" s="34" t="str">
        <f t="shared" si="99"/>
        <v>不重复</v>
      </c>
      <c r="L3129" s="34" t="str">
        <f t="shared" si="100"/>
        <v>不重复</v>
      </c>
    </row>
    <row r="3130" spans="1:12" ht="15">
      <c r="A3130" s="35" t="s">
        <v>13554</v>
      </c>
      <c r="B3130" s="35" t="s">
        <v>8478</v>
      </c>
      <c r="C3130" s="36" t="s">
        <v>2953</v>
      </c>
      <c r="D3130" s="35" t="s">
        <v>8479</v>
      </c>
      <c r="E3130" s="35" t="s">
        <v>13554</v>
      </c>
      <c r="F3130" s="35" t="s">
        <v>12483</v>
      </c>
      <c r="G3130" s="35">
        <v>356600</v>
      </c>
      <c r="H3130" s="35">
        <v>390540</v>
      </c>
      <c r="I3130" s="35">
        <v>200020</v>
      </c>
      <c r="J3130" s="34" t="s">
        <v>16</v>
      </c>
      <c r="K3130" s="34" t="str">
        <f t="shared" si="99"/>
        <v>重复</v>
      </c>
      <c r="L3130" s="34" t="str">
        <f t="shared" si="100"/>
        <v>不重复</v>
      </c>
    </row>
    <row r="3131" spans="1:12" ht="15">
      <c r="A3131" s="35" t="s">
        <v>13555</v>
      </c>
      <c r="B3131" s="35" t="s">
        <v>8480</v>
      </c>
      <c r="C3131" s="36" t="s">
        <v>2953</v>
      </c>
      <c r="D3131" s="35" t="s">
        <v>8481</v>
      </c>
      <c r="E3131" s="35" t="s">
        <v>13554</v>
      </c>
      <c r="F3131" s="35" t="s">
        <v>12483</v>
      </c>
      <c r="G3131" s="35">
        <v>356601</v>
      </c>
      <c r="H3131" s="35">
        <v>390540</v>
      </c>
      <c r="I3131" s="35">
        <v>200020</v>
      </c>
      <c r="J3131" s="34" t="s">
        <v>8482</v>
      </c>
      <c r="K3131" s="34" t="str">
        <f t="shared" si="99"/>
        <v>重复</v>
      </c>
      <c r="L3131" s="34" t="str">
        <f t="shared" si="100"/>
        <v>不重复</v>
      </c>
    </row>
    <row r="3132" spans="1:12" ht="27">
      <c r="A3132" s="35" t="s">
        <v>13556</v>
      </c>
      <c r="B3132" s="35" t="s">
        <v>8483</v>
      </c>
      <c r="C3132" s="36" t="s">
        <v>7762</v>
      </c>
      <c r="D3132" s="35" t="s">
        <v>8484</v>
      </c>
      <c r="E3132" s="35" t="s">
        <v>13554</v>
      </c>
      <c r="F3132" s="35" t="s">
        <v>12483</v>
      </c>
      <c r="G3132" s="35">
        <v>356602</v>
      </c>
      <c r="H3132" s="35">
        <v>390540</v>
      </c>
      <c r="I3132" s="35">
        <v>200020</v>
      </c>
      <c r="J3132" s="34" t="s">
        <v>183</v>
      </c>
      <c r="K3132" s="34" t="str">
        <f t="shared" si="99"/>
        <v>重复</v>
      </c>
      <c r="L3132" s="34" t="str">
        <f t="shared" si="100"/>
        <v>不重复</v>
      </c>
    </row>
    <row r="3133" spans="1:12" ht="15">
      <c r="A3133" s="35" t="s">
        <v>13557</v>
      </c>
      <c r="B3133" s="35" t="s">
        <v>8485</v>
      </c>
      <c r="C3133" s="36" t="s">
        <v>3366</v>
      </c>
      <c r="D3133" s="35" t="s">
        <v>8486</v>
      </c>
      <c r="E3133" s="35" t="s">
        <v>13554</v>
      </c>
      <c r="F3133" s="35" t="s">
        <v>12483</v>
      </c>
      <c r="G3133" s="35">
        <v>356603</v>
      </c>
      <c r="H3133" s="35">
        <v>390540</v>
      </c>
      <c r="I3133" s="35">
        <v>200020</v>
      </c>
      <c r="J3133" s="34" t="s">
        <v>6086</v>
      </c>
      <c r="K3133" s="34" t="str">
        <f t="shared" si="99"/>
        <v>重复</v>
      </c>
      <c r="L3133" s="34" t="str">
        <f t="shared" si="100"/>
        <v>不重复</v>
      </c>
    </row>
    <row r="3134" spans="1:12" ht="15">
      <c r="A3134" s="35" t="s">
        <v>13558</v>
      </c>
      <c r="B3134" s="35" t="s">
        <v>8487</v>
      </c>
      <c r="C3134" s="36" t="s">
        <v>8488</v>
      </c>
      <c r="D3134" s="35" t="s">
        <v>8489</v>
      </c>
      <c r="E3134" s="35" t="s">
        <v>13559</v>
      </c>
      <c r="F3134" s="35" t="s">
        <v>12483</v>
      </c>
      <c r="G3134" s="35">
        <v>356700</v>
      </c>
      <c r="H3134" s="35">
        <v>390550</v>
      </c>
      <c r="I3134" s="35">
        <v>200020</v>
      </c>
      <c r="J3134" s="34" t="s">
        <v>16</v>
      </c>
      <c r="K3134" s="34" t="str">
        <f t="shared" si="99"/>
        <v>不重复</v>
      </c>
      <c r="L3134" s="34" t="str">
        <f t="shared" si="100"/>
        <v>不重复</v>
      </c>
    </row>
    <row r="3135" spans="1:12" ht="15">
      <c r="A3135" s="35" t="s">
        <v>13560</v>
      </c>
      <c r="B3135" s="35" t="s">
        <v>8490</v>
      </c>
      <c r="C3135" s="36" t="s">
        <v>8491</v>
      </c>
      <c r="D3135" s="35" t="s">
        <v>2172</v>
      </c>
      <c r="E3135" s="35" t="s">
        <v>13559</v>
      </c>
      <c r="F3135" s="35" t="s">
        <v>12483</v>
      </c>
      <c r="G3135" s="35">
        <v>356737</v>
      </c>
      <c r="H3135" s="35">
        <v>390550</v>
      </c>
      <c r="I3135" s="35">
        <v>200020</v>
      </c>
      <c r="J3135" s="34"/>
      <c r="K3135" s="34" t="str">
        <f t="shared" si="99"/>
        <v>不重复</v>
      </c>
      <c r="L3135" s="34" t="str">
        <f t="shared" si="100"/>
        <v>重复</v>
      </c>
    </row>
    <row r="3136" spans="1:12" ht="30">
      <c r="A3136" s="35" t="s">
        <v>13561</v>
      </c>
      <c r="B3136" s="35" t="s">
        <v>8492</v>
      </c>
      <c r="C3136" s="36" t="s">
        <v>420</v>
      </c>
      <c r="D3136" s="35" t="s">
        <v>8493</v>
      </c>
      <c r="E3136" s="35" t="s">
        <v>13559</v>
      </c>
      <c r="F3136" s="35" t="s">
        <v>12483</v>
      </c>
      <c r="G3136" s="35">
        <v>356701</v>
      </c>
      <c r="H3136" s="35">
        <v>390550</v>
      </c>
      <c r="I3136" s="35">
        <v>200020</v>
      </c>
      <c r="J3136" s="34" t="s">
        <v>8494</v>
      </c>
      <c r="K3136" s="34" t="str">
        <f t="shared" si="99"/>
        <v>重复</v>
      </c>
      <c r="L3136" s="34" t="str">
        <f t="shared" si="100"/>
        <v>不重复</v>
      </c>
    </row>
    <row r="3137" spans="1:12" ht="15">
      <c r="A3137" s="35" t="s">
        <v>13562</v>
      </c>
      <c r="B3137" s="35" t="s">
        <v>8495</v>
      </c>
      <c r="C3137" s="36" t="s">
        <v>8496</v>
      </c>
      <c r="D3137" s="35" t="s">
        <v>8497</v>
      </c>
      <c r="E3137" s="35" t="s">
        <v>13559</v>
      </c>
      <c r="F3137" s="35" t="s">
        <v>12483</v>
      </c>
      <c r="G3137" s="35">
        <v>356702</v>
      </c>
      <c r="H3137" s="35">
        <v>390550</v>
      </c>
      <c r="I3137" s="35">
        <v>200020</v>
      </c>
      <c r="J3137" s="34" t="s">
        <v>508</v>
      </c>
      <c r="K3137" s="34" t="str">
        <f t="shared" si="99"/>
        <v>不重复</v>
      </c>
      <c r="L3137" s="34" t="str">
        <f t="shared" si="100"/>
        <v>不重复</v>
      </c>
    </row>
    <row r="3138" spans="1:12" ht="30">
      <c r="A3138" s="35" t="s">
        <v>13563</v>
      </c>
      <c r="B3138" s="35" t="s">
        <v>8498</v>
      </c>
      <c r="C3138" s="36" t="s">
        <v>8499</v>
      </c>
      <c r="D3138" s="35" t="s">
        <v>8500</v>
      </c>
      <c r="E3138" s="35" t="s">
        <v>13559</v>
      </c>
      <c r="F3138" s="35" t="s">
        <v>12483</v>
      </c>
      <c r="G3138" s="35">
        <v>356703</v>
      </c>
      <c r="H3138" s="35">
        <v>390550</v>
      </c>
      <c r="I3138" s="35">
        <v>200020</v>
      </c>
      <c r="J3138" s="34" t="s">
        <v>889</v>
      </c>
      <c r="K3138" s="34" t="str">
        <f t="shared" si="99"/>
        <v>不重复</v>
      </c>
      <c r="L3138" s="34" t="str">
        <f t="shared" si="100"/>
        <v>不重复</v>
      </c>
    </row>
    <row r="3139" spans="1:12" ht="30">
      <c r="A3139" s="35" t="s">
        <v>13564</v>
      </c>
      <c r="B3139" s="35" t="s">
        <v>8501</v>
      </c>
      <c r="C3139" s="36" t="s">
        <v>8502</v>
      </c>
      <c r="D3139" s="35" t="s">
        <v>8503</v>
      </c>
      <c r="E3139" s="35" t="s">
        <v>13559</v>
      </c>
      <c r="F3139" s="35" t="s">
        <v>12483</v>
      </c>
      <c r="G3139" s="35">
        <v>356704</v>
      </c>
      <c r="H3139" s="35">
        <v>390550</v>
      </c>
      <c r="I3139" s="35">
        <v>200020</v>
      </c>
      <c r="J3139" s="34" t="s">
        <v>288</v>
      </c>
      <c r="K3139" s="34" t="str">
        <f t="shared" si="99"/>
        <v>不重复</v>
      </c>
      <c r="L3139" s="34" t="str">
        <f t="shared" si="100"/>
        <v>不重复</v>
      </c>
    </row>
    <row r="3140" spans="1:12" ht="30">
      <c r="A3140" s="35" t="s">
        <v>13565</v>
      </c>
      <c r="B3140" s="35" t="s">
        <v>8504</v>
      </c>
      <c r="C3140" s="36" t="s">
        <v>2291</v>
      </c>
      <c r="D3140" s="35" t="s">
        <v>8505</v>
      </c>
      <c r="E3140" s="35" t="s">
        <v>13559</v>
      </c>
      <c r="F3140" s="35" t="s">
        <v>12483</v>
      </c>
      <c r="G3140" s="35">
        <v>356705</v>
      </c>
      <c r="H3140" s="35">
        <v>390550</v>
      </c>
      <c r="I3140" s="35">
        <v>200020</v>
      </c>
      <c r="J3140" s="34" t="s">
        <v>8494</v>
      </c>
      <c r="K3140" s="34" t="str">
        <f t="shared" si="99"/>
        <v>重复</v>
      </c>
      <c r="L3140" s="34" t="str">
        <f t="shared" si="100"/>
        <v>不重复</v>
      </c>
    </row>
    <row r="3141" spans="1:12" ht="30">
      <c r="A3141" s="35" t="s">
        <v>13566</v>
      </c>
      <c r="B3141" s="35" t="s">
        <v>8506</v>
      </c>
      <c r="C3141" s="36" t="s">
        <v>8507</v>
      </c>
      <c r="D3141" s="35" t="s">
        <v>8508</v>
      </c>
      <c r="E3141" s="35" t="s">
        <v>13559</v>
      </c>
      <c r="F3141" s="35" t="s">
        <v>12483</v>
      </c>
      <c r="G3141" s="35">
        <v>356706</v>
      </c>
      <c r="H3141" s="35">
        <v>390550</v>
      </c>
      <c r="I3141" s="35">
        <v>200020</v>
      </c>
      <c r="J3141" s="34" t="s">
        <v>1057</v>
      </c>
      <c r="K3141" s="34" t="str">
        <f t="shared" si="99"/>
        <v>不重复</v>
      </c>
      <c r="L3141" s="34" t="str">
        <f t="shared" si="100"/>
        <v>不重复</v>
      </c>
    </row>
    <row r="3142" spans="1:12" ht="30">
      <c r="A3142" s="35" t="s">
        <v>13567</v>
      </c>
      <c r="B3142" s="35" t="s">
        <v>8509</v>
      </c>
      <c r="C3142" s="36" t="s">
        <v>2774</v>
      </c>
      <c r="D3142" s="35" t="s">
        <v>8510</v>
      </c>
      <c r="E3142" s="35" t="s">
        <v>13559</v>
      </c>
      <c r="F3142" s="35" t="s">
        <v>12483</v>
      </c>
      <c r="G3142" s="35">
        <v>356707</v>
      </c>
      <c r="H3142" s="35">
        <v>390550</v>
      </c>
      <c r="I3142" s="35">
        <v>200020</v>
      </c>
      <c r="J3142" s="34" t="s">
        <v>756</v>
      </c>
      <c r="K3142" s="34" t="str">
        <f t="shared" si="99"/>
        <v>重复</v>
      </c>
      <c r="L3142" s="34" t="str">
        <f t="shared" si="100"/>
        <v>不重复</v>
      </c>
    </row>
    <row r="3143" spans="1:12" ht="30">
      <c r="A3143" s="35" t="s">
        <v>13568</v>
      </c>
      <c r="B3143" s="35" t="s">
        <v>8511</v>
      </c>
      <c r="C3143" s="36" t="s">
        <v>8512</v>
      </c>
      <c r="D3143" s="35" t="s">
        <v>8513</v>
      </c>
      <c r="E3143" s="35" t="s">
        <v>13559</v>
      </c>
      <c r="F3143" s="35" t="s">
        <v>12483</v>
      </c>
      <c r="G3143" s="35">
        <v>356708</v>
      </c>
      <c r="H3143" s="35">
        <v>390550</v>
      </c>
      <c r="I3143" s="35">
        <v>200020</v>
      </c>
      <c r="J3143" s="34" t="s">
        <v>288</v>
      </c>
      <c r="K3143" s="34" t="str">
        <f t="shared" si="99"/>
        <v>不重复</v>
      </c>
      <c r="L3143" s="34" t="str">
        <f t="shared" si="100"/>
        <v>不重复</v>
      </c>
    </row>
    <row r="3144" spans="1:12" ht="30">
      <c r="A3144" s="35" t="s">
        <v>13569</v>
      </c>
      <c r="B3144" s="35" t="s">
        <v>8514</v>
      </c>
      <c r="C3144" s="36" t="s">
        <v>3309</v>
      </c>
      <c r="D3144" s="35" t="s">
        <v>8515</v>
      </c>
      <c r="E3144" s="35" t="s">
        <v>13559</v>
      </c>
      <c r="F3144" s="35" t="s">
        <v>12483</v>
      </c>
      <c r="G3144" s="35">
        <v>356709</v>
      </c>
      <c r="H3144" s="35">
        <v>390550</v>
      </c>
      <c r="I3144" s="35">
        <v>200020</v>
      </c>
      <c r="J3144" s="34" t="s">
        <v>458</v>
      </c>
      <c r="K3144" s="34" t="str">
        <f t="shared" si="99"/>
        <v>重复</v>
      </c>
      <c r="L3144" s="34" t="str">
        <f t="shared" si="100"/>
        <v>不重复</v>
      </c>
    </row>
    <row r="3145" spans="1:12" ht="30">
      <c r="A3145" s="35" t="s">
        <v>13570</v>
      </c>
      <c r="B3145" s="35" t="s">
        <v>8516</v>
      </c>
      <c r="C3145" s="36" t="s">
        <v>8517</v>
      </c>
      <c r="D3145" s="35" t="s">
        <v>8518</v>
      </c>
      <c r="E3145" s="35" t="s">
        <v>13559</v>
      </c>
      <c r="F3145" s="35" t="s">
        <v>12483</v>
      </c>
      <c r="G3145" s="35">
        <v>356710</v>
      </c>
      <c r="H3145" s="35">
        <v>390550</v>
      </c>
      <c r="I3145" s="35">
        <v>200020</v>
      </c>
      <c r="J3145" s="34" t="s">
        <v>8519</v>
      </c>
      <c r="K3145" s="34" t="str">
        <f t="shared" si="99"/>
        <v>不重复</v>
      </c>
      <c r="L3145" s="34" t="str">
        <f t="shared" si="100"/>
        <v>不重复</v>
      </c>
    </row>
    <row r="3146" spans="1:12" ht="30">
      <c r="A3146" s="35" t="s">
        <v>13571</v>
      </c>
      <c r="B3146" s="35" t="s">
        <v>8520</v>
      </c>
      <c r="C3146" s="36" t="s">
        <v>2223</v>
      </c>
      <c r="D3146" s="35" t="s">
        <v>8521</v>
      </c>
      <c r="E3146" s="35" t="s">
        <v>13559</v>
      </c>
      <c r="F3146" s="35" t="s">
        <v>12483</v>
      </c>
      <c r="G3146" s="35">
        <v>356711</v>
      </c>
      <c r="H3146" s="35">
        <v>390550</v>
      </c>
      <c r="I3146" s="35">
        <v>200020</v>
      </c>
      <c r="J3146" s="34" t="s">
        <v>1103</v>
      </c>
      <c r="K3146" s="34" t="str">
        <f t="shared" si="99"/>
        <v>重复</v>
      </c>
      <c r="L3146" s="34" t="str">
        <f t="shared" si="100"/>
        <v>重复</v>
      </c>
    </row>
    <row r="3147" spans="1:12" ht="30">
      <c r="A3147" s="35" t="s">
        <v>13572</v>
      </c>
      <c r="B3147" s="35" t="s">
        <v>8522</v>
      </c>
      <c r="C3147" s="36" t="s">
        <v>8523</v>
      </c>
      <c r="D3147" s="35" t="s">
        <v>2174</v>
      </c>
      <c r="E3147" s="35" t="s">
        <v>13559</v>
      </c>
      <c r="F3147" s="35" t="s">
        <v>12483</v>
      </c>
      <c r="G3147" s="35">
        <v>356712</v>
      </c>
      <c r="H3147" s="35">
        <v>390550</v>
      </c>
      <c r="I3147" s="35">
        <v>200020</v>
      </c>
      <c r="J3147" s="34" t="s">
        <v>8494</v>
      </c>
      <c r="K3147" s="34" t="str">
        <f t="shared" si="99"/>
        <v>重复</v>
      </c>
      <c r="L3147" s="34" t="str">
        <f t="shared" si="100"/>
        <v>重复</v>
      </c>
    </row>
    <row r="3148" spans="1:12" ht="30">
      <c r="A3148" s="35" t="s">
        <v>13573</v>
      </c>
      <c r="B3148" s="35" t="s">
        <v>8524</v>
      </c>
      <c r="C3148" s="36" t="s">
        <v>4283</v>
      </c>
      <c r="D3148" s="35" t="s">
        <v>8525</v>
      </c>
      <c r="E3148" s="35" t="s">
        <v>13559</v>
      </c>
      <c r="F3148" s="35" t="s">
        <v>12483</v>
      </c>
      <c r="G3148" s="35">
        <v>356713</v>
      </c>
      <c r="H3148" s="35">
        <v>390550</v>
      </c>
      <c r="I3148" s="35">
        <v>200020</v>
      </c>
      <c r="J3148" s="34" t="s">
        <v>8526</v>
      </c>
      <c r="K3148" s="34" t="str">
        <f t="shared" si="101" ref="K3148:K3211">IF(COUNTIF(C:C,C3148)&gt;=2,"重复","不重复")</f>
        <v>重复</v>
      </c>
      <c r="L3148" s="34" t="str">
        <f t="shared" si="102" ref="L3148:L3211">IF(COUNTIF(D:D,D3148)&gt;=2,"重复","不重复")</f>
        <v>不重复</v>
      </c>
    </row>
    <row r="3149" spans="1:12" ht="30">
      <c r="A3149" s="35" t="s">
        <v>13574</v>
      </c>
      <c r="B3149" s="35" t="s">
        <v>8527</v>
      </c>
      <c r="C3149" s="36" t="s">
        <v>8528</v>
      </c>
      <c r="D3149" s="35" t="s">
        <v>8529</v>
      </c>
      <c r="E3149" s="35" t="s">
        <v>13559</v>
      </c>
      <c r="F3149" s="35" t="s">
        <v>12483</v>
      </c>
      <c r="G3149" s="35">
        <v>356714</v>
      </c>
      <c r="H3149" s="35">
        <v>390550</v>
      </c>
      <c r="I3149" s="35">
        <v>200020</v>
      </c>
      <c r="J3149" s="34" t="s">
        <v>8494</v>
      </c>
      <c r="K3149" s="34" t="str">
        <f t="shared" si="101"/>
        <v>不重复</v>
      </c>
      <c r="L3149" s="34" t="str">
        <f t="shared" si="102"/>
        <v>不重复</v>
      </c>
    </row>
    <row r="3150" spans="1:12" ht="15">
      <c r="A3150" s="35" t="s">
        <v>13575</v>
      </c>
      <c r="B3150" s="35" t="s">
        <v>8530</v>
      </c>
      <c r="C3150" s="36" t="s">
        <v>8531</v>
      </c>
      <c r="D3150" s="35" t="s">
        <v>8532</v>
      </c>
      <c r="E3150" s="35" t="s">
        <v>13559</v>
      </c>
      <c r="F3150" s="35" t="s">
        <v>12483</v>
      </c>
      <c r="G3150" s="35">
        <v>356715</v>
      </c>
      <c r="H3150" s="35">
        <v>390550</v>
      </c>
      <c r="I3150" s="35">
        <v>200020</v>
      </c>
      <c r="J3150" s="34" t="s">
        <v>458</v>
      </c>
      <c r="K3150" s="34" t="str">
        <f t="shared" si="101"/>
        <v>不重复</v>
      </c>
      <c r="L3150" s="34" t="str">
        <f t="shared" si="102"/>
        <v>不重复</v>
      </c>
    </row>
    <row r="3151" spans="1:12" ht="30">
      <c r="A3151" s="35" t="s">
        <v>13576</v>
      </c>
      <c r="B3151" s="35" t="s">
        <v>8533</v>
      </c>
      <c r="C3151" s="36" t="s">
        <v>8534</v>
      </c>
      <c r="D3151" s="35" t="s">
        <v>8535</v>
      </c>
      <c r="E3151" s="35" t="s">
        <v>13559</v>
      </c>
      <c r="F3151" s="35" t="s">
        <v>12483</v>
      </c>
      <c r="G3151" s="35">
        <v>356716</v>
      </c>
      <c r="H3151" s="35">
        <v>390550</v>
      </c>
      <c r="I3151" s="35">
        <v>200020</v>
      </c>
      <c r="J3151" s="34" t="s">
        <v>152</v>
      </c>
      <c r="K3151" s="34" t="str">
        <f t="shared" si="101"/>
        <v>重复</v>
      </c>
      <c r="L3151" s="34" t="str">
        <f t="shared" si="102"/>
        <v>不重复</v>
      </c>
    </row>
    <row r="3152" spans="1:12" ht="15">
      <c r="A3152" s="35" t="s">
        <v>13577</v>
      </c>
      <c r="B3152" s="35" t="s">
        <v>8536</v>
      </c>
      <c r="C3152" s="36" t="s">
        <v>830</v>
      </c>
      <c r="D3152" s="35" t="s">
        <v>8537</v>
      </c>
      <c r="E3152" s="35" t="s">
        <v>13559</v>
      </c>
      <c r="F3152" s="35" t="s">
        <v>12483</v>
      </c>
      <c r="G3152" s="35">
        <v>356717</v>
      </c>
      <c r="H3152" s="35">
        <v>390550</v>
      </c>
      <c r="I3152" s="35">
        <v>200020</v>
      </c>
      <c r="J3152" s="34" t="s">
        <v>8538</v>
      </c>
      <c r="K3152" s="34" t="str">
        <f t="shared" si="101"/>
        <v>重复</v>
      </c>
      <c r="L3152" s="34" t="str">
        <f t="shared" si="102"/>
        <v>不重复</v>
      </c>
    </row>
    <row r="3153" spans="1:12" ht="15">
      <c r="A3153" s="35" t="s">
        <v>13578</v>
      </c>
      <c r="B3153" s="35" t="s">
        <v>8539</v>
      </c>
      <c r="C3153" s="36" t="s">
        <v>4973</v>
      </c>
      <c r="D3153" s="35" t="s">
        <v>8540</v>
      </c>
      <c r="E3153" s="35" t="s">
        <v>13559</v>
      </c>
      <c r="F3153" s="35" t="s">
        <v>12483</v>
      </c>
      <c r="G3153" s="35">
        <v>356718</v>
      </c>
      <c r="H3153" s="35">
        <v>390550</v>
      </c>
      <c r="I3153" s="35">
        <v>200020</v>
      </c>
      <c r="J3153" s="34" t="s">
        <v>1274</v>
      </c>
      <c r="K3153" s="34" t="str">
        <f t="shared" si="101"/>
        <v>重复</v>
      </c>
      <c r="L3153" s="34" t="str">
        <f t="shared" si="102"/>
        <v>不重复</v>
      </c>
    </row>
    <row r="3154" spans="1:12" ht="30">
      <c r="A3154" s="35" t="s">
        <v>13579</v>
      </c>
      <c r="B3154" s="35" t="s">
        <v>8541</v>
      </c>
      <c r="C3154" s="36" t="s">
        <v>816</v>
      </c>
      <c r="D3154" s="35" t="s">
        <v>8542</v>
      </c>
      <c r="E3154" s="35" t="s">
        <v>13559</v>
      </c>
      <c r="F3154" s="35" t="s">
        <v>12483</v>
      </c>
      <c r="G3154" s="35">
        <v>356719</v>
      </c>
      <c r="H3154" s="35">
        <v>390550</v>
      </c>
      <c r="I3154" s="35">
        <v>200020</v>
      </c>
      <c r="J3154" s="34" t="s">
        <v>288</v>
      </c>
      <c r="K3154" s="34" t="str">
        <f t="shared" si="101"/>
        <v>重复</v>
      </c>
      <c r="L3154" s="34" t="str">
        <f t="shared" si="102"/>
        <v>重复</v>
      </c>
    </row>
    <row r="3155" spans="1:12" ht="30">
      <c r="A3155" s="35" t="s">
        <v>13580</v>
      </c>
      <c r="B3155" s="35" t="s">
        <v>8543</v>
      </c>
      <c r="C3155" s="36" t="s">
        <v>427</v>
      </c>
      <c r="D3155" s="35" t="s">
        <v>8544</v>
      </c>
      <c r="E3155" s="35" t="s">
        <v>13559</v>
      </c>
      <c r="F3155" s="35" t="s">
        <v>12483</v>
      </c>
      <c r="G3155" s="35">
        <v>356720</v>
      </c>
      <c r="H3155" s="35">
        <v>390550</v>
      </c>
      <c r="I3155" s="35">
        <v>200020</v>
      </c>
      <c r="J3155" s="34" t="s">
        <v>1103</v>
      </c>
      <c r="K3155" s="34" t="str">
        <f t="shared" si="101"/>
        <v>重复</v>
      </c>
      <c r="L3155" s="34" t="str">
        <f t="shared" si="102"/>
        <v>重复</v>
      </c>
    </row>
    <row r="3156" spans="1:12" ht="30">
      <c r="A3156" s="35" t="s">
        <v>13581</v>
      </c>
      <c r="B3156" s="35" t="s">
        <v>8545</v>
      </c>
      <c r="C3156" s="36" t="s">
        <v>8534</v>
      </c>
      <c r="D3156" s="35" t="s">
        <v>8546</v>
      </c>
      <c r="E3156" s="35" t="s">
        <v>13559</v>
      </c>
      <c r="F3156" s="35" t="s">
        <v>12483</v>
      </c>
      <c r="G3156" s="35">
        <v>356721</v>
      </c>
      <c r="H3156" s="35">
        <v>390550</v>
      </c>
      <c r="I3156" s="35">
        <v>200020</v>
      </c>
      <c r="J3156" s="34" t="s">
        <v>231</v>
      </c>
      <c r="K3156" s="34" t="str">
        <f t="shared" si="101"/>
        <v>重复</v>
      </c>
      <c r="L3156" s="34" t="str">
        <f t="shared" si="102"/>
        <v>不重复</v>
      </c>
    </row>
    <row r="3157" spans="1:12" ht="28.5">
      <c r="A3157" s="35" t="s">
        <v>13582</v>
      </c>
      <c r="B3157" s="35" t="s">
        <v>8547</v>
      </c>
      <c r="C3157" s="36" t="s">
        <v>8548</v>
      </c>
      <c r="D3157" s="35" t="s">
        <v>8549</v>
      </c>
      <c r="E3157" s="35" t="s">
        <v>13559</v>
      </c>
      <c r="F3157" s="35" t="s">
        <v>12483</v>
      </c>
      <c r="G3157" s="35">
        <v>356722</v>
      </c>
      <c r="H3157" s="35">
        <v>390550</v>
      </c>
      <c r="I3157" s="35">
        <v>200020</v>
      </c>
      <c r="J3157" s="34" t="s">
        <v>231</v>
      </c>
      <c r="K3157" s="34" t="str">
        <f t="shared" si="101"/>
        <v>不重复</v>
      </c>
      <c r="L3157" s="34" t="str">
        <f t="shared" si="102"/>
        <v>不重复</v>
      </c>
    </row>
    <row r="3158" spans="1:12" ht="30">
      <c r="A3158" s="35" t="s">
        <v>13583</v>
      </c>
      <c r="B3158" s="35" t="s">
        <v>8550</v>
      </c>
      <c r="C3158" s="36" t="s">
        <v>5055</v>
      </c>
      <c r="D3158" s="35" t="s">
        <v>8551</v>
      </c>
      <c r="E3158" s="35" t="s">
        <v>13559</v>
      </c>
      <c r="F3158" s="35" t="s">
        <v>12483</v>
      </c>
      <c r="G3158" s="35">
        <v>356723</v>
      </c>
      <c r="H3158" s="35">
        <v>390550</v>
      </c>
      <c r="I3158" s="35">
        <v>200020</v>
      </c>
      <c r="J3158" s="34" t="s">
        <v>317</v>
      </c>
      <c r="K3158" s="34" t="str">
        <f t="shared" si="101"/>
        <v>重复</v>
      </c>
      <c r="L3158" s="34" t="str">
        <f t="shared" si="102"/>
        <v>不重复</v>
      </c>
    </row>
    <row r="3159" spans="1:12" ht="30">
      <c r="A3159" s="35" t="s">
        <v>13584</v>
      </c>
      <c r="B3159" s="35" t="s">
        <v>8552</v>
      </c>
      <c r="C3159" s="36" t="s">
        <v>8553</v>
      </c>
      <c r="D3159" s="35" t="s">
        <v>6055</v>
      </c>
      <c r="E3159" s="35" t="s">
        <v>13559</v>
      </c>
      <c r="F3159" s="35" t="s">
        <v>12483</v>
      </c>
      <c r="G3159" s="35">
        <v>356724</v>
      </c>
      <c r="H3159" s="35">
        <v>390550</v>
      </c>
      <c r="I3159" s="35">
        <v>200020</v>
      </c>
      <c r="J3159" s="34" t="s">
        <v>5329</v>
      </c>
      <c r="K3159" s="34" t="str">
        <f t="shared" si="101"/>
        <v>重复</v>
      </c>
      <c r="L3159" s="34" t="str">
        <f t="shared" si="102"/>
        <v>重复</v>
      </c>
    </row>
    <row r="3160" spans="1:12" ht="28.5">
      <c r="A3160" s="35" t="s">
        <v>13585</v>
      </c>
      <c r="B3160" s="35" t="s">
        <v>8554</v>
      </c>
      <c r="C3160" s="36" t="s">
        <v>263</v>
      </c>
      <c r="D3160" s="35" t="s">
        <v>8521</v>
      </c>
      <c r="E3160" s="35" t="s">
        <v>13559</v>
      </c>
      <c r="F3160" s="35" t="s">
        <v>12483</v>
      </c>
      <c r="G3160" s="35">
        <v>356725</v>
      </c>
      <c r="H3160" s="35">
        <v>390550</v>
      </c>
      <c r="I3160" s="35">
        <v>200020</v>
      </c>
      <c r="J3160" s="34" t="s">
        <v>8555</v>
      </c>
      <c r="K3160" s="34" t="str">
        <f t="shared" si="101"/>
        <v>重复</v>
      </c>
      <c r="L3160" s="34" t="str">
        <f t="shared" si="102"/>
        <v>重复</v>
      </c>
    </row>
    <row r="3161" spans="1:12" ht="28.5">
      <c r="A3161" s="35" t="s">
        <v>13586</v>
      </c>
      <c r="B3161" s="35" t="s">
        <v>8556</v>
      </c>
      <c r="C3161" s="36" t="s">
        <v>8557</v>
      </c>
      <c r="D3161" s="35" t="s">
        <v>2174</v>
      </c>
      <c r="E3161" s="35" t="s">
        <v>13559</v>
      </c>
      <c r="F3161" s="35" t="s">
        <v>12483</v>
      </c>
      <c r="G3161" s="35">
        <v>356726</v>
      </c>
      <c r="H3161" s="35">
        <v>390550</v>
      </c>
      <c r="I3161" s="35">
        <v>200020</v>
      </c>
      <c r="J3161" s="34" t="s">
        <v>8555</v>
      </c>
      <c r="K3161" s="34" t="str">
        <f t="shared" si="101"/>
        <v>不重复</v>
      </c>
      <c r="L3161" s="34" t="str">
        <f t="shared" si="102"/>
        <v>重复</v>
      </c>
    </row>
    <row r="3162" spans="1:12" ht="30">
      <c r="A3162" s="35" t="s">
        <v>13587</v>
      </c>
      <c r="B3162" s="35" t="s">
        <v>8558</v>
      </c>
      <c r="C3162" s="36" t="s">
        <v>8559</v>
      </c>
      <c r="D3162" s="35" t="s">
        <v>8560</v>
      </c>
      <c r="E3162" s="35" t="s">
        <v>13559</v>
      </c>
      <c r="F3162" s="35" t="s">
        <v>12483</v>
      </c>
      <c r="G3162" s="35">
        <v>356727</v>
      </c>
      <c r="H3162" s="35">
        <v>390550</v>
      </c>
      <c r="I3162" s="35">
        <v>200020</v>
      </c>
      <c r="J3162" s="34" t="s">
        <v>1057</v>
      </c>
      <c r="K3162" s="34" t="str">
        <f t="shared" si="101"/>
        <v>不重复</v>
      </c>
      <c r="L3162" s="34" t="str">
        <f t="shared" si="102"/>
        <v>不重复</v>
      </c>
    </row>
    <row r="3163" spans="1:12" ht="30">
      <c r="A3163" s="35" t="s">
        <v>13588</v>
      </c>
      <c r="B3163" s="35" t="s">
        <v>8561</v>
      </c>
      <c r="C3163" s="36" t="s">
        <v>8562</v>
      </c>
      <c r="D3163" s="35" t="s">
        <v>8544</v>
      </c>
      <c r="E3163" s="35" t="s">
        <v>13559</v>
      </c>
      <c r="F3163" s="35" t="s">
        <v>12483</v>
      </c>
      <c r="G3163" s="35">
        <v>356728</v>
      </c>
      <c r="H3163" s="35">
        <v>390550</v>
      </c>
      <c r="I3163" s="35">
        <v>200020</v>
      </c>
      <c r="J3163" s="34" t="s">
        <v>715</v>
      </c>
      <c r="K3163" s="34" t="str">
        <f t="shared" si="101"/>
        <v>不重复</v>
      </c>
      <c r="L3163" s="34" t="str">
        <f t="shared" si="102"/>
        <v>重复</v>
      </c>
    </row>
    <row r="3164" spans="1:12" ht="30">
      <c r="A3164" s="35" t="s">
        <v>13589</v>
      </c>
      <c r="B3164" s="35" t="s">
        <v>8563</v>
      </c>
      <c r="C3164" s="36" t="s">
        <v>8564</v>
      </c>
      <c r="D3164" s="35" t="s">
        <v>8565</v>
      </c>
      <c r="E3164" s="35" t="s">
        <v>13559</v>
      </c>
      <c r="F3164" s="35" t="s">
        <v>12483</v>
      </c>
      <c r="G3164" s="35">
        <v>356729</v>
      </c>
      <c r="H3164" s="35">
        <v>390550</v>
      </c>
      <c r="I3164" s="35">
        <v>200020</v>
      </c>
      <c r="J3164" s="34" t="s">
        <v>137</v>
      </c>
      <c r="K3164" s="34" t="str">
        <f t="shared" si="101"/>
        <v>不重复</v>
      </c>
      <c r="L3164" s="34" t="str">
        <f t="shared" si="102"/>
        <v>不重复</v>
      </c>
    </row>
    <row r="3165" spans="1:12" ht="30">
      <c r="A3165" s="35" t="s">
        <v>13590</v>
      </c>
      <c r="B3165" s="35" t="s">
        <v>8566</v>
      </c>
      <c r="C3165" s="36" t="s">
        <v>8567</v>
      </c>
      <c r="D3165" s="35" t="s">
        <v>8568</v>
      </c>
      <c r="E3165" s="35" t="s">
        <v>13559</v>
      </c>
      <c r="F3165" s="35" t="s">
        <v>12483</v>
      </c>
      <c r="G3165" s="35">
        <v>356730</v>
      </c>
      <c r="H3165" s="35">
        <v>390550</v>
      </c>
      <c r="I3165" s="35">
        <v>200020</v>
      </c>
      <c r="J3165" s="34" t="s">
        <v>6688</v>
      </c>
      <c r="K3165" s="34" t="str">
        <f t="shared" si="101"/>
        <v>不重复</v>
      </c>
      <c r="L3165" s="34" t="str">
        <f t="shared" si="102"/>
        <v>不重复</v>
      </c>
    </row>
    <row r="3166" spans="1:12" ht="30">
      <c r="A3166" s="35" t="s">
        <v>13591</v>
      </c>
      <c r="B3166" s="35" t="s">
        <v>8569</v>
      </c>
      <c r="C3166" s="36" t="s">
        <v>420</v>
      </c>
      <c r="D3166" s="35" t="s">
        <v>8570</v>
      </c>
      <c r="E3166" s="35" t="s">
        <v>13559</v>
      </c>
      <c r="F3166" s="35" t="s">
        <v>12483</v>
      </c>
      <c r="G3166" s="35">
        <v>356731</v>
      </c>
      <c r="H3166" s="35">
        <v>390550</v>
      </c>
      <c r="I3166" s="35">
        <v>200020</v>
      </c>
      <c r="J3166" s="34" t="s">
        <v>2019</v>
      </c>
      <c r="K3166" s="34" t="str">
        <f t="shared" si="101"/>
        <v>重复</v>
      </c>
      <c r="L3166" s="34" t="str">
        <f t="shared" si="102"/>
        <v>不重复</v>
      </c>
    </row>
    <row r="3167" spans="1:12" ht="30">
      <c r="A3167" s="35" t="s">
        <v>13592</v>
      </c>
      <c r="B3167" s="35" t="s">
        <v>8571</v>
      </c>
      <c r="C3167" s="36" t="s">
        <v>8572</v>
      </c>
      <c r="D3167" s="35" t="s">
        <v>8573</v>
      </c>
      <c r="E3167" s="35" t="s">
        <v>13559</v>
      </c>
      <c r="F3167" s="35" t="s">
        <v>12483</v>
      </c>
      <c r="G3167" s="35">
        <v>356732</v>
      </c>
      <c r="H3167" s="35">
        <v>390550</v>
      </c>
      <c r="I3167" s="35">
        <v>200020</v>
      </c>
      <c r="J3167" s="34" t="s">
        <v>715</v>
      </c>
      <c r="K3167" s="34" t="str">
        <f t="shared" si="101"/>
        <v>不重复</v>
      </c>
      <c r="L3167" s="34" t="str">
        <f t="shared" si="102"/>
        <v>不重复</v>
      </c>
    </row>
    <row r="3168" spans="1:12" ht="28.5">
      <c r="A3168" s="35" t="s">
        <v>13593</v>
      </c>
      <c r="B3168" s="35" t="s">
        <v>8574</v>
      </c>
      <c r="C3168" s="36" t="s">
        <v>8575</v>
      </c>
      <c r="D3168" s="35" t="s">
        <v>8576</v>
      </c>
      <c r="E3168" s="35" t="s">
        <v>13559</v>
      </c>
      <c r="F3168" s="35" t="s">
        <v>12483</v>
      </c>
      <c r="G3168" s="35">
        <v>356733</v>
      </c>
      <c r="H3168" s="35">
        <v>390550</v>
      </c>
      <c r="I3168" s="35">
        <v>200020</v>
      </c>
      <c r="J3168" s="34" t="s">
        <v>2662</v>
      </c>
      <c r="K3168" s="34" t="str">
        <f t="shared" si="101"/>
        <v>不重复</v>
      </c>
      <c r="L3168" s="34" t="str">
        <f t="shared" si="102"/>
        <v>不重复</v>
      </c>
    </row>
    <row r="3169" spans="1:12" ht="28.5">
      <c r="A3169" s="35" t="s">
        <v>13594</v>
      </c>
      <c r="B3169" s="35" t="s">
        <v>8577</v>
      </c>
      <c r="C3169" s="36" t="s">
        <v>1074</v>
      </c>
      <c r="D3169" s="35" t="s">
        <v>8578</v>
      </c>
      <c r="E3169" s="35" t="s">
        <v>13559</v>
      </c>
      <c r="F3169" s="35" t="s">
        <v>12483</v>
      </c>
      <c r="G3169" s="35">
        <v>356734</v>
      </c>
      <c r="H3169" s="35">
        <v>390550</v>
      </c>
      <c r="I3169" s="35">
        <v>200020</v>
      </c>
      <c r="J3169" s="34" t="s">
        <v>962</v>
      </c>
      <c r="K3169" s="34" t="str">
        <f t="shared" si="101"/>
        <v>重复</v>
      </c>
      <c r="L3169" s="34" t="str">
        <f t="shared" si="102"/>
        <v>不重复</v>
      </c>
    </row>
    <row r="3170" spans="1:12" ht="28.5">
      <c r="A3170" s="35" t="s">
        <v>13595</v>
      </c>
      <c r="B3170" s="35" t="s">
        <v>8579</v>
      </c>
      <c r="C3170" s="36" t="s">
        <v>2071</v>
      </c>
      <c r="D3170" s="35" t="s">
        <v>8580</v>
      </c>
      <c r="E3170" s="35" t="s">
        <v>13559</v>
      </c>
      <c r="F3170" s="35" t="s">
        <v>12483</v>
      </c>
      <c r="G3170" s="35">
        <v>356735</v>
      </c>
      <c r="H3170" s="35">
        <v>390550</v>
      </c>
      <c r="I3170" s="35">
        <v>200020</v>
      </c>
      <c r="J3170" s="34" t="s">
        <v>1288</v>
      </c>
      <c r="K3170" s="34" t="str">
        <f t="shared" si="101"/>
        <v>重复</v>
      </c>
      <c r="L3170" s="34" t="str">
        <f t="shared" si="102"/>
        <v>不重复</v>
      </c>
    </row>
    <row r="3171" spans="1:12" ht="28.5">
      <c r="A3171" s="35" t="s">
        <v>13596</v>
      </c>
      <c r="B3171" s="35" t="s">
        <v>8581</v>
      </c>
      <c r="C3171" s="36" t="s">
        <v>2040</v>
      </c>
      <c r="D3171" s="35" t="s">
        <v>5669</v>
      </c>
      <c r="E3171" s="35" t="s">
        <v>13559</v>
      </c>
      <c r="F3171" s="35" t="s">
        <v>12483</v>
      </c>
      <c r="G3171" s="35">
        <v>356736</v>
      </c>
      <c r="H3171" s="35">
        <v>390550</v>
      </c>
      <c r="I3171" s="35">
        <v>200020</v>
      </c>
      <c r="J3171" s="34" t="s">
        <v>6346</v>
      </c>
      <c r="K3171" s="34" t="str">
        <f t="shared" si="101"/>
        <v>重复</v>
      </c>
      <c r="L3171" s="34" t="str">
        <f t="shared" si="102"/>
        <v>重复</v>
      </c>
    </row>
    <row r="3172" spans="1:12" ht="15">
      <c r="A3172" s="35" t="s">
        <v>13597</v>
      </c>
      <c r="B3172" s="35" t="s">
        <v>8582</v>
      </c>
      <c r="C3172" s="36" t="s">
        <v>8583</v>
      </c>
      <c r="D3172" s="35" t="s">
        <v>8584</v>
      </c>
      <c r="E3172" s="35" t="s">
        <v>13597</v>
      </c>
      <c r="F3172" s="35" t="s">
        <v>12483</v>
      </c>
      <c r="G3172" s="35">
        <v>356800</v>
      </c>
      <c r="H3172" s="35">
        <v>390560</v>
      </c>
      <c r="I3172" s="35">
        <v>200020</v>
      </c>
      <c r="J3172" s="34" t="s">
        <v>16</v>
      </c>
      <c r="K3172" s="34" t="str">
        <f t="shared" si="101"/>
        <v>不重复</v>
      </c>
      <c r="L3172" s="34" t="str">
        <f t="shared" si="102"/>
        <v>不重复</v>
      </c>
    </row>
    <row r="3173" spans="1:12" ht="15">
      <c r="A3173" s="35" t="s">
        <v>13598</v>
      </c>
      <c r="B3173" s="35" t="s">
        <v>8585</v>
      </c>
      <c r="C3173" s="36" t="s">
        <v>2347</v>
      </c>
      <c r="D3173" s="35" t="s">
        <v>8586</v>
      </c>
      <c r="E3173" s="35" t="s">
        <v>13597</v>
      </c>
      <c r="F3173" s="35" t="s">
        <v>12483</v>
      </c>
      <c r="G3173" s="35">
        <v>356801</v>
      </c>
      <c r="H3173" s="35">
        <v>390560</v>
      </c>
      <c r="I3173" s="35">
        <v>200020</v>
      </c>
      <c r="J3173" s="34" t="s">
        <v>347</v>
      </c>
      <c r="K3173" s="34" t="str">
        <f t="shared" si="101"/>
        <v>重复</v>
      </c>
      <c r="L3173" s="34" t="str">
        <f t="shared" si="102"/>
        <v>不重复</v>
      </c>
    </row>
    <row r="3174" spans="1:12" ht="15">
      <c r="A3174" s="35" t="s">
        <v>13599</v>
      </c>
      <c r="B3174" s="35" t="s">
        <v>8587</v>
      </c>
      <c r="C3174" s="36" t="s">
        <v>8588</v>
      </c>
      <c r="D3174" s="35" t="s">
        <v>8589</v>
      </c>
      <c r="E3174" s="35" t="s">
        <v>13597</v>
      </c>
      <c r="F3174" s="35" t="s">
        <v>12483</v>
      </c>
      <c r="G3174" s="35">
        <v>356802</v>
      </c>
      <c r="H3174" s="35">
        <v>390560</v>
      </c>
      <c r="I3174" s="35">
        <v>200020</v>
      </c>
      <c r="J3174" s="34" t="s">
        <v>8590</v>
      </c>
      <c r="K3174" s="34" t="str">
        <f t="shared" si="101"/>
        <v>不重复</v>
      </c>
      <c r="L3174" s="34" t="str">
        <f t="shared" si="102"/>
        <v>不重复</v>
      </c>
    </row>
    <row r="3175" spans="1:12" ht="27">
      <c r="A3175" s="35" t="s">
        <v>13600</v>
      </c>
      <c r="B3175" s="35" t="s">
        <v>8591</v>
      </c>
      <c r="C3175" s="36" t="s">
        <v>8592</v>
      </c>
      <c r="D3175" s="35" t="s">
        <v>8593</v>
      </c>
      <c r="E3175" s="35" t="s">
        <v>13597</v>
      </c>
      <c r="F3175" s="35" t="s">
        <v>12483</v>
      </c>
      <c r="G3175" s="35">
        <v>356803</v>
      </c>
      <c r="H3175" s="35">
        <v>390560</v>
      </c>
      <c r="I3175" s="35">
        <v>200020</v>
      </c>
      <c r="J3175" s="34" t="s">
        <v>363</v>
      </c>
      <c r="K3175" s="34" t="str">
        <f t="shared" si="101"/>
        <v>不重复</v>
      </c>
      <c r="L3175" s="34" t="str">
        <f t="shared" si="102"/>
        <v>不重复</v>
      </c>
    </row>
    <row r="3176" spans="1:12" ht="27">
      <c r="A3176" s="35" t="s">
        <v>13601</v>
      </c>
      <c r="B3176" s="35" t="s">
        <v>8594</v>
      </c>
      <c r="C3176" s="36" t="s">
        <v>8595</v>
      </c>
      <c r="D3176" s="35" t="s">
        <v>8596</v>
      </c>
      <c r="E3176" s="35" t="s">
        <v>13597</v>
      </c>
      <c r="F3176" s="35" t="s">
        <v>12483</v>
      </c>
      <c r="G3176" s="35">
        <v>356804</v>
      </c>
      <c r="H3176" s="35">
        <v>390560</v>
      </c>
      <c r="I3176" s="35">
        <v>200020</v>
      </c>
      <c r="J3176" s="34" t="s">
        <v>932</v>
      </c>
      <c r="K3176" s="34" t="str">
        <f t="shared" si="101"/>
        <v>重复</v>
      </c>
      <c r="L3176" s="34" t="str">
        <f t="shared" si="102"/>
        <v>不重复</v>
      </c>
    </row>
    <row r="3177" spans="1:12" ht="15">
      <c r="A3177" s="35" t="s">
        <v>13602</v>
      </c>
      <c r="B3177" s="35" t="s">
        <v>8597</v>
      </c>
      <c r="C3177" s="36" t="s">
        <v>8598</v>
      </c>
      <c r="D3177" s="35" t="s">
        <v>8599</v>
      </c>
      <c r="E3177" s="35" t="s">
        <v>13597</v>
      </c>
      <c r="F3177" s="35" t="s">
        <v>12483</v>
      </c>
      <c r="G3177" s="35">
        <v>356805</v>
      </c>
      <c r="H3177" s="35">
        <v>390560</v>
      </c>
      <c r="I3177" s="35">
        <v>200020</v>
      </c>
      <c r="J3177" s="34" t="s">
        <v>5329</v>
      </c>
      <c r="K3177" s="34" t="str">
        <f t="shared" si="101"/>
        <v>重复</v>
      </c>
      <c r="L3177" s="34" t="str">
        <f t="shared" si="102"/>
        <v>不重复</v>
      </c>
    </row>
    <row r="3178" spans="1:12" ht="27">
      <c r="A3178" s="35" t="s">
        <v>13603</v>
      </c>
      <c r="B3178" s="35" t="s">
        <v>8600</v>
      </c>
      <c r="C3178" s="36" t="s">
        <v>6939</v>
      </c>
      <c r="D3178" s="35" t="s">
        <v>8601</v>
      </c>
      <c r="E3178" s="35" t="s">
        <v>13597</v>
      </c>
      <c r="F3178" s="35" t="s">
        <v>12483</v>
      </c>
      <c r="G3178" s="35">
        <v>356806</v>
      </c>
      <c r="H3178" s="35">
        <v>390560</v>
      </c>
      <c r="I3178" s="35">
        <v>200020</v>
      </c>
      <c r="J3178" s="34" t="s">
        <v>985</v>
      </c>
      <c r="K3178" s="34" t="str">
        <f t="shared" si="101"/>
        <v>重复</v>
      </c>
      <c r="L3178" s="34" t="str">
        <f t="shared" si="102"/>
        <v>不重复</v>
      </c>
    </row>
    <row r="3179" spans="1:12" ht="27">
      <c r="A3179" s="35" t="s">
        <v>13604</v>
      </c>
      <c r="B3179" s="35" t="s">
        <v>8602</v>
      </c>
      <c r="C3179" s="36" t="s">
        <v>1065</v>
      </c>
      <c r="D3179" s="35" t="s">
        <v>8603</v>
      </c>
      <c r="E3179" s="35" t="s">
        <v>13597</v>
      </c>
      <c r="F3179" s="35" t="s">
        <v>12483</v>
      </c>
      <c r="G3179" s="35">
        <v>356807</v>
      </c>
      <c r="H3179" s="35">
        <v>390560</v>
      </c>
      <c r="I3179" s="35">
        <v>200020</v>
      </c>
      <c r="J3179" s="34" t="s">
        <v>89</v>
      </c>
      <c r="K3179" s="34" t="str">
        <f t="shared" si="101"/>
        <v>重复</v>
      </c>
      <c r="L3179" s="34" t="str">
        <f t="shared" si="102"/>
        <v>不重复</v>
      </c>
    </row>
    <row r="3180" spans="1:12" ht="27">
      <c r="A3180" s="35" t="s">
        <v>13605</v>
      </c>
      <c r="B3180" s="35" t="s">
        <v>8604</v>
      </c>
      <c r="C3180" s="36" t="s">
        <v>2040</v>
      </c>
      <c r="D3180" s="35" t="s">
        <v>8605</v>
      </c>
      <c r="E3180" s="35" t="s">
        <v>13597</v>
      </c>
      <c r="F3180" s="35" t="s">
        <v>12483</v>
      </c>
      <c r="G3180" s="35">
        <v>356808</v>
      </c>
      <c r="H3180" s="35">
        <v>390560</v>
      </c>
      <c r="I3180" s="35">
        <v>200020</v>
      </c>
      <c r="J3180" s="34" t="s">
        <v>668</v>
      </c>
      <c r="K3180" s="34" t="str">
        <f t="shared" si="101"/>
        <v>重复</v>
      </c>
      <c r="L3180" s="34" t="str">
        <f t="shared" si="102"/>
        <v>不重复</v>
      </c>
    </row>
    <row r="3181" spans="1:12" ht="27">
      <c r="A3181" s="35" t="s">
        <v>13606</v>
      </c>
      <c r="B3181" s="35" t="s">
        <v>8606</v>
      </c>
      <c r="C3181" s="36" t="s">
        <v>990</v>
      </c>
      <c r="D3181" s="35" t="s">
        <v>8607</v>
      </c>
      <c r="E3181" s="35" t="s">
        <v>13597</v>
      </c>
      <c r="F3181" s="35" t="s">
        <v>12483</v>
      </c>
      <c r="G3181" s="35">
        <v>356809</v>
      </c>
      <c r="H3181" s="35">
        <v>390560</v>
      </c>
      <c r="I3181" s="35">
        <v>200020</v>
      </c>
      <c r="J3181" s="34" t="s">
        <v>8608</v>
      </c>
      <c r="K3181" s="34" t="str">
        <f t="shared" si="101"/>
        <v>重复</v>
      </c>
      <c r="L3181" s="34" t="str">
        <f t="shared" si="102"/>
        <v>不重复</v>
      </c>
    </row>
    <row r="3182" spans="1:12" ht="27">
      <c r="A3182" s="35" t="s">
        <v>13607</v>
      </c>
      <c r="B3182" s="35" t="s">
        <v>8609</v>
      </c>
      <c r="C3182" s="36" t="s">
        <v>636</v>
      </c>
      <c r="D3182" s="35" t="s">
        <v>8610</v>
      </c>
      <c r="E3182" s="35" t="s">
        <v>13597</v>
      </c>
      <c r="F3182" s="35" t="s">
        <v>12483</v>
      </c>
      <c r="G3182" s="35">
        <v>356810</v>
      </c>
      <c r="H3182" s="35">
        <v>390560</v>
      </c>
      <c r="I3182" s="35">
        <v>200020</v>
      </c>
      <c r="J3182" s="34" t="s">
        <v>932</v>
      </c>
      <c r="K3182" s="34" t="str">
        <f t="shared" si="101"/>
        <v>重复</v>
      </c>
      <c r="L3182" s="34" t="str">
        <f t="shared" si="102"/>
        <v>不重复</v>
      </c>
    </row>
    <row r="3183" spans="1:12" ht="15">
      <c r="A3183" s="35" t="s">
        <v>13608</v>
      </c>
      <c r="B3183" s="35" t="s">
        <v>8611</v>
      </c>
      <c r="C3183" s="36" t="s">
        <v>8612</v>
      </c>
      <c r="D3183" s="35" t="s">
        <v>8613</v>
      </c>
      <c r="E3183" s="35" t="s">
        <v>13597</v>
      </c>
      <c r="F3183" s="35" t="s">
        <v>12483</v>
      </c>
      <c r="G3183" s="35">
        <v>356811</v>
      </c>
      <c r="H3183" s="35">
        <v>390560</v>
      </c>
      <c r="I3183" s="35">
        <v>200020</v>
      </c>
      <c r="J3183" s="34" t="s">
        <v>89</v>
      </c>
      <c r="K3183" s="34" t="str">
        <f t="shared" si="101"/>
        <v>不重复</v>
      </c>
      <c r="L3183" s="34" t="str">
        <f t="shared" si="102"/>
        <v>不重复</v>
      </c>
    </row>
    <row r="3184" spans="1:12" ht="15">
      <c r="A3184" s="35" t="s">
        <v>13609</v>
      </c>
      <c r="B3184" s="35" t="s">
        <v>8614</v>
      </c>
      <c r="C3184" s="36" t="s">
        <v>8615</v>
      </c>
      <c r="D3184" s="35" t="s">
        <v>8616</v>
      </c>
      <c r="E3184" s="35" t="s">
        <v>13597</v>
      </c>
      <c r="F3184" s="35" t="s">
        <v>12483</v>
      </c>
      <c r="G3184" s="35">
        <v>356812</v>
      </c>
      <c r="H3184" s="35">
        <v>390560</v>
      </c>
      <c r="I3184" s="35">
        <v>200020</v>
      </c>
      <c r="J3184" s="34" t="s">
        <v>932</v>
      </c>
      <c r="K3184" s="34" t="str">
        <f t="shared" si="101"/>
        <v>重复</v>
      </c>
      <c r="L3184" s="34" t="str">
        <f t="shared" si="102"/>
        <v>不重复</v>
      </c>
    </row>
    <row r="3185" spans="1:12" ht="15">
      <c r="A3185" s="35" t="s">
        <v>13610</v>
      </c>
      <c r="B3185" s="35" t="s">
        <v>8617</v>
      </c>
      <c r="C3185" s="36" t="s">
        <v>8598</v>
      </c>
      <c r="D3185" s="35" t="s">
        <v>8618</v>
      </c>
      <c r="E3185" s="35" t="s">
        <v>13597</v>
      </c>
      <c r="F3185" s="35" t="s">
        <v>12483</v>
      </c>
      <c r="G3185" s="35">
        <v>356813</v>
      </c>
      <c r="H3185" s="35">
        <v>390560</v>
      </c>
      <c r="I3185" s="35">
        <v>200020</v>
      </c>
      <c r="J3185" s="34" t="s">
        <v>8619</v>
      </c>
      <c r="K3185" s="34" t="str">
        <f t="shared" si="101"/>
        <v>重复</v>
      </c>
      <c r="L3185" s="34" t="str">
        <f t="shared" si="102"/>
        <v>不重复</v>
      </c>
    </row>
    <row r="3186" spans="1:12" ht="27">
      <c r="A3186" s="35" t="s">
        <v>13611</v>
      </c>
      <c r="B3186" s="35" t="s">
        <v>8620</v>
      </c>
      <c r="C3186" s="36" t="s">
        <v>2834</v>
      </c>
      <c r="D3186" s="35" t="s">
        <v>8621</v>
      </c>
      <c r="E3186" s="35" t="s">
        <v>13612</v>
      </c>
      <c r="F3186" s="35" t="s">
        <v>12483</v>
      </c>
      <c r="G3186" s="35">
        <v>357000</v>
      </c>
      <c r="H3186" s="35">
        <v>390570</v>
      </c>
      <c r="I3186" s="35">
        <v>200020</v>
      </c>
      <c r="J3186" s="34" t="s">
        <v>8622</v>
      </c>
      <c r="K3186" s="34" t="str">
        <f t="shared" si="101"/>
        <v>重复</v>
      </c>
      <c r="L3186" s="34" t="str">
        <f t="shared" si="102"/>
        <v>不重复</v>
      </c>
    </row>
    <row r="3187" spans="1:12" ht="27">
      <c r="A3187" s="35" t="s">
        <v>13613</v>
      </c>
      <c r="B3187" s="35" t="s">
        <v>8623</v>
      </c>
      <c r="C3187" s="36" t="s">
        <v>6561</v>
      </c>
      <c r="D3187" s="35" t="s">
        <v>8624</v>
      </c>
      <c r="E3187" s="35" t="s">
        <v>13612</v>
      </c>
      <c r="F3187" s="35" t="s">
        <v>12483</v>
      </c>
      <c r="G3187" s="35">
        <v>357001</v>
      </c>
      <c r="H3187" s="35">
        <v>390570</v>
      </c>
      <c r="I3187" s="35">
        <v>200020</v>
      </c>
      <c r="J3187" s="34" t="s">
        <v>458</v>
      </c>
      <c r="K3187" s="34" t="str">
        <f t="shared" si="101"/>
        <v>重复</v>
      </c>
      <c r="L3187" s="34" t="str">
        <f t="shared" si="102"/>
        <v>不重复</v>
      </c>
    </row>
    <row r="3188" spans="1:12" ht="27">
      <c r="A3188" s="35" t="s">
        <v>13614</v>
      </c>
      <c r="B3188" s="35" t="s">
        <v>8625</v>
      </c>
      <c r="C3188" s="36" t="s">
        <v>8626</v>
      </c>
      <c r="D3188" s="35" t="s">
        <v>8627</v>
      </c>
      <c r="E3188" s="35" t="s">
        <v>13612</v>
      </c>
      <c r="F3188" s="35" t="s">
        <v>12483</v>
      </c>
      <c r="G3188" s="35">
        <v>357002</v>
      </c>
      <c r="H3188" s="35">
        <v>390570</v>
      </c>
      <c r="I3188" s="35">
        <v>200020</v>
      </c>
      <c r="J3188" s="34" t="s">
        <v>878</v>
      </c>
      <c r="K3188" s="34" t="str">
        <f t="shared" si="101"/>
        <v>不重复</v>
      </c>
      <c r="L3188" s="34" t="str">
        <f t="shared" si="102"/>
        <v>不重复</v>
      </c>
    </row>
    <row r="3189" spans="1:12" ht="27">
      <c r="A3189" s="35" t="s">
        <v>13615</v>
      </c>
      <c r="B3189" s="35" t="s">
        <v>8628</v>
      </c>
      <c r="C3189" s="36" t="s">
        <v>6321</v>
      </c>
      <c r="D3189" s="35" t="s">
        <v>8629</v>
      </c>
      <c r="E3189" s="35" t="s">
        <v>13612</v>
      </c>
      <c r="F3189" s="35" t="s">
        <v>12483</v>
      </c>
      <c r="G3189" s="35">
        <v>357003</v>
      </c>
      <c r="H3189" s="35">
        <v>390570</v>
      </c>
      <c r="I3189" s="35">
        <v>200020</v>
      </c>
      <c r="J3189" s="34" t="s">
        <v>688</v>
      </c>
      <c r="K3189" s="34" t="str">
        <f t="shared" si="101"/>
        <v>重复</v>
      </c>
      <c r="L3189" s="34" t="str">
        <f t="shared" si="102"/>
        <v>不重复</v>
      </c>
    </row>
    <row r="3190" spans="1:12" ht="30">
      <c r="A3190" s="35" t="s">
        <v>13616</v>
      </c>
      <c r="B3190" s="35" t="s">
        <v>8630</v>
      </c>
      <c r="C3190" s="36" t="s">
        <v>8631</v>
      </c>
      <c r="D3190" s="35" t="s">
        <v>8632</v>
      </c>
      <c r="E3190" s="35" t="s">
        <v>13612</v>
      </c>
      <c r="F3190" s="35" t="s">
        <v>12483</v>
      </c>
      <c r="G3190" s="35">
        <v>357004</v>
      </c>
      <c r="H3190" s="35">
        <v>390570</v>
      </c>
      <c r="I3190" s="35">
        <v>200020</v>
      </c>
      <c r="J3190" s="34" t="s">
        <v>6484</v>
      </c>
      <c r="K3190" s="34" t="str">
        <f t="shared" si="101"/>
        <v>不重复</v>
      </c>
      <c r="L3190" s="34" t="str">
        <f t="shared" si="102"/>
        <v>不重复</v>
      </c>
    </row>
    <row r="3191" spans="1:12" ht="30">
      <c r="A3191" s="35" t="s">
        <v>13617</v>
      </c>
      <c r="B3191" s="35" t="s">
        <v>8633</v>
      </c>
      <c r="C3191" s="36" t="s">
        <v>5417</v>
      </c>
      <c r="D3191" s="35" t="s">
        <v>8634</v>
      </c>
      <c r="E3191" s="35" t="s">
        <v>13612</v>
      </c>
      <c r="F3191" s="35" t="s">
        <v>12483</v>
      </c>
      <c r="G3191" s="35">
        <v>357005</v>
      </c>
      <c r="H3191" s="35">
        <v>390570</v>
      </c>
      <c r="I3191" s="35">
        <v>200020</v>
      </c>
      <c r="J3191" s="34" t="s">
        <v>6300</v>
      </c>
      <c r="K3191" s="34" t="str">
        <f t="shared" si="101"/>
        <v>重复</v>
      </c>
      <c r="L3191" s="34" t="str">
        <f t="shared" si="102"/>
        <v>重复</v>
      </c>
    </row>
    <row r="3192" spans="1:12" ht="27">
      <c r="A3192" s="35" t="s">
        <v>13618</v>
      </c>
      <c r="B3192" s="35" t="s">
        <v>8635</v>
      </c>
      <c r="C3192" s="36" t="s">
        <v>8636</v>
      </c>
      <c r="D3192" s="35" t="s">
        <v>7488</v>
      </c>
      <c r="E3192" s="35" t="s">
        <v>13612</v>
      </c>
      <c r="F3192" s="35" t="s">
        <v>12483</v>
      </c>
      <c r="G3192" s="35">
        <v>357006</v>
      </c>
      <c r="H3192" s="35">
        <v>390570</v>
      </c>
      <c r="I3192" s="35">
        <v>200020</v>
      </c>
      <c r="J3192" s="34" t="s">
        <v>89</v>
      </c>
      <c r="K3192" s="34" t="str">
        <f t="shared" si="101"/>
        <v>不重复</v>
      </c>
      <c r="L3192" s="34" t="str">
        <f t="shared" si="102"/>
        <v>重复</v>
      </c>
    </row>
    <row r="3193" spans="1:12" ht="27">
      <c r="A3193" s="35" t="s">
        <v>13619</v>
      </c>
      <c r="B3193" s="35" t="s">
        <v>8637</v>
      </c>
      <c r="C3193" s="36" t="s">
        <v>8638</v>
      </c>
      <c r="D3193" s="35" t="s">
        <v>8639</v>
      </c>
      <c r="E3193" s="35" t="s">
        <v>13612</v>
      </c>
      <c r="F3193" s="35" t="s">
        <v>12483</v>
      </c>
      <c r="G3193" s="35">
        <v>357007</v>
      </c>
      <c r="H3193" s="35">
        <v>390570</v>
      </c>
      <c r="I3193" s="35">
        <v>200020</v>
      </c>
      <c r="J3193" s="34" t="s">
        <v>2007</v>
      </c>
      <c r="K3193" s="34" t="str">
        <f t="shared" si="101"/>
        <v>不重复</v>
      </c>
      <c r="L3193" s="34" t="str">
        <f t="shared" si="102"/>
        <v>重复</v>
      </c>
    </row>
    <row r="3194" spans="1:12" ht="27">
      <c r="A3194" s="35" t="s">
        <v>13620</v>
      </c>
      <c r="B3194" s="35" t="s">
        <v>8640</v>
      </c>
      <c r="C3194" s="36" t="s">
        <v>8641</v>
      </c>
      <c r="D3194" s="35" t="s">
        <v>8639</v>
      </c>
      <c r="E3194" s="35" t="s">
        <v>13612</v>
      </c>
      <c r="F3194" s="35" t="s">
        <v>12483</v>
      </c>
      <c r="G3194" s="35">
        <v>357008</v>
      </c>
      <c r="H3194" s="35">
        <v>390570</v>
      </c>
      <c r="I3194" s="35">
        <v>200020</v>
      </c>
      <c r="J3194" s="34" t="s">
        <v>422</v>
      </c>
      <c r="K3194" s="34" t="str">
        <f t="shared" si="101"/>
        <v>不重复</v>
      </c>
      <c r="L3194" s="34" t="str">
        <f t="shared" si="102"/>
        <v>重复</v>
      </c>
    </row>
    <row r="3195" spans="1:12" ht="27">
      <c r="A3195" s="35" t="s">
        <v>13621</v>
      </c>
      <c r="B3195" s="35" t="s">
        <v>8642</v>
      </c>
      <c r="C3195" s="36" t="s">
        <v>6315</v>
      </c>
      <c r="D3195" s="35" t="s">
        <v>8643</v>
      </c>
      <c r="E3195" s="35" t="s">
        <v>13612</v>
      </c>
      <c r="F3195" s="35" t="s">
        <v>12483</v>
      </c>
      <c r="G3195" s="35">
        <v>357009</v>
      </c>
      <c r="H3195" s="35">
        <v>390570</v>
      </c>
      <c r="I3195" s="35">
        <v>200020</v>
      </c>
      <c r="J3195" s="34" t="s">
        <v>688</v>
      </c>
      <c r="K3195" s="34" t="str">
        <f t="shared" si="101"/>
        <v>重复</v>
      </c>
      <c r="L3195" s="34" t="str">
        <f t="shared" si="102"/>
        <v>不重复</v>
      </c>
    </row>
    <row r="3196" spans="1:12" ht="27">
      <c r="A3196" s="35" t="s">
        <v>13622</v>
      </c>
      <c r="B3196" s="35" t="s">
        <v>8644</v>
      </c>
      <c r="C3196" s="36" t="s">
        <v>6031</v>
      </c>
      <c r="D3196" s="35" t="s">
        <v>8645</v>
      </c>
      <c r="E3196" s="35" t="s">
        <v>13612</v>
      </c>
      <c r="F3196" s="35" t="s">
        <v>12483</v>
      </c>
      <c r="G3196" s="35">
        <v>357010</v>
      </c>
      <c r="H3196" s="35">
        <v>390570</v>
      </c>
      <c r="I3196" s="35">
        <v>200020</v>
      </c>
      <c r="J3196" s="34" t="s">
        <v>2034</v>
      </c>
      <c r="K3196" s="34" t="str">
        <f t="shared" si="101"/>
        <v>重复</v>
      </c>
      <c r="L3196" s="34" t="str">
        <f t="shared" si="102"/>
        <v>不重复</v>
      </c>
    </row>
    <row r="3197" spans="1:12" ht="27">
      <c r="A3197" s="35" t="s">
        <v>13623</v>
      </c>
      <c r="B3197" s="35" t="s">
        <v>8646</v>
      </c>
      <c r="C3197" s="36" t="s">
        <v>8647</v>
      </c>
      <c r="D3197" s="35" t="s">
        <v>8648</v>
      </c>
      <c r="E3197" s="35" t="s">
        <v>13612</v>
      </c>
      <c r="F3197" s="35" t="s">
        <v>12483</v>
      </c>
      <c r="G3197" s="35">
        <v>357011</v>
      </c>
      <c r="H3197" s="35">
        <v>390570</v>
      </c>
      <c r="I3197" s="35">
        <v>200020</v>
      </c>
      <c r="J3197" s="34" t="s">
        <v>8649</v>
      </c>
      <c r="K3197" s="34" t="str">
        <f t="shared" si="101"/>
        <v>不重复</v>
      </c>
      <c r="L3197" s="34" t="str">
        <f t="shared" si="102"/>
        <v>不重复</v>
      </c>
    </row>
    <row r="3198" spans="1:12" ht="27">
      <c r="A3198" s="35" t="s">
        <v>13624</v>
      </c>
      <c r="B3198" s="35" t="s">
        <v>8650</v>
      </c>
      <c r="C3198" s="36" t="s">
        <v>6318</v>
      </c>
      <c r="D3198" s="35" t="s">
        <v>8651</v>
      </c>
      <c r="E3198" s="35" t="s">
        <v>13612</v>
      </c>
      <c r="F3198" s="35" t="s">
        <v>12483</v>
      </c>
      <c r="G3198" s="35">
        <v>357012</v>
      </c>
      <c r="H3198" s="35">
        <v>390570</v>
      </c>
      <c r="I3198" s="35">
        <v>200020</v>
      </c>
      <c r="J3198" s="34" t="s">
        <v>1186</v>
      </c>
      <c r="K3198" s="34" t="str">
        <f t="shared" si="101"/>
        <v>重复</v>
      </c>
      <c r="L3198" s="34" t="str">
        <f t="shared" si="102"/>
        <v>不重复</v>
      </c>
    </row>
    <row r="3199" spans="1:12" ht="27">
      <c r="A3199" s="35" t="s">
        <v>13625</v>
      </c>
      <c r="B3199" s="35" t="s">
        <v>8652</v>
      </c>
      <c r="C3199" s="36" t="s">
        <v>7644</v>
      </c>
      <c r="D3199" s="35" t="s">
        <v>8653</v>
      </c>
      <c r="E3199" s="35" t="s">
        <v>13612</v>
      </c>
      <c r="F3199" s="35" t="s">
        <v>12483</v>
      </c>
      <c r="G3199" s="35">
        <v>357013</v>
      </c>
      <c r="H3199" s="35">
        <v>390570</v>
      </c>
      <c r="I3199" s="35">
        <v>200020</v>
      </c>
      <c r="J3199" s="34" t="s">
        <v>89</v>
      </c>
      <c r="K3199" s="34" t="str">
        <f t="shared" si="101"/>
        <v>重复</v>
      </c>
      <c r="L3199" s="34" t="str">
        <f t="shared" si="102"/>
        <v>不重复</v>
      </c>
    </row>
    <row r="3200" spans="1:12" ht="30">
      <c r="A3200" s="35" t="s">
        <v>13626</v>
      </c>
      <c r="B3200" s="35" t="s">
        <v>8654</v>
      </c>
      <c r="C3200" s="36" t="s">
        <v>8655</v>
      </c>
      <c r="D3200" s="35" t="s">
        <v>8656</v>
      </c>
      <c r="E3200" s="35" t="s">
        <v>13612</v>
      </c>
      <c r="F3200" s="35" t="s">
        <v>12483</v>
      </c>
      <c r="G3200" s="35">
        <v>357014</v>
      </c>
      <c r="H3200" s="35">
        <v>390570</v>
      </c>
      <c r="I3200" s="35">
        <v>200020</v>
      </c>
      <c r="J3200" s="34" t="s">
        <v>878</v>
      </c>
      <c r="K3200" s="34" t="str">
        <f t="shared" si="101"/>
        <v>不重复</v>
      </c>
      <c r="L3200" s="34" t="str">
        <f t="shared" si="102"/>
        <v>不重复</v>
      </c>
    </row>
    <row r="3201" spans="1:12" ht="27">
      <c r="A3201" s="35" t="s">
        <v>13627</v>
      </c>
      <c r="B3201" s="35" t="s">
        <v>8657</v>
      </c>
      <c r="C3201" s="36" t="s">
        <v>883</v>
      </c>
      <c r="D3201" s="35" t="s">
        <v>8658</v>
      </c>
      <c r="E3201" s="35" t="s">
        <v>13612</v>
      </c>
      <c r="F3201" s="35" t="s">
        <v>12483</v>
      </c>
      <c r="G3201" s="35">
        <v>357015</v>
      </c>
      <c r="H3201" s="35">
        <v>390570</v>
      </c>
      <c r="I3201" s="35">
        <v>200020</v>
      </c>
      <c r="J3201" s="34" t="s">
        <v>878</v>
      </c>
      <c r="K3201" s="34" t="str">
        <f t="shared" si="101"/>
        <v>重复</v>
      </c>
      <c r="L3201" s="34" t="str">
        <f t="shared" si="102"/>
        <v>不重复</v>
      </c>
    </row>
    <row r="3202" spans="1:12" ht="30">
      <c r="A3202" s="35" t="s">
        <v>13628</v>
      </c>
      <c r="B3202" s="35" t="s">
        <v>8659</v>
      </c>
      <c r="C3202" s="36" t="s">
        <v>8660</v>
      </c>
      <c r="D3202" s="35" t="s">
        <v>8661</v>
      </c>
      <c r="E3202" s="35" t="s">
        <v>13612</v>
      </c>
      <c r="F3202" s="35" t="s">
        <v>12483</v>
      </c>
      <c r="G3202" s="35">
        <v>357016</v>
      </c>
      <c r="H3202" s="35">
        <v>390570</v>
      </c>
      <c r="I3202" s="35">
        <v>200020</v>
      </c>
      <c r="J3202" s="34" t="s">
        <v>363</v>
      </c>
      <c r="K3202" s="34" t="str">
        <f t="shared" si="101"/>
        <v>不重复</v>
      </c>
      <c r="L3202" s="34" t="str">
        <f t="shared" si="102"/>
        <v>不重复</v>
      </c>
    </row>
    <row r="3203" spans="1:12" ht="27">
      <c r="A3203" s="35" t="s">
        <v>13629</v>
      </c>
      <c r="B3203" s="35" t="s">
        <v>8662</v>
      </c>
      <c r="C3203" s="36" t="s">
        <v>2196</v>
      </c>
      <c r="D3203" s="35" t="s">
        <v>8663</v>
      </c>
      <c r="E3203" s="35" t="s">
        <v>13612</v>
      </c>
      <c r="F3203" s="35" t="s">
        <v>12483</v>
      </c>
      <c r="G3203" s="35">
        <v>357017</v>
      </c>
      <c r="H3203" s="35">
        <v>390570</v>
      </c>
      <c r="I3203" s="35">
        <v>200020</v>
      </c>
      <c r="J3203" s="34" t="s">
        <v>668</v>
      </c>
      <c r="K3203" s="34" t="str">
        <f t="shared" si="101"/>
        <v>重复</v>
      </c>
      <c r="L3203" s="34" t="str">
        <f t="shared" si="102"/>
        <v>重复</v>
      </c>
    </row>
    <row r="3204" spans="1:12" ht="27">
      <c r="A3204" s="35" t="s">
        <v>13630</v>
      </c>
      <c r="B3204" s="35" t="s">
        <v>8664</v>
      </c>
      <c r="C3204" s="36" t="s">
        <v>8665</v>
      </c>
      <c r="D3204" s="35" t="s">
        <v>8666</v>
      </c>
      <c r="E3204" s="35" t="s">
        <v>13612</v>
      </c>
      <c r="F3204" s="35" t="s">
        <v>12483</v>
      </c>
      <c r="G3204" s="35">
        <v>357018</v>
      </c>
      <c r="H3204" s="35">
        <v>390570</v>
      </c>
      <c r="I3204" s="35">
        <v>200020</v>
      </c>
      <c r="J3204" s="34" t="s">
        <v>6346</v>
      </c>
      <c r="K3204" s="34" t="str">
        <f t="shared" si="101"/>
        <v>不重复</v>
      </c>
      <c r="L3204" s="34" t="str">
        <f t="shared" si="102"/>
        <v>不重复</v>
      </c>
    </row>
    <row r="3205" spans="1:12" ht="27">
      <c r="A3205" s="35" t="s">
        <v>13631</v>
      </c>
      <c r="B3205" s="35" t="s">
        <v>8667</v>
      </c>
      <c r="C3205" s="36" t="s">
        <v>8075</v>
      </c>
      <c r="D3205" s="35" t="s">
        <v>8668</v>
      </c>
      <c r="E3205" s="35" t="s">
        <v>13612</v>
      </c>
      <c r="F3205" s="35" t="s">
        <v>12483</v>
      </c>
      <c r="G3205" s="35">
        <v>357019</v>
      </c>
      <c r="H3205" s="35">
        <v>390570</v>
      </c>
      <c r="I3205" s="35">
        <v>200020</v>
      </c>
      <c r="J3205" s="34" t="s">
        <v>6080</v>
      </c>
      <c r="K3205" s="34" t="str">
        <f t="shared" si="101"/>
        <v>重复</v>
      </c>
      <c r="L3205" s="34" t="str">
        <f t="shared" si="102"/>
        <v>不重复</v>
      </c>
    </row>
    <row r="3206" spans="1:12" ht="27">
      <c r="A3206" s="35" t="s">
        <v>13632</v>
      </c>
      <c r="B3206" s="35" t="s">
        <v>8669</v>
      </c>
      <c r="C3206" s="36" t="s">
        <v>8670</v>
      </c>
      <c r="D3206" s="35" t="s">
        <v>8671</v>
      </c>
      <c r="E3206" s="35" t="s">
        <v>13612</v>
      </c>
      <c r="F3206" s="35" t="s">
        <v>12483</v>
      </c>
      <c r="G3206" s="35">
        <v>357020</v>
      </c>
      <c r="H3206" s="35">
        <v>390570</v>
      </c>
      <c r="I3206" s="35">
        <v>200020</v>
      </c>
      <c r="J3206" s="34" t="s">
        <v>347</v>
      </c>
      <c r="K3206" s="34" t="str">
        <f t="shared" si="101"/>
        <v>不重复</v>
      </c>
      <c r="L3206" s="34" t="str">
        <f t="shared" si="102"/>
        <v>不重复</v>
      </c>
    </row>
    <row r="3207" spans="1:12" ht="15">
      <c r="A3207" s="35" t="s">
        <v>13633</v>
      </c>
      <c r="B3207" s="35" t="s">
        <v>8672</v>
      </c>
      <c r="C3207" s="36" t="s">
        <v>8673</v>
      </c>
      <c r="D3207" s="35" t="s">
        <v>8674</v>
      </c>
      <c r="E3207" s="35" t="s">
        <v>13612</v>
      </c>
      <c r="F3207" s="35" t="s">
        <v>12483</v>
      </c>
      <c r="G3207" s="35">
        <v>357021</v>
      </c>
      <c r="H3207" s="35">
        <v>390570</v>
      </c>
      <c r="I3207" s="35">
        <v>200020</v>
      </c>
      <c r="J3207" s="34" t="s">
        <v>347</v>
      </c>
      <c r="K3207" s="34" t="str">
        <f t="shared" si="101"/>
        <v>不重复</v>
      </c>
      <c r="L3207" s="34" t="str">
        <f t="shared" si="102"/>
        <v>不重复</v>
      </c>
    </row>
    <row r="3208" spans="1:12" ht="15">
      <c r="A3208" s="35" t="s">
        <v>13634</v>
      </c>
      <c r="B3208" s="35" t="s">
        <v>8675</v>
      </c>
      <c r="C3208" s="36" t="s">
        <v>139</v>
      </c>
      <c r="D3208" s="35" t="s">
        <v>8676</v>
      </c>
      <c r="E3208" s="35" t="s">
        <v>13612</v>
      </c>
      <c r="F3208" s="35" t="s">
        <v>12483</v>
      </c>
      <c r="G3208" s="35">
        <v>357022</v>
      </c>
      <c r="H3208" s="35">
        <v>390570</v>
      </c>
      <c r="I3208" s="35">
        <v>200020</v>
      </c>
      <c r="J3208" s="34" t="s">
        <v>932</v>
      </c>
      <c r="K3208" s="34" t="str">
        <f t="shared" si="101"/>
        <v>重复</v>
      </c>
      <c r="L3208" s="34" t="str">
        <f t="shared" si="102"/>
        <v>不重复</v>
      </c>
    </row>
    <row r="3209" spans="1:12" ht="15">
      <c r="A3209" s="35" t="s">
        <v>13635</v>
      </c>
      <c r="B3209" s="35" t="s">
        <v>8677</v>
      </c>
      <c r="C3209" s="36" t="s">
        <v>8678</v>
      </c>
      <c r="D3209" s="35" t="s">
        <v>8679</v>
      </c>
      <c r="E3209" s="35" t="s">
        <v>13612</v>
      </c>
      <c r="F3209" s="35" t="s">
        <v>12483</v>
      </c>
      <c r="G3209" s="35">
        <v>357023</v>
      </c>
      <c r="H3209" s="35">
        <v>390570</v>
      </c>
      <c r="I3209" s="35">
        <v>200020</v>
      </c>
      <c r="J3209" s="34" t="s">
        <v>270</v>
      </c>
      <c r="K3209" s="34" t="str">
        <f t="shared" si="101"/>
        <v>不重复</v>
      </c>
      <c r="L3209" s="34" t="str">
        <f t="shared" si="102"/>
        <v>重复</v>
      </c>
    </row>
    <row r="3210" spans="1:12" ht="15">
      <c r="A3210" s="35" t="s">
        <v>13636</v>
      </c>
      <c r="B3210" s="35" t="s">
        <v>8680</v>
      </c>
      <c r="C3210" s="36" t="s">
        <v>2993</v>
      </c>
      <c r="D3210" s="35" t="s">
        <v>8679</v>
      </c>
      <c r="E3210" s="35" t="s">
        <v>13612</v>
      </c>
      <c r="F3210" s="35" t="s">
        <v>12483</v>
      </c>
      <c r="G3210" s="35">
        <v>357024</v>
      </c>
      <c r="H3210" s="35">
        <v>390570</v>
      </c>
      <c r="I3210" s="35">
        <v>200020</v>
      </c>
      <c r="J3210" s="34" t="s">
        <v>288</v>
      </c>
      <c r="K3210" s="34" t="str">
        <f t="shared" si="101"/>
        <v>重复</v>
      </c>
      <c r="L3210" s="34" t="str">
        <f t="shared" si="102"/>
        <v>重复</v>
      </c>
    </row>
    <row r="3211" spans="1:12" ht="15">
      <c r="A3211" s="35" t="s">
        <v>13637</v>
      </c>
      <c r="B3211" s="35" t="s">
        <v>8681</v>
      </c>
      <c r="C3211" s="36" t="s">
        <v>8682</v>
      </c>
      <c r="D3211" s="35" t="s">
        <v>8683</v>
      </c>
      <c r="E3211" s="35" t="s">
        <v>13612</v>
      </c>
      <c r="F3211" s="35" t="s">
        <v>12483</v>
      </c>
      <c r="G3211" s="35">
        <v>357025</v>
      </c>
      <c r="H3211" s="35">
        <v>390570</v>
      </c>
      <c r="I3211" s="35">
        <v>200020</v>
      </c>
      <c r="J3211" s="34" t="s">
        <v>668</v>
      </c>
      <c r="K3211" s="34" t="str">
        <f t="shared" si="101"/>
        <v>重复</v>
      </c>
      <c r="L3211" s="34" t="str">
        <f t="shared" si="102"/>
        <v>不重复</v>
      </c>
    </row>
    <row r="3212" spans="1:12" ht="15">
      <c r="A3212" s="35" t="s">
        <v>13638</v>
      </c>
      <c r="B3212" s="35" t="s">
        <v>8684</v>
      </c>
      <c r="C3212" s="36" t="s">
        <v>8174</v>
      </c>
      <c r="D3212" s="35" t="s">
        <v>8685</v>
      </c>
      <c r="E3212" s="35" t="s">
        <v>13612</v>
      </c>
      <c r="F3212" s="35" t="s">
        <v>12483</v>
      </c>
      <c r="G3212" s="35">
        <v>357026</v>
      </c>
      <c r="H3212" s="35">
        <v>390570</v>
      </c>
      <c r="I3212" s="35">
        <v>200020</v>
      </c>
      <c r="J3212" s="34" t="s">
        <v>4252</v>
      </c>
      <c r="K3212" s="34" t="str">
        <f t="shared" si="103" ref="K3212:K3264">IF(COUNTIF(C:C,C3212)&gt;=2,"重复","不重复")</f>
        <v>重复</v>
      </c>
      <c r="L3212" s="34" t="str">
        <f t="shared" si="104" ref="L3212:L3264">IF(COUNTIF(D:D,D3212)&gt;=2,"重复","不重复")</f>
        <v>不重复</v>
      </c>
    </row>
    <row r="3213" spans="1:12" ht="15">
      <c r="A3213" s="35" t="s">
        <v>13639</v>
      </c>
      <c r="B3213" s="35" t="s">
        <v>8686</v>
      </c>
      <c r="C3213" s="36" t="s">
        <v>8687</v>
      </c>
      <c r="D3213" s="35" t="s">
        <v>8688</v>
      </c>
      <c r="E3213" s="35" t="s">
        <v>13612</v>
      </c>
      <c r="F3213" s="35" t="s">
        <v>12483</v>
      </c>
      <c r="G3213" s="35">
        <v>357027</v>
      </c>
      <c r="H3213" s="35">
        <v>390570</v>
      </c>
      <c r="I3213" s="35">
        <v>200020</v>
      </c>
      <c r="J3213" s="34" t="s">
        <v>317</v>
      </c>
      <c r="K3213" s="34" t="str">
        <f t="shared" si="103"/>
        <v>不重复</v>
      </c>
      <c r="L3213" s="34" t="str">
        <f t="shared" si="104"/>
        <v>不重复</v>
      </c>
    </row>
    <row r="3214" spans="1:12" ht="15">
      <c r="A3214" s="35" t="s">
        <v>13640</v>
      </c>
      <c r="B3214" s="35" t="s">
        <v>8689</v>
      </c>
      <c r="C3214" s="36" t="s">
        <v>2478</v>
      </c>
      <c r="D3214" s="35" t="s">
        <v>8690</v>
      </c>
      <c r="E3214" s="35" t="s">
        <v>13612</v>
      </c>
      <c r="F3214" s="35" t="s">
        <v>12483</v>
      </c>
      <c r="G3214" s="35">
        <v>357028</v>
      </c>
      <c r="H3214" s="35">
        <v>390570</v>
      </c>
      <c r="I3214" s="35">
        <v>200020</v>
      </c>
      <c r="J3214" s="34" t="s">
        <v>688</v>
      </c>
      <c r="K3214" s="34" t="str">
        <f t="shared" si="103"/>
        <v>重复</v>
      </c>
      <c r="L3214" s="34" t="str">
        <f t="shared" si="104"/>
        <v>不重复</v>
      </c>
    </row>
    <row r="3215" spans="1:12" ht="15">
      <c r="A3215" s="35" t="s">
        <v>13641</v>
      </c>
      <c r="B3215" s="35" t="s">
        <v>8691</v>
      </c>
      <c r="C3215" s="36" t="s">
        <v>8692</v>
      </c>
      <c r="D3215" s="35" t="s">
        <v>8693</v>
      </c>
      <c r="E3215" s="35" t="s">
        <v>13612</v>
      </c>
      <c r="F3215" s="35" t="s">
        <v>12483</v>
      </c>
      <c r="G3215" s="35">
        <v>357029</v>
      </c>
      <c r="H3215" s="35">
        <v>390570</v>
      </c>
      <c r="I3215" s="35">
        <v>200020</v>
      </c>
      <c r="J3215" s="34" t="s">
        <v>932</v>
      </c>
      <c r="K3215" s="34" t="str">
        <f t="shared" si="103"/>
        <v>重复</v>
      </c>
      <c r="L3215" s="34" t="str">
        <f t="shared" si="104"/>
        <v>不重复</v>
      </c>
    </row>
    <row r="3216" spans="1:12" ht="15">
      <c r="A3216" s="35" t="s">
        <v>13642</v>
      </c>
      <c r="B3216" s="35" t="s">
        <v>8694</v>
      </c>
      <c r="C3216" s="36" t="s">
        <v>8695</v>
      </c>
      <c r="D3216" s="35" t="s">
        <v>8234</v>
      </c>
      <c r="E3216" s="35" t="s">
        <v>13612</v>
      </c>
      <c r="F3216" s="35" t="s">
        <v>12483</v>
      </c>
      <c r="G3216" s="35">
        <v>357030</v>
      </c>
      <c r="H3216" s="35">
        <v>390570</v>
      </c>
      <c r="I3216" s="35">
        <v>200020</v>
      </c>
      <c r="J3216" s="34" t="s">
        <v>89</v>
      </c>
      <c r="K3216" s="34" t="str">
        <f t="shared" si="103"/>
        <v>不重复</v>
      </c>
      <c r="L3216" s="34" t="str">
        <f t="shared" si="104"/>
        <v>重复</v>
      </c>
    </row>
    <row r="3217" spans="1:12" ht="27">
      <c r="A3217" s="35" t="s">
        <v>13643</v>
      </c>
      <c r="B3217" s="35" t="s">
        <v>8696</v>
      </c>
      <c r="C3217" s="36" t="s">
        <v>883</v>
      </c>
      <c r="D3217" s="35" t="s">
        <v>8697</v>
      </c>
      <c r="E3217" s="35" t="s">
        <v>13612</v>
      </c>
      <c r="F3217" s="35" t="s">
        <v>12483</v>
      </c>
      <c r="G3217" s="35">
        <v>357031</v>
      </c>
      <c r="H3217" s="35">
        <v>390570</v>
      </c>
      <c r="I3217" s="35">
        <v>200020</v>
      </c>
      <c r="J3217" s="34" t="s">
        <v>878</v>
      </c>
      <c r="K3217" s="34" t="str">
        <f t="shared" si="103"/>
        <v>重复</v>
      </c>
      <c r="L3217" s="34" t="str">
        <f t="shared" si="104"/>
        <v>不重复</v>
      </c>
    </row>
    <row r="3218" spans="1:12" ht="27">
      <c r="A3218" s="35" t="s">
        <v>13644</v>
      </c>
      <c r="B3218" s="35" t="s">
        <v>8698</v>
      </c>
      <c r="C3218" s="36" t="s">
        <v>5313</v>
      </c>
      <c r="D3218" s="35" t="s">
        <v>8699</v>
      </c>
      <c r="E3218" s="35" t="s">
        <v>13612</v>
      </c>
      <c r="F3218" s="35" t="s">
        <v>12483</v>
      </c>
      <c r="G3218" s="35">
        <v>357032</v>
      </c>
      <c r="H3218" s="35">
        <v>390570</v>
      </c>
      <c r="I3218" s="35">
        <v>200020</v>
      </c>
      <c r="J3218" s="34" t="s">
        <v>137</v>
      </c>
      <c r="K3218" s="34" t="str">
        <f t="shared" si="103"/>
        <v>重复</v>
      </c>
      <c r="L3218" s="34" t="str">
        <f t="shared" si="104"/>
        <v>不重复</v>
      </c>
    </row>
    <row r="3219" spans="1:12" ht="27">
      <c r="A3219" s="35" t="s">
        <v>13645</v>
      </c>
      <c r="B3219" s="35" t="s">
        <v>8700</v>
      </c>
      <c r="C3219" s="36" t="s">
        <v>2635</v>
      </c>
      <c r="D3219" s="35" t="s">
        <v>8701</v>
      </c>
      <c r="E3219" s="35" t="s">
        <v>13612</v>
      </c>
      <c r="F3219" s="35" t="s">
        <v>12483</v>
      </c>
      <c r="G3219" s="35">
        <v>357033</v>
      </c>
      <c r="H3219" s="35">
        <v>390570</v>
      </c>
      <c r="I3219" s="35">
        <v>200020</v>
      </c>
      <c r="J3219" s="34" t="s">
        <v>422</v>
      </c>
      <c r="K3219" s="34" t="str">
        <f t="shared" si="103"/>
        <v>重复</v>
      </c>
      <c r="L3219" s="34" t="str">
        <f t="shared" si="104"/>
        <v>不重复</v>
      </c>
    </row>
    <row r="3220" spans="1:12" ht="27">
      <c r="A3220" s="35" t="s">
        <v>13646</v>
      </c>
      <c r="B3220" s="35" t="s">
        <v>8702</v>
      </c>
      <c r="C3220" s="36" t="s">
        <v>8703</v>
      </c>
      <c r="D3220" s="35" t="s">
        <v>8704</v>
      </c>
      <c r="E3220" s="35" t="s">
        <v>13612</v>
      </c>
      <c r="F3220" s="35" t="s">
        <v>12483</v>
      </c>
      <c r="G3220" s="35">
        <v>357034</v>
      </c>
      <c r="H3220" s="35">
        <v>390570</v>
      </c>
      <c r="I3220" s="35">
        <v>200020</v>
      </c>
      <c r="J3220" s="34" t="s">
        <v>985</v>
      </c>
      <c r="K3220" s="34" t="str">
        <f t="shared" si="103"/>
        <v>不重复</v>
      </c>
      <c r="L3220" s="34" t="str">
        <f t="shared" si="104"/>
        <v>不重复</v>
      </c>
    </row>
    <row r="3221" spans="1:12" ht="15">
      <c r="A3221" s="35" t="s">
        <v>13647</v>
      </c>
      <c r="B3221" s="35" t="s">
        <v>8705</v>
      </c>
      <c r="C3221" s="36" t="s">
        <v>8706</v>
      </c>
      <c r="D3221" s="35" t="s">
        <v>266</v>
      </c>
      <c r="E3221" s="35" t="s">
        <v>13647</v>
      </c>
      <c r="F3221" s="35" t="s">
        <v>12483</v>
      </c>
      <c r="G3221" s="35">
        <v>357200</v>
      </c>
      <c r="H3221" s="35">
        <v>390580</v>
      </c>
      <c r="I3221" s="35">
        <v>200020</v>
      </c>
      <c r="J3221" s="34" t="s">
        <v>16</v>
      </c>
      <c r="K3221" s="34" t="str">
        <f t="shared" si="103"/>
        <v>不重复</v>
      </c>
      <c r="L3221" s="34" t="str">
        <f t="shared" si="104"/>
        <v>重复</v>
      </c>
    </row>
    <row r="3222" spans="1:12" ht="15">
      <c r="A3222" s="35" t="s">
        <v>13648</v>
      </c>
      <c r="B3222" s="35" t="s">
        <v>8707</v>
      </c>
      <c r="C3222" s="36" t="s">
        <v>6156</v>
      </c>
      <c r="D3222" s="35" t="s">
        <v>8708</v>
      </c>
      <c r="E3222" s="35" t="s">
        <v>13647</v>
      </c>
      <c r="F3222" s="35" t="s">
        <v>12483</v>
      </c>
      <c r="G3222" s="35">
        <v>357201</v>
      </c>
      <c r="H3222" s="35">
        <v>390580</v>
      </c>
      <c r="I3222" s="35">
        <v>200020</v>
      </c>
      <c r="J3222" s="34" t="s">
        <v>311</v>
      </c>
      <c r="K3222" s="34" t="str">
        <f t="shared" si="103"/>
        <v>重复</v>
      </c>
      <c r="L3222" s="34" t="str">
        <f t="shared" si="104"/>
        <v>不重复</v>
      </c>
    </row>
    <row r="3223" spans="1:12" ht="30">
      <c r="A3223" s="35" t="s">
        <v>13649</v>
      </c>
      <c r="B3223" s="35" t="s">
        <v>8709</v>
      </c>
      <c r="C3223" s="36" t="s">
        <v>1597</v>
      </c>
      <c r="D3223" s="35" t="s">
        <v>8710</v>
      </c>
      <c r="E3223" s="35" t="s">
        <v>13647</v>
      </c>
      <c r="F3223" s="35" t="s">
        <v>12483</v>
      </c>
      <c r="G3223" s="35">
        <v>357202</v>
      </c>
      <c r="H3223" s="35">
        <v>390580</v>
      </c>
      <c r="I3223" s="35">
        <v>200020</v>
      </c>
      <c r="J3223" s="34" t="s">
        <v>71</v>
      </c>
      <c r="K3223" s="34" t="str">
        <f t="shared" si="103"/>
        <v>重复</v>
      </c>
      <c r="L3223" s="34" t="str">
        <f t="shared" si="104"/>
        <v>不重复</v>
      </c>
    </row>
    <row r="3224" spans="1:12" ht="15">
      <c r="A3224" s="35" t="s">
        <v>13650</v>
      </c>
      <c r="B3224" s="35" t="s">
        <v>8711</v>
      </c>
      <c r="C3224" s="36" t="s">
        <v>8712</v>
      </c>
      <c r="D3224" s="35" t="s">
        <v>8713</v>
      </c>
      <c r="E3224" s="35" t="s">
        <v>13647</v>
      </c>
      <c r="F3224" s="35" t="s">
        <v>12483</v>
      </c>
      <c r="G3224" s="35">
        <v>357203</v>
      </c>
      <c r="H3224" s="35">
        <v>390580</v>
      </c>
      <c r="I3224" s="35">
        <v>200020</v>
      </c>
      <c r="J3224" s="34" t="s">
        <v>422</v>
      </c>
      <c r="K3224" s="34" t="str">
        <f t="shared" si="103"/>
        <v>不重复</v>
      </c>
      <c r="L3224" s="34" t="str">
        <f t="shared" si="104"/>
        <v>不重复</v>
      </c>
    </row>
    <row r="3225" spans="1:12" ht="15">
      <c r="A3225" s="35" t="s">
        <v>13651</v>
      </c>
      <c r="B3225" s="35" t="s">
        <v>8714</v>
      </c>
      <c r="C3225" s="36" t="s">
        <v>8715</v>
      </c>
      <c r="D3225" s="35" t="s">
        <v>8716</v>
      </c>
      <c r="E3225" s="35" t="s">
        <v>13647</v>
      </c>
      <c r="F3225" s="35" t="s">
        <v>12483</v>
      </c>
      <c r="G3225" s="35">
        <v>357204</v>
      </c>
      <c r="H3225" s="35">
        <v>390580</v>
      </c>
      <c r="I3225" s="35">
        <v>200020</v>
      </c>
      <c r="J3225" s="34" t="s">
        <v>1679</v>
      </c>
      <c r="K3225" s="34" t="str">
        <f t="shared" si="103"/>
        <v>不重复</v>
      </c>
      <c r="L3225" s="34" t="str">
        <f t="shared" si="104"/>
        <v>不重复</v>
      </c>
    </row>
    <row r="3226" spans="1:12" ht="15">
      <c r="A3226" s="35" t="s">
        <v>13652</v>
      </c>
      <c r="B3226" s="35" t="s">
        <v>8717</v>
      </c>
      <c r="C3226" s="36" t="s">
        <v>1623</v>
      </c>
      <c r="D3226" s="35" t="s">
        <v>2458</v>
      </c>
      <c r="E3226" s="35" t="s">
        <v>13647</v>
      </c>
      <c r="F3226" s="35" t="s">
        <v>12483</v>
      </c>
      <c r="G3226" s="35">
        <v>357205</v>
      </c>
      <c r="H3226" s="35">
        <v>390580</v>
      </c>
      <c r="I3226" s="35">
        <v>200020</v>
      </c>
      <c r="J3226" s="34" t="s">
        <v>8718</v>
      </c>
      <c r="K3226" s="34" t="str">
        <f t="shared" si="103"/>
        <v>重复</v>
      </c>
      <c r="L3226" s="34" t="str">
        <f t="shared" si="104"/>
        <v>重复</v>
      </c>
    </row>
    <row r="3227" spans="1:12" ht="15">
      <c r="A3227" s="35" t="s">
        <v>13653</v>
      </c>
      <c r="B3227" s="35" t="s">
        <v>8719</v>
      </c>
      <c r="C3227" s="36" t="s">
        <v>8720</v>
      </c>
      <c r="D3227" s="35" t="s">
        <v>3956</v>
      </c>
      <c r="E3227" s="35" t="s">
        <v>13647</v>
      </c>
      <c r="F3227" s="35" t="s">
        <v>12483</v>
      </c>
      <c r="G3227" s="35">
        <v>357206</v>
      </c>
      <c r="H3227" s="35">
        <v>390580</v>
      </c>
      <c r="I3227" s="35">
        <v>200020</v>
      </c>
      <c r="J3227" s="34" t="s">
        <v>531</v>
      </c>
      <c r="K3227" s="34" t="str">
        <f t="shared" si="103"/>
        <v>不重复</v>
      </c>
      <c r="L3227" s="34" t="str">
        <f t="shared" si="104"/>
        <v>重复</v>
      </c>
    </row>
    <row r="3228" spans="1:12" ht="15">
      <c r="A3228" s="35" t="s">
        <v>13654</v>
      </c>
      <c r="B3228" s="35" t="s">
        <v>8721</v>
      </c>
      <c r="C3228" s="36" t="s">
        <v>1931</v>
      </c>
      <c r="D3228" s="35" t="s">
        <v>3980</v>
      </c>
      <c r="E3228" s="35" t="s">
        <v>13647</v>
      </c>
      <c r="F3228" s="35" t="s">
        <v>12483</v>
      </c>
      <c r="G3228" s="35">
        <v>357207</v>
      </c>
      <c r="H3228" s="35">
        <v>390580</v>
      </c>
      <c r="I3228" s="35">
        <v>200020</v>
      </c>
      <c r="J3228" s="34" t="s">
        <v>8722</v>
      </c>
      <c r="K3228" s="34" t="str">
        <f t="shared" si="103"/>
        <v>重复</v>
      </c>
      <c r="L3228" s="34" t="str">
        <f t="shared" si="104"/>
        <v>重复</v>
      </c>
    </row>
    <row r="3229" spans="1:12" ht="15">
      <c r="A3229" s="35" t="s">
        <v>13655</v>
      </c>
      <c r="B3229" s="35" t="s">
        <v>8723</v>
      </c>
      <c r="C3229" s="36" t="s">
        <v>8724</v>
      </c>
      <c r="D3229" s="35" t="s">
        <v>8725</v>
      </c>
      <c r="E3229" s="35" t="s">
        <v>13655</v>
      </c>
      <c r="F3229" s="35" t="s">
        <v>12483</v>
      </c>
      <c r="G3229" s="35">
        <v>357300</v>
      </c>
      <c r="H3229" s="35">
        <v>390590</v>
      </c>
      <c r="I3229" s="35">
        <v>200020</v>
      </c>
      <c r="J3229" s="34" t="s">
        <v>16</v>
      </c>
      <c r="K3229" s="34" t="str">
        <f t="shared" si="103"/>
        <v>不重复</v>
      </c>
      <c r="L3229" s="34" t="str">
        <f t="shared" si="104"/>
        <v>不重复</v>
      </c>
    </row>
    <row r="3230" spans="1:12" ht="15">
      <c r="A3230" s="35" t="s">
        <v>13656</v>
      </c>
      <c r="B3230" s="35" t="s">
        <v>8726</v>
      </c>
      <c r="C3230" s="36" t="s">
        <v>2601</v>
      </c>
      <c r="D3230" s="35" t="s">
        <v>8727</v>
      </c>
      <c r="E3230" s="35" t="s">
        <v>13655</v>
      </c>
      <c r="F3230" s="35" t="s">
        <v>12483</v>
      </c>
      <c r="G3230" s="35">
        <v>357301</v>
      </c>
      <c r="H3230" s="35">
        <v>390590</v>
      </c>
      <c r="I3230" s="35">
        <v>200020</v>
      </c>
      <c r="J3230" s="34" t="s">
        <v>878</v>
      </c>
      <c r="K3230" s="34" t="str">
        <f t="shared" si="103"/>
        <v>重复</v>
      </c>
      <c r="L3230" s="34" t="str">
        <f t="shared" si="104"/>
        <v>不重复</v>
      </c>
    </row>
    <row r="3231" spans="1:12" ht="30">
      <c r="A3231" s="35" t="s">
        <v>13657</v>
      </c>
      <c r="B3231" s="35" t="s">
        <v>8728</v>
      </c>
      <c r="C3231" s="36" t="s">
        <v>526</v>
      </c>
      <c r="D3231" s="35" t="s">
        <v>4112</v>
      </c>
      <c r="E3231" s="35" t="s">
        <v>13655</v>
      </c>
      <c r="F3231" s="35" t="s">
        <v>12483</v>
      </c>
      <c r="G3231" s="35">
        <v>357302</v>
      </c>
      <c r="H3231" s="35">
        <v>390590</v>
      </c>
      <c r="I3231" s="35">
        <v>200020</v>
      </c>
      <c r="J3231" s="34" t="s">
        <v>2059</v>
      </c>
      <c r="K3231" s="34" t="str">
        <f t="shared" si="103"/>
        <v>重复</v>
      </c>
      <c r="L3231" s="34" t="str">
        <f t="shared" si="104"/>
        <v>重复</v>
      </c>
    </row>
    <row r="3232" spans="1:12" ht="15">
      <c r="A3232" s="35" t="s">
        <v>13658</v>
      </c>
      <c r="B3232" s="35" t="s">
        <v>8729</v>
      </c>
      <c r="C3232" s="36" t="s">
        <v>8730</v>
      </c>
      <c r="D3232" s="35" t="s">
        <v>8731</v>
      </c>
      <c r="E3232" s="35" t="s">
        <v>13655</v>
      </c>
      <c r="F3232" s="35" t="s">
        <v>12483</v>
      </c>
      <c r="G3232" s="35">
        <v>357303</v>
      </c>
      <c r="H3232" s="35">
        <v>390590</v>
      </c>
      <c r="I3232" s="35">
        <v>200020</v>
      </c>
      <c r="J3232" s="34" t="s">
        <v>1602</v>
      </c>
      <c r="K3232" s="34" t="str">
        <f t="shared" si="103"/>
        <v>不重复</v>
      </c>
      <c r="L3232" s="34" t="str">
        <f t="shared" si="104"/>
        <v>不重复</v>
      </c>
    </row>
    <row r="3233" spans="1:12" ht="15">
      <c r="A3233" s="35" t="s">
        <v>13659</v>
      </c>
      <c r="B3233" s="35" t="s">
        <v>8732</v>
      </c>
      <c r="C3233" s="36" t="s">
        <v>8733</v>
      </c>
      <c r="D3233" s="35" t="s">
        <v>8734</v>
      </c>
      <c r="E3233" s="35" t="s">
        <v>13655</v>
      </c>
      <c r="F3233" s="35" t="s">
        <v>12483</v>
      </c>
      <c r="G3233" s="35">
        <v>357304</v>
      </c>
      <c r="H3233" s="35">
        <v>390590</v>
      </c>
      <c r="I3233" s="35">
        <v>200020</v>
      </c>
      <c r="J3233" s="34" t="s">
        <v>8735</v>
      </c>
      <c r="K3233" s="34" t="str">
        <f t="shared" si="103"/>
        <v>重复</v>
      </c>
      <c r="L3233" s="34" t="str">
        <f t="shared" si="104"/>
        <v>不重复</v>
      </c>
    </row>
    <row r="3234" spans="1:12" ht="15">
      <c r="A3234" s="35" t="s">
        <v>13660</v>
      </c>
      <c r="B3234" s="35" t="s">
        <v>8736</v>
      </c>
      <c r="C3234" s="36" t="s">
        <v>2455</v>
      </c>
      <c r="D3234" s="35" t="s">
        <v>8737</v>
      </c>
      <c r="E3234" s="35" t="s">
        <v>13655</v>
      </c>
      <c r="F3234" s="35" t="s">
        <v>12483</v>
      </c>
      <c r="G3234" s="35">
        <v>357305</v>
      </c>
      <c r="H3234" s="35">
        <v>390590</v>
      </c>
      <c r="I3234" s="35">
        <v>200020</v>
      </c>
      <c r="J3234" s="34" t="s">
        <v>1602</v>
      </c>
      <c r="K3234" s="34" t="str">
        <f t="shared" si="103"/>
        <v>重复</v>
      </c>
      <c r="L3234" s="34" t="str">
        <f t="shared" si="104"/>
        <v>不重复</v>
      </c>
    </row>
    <row r="3235" spans="1:12" ht="30">
      <c r="A3235" s="35" t="s">
        <v>13661</v>
      </c>
      <c r="B3235" s="35" t="s">
        <v>8738</v>
      </c>
      <c r="C3235" s="36" t="s">
        <v>5942</v>
      </c>
      <c r="D3235" s="35" t="s">
        <v>8739</v>
      </c>
      <c r="E3235" s="35" t="s">
        <v>13655</v>
      </c>
      <c r="F3235" s="35" t="s">
        <v>12483</v>
      </c>
      <c r="G3235" s="35">
        <v>357306</v>
      </c>
      <c r="H3235" s="35">
        <v>390590</v>
      </c>
      <c r="I3235" s="35">
        <v>200020</v>
      </c>
      <c r="J3235" s="34" t="s">
        <v>932</v>
      </c>
      <c r="K3235" s="34" t="str">
        <f t="shared" si="103"/>
        <v>重复</v>
      </c>
      <c r="L3235" s="34" t="str">
        <f t="shared" si="104"/>
        <v>不重复</v>
      </c>
    </row>
    <row r="3236" spans="1:12" ht="15">
      <c r="A3236" s="35" t="s">
        <v>13662</v>
      </c>
      <c r="B3236" s="35" t="s">
        <v>8740</v>
      </c>
      <c r="C3236" s="36" t="s">
        <v>3704</v>
      </c>
      <c r="D3236" s="35" t="s">
        <v>8741</v>
      </c>
      <c r="E3236" s="35" t="s">
        <v>13655</v>
      </c>
      <c r="F3236" s="35" t="s">
        <v>12483</v>
      </c>
      <c r="G3236" s="35">
        <v>357307</v>
      </c>
      <c r="H3236" s="35">
        <v>390590</v>
      </c>
      <c r="I3236" s="35">
        <v>200020</v>
      </c>
      <c r="J3236" s="34" t="s">
        <v>422</v>
      </c>
      <c r="K3236" s="34" t="str">
        <f t="shared" si="103"/>
        <v>重复</v>
      </c>
      <c r="L3236" s="34" t="str">
        <f t="shared" si="104"/>
        <v>不重复</v>
      </c>
    </row>
    <row r="3237" spans="1:12" ht="15">
      <c r="A3237" s="35" t="s">
        <v>13663</v>
      </c>
      <c r="B3237" s="35" t="s">
        <v>8742</v>
      </c>
      <c r="C3237" s="36" t="s">
        <v>8743</v>
      </c>
      <c r="D3237" s="35" t="s">
        <v>8744</v>
      </c>
      <c r="E3237" s="35" t="s">
        <v>13655</v>
      </c>
      <c r="F3237" s="35" t="s">
        <v>12483</v>
      </c>
      <c r="G3237" s="35">
        <v>357308</v>
      </c>
      <c r="H3237" s="35">
        <v>390590</v>
      </c>
      <c r="I3237" s="35">
        <v>200020</v>
      </c>
      <c r="J3237" s="34" t="s">
        <v>1446</v>
      </c>
      <c r="K3237" s="34" t="str">
        <f t="shared" si="103"/>
        <v>不重复</v>
      </c>
      <c r="L3237" s="34" t="str">
        <f t="shared" si="104"/>
        <v>不重复</v>
      </c>
    </row>
    <row r="3238" spans="1:12" ht="15">
      <c r="A3238" s="35" t="s">
        <v>13664</v>
      </c>
      <c r="B3238" s="35" t="s">
        <v>8745</v>
      </c>
      <c r="C3238" s="36" t="s">
        <v>2784</v>
      </c>
      <c r="D3238" s="35" t="s">
        <v>2110</v>
      </c>
      <c r="E3238" s="35" t="s">
        <v>13655</v>
      </c>
      <c r="F3238" s="35" t="s">
        <v>12483</v>
      </c>
      <c r="G3238" s="35">
        <v>357309</v>
      </c>
      <c r="H3238" s="35">
        <v>390590</v>
      </c>
      <c r="I3238" s="35">
        <v>200020</v>
      </c>
      <c r="J3238" s="34" t="s">
        <v>1186</v>
      </c>
      <c r="K3238" s="34" t="str">
        <f t="shared" si="103"/>
        <v>重复</v>
      </c>
      <c r="L3238" s="34" t="str">
        <f t="shared" si="104"/>
        <v>重复</v>
      </c>
    </row>
    <row r="3239" spans="1:12" ht="15">
      <c r="A3239" s="35" t="s">
        <v>13665</v>
      </c>
      <c r="B3239" s="35" t="s">
        <v>8746</v>
      </c>
      <c r="C3239" s="36" t="s">
        <v>5345</v>
      </c>
      <c r="D3239" s="35" t="s">
        <v>8747</v>
      </c>
      <c r="E3239" s="35" t="s">
        <v>13655</v>
      </c>
      <c r="F3239" s="35" t="s">
        <v>12483</v>
      </c>
      <c r="G3239" s="35">
        <v>357310</v>
      </c>
      <c r="H3239" s="35">
        <v>390590</v>
      </c>
      <c r="I3239" s="35">
        <v>200020</v>
      </c>
      <c r="J3239" s="34" t="s">
        <v>363</v>
      </c>
      <c r="K3239" s="34" t="str">
        <f t="shared" si="103"/>
        <v>重复</v>
      </c>
      <c r="L3239" s="34" t="str">
        <f t="shared" si="104"/>
        <v>不重复</v>
      </c>
    </row>
    <row r="3240" spans="1:12" ht="15">
      <c r="A3240" s="35" t="s">
        <v>13666</v>
      </c>
      <c r="B3240" s="35" t="s">
        <v>8748</v>
      </c>
      <c r="C3240" s="36" t="s">
        <v>8749</v>
      </c>
      <c r="D3240" s="35" t="s">
        <v>4788</v>
      </c>
      <c r="E3240" s="35" t="s">
        <v>13666</v>
      </c>
      <c r="F3240" s="35" t="s">
        <v>12483</v>
      </c>
      <c r="G3240" s="35">
        <v>357400</v>
      </c>
      <c r="H3240" s="35">
        <v>390600</v>
      </c>
      <c r="I3240" s="35">
        <v>200020</v>
      </c>
      <c r="J3240" s="34" t="s">
        <v>16</v>
      </c>
      <c r="K3240" s="34" t="str">
        <f t="shared" si="103"/>
        <v>不重复</v>
      </c>
      <c r="L3240" s="34" t="str">
        <f t="shared" si="104"/>
        <v>重复</v>
      </c>
    </row>
    <row r="3241" spans="1:12" ht="15">
      <c r="A3241" s="35" t="s">
        <v>13667</v>
      </c>
      <c r="B3241" s="35" t="s">
        <v>8750</v>
      </c>
      <c r="C3241" s="36" t="s">
        <v>2915</v>
      </c>
      <c r="D3241" s="35" t="s">
        <v>8751</v>
      </c>
      <c r="E3241" s="35" t="s">
        <v>13666</v>
      </c>
      <c r="F3241" s="35" t="s">
        <v>12483</v>
      </c>
      <c r="G3241" s="35">
        <v>357401</v>
      </c>
      <c r="H3241" s="35">
        <v>390600</v>
      </c>
      <c r="I3241" s="35">
        <v>200020</v>
      </c>
      <c r="J3241" s="34" t="s">
        <v>932</v>
      </c>
      <c r="K3241" s="34" t="str">
        <f t="shared" si="103"/>
        <v>重复</v>
      </c>
      <c r="L3241" s="34" t="str">
        <f t="shared" si="104"/>
        <v>不重复</v>
      </c>
    </row>
    <row r="3242" spans="1:12" ht="30">
      <c r="A3242" s="35" t="s">
        <v>13668</v>
      </c>
      <c r="B3242" s="35" t="s">
        <v>8752</v>
      </c>
      <c r="C3242" s="36" t="s">
        <v>8753</v>
      </c>
      <c r="D3242" s="35" t="s">
        <v>8754</v>
      </c>
      <c r="E3242" s="35" t="s">
        <v>13666</v>
      </c>
      <c r="F3242" s="35" t="s">
        <v>12483</v>
      </c>
      <c r="G3242" s="35">
        <v>357402</v>
      </c>
      <c r="H3242" s="35">
        <v>390600</v>
      </c>
      <c r="I3242" s="35">
        <v>200020</v>
      </c>
      <c r="J3242" s="34" t="s">
        <v>302</v>
      </c>
      <c r="K3242" s="34" t="str">
        <f t="shared" si="103"/>
        <v>不重复</v>
      </c>
      <c r="L3242" s="34" t="str">
        <f t="shared" si="104"/>
        <v>不重复</v>
      </c>
    </row>
    <row r="3243" spans="1:12" ht="27">
      <c r="A3243" s="35" t="s">
        <v>13669</v>
      </c>
      <c r="B3243" s="35" t="s">
        <v>8755</v>
      </c>
      <c r="C3243" s="36" t="s">
        <v>8469</v>
      </c>
      <c r="D3243" s="35" t="s">
        <v>8756</v>
      </c>
      <c r="E3243" s="35" t="s">
        <v>13666</v>
      </c>
      <c r="F3243" s="35" t="s">
        <v>12483</v>
      </c>
      <c r="G3243" s="35">
        <v>357403</v>
      </c>
      <c r="H3243" s="35">
        <v>390600</v>
      </c>
      <c r="I3243" s="35">
        <v>200020</v>
      </c>
      <c r="J3243" s="34" t="s">
        <v>8757</v>
      </c>
      <c r="K3243" s="34" t="str">
        <f t="shared" si="103"/>
        <v>重复</v>
      </c>
      <c r="L3243" s="34" t="str">
        <f t="shared" si="104"/>
        <v>不重复</v>
      </c>
    </row>
    <row r="3244" spans="1:12" ht="15">
      <c r="A3244" s="35" t="s">
        <v>13670</v>
      </c>
      <c r="B3244" s="35" t="s">
        <v>8758</v>
      </c>
      <c r="C3244" s="36" t="s">
        <v>1960</v>
      </c>
      <c r="D3244" s="35" t="s">
        <v>8759</v>
      </c>
      <c r="E3244" s="35" t="s">
        <v>13666</v>
      </c>
      <c r="F3244" s="35" t="s">
        <v>12483</v>
      </c>
      <c r="G3244" s="35">
        <v>357404</v>
      </c>
      <c r="H3244" s="35">
        <v>390600</v>
      </c>
      <c r="I3244" s="35">
        <v>200020</v>
      </c>
      <c r="J3244" s="34" t="s">
        <v>422</v>
      </c>
      <c r="K3244" s="34" t="str">
        <f t="shared" si="103"/>
        <v>重复</v>
      </c>
      <c r="L3244" s="34" t="str">
        <f t="shared" si="104"/>
        <v>不重复</v>
      </c>
    </row>
    <row r="3245" spans="1:12" ht="15">
      <c r="A3245" s="35" t="s">
        <v>13671</v>
      </c>
      <c r="B3245" s="35" t="s">
        <v>8760</v>
      </c>
      <c r="C3245" s="36" t="s">
        <v>8761</v>
      </c>
      <c r="D3245" s="35" t="s">
        <v>8762</v>
      </c>
      <c r="E3245" s="35" t="s">
        <v>13666</v>
      </c>
      <c r="F3245" s="35" t="s">
        <v>12483</v>
      </c>
      <c r="G3245" s="35">
        <v>357405</v>
      </c>
      <c r="H3245" s="35">
        <v>390600</v>
      </c>
      <c r="I3245" s="35">
        <v>200020</v>
      </c>
      <c r="J3245" s="34" t="s">
        <v>6484</v>
      </c>
      <c r="K3245" s="34" t="str">
        <f t="shared" si="103"/>
        <v>不重复</v>
      </c>
      <c r="L3245" s="34" t="str">
        <f t="shared" si="104"/>
        <v>不重复</v>
      </c>
    </row>
    <row r="3246" spans="1:12" ht="15">
      <c r="A3246" s="35" t="s">
        <v>13672</v>
      </c>
      <c r="B3246" s="35" t="s">
        <v>8763</v>
      </c>
      <c r="C3246" s="36" t="s">
        <v>1028</v>
      </c>
      <c r="D3246" s="35" t="s">
        <v>8764</v>
      </c>
      <c r="E3246" s="35" t="s">
        <v>13666</v>
      </c>
      <c r="F3246" s="35" t="s">
        <v>12483</v>
      </c>
      <c r="G3246" s="35">
        <v>357406</v>
      </c>
      <c r="H3246" s="35">
        <v>390600</v>
      </c>
      <c r="I3246" s="35">
        <v>200020</v>
      </c>
      <c r="J3246" s="34" t="s">
        <v>5329</v>
      </c>
      <c r="K3246" s="34" t="str">
        <f t="shared" si="103"/>
        <v>重复</v>
      </c>
      <c r="L3246" s="34" t="str">
        <f t="shared" si="104"/>
        <v>不重复</v>
      </c>
    </row>
    <row r="3247" spans="1:12" ht="30">
      <c r="A3247" s="35" t="s">
        <v>13673</v>
      </c>
      <c r="B3247" s="35" t="s">
        <v>8765</v>
      </c>
      <c r="C3247" s="36" t="s">
        <v>8766</v>
      </c>
      <c r="D3247" s="35" t="s">
        <v>8767</v>
      </c>
      <c r="E3247" s="35" t="s">
        <v>13666</v>
      </c>
      <c r="F3247" s="35" t="s">
        <v>12483</v>
      </c>
      <c r="G3247" s="35">
        <v>357407</v>
      </c>
      <c r="H3247" s="35">
        <v>390600</v>
      </c>
      <c r="I3247" s="35">
        <v>200020</v>
      </c>
      <c r="J3247" s="34" t="s">
        <v>1040</v>
      </c>
      <c r="K3247" s="34" t="str">
        <f t="shared" si="103"/>
        <v>不重复</v>
      </c>
      <c r="L3247" s="34" t="str">
        <f t="shared" si="104"/>
        <v>不重复</v>
      </c>
    </row>
    <row r="3248" spans="1:12" ht="30">
      <c r="A3248" s="35" t="s">
        <v>13674</v>
      </c>
      <c r="B3248" s="35" t="s">
        <v>8768</v>
      </c>
      <c r="C3248" s="36" t="s">
        <v>7429</v>
      </c>
      <c r="D3248" s="35" t="s">
        <v>8769</v>
      </c>
      <c r="E3248" s="35" t="s">
        <v>13666</v>
      </c>
      <c r="F3248" s="35" t="s">
        <v>12483</v>
      </c>
      <c r="G3248" s="35">
        <v>357408</v>
      </c>
      <c r="H3248" s="35">
        <v>390600</v>
      </c>
      <c r="I3248" s="35">
        <v>200020</v>
      </c>
      <c r="J3248" s="34" t="s">
        <v>668</v>
      </c>
      <c r="K3248" s="34" t="str">
        <f t="shared" si="103"/>
        <v>重复</v>
      </c>
      <c r="L3248" s="34" t="str">
        <f t="shared" si="104"/>
        <v>重复</v>
      </c>
    </row>
    <row r="3249" spans="1:12" ht="30">
      <c r="A3249" s="35" t="s">
        <v>13675</v>
      </c>
      <c r="B3249" s="35" t="s">
        <v>8770</v>
      </c>
      <c r="C3249" s="36" t="s">
        <v>5050</v>
      </c>
      <c r="D3249" s="35" t="s">
        <v>8771</v>
      </c>
      <c r="E3249" s="35" t="s">
        <v>13666</v>
      </c>
      <c r="F3249" s="35" t="s">
        <v>12483</v>
      </c>
      <c r="G3249" s="35">
        <v>357409</v>
      </c>
      <c r="H3249" s="35">
        <v>390600</v>
      </c>
      <c r="I3249" s="35">
        <v>200020</v>
      </c>
      <c r="J3249" s="34" t="s">
        <v>6407</v>
      </c>
      <c r="K3249" s="34" t="str">
        <f t="shared" si="103"/>
        <v>重复</v>
      </c>
      <c r="L3249" s="34" t="str">
        <f t="shared" si="104"/>
        <v>不重复</v>
      </c>
    </row>
    <row r="3250" spans="1:12" ht="30">
      <c r="A3250" s="35" t="s">
        <v>13676</v>
      </c>
      <c r="B3250" s="35" t="s">
        <v>8772</v>
      </c>
      <c r="C3250" s="36" t="s">
        <v>8773</v>
      </c>
      <c r="D3250" s="35" t="s">
        <v>8774</v>
      </c>
      <c r="E3250" s="35" t="s">
        <v>13666</v>
      </c>
      <c r="F3250" s="35" t="s">
        <v>12483</v>
      </c>
      <c r="G3250" s="35">
        <v>357410</v>
      </c>
      <c r="H3250" s="35">
        <v>390600</v>
      </c>
      <c r="I3250" s="35">
        <v>200020</v>
      </c>
      <c r="J3250" s="34" t="s">
        <v>932</v>
      </c>
      <c r="K3250" s="34" t="str">
        <f t="shared" si="103"/>
        <v>不重复</v>
      </c>
      <c r="L3250" s="34" t="str">
        <f t="shared" si="104"/>
        <v>不重复</v>
      </c>
    </row>
    <row r="3251" spans="1:12" ht="30">
      <c r="A3251" s="35" t="s">
        <v>13677</v>
      </c>
      <c r="B3251" s="35" t="s">
        <v>8775</v>
      </c>
      <c r="C3251" s="36" t="s">
        <v>4270</v>
      </c>
      <c r="D3251" s="35" t="s">
        <v>8776</v>
      </c>
      <c r="E3251" s="35" t="s">
        <v>13666</v>
      </c>
      <c r="F3251" s="35" t="s">
        <v>12483</v>
      </c>
      <c r="G3251" s="35">
        <v>357411</v>
      </c>
      <c r="H3251" s="35">
        <v>390600</v>
      </c>
      <c r="I3251" s="35">
        <v>200020</v>
      </c>
      <c r="J3251" s="34" t="s">
        <v>1040</v>
      </c>
      <c r="K3251" s="34" t="str">
        <f t="shared" si="103"/>
        <v>重复</v>
      </c>
      <c r="L3251" s="34" t="str">
        <f t="shared" si="104"/>
        <v>不重复</v>
      </c>
    </row>
    <row r="3252" spans="1:12" ht="15">
      <c r="A3252" s="35" t="s">
        <v>13678</v>
      </c>
      <c r="B3252" s="35" t="s">
        <v>8777</v>
      </c>
      <c r="C3252" s="36" t="s">
        <v>588</v>
      </c>
      <c r="D3252" s="35" t="s">
        <v>8778</v>
      </c>
      <c r="E3252" s="35" t="s">
        <v>13678</v>
      </c>
      <c r="F3252" s="35" t="s">
        <v>12483</v>
      </c>
      <c r="G3252" s="35">
        <v>357700</v>
      </c>
      <c r="H3252" s="35">
        <v>390610</v>
      </c>
      <c r="I3252" s="35">
        <v>200020</v>
      </c>
      <c r="J3252" s="34" t="s">
        <v>16</v>
      </c>
      <c r="K3252" s="34" t="str">
        <f t="shared" si="103"/>
        <v>重复</v>
      </c>
      <c r="L3252" s="34" t="str">
        <f t="shared" si="104"/>
        <v>不重复</v>
      </c>
    </row>
    <row r="3253" spans="1:12" ht="15">
      <c r="A3253" s="35" t="s">
        <v>13679</v>
      </c>
      <c r="B3253" s="35" t="s">
        <v>8779</v>
      </c>
      <c r="C3253" s="36" t="s">
        <v>3207</v>
      </c>
      <c r="D3253" s="35" t="s">
        <v>8780</v>
      </c>
      <c r="E3253" s="35" t="s">
        <v>13678</v>
      </c>
      <c r="F3253" s="35" t="s">
        <v>12483</v>
      </c>
      <c r="G3253" s="35">
        <v>357701</v>
      </c>
      <c r="H3253" s="35">
        <v>390610</v>
      </c>
      <c r="I3253" s="35">
        <v>200020</v>
      </c>
      <c r="J3253" s="34" t="s">
        <v>715</v>
      </c>
      <c r="K3253" s="34" t="str">
        <f t="shared" si="103"/>
        <v>重复</v>
      </c>
      <c r="L3253" s="34" t="str">
        <f t="shared" si="104"/>
        <v>不重复</v>
      </c>
    </row>
    <row r="3254" spans="1:12" ht="27">
      <c r="A3254" s="35" t="s">
        <v>13680</v>
      </c>
      <c r="B3254" s="35" t="s">
        <v>8781</v>
      </c>
      <c r="C3254" s="36" t="s">
        <v>8782</v>
      </c>
      <c r="D3254" s="35" t="s">
        <v>8783</v>
      </c>
      <c r="E3254" s="35" t="s">
        <v>13678</v>
      </c>
      <c r="F3254" s="35" t="s">
        <v>12483</v>
      </c>
      <c r="G3254" s="35">
        <v>357702</v>
      </c>
      <c r="H3254" s="35">
        <v>390610</v>
      </c>
      <c r="I3254" s="35">
        <v>200020</v>
      </c>
      <c r="J3254" s="34" t="s">
        <v>49</v>
      </c>
      <c r="K3254" s="34" t="str">
        <f t="shared" si="103"/>
        <v>不重复</v>
      </c>
      <c r="L3254" s="34" t="str">
        <f t="shared" si="104"/>
        <v>重复</v>
      </c>
    </row>
    <row r="3255" spans="1:12" ht="27">
      <c r="A3255" s="35" t="s">
        <v>13681</v>
      </c>
      <c r="B3255" s="35" t="s">
        <v>8784</v>
      </c>
      <c r="C3255" s="36" t="s">
        <v>378</v>
      </c>
      <c r="D3255" s="35" t="s">
        <v>8783</v>
      </c>
      <c r="E3255" s="35" t="s">
        <v>13678</v>
      </c>
      <c r="F3255" s="35" t="s">
        <v>12483</v>
      </c>
      <c r="G3255" s="35">
        <v>357703</v>
      </c>
      <c r="H3255" s="35">
        <v>390610</v>
      </c>
      <c r="I3255" s="35">
        <v>200020</v>
      </c>
      <c r="J3255" s="34" t="s">
        <v>5361</v>
      </c>
      <c r="K3255" s="34" t="str">
        <f t="shared" si="103"/>
        <v>重复</v>
      </c>
      <c r="L3255" s="34" t="str">
        <f t="shared" si="104"/>
        <v>重复</v>
      </c>
    </row>
    <row r="3256" spans="1:12" ht="27">
      <c r="A3256" s="35" t="s">
        <v>13682</v>
      </c>
      <c r="B3256" s="35" t="s">
        <v>8785</v>
      </c>
      <c r="C3256" s="36" t="s">
        <v>496</v>
      </c>
      <c r="D3256" s="35" t="s">
        <v>8786</v>
      </c>
      <c r="E3256" s="35" t="s">
        <v>13678</v>
      </c>
      <c r="F3256" s="35" t="s">
        <v>12483</v>
      </c>
      <c r="G3256" s="35">
        <v>357704</v>
      </c>
      <c r="H3256" s="35">
        <v>390610</v>
      </c>
      <c r="I3256" s="35">
        <v>200020</v>
      </c>
      <c r="J3256" s="34" t="s">
        <v>5361</v>
      </c>
      <c r="K3256" s="34" t="str">
        <f t="shared" si="103"/>
        <v>重复</v>
      </c>
      <c r="L3256" s="34" t="str">
        <f t="shared" si="104"/>
        <v>不重复</v>
      </c>
    </row>
    <row r="3257" spans="1:12" ht="15">
      <c r="A3257" s="35" t="s">
        <v>13683</v>
      </c>
      <c r="B3257" s="35" t="s">
        <v>8787</v>
      </c>
      <c r="C3257" s="36" t="s">
        <v>588</v>
      </c>
      <c r="D3257" s="35" t="s">
        <v>8788</v>
      </c>
      <c r="E3257" s="35" t="s">
        <v>13678</v>
      </c>
      <c r="F3257" s="35" t="s">
        <v>12483</v>
      </c>
      <c r="G3257" s="35">
        <v>357705</v>
      </c>
      <c r="H3257" s="35">
        <v>390610</v>
      </c>
      <c r="I3257" s="35">
        <v>200020</v>
      </c>
      <c r="J3257" s="34" t="s">
        <v>89</v>
      </c>
      <c r="K3257" s="34" t="str">
        <f t="shared" si="103"/>
        <v>重复</v>
      </c>
      <c r="L3257" s="34" t="str">
        <f t="shared" si="104"/>
        <v>不重复</v>
      </c>
    </row>
    <row r="3258" spans="1:12" ht="27">
      <c r="A3258" s="35" t="s">
        <v>13684</v>
      </c>
      <c r="B3258" s="35" t="s">
        <v>8789</v>
      </c>
      <c r="C3258" s="36" t="s">
        <v>5337</v>
      </c>
      <c r="D3258" s="35" t="s">
        <v>8790</v>
      </c>
      <c r="E3258" s="35" t="s">
        <v>13678</v>
      </c>
      <c r="F3258" s="35" t="s">
        <v>12483</v>
      </c>
      <c r="G3258" s="35">
        <v>357706</v>
      </c>
      <c r="H3258" s="35">
        <v>390610</v>
      </c>
      <c r="I3258" s="35">
        <v>200020</v>
      </c>
      <c r="J3258" s="34" t="s">
        <v>363</v>
      </c>
      <c r="K3258" s="34" t="str">
        <f t="shared" si="103"/>
        <v>重复</v>
      </c>
      <c r="L3258" s="34" t="str">
        <f t="shared" si="104"/>
        <v>不重复</v>
      </c>
    </row>
    <row r="3259" spans="1:12" ht="15">
      <c r="A3259" s="35" t="s">
        <v>13685</v>
      </c>
      <c r="B3259" s="35" t="s">
        <v>8791</v>
      </c>
      <c r="C3259" s="36" t="s">
        <v>8792</v>
      </c>
      <c r="D3259" s="35" t="s">
        <v>8793</v>
      </c>
      <c r="E3259" s="35" t="s">
        <v>13678</v>
      </c>
      <c r="F3259" s="35" t="s">
        <v>12483</v>
      </c>
      <c r="G3259" s="35">
        <v>357712</v>
      </c>
      <c r="H3259" s="35">
        <v>390610</v>
      </c>
      <c r="I3259" s="35">
        <v>200020</v>
      </c>
      <c r="J3259" s="34"/>
      <c r="K3259" s="34" t="str">
        <f t="shared" si="103"/>
        <v>不重复</v>
      </c>
      <c r="L3259" s="34" t="str">
        <f t="shared" si="104"/>
        <v>不重复</v>
      </c>
    </row>
    <row r="3260" spans="1:12" ht="15">
      <c r="A3260" s="35" t="s">
        <v>13686</v>
      </c>
      <c r="B3260" s="35" t="s">
        <v>8794</v>
      </c>
      <c r="C3260" s="36" t="s">
        <v>8795</v>
      </c>
      <c r="D3260" s="35" t="s">
        <v>8796</v>
      </c>
      <c r="E3260" s="35" t="s">
        <v>13678</v>
      </c>
      <c r="F3260" s="35" t="s">
        <v>12483</v>
      </c>
      <c r="G3260" s="35">
        <v>357707</v>
      </c>
      <c r="H3260" s="35">
        <v>390610</v>
      </c>
      <c r="I3260" s="35">
        <v>200020</v>
      </c>
      <c r="J3260" s="34" t="s">
        <v>6575</v>
      </c>
      <c r="K3260" s="34" t="str">
        <f t="shared" si="103"/>
        <v>不重复</v>
      </c>
      <c r="L3260" s="34" t="str">
        <f t="shared" si="104"/>
        <v>不重复</v>
      </c>
    </row>
    <row r="3261" spans="1:12" ht="15">
      <c r="A3261" s="35" t="s">
        <v>13687</v>
      </c>
      <c r="B3261" s="35" t="s">
        <v>8797</v>
      </c>
      <c r="C3261" s="36" t="s">
        <v>8798</v>
      </c>
      <c r="D3261" s="35" t="s">
        <v>8799</v>
      </c>
      <c r="E3261" s="35" t="s">
        <v>13678</v>
      </c>
      <c r="F3261" s="35" t="s">
        <v>12483</v>
      </c>
      <c r="G3261" s="35">
        <v>357708</v>
      </c>
      <c r="H3261" s="35">
        <v>390610</v>
      </c>
      <c r="I3261" s="35">
        <v>200020</v>
      </c>
      <c r="J3261" s="34" t="s">
        <v>1040</v>
      </c>
      <c r="K3261" s="34" t="str">
        <f t="shared" si="103"/>
        <v>不重复</v>
      </c>
      <c r="L3261" s="34" t="str">
        <f t="shared" si="104"/>
        <v>不重复</v>
      </c>
    </row>
    <row r="3262" spans="1:12" ht="15">
      <c r="A3262" s="35" t="s">
        <v>13688</v>
      </c>
      <c r="B3262" s="35" t="s">
        <v>8800</v>
      </c>
      <c r="C3262" s="36" t="s">
        <v>8801</v>
      </c>
      <c r="D3262" s="35" t="s">
        <v>8802</v>
      </c>
      <c r="E3262" s="35" t="s">
        <v>13678</v>
      </c>
      <c r="F3262" s="35" t="s">
        <v>12483</v>
      </c>
      <c r="G3262" s="35">
        <v>357709</v>
      </c>
      <c r="H3262" s="35">
        <v>390610</v>
      </c>
      <c r="I3262" s="35">
        <v>200020</v>
      </c>
      <c r="J3262" s="34" t="s">
        <v>4197</v>
      </c>
      <c r="K3262" s="34" t="str">
        <f t="shared" si="103"/>
        <v>不重复</v>
      </c>
      <c r="L3262" s="34" t="str">
        <f t="shared" si="104"/>
        <v>不重复</v>
      </c>
    </row>
    <row r="3263" spans="1:12" ht="15">
      <c r="A3263" s="35" t="s">
        <v>13689</v>
      </c>
      <c r="B3263" s="35" t="s">
        <v>8803</v>
      </c>
      <c r="C3263" s="36" t="s">
        <v>8804</v>
      </c>
      <c r="D3263" s="35" t="s">
        <v>2085</v>
      </c>
      <c r="E3263" s="35" t="s">
        <v>13678</v>
      </c>
      <c r="F3263" s="35" t="s">
        <v>12483</v>
      </c>
      <c r="G3263" s="35">
        <v>357710</v>
      </c>
      <c r="H3263" s="35">
        <v>390610</v>
      </c>
      <c r="I3263" s="35">
        <v>200020</v>
      </c>
      <c r="J3263" s="34" t="s">
        <v>302</v>
      </c>
      <c r="K3263" s="34" t="str">
        <f t="shared" si="103"/>
        <v>不重复</v>
      </c>
      <c r="L3263" s="34" t="str">
        <f t="shared" si="104"/>
        <v>重复</v>
      </c>
    </row>
    <row r="3264" spans="1:12" ht="15">
      <c r="A3264" s="35" t="s">
        <v>13690</v>
      </c>
      <c r="B3264" s="35" t="s">
        <v>8805</v>
      </c>
      <c r="C3264" s="36" t="s">
        <v>1017</v>
      </c>
      <c r="D3264" s="35" t="s">
        <v>8806</v>
      </c>
      <c r="E3264" s="35" t="s">
        <v>13678</v>
      </c>
      <c r="F3264" s="35" t="s">
        <v>12483</v>
      </c>
      <c r="G3264" s="35">
        <v>357711</v>
      </c>
      <c r="H3264" s="35">
        <v>390610</v>
      </c>
      <c r="I3264" s="35">
        <v>200020</v>
      </c>
      <c r="J3264" s="34" t="s">
        <v>89</v>
      </c>
      <c r="K3264" s="34" t="str">
        <f t="shared" si="103"/>
        <v>重复</v>
      </c>
      <c r="L3264" s="34" t="str">
        <f t="shared" si="104"/>
        <v>重复</v>
      </c>
    </row>
    <row r="3265" spans="1:12" ht="15">
      <c r="A3265" s="35" t="s">
        <v>13690</v>
      </c>
      <c r="B3265" s="35" t="s">
        <v>8807</v>
      </c>
      <c r="C3265" s="36" t="s">
        <v>8808</v>
      </c>
      <c r="D3265" s="35" t="s">
        <v>8806</v>
      </c>
      <c r="E3265" s="35" t="s">
        <v>13678</v>
      </c>
      <c r="F3265" s="35" t="s">
        <v>12483</v>
      </c>
      <c r="G3265" s="35">
        <v>357711</v>
      </c>
      <c r="H3265" s="35">
        <v>390610</v>
      </c>
      <c r="I3265" s="35">
        <v>200020</v>
      </c>
      <c r="J3265" s="34"/>
      <c r="K3265" s="34" t="str">
        <f t="shared" si="105" ref="K3265:K3328">IF(COUNTIF(C:C,C3265)&gt;=2,"重复","不重复")</f>
        <v>不重复</v>
      </c>
      <c r="L3265" s="34"/>
    </row>
    <row r="3266" spans="1:12" ht="15">
      <c r="A3266" s="35" t="s">
        <v>13691</v>
      </c>
      <c r="B3266" s="35" t="s">
        <v>8809</v>
      </c>
      <c r="C3266" s="36" t="s">
        <v>8810</v>
      </c>
      <c r="D3266" s="35" t="s">
        <v>8811</v>
      </c>
      <c r="E3266" s="35" t="s">
        <v>13691</v>
      </c>
      <c r="F3266" s="35" t="s">
        <v>12483</v>
      </c>
      <c r="G3266" s="35">
        <v>357800</v>
      </c>
      <c r="H3266" s="35">
        <v>390620</v>
      </c>
      <c r="I3266" s="35">
        <v>200020</v>
      </c>
      <c r="J3266" s="34" t="s">
        <v>16</v>
      </c>
      <c r="K3266" s="34" t="str">
        <f t="shared" si="105"/>
        <v>重复</v>
      </c>
      <c r="L3266" s="34" t="str">
        <f t="shared" si="106" ref="L3266:L3329">IF(COUNTIF(D:D,D3266)&gt;=2,"重复","不重复")</f>
        <v>不重复</v>
      </c>
    </row>
    <row r="3267" spans="1:12" ht="30">
      <c r="A3267" s="35" t="s">
        <v>13692</v>
      </c>
      <c r="B3267" s="35" t="s">
        <v>8812</v>
      </c>
      <c r="C3267" s="36" t="s">
        <v>8813</v>
      </c>
      <c r="D3267" s="35" t="s">
        <v>8814</v>
      </c>
      <c r="E3267" s="35" t="s">
        <v>13691</v>
      </c>
      <c r="F3267" s="35" t="s">
        <v>12483</v>
      </c>
      <c r="G3267" s="35">
        <v>357801</v>
      </c>
      <c r="H3267" s="35">
        <v>390620</v>
      </c>
      <c r="I3267" s="35">
        <v>200020</v>
      </c>
      <c r="J3267" s="34" t="s">
        <v>8815</v>
      </c>
      <c r="K3267" s="34" t="str">
        <f t="shared" si="105"/>
        <v>不重复</v>
      </c>
      <c r="L3267" s="34" t="str">
        <f t="shared" si="106"/>
        <v>重复</v>
      </c>
    </row>
    <row r="3268" spans="1:12" ht="27">
      <c r="A3268" s="35" t="s">
        <v>13693</v>
      </c>
      <c r="B3268" s="35" t="s">
        <v>8816</v>
      </c>
      <c r="C3268" s="36" t="s">
        <v>7252</v>
      </c>
      <c r="D3268" s="35" t="s">
        <v>8814</v>
      </c>
      <c r="E3268" s="35" t="s">
        <v>13691</v>
      </c>
      <c r="F3268" s="35" t="s">
        <v>12483</v>
      </c>
      <c r="G3268" s="35">
        <v>357802</v>
      </c>
      <c r="H3268" s="35">
        <v>390620</v>
      </c>
      <c r="I3268" s="35">
        <v>200020</v>
      </c>
      <c r="J3268" s="34" t="s">
        <v>3473</v>
      </c>
      <c r="K3268" s="34" t="str">
        <f t="shared" si="105"/>
        <v>重复</v>
      </c>
      <c r="L3268" s="34" t="str">
        <f t="shared" si="106"/>
        <v>重复</v>
      </c>
    </row>
    <row r="3269" spans="1:12" ht="15">
      <c r="A3269" s="35" t="s">
        <v>13694</v>
      </c>
      <c r="B3269" s="35" t="s">
        <v>8817</v>
      </c>
      <c r="C3269" s="36" t="s">
        <v>8810</v>
      </c>
      <c r="D3269" s="35" t="s">
        <v>8818</v>
      </c>
      <c r="E3269" s="35" t="s">
        <v>13691</v>
      </c>
      <c r="F3269" s="35" t="s">
        <v>12483</v>
      </c>
      <c r="G3269" s="35">
        <v>357803</v>
      </c>
      <c r="H3269" s="35">
        <v>390620</v>
      </c>
      <c r="I3269" s="35">
        <v>200020</v>
      </c>
      <c r="J3269" s="34" t="s">
        <v>133</v>
      </c>
      <c r="K3269" s="34" t="str">
        <f t="shared" si="105"/>
        <v>重复</v>
      </c>
      <c r="L3269" s="34" t="str">
        <f t="shared" si="106"/>
        <v>不重复</v>
      </c>
    </row>
    <row r="3270" spans="1:12" ht="15">
      <c r="A3270" s="35" t="s">
        <v>13695</v>
      </c>
      <c r="B3270" s="35" t="s">
        <v>8819</v>
      </c>
      <c r="C3270" s="36" t="s">
        <v>8820</v>
      </c>
      <c r="D3270" s="35" t="s">
        <v>8821</v>
      </c>
      <c r="E3270" s="35" t="s">
        <v>13691</v>
      </c>
      <c r="F3270" s="35" t="s">
        <v>12483</v>
      </c>
      <c r="G3270" s="35">
        <v>357804</v>
      </c>
      <c r="H3270" s="35">
        <v>390620</v>
      </c>
      <c r="I3270" s="35">
        <v>200020</v>
      </c>
      <c r="J3270" s="34" t="s">
        <v>458</v>
      </c>
      <c r="K3270" s="34" t="str">
        <f t="shared" si="105"/>
        <v>不重复</v>
      </c>
      <c r="L3270" s="34" t="str">
        <f t="shared" si="106"/>
        <v>重复</v>
      </c>
    </row>
    <row r="3271" spans="1:12" ht="15">
      <c r="A3271" s="35" t="s">
        <v>13696</v>
      </c>
      <c r="B3271" s="35" t="s">
        <v>8822</v>
      </c>
      <c r="C3271" s="36" t="s">
        <v>8823</v>
      </c>
      <c r="D3271" s="35" t="s">
        <v>6129</v>
      </c>
      <c r="E3271" s="35" t="s">
        <v>13691</v>
      </c>
      <c r="F3271" s="35" t="s">
        <v>12483</v>
      </c>
      <c r="G3271" s="35">
        <v>357805</v>
      </c>
      <c r="H3271" s="35">
        <v>390620</v>
      </c>
      <c r="I3271" s="35">
        <v>200020</v>
      </c>
      <c r="J3271" s="34" t="s">
        <v>878</v>
      </c>
      <c r="K3271" s="34" t="str">
        <f t="shared" si="105"/>
        <v>不重复</v>
      </c>
      <c r="L3271" s="34" t="str">
        <f t="shared" si="106"/>
        <v>重复</v>
      </c>
    </row>
    <row r="3272" spans="1:12" ht="15">
      <c r="A3272" s="35" t="s">
        <v>13697</v>
      </c>
      <c r="B3272" s="35" t="s">
        <v>8824</v>
      </c>
      <c r="C3272" s="36" t="s">
        <v>8825</v>
      </c>
      <c r="D3272" s="35" t="s">
        <v>4295</v>
      </c>
      <c r="E3272" s="35" t="s">
        <v>13691</v>
      </c>
      <c r="F3272" s="35" t="s">
        <v>12483</v>
      </c>
      <c r="G3272" s="35">
        <v>357806</v>
      </c>
      <c r="H3272" s="35">
        <v>390620</v>
      </c>
      <c r="I3272" s="35">
        <v>200020</v>
      </c>
      <c r="J3272" s="34" t="s">
        <v>5471</v>
      </c>
      <c r="K3272" s="34" t="str">
        <f t="shared" si="105"/>
        <v>重复</v>
      </c>
      <c r="L3272" s="34" t="str">
        <f t="shared" si="106"/>
        <v>重复</v>
      </c>
    </row>
    <row r="3273" spans="1:12" ht="27">
      <c r="A3273" s="35" t="s">
        <v>13698</v>
      </c>
      <c r="B3273" s="35" t="s">
        <v>8826</v>
      </c>
      <c r="C3273" s="36" t="s">
        <v>5912</v>
      </c>
      <c r="D3273" s="35" t="s">
        <v>8827</v>
      </c>
      <c r="E3273" s="35" t="s">
        <v>13691</v>
      </c>
      <c r="F3273" s="35" t="s">
        <v>12483</v>
      </c>
      <c r="G3273" s="35">
        <v>357807</v>
      </c>
      <c r="H3273" s="35">
        <v>390620</v>
      </c>
      <c r="I3273" s="35">
        <v>200020</v>
      </c>
      <c r="J3273" s="34" t="s">
        <v>390</v>
      </c>
      <c r="K3273" s="34" t="str">
        <f t="shared" si="105"/>
        <v>重复</v>
      </c>
      <c r="L3273" s="34" t="str">
        <f t="shared" si="106"/>
        <v>重复</v>
      </c>
    </row>
    <row r="3274" spans="1:12" ht="15">
      <c r="A3274" s="35" t="s">
        <v>13699</v>
      </c>
      <c r="B3274" s="35" t="s">
        <v>8828</v>
      </c>
      <c r="C3274" s="36" t="s">
        <v>4480</v>
      </c>
      <c r="D3274" s="35" t="s">
        <v>8829</v>
      </c>
      <c r="E3274" s="35" t="s">
        <v>13699</v>
      </c>
      <c r="F3274" s="35" t="s">
        <v>12483</v>
      </c>
      <c r="G3274" s="35">
        <v>357900</v>
      </c>
      <c r="H3274" s="35">
        <v>390630</v>
      </c>
      <c r="I3274" s="35">
        <v>200020</v>
      </c>
      <c r="J3274" s="34" t="s">
        <v>16</v>
      </c>
      <c r="K3274" s="34" t="str">
        <f t="shared" si="105"/>
        <v>重复</v>
      </c>
      <c r="L3274" s="34" t="str">
        <f t="shared" si="106"/>
        <v>不重复</v>
      </c>
    </row>
    <row r="3275" spans="1:12" ht="15">
      <c r="A3275" s="35" t="s">
        <v>13700</v>
      </c>
      <c r="B3275" s="35" t="s">
        <v>8830</v>
      </c>
      <c r="C3275" s="36" t="s">
        <v>8825</v>
      </c>
      <c r="D3275" s="35" t="s">
        <v>8831</v>
      </c>
      <c r="E3275" s="35" t="s">
        <v>13699</v>
      </c>
      <c r="F3275" s="35" t="s">
        <v>12483</v>
      </c>
      <c r="G3275" s="35">
        <v>357901</v>
      </c>
      <c r="H3275" s="35">
        <v>390630</v>
      </c>
      <c r="I3275" s="35">
        <v>200020</v>
      </c>
      <c r="J3275" s="34" t="s">
        <v>8832</v>
      </c>
      <c r="K3275" s="34" t="str">
        <f t="shared" si="105"/>
        <v>重复</v>
      </c>
      <c r="L3275" s="34" t="str">
        <f t="shared" si="106"/>
        <v>不重复</v>
      </c>
    </row>
    <row r="3276" spans="1:12" ht="15">
      <c r="A3276" s="35" t="s">
        <v>13701</v>
      </c>
      <c r="B3276" s="35" t="s">
        <v>8833</v>
      </c>
      <c r="C3276" s="36" t="s">
        <v>8834</v>
      </c>
      <c r="D3276" s="35" t="s">
        <v>8835</v>
      </c>
      <c r="E3276" s="35" t="s">
        <v>13699</v>
      </c>
      <c r="F3276" s="35" t="s">
        <v>12483</v>
      </c>
      <c r="G3276" s="35">
        <v>357902</v>
      </c>
      <c r="H3276" s="35">
        <v>390630</v>
      </c>
      <c r="I3276" s="35">
        <v>200020</v>
      </c>
      <c r="J3276" s="34" t="s">
        <v>8832</v>
      </c>
      <c r="K3276" s="34" t="str">
        <f t="shared" si="105"/>
        <v>不重复</v>
      </c>
      <c r="L3276" s="34" t="str">
        <f t="shared" si="106"/>
        <v>不重复</v>
      </c>
    </row>
    <row r="3277" spans="1:12" ht="15">
      <c r="A3277" s="35" t="s">
        <v>13702</v>
      </c>
      <c r="B3277" s="35" t="s">
        <v>8836</v>
      </c>
      <c r="C3277" s="36" t="s">
        <v>8837</v>
      </c>
      <c r="D3277" s="35" t="s">
        <v>8838</v>
      </c>
      <c r="E3277" s="35" t="s">
        <v>13699</v>
      </c>
      <c r="F3277" s="35" t="s">
        <v>12483</v>
      </c>
      <c r="G3277" s="35">
        <v>357903</v>
      </c>
      <c r="H3277" s="35">
        <v>390630</v>
      </c>
      <c r="I3277" s="35">
        <v>200020</v>
      </c>
      <c r="J3277" s="34" t="s">
        <v>8839</v>
      </c>
      <c r="K3277" s="34" t="str">
        <f t="shared" si="105"/>
        <v>重复</v>
      </c>
      <c r="L3277" s="34" t="str">
        <f t="shared" si="106"/>
        <v>不重复</v>
      </c>
    </row>
    <row r="3278" spans="1:12" ht="15">
      <c r="A3278" s="35" t="s">
        <v>13703</v>
      </c>
      <c r="B3278" s="35" t="s">
        <v>8840</v>
      </c>
      <c r="C3278" s="36" t="s">
        <v>1677</v>
      </c>
      <c r="D3278" s="35" t="s">
        <v>8841</v>
      </c>
      <c r="E3278" s="35" t="s">
        <v>13703</v>
      </c>
      <c r="F3278" s="35" t="s">
        <v>12483</v>
      </c>
      <c r="G3278" s="35">
        <v>358000</v>
      </c>
      <c r="H3278" s="35">
        <v>390631</v>
      </c>
      <c r="I3278" s="35">
        <v>200020</v>
      </c>
      <c r="J3278" s="34" t="s">
        <v>16</v>
      </c>
      <c r="K3278" s="34" t="str">
        <f t="shared" si="105"/>
        <v>重复</v>
      </c>
      <c r="L3278" s="34" t="str">
        <f t="shared" si="106"/>
        <v>不重复</v>
      </c>
    </row>
    <row r="3279" spans="1:12" ht="30">
      <c r="A3279" s="35" t="s">
        <v>13704</v>
      </c>
      <c r="B3279" s="35" t="s">
        <v>8842</v>
      </c>
      <c r="C3279" s="36" t="s">
        <v>8843</v>
      </c>
      <c r="D3279" s="35" t="s">
        <v>8844</v>
      </c>
      <c r="E3279" s="35" t="s">
        <v>13703</v>
      </c>
      <c r="F3279" s="35" t="s">
        <v>12483</v>
      </c>
      <c r="G3279" s="35">
        <v>358001</v>
      </c>
      <c r="H3279" s="35">
        <v>390631</v>
      </c>
      <c r="I3279" s="35">
        <v>200020</v>
      </c>
      <c r="J3279" s="34" t="s">
        <v>363</v>
      </c>
      <c r="K3279" s="34" t="str">
        <f t="shared" si="105"/>
        <v>不重复</v>
      </c>
      <c r="L3279" s="34" t="str">
        <f t="shared" si="106"/>
        <v>不重复</v>
      </c>
    </row>
    <row r="3280" spans="1:12" ht="15">
      <c r="A3280" s="35" t="s">
        <v>13705</v>
      </c>
      <c r="B3280" s="35" t="s">
        <v>8845</v>
      </c>
      <c r="C3280" s="36" t="s">
        <v>8846</v>
      </c>
      <c r="D3280" s="35" t="s">
        <v>8847</v>
      </c>
      <c r="E3280" s="35" t="s">
        <v>13705</v>
      </c>
      <c r="F3280" s="35" t="s">
        <v>12483</v>
      </c>
      <c r="G3280" s="35">
        <v>358100</v>
      </c>
      <c r="H3280" s="35">
        <v>390660</v>
      </c>
      <c r="I3280" s="35">
        <v>200020</v>
      </c>
      <c r="J3280" s="34" t="s">
        <v>16</v>
      </c>
      <c r="K3280" s="34" t="str">
        <f t="shared" si="105"/>
        <v>不重复</v>
      </c>
      <c r="L3280" s="34" t="str">
        <f t="shared" si="106"/>
        <v>不重复</v>
      </c>
    </row>
    <row r="3281" spans="1:12" ht="15">
      <c r="A3281" s="35" t="s">
        <v>13706</v>
      </c>
      <c r="B3281" s="35" t="s">
        <v>8848</v>
      </c>
      <c r="C3281" s="36" t="s">
        <v>8849</v>
      </c>
      <c r="D3281" s="35" t="s">
        <v>8850</v>
      </c>
      <c r="E3281" s="35" t="s">
        <v>13705</v>
      </c>
      <c r="F3281" s="35" t="s">
        <v>12483</v>
      </c>
      <c r="G3281" s="35">
        <v>358101</v>
      </c>
      <c r="H3281" s="35">
        <v>390660</v>
      </c>
      <c r="I3281" s="35">
        <v>200020</v>
      </c>
      <c r="J3281" s="34" t="s">
        <v>8851</v>
      </c>
      <c r="K3281" s="34" t="str">
        <f t="shared" si="105"/>
        <v>不重复</v>
      </c>
      <c r="L3281" s="34" t="str">
        <f t="shared" si="106"/>
        <v>重复</v>
      </c>
    </row>
    <row r="3282" spans="1:12" ht="15">
      <c r="A3282" s="35" t="s">
        <v>13707</v>
      </c>
      <c r="B3282" s="35" t="s">
        <v>8852</v>
      </c>
      <c r="C3282" s="36" t="s">
        <v>8853</v>
      </c>
      <c r="D3282" s="35" t="s">
        <v>4729</v>
      </c>
      <c r="E3282" s="35" t="s">
        <v>13707</v>
      </c>
      <c r="F3282" s="35" t="s">
        <v>12483</v>
      </c>
      <c r="G3282" s="35">
        <v>358200</v>
      </c>
      <c r="H3282" s="35">
        <v>390640</v>
      </c>
      <c r="I3282" s="35">
        <v>200020</v>
      </c>
      <c r="J3282" s="34" t="s">
        <v>16</v>
      </c>
      <c r="K3282" s="34" t="str">
        <f t="shared" si="105"/>
        <v>不重复</v>
      </c>
      <c r="L3282" s="34" t="str">
        <f t="shared" si="106"/>
        <v>重复</v>
      </c>
    </row>
    <row r="3283" spans="1:12" ht="27">
      <c r="A3283" s="35" t="s">
        <v>13708</v>
      </c>
      <c r="B3283" s="35" t="s">
        <v>8854</v>
      </c>
      <c r="C3283" s="36" t="s">
        <v>5539</v>
      </c>
      <c r="D3283" s="35" t="s">
        <v>8855</v>
      </c>
      <c r="E3283" s="35" t="s">
        <v>13707</v>
      </c>
      <c r="F3283" s="35" t="s">
        <v>12483</v>
      </c>
      <c r="G3283" s="35">
        <v>358201</v>
      </c>
      <c r="H3283" s="35">
        <v>390640</v>
      </c>
      <c r="I3283" s="35">
        <v>200020</v>
      </c>
      <c r="J3283" s="34" t="s">
        <v>288</v>
      </c>
      <c r="K3283" s="34" t="str">
        <f t="shared" si="105"/>
        <v>重复</v>
      </c>
      <c r="L3283" s="34" t="str">
        <f t="shared" si="106"/>
        <v>不重复</v>
      </c>
    </row>
    <row r="3284" spans="1:12" ht="27">
      <c r="A3284" s="35" t="s">
        <v>13709</v>
      </c>
      <c r="B3284" s="35" t="s">
        <v>8856</v>
      </c>
      <c r="C3284" s="36" t="s">
        <v>5011</v>
      </c>
      <c r="D3284" s="35" t="s">
        <v>8857</v>
      </c>
      <c r="E3284" s="35" t="s">
        <v>13707</v>
      </c>
      <c r="F3284" s="35" t="s">
        <v>12483</v>
      </c>
      <c r="G3284" s="35">
        <v>358202</v>
      </c>
      <c r="H3284" s="35">
        <v>390640</v>
      </c>
      <c r="I3284" s="35">
        <v>200020</v>
      </c>
      <c r="J3284" s="34" t="s">
        <v>2674</v>
      </c>
      <c r="K3284" s="34" t="str">
        <f t="shared" si="105"/>
        <v>重复</v>
      </c>
      <c r="L3284" s="34" t="str">
        <f t="shared" si="106"/>
        <v>不重复</v>
      </c>
    </row>
    <row r="3285" spans="1:12" ht="27">
      <c r="A3285" s="35" t="s">
        <v>13710</v>
      </c>
      <c r="B3285" s="35" t="s">
        <v>8858</v>
      </c>
      <c r="C3285" s="36" t="s">
        <v>5578</v>
      </c>
      <c r="D3285" s="35" t="s">
        <v>8859</v>
      </c>
      <c r="E3285" s="35" t="s">
        <v>13707</v>
      </c>
      <c r="F3285" s="35" t="s">
        <v>12483</v>
      </c>
      <c r="G3285" s="35">
        <v>358203</v>
      </c>
      <c r="H3285" s="35">
        <v>390640</v>
      </c>
      <c r="I3285" s="35">
        <v>200020</v>
      </c>
      <c r="J3285" s="34" t="s">
        <v>2674</v>
      </c>
      <c r="K3285" s="34" t="str">
        <f t="shared" si="105"/>
        <v>重复</v>
      </c>
      <c r="L3285" s="34" t="str">
        <f t="shared" si="106"/>
        <v>不重复</v>
      </c>
    </row>
    <row r="3286" spans="1:12" ht="27">
      <c r="A3286" s="35" t="s">
        <v>13711</v>
      </c>
      <c r="B3286" s="35" t="s">
        <v>8860</v>
      </c>
      <c r="C3286" s="36" t="s">
        <v>1161</v>
      </c>
      <c r="D3286" s="35" t="s">
        <v>8861</v>
      </c>
      <c r="E3286" s="35" t="s">
        <v>13707</v>
      </c>
      <c r="F3286" s="35" t="s">
        <v>12483</v>
      </c>
      <c r="G3286" s="35">
        <v>358204</v>
      </c>
      <c r="H3286" s="35">
        <v>390640</v>
      </c>
      <c r="I3286" s="35">
        <v>200020</v>
      </c>
      <c r="J3286" s="34" t="s">
        <v>8862</v>
      </c>
      <c r="K3286" s="34" t="str">
        <f t="shared" si="105"/>
        <v>重复</v>
      </c>
      <c r="L3286" s="34" t="str">
        <f t="shared" si="106"/>
        <v>不重复</v>
      </c>
    </row>
    <row r="3287" spans="1:12" ht="30">
      <c r="A3287" s="35" t="s">
        <v>13712</v>
      </c>
      <c r="B3287" s="35" t="s">
        <v>8863</v>
      </c>
      <c r="C3287" s="36" t="s">
        <v>8864</v>
      </c>
      <c r="D3287" s="35" t="s">
        <v>8865</v>
      </c>
      <c r="E3287" s="35" t="s">
        <v>13707</v>
      </c>
      <c r="F3287" s="35" t="s">
        <v>12483</v>
      </c>
      <c r="G3287" s="35">
        <v>358205</v>
      </c>
      <c r="H3287" s="35">
        <v>390640</v>
      </c>
      <c r="I3287" s="35">
        <v>200020</v>
      </c>
      <c r="J3287" s="34" t="s">
        <v>932</v>
      </c>
      <c r="K3287" s="34" t="str">
        <f t="shared" si="105"/>
        <v>不重复</v>
      </c>
      <c r="L3287" s="34" t="str">
        <f t="shared" si="106"/>
        <v>不重复</v>
      </c>
    </row>
    <row r="3288" spans="1:12" ht="27">
      <c r="A3288" s="35" t="s">
        <v>13713</v>
      </c>
      <c r="B3288" s="35" t="s">
        <v>8866</v>
      </c>
      <c r="C3288" s="36" t="s">
        <v>3481</v>
      </c>
      <c r="D3288" s="35" t="s">
        <v>8867</v>
      </c>
      <c r="E3288" s="35" t="s">
        <v>13707</v>
      </c>
      <c r="F3288" s="35" t="s">
        <v>12483</v>
      </c>
      <c r="G3288" s="35">
        <v>358206</v>
      </c>
      <c r="H3288" s="35">
        <v>390640</v>
      </c>
      <c r="I3288" s="35">
        <v>200020</v>
      </c>
      <c r="J3288" s="34" t="s">
        <v>6439</v>
      </c>
      <c r="K3288" s="34" t="str">
        <f t="shared" si="105"/>
        <v>重复</v>
      </c>
      <c r="L3288" s="34" t="str">
        <f t="shared" si="106"/>
        <v>不重复</v>
      </c>
    </row>
    <row r="3289" spans="1:12" ht="30">
      <c r="A3289" s="35" t="s">
        <v>13714</v>
      </c>
      <c r="B3289" s="35" t="s">
        <v>8868</v>
      </c>
      <c r="C3289" s="36" t="s">
        <v>3827</v>
      </c>
      <c r="D3289" s="35" t="s">
        <v>8869</v>
      </c>
      <c r="E3289" s="35" t="s">
        <v>13707</v>
      </c>
      <c r="F3289" s="35" t="s">
        <v>12483</v>
      </c>
      <c r="G3289" s="35">
        <v>358207</v>
      </c>
      <c r="H3289" s="35">
        <v>390640</v>
      </c>
      <c r="I3289" s="35">
        <v>200020</v>
      </c>
      <c r="J3289" s="34" t="s">
        <v>302</v>
      </c>
      <c r="K3289" s="34" t="str">
        <f t="shared" si="105"/>
        <v>重复</v>
      </c>
      <c r="L3289" s="34" t="str">
        <f t="shared" si="106"/>
        <v>不重复</v>
      </c>
    </row>
    <row r="3290" spans="1:12" ht="30">
      <c r="A3290" s="35" t="s">
        <v>13715</v>
      </c>
      <c r="B3290" s="35" t="s">
        <v>8870</v>
      </c>
      <c r="C3290" s="36" t="s">
        <v>8871</v>
      </c>
      <c r="D3290" s="35" t="s">
        <v>2673</v>
      </c>
      <c r="E3290" s="35" t="s">
        <v>13707</v>
      </c>
      <c r="F3290" s="35" t="s">
        <v>12483</v>
      </c>
      <c r="G3290" s="35">
        <v>358208</v>
      </c>
      <c r="H3290" s="35">
        <v>390640</v>
      </c>
      <c r="I3290" s="35">
        <v>200020</v>
      </c>
      <c r="J3290" s="34" t="s">
        <v>363</v>
      </c>
      <c r="K3290" s="34" t="str">
        <f t="shared" si="105"/>
        <v>重复</v>
      </c>
      <c r="L3290" s="34" t="str">
        <f t="shared" si="106"/>
        <v>重复</v>
      </c>
    </row>
    <row r="3291" spans="1:12" ht="27">
      <c r="A3291" s="35" t="s">
        <v>13716</v>
      </c>
      <c r="B3291" s="35" t="s">
        <v>8872</v>
      </c>
      <c r="C3291" s="36" t="s">
        <v>8873</v>
      </c>
      <c r="D3291" s="35" t="s">
        <v>8874</v>
      </c>
      <c r="E3291" s="35" t="s">
        <v>13707</v>
      </c>
      <c r="F3291" s="35" t="s">
        <v>12483</v>
      </c>
      <c r="G3291" s="35">
        <v>358209</v>
      </c>
      <c r="H3291" s="35">
        <v>390640</v>
      </c>
      <c r="I3291" s="35">
        <v>200020</v>
      </c>
      <c r="J3291" s="34" t="s">
        <v>2219</v>
      </c>
      <c r="K3291" s="34" t="str">
        <f t="shared" si="105"/>
        <v>不重复</v>
      </c>
      <c r="L3291" s="34" t="str">
        <f t="shared" si="106"/>
        <v>重复</v>
      </c>
    </row>
    <row r="3292" spans="1:12" ht="30">
      <c r="A3292" s="35" t="s">
        <v>13717</v>
      </c>
      <c r="B3292" s="35" t="s">
        <v>8875</v>
      </c>
      <c r="C3292" s="36" t="s">
        <v>8871</v>
      </c>
      <c r="D3292" s="35" t="s">
        <v>6900</v>
      </c>
      <c r="E3292" s="35" t="s">
        <v>13707</v>
      </c>
      <c r="F3292" s="35" t="s">
        <v>12483</v>
      </c>
      <c r="G3292" s="35">
        <v>358210</v>
      </c>
      <c r="H3292" s="35">
        <v>390640</v>
      </c>
      <c r="I3292" s="35">
        <v>200020</v>
      </c>
      <c r="J3292" s="34" t="s">
        <v>363</v>
      </c>
      <c r="K3292" s="34" t="str">
        <f t="shared" si="105"/>
        <v>重复</v>
      </c>
      <c r="L3292" s="34" t="str">
        <f t="shared" si="106"/>
        <v>重复</v>
      </c>
    </row>
    <row r="3293" spans="1:12" ht="27">
      <c r="A3293" s="35" t="s">
        <v>13718</v>
      </c>
      <c r="B3293" s="35" t="s">
        <v>8876</v>
      </c>
      <c r="C3293" s="36" t="s">
        <v>8877</v>
      </c>
      <c r="D3293" s="35" t="s">
        <v>8878</v>
      </c>
      <c r="E3293" s="35" t="s">
        <v>13707</v>
      </c>
      <c r="F3293" s="35" t="s">
        <v>12483</v>
      </c>
      <c r="G3293" s="35">
        <v>358211</v>
      </c>
      <c r="H3293" s="35">
        <v>390640</v>
      </c>
      <c r="I3293" s="35">
        <v>200020</v>
      </c>
      <c r="J3293" s="34" t="s">
        <v>311</v>
      </c>
      <c r="K3293" s="34" t="str">
        <f t="shared" si="105"/>
        <v>重复</v>
      </c>
      <c r="L3293" s="34" t="str">
        <f t="shared" si="106"/>
        <v>不重复</v>
      </c>
    </row>
    <row r="3294" spans="1:12" ht="27">
      <c r="A3294" s="35" t="s">
        <v>13719</v>
      </c>
      <c r="B3294" s="35" t="s">
        <v>8879</v>
      </c>
      <c r="C3294" s="36" t="s">
        <v>8880</v>
      </c>
      <c r="D3294" s="35" t="s">
        <v>431</v>
      </c>
      <c r="E3294" s="35" t="s">
        <v>13707</v>
      </c>
      <c r="F3294" s="35" t="s">
        <v>12483</v>
      </c>
      <c r="G3294" s="35">
        <v>358212</v>
      </c>
      <c r="H3294" s="35">
        <v>390640</v>
      </c>
      <c r="I3294" s="35">
        <v>200020</v>
      </c>
      <c r="J3294" s="34" t="s">
        <v>715</v>
      </c>
      <c r="K3294" s="34" t="str">
        <f t="shared" si="105"/>
        <v>不重复</v>
      </c>
      <c r="L3294" s="34" t="str">
        <f t="shared" si="106"/>
        <v>重复</v>
      </c>
    </row>
    <row r="3295" spans="1:12" ht="30">
      <c r="A3295" s="35" t="s">
        <v>13720</v>
      </c>
      <c r="B3295" s="35" t="s">
        <v>8881</v>
      </c>
      <c r="C3295" s="36" t="s">
        <v>8882</v>
      </c>
      <c r="D3295" s="35" t="s">
        <v>8883</v>
      </c>
      <c r="E3295" s="35" t="s">
        <v>13707</v>
      </c>
      <c r="F3295" s="35" t="s">
        <v>12483</v>
      </c>
      <c r="G3295" s="35">
        <v>358213</v>
      </c>
      <c r="H3295" s="35">
        <v>390640</v>
      </c>
      <c r="I3295" s="35">
        <v>200020</v>
      </c>
      <c r="J3295" s="34" t="s">
        <v>8884</v>
      </c>
      <c r="K3295" s="34" t="str">
        <f t="shared" si="105"/>
        <v>不重复</v>
      </c>
      <c r="L3295" s="34" t="str">
        <f t="shared" si="106"/>
        <v>不重复</v>
      </c>
    </row>
    <row r="3296" spans="1:12" ht="27">
      <c r="A3296" s="35" t="s">
        <v>13721</v>
      </c>
      <c r="B3296" s="35" t="s">
        <v>8885</v>
      </c>
      <c r="C3296" s="36" t="s">
        <v>8886</v>
      </c>
      <c r="D3296" s="35" t="s">
        <v>8887</v>
      </c>
      <c r="E3296" s="35" t="s">
        <v>13707</v>
      </c>
      <c r="F3296" s="35" t="s">
        <v>12483</v>
      </c>
      <c r="G3296" s="35">
        <v>358214</v>
      </c>
      <c r="H3296" s="35">
        <v>390640</v>
      </c>
      <c r="I3296" s="35">
        <v>200020</v>
      </c>
      <c r="J3296" s="34" t="s">
        <v>508</v>
      </c>
      <c r="K3296" s="34" t="str">
        <f t="shared" si="105"/>
        <v>不重复</v>
      </c>
      <c r="L3296" s="34" t="str">
        <f t="shared" si="106"/>
        <v>不重复</v>
      </c>
    </row>
    <row r="3297" spans="1:12" ht="27">
      <c r="A3297" s="35" t="s">
        <v>13722</v>
      </c>
      <c r="B3297" s="35" t="s">
        <v>8888</v>
      </c>
      <c r="C3297" s="36" t="s">
        <v>474</v>
      </c>
      <c r="D3297" s="35" t="s">
        <v>8889</v>
      </c>
      <c r="E3297" s="35" t="s">
        <v>13707</v>
      </c>
      <c r="F3297" s="35" t="s">
        <v>12483</v>
      </c>
      <c r="G3297" s="35">
        <v>358215</v>
      </c>
      <c r="H3297" s="35">
        <v>390640</v>
      </c>
      <c r="I3297" s="35">
        <v>200020</v>
      </c>
      <c r="J3297" s="34" t="s">
        <v>8890</v>
      </c>
      <c r="K3297" s="34" t="str">
        <f t="shared" si="105"/>
        <v>重复</v>
      </c>
      <c r="L3297" s="34" t="str">
        <f t="shared" si="106"/>
        <v>不重复</v>
      </c>
    </row>
    <row r="3298" spans="1:12" ht="30">
      <c r="A3298" s="35" t="s">
        <v>13723</v>
      </c>
      <c r="B3298" s="35" t="s">
        <v>8891</v>
      </c>
      <c r="C3298" s="36" t="s">
        <v>272</v>
      </c>
      <c r="D3298" s="35" t="s">
        <v>8892</v>
      </c>
      <c r="E3298" s="35" t="s">
        <v>13707</v>
      </c>
      <c r="F3298" s="35" t="s">
        <v>12483</v>
      </c>
      <c r="G3298" s="35">
        <v>358216</v>
      </c>
      <c r="H3298" s="35">
        <v>390640</v>
      </c>
      <c r="I3298" s="35">
        <v>200020</v>
      </c>
      <c r="J3298" s="34" t="s">
        <v>715</v>
      </c>
      <c r="K3298" s="34" t="str">
        <f t="shared" si="105"/>
        <v>重复</v>
      </c>
      <c r="L3298" s="34" t="str">
        <f t="shared" si="106"/>
        <v>不重复</v>
      </c>
    </row>
    <row r="3299" spans="1:12" ht="27">
      <c r="A3299" s="35" t="s">
        <v>13724</v>
      </c>
      <c r="B3299" s="35" t="s">
        <v>8893</v>
      </c>
      <c r="C3299" s="36" t="s">
        <v>8894</v>
      </c>
      <c r="D3299" s="35" t="s">
        <v>8895</v>
      </c>
      <c r="E3299" s="35" t="s">
        <v>13707</v>
      </c>
      <c r="F3299" s="35" t="s">
        <v>12483</v>
      </c>
      <c r="G3299" s="35">
        <v>358217</v>
      </c>
      <c r="H3299" s="35">
        <v>390640</v>
      </c>
      <c r="I3299" s="35">
        <v>200020</v>
      </c>
      <c r="J3299" s="34" t="s">
        <v>1186</v>
      </c>
      <c r="K3299" s="34" t="str">
        <f t="shared" si="105"/>
        <v>不重复</v>
      </c>
      <c r="L3299" s="34" t="str">
        <f t="shared" si="106"/>
        <v>不重复</v>
      </c>
    </row>
    <row r="3300" spans="1:12" ht="27">
      <c r="A3300" s="35" t="s">
        <v>13725</v>
      </c>
      <c r="B3300" s="35" t="s">
        <v>8896</v>
      </c>
      <c r="C3300" s="36" t="s">
        <v>8897</v>
      </c>
      <c r="D3300" s="35" t="s">
        <v>8898</v>
      </c>
      <c r="E3300" s="35" t="s">
        <v>13707</v>
      </c>
      <c r="F3300" s="35" t="s">
        <v>12483</v>
      </c>
      <c r="G3300" s="35">
        <v>358218</v>
      </c>
      <c r="H3300" s="35">
        <v>390640</v>
      </c>
      <c r="I3300" s="35">
        <v>200020</v>
      </c>
      <c r="J3300" s="34" t="s">
        <v>261</v>
      </c>
      <c r="K3300" s="34" t="str">
        <f t="shared" si="105"/>
        <v>不重复</v>
      </c>
      <c r="L3300" s="34" t="str">
        <f t="shared" si="106"/>
        <v>不重复</v>
      </c>
    </row>
    <row r="3301" spans="1:12" ht="27">
      <c r="A3301" s="35" t="s">
        <v>13726</v>
      </c>
      <c r="B3301" s="35" t="s">
        <v>8899</v>
      </c>
      <c r="C3301" s="36" t="s">
        <v>8900</v>
      </c>
      <c r="D3301" s="35" t="s">
        <v>8901</v>
      </c>
      <c r="E3301" s="35" t="s">
        <v>13707</v>
      </c>
      <c r="F3301" s="35" t="s">
        <v>12483</v>
      </c>
      <c r="G3301" s="35">
        <v>358219</v>
      </c>
      <c r="H3301" s="35">
        <v>390640</v>
      </c>
      <c r="I3301" s="35">
        <v>200020</v>
      </c>
      <c r="J3301" s="34" t="s">
        <v>8890</v>
      </c>
      <c r="K3301" s="34" t="str">
        <f t="shared" si="105"/>
        <v>不重复</v>
      </c>
      <c r="L3301" s="34" t="str">
        <f t="shared" si="106"/>
        <v>不重复</v>
      </c>
    </row>
    <row r="3302" spans="1:12" ht="30">
      <c r="A3302" s="35" t="s">
        <v>13727</v>
      </c>
      <c r="B3302" s="35" t="s">
        <v>8902</v>
      </c>
      <c r="C3302" s="36" t="s">
        <v>8903</v>
      </c>
      <c r="D3302" s="35" t="s">
        <v>8904</v>
      </c>
      <c r="E3302" s="35" t="s">
        <v>13707</v>
      </c>
      <c r="F3302" s="35" t="s">
        <v>12483</v>
      </c>
      <c r="G3302" s="35">
        <v>358220</v>
      </c>
      <c r="H3302" s="35">
        <v>390640</v>
      </c>
      <c r="I3302" s="35">
        <v>200020</v>
      </c>
      <c r="J3302" s="34" t="s">
        <v>363</v>
      </c>
      <c r="K3302" s="34" t="str">
        <f t="shared" si="105"/>
        <v>不重复</v>
      </c>
      <c r="L3302" s="34" t="str">
        <f t="shared" si="106"/>
        <v>不重复</v>
      </c>
    </row>
    <row r="3303" spans="1:12" ht="30">
      <c r="A3303" s="35" t="s">
        <v>13728</v>
      </c>
      <c r="B3303" s="35" t="s">
        <v>8905</v>
      </c>
      <c r="C3303" s="36" t="s">
        <v>8906</v>
      </c>
      <c r="D3303" s="35" t="s">
        <v>8907</v>
      </c>
      <c r="E3303" s="35" t="s">
        <v>13707</v>
      </c>
      <c r="F3303" s="35" t="s">
        <v>12483</v>
      </c>
      <c r="G3303" s="35">
        <v>358221</v>
      </c>
      <c r="H3303" s="35">
        <v>390640</v>
      </c>
      <c r="I3303" s="35">
        <v>200020</v>
      </c>
      <c r="J3303" s="34" t="s">
        <v>363</v>
      </c>
      <c r="K3303" s="34" t="str">
        <f t="shared" si="105"/>
        <v>不重复</v>
      </c>
      <c r="L3303" s="34" t="str">
        <f t="shared" si="106"/>
        <v>不重复</v>
      </c>
    </row>
    <row r="3304" spans="1:12" ht="30">
      <c r="A3304" s="35" t="s">
        <v>13729</v>
      </c>
      <c r="B3304" s="35" t="s">
        <v>8908</v>
      </c>
      <c r="C3304" s="36" t="s">
        <v>5878</v>
      </c>
      <c r="D3304" s="35" t="s">
        <v>8909</v>
      </c>
      <c r="E3304" s="35" t="s">
        <v>13707</v>
      </c>
      <c r="F3304" s="35" t="s">
        <v>12483</v>
      </c>
      <c r="G3304" s="35">
        <v>358222</v>
      </c>
      <c r="H3304" s="35">
        <v>390640</v>
      </c>
      <c r="I3304" s="35">
        <v>200020</v>
      </c>
      <c r="J3304" s="34" t="s">
        <v>363</v>
      </c>
      <c r="K3304" s="34" t="str">
        <f t="shared" si="105"/>
        <v>重复</v>
      </c>
      <c r="L3304" s="34" t="str">
        <f t="shared" si="106"/>
        <v>不重复</v>
      </c>
    </row>
    <row r="3305" spans="1:12" ht="27">
      <c r="A3305" s="35" t="s">
        <v>13730</v>
      </c>
      <c r="B3305" s="35" t="s">
        <v>8910</v>
      </c>
      <c r="C3305" s="36" t="s">
        <v>2774</v>
      </c>
      <c r="D3305" s="35" t="s">
        <v>8911</v>
      </c>
      <c r="E3305" s="35" t="s">
        <v>13707</v>
      </c>
      <c r="F3305" s="35" t="s">
        <v>12483</v>
      </c>
      <c r="G3305" s="35">
        <v>358223</v>
      </c>
      <c r="H3305" s="35">
        <v>390640</v>
      </c>
      <c r="I3305" s="35">
        <v>200020</v>
      </c>
      <c r="J3305" s="34" t="s">
        <v>1134</v>
      </c>
      <c r="K3305" s="34" t="str">
        <f t="shared" si="105"/>
        <v>重复</v>
      </c>
      <c r="L3305" s="34" t="str">
        <f t="shared" si="106"/>
        <v>不重复</v>
      </c>
    </row>
    <row r="3306" spans="1:12" ht="27">
      <c r="A3306" s="35" t="s">
        <v>13731</v>
      </c>
      <c r="B3306" s="35" t="s">
        <v>8912</v>
      </c>
      <c r="C3306" s="36" t="s">
        <v>4980</v>
      </c>
      <c r="D3306" s="35" t="s">
        <v>8913</v>
      </c>
      <c r="E3306" s="35" t="s">
        <v>13707</v>
      </c>
      <c r="F3306" s="35" t="s">
        <v>12483</v>
      </c>
      <c r="G3306" s="35">
        <v>358224</v>
      </c>
      <c r="H3306" s="35">
        <v>390640</v>
      </c>
      <c r="I3306" s="35">
        <v>200020</v>
      </c>
      <c r="J3306" s="34" t="s">
        <v>390</v>
      </c>
      <c r="K3306" s="34" t="str">
        <f t="shared" si="105"/>
        <v>重复</v>
      </c>
      <c r="L3306" s="34" t="str">
        <f t="shared" si="106"/>
        <v>不重复</v>
      </c>
    </row>
    <row r="3307" spans="1:12" ht="27">
      <c r="A3307" s="35" t="s">
        <v>13732</v>
      </c>
      <c r="B3307" s="35" t="s">
        <v>8914</v>
      </c>
      <c r="C3307" s="36" t="s">
        <v>4261</v>
      </c>
      <c r="D3307" s="35" t="s">
        <v>8915</v>
      </c>
      <c r="E3307" s="35" t="s">
        <v>13707</v>
      </c>
      <c r="F3307" s="35" t="s">
        <v>12483</v>
      </c>
      <c r="G3307" s="35">
        <v>358225</v>
      </c>
      <c r="H3307" s="35">
        <v>390640</v>
      </c>
      <c r="I3307" s="35">
        <v>200020</v>
      </c>
      <c r="J3307" s="34" t="s">
        <v>210</v>
      </c>
      <c r="K3307" s="34" t="str">
        <f t="shared" si="105"/>
        <v>重复</v>
      </c>
      <c r="L3307" s="34" t="str">
        <f t="shared" si="106"/>
        <v>不重复</v>
      </c>
    </row>
    <row r="3308" spans="1:12" ht="27">
      <c r="A3308" s="35" t="s">
        <v>13733</v>
      </c>
      <c r="B3308" s="35" t="s">
        <v>8916</v>
      </c>
      <c r="C3308" s="36" t="s">
        <v>8917</v>
      </c>
      <c r="D3308" s="35" t="s">
        <v>8918</v>
      </c>
      <c r="E3308" s="35" t="s">
        <v>13707</v>
      </c>
      <c r="F3308" s="35" t="s">
        <v>12483</v>
      </c>
      <c r="G3308" s="35">
        <v>358226</v>
      </c>
      <c r="H3308" s="35">
        <v>390640</v>
      </c>
      <c r="I3308" s="35">
        <v>200020</v>
      </c>
      <c r="J3308" s="34" t="s">
        <v>363</v>
      </c>
      <c r="K3308" s="34" t="str">
        <f t="shared" si="105"/>
        <v>不重复</v>
      </c>
      <c r="L3308" s="34" t="str">
        <f t="shared" si="106"/>
        <v>不重复</v>
      </c>
    </row>
    <row r="3309" spans="1:12" ht="30">
      <c r="A3309" s="35" t="s">
        <v>13734</v>
      </c>
      <c r="B3309" s="35" t="s">
        <v>8919</v>
      </c>
      <c r="C3309" s="36" t="s">
        <v>8920</v>
      </c>
      <c r="D3309" s="35" t="s">
        <v>8921</v>
      </c>
      <c r="E3309" s="35" t="s">
        <v>13707</v>
      </c>
      <c r="F3309" s="35" t="s">
        <v>12483</v>
      </c>
      <c r="G3309" s="35">
        <v>358227</v>
      </c>
      <c r="H3309" s="35">
        <v>390640</v>
      </c>
      <c r="I3309" s="35">
        <v>200020</v>
      </c>
      <c r="J3309" s="34" t="s">
        <v>5477</v>
      </c>
      <c r="K3309" s="34" t="str">
        <f t="shared" si="105"/>
        <v>不重复</v>
      </c>
      <c r="L3309" s="34" t="str">
        <f t="shared" si="106"/>
        <v>不重复</v>
      </c>
    </row>
    <row r="3310" spans="1:12" ht="30">
      <c r="A3310" s="35" t="s">
        <v>13735</v>
      </c>
      <c r="B3310" s="35" t="s">
        <v>8922</v>
      </c>
      <c r="C3310" s="36" t="s">
        <v>8923</v>
      </c>
      <c r="D3310" s="35" t="s">
        <v>8924</v>
      </c>
      <c r="E3310" s="35" t="s">
        <v>13707</v>
      </c>
      <c r="F3310" s="35" t="s">
        <v>12483</v>
      </c>
      <c r="G3310" s="35">
        <v>358228</v>
      </c>
      <c r="H3310" s="35">
        <v>390640</v>
      </c>
      <c r="I3310" s="35">
        <v>200020</v>
      </c>
      <c r="J3310" s="34" t="s">
        <v>183</v>
      </c>
      <c r="K3310" s="34" t="str">
        <f t="shared" si="105"/>
        <v>不重复</v>
      </c>
      <c r="L3310" s="34" t="str">
        <f t="shared" si="106"/>
        <v>不重复</v>
      </c>
    </row>
    <row r="3311" spans="1:12" ht="30">
      <c r="A3311" s="35" t="s">
        <v>13736</v>
      </c>
      <c r="B3311" s="35" t="s">
        <v>8925</v>
      </c>
      <c r="C3311" s="36" t="s">
        <v>2291</v>
      </c>
      <c r="D3311" s="35" t="s">
        <v>8926</v>
      </c>
      <c r="E3311" s="35" t="s">
        <v>13707</v>
      </c>
      <c r="F3311" s="35" t="s">
        <v>12483</v>
      </c>
      <c r="G3311" s="35">
        <v>358229</v>
      </c>
      <c r="H3311" s="35">
        <v>390640</v>
      </c>
      <c r="I3311" s="35">
        <v>200020</v>
      </c>
      <c r="J3311" s="34" t="s">
        <v>681</v>
      </c>
      <c r="K3311" s="34" t="str">
        <f t="shared" si="105"/>
        <v>重复</v>
      </c>
      <c r="L3311" s="34" t="str">
        <f t="shared" si="106"/>
        <v>重复</v>
      </c>
    </row>
    <row r="3312" spans="1:12" ht="30">
      <c r="A3312" s="35" t="s">
        <v>13737</v>
      </c>
      <c r="B3312" s="35" t="s">
        <v>8927</v>
      </c>
      <c r="C3312" s="36" t="s">
        <v>8928</v>
      </c>
      <c r="D3312" s="35" t="s">
        <v>8926</v>
      </c>
      <c r="E3312" s="35" t="s">
        <v>13707</v>
      </c>
      <c r="F3312" s="35" t="s">
        <v>12483</v>
      </c>
      <c r="G3312" s="35">
        <v>358230</v>
      </c>
      <c r="H3312" s="35">
        <v>390640</v>
      </c>
      <c r="I3312" s="35">
        <v>200020</v>
      </c>
      <c r="J3312" s="34" t="s">
        <v>932</v>
      </c>
      <c r="K3312" s="34" t="str">
        <f t="shared" si="105"/>
        <v>不重复</v>
      </c>
      <c r="L3312" s="34" t="str">
        <f t="shared" si="106"/>
        <v>重复</v>
      </c>
    </row>
    <row r="3313" spans="1:12" ht="30">
      <c r="A3313" s="35" t="s">
        <v>13738</v>
      </c>
      <c r="B3313" s="35" t="s">
        <v>8929</v>
      </c>
      <c r="C3313" s="36" t="s">
        <v>2309</v>
      </c>
      <c r="D3313" s="35" t="s">
        <v>8930</v>
      </c>
      <c r="E3313" s="35" t="s">
        <v>13707</v>
      </c>
      <c r="F3313" s="35" t="s">
        <v>12483</v>
      </c>
      <c r="G3313" s="35">
        <v>358231</v>
      </c>
      <c r="H3313" s="35">
        <v>390640</v>
      </c>
      <c r="I3313" s="35">
        <v>200020</v>
      </c>
      <c r="J3313" s="34" t="s">
        <v>363</v>
      </c>
      <c r="K3313" s="34" t="str">
        <f t="shared" si="105"/>
        <v>重复</v>
      </c>
      <c r="L3313" s="34" t="str">
        <f t="shared" si="106"/>
        <v>不重复</v>
      </c>
    </row>
    <row r="3314" spans="1:12" ht="30">
      <c r="A3314" s="35" t="s">
        <v>13739</v>
      </c>
      <c r="B3314" s="35" t="s">
        <v>8931</v>
      </c>
      <c r="C3314" s="36" t="s">
        <v>2315</v>
      </c>
      <c r="D3314" s="35" t="s">
        <v>8932</v>
      </c>
      <c r="E3314" s="35" t="s">
        <v>13707</v>
      </c>
      <c r="F3314" s="35" t="s">
        <v>12483</v>
      </c>
      <c r="G3314" s="35">
        <v>358232</v>
      </c>
      <c r="H3314" s="35">
        <v>390640</v>
      </c>
      <c r="I3314" s="35">
        <v>200020</v>
      </c>
      <c r="J3314" s="34" t="s">
        <v>302</v>
      </c>
      <c r="K3314" s="34" t="str">
        <f t="shared" si="105"/>
        <v>重复</v>
      </c>
      <c r="L3314" s="34" t="str">
        <f t="shared" si="106"/>
        <v>不重复</v>
      </c>
    </row>
    <row r="3315" spans="1:12" ht="27">
      <c r="A3315" s="35" t="s">
        <v>13740</v>
      </c>
      <c r="B3315" s="35" t="s">
        <v>8933</v>
      </c>
      <c r="C3315" s="36" t="s">
        <v>8934</v>
      </c>
      <c r="D3315" s="35" t="s">
        <v>8935</v>
      </c>
      <c r="E3315" s="35" t="s">
        <v>13707</v>
      </c>
      <c r="F3315" s="35" t="s">
        <v>12483</v>
      </c>
      <c r="G3315" s="35">
        <v>358233</v>
      </c>
      <c r="H3315" s="35">
        <v>390640</v>
      </c>
      <c r="I3315" s="35">
        <v>200020</v>
      </c>
      <c r="J3315" s="34" t="s">
        <v>962</v>
      </c>
      <c r="K3315" s="34" t="str">
        <f t="shared" si="105"/>
        <v>不重复</v>
      </c>
      <c r="L3315" s="34" t="str">
        <f t="shared" si="106"/>
        <v>不重复</v>
      </c>
    </row>
    <row r="3316" spans="1:12" ht="30">
      <c r="A3316" s="35" t="s">
        <v>13741</v>
      </c>
      <c r="B3316" s="35" t="s">
        <v>8936</v>
      </c>
      <c r="C3316" s="36" t="s">
        <v>8937</v>
      </c>
      <c r="D3316" s="35" t="s">
        <v>8938</v>
      </c>
      <c r="E3316" s="35" t="s">
        <v>13707</v>
      </c>
      <c r="F3316" s="35" t="s">
        <v>12483</v>
      </c>
      <c r="G3316" s="35">
        <v>358234</v>
      </c>
      <c r="H3316" s="35">
        <v>390640</v>
      </c>
      <c r="I3316" s="35">
        <v>200020</v>
      </c>
      <c r="J3316" s="34" t="s">
        <v>363</v>
      </c>
      <c r="K3316" s="34" t="str">
        <f t="shared" si="105"/>
        <v>不重复</v>
      </c>
      <c r="L3316" s="34" t="str">
        <f t="shared" si="106"/>
        <v>不重复</v>
      </c>
    </row>
    <row r="3317" spans="1:12" ht="27">
      <c r="A3317" s="35" t="s">
        <v>13742</v>
      </c>
      <c r="B3317" s="35" t="s">
        <v>8939</v>
      </c>
      <c r="C3317" s="36" t="s">
        <v>7558</v>
      </c>
      <c r="D3317" s="35" t="s">
        <v>8940</v>
      </c>
      <c r="E3317" s="35" t="s">
        <v>13707</v>
      </c>
      <c r="F3317" s="35" t="s">
        <v>12483</v>
      </c>
      <c r="G3317" s="35">
        <v>358235</v>
      </c>
      <c r="H3317" s="35">
        <v>390640</v>
      </c>
      <c r="I3317" s="35">
        <v>200020</v>
      </c>
      <c r="J3317" s="34" t="s">
        <v>8941</v>
      </c>
      <c r="K3317" s="34" t="str">
        <f t="shared" si="105"/>
        <v>重复</v>
      </c>
      <c r="L3317" s="34" t="str">
        <f t="shared" si="106"/>
        <v>不重复</v>
      </c>
    </row>
    <row r="3318" spans="1:12" ht="27">
      <c r="A3318" s="35" t="s">
        <v>13743</v>
      </c>
      <c r="B3318" s="35" t="s">
        <v>8942</v>
      </c>
      <c r="C3318" s="36" t="s">
        <v>2777</v>
      </c>
      <c r="D3318" s="35" t="s">
        <v>8943</v>
      </c>
      <c r="E3318" s="35" t="s">
        <v>13707</v>
      </c>
      <c r="F3318" s="35" t="s">
        <v>12483</v>
      </c>
      <c r="G3318" s="35">
        <v>358236</v>
      </c>
      <c r="H3318" s="35">
        <v>390640</v>
      </c>
      <c r="I3318" s="35">
        <v>200020</v>
      </c>
      <c r="J3318" s="34" t="s">
        <v>8944</v>
      </c>
      <c r="K3318" s="34" t="str">
        <f t="shared" si="105"/>
        <v>重复</v>
      </c>
      <c r="L3318" s="34" t="str">
        <f t="shared" si="106"/>
        <v>不重复</v>
      </c>
    </row>
    <row r="3319" spans="1:12" ht="15">
      <c r="A3319" s="35" t="s">
        <v>13744</v>
      </c>
      <c r="B3319" s="35" t="s">
        <v>8945</v>
      </c>
      <c r="C3319" s="36" t="s">
        <v>8946</v>
      </c>
      <c r="D3319" s="35" t="s">
        <v>8947</v>
      </c>
      <c r="E3319" s="35" t="s">
        <v>13707</v>
      </c>
      <c r="F3319" s="35" t="s">
        <v>12483</v>
      </c>
      <c r="G3319" s="35">
        <v>358237</v>
      </c>
      <c r="H3319" s="35">
        <v>390640</v>
      </c>
      <c r="I3319" s="35">
        <v>200020</v>
      </c>
      <c r="J3319" s="34" t="s">
        <v>302</v>
      </c>
      <c r="K3319" s="34" t="str">
        <f t="shared" si="105"/>
        <v>重复</v>
      </c>
      <c r="L3319" s="34" t="str">
        <f t="shared" si="106"/>
        <v>不重复</v>
      </c>
    </row>
    <row r="3320" spans="1:12" ht="27">
      <c r="A3320" s="35" t="s">
        <v>13745</v>
      </c>
      <c r="B3320" s="35" t="s">
        <v>8948</v>
      </c>
      <c r="C3320" s="36" t="s">
        <v>3070</v>
      </c>
      <c r="D3320" s="35" t="s">
        <v>8663</v>
      </c>
      <c r="E3320" s="35" t="s">
        <v>13707</v>
      </c>
      <c r="F3320" s="35" t="s">
        <v>12483</v>
      </c>
      <c r="G3320" s="35">
        <v>358238</v>
      </c>
      <c r="H3320" s="35">
        <v>390640</v>
      </c>
      <c r="I3320" s="35">
        <v>200020</v>
      </c>
      <c r="J3320" s="34" t="s">
        <v>8949</v>
      </c>
      <c r="K3320" s="34" t="str">
        <f t="shared" si="105"/>
        <v>重复</v>
      </c>
      <c r="L3320" s="34" t="str">
        <f t="shared" si="106"/>
        <v>重复</v>
      </c>
    </row>
    <row r="3321" spans="1:12" ht="15">
      <c r="A3321" s="35" t="s">
        <v>13746</v>
      </c>
      <c r="B3321" s="35" t="s">
        <v>8950</v>
      </c>
      <c r="C3321" s="36" t="s">
        <v>8951</v>
      </c>
      <c r="D3321" s="35" t="s">
        <v>8542</v>
      </c>
      <c r="E3321" s="35" t="s">
        <v>13707</v>
      </c>
      <c r="F3321" s="35" t="s">
        <v>12483</v>
      </c>
      <c r="G3321" s="35">
        <v>358239</v>
      </c>
      <c r="H3321" s="35">
        <v>390640</v>
      </c>
      <c r="I3321" s="35">
        <v>200020</v>
      </c>
      <c r="J3321" s="34" t="s">
        <v>681</v>
      </c>
      <c r="K3321" s="34" t="str">
        <f t="shared" si="105"/>
        <v>重复</v>
      </c>
      <c r="L3321" s="34" t="str">
        <f t="shared" si="106"/>
        <v>重复</v>
      </c>
    </row>
    <row r="3322" spans="1:12" ht="27">
      <c r="A3322" s="35" t="s">
        <v>13747</v>
      </c>
      <c r="B3322" s="35" t="s">
        <v>8952</v>
      </c>
      <c r="C3322" s="36" t="s">
        <v>4455</v>
      </c>
      <c r="D3322" s="35" t="s">
        <v>8953</v>
      </c>
      <c r="E3322" s="35" t="s">
        <v>13707</v>
      </c>
      <c r="F3322" s="35" t="s">
        <v>12483</v>
      </c>
      <c r="G3322" s="35">
        <v>358240</v>
      </c>
      <c r="H3322" s="35">
        <v>390640</v>
      </c>
      <c r="I3322" s="35">
        <v>200020</v>
      </c>
      <c r="J3322" s="34" t="s">
        <v>8949</v>
      </c>
      <c r="K3322" s="34" t="str">
        <f t="shared" si="105"/>
        <v>重复</v>
      </c>
      <c r="L3322" s="34" t="str">
        <f t="shared" si="106"/>
        <v>不重复</v>
      </c>
    </row>
    <row r="3323" spans="1:12" ht="30">
      <c r="A3323" s="35" t="s">
        <v>13748</v>
      </c>
      <c r="B3323" s="35" t="s">
        <v>8954</v>
      </c>
      <c r="C3323" s="36" t="s">
        <v>8955</v>
      </c>
      <c r="D3323" s="35" t="s">
        <v>8956</v>
      </c>
      <c r="E3323" s="35" t="s">
        <v>13707</v>
      </c>
      <c r="F3323" s="35" t="s">
        <v>12483</v>
      </c>
      <c r="G3323" s="35">
        <v>358241</v>
      </c>
      <c r="H3323" s="35">
        <v>390640</v>
      </c>
      <c r="I3323" s="35">
        <v>200020</v>
      </c>
      <c r="J3323" s="34" t="s">
        <v>261</v>
      </c>
      <c r="K3323" s="34" t="str">
        <f t="shared" si="105"/>
        <v>不重复</v>
      </c>
      <c r="L3323" s="34" t="str">
        <f t="shared" si="106"/>
        <v>重复</v>
      </c>
    </row>
    <row r="3324" spans="1:12" ht="27">
      <c r="A3324" s="35" t="s">
        <v>13749</v>
      </c>
      <c r="B3324" s="35" t="s">
        <v>8957</v>
      </c>
      <c r="C3324" s="36" t="s">
        <v>2074</v>
      </c>
      <c r="D3324" s="35" t="s">
        <v>7356</v>
      </c>
      <c r="E3324" s="35" t="s">
        <v>13707</v>
      </c>
      <c r="F3324" s="35" t="s">
        <v>12483</v>
      </c>
      <c r="G3324" s="35">
        <v>358242</v>
      </c>
      <c r="H3324" s="35">
        <v>390640</v>
      </c>
      <c r="I3324" s="35">
        <v>200020</v>
      </c>
      <c r="J3324" s="34" t="s">
        <v>508</v>
      </c>
      <c r="K3324" s="34" t="str">
        <f t="shared" si="105"/>
        <v>重复</v>
      </c>
      <c r="L3324" s="34" t="str">
        <f t="shared" si="106"/>
        <v>重复</v>
      </c>
    </row>
    <row r="3325" spans="1:12" ht="27">
      <c r="A3325" s="35" t="s">
        <v>13750</v>
      </c>
      <c r="B3325" s="35" t="s">
        <v>8958</v>
      </c>
      <c r="C3325" s="36" t="s">
        <v>8959</v>
      </c>
      <c r="D3325" s="35" t="s">
        <v>8960</v>
      </c>
      <c r="E3325" s="35" t="s">
        <v>13707</v>
      </c>
      <c r="F3325" s="35" t="s">
        <v>12483</v>
      </c>
      <c r="G3325" s="35">
        <v>358243</v>
      </c>
      <c r="H3325" s="35">
        <v>390640</v>
      </c>
      <c r="I3325" s="35">
        <v>200020</v>
      </c>
      <c r="J3325" s="34" t="s">
        <v>8961</v>
      </c>
      <c r="K3325" s="34" t="str">
        <f t="shared" si="105"/>
        <v>不重复</v>
      </c>
      <c r="L3325" s="34" t="str">
        <f t="shared" si="106"/>
        <v>不重复</v>
      </c>
    </row>
    <row r="3326" spans="1:12" ht="30">
      <c r="A3326" s="35" t="s">
        <v>13751</v>
      </c>
      <c r="B3326" s="35" t="s">
        <v>8962</v>
      </c>
      <c r="C3326" s="36" t="s">
        <v>2057</v>
      </c>
      <c r="D3326" s="35" t="s">
        <v>7386</v>
      </c>
      <c r="E3326" s="35" t="s">
        <v>13707</v>
      </c>
      <c r="F3326" s="35" t="s">
        <v>12483</v>
      </c>
      <c r="G3326" s="35">
        <v>358244</v>
      </c>
      <c r="H3326" s="35">
        <v>390640</v>
      </c>
      <c r="I3326" s="35">
        <v>200020</v>
      </c>
      <c r="J3326" s="34" t="s">
        <v>8963</v>
      </c>
      <c r="K3326" s="34" t="str">
        <f t="shared" si="105"/>
        <v>重复</v>
      </c>
      <c r="L3326" s="34" t="str">
        <f t="shared" si="106"/>
        <v>重复</v>
      </c>
    </row>
    <row r="3327" spans="1:12" ht="27">
      <c r="A3327" s="35" t="s">
        <v>13752</v>
      </c>
      <c r="B3327" s="35" t="s">
        <v>8964</v>
      </c>
      <c r="C3327" s="36" t="s">
        <v>644</v>
      </c>
      <c r="D3327" s="35" t="s">
        <v>8965</v>
      </c>
      <c r="E3327" s="35" t="s">
        <v>13707</v>
      </c>
      <c r="F3327" s="35" t="s">
        <v>12483</v>
      </c>
      <c r="G3327" s="35">
        <v>358245</v>
      </c>
      <c r="H3327" s="35">
        <v>390640</v>
      </c>
      <c r="I3327" s="35">
        <v>200020</v>
      </c>
      <c r="J3327" s="34" t="s">
        <v>261</v>
      </c>
      <c r="K3327" s="34" t="str">
        <f t="shared" si="105"/>
        <v>重复</v>
      </c>
      <c r="L3327" s="34" t="str">
        <f t="shared" si="106"/>
        <v>不重复</v>
      </c>
    </row>
    <row r="3328" spans="1:12" ht="30">
      <c r="A3328" s="35" t="s">
        <v>13753</v>
      </c>
      <c r="B3328" s="35" t="s">
        <v>8966</v>
      </c>
      <c r="C3328" s="36" t="s">
        <v>8553</v>
      </c>
      <c r="D3328" s="35" t="s">
        <v>7382</v>
      </c>
      <c r="E3328" s="35" t="s">
        <v>13707</v>
      </c>
      <c r="F3328" s="35" t="s">
        <v>12483</v>
      </c>
      <c r="G3328" s="35">
        <v>358246</v>
      </c>
      <c r="H3328" s="35">
        <v>390640</v>
      </c>
      <c r="I3328" s="35">
        <v>200020</v>
      </c>
      <c r="J3328" s="34" t="s">
        <v>756</v>
      </c>
      <c r="K3328" s="34" t="str">
        <f t="shared" si="105"/>
        <v>重复</v>
      </c>
      <c r="L3328" s="34" t="str">
        <f t="shared" si="106"/>
        <v>重复</v>
      </c>
    </row>
    <row r="3329" spans="1:12" ht="30">
      <c r="A3329" s="35" t="s">
        <v>13754</v>
      </c>
      <c r="B3329" s="35" t="s">
        <v>8967</v>
      </c>
      <c r="C3329" s="36" t="s">
        <v>8968</v>
      </c>
      <c r="D3329" s="35" t="s">
        <v>8969</v>
      </c>
      <c r="E3329" s="35" t="s">
        <v>13707</v>
      </c>
      <c r="F3329" s="35" t="s">
        <v>12483</v>
      </c>
      <c r="G3329" s="35">
        <v>358247</v>
      </c>
      <c r="H3329" s="35">
        <v>390640</v>
      </c>
      <c r="I3329" s="35">
        <v>200020</v>
      </c>
      <c r="J3329" s="34" t="s">
        <v>8970</v>
      </c>
      <c r="K3329" s="34" t="str">
        <f t="shared" si="107" ref="K3329:K3392">IF(COUNTIF(C:C,C3329)&gt;=2,"重复","不重复")</f>
        <v>不重复</v>
      </c>
      <c r="L3329" s="34" t="str">
        <f t="shared" si="106"/>
        <v>重复</v>
      </c>
    </row>
    <row r="3330" spans="1:12" ht="27">
      <c r="A3330" s="35" t="s">
        <v>13755</v>
      </c>
      <c r="B3330" s="35" t="s">
        <v>8971</v>
      </c>
      <c r="C3330" s="36" t="s">
        <v>1607</v>
      </c>
      <c r="D3330" s="35" t="s">
        <v>7340</v>
      </c>
      <c r="E3330" s="35" t="s">
        <v>13707</v>
      </c>
      <c r="F3330" s="35" t="s">
        <v>12483</v>
      </c>
      <c r="G3330" s="35">
        <v>358248</v>
      </c>
      <c r="H3330" s="35">
        <v>390640</v>
      </c>
      <c r="I3330" s="35">
        <v>200020</v>
      </c>
      <c r="J3330" s="34" t="s">
        <v>5548</v>
      </c>
      <c r="K3330" s="34" t="str">
        <f t="shared" si="107"/>
        <v>重复</v>
      </c>
      <c r="L3330" s="34" t="str">
        <f t="shared" si="108" ref="L3330:L3393">IF(COUNTIF(D:D,D3330)&gt;=2,"重复","不重复")</f>
        <v>重复</v>
      </c>
    </row>
    <row r="3331" spans="1:12" ht="27">
      <c r="A3331" s="35" t="s">
        <v>13756</v>
      </c>
      <c r="B3331" s="35" t="s">
        <v>8972</v>
      </c>
      <c r="C3331" s="36" t="s">
        <v>1119</v>
      </c>
      <c r="D3331" s="35" t="s">
        <v>8973</v>
      </c>
      <c r="E3331" s="35" t="s">
        <v>13707</v>
      </c>
      <c r="F3331" s="35" t="s">
        <v>12483</v>
      </c>
      <c r="G3331" s="35">
        <v>358249</v>
      </c>
      <c r="H3331" s="35">
        <v>390640</v>
      </c>
      <c r="I3331" s="35">
        <v>200020</v>
      </c>
      <c r="J3331" s="34" t="s">
        <v>557</v>
      </c>
      <c r="K3331" s="34" t="str">
        <f t="shared" si="107"/>
        <v>重复</v>
      </c>
      <c r="L3331" s="34" t="str">
        <f t="shared" si="108"/>
        <v>不重复</v>
      </c>
    </row>
    <row r="3332" spans="1:12" ht="30">
      <c r="A3332" s="35" t="s">
        <v>13757</v>
      </c>
      <c r="B3332" s="35" t="s">
        <v>8974</v>
      </c>
      <c r="C3332" s="36" t="s">
        <v>5962</v>
      </c>
      <c r="D3332" s="35" t="s">
        <v>8975</v>
      </c>
      <c r="E3332" s="35" t="s">
        <v>13707</v>
      </c>
      <c r="F3332" s="35" t="s">
        <v>12483</v>
      </c>
      <c r="G3332" s="35">
        <v>358250</v>
      </c>
      <c r="H3332" s="35">
        <v>390640</v>
      </c>
      <c r="I3332" s="35">
        <v>200020</v>
      </c>
      <c r="J3332" s="34" t="s">
        <v>363</v>
      </c>
      <c r="K3332" s="34" t="str">
        <f t="shared" si="107"/>
        <v>重复</v>
      </c>
      <c r="L3332" s="34" t="str">
        <f t="shared" si="108"/>
        <v>不重复</v>
      </c>
    </row>
    <row r="3333" spans="1:12" ht="27">
      <c r="A3333" s="35" t="s">
        <v>13758</v>
      </c>
      <c r="B3333" s="35" t="s">
        <v>8976</v>
      </c>
      <c r="C3333" s="36" t="s">
        <v>1133</v>
      </c>
      <c r="D3333" s="35" t="s">
        <v>8977</v>
      </c>
      <c r="E3333" s="35" t="s">
        <v>13707</v>
      </c>
      <c r="F3333" s="35" t="s">
        <v>12483</v>
      </c>
      <c r="G3333" s="35">
        <v>358251</v>
      </c>
      <c r="H3333" s="35">
        <v>390640</v>
      </c>
      <c r="I3333" s="35">
        <v>200020</v>
      </c>
      <c r="J3333" s="34" t="s">
        <v>932</v>
      </c>
      <c r="K3333" s="34" t="str">
        <f t="shared" si="107"/>
        <v>重复</v>
      </c>
      <c r="L3333" s="34" t="str">
        <f t="shared" si="108"/>
        <v>不重复</v>
      </c>
    </row>
    <row r="3334" spans="1:12" ht="30">
      <c r="A3334" s="35" t="s">
        <v>13759</v>
      </c>
      <c r="B3334" s="35" t="s">
        <v>8978</v>
      </c>
      <c r="C3334" s="36" t="s">
        <v>1087</v>
      </c>
      <c r="D3334" s="35" t="s">
        <v>8979</v>
      </c>
      <c r="E3334" s="35" t="s">
        <v>13707</v>
      </c>
      <c r="F3334" s="35" t="s">
        <v>12483</v>
      </c>
      <c r="G3334" s="35">
        <v>358252</v>
      </c>
      <c r="H3334" s="35">
        <v>390640</v>
      </c>
      <c r="I3334" s="35">
        <v>200020</v>
      </c>
      <c r="J3334" s="34" t="s">
        <v>363</v>
      </c>
      <c r="K3334" s="34" t="str">
        <f t="shared" si="107"/>
        <v>重复</v>
      </c>
      <c r="L3334" s="34" t="str">
        <f t="shared" si="108"/>
        <v>不重复</v>
      </c>
    </row>
    <row r="3335" spans="1:12" ht="27">
      <c r="A3335" s="35" t="s">
        <v>13760</v>
      </c>
      <c r="B3335" s="35" t="s">
        <v>8980</v>
      </c>
      <c r="C3335" s="36" t="s">
        <v>2485</v>
      </c>
      <c r="D3335" s="35" t="s">
        <v>8981</v>
      </c>
      <c r="E3335" s="35" t="s">
        <v>13707</v>
      </c>
      <c r="F3335" s="35" t="s">
        <v>12483</v>
      </c>
      <c r="G3335" s="35">
        <v>358253</v>
      </c>
      <c r="H3335" s="35">
        <v>390640</v>
      </c>
      <c r="I3335" s="35">
        <v>200020</v>
      </c>
      <c r="J3335" s="34" t="s">
        <v>2934</v>
      </c>
      <c r="K3335" s="34" t="str">
        <f t="shared" si="107"/>
        <v>重复</v>
      </c>
      <c r="L3335" s="34" t="str">
        <f t="shared" si="108"/>
        <v>重复</v>
      </c>
    </row>
    <row r="3336" spans="1:12" ht="30">
      <c r="A3336" s="35" t="s">
        <v>13761</v>
      </c>
      <c r="B3336" s="35" t="s">
        <v>8982</v>
      </c>
      <c r="C3336" s="36" t="s">
        <v>8983</v>
      </c>
      <c r="D3336" s="35" t="s">
        <v>8981</v>
      </c>
      <c r="E3336" s="35" t="s">
        <v>13707</v>
      </c>
      <c r="F3336" s="35" t="s">
        <v>12483</v>
      </c>
      <c r="G3336" s="35">
        <v>358254</v>
      </c>
      <c r="H3336" s="35">
        <v>390640</v>
      </c>
      <c r="I3336" s="35">
        <v>200020</v>
      </c>
      <c r="J3336" s="34" t="s">
        <v>363</v>
      </c>
      <c r="K3336" s="34" t="str">
        <f t="shared" si="107"/>
        <v>不重复</v>
      </c>
      <c r="L3336" s="34" t="str">
        <f t="shared" si="108"/>
        <v>重复</v>
      </c>
    </row>
    <row r="3337" spans="1:12" ht="27">
      <c r="A3337" s="35" t="s">
        <v>13762</v>
      </c>
      <c r="B3337" s="35" t="s">
        <v>8984</v>
      </c>
      <c r="C3337" s="36" t="s">
        <v>2774</v>
      </c>
      <c r="D3337" s="35" t="s">
        <v>8985</v>
      </c>
      <c r="E3337" s="35" t="s">
        <v>13707</v>
      </c>
      <c r="F3337" s="35" t="s">
        <v>12483</v>
      </c>
      <c r="G3337" s="35">
        <v>358255</v>
      </c>
      <c r="H3337" s="35">
        <v>390640</v>
      </c>
      <c r="I3337" s="35">
        <v>200020</v>
      </c>
      <c r="J3337" s="34" t="s">
        <v>4197</v>
      </c>
      <c r="K3337" s="34" t="str">
        <f t="shared" si="107"/>
        <v>重复</v>
      </c>
      <c r="L3337" s="34" t="str">
        <f t="shared" si="108"/>
        <v>不重复</v>
      </c>
    </row>
    <row r="3338" spans="1:12" ht="27">
      <c r="A3338" s="35" t="s">
        <v>13763</v>
      </c>
      <c r="B3338" s="35" t="s">
        <v>8986</v>
      </c>
      <c r="C3338" s="36" t="s">
        <v>6554</v>
      </c>
      <c r="D3338" s="35" t="s">
        <v>8987</v>
      </c>
      <c r="E3338" s="35" t="s">
        <v>13707</v>
      </c>
      <c r="F3338" s="35" t="s">
        <v>12483</v>
      </c>
      <c r="G3338" s="35">
        <v>358256</v>
      </c>
      <c r="H3338" s="35">
        <v>390640</v>
      </c>
      <c r="I3338" s="35">
        <v>200020</v>
      </c>
      <c r="J3338" s="34" t="s">
        <v>557</v>
      </c>
      <c r="K3338" s="34" t="str">
        <f t="shared" si="107"/>
        <v>重复</v>
      </c>
      <c r="L3338" s="34" t="str">
        <f t="shared" si="108"/>
        <v>重复</v>
      </c>
    </row>
    <row r="3339" spans="1:12" ht="27">
      <c r="A3339" s="35" t="s">
        <v>13764</v>
      </c>
      <c r="B3339" s="35" t="s">
        <v>8988</v>
      </c>
      <c r="C3339" s="36" t="s">
        <v>8424</v>
      </c>
      <c r="D3339" s="35" t="s">
        <v>8987</v>
      </c>
      <c r="E3339" s="35" t="s">
        <v>13707</v>
      </c>
      <c r="F3339" s="35" t="s">
        <v>12483</v>
      </c>
      <c r="G3339" s="35">
        <v>358257</v>
      </c>
      <c r="H3339" s="35">
        <v>390640</v>
      </c>
      <c r="I3339" s="35">
        <v>200020</v>
      </c>
      <c r="J3339" s="34" t="s">
        <v>8330</v>
      </c>
      <c r="K3339" s="34" t="str">
        <f t="shared" si="107"/>
        <v>重复</v>
      </c>
      <c r="L3339" s="34" t="str">
        <f t="shared" si="108"/>
        <v>重复</v>
      </c>
    </row>
    <row r="3340" spans="1:12" ht="15">
      <c r="A3340" s="35" t="s">
        <v>13765</v>
      </c>
      <c r="B3340" s="35" t="s">
        <v>8989</v>
      </c>
      <c r="C3340" s="36" t="s">
        <v>3204</v>
      </c>
      <c r="D3340" s="35" t="s">
        <v>8990</v>
      </c>
      <c r="E3340" s="35" t="s">
        <v>13707</v>
      </c>
      <c r="F3340" s="35" t="s">
        <v>12483</v>
      </c>
      <c r="G3340" s="35">
        <v>358258</v>
      </c>
      <c r="H3340" s="35">
        <v>390640</v>
      </c>
      <c r="I3340" s="35">
        <v>200020</v>
      </c>
      <c r="J3340" s="34" t="s">
        <v>508</v>
      </c>
      <c r="K3340" s="34" t="str">
        <f t="shared" si="107"/>
        <v>重复</v>
      </c>
      <c r="L3340" s="34" t="str">
        <f t="shared" si="108"/>
        <v>不重复</v>
      </c>
    </row>
    <row r="3341" spans="1:12" ht="27">
      <c r="A3341" s="35" t="s">
        <v>13766</v>
      </c>
      <c r="B3341" s="35" t="s">
        <v>8991</v>
      </c>
      <c r="C3341" s="36" t="s">
        <v>8992</v>
      </c>
      <c r="D3341" s="35" t="s">
        <v>8993</v>
      </c>
      <c r="E3341" s="35" t="s">
        <v>13707</v>
      </c>
      <c r="F3341" s="35" t="s">
        <v>12483</v>
      </c>
      <c r="G3341" s="35">
        <v>358259</v>
      </c>
      <c r="H3341" s="35">
        <v>390640</v>
      </c>
      <c r="I3341" s="35">
        <v>200020</v>
      </c>
      <c r="J3341" s="34" t="s">
        <v>363</v>
      </c>
      <c r="K3341" s="34" t="str">
        <f t="shared" si="107"/>
        <v>不重复</v>
      </c>
      <c r="L3341" s="34" t="str">
        <f t="shared" si="108"/>
        <v>不重复</v>
      </c>
    </row>
    <row r="3342" spans="1:12" ht="30">
      <c r="A3342" s="35" t="s">
        <v>13767</v>
      </c>
      <c r="B3342" s="35" t="s">
        <v>8994</v>
      </c>
      <c r="C3342" s="36" t="s">
        <v>8995</v>
      </c>
      <c r="D3342" s="35" t="s">
        <v>8996</v>
      </c>
      <c r="E3342" s="35" t="s">
        <v>13707</v>
      </c>
      <c r="F3342" s="35" t="s">
        <v>12483</v>
      </c>
      <c r="G3342" s="35">
        <v>358260</v>
      </c>
      <c r="H3342" s="35">
        <v>390640</v>
      </c>
      <c r="I3342" s="35">
        <v>200020</v>
      </c>
      <c r="J3342" s="34" t="s">
        <v>363</v>
      </c>
      <c r="K3342" s="34" t="str">
        <f t="shared" si="107"/>
        <v>不重复</v>
      </c>
      <c r="L3342" s="34" t="str">
        <f t="shared" si="108"/>
        <v>不重复</v>
      </c>
    </row>
    <row r="3343" spans="1:12" ht="27">
      <c r="A3343" s="35" t="s">
        <v>13768</v>
      </c>
      <c r="B3343" s="35" t="s">
        <v>8997</v>
      </c>
      <c r="C3343" s="36" t="s">
        <v>7994</v>
      </c>
      <c r="D3343" s="35" t="s">
        <v>8998</v>
      </c>
      <c r="E3343" s="35" t="s">
        <v>13707</v>
      </c>
      <c r="F3343" s="35" t="s">
        <v>12483</v>
      </c>
      <c r="G3343" s="35">
        <v>358261</v>
      </c>
      <c r="H3343" s="35">
        <v>390640</v>
      </c>
      <c r="I3343" s="35">
        <v>200020</v>
      </c>
      <c r="J3343" s="34" t="s">
        <v>8999</v>
      </c>
      <c r="K3343" s="34" t="str">
        <f t="shared" si="107"/>
        <v>重复</v>
      </c>
      <c r="L3343" s="34" t="str">
        <f t="shared" si="108"/>
        <v>不重复</v>
      </c>
    </row>
    <row r="3344" spans="1:12" ht="27">
      <c r="A3344" s="35" t="s">
        <v>13769</v>
      </c>
      <c r="B3344" s="35" t="s">
        <v>9000</v>
      </c>
      <c r="C3344" s="36" t="s">
        <v>7145</v>
      </c>
      <c r="D3344" s="35" t="s">
        <v>9001</v>
      </c>
      <c r="E3344" s="35" t="s">
        <v>13707</v>
      </c>
      <c r="F3344" s="35" t="s">
        <v>12483</v>
      </c>
      <c r="G3344" s="35">
        <v>358262</v>
      </c>
      <c r="H3344" s="35">
        <v>390640</v>
      </c>
      <c r="I3344" s="35">
        <v>200020</v>
      </c>
      <c r="J3344" s="34" t="s">
        <v>932</v>
      </c>
      <c r="K3344" s="34" t="str">
        <f t="shared" si="107"/>
        <v>重复</v>
      </c>
      <c r="L3344" s="34" t="str">
        <f t="shared" si="108"/>
        <v>不重复</v>
      </c>
    </row>
    <row r="3345" spans="1:12" ht="15">
      <c r="A3345" s="35" t="s">
        <v>13770</v>
      </c>
      <c r="B3345" s="35" t="s">
        <v>9002</v>
      </c>
      <c r="C3345" s="36" t="s">
        <v>8946</v>
      </c>
      <c r="D3345" s="35" t="s">
        <v>9003</v>
      </c>
      <c r="E3345" s="35" t="s">
        <v>13707</v>
      </c>
      <c r="F3345" s="35" t="s">
        <v>12483</v>
      </c>
      <c r="G3345" s="35">
        <v>358263</v>
      </c>
      <c r="H3345" s="35">
        <v>390640</v>
      </c>
      <c r="I3345" s="35">
        <v>200020</v>
      </c>
      <c r="J3345" s="34" t="s">
        <v>2240</v>
      </c>
      <c r="K3345" s="34" t="str">
        <f t="shared" si="107"/>
        <v>重复</v>
      </c>
      <c r="L3345" s="34" t="str">
        <f t="shared" si="108"/>
        <v>不重复</v>
      </c>
    </row>
    <row r="3346" spans="1:12" ht="27">
      <c r="A3346" s="35" t="s">
        <v>13771</v>
      </c>
      <c r="B3346" s="35" t="s">
        <v>9004</v>
      </c>
      <c r="C3346" s="36" t="s">
        <v>157</v>
      </c>
      <c r="D3346" s="35" t="s">
        <v>9005</v>
      </c>
      <c r="E3346" s="35" t="s">
        <v>13707</v>
      </c>
      <c r="F3346" s="35" t="s">
        <v>12483</v>
      </c>
      <c r="G3346" s="35">
        <v>358264</v>
      </c>
      <c r="H3346" s="35">
        <v>390640</v>
      </c>
      <c r="I3346" s="35">
        <v>200020</v>
      </c>
      <c r="J3346" s="34" t="s">
        <v>715</v>
      </c>
      <c r="K3346" s="34" t="str">
        <f t="shared" si="107"/>
        <v>重复</v>
      </c>
      <c r="L3346" s="34" t="str">
        <f t="shared" si="108"/>
        <v>不重复</v>
      </c>
    </row>
    <row r="3347" spans="1:12" ht="27">
      <c r="A3347" s="35" t="s">
        <v>13772</v>
      </c>
      <c r="B3347" s="35" t="s">
        <v>9006</v>
      </c>
      <c r="C3347" s="36" t="s">
        <v>5611</v>
      </c>
      <c r="D3347" s="35" t="s">
        <v>9007</v>
      </c>
      <c r="E3347" s="35" t="s">
        <v>13707</v>
      </c>
      <c r="F3347" s="35" t="s">
        <v>12483</v>
      </c>
      <c r="G3347" s="35">
        <v>358265</v>
      </c>
      <c r="H3347" s="35">
        <v>390640</v>
      </c>
      <c r="I3347" s="35">
        <v>200020</v>
      </c>
      <c r="J3347" s="34" t="s">
        <v>1019</v>
      </c>
      <c r="K3347" s="34" t="str">
        <f t="shared" si="107"/>
        <v>重复</v>
      </c>
      <c r="L3347" s="34" t="str">
        <f t="shared" si="108"/>
        <v>不重复</v>
      </c>
    </row>
    <row r="3348" spans="1:12" ht="30">
      <c r="A3348" s="35" t="s">
        <v>13773</v>
      </c>
      <c r="B3348" s="35" t="s">
        <v>9008</v>
      </c>
      <c r="C3348" s="36" t="s">
        <v>7312</v>
      </c>
      <c r="D3348" s="35" t="s">
        <v>9009</v>
      </c>
      <c r="E3348" s="35" t="s">
        <v>13707</v>
      </c>
      <c r="F3348" s="35" t="s">
        <v>12483</v>
      </c>
      <c r="G3348" s="35">
        <v>358266</v>
      </c>
      <c r="H3348" s="35">
        <v>390640</v>
      </c>
      <c r="I3348" s="35">
        <v>200020</v>
      </c>
      <c r="J3348" s="34" t="s">
        <v>4252</v>
      </c>
      <c r="K3348" s="34" t="str">
        <f t="shared" si="107"/>
        <v>重复</v>
      </c>
      <c r="L3348" s="34" t="str">
        <f t="shared" si="108"/>
        <v>不重复</v>
      </c>
    </row>
    <row r="3349" spans="1:12" ht="27">
      <c r="A3349" s="35" t="s">
        <v>13774</v>
      </c>
      <c r="B3349" s="35" t="s">
        <v>9010</v>
      </c>
      <c r="C3349" s="36" t="s">
        <v>9011</v>
      </c>
      <c r="D3349" s="35" t="s">
        <v>3232</v>
      </c>
      <c r="E3349" s="35" t="s">
        <v>13707</v>
      </c>
      <c r="F3349" s="35" t="s">
        <v>12483</v>
      </c>
      <c r="G3349" s="35">
        <v>358267</v>
      </c>
      <c r="H3349" s="35">
        <v>390640</v>
      </c>
      <c r="I3349" s="35">
        <v>200020</v>
      </c>
      <c r="J3349" s="34" t="s">
        <v>3437</v>
      </c>
      <c r="K3349" s="34" t="str">
        <f t="shared" si="107"/>
        <v>不重复</v>
      </c>
      <c r="L3349" s="34" t="str">
        <f t="shared" si="108"/>
        <v>重复</v>
      </c>
    </row>
    <row r="3350" spans="1:12" ht="27">
      <c r="A3350" s="35" t="s">
        <v>13775</v>
      </c>
      <c r="B3350" s="35" t="s">
        <v>9012</v>
      </c>
      <c r="C3350" s="36" t="s">
        <v>2991</v>
      </c>
      <c r="D3350" s="35" t="s">
        <v>9013</v>
      </c>
      <c r="E3350" s="35" t="s">
        <v>13707</v>
      </c>
      <c r="F3350" s="35" t="s">
        <v>12483</v>
      </c>
      <c r="G3350" s="35">
        <v>358268</v>
      </c>
      <c r="H3350" s="35">
        <v>390640</v>
      </c>
      <c r="I3350" s="35">
        <v>200020</v>
      </c>
      <c r="J3350" s="34" t="s">
        <v>508</v>
      </c>
      <c r="K3350" s="34" t="str">
        <f t="shared" si="107"/>
        <v>重复</v>
      </c>
      <c r="L3350" s="34" t="str">
        <f t="shared" si="108"/>
        <v>不重复</v>
      </c>
    </row>
    <row r="3351" spans="1:12" ht="27">
      <c r="A3351" s="35" t="s">
        <v>13776</v>
      </c>
      <c r="B3351" s="35" t="s">
        <v>9014</v>
      </c>
      <c r="C3351" s="36" t="s">
        <v>754</v>
      </c>
      <c r="D3351" s="35" t="s">
        <v>9015</v>
      </c>
      <c r="E3351" s="35" t="s">
        <v>13707</v>
      </c>
      <c r="F3351" s="35" t="s">
        <v>12483</v>
      </c>
      <c r="G3351" s="35">
        <v>358269</v>
      </c>
      <c r="H3351" s="35">
        <v>390640</v>
      </c>
      <c r="I3351" s="35">
        <v>200020</v>
      </c>
      <c r="J3351" s="34" t="s">
        <v>5477</v>
      </c>
      <c r="K3351" s="34" t="str">
        <f t="shared" si="107"/>
        <v>重复</v>
      </c>
      <c r="L3351" s="34" t="str">
        <f t="shared" si="108"/>
        <v>不重复</v>
      </c>
    </row>
    <row r="3352" spans="1:12" ht="27">
      <c r="A3352" s="35" t="s">
        <v>13777</v>
      </c>
      <c r="B3352" s="35" t="s">
        <v>9016</v>
      </c>
      <c r="C3352" s="36" t="s">
        <v>1038</v>
      </c>
      <c r="D3352" s="35" t="s">
        <v>9017</v>
      </c>
      <c r="E3352" s="35" t="s">
        <v>13707</v>
      </c>
      <c r="F3352" s="35" t="s">
        <v>12483</v>
      </c>
      <c r="G3352" s="35">
        <v>358270</v>
      </c>
      <c r="H3352" s="35">
        <v>390640</v>
      </c>
      <c r="I3352" s="35">
        <v>200020</v>
      </c>
      <c r="J3352" s="34" t="s">
        <v>243</v>
      </c>
      <c r="K3352" s="34" t="str">
        <f t="shared" si="107"/>
        <v>重复</v>
      </c>
      <c r="L3352" s="34" t="str">
        <f t="shared" si="108"/>
        <v>不重复</v>
      </c>
    </row>
    <row r="3353" spans="1:12" ht="27">
      <c r="A3353" s="35" t="s">
        <v>13778</v>
      </c>
      <c r="B3353" s="35" t="s">
        <v>9018</v>
      </c>
      <c r="C3353" s="36" t="s">
        <v>9019</v>
      </c>
      <c r="D3353" s="35" t="s">
        <v>9020</v>
      </c>
      <c r="E3353" s="35" t="s">
        <v>13707</v>
      </c>
      <c r="F3353" s="35" t="s">
        <v>12483</v>
      </c>
      <c r="G3353" s="35">
        <v>358271</v>
      </c>
      <c r="H3353" s="35">
        <v>390640</v>
      </c>
      <c r="I3353" s="35">
        <v>200020</v>
      </c>
      <c r="J3353" s="34" t="s">
        <v>194</v>
      </c>
      <c r="K3353" s="34" t="str">
        <f t="shared" si="107"/>
        <v>不重复</v>
      </c>
      <c r="L3353" s="34" t="str">
        <f t="shared" si="108"/>
        <v>不重复</v>
      </c>
    </row>
    <row r="3354" spans="1:12" ht="27">
      <c r="A3354" s="35" t="s">
        <v>13779</v>
      </c>
      <c r="B3354" s="35" t="s">
        <v>9021</v>
      </c>
      <c r="C3354" s="36" t="s">
        <v>8523</v>
      </c>
      <c r="D3354" s="35" t="s">
        <v>9022</v>
      </c>
      <c r="E3354" s="35" t="s">
        <v>13707</v>
      </c>
      <c r="F3354" s="35" t="s">
        <v>12483</v>
      </c>
      <c r="G3354" s="35">
        <v>358272</v>
      </c>
      <c r="H3354" s="35">
        <v>390640</v>
      </c>
      <c r="I3354" s="35">
        <v>200020</v>
      </c>
      <c r="J3354" s="34" t="s">
        <v>302</v>
      </c>
      <c r="K3354" s="34" t="str">
        <f t="shared" si="107"/>
        <v>重复</v>
      </c>
      <c r="L3354" s="34" t="str">
        <f t="shared" si="108"/>
        <v>不重复</v>
      </c>
    </row>
    <row r="3355" spans="1:12" ht="30">
      <c r="A3355" s="35" t="s">
        <v>13780</v>
      </c>
      <c r="B3355" s="35" t="s">
        <v>9023</v>
      </c>
      <c r="C3355" s="36" t="s">
        <v>9024</v>
      </c>
      <c r="D3355" s="35" t="s">
        <v>9025</v>
      </c>
      <c r="E3355" s="35" t="s">
        <v>13707</v>
      </c>
      <c r="F3355" s="35" t="s">
        <v>12483</v>
      </c>
      <c r="G3355" s="35">
        <v>358273</v>
      </c>
      <c r="H3355" s="35">
        <v>390640</v>
      </c>
      <c r="I3355" s="35">
        <v>200020</v>
      </c>
      <c r="J3355" s="34" t="s">
        <v>458</v>
      </c>
      <c r="K3355" s="34" t="str">
        <f t="shared" si="107"/>
        <v>不重复</v>
      </c>
      <c r="L3355" s="34" t="str">
        <f t="shared" si="108"/>
        <v>不重复</v>
      </c>
    </row>
    <row r="3356" spans="1:12" ht="15">
      <c r="A3356" s="35" t="s">
        <v>13781</v>
      </c>
      <c r="B3356" s="35" t="s">
        <v>9026</v>
      </c>
      <c r="C3356" s="36" t="s">
        <v>4380</v>
      </c>
      <c r="D3356" s="35" t="s">
        <v>9027</v>
      </c>
      <c r="E3356" s="35" t="s">
        <v>13707</v>
      </c>
      <c r="F3356" s="35" t="s">
        <v>12483</v>
      </c>
      <c r="G3356" s="35">
        <v>358274</v>
      </c>
      <c r="H3356" s="35">
        <v>390640</v>
      </c>
      <c r="I3356" s="35">
        <v>200020</v>
      </c>
      <c r="J3356" s="34" t="s">
        <v>8122</v>
      </c>
      <c r="K3356" s="34" t="str">
        <f t="shared" si="107"/>
        <v>重复</v>
      </c>
      <c r="L3356" s="34" t="str">
        <f t="shared" si="108"/>
        <v>不重复</v>
      </c>
    </row>
    <row r="3357" spans="1:12" ht="27">
      <c r="A3357" s="35" t="s">
        <v>13782</v>
      </c>
      <c r="B3357" s="35" t="s">
        <v>9028</v>
      </c>
      <c r="C3357" s="36" t="s">
        <v>9029</v>
      </c>
      <c r="D3357" s="35" t="s">
        <v>9030</v>
      </c>
      <c r="E3357" s="35" t="s">
        <v>13707</v>
      </c>
      <c r="F3357" s="35" t="s">
        <v>12483</v>
      </c>
      <c r="G3357" s="35">
        <v>358275</v>
      </c>
      <c r="H3357" s="35">
        <v>390640</v>
      </c>
      <c r="I3357" s="35">
        <v>200020</v>
      </c>
      <c r="J3357" s="34" t="s">
        <v>243</v>
      </c>
      <c r="K3357" s="34" t="str">
        <f t="shared" si="107"/>
        <v>不重复</v>
      </c>
      <c r="L3357" s="34" t="str">
        <f t="shared" si="108"/>
        <v>不重复</v>
      </c>
    </row>
    <row r="3358" spans="1:12" ht="30">
      <c r="A3358" s="35" t="s">
        <v>13783</v>
      </c>
      <c r="B3358" s="35" t="s">
        <v>9031</v>
      </c>
      <c r="C3358" s="36" t="s">
        <v>9032</v>
      </c>
      <c r="D3358" s="35" t="s">
        <v>9033</v>
      </c>
      <c r="E3358" s="35" t="s">
        <v>13707</v>
      </c>
      <c r="F3358" s="35" t="s">
        <v>12483</v>
      </c>
      <c r="G3358" s="35">
        <v>358276</v>
      </c>
      <c r="H3358" s="35">
        <v>390640</v>
      </c>
      <c r="I3358" s="35">
        <v>200020</v>
      </c>
      <c r="J3358" s="34" t="s">
        <v>6346</v>
      </c>
      <c r="K3358" s="34" t="str">
        <f t="shared" si="107"/>
        <v>不重复</v>
      </c>
      <c r="L3358" s="34" t="str">
        <f t="shared" si="108"/>
        <v>不重复</v>
      </c>
    </row>
    <row r="3359" spans="1:12" ht="30">
      <c r="A3359" s="35" t="s">
        <v>13784</v>
      </c>
      <c r="B3359" s="35" t="s">
        <v>9034</v>
      </c>
      <c r="C3359" s="36" t="s">
        <v>4684</v>
      </c>
      <c r="D3359" s="35" t="s">
        <v>9035</v>
      </c>
      <c r="E3359" s="35" t="s">
        <v>13707</v>
      </c>
      <c r="F3359" s="35" t="s">
        <v>12483</v>
      </c>
      <c r="G3359" s="35">
        <v>358277</v>
      </c>
      <c r="H3359" s="35">
        <v>390640</v>
      </c>
      <c r="I3359" s="35">
        <v>200020</v>
      </c>
      <c r="J3359" s="34" t="s">
        <v>9036</v>
      </c>
      <c r="K3359" s="34" t="str">
        <f t="shared" si="107"/>
        <v>重复</v>
      </c>
      <c r="L3359" s="34" t="str">
        <f t="shared" si="108"/>
        <v>不重复</v>
      </c>
    </row>
    <row r="3360" spans="1:12" ht="27">
      <c r="A3360" s="35" t="s">
        <v>13785</v>
      </c>
      <c r="B3360" s="35" t="s">
        <v>9037</v>
      </c>
      <c r="C3360" s="36" t="s">
        <v>8615</v>
      </c>
      <c r="D3360" s="35" t="s">
        <v>9038</v>
      </c>
      <c r="E3360" s="35" t="s">
        <v>13707</v>
      </c>
      <c r="F3360" s="35" t="s">
        <v>12483</v>
      </c>
      <c r="G3360" s="35">
        <v>358278</v>
      </c>
      <c r="H3360" s="35">
        <v>390640</v>
      </c>
      <c r="I3360" s="35">
        <v>200020</v>
      </c>
      <c r="J3360" s="34" t="s">
        <v>9036</v>
      </c>
      <c r="K3360" s="34" t="str">
        <f t="shared" si="107"/>
        <v>重复</v>
      </c>
      <c r="L3360" s="34" t="str">
        <f t="shared" si="108"/>
        <v>不重复</v>
      </c>
    </row>
    <row r="3361" spans="1:12" ht="27">
      <c r="A3361" s="35" t="s">
        <v>13786</v>
      </c>
      <c r="B3361" s="35" t="s">
        <v>9039</v>
      </c>
      <c r="C3361" s="36" t="s">
        <v>9040</v>
      </c>
      <c r="D3361" s="35" t="s">
        <v>9041</v>
      </c>
      <c r="E3361" s="35" t="s">
        <v>13707</v>
      </c>
      <c r="F3361" s="35" t="s">
        <v>12483</v>
      </c>
      <c r="G3361" s="35">
        <v>358279</v>
      </c>
      <c r="H3361" s="35">
        <v>390640</v>
      </c>
      <c r="I3361" s="35">
        <v>200020</v>
      </c>
      <c r="J3361" s="34" t="s">
        <v>6346</v>
      </c>
      <c r="K3361" s="34" t="str">
        <f t="shared" si="107"/>
        <v>不重复</v>
      </c>
      <c r="L3361" s="34" t="str">
        <f t="shared" si="108"/>
        <v>不重复</v>
      </c>
    </row>
    <row r="3362" spans="1:12" ht="27">
      <c r="A3362" s="35" t="s">
        <v>13787</v>
      </c>
      <c r="B3362" s="35" t="s">
        <v>9042</v>
      </c>
      <c r="C3362" s="36" t="s">
        <v>9043</v>
      </c>
      <c r="D3362" s="35" t="s">
        <v>9044</v>
      </c>
      <c r="E3362" s="35" t="s">
        <v>13707</v>
      </c>
      <c r="F3362" s="35" t="s">
        <v>12483</v>
      </c>
      <c r="G3362" s="35">
        <v>358280</v>
      </c>
      <c r="H3362" s="35">
        <v>390640</v>
      </c>
      <c r="I3362" s="35">
        <v>200020</v>
      </c>
      <c r="J3362" s="34" t="s">
        <v>932</v>
      </c>
      <c r="K3362" s="34" t="str">
        <f t="shared" si="107"/>
        <v>不重复</v>
      </c>
      <c r="L3362" s="34" t="str">
        <f t="shared" si="108"/>
        <v>不重复</v>
      </c>
    </row>
    <row r="3363" spans="1:12" ht="27">
      <c r="A3363" s="35" t="s">
        <v>13788</v>
      </c>
      <c r="B3363" s="35" t="s">
        <v>9045</v>
      </c>
      <c r="C3363" s="36" t="s">
        <v>686</v>
      </c>
      <c r="D3363" s="35" t="s">
        <v>9046</v>
      </c>
      <c r="E3363" s="35" t="s">
        <v>13707</v>
      </c>
      <c r="F3363" s="35" t="s">
        <v>12483</v>
      </c>
      <c r="G3363" s="35">
        <v>358281</v>
      </c>
      <c r="H3363" s="35">
        <v>390640</v>
      </c>
      <c r="I3363" s="35">
        <v>200020</v>
      </c>
      <c r="J3363" s="34" t="s">
        <v>2713</v>
      </c>
      <c r="K3363" s="34" t="str">
        <f t="shared" si="107"/>
        <v>重复</v>
      </c>
      <c r="L3363" s="34" t="str">
        <f t="shared" si="108"/>
        <v>不重复</v>
      </c>
    </row>
    <row r="3364" spans="1:12" ht="27">
      <c r="A3364" s="35" t="s">
        <v>13789</v>
      </c>
      <c r="B3364" s="35" t="s">
        <v>9047</v>
      </c>
      <c r="C3364" s="36" t="s">
        <v>9048</v>
      </c>
      <c r="D3364" s="35" t="s">
        <v>9049</v>
      </c>
      <c r="E3364" s="35" t="s">
        <v>13707</v>
      </c>
      <c r="F3364" s="35" t="s">
        <v>12483</v>
      </c>
      <c r="G3364" s="35">
        <v>358282</v>
      </c>
      <c r="H3364" s="35">
        <v>390640</v>
      </c>
      <c r="I3364" s="35">
        <v>200020</v>
      </c>
      <c r="J3364" s="34" t="s">
        <v>363</v>
      </c>
      <c r="K3364" s="34" t="str">
        <f t="shared" si="107"/>
        <v>重复</v>
      </c>
      <c r="L3364" s="34" t="str">
        <f t="shared" si="108"/>
        <v>不重复</v>
      </c>
    </row>
    <row r="3365" spans="1:12" ht="30">
      <c r="A3365" s="35" t="s">
        <v>13790</v>
      </c>
      <c r="B3365" s="35" t="s">
        <v>9050</v>
      </c>
      <c r="C3365" s="36" t="s">
        <v>2730</v>
      </c>
      <c r="D3365" s="35" t="s">
        <v>9051</v>
      </c>
      <c r="E3365" s="35" t="s">
        <v>13707</v>
      </c>
      <c r="F3365" s="35" t="s">
        <v>12483</v>
      </c>
      <c r="G3365" s="35">
        <v>358283</v>
      </c>
      <c r="H3365" s="35">
        <v>390640</v>
      </c>
      <c r="I3365" s="35">
        <v>200020</v>
      </c>
      <c r="J3365" s="34" t="s">
        <v>2630</v>
      </c>
      <c r="K3365" s="34" t="str">
        <f t="shared" si="107"/>
        <v>重复</v>
      </c>
      <c r="L3365" s="34" t="str">
        <f t="shared" si="108"/>
        <v>不重复</v>
      </c>
    </row>
    <row r="3366" spans="1:12" ht="30">
      <c r="A3366" s="35" t="s">
        <v>13791</v>
      </c>
      <c r="B3366" s="35" t="s">
        <v>9052</v>
      </c>
      <c r="C3366" s="36" t="s">
        <v>2706</v>
      </c>
      <c r="D3366" s="35" t="s">
        <v>9053</v>
      </c>
      <c r="E3366" s="35" t="s">
        <v>13707</v>
      </c>
      <c r="F3366" s="35" t="s">
        <v>12483</v>
      </c>
      <c r="G3366" s="35">
        <v>358284</v>
      </c>
      <c r="H3366" s="35">
        <v>390640</v>
      </c>
      <c r="I3366" s="35">
        <v>200020</v>
      </c>
      <c r="J3366" s="34" t="s">
        <v>210</v>
      </c>
      <c r="K3366" s="34" t="str">
        <f t="shared" si="107"/>
        <v>重复</v>
      </c>
      <c r="L3366" s="34" t="str">
        <f t="shared" si="108"/>
        <v>不重复</v>
      </c>
    </row>
    <row r="3367" spans="1:12" ht="27">
      <c r="A3367" s="35" t="s">
        <v>13792</v>
      </c>
      <c r="B3367" s="35" t="s">
        <v>9054</v>
      </c>
      <c r="C3367" s="36" t="s">
        <v>1296</v>
      </c>
      <c r="D3367" s="35" t="s">
        <v>4872</v>
      </c>
      <c r="E3367" s="35" t="s">
        <v>13707</v>
      </c>
      <c r="F3367" s="35" t="s">
        <v>12483</v>
      </c>
      <c r="G3367" s="35">
        <v>358285</v>
      </c>
      <c r="H3367" s="35">
        <v>390640</v>
      </c>
      <c r="I3367" s="35">
        <v>200020</v>
      </c>
      <c r="J3367" s="34" t="s">
        <v>363</v>
      </c>
      <c r="K3367" s="34" t="str">
        <f t="shared" si="107"/>
        <v>重复</v>
      </c>
      <c r="L3367" s="34" t="str">
        <f t="shared" si="108"/>
        <v>重复</v>
      </c>
    </row>
    <row r="3368" spans="1:12" ht="30">
      <c r="A3368" s="35" t="s">
        <v>13793</v>
      </c>
      <c r="B3368" s="35" t="s">
        <v>9055</v>
      </c>
      <c r="C3368" s="36" t="s">
        <v>9056</v>
      </c>
      <c r="D3368" s="35" t="s">
        <v>9057</v>
      </c>
      <c r="E3368" s="35" t="s">
        <v>13707</v>
      </c>
      <c r="F3368" s="35" t="s">
        <v>12483</v>
      </c>
      <c r="G3368" s="35">
        <v>358286</v>
      </c>
      <c r="H3368" s="35">
        <v>390640</v>
      </c>
      <c r="I3368" s="35">
        <v>200020</v>
      </c>
      <c r="J3368" s="34" t="s">
        <v>363</v>
      </c>
      <c r="K3368" s="34" t="str">
        <f t="shared" si="107"/>
        <v>不重复</v>
      </c>
      <c r="L3368" s="34" t="str">
        <f t="shared" si="108"/>
        <v>不重复</v>
      </c>
    </row>
    <row r="3369" spans="1:12" ht="27">
      <c r="A3369" s="35" t="s">
        <v>13794</v>
      </c>
      <c r="B3369" s="35" t="s">
        <v>9058</v>
      </c>
      <c r="C3369" s="36" t="s">
        <v>2485</v>
      </c>
      <c r="D3369" s="35" t="s">
        <v>9059</v>
      </c>
      <c r="E3369" s="35" t="s">
        <v>13707</v>
      </c>
      <c r="F3369" s="35" t="s">
        <v>12483</v>
      </c>
      <c r="G3369" s="35">
        <v>358287</v>
      </c>
      <c r="H3369" s="35">
        <v>390640</v>
      </c>
      <c r="I3369" s="35">
        <v>200020</v>
      </c>
      <c r="J3369" s="34" t="s">
        <v>932</v>
      </c>
      <c r="K3369" s="34" t="str">
        <f t="shared" si="107"/>
        <v>重复</v>
      </c>
      <c r="L3369" s="34" t="str">
        <f t="shared" si="108"/>
        <v>不重复</v>
      </c>
    </row>
    <row r="3370" spans="1:12" ht="30">
      <c r="A3370" s="35" t="s">
        <v>13795</v>
      </c>
      <c r="B3370" s="35" t="s">
        <v>9060</v>
      </c>
      <c r="C3370" s="36" t="s">
        <v>8013</v>
      </c>
      <c r="D3370" s="35" t="s">
        <v>9061</v>
      </c>
      <c r="E3370" s="35" t="s">
        <v>13707</v>
      </c>
      <c r="F3370" s="35" t="s">
        <v>12483</v>
      </c>
      <c r="G3370" s="35">
        <v>358288</v>
      </c>
      <c r="H3370" s="35">
        <v>390640</v>
      </c>
      <c r="I3370" s="35">
        <v>200020</v>
      </c>
      <c r="J3370" s="34" t="s">
        <v>932</v>
      </c>
      <c r="K3370" s="34" t="str">
        <f t="shared" si="107"/>
        <v>重复</v>
      </c>
      <c r="L3370" s="34" t="str">
        <f t="shared" si="108"/>
        <v>不重复</v>
      </c>
    </row>
    <row r="3371" spans="1:12" ht="30">
      <c r="A3371" s="35" t="s">
        <v>13796</v>
      </c>
      <c r="B3371" s="35" t="s">
        <v>9062</v>
      </c>
      <c r="C3371" s="36" t="s">
        <v>9063</v>
      </c>
      <c r="D3371" s="35" t="s">
        <v>3841</v>
      </c>
      <c r="E3371" s="35" t="s">
        <v>13707</v>
      </c>
      <c r="F3371" s="35" t="s">
        <v>12483</v>
      </c>
      <c r="G3371" s="35">
        <v>358289</v>
      </c>
      <c r="H3371" s="35">
        <v>390640</v>
      </c>
      <c r="I3371" s="35">
        <v>200020</v>
      </c>
      <c r="J3371" s="34" t="s">
        <v>363</v>
      </c>
      <c r="K3371" s="34" t="str">
        <f t="shared" si="107"/>
        <v>不重复</v>
      </c>
      <c r="L3371" s="34" t="str">
        <f t="shared" si="108"/>
        <v>重复</v>
      </c>
    </row>
    <row r="3372" spans="1:12" ht="30">
      <c r="A3372" s="35" t="s">
        <v>13797</v>
      </c>
      <c r="B3372" s="35" t="s">
        <v>9064</v>
      </c>
      <c r="C3372" s="36" t="s">
        <v>2930</v>
      </c>
      <c r="D3372" s="35" t="s">
        <v>9065</v>
      </c>
      <c r="E3372" s="35" t="s">
        <v>13707</v>
      </c>
      <c r="F3372" s="35" t="s">
        <v>12483</v>
      </c>
      <c r="G3372" s="35">
        <v>358290</v>
      </c>
      <c r="H3372" s="35">
        <v>390640</v>
      </c>
      <c r="I3372" s="35">
        <v>200020</v>
      </c>
      <c r="J3372" s="34" t="s">
        <v>9066</v>
      </c>
      <c r="K3372" s="34" t="str">
        <f t="shared" si="107"/>
        <v>重复</v>
      </c>
      <c r="L3372" s="34" t="str">
        <f t="shared" si="108"/>
        <v>不重复</v>
      </c>
    </row>
    <row r="3373" spans="1:12" ht="27">
      <c r="A3373" s="35" t="s">
        <v>13798</v>
      </c>
      <c r="B3373" s="35" t="s">
        <v>9067</v>
      </c>
      <c r="C3373" s="36" t="s">
        <v>3366</v>
      </c>
      <c r="D3373" s="35" t="s">
        <v>9068</v>
      </c>
      <c r="E3373" s="35" t="s">
        <v>13707</v>
      </c>
      <c r="F3373" s="35" t="s">
        <v>12483</v>
      </c>
      <c r="G3373" s="35">
        <v>358291</v>
      </c>
      <c r="H3373" s="35">
        <v>390640</v>
      </c>
      <c r="I3373" s="35">
        <v>200020</v>
      </c>
      <c r="J3373" s="34" t="s">
        <v>317</v>
      </c>
      <c r="K3373" s="34" t="str">
        <f t="shared" si="107"/>
        <v>重复</v>
      </c>
      <c r="L3373" s="34" t="str">
        <f t="shared" si="108"/>
        <v>不重复</v>
      </c>
    </row>
    <row r="3374" spans="1:12" ht="27">
      <c r="A3374" s="35" t="s">
        <v>13799</v>
      </c>
      <c r="B3374" s="35" t="s">
        <v>9069</v>
      </c>
      <c r="C3374" s="36" t="s">
        <v>3860</v>
      </c>
      <c r="D3374" s="35" t="s">
        <v>7669</v>
      </c>
      <c r="E3374" s="35" t="s">
        <v>13707</v>
      </c>
      <c r="F3374" s="35" t="s">
        <v>12483</v>
      </c>
      <c r="G3374" s="35">
        <v>358292</v>
      </c>
      <c r="H3374" s="35">
        <v>390640</v>
      </c>
      <c r="I3374" s="35">
        <v>200020</v>
      </c>
      <c r="J3374" s="34" t="s">
        <v>363</v>
      </c>
      <c r="K3374" s="34" t="str">
        <f t="shared" si="107"/>
        <v>重复</v>
      </c>
      <c r="L3374" s="34" t="str">
        <f t="shared" si="108"/>
        <v>重复</v>
      </c>
    </row>
    <row r="3375" spans="1:12" ht="27">
      <c r="A3375" s="35" t="s">
        <v>13800</v>
      </c>
      <c r="B3375" s="35" t="s">
        <v>9070</v>
      </c>
      <c r="C3375" s="36" t="s">
        <v>4016</v>
      </c>
      <c r="D3375" s="35" t="s">
        <v>9071</v>
      </c>
      <c r="E3375" s="35" t="s">
        <v>13707</v>
      </c>
      <c r="F3375" s="35" t="s">
        <v>12483</v>
      </c>
      <c r="G3375" s="35">
        <v>358293</v>
      </c>
      <c r="H3375" s="35">
        <v>390640</v>
      </c>
      <c r="I3375" s="35">
        <v>200020</v>
      </c>
      <c r="J3375" s="34" t="s">
        <v>311</v>
      </c>
      <c r="K3375" s="34" t="str">
        <f t="shared" si="107"/>
        <v>重复</v>
      </c>
      <c r="L3375" s="34" t="str">
        <f t="shared" si="108"/>
        <v>不重复</v>
      </c>
    </row>
    <row r="3376" spans="1:12" ht="27">
      <c r="A3376" s="35" t="s">
        <v>13801</v>
      </c>
      <c r="B3376" s="35" t="s">
        <v>9072</v>
      </c>
      <c r="C3376" s="36" t="s">
        <v>686</v>
      </c>
      <c r="D3376" s="35" t="s">
        <v>9073</v>
      </c>
      <c r="E3376" s="35" t="s">
        <v>13707</v>
      </c>
      <c r="F3376" s="35" t="s">
        <v>12483</v>
      </c>
      <c r="G3376" s="35">
        <v>358294</v>
      </c>
      <c r="H3376" s="35">
        <v>390640</v>
      </c>
      <c r="I3376" s="35">
        <v>200020</v>
      </c>
      <c r="J3376" s="34" t="s">
        <v>508</v>
      </c>
      <c r="K3376" s="34" t="str">
        <f t="shared" si="107"/>
        <v>重复</v>
      </c>
      <c r="L3376" s="34" t="str">
        <f t="shared" si="108"/>
        <v>不重复</v>
      </c>
    </row>
    <row r="3377" spans="1:12" ht="27">
      <c r="A3377" s="35" t="s">
        <v>13802</v>
      </c>
      <c r="B3377" s="35" t="s">
        <v>9074</v>
      </c>
      <c r="C3377" s="36" t="s">
        <v>1276</v>
      </c>
      <c r="D3377" s="35" t="s">
        <v>9075</v>
      </c>
      <c r="E3377" s="35" t="s">
        <v>13707</v>
      </c>
      <c r="F3377" s="35" t="s">
        <v>12483</v>
      </c>
      <c r="G3377" s="35">
        <v>358295</v>
      </c>
      <c r="H3377" s="35">
        <v>390640</v>
      </c>
      <c r="I3377" s="35">
        <v>200020</v>
      </c>
      <c r="J3377" s="34" t="s">
        <v>4252</v>
      </c>
      <c r="K3377" s="34" t="str">
        <f t="shared" si="107"/>
        <v>重复</v>
      </c>
      <c r="L3377" s="34" t="str">
        <f t="shared" si="108"/>
        <v>不重复</v>
      </c>
    </row>
    <row r="3378" spans="1:12" ht="27">
      <c r="A3378" s="35" t="s">
        <v>13803</v>
      </c>
      <c r="B3378" s="35" t="s">
        <v>9076</v>
      </c>
      <c r="C3378" s="36" t="s">
        <v>6443</v>
      </c>
      <c r="D3378" s="35" t="s">
        <v>9077</v>
      </c>
      <c r="E3378" s="35" t="s">
        <v>13707</v>
      </c>
      <c r="F3378" s="35" t="s">
        <v>12483</v>
      </c>
      <c r="G3378" s="35">
        <v>358296</v>
      </c>
      <c r="H3378" s="35">
        <v>390640</v>
      </c>
      <c r="I3378" s="35">
        <v>200020</v>
      </c>
      <c r="J3378" s="34" t="s">
        <v>317</v>
      </c>
      <c r="K3378" s="34" t="str">
        <f t="shared" si="107"/>
        <v>重复</v>
      </c>
      <c r="L3378" s="34" t="str">
        <f t="shared" si="108"/>
        <v>不重复</v>
      </c>
    </row>
    <row r="3379" spans="1:12" ht="30">
      <c r="A3379" s="35" t="s">
        <v>13804</v>
      </c>
      <c r="B3379" s="35" t="s">
        <v>9078</v>
      </c>
      <c r="C3379" s="36" t="s">
        <v>9079</v>
      </c>
      <c r="D3379" s="35" t="s">
        <v>9080</v>
      </c>
      <c r="E3379" s="35" t="s">
        <v>13707</v>
      </c>
      <c r="F3379" s="35" t="s">
        <v>12483</v>
      </c>
      <c r="G3379" s="35">
        <v>358297</v>
      </c>
      <c r="H3379" s="35">
        <v>390640</v>
      </c>
      <c r="I3379" s="35">
        <v>200020</v>
      </c>
      <c r="J3379" s="34" t="s">
        <v>3221</v>
      </c>
      <c r="K3379" s="34" t="str">
        <f t="shared" si="107"/>
        <v>不重复</v>
      </c>
      <c r="L3379" s="34" t="str">
        <f t="shared" si="108"/>
        <v>不重复</v>
      </c>
    </row>
    <row r="3380" spans="1:12" ht="27">
      <c r="A3380" s="35" t="s">
        <v>13805</v>
      </c>
      <c r="B3380" s="35" t="s">
        <v>9081</v>
      </c>
      <c r="C3380" s="36" t="s">
        <v>1953</v>
      </c>
      <c r="D3380" s="35" t="s">
        <v>9082</v>
      </c>
      <c r="E3380" s="35" t="s">
        <v>13707</v>
      </c>
      <c r="F3380" s="35" t="s">
        <v>12483</v>
      </c>
      <c r="G3380" s="35">
        <v>358298</v>
      </c>
      <c r="H3380" s="35">
        <v>390640</v>
      </c>
      <c r="I3380" s="35">
        <v>200020</v>
      </c>
      <c r="J3380" s="34" t="s">
        <v>311</v>
      </c>
      <c r="K3380" s="34" t="str">
        <f t="shared" si="107"/>
        <v>重复</v>
      </c>
      <c r="L3380" s="34" t="str">
        <f t="shared" si="108"/>
        <v>重复</v>
      </c>
    </row>
    <row r="3381" spans="1:12" ht="27">
      <c r="A3381" s="35" t="s">
        <v>13806</v>
      </c>
      <c r="B3381" s="35" t="s">
        <v>9083</v>
      </c>
      <c r="C3381" s="36" t="s">
        <v>9084</v>
      </c>
      <c r="D3381" s="35" t="s">
        <v>9082</v>
      </c>
      <c r="E3381" s="35" t="s">
        <v>13707</v>
      </c>
      <c r="F3381" s="35" t="s">
        <v>12483</v>
      </c>
      <c r="G3381" s="35">
        <v>358299</v>
      </c>
      <c r="H3381" s="35">
        <v>390640</v>
      </c>
      <c r="I3381" s="35">
        <v>200020</v>
      </c>
      <c r="J3381" s="34" t="s">
        <v>715</v>
      </c>
      <c r="K3381" s="34" t="str">
        <f t="shared" si="107"/>
        <v>不重复</v>
      </c>
      <c r="L3381" s="34" t="str">
        <f t="shared" si="108"/>
        <v>重复</v>
      </c>
    </row>
    <row r="3382" spans="1:12" ht="30">
      <c r="A3382" s="35" t="s">
        <v>13807</v>
      </c>
      <c r="B3382" s="35" t="s">
        <v>9085</v>
      </c>
      <c r="C3382" s="36" t="s">
        <v>9086</v>
      </c>
      <c r="D3382" s="35" t="s">
        <v>9087</v>
      </c>
      <c r="E3382" s="35" t="s">
        <v>13707</v>
      </c>
      <c r="F3382" s="35" t="s">
        <v>12483</v>
      </c>
      <c r="G3382" s="35">
        <v>358300</v>
      </c>
      <c r="H3382" s="35">
        <v>390640</v>
      </c>
      <c r="I3382" s="35">
        <v>200020</v>
      </c>
      <c r="J3382" s="34" t="s">
        <v>9088</v>
      </c>
      <c r="K3382" s="34" t="str">
        <f t="shared" si="107"/>
        <v>不重复</v>
      </c>
      <c r="L3382" s="34" t="str">
        <f t="shared" si="108"/>
        <v>不重复</v>
      </c>
    </row>
    <row r="3383" spans="1:12" ht="30">
      <c r="A3383" s="35" t="s">
        <v>13808</v>
      </c>
      <c r="B3383" s="35" t="s">
        <v>9089</v>
      </c>
      <c r="C3383" s="36" t="s">
        <v>9090</v>
      </c>
      <c r="D3383" s="35" t="s">
        <v>9091</v>
      </c>
      <c r="E3383" s="35" t="s">
        <v>13707</v>
      </c>
      <c r="F3383" s="35" t="s">
        <v>12483</v>
      </c>
      <c r="G3383" s="35">
        <v>358301</v>
      </c>
      <c r="H3383" s="35">
        <v>390640</v>
      </c>
      <c r="I3383" s="35">
        <v>200020</v>
      </c>
      <c r="J3383" s="34" t="s">
        <v>2474</v>
      </c>
      <c r="K3383" s="34" t="str">
        <f t="shared" si="107"/>
        <v>不重复</v>
      </c>
      <c r="L3383" s="34" t="str">
        <f t="shared" si="108"/>
        <v>不重复</v>
      </c>
    </row>
    <row r="3384" spans="1:12" ht="27">
      <c r="A3384" s="35" t="s">
        <v>13809</v>
      </c>
      <c r="B3384" s="35" t="s">
        <v>9092</v>
      </c>
      <c r="C3384" s="36" t="s">
        <v>9093</v>
      </c>
      <c r="D3384" s="35" t="s">
        <v>9094</v>
      </c>
      <c r="E3384" s="35" t="s">
        <v>13707</v>
      </c>
      <c r="F3384" s="35" t="s">
        <v>12483</v>
      </c>
      <c r="G3384" s="35">
        <v>358302</v>
      </c>
      <c r="H3384" s="35">
        <v>390640</v>
      </c>
      <c r="I3384" s="35">
        <v>200020</v>
      </c>
      <c r="J3384" s="34" t="s">
        <v>9095</v>
      </c>
      <c r="K3384" s="34" t="str">
        <f t="shared" si="107"/>
        <v>不重复</v>
      </c>
      <c r="L3384" s="34" t="str">
        <f t="shared" si="108"/>
        <v>重复</v>
      </c>
    </row>
    <row r="3385" spans="1:12" ht="30">
      <c r="A3385" s="35" t="s">
        <v>13810</v>
      </c>
      <c r="B3385" s="35" t="s">
        <v>9096</v>
      </c>
      <c r="C3385" s="36" t="s">
        <v>6462</v>
      </c>
      <c r="D3385" s="35" t="s">
        <v>9094</v>
      </c>
      <c r="E3385" s="35" t="s">
        <v>13707</v>
      </c>
      <c r="F3385" s="35" t="s">
        <v>12483</v>
      </c>
      <c r="G3385" s="35">
        <v>358303</v>
      </c>
      <c r="H3385" s="35">
        <v>390640</v>
      </c>
      <c r="I3385" s="35">
        <v>200020</v>
      </c>
      <c r="J3385" s="34" t="s">
        <v>2495</v>
      </c>
      <c r="K3385" s="34" t="str">
        <f t="shared" si="107"/>
        <v>重复</v>
      </c>
      <c r="L3385" s="34" t="str">
        <f t="shared" si="108"/>
        <v>重复</v>
      </c>
    </row>
    <row r="3386" spans="1:12" ht="27">
      <c r="A3386" s="35" t="s">
        <v>13811</v>
      </c>
      <c r="B3386" s="35" t="s">
        <v>9097</v>
      </c>
      <c r="C3386" s="36" t="s">
        <v>8398</v>
      </c>
      <c r="D3386" s="35" t="s">
        <v>9098</v>
      </c>
      <c r="E3386" s="35" t="s">
        <v>13707</v>
      </c>
      <c r="F3386" s="35" t="s">
        <v>12483</v>
      </c>
      <c r="G3386" s="35">
        <v>358304</v>
      </c>
      <c r="H3386" s="35">
        <v>390640</v>
      </c>
      <c r="I3386" s="35">
        <v>200020</v>
      </c>
      <c r="J3386" s="34" t="s">
        <v>2440</v>
      </c>
      <c r="K3386" s="34" t="str">
        <f t="shared" si="107"/>
        <v>重复</v>
      </c>
      <c r="L3386" s="34" t="str">
        <f t="shared" si="108"/>
        <v>不重复</v>
      </c>
    </row>
    <row r="3387" spans="1:12" ht="27">
      <c r="A3387" s="35" t="s">
        <v>13812</v>
      </c>
      <c r="B3387" s="35" t="s">
        <v>9099</v>
      </c>
      <c r="C3387" s="36" t="s">
        <v>4635</v>
      </c>
      <c r="D3387" s="35" t="s">
        <v>9100</v>
      </c>
      <c r="E3387" s="35" t="s">
        <v>13707</v>
      </c>
      <c r="F3387" s="35" t="s">
        <v>12483</v>
      </c>
      <c r="G3387" s="35">
        <v>358305</v>
      </c>
      <c r="H3387" s="35">
        <v>390640</v>
      </c>
      <c r="I3387" s="35">
        <v>200020</v>
      </c>
      <c r="J3387" s="34" t="s">
        <v>4252</v>
      </c>
      <c r="K3387" s="34" t="str">
        <f t="shared" si="107"/>
        <v>重复</v>
      </c>
      <c r="L3387" s="34" t="str">
        <f t="shared" si="108"/>
        <v>不重复</v>
      </c>
    </row>
    <row r="3388" spans="1:12" ht="30">
      <c r="A3388" s="35" t="s">
        <v>13813</v>
      </c>
      <c r="B3388" s="35" t="s">
        <v>9101</v>
      </c>
      <c r="C3388" s="36" t="s">
        <v>8306</v>
      </c>
      <c r="D3388" s="35" t="s">
        <v>9102</v>
      </c>
      <c r="E3388" s="35" t="s">
        <v>13707</v>
      </c>
      <c r="F3388" s="35" t="s">
        <v>12483</v>
      </c>
      <c r="G3388" s="35">
        <v>358306</v>
      </c>
      <c r="H3388" s="35">
        <v>390640</v>
      </c>
      <c r="I3388" s="35">
        <v>200020</v>
      </c>
      <c r="J3388" s="34" t="s">
        <v>1134</v>
      </c>
      <c r="K3388" s="34" t="str">
        <f t="shared" si="107"/>
        <v>重复</v>
      </c>
      <c r="L3388" s="34" t="str">
        <f t="shared" si="108"/>
        <v>不重复</v>
      </c>
    </row>
    <row r="3389" spans="1:12" ht="27">
      <c r="A3389" s="35" t="s">
        <v>13814</v>
      </c>
      <c r="B3389" s="35" t="s">
        <v>9103</v>
      </c>
      <c r="C3389" s="36" t="s">
        <v>9104</v>
      </c>
      <c r="D3389" s="35" t="s">
        <v>9105</v>
      </c>
      <c r="E3389" s="35" t="s">
        <v>13707</v>
      </c>
      <c r="F3389" s="35" t="s">
        <v>12483</v>
      </c>
      <c r="G3389" s="35">
        <v>358307</v>
      </c>
      <c r="H3389" s="35">
        <v>390640</v>
      </c>
      <c r="I3389" s="35">
        <v>200020</v>
      </c>
      <c r="J3389" s="34" t="s">
        <v>3221</v>
      </c>
      <c r="K3389" s="34" t="str">
        <f t="shared" si="107"/>
        <v>不重复</v>
      </c>
      <c r="L3389" s="34" t="str">
        <f t="shared" si="108"/>
        <v>不重复</v>
      </c>
    </row>
    <row r="3390" spans="1:12" ht="27">
      <c r="A3390" s="35" t="s">
        <v>13815</v>
      </c>
      <c r="B3390" s="35" t="s">
        <v>9106</v>
      </c>
      <c r="C3390" s="36" t="s">
        <v>9107</v>
      </c>
      <c r="D3390" s="35" t="s">
        <v>9108</v>
      </c>
      <c r="E3390" s="35" t="s">
        <v>13707</v>
      </c>
      <c r="F3390" s="35" t="s">
        <v>12483</v>
      </c>
      <c r="G3390" s="35">
        <v>358308</v>
      </c>
      <c r="H3390" s="35">
        <v>390640</v>
      </c>
      <c r="I3390" s="35">
        <v>200020</v>
      </c>
      <c r="J3390" s="34" t="s">
        <v>8080</v>
      </c>
      <c r="K3390" s="34" t="str">
        <f t="shared" si="107"/>
        <v>不重复</v>
      </c>
      <c r="L3390" s="34" t="str">
        <f t="shared" si="108"/>
        <v>不重复</v>
      </c>
    </row>
    <row r="3391" spans="1:12" ht="27">
      <c r="A3391" s="35" t="s">
        <v>13816</v>
      </c>
      <c r="B3391" s="35" t="s">
        <v>9109</v>
      </c>
      <c r="C3391" s="36" t="s">
        <v>9110</v>
      </c>
      <c r="D3391" s="35" t="s">
        <v>9111</v>
      </c>
      <c r="E3391" s="35" t="s">
        <v>13707</v>
      </c>
      <c r="F3391" s="35" t="s">
        <v>12483</v>
      </c>
      <c r="G3391" s="35">
        <v>358309</v>
      </c>
      <c r="H3391" s="35">
        <v>390640</v>
      </c>
      <c r="I3391" s="35">
        <v>200020</v>
      </c>
      <c r="J3391" s="34" t="s">
        <v>9112</v>
      </c>
      <c r="K3391" s="34" t="str">
        <f t="shared" si="107"/>
        <v>不重复</v>
      </c>
      <c r="L3391" s="34" t="str">
        <f t="shared" si="108"/>
        <v>不重复</v>
      </c>
    </row>
    <row r="3392" spans="1:12" ht="30">
      <c r="A3392" s="35" t="s">
        <v>13817</v>
      </c>
      <c r="B3392" s="35" t="s">
        <v>9113</v>
      </c>
      <c r="C3392" s="36" t="s">
        <v>9114</v>
      </c>
      <c r="D3392" s="35" t="s">
        <v>9115</v>
      </c>
      <c r="E3392" s="35" t="s">
        <v>13707</v>
      </c>
      <c r="F3392" s="35" t="s">
        <v>12483</v>
      </c>
      <c r="G3392" s="35">
        <v>358310</v>
      </c>
      <c r="H3392" s="35">
        <v>390640</v>
      </c>
      <c r="I3392" s="35">
        <v>200020</v>
      </c>
      <c r="J3392" s="34" t="s">
        <v>9112</v>
      </c>
      <c r="K3392" s="34" t="str">
        <f t="shared" si="107"/>
        <v>不重复</v>
      </c>
      <c r="L3392" s="34" t="str">
        <f t="shared" si="108"/>
        <v>不重复</v>
      </c>
    </row>
    <row r="3393" spans="1:12" ht="30">
      <c r="A3393" s="35" t="s">
        <v>13818</v>
      </c>
      <c r="B3393" s="35" t="s">
        <v>9116</v>
      </c>
      <c r="C3393" s="36" t="s">
        <v>9117</v>
      </c>
      <c r="D3393" s="35" t="s">
        <v>9118</v>
      </c>
      <c r="E3393" s="35" t="s">
        <v>13707</v>
      </c>
      <c r="F3393" s="35" t="s">
        <v>12483</v>
      </c>
      <c r="G3393" s="35">
        <v>358311</v>
      </c>
      <c r="H3393" s="35">
        <v>390640</v>
      </c>
      <c r="I3393" s="35">
        <v>200020</v>
      </c>
      <c r="J3393" s="34" t="s">
        <v>363</v>
      </c>
      <c r="K3393" s="34" t="str">
        <f t="shared" si="109" ref="K3393:K3456">IF(COUNTIF(C:C,C3393)&gt;=2,"重复","不重复")</f>
        <v>不重复</v>
      </c>
      <c r="L3393" s="34" t="str">
        <f t="shared" si="108"/>
        <v>不重复</v>
      </c>
    </row>
    <row r="3394" spans="1:12" ht="27">
      <c r="A3394" s="35" t="s">
        <v>13819</v>
      </c>
      <c r="B3394" s="35" t="s">
        <v>9119</v>
      </c>
      <c r="C3394" s="36" t="s">
        <v>9120</v>
      </c>
      <c r="D3394" s="35" t="s">
        <v>792</v>
      </c>
      <c r="E3394" s="35" t="s">
        <v>13707</v>
      </c>
      <c r="F3394" s="35" t="s">
        <v>12483</v>
      </c>
      <c r="G3394" s="35">
        <v>358312</v>
      </c>
      <c r="H3394" s="35">
        <v>390640</v>
      </c>
      <c r="I3394" s="35">
        <v>200020</v>
      </c>
      <c r="J3394" s="34" t="s">
        <v>9121</v>
      </c>
      <c r="K3394" s="34" t="str">
        <f t="shared" si="109"/>
        <v>不重复</v>
      </c>
      <c r="L3394" s="34" t="str">
        <f t="shared" si="110" ref="L3394:L3457">IF(COUNTIF(D:D,D3394)&gt;=2,"重复","不重复")</f>
        <v>重复</v>
      </c>
    </row>
    <row r="3395" spans="1:12" ht="27">
      <c r="A3395" s="35" t="s">
        <v>13820</v>
      </c>
      <c r="B3395" s="35" t="s">
        <v>9122</v>
      </c>
      <c r="C3395" s="36" t="s">
        <v>5432</v>
      </c>
      <c r="D3395" s="35" t="s">
        <v>9123</v>
      </c>
      <c r="E3395" s="35" t="s">
        <v>13707</v>
      </c>
      <c r="F3395" s="35" t="s">
        <v>12483</v>
      </c>
      <c r="G3395" s="35">
        <v>358313</v>
      </c>
      <c r="H3395" s="35">
        <v>390640</v>
      </c>
      <c r="I3395" s="35">
        <v>200020</v>
      </c>
      <c r="J3395" s="34" t="s">
        <v>2573</v>
      </c>
      <c r="K3395" s="34" t="str">
        <f t="shared" si="109"/>
        <v>重复</v>
      </c>
      <c r="L3395" s="34" t="str">
        <f t="shared" si="110"/>
        <v>重复</v>
      </c>
    </row>
    <row r="3396" spans="1:12" ht="27">
      <c r="A3396" s="35" t="s">
        <v>13821</v>
      </c>
      <c r="B3396" s="35" t="s">
        <v>9124</v>
      </c>
      <c r="C3396" s="36" t="s">
        <v>9125</v>
      </c>
      <c r="D3396" s="35" t="s">
        <v>9123</v>
      </c>
      <c r="E3396" s="35" t="s">
        <v>13707</v>
      </c>
      <c r="F3396" s="35" t="s">
        <v>12483</v>
      </c>
      <c r="G3396" s="35">
        <v>358314</v>
      </c>
      <c r="H3396" s="35">
        <v>390640</v>
      </c>
      <c r="I3396" s="35">
        <v>200020</v>
      </c>
      <c r="J3396" s="34" t="s">
        <v>9126</v>
      </c>
      <c r="K3396" s="34" t="str">
        <f t="shared" si="109"/>
        <v>不重复</v>
      </c>
      <c r="L3396" s="34" t="str">
        <f t="shared" si="110"/>
        <v>重复</v>
      </c>
    </row>
    <row r="3397" spans="1:12" ht="30">
      <c r="A3397" s="35" t="s">
        <v>13822</v>
      </c>
      <c r="B3397" s="35" t="s">
        <v>9127</v>
      </c>
      <c r="C3397" s="36" t="s">
        <v>9128</v>
      </c>
      <c r="D3397" s="35" t="s">
        <v>9129</v>
      </c>
      <c r="E3397" s="35" t="s">
        <v>13707</v>
      </c>
      <c r="F3397" s="35" t="s">
        <v>12483</v>
      </c>
      <c r="G3397" s="35">
        <v>358315</v>
      </c>
      <c r="H3397" s="35">
        <v>390640</v>
      </c>
      <c r="I3397" s="35">
        <v>200020</v>
      </c>
      <c r="J3397" s="34" t="s">
        <v>9130</v>
      </c>
      <c r="K3397" s="34" t="str">
        <f t="shared" si="109"/>
        <v>不重复</v>
      </c>
      <c r="L3397" s="34" t="str">
        <f t="shared" si="110"/>
        <v>不重复</v>
      </c>
    </row>
    <row r="3398" spans="1:12" ht="27">
      <c r="A3398" s="35" t="s">
        <v>13823</v>
      </c>
      <c r="B3398" s="35" t="s">
        <v>9131</v>
      </c>
      <c r="C3398" s="36" t="s">
        <v>9132</v>
      </c>
      <c r="D3398" s="35" t="s">
        <v>9133</v>
      </c>
      <c r="E3398" s="35" t="s">
        <v>13707</v>
      </c>
      <c r="F3398" s="35" t="s">
        <v>12483</v>
      </c>
      <c r="G3398" s="35">
        <v>358316</v>
      </c>
      <c r="H3398" s="35">
        <v>390640</v>
      </c>
      <c r="I3398" s="35">
        <v>200020</v>
      </c>
      <c r="J3398" s="34" t="s">
        <v>9134</v>
      </c>
      <c r="K3398" s="34" t="str">
        <f t="shared" si="109"/>
        <v>不重复</v>
      </c>
      <c r="L3398" s="34" t="str">
        <f t="shared" si="110"/>
        <v>不重复</v>
      </c>
    </row>
    <row r="3399" spans="1:12" ht="30">
      <c r="A3399" s="35" t="s">
        <v>13824</v>
      </c>
      <c r="B3399" s="35" t="s">
        <v>9135</v>
      </c>
      <c r="C3399" s="36" t="s">
        <v>9136</v>
      </c>
      <c r="D3399" s="35" t="s">
        <v>9137</v>
      </c>
      <c r="E3399" s="35" t="s">
        <v>13707</v>
      </c>
      <c r="F3399" s="35" t="s">
        <v>12483</v>
      </c>
      <c r="G3399" s="35">
        <v>358317</v>
      </c>
      <c r="H3399" s="35">
        <v>390640</v>
      </c>
      <c r="I3399" s="35">
        <v>200020</v>
      </c>
      <c r="J3399" s="34" t="s">
        <v>9138</v>
      </c>
      <c r="K3399" s="34" t="str">
        <f t="shared" si="109"/>
        <v>不重复</v>
      </c>
      <c r="L3399" s="34" t="str">
        <f t="shared" si="110"/>
        <v>不重复</v>
      </c>
    </row>
    <row r="3400" spans="1:12" ht="30">
      <c r="A3400" s="35" t="s">
        <v>13825</v>
      </c>
      <c r="B3400" s="35" t="s">
        <v>9139</v>
      </c>
      <c r="C3400" s="36" t="s">
        <v>9140</v>
      </c>
      <c r="D3400" s="35" t="s">
        <v>9141</v>
      </c>
      <c r="E3400" s="35" t="s">
        <v>13707</v>
      </c>
      <c r="F3400" s="35" t="s">
        <v>12483</v>
      </c>
      <c r="G3400" s="35">
        <v>358318</v>
      </c>
      <c r="H3400" s="35">
        <v>390640</v>
      </c>
      <c r="I3400" s="35">
        <v>200020</v>
      </c>
      <c r="J3400" s="34" t="s">
        <v>9121</v>
      </c>
      <c r="K3400" s="34" t="str">
        <f t="shared" si="109"/>
        <v>不重复</v>
      </c>
      <c r="L3400" s="34" t="str">
        <f t="shared" si="110"/>
        <v>不重复</v>
      </c>
    </row>
    <row r="3401" spans="1:12" ht="27">
      <c r="A3401" s="35" t="s">
        <v>13826</v>
      </c>
      <c r="B3401" s="35" t="s">
        <v>9142</v>
      </c>
      <c r="C3401" s="36" t="s">
        <v>2291</v>
      </c>
      <c r="D3401" s="35" t="s">
        <v>9143</v>
      </c>
      <c r="E3401" s="35" t="s">
        <v>13707</v>
      </c>
      <c r="F3401" s="35" t="s">
        <v>12483</v>
      </c>
      <c r="G3401" s="35">
        <v>358319</v>
      </c>
      <c r="H3401" s="35">
        <v>390640</v>
      </c>
      <c r="I3401" s="35">
        <v>200020</v>
      </c>
      <c r="J3401" s="34" t="s">
        <v>932</v>
      </c>
      <c r="K3401" s="34" t="str">
        <f t="shared" si="109"/>
        <v>重复</v>
      </c>
      <c r="L3401" s="34" t="str">
        <f t="shared" si="110"/>
        <v>不重复</v>
      </c>
    </row>
    <row r="3402" spans="1:12" ht="27">
      <c r="A3402" s="35" t="s">
        <v>13827</v>
      </c>
      <c r="B3402" s="35" t="s">
        <v>9144</v>
      </c>
      <c r="C3402" s="36" t="s">
        <v>1045</v>
      </c>
      <c r="D3402" s="35" t="s">
        <v>9145</v>
      </c>
      <c r="E3402" s="35" t="s">
        <v>13707</v>
      </c>
      <c r="F3402" s="35" t="s">
        <v>12483</v>
      </c>
      <c r="G3402" s="35">
        <v>358320</v>
      </c>
      <c r="H3402" s="35">
        <v>390640</v>
      </c>
      <c r="I3402" s="35">
        <v>200020</v>
      </c>
      <c r="J3402" s="34" t="s">
        <v>2934</v>
      </c>
      <c r="K3402" s="34" t="str">
        <f t="shared" si="109"/>
        <v>重复</v>
      </c>
      <c r="L3402" s="34" t="str">
        <f t="shared" si="110"/>
        <v>不重复</v>
      </c>
    </row>
    <row r="3403" spans="1:12" ht="27">
      <c r="A3403" s="35" t="s">
        <v>13828</v>
      </c>
      <c r="B3403" s="35" t="s">
        <v>9146</v>
      </c>
      <c r="C3403" s="36" t="s">
        <v>2245</v>
      </c>
      <c r="D3403" s="35" t="s">
        <v>9147</v>
      </c>
      <c r="E3403" s="35" t="s">
        <v>13707</v>
      </c>
      <c r="F3403" s="35" t="s">
        <v>12483</v>
      </c>
      <c r="G3403" s="35">
        <v>358321</v>
      </c>
      <c r="H3403" s="35">
        <v>390640</v>
      </c>
      <c r="I3403" s="35">
        <v>200020</v>
      </c>
      <c r="J3403" s="34" t="s">
        <v>363</v>
      </c>
      <c r="K3403" s="34" t="str">
        <f t="shared" si="109"/>
        <v>重复</v>
      </c>
      <c r="L3403" s="34" t="str">
        <f t="shared" si="110"/>
        <v>不重复</v>
      </c>
    </row>
    <row r="3404" spans="1:12" ht="27">
      <c r="A3404" s="35" t="s">
        <v>13829</v>
      </c>
      <c r="B3404" s="35" t="s">
        <v>9148</v>
      </c>
      <c r="C3404" s="36" t="s">
        <v>8615</v>
      </c>
      <c r="D3404" s="35" t="s">
        <v>9149</v>
      </c>
      <c r="E3404" s="35" t="s">
        <v>13707</v>
      </c>
      <c r="F3404" s="35" t="s">
        <v>12483</v>
      </c>
      <c r="G3404" s="35">
        <v>358322</v>
      </c>
      <c r="H3404" s="35">
        <v>390640</v>
      </c>
      <c r="I3404" s="35">
        <v>200020</v>
      </c>
      <c r="J3404" s="34" t="s">
        <v>9036</v>
      </c>
      <c r="K3404" s="34" t="str">
        <f t="shared" si="109"/>
        <v>重复</v>
      </c>
      <c r="L3404" s="34" t="str">
        <f t="shared" si="110"/>
        <v>不重复</v>
      </c>
    </row>
    <row r="3405" spans="1:12" ht="27">
      <c r="A3405" s="35" t="s">
        <v>13830</v>
      </c>
      <c r="B3405" s="35" t="s">
        <v>9150</v>
      </c>
      <c r="C3405" s="36" t="s">
        <v>9151</v>
      </c>
      <c r="D3405" s="35" t="s">
        <v>9152</v>
      </c>
      <c r="E3405" s="35" t="s">
        <v>13707</v>
      </c>
      <c r="F3405" s="35" t="s">
        <v>12483</v>
      </c>
      <c r="G3405" s="35">
        <v>358323</v>
      </c>
      <c r="H3405" s="35">
        <v>390640</v>
      </c>
      <c r="I3405" s="35">
        <v>200020</v>
      </c>
      <c r="J3405" s="34" t="s">
        <v>715</v>
      </c>
      <c r="K3405" s="34" t="str">
        <f t="shared" si="109"/>
        <v>不重复</v>
      </c>
      <c r="L3405" s="34" t="str">
        <f t="shared" si="110"/>
        <v>不重复</v>
      </c>
    </row>
    <row r="3406" spans="1:12" ht="30">
      <c r="A3406" s="35" t="s">
        <v>13831</v>
      </c>
      <c r="B3406" s="35" t="s">
        <v>9153</v>
      </c>
      <c r="C3406" s="36" t="s">
        <v>7267</v>
      </c>
      <c r="D3406" s="35" t="s">
        <v>9154</v>
      </c>
      <c r="E3406" s="35" t="s">
        <v>13707</v>
      </c>
      <c r="F3406" s="35" t="s">
        <v>12483</v>
      </c>
      <c r="G3406" s="35">
        <v>358324</v>
      </c>
      <c r="H3406" s="35">
        <v>390640</v>
      </c>
      <c r="I3406" s="35">
        <v>200020</v>
      </c>
      <c r="J3406" s="34" t="s">
        <v>962</v>
      </c>
      <c r="K3406" s="34" t="str">
        <f t="shared" si="109"/>
        <v>重复</v>
      </c>
      <c r="L3406" s="34" t="str">
        <f t="shared" si="110"/>
        <v>不重复</v>
      </c>
    </row>
    <row r="3407" spans="1:12" ht="27">
      <c r="A3407" s="35" t="s">
        <v>13832</v>
      </c>
      <c r="B3407" s="35" t="s">
        <v>9155</v>
      </c>
      <c r="C3407" s="36" t="s">
        <v>2071</v>
      </c>
      <c r="D3407" s="35" t="s">
        <v>9156</v>
      </c>
      <c r="E3407" s="35" t="s">
        <v>13707</v>
      </c>
      <c r="F3407" s="35" t="s">
        <v>12483</v>
      </c>
      <c r="G3407" s="35">
        <v>358325</v>
      </c>
      <c r="H3407" s="35">
        <v>390640</v>
      </c>
      <c r="I3407" s="35">
        <v>200020</v>
      </c>
      <c r="J3407" s="34" t="s">
        <v>9157</v>
      </c>
      <c r="K3407" s="34" t="str">
        <f t="shared" si="109"/>
        <v>重复</v>
      </c>
      <c r="L3407" s="34" t="str">
        <f t="shared" si="110"/>
        <v>不重复</v>
      </c>
    </row>
    <row r="3408" spans="1:12" ht="27">
      <c r="A3408" s="35" t="s">
        <v>13833</v>
      </c>
      <c r="B3408" s="35" t="s">
        <v>9158</v>
      </c>
      <c r="C3408" s="36" t="s">
        <v>9159</v>
      </c>
      <c r="D3408" s="35" t="s">
        <v>6278</v>
      </c>
      <c r="E3408" s="35" t="s">
        <v>13707</v>
      </c>
      <c r="F3408" s="35" t="s">
        <v>12483</v>
      </c>
      <c r="G3408" s="35">
        <v>358326</v>
      </c>
      <c r="H3408" s="35">
        <v>390640</v>
      </c>
      <c r="I3408" s="35">
        <v>200020</v>
      </c>
      <c r="J3408" s="34" t="s">
        <v>4252</v>
      </c>
      <c r="K3408" s="34" t="str">
        <f t="shared" si="109"/>
        <v>不重复</v>
      </c>
      <c r="L3408" s="34" t="str">
        <f t="shared" si="110"/>
        <v>重复</v>
      </c>
    </row>
    <row r="3409" spans="1:12" ht="30">
      <c r="A3409" s="35" t="s">
        <v>13834</v>
      </c>
      <c r="B3409" s="35" t="s">
        <v>9160</v>
      </c>
      <c r="C3409" s="36" t="s">
        <v>9161</v>
      </c>
      <c r="D3409" s="35" t="s">
        <v>9162</v>
      </c>
      <c r="E3409" s="35" t="s">
        <v>13707</v>
      </c>
      <c r="F3409" s="35" t="s">
        <v>12483</v>
      </c>
      <c r="G3409" s="35">
        <v>358327</v>
      </c>
      <c r="H3409" s="35">
        <v>390640</v>
      </c>
      <c r="I3409" s="35">
        <v>200020</v>
      </c>
      <c r="J3409" s="34" t="s">
        <v>363</v>
      </c>
      <c r="K3409" s="34" t="str">
        <f t="shared" si="109"/>
        <v>不重复</v>
      </c>
      <c r="L3409" s="34" t="str">
        <f t="shared" si="110"/>
        <v>不重复</v>
      </c>
    </row>
    <row r="3410" spans="1:12" ht="30">
      <c r="A3410" s="35" t="s">
        <v>13835</v>
      </c>
      <c r="B3410" s="35" t="s">
        <v>9163</v>
      </c>
      <c r="C3410" s="36" t="s">
        <v>9164</v>
      </c>
      <c r="D3410" s="35" t="s">
        <v>9165</v>
      </c>
      <c r="E3410" s="35" t="s">
        <v>13707</v>
      </c>
      <c r="F3410" s="35" t="s">
        <v>12483</v>
      </c>
      <c r="G3410" s="35">
        <v>358328</v>
      </c>
      <c r="H3410" s="35">
        <v>390640</v>
      </c>
      <c r="I3410" s="35">
        <v>200020</v>
      </c>
      <c r="J3410" s="34" t="s">
        <v>363</v>
      </c>
      <c r="K3410" s="34" t="str">
        <f t="shared" si="109"/>
        <v>不重复</v>
      </c>
      <c r="L3410" s="34" t="str">
        <f t="shared" si="110"/>
        <v>重复</v>
      </c>
    </row>
    <row r="3411" spans="1:12" ht="27">
      <c r="A3411" s="35" t="s">
        <v>13836</v>
      </c>
      <c r="B3411" s="35" t="s">
        <v>9166</v>
      </c>
      <c r="C3411" s="36" t="s">
        <v>9167</v>
      </c>
      <c r="D3411" s="35" t="s">
        <v>9165</v>
      </c>
      <c r="E3411" s="35" t="s">
        <v>13707</v>
      </c>
      <c r="F3411" s="35" t="s">
        <v>12483</v>
      </c>
      <c r="G3411" s="35">
        <v>358329</v>
      </c>
      <c r="H3411" s="35">
        <v>390640</v>
      </c>
      <c r="I3411" s="35">
        <v>200020</v>
      </c>
      <c r="J3411" s="34" t="s">
        <v>9168</v>
      </c>
      <c r="K3411" s="34" t="str">
        <f t="shared" si="109"/>
        <v>重复</v>
      </c>
      <c r="L3411" s="34" t="str">
        <f t="shared" si="110"/>
        <v>重复</v>
      </c>
    </row>
    <row r="3412" spans="1:12" ht="30">
      <c r="A3412" s="35" t="s">
        <v>13837</v>
      </c>
      <c r="B3412" s="35" t="s">
        <v>9169</v>
      </c>
      <c r="C3412" s="36" t="s">
        <v>4210</v>
      </c>
      <c r="D3412" s="35" t="s">
        <v>1951</v>
      </c>
      <c r="E3412" s="35" t="s">
        <v>13707</v>
      </c>
      <c r="F3412" s="35" t="s">
        <v>12483</v>
      </c>
      <c r="G3412" s="35">
        <v>358330</v>
      </c>
      <c r="H3412" s="35">
        <v>390640</v>
      </c>
      <c r="I3412" s="35">
        <v>200020</v>
      </c>
      <c r="J3412" s="34" t="s">
        <v>363</v>
      </c>
      <c r="K3412" s="34" t="str">
        <f t="shared" si="109"/>
        <v>重复</v>
      </c>
      <c r="L3412" s="34" t="str">
        <f t="shared" si="110"/>
        <v>重复</v>
      </c>
    </row>
    <row r="3413" spans="1:12" ht="30">
      <c r="A3413" s="35" t="s">
        <v>13838</v>
      </c>
      <c r="B3413" s="35" t="s">
        <v>9170</v>
      </c>
      <c r="C3413" s="36" t="s">
        <v>9171</v>
      </c>
      <c r="D3413" s="35" t="s">
        <v>6682</v>
      </c>
      <c r="E3413" s="35" t="s">
        <v>13707</v>
      </c>
      <c r="F3413" s="35" t="s">
        <v>12483</v>
      </c>
      <c r="G3413" s="35">
        <v>358331</v>
      </c>
      <c r="H3413" s="35">
        <v>390640</v>
      </c>
      <c r="I3413" s="35">
        <v>200020</v>
      </c>
      <c r="J3413" s="34" t="s">
        <v>962</v>
      </c>
      <c r="K3413" s="34" t="str">
        <f t="shared" si="109"/>
        <v>不重复</v>
      </c>
      <c r="L3413" s="34" t="str">
        <f t="shared" si="110"/>
        <v>重复</v>
      </c>
    </row>
    <row r="3414" spans="1:12" ht="30">
      <c r="A3414" s="35" t="s">
        <v>13839</v>
      </c>
      <c r="B3414" s="35" t="s">
        <v>9172</v>
      </c>
      <c r="C3414" s="36" t="s">
        <v>9173</v>
      </c>
      <c r="D3414" s="35" t="s">
        <v>4287</v>
      </c>
      <c r="E3414" s="35" t="s">
        <v>13707</v>
      </c>
      <c r="F3414" s="35" t="s">
        <v>12483</v>
      </c>
      <c r="G3414" s="35">
        <v>358332</v>
      </c>
      <c r="H3414" s="35">
        <v>390640</v>
      </c>
      <c r="I3414" s="35">
        <v>200020</v>
      </c>
      <c r="J3414" s="34" t="s">
        <v>668</v>
      </c>
      <c r="K3414" s="34" t="str">
        <f t="shared" si="109"/>
        <v>不重复</v>
      </c>
      <c r="L3414" s="34" t="str">
        <f t="shared" si="110"/>
        <v>重复</v>
      </c>
    </row>
    <row r="3415" spans="1:12" ht="27">
      <c r="A3415" s="35" t="s">
        <v>13840</v>
      </c>
      <c r="B3415" s="35" t="s">
        <v>9174</v>
      </c>
      <c r="C3415" s="36" t="s">
        <v>2656</v>
      </c>
      <c r="D3415" s="35" t="s">
        <v>3232</v>
      </c>
      <c r="E3415" s="35" t="s">
        <v>13707</v>
      </c>
      <c r="F3415" s="35" t="s">
        <v>12483</v>
      </c>
      <c r="G3415" s="35">
        <v>358333</v>
      </c>
      <c r="H3415" s="35">
        <v>390640</v>
      </c>
      <c r="I3415" s="35">
        <v>200020</v>
      </c>
      <c r="J3415" s="34" t="s">
        <v>9175</v>
      </c>
      <c r="K3415" s="34" t="str">
        <f t="shared" si="109"/>
        <v>重复</v>
      </c>
      <c r="L3415" s="34" t="str">
        <f t="shared" si="110"/>
        <v>重复</v>
      </c>
    </row>
    <row r="3416" spans="1:12" ht="27">
      <c r="A3416" s="35" t="s">
        <v>13841</v>
      </c>
      <c r="B3416" s="35" t="s">
        <v>9176</v>
      </c>
      <c r="C3416" s="36" t="s">
        <v>9177</v>
      </c>
      <c r="D3416" s="35" t="s">
        <v>9178</v>
      </c>
      <c r="E3416" s="35" t="s">
        <v>13707</v>
      </c>
      <c r="F3416" s="35" t="s">
        <v>12483</v>
      </c>
      <c r="G3416" s="35">
        <v>358334</v>
      </c>
      <c r="H3416" s="35">
        <v>390640</v>
      </c>
      <c r="I3416" s="35">
        <v>200020</v>
      </c>
      <c r="J3416" s="34" t="s">
        <v>194</v>
      </c>
      <c r="K3416" s="34" t="str">
        <f t="shared" si="109"/>
        <v>不重复</v>
      </c>
      <c r="L3416" s="34" t="str">
        <f t="shared" si="110"/>
        <v>不重复</v>
      </c>
    </row>
    <row r="3417" spans="1:12" ht="27">
      <c r="A3417" s="35" t="s">
        <v>13842</v>
      </c>
      <c r="B3417" s="35" t="s">
        <v>9179</v>
      </c>
      <c r="C3417" s="36" t="s">
        <v>8877</v>
      </c>
      <c r="D3417" s="35" t="s">
        <v>9180</v>
      </c>
      <c r="E3417" s="35" t="s">
        <v>13707</v>
      </c>
      <c r="F3417" s="35" t="s">
        <v>12483</v>
      </c>
      <c r="G3417" s="35">
        <v>358335</v>
      </c>
      <c r="H3417" s="35">
        <v>390640</v>
      </c>
      <c r="I3417" s="35">
        <v>200020</v>
      </c>
      <c r="J3417" s="34" t="s">
        <v>16</v>
      </c>
      <c r="K3417" s="34" t="str">
        <f t="shared" si="109"/>
        <v>重复</v>
      </c>
      <c r="L3417" s="34" t="str">
        <f t="shared" si="110"/>
        <v>不重复</v>
      </c>
    </row>
    <row r="3418" spans="1:12" ht="15">
      <c r="A3418" s="35" t="s">
        <v>13843</v>
      </c>
      <c r="B3418" s="35" t="s">
        <v>9181</v>
      </c>
      <c r="C3418" s="36" t="s">
        <v>9182</v>
      </c>
      <c r="D3418" s="35" t="s">
        <v>9183</v>
      </c>
      <c r="E3418" s="35" t="s">
        <v>13843</v>
      </c>
      <c r="F3418" s="35" t="s">
        <v>12483</v>
      </c>
      <c r="G3418" s="35">
        <v>358500</v>
      </c>
      <c r="H3418" s="35">
        <v>390640</v>
      </c>
      <c r="I3418" s="35">
        <v>200020</v>
      </c>
      <c r="J3418" s="34" t="s">
        <v>16</v>
      </c>
      <c r="K3418" s="34" t="str">
        <f t="shared" si="109"/>
        <v>重复</v>
      </c>
      <c r="L3418" s="34" t="str">
        <f t="shared" si="110"/>
        <v>重复</v>
      </c>
    </row>
    <row r="3419" spans="1:12" ht="30">
      <c r="A3419" s="35" t="s">
        <v>13844</v>
      </c>
      <c r="B3419" s="35" t="s">
        <v>9184</v>
      </c>
      <c r="C3419" s="36" t="s">
        <v>6298</v>
      </c>
      <c r="D3419" s="35" t="s">
        <v>9185</v>
      </c>
      <c r="E3419" s="35" t="s">
        <v>13843</v>
      </c>
      <c r="F3419" s="35" t="s">
        <v>12483</v>
      </c>
      <c r="G3419" s="35">
        <v>358501</v>
      </c>
      <c r="H3419" s="35">
        <v>390640</v>
      </c>
      <c r="I3419" s="35">
        <v>200020</v>
      </c>
      <c r="J3419" s="34" t="s">
        <v>89</v>
      </c>
      <c r="K3419" s="34" t="str">
        <f t="shared" si="109"/>
        <v>重复</v>
      </c>
      <c r="L3419" s="34" t="str">
        <f t="shared" si="110"/>
        <v>不重复</v>
      </c>
    </row>
    <row r="3420" spans="1:12" ht="30">
      <c r="A3420" s="35" t="s">
        <v>13845</v>
      </c>
      <c r="B3420" s="35" t="s">
        <v>9186</v>
      </c>
      <c r="C3420" s="36" t="s">
        <v>6235</v>
      </c>
      <c r="D3420" s="35" t="s">
        <v>9187</v>
      </c>
      <c r="E3420" s="35" t="s">
        <v>13843</v>
      </c>
      <c r="F3420" s="35" t="s">
        <v>12483</v>
      </c>
      <c r="G3420" s="35">
        <v>358502</v>
      </c>
      <c r="H3420" s="35">
        <v>390640</v>
      </c>
      <c r="I3420" s="35">
        <v>200020</v>
      </c>
      <c r="J3420" s="34" t="s">
        <v>878</v>
      </c>
      <c r="K3420" s="34" t="str">
        <f t="shared" si="109"/>
        <v>重复</v>
      </c>
      <c r="L3420" s="34" t="str">
        <f t="shared" si="110"/>
        <v>不重复</v>
      </c>
    </row>
    <row r="3421" spans="1:12" ht="30">
      <c r="A3421" s="35" t="s">
        <v>13846</v>
      </c>
      <c r="B3421" s="35" t="s">
        <v>9188</v>
      </c>
      <c r="C3421" s="36" t="s">
        <v>9182</v>
      </c>
      <c r="D3421" s="35" t="s">
        <v>9189</v>
      </c>
      <c r="E3421" s="35" t="s">
        <v>13843</v>
      </c>
      <c r="F3421" s="35" t="s">
        <v>12483</v>
      </c>
      <c r="G3421" s="35">
        <v>358503</v>
      </c>
      <c r="H3421" s="35">
        <v>390640</v>
      </c>
      <c r="I3421" s="35">
        <v>200020</v>
      </c>
      <c r="J3421" s="34" t="s">
        <v>1150</v>
      </c>
      <c r="K3421" s="34" t="str">
        <f t="shared" si="109"/>
        <v>重复</v>
      </c>
      <c r="L3421" s="34" t="str">
        <f t="shared" si="110"/>
        <v>不重复</v>
      </c>
    </row>
    <row r="3422" spans="1:12" ht="27">
      <c r="A3422" s="35" t="s">
        <v>13847</v>
      </c>
      <c r="B3422" s="35" t="s">
        <v>9190</v>
      </c>
      <c r="C3422" s="36" t="s">
        <v>9191</v>
      </c>
      <c r="D3422" s="35" t="s">
        <v>7871</v>
      </c>
      <c r="E3422" s="35" t="s">
        <v>13843</v>
      </c>
      <c r="F3422" s="35" t="s">
        <v>12483</v>
      </c>
      <c r="G3422" s="35">
        <v>358504</v>
      </c>
      <c r="H3422" s="35">
        <v>390640</v>
      </c>
      <c r="I3422" s="35">
        <v>200020</v>
      </c>
      <c r="J3422" s="34" t="s">
        <v>210</v>
      </c>
      <c r="K3422" s="34" t="str">
        <f t="shared" si="109"/>
        <v>不重复</v>
      </c>
      <c r="L3422" s="34" t="str">
        <f t="shared" si="110"/>
        <v>重复</v>
      </c>
    </row>
    <row r="3423" spans="1:12" ht="15">
      <c r="A3423" s="35" t="s">
        <v>13848</v>
      </c>
      <c r="B3423" s="35" t="s">
        <v>9192</v>
      </c>
      <c r="C3423" s="36" t="s">
        <v>9193</v>
      </c>
      <c r="D3423" s="35" t="s">
        <v>9194</v>
      </c>
      <c r="E3423" s="35" t="s">
        <v>13843</v>
      </c>
      <c r="F3423" s="35" t="s">
        <v>12483</v>
      </c>
      <c r="G3423" s="35">
        <v>358505</v>
      </c>
      <c r="H3423" s="35">
        <v>390640</v>
      </c>
      <c r="I3423" s="35">
        <v>200020</v>
      </c>
      <c r="J3423" s="34" t="s">
        <v>2240</v>
      </c>
      <c r="K3423" s="34" t="str">
        <f t="shared" si="109"/>
        <v>不重复</v>
      </c>
      <c r="L3423" s="34" t="str">
        <f t="shared" si="110"/>
        <v>不重复</v>
      </c>
    </row>
    <row r="3424" spans="1:12" ht="27">
      <c r="A3424" s="35" t="s">
        <v>13849</v>
      </c>
      <c r="B3424" s="35" t="s">
        <v>9195</v>
      </c>
      <c r="C3424" s="36" t="s">
        <v>9196</v>
      </c>
      <c r="D3424" s="35" t="s">
        <v>9197</v>
      </c>
      <c r="E3424" s="35" t="s">
        <v>13849</v>
      </c>
      <c r="F3424" s="35" t="s">
        <v>12483</v>
      </c>
      <c r="G3424" s="35">
        <v>358600</v>
      </c>
      <c r="H3424" s="35">
        <v>390650</v>
      </c>
      <c r="I3424" s="35">
        <v>200020</v>
      </c>
      <c r="J3424" s="34" t="s">
        <v>16</v>
      </c>
      <c r="K3424" s="34" t="str">
        <f t="shared" si="109"/>
        <v>不重复</v>
      </c>
      <c r="L3424" s="34" t="str">
        <f t="shared" si="110"/>
        <v>不重复</v>
      </c>
    </row>
    <row r="3425" spans="1:12" ht="30">
      <c r="A3425" s="35" t="s">
        <v>13850</v>
      </c>
      <c r="B3425" s="35" t="s">
        <v>9198</v>
      </c>
      <c r="C3425" s="36" t="s">
        <v>1874</v>
      </c>
      <c r="D3425" s="35" t="s">
        <v>9199</v>
      </c>
      <c r="E3425" s="35" t="s">
        <v>13849</v>
      </c>
      <c r="F3425" s="35" t="s">
        <v>12483</v>
      </c>
      <c r="G3425" s="35">
        <v>358601</v>
      </c>
      <c r="H3425" s="35">
        <v>390650</v>
      </c>
      <c r="I3425" s="35">
        <v>200020</v>
      </c>
      <c r="J3425" s="34" t="s">
        <v>363</v>
      </c>
      <c r="K3425" s="34" t="str">
        <f t="shared" si="109"/>
        <v>重复</v>
      </c>
      <c r="L3425" s="34" t="str">
        <f t="shared" si="110"/>
        <v>不重复</v>
      </c>
    </row>
    <row r="3426" spans="1:12" ht="30">
      <c r="A3426" s="35" t="s">
        <v>13851</v>
      </c>
      <c r="B3426" s="35" t="s">
        <v>9200</v>
      </c>
      <c r="C3426" s="36" t="s">
        <v>9201</v>
      </c>
      <c r="D3426" s="35" t="s">
        <v>9202</v>
      </c>
      <c r="E3426" s="35" t="s">
        <v>13849</v>
      </c>
      <c r="F3426" s="35" t="s">
        <v>12483</v>
      </c>
      <c r="G3426" s="35">
        <v>358602</v>
      </c>
      <c r="H3426" s="35">
        <v>390650</v>
      </c>
      <c r="I3426" s="35">
        <v>200020</v>
      </c>
      <c r="J3426" s="34" t="s">
        <v>2240</v>
      </c>
      <c r="K3426" s="34" t="str">
        <f t="shared" si="109"/>
        <v>重复</v>
      </c>
      <c r="L3426" s="34" t="str">
        <f t="shared" si="110"/>
        <v>不重复</v>
      </c>
    </row>
    <row r="3427" spans="1:12" ht="27">
      <c r="A3427" s="35" t="s">
        <v>13852</v>
      </c>
      <c r="B3427" s="35" t="s">
        <v>9203</v>
      </c>
      <c r="C3427" s="36" t="s">
        <v>8951</v>
      </c>
      <c r="D3427" s="35" t="s">
        <v>9204</v>
      </c>
      <c r="E3427" s="35" t="s">
        <v>13849</v>
      </c>
      <c r="F3427" s="35" t="s">
        <v>12483</v>
      </c>
      <c r="G3427" s="35">
        <v>358603</v>
      </c>
      <c r="H3427" s="35">
        <v>390650</v>
      </c>
      <c r="I3427" s="35">
        <v>200020</v>
      </c>
      <c r="J3427" s="34" t="s">
        <v>89</v>
      </c>
      <c r="K3427" s="34" t="str">
        <f t="shared" si="109"/>
        <v>重复</v>
      </c>
      <c r="L3427" s="34" t="str">
        <f t="shared" si="110"/>
        <v>不重复</v>
      </c>
    </row>
    <row r="3428" spans="1:12" ht="27">
      <c r="A3428" s="35" t="s">
        <v>13853</v>
      </c>
      <c r="B3428" s="35" t="s">
        <v>9205</v>
      </c>
      <c r="C3428" s="36" t="s">
        <v>9206</v>
      </c>
      <c r="D3428" s="35" t="s">
        <v>9207</v>
      </c>
      <c r="E3428" s="35" t="s">
        <v>13849</v>
      </c>
      <c r="F3428" s="35" t="s">
        <v>12483</v>
      </c>
      <c r="G3428" s="35">
        <v>358604</v>
      </c>
      <c r="H3428" s="35">
        <v>390650</v>
      </c>
      <c r="I3428" s="35">
        <v>200020</v>
      </c>
      <c r="J3428" s="34" t="s">
        <v>4084</v>
      </c>
      <c r="K3428" s="34" t="str">
        <f t="shared" si="109"/>
        <v>不重复</v>
      </c>
      <c r="L3428" s="34" t="str">
        <f t="shared" si="110"/>
        <v>不重复</v>
      </c>
    </row>
    <row r="3429" spans="1:12" ht="30">
      <c r="A3429" s="35" t="s">
        <v>13854</v>
      </c>
      <c r="B3429" s="35" t="s">
        <v>9208</v>
      </c>
      <c r="C3429" s="36" t="s">
        <v>9209</v>
      </c>
      <c r="D3429" s="35" t="s">
        <v>9210</v>
      </c>
      <c r="E3429" s="35" t="s">
        <v>13849</v>
      </c>
      <c r="F3429" s="35" t="s">
        <v>12483</v>
      </c>
      <c r="G3429" s="35">
        <v>358605</v>
      </c>
      <c r="H3429" s="35">
        <v>390650</v>
      </c>
      <c r="I3429" s="35">
        <v>200020</v>
      </c>
      <c r="J3429" s="34" t="s">
        <v>1193</v>
      </c>
      <c r="K3429" s="34" t="str">
        <f t="shared" si="109"/>
        <v>不重复</v>
      </c>
      <c r="L3429" s="34" t="str">
        <f t="shared" si="110"/>
        <v>不重复</v>
      </c>
    </row>
    <row r="3430" spans="1:12" ht="30">
      <c r="A3430" s="35" t="s">
        <v>13855</v>
      </c>
      <c r="B3430" s="35" t="s">
        <v>9211</v>
      </c>
      <c r="C3430" s="36" t="s">
        <v>4675</v>
      </c>
      <c r="D3430" s="35" t="s">
        <v>9212</v>
      </c>
      <c r="E3430" s="35" t="s">
        <v>13849</v>
      </c>
      <c r="F3430" s="35" t="s">
        <v>12483</v>
      </c>
      <c r="G3430" s="35">
        <v>358606</v>
      </c>
      <c r="H3430" s="35">
        <v>390650</v>
      </c>
      <c r="I3430" s="35">
        <v>200020</v>
      </c>
      <c r="J3430" s="34" t="s">
        <v>3437</v>
      </c>
      <c r="K3430" s="34" t="str">
        <f t="shared" si="109"/>
        <v>重复</v>
      </c>
      <c r="L3430" s="34" t="str">
        <f t="shared" si="110"/>
        <v>不重复</v>
      </c>
    </row>
    <row r="3431" spans="1:12" ht="30">
      <c r="A3431" s="35" t="s">
        <v>13856</v>
      </c>
      <c r="B3431" s="35" t="s">
        <v>9213</v>
      </c>
      <c r="C3431" s="36" t="s">
        <v>9214</v>
      </c>
      <c r="D3431" s="35" t="s">
        <v>9215</v>
      </c>
      <c r="E3431" s="35" t="s">
        <v>13849</v>
      </c>
      <c r="F3431" s="35" t="s">
        <v>12483</v>
      </c>
      <c r="G3431" s="35">
        <v>358607</v>
      </c>
      <c r="H3431" s="35">
        <v>390650</v>
      </c>
      <c r="I3431" s="35">
        <v>200020</v>
      </c>
      <c r="J3431" s="34" t="s">
        <v>363</v>
      </c>
      <c r="K3431" s="34" t="str">
        <f t="shared" si="109"/>
        <v>重复</v>
      </c>
      <c r="L3431" s="34" t="str">
        <f t="shared" si="110"/>
        <v>不重复</v>
      </c>
    </row>
    <row r="3432" spans="1:12" ht="27">
      <c r="A3432" s="35" t="s">
        <v>13857</v>
      </c>
      <c r="B3432" s="35" t="s">
        <v>9216</v>
      </c>
      <c r="C3432" s="36" t="s">
        <v>9217</v>
      </c>
      <c r="D3432" s="35" t="s">
        <v>9218</v>
      </c>
      <c r="E3432" s="35" t="s">
        <v>13849</v>
      </c>
      <c r="F3432" s="35" t="s">
        <v>12483</v>
      </c>
      <c r="G3432" s="35">
        <v>358608</v>
      </c>
      <c r="H3432" s="35">
        <v>390650</v>
      </c>
      <c r="I3432" s="35">
        <v>200020</v>
      </c>
      <c r="J3432" s="34" t="s">
        <v>8949</v>
      </c>
      <c r="K3432" s="34" t="str">
        <f t="shared" si="109"/>
        <v>不重复</v>
      </c>
      <c r="L3432" s="34" t="str">
        <f t="shared" si="110"/>
        <v>不重复</v>
      </c>
    </row>
    <row r="3433" spans="1:12" ht="27">
      <c r="A3433" s="35" t="s">
        <v>13858</v>
      </c>
      <c r="B3433" s="35" t="s">
        <v>9219</v>
      </c>
      <c r="C3433" s="36" t="s">
        <v>9220</v>
      </c>
      <c r="D3433" s="35" t="s">
        <v>9221</v>
      </c>
      <c r="E3433" s="35" t="s">
        <v>13849</v>
      </c>
      <c r="F3433" s="35" t="s">
        <v>12483</v>
      </c>
      <c r="G3433" s="35">
        <v>358609</v>
      </c>
      <c r="H3433" s="35">
        <v>390650</v>
      </c>
      <c r="I3433" s="35">
        <v>200020</v>
      </c>
      <c r="J3433" s="34" t="s">
        <v>668</v>
      </c>
      <c r="K3433" s="34" t="str">
        <f t="shared" si="109"/>
        <v>不重复</v>
      </c>
      <c r="L3433" s="34" t="str">
        <f t="shared" si="110"/>
        <v>不重复</v>
      </c>
    </row>
    <row r="3434" spans="1:12" ht="15">
      <c r="A3434" s="35" t="s">
        <v>13859</v>
      </c>
      <c r="B3434" s="35" t="s">
        <v>9222</v>
      </c>
      <c r="C3434" s="36" t="s">
        <v>9223</v>
      </c>
      <c r="D3434" s="35" t="s">
        <v>4788</v>
      </c>
      <c r="E3434" s="35" t="s">
        <v>13859</v>
      </c>
      <c r="F3434" s="35" t="s">
        <v>13860</v>
      </c>
      <c r="G3434" s="35">
        <v>360100</v>
      </c>
      <c r="H3434" s="35">
        <v>400000</v>
      </c>
      <c r="I3434" s="35">
        <v>300000</v>
      </c>
      <c r="J3434" s="34" t="s">
        <v>16</v>
      </c>
      <c r="K3434" s="34" t="str">
        <f t="shared" si="109"/>
        <v>不重复</v>
      </c>
      <c r="L3434" s="34" t="str">
        <f t="shared" si="110"/>
        <v>重复</v>
      </c>
    </row>
    <row r="3435" spans="1:12" ht="15">
      <c r="A3435" s="35" t="s">
        <v>13861</v>
      </c>
      <c r="B3435" s="35" t="s">
        <v>9224</v>
      </c>
      <c r="C3435" s="36" t="s">
        <v>6522</v>
      </c>
      <c r="D3435" s="35" t="s">
        <v>9225</v>
      </c>
      <c r="E3435" s="35" t="s">
        <v>13859</v>
      </c>
      <c r="F3435" s="35" t="s">
        <v>13860</v>
      </c>
      <c r="G3435" s="35">
        <v>360101</v>
      </c>
      <c r="H3435" s="35">
        <v>400000</v>
      </c>
      <c r="I3435" s="35">
        <v>300000</v>
      </c>
      <c r="J3435" s="34" t="s">
        <v>5315</v>
      </c>
      <c r="K3435" s="34" t="str">
        <f t="shared" si="109"/>
        <v>重复</v>
      </c>
      <c r="L3435" s="34" t="str">
        <f t="shared" si="110"/>
        <v>不重复</v>
      </c>
    </row>
    <row r="3436" spans="1:12" ht="15">
      <c r="A3436" s="35" t="s">
        <v>13862</v>
      </c>
      <c r="B3436" s="35" t="s">
        <v>9226</v>
      </c>
      <c r="C3436" s="36" t="s">
        <v>9227</v>
      </c>
      <c r="D3436" s="35" t="s">
        <v>9228</v>
      </c>
      <c r="E3436" s="35" t="s">
        <v>13859</v>
      </c>
      <c r="F3436" s="35" t="s">
        <v>13860</v>
      </c>
      <c r="G3436" s="35">
        <v>360102</v>
      </c>
      <c r="H3436" s="35">
        <v>400000</v>
      </c>
      <c r="I3436" s="35">
        <v>300000</v>
      </c>
      <c r="J3436" s="34" t="s">
        <v>1406</v>
      </c>
      <c r="K3436" s="34" t="str">
        <f t="shared" si="109"/>
        <v>不重复</v>
      </c>
      <c r="L3436" s="34" t="str">
        <f t="shared" si="110"/>
        <v>不重复</v>
      </c>
    </row>
    <row r="3437" spans="1:12" ht="15">
      <c r="A3437" s="35" t="s">
        <v>13863</v>
      </c>
      <c r="B3437" s="35" t="s">
        <v>9229</v>
      </c>
      <c r="C3437" s="36" t="s">
        <v>9230</v>
      </c>
      <c r="D3437" s="35" t="s">
        <v>9231</v>
      </c>
      <c r="E3437" s="35" t="s">
        <v>13859</v>
      </c>
      <c r="F3437" s="35" t="s">
        <v>13860</v>
      </c>
      <c r="G3437" s="35">
        <v>360103</v>
      </c>
      <c r="H3437" s="35">
        <v>400000</v>
      </c>
      <c r="I3437" s="35">
        <v>300000</v>
      </c>
      <c r="J3437" s="34" t="s">
        <v>878</v>
      </c>
      <c r="K3437" s="34" t="str">
        <f t="shared" si="109"/>
        <v>不重复</v>
      </c>
      <c r="L3437" s="34" t="str">
        <f t="shared" si="110"/>
        <v>不重复</v>
      </c>
    </row>
    <row r="3438" spans="1:12" ht="15">
      <c r="A3438" s="35" t="s">
        <v>13864</v>
      </c>
      <c r="B3438" s="35" t="s">
        <v>9232</v>
      </c>
      <c r="C3438" s="36" t="s">
        <v>9233</v>
      </c>
      <c r="D3438" s="35" t="s">
        <v>9234</v>
      </c>
      <c r="E3438" s="35" t="s">
        <v>13859</v>
      </c>
      <c r="F3438" s="35" t="s">
        <v>13860</v>
      </c>
      <c r="G3438" s="35">
        <v>360104</v>
      </c>
      <c r="H3438" s="35">
        <v>400000</v>
      </c>
      <c r="I3438" s="35">
        <v>300000</v>
      </c>
      <c r="J3438" s="34" t="s">
        <v>9235</v>
      </c>
      <c r="K3438" s="34" t="str">
        <f t="shared" si="109"/>
        <v>重复</v>
      </c>
      <c r="L3438" s="34" t="str">
        <f t="shared" si="110"/>
        <v>不重复</v>
      </c>
    </row>
    <row r="3439" spans="1:12" ht="15">
      <c r="A3439" s="35" t="s">
        <v>13865</v>
      </c>
      <c r="B3439" s="35" t="s">
        <v>9236</v>
      </c>
      <c r="C3439" s="36" t="s">
        <v>9237</v>
      </c>
      <c r="D3439" s="35" t="s">
        <v>9238</v>
      </c>
      <c r="E3439" s="35" t="s">
        <v>13859</v>
      </c>
      <c r="F3439" s="35" t="s">
        <v>13860</v>
      </c>
      <c r="G3439" s="35">
        <v>360105</v>
      </c>
      <c r="H3439" s="35">
        <v>400000</v>
      </c>
      <c r="I3439" s="35">
        <v>300000</v>
      </c>
      <c r="J3439" s="34" t="s">
        <v>458</v>
      </c>
      <c r="K3439" s="34" t="str">
        <f t="shared" si="109"/>
        <v>不重复</v>
      </c>
      <c r="L3439" s="34" t="str">
        <f t="shared" si="110"/>
        <v>不重复</v>
      </c>
    </row>
    <row r="3440" spans="1:12" ht="15">
      <c r="A3440" s="35" t="s">
        <v>13866</v>
      </c>
      <c r="B3440" s="35" t="s">
        <v>9239</v>
      </c>
      <c r="C3440" s="36" t="s">
        <v>4728</v>
      </c>
      <c r="D3440" s="35" t="s">
        <v>9240</v>
      </c>
      <c r="E3440" s="35" t="s">
        <v>13859</v>
      </c>
      <c r="F3440" s="35" t="s">
        <v>13860</v>
      </c>
      <c r="G3440" s="35">
        <v>360106</v>
      </c>
      <c r="H3440" s="35">
        <v>400000</v>
      </c>
      <c r="I3440" s="35">
        <v>300000</v>
      </c>
      <c r="J3440" s="34" t="s">
        <v>7733</v>
      </c>
      <c r="K3440" s="34" t="str">
        <f t="shared" si="109"/>
        <v>重复</v>
      </c>
      <c r="L3440" s="34" t="str">
        <f t="shared" si="110"/>
        <v>重复</v>
      </c>
    </row>
    <row r="3441" spans="1:12" ht="15">
      <c r="A3441" s="35" t="s">
        <v>13867</v>
      </c>
      <c r="B3441" s="35" t="s">
        <v>9241</v>
      </c>
      <c r="C3441" s="36" t="s">
        <v>7503</v>
      </c>
      <c r="D3441" s="35" t="s">
        <v>9240</v>
      </c>
      <c r="E3441" s="35" t="s">
        <v>13859</v>
      </c>
      <c r="F3441" s="35" t="s">
        <v>13860</v>
      </c>
      <c r="G3441" s="35">
        <v>360107</v>
      </c>
      <c r="H3441" s="35">
        <v>400000</v>
      </c>
      <c r="I3441" s="35">
        <v>300000</v>
      </c>
      <c r="J3441" s="34" t="s">
        <v>9242</v>
      </c>
      <c r="K3441" s="34" t="str">
        <f t="shared" si="109"/>
        <v>重复</v>
      </c>
      <c r="L3441" s="34" t="str">
        <f t="shared" si="110"/>
        <v>重复</v>
      </c>
    </row>
    <row r="3442" spans="1:12" ht="15">
      <c r="A3442" s="35" t="s">
        <v>13868</v>
      </c>
      <c r="B3442" s="35" t="s">
        <v>9243</v>
      </c>
      <c r="C3442" s="36" t="s">
        <v>9244</v>
      </c>
      <c r="D3442" s="35" t="s">
        <v>9245</v>
      </c>
      <c r="E3442" s="35" t="s">
        <v>13859</v>
      </c>
      <c r="F3442" s="35" t="s">
        <v>13860</v>
      </c>
      <c r="G3442" s="35">
        <v>360108</v>
      </c>
      <c r="H3442" s="35">
        <v>400000</v>
      </c>
      <c r="I3442" s="35">
        <v>300000</v>
      </c>
      <c r="J3442" s="34" t="s">
        <v>1103</v>
      </c>
      <c r="K3442" s="34" t="str">
        <f t="shared" si="109"/>
        <v>不重复</v>
      </c>
      <c r="L3442" s="34" t="str">
        <f t="shared" si="110"/>
        <v>不重复</v>
      </c>
    </row>
    <row r="3443" spans="1:12" ht="15">
      <c r="A3443" s="35" t="s">
        <v>13869</v>
      </c>
      <c r="B3443" s="35" t="s">
        <v>9246</v>
      </c>
      <c r="C3443" s="36" t="s">
        <v>9247</v>
      </c>
      <c r="D3443" s="35" t="s">
        <v>9248</v>
      </c>
      <c r="E3443" s="35" t="s">
        <v>13859</v>
      </c>
      <c r="F3443" s="35" t="s">
        <v>13860</v>
      </c>
      <c r="G3443" s="35">
        <v>360109</v>
      </c>
      <c r="H3443" s="35">
        <v>400000</v>
      </c>
      <c r="I3443" s="35">
        <v>300000</v>
      </c>
      <c r="J3443" s="34" t="s">
        <v>261</v>
      </c>
      <c r="K3443" s="34" t="str">
        <f t="shared" si="109"/>
        <v>不重复</v>
      </c>
      <c r="L3443" s="34" t="str">
        <f t="shared" si="110"/>
        <v>不重复</v>
      </c>
    </row>
    <row r="3444" spans="1:12" ht="15">
      <c r="A3444" s="35" t="s">
        <v>13870</v>
      </c>
      <c r="B3444" s="35" t="s">
        <v>9249</v>
      </c>
      <c r="C3444" s="36" t="s">
        <v>9250</v>
      </c>
      <c r="D3444" s="35" t="s">
        <v>9251</v>
      </c>
      <c r="E3444" s="35" t="s">
        <v>13859</v>
      </c>
      <c r="F3444" s="35" t="s">
        <v>13860</v>
      </c>
      <c r="G3444" s="35">
        <v>360110</v>
      </c>
      <c r="H3444" s="35">
        <v>400000</v>
      </c>
      <c r="I3444" s="35">
        <v>300000</v>
      </c>
      <c r="J3444" s="34" t="s">
        <v>9252</v>
      </c>
      <c r="K3444" s="34" t="str">
        <f t="shared" si="109"/>
        <v>不重复</v>
      </c>
      <c r="L3444" s="34" t="str">
        <f t="shared" si="110"/>
        <v>不重复</v>
      </c>
    </row>
    <row r="3445" spans="1:12" ht="15">
      <c r="A3445" s="35" t="s">
        <v>13871</v>
      </c>
      <c r="B3445" s="35" t="s">
        <v>9253</v>
      </c>
      <c r="C3445" s="36" t="s">
        <v>791</v>
      </c>
      <c r="D3445" s="35" t="s">
        <v>9254</v>
      </c>
      <c r="E3445" s="35" t="s">
        <v>13859</v>
      </c>
      <c r="F3445" s="35" t="s">
        <v>13860</v>
      </c>
      <c r="G3445" s="35">
        <v>360111</v>
      </c>
      <c r="H3445" s="35">
        <v>400000</v>
      </c>
      <c r="I3445" s="35">
        <v>300000</v>
      </c>
      <c r="J3445" s="34" t="s">
        <v>871</v>
      </c>
      <c r="K3445" s="34" t="str">
        <f t="shared" si="109"/>
        <v>重复</v>
      </c>
      <c r="L3445" s="34" t="str">
        <f t="shared" si="110"/>
        <v>不重复</v>
      </c>
    </row>
    <row r="3446" spans="1:12" ht="30">
      <c r="A3446" s="35" t="s">
        <v>13872</v>
      </c>
      <c r="B3446" s="35" t="s">
        <v>9255</v>
      </c>
      <c r="C3446" s="36" t="s">
        <v>5417</v>
      </c>
      <c r="D3446" s="35" t="s">
        <v>9256</v>
      </c>
      <c r="E3446" s="35" t="s">
        <v>13859</v>
      </c>
      <c r="F3446" s="35" t="s">
        <v>13860</v>
      </c>
      <c r="G3446" s="35">
        <v>360112</v>
      </c>
      <c r="H3446" s="35">
        <v>400000</v>
      </c>
      <c r="I3446" s="35">
        <v>300000</v>
      </c>
      <c r="J3446" s="34" t="s">
        <v>1040</v>
      </c>
      <c r="K3446" s="34" t="str">
        <f t="shared" si="109"/>
        <v>重复</v>
      </c>
      <c r="L3446" s="34" t="str">
        <f t="shared" si="110"/>
        <v>重复</v>
      </c>
    </row>
    <row r="3447" spans="1:12" ht="15">
      <c r="A3447" s="35" t="s">
        <v>13873</v>
      </c>
      <c r="B3447" s="35" t="s">
        <v>9257</v>
      </c>
      <c r="C3447" s="36" t="s">
        <v>2721</v>
      </c>
      <c r="D3447" s="35" t="s">
        <v>9258</v>
      </c>
      <c r="E3447" s="35" t="s">
        <v>13859</v>
      </c>
      <c r="F3447" s="35" t="s">
        <v>13860</v>
      </c>
      <c r="G3447" s="35">
        <v>360113</v>
      </c>
      <c r="H3447" s="35">
        <v>400000</v>
      </c>
      <c r="I3447" s="35">
        <v>300000</v>
      </c>
      <c r="J3447" s="34" t="s">
        <v>932</v>
      </c>
      <c r="K3447" s="34" t="str">
        <f t="shared" si="109"/>
        <v>重复</v>
      </c>
      <c r="L3447" s="34" t="str">
        <f t="shared" si="110"/>
        <v>不重复</v>
      </c>
    </row>
    <row r="3448" spans="1:12" ht="15">
      <c r="A3448" s="35" t="s">
        <v>13874</v>
      </c>
      <c r="B3448" s="35" t="s">
        <v>9259</v>
      </c>
      <c r="C3448" s="36" t="s">
        <v>600</v>
      </c>
      <c r="D3448" s="35" t="s">
        <v>5209</v>
      </c>
      <c r="E3448" s="35" t="s">
        <v>13859</v>
      </c>
      <c r="F3448" s="35" t="s">
        <v>13860</v>
      </c>
      <c r="G3448" s="35">
        <v>360114</v>
      </c>
      <c r="H3448" s="35">
        <v>400000</v>
      </c>
      <c r="I3448" s="35">
        <v>300000</v>
      </c>
      <c r="J3448" s="34" t="s">
        <v>7659</v>
      </c>
      <c r="K3448" s="34" t="str">
        <f t="shared" si="109"/>
        <v>重复</v>
      </c>
      <c r="L3448" s="34" t="str">
        <f t="shared" si="110"/>
        <v>重复</v>
      </c>
    </row>
    <row r="3449" spans="1:12" ht="15">
      <c r="A3449" s="35" t="s">
        <v>13875</v>
      </c>
      <c r="B3449" s="35" t="s">
        <v>9260</v>
      </c>
      <c r="C3449" s="36" t="s">
        <v>9261</v>
      </c>
      <c r="D3449" s="35" t="s">
        <v>9262</v>
      </c>
      <c r="E3449" s="35" t="s">
        <v>13859</v>
      </c>
      <c r="F3449" s="35" t="s">
        <v>13860</v>
      </c>
      <c r="G3449" s="35">
        <v>360115</v>
      </c>
      <c r="H3449" s="35">
        <v>400000</v>
      </c>
      <c r="I3449" s="35">
        <v>300000</v>
      </c>
      <c r="J3449" s="34" t="s">
        <v>4772</v>
      </c>
      <c r="K3449" s="34" t="str">
        <f t="shared" si="109"/>
        <v>不重复</v>
      </c>
      <c r="L3449" s="34" t="str">
        <f t="shared" si="110"/>
        <v>不重复</v>
      </c>
    </row>
    <row r="3450" spans="1:12" ht="27">
      <c r="A3450" s="35" t="s">
        <v>13876</v>
      </c>
      <c r="B3450" s="35" t="s">
        <v>9263</v>
      </c>
      <c r="C3450" s="36" t="s">
        <v>9264</v>
      </c>
      <c r="D3450" s="35" t="s">
        <v>9265</v>
      </c>
      <c r="E3450" s="35" t="s">
        <v>13859</v>
      </c>
      <c r="F3450" s="35" t="s">
        <v>13860</v>
      </c>
      <c r="G3450" s="35">
        <v>360116</v>
      </c>
      <c r="H3450" s="35">
        <v>400000</v>
      </c>
      <c r="I3450" s="35">
        <v>300000</v>
      </c>
      <c r="J3450" s="34" t="s">
        <v>5376</v>
      </c>
      <c r="K3450" s="34" t="str">
        <f t="shared" si="109"/>
        <v>不重复</v>
      </c>
      <c r="L3450" s="34" t="str">
        <f t="shared" si="110"/>
        <v>不重复</v>
      </c>
    </row>
    <row r="3451" spans="1:12" ht="30">
      <c r="A3451" s="35" t="s">
        <v>13877</v>
      </c>
      <c r="B3451" s="35" t="s">
        <v>9266</v>
      </c>
      <c r="C3451" s="36" t="s">
        <v>9267</v>
      </c>
      <c r="D3451" s="35" t="s">
        <v>9268</v>
      </c>
      <c r="E3451" s="35" t="s">
        <v>13859</v>
      </c>
      <c r="F3451" s="35" t="s">
        <v>13860</v>
      </c>
      <c r="G3451" s="35">
        <v>360117</v>
      </c>
      <c r="H3451" s="35">
        <v>400000</v>
      </c>
      <c r="I3451" s="35">
        <v>300000</v>
      </c>
      <c r="J3451" s="34" t="s">
        <v>183</v>
      </c>
      <c r="K3451" s="34" t="str">
        <f t="shared" si="109"/>
        <v>不重复</v>
      </c>
      <c r="L3451" s="34" t="str">
        <f t="shared" si="110"/>
        <v>不重复</v>
      </c>
    </row>
    <row r="3452" spans="1:12" ht="30">
      <c r="A3452" s="35" t="s">
        <v>13878</v>
      </c>
      <c r="B3452" s="35" t="s">
        <v>9269</v>
      </c>
      <c r="C3452" s="36" t="s">
        <v>408</v>
      </c>
      <c r="D3452" s="35" t="s">
        <v>8874</v>
      </c>
      <c r="E3452" s="35" t="s">
        <v>13859</v>
      </c>
      <c r="F3452" s="35" t="s">
        <v>13860</v>
      </c>
      <c r="G3452" s="35">
        <v>360118</v>
      </c>
      <c r="H3452" s="35">
        <v>400000</v>
      </c>
      <c r="I3452" s="35">
        <v>300000</v>
      </c>
      <c r="J3452" s="34" t="s">
        <v>9270</v>
      </c>
      <c r="K3452" s="34" t="str">
        <f t="shared" si="109"/>
        <v>重复</v>
      </c>
      <c r="L3452" s="34" t="str">
        <f t="shared" si="110"/>
        <v>重复</v>
      </c>
    </row>
    <row r="3453" spans="1:12" ht="15">
      <c r="A3453" s="35" t="s">
        <v>13879</v>
      </c>
      <c r="B3453" s="35" t="s">
        <v>9271</v>
      </c>
      <c r="C3453" s="36" t="s">
        <v>2397</v>
      </c>
      <c r="D3453" s="35" t="s">
        <v>9272</v>
      </c>
      <c r="E3453" s="35" t="s">
        <v>13859</v>
      </c>
      <c r="F3453" s="35" t="s">
        <v>13860</v>
      </c>
      <c r="G3453" s="35">
        <v>360119</v>
      </c>
      <c r="H3453" s="35">
        <v>400000</v>
      </c>
      <c r="I3453" s="35">
        <v>300000</v>
      </c>
      <c r="J3453" s="34" t="s">
        <v>932</v>
      </c>
      <c r="K3453" s="34" t="str">
        <f t="shared" si="109"/>
        <v>重复</v>
      </c>
      <c r="L3453" s="34" t="str">
        <f t="shared" si="110"/>
        <v>不重复</v>
      </c>
    </row>
    <row r="3454" spans="1:12" ht="15">
      <c r="A3454" s="35" t="s">
        <v>13880</v>
      </c>
      <c r="B3454" s="35" t="s">
        <v>9273</v>
      </c>
      <c r="C3454" s="36" t="s">
        <v>9274</v>
      </c>
      <c r="D3454" s="35" t="s">
        <v>9275</v>
      </c>
      <c r="E3454" s="35" t="s">
        <v>13859</v>
      </c>
      <c r="F3454" s="35" t="s">
        <v>13860</v>
      </c>
      <c r="G3454" s="35">
        <v>360120</v>
      </c>
      <c r="H3454" s="35">
        <v>400000</v>
      </c>
      <c r="I3454" s="35">
        <v>300000</v>
      </c>
      <c r="J3454" s="34" t="s">
        <v>458</v>
      </c>
      <c r="K3454" s="34" t="str">
        <f t="shared" si="109"/>
        <v>重复</v>
      </c>
      <c r="L3454" s="34" t="str">
        <f t="shared" si="110"/>
        <v>不重复</v>
      </c>
    </row>
    <row r="3455" spans="1:12" ht="15">
      <c r="A3455" s="35" t="s">
        <v>13881</v>
      </c>
      <c r="B3455" s="35" t="s">
        <v>9276</v>
      </c>
      <c r="C3455" s="36" t="s">
        <v>9277</v>
      </c>
      <c r="D3455" s="35" t="s">
        <v>9278</v>
      </c>
      <c r="E3455" s="35" t="s">
        <v>13859</v>
      </c>
      <c r="F3455" s="35" t="s">
        <v>13860</v>
      </c>
      <c r="G3455" s="35">
        <v>360121</v>
      </c>
      <c r="H3455" s="35">
        <v>400000</v>
      </c>
      <c r="I3455" s="35">
        <v>300000</v>
      </c>
      <c r="J3455" s="34" t="s">
        <v>1372</v>
      </c>
      <c r="K3455" s="34" t="str">
        <f t="shared" si="109"/>
        <v>不重复</v>
      </c>
      <c r="L3455" s="34" t="str">
        <f t="shared" si="110"/>
        <v>不重复</v>
      </c>
    </row>
    <row r="3456" spans="1:12" ht="15">
      <c r="A3456" s="35" t="s">
        <v>13882</v>
      </c>
      <c r="B3456" s="35" t="s">
        <v>9279</v>
      </c>
      <c r="C3456" s="36" t="s">
        <v>9280</v>
      </c>
      <c r="D3456" s="35" t="s">
        <v>9281</v>
      </c>
      <c r="E3456" s="35" t="s">
        <v>13859</v>
      </c>
      <c r="F3456" s="35" t="s">
        <v>13860</v>
      </c>
      <c r="G3456" s="35">
        <v>360122</v>
      </c>
      <c r="H3456" s="35">
        <v>400000</v>
      </c>
      <c r="I3456" s="35">
        <v>300000</v>
      </c>
      <c r="J3456" s="34" t="s">
        <v>1468</v>
      </c>
      <c r="K3456" s="34" t="str">
        <f t="shared" si="109"/>
        <v>重复</v>
      </c>
      <c r="L3456" s="34" t="str">
        <f t="shared" si="110"/>
        <v>不重复</v>
      </c>
    </row>
    <row r="3457" spans="1:12" ht="15">
      <c r="A3457" s="35" t="s">
        <v>13883</v>
      </c>
      <c r="B3457" s="35" t="s">
        <v>9282</v>
      </c>
      <c r="C3457" s="36" t="s">
        <v>4919</v>
      </c>
      <c r="D3457" s="35" t="s">
        <v>9283</v>
      </c>
      <c r="E3457" s="35" t="s">
        <v>13859</v>
      </c>
      <c r="F3457" s="35" t="s">
        <v>13860</v>
      </c>
      <c r="G3457" s="35">
        <v>360123</v>
      </c>
      <c r="H3457" s="35">
        <v>400000</v>
      </c>
      <c r="I3457" s="35">
        <v>300000</v>
      </c>
      <c r="J3457" s="34" t="s">
        <v>1103</v>
      </c>
      <c r="K3457" s="34" t="str">
        <f t="shared" si="111" ref="K3457:K3520">IF(COUNTIF(C:C,C3457)&gt;=2,"重复","不重复")</f>
        <v>重复</v>
      </c>
      <c r="L3457" s="34" t="str">
        <f t="shared" si="110"/>
        <v>不重复</v>
      </c>
    </row>
    <row r="3458" spans="1:12" ht="15">
      <c r="A3458" s="35" t="s">
        <v>13884</v>
      </c>
      <c r="B3458" s="35" t="s">
        <v>9284</v>
      </c>
      <c r="C3458" s="36" t="s">
        <v>1864</v>
      </c>
      <c r="D3458" s="35" t="s">
        <v>9285</v>
      </c>
      <c r="E3458" s="35" t="s">
        <v>13859</v>
      </c>
      <c r="F3458" s="35" t="s">
        <v>13860</v>
      </c>
      <c r="G3458" s="35">
        <v>360124</v>
      </c>
      <c r="H3458" s="35">
        <v>400000</v>
      </c>
      <c r="I3458" s="35">
        <v>300000</v>
      </c>
      <c r="J3458" s="34" t="s">
        <v>508</v>
      </c>
      <c r="K3458" s="34" t="str">
        <f t="shared" si="111"/>
        <v>重复</v>
      </c>
      <c r="L3458" s="34" t="str">
        <f t="shared" si="112" ref="L3458:L3509">IF(COUNTIF(D:D,D3458)&gt;=2,"重复","不重复")</f>
        <v>不重复</v>
      </c>
    </row>
    <row r="3459" spans="1:12" ht="30">
      <c r="A3459" s="35" t="s">
        <v>13885</v>
      </c>
      <c r="B3459" s="35" t="s">
        <v>9286</v>
      </c>
      <c r="C3459" s="36" t="s">
        <v>9287</v>
      </c>
      <c r="D3459" s="35" t="s">
        <v>8769</v>
      </c>
      <c r="E3459" s="35" t="s">
        <v>13859</v>
      </c>
      <c r="F3459" s="35" t="s">
        <v>13860</v>
      </c>
      <c r="G3459" s="35">
        <v>360125</v>
      </c>
      <c r="H3459" s="35">
        <v>400000</v>
      </c>
      <c r="I3459" s="35">
        <v>300000</v>
      </c>
      <c r="J3459" s="34" t="s">
        <v>347</v>
      </c>
      <c r="K3459" s="34" t="str">
        <f t="shared" si="111"/>
        <v>不重复</v>
      </c>
      <c r="L3459" s="34" t="str">
        <f t="shared" si="112"/>
        <v>重复</v>
      </c>
    </row>
    <row r="3460" spans="1:12" ht="15">
      <c r="A3460" s="35" t="s">
        <v>13886</v>
      </c>
      <c r="B3460" s="35" t="s">
        <v>9288</v>
      </c>
      <c r="C3460" s="36" t="s">
        <v>1038</v>
      </c>
      <c r="D3460" s="35" t="s">
        <v>9289</v>
      </c>
      <c r="E3460" s="35" t="s">
        <v>13859</v>
      </c>
      <c r="F3460" s="35" t="s">
        <v>13860</v>
      </c>
      <c r="G3460" s="35">
        <v>360126</v>
      </c>
      <c r="H3460" s="35">
        <v>400000</v>
      </c>
      <c r="I3460" s="35">
        <v>300000</v>
      </c>
      <c r="J3460" s="34" t="s">
        <v>6300</v>
      </c>
      <c r="K3460" s="34" t="str">
        <f t="shared" si="111"/>
        <v>重复</v>
      </c>
      <c r="L3460" s="34" t="str">
        <f t="shared" si="112"/>
        <v>不重复</v>
      </c>
    </row>
    <row r="3461" spans="1:12" ht="15">
      <c r="A3461" s="35" t="s">
        <v>13887</v>
      </c>
      <c r="B3461" s="35" t="s">
        <v>9290</v>
      </c>
      <c r="C3461" s="36" t="s">
        <v>9291</v>
      </c>
      <c r="D3461" s="35" t="s">
        <v>7076</v>
      </c>
      <c r="E3461" s="35" t="s">
        <v>13859</v>
      </c>
      <c r="F3461" s="35" t="s">
        <v>13860</v>
      </c>
      <c r="G3461" s="35">
        <v>360127</v>
      </c>
      <c r="H3461" s="35">
        <v>400000</v>
      </c>
      <c r="I3461" s="35">
        <v>300000</v>
      </c>
      <c r="J3461" s="34" t="s">
        <v>194</v>
      </c>
      <c r="K3461" s="34" t="str">
        <f t="shared" si="111"/>
        <v>不重复</v>
      </c>
      <c r="L3461" s="34" t="str">
        <f t="shared" si="112"/>
        <v>重复</v>
      </c>
    </row>
    <row r="3462" spans="1:12" ht="15">
      <c r="A3462" s="35" t="s">
        <v>13888</v>
      </c>
      <c r="B3462" s="35" t="s">
        <v>9292</v>
      </c>
      <c r="C3462" s="36" t="s">
        <v>9293</v>
      </c>
      <c r="D3462" s="35" t="s">
        <v>5479</v>
      </c>
      <c r="E3462" s="35" t="s">
        <v>13859</v>
      </c>
      <c r="F3462" s="35" t="s">
        <v>13860</v>
      </c>
      <c r="G3462" s="35">
        <v>360128</v>
      </c>
      <c r="H3462" s="35">
        <v>400000</v>
      </c>
      <c r="I3462" s="35">
        <v>300000</v>
      </c>
      <c r="J3462" s="34" t="s">
        <v>2059</v>
      </c>
      <c r="K3462" s="34" t="str">
        <f t="shared" si="111"/>
        <v>不重复</v>
      </c>
      <c r="L3462" s="34" t="str">
        <f t="shared" si="112"/>
        <v>重复</v>
      </c>
    </row>
    <row r="3463" spans="1:12" ht="30">
      <c r="A3463" s="35" t="s">
        <v>13889</v>
      </c>
      <c r="B3463" s="35" t="s">
        <v>9294</v>
      </c>
      <c r="C3463" s="36" t="s">
        <v>9295</v>
      </c>
      <c r="D3463" s="35" t="s">
        <v>421</v>
      </c>
      <c r="E3463" s="35" t="s">
        <v>13859</v>
      </c>
      <c r="F3463" s="35" t="s">
        <v>13860</v>
      </c>
      <c r="G3463" s="35">
        <v>360129</v>
      </c>
      <c r="H3463" s="35">
        <v>400000</v>
      </c>
      <c r="I3463" s="35">
        <v>300000</v>
      </c>
      <c r="J3463" s="34" t="s">
        <v>9296</v>
      </c>
      <c r="K3463" s="34" t="str">
        <f t="shared" si="111"/>
        <v>不重复</v>
      </c>
      <c r="L3463" s="34" t="str">
        <f t="shared" si="112"/>
        <v>重复</v>
      </c>
    </row>
    <row r="3464" spans="1:12" ht="15">
      <c r="A3464" s="35" t="s">
        <v>13890</v>
      </c>
      <c r="B3464" s="35" t="s">
        <v>9297</v>
      </c>
      <c r="C3464" s="36" t="s">
        <v>5485</v>
      </c>
      <c r="D3464" s="35" t="s">
        <v>9298</v>
      </c>
      <c r="E3464" s="35" t="s">
        <v>13859</v>
      </c>
      <c r="F3464" s="35" t="s">
        <v>13860</v>
      </c>
      <c r="G3464" s="35">
        <v>360130</v>
      </c>
      <c r="H3464" s="35">
        <v>400000</v>
      </c>
      <c r="I3464" s="35">
        <v>300000</v>
      </c>
      <c r="J3464" s="34" t="s">
        <v>9299</v>
      </c>
      <c r="K3464" s="34" t="str">
        <f t="shared" si="111"/>
        <v>重复</v>
      </c>
      <c r="L3464" s="34" t="str">
        <f t="shared" si="112"/>
        <v>不重复</v>
      </c>
    </row>
    <row r="3465" spans="1:12" ht="15">
      <c r="A3465" s="35" t="s">
        <v>13891</v>
      </c>
      <c r="B3465" s="35" t="s">
        <v>9300</v>
      </c>
      <c r="C3465" s="36" t="s">
        <v>3772</v>
      </c>
      <c r="D3465" s="35" t="s">
        <v>9301</v>
      </c>
      <c r="E3465" s="35" t="s">
        <v>13859</v>
      </c>
      <c r="F3465" s="35" t="s">
        <v>13860</v>
      </c>
      <c r="G3465" s="35">
        <v>360131</v>
      </c>
      <c r="H3465" s="35">
        <v>400000</v>
      </c>
      <c r="I3465" s="35">
        <v>300000</v>
      </c>
      <c r="J3465" s="34" t="s">
        <v>270</v>
      </c>
      <c r="K3465" s="34" t="str">
        <f t="shared" si="111"/>
        <v>重复</v>
      </c>
      <c r="L3465" s="34" t="str">
        <f t="shared" si="112"/>
        <v>不重复</v>
      </c>
    </row>
    <row r="3466" spans="1:12" ht="15">
      <c r="A3466" s="35" t="s">
        <v>13892</v>
      </c>
      <c r="B3466" s="35" t="s">
        <v>9302</v>
      </c>
      <c r="C3466" s="36" t="s">
        <v>1569</v>
      </c>
      <c r="D3466" s="35" t="s">
        <v>7068</v>
      </c>
      <c r="E3466" s="35" t="s">
        <v>13859</v>
      </c>
      <c r="F3466" s="35" t="s">
        <v>13860</v>
      </c>
      <c r="G3466" s="35">
        <v>360132</v>
      </c>
      <c r="H3466" s="35">
        <v>400000</v>
      </c>
      <c r="I3466" s="35">
        <v>300000</v>
      </c>
      <c r="J3466" s="34" t="s">
        <v>5802</v>
      </c>
      <c r="K3466" s="34" t="str">
        <f t="shared" si="111"/>
        <v>重复</v>
      </c>
      <c r="L3466" s="34" t="str">
        <f t="shared" si="112"/>
        <v>重复</v>
      </c>
    </row>
    <row r="3467" spans="1:12" ht="15">
      <c r="A3467" s="35" t="s">
        <v>13893</v>
      </c>
      <c r="B3467" s="35" t="s">
        <v>9303</v>
      </c>
      <c r="C3467" s="36" t="s">
        <v>7962</v>
      </c>
      <c r="D3467" s="35" t="s">
        <v>9304</v>
      </c>
      <c r="E3467" s="35" t="s">
        <v>13859</v>
      </c>
      <c r="F3467" s="35" t="s">
        <v>13860</v>
      </c>
      <c r="G3467" s="35">
        <v>360133</v>
      </c>
      <c r="H3467" s="35">
        <v>400000</v>
      </c>
      <c r="I3467" s="35">
        <v>300000</v>
      </c>
      <c r="J3467" s="34" t="s">
        <v>422</v>
      </c>
      <c r="K3467" s="34" t="str">
        <f t="shared" si="111"/>
        <v>重复</v>
      </c>
      <c r="L3467" s="34" t="str">
        <f t="shared" si="112"/>
        <v>不重复</v>
      </c>
    </row>
    <row r="3468" spans="1:12" ht="15">
      <c r="A3468" s="35" t="s">
        <v>13894</v>
      </c>
      <c r="B3468" s="35" t="s">
        <v>9305</v>
      </c>
      <c r="C3468" s="36" t="s">
        <v>9306</v>
      </c>
      <c r="D3468" s="35" t="s">
        <v>9307</v>
      </c>
      <c r="E3468" s="35" t="s">
        <v>13859</v>
      </c>
      <c r="F3468" s="35" t="s">
        <v>13860</v>
      </c>
      <c r="G3468" s="35">
        <v>360134</v>
      </c>
      <c r="H3468" s="35">
        <v>400000</v>
      </c>
      <c r="I3468" s="35">
        <v>300000</v>
      </c>
      <c r="J3468" s="34" t="s">
        <v>668</v>
      </c>
      <c r="K3468" s="34" t="str">
        <f t="shared" si="111"/>
        <v>不重复</v>
      </c>
      <c r="L3468" s="34" t="str">
        <f t="shared" si="112"/>
        <v>不重复</v>
      </c>
    </row>
    <row r="3469" spans="1:12" ht="30">
      <c r="A3469" s="35" t="s">
        <v>13895</v>
      </c>
      <c r="B3469" s="35" t="s">
        <v>9308</v>
      </c>
      <c r="C3469" s="36" t="s">
        <v>9309</v>
      </c>
      <c r="D3469" s="35" t="s">
        <v>9256</v>
      </c>
      <c r="E3469" s="35" t="s">
        <v>13859</v>
      </c>
      <c r="F3469" s="35" t="s">
        <v>13860</v>
      </c>
      <c r="G3469" s="35">
        <v>360135</v>
      </c>
      <c r="H3469" s="35">
        <v>400000</v>
      </c>
      <c r="I3469" s="35">
        <v>300000</v>
      </c>
      <c r="J3469" s="34" t="s">
        <v>311</v>
      </c>
      <c r="K3469" s="34" t="str">
        <f t="shared" si="111"/>
        <v>不重复</v>
      </c>
      <c r="L3469" s="34" t="str">
        <f t="shared" si="112"/>
        <v>重复</v>
      </c>
    </row>
    <row r="3470" spans="1:12" ht="27">
      <c r="A3470" s="35" t="s">
        <v>13896</v>
      </c>
      <c r="B3470" s="35" t="s">
        <v>9310</v>
      </c>
      <c r="C3470" s="36" t="s">
        <v>9311</v>
      </c>
      <c r="D3470" s="35" t="s">
        <v>9312</v>
      </c>
      <c r="E3470" s="35" t="s">
        <v>13859</v>
      </c>
      <c r="F3470" s="35" t="s">
        <v>13860</v>
      </c>
      <c r="G3470" s="35">
        <v>360136</v>
      </c>
      <c r="H3470" s="35">
        <v>400000</v>
      </c>
      <c r="I3470" s="35">
        <v>300000</v>
      </c>
      <c r="J3470" s="34" t="s">
        <v>962</v>
      </c>
      <c r="K3470" s="34" t="str">
        <f t="shared" si="111"/>
        <v>不重复</v>
      </c>
      <c r="L3470" s="34" t="str">
        <f t="shared" si="112"/>
        <v>不重复</v>
      </c>
    </row>
    <row r="3471" spans="1:12" ht="27">
      <c r="A3471" s="35" t="s">
        <v>13897</v>
      </c>
      <c r="B3471" s="35" t="s">
        <v>9313</v>
      </c>
      <c r="C3471" s="36" t="s">
        <v>3620</v>
      </c>
      <c r="D3471" s="35" t="s">
        <v>9314</v>
      </c>
      <c r="E3471" s="35" t="s">
        <v>13859</v>
      </c>
      <c r="F3471" s="35" t="s">
        <v>13860</v>
      </c>
      <c r="G3471" s="35">
        <v>360137</v>
      </c>
      <c r="H3471" s="35">
        <v>400000</v>
      </c>
      <c r="I3471" s="35">
        <v>300000</v>
      </c>
      <c r="J3471" s="34" t="s">
        <v>183</v>
      </c>
      <c r="K3471" s="34" t="str">
        <f t="shared" si="111"/>
        <v>重复</v>
      </c>
      <c r="L3471" s="34" t="str">
        <f t="shared" si="112"/>
        <v>不重复</v>
      </c>
    </row>
    <row r="3472" spans="1:12" ht="27">
      <c r="A3472" s="35" t="s">
        <v>13898</v>
      </c>
      <c r="B3472" s="35" t="s">
        <v>9315</v>
      </c>
      <c r="C3472" s="36" t="s">
        <v>523</v>
      </c>
      <c r="D3472" s="35" t="s">
        <v>9316</v>
      </c>
      <c r="E3472" s="35" t="s">
        <v>13859</v>
      </c>
      <c r="F3472" s="35" t="s">
        <v>13860</v>
      </c>
      <c r="G3472" s="35">
        <v>360138</v>
      </c>
      <c r="H3472" s="35">
        <v>400000</v>
      </c>
      <c r="I3472" s="35">
        <v>300000</v>
      </c>
      <c r="J3472" s="34" t="s">
        <v>311</v>
      </c>
      <c r="K3472" s="34" t="str">
        <f t="shared" si="111"/>
        <v>重复</v>
      </c>
      <c r="L3472" s="34" t="str">
        <f t="shared" si="112"/>
        <v>不重复</v>
      </c>
    </row>
    <row r="3473" spans="1:12" ht="27">
      <c r="A3473" s="35" t="s">
        <v>13899</v>
      </c>
      <c r="B3473" s="35" t="s">
        <v>9317</v>
      </c>
      <c r="C3473" s="36" t="s">
        <v>1333</v>
      </c>
      <c r="D3473" s="35" t="s">
        <v>9318</v>
      </c>
      <c r="E3473" s="35" t="s">
        <v>13859</v>
      </c>
      <c r="F3473" s="35" t="s">
        <v>13860</v>
      </c>
      <c r="G3473" s="35">
        <v>360139</v>
      </c>
      <c r="H3473" s="35">
        <v>400000</v>
      </c>
      <c r="I3473" s="35">
        <v>300000</v>
      </c>
      <c r="J3473" s="34" t="s">
        <v>962</v>
      </c>
      <c r="K3473" s="34" t="str">
        <f t="shared" si="111"/>
        <v>重复</v>
      </c>
      <c r="L3473" s="34" t="str">
        <f t="shared" si="112"/>
        <v>不重复</v>
      </c>
    </row>
    <row r="3474" spans="1:12" ht="27">
      <c r="A3474" s="35" t="s">
        <v>13900</v>
      </c>
      <c r="B3474" s="35" t="s">
        <v>9319</v>
      </c>
      <c r="C3474" s="36" t="s">
        <v>9320</v>
      </c>
      <c r="D3474" s="35" t="s">
        <v>9321</v>
      </c>
      <c r="E3474" s="35" t="s">
        <v>13859</v>
      </c>
      <c r="F3474" s="35" t="s">
        <v>13860</v>
      </c>
      <c r="G3474" s="35">
        <v>360140</v>
      </c>
      <c r="H3474" s="35">
        <v>400000</v>
      </c>
      <c r="I3474" s="35">
        <v>300000</v>
      </c>
      <c r="J3474" s="34" t="s">
        <v>3656</v>
      </c>
      <c r="K3474" s="34" t="str">
        <f t="shared" si="111"/>
        <v>不重复</v>
      </c>
      <c r="L3474" s="34" t="str">
        <f t="shared" si="112"/>
        <v>不重复</v>
      </c>
    </row>
    <row r="3475" spans="1:12" ht="15">
      <c r="A3475" s="35" t="s">
        <v>13901</v>
      </c>
      <c r="B3475" s="35" t="s">
        <v>9322</v>
      </c>
      <c r="C3475" s="36" t="s">
        <v>1159</v>
      </c>
      <c r="D3475" s="35" t="s">
        <v>6090</v>
      </c>
      <c r="E3475" s="35" t="s">
        <v>13859</v>
      </c>
      <c r="F3475" s="35" t="s">
        <v>13860</v>
      </c>
      <c r="G3475" s="35">
        <v>360141</v>
      </c>
      <c r="H3475" s="35">
        <v>400000</v>
      </c>
      <c r="I3475" s="35">
        <v>300000</v>
      </c>
      <c r="J3475" s="34" t="s">
        <v>1358</v>
      </c>
      <c r="K3475" s="34" t="str">
        <f t="shared" si="111"/>
        <v>重复</v>
      </c>
      <c r="L3475" s="34" t="str">
        <f t="shared" si="112"/>
        <v>重复</v>
      </c>
    </row>
    <row r="3476" spans="1:12" ht="30">
      <c r="A3476" s="35" t="s">
        <v>13902</v>
      </c>
      <c r="B3476" s="35" t="s">
        <v>9323</v>
      </c>
      <c r="C3476" s="36" t="s">
        <v>1156</v>
      </c>
      <c r="D3476" s="35" t="s">
        <v>9324</v>
      </c>
      <c r="E3476" s="35" t="s">
        <v>13859</v>
      </c>
      <c r="F3476" s="35" t="s">
        <v>13860</v>
      </c>
      <c r="G3476" s="35">
        <v>360142</v>
      </c>
      <c r="H3476" s="35">
        <v>400000</v>
      </c>
      <c r="I3476" s="35">
        <v>300000</v>
      </c>
      <c r="J3476" s="34" t="s">
        <v>962</v>
      </c>
      <c r="K3476" s="34" t="str">
        <f t="shared" si="111"/>
        <v>重复</v>
      </c>
      <c r="L3476" s="34" t="str">
        <f t="shared" si="112"/>
        <v>不重复</v>
      </c>
    </row>
    <row r="3477" spans="1:12" ht="27">
      <c r="A3477" s="35" t="s">
        <v>13903</v>
      </c>
      <c r="B3477" s="35" t="s">
        <v>9325</v>
      </c>
      <c r="C3477" s="36" t="s">
        <v>9326</v>
      </c>
      <c r="D3477" s="35" t="s">
        <v>9327</v>
      </c>
      <c r="E3477" s="35" t="s">
        <v>13859</v>
      </c>
      <c r="F3477" s="35" t="s">
        <v>13860</v>
      </c>
      <c r="G3477" s="35">
        <v>360143</v>
      </c>
      <c r="H3477" s="35">
        <v>400000</v>
      </c>
      <c r="I3477" s="35">
        <v>300000</v>
      </c>
      <c r="J3477" s="34" t="s">
        <v>9252</v>
      </c>
      <c r="K3477" s="34" t="str">
        <f t="shared" si="111"/>
        <v>重复</v>
      </c>
      <c r="L3477" s="34" t="str">
        <f t="shared" si="112"/>
        <v>不重复</v>
      </c>
    </row>
    <row r="3478" spans="1:12" ht="30">
      <c r="A3478" s="35" t="s">
        <v>13904</v>
      </c>
      <c r="B3478" s="35" t="s">
        <v>9328</v>
      </c>
      <c r="C3478" s="36" t="s">
        <v>8190</v>
      </c>
      <c r="D3478" s="35" t="s">
        <v>9329</v>
      </c>
      <c r="E3478" s="35" t="s">
        <v>13859</v>
      </c>
      <c r="F3478" s="35" t="s">
        <v>13860</v>
      </c>
      <c r="G3478" s="35">
        <v>360144</v>
      </c>
      <c r="H3478" s="35">
        <v>400000</v>
      </c>
      <c r="I3478" s="35">
        <v>300000</v>
      </c>
      <c r="J3478" s="34" t="s">
        <v>183</v>
      </c>
      <c r="K3478" s="34" t="str">
        <f t="shared" si="111"/>
        <v>重复</v>
      </c>
      <c r="L3478" s="34" t="str">
        <f t="shared" si="112"/>
        <v>不重复</v>
      </c>
    </row>
    <row r="3479" spans="1:12" ht="27">
      <c r="A3479" s="35" t="s">
        <v>13905</v>
      </c>
      <c r="B3479" s="35" t="s">
        <v>9330</v>
      </c>
      <c r="C3479" s="36" t="s">
        <v>1821</v>
      </c>
      <c r="D3479" s="35" t="s">
        <v>9331</v>
      </c>
      <c r="E3479" s="35" t="s">
        <v>13859</v>
      </c>
      <c r="F3479" s="35" t="s">
        <v>13860</v>
      </c>
      <c r="G3479" s="35">
        <v>360145</v>
      </c>
      <c r="H3479" s="35">
        <v>400000</v>
      </c>
      <c r="I3479" s="35">
        <v>300000</v>
      </c>
      <c r="J3479" s="34" t="s">
        <v>347</v>
      </c>
      <c r="K3479" s="34" t="str">
        <f t="shared" si="111"/>
        <v>重复</v>
      </c>
      <c r="L3479" s="34" t="str">
        <f t="shared" si="112"/>
        <v>不重复</v>
      </c>
    </row>
    <row r="3480" spans="1:12" ht="15">
      <c r="A3480" s="35" t="s">
        <v>13906</v>
      </c>
      <c r="B3480" s="35" t="s">
        <v>9332</v>
      </c>
      <c r="C3480" s="36" t="s">
        <v>9333</v>
      </c>
      <c r="D3480" s="35" t="s">
        <v>9334</v>
      </c>
      <c r="E3480" s="35" t="s">
        <v>13859</v>
      </c>
      <c r="F3480" s="35" t="s">
        <v>13860</v>
      </c>
      <c r="G3480" s="35">
        <v>360146</v>
      </c>
      <c r="H3480" s="35">
        <v>400000</v>
      </c>
      <c r="I3480" s="35">
        <v>300000</v>
      </c>
      <c r="J3480" s="34" t="s">
        <v>1248</v>
      </c>
      <c r="K3480" s="34" t="str">
        <f t="shared" si="111"/>
        <v>不重复</v>
      </c>
      <c r="L3480" s="34" t="str">
        <f t="shared" si="112"/>
        <v>不重复</v>
      </c>
    </row>
    <row r="3481" spans="1:12" ht="15">
      <c r="A3481" s="35" t="s">
        <v>13907</v>
      </c>
      <c r="B3481" s="35" t="s">
        <v>9335</v>
      </c>
      <c r="C3481" s="36" t="s">
        <v>9336</v>
      </c>
      <c r="D3481" s="35" t="s">
        <v>8234</v>
      </c>
      <c r="E3481" s="35" t="s">
        <v>13859</v>
      </c>
      <c r="F3481" s="35" t="s">
        <v>13860</v>
      </c>
      <c r="G3481" s="35">
        <v>360147</v>
      </c>
      <c r="H3481" s="35">
        <v>400000</v>
      </c>
      <c r="I3481" s="35">
        <v>300000</v>
      </c>
      <c r="J3481" s="34" t="s">
        <v>363</v>
      </c>
      <c r="K3481" s="34" t="str">
        <f t="shared" si="111"/>
        <v>不重复</v>
      </c>
      <c r="L3481" s="34" t="str">
        <f t="shared" si="112"/>
        <v>重复</v>
      </c>
    </row>
    <row r="3482" spans="1:12" ht="15">
      <c r="A3482" s="35" t="s">
        <v>13908</v>
      </c>
      <c r="B3482" s="35" t="s">
        <v>9337</v>
      </c>
      <c r="C3482" s="36" t="s">
        <v>614</v>
      </c>
      <c r="D3482" s="35" t="s">
        <v>9338</v>
      </c>
      <c r="E3482" s="35" t="s">
        <v>13859</v>
      </c>
      <c r="F3482" s="35" t="s">
        <v>13860</v>
      </c>
      <c r="G3482" s="35">
        <v>360148</v>
      </c>
      <c r="H3482" s="35">
        <v>400000</v>
      </c>
      <c r="I3482" s="35">
        <v>300000</v>
      </c>
      <c r="J3482" s="34" t="s">
        <v>183</v>
      </c>
      <c r="K3482" s="34" t="str">
        <f t="shared" si="111"/>
        <v>重复</v>
      </c>
      <c r="L3482" s="34" t="str">
        <f t="shared" si="112"/>
        <v>不重复</v>
      </c>
    </row>
    <row r="3483" spans="1:12" ht="30">
      <c r="A3483" s="35" t="s">
        <v>13909</v>
      </c>
      <c r="B3483" s="35" t="s">
        <v>9339</v>
      </c>
      <c r="C3483" s="36" t="s">
        <v>7840</v>
      </c>
      <c r="D3483" s="35" t="s">
        <v>9340</v>
      </c>
      <c r="E3483" s="35" t="s">
        <v>13859</v>
      </c>
      <c r="F3483" s="35" t="s">
        <v>13860</v>
      </c>
      <c r="G3483" s="35">
        <v>360149</v>
      </c>
      <c r="H3483" s="35">
        <v>400000</v>
      </c>
      <c r="I3483" s="35">
        <v>300000</v>
      </c>
      <c r="J3483" s="34" t="s">
        <v>288</v>
      </c>
      <c r="K3483" s="34" t="str">
        <f t="shared" si="111"/>
        <v>重复</v>
      </c>
      <c r="L3483" s="34" t="str">
        <f t="shared" si="112"/>
        <v>不重复</v>
      </c>
    </row>
    <row r="3484" spans="1:12" ht="15">
      <c r="A3484" s="35" t="s">
        <v>13910</v>
      </c>
      <c r="B3484" s="35" t="s">
        <v>9341</v>
      </c>
      <c r="C3484" s="36" t="s">
        <v>5828</v>
      </c>
      <c r="D3484" s="35" t="s">
        <v>9342</v>
      </c>
      <c r="E3484" s="35" t="s">
        <v>13859</v>
      </c>
      <c r="F3484" s="35" t="s">
        <v>13860</v>
      </c>
      <c r="G3484" s="35">
        <v>360150</v>
      </c>
      <c r="H3484" s="35">
        <v>400000</v>
      </c>
      <c r="I3484" s="35">
        <v>300000</v>
      </c>
      <c r="J3484" s="34" t="s">
        <v>985</v>
      </c>
      <c r="K3484" s="34" t="str">
        <f t="shared" si="111"/>
        <v>重复</v>
      </c>
      <c r="L3484" s="34" t="str">
        <f t="shared" si="112"/>
        <v>不重复</v>
      </c>
    </row>
    <row r="3485" spans="1:12" ht="15">
      <c r="A3485" s="35" t="s">
        <v>13911</v>
      </c>
      <c r="B3485" s="35" t="s">
        <v>9343</v>
      </c>
      <c r="C3485" s="36" t="s">
        <v>939</v>
      </c>
      <c r="D3485" s="35" t="s">
        <v>9344</v>
      </c>
      <c r="E3485" s="35" t="s">
        <v>13859</v>
      </c>
      <c r="F3485" s="35" t="s">
        <v>13860</v>
      </c>
      <c r="G3485" s="35">
        <v>360151</v>
      </c>
      <c r="H3485" s="35">
        <v>400000</v>
      </c>
      <c r="I3485" s="35">
        <v>300000</v>
      </c>
      <c r="J3485" s="34" t="s">
        <v>1103</v>
      </c>
      <c r="K3485" s="34" t="str">
        <f t="shared" si="111"/>
        <v>重复</v>
      </c>
      <c r="L3485" s="34" t="str">
        <f t="shared" si="112"/>
        <v>不重复</v>
      </c>
    </row>
    <row r="3486" spans="1:12" ht="15">
      <c r="A3486" s="35" t="s">
        <v>13912</v>
      </c>
      <c r="B3486" s="35" t="s">
        <v>9345</v>
      </c>
      <c r="C3486" s="36" t="s">
        <v>8469</v>
      </c>
      <c r="D3486" s="35" t="s">
        <v>9346</v>
      </c>
      <c r="E3486" s="35" t="s">
        <v>13859</v>
      </c>
      <c r="F3486" s="35" t="s">
        <v>13860</v>
      </c>
      <c r="G3486" s="35">
        <v>360152</v>
      </c>
      <c r="H3486" s="35">
        <v>400000</v>
      </c>
      <c r="I3486" s="35">
        <v>300000</v>
      </c>
      <c r="J3486" s="34" t="s">
        <v>6484</v>
      </c>
      <c r="K3486" s="34" t="str">
        <f t="shared" si="111"/>
        <v>重复</v>
      </c>
      <c r="L3486" s="34" t="str">
        <f t="shared" si="112"/>
        <v>不重复</v>
      </c>
    </row>
    <row r="3487" spans="1:12" ht="15">
      <c r="A3487" s="35" t="s">
        <v>13913</v>
      </c>
      <c r="B3487" s="35" t="s">
        <v>9347</v>
      </c>
      <c r="C3487" s="36" t="s">
        <v>40</v>
      </c>
      <c r="D3487" s="35" t="s">
        <v>9348</v>
      </c>
      <c r="E3487" s="35" t="s">
        <v>13859</v>
      </c>
      <c r="F3487" s="35" t="s">
        <v>13860</v>
      </c>
      <c r="G3487" s="35">
        <v>360153</v>
      </c>
      <c r="H3487" s="35">
        <v>400000</v>
      </c>
      <c r="I3487" s="35">
        <v>300000</v>
      </c>
      <c r="J3487" s="34" t="s">
        <v>7372</v>
      </c>
      <c r="K3487" s="34" t="str">
        <f t="shared" si="111"/>
        <v>重复</v>
      </c>
      <c r="L3487" s="34" t="str">
        <f t="shared" si="112"/>
        <v>不重复</v>
      </c>
    </row>
    <row r="3488" spans="1:12" ht="15">
      <c r="A3488" s="35" t="s">
        <v>13914</v>
      </c>
      <c r="B3488" s="35" t="s">
        <v>9349</v>
      </c>
      <c r="C3488" s="36" t="s">
        <v>9350</v>
      </c>
      <c r="D3488" s="35" t="s">
        <v>9351</v>
      </c>
      <c r="E3488" s="35" t="s">
        <v>13859</v>
      </c>
      <c r="F3488" s="35" t="s">
        <v>13860</v>
      </c>
      <c r="G3488" s="35">
        <v>360154</v>
      </c>
      <c r="H3488" s="35">
        <v>400000</v>
      </c>
      <c r="I3488" s="35">
        <v>300000</v>
      </c>
      <c r="J3488" s="34" t="s">
        <v>89</v>
      </c>
      <c r="K3488" s="34" t="str">
        <f t="shared" si="111"/>
        <v>不重复</v>
      </c>
      <c r="L3488" s="34" t="str">
        <f t="shared" si="112"/>
        <v>不重复</v>
      </c>
    </row>
    <row r="3489" spans="1:12" ht="27">
      <c r="A3489" s="35" t="s">
        <v>13915</v>
      </c>
      <c r="B3489" s="35" t="s">
        <v>9352</v>
      </c>
      <c r="C3489" s="36" t="s">
        <v>9353</v>
      </c>
      <c r="D3489" s="35" t="s">
        <v>9354</v>
      </c>
      <c r="E3489" s="35" t="s">
        <v>13859</v>
      </c>
      <c r="F3489" s="35" t="s">
        <v>13860</v>
      </c>
      <c r="G3489" s="35">
        <v>360155</v>
      </c>
      <c r="H3489" s="35">
        <v>400000</v>
      </c>
      <c r="I3489" s="35">
        <v>300000</v>
      </c>
      <c r="J3489" s="34" t="s">
        <v>458</v>
      </c>
      <c r="K3489" s="34" t="str">
        <f t="shared" si="111"/>
        <v>不重复</v>
      </c>
      <c r="L3489" s="34" t="str">
        <f t="shared" si="112"/>
        <v>不重复</v>
      </c>
    </row>
    <row r="3490" spans="1:12" ht="27">
      <c r="A3490" s="35" t="s">
        <v>13916</v>
      </c>
      <c r="B3490" s="35" t="s">
        <v>9355</v>
      </c>
      <c r="C3490" s="36" t="s">
        <v>9356</v>
      </c>
      <c r="D3490" s="35" t="s">
        <v>9357</v>
      </c>
      <c r="E3490" s="35" t="s">
        <v>13859</v>
      </c>
      <c r="F3490" s="35" t="s">
        <v>13860</v>
      </c>
      <c r="G3490" s="35">
        <v>360156</v>
      </c>
      <c r="H3490" s="35">
        <v>400000</v>
      </c>
      <c r="I3490" s="35">
        <v>300000</v>
      </c>
      <c r="J3490" s="34" t="s">
        <v>1602</v>
      </c>
      <c r="K3490" s="34" t="str">
        <f t="shared" si="111"/>
        <v>不重复</v>
      </c>
      <c r="L3490" s="34" t="str">
        <f t="shared" si="112"/>
        <v>不重复</v>
      </c>
    </row>
    <row r="3491" spans="1:12" ht="27">
      <c r="A3491" s="35" t="s">
        <v>13917</v>
      </c>
      <c r="B3491" s="35" t="s">
        <v>9358</v>
      </c>
      <c r="C3491" s="36" t="s">
        <v>9359</v>
      </c>
      <c r="D3491" s="35" t="s">
        <v>9360</v>
      </c>
      <c r="E3491" s="35" t="s">
        <v>13859</v>
      </c>
      <c r="F3491" s="35" t="s">
        <v>13860</v>
      </c>
      <c r="G3491" s="35">
        <v>360157</v>
      </c>
      <c r="H3491" s="35">
        <v>400000</v>
      </c>
      <c r="I3491" s="35">
        <v>300000</v>
      </c>
      <c r="J3491" s="34" t="s">
        <v>9361</v>
      </c>
      <c r="K3491" s="34" t="str">
        <f t="shared" si="111"/>
        <v>不重复</v>
      </c>
      <c r="L3491" s="34" t="str">
        <f t="shared" si="112"/>
        <v>不重复</v>
      </c>
    </row>
    <row r="3492" spans="1:12" ht="15">
      <c r="A3492" s="35" t="s">
        <v>13918</v>
      </c>
      <c r="B3492" s="35" t="s">
        <v>9362</v>
      </c>
      <c r="C3492" s="36" t="s">
        <v>9363</v>
      </c>
      <c r="D3492" s="35" t="s">
        <v>9364</v>
      </c>
      <c r="E3492" s="35" t="s">
        <v>13859</v>
      </c>
      <c r="F3492" s="35" t="s">
        <v>13860</v>
      </c>
      <c r="G3492" s="35">
        <v>360158</v>
      </c>
      <c r="H3492" s="35">
        <v>400000</v>
      </c>
      <c r="I3492" s="35">
        <v>300000</v>
      </c>
      <c r="J3492" s="34" t="s">
        <v>2034</v>
      </c>
      <c r="K3492" s="34" t="str">
        <f t="shared" si="111"/>
        <v>不重复</v>
      </c>
      <c r="L3492" s="34" t="str">
        <f t="shared" si="112"/>
        <v>不重复</v>
      </c>
    </row>
    <row r="3493" spans="1:12" ht="15">
      <c r="A3493" s="35" t="s">
        <v>13919</v>
      </c>
      <c r="B3493" s="35" t="s">
        <v>9365</v>
      </c>
      <c r="C3493" s="36" t="s">
        <v>9366</v>
      </c>
      <c r="D3493" s="35" t="s">
        <v>9367</v>
      </c>
      <c r="E3493" s="35" t="s">
        <v>13859</v>
      </c>
      <c r="F3493" s="35" t="s">
        <v>13860</v>
      </c>
      <c r="G3493" s="35">
        <v>360159</v>
      </c>
      <c r="H3493" s="35">
        <v>400000</v>
      </c>
      <c r="I3493" s="35">
        <v>300000</v>
      </c>
      <c r="J3493" s="34" t="s">
        <v>1468</v>
      </c>
      <c r="K3493" s="34" t="str">
        <f t="shared" si="111"/>
        <v>不重复</v>
      </c>
      <c r="L3493" s="34" t="str">
        <f t="shared" si="112"/>
        <v>不重复</v>
      </c>
    </row>
    <row r="3494" spans="1:12" ht="15">
      <c r="A3494" s="35" t="s">
        <v>13920</v>
      </c>
      <c r="B3494" s="35" t="s">
        <v>9368</v>
      </c>
      <c r="C3494" s="36" t="s">
        <v>747</v>
      </c>
      <c r="D3494" s="35" t="s">
        <v>1500</v>
      </c>
      <c r="E3494" s="35" t="s">
        <v>13920</v>
      </c>
      <c r="F3494" s="35" t="s">
        <v>13860</v>
      </c>
      <c r="G3494" s="35">
        <v>360300</v>
      </c>
      <c r="H3494" s="35">
        <v>400010</v>
      </c>
      <c r="I3494" s="35">
        <v>300000</v>
      </c>
      <c r="J3494" s="34" t="s">
        <v>16</v>
      </c>
      <c r="K3494" s="34" t="str">
        <f t="shared" si="111"/>
        <v>重复</v>
      </c>
      <c r="L3494" s="34" t="str">
        <f t="shared" si="112"/>
        <v>重复</v>
      </c>
    </row>
    <row r="3495" spans="1:12" ht="30">
      <c r="A3495" s="35" t="s">
        <v>13921</v>
      </c>
      <c r="B3495" s="35" t="s">
        <v>9369</v>
      </c>
      <c r="C3495" s="36" t="s">
        <v>4571</v>
      </c>
      <c r="D3495" s="35" t="s">
        <v>9370</v>
      </c>
      <c r="E3495" s="35" t="s">
        <v>13920</v>
      </c>
      <c r="F3495" s="35" t="s">
        <v>13860</v>
      </c>
      <c r="G3495" s="35">
        <v>360301</v>
      </c>
      <c r="H3495" s="35">
        <v>400010</v>
      </c>
      <c r="I3495" s="35">
        <v>300000</v>
      </c>
      <c r="J3495" s="34" t="s">
        <v>756</v>
      </c>
      <c r="K3495" s="34" t="str">
        <f t="shared" si="111"/>
        <v>重复</v>
      </c>
      <c r="L3495" s="34" t="str">
        <f t="shared" si="112"/>
        <v>不重复</v>
      </c>
    </row>
    <row r="3496" spans="1:12" ht="15">
      <c r="A3496" s="35" t="s">
        <v>13922</v>
      </c>
      <c r="B3496" s="35" t="s">
        <v>9371</v>
      </c>
      <c r="C3496" s="36" t="s">
        <v>9372</v>
      </c>
      <c r="D3496" s="35" t="s">
        <v>9373</v>
      </c>
      <c r="E3496" s="35" t="s">
        <v>13920</v>
      </c>
      <c r="F3496" s="35" t="s">
        <v>13860</v>
      </c>
      <c r="G3496" s="35">
        <v>360302</v>
      </c>
      <c r="H3496" s="35">
        <v>400010</v>
      </c>
      <c r="I3496" s="35">
        <v>300000</v>
      </c>
      <c r="J3496" s="34" t="s">
        <v>9374</v>
      </c>
      <c r="K3496" s="34" t="str">
        <f t="shared" si="111"/>
        <v>不重复</v>
      </c>
      <c r="L3496" s="34" t="str">
        <f t="shared" si="112"/>
        <v>不重复</v>
      </c>
    </row>
    <row r="3497" spans="1:12" ht="15">
      <c r="A3497" s="35" t="s">
        <v>13923</v>
      </c>
      <c r="B3497" s="35" t="s">
        <v>9375</v>
      </c>
      <c r="C3497" s="36" t="s">
        <v>9376</v>
      </c>
      <c r="D3497" s="35" t="s">
        <v>9377</v>
      </c>
      <c r="E3497" s="35" t="s">
        <v>13920</v>
      </c>
      <c r="F3497" s="35" t="s">
        <v>13860</v>
      </c>
      <c r="G3497" s="35">
        <v>360303</v>
      </c>
      <c r="H3497" s="35">
        <v>400010</v>
      </c>
      <c r="I3497" s="35">
        <v>300000</v>
      </c>
      <c r="J3497" s="34" t="s">
        <v>71</v>
      </c>
      <c r="K3497" s="34" t="str">
        <f t="shared" si="111"/>
        <v>不重复</v>
      </c>
      <c r="L3497" s="34" t="str">
        <f t="shared" si="112"/>
        <v>不重复</v>
      </c>
    </row>
    <row r="3498" spans="1:12" ht="15">
      <c r="A3498" s="35" t="s">
        <v>13924</v>
      </c>
      <c r="B3498" s="35" t="s">
        <v>9378</v>
      </c>
      <c r="C3498" s="36" t="s">
        <v>1472</v>
      </c>
      <c r="D3498" s="35" t="s">
        <v>9379</v>
      </c>
      <c r="E3498" s="35" t="s">
        <v>13920</v>
      </c>
      <c r="F3498" s="35" t="s">
        <v>13860</v>
      </c>
      <c r="G3498" s="35">
        <v>360304</v>
      </c>
      <c r="H3498" s="35">
        <v>400010</v>
      </c>
      <c r="I3498" s="35">
        <v>300000</v>
      </c>
      <c r="J3498" s="34" t="s">
        <v>1288</v>
      </c>
      <c r="K3498" s="34" t="str">
        <f t="shared" si="111"/>
        <v>重复</v>
      </c>
      <c r="L3498" s="34" t="str">
        <f t="shared" si="112"/>
        <v>不重复</v>
      </c>
    </row>
    <row r="3499" spans="1:12" ht="15">
      <c r="A3499" s="35" t="s">
        <v>13925</v>
      </c>
      <c r="B3499" s="35" t="s">
        <v>9380</v>
      </c>
      <c r="C3499" s="36" t="s">
        <v>9381</v>
      </c>
      <c r="D3499" s="35" t="s">
        <v>9382</v>
      </c>
      <c r="E3499" s="35" t="s">
        <v>13920</v>
      </c>
      <c r="F3499" s="35" t="s">
        <v>13860</v>
      </c>
      <c r="G3499" s="35">
        <v>360305</v>
      </c>
      <c r="H3499" s="35">
        <v>400010</v>
      </c>
      <c r="I3499" s="35">
        <v>300000</v>
      </c>
      <c r="J3499" s="34" t="s">
        <v>932</v>
      </c>
      <c r="K3499" s="34" t="str">
        <f t="shared" si="111"/>
        <v>不重复</v>
      </c>
      <c r="L3499" s="34" t="str">
        <f t="shared" si="112"/>
        <v>不重复</v>
      </c>
    </row>
    <row r="3500" spans="1:12" ht="15">
      <c r="A3500" s="35" t="s">
        <v>13926</v>
      </c>
      <c r="B3500" s="35" t="s">
        <v>9383</v>
      </c>
      <c r="C3500" s="36" t="s">
        <v>9384</v>
      </c>
      <c r="D3500" s="35" t="s">
        <v>9385</v>
      </c>
      <c r="E3500" s="35" t="s">
        <v>13920</v>
      </c>
      <c r="F3500" s="35" t="s">
        <v>13860</v>
      </c>
      <c r="G3500" s="35">
        <v>360306</v>
      </c>
      <c r="H3500" s="35">
        <v>400010</v>
      </c>
      <c r="I3500" s="35">
        <v>300000</v>
      </c>
      <c r="J3500" s="34" t="s">
        <v>752</v>
      </c>
      <c r="K3500" s="34" t="str">
        <f t="shared" si="111"/>
        <v>不重复</v>
      </c>
      <c r="L3500" s="34" t="str">
        <f t="shared" si="112"/>
        <v>不重复</v>
      </c>
    </row>
    <row r="3501" spans="1:12" ht="15">
      <c r="A3501" s="35" t="s">
        <v>13927</v>
      </c>
      <c r="B3501" s="35" t="s">
        <v>9386</v>
      </c>
      <c r="C3501" s="36" t="s">
        <v>9387</v>
      </c>
      <c r="D3501" s="35" t="s">
        <v>9388</v>
      </c>
      <c r="E3501" s="35" t="s">
        <v>13920</v>
      </c>
      <c r="F3501" s="35" t="s">
        <v>13860</v>
      </c>
      <c r="G3501" s="35">
        <v>360307</v>
      </c>
      <c r="H3501" s="35">
        <v>400010</v>
      </c>
      <c r="I3501" s="35">
        <v>300000</v>
      </c>
      <c r="J3501" s="34" t="s">
        <v>668</v>
      </c>
      <c r="K3501" s="34" t="str">
        <f t="shared" si="111"/>
        <v>不重复</v>
      </c>
      <c r="L3501" s="34" t="str">
        <f t="shared" si="112"/>
        <v>不重复</v>
      </c>
    </row>
    <row r="3502" spans="1:12" ht="15">
      <c r="A3502" s="35" t="s">
        <v>13928</v>
      </c>
      <c r="B3502" s="35" t="s">
        <v>9389</v>
      </c>
      <c r="C3502" s="36" t="s">
        <v>7385</v>
      </c>
      <c r="D3502" s="35" t="s">
        <v>9390</v>
      </c>
      <c r="E3502" s="35" t="s">
        <v>13920</v>
      </c>
      <c r="F3502" s="35" t="s">
        <v>13860</v>
      </c>
      <c r="G3502" s="35">
        <v>360308</v>
      </c>
      <c r="H3502" s="35">
        <v>400010</v>
      </c>
      <c r="I3502" s="35">
        <v>300000</v>
      </c>
      <c r="J3502" s="34" t="s">
        <v>1103</v>
      </c>
      <c r="K3502" s="34" t="str">
        <f t="shared" si="111"/>
        <v>重复</v>
      </c>
      <c r="L3502" s="34" t="str">
        <f t="shared" si="112"/>
        <v>不重复</v>
      </c>
    </row>
    <row r="3503" spans="1:12" ht="15">
      <c r="A3503" s="35" t="s">
        <v>13929</v>
      </c>
      <c r="B3503" s="35" t="s">
        <v>9391</v>
      </c>
      <c r="C3503" s="36" t="s">
        <v>1256</v>
      </c>
      <c r="D3503" s="35" t="s">
        <v>9392</v>
      </c>
      <c r="E3503" s="35" t="s">
        <v>13920</v>
      </c>
      <c r="F3503" s="35" t="s">
        <v>13860</v>
      </c>
      <c r="G3503" s="35">
        <v>360309</v>
      </c>
      <c r="H3503" s="35">
        <v>400010</v>
      </c>
      <c r="I3503" s="35">
        <v>300000</v>
      </c>
      <c r="J3503" s="34" t="s">
        <v>363</v>
      </c>
      <c r="K3503" s="34" t="str">
        <f t="shared" si="111"/>
        <v>重复</v>
      </c>
      <c r="L3503" s="34" t="str">
        <f t="shared" si="112"/>
        <v>不重复</v>
      </c>
    </row>
    <row r="3504" spans="1:12" ht="15">
      <c r="A3504" s="35" t="s">
        <v>13930</v>
      </c>
      <c r="B3504" s="35" t="s">
        <v>9393</v>
      </c>
      <c r="C3504" s="36" t="s">
        <v>9182</v>
      </c>
      <c r="D3504" s="35" t="s">
        <v>9394</v>
      </c>
      <c r="E3504" s="35" t="s">
        <v>13920</v>
      </c>
      <c r="F3504" s="35" t="s">
        <v>13860</v>
      </c>
      <c r="G3504" s="35">
        <v>360310</v>
      </c>
      <c r="H3504" s="35">
        <v>400010</v>
      </c>
      <c r="I3504" s="35">
        <v>300000</v>
      </c>
      <c r="J3504" s="34" t="s">
        <v>668</v>
      </c>
      <c r="K3504" s="34" t="str">
        <f t="shared" si="111"/>
        <v>重复</v>
      </c>
      <c r="L3504" s="34" t="str">
        <f t="shared" si="112"/>
        <v>不重复</v>
      </c>
    </row>
    <row r="3505" spans="1:12" ht="15">
      <c r="A3505" s="35" t="s">
        <v>13931</v>
      </c>
      <c r="B3505" s="35" t="s">
        <v>9395</v>
      </c>
      <c r="C3505" s="36" t="s">
        <v>7480</v>
      </c>
      <c r="D3505" s="35" t="s">
        <v>1533</v>
      </c>
      <c r="E3505" s="35" t="s">
        <v>13920</v>
      </c>
      <c r="F3505" s="35" t="s">
        <v>13860</v>
      </c>
      <c r="G3505" s="35">
        <v>360311</v>
      </c>
      <c r="H3505" s="35">
        <v>400010</v>
      </c>
      <c r="I3505" s="35">
        <v>300000</v>
      </c>
      <c r="J3505" s="34" t="s">
        <v>531</v>
      </c>
      <c r="K3505" s="34" t="str">
        <f t="shared" si="111"/>
        <v>重复</v>
      </c>
      <c r="L3505" s="34" t="str">
        <f t="shared" si="112"/>
        <v>重复</v>
      </c>
    </row>
    <row r="3506" spans="1:12" ht="15">
      <c r="A3506" s="35" t="s">
        <v>13932</v>
      </c>
      <c r="B3506" s="35" t="s">
        <v>9396</v>
      </c>
      <c r="C3506" s="36" t="s">
        <v>5683</v>
      </c>
      <c r="D3506" s="35" t="s">
        <v>9397</v>
      </c>
      <c r="E3506" s="35" t="s">
        <v>13920</v>
      </c>
      <c r="F3506" s="35" t="s">
        <v>13860</v>
      </c>
      <c r="G3506" s="35">
        <v>360312</v>
      </c>
      <c r="H3506" s="35">
        <v>400010</v>
      </c>
      <c r="I3506" s="35">
        <v>300000</v>
      </c>
      <c r="J3506" s="34" t="s">
        <v>2034</v>
      </c>
      <c r="K3506" s="34" t="str">
        <f t="shared" si="111"/>
        <v>重复</v>
      </c>
      <c r="L3506" s="34" t="str">
        <f t="shared" si="112"/>
        <v>不重复</v>
      </c>
    </row>
    <row r="3507" spans="1:12" ht="15">
      <c r="A3507" s="35" t="s">
        <v>13933</v>
      </c>
      <c r="B3507" s="35" t="s">
        <v>9398</v>
      </c>
      <c r="C3507" s="36" t="s">
        <v>9399</v>
      </c>
      <c r="D3507" s="35" t="s">
        <v>266</v>
      </c>
      <c r="E3507" s="35" t="s">
        <v>13933</v>
      </c>
      <c r="F3507" s="35" t="s">
        <v>13860</v>
      </c>
      <c r="G3507" s="35">
        <v>360400</v>
      </c>
      <c r="H3507" s="35">
        <v>400020</v>
      </c>
      <c r="I3507" s="35">
        <v>300000</v>
      </c>
      <c r="J3507" s="34" t="s">
        <v>16</v>
      </c>
      <c r="K3507" s="34" t="str">
        <f t="shared" si="111"/>
        <v>不重复</v>
      </c>
      <c r="L3507" s="34" t="str">
        <f t="shared" si="112"/>
        <v>重复</v>
      </c>
    </row>
    <row r="3508" spans="1:12" ht="15">
      <c r="A3508" s="35" t="s">
        <v>13934</v>
      </c>
      <c r="B3508" s="35" t="s">
        <v>9400</v>
      </c>
      <c r="C3508" s="36" t="s">
        <v>9401</v>
      </c>
      <c r="D3508" s="35" t="s">
        <v>9402</v>
      </c>
      <c r="E3508" s="35" t="s">
        <v>13933</v>
      </c>
      <c r="F3508" s="35" t="s">
        <v>13860</v>
      </c>
      <c r="G3508" s="35">
        <v>360401</v>
      </c>
      <c r="H3508" s="35">
        <v>400020</v>
      </c>
      <c r="I3508" s="35">
        <v>300000</v>
      </c>
      <c r="J3508" s="34" t="s">
        <v>9403</v>
      </c>
      <c r="K3508" s="34" t="str">
        <f t="shared" si="111"/>
        <v>不重复</v>
      </c>
      <c r="L3508" s="34" t="str">
        <f t="shared" si="112"/>
        <v>不重复</v>
      </c>
    </row>
    <row r="3509" spans="1:12" ht="30">
      <c r="A3509" s="35" t="s">
        <v>13935</v>
      </c>
      <c r="B3509" s="35" t="s">
        <v>9404</v>
      </c>
      <c r="C3509" s="36" t="s">
        <v>9405</v>
      </c>
      <c r="D3509" s="35" t="s">
        <v>9406</v>
      </c>
      <c r="E3509" s="35" t="s">
        <v>13933</v>
      </c>
      <c r="F3509" s="35" t="s">
        <v>13860</v>
      </c>
      <c r="G3509" s="35">
        <v>360402</v>
      </c>
      <c r="H3509" s="35">
        <v>400020</v>
      </c>
      <c r="I3509" s="35">
        <v>300000</v>
      </c>
      <c r="J3509" s="34" t="s">
        <v>2317</v>
      </c>
      <c r="K3509" s="34" t="str">
        <f t="shared" si="111"/>
        <v>不重复</v>
      </c>
      <c r="L3509" s="34" t="str">
        <f t="shared" si="112"/>
        <v>不重复</v>
      </c>
    </row>
    <row r="3510" spans="1:12" ht="15">
      <c r="A3510" s="35" t="s">
        <v>13936</v>
      </c>
      <c r="B3510" s="35" t="s">
        <v>9407</v>
      </c>
      <c r="C3510" s="36" t="s">
        <v>9408</v>
      </c>
      <c r="D3510" s="35"/>
      <c r="E3510" s="35" t="s">
        <v>13933</v>
      </c>
      <c r="F3510" s="35" t="s">
        <v>13860</v>
      </c>
      <c r="G3510" s="35"/>
      <c r="H3510" s="35"/>
      <c r="I3510" s="35"/>
      <c r="J3510" s="34"/>
      <c r="K3510" s="34" t="str">
        <f t="shared" si="111"/>
        <v>不重复</v>
      </c>
      <c r="L3510" s="34"/>
    </row>
    <row r="3511" spans="1:12" ht="27">
      <c r="A3511" s="35" t="s">
        <v>13937</v>
      </c>
      <c r="B3511" s="35" t="s">
        <v>9409</v>
      </c>
      <c r="C3511" s="36" t="s">
        <v>9410</v>
      </c>
      <c r="D3511" s="35" t="s">
        <v>9411</v>
      </c>
      <c r="E3511" s="35" t="s">
        <v>13933</v>
      </c>
      <c r="F3511" s="35" t="s">
        <v>13860</v>
      </c>
      <c r="G3511" s="35">
        <v>360403</v>
      </c>
      <c r="H3511" s="35">
        <v>400020</v>
      </c>
      <c r="I3511" s="35">
        <v>300000</v>
      </c>
      <c r="J3511" s="34" t="s">
        <v>1468</v>
      </c>
      <c r="K3511" s="34" t="str">
        <f t="shared" si="111"/>
        <v>不重复</v>
      </c>
      <c r="L3511" s="34" t="str">
        <f t="shared" si="113" ref="L3511:L3542">IF(COUNTIF(D:D,D3511)&gt;=2,"重复","不重复")</f>
        <v>不重复</v>
      </c>
    </row>
    <row r="3512" spans="1:12" ht="15">
      <c r="A3512" s="35" t="s">
        <v>13938</v>
      </c>
      <c r="B3512" s="35" t="s">
        <v>9412</v>
      </c>
      <c r="C3512" s="36" t="s">
        <v>9413</v>
      </c>
      <c r="D3512" s="35" t="s">
        <v>9414</v>
      </c>
      <c r="E3512" s="35" t="s">
        <v>13933</v>
      </c>
      <c r="F3512" s="35" t="s">
        <v>13860</v>
      </c>
      <c r="G3512" s="35">
        <v>360404</v>
      </c>
      <c r="H3512" s="35">
        <v>400020</v>
      </c>
      <c r="I3512" s="35">
        <v>300000</v>
      </c>
      <c r="J3512" s="34" t="s">
        <v>5329</v>
      </c>
      <c r="K3512" s="34" t="str">
        <f t="shared" si="111"/>
        <v>不重复</v>
      </c>
      <c r="L3512" s="34" t="str">
        <f t="shared" si="113"/>
        <v>不重复</v>
      </c>
    </row>
    <row r="3513" spans="1:12" ht="27">
      <c r="A3513" s="35" t="s">
        <v>13939</v>
      </c>
      <c r="B3513" s="35" t="s">
        <v>9415</v>
      </c>
      <c r="C3513" s="36" t="s">
        <v>7339</v>
      </c>
      <c r="D3513" s="35" t="s">
        <v>4115</v>
      </c>
      <c r="E3513" s="35" t="s">
        <v>13933</v>
      </c>
      <c r="F3513" s="35" t="s">
        <v>13860</v>
      </c>
      <c r="G3513" s="35">
        <v>360405</v>
      </c>
      <c r="H3513" s="35">
        <v>400020</v>
      </c>
      <c r="I3513" s="35">
        <v>300000</v>
      </c>
      <c r="J3513" s="34" t="s">
        <v>871</v>
      </c>
      <c r="K3513" s="34" t="str">
        <f t="shared" si="111"/>
        <v>重复</v>
      </c>
      <c r="L3513" s="34" t="str">
        <f t="shared" si="113"/>
        <v>重复</v>
      </c>
    </row>
    <row r="3514" spans="1:12" ht="15">
      <c r="A3514" s="35" t="s">
        <v>13940</v>
      </c>
      <c r="B3514" s="35" t="s">
        <v>9416</v>
      </c>
      <c r="C3514" s="36" t="s">
        <v>9417</v>
      </c>
      <c r="D3514" s="35" t="s">
        <v>9418</v>
      </c>
      <c r="E3514" s="35" t="s">
        <v>13933</v>
      </c>
      <c r="F3514" s="35" t="s">
        <v>13860</v>
      </c>
      <c r="G3514" s="35">
        <v>360406</v>
      </c>
      <c r="H3514" s="35">
        <v>400020</v>
      </c>
      <c r="I3514" s="35">
        <v>300000</v>
      </c>
      <c r="J3514" s="34" t="s">
        <v>9419</v>
      </c>
      <c r="K3514" s="34" t="str">
        <f t="shared" si="111"/>
        <v>不重复</v>
      </c>
      <c r="L3514" s="34" t="str">
        <f t="shared" si="113"/>
        <v>不重复</v>
      </c>
    </row>
    <row r="3515" spans="1:12" ht="27">
      <c r="A3515" s="35" t="s">
        <v>13941</v>
      </c>
      <c r="B3515" s="35" t="s">
        <v>9420</v>
      </c>
      <c r="C3515" s="36" t="s">
        <v>980</v>
      </c>
      <c r="D3515" s="35" t="s">
        <v>9421</v>
      </c>
      <c r="E3515" s="35" t="s">
        <v>13933</v>
      </c>
      <c r="F3515" s="35" t="s">
        <v>13860</v>
      </c>
      <c r="G3515" s="35">
        <v>360407</v>
      </c>
      <c r="H3515" s="35">
        <v>400020</v>
      </c>
      <c r="I3515" s="35">
        <v>300000</v>
      </c>
      <c r="J3515" s="34" t="s">
        <v>363</v>
      </c>
      <c r="K3515" s="34" t="str">
        <f t="shared" si="111"/>
        <v>重复</v>
      </c>
      <c r="L3515" s="34" t="str">
        <f t="shared" si="113"/>
        <v>不重复</v>
      </c>
    </row>
    <row r="3516" spans="1:12" ht="27">
      <c r="A3516" s="35" t="s">
        <v>13942</v>
      </c>
      <c r="B3516" s="35" t="s">
        <v>9422</v>
      </c>
      <c r="C3516" s="36" t="s">
        <v>9423</v>
      </c>
      <c r="D3516" s="35" t="s">
        <v>9424</v>
      </c>
      <c r="E3516" s="35" t="s">
        <v>13933</v>
      </c>
      <c r="F3516" s="35" t="s">
        <v>13860</v>
      </c>
      <c r="G3516" s="35">
        <v>360408</v>
      </c>
      <c r="H3516" s="35">
        <v>400020</v>
      </c>
      <c r="I3516" s="35">
        <v>300000</v>
      </c>
      <c r="J3516" s="34" t="s">
        <v>2019</v>
      </c>
      <c r="K3516" s="34" t="str">
        <f t="shared" si="111"/>
        <v>不重复</v>
      </c>
      <c r="L3516" s="34" t="str">
        <f t="shared" si="113"/>
        <v>不重复</v>
      </c>
    </row>
    <row r="3517" spans="1:12" ht="30">
      <c r="A3517" s="35" t="s">
        <v>13943</v>
      </c>
      <c r="B3517" s="35" t="s">
        <v>9425</v>
      </c>
      <c r="C3517" s="36" t="s">
        <v>1393</v>
      </c>
      <c r="D3517" s="35" t="s">
        <v>9426</v>
      </c>
      <c r="E3517" s="35" t="s">
        <v>13933</v>
      </c>
      <c r="F3517" s="35" t="s">
        <v>13860</v>
      </c>
      <c r="G3517" s="35">
        <v>360409</v>
      </c>
      <c r="H3517" s="35">
        <v>400020</v>
      </c>
      <c r="I3517" s="35">
        <v>300000</v>
      </c>
      <c r="J3517" s="34" t="s">
        <v>1057</v>
      </c>
      <c r="K3517" s="34" t="str">
        <f t="shared" si="111"/>
        <v>重复</v>
      </c>
      <c r="L3517" s="34" t="str">
        <f t="shared" si="113"/>
        <v>不重复</v>
      </c>
    </row>
    <row r="3518" spans="1:12" ht="27">
      <c r="A3518" s="35" t="s">
        <v>13944</v>
      </c>
      <c r="B3518" s="35" t="s">
        <v>9427</v>
      </c>
      <c r="C3518" s="36" t="s">
        <v>2733</v>
      </c>
      <c r="D3518" s="35" t="s">
        <v>9428</v>
      </c>
      <c r="E3518" s="35" t="s">
        <v>13933</v>
      </c>
      <c r="F3518" s="35" t="s">
        <v>13860</v>
      </c>
      <c r="G3518" s="35">
        <v>360410</v>
      </c>
      <c r="H3518" s="35">
        <v>400020</v>
      </c>
      <c r="I3518" s="35">
        <v>300000</v>
      </c>
      <c r="J3518" s="34" t="s">
        <v>9429</v>
      </c>
      <c r="K3518" s="34" t="str">
        <f t="shared" si="111"/>
        <v>重复</v>
      </c>
      <c r="L3518" s="34" t="str">
        <f t="shared" si="113"/>
        <v>重复</v>
      </c>
    </row>
    <row r="3519" spans="1:12" ht="27">
      <c r="A3519" s="35" t="s">
        <v>13945</v>
      </c>
      <c r="B3519" s="35" t="s">
        <v>9430</v>
      </c>
      <c r="C3519" s="36" t="s">
        <v>9431</v>
      </c>
      <c r="D3519" s="35" t="s">
        <v>9428</v>
      </c>
      <c r="E3519" s="35" t="s">
        <v>13933</v>
      </c>
      <c r="F3519" s="35" t="s">
        <v>13860</v>
      </c>
      <c r="G3519" s="35">
        <v>360411</v>
      </c>
      <c r="H3519" s="35">
        <v>400020</v>
      </c>
      <c r="I3519" s="35">
        <v>300000</v>
      </c>
      <c r="J3519" s="34" t="s">
        <v>1057</v>
      </c>
      <c r="K3519" s="34" t="str">
        <f t="shared" si="111"/>
        <v>不重复</v>
      </c>
      <c r="L3519" s="34" t="str">
        <f t="shared" si="113"/>
        <v>重复</v>
      </c>
    </row>
    <row r="3520" spans="1:12" ht="30">
      <c r="A3520" s="35" t="s">
        <v>13946</v>
      </c>
      <c r="B3520" s="35" t="s">
        <v>9432</v>
      </c>
      <c r="C3520" s="36" t="s">
        <v>9433</v>
      </c>
      <c r="D3520" s="35" t="s">
        <v>9434</v>
      </c>
      <c r="E3520" s="35" t="s">
        <v>13933</v>
      </c>
      <c r="F3520" s="35" t="s">
        <v>13860</v>
      </c>
      <c r="G3520" s="35">
        <v>360412</v>
      </c>
      <c r="H3520" s="35">
        <v>400020</v>
      </c>
      <c r="I3520" s="35">
        <v>300000</v>
      </c>
      <c r="J3520" s="34" t="s">
        <v>1186</v>
      </c>
      <c r="K3520" s="34" t="str">
        <f t="shared" si="111"/>
        <v>不重复</v>
      </c>
      <c r="L3520" s="34" t="str">
        <f t="shared" si="113"/>
        <v>不重复</v>
      </c>
    </row>
    <row r="3521" spans="1:12" ht="27">
      <c r="A3521" s="35" t="s">
        <v>13947</v>
      </c>
      <c r="B3521" s="35" t="s">
        <v>9435</v>
      </c>
      <c r="C3521" s="36" t="s">
        <v>1899</v>
      </c>
      <c r="D3521" s="35" t="s">
        <v>4120</v>
      </c>
      <c r="E3521" s="35" t="s">
        <v>13933</v>
      </c>
      <c r="F3521" s="35" t="s">
        <v>13860</v>
      </c>
      <c r="G3521" s="35">
        <v>360413</v>
      </c>
      <c r="H3521" s="35">
        <v>400020</v>
      </c>
      <c r="I3521" s="35">
        <v>300000</v>
      </c>
      <c r="J3521" s="34" t="s">
        <v>458</v>
      </c>
      <c r="K3521" s="34" t="str">
        <f t="shared" si="114" ref="K3521:K3584">IF(COUNTIF(C:C,C3521)&gt;=2,"重复","不重复")</f>
        <v>重复</v>
      </c>
      <c r="L3521" s="34" t="str">
        <f t="shared" si="113"/>
        <v>重复</v>
      </c>
    </row>
    <row r="3522" spans="1:12" ht="27">
      <c r="A3522" s="35" t="s">
        <v>13948</v>
      </c>
      <c r="B3522" s="35" t="s">
        <v>9436</v>
      </c>
      <c r="C3522" s="36" t="s">
        <v>2587</v>
      </c>
      <c r="D3522" s="35" t="s">
        <v>9437</v>
      </c>
      <c r="E3522" s="35" t="s">
        <v>13933</v>
      </c>
      <c r="F3522" s="35" t="s">
        <v>13860</v>
      </c>
      <c r="G3522" s="35">
        <v>360414</v>
      </c>
      <c r="H3522" s="35">
        <v>400020</v>
      </c>
      <c r="I3522" s="35">
        <v>300000</v>
      </c>
      <c r="J3522" s="34" t="s">
        <v>1186</v>
      </c>
      <c r="K3522" s="34" t="str">
        <f t="shared" si="114"/>
        <v>重复</v>
      </c>
      <c r="L3522" s="34" t="str">
        <f t="shared" si="113"/>
        <v>不重复</v>
      </c>
    </row>
    <row r="3523" spans="1:12" ht="30">
      <c r="A3523" s="35" t="s">
        <v>13949</v>
      </c>
      <c r="B3523" s="35" t="s">
        <v>9438</v>
      </c>
      <c r="C3523" s="36" t="s">
        <v>9439</v>
      </c>
      <c r="D3523" s="35" t="s">
        <v>9440</v>
      </c>
      <c r="E3523" s="35" t="s">
        <v>13933</v>
      </c>
      <c r="F3523" s="35" t="s">
        <v>13860</v>
      </c>
      <c r="G3523" s="35">
        <v>360415</v>
      </c>
      <c r="H3523" s="35">
        <v>400020</v>
      </c>
      <c r="I3523" s="35">
        <v>300000</v>
      </c>
      <c r="J3523" s="34" t="s">
        <v>1186</v>
      </c>
      <c r="K3523" s="34" t="str">
        <f t="shared" si="114"/>
        <v>不重复</v>
      </c>
      <c r="L3523" s="34" t="str">
        <f t="shared" si="113"/>
        <v>不重复</v>
      </c>
    </row>
    <row r="3524" spans="1:12" ht="27">
      <c r="A3524" s="35" t="s">
        <v>13950</v>
      </c>
      <c r="B3524" s="35" t="s">
        <v>9441</v>
      </c>
      <c r="C3524" s="36" t="s">
        <v>983</v>
      </c>
      <c r="D3524" s="35" t="s">
        <v>9442</v>
      </c>
      <c r="E3524" s="35" t="s">
        <v>13933</v>
      </c>
      <c r="F3524" s="35" t="s">
        <v>13860</v>
      </c>
      <c r="G3524" s="35">
        <v>360416</v>
      </c>
      <c r="H3524" s="35">
        <v>400020</v>
      </c>
      <c r="I3524" s="35">
        <v>300000</v>
      </c>
      <c r="J3524" s="34" t="s">
        <v>458</v>
      </c>
      <c r="K3524" s="34" t="str">
        <f t="shared" si="114"/>
        <v>重复</v>
      </c>
      <c r="L3524" s="34" t="str">
        <f t="shared" si="113"/>
        <v>不重复</v>
      </c>
    </row>
    <row r="3525" spans="1:12" ht="27">
      <c r="A3525" s="35" t="s">
        <v>13951</v>
      </c>
      <c r="B3525" s="35" t="s">
        <v>9443</v>
      </c>
      <c r="C3525" s="36" t="s">
        <v>9444</v>
      </c>
      <c r="D3525" s="35" t="s">
        <v>9445</v>
      </c>
      <c r="E3525" s="35" t="s">
        <v>13933</v>
      </c>
      <c r="F3525" s="35" t="s">
        <v>13860</v>
      </c>
      <c r="G3525" s="35">
        <v>360417</v>
      </c>
      <c r="H3525" s="35">
        <v>400020</v>
      </c>
      <c r="I3525" s="35">
        <v>300000</v>
      </c>
      <c r="J3525" s="34" t="s">
        <v>715</v>
      </c>
      <c r="K3525" s="34" t="str">
        <f t="shared" si="114"/>
        <v>不重复</v>
      </c>
      <c r="L3525" s="34" t="str">
        <f t="shared" si="113"/>
        <v>不重复</v>
      </c>
    </row>
    <row r="3526" spans="1:12" ht="30">
      <c r="A3526" s="35" t="s">
        <v>13952</v>
      </c>
      <c r="B3526" s="35" t="s">
        <v>9446</v>
      </c>
      <c r="C3526" s="36" t="s">
        <v>9447</v>
      </c>
      <c r="D3526" s="35" t="s">
        <v>9448</v>
      </c>
      <c r="E3526" s="35" t="s">
        <v>13933</v>
      </c>
      <c r="F3526" s="35" t="s">
        <v>13860</v>
      </c>
      <c r="G3526" s="35">
        <v>360418</v>
      </c>
      <c r="H3526" s="35">
        <v>400020</v>
      </c>
      <c r="I3526" s="35">
        <v>300000</v>
      </c>
      <c r="J3526" s="34" t="s">
        <v>9419</v>
      </c>
      <c r="K3526" s="34" t="str">
        <f t="shared" si="114"/>
        <v>不重复</v>
      </c>
      <c r="L3526" s="34" t="str">
        <f t="shared" si="113"/>
        <v>不重复</v>
      </c>
    </row>
    <row r="3527" spans="1:12" ht="15">
      <c r="A3527" s="35" t="s">
        <v>13953</v>
      </c>
      <c r="B3527" s="35" t="s">
        <v>9449</v>
      </c>
      <c r="C3527" s="36" t="s">
        <v>7236</v>
      </c>
      <c r="D3527" s="35" t="s">
        <v>9183</v>
      </c>
      <c r="E3527" s="35" t="s">
        <v>13953</v>
      </c>
      <c r="F3527" s="35" t="s">
        <v>13860</v>
      </c>
      <c r="G3527" s="35">
        <v>360500</v>
      </c>
      <c r="H3527" s="35">
        <v>400030</v>
      </c>
      <c r="I3527" s="35">
        <v>300000</v>
      </c>
      <c r="J3527" s="34" t="s">
        <v>16</v>
      </c>
      <c r="K3527" s="34" t="str">
        <f t="shared" si="114"/>
        <v>重复</v>
      </c>
      <c r="L3527" s="34" t="str">
        <f t="shared" si="113"/>
        <v>重复</v>
      </c>
    </row>
    <row r="3528" spans="1:12" ht="30">
      <c r="A3528" s="35" t="s">
        <v>13954</v>
      </c>
      <c r="B3528" s="35" t="s">
        <v>9450</v>
      </c>
      <c r="C3528" s="36" t="s">
        <v>9451</v>
      </c>
      <c r="D3528" s="35" t="s">
        <v>9452</v>
      </c>
      <c r="E3528" s="35" t="s">
        <v>13953</v>
      </c>
      <c r="F3528" s="35" t="s">
        <v>13860</v>
      </c>
      <c r="G3528" s="35">
        <v>360501</v>
      </c>
      <c r="H3528" s="35">
        <v>400030</v>
      </c>
      <c r="I3528" s="35">
        <v>300000</v>
      </c>
      <c r="J3528" s="34" t="s">
        <v>9453</v>
      </c>
      <c r="K3528" s="34" t="str">
        <f t="shared" si="114"/>
        <v>不重复</v>
      </c>
      <c r="L3528" s="34" t="str">
        <f t="shared" si="113"/>
        <v>不重复</v>
      </c>
    </row>
    <row r="3529" spans="1:12" ht="30">
      <c r="A3529" s="35" t="s">
        <v>13955</v>
      </c>
      <c r="B3529" s="35" t="s">
        <v>9454</v>
      </c>
      <c r="C3529" s="36" t="s">
        <v>7241</v>
      </c>
      <c r="D3529" s="35" t="s">
        <v>4262</v>
      </c>
      <c r="E3529" s="35" t="s">
        <v>13953</v>
      </c>
      <c r="F3529" s="35" t="s">
        <v>13860</v>
      </c>
      <c r="G3529" s="35">
        <v>360502</v>
      </c>
      <c r="H3529" s="35">
        <v>400030</v>
      </c>
      <c r="I3529" s="35">
        <v>300000</v>
      </c>
      <c r="J3529" s="34" t="s">
        <v>1372</v>
      </c>
      <c r="K3529" s="34" t="str">
        <f t="shared" si="114"/>
        <v>重复</v>
      </c>
      <c r="L3529" s="34" t="str">
        <f t="shared" si="113"/>
        <v>重复</v>
      </c>
    </row>
    <row r="3530" spans="1:12" ht="27">
      <c r="A3530" s="35" t="s">
        <v>13956</v>
      </c>
      <c r="B3530" s="35" t="s">
        <v>9455</v>
      </c>
      <c r="C3530" s="36" t="s">
        <v>5648</v>
      </c>
      <c r="D3530" s="35" t="s">
        <v>9456</v>
      </c>
      <c r="E3530" s="35" t="s">
        <v>13953</v>
      </c>
      <c r="F3530" s="35" t="s">
        <v>13860</v>
      </c>
      <c r="G3530" s="35">
        <v>360503</v>
      </c>
      <c r="H3530" s="35">
        <v>400030</v>
      </c>
      <c r="I3530" s="35">
        <v>300000</v>
      </c>
      <c r="J3530" s="34" t="s">
        <v>1700</v>
      </c>
      <c r="K3530" s="34" t="str">
        <f t="shared" si="114"/>
        <v>重复</v>
      </c>
      <c r="L3530" s="34" t="str">
        <f t="shared" si="113"/>
        <v>重复</v>
      </c>
    </row>
    <row r="3531" spans="1:12" ht="27">
      <c r="A3531" s="35" t="s">
        <v>13957</v>
      </c>
      <c r="B3531" s="35" t="s">
        <v>9457</v>
      </c>
      <c r="C3531" s="36" t="s">
        <v>3207</v>
      </c>
      <c r="D3531" s="35" t="s">
        <v>9458</v>
      </c>
      <c r="E3531" s="35" t="s">
        <v>13953</v>
      </c>
      <c r="F3531" s="35" t="s">
        <v>13860</v>
      </c>
      <c r="G3531" s="35">
        <v>360504</v>
      </c>
      <c r="H3531" s="35">
        <v>400030</v>
      </c>
      <c r="I3531" s="35">
        <v>300000</v>
      </c>
      <c r="J3531" s="34" t="s">
        <v>1103</v>
      </c>
      <c r="K3531" s="34" t="str">
        <f t="shared" si="114"/>
        <v>重复</v>
      </c>
      <c r="L3531" s="34" t="str">
        <f t="shared" si="113"/>
        <v>不重复</v>
      </c>
    </row>
    <row r="3532" spans="1:12" ht="15">
      <c r="A3532" s="35" t="s">
        <v>13958</v>
      </c>
      <c r="B3532" s="35" t="s">
        <v>9459</v>
      </c>
      <c r="C3532" s="36" t="s">
        <v>5514</v>
      </c>
      <c r="D3532" s="35" t="s">
        <v>9460</v>
      </c>
      <c r="E3532" s="35" t="s">
        <v>13953</v>
      </c>
      <c r="F3532" s="35" t="s">
        <v>13860</v>
      </c>
      <c r="G3532" s="35">
        <v>360505</v>
      </c>
      <c r="H3532" s="35">
        <v>400030</v>
      </c>
      <c r="I3532" s="35">
        <v>300000</v>
      </c>
      <c r="J3532" s="34" t="s">
        <v>4772</v>
      </c>
      <c r="K3532" s="34" t="str">
        <f t="shared" si="114"/>
        <v>重复</v>
      </c>
      <c r="L3532" s="34" t="str">
        <f t="shared" si="113"/>
        <v>不重复</v>
      </c>
    </row>
    <row r="3533" spans="1:12" ht="27">
      <c r="A3533" s="35" t="s">
        <v>13959</v>
      </c>
      <c r="B3533" s="35" t="s">
        <v>9461</v>
      </c>
      <c r="C3533" s="36" t="s">
        <v>9462</v>
      </c>
      <c r="D3533" s="35" t="s">
        <v>9463</v>
      </c>
      <c r="E3533" s="35" t="s">
        <v>13953</v>
      </c>
      <c r="F3533" s="35" t="s">
        <v>13860</v>
      </c>
      <c r="G3533" s="35">
        <v>360506</v>
      </c>
      <c r="H3533" s="35">
        <v>400030</v>
      </c>
      <c r="I3533" s="35">
        <v>300000</v>
      </c>
      <c r="J3533" s="34" t="s">
        <v>9464</v>
      </c>
      <c r="K3533" s="34" t="str">
        <f t="shared" si="114"/>
        <v>不重复</v>
      </c>
      <c r="L3533" s="34" t="str">
        <f t="shared" si="113"/>
        <v>不重复</v>
      </c>
    </row>
    <row r="3534" spans="1:12" ht="27">
      <c r="A3534" s="35" t="s">
        <v>13960</v>
      </c>
      <c r="B3534" s="35" t="s">
        <v>9465</v>
      </c>
      <c r="C3534" s="36" t="s">
        <v>9466</v>
      </c>
      <c r="D3534" s="35" t="s">
        <v>9467</v>
      </c>
      <c r="E3534" s="35" t="s">
        <v>13953</v>
      </c>
      <c r="F3534" s="35" t="s">
        <v>13860</v>
      </c>
      <c r="G3534" s="35">
        <v>360507</v>
      </c>
      <c r="H3534" s="35">
        <v>400030</v>
      </c>
      <c r="I3534" s="35">
        <v>300000</v>
      </c>
      <c r="J3534" s="34" t="s">
        <v>1186</v>
      </c>
      <c r="K3534" s="34" t="str">
        <f t="shared" si="114"/>
        <v>不重复</v>
      </c>
      <c r="L3534" s="34" t="str">
        <f t="shared" si="113"/>
        <v>不重复</v>
      </c>
    </row>
    <row r="3535" spans="1:12" ht="27">
      <c r="A3535" s="35" t="s">
        <v>13961</v>
      </c>
      <c r="B3535" s="35" t="s">
        <v>9468</v>
      </c>
      <c r="C3535" s="36" t="s">
        <v>9469</v>
      </c>
      <c r="D3535" s="35" t="s">
        <v>9470</v>
      </c>
      <c r="E3535" s="35" t="s">
        <v>13953</v>
      </c>
      <c r="F3535" s="35" t="s">
        <v>13860</v>
      </c>
      <c r="G3535" s="35">
        <v>360508</v>
      </c>
      <c r="H3535" s="35">
        <v>400030</v>
      </c>
      <c r="I3535" s="35">
        <v>300000</v>
      </c>
      <c r="J3535" s="34" t="s">
        <v>2003</v>
      </c>
      <c r="K3535" s="34" t="str">
        <f t="shared" si="114"/>
        <v>不重复</v>
      </c>
      <c r="L3535" s="34" t="str">
        <f t="shared" si="113"/>
        <v>不重复</v>
      </c>
    </row>
    <row r="3536" spans="1:12" ht="27">
      <c r="A3536" s="35" t="s">
        <v>13962</v>
      </c>
      <c r="B3536" s="35" t="s">
        <v>9471</v>
      </c>
      <c r="C3536" s="36" t="s">
        <v>2593</v>
      </c>
      <c r="D3536" s="35" t="s">
        <v>9472</v>
      </c>
      <c r="E3536" s="35" t="s">
        <v>13953</v>
      </c>
      <c r="F3536" s="35" t="s">
        <v>13860</v>
      </c>
      <c r="G3536" s="35">
        <v>360509</v>
      </c>
      <c r="H3536" s="35">
        <v>400030</v>
      </c>
      <c r="I3536" s="35">
        <v>300000</v>
      </c>
      <c r="J3536" s="34" t="s">
        <v>6346</v>
      </c>
      <c r="K3536" s="34" t="str">
        <f t="shared" si="114"/>
        <v>重复</v>
      </c>
      <c r="L3536" s="34" t="str">
        <f t="shared" si="113"/>
        <v>不重复</v>
      </c>
    </row>
    <row r="3537" spans="1:12" ht="15">
      <c r="A3537" s="35" t="s">
        <v>13963</v>
      </c>
      <c r="B3537" s="35" t="s">
        <v>9473</v>
      </c>
      <c r="C3537" s="36" t="s">
        <v>9274</v>
      </c>
      <c r="D3537" s="35" t="s">
        <v>1909</v>
      </c>
      <c r="E3537" s="35" t="s">
        <v>13963</v>
      </c>
      <c r="F3537" s="35" t="s">
        <v>13860</v>
      </c>
      <c r="G3537" s="35">
        <v>360600</v>
      </c>
      <c r="H3537" s="35">
        <v>400040</v>
      </c>
      <c r="I3537" s="35">
        <v>300000</v>
      </c>
      <c r="J3537" s="34" t="s">
        <v>16</v>
      </c>
      <c r="K3537" s="34" t="str">
        <f t="shared" si="114"/>
        <v>重复</v>
      </c>
      <c r="L3537" s="34" t="str">
        <f t="shared" si="113"/>
        <v>重复</v>
      </c>
    </row>
    <row r="3538" spans="1:12" ht="15">
      <c r="A3538" s="35" t="s">
        <v>13964</v>
      </c>
      <c r="B3538" s="35" t="s">
        <v>9474</v>
      </c>
      <c r="C3538" s="36" t="s">
        <v>6773</v>
      </c>
      <c r="D3538" s="35" t="s">
        <v>8634</v>
      </c>
      <c r="E3538" s="35" t="s">
        <v>13963</v>
      </c>
      <c r="F3538" s="35" t="s">
        <v>13860</v>
      </c>
      <c r="G3538" s="35">
        <v>360601</v>
      </c>
      <c r="H3538" s="35">
        <v>400040</v>
      </c>
      <c r="I3538" s="35">
        <v>300000</v>
      </c>
      <c r="J3538" s="34" t="s">
        <v>5619</v>
      </c>
      <c r="K3538" s="34" t="str">
        <f t="shared" si="114"/>
        <v>重复</v>
      </c>
      <c r="L3538" s="34" t="str">
        <f t="shared" si="113"/>
        <v>重复</v>
      </c>
    </row>
    <row r="3539" spans="1:12" ht="30">
      <c r="A3539" s="35" t="s">
        <v>13965</v>
      </c>
      <c r="B3539" s="35" t="s">
        <v>9475</v>
      </c>
      <c r="C3539" s="36" t="s">
        <v>9476</v>
      </c>
      <c r="D3539" s="35" t="s">
        <v>9477</v>
      </c>
      <c r="E3539" s="35" t="s">
        <v>13963</v>
      </c>
      <c r="F3539" s="35" t="s">
        <v>13860</v>
      </c>
      <c r="G3539" s="35">
        <v>360602</v>
      </c>
      <c r="H3539" s="35">
        <v>400040</v>
      </c>
      <c r="I3539" s="35">
        <v>300000</v>
      </c>
      <c r="J3539" s="34" t="s">
        <v>288</v>
      </c>
      <c r="K3539" s="34" t="str">
        <f t="shared" si="114"/>
        <v>重复</v>
      </c>
      <c r="L3539" s="34" t="str">
        <f t="shared" si="113"/>
        <v>不重复</v>
      </c>
    </row>
    <row r="3540" spans="1:12" ht="30">
      <c r="A3540" s="35" t="s">
        <v>13966</v>
      </c>
      <c r="B3540" s="35" t="s">
        <v>9478</v>
      </c>
      <c r="C3540" s="36" t="s">
        <v>1623</v>
      </c>
      <c r="D3540" s="35" t="s">
        <v>9479</v>
      </c>
      <c r="E3540" s="35" t="s">
        <v>13963</v>
      </c>
      <c r="F3540" s="35" t="s">
        <v>13860</v>
      </c>
      <c r="G3540" s="35">
        <v>360603</v>
      </c>
      <c r="H3540" s="35">
        <v>400040</v>
      </c>
      <c r="I3540" s="35">
        <v>300000</v>
      </c>
      <c r="J3540" s="34" t="s">
        <v>422</v>
      </c>
      <c r="K3540" s="34" t="str">
        <f t="shared" si="114"/>
        <v>重复</v>
      </c>
      <c r="L3540" s="34" t="str">
        <f t="shared" si="113"/>
        <v>不重复</v>
      </c>
    </row>
    <row r="3541" spans="1:12" ht="15">
      <c r="A3541" s="35" t="s">
        <v>13967</v>
      </c>
      <c r="B3541" s="35" t="s">
        <v>9480</v>
      </c>
      <c r="C3541" s="36" t="s">
        <v>5701</v>
      </c>
      <c r="D3541" s="35" t="s">
        <v>9481</v>
      </c>
      <c r="E3541" s="35" t="s">
        <v>13963</v>
      </c>
      <c r="F3541" s="35" t="s">
        <v>13860</v>
      </c>
      <c r="G3541" s="35">
        <v>360604</v>
      </c>
      <c r="H3541" s="35">
        <v>400040</v>
      </c>
      <c r="I3541" s="35">
        <v>300000</v>
      </c>
      <c r="J3541" s="34" t="s">
        <v>756</v>
      </c>
      <c r="K3541" s="34" t="str">
        <f t="shared" si="114"/>
        <v>重复</v>
      </c>
      <c r="L3541" s="34" t="str">
        <f t="shared" si="113"/>
        <v>不重复</v>
      </c>
    </row>
    <row r="3542" spans="1:12" ht="15">
      <c r="A3542" s="35" t="s">
        <v>13968</v>
      </c>
      <c r="B3542" s="35" t="s">
        <v>9482</v>
      </c>
      <c r="C3542" s="36" t="s">
        <v>9483</v>
      </c>
      <c r="D3542" s="35" t="s">
        <v>340</v>
      </c>
      <c r="E3542" s="35" t="s">
        <v>13963</v>
      </c>
      <c r="F3542" s="35" t="s">
        <v>13860</v>
      </c>
      <c r="G3542" s="35">
        <v>360605</v>
      </c>
      <c r="H3542" s="35">
        <v>400040</v>
      </c>
      <c r="I3542" s="35">
        <v>300000</v>
      </c>
      <c r="J3542" s="34" t="s">
        <v>71</v>
      </c>
      <c r="K3542" s="34" t="str">
        <f t="shared" si="114"/>
        <v>不重复</v>
      </c>
      <c r="L3542" s="34" t="str">
        <f t="shared" si="113"/>
        <v>重复</v>
      </c>
    </row>
    <row r="3543" spans="1:12" ht="30">
      <c r="A3543" s="35" t="s">
        <v>13969</v>
      </c>
      <c r="B3543" s="35" t="s">
        <v>9484</v>
      </c>
      <c r="C3543" s="36" t="s">
        <v>9201</v>
      </c>
      <c r="D3543" s="35" t="s">
        <v>9485</v>
      </c>
      <c r="E3543" s="35" t="s">
        <v>13963</v>
      </c>
      <c r="F3543" s="35" t="s">
        <v>13860</v>
      </c>
      <c r="G3543" s="35">
        <v>360606</v>
      </c>
      <c r="H3543" s="35">
        <v>400040</v>
      </c>
      <c r="I3543" s="35">
        <v>300000</v>
      </c>
      <c r="J3543" s="34" t="s">
        <v>932</v>
      </c>
      <c r="K3543" s="34" t="str">
        <f t="shared" si="114"/>
        <v>重复</v>
      </c>
      <c r="L3543" s="34" t="str">
        <f t="shared" si="115" ref="L3543:L3574">IF(COUNTIF(D:D,D3543)&gt;=2,"重复","不重复")</f>
        <v>不重复</v>
      </c>
    </row>
    <row r="3544" spans="1:12" ht="15">
      <c r="A3544" s="35" t="s">
        <v>13970</v>
      </c>
      <c r="B3544" s="35" t="s">
        <v>9486</v>
      </c>
      <c r="C3544" s="36" t="s">
        <v>2063</v>
      </c>
      <c r="D3544" s="35" t="s">
        <v>9487</v>
      </c>
      <c r="E3544" s="35" t="s">
        <v>13963</v>
      </c>
      <c r="F3544" s="35" t="s">
        <v>13860</v>
      </c>
      <c r="G3544" s="35">
        <v>360607</v>
      </c>
      <c r="H3544" s="35">
        <v>400040</v>
      </c>
      <c r="I3544" s="35">
        <v>300000</v>
      </c>
      <c r="J3544" s="34" t="s">
        <v>363</v>
      </c>
      <c r="K3544" s="34" t="str">
        <f t="shared" si="114"/>
        <v>重复</v>
      </c>
      <c r="L3544" s="34" t="str">
        <f t="shared" si="115"/>
        <v>不重复</v>
      </c>
    </row>
    <row r="3545" spans="1:12" ht="15">
      <c r="A3545" s="35" t="s">
        <v>13971</v>
      </c>
      <c r="B3545" s="35" t="s">
        <v>9488</v>
      </c>
      <c r="C3545" s="36" t="s">
        <v>9489</v>
      </c>
      <c r="D3545" s="35" t="s">
        <v>9490</v>
      </c>
      <c r="E3545" s="35" t="s">
        <v>13963</v>
      </c>
      <c r="F3545" s="35" t="s">
        <v>13860</v>
      </c>
      <c r="G3545" s="35">
        <v>360608</v>
      </c>
      <c r="H3545" s="35">
        <v>400040</v>
      </c>
      <c r="I3545" s="35">
        <v>300000</v>
      </c>
      <c r="J3545" s="34" t="s">
        <v>89</v>
      </c>
      <c r="K3545" s="34" t="str">
        <f t="shared" si="114"/>
        <v>不重复</v>
      </c>
      <c r="L3545" s="34" t="str">
        <f t="shared" si="115"/>
        <v>不重复</v>
      </c>
    </row>
    <row r="3546" spans="1:12" ht="15">
      <c r="A3546" s="35" t="s">
        <v>13972</v>
      </c>
      <c r="B3546" s="35" t="s">
        <v>9491</v>
      </c>
      <c r="C3546" s="36" t="s">
        <v>625</v>
      </c>
      <c r="D3546" s="35" t="s">
        <v>9492</v>
      </c>
      <c r="E3546" s="35" t="s">
        <v>13963</v>
      </c>
      <c r="F3546" s="35" t="s">
        <v>13860</v>
      </c>
      <c r="G3546" s="35">
        <v>360609</v>
      </c>
      <c r="H3546" s="35">
        <v>400040</v>
      </c>
      <c r="I3546" s="35">
        <v>300000</v>
      </c>
      <c r="J3546" s="34" t="s">
        <v>681</v>
      </c>
      <c r="K3546" s="34" t="str">
        <f t="shared" si="114"/>
        <v>重复</v>
      </c>
      <c r="L3546" s="34" t="str">
        <f t="shared" si="115"/>
        <v>不重复</v>
      </c>
    </row>
    <row r="3547" spans="1:12" ht="15">
      <c r="A3547" s="35" t="s">
        <v>13973</v>
      </c>
      <c r="B3547" s="35" t="s">
        <v>9493</v>
      </c>
      <c r="C3547" s="36" t="s">
        <v>9494</v>
      </c>
      <c r="D3547" s="35" t="s">
        <v>4839</v>
      </c>
      <c r="E3547" s="35" t="s">
        <v>13963</v>
      </c>
      <c r="F3547" s="35" t="s">
        <v>13860</v>
      </c>
      <c r="G3547" s="35">
        <v>360610</v>
      </c>
      <c r="H3547" s="35">
        <v>400040</v>
      </c>
      <c r="I3547" s="35">
        <v>300000</v>
      </c>
      <c r="J3547" s="34" t="s">
        <v>390</v>
      </c>
      <c r="K3547" s="34" t="str">
        <f t="shared" si="114"/>
        <v>不重复</v>
      </c>
      <c r="L3547" s="34" t="str">
        <f t="shared" si="115"/>
        <v>重复</v>
      </c>
    </row>
    <row r="3548" spans="1:12" ht="15">
      <c r="A3548" s="35" t="s">
        <v>13974</v>
      </c>
      <c r="B3548" s="35" t="s">
        <v>9495</v>
      </c>
      <c r="C3548" s="36" t="s">
        <v>9496</v>
      </c>
      <c r="D3548" s="35" t="s">
        <v>9497</v>
      </c>
      <c r="E3548" s="35" t="s">
        <v>13963</v>
      </c>
      <c r="F3548" s="35" t="s">
        <v>13860</v>
      </c>
      <c r="G3548" s="35">
        <v>360611</v>
      </c>
      <c r="H3548" s="35">
        <v>400040</v>
      </c>
      <c r="I3548" s="35">
        <v>300000</v>
      </c>
      <c r="J3548" s="34" t="s">
        <v>932</v>
      </c>
      <c r="K3548" s="34" t="str">
        <f t="shared" si="114"/>
        <v>不重复</v>
      </c>
      <c r="L3548" s="34" t="str">
        <f t="shared" si="115"/>
        <v>不重复</v>
      </c>
    </row>
    <row r="3549" spans="1:12" ht="15">
      <c r="A3549" s="35" t="s">
        <v>13975</v>
      </c>
      <c r="B3549" s="35" t="s">
        <v>9498</v>
      </c>
      <c r="C3549" s="36" t="s">
        <v>272</v>
      </c>
      <c r="D3549" s="35" t="s">
        <v>9499</v>
      </c>
      <c r="E3549" s="35" t="s">
        <v>13963</v>
      </c>
      <c r="F3549" s="35" t="s">
        <v>13860</v>
      </c>
      <c r="G3549" s="35">
        <v>360612</v>
      </c>
      <c r="H3549" s="35">
        <v>400040</v>
      </c>
      <c r="I3549" s="35">
        <v>300000</v>
      </c>
      <c r="J3549" s="34" t="s">
        <v>715</v>
      </c>
      <c r="K3549" s="34" t="str">
        <f t="shared" si="114"/>
        <v>重复</v>
      </c>
      <c r="L3549" s="34" t="str">
        <f t="shared" si="115"/>
        <v>不重复</v>
      </c>
    </row>
    <row r="3550" spans="1:12" ht="30">
      <c r="A3550" s="35" t="s">
        <v>13976</v>
      </c>
      <c r="B3550" s="35" t="s">
        <v>9500</v>
      </c>
      <c r="C3550" s="36" t="s">
        <v>3850</v>
      </c>
      <c r="D3550" s="35" t="s">
        <v>9501</v>
      </c>
      <c r="E3550" s="35" t="s">
        <v>13963</v>
      </c>
      <c r="F3550" s="35" t="s">
        <v>13860</v>
      </c>
      <c r="G3550" s="35">
        <v>360613</v>
      </c>
      <c r="H3550" s="35">
        <v>400040</v>
      </c>
      <c r="I3550" s="35">
        <v>300000</v>
      </c>
      <c r="J3550" s="34" t="s">
        <v>9502</v>
      </c>
      <c r="K3550" s="34" t="str">
        <f t="shared" si="114"/>
        <v>重复</v>
      </c>
      <c r="L3550" s="34" t="str">
        <f t="shared" si="115"/>
        <v>重复</v>
      </c>
    </row>
    <row r="3551" spans="1:12" ht="30">
      <c r="A3551" s="35" t="s">
        <v>13976</v>
      </c>
      <c r="B3551" s="35" t="s">
        <v>9500</v>
      </c>
      <c r="C3551" s="36" t="s">
        <v>3850</v>
      </c>
      <c r="D3551" s="35" t="s">
        <v>9501</v>
      </c>
      <c r="E3551" s="35" t="s">
        <v>13963</v>
      </c>
      <c r="F3551" s="35" t="s">
        <v>13860</v>
      </c>
      <c r="G3551" s="35">
        <v>360614</v>
      </c>
      <c r="H3551" s="35">
        <v>400040</v>
      </c>
      <c r="I3551" s="35">
        <v>300000</v>
      </c>
      <c r="J3551" s="34" t="s">
        <v>1372</v>
      </c>
      <c r="K3551" s="34" t="str">
        <f t="shared" si="114"/>
        <v>重复</v>
      </c>
      <c r="L3551" s="34" t="str">
        <f t="shared" si="115"/>
        <v>重复</v>
      </c>
    </row>
    <row r="3552" spans="1:12" ht="15">
      <c r="A3552" s="35" t="s">
        <v>13977</v>
      </c>
      <c r="B3552" s="35" t="s">
        <v>9503</v>
      </c>
      <c r="C3552" s="36" t="s">
        <v>9504</v>
      </c>
      <c r="D3552" s="35" t="s">
        <v>9505</v>
      </c>
      <c r="E3552" s="35" t="s">
        <v>13963</v>
      </c>
      <c r="F3552" s="35" t="s">
        <v>13860</v>
      </c>
      <c r="G3552" s="35">
        <v>360615</v>
      </c>
      <c r="H3552" s="35">
        <v>400040</v>
      </c>
      <c r="I3552" s="35">
        <v>300000</v>
      </c>
      <c r="J3552" s="34" t="s">
        <v>1372</v>
      </c>
      <c r="K3552" s="34" t="str">
        <f t="shared" si="114"/>
        <v>不重复</v>
      </c>
      <c r="L3552" s="34" t="str">
        <f t="shared" si="115"/>
        <v>不重复</v>
      </c>
    </row>
    <row r="3553" spans="1:12" ht="15">
      <c r="A3553" s="35" t="s">
        <v>13978</v>
      </c>
      <c r="B3553" s="35" t="s">
        <v>9506</v>
      </c>
      <c r="C3553" s="36" t="s">
        <v>9507</v>
      </c>
      <c r="D3553" s="35" t="s">
        <v>9508</v>
      </c>
      <c r="E3553" s="35" t="s">
        <v>13963</v>
      </c>
      <c r="F3553" s="35" t="s">
        <v>13860</v>
      </c>
      <c r="G3553" s="35">
        <v>360616</v>
      </c>
      <c r="H3553" s="35">
        <v>400040</v>
      </c>
      <c r="I3553" s="35">
        <v>300000</v>
      </c>
      <c r="J3553" s="34" t="s">
        <v>1468</v>
      </c>
      <c r="K3553" s="34" t="str">
        <f t="shared" si="114"/>
        <v>不重复</v>
      </c>
      <c r="L3553" s="34" t="str">
        <f t="shared" si="115"/>
        <v>不重复</v>
      </c>
    </row>
    <row r="3554" spans="1:12" ht="15">
      <c r="A3554" s="35" t="s">
        <v>13979</v>
      </c>
      <c r="B3554" s="35" t="s">
        <v>9509</v>
      </c>
      <c r="C3554" s="36" t="s">
        <v>9510</v>
      </c>
      <c r="D3554" s="35" t="s">
        <v>9511</v>
      </c>
      <c r="E3554" s="35" t="s">
        <v>13963</v>
      </c>
      <c r="F3554" s="35" t="s">
        <v>13860</v>
      </c>
      <c r="G3554" s="35">
        <v>360617</v>
      </c>
      <c r="H3554" s="35">
        <v>400040</v>
      </c>
      <c r="I3554" s="35">
        <v>300000</v>
      </c>
      <c r="J3554" s="34" t="s">
        <v>756</v>
      </c>
      <c r="K3554" s="34" t="str">
        <f t="shared" si="114"/>
        <v>不重复</v>
      </c>
      <c r="L3554" s="34" t="str">
        <f t="shared" si="115"/>
        <v>不重复</v>
      </c>
    </row>
    <row r="3555" spans="1:12" ht="15">
      <c r="A3555" s="35" t="s">
        <v>13980</v>
      </c>
      <c r="B3555" s="35" t="s">
        <v>9512</v>
      </c>
      <c r="C3555" s="36" t="s">
        <v>9233</v>
      </c>
      <c r="D3555" s="35" t="s">
        <v>9513</v>
      </c>
      <c r="E3555" s="35" t="s">
        <v>13963</v>
      </c>
      <c r="F3555" s="35" t="s">
        <v>13860</v>
      </c>
      <c r="G3555" s="35">
        <v>360618</v>
      </c>
      <c r="H3555" s="35">
        <v>400040</v>
      </c>
      <c r="I3555" s="35">
        <v>300000</v>
      </c>
      <c r="J3555" s="34" t="s">
        <v>962</v>
      </c>
      <c r="K3555" s="34" t="str">
        <f t="shared" si="114"/>
        <v>重复</v>
      </c>
      <c r="L3555" s="34" t="str">
        <f t="shared" si="115"/>
        <v>不重复</v>
      </c>
    </row>
    <row r="3556" spans="1:12" ht="15">
      <c r="A3556" s="35" t="s">
        <v>13981</v>
      </c>
      <c r="B3556" s="35" t="s">
        <v>9514</v>
      </c>
      <c r="C3556" s="36" t="s">
        <v>9515</v>
      </c>
      <c r="D3556" s="35" t="s">
        <v>9516</v>
      </c>
      <c r="E3556" s="35" t="s">
        <v>13963</v>
      </c>
      <c r="F3556" s="35" t="s">
        <v>13860</v>
      </c>
      <c r="G3556" s="35">
        <v>360619</v>
      </c>
      <c r="H3556" s="35">
        <v>400040</v>
      </c>
      <c r="I3556" s="35">
        <v>300000</v>
      </c>
      <c r="J3556" s="34" t="s">
        <v>363</v>
      </c>
      <c r="K3556" s="34" t="str">
        <f t="shared" si="114"/>
        <v>不重复</v>
      </c>
      <c r="L3556" s="34" t="str">
        <f t="shared" si="115"/>
        <v>不重复</v>
      </c>
    </row>
    <row r="3557" spans="1:12" ht="15">
      <c r="A3557" s="35" t="s">
        <v>13982</v>
      </c>
      <c r="B3557" s="35" t="s">
        <v>9517</v>
      </c>
      <c r="C3557" s="36" t="s">
        <v>9518</v>
      </c>
      <c r="D3557" s="35" t="s">
        <v>9519</v>
      </c>
      <c r="E3557" s="35" t="s">
        <v>13963</v>
      </c>
      <c r="F3557" s="35" t="s">
        <v>13860</v>
      </c>
      <c r="G3557" s="35">
        <v>360620</v>
      </c>
      <c r="H3557" s="35">
        <v>400040</v>
      </c>
      <c r="I3557" s="35">
        <v>300000</v>
      </c>
      <c r="J3557" s="34" t="s">
        <v>932</v>
      </c>
      <c r="K3557" s="34" t="str">
        <f t="shared" si="114"/>
        <v>不重复</v>
      </c>
      <c r="L3557" s="34" t="str">
        <f t="shared" si="115"/>
        <v>不重复</v>
      </c>
    </row>
    <row r="3558" spans="1:12" ht="15">
      <c r="A3558" s="35" t="s">
        <v>13983</v>
      </c>
      <c r="B3558" s="35" t="s">
        <v>9520</v>
      </c>
      <c r="C3558" s="36" t="s">
        <v>9280</v>
      </c>
      <c r="D3558" s="35" t="s">
        <v>9521</v>
      </c>
      <c r="E3558" s="35" t="s">
        <v>13983</v>
      </c>
      <c r="F3558" s="35" t="s">
        <v>13860</v>
      </c>
      <c r="G3558" s="35">
        <v>360700</v>
      </c>
      <c r="H3558" s="35">
        <v>400050</v>
      </c>
      <c r="I3558" s="35">
        <v>300000</v>
      </c>
      <c r="J3558" s="34" t="s">
        <v>16</v>
      </c>
      <c r="K3558" s="34" t="str">
        <f t="shared" si="114"/>
        <v>重复</v>
      </c>
      <c r="L3558" s="34" t="str">
        <f t="shared" si="115"/>
        <v>重复</v>
      </c>
    </row>
    <row r="3559" spans="1:12" ht="15">
      <c r="A3559" s="35" t="s">
        <v>13984</v>
      </c>
      <c r="B3559" s="35" t="s">
        <v>9522</v>
      </c>
      <c r="C3559" s="36" t="s">
        <v>2518</v>
      </c>
      <c r="D3559" s="35" t="s">
        <v>9523</v>
      </c>
      <c r="E3559" s="35" t="s">
        <v>13983</v>
      </c>
      <c r="F3559" s="35" t="s">
        <v>13860</v>
      </c>
      <c r="G3559" s="35">
        <v>360701</v>
      </c>
      <c r="H3559" s="35">
        <v>400050</v>
      </c>
      <c r="I3559" s="35">
        <v>300000</v>
      </c>
      <c r="J3559" s="34" t="s">
        <v>715</v>
      </c>
      <c r="K3559" s="34" t="str">
        <f t="shared" si="114"/>
        <v>重复</v>
      </c>
      <c r="L3559" s="34" t="str">
        <f t="shared" si="115"/>
        <v>不重复</v>
      </c>
    </row>
    <row r="3560" spans="1:12" ht="30">
      <c r="A3560" s="35" t="s">
        <v>13985</v>
      </c>
      <c r="B3560" s="35" t="s">
        <v>9524</v>
      </c>
      <c r="C3560" s="36" t="s">
        <v>9525</v>
      </c>
      <c r="D3560" s="35" t="s">
        <v>9526</v>
      </c>
      <c r="E3560" s="35" t="s">
        <v>13983</v>
      </c>
      <c r="F3560" s="35" t="s">
        <v>13860</v>
      </c>
      <c r="G3560" s="35">
        <v>360702</v>
      </c>
      <c r="H3560" s="35">
        <v>400050</v>
      </c>
      <c r="I3560" s="35">
        <v>300000</v>
      </c>
      <c r="J3560" s="34" t="s">
        <v>1288</v>
      </c>
      <c r="K3560" s="34" t="str">
        <f t="shared" si="114"/>
        <v>重复</v>
      </c>
      <c r="L3560" s="34" t="str">
        <f t="shared" si="115"/>
        <v>不重复</v>
      </c>
    </row>
    <row r="3561" spans="1:12" ht="30">
      <c r="A3561" s="35" t="s">
        <v>13986</v>
      </c>
      <c r="B3561" s="35" t="s">
        <v>9527</v>
      </c>
      <c r="C3561" s="36" t="s">
        <v>9525</v>
      </c>
      <c r="D3561" s="35" t="s">
        <v>9528</v>
      </c>
      <c r="E3561" s="35" t="s">
        <v>13983</v>
      </c>
      <c r="F3561" s="35" t="s">
        <v>13860</v>
      </c>
      <c r="G3561" s="35">
        <v>360703</v>
      </c>
      <c r="H3561" s="35">
        <v>400050</v>
      </c>
      <c r="I3561" s="35">
        <v>300000</v>
      </c>
      <c r="J3561" s="34" t="s">
        <v>1288</v>
      </c>
      <c r="K3561" s="34" t="str">
        <f t="shared" si="114"/>
        <v>重复</v>
      </c>
      <c r="L3561" s="34" t="str">
        <f t="shared" si="115"/>
        <v>不重复</v>
      </c>
    </row>
    <row r="3562" spans="1:12" ht="27">
      <c r="A3562" s="35" t="s">
        <v>13987</v>
      </c>
      <c r="B3562" s="35" t="s">
        <v>9529</v>
      </c>
      <c r="C3562" s="36" t="s">
        <v>3620</v>
      </c>
      <c r="D3562" s="35" t="s">
        <v>9530</v>
      </c>
      <c r="E3562" s="35" t="s">
        <v>13983</v>
      </c>
      <c r="F3562" s="35" t="s">
        <v>13860</v>
      </c>
      <c r="G3562" s="35">
        <v>360704</v>
      </c>
      <c r="H3562" s="35">
        <v>400050</v>
      </c>
      <c r="I3562" s="35">
        <v>300000</v>
      </c>
      <c r="J3562" s="34" t="s">
        <v>1468</v>
      </c>
      <c r="K3562" s="34" t="str">
        <f t="shared" si="114"/>
        <v>重复</v>
      </c>
      <c r="L3562" s="34" t="str">
        <f t="shared" si="115"/>
        <v>不重复</v>
      </c>
    </row>
    <row r="3563" spans="1:12" ht="15">
      <c r="A3563" s="35" t="s">
        <v>13988</v>
      </c>
      <c r="B3563" s="35" t="s">
        <v>9531</v>
      </c>
      <c r="C3563" s="36" t="s">
        <v>579</v>
      </c>
      <c r="D3563" s="35" t="s">
        <v>577</v>
      </c>
      <c r="E3563" s="35" t="s">
        <v>13988</v>
      </c>
      <c r="F3563" s="35" t="s">
        <v>13860</v>
      </c>
      <c r="G3563" s="35">
        <v>361200</v>
      </c>
      <c r="H3563" s="35">
        <v>400060</v>
      </c>
      <c r="I3563" s="35">
        <v>300000</v>
      </c>
      <c r="J3563" s="34" t="s">
        <v>16</v>
      </c>
      <c r="K3563" s="34" t="str">
        <f t="shared" si="114"/>
        <v>重复</v>
      </c>
      <c r="L3563" s="34" t="str">
        <f t="shared" si="115"/>
        <v>重复</v>
      </c>
    </row>
    <row r="3564" spans="1:12" ht="15">
      <c r="A3564" s="35" t="s">
        <v>13989</v>
      </c>
      <c r="B3564" s="35" t="s">
        <v>9532</v>
      </c>
      <c r="C3564" s="36" t="s">
        <v>9533</v>
      </c>
      <c r="D3564" s="35" t="s">
        <v>9534</v>
      </c>
      <c r="E3564" s="35" t="s">
        <v>13988</v>
      </c>
      <c r="F3564" s="35" t="s">
        <v>13860</v>
      </c>
      <c r="G3564" s="35">
        <v>361201</v>
      </c>
      <c r="H3564" s="35">
        <v>400060</v>
      </c>
      <c r="I3564" s="35">
        <v>300000</v>
      </c>
      <c r="J3564" s="34" t="s">
        <v>4963</v>
      </c>
      <c r="K3564" s="34" t="str">
        <f t="shared" si="114"/>
        <v>不重复</v>
      </c>
      <c r="L3564" s="34" t="str">
        <f t="shared" si="115"/>
        <v>不重复</v>
      </c>
    </row>
    <row r="3565" spans="1:12" ht="30">
      <c r="A3565" s="35" t="s">
        <v>13990</v>
      </c>
      <c r="B3565" s="35" t="s">
        <v>9535</v>
      </c>
      <c r="C3565" s="36" t="s">
        <v>622</v>
      </c>
      <c r="D3565" s="35" t="s">
        <v>9536</v>
      </c>
      <c r="E3565" s="35" t="s">
        <v>13988</v>
      </c>
      <c r="F3565" s="35" t="s">
        <v>13860</v>
      </c>
      <c r="G3565" s="35">
        <v>361202</v>
      </c>
      <c r="H3565" s="35">
        <v>400060</v>
      </c>
      <c r="I3565" s="35">
        <v>300000</v>
      </c>
      <c r="J3565" s="34" t="s">
        <v>458</v>
      </c>
      <c r="K3565" s="34" t="str">
        <f t="shared" si="114"/>
        <v>重复</v>
      </c>
      <c r="L3565" s="34" t="str">
        <f t="shared" si="115"/>
        <v>不重复</v>
      </c>
    </row>
    <row r="3566" spans="1:12" ht="15">
      <c r="A3566" s="35" t="s">
        <v>13991</v>
      </c>
      <c r="B3566" s="35" t="s">
        <v>9537</v>
      </c>
      <c r="C3566" s="36" t="s">
        <v>5325</v>
      </c>
      <c r="D3566" s="35" t="s">
        <v>9538</v>
      </c>
      <c r="E3566" s="35" t="s">
        <v>13988</v>
      </c>
      <c r="F3566" s="35" t="s">
        <v>13860</v>
      </c>
      <c r="G3566" s="35">
        <v>361203</v>
      </c>
      <c r="H3566" s="35">
        <v>400060</v>
      </c>
      <c r="I3566" s="35">
        <v>300000</v>
      </c>
      <c r="J3566" s="34" t="s">
        <v>681</v>
      </c>
      <c r="K3566" s="34" t="str">
        <f t="shared" si="114"/>
        <v>重复</v>
      </c>
      <c r="L3566" s="34" t="str">
        <f t="shared" si="115"/>
        <v>不重复</v>
      </c>
    </row>
    <row r="3567" spans="1:12" ht="15">
      <c r="A3567" s="35" t="s">
        <v>13992</v>
      </c>
      <c r="B3567" s="35" t="s">
        <v>9539</v>
      </c>
      <c r="C3567" s="36" t="s">
        <v>7001</v>
      </c>
      <c r="D3567" s="35" t="s">
        <v>9540</v>
      </c>
      <c r="E3567" s="35" t="s">
        <v>13988</v>
      </c>
      <c r="F3567" s="35" t="s">
        <v>13860</v>
      </c>
      <c r="G3567" s="35">
        <v>361204</v>
      </c>
      <c r="H3567" s="35">
        <v>400060</v>
      </c>
      <c r="I3567" s="35">
        <v>300000</v>
      </c>
      <c r="J3567" s="34" t="s">
        <v>89</v>
      </c>
      <c r="K3567" s="34" t="str">
        <f t="shared" si="114"/>
        <v>重复</v>
      </c>
      <c r="L3567" s="34" t="str">
        <f t="shared" si="115"/>
        <v>不重复</v>
      </c>
    </row>
    <row r="3568" spans="1:12" ht="15">
      <c r="A3568" s="35" t="s">
        <v>13993</v>
      </c>
      <c r="B3568" s="35" t="s">
        <v>9541</v>
      </c>
      <c r="C3568" s="36" t="s">
        <v>2518</v>
      </c>
      <c r="D3568" s="35" t="s">
        <v>9542</v>
      </c>
      <c r="E3568" s="35" t="s">
        <v>13988</v>
      </c>
      <c r="F3568" s="35" t="s">
        <v>13860</v>
      </c>
      <c r="G3568" s="35">
        <v>361205</v>
      </c>
      <c r="H3568" s="35">
        <v>400060</v>
      </c>
      <c r="I3568" s="35">
        <v>300000</v>
      </c>
      <c r="J3568" s="34" t="s">
        <v>932</v>
      </c>
      <c r="K3568" s="34" t="str">
        <f t="shared" si="114"/>
        <v>重复</v>
      </c>
      <c r="L3568" s="34" t="str">
        <f t="shared" si="115"/>
        <v>不重复</v>
      </c>
    </row>
    <row r="3569" spans="1:12" ht="15">
      <c r="A3569" s="35" t="s">
        <v>13994</v>
      </c>
      <c r="B3569" s="35" t="s">
        <v>9543</v>
      </c>
      <c r="C3569" s="36" t="s">
        <v>8284</v>
      </c>
      <c r="D3569" s="35" t="s">
        <v>9544</v>
      </c>
      <c r="E3569" s="35" t="s">
        <v>13988</v>
      </c>
      <c r="F3569" s="35" t="s">
        <v>13860</v>
      </c>
      <c r="G3569" s="35">
        <v>361206</v>
      </c>
      <c r="H3569" s="35">
        <v>400060</v>
      </c>
      <c r="I3569" s="35">
        <v>300000</v>
      </c>
      <c r="J3569" s="34" t="s">
        <v>4963</v>
      </c>
      <c r="K3569" s="34" t="str">
        <f t="shared" si="114"/>
        <v>重复</v>
      </c>
      <c r="L3569" s="34" t="str">
        <f t="shared" si="115"/>
        <v>不重复</v>
      </c>
    </row>
    <row r="3570" spans="1:12" ht="15">
      <c r="A3570" s="35" t="s">
        <v>13995</v>
      </c>
      <c r="B3570" s="35" t="s">
        <v>9545</v>
      </c>
      <c r="C3570" s="36" t="s">
        <v>9546</v>
      </c>
      <c r="D3570" s="35" t="s">
        <v>9547</v>
      </c>
      <c r="E3570" s="35" t="s">
        <v>13988</v>
      </c>
      <c r="F3570" s="35" t="s">
        <v>13860</v>
      </c>
      <c r="G3570" s="35">
        <v>361207</v>
      </c>
      <c r="H3570" s="35">
        <v>400060</v>
      </c>
      <c r="I3570" s="35">
        <v>300000</v>
      </c>
      <c r="J3570" s="34" t="s">
        <v>5619</v>
      </c>
      <c r="K3570" s="34" t="str">
        <f t="shared" si="114"/>
        <v>不重复</v>
      </c>
      <c r="L3570" s="34" t="str">
        <f t="shared" si="115"/>
        <v>不重复</v>
      </c>
    </row>
    <row r="3571" spans="1:12" ht="15">
      <c r="A3571" s="35" t="s">
        <v>13996</v>
      </c>
      <c r="B3571" s="35" t="s">
        <v>9548</v>
      </c>
      <c r="C3571" s="36" t="s">
        <v>3620</v>
      </c>
      <c r="D3571" s="35" t="s">
        <v>9549</v>
      </c>
      <c r="E3571" s="35" t="s">
        <v>13988</v>
      </c>
      <c r="F3571" s="35" t="s">
        <v>13860</v>
      </c>
      <c r="G3571" s="35">
        <v>361208</v>
      </c>
      <c r="H3571" s="35">
        <v>400060</v>
      </c>
      <c r="I3571" s="35">
        <v>300000</v>
      </c>
      <c r="J3571" s="34" t="s">
        <v>363</v>
      </c>
      <c r="K3571" s="34" t="str">
        <f t="shared" si="114"/>
        <v>重复</v>
      </c>
      <c r="L3571" s="34" t="str">
        <f t="shared" si="115"/>
        <v>不重复</v>
      </c>
    </row>
    <row r="3572" spans="1:12" ht="15">
      <c r="A3572" s="35" t="s">
        <v>13997</v>
      </c>
      <c r="B3572" s="35" t="s">
        <v>9550</v>
      </c>
      <c r="C3572" s="36" t="s">
        <v>9551</v>
      </c>
      <c r="D3572" s="35" t="s">
        <v>9552</v>
      </c>
      <c r="E3572" s="35" t="s">
        <v>13988</v>
      </c>
      <c r="F3572" s="35" t="s">
        <v>13860</v>
      </c>
      <c r="G3572" s="35">
        <v>361209</v>
      </c>
      <c r="H3572" s="35">
        <v>400060</v>
      </c>
      <c r="I3572" s="35">
        <v>300000</v>
      </c>
      <c r="J3572" s="34" t="s">
        <v>715</v>
      </c>
      <c r="K3572" s="34" t="str">
        <f t="shared" si="114"/>
        <v>不重复</v>
      </c>
      <c r="L3572" s="34" t="str">
        <f t="shared" si="115"/>
        <v>不重复</v>
      </c>
    </row>
    <row r="3573" spans="1:12" ht="15">
      <c r="A3573" s="35" t="s">
        <v>13998</v>
      </c>
      <c r="B3573" s="35" t="s">
        <v>9553</v>
      </c>
      <c r="C3573" s="36" t="s">
        <v>9554</v>
      </c>
      <c r="D3573" s="35" t="s">
        <v>9555</v>
      </c>
      <c r="E3573" s="35" t="s">
        <v>13988</v>
      </c>
      <c r="F3573" s="35" t="s">
        <v>13860</v>
      </c>
      <c r="G3573" s="35">
        <v>361210</v>
      </c>
      <c r="H3573" s="35">
        <v>400060</v>
      </c>
      <c r="I3573" s="35">
        <v>300000</v>
      </c>
      <c r="J3573" s="34" t="s">
        <v>932</v>
      </c>
      <c r="K3573" s="34" t="str">
        <f t="shared" si="114"/>
        <v>不重复</v>
      </c>
      <c r="L3573" s="34" t="str">
        <f t="shared" si="115"/>
        <v>不重复</v>
      </c>
    </row>
    <row r="3574" spans="1:12" ht="15">
      <c r="A3574" s="35" t="s">
        <v>13999</v>
      </c>
      <c r="B3574" s="35" t="s">
        <v>9556</v>
      </c>
      <c r="C3574" s="36" t="s">
        <v>9557</v>
      </c>
      <c r="D3574" s="35" t="s">
        <v>9558</v>
      </c>
      <c r="E3574" s="35" t="s">
        <v>13988</v>
      </c>
      <c r="F3574" s="35" t="s">
        <v>13860</v>
      </c>
      <c r="G3574" s="35">
        <v>361211</v>
      </c>
      <c r="H3574" s="35">
        <v>400060</v>
      </c>
      <c r="I3574" s="35">
        <v>300000</v>
      </c>
      <c r="J3574" s="34" t="s">
        <v>89</v>
      </c>
      <c r="K3574" s="34" t="str">
        <f t="shared" si="114"/>
        <v>不重复</v>
      </c>
      <c r="L3574" s="34" t="str">
        <f t="shared" si="115"/>
        <v>不重复</v>
      </c>
    </row>
    <row r="3575" spans="1:12" ht="30">
      <c r="A3575" s="35" t="s">
        <v>14000</v>
      </c>
      <c r="B3575" s="35" t="s">
        <v>9559</v>
      </c>
      <c r="C3575" s="36" t="s">
        <v>1574</v>
      </c>
      <c r="D3575" s="35" t="s">
        <v>9560</v>
      </c>
      <c r="E3575" s="35" t="s">
        <v>13988</v>
      </c>
      <c r="F3575" s="35" t="s">
        <v>13860</v>
      </c>
      <c r="G3575" s="35">
        <v>361212</v>
      </c>
      <c r="H3575" s="35">
        <v>400060</v>
      </c>
      <c r="I3575" s="35">
        <v>300000</v>
      </c>
      <c r="J3575" s="34" t="s">
        <v>609</v>
      </c>
      <c r="K3575" s="34" t="str">
        <f t="shared" si="114"/>
        <v>重复</v>
      </c>
      <c r="L3575" s="34" t="str">
        <f t="shared" si="116" ref="L3575:L3606">IF(COUNTIF(D:D,D3575)&gt;=2,"重复","不重复")</f>
        <v>不重复</v>
      </c>
    </row>
    <row r="3576" spans="1:12" ht="15">
      <c r="A3576" s="35" t="s">
        <v>14001</v>
      </c>
      <c r="B3576" s="35" t="s">
        <v>9561</v>
      </c>
      <c r="C3576" s="36" t="s">
        <v>6773</v>
      </c>
      <c r="D3576" s="35" t="s">
        <v>9562</v>
      </c>
      <c r="E3576" s="35" t="s">
        <v>13988</v>
      </c>
      <c r="F3576" s="35" t="s">
        <v>13860</v>
      </c>
      <c r="G3576" s="35">
        <v>361213</v>
      </c>
      <c r="H3576" s="35">
        <v>400060</v>
      </c>
      <c r="I3576" s="35">
        <v>300000</v>
      </c>
      <c r="J3576" s="34" t="s">
        <v>932</v>
      </c>
      <c r="K3576" s="34" t="str">
        <f t="shared" si="114"/>
        <v>重复</v>
      </c>
      <c r="L3576" s="34" t="str">
        <f t="shared" si="116"/>
        <v>不重复</v>
      </c>
    </row>
    <row r="3577" spans="1:12" ht="27">
      <c r="A3577" s="35" t="s">
        <v>14002</v>
      </c>
      <c r="B3577" s="35" t="s">
        <v>9563</v>
      </c>
      <c r="C3577" s="36" t="s">
        <v>9564</v>
      </c>
      <c r="D3577" s="35" t="s">
        <v>9565</v>
      </c>
      <c r="E3577" s="35" t="s">
        <v>13988</v>
      </c>
      <c r="F3577" s="35" t="s">
        <v>13860</v>
      </c>
      <c r="G3577" s="35">
        <v>361214</v>
      </c>
      <c r="H3577" s="35">
        <v>400060</v>
      </c>
      <c r="I3577" s="35">
        <v>300000</v>
      </c>
      <c r="J3577" s="34" t="s">
        <v>9566</v>
      </c>
      <c r="K3577" s="34" t="str">
        <f t="shared" si="114"/>
        <v>不重复</v>
      </c>
      <c r="L3577" s="34" t="str">
        <f t="shared" si="116"/>
        <v>不重复</v>
      </c>
    </row>
    <row r="3578" spans="1:12" ht="30">
      <c r="A3578" s="35" t="s">
        <v>14003</v>
      </c>
      <c r="B3578" s="35" t="s">
        <v>9567</v>
      </c>
      <c r="C3578" s="36" t="s">
        <v>771</v>
      </c>
      <c r="D3578" s="35" t="s">
        <v>9568</v>
      </c>
      <c r="E3578" s="35" t="s">
        <v>13988</v>
      </c>
      <c r="F3578" s="35" t="s">
        <v>13860</v>
      </c>
      <c r="G3578" s="35">
        <v>361215</v>
      </c>
      <c r="H3578" s="35">
        <v>400060</v>
      </c>
      <c r="I3578" s="35">
        <v>300000</v>
      </c>
      <c r="J3578" s="34" t="s">
        <v>363</v>
      </c>
      <c r="K3578" s="34" t="str">
        <f t="shared" si="114"/>
        <v>重复</v>
      </c>
      <c r="L3578" s="34" t="str">
        <f t="shared" si="116"/>
        <v>不重复</v>
      </c>
    </row>
    <row r="3579" spans="1:12" ht="30">
      <c r="A3579" s="35" t="s">
        <v>14004</v>
      </c>
      <c r="B3579" s="35" t="s">
        <v>9569</v>
      </c>
      <c r="C3579" s="36" t="s">
        <v>620</v>
      </c>
      <c r="D3579" s="35" t="s">
        <v>9570</v>
      </c>
      <c r="E3579" s="35" t="s">
        <v>13988</v>
      </c>
      <c r="F3579" s="35" t="s">
        <v>13860</v>
      </c>
      <c r="G3579" s="35">
        <v>361216</v>
      </c>
      <c r="H3579" s="35">
        <v>400060</v>
      </c>
      <c r="I3579" s="35">
        <v>300000</v>
      </c>
      <c r="J3579" s="34" t="s">
        <v>363</v>
      </c>
      <c r="K3579" s="34" t="str">
        <f t="shared" si="114"/>
        <v>重复</v>
      </c>
      <c r="L3579" s="34" t="str">
        <f t="shared" si="116"/>
        <v>不重复</v>
      </c>
    </row>
    <row r="3580" spans="1:12" ht="27">
      <c r="A3580" s="35" t="s">
        <v>14005</v>
      </c>
      <c r="B3580" s="35" t="s">
        <v>9571</v>
      </c>
      <c r="C3580" s="36" t="s">
        <v>6933</v>
      </c>
      <c r="D3580" s="35" t="s">
        <v>9572</v>
      </c>
      <c r="E3580" s="35" t="s">
        <v>13988</v>
      </c>
      <c r="F3580" s="35" t="s">
        <v>13860</v>
      </c>
      <c r="G3580" s="35">
        <v>361217</v>
      </c>
      <c r="H3580" s="35">
        <v>400060</v>
      </c>
      <c r="I3580" s="35">
        <v>300000</v>
      </c>
      <c r="J3580" s="34" t="s">
        <v>6484</v>
      </c>
      <c r="K3580" s="34" t="str">
        <f t="shared" si="114"/>
        <v>重复</v>
      </c>
      <c r="L3580" s="34" t="str">
        <f t="shared" si="116"/>
        <v>不重复</v>
      </c>
    </row>
    <row r="3581" spans="1:12" ht="15">
      <c r="A3581" s="35" t="s">
        <v>14006</v>
      </c>
      <c r="B3581" s="35" t="s">
        <v>9573</v>
      </c>
      <c r="C3581" s="36" t="s">
        <v>5959</v>
      </c>
      <c r="D3581" s="35" t="s">
        <v>1287</v>
      </c>
      <c r="E3581" s="35" t="s">
        <v>13988</v>
      </c>
      <c r="F3581" s="35" t="s">
        <v>13860</v>
      </c>
      <c r="G3581" s="35">
        <v>361218</v>
      </c>
      <c r="H3581" s="35">
        <v>400060</v>
      </c>
      <c r="I3581" s="35">
        <v>300000</v>
      </c>
      <c r="J3581" s="34" t="s">
        <v>1473</v>
      </c>
      <c r="K3581" s="34" t="str">
        <f t="shared" si="114"/>
        <v>重复</v>
      </c>
      <c r="L3581" s="34" t="str">
        <f t="shared" si="116"/>
        <v>重复</v>
      </c>
    </row>
    <row r="3582" spans="1:12" ht="30">
      <c r="A3582" s="35" t="s">
        <v>14007</v>
      </c>
      <c r="B3582" s="35" t="s">
        <v>9574</v>
      </c>
      <c r="C3582" s="36" t="s">
        <v>9575</v>
      </c>
      <c r="D3582" s="35" t="s">
        <v>9576</v>
      </c>
      <c r="E3582" s="35" t="s">
        <v>13988</v>
      </c>
      <c r="F3582" s="35" t="s">
        <v>13860</v>
      </c>
      <c r="G3582" s="35">
        <v>361219</v>
      </c>
      <c r="H3582" s="35">
        <v>400060</v>
      </c>
      <c r="I3582" s="35">
        <v>300000</v>
      </c>
      <c r="J3582" s="34" t="s">
        <v>363</v>
      </c>
      <c r="K3582" s="34" t="str">
        <f t="shared" si="114"/>
        <v>不重复</v>
      </c>
      <c r="L3582" s="34" t="str">
        <f t="shared" si="116"/>
        <v>不重复</v>
      </c>
    </row>
    <row r="3583" spans="1:12" ht="15">
      <c r="A3583" s="35" t="s">
        <v>14008</v>
      </c>
      <c r="B3583" s="35" t="s">
        <v>9577</v>
      </c>
      <c r="C3583" s="36" t="s">
        <v>5938</v>
      </c>
      <c r="D3583" s="35" t="s">
        <v>9578</v>
      </c>
      <c r="E3583" s="35" t="s">
        <v>13988</v>
      </c>
      <c r="F3583" s="35" t="s">
        <v>13860</v>
      </c>
      <c r="G3583" s="35">
        <v>361220</v>
      </c>
      <c r="H3583" s="35">
        <v>400060</v>
      </c>
      <c r="I3583" s="35">
        <v>300000</v>
      </c>
      <c r="J3583" s="34" t="s">
        <v>1473</v>
      </c>
      <c r="K3583" s="34" t="str">
        <f t="shared" si="114"/>
        <v>重复</v>
      </c>
      <c r="L3583" s="34" t="str">
        <f t="shared" si="116"/>
        <v>不重复</v>
      </c>
    </row>
    <row r="3584" spans="1:12" ht="30">
      <c r="A3584" s="35" t="s">
        <v>14009</v>
      </c>
      <c r="B3584" s="35" t="s">
        <v>9579</v>
      </c>
      <c r="C3584" s="36" t="s">
        <v>5317</v>
      </c>
      <c r="D3584" s="35" t="s">
        <v>9580</v>
      </c>
      <c r="E3584" s="35" t="s">
        <v>13988</v>
      </c>
      <c r="F3584" s="35" t="s">
        <v>13860</v>
      </c>
      <c r="G3584" s="35">
        <v>361221</v>
      </c>
      <c r="H3584" s="35">
        <v>400060</v>
      </c>
      <c r="I3584" s="35">
        <v>300000</v>
      </c>
      <c r="J3584" s="34" t="s">
        <v>9581</v>
      </c>
      <c r="K3584" s="34" t="str">
        <f t="shared" si="114"/>
        <v>重复</v>
      </c>
      <c r="L3584" s="34" t="str">
        <f t="shared" si="116"/>
        <v>不重复</v>
      </c>
    </row>
    <row r="3585" spans="1:12" ht="15">
      <c r="A3585" s="35" t="s">
        <v>14010</v>
      </c>
      <c r="B3585" s="35" t="s">
        <v>9582</v>
      </c>
      <c r="C3585" s="36" t="s">
        <v>9583</v>
      </c>
      <c r="D3585" s="35" t="s">
        <v>9584</v>
      </c>
      <c r="E3585" s="35" t="s">
        <v>14011</v>
      </c>
      <c r="F3585" s="35" t="s">
        <v>13860</v>
      </c>
      <c r="G3585" s="35">
        <v>361301</v>
      </c>
      <c r="H3585" s="35">
        <v>400061</v>
      </c>
      <c r="I3585" s="35">
        <v>300000</v>
      </c>
      <c r="J3585" s="34"/>
      <c r="K3585" s="34" t="str">
        <f t="shared" si="117" ref="K3585:K3648">IF(COUNTIF(C:C,C3585)&gt;=2,"重复","不重复")</f>
        <v>重复</v>
      </c>
      <c r="L3585" s="34" t="str">
        <f t="shared" si="116"/>
        <v>不重复</v>
      </c>
    </row>
    <row r="3586" spans="1:12" ht="15">
      <c r="A3586" s="35" t="s">
        <v>14012</v>
      </c>
      <c r="B3586" s="35" t="s">
        <v>9585</v>
      </c>
      <c r="C3586" s="36" t="s">
        <v>4912</v>
      </c>
      <c r="D3586" s="35" t="s">
        <v>9586</v>
      </c>
      <c r="E3586" s="35" t="s">
        <v>14012</v>
      </c>
      <c r="F3586" s="35" t="s">
        <v>13860</v>
      </c>
      <c r="G3586" s="35">
        <v>362000</v>
      </c>
      <c r="H3586" s="35">
        <v>400070</v>
      </c>
      <c r="I3586" s="35">
        <v>300000</v>
      </c>
      <c r="J3586" s="34" t="s">
        <v>16</v>
      </c>
      <c r="K3586" s="34" t="str">
        <f t="shared" si="117"/>
        <v>重复</v>
      </c>
      <c r="L3586" s="34" t="str">
        <f t="shared" si="116"/>
        <v>不重复</v>
      </c>
    </row>
    <row r="3587" spans="1:12" ht="15">
      <c r="A3587" s="35" t="s">
        <v>14013</v>
      </c>
      <c r="B3587" s="35" t="s">
        <v>9587</v>
      </c>
      <c r="C3587" s="36" t="s">
        <v>9588</v>
      </c>
      <c r="D3587" s="35" t="s">
        <v>9589</v>
      </c>
      <c r="E3587" s="35" t="s">
        <v>14012</v>
      </c>
      <c r="F3587" s="35" t="s">
        <v>13860</v>
      </c>
      <c r="G3587" s="35">
        <v>362001</v>
      </c>
      <c r="H3587" s="35">
        <v>400070</v>
      </c>
      <c r="I3587" s="35">
        <v>300000</v>
      </c>
      <c r="J3587" s="34" t="s">
        <v>7659</v>
      </c>
      <c r="K3587" s="34" t="str">
        <f t="shared" si="117"/>
        <v>不重复</v>
      </c>
      <c r="L3587" s="34" t="str">
        <f t="shared" si="116"/>
        <v>不重复</v>
      </c>
    </row>
    <row r="3588" spans="1:12" ht="27">
      <c r="A3588" s="35" t="s">
        <v>14014</v>
      </c>
      <c r="B3588" s="35" t="s">
        <v>9590</v>
      </c>
      <c r="C3588" s="36" t="s">
        <v>9591</v>
      </c>
      <c r="D3588" s="35" t="s">
        <v>9592</v>
      </c>
      <c r="E3588" s="35" t="s">
        <v>14012</v>
      </c>
      <c r="F3588" s="35" t="s">
        <v>13860</v>
      </c>
      <c r="G3588" s="35">
        <v>362002</v>
      </c>
      <c r="H3588" s="35">
        <v>400070</v>
      </c>
      <c r="I3588" s="35">
        <v>300000</v>
      </c>
      <c r="J3588" s="34" t="s">
        <v>1335</v>
      </c>
      <c r="K3588" s="34" t="str">
        <f t="shared" si="117"/>
        <v>不重复</v>
      </c>
      <c r="L3588" s="34" t="str">
        <f t="shared" si="116"/>
        <v>不重复</v>
      </c>
    </row>
    <row r="3589" spans="1:12" ht="27">
      <c r="A3589" s="35" t="s">
        <v>14015</v>
      </c>
      <c r="B3589" s="35" t="s">
        <v>9593</v>
      </c>
      <c r="C3589" s="36" t="s">
        <v>9594</v>
      </c>
      <c r="D3589" s="35" t="s">
        <v>9595</v>
      </c>
      <c r="E3589" s="35" t="s">
        <v>14012</v>
      </c>
      <c r="F3589" s="35" t="s">
        <v>13860</v>
      </c>
      <c r="G3589" s="35">
        <v>362003</v>
      </c>
      <c r="H3589" s="35">
        <v>400070</v>
      </c>
      <c r="I3589" s="35">
        <v>300000</v>
      </c>
      <c r="J3589" s="34" t="s">
        <v>1292</v>
      </c>
      <c r="K3589" s="34" t="str">
        <f t="shared" si="117"/>
        <v>不重复</v>
      </c>
      <c r="L3589" s="34" t="str">
        <f t="shared" si="116"/>
        <v>不重复</v>
      </c>
    </row>
    <row r="3590" spans="1:12" ht="27">
      <c r="A3590" s="35" t="s">
        <v>14016</v>
      </c>
      <c r="B3590" s="35" t="s">
        <v>9596</v>
      </c>
      <c r="C3590" s="36" t="s">
        <v>2238</v>
      </c>
      <c r="D3590" s="35" t="s">
        <v>9597</v>
      </c>
      <c r="E3590" s="35" t="s">
        <v>14012</v>
      </c>
      <c r="F3590" s="35" t="s">
        <v>13860</v>
      </c>
      <c r="G3590" s="35">
        <v>362004</v>
      </c>
      <c r="H3590" s="35">
        <v>400070</v>
      </c>
      <c r="I3590" s="35">
        <v>300000</v>
      </c>
      <c r="J3590" s="34" t="s">
        <v>3639</v>
      </c>
      <c r="K3590" s="34" t="str">
        <f t="shared" si="117"/>
        <v>重复</v>
      </c>
      <c r="L3590" s="34" t="str">
        <f t="shared" si="116"/>
        <v>重复</v>
      </c>
    </row>
    <row r="3591" spans="1:12" ht="27">
      <c r="A3591" s="35" t="s">
        <v>14017</v>
      </c>
      <c r="B3591" s="35" t="s">
        <v>9598</v>
      </c>
      <c r="C3591" s="36" t="s">
        <v>9599</v>
      </c>
      <c r="D3591" s="35" t="s">
        <v>9597</v>
      </c>
      <c r="E3591" s="35" t="s">
        <v>14012</v>
      </c>
      <c r="F3591" s="35" t="s">
        <v>13860</v>
      </c>
      <c r="G3591" s="35">
        <v>362005</v>
      </c>
      <c r="H3591" s="35">
        <v>400070</v>
      </c>
      <c r="I3591" s="35">
        <v>300000</v>
      </c>
      <c r="J3591" s="34" t="s">
        <v>458</v>
      </c>
      <c r="K3591" s="34" t="str">
        <f t="shared" si="117"/>
        <v>不重复</v>
      </c>
      <c r="L3591" s="34" t="str">
        <f t="shared" si="116"/>
        <v>重复</v>
      </c>
    </row>
    <row r="3592" spans="1:12" ht="27">
      <c r="A3592" s="35" t="s">
        <v>14018</v>
      </c>
      <c r="B3592" s="35" t="s">
        <v>9600</v>
      </c>
      <c r="C3592" s="36" t="s">
        <v>9601</v>
      </c>
      <c r="D3592" s="35" t="s">
        <v>9602</v>
      </c>
      <c r="E3592" s="35" t="s">
        <v>14012</v>
      </c>
      <c r="F3592" s="35" t="s">
        <v>13860</v>
      </c>
      <c r="G3592" s="35">
        <v>362006</v>
      </c>
      <c r="H3592" s="35">
        <v>400070</v>
      </c>
      <c r="I3592" s="35">
        <v>300000</v>
      </c>
      <c r="J3592" s="34" t="s">
        <v>3493</v>
      </c>
      <c r="K3592" s="34" t="str">
        <f t="shared" si="117"/>
        <v>重复</v>
      </c>
      <c r="L3592" s="34" t="str">
        <f t="shared" si="116"/>
        <v>重复</v>
      </c>
    </row>
    <row r="3593" spans="1:12" ht="27">
      <c r="A3593" s="35" t="s">
        <v>14018</v>
      </c>
      <c r="B3593" s="35" t="s">
        <v>9600</v>
      </c>
      <c r="C3593" s="36" t="s">
        <v>9601</v>
      </c>
      <c r="D3593" s="35" t="s">
        <v>9602</v>
      </c>
      <c r="E3593" s="35" t="s">
        <v>14012</v>
      </c>
      <c r="F3593" s="35" t="s">
        <v>13860</v>
      </c>
      <c r="G3593" s="35">
        <v>362007</v>
      </c>
      <c r="H3593" s="35">
        <v>400070</v>
      </c>
      <c r="I3593" s="35">
        <v>300000</v>
      </c>
      <c r="J3593" s="34" t="s">
        <v>9603</v>
      </c>
      <c r="K3593" s="34" t="str">
        <f t="shared" si="117"/>
        <v>重复</v>
      </c>
      <c r="L3593" s="34" t="str">
        <f t="shared" si="116"/>
        <v>重复</v>
      </c>
    </row>
    <row r="3594" spans="1:12" ht="15">
      <c r="A3594" s="35" t="s">
        <v>14019</v>
      </c>
      <c r="B3594" s="35" t="s">
        <v>9604</v>
      </c>
      <c r="C3594" s="36" t="s">
        <v>9605</v>
      </c>
      <c r="D3594" s="35" t="s">
        <v>9606</v>
      </c>
      <c r="E3594" s="35" t="s">
        <v>14012</v>
      </c>
      <c r="F3594" s="35" t="s">
        <v>13860</v>
      </c>
      <c r="G3594" s="35">
        <v>362008</v>
      </c>
      <c r="H3594" s="35">
        <v>400070</v>
      </c>
      <c r="I3594" s="35">
        <v>300000</v>
      </c>
      <c r="J3594" s="34" t="s">
        <v>1288</v>
      </c>
      <c r="K3594" s="34" t="str">
        <f t="shared" si="117"/>
        <v>不重复</v>
      </c>
      <c r="L3594" s="34" t="str">
        <f t="shared" si="116"/>
        <v>不重复</v>
      </c>
    </row>
    <row r="3595" spans="1:12" ht="15">
      <c r="A3595" s="35" t="s">
        <v>14020</v>
      </c>
      <c r="B3595" s="35" t="s">
        <v>9607</v>
      </c>
      <c r="C3595" s="36" t="s">
        <v>9608</v>
      </c>
      <c r="D3595" s="35" t="s">
        <v>9609</v>
      </c>
      <c r="E3595" s="35" t="s">
        <v>14012</v>
      </c>
      <c r="F3595" s="35" t="s">
        <v>13860</v>
      </c>
      <c r="G3595" s="35">
        <v>362009</v>
      </c>
      <c r="H3595" s="35">
        <v>400070</v>
      </c>
      <c r="I3595" s="35">
        <v>300000</v>
      </c>
      <c r="J3595" s="34" t="s">
        <v>508</v>
      </c>
      <c r="K3595" s="34" t="str">
        <f t="shared" si="117"/>
        <v>不重复</v>
      </c>
      <c r="L3595" s="34" t="str">
        <f t="shared" si="116"/>
        <v>不重复</v>
      </c>
    </row>
    <row r="3596" spans="1:12" ht="15">
      <c r="A3596" s="35" t="s">
        <v>14021</v>
      </c>
      <c r="B3596" s="35" t="s">
        <v>9610</v>
      </c>
      <c r="C3596" s="36" t="s">
        <v>9611</v>
      </c>
      <c r="D3596" s="35" t="s">
        <v>9612</v>
      </c>
      <c r="E3596" s="35" t="s">
        <v>14012</v>
      </c>
      <c r="F3596" s="35" t="s">
        <v>13860</v>
      </c>
      <c r="G3596" s="35">
        <v>362010</v>
      </c>
      <c r="H3596" s="35">
        <v>400070</v>
      </c>
      <c r="I3596" s="35">
        <v>300000</v>
      </c>
      <c r="J3596" s="34" t="s">
        <v>5548</v>
      </c>
      <c r="K3596" s="34" t="str">
        <f t="shared" si="117"/>
        <v>重复</v>
      </c>
      <c r="L3596" s="34" t="str">
        <f t="shared" si="116"/>
        <v>不重复</v>
      </c>
    </row>
    <row r="3597" spans="1:12" ht="30">
      <c r="A3597" s="35" t="s">
        <v>14022</v>
      </c>
      <c r="B3597" s="35" t="s">
        <v>9613</v>
      </c>
      <c r="C3597" s="36" t="s">
        <v>9614</v>
      </c>
      <c r="D3597" s="35" t="s">
        <v>9615</v>
      </c>
      <c r="E3597" s="35" t="s">
        <v>14012</v>
      </c>
      <c r="F3597" s="35" t="s">
        <v>13860</v>
      </c>
      <c r="G3597" s="35">
        <v>362011</v>
      </c>
      <c r="H3597" s="35">
        <v>400070</v>
      </c>
      <c r="I3597" s="35">
        <v>300000</v>
      </c>
      <c r="J3597" s="34" t="s">
        <v>4772</v>
      </c>
      <c r="K3597" s="34" t="str">
        <f t="shared" si="117"/>
        <v>不重复</v>
      </c>
      <c r="L3597" s="34" t="str">
        <f t="shared" si="116"/>
        <v>不重复</v>
      </c>
    </row>
    <row r="3598" spans="1:12" ht="15">
      <c r="A3598" s="35" t="s">
        <v>14023</v>
      </c>
      <c r="B3598" s="35" t="s">
        <v>9616</v>
      </c>
      <c r="C3598" s="36" t="s">
        <v>9617</v>
      </c>
      <c r="D3598" s="35" t="s">
        <v>9618</v>
      </c>
      <c r="E3598" s="35" t="s">
        <v>14012</v>
      </c>
      <c r="F3598" s="35" t="s">
        <v>13860</v>
      </c>
      <c r="G3598" s="35">
        <v>362012</v>
      </c>
      <c r="H3598" s="35">
        <v>400070</v>
      </c>
      <c r="I3598" s="35">
        <v>300000</v>
      </c>
      <c r="J3598" s="34" t="s">
        <v>1288</v>
      </c>
      <c r="K3598" s="34" t="str">
        <f t="shared" si="117"/>
        <v>不重复</v>
      </c>
      <c r="L3598" s="34" t="str">
        <f t="shared" si="116"/>
        <v>不重复</v>
      </c>
    </row>
    <row r="3599" spans="1:12" ht="27">
      <c r="A3599" s="35" t="s">
        <v>14024</v>
      </c>
      <c r="B3599" s="35" t="s">
        <v>9619</v>
      </c>
      <c r="C3599" s="36" t="s">
        <v>1289</v>
      </c>
      <c r="D3599" s="35" t="s">
        <v>9620</v>
      </c>
      <c r="E3599" s="35" t="s">
        <v>14012</v>
      </c>
      <c r="F3599" s="35" t="s">
        <v>13860</v>
      </c>
      <c r="G3599" s="35">
        <v>362013</v>
      </c>
      <c r="H3599" s="35">
        <v>400070</v>
      </c>
      <c r="I3599" s="35">
        <v>300000</v>
      </c>
      <c r="J3599" s="34" t="s">
        <v>2391</v>
      </c>
      <c r="K3599" s="34" t="str">
        <f t="shared" si="117"/>
        <v>重复</v>
      </c>
      <c r="L3599" s="34" t="str">
        <f t="shared" si="116"/>
        <v>不重复</v>
      </c>
    </row>
    <row r="3600" spans="1:12" ht="30">
      <c r="A3600" s="35" t="s">
        <v>14025</v>
      </c>
      <c r="B3600" s="35" t="s">
        <v>9621</v>
      </c>
      <c r="C3600" s="36" t="s">
        <v>9611</v>
      </c>
      <c r="D3600" s="35" t="s">
        <v>9622</v>
      </c>
      <c r="E3600" s="35" t="s">
        <v>14012</v>
      </c>
      <c r="F3600" s="35" t="s">
        <v>13860</v>
      </c>
      <c r="G3600" s="35">
        <v>362014</v>
      </c>
      <c r="H3600" s="35">
        <v>400070</v>
      </c>
      <c r="I3600" s="35">
        <v>300000</v>
      </c>
      <c r="J3600" s="34" t="s">
        <v>1288</v>
      </c>
      <c r="K3600" s="34" t="str">
        <f t="shared" si="117"/>
        <v>重复</v>
      </c>
      <c r="L3600" s="34" t="str">
        <f t="shared" si="116"/>
        <v>重复</v>
      </c>
    </row>
    <row r="3601" spans="1:12" ht="30">
      <c r="A3601" s="35" t="s">
        <v>14025</v>
      </c>
      <c r="B3601" s="35" t="s">
        <v>9621</v>
      </c>
      <c r="C3601" s="36" t="s">
        <v>9611</v>
      </c>
      <c r="D3601" s="35" t="s">
        <v>9622</v>
      </c>
      <c r="E3601" s="35" t="s">
        <v>14012</v>
      </c>
      <c r="F3601" s="35" t="s">
        <v>13860</v>
      </c>
      <c r="G3601" s="35">
        <v>362015</v>
      </c>
      <c r="H3601" s="35">
        <v>400070</v>
      </c>
      <c r="I3601" s="35">
        <v>300000</v>
      </c>
      <c r="J3601" s="34" t="s">
        <v>2412</v>
      </c>
      <c r="K3601" s="34" t="str">
        <f t="shared" si="117"/>
        <v>重复</v>
      </c>
      <c r="L3601" s="34" t="str">
        <f t="shared" si="116"/>
        <v>重复</v>
      </c>
    </row>
    <row r="3602" spans="1:12" ht="27">
      <c r="A3602" s="35" t="s">
        <v>14026</v>
      </c>
      <c r="B3602" s="35" t="s">
        <v>9623</v>
      </c>
      <c r="C3602" s="36" t="s">
        <v>9624</v>
      </c>
      <c r="D3602" s="35" t="s">
        <v>9625</v>
      </c>
      <c r="E3602" s="35" t="s">
        <v>14012</v>
      </c>
      <c r="F3602" s="35" t="s">
        <v>13860</v>
      </c>
      <c r="G3602" s="35">
        <v>362016</v>
      </c>
      <c r="H3602" s="35">
        <v>400070</v>
      </c>
      <c r="I3602" s="35">
        <v>300000</v>
      </c>
      <c r="J3602" s="34" t="s">
        <v>3749</v>
      </c>
      <c r="K3602" s="34" t="str">
        <f t="shared" si="117"/>
        <v>不重复</v>
      </c>
      <c r="L3602" s="34" t="str">
        <f t="shared" si="116"/>
        <v>不重复</v>
      </c>
    </row>
    <row r="3603" spans="1:12" ht="30">
      <c r="A3603" s="35" t="s">
        <v>14027</v>
      </c>
      <c r="B3603" s="35" t="s">
        <v>9626</v>
      </c>
      <c r="C3603" s="36" t="s">
        <v>6357</v>
      </c>
      <c r="D3603" s="35" t="s">
        <v>9627</v>
      </c>
      <c r="E3603" s="35" t="s">
        <v>14012</v>
      </c>
      <c r="F3603" s="35" t="s">
        <v>13860</v>
      </c>
      <c r="G3603" s="35">
        <v>362017</v>
      </c>
      <c r="H3603" s="35">
        <v>400070</v>
      </c>
      <c r="I3603" s="35">
        <v>300000</v>
      </c>
      <c r="J3603" s="34" t="s">
        <v>962</v>
      </c>
      <c r="K3603" s="34" t="str">
        <f t="shared" si="117"/>
        <v>重复</v>
      </c>
      <c r="L3603" s="34" t="str">
        <f t="shared" si="116"/>
        <v>不重复</v>
      </c>
    </row>
    <row r="3604" spans="1:12" ht="15">
      <c r="A3604" s="35" t="s">
        <v>14028</v>
      </c>
      <c r="B3604" s="35" t="s">
        <v>9628</v>
      </c>
      <c r="C3604" s="36" t="s">
        <v>6684</v>
      </c>
      <c r="D3604" s="35" t="s">
        <v>9629</v>
      </c>
      <c r="E3604" s="35" t="s">
        <v>14012</v>
      </c>
      <c r="F3604" s="35" t="s">
        <v>13860</v>
      </c>
      <c r="G3604" s="35">
        <v>362018</v>
      </c>
      <c r="H3604" s="35">
        <v>400070</v>
      </c>
      <c r="I3604" s="35">
        <v>300000</v>
      </c>
      <c r="J3604" s="34" t="s">
        <v>3639</v>
      </c>
      <c r="K3604" s="34" t="str">
        <f t="shared" si="117"/>
        <v>重复</v>
      </c>
      <c r="L3604" s="34" t="str">
        <f t="shared" si="116"/>
        <v>不重复</v>
      </c>
    </row>
    <row r="3605" spans="1:12" ht="27">
      <c r="A3605" s="35" t="s">
        <v>14029</v>
      </c>
      <c r="B3605" s="35" t="s">
        <v>9630</v>
      </c>
      <c r="C3605" s="36" t="s">
        <v>6842</v>
      </c>
      <c r="D3605" s="35" t="s">
        <v>9631</v>
      </c>
      <c r="E3605" s="35" t="s">
        <v>14012</v>
      </c>
      <c r="F3605" s="35" t="s">
        <v>13860</v>
      </c>
      <c r="G3605" s="35">
        <v>362019</v>
      </c>
      <c r="H3605" s="35">
        <v>400070</v>
      </c>
      <c r="I3605" s="35">
        <v>300000</v>
      </c>
      <c r="J3605" s="34" t="s">
        <v>962</v>
      </c>
      <c r="K3605" s="34" t="str">
        <f t="shared" si="117"/>
        <v>重复</v>
      </c>
      <c r="L3605" s="34" t="str">
        <f t="shared" si="116"/>
        <v>不重复</v>
      </c>
    </row>
    <row r="3606" spans="1:12" ht="15">
      <c r="A3606" s="35" t="s">
        <v>14030</v>
      </c>
      <c r="B3606" s="35" t="s">
        <v>9632</v>
      </c>
      <c r="C3606" s="36" t="s">
        <v>1259</v>
      </c>
      <c r="D3606" s="35" t="s">
        <v>9633</v>
      </c>
      <c r="E3606" s="35" t="s">
        <v>14030</v>
      </c>
      <c r="F3606" s="35" t="s">
        <v>13860</v>
      </c>
      <c r="G3606" s="35">
        <v>363000</v>
      </c>
      <c r="H3606" s="35">
        <v>400080</v>
      </c>
      <c r="I3606" s="35">
        <v>300000</v>
      </c>
      <c r="J3606" s="34" t="s">
        <v>16</v>
      </c>
      <c r="K3606" s="34" t="str">
        <f t="shared" si="117"/>
        <v>重复</v>
      </c>
      <c r="L3606" s="34" t="str">
        <f t="shared" si="116"/>
        <v>不重复</v>
      </c>
    </row>
    <row r="3607" spans="1:12" ht="27">
      <c r="A3607" s="35" t="s">
        <v>14031</v>
      </c>
      <c r="B3607" s="35" t="s">
        <v>9634</v>
      </c>
      <c r="C3607" s="36" t="s">
        <v>5773</v>
      </c>
      <c r="D3607" s="35" t="s">
        <v>9635</v>
      </c>
      <c r="E3607" s="35" t="s">
        <v>14030</v>
      </c>
      <c r="F3607" s="35" t="s">
        <v>13860</v>
      </c>
      <c r="G3607" s="35">
        <v>363001</v>
      </c>
      <c r="H3607" s="35">
        <v>400080</v>
      </c>
      <c r="I3607" s="35">
        <v>300000</v>
      </c>
      <c r="J3607" s="34" t="s">
        <v>9636</v>
      </c>
      <c r="K3607" s="34" t="str">
        <f t="shared" si="117"/>
        <v>重复</v>
      </c>
      <c r="L3607" s="34" t="str">
        <f t="shared" si="118" ref="L3607:L3638">IF(COUNTIF(D:D,D3607)&gt;=2,"重复","不重复")</f>
        <v>重复</v>
      </c>
    </row>
    <row r="3608" spans="1:12" ht="27">
      <c r="A3608" s="35" t="s">
        <v>14032</v>
      </c>
      <c r="B3608" s="35" t="s">
        <v>9637</v>
      </c>
      <c r="C3608" s="36" t="s">
        <v>9638</v>
      </c>
      <c r="D3608" s="35" t="s">
        <v>9635</v>
      </c>
      <c r="E3608" s="35" t="s">
        <v>14030</v>
      </c>
      <c r="F3608" s="35" t="s">
        <v>13860</v>
      </c>
      <c r="G3608" s="35">
        <v>363002</v>
      </c>
      <c r="H3608" s="35">
        <v>400080</v>
      </c>
      <c r="I3608" s="35">
        <v>300000</v>
      </c>
      <c r="J3608" s="34" t="s">
        <v>9636</v>
      </c>
      <c r="K3608" s="34" t="str">
        <f t="shared" si="117"/>
        <v>不重复</v>
      </c>
      <c r="L3608" s="34" t="str">
        <f t="shared" si="118"/>
        <v>重复</v>
      </c>
    </row>
    <row r="3609" spans="1:12" ht="27">
      <c r="A3609" s="35" t="s">
        <v>14033</v>
      </c>
      <c r="B3609" s="35" t="s">
        <v>9639</v>
      </c>
      <c r="C3609" s="36" t="s">
        <v>758</v>
      </c>
      <c r="D3609" s="35" t="s">
        <v>9640</v>
      </c>
      <c r="E3609" s="35" t="s">
        <v>14030</v>
      </c>
      <c r="F3609" s="35" t="s">
        <v>13860</v>
      </c>
      <c r="G3609" s="35">
        <v>363003</v>
      </c>
      <c r="H3609" s="35">
        <v>400080</v>
      </c>
      <c r="I3609" s="35">
        <v>300000</v>
      </c>
      <c r="J3609" s="34" t="s">
        <v>1110</v>
      </c>
      <c r="K3609" s="34" t="str">
        <f t="shared" si="117"/>
        <v>重复</v>
      </c>
      <c r="L3609" s="34" t="str">
        <f t="shared" si="118"/>
        <v>不重复</v>
      </c>
    </row>
    <row r="3610" spans="1:12" ht="27">
      <c r="A3610" s="35" t="s">
        <v>14034</v>
      </c>
      <c r="B3610" s="35" t="s">
        <v>9641</v>
      </c>
      <c r="C3610" s="36" t="s">
        <v>513</v>
      </c>
      <c r="D3610" s="35" t="s">
        <v>9642</v>
      </c>
      <c r="E3610" s="35" t="s">
        <v>14030</v>
      </c>
      <c r="F3610" s="35" t="s">
        <v>13860</v>
      </c>
      <c r="G3610" s="35">
        <v>363004</v>
      </c>
      <c r="H3610" s="35">
        <v>400080</v>
      </c>
      <c r="I3610" s="35">
        <v>350000</v>
      </c>
      <c r="J3610" s="34" t="s">
        <v>9643</v>
      </c>
      <c r="K3610" s="34" t="str">
        <f t="shared" si="117"/>
        <v>重复</v>
      </c>
      <c r="L3610" s="34" t="str">
        <f t="shared" si="118"/>
        <v>不重复</v>
      </c>
    </row>
    <row r="3611" spans="1:12" ht="15">
      <c r="A3611" s="35" t="s">
        <v>14035</v>
      </c>
      <c r="B3611" s="35" t="s">
        <v>9644</v>
      </c>
      <c r="C3611" s="36" t="s">
        <v>9645</v>
      </c>
      <c r="D3611" s="35" t="s">
        <v>9646</v>
      </c>
      <c r="E3611" s="35" t="s">
        <v>14035</v>
      </c>
      <c r="F3611" s="35" t="s">
        <v>14036</v>
      </c>
      <c r="G3611" s="35">
        <v>370200</v>
      </c>
      <c r="H3611" s="35">
        <v>410000</v>
      </c>
      <c r="I3611" s="35">
        <v>350000</v>
      </c>
      <c r="J3611" s="34" t="s">
        <v>16</v>
      </c>
      <c r="K3611" s="34" t="str">
        <f t="shared" si="117"/>
        <v>不重复</v>
      </c>
      <c r="L3611" s="34" t="str">
        <f t="shared" si="118"/>
        <v>不重复</v>
      </c>
    </row>
    <row r="3612" spans="1:12" ht="30">
      <c r="A3612" s="35" t="s">
        <v>14037</v>
      </c>
      <c r="B3612" s="35" t="s">
        <v>9647</v>
      </c>
      <c r="C3612" s="36" t="s">
        <v>9648</v>
      </c>
      <c r="D3612" s="35" t="s">
        <v>9649</v>
      </c>
      <c r="E3612" s="35" t="s">
        <v>14035</v>
      </c>
      <c r="F3612" s="35" t="s">
        <v>14036</v>
      </c>
      <c r="G3612" s="35">
        <v>370201</v>
      </c>
      <c r="H3612" s="35">
        <v>410000</v>
      </c>
      <c r="I3612" s="35">
        <v>350000</v>
      </c>
      <c r="J3612" s="34" t="s">
        <v>9650</v>
      </c>
      <c r="K3612" s="34" t="str">
        <f t="shared" si="117"/>
        <v>不重复</v>
      </c>
      <c r="L3612" s="34" t="str">
        <f t="shared" si="118"/>
        <v>不重复</v>
      </c>
    </row>
    <row r="3613" spans="1:12" ht="30">
      <c r="A3613" s="35" t="s">
        <v>14038</v>
      </c>
      <c r="B3613" s="35" t="s">
        <v>9651</v>
      </c>
      <c r="C3613" s="36" t="s">
        <v>9652</v>
      </c>
      <c r="D3613" s="35" t="s">
        <v>9653</v>
      </c>
      <c r="E3613" s="35" t="s">
        <v>14035</v>
      </c>
      <c r="F3613" s="35" t="s">
        <v>14036</v>
      </c>
      <c r="G3613" s="35">
        <v>370202</v>
      </c>
      <c r="H3613" s="35">
        <v>410000</v>
      </c>
      <c r="I3613" s="35">
        <v>350000</v>
      </c>
      <c r="J3613" s="34" t="s">
        <v>458</v>
      </c>
      <c r="K3613" s="34" t="str">
        <f t="shared" si="117"/>
        <v>不重复</v>
      </c>
      <c r="L3613" s="34" t="str">
        <f t="shared" si="118"/>
        <v>不重复</v>
      </c>
    </row>
    <row r="3614" spans="1:12" ht="30">
      <c r="A3614" s="35" t="s">
        <v>14039</v>
      </c>
      <c r="B3614" s="35" t="s">
        <v>9654</v>
      </c>
      <c r="C3614" s="36" t="s">
        <v>9655</v>
      </c>
      <c r="D3614" s="35" t="s">
        <v>9656</v>
      </c>
      <c r="E3614" s="35" t="s">
        <v>14035</v>
      </c>
      <c r="F3614" s="35" t="s">
        <v>14036</v>
      </c>
      <c r="G3614" s="35">
        <v>370203</v>
      </c>
      <c r="H3614" s="35">
        <v>410000</v>
      </c>
      <c r="I3614" s="35">
        <v>350000</v>
      </c>
      <c r="J3614" s="34" t="s">
        <v>1700</v>
      </c>
      <c r="K3614" s="34" t="str">
        <f t="shared" si="117"/>
        <v>不重复</v>
      </c>
      <c r="L3614" s="34" t="str">
        <f t="shared" si="118"/>
        <v>不重复</v>
      </c>
    </row>
    <row r="3615" spans="1:12" ht="15">
      <c r="A3615" s="35" t="s">
        <v>14040</v>
      </c>
      <c r="B3615" s="35" t="s">
        <v>9657</v>
      </c>
      <c r="C3615" s="36" t="s">
        <v>9658</v>
      </c>
      <c r="D3615" s="35" t="s">
        <v>1843</v>
      </c>
      <c r="E3615" s="35" t="s">
        <v>14040</v>
      </c>
      <c r="F3615" s="35" t="s">
        <v>14036</v>
      </c>
      <c r="G3615" s="35">
        <v>370300</v>
      </c>
      <c r="H3615" s="35">
        <v>410010</v>
      </c>
      <c r="I3615" s="35">
        <v>350000</v>
      </c>
      <c r="J3615" s="34" t="s">
        <v>16</v>
      </c>
      <c r="K3615" s="34" t="str">
        <f t="shared" si="117"/>
        <v>不重复</v>
      </c>
      <c r="L3615" s="34" t="str">
        <f t="shared" si="118"/>
        <v>重复</v>
      </c>
    </row>
    <row r="3616" spans="1:12" ht="15">
      <c r="A3616" s="35" t="s">
        <v>14041</v>
      </c>
      <c r="B3616" s="35" t="s">
        <v>9659</v>
      </c>
      <c r="C3616" s="36" t="s">
        <v>4117</v>
      </c>
      <c r="D3616" s="35" t="s">
        <v>3837</v>
      </c>
      <c r="E3616" s="35" t="s">
        <v>14040</v>
      </c>
      <c r="F3616" s="35" t="s">
        <v>14036</v>
      </c>
      <c r="G3616" s="35">
        <v>370301</v>
      </c>
      <c r="H3616" s="35">
        <v>410010</v>
      </c>
      <c r="I3616" s="35">
        <v>350000</v>
      </c>
      <c r="J3616" s="34" t="s">
        <v>715</v>
      </c>
      <c r="K3616" s="34" t="str">
        <f t="shared" si="117"/>
        <v>重复</v>
      </c>
      <c r="L3616" s="34" t="str">
        <f t="shared" si="118"/>
        <v>重复</v>
      </c>
    </row>
    <row r="3617" spans="1:12" ht="15">
      <c r="A3617" s="35" t="s">
        <v>14042</v>
      </c>
      <c r="B3617" s="35" t="s">
        <v>9660</v>
      </c>
      <c r="C3617" s="36" t="s">
        <v>1815</v>
      </c>
      <c r="D3617" s="35" t="s">
        <v>8821</v>
      </c>
      <c r="E3617" s="35" t="s">
        <v>14040</v>
      </c>
      <c r="F3617" s="35" t="s">
        <v>14036</v>
      </c>
      <c r="G3617" s="35">
        <v>370302</v>
      </c>
      <c r="H3617" s="35">
        <v>410010</v>
      </c>
      <c r="I3617" s="35">
        <v>350000</v>
      </c>
      <c r="J3617" s="34" t="s">
        <v>2240</v>
      </c>
      <c r="K3617" s="34" t="str">
        <f t="shared" si="117"/>
        <v>重复</v>
      </c>
      <c r="L3617" s="34" t="str">
        <f t="shared" si="118"/>
        <v>重复</v>
      </c>
    </row>
    <row r="3618" spans="1:12" ht="30">
      <c r="A3618" s="35" t="s">
        <v>14043</v>
      </c>
      <c r="B3618" s="35" t="s">
        <v>9661</v>
      </c>
      <c r="C3618" s="36" t="s">
        <v>9662</v>
      </c>
      <c r="D3618" s="35" t="s">
        <v>6099</v>
      </c>
      <c r="E3618" s="35" t="s">
        <v>14040</v>
      </c>
      <c r="F3618" s="35" t="s">
        <v>14036</v>
      </c>
      <c r="G3618" s="35">
        <v>370303</v>
      </c>
      <c r="H3618" s="35">
        <v>410010</v>
      </c>
      <c r="I3618" s="35">
        <v>350000</v>
      </c>
      <c r="J3618" s="34" t="s">
        <v>715</v>
      </c>
      <c r="K3618" s="34" t="str">
        <f t="shared" si="117"/>
        <v>不重复</v>
      </c>
      <c r="L3618" s="34" t="str">
        <f t="shared" si="118"/>
        <v>重复</v>
      </c>
    </row>
    <row r="3619" spans="1:12" ht="30">
      <c r="A3619" s="35" t="s">
        <v>14044</v>
      </c>
      <c r="B3619" s="35" t="s">
        <v>9663</v>
      </c>
      <c r="C3619" s="36" t="s">
        <v>9664</v>
      </c>
      <c r="D3619" s="35" t="s">
        <v>9665</v>
      </c>
      <c r="E3619" s="35" t="s">
        <v>14040</v>
      </c>
      <c r="F3619" s="35" t="s">
        <v>14036</v>
      </c>
      <c r="G3619" s="35">
        <v>370304</v>
      </c>
      <c r="H3619" s="35">
        <v>410010</v>
      </c>
      <c r="I3619" s="35">
        <v>350000</v>
      </c>
      <c r="J3619" s="34" t="s">
        <v>2293</v>
      </c>
      <c r="K3619" s="34" t="str">
        <f t="shared" si="117"/>
        <v>不重复</v>
      </c>
      <c r="L3619" s="34" t="str">
        <f t="shared" si="118"/>
        <v>不重复</v>
      </c>
    </row>
    <row r="3620" spans="1:12" ht="30">
      <c r="A3620" s="35" t="s">
        <v>14045</v>
      </c>
      <c r="B3620" s="35" t="s">
        <v>9666</v>
      </c>
      <c r="C3620" s="36" t="s">
        <v>9667</v>
      </c>
      <c r="D3620" s="35" t="s">
        <v>9668</v>
      </c>
      <c r="E3620" s="35" t="s">
        <v>14040</v>
      </c>
      <c r="F3620" s="35" t="s">
        <v>14036</v>
      </c>
      <c r="G3620" s="35">
        <v>370305</v>
      </c>
      <c r="H3620" s="35">
        <v>410010</v>
      </c>
      <c r="I3620" s="35">
        <v>350000</v>
      </c>
      <c r="J3620" s="34" t="s">
        <v>152</v>
      </c>
      <c r="K3620" s="34" t="str">
        <f t="shared" si="117"/>
        <v>不重复</v>
      </c>
      <c r="L3620" s="34" t="str">
        <f t="shared" si="118"/>
        <v>不重复</v>
      </c>
    </row>
    <row r="3621" spans="1:12" ht="30">
      <c r="A3621" s="35" t="s">
        <v>14046</v>
      </c>
      <c r="B3621" s="35" t="s">
        <v>9669</v>
      </c>
      <c r="C3621" s="36" t="s">
        <v>8682</v>
      </c>
      <c r="D3621" s="35" t="s">
        <v>3341</v>
      </c>
      <c r="E3621" s="35" t="s">
        <v>14040</v>
      </c>
      <c r="F3621" s="35" t="s">
        <v>14036</v>
      </c>
      <c r="G3621" s="35">
        <v>370306</v>
      </c>
      <c r="H3621" s="35">
        <v>410010</v>
      </c>
      <c r="I3621" s="35">
        <v>350000</v>
      </c>
      <c r="J3621" s="34" t="s">
        <v>78</v>
      </c>
      <c r="K3621" s="34" t="str">
        <f t="shared" si="117"/>
        <v>重复</v>
      </c>
      <c r="L3621" s="34" t="str">
        <f t="shared" si="118"/>
        <v>重复</v>
      </c>
    </row>
    <row r="3622" spans="1:12" ht="30">
      <c r="A3622" s="35" t="s">
        <v>14047</v>
      </c>
      <c r="B3622" s="35" t="s">
        <v>9670</v>
      </c>
      <c r="C3622" s="36" t="s">
        <v>3701</v>
      </c>
      <c r="D3622" s="35" t="s">
        <v>7669</v>
      </c>
      <c r="E3622" s="35" t="s">
        <v>14040</v>
      </c>
      <c r="F3622" s="35" t="s">
        <v>14036</v>
      </c>
      <c r="G3622" s="35">
        <v>370307</v>
      </c>
      <c r="H3622" s="35">
        <v>410010</v>
      </c>
      <c r="I3622" s="35">
        <v>350000</v>
      </c>
      <c r="J3622" s="34" t="s">
        <v>363</v>
      </c>
      <c r="K3622" s="34" t="str">
        <f t="shared" si="117"/>
        <v>重复</v>
      </c>
      <c r="L3622" s="34" t="str">
        <f t="shared" si="118"/>
        <v>重复</v>
      </c>
    </row>
    <row r="3623" spans="1:12" ht="30">
      <c r="A3623" s="35" t="s">
        <v>14048</v>
      </c>
      <c r="B3623" s="35" t="s">
        <v>9671</v>
      </c>
      <c r="C3623" s="36" t="s">
        <v>2475</v>
      </c>
      <c r="D3623" s="35" t="s">
        <v>2443</v>
      </c>
      <c r="E3623" s="35" t="s">
        <v>14040</v>
      </c>
      <c r="F3623" s="35" t="s">
        <v>14036</v>
      </c>
      <c r="G3623" s="35">
        <v>370308</v>
      </c>
      <c r="H3623" s="35">
        <v>410010</v>
      </c>
      <c r="I3623" s="35">
        <v>350000</v>
      </c>
      <c r="J3623" s="34" t="s">
        <v>2293</v>
      </c>
      <c r="K3623" s="34" t="str">
        <f t="shared" si="117"/>
        <v>重复</v>
      </c>
      <c r="L3623" s="34" t="str">
        <f t="shared" si="118"/>
        <v>重复</v>
      </c>
    </row>
    <row r="3624" spans="1:12" ht="30">
      <c r="A3624" s="35" t="s">
        <v>14049</v>
      </c>
      <c r="B3624" s="35" t="s">
        <v>9672</v>
      </c>
      <c r="C3624" s="36" t="s">
        <v>6478</v>
      </c>
      <c r="D3624" s="35" t="s">
        <v>9673</v>
      </c>
      <c r="E3624" s="35" t="s">
        <v>14040</v>
      </c>
      <c r="F3624" s="35" t="s">
        <v>14036</v>
      </c>
      <c r="G3624" s="35">
        <v>370309</v>
      </c>
      <c r="H3624" s="35">
        <v>410010</v>
      </c>
      <c r="I3624" s="35">
        <v>350000</v>
      </c>
      <c r="J3624" s="34" t="s">
        <v>288</v>
      </c>
      <c r="K3624" s="34" t="str">
        <f t="shared" si="117"/>
        <v>重复</v>
      </c>
      <c r="L3624" s="34" t="str">
        <f t="shared" si="118"/>
        <v>不重复</v>
      </c>
    </row>
    <row r="3625" spans="1:12" ht="30">
      <c r="A3625" s="35" t="s">
        <v>14050</v>
      </c>
      <c r="B3625" s="35" t="s">
        <v>9674</v>
      </c>
      <c r="C3625" s="36" t="s">
        <v>9675</v>
      </c>
      <c r="D3625" s="35" t="s">
        <v>9676</v>
      </c>
      <c r="E3625" s="35" t="s">
        <v>14040</v>
      </c>
      <c r="F3625" s="35" t="s">
        <v>14036</v>
      </c>
      <c r="G3625" s="35">
        <v>370310</v>
      </c>
      <c r="H3625" s="35">
        <v>410010</v>
      </c>
      <c r="I3625" s="35">
        <v>350000</v>
      </c>
      <c r="J3625" s="34" t="s">
        <v>288</v>
      </c>
      <c r="K3625" s="34" t="str">
        <f t="shared" si="117"/>
        <v>不重复</v>
      </c>
      <c r="L3625" s="34" t="str">
        <f t="shared" si="118"/>
        <v>不重复</v>
      </c>
    </row>
    <row r="3626" spans="1:12" ht="30">
      <c r="A3626" s="35" t="s">
        <v>14051</v>
      </c>
      <c r="B3626" s="35" t="s">
        <v>9677</v>
      </c>
      <c r="C3626" s="36" t="s">
        <v>9678</v>
      </c>
      <c r="D3626" s="35" t="s">
        <v>9679</v>
      </c>
      <c r="E3626" s="35" t="s">
        <v>14040</v>
      </c>
      <c r="F3626" s="35" t="s">
        <v>14036</v>
      </c>
      <c r="G3626" s="35">
        <v>370311</v>
      </c>
      <c r="H3626" s="35">
        <v>410010</v>
      </c>
      <c r="I3626" s="35">
        <v>350000</v>
      </c>
      <c r="J3626" s="34" t="s">
        <v>363</v>
      </c>
      <c r="K3626" s="34" t="str">
        <f t="shared" si="117"/>
        <v>重复</v>
      </c>
      <c r="L3626" s="34" t="str">
        <f t="shared" si="118"/>
        <v>不重复</v>
      </c>
    </row>
    <row r="3627" spans="1:12" ht="30">
      <c r="A3627" s="35" t="s">
        <v>14052</v>
      </c>
      <c r="B3627" s="35" t="s">
        <v>9680</v>
      </c>
      <c r="C3627" s="36" t="s">
        <v>9681</v>
      </c>
      <c r="D3627" s="35" t="s">
        <v>4295</v>
      </c>
      <c r="E3627" s="35" t="s">
        <v>14040</v>
      </c>
      <c r="F3627" s="35" t="s">
        <v>14036</v>
      </c>
      <c r="G3627" s="35">
        <v>370312</v>
      </c>
      <c r="H3627" s="35">
        <v>410010</v>
      </c>
      <c r="I3627" s="35">
        <v>350000</v>
      </c>
      <c r="J3627" s="34" t="s">
        <v>458</v>
      </c>
      <c r="K3627" s="34" t="str">
        <f t="shared" si="117"/>
        <v>不重复</v>
      </c>
      <c r="L3627" s="34" t="str">
        <f t="shared" si="118"/>
        <v>重复</v>
      </c>
    </row>
    <row r="3628" spans="1:12" ht="30">
      <c r="A3628" s="35" t="s">
        <v>14053</v>
      </c>
      <c r="B3628" s="35" t="s">
        <v>9682</v>
      </c>
      <c r="C3628" s="36" t="s">
        <v>9683</v>
      </c>
      <c r="D3628" s="35" t="s">
        <v>9684</v>
      </c>
      <c r="E3628" s="35" t="s">
        <v>14040</v>
      </c>
      <c r="F3628" s="35" t="s">
        <v>14036</v>
      </c>
      <c r="G3628" s="35">
        <v>370313</v>
      </c>
      <c r="H3628" s="35">
        <v>410010</v>
      </c>
      <c r="I3628" s="35">
        <v>350000</v>
      </c>
      <c r="J3628" s="34" t="s">
        <v>9685</v>
      </c>
      <c r="K3628" s="34" t="str">
        <f t="shared" si="117"/>
        <v>不重复</v>
      </c>
      <c r="L3628" s="34" t="str">
        <f t="shared" si="118"/>
        <v>不重复</v>
      </c>
    </row>
    <row r="3629" spans="1:12" ht="30">
      <c r="A3629" s="35" t="s">
        <v>14054</v>
      </c>
      <c r="B3629" s="35" t="s">
        <v>9686</v>
      </c>
      <c r="C3629" s="36" t="s">
        <v>9678</v>
      </c>
      <c r="D3629" s="35" t="s">
        <v>4530</v>
      </c>
      <c r="E3629" s="35" t="s">
        <v>14040</v>
      </c>
      <c r="F3629" s="35" t="s">
        <v>14036</v>
      </c>
      <c r="G3629" s="35">
        <v>370314</v>
      </c>
      <c r="H3629" s="35">
        <v>410010</v>
      </c>
      <c r="I3629" s="35">
        <v>350000</v>
      </c>
      <c r="J3629" s="34" t="s">
        <v>668</v>
      </c>
      <c r="K3629" s="34" t="str">
        <f t="shared" si="117"/>
        <v>重复</v>
      </c>
      <c r="L3629" s="34" t="str">
        <f t="shared" si="118"/>
        <v>重复</v>
      </c>
    </row>
    <row r="3630" spans="1:12" ht="27">
      <c r="A3630" s="35" t="s">
        <v>14055</v>
      </c>
      <c r="B3630" s="35" t="s">
        <v>9687</v>
      </c>
      <c r="C3630" s="36" t="s">
        <v>9688</v>
      </c>
      <c r="D3630" s="35" t="s">
        <v>9689</v>
      </c>
      <c r="E3630" s="35" t="s">
        <v>14040</v>
      </c>
      <c r="F3630" s="35" t="s">
        <v>14036</v>
      </c>
      <c r="G3630" s="35">
        <v>370315</v>
      </c>
      <c r="H3630" s="35">
        <v>410010</v>
      </c>
      <c r="I3630" s="35">
        <v>350000</v>
      </c>
      <c r="J3630" s="34" t="s">
        <v>363</v>
      </c>
      <c r="K3630" s="34" t="str">
        <f t="shared" si="117"/>
        <v>不重复</v>
      </c>
      <c r="L3630" s="34" t="str">
        <f t="shared" si="118"/>
        <v>不重复</v>
      </c>
    </row>
    <row r="3631" spans="1:12" ht="15">
      <c r="A3631" s="35" t="s">
        <v>14056</v>
      </c>
      <c r="B3631" s="35" t="s">
        <v>9690</v>
      </c>
      <c r="C3631" s="36" t="s">
        <v>9691</v>
      </c>
      <c r="D3631" s="35" t="s">
        <v>9692</v>
      </c>
      <c r="E3631" s="35" t="s">
        <v>14040</v>
      </c>
      <c r="F3631" s="35" t="s">
        <v>14036</v>
      </c>
      <c r="G3631" s="35">
        <v>370316</v>
      </c>
      <c r="H3631" s="35">
        <v>410010</v>
      </c>
      <c r="I3631" s="35">
        <v>350000</v>
      </c>
      <c r="J3631" s="34" t="s">
        <v>1040</v>
      </c>
      <c r="K3631" s="34" t="str">
        <f t="shared" si="117"/>
        <v>不重复</v>
      </c>
      <c r="L3631" s="34" t="str">
        <f t="shared" si="118"/>
        <v>不重复</v>
      </c>
    </row>
    <row r="3632" spans="1:12" ht="15">
      <c r="A3632" s="35" t="s">
        <v>14057</v>
      </c>
      <c r="B3632" s="35" t="s">
        <v>9693</v>
      </c>
      <c r="C3632" s="36" t="s">
        <v>9694</v>
      </c>
      <c r="D3632" s="35" t="s">
        <v>9695</v>
      </c>
      <c r="E3632" s="35" t="s">
        <v>14057</v>
      </c>
      <c r="F3632" s="35" t="s">
        <v>14036</v>
      </c>
      <c r="G3632" s="35">
        <v>370400</v>
      </c>
      <c r="H3632" s="35">
        <v>410020</v>
      </c>
      <c r="I3632" s="35">
        <v>350000</v>
      </c>
      <c r="J3632" s="34" t="s">
        <v>16</v>
      </c>
      <c r="K3632" s="34" t="str">
        <f t="shared" si="117"/>
        <v>不重复</v>
      </c>
      <c r="L3632" s="34" t="str">
        <f t="shared" si="118"/>
        <v>不重复</v>
      </c>
    </row>
    <row r="3633" spans="1:12" ht="27">
      <c r="A3633" s="35" t="s">
        <v>14058</v>
      </c>
      <c r="B3633" s="35" t="s">
        <v>9696</v>
      </c>
      <c r="C3633" s="36" t="s">
        <v>6522</v>
      </c>
      <c r="D3633" s="35" t="s">
        <v>9697</v>
      </c>
      <c r="E3633" s="35" t="s">
        <v>14057</v>
      </c>
      <c r="F3633" s="35" t="s">
        <v>14036</v>
      </c>
      <c r="G3633" s="35">
        <v>370401</v>
      </c>
      <c r="H3633" s="35">
        <v>410020</v>
      </c>
      <c r="I3633" s="35">
        <v>350000</v>
      </c>
      <c r="J3633" s="34" t="s">
        <v>363</v>
      </c>
      <c r="K3633" s="34" t="str">
        <f t="shared" si="117"/>
        <v>重复</v>
      </c>
      <c r="L3633" s="34" t="str">
        <f t="shared" si="118"/>
        <v>不重复</v>
      </c>
    </row>
    <row r="3634" spans="1:12" ht="15">
      <c r="A3634" s="35" t="s">
        <v>14059</v>
      </c>
      <c r="B3634" s="35" t="s">
        <v>9698</v>
      </c>
      <c r="C3634" s="36" t="s">
        <v>9699</v>
      </c>
      <c r="D3634" s="35" t="s">
        <v>9700</v>
      </c>
      <c r="E3634" s="35" t="s">
        <v>14057</v>
      </c>
      <c r="F3634" s="35" t="s">
        <v>14036</v>
      </c>
      <c r="G3634" s="35">
        <v>370402</v>
      </c>
      <c r="H3634" s="35">
        <v>410020</v>
      </c>
      <c r="I3634" s="35">
        <v>350000</v>
      </c>
      <c r="J3634" s="34" t="s">
        <v>9650</v>
      </c>
      <c r="K3634" s="34" t="str">
        <f t="shared" si="117"/>
        <v>重复</v>
      </c>
      <c r="L3634" s="34" t="str">
        <f t="shared" si="118"/>
        <v>不重复</v>
      </c>
    </row>
    <row r="3635" spans="1:12" ht="27">
      <c r="A3635" s="35" t="s">
        <v>14060</v>
      </c>
      <c r="B3635" s="35" t="s">
        <v>9701</v>
      </c>
      <c r="C3635" s="36" t="s">
        <v>1860</v>
      </c>
      <c r="D3635" s="35" t="s">
        <v>9702</v>
      </c>
      <c r="E3635" s="35" t="s">
        <v>14057</v>
      </c>
      <c r="F3635" s="35" t="s">
        <v>14036</v>
      </c>
      <c r="G3635" s="35">
        <v>370403</v>
      </c>
      <c r="H3635" s="35">
        <v>410020</v>
      </c>
      <c r="I3635" s="35">
        <v>350000</v>
      </c>
      <c r="J3635" s="34" t="s">
        <v>311</v>
      </c>
      <c r="K3635" s="34" t="str">
        <f t="shared" si="117"/>
        <v>重复</v>
      </c>
      <c r="L3635" s="34" t="str">
        <f t="shared" si="118"/>
        <v>不重复</v>
      </c>
    </row>
    <row r="3636" spans="1:12" ht="15">
      <c r="A3636" s="35" t="s">
        <v>14061</v>
      </c>
      <c r="B3636" s="35" t="s">
        <v>9703</v>
      </c>
      <c r="C3636" s="36" t="s">
        <v>8733</v>
      </c>
      <c r="D3636" s="35" t="s">
        <v>9704</v>
      </c>
      <c r="E3636" s="35" t="s">
        <v>14057</v>
      </c>
      <c r="F3636" s="35" t="s">
        <v>14036</v>
      </c>
      <c r="G3636" s="35">
        <v>370404</v>
      </c>
      <c r="H3636" s="35">
        <v>410020</v>
      </c>
      <c r="I3636" s="35">
        <v>350000</v>
      </c>
      <c r="J3636" s="34" t="s">
        <v>462</v>
      </c>
      <c r="K3636" s="34" t="str">
        <f t="shared" si="117"/>
        <v>重复</v>
      </c>
      <c r="L3636" s="34" t="str">
        <f t="shared" si="118"/>
        <v>不重复</v>
      </c>
    </row>
    <row r="3637" spans="1:12" ht="30">
      <c r="A3637" s="35" t="s">
        <v>14062</v>
      </c>
      <c r="B3637" s="35" t="s">
        <v>9705</v>
      </c>
      <c r="C3637" s="36" t="s">
        <v>1594</v>
      </c>
      <c r="D3637" s="35" t="s">
        <v>9706</v>
      </c>
      <c r="E3637" s="35" t="s">
        <v>14057</v>
      </c>
      <c r="F3637" s="35" t="s">
        <v>14036</v>
      </c>
      <c r="G3637" s="35">
        <v>370405</v>
      </c>
      <c r="H3637" s="35">
        <v>410020</v>
      </c>
      <c r="I3637" s="35">
        <v>350000</v>
      </c>
      <c r="J3637" s="34" t="s">
        <v>363</v>
      </c>
      <c r="K3637" s="34" t="str">
        <f t="shared" si="117"/>
        <v>重复</v>
      </c>
      <c r="L3637" s="34" t="str">
        <f t="shared" si="118"/>
        <v>不重复</v>
      </c>
    </row>
    <row r="3638" spans="1:12" ht="15">
      <c r="A3638" s="35" t="s">
        <v>14063</v>
      </c>
      <c r="B3638" s="35" t="s">
        <v>9707</v>
      </c>
      <c r="C3638" s="36" t="s">
        <v>5285</v>
      </c>
      <c r="D3638" s="35" t="s">
        <v>9708</v>
      </c>
      <c r="E3638" s="35" t="s">
        <v>14057</v>
      </c>
      <c r="F3638" s="35" t="s">
        <v>14036</v>
      </c>
      <c r="G3638" s="35">
        <v>370406</v>
      </c>
      <c r="H3638" s="35">
        <v>410020</v>
      </c>
      <c r="I3638" s="35">
        <v>350000</v>
      </c>
      <c r="J3638" s="34" t="s">
        <v>458</v>
      </c>
      <c r="K3638" s="34" t="str">
        <f t="shared" si="117"/>
        <v>重复</v>
      </c>
      <c r="L3638" s="34" t="str">
        <f t="shared" si="118"/>
        <v>不重复</v>
      </c>
    </row>
    <row r="3639" spans="1:12" ht="15">
      <c r="A3639" s="35" t="s">
        <v>14064</v>
      </c>
      <c r="B3639" s="35" t="s">
        <v>9709</v>
      </c>
      <c r="C3639" s="36" t="s">
        <v>9710</v>
      </c>
      <c r="D3639" s="35" t="s">
        <v>9711</v>
      </c>
      <c r="E3639" s="35" t="s">
        <v>14057</v>
      </c>
      <c r="F3639" s="35" t="s">
        <v>14036</v>
      </c>
      <c r="G3639" s="35">
        <v>370438</v>
      </c>
      <c r="H3639" s="35">
        <v>410020</v>
      </c>
      <c r="I3639" s="35">
        <v>350000</v>
      </c>
      <c r="J3639" s="34"/>
      <c r="K3639" s="34" t="str">
        <f t="shared" si="117"/>
        <v>不重复</v>
      </c>
      <c r="L3639" s="34"/>
    </row>
    <row r="3640" spans="1:12" ht="30">
      <c r="A3640" s="35" t="s">
        <v>14065</v>
      </c>
      <c r="B3640" s="35" t="s">
        <v>9712</v>
      </c>
      <c r="C3640" s="36" t="s">
        <v>9713</v>
      </c>
      <c r="D3640" s="35" t="s">
        <v>9714</v>
      </c>
      <c r="E3640" s="35" t="s">
        <v>14057</v>
      </c>
      <c r="F3640" s="35" t="s">
        <v>14036</v>
      </c>
      <c r="G3640" s="35">
        <v>370407</v>
      </c>
      <c r="H3640" s="35">
        <v>410020</v>
      </c>
      <c r="I3640" s="35">
        <v>350000</v>
      </c>
      <c r="J3640" s="34" t="s">
        <v>363</v>
      </c>
      <c r="K3640" s="34" t="str">
        <f t="shared" si="117"/>
        <v>不重复</v>
      </c>
      <c r="L3640" s="34" t="str">
        <f t="shared" si="119" ref="L3640:L3658">IF(COUNTIF(D:D,D3640)&gt;=2,"重复","不重复")</f>
        <v>不重复</v>
      </c>
    </row>
    <row r="3641" spans="1:12" ht="15">
      <c r="A3641" s="35" t="s">
        <v>14066</v>
      </c>
      <c r="B3641" s="35" t="s">
        <v>9715</v>
      </c>
      <c r="C3641" s="36" t="s">
        <v>9716</v>
      </c>
      <c r="D3641" s="35" t="s">
        <v>9717</v>
      </c>
      <c r="E3641" s="35" t="s">
        <v>14057</v>
      </c>
      <c r="F3641" s="35" t="s">
        <v>14036</v>
      </c>
      <c r="G3641" s="35">
        <v>370408</v>
      </c>
      <c r="H3641" s="35">
        <v>410020</v>
      </c>
      <c r="I3641" s="35">
        <v>350000</v>
      </c>
      <c r="J3641" s="34" t="s">
        <v>311</v>
      </c>
      <c r="K3641" s="34" t="str">
        <f t="shared" si="117"/>
        <v>不重复</v>
      </c>
      <c r="L3641" s="34" t="str">
        <f t="shared" si="119"/>
        <v>不重复</v>
      </c>
    </row>
    <row r="3642" spans="1:12" ht="15">
      <c r="A3642" s="35" t="s">
        <v>14067</v>
      </c>
      <c r="B3642" s="35" t="s">
        <v>9718</v>
      </c>
      <c r="C3642" s="36" t="s">
        <v>9719</v>
      </c>
      <c r="D3642" s="35" t="s">
        <v>9720</v>
      </c>
      <c r="E3642" s="35" t="s">
        <v>14057</v>
      </c>
      <c r="F3642" s="35" t="s">
        <v>14036</v>
      </c>
      <c r="G3642" s="35">
        <v>370409</v>
      </c>
      <c r="H3642" s="35">
        <v>410020</v>
      </c>
      <c r="I3642" s="35">
        <v>350000</v>
      </c>
      <c r="J3642" s="34" t="s">
        <v>848</v>
      </c>
      <c r="K3642" s="34" t="str">
        <f t="shared" si="117"/>
        <v>不重复</v>
      </c>
      <c r="L3642" s="34" t="str">
        <f t="shared" si="119"/>
        <v>不重复</v>
      </c>
    </row>
    <row r="3643" spans="1:12" ht="15">
      <c r="A3643" s="35" t="s">
        <v>14068</v>
      </c>
      <c r="B3643" s="35" t="s">
        <v>9721</v>
      </c>
      <c r="C3643" s="36" t="s">
        <v>9722</v>
      </c>
      <c r="D3643" s="35" t="s">
        <v>9723</v>
      </c>
      <c r="E3643" s="35" t="s">
        <v>14057</v>
      </c>
      <c r="F3643" s="35" t="s">
        <v>14036</v>
      </c>
      <c r="G3643" s="35">
        <v>370410</v>
      </c>
      <c r="H3643" s="35">
        <v>410020</v>
      </c>
      <c r="I3643" s="35">
        <v>350000</v>
      </c>
      <c r="J3643" s="34" t="s">
        <v>715</v>
      </c>
      <c r="K3643" s="34" t="str">
        <f t="shared" si="117"/>
        <v>不重复</v>
      </c>
      <c r="L3643" s="34" t="str">
        <f t="shared" si="119"/>
        <v>不重复</v>
      </c>
    </row>
    <row r="3644" spans="1:12" ht="15">
      <c r="A3644" s="35" t="s">
        <v>14069</v>
      </c>
      <c r="B3644" s="35" t="s">
        <v>9724</v>
      </c>
      <c r="C3644" s="36" t="s">
        <v>9725</v>
      </c>
      <c r="D3644" s="35" t="s">
        <v>9726</v>
      </c>
      <c r="E3644" s="35" t="s">
        <v>14057</v>
      </c>
      <c r="F3644" s="35" t="s">
        <v>14036</v>
      </c>
      <c r="G3644" s="35">
        <v>370411</v>
      </c>
      <c r="H3644" s="35">
        <v>410020</v>
      </c>
      <c r="I3644" s="35">
        <v>350000</v>
      </c>
      <c r="J3644" s="34" t="s">
        <v>302</v>
      </c>
      <c r="K3644" s="34" t="str">
        <f t="shared" si="117"/>
        <v>不重复</v>
      </c>
      <c r="L3644" s="34" t="str">
        <f t="shared" si="119"/>
        <v>不重复</v>
      </c>
    </row>
    <row r="3645" spans="1:12" ht="15">
      <c r="A3645" s="35" t="s">
        <v>14070</v>
      </c>
      <c r="B3645" s="35" t="s">
        <v>9727</v>
      </c>
      <c r="C3645" s="36" t="s">
        <v>9728</v>
      </c>
      <c r="D3645" s="35" t="s">
        <v>7348</v>
      </c>
      <c r="E3645" s="35" t="s">
        <v>14057</v>
      </c>
      <c r="F3645" s="35" t="s">
        <v>14036</v>
      </c>
      <c r="G3645" s="35">
        <v>370412</v>
      </c>
      <c r="H3645" s="35">
        <v>410020</v>
      </c>
      <c r="I3645" s="35">
        <v>350000</v>
      </c>
      <c r="J3645" s="34" t="s">
        <v>752</v>
      </c>
      <c r="K3645" s="34" t="str">
        <f t="shared" si="117"/>
        <v>不重复</v>
      </c>
      <c r="L3645" s="34" t="str">
        <f t="shared" si="119"/>
        <v>重复</v>
      </c>
    </row>
    <row r="3646" spans="1:12" ht="15">
      <c r="A3646" s="35" t="s">
        <v>14071</v>
      </c>
      <c r="B3646" s="35" t="s">
        <v>9729</v>
      </c>
      <c r="C3646" s="36" t="s">
        <v>9730</v>
      </c>
      <c r="D3646" s="35" t="s">
        <v>9731</v>
      </c>
      <c r="E3646" s="35" t="s">
        <v>14057</v>
      </c>
      <c r="F3646" s="35" t="s">
        <v>14036</v>
      </c>
      <c r="G3646" s="35">
        <v>370412</v>
      </c>
      <c r="H3646" s="35">
        <v>410020</v>
      </c>
      <c r="I3646" s="35">
        <v>350000</v>
      </c>
      <c r="J3646" s="34"/>
      <c r="K3646" s="34" t="str">
        <f t="shared" si="117"/>
        <v>不重复</v>
      </c>
      <c r="L3646" s="34" t="str">
        <f t="shared" si="119"/>
        <v>不重复</v>
      </c>
    </row>
    <row r="3647" spans="1:12" ht="15">
      <c r="A3647" s="35" t="s">
        <v>14072</v>
      </c>
      <c r="B3647" s="35" t="s">
        <v>9732</v>
      </c>
      <c r="C3647" s="36" t="s">
        <v>9733</v>
      </c>
      <c r="D3647" s="35" t="s">
        <v>9734</v>
      </c>
      <c r="E3647" s="35" t="s">
        <v>14057</v>
      </c>
      <c r="F3647" s="35" t="s">
        <v>14036</v>
      </c>
      <c r="G3647" s="35">
        <v>370437</v>
      </c>
      <c r="H3647" s="35">
        <v>410020</v>
      </c>
      <c r="I3647" s="35">
        <v>350000</v>
      </c>
      <c r="J3647" s="34"/>
      <c r="K3647" s="34" t="str">
        <f t="shared" si="117"/>
        <v>不重复</v>
      </c>
      <c r="L3647" s="34" t="str">
        <f t="shared" si="119"/>
        <v>不重复</v>
      </c>
    </row>
    <row r="3648" spans="1:12" ht="15">
      <c r="A3648" s="35" t="s">
        <v>14073</v>
      </c>
      <c r="B3648" s="35" t="s">
        <v>9735</v>
      </c>
      <c r="C3648" s="36" t="s">
        <v>9736</v>
      </c>
      <c r="D3648" s="35" t="s">
        <v>9737</v>
      </c>
      <c r="E3648" s="35" t="s">
        <v>14057</v>
      </c>
      <c r="F3648" s="35" t="s">
        <v>14036</v>
      </c>
      <c r="G3648" s="35">
        <v>370413</v>
      </c>
      <c r="H3648" s="35">
        <v>410020</v>
      </c>
      <c r="I3648" s="35">
        <v>350000</v>
      </c>
      <c r="J3648" s="34" t="s">
        <v>1193</v>
      </c>
      <c r="K3648" s="34" t="str">
        <f t="shared" si="117"/>
        <v>不重复</v>
      </c>
      <c r="L3648" s="34" t="str">
        <f t="shared" si="119"/>
        <v>不重复</v>
      </c>
    </row>
    <row r="3649" spans="1:12" ht="30">
      <c r="A3649" s="35" t="s">
        <v>14074</v>
      </c>
      <c r="B3649" s="35" t="s">
        <v>9738</v>
      </c>
      <c r="C3649" s="36" t="s">
        <v>620</v>
      </c>
      <c r="D3649" s="35" t="s">
        <v>9739</v>
      </c>
      <c r="E3649" s="35" t="s">
        <v>14057</v>
      </c>
      <c r="F3649" s="35" t="s">
        <v>14036</v>
      </c>
      <c r="G3649" s="35">
        <v>370414</v>
      </c>
      <c r="H3649" s="35">
        <v>410020</v>
      </c>
      <c r="I3649" s="35">
        <v>350000</v>
      </c>
      <c r="J3649" s="34" t="s">
        <v>194</v>
      </c>
      <c r="K3649" s="34" t="str">
        <f t="shared" si="120" ref="K3649:K3712">IF(COUNTIF(C:C,C3649)&gt;=2,"重复","不重复")</f>
        <v>重复</v>
      </c>
      <c r="L3649" s="34" t="str">
        <f t="shared" si="119"/>
        <v>不重复</v>
      </c>
    </row>
    <row r="3650" spans="1:12" ht="30">
      <c r="A3650" s="35" t="s">
        <v>14075</v>
      </c>
      <c r="B3650" s="35" t="s">
        <v>9740</v>
      </c>
      <c r="C3650" s="36" t="s">
        <v>628</v>
      </c>
      <c r="D3650" s="35" t="s">
        <v>9741</v>
      </c>
      <c r="E3650" s="35" t="s">
        <v>14057</v>
      </c>
      <c r="F3650" s="35" t="s">
        <v>14036</v>
      </c>
      <c r="G3650" s="35">
        <v>370415</v>
      </c>
      <c r="H3650" s="35">
        <v>410020</v>
      </c>
      <c r="I3650" s="35">
        <v>350000</v>
      </c>
      <c r="J3650" s="34" t="s">
        <v>4772</v>
      </c>
      <c r="K3650" s="34" t="str">
        <f t="shared" si="120"/>
        <v>重复</v>
      </c>
      <c r="L3650" s="34" t="str">
        <f t="shared" si="119"/>
        <v>不重复</v>
      </c>
    </row>
    <row r="3651" spans="1:12" ht="30">
      <c r="A3651" s="35" t="s">
        <v>14076</v>
      </c>
      <c r="B3651" s="35" t="s">
        <v>9742</v>
      </c>
      <c r="C3651" s="36" t="s">
        <v>9743</v>
      </c>
      <c r="D3651" s="35" t="s">
        <v>9744</v>
      </c>
      <c r="E3651" s="35" t="s">
        <v>14057</v>
      </c>
      <c r="F3651" s="35" t="s">
        <v>14036</v>
      </c>
      <c r="G3651" s="35">
        <v>370416</v>
      </c>
      <c r="H3651" s="35">
        <v>410020</v>
      </c>
      <c r="I3651" s="35">
        <v>350000</v>
      </c>
      <c r="J3651" s="34" t="s">
        <v>1193</v>
      </c>
      <c r="K3651" s="34" t="str">
        <f t="shared" si="120"/>
        <v>不重复</v>
      </c>
      <c r="L3651" s="34" t="str">
        <f t="shared" si="119"/>
        <v>不重复</v>
      </c>
    </row>
    <row r="3652" spans="1:12" ht="27">
      <c r="A3652" s="35" t="s">
        <v>14077</v>
      </c>
      <c r="B3652" s="35" t="s">
        <v>9745</v>
      </c>
      <c r="C3652" s="36" t="s">
        <v>6922</v>
      </c>
      <c r="D3652" s="35" t="s">
        <v>9746</v>
      </c>
      <c r="E3652" s="35" t="s">
        <v>14057</v>
      </c>
      <c r="F3652" s="35" t="s">
        <v>14036</v>
      </c>
      <c r="G3652" s="35">
        <v>370417</v>
      </c>
      <c r="H3652" s="35">
        <v>410020</v>
      </c>
      <c r="I3652" s="35">
        <v>350000</v>
      </c>
      <c r="J3652" s="34" t="s">
        <v>9747</v>
      </c>
      <c r="K3652" s="34" t="str">
        <f t="shared" si="120"/>
        <v>重复</v>
      </c>
      <c r="L3652" s="34" t="str">
        <f t="shared" si="119"/>
        <v>不重复</v>
      </c>
    </row>
    <row r="3653" spans="1:12" ht="30">
      <c r="A3653" s="35" t="s">
        <v>14078</v>
      </c>
      <c r="B3653" s="35" t="s">
        <v>9748</v>
      </c>
      <c r="C3653" s="36" t="s">
        <v>2920</v>
      </c>
      <c r="D3653" s="35" t="s">
        <v>9749</v>
      </c>
      <c r="E3653" s="35" t="s">
        <v>14057</v>
      </c>
      <c r="F3653" s="35" t="s">
        <v>14036</v>
      </c>
      <c r="G3653" s="35">
        <v>370418</v>
      </c>
      <c r="H3653" s="35">
        <v>410020</v>
      </c>
      <c r="I3653" s="35">
        <v>350000</v>
      </c>
      <c r="J3653" s="34" t="s">
        <v>715</v>
      </c>
      <c r="K3653" s="34" t="str">
        <f t="shared" si="120"/>
        <v>重复</v>
      </c>
      <c r="L3653" s="34" t="str">
        <f t="shared" si="119"/>
        <v>不重复</v>
      </c>
    </row>
    <row r="3654" spans="1:12" ht="27">
      <c r="A3654" s="35" t="s">
        <v>14079</v>
      </c>
      <c r="B3654" s="35" t="s">
        <v>9750</v>
      </c>
      <c r="C3654" s="36" t="s">
        <v>9751</v>
      </c>
      <c r="D3654" s="35" t="s">
        <v>9752</v>
      </c>
      <c r="E3654" s="35" t="s">
        <v>14057</v>
      </c>
      <c r="F3654" s="35" t="s">
        <v>14036</v>
      </c>
      <c r="G3654" s="35">
        <v>370419</v>
      </c>
      <c r="H3654" s="35">
        <v>410020</v>
      </c>
      <c r="I3654" s="35">
        <v>350000</v>
      </c>
      <c r="J3654" s="34" t="s">
        <v>2219</v>
      </c>
      <c r="K3654" s="34" t="str">
        <f t="shared" si="120"/>
        <v>不重复</v>
      </c>
      <c r="L3654" s="34" t="str">
        <f t="shared" si="119"/>
        <v>不重复</v>
      </c>
    </row>
    <row r="3655" spans="1:12" ht="30">
      <c r="A3655" s="35" t="s">
        <v>14080</v>
      </c>
      <c r="B3655" s="35" t="s">
        <v>9753</v>
      </c>
      <c r="C3655" s="36" t="s">
        <v>9476</v>
      </c>
      <c r="D3655" s="35" t="s">
        <v>9754</v>
      </c>
      <c r="E3655" s="35" t="s">
        <v>14057</v>
      </c>
      <c r="F3655" s="35" t="s">
        <v>14036</v>
      </c>
      <c r="G3655" s="35">
        <v>370420</v>
      </c>
      <c r="H3655" s="35">
        <v>410020</v>
      </c>
      <c r="I3655" s="35">
        <v>350000</v>
      </c>
      <c r="J3655" s="34" t="s">
        <v>9755</v>
      </c>
      <c r="K3655" s="34" t="str">
        <f t="shared" si="120"/>
        <v>重复</v>
      </c>
      <c r="L3655" s="34" t="str">
        <f t="shared" si="119"/>
        <v>不重复</v>
      </c>
    </row>
    <row r="3656" spans="1:12" ht="30">
      <c r="A3656" s="35" t="s">
        <v>14081</v>
      </c>
      <c r="B3656" s="35" t="s">
        <v>9756</v>
      </c>
      <c r="C3656" s="36" t="s">
        <v>5345</v>
      </c>
      <c r="D3656" s="35" t="s">
        <v>9757</v>
      </c>
      <c r="E3656" s="35" t="s">
        <v>14057</v>
      </c>
      <c r="F3656" s="35" t="s">
        <v>14036</v>
      </c>
      <c r="G3656" s="35">
        <v>370421</v>
      </c>
      <c r="H3656" s="35">
        <v>410020</v>
      </c>
      <c r="I3656" s="35">
        <v>350000</v>
      </c>
      <c r="J3656" s="34" t="s">
        <v>9755</v>
      </c>
      <c r="K3656" s="34" t="str">
        <f t="shared" si="120"/>
        <v>重复</v>
      </c>
      <c r="L3656" s="34" t="str">
        <f t="shared" si="119"/>
        <v>不重复</v>
      </c>
    </row>
    <row r="3657" spans="1:12" ht="27">
      <c r="A3657" s="35" t="s">
        <v>14082</v>
      </c>
      <c r="B3657" s="35" t="s">
        <v>9758</v>
      </c>
      <c r="C3657" s="36" t="s">
        <v>1821</v>
      </c>
      <c r="D3657" s="35" t="s">
        <v>9759</v>
      </c>
      <c r="E3657" s="35" t="s">
        <v>14057</v>
      </c>
      <c r="F3657" s="35" t="s">
        <v>14036</v>
      </c>
      <c r="G3657" s="35">
        <v>370422</v>
      </c>
      <c r="H3657" s="35">
        <v>410020</v>
      </c>
      <c r="I3657" s="35">
        <v>350000</v>
      </c>
      <c r="J3657" s="34" t="s">
        <v>363</v>
      </c>
      <c r="K3657" s="34" t="str">
        <f t="shared" si="120"/>
        <v>重复</v>
      </c>
      <c r="L3657" s="34" t="str">
        <f t="shared" si="119"/>
        <v>不重复</v>
      </c>
    </row>
    <row r="3658" spans="1:12" ht="30">
      <c r="A3658" s="35" t="s">
        <v>14083</v>
      </c>
      <c r="B3658" s="35" t="s">
        <v>9760</v>
      </c>
      <c r="C3658" s="36" t="s">
        <v>2920</v>
      </c>
      <c r="D3658" s="35" t="s">
        <v>9761</v>
      </c>
      <c r="E3658" s="35" t="s">
        <v>14084</v>
      </c>
      <c r="F3658" s="35" t="s">
        <v>14036</v>
      </c>
      <c r="G3658" s="35">
        <v>370423</v>
      </c>
      <c r="H3658" s="35">
        <v>410020</v>
      </c>
      <c r="I3658" s="35">
        <v>350000</v>
      </c>
      <c r="J3658" s="34" t="s">
        <v>9755</v>
      </c>
      <c r="K3658" s="34" t="str">
        <f t="shared" si="120"/>
        <v>重复</v>
      </c>
      <c r="L3658" s="34" t="str">
        <f t="shared" si="119"/>
        <v>不重复</v>
      </c>
    </row>
    <row r="3659" spans="1:12" ht="15">
      <c r="A3659" s="35" t="s">
        <v>14085</v>
      </c>
      <c r="B3659" s="35" t="s">
        <v>9762</v>
      </c>
      <c r="C3659" s="36" t="s">
        <v>9763</v>
      </c>
      <c r="D3659" s="35" t="s">
        <v>9764</v>
      </c>
      <c r="E3659" s="35" t="s">
        <v>14084</v>
      </c>
      <c r="F3659" s="35" t="s">
        <v>14036</v>
      </c>
      <c r="G3659" s="35">
        <v>370439</v>
      </c>
      <c r="H3659" s="35">
        <v>410020</v>
      </c>
      <c r="I3659" s="35">
        <v>350000</v>
      </c>
      <c r="J3659" s="34"/>
      <c r="K3659" s="34" t="str">
        <f t="shared" si="120"/>
        <v>不重复</v>
      </c>
      <c r="L3659" s="34"/>
    </row>
    <row r="3660" spans="1:12" ht="30">
      <c r="A3660" s="35" t="s">
        <v>14086</v>
      </c>
      <c r="B3660" s="35" t="s">
        <v>9765</v>
      </c>
      <c r="C3660" s="36" t="s">
        <v>5031</v>
      </c>
      <c r="D3660" s="35" t="s">
        <v>9766</v>
      </c>
      <c r="E3660" s="35" t="s">
        <v>14057</v>
      </c>
      <c r="F3660" s="35" t="s">
        <v>14036</v>
      </c>
      <c r="G3660" s="35">
        <v>370424</v>
      </c>
      <c r="H3660" s="35">
        <v>410020</v>
      </c>
      <c r="I3660" s="35">
        <v>350000</v>
      </c>
      <c r="J3660" s="34" t="s">
        <v>9767</v>
      </c>
      <c r="K3660" s="34" t="str">
        <f t="shared" si="120"/>
        <v>重复</v>
      </c>
      <c r="L3660" s="34" t="str">
        <f t="shared" si="121" ref="L3660:L3723">IF(COUNTIF(D:D,D3660)&gt;=2,"重复","不重复")</f>
        <v>不重复</v>
      </c>
    </row>
    <row r="3661" spans="1:12" ht="30">
      <c r="A3661" s="35" t="s">
        <v>14087</v>
      </c>
      <c r="B3661" s="35" t="s">
        <v>9768</v>
      </c>
      <c r="C3661" s="36" t="s">
        <v>909</v>
      </c>
      <c r="D3661" s="35" t="s">
        <v>9769</v>
      </c>
      <c r="E3661" s="35" t="s">
        <v>14057</v>
      </c>
      <c r="F3661" s="35" t="s">
        <v>14036</v>
      </c>
      <c r="G3661" s="35">
        <v>370425</v>
      </c>
      <c r="H3661" s="35">
        <v>410020</v>
      </c>
      <c r="I3661" s="35">
        <v>350000</v>
      </c>
      <c r="J3661" s="34" t="s">
        <v>363</v>
      </c>
      <c r="K3661" s="34" t="str">
        <f t="shared" si="120"/>
        <v>重复</v>
      </c>
      <c r="L3661" s="34" t="str">
        <f t="shared" si="121"/>
        <v>不重复</v>
      </c>
    </row>
    <row r="3662" spans="1:12" ht="30">
      <c r="A3662" s="35" t="s">
        <v>14088</v>
      </c>
      <c r="B3662" s="35" t="s">
        <v>9770</v>
      </c>
      <c r="C3662" s="36" t="s">
        <v>9771</v>
      </c>
      <c r="D3662" s="35" t="s">
        <v>9772</v>
      </c>
      <c r="E3662" s="35" t="s">
        <v>14057</v>
      </c>
      <c r="F3662" s="35" t="s">
        <v>14036</v>
      </c>
      <c r="G3662" s="35">
        <v>370426</v>
      </c>
      <c r="H3662" s="35">
        <v>410020</v>
      </c>
      <c r="I3662" s="35">
        <v>350000</v>
      </c>
      <c r="J3662" s="34" t="s">
        <v>4993</v>
      </c>
      <c r="K3662" s="34" t="str">
        <f t="shared" si="120"/>
        <v>不重复</v>
      </c>
      <c r="L3662" s="34" t="str">
        <f t="shared" si="121"/>
        <v>不重复</v>
      </c>
    </row>
    <row r="3663" spans="1:12" ht="15">
      <c r="A3663" s="35" t="s">
        <v>14089</v>
      </c>
      <c r="B3663" s="35" t="s">
        <v>9773</v>
      </c>
      <c r="C3663" s="36" t="s">
        <v>9774</v>
      </c>
      <c r="D3663" s="35" t="s">
        <v>9775</v>
      </c>
      <c r="E3663" s="35" t="s">
        <v>14057</v>
      </c>
      <c r="F3663" s="35" t="s">
        <v>14036</v>
      </c>
      <c r="G3663" s="35">
        <v>370427</v>
      </c>
      <c r="H3663" s="35">
        <v>410020</v>
      </c>
      <c r="I3663" s="35">
        <v>350000</v>
      </c>
      <c r="J3663" s="34" t="s">
        <v>8304</v>
      </c>
      <c r="K3663" s="34" t="str">
        <f t="shared" si="120"/>
        <v>不重复</v>
      </c>
      <c r="L3663" s="34" t="str">
        <f t="shared" si="121"/>
        <v>不重复</v>
      </c>
    </row>
    <row r="3664" spans="1:12" ht="15">
      <c r="A3664" s="35" t="s">
        <v>14090</v>
      </c>
      <c r="B3664" s="35" t="s">
        <v>9776</v>
      </c>
      <c r="C3664" s="36" t="s">
        <v>9214</v>
      </c>
      <c r="D3664" s="35" t="s">
        <v>9777</v>
      </c>
      <c r="E3664" s="35" t="s">
        <v>14057</v>
      </c>
      <c r="F3664" s="35" t="s">
        <v>14036</v>
      </c>
      <c r="G3664" s="35">
        <v>370428</v>
      </c>
      <c r="H3664" s="35">
        <v>410020</v>
      </c>
      <c r="I3664" s="35">
        <v>350000</v>
      </c>
      <c r="J3664" s="34" t="s">
        <v>458</v>
      </c>
      <c r="K3664" s="34" t="str">
        <f t="shared" si="120"/>
        <v>重复</v>
      </c>
      <c r="L3664" s="34" t="str">
        <f t="shared" si="121"/>
        <v>不重复</v>
      </c>
    </row>
    <row r="3665" spans="1:12" ht="30">
      <c r="A3665" s="35" t="s">
        <v>14091</v>
      </c>
      <c r="B3665" s="35" t="s">
        <v>9778</v>
      </c>
      <c r="C3665" s="36" t="s">
        <v>3774</v>
      </c>
      <c r="D3665" s="35" t="s">
        <v>1605</v>
      </c>
      <c r="E3665" s="35" t="s">
        <v>14057</v>
      </c>
      <c r="F3665" s="35" t="s">
        <v>14036</v>
      </c>
      <c r="G3665" s="35">
        <v>370429</v>
      </c>
      <c r="H3665" s="35">
        <v>410020</v>
      </c>
      <c r="I3665" s="35">
        <v>350000</v>
      </c>
      <c r="J3665" s="34" t="s">
        <v>9779</v>
      </c>
      <c r="K3665" s="34" t="str">
        <f t="shared" si="120"/>
        <v>重复</v>
      </c>
      <c r="L3665" s="34" t="str">
        <f t="shared" si="121"/>
        <v>重复</v>
      </c>
    </row>
    <row r="3666" spans="1:12" ht="15">
      <c r="A3666" s="35" t="s">
        <v>14092</v>
      </c>
      <c r="B3666" s="35" t="s">
        <v>9780</v>
      </c>
      <c r="C3666" s="36" t="s">
        <v>9781</v>
      </c>
      <c r="D3666" s="35" t="s">
        <v>9782</v>
      </c>
      <c r="E3666" s="35" t="s">
        <v>14057</v>
      </c>
      <c r="F3666" s="35" t="s">
        <v>14036</v>
      </c>
      <c r="G3666" s="35">
        <v>370430</v>
      </c>
      <c r="H3666" s="35">
        <v>410020</v>
      </c>
      <c r="I3666" s="35">
        <v>350000</v>
      </c>
      <c r="J3666" s="34" t="s">
        <v>1223</v>
      </c>
      <c r="K3666" s="34" t="str">
        <f t="shared" si="120"/>
        <v>重复</v>
      </c>
      <c r="L3666" s="34" t="str">
        <f t="shared" si="121"/>
        <v>不重复</v>
      </c>
    </row>
    <row r="3667" spans="1:12" ht="15">
      <c r="A3667" s="35" t="s">
        <v>14092</v>
      </c>
      <c r="B3667" s="35" t="s">
        <v>9783</v>
      </c>
      <c r="C3667" s="36" t="s">
        <v>9781</v>
      </c>
      <c r="D3667" s="35" t="s">
        <v>30</v>
      </c>
      <c r="E3667" s="35" t="s">
        <v>14057</v>
      </c>
      <c r="F3667" s="35" t="s">
        <v>14036</v>
      </c>
      <c r="G3667" s="35">
        <v>370431</v>
      </c>
      <c r="H3667" s="35">
        <v>410020</v>
      </c>
      <c r="I3667" s="35">
        <v>350000</v>
      </c>
      <c r="J3667" s="34" t="s">
        <v>1223</v>
      </c>
      <c r="K3667" s="34" t="str">
        <f t="shared" si="120"/>
        <v>重复</v>
      </c>
      <c r="L3667" s="34" t="str">
        <f t="shared" si="121"/>
        <v>重复</v>
      </c>
    </row>
    <row r="3668" spans="1:12" ht="15">
      <c r="A3668" s="35" t="s">
        <v>14093</v>
      </c>
      <c r="B3668" s="35" t="s">
        <v>9784</v>
      </c>
      <c r="C3668" s="36" t="s">
        <v>5363</v>
      </c>
      <c r="D3668" s="35" t="s">
        <v>9785</v>
      </c>
      <c r="E3668" s="35" t="s">
        <v>14057</v>
      </c>
      <c r="F3668" s="35" t="s">
        <v>14036</v>
      </c>
      <c r="G3668" s="35">
        <v>370432</v>
      </c>
      <c r="H3668" s="35">
        <v>410020</v>
      </c>
      <c r="I3668" s="35">
        <v>350000</v>
      </c>
      <c r="J3668" s="34" t="s">
        <v>9786</v>
      </c>
      <c r="K3668" s="34" t="str">
        <f t="shared" si="120"/>
        <v>重复</v>
      </c>
      <c r="L3668" s="34" t="str">
        <f t="shared" si="121"/>
        <v>不重复</v>
      </c>
    </row>
    <row r="3669" spans="1:12" ht="15">
      <c r="A3669" s="35" t="s">
        <v>14094</v>
      </c>
      <c r="B3669" s="35" t="s">
        <v>9787</v>
      </c>
      <c r="C3669" s="36" t="s">
        <v>9788</v>
      </c>
      <c r="D3669" s="35" t="s">
        <v>9789</v>
      </c>
      <c r="E3669" s="35" t="s">
        <v>14057</v>
      </c>
      <c r="F3669" s="35" t="s">
        <v>14036</v>
      </c>
      <c r="G3669" s="35">
        <v>370433</v>
      </c>
      <c r="H3669" s="35">
        <v>410020</v>
      </c>
      <c r="I3669" s="35">
        <v>350000</v>
      </c>
      <c r="J3669" s="34" t="s">
        <v>9755</v>
      </c>
      <c r="K3669" s="34" t="str">
        <f t="shared" si="120"/>
        <v>不重复</v>
      </c>
      <c r="L3669" s="34" t="str">
        <f t="shared" si="121"/>
        <v>不重复</v>
      </c>
    </row>
    <row r="3670" spans="1:12" ht="15">
      <c r="A3670" s="35" t="s">
        <v>14095</v>
      </c>
      <c r="B3670" s="35" t="s">
        <v>9790</v>
      </c>
      <c r="C3670" s="36" t="s">
        <v>9791</v>
      </c>
      <c r="D3670" s="35" t="s">
        <v>9792</v>
      </c>
      <c r="E3670" s="35" t="s">
        <v>14057</v>
      </c>
      <c r="F3670" s="35" t="s">
        <v>14036</v>
      </c>
      <c r="G3670" s="35">
        <v>370434</v>
      </c>
      <c r="H3670" s="35">
        <v>410020</v>
      </c>
      <c r="I3670" s="35">
        <v>350000</v>
      </c>
      <c r="J3670" s="34" t="s">
        <v>9793</v>
      </c>
      <c r="K3670" s="34" t="str">
        <f t="shared" si="120"/>
        <v>不重复</v>
      </c>
      <c r="L3670" s="34" t="str">
        <f t="shared" si="121"/>
        <v>不重复</v>
      </c>
    </row>
    <row r="3671" spans="1:12" ht="15">
      <c r="A3671" s="35" t="s">
        <v>14096</v>
      </c>
      <c r="B3671" s="35" t="s">
        <v>9794</v>
      </c>
      <c r="C3671" s="36" t="s">
        <v>7702</v>
      </c>
      <c r="D3671" s="35" t="s">
        <v>9795</v>
      </c>
      <c r="E3671" s="35" t="s">
        <v>14057</v>
      </c>
      <c r="F3671" s="35" t="s">
        <v>14036</v>
      </c>
      <c r="G3671" s="35">
        <v>370435</v>
      </c>
      <c r="H3671" s="35">
        <v>410020</v>
      </c>
      <c r="I3671" s="35">
        <v>350000</v>
      </c>
      <c r="J3671" s="34" t="s">
        <v>4772</v>
      </c>
      <c r="K3671" s="34" t="str">
        <f t="shared" si="120"/>
        <v>重复</v>
      </c>
      <c r="L3671" s="34" t="str">
        <f t="shared" si="121"/>
        <v>不重复</v>
      </c>
    </row>
    <row r="3672" spans="1:12" ht="15">
      <c r="A3672" s="35" t="s">
        <v>14097</v>
      </c>
      <c r="B3672" s="35" t="s">
        <v>9796</v>
      </c>
      <c r="C3672" s="36" t="s">
        <v>9797</v>
      </c>
      <c r="D3672" s="35" t="s">
        <v>9798</v>
      </c>
      <c r="E3672" s="35" t="s">
        <v>14057</v>
      </c>
      <c r="F3672" s="35" t="s">
        <v>14036</v>
      </c>
      <c r="G3672" s="35">
        <v>370436</v>
      </c>
      <c r="H3672" s="35">
        <v>410020</v>
      </c>
      <c r="I3672" s="35">
        <v>350000</v>
      </c>
      <c r="J3672" s="34" t="s">
        <v>9755</v>
      </c>
      <c r="K3672" s="34" t="str">
        <f t="shared" si="120"/>
        <v>不重复</v>
      </c>
      <c r="L3672" s="34" t="str">
        <f t="shared" si="121"/>
        <v>不重复</v>
      </c>
    </row>
    <row r="3673" spans="1:12" ht="15">
      <c r="A3673" s="35" t="s">
        <v>14098</v>
      </c>
      <c r="B3673" s="35" t="s">
        <v>9799</v>
      </c>
      <c r="C3673" s="36" t="s">
        <v>9800</v>
      </c>
      <c r="D3673" s="35" t="s">
        <v>9801</v>
      </c>
      <c r="E3673" s="35" t="s">
        <v>14057</v>
      </c>
      <c r="F3673" s="35" t="s">
        <v>14036</v>
      </c>
      <c r="G3673" s="35">
        <v>370437</v>
      </c>
      <c r="H3673" s="35">
        <v>410020</v>
      </c>
      <c r="I3673" s="35">
        <v>350000</v>
      </c>
      <c r="J3673" s="34"/>
      <c r="K3673" s="34" t="str">
        <f t="shared" si="120"/>
        <v>不重复</v>
      </c>
      <c r="L3673" s="34" t="str">
        <f t="shared" si="121"/>
        <v>不重复</v>
      </c>
    </row>
    <row r="3674" spans="1:12" ht="15">
      <c r="A3674" s="35" t="s">
        <v>14099</v>
      </c>
      <c r="B3674" s="35" t="s">
        <v>9802</v>
      </c>
      <c r="C3674" s="36" t="s">
        <v>6970</v>
      </c>
      <c r="D3674" s="35" t="s">
        <v>1099</v>
      </c>
      <c r="E3674" s="35" t="s">
        <v>14099</v>
      </c>
      <c r="F3674" s="35" t="s">
        <v>14036</v>
      </c>
      <c r="G3674" s="35">
        <v>370500</v>
      </c>
      <c r="H3674" s="35">
        <v>410030</v>
      </c>
      <c r="I3674" s="35">
        <v>350000</v>
      </c>
      <c r="J3674" s="34" t="s">
        <v>16</v>
      </c>
      <c r="K3674" s="34" t="str">
        <f t="shared" si="120"/>
        <v>重复</v>
      </c>
      <c r="L3674" s="34" t="str">
        <f t="shared" si="121"/>
        <v>重复</v>
      </c>
    </row>
    <row r="3675" spans="1:12" ht="15">
      <c r="A3675" s="35" t="s">
        <v>14100</v>
      </c>
      <c r="B3675" s="35" t="s">
        <v>9803</v>
      </c>
      <c r="C3675" s="36" t="s">
        <v>9804</v>
      </c>
      <c r="D3675" s="35" t="s">
        <v>9805</v>
      </c>
      <c r="E3675" s="35" t="s">
        <v>14099</v>
      </c>
      <c r="F3675" s="35" t="s">
        <v>14036</v>
      </c>
      <c r="G3675" s="35">
        <v>370501</v>
      </c>
      <c r="H3675" s="35">
        <v>410030</v>
      </c>
      <c r="I3675" s="35">
        <v>350000</v>
      </c>
      <c r="J3675" s="34" t="s">
        <v>7733</v>
      </c>
      <c r="K3675" s="34" t="str">
        <f t="shared" si="120"/>
        <v>不重复</v>
      </c>
      <c r="L3675" s="34" t="str">
        <f t="shared" si="121"/>
        <v>不重复</v>
      </c>
    </row>
    <row r="3676" spans="1:12" ht="15">
      <c r="A3676" s="35" t="s">
        <v>14101</v>
      </c>
      <c r="B3676" s="35" t="s">
        <v>9806</v>
      </c>
      <c r="C3676" s="36" t="s">
        <v>9807</v>
      </c>
      <c r="D3676" s="35" t="s">
        <v>9808</v>
      </c>
      <c r="E3676" s="35" t="s">
        <v>14099</v>
      </c>
      <c r="F3676" s="35" t="s">
        <v>14036</v>
      </c>
      <c r="G3676" s="35">
        <v>370502</v>
      </c>
      <c r="H3676" s="35">
        <v>410030</v>
      </c>
      <c r="I3676" s="35">
        <v>350000</v>
      </c>
      <c r="J3676" s="34" t="s">
        <v>715</v>
      </c>
      <c r="K3676" s="34" t="str">
        <f t="shared" si="120"/>
        <v>不重复</v>
      </c>
      <c r="L3676" s="34" t="str">
        <f t="shared" si="121"/>
        <v>不重复</v>
      </c>
    </row>
    <row r="3677" spans="1:12" ht="15">
      <c r="A3677" s="35" t="s">
        <v>14102</v>
      </c>
      <c r="B3677" s="35" t="s">
        <v>9809</v>
      </c>
      <c r="C3677" s="36" t="s">
        <v>9810</v>
      </c>
      <c r="D3677" s="35" t="s">
        <v>9811</v>
      </c>
      <c r="E3677" s="35" t="s">
        <v>14099</v>
      </c>
      <c r="F3677" s="35" t="s">
        <v>14036</v>
      </c>
      <c r="G3677" s="35">
        <v>370503</v>
      </c>
      <c r="H3677" s="35">
        <v>410030</v>
      </c>
      <c r="I3677" s="35">
        <v>350000</v>
      </c>
      <c r="J3677" s="34" t="s">
        <v>3565</v>
      </c>
      <c r="K3677" s="34" t="str">
        <f t="shared" si="120"/>
        <v>重复</v>
      </c>
      <c r="L3677" s="34" t="str">
        <f t="shared" si="121"/>
        <v>不重复</v>
      </c>
    </row>
    <row r="3678" spans="1:12" ht="27">
      <c r="A3678" s="35" t="s">
        <v>14103</v>
      </c>
      <c r="B3678" s="35" t="s">
        <v>9812</v>
      </c>
      <c r="C3678" s="36" t="s">
        <v>1950</v>
      </c>
      <c r="D3678" s="35" t="s">
        <v>9813</v>
      </c>
      <c r="E3678" s="35" t="s">
        <v>14099</v>
      </c>
      <c r="F3678" s="35" t="s">
        <v>14036</v>
      </c>
      <c r="G3678" s="35">
        <v>370504</v>
      </c>
      <c r="H3678" s="35">
        <v>410030</v>
      </c>
      <c r="I3678" s="35">
        <v>350000</v>
      </c>
      <c r="J3678" s="34" t="s">
        <v>7659</v>
      </c>
      <c r="K3678" s="34" t="str">
        <f t="shared" si="120"/>
        <v>重复</v>
      </c>
      <c r="L3678" s="34" t="str">
        <f t="shared" si="121"/>
        <v>不重复</v>
      </c>
    </row>
    <row r="3679" spans="1:12" ht="15">
      <c r="A3679" s="35" t="s">
        <v>14104</v>
      </c>
      <c r="B3679" s="35" t="s">
        <v>9814</v>
      </c>
      <c r="C3679" s="36" t="s">
        <v>9815</v>
      </c>
      <c r="D3679" s="35" t="s">
        <v>9816</v>
      </c>
      <c r="E3679" s="35" t="s">
        <v>14099</v>
      </c>
      <c r="F3679" s="35" t="s">
        <v>14036</v>
      </c>
      <c r="G3679" s="35">
        <v>370505</v>
      </c>
      <c r="H3679" s="35">
        <v>410030</v>
      </c>
      <c r="I3679" s="35">
        <v>350000</v>
      </c>
      <c r="J3679" s="34" t="s">
        <v>1137</v>
      </c>
      <c r="K3679" s="34" t="str">
        <f t="shared" si="120"/>
        <v>不重复</v>
      </c>
      <c r="L3679" s="34" t="str">
        <f t="shared" si="121"/>
        <v>不重复</v>
      </c>
    </row>
    <row r="3680" spans="1:12" ht="15">
      <c r="A3680" s="35" t="s">
        <v>14105</v>
      </c>
      <c r="B3680" s="35" t="s">
        <v>9817</v>
      </c>
      <c r="C3680" s="36" t="s">
        <v>9818</v>
      </c>
      <c r="D3680" s="35" t="s">
        <v>9819</v>
      </c>
      <c r="E3680" s="35" t="s">
        <v>14099</v>
      </c>
      <c r="F3680" s="35" t="s">
        <v>14036</v>
      </c>
      <c r="G3680" s="35">
        <v>370506</v>
      </c>
      <c r="H3680" s="35">
        <v>410030</v>
      </c>
      <c r="I3680" s="35">
        <v>350000</v>
      </c>
      <c r="J3680" s="34" t="s">
        <v>3565</v>
      </c>
      <c r="K3680" s="34" t="str">
        <f t="shared" si="120"/>
        <v>不重复</v>
      </c>
      <c r="L3680" s="34" t="str">
        <f t="shared" si="121"/>
        <v>不重复</v>
      </c>
    </row>
    <row r="3681" spans="1:12" ht="15">
      <c r="A3681" s="35" t="s">
        <v>14106</v>
      </c>
      <c r="B3681" s="35" t="s">
        <v>9820</v>
      </c>
      <c r="C3681" s="36" t="s">
        <v>2281</v>
      </c>
      <c r="D3681" s="35" t="s">
        <v>9821</v>
      </c>
      <c r="E3681" s="35" t="s">
        <v>14099</v>
      </c>
      <c r="F3681" s="35" t="s">
        <v>14036</v>
      </c>
      <c r="G3681" s="35">
        <v>370507</v>
      </c>
      <c r="H3681" s="35">
        <v>410030</v>
      </c>
      <c r="I3681" s="35">
        <v>350000</v>
      </c>
      <c r="J3681" s="34" t="s">
        <v>4772</v>
      </c>
      <c r="K3681" s="34" t="str">
        <f t="shared" si="120"/>
        <v>重复</v>
      </c>
      <c r="L3681" s="34" t="str">
        <f t="shared" si="121"/>
        <v>不重复</v>
      </c>
    </row>
    <row r="3682" spans="1:12" ht="15">
      <c r="A3682" s="35" t="s">
        <v>14107</v>
      </c>
      <c r="B3682" s="35" t="s">
        <v>9822</v>
      </c>
      <c r="C3682" s="36" t="s">
        <v>3249</v>
      </c>
      <c r="D3682" s="35" t="s">
        <v>9823</v>
      </c>
      <c r="E3682" s="35" t="s">
        <v>14099</v>
      </c>
      <c r="F3682" s="35" t="s">
        <v>14036</v>
      </c>
      <c r="G3682" s="35">
        <v>370508</v>
      </c>
      <c r="H3682" s="35">
        <v>410030</v>
      </c>
      <c r="I3682" s="35">
        <v>350000</v>
      </c>
      <c r="J3682" s="34" t="s">
        <v>1288</v>
      </c>
      <c r="K3682" s="34" t="str">
        <f t="shared" si="120"/>
        <v>重复</v>
      </c>
      <c r="L3682" s="34" t="str">
        <f t="shared" si="121"/>
        <v>不重复</v>
      </c>
    </row>
    <row r="3683" spans="1:12" ht="15">
      <c r="A3683" s="35" t="s">
        <v>14108</v>
      </c>
      <c r="B3683" s="35" t="s">
        <v>9824</v>
      </c>
      <c r="C3683" s="36" t="s">
        <v>9825</v>
      </c>
      <c r="D3683" s="35" t="s">
        <v>9826</v>
      </c>
      <c r="E3683" s="35" t="s">
        <v>14099</v>
      </c>
      <c r="F3683" s="35" t="s">
        <v>14036</v>
      </c>
      <c r="G3683" s="35">
        <v>370509</v>
      </c>
      <c r="H3683" s="35">
        <v>410030</v>
      </c>
      <c r="I3683" s="35">
        <v>350000</v>
      </c>
      <c r="J3683" s="34" t="s">
        <v>715</v>
      </c>
      <c r="K3683" s="34" t="str">
        <f t="shared" si="120"/>
        <v>不重复</v>
      </c>
      <c r="L3683" s="34" t="str">
        <f t="shared" si="121"/>
        <v>不重复</v>
      </c>
    </row>
    <row r="3684" spans="1:12" ht="30">
      <c r="A3684" s="35" t="s">
        <v>14109</v>
      </c>
      <c r="B3684" s="35" t="s">
        <v>9827</v>
      </c>
      <c r="C3684" s="36" t="s">
        <v>95</v>
      </c>
      <c r="D3684" s="35" t="s">
        <v>7811</v>
      </c>
      <c r="E3684" s="35" t="s">
        <v>14099</v>
      </c>
      <c r="F3684" s="35" t="s">
        <v>14036</v>
      </c>
      <c r="G3684" s="35">
        <v>370510</v>
      </c>
      <c r="H3684" s="35">
        <v>410030</v>
      </c>
      <c r="I3684" s="35">
        <v>350000</v>
      </c>
      <c r="J3684" s="34" t="s">
        <v>243</v>
      </c>
      <c r="K3684" s="34" t="str">
        <f t="shared" si="120"/>
        <v>重复</v>
      </c>
      <c r="L3684" s="34" t="str">
        <f t="shared" si="121"/>
        <v>重复</v>
      </c>
    </row>
    <row r="3685" spans="1:12" ht="30">
      <c r="A3685" s="35" t="s">
        <v>14110</v>
      </c>
      <c r="B3685" s="35" t="s">
        <v>9828</v>
      </c>
      <c r="C3685" s="36" t="s">
        <v>3214</v>
      </c>
      <c r="D3685" s="35" t="s">
        <v>9829</v>
      </c>
      <c r="E3685" s="35" t="s">
        <v>14099</v>
      </c>
      <c r="F3685" s="35" t="s">
        <v>14036</v>
      </c>
      <c r="G3685" s="35">
        <v>370511</v>
      </c>
      <c r="H3685" s="35">
        <v>410030</v>
      </c>
      <c r="I3685" s="35">
        <v>350000</v>
      </c>
      <c r="J3685" s="34" t="s">
        <v>311</v>
      </c>
      <c r="K3685" s="34" t="str">
        <f t="shared" si="120"/>
        <v>重复</v>
      </c>
      <c r="L3685" s="34" t="str">
        <f t="shared" si="121"/>
        <v>不重复</v>
      </c>
    </row>
    <row r="3686" spans="1:12" ht="15">
      <c r="A3686" s="35" t="s">
        <v>14111</v>
      </c>
      <c r="B3686" s="35" t="s">
        <v>9830</v>
      </c>
      <c r="C3686" s="36" t="s">
        <v>9810</v>
      </c>
      <c r="D3686" s="35" t="s">
        <v>9831</v>
      </c>
      <c r="E3686" s="35" t="s">
        <v>14099</v>
      </c>
      <c r="F3686" s="35" t="s">
        <v>14036</v>
      </c>
      <c r="G3686" s="35">
        <v>370512</v>
      </c>
      <c r="H3686" s="35">
        <v>410030</v>
      </c>
      <c r="I3686" s="35">
        <v>350000</v>
      </c>
      <c r="J3686" s="34" t="s">
        <v>4772</v>
      </c>
      <c r="K3686" s="34" t="str">
        <f t="shared" si="120"/>
        <v>重复</v>
      </c>
      <c r="L3686" s="34" t="str">
        <f t="shared" si="121"/>
        <v>不重复</v>
      </c>
    </row>
    <row r="3687" spans="1:12" ht="15">
      <c r="A3687" s="35" t="s">
        <v>14112</v>
      </c>
      <c r="B3687" s="35" t="s">
        <v>9832</v>
      </c>
      <c r="C3687" s="36" t="s">
        <v>9833</v>
      </c>
      <c r="D3687" s="35" t="s">
        <v>9834</v>
      </c>
      <c r="E3687" s="35" t="s">
        <v>14099</v>
      </c>
      <c r="F3687" s="35" t="s">
        <v>14036</v>
      </c>
      <c r="G3687" s="35">
        <v>370513</v>
      </c>
      <c r="H3687" s="35">
        <v>410030</v>
      </c>
      <c r="I3687" s="35">
        <v>350000</v>
      </c>
      <c r="J3687" s="34" t="s">
        <v>9835</v>
      </c>
      <c r="K3687" s="34" t="str">
        <f t="shared" si="120"/>
        <v>不重复</v>
      </c>
      <c r="L3687" s="34" t="str">
        <f t="shared" si="121"/>
        <v>不重复</v>
      </c>
    </row>
    <row r="3688" spans="1:12" ht="15">
      <c r="A3688" s="35" t="s">
        <v>14113</v>
      </c>
      <c r="B3688" s="35" t="s">
        <v>9836</v>
      </c>
      <c r="C3688" s="36" t="s">
        <v>2223</v>
      </c>
      <c r="D3688" s="35" t="s">
        <v>9837</v>
      </c>
      <c r="E3688" s="35" t="s">
        <v>14099</v>
      </c>
      <c r="F3688" s="35" t="s">
        <v>14036</v>
      </c>
      <c r="G3688" s="35">
        <v>370514</v>
      </c>
      <c r="H3688" s="35">
        <v>410030</v>
      </c>
      <c r="I3688" s="35">
        <v>350000</v>
      </c>
      <c r="J3688" s="34" t="s">
        <v>715</v>
      </c>
      <c r="K3688" s="34" t="str">
        <f t="shared" si="120"/>
        <v>重复</v>
      </c>
      <c r="L3688" s="34" t="str">
        <f t="shared" si="121"/>
        <v>不重复</v>
      </c>
    </row>
    <row r="3689" spans="1:12" ht="15">
      <c r="A3689" s="35" t="s">
        <v>14114</v>
      </c>
      <c r="B3689" s="35" t="s">
        <v>9838</v>
      </c>
      <c r="C3689" s="36" t="s">
        <v>9839</v>
      </c>
      <c r="D3689" s="35" t="s">
        <v>9840</v>
      </c>
      <c r="E3689" s="35" t="s">
        <v>14099</v>
      </c>
      <c r="F3689" s="35" t="s">
        <v>14036</v>
      </c>
      <c r="G3689" s="35">
        <v>370515</v>
      </c>
      <c r="H3689" s="35">
        <v>410030</v>
      </c>
      <c r="I3689" s="35">
        <v>350000</v>
      </c>
      <c r="J3689" s="34" t="s">
        <v>458</v>
      </c>
      <c r="K3689" s="34" t="str">
        <f t="shared" si="120"/>
        <v>不重复</v>
      </c>
      <c r="L3689" s="34" t="str">
        <f t="shared" si="121"/>
        <v>不重复</v>
      </c>
    </row>
    <row r="3690" spans="1:12" ht="15">
      <c r="A3690" s="35" t="s">
        <v>14115</v>
      </c>
      <c r="B3690" s="35" t="s">
        <v>9841</v>
      </c>
      <c r="C3690" s="36" t="s">
        <v>9842</v>
      </c>
      <c r="D3690" s="35" t="s">
        <v>9843</v>
      </c>
      <c r="E3690" s="35" t="s">
        <v>14099</v>
      </c>
      <c r="F3690" s="35" t="s">
        <v>14036</v>
      </c>
      <c r="G3690" s="35">
        <v>370516</v>
      </c>
      <c r="H3690" s="35">
        <v>410030</v>
      </c>
      <c r="I3690" s="35">
        <v>350000</v>
      </c>
      <c r="J3690" s="34" t="s">
        <v>1186</v>
      </c>
      <c r="K3690" s="34" t="str">
        <f t="shared" si="120"/>
        <v>不重复</v>
      </c>
      <c r="L3690" s="34" t="str">
        <f t="shared" si="121"/>
        <v>不重复</v>
      </c>
    </row>
    <row r="3691" spans="1:12" ht="27">
      <c r="A3691" s="35" t="s">
        <v>14116</v>
      </c>
      <c r="B3691" s="35" t="s">
        <v>9844</v>
      </c>
      <c r="C3691" s="36" t="s">
        <v>9845</v>
      </c>
      <c r="D3691" s="35" t="s">
        <v>9846</v>
      </c>
      <c r="E3691" s="35" t="s">
        <v>14099</v>
      </c>
      <c r="F3691" s="35" t="s">
        <v>14036</v>
      </c>
      <c r="G3691" s="35">
        <v>370517</v>
      </c>
      <c r="H3691" s="35">
        <v>410030</v>
      </c>
      <c r="I3691" s="35">
        <v>350000</v>
      </c>
      <c r="J3691" s="34" t="s">
        <v>1379</v>
      </c>
      <c r="K3691" s="34" t="str">
        <f t="shared" si="120"/>
        <v>不重复</v>
      </c>
      <c r="L3691" s="34" t="str">
        <f t="shared" si="121"/>
        <v>不重复</v>
      </c>
    </row>
    <row r="3692" spans="1:12" ht="15">
      <c r="A3692" s="35" t="s">
        <v>14117</v>
      </c>
      <c r="B3692" s="35" t="s">
        <v>9847</v>
      </c>
      <c r="C3692" s="36" t="s">
        <v>4637</v>
      </c>
      <c r="D3692" s="35" t="s">
        <v>9848</v>
      </c>
      <c r="E3692" s="35" t="s">
        <v>14099</v>
      </c>
      <c r="F3692" s="35" t="s">
        <v>14036</v>
      </c>
      <c r="G3692" s="35">
        <v>370518</v>
      </c>
      <c r="H3692" s="35">
        <v>410030</v>
      </c>
      <c r="I3692" s="35">
        <v>350000</v>
      </c>
      <c r="J3692" s="34" t="s">
        <v>4772</v>
      </c>
      <c r="K3692" s="34" t="str">
        <f t="shared" si="120"/>
        <v>重复</v>
      </c>
      <c r="L3692" s="34" t="str">
        <f t="shared" si="121"/>
        <v>不重复</v>
      </c>
    </row>
    <row r="3693" spans="1:12" ht="27">
      <c r="A3693" s="35" t="s">
        <v>14118</v>
      </c>
      <c r="B3693" s="35" t="s">
        <v>9849</v>
      </c>
      <c r="C3693" s="36" t="s">
        <v>996</v>
      </c>
      <c r="D3693" s="35" t="s">
        <v>9850</v>
      </c>
      <c r="E3693" s="35" t="s">
        <v>14099</v>
      </c>
      <c r="F3693" s="35" t="s">
        <v>14036</v>
      </c>
      <c r="G3693" s="35">
        <v>370519</v>
      </c>
      <c r="H3693" s="35">
        <v>410030</v>
      </c>
      <c r="I3693" s="35">
        <v>350000</v>
      </c>
      <c r="J3693" s="34" t="s">
        <v>752</v>
      </c>
      <c r="K3693" s="34" t="str">
        <f t="shared" si="120"/>
        <v>重复</v>
      </c>
      <c r="L3693" s="34" t="str">
        <f t="shared" si="121"/>
        <v>不重复</v>
      </c>
    </row>
    <row r="3694" spans="1:12" ht="15">
      <c r="A3694" s="35" t="s">
        <v>14119</v>
      </c>
      <c r="B3694" s="35" t="s">
        <v>9851</v>
      </c>
      <c r="C3694" s="36" t="s">
        <v>9852</v>
      </c>
      <c r="D3694" s="35" t="s">
        <v>9853</v>
      </c>
      <c r="E3694" s="35" t="s">
        <v>14119</v>
      </c>
      <c r="F3694" s="35" t="s">
        <v>14036</v>
      </c>
      <c r="G3694" s="35">
        <v>370600</v>
      </c>
      <c r="H3694" s="35">
        <v>410040</v>
      </c>
      <c r="I3694" s="35">
        <v>350000</v>
      </c>
      <c r="J3694" s="34" t="s">
        <v>16</v>
      </c>
      <c r="K3694" s="34" t="str">
        <f t="shared" si="120"/>
        <v>不重复</v>
      </c>
      <c r="L3694" s="34" t="str">
        <f t="shared" si="121"/>
        <v>不重复</v>
      </c>
    </row>
    <row r="3695" spans="1:12" ht="15">
      <c r="A3695" s="35" t="s">
        <v>14120</v>
      </c>
      <c r="B3695" s="35" t="s">
        <v>9854</v>
      </c>
      <c r="C3695" s="36" t="s">
        <v>1003</v>
      </c>
      <c r="D3695" s="35" t="s">
        <v>5579</v>
      </c>
      <c r="E3695" s="35" t="s">
        <v>14120</v>
      </c>
      <c r="F3695" s="35" t="s">
        <v>14036</v>
      </c>
      <c r="G3695" s="35">
        <v>370700</v>
      </c>
      <c r="H3695" s="35">
        <v>410050</v>
      </c>
      <c r="I3695" s="35">
        <v>350000</v>
      </c>
      <c r="J3695" s="34" t="s">
        <v>16</v>
      </c>
      <c r="K3695" s="34" t="str">
        <f t="shared" si="120"/>
        <v>重复</v>
      </c>
      <c r="L3695" s="34" t="str">
        <f t="shared" si="121"/>
        <v>重复</v>
      </c>
    </row>
    <row r="3696" spans="1:12" ht="27">
      <c r="A3696" s="35" t="s">
        <v>14121</v>
      </c>
      <c r="B3696" s="35" t="s">
        <v>9855</v>
      </c>
      <c r="C3696" s="36" t="s">
        <v>8072</v>
      </c>
      <c r="D3696" s="35" t="s">
        <v>9856</v>
      </c>
      <c r="E3696" s="35" t="s">
        <v>14120</v>
      </c>
      <c r="F3696" s="35" t="s">
        <v>14036</v>
      </c>
      <c r="G3696" s="35">
        <v>370701</v>
      </c>
      <c r="H3696" s="35">
        <v>410050</v>
      </c>
      <c r="I3696" s="35">
        <v>350000</v>
      </c>
      <c r="J3696" s="34" t="s">
        <v>311</v>
      </c>
      <c r="K3696" s="34" t="str">
        <f t="shared" si="120"/>
        <v>重复</v>
      </c>
      <c r="L3696" s="34" t="str">
        <f t="shared" si="121"/>
        <v>不重复</v>
      </c>
    </row>
    <row r="3697" spans="1:12" ht="27">
      <c r="A3697" s="35" t="s">
        <v>14122</v>
      </c>
      <c r="B3697" s="35" t="s">
        <v>9857</v>
      </c>
      <c r="C3697" s="36" t="s">
        <v>127</v>
      </c>
      <c r="D3697" s="35" t="s">
        <v>9858</v>
      </c>
      <c r="E3697" s="35" t="s">
        <v>14120</v>
      </c>
      <c r="F3697" s="35" t="s">
        <v>14036</v>
      </c>
      <c r="G3697" s="35">
        <v>370702</v>
      </c>
      <c r="H3697" s="35">
        <v>410050</v>
      </c>
      <c r="I3697" s="35">
        <v>350000</v>
      </c>
      <c r="J3697" s="34" t="s">
        <v>681</v>
      </c>
      <c r="K3697" s="34" t="str">
        <f t="shared" si="120"/>
        <v>重复</v>
      </c>
      <c r="L3697" s="34" t="str">
        <f t="shared" si="121"/>
        <v>不重复</v>
      </c>
    </row>
    <row r="3698" spans="1:12" ht="27">
      <c r="A3698" s="35" t="s">
        <v>14123</v>
      </c>
      <c r="B3698" s="35" t="s">
        <v>9859</v>
      </c>
      <c r="C3698" s="36" t="s">
        <v>5539</v>
      </c>
      <c r="D3698" s="35" t="s">
        <v>9860</v>
      </c>
      <c r="E3698" s="35" t="s">
        <v>14120</v>
      </c>
      <c r="F3698" s="35" t="s">
        <v>14036</v>
      </c>
      <c r="G3698" s="35">
        <v>370703</v>
      </c>
      <c r="H3698" s="35">
        <v>410050</v>
      </c>
      <c r="I3698" s="35">
        <v>350000</v>
      </c>
      <c r="J3698" s="34" t="s">
        <v>363</v>
      </c>
      <c r="K3698" s="34" t="str">
        <f t="shared" si="120"/>
        <v>重复</v>
      </c>
      <c r="L3698" s="34" t="str">
        <f t="shared" si="121"/>
        <v>不重复</v>
      </c>
    </row>
    <row r="3699" spans="1:12" ht="30">
      <c r="A3699" s="35" t="s">
        <v>14124</v>
      </c>
      <c r="B3699" s="35" t="s">
        <v>9861</v>
      </c>
      <c r="C3699" s="36" t="s">
        <v>1246</v>
      </c>
      <c r="D3699" s="35" t="s">
        <v>9862</v>
      </c>
      <c r="E3699" s="35" t="s">
        <v>14120</v>
      </c>
      <c r="F3699" s="35" t="s">
        <v>14036</v>
      </c>
      <c r="G3699" s="35">
        <v>370704</v>
      </c>
      <c r="H3699" s="35">
        <v>410050</v>
      </c>
      <c r="I3699" s="35">
        <v>350000</v>
      </c>
      <c r="J3699" s="34" t="s">
        <v>89</v>
      </c>
      <c r="K3699" s="34" t="str">
        <f t="shared" si="120"/>
        <v>重复</v>
      </c>
      <c r="L3699" s="34" t="str">
        <f t="shared" si="121"/>
        <v>不重复</v>
      </c>
    </row>
    <row r="3700" spans="1:12" ht="15">
      <c r="A3700" s="35" t="s">
        <v>14125</v>
      </c>
      <c r="B3700" s="35" t="s">
        <v>9863</v>
      </c>
      <c r="C3700" s="36" t="s">
        <v>9864</v>
      </c>
      <c r="D3700" s="35" t="s">
        <v>4167</v>
      </c>
      <c r="E3700" s="35" t="s">
        <v>14120</v>
      </c>
      <c r="F3700" s="35" t="s">
        <v>14036</v>
      </c>
      <c r="G3700" s="35">
        <v>370705</v>
      </c>
      <c r="H3700" s="35">
        <v>410050</v>
      </c>
      <c r="I3700" s="35">
        <v>350000</v>
      </c>
      <c r="J3700" s="34" t="s">
        <v>1040</v>
      </c>
      <c r="K3700" s="34" t="str">
        <f t="shared" si="120"/>
        <v>重复</v>
      </c>
      <c r="L3700" s="34" t="str">
        <f t="shared" si="121"/>
        <v>重复</v>
      </c>
    </row>
    <row r="3701" spans="1:12" ht="15">
      <c r="A3701" s="35" t="s">
        <v>14126</v>
      </c>
      <c r="B3701" s="35" t="s">
        <v>9865</v>
      </c>
      <c r="C3701" s="36" t="s">
        <v>9866</v>
      </c>
      <c r="D3701" s="35" t="s">
        <v>9867</v>
      </c>
      <c r="E3701" s="35" t="s">
        <v>14120</v>
      </c>
      <c r="F3701" s="35" t="s">
        <v>14036</v>
      </c>
      <c r="G3701" s="35">
        <v>370706</v>
      </c>
      <c r="H3701" s="35">
        <v>410050</v>
      </c>
      <c r="I3701" s="35">
        <v>350000</v>
      </c>
      <c r="J3701" s="34" t="s">
        <v>756</v>
      </c>
      <c r="K3701" s="34" t="str">
        <f t="shared" si="120"/>
        <v>不重复</v>
      </c>
      <c r="L3701" s="34" t="str">
        <f t="shared" si="121"/>
        <v>不重复</v>
      </c>
    </row>
    <row r="3702" spans="1:12" ht="27">
      <c r="A3702" s="35" t="s">
        <v>14127</v>
      </c>
      <c r="B3702" s="35" t="s">
        <v>9868</v>
      </c>
      <c r="C3702" s="36" t="s">
        <v>8837</v>
      </c>
      <c r="D3702" s="35" t="s">
        <v>9869</v>
      </c>
      <c r="E3702" s="35" t="s">
        <v>14120</v>
      </c>
      <c r="F3702" s="35" t="s">
        <v>14036</v>
      </c>
      <c r="G3702" s="35">
        <v>370707</v>
      </c>
      <c r="H3702" s="35">
        <v>410050</v>
      </c>
      <c r="I3702" s="35">
        <v>350000</v>
      </c>
      <c r="J3702" s="34" t="s">
        <v>363</v>
      </c>
      <c r="K3702" s="34" t="str">
        <f t="shared" si="120"/>
        <v>重复</v>
      </c>
      <c r="L3702" s="34" t="str">
        <f t="shared" si="121"/>
        <v>不重复</v>
      </c>
    </row>
    <row r="3703" spans="1:12" ht="30">
      <c r="A3703" s="35" t="s">
        <v>14128</v>
      </c>
      <c r="B3703" s="35" t="s">
        <v>9870</v>
      </c>
      <c r="C3703" s="36" t="s">
        <v>185</v>
      </c>
      <c r="D3703" s="35" t="s">
        <v>66</v>
      </c>
      <c r="E3703" s="35" t="s">
        <v>14120</v>
      </c>
      <c r="F3703" s="35" t="s">
        <v>14036</v>
      </c>
      <c r="G3703" s="35">
        <v>370708</v>
      </c>
      <c r="H3703" s="35">
        <v>410050</v>
      </c>
      <c r="I3703" s="35">
        <v>350000</v>
      </c>
      <c r="J3703" s="34" t="s">
        <v>715</v>
      </c>
      <c r="K3703" s="34" t="str">
        <f t="shared" si="120"/>
        <v>重复</v>
      </c>
      <c r="L3703" s="34" t="str">
        <f t="shared" si="121"/>
        <v>重复</v>
      </c>
    </row>
    <row r="3704" spans="1:12" ht="30">
      <c r="A3704" s="35" t="s">
        <v>14129</v>
      </c>
      <c r="B3704" s="35" t="s">
        <v>9871</v>
      </c>
      <c r="C3704" s="36" t="s">
        <v>9872</v>
      </c>
      <c r="D3704" s="35" t="s">
        <v>9873</v>
      </c>
      <c r="E3704" s="35" t="s">
        <v>14120</v>
      </c>
      <c r="F3704" s="35" t="s">
        <v>14036</v>
      </c>
      <c r="G3704" s="35">
        <v>370709</v>
      </c>
      <c r="H3704" s="35">
        <v>410050</v>
      </c>
      <c r="I3704" s="35">
        <v>350000</v>
      </c>
      <c r="J3704" s="34" t="s">
        <v>8538</v>
      </c>
      <c r="K3704" s="34" t="str">
        <f t="shared" si="120"/>
        <v>不重复</v>
      </c>
      <c r="L3704" s="34" t="str">
        <f t="shared" si="121"/>
        <v>不重复</v>
      </c>
    </row>
    <row r="3705" spans="1:12" ht="15">
      <c r="A3705" s="35" t="s">
        <v>14130</v>
      </c>
      <c r="B3705" s="35" t="s">
        <v>9874</v>
      </c>
      <c r="C3705" s="36" t="s">
        <v>9875</v>
      </c>
      <c r="D3705" s="35" t="s">
        <v>9876</v>
      </c>
      <c r="E3705" s="35" t="s">
        <v>14120</v>
      </c>
      <c r="F3705" s="35" t="s">
        <v>14036</v>
      </c>
      <c r="G3705" s="35">
        <v>370710</v>
      </c>
      <c r="H3705" s="35">
        <v>410050</v>
      </c>
      <c r="I3705" s="35">
        <v>350000</v>
      </c>
      <c r="J3705" s="34" t="s">
        <v>2177</v>
      </c>
      <c r="K3705" s="34" t="str">
        <f t="shared" si="120"/>
        <v>不重复</v>
      </c>
      <c r="L3705" s="34" t="str">
        <f t="shared" si="121"/>
        <v>不重复</v>
      </c>
    </row>
    <row r="3706" spans="1:12" ht="15">
      <c r="A3706" s="35" t="s">
        <v>14131</v>
      </c>
      <c r="B3706" s="35" t="s">
        <v>9877</v>
      </c>
      <c r="C3706" s="36" t="s">
        <v>9878</v>
      </c>
      <c r="D3706" s="35" t="s">
        <v>9879</v>
      </c>
      <c r="E3706" s="35" t="s">
        <v>14120</v>
      </c>
      <c r="F3706" s="35" t="s">
        <v>14036</v>
      </c>
      <c r="G3706" s="35">
        <v>370711</v>
      </c>
      <c r="H3706" s="35">
        <v>410050</v>
      </c>
      <c r="I3706" s="35">
        <v>350000</v>
      </c>
      <c r="J3706" s="34" t="s">
        <v>1186</v>
      </c>
      <c r="K3706" s="34" t="str">
        <f t="shared" si="120"/>
        <v>不重复</v>
      </c>
      <c r="L3706" s="34" t="str">
        <f t="shared" si="121"/>
        <v>不重复</v>
      </c>
    </row>
    <row r="3707" spans="1:12" ht="15">
      <c r="A3707" s="35" t="s">
        <v>14132</v>
      </c>
      <c r="B3707" s="35" t="s">
        <v>9880</v>
      </c>
      <c r="C3707" s="36" t="s">
        <v>9881</v>
      </c>
      <c r="D3707" s="35" t="s">
        <v>9882</v>
      </c>
      <c r="E3707" s="35" t="s">
        <v>14120</v>
      </c>
      <c r="F3707" s="35" t="s">
        <v>14036</v>
      </c>
      <c r="G3707" s="35">
        <v>370712</v>
      </c>
      <c r="H3707" s="35">
        <v>410050</v>
      </c>
      <c r="I3707" s="35">
        <v>350000</v>
      </c>
      <c r="J3707" s="34" t="s">
        <v>668</v>
      </c>
      <c r="K3707" s="34" t="str">
        <f t="shared" si="120"/>
        <v>不重复</v>
      </c>
      <c r="L3707" s="34" t="str">
        <f t="shared" si="121"/>
        <v>不重复</v>
      </c>
    </row>
    <row r="3708" spans="1:12" ht="15">
      <c r="A3708" s="35" t="s">
        <v>14133</v>
      </c>
      <c r="B3708" s="35" t="s">
        <v>9883</v>
      </c>
      <c r="C3708" s="36" t="s">
        <v>9884</v>
      </c>
      <c r="D3708" s="35" t="s">
        <v>9885</v>
      </c>
      <c r="E3708" s="35" t="s">
        <v>14120</v>
      </c>
      <c r="F3708" s="35" t="s">
        <v>14036</v>
      </c>
      <c r="G3708" s="35">
        <v>370713</v>
      </c>
      <c r="H3708" s="35">
        <v>410050</v>
      </c>
      <c r="I3708" s="35">
        <v>350000</v>
      </c>
      <c r="J3708" s="34" t="s">
        <v>2240</v>
      </c>
      <c r="K3708" s="34" t="str">
        <f t="shared" si="120"/>
        <v>不重复</v>
      </c>
      <c r="L3708" s="34" t="str">
        <f t="shared" si="121"/>
        <v>不重复</v>
      </c>
    </row>
    <row r="3709" spans="1:12" ht="15">
      <c r="A3709" s="35" t="s">
        <v>14134</v>
      </c>
      <c r="B3709" s="35" t="s">
        <v>9886</v>
      </c>
      <c r="C3709" s="36" t="s">
        <v>9887</v>
      </c>
      <c r="D3709" s="35" t="s">
        <v>9888</v>
      </c>
      <c r="E3709" s="35" t="s">
        <v>14120</v>
      </c>
      <c r="F3709" s="35" t="s">
        <v>14036</v>
      </c>
      <c r="G3709" s="35">
        <v>370714</v>
      </c>
      <c r="H3709" s="35">
        <v>410050</v>
      </c>
      <c r="I3709" s="35">
        <v>350000</v>
      </c>
      <c r="J3709" s="34" t="s">
        <v>681</v>
      </c>
      <c r="K3709" s="34" t="str">
        <f t="shared" si="120"/>
        <v>不重复</v>
      </c>
      <c r="L3709" s="34" t="str">
        <f t="shared" si="121"/>
        <v>不重复</v>
      </c>
    </row>
    <row r="3710" spans="1:12" ht="15">
      <c r="A3710" s="35" t="s">
        <v>14135</v>
      </c>
      <c r="B3710" s="35" t="s">
        <v>9889</v>
      </c>
      <c r="C3710" s="36" t="s">
        <v>572</v>
      </c>
      <c r="D3710" s="35" t="s">
        <v>9890</v>
      </c>
      <c r="E3710" s="35" t="s">
        <v>14120</v>
      </c>
      <c r="F3710" s="35" t="s">
        <v>14036</v>
      </c>
      <c r="G3710" s="35">
        <v>370715</v>
      </c>
      <c r="H3710" s="35">
        <v>410050</v>
      </c>
      <c r="I3710" s="35">
        <v>350000</v>
      </c>
      <c r="J3710" s="34" t="s">
        <v>9891</v>
      </c>
      <c r="K3710" s="34" t="str">
        <f t="shared" si="120"/>
        <v>重复</v>
      </c>
      <c r="L3710" s="34" t="str">
        <f t="shared" si="121"/>
        <v>不重复</v>
      </c>
    </row>
    <row r="3711" spans="1:12" ht="15">
      <c r="A3711" s="35" t="s">
        <v>14136</v>
      </c>
      <c r="B3711" s="35" t="s">
        <v>9892</v>
      </c>
      <c r="C3711" s="36" t="s">
        <v>8284</v>
      </c>
      <c r="D3711" s="35" t="s">
        <v>9893</v>
      </c>
      <c r="E3711" s="35" t="s">
        <v>14120</v>
      </c>
      <c r="F3711" s="35" t="s">
        <v>14036</v>
      </c>
      <c r="G3711" s="35">
        <v>370716</v>
      </c>
      <c r="H3711" s="35">
        <v>410050</v>
      </c>
      <c r="I3711" s="35">
        <v>350000</v>
      </c>
      <c r="J3711" s="34" t="s">
        <v>363</v>
      </c>
      <c r="K3711" s="34" t="str">
        <f t="shared" si="120"/>
        <v>重复</v>
      </c>
      <c r="L3711" s="34" t="str">
        <f t="shared" si="121"/>
        <v>不重复</v>
      </c>
    </row>
    <row r="3712" spans="1:12" ht="15">
      <c r="A3712" s="35" t="s">
        <v>14137</v>
      </c>
      <c r="B3712" s="35" t="s">
        <v>9894</v>
      </c>
      <c r="C3712" s="36" t="s">
        <v>9895</v>
      </c>
      <c r="D3712" s="35" t="s">
        <v>9896</v>
      </c>
      <c r="E3712" s="35" t="s">
        <v>14120</v>
      </c>
      <c r="F3712" s="35" t="s">
        <v>14036</v>
      </c>
      <c r="G3712" s="35">
        <v>370717</v>
      </c>
      <c r="H3712" s="35">
        <v>410050</v>
      </c>
      <c r="I3712" s="35">
        <v>350000</v>
      </c>
      <c r="J3712" s="34" t="s">
        <v>2003</v>
      </c>
      <c r="K3712" s="34" t="str">
        <f t="shared" si="120"/>
        <v>不重复</v>
      </c>
      <c r="L3712" s="34" t="str">
        <f t="shared" si="121"/>
        <v>不重复</v>
      </c>
    </row>
    <row r="3713" spans="1:12" ht="15">
      <c r="A3713" s="35" t="s">
        <v>14138</v>
      </c>
      <c r="B3713" s="35" t="s">
        <v>9897</v>
      </c>
      <c r="C3713" s="36" t="s">
        <v>3793</v>
      </c>
      <c r="D3713" s="35" t="s">
        <v>9898</v>
      </c>
      <c r="E3713" s="35" t="s">
        <v>14120</v>
      </c>
      <c r="F3713" s="35" t="s">
        <v>14036</v>
      </c>
      <c r="G3713" s="35">
        <v>370718</v>
      </c>
      <c r="H3713" s="35">
        <v>410050</v>
      </c>
      <c r="I3713" s="35">
        <v>350000</v>
      </c>
      <c r="J3713" s="34" t="s">
        <v>985</v>
      </c>
      <c r="K3713" s="34" t="str">
        <f t="shared" si="122" ref="K3713:K3776">IF(COUNTIF(C:C,C3713)&gt;=2,"重复","不重复")</f>
        <v>重复</v>
      </c>
      <c r="L3713" s="34" t="str">
        <f t="shared" si="121"/>
        <v>不重复</v>
      </c>
    </row>
    <row r="3714" spans="1:12" ht="15">
      <c r="A3714" s="35" t="s">
        <v>14139</v>
      </c>
      <c r="B3714" s="35" t="s">
        <v>9899</v>
      </c>
      <c r="C3714" s="36" t="s">
        <v>1026</v>
      </c>
      <c r="D3714" s="35" t="s">
        <v>5579</v>
      </c>
      <c r="E3714" s="35" t="s">
        <v>14120</v>
      </c>
      <c r="F3714" s="35" t="s">
        <v>14036</v>
      </c>
      <c r="G3714" s="35">
        <v>370719</v>
      </c>
      <c r="H3714" s="35">
        <v>410050</v>
      </c>
      <c r="I3714" s="35">
        <v>350000</v>
      </c>
      <c r="J3714" s="34" t="s">
        <v>16</v>
      </c>
      <c r="K3714" s="34" t="str">
        <f t="shared" si="122"/>
        <v>重复</v>
      </c>
      <c r="L3714" s="34" t="str">
        <f t="shared" si="121"/>
        <v>重复</v>
      </c>
    </row>
    <row r="3715" spans="1:12" ht="15">
      <c r="A3715" s="35" t="s">
        <v>14140</v>
      </c>
      <c r="B3715" s="35" t="s">
        <v>9900</v>
      </c>
      <c r="C3715" s="36" t="s">
        <v>9901</v>
      </c>
      <c r="D3715" s="35" t="s">
        <v>9902</v>
      </c>
      <c r="E3715" s="35" t="s">
        <v>14140</v>
      </c>
      <c r="F3715" s="35" t="s">
        <v>14036</v>
      </c>
      <c r="G3715" s="35">
        <v>370800</v>
      </c>
      <c r="H3715" s="35">
        <v>410060</v>
      </c>
      <c r="I3715" s="35">
        <v>350000</v>
      </c>
      <c r="J3715" s="34" t="s">
        <v>16</v>
      </c>
      <c r="K3715" s="34" t="str">
        <f t="shared" si="122"/>
        <v>不重复</v>
      </c>
      <c r="L3715" s="34" t="str">
        <f t="shared" si="121"/>
        <v>重复</v>
      </c>
    </row>
    <row r="3716" spans="1:12" ht="30">
      <c r="A3716" s="35" t="s">
        <v>14141</v>
      </c>
      <c r="B3716" s="35" t="s">
        <v>9903</v>
      </c>
      <c r="C3716" s="36" t="s">
        <v>2201</v>
      </c>
      <c r="D3716" s="35" t="s">
        <v>9904</v>
      </c>
      <c r="E3716" s="35" t="s">
        <v>14140</v>
      </c>
      <c r="F3716" s="35" t="s">
        <v>14036</v>
      </c>
      <c r="G3716" s="35">
        <v>370801</v>
      </c>
      <c r="H3716" s="35">
        <v>410060</v>
      </c>
      <c r="I3716" s="35">
        <v>350000</v>
      </c>
      <c r="J3716" s="34" t="s">
        <v>71</v>
      </c>
      <c r="K3716" s="34" t="str">
        <f t="shared" si="122"/>
        <v>重复</v>
      </c>
      <c r="L3716" s="34" t="str">
        <f t="shared" si="121"/>
        <v>不重复</v>
      </c>
    </row>
    <row r="3717" spans="1:12" ht="15">
      <c r="A3717" s="35" t="s">
        <v>14142</v>
      </c>
      <c r="B3717" s="35" t="s">
        <v>9905</v>
      </c>
      <c r="C3717" s="36" t="s">
        <v>5912</v>
      </c>
      <c r="D3717" s="35" t="s">
        <v>9906</v>
      </c>
      <c r="E3717" s="35" t="s">
        <v>14140</v>
      </c>
      <c r="F3717" s="35" t="s">
        <v>14036</v>
      </c>
      <c r="G3717" s="35">
        <v>370802</v>
      </c>
      <c r="H3717" s="35">
        <v>410060</v>
      </c>
      <c r="I3717" s="35">
        <v>350000</v>
      </c>
      <c r="J3717" s="34" t="s">
        <v>462</v>
      </c>
      <c r="K3717" s="34" t="str">
        <f t="shared" si="122"/>
        <v>重复</v>
      </c>
      <c r="L3717" s="34" t="str">
        <f t="shared" si="121"/>
        <v>不重复</v>
      </c>
    </row>
    <row r="3718" spans="1:12" ht="15">
      <c r="A3718" s="35" t="s">
        <v>14143</v>
      </c>
      <c r="B3718" s="35" t="s">
        <v>9907</v>
      </c>
      <c r="C3718" s="36" t="s">
        <v>754</v>
      </c>
      <c r="D3718" s="35" t="s">
        <v>9908</v>
      </c>
      <c r="E3718" s="35" t="s">
        <v>14140</v>
      </c>
      <c r="F3718" s="35" t="s">
        <v>14036</v>
      </c>
      <c r="G3718" s="35">
        <v>370803</v>
      </c>
      <c r="H3718" s="35">
        <v>410060</v>
      </c>
      <c r="I3718" s="35">
        <v>350000</v>
      </c>
      <c r="J3718" s="34" t="s">
        <v>1040</v>
      </c>
      <c r="K3718" s="34" t="str">
        <f t="shared" si="122"/>
        <v>重复</v>
      </c>
      <c r="L3718" s="34" t="str">
        <f t="shared" si="121"/>
        <v>不重复</v>
      </c>
    </row>
    <row r="3719" spans="1:12" ht="15">
      <c r="A3719" s="35" t="s">
        <v>14144</v>
      </c>
      <c r="B3719" s="35" t="s">
        <v>9909</v>
      </c>
      <c r="C3719" s="36" t="s">
        <v>445</v>
      </c>
      <c r="D3719" s="35" t="s">
        <v>9910</v>
      </c>
      <c r="E3719" s="35" t="s">
        <v>14140</v>
      </c>
      <c r="F3719" s="35" t="s">
        <v>14036</v>
      </c>
      <c r="G3719" s="35">
        <v>370804</v>
      </c>
      <c r="H3719" s="35">
        <v>410060</v>
      </c>
      <c r="I3719" s="35">
        <v>350000</v>
      </c>
      <c r="J3719" s="34" t="s">
        <v>458</v>
      </c>
      <c r="K3719" s="34" t="str">
        <f t="shared" si="122"/>
        <v>重复</v>
      </c>
      <c r="L3719" s="34" t="str">
        <f t="shared" si="121"/>
        <v>不重复</v>
      </c>
    </row>
    <row r="3720" spans="1:12" ht="15">
      <c r="A3720" s="35" t="s">
        <v>14145</v>
      </c>
      <c r="B3720" s="35" t="s">
        <v>9911</v>
      </c>
      <c r="C3720" s="36" t="s">
        <v>5967</v>
      </c>
      <c r="D3720" s="35" t="s">
        <v>9912</v>
      </c>
      <c r="E3720" s="35" t="s">
        <v>14140</v>
      </c>
      <c r="F3720" s="35" t="s">
        <v>14036</v>
      </c>
      <c r="G3720" s="35">
        <v>370805</v>
      </c>
      <c r="H3720" s="35">
        <v>410060</v>
      </c>
      <c r="I3720" s="35">
        <v>350000</v>
      </c>
      <c r="J3720" s="34" t="s">
        <v>458</v>
      </c>
      <c r="K3720" s="34" t="str">
        <f t="shared" si="122"/>
        <v>重复</v>
      </c>
      <c r="L3720" s="34" t="str">
        <f t="shared" si="121"/>
        <v>不重复</v>
      </c>
    </row>
    <row r="3721" spans="1:12" ht="27">
      <c r="A3721" s="35" t="s">
        <v>14146</v>
      </c>
      <c r="B3721" s="35" t="s">
        <v>9913</v>
      </c>
      <c r="C3721" s="36" t="s">
        <v>6142</v>
      </c>
      <c r="D3721" s="35" t="s">
        <v>9914</v>
      </c>
      <c r="E3721" s="35" t="s">
        <v>14140</v>
      </c>
      <c r="F3721" s="35" t="s">
        <v>14036</v>
      </c>
      <c r="G3721" s="35">
        <v>370806</v>
      </c>
      <c r="H3721" s="35">
        <v>410060</v>
      </c>
      <c r="I3721" s="35">
        <v>350000</v>
      </c>
      <c r="J3721" s="34" t="s">
        <v>6929</v>
      </c>
      <c r="K3721" s="34" t="str">
        <f t="shared" si="122"/>
        <v>重复</v>
      </c>
      <c r="L3721" s="34" t="str">
        <f t="shared" si="121"/>
        <v>不重复</v>
      </c>
    </row>
    <row r="3722" spans="1:12" ht="27">
      <c r="A3722" s="35" t="s">
        <v>14147</v>
      </c>
      <c r="B3722" s="35" t="s">
        <v>9915</v>
      </c>
      <c r="C3722" s="36" t="s">
        <v>3214</v>
      </c>
      <c r="D3722" s="35" t="s">
        <v>9916</v>
      </c>
      <c r="E3722" s="35" t="s">
        <v>14140</v>
      </c>
      <c r="F3722" s="35" t="s">
        <v>14036</v>
      </c>
      <c r="G3722" s="35">
        <v>370807</v>
      </c>
      <c r="H3722" s="35">
        <v>410060</v>
      </c>
      <c r="I3722" s="35">
        <v>350000</v>
      </c>
      <c r="J3722" s="34" t="s">
        <v>458</v>
      </c>
      <c r="K3722" s="34" t="str">
        <f t="shared" si="122"/>
        <v>重复</v>
      </c>
      <c r="L3722" s="34" t="str">
        <f t="shared" si="121"/>
        <v>不重复</v>
      </c>
    </row>
    <row r="3723" spans="1:12" ht="27">
      <c r="A3723" s="35" t="s">
        <v>14148</v>
      </c>
      <c r="B3723" s="35" t="s">
        <v>9917</v>
      </c>
      <c r="C3723" s="36" t="s">
        <v>9918</v>
      </c>
      <c r="D3723" s="35" t="s">
        <v>9919</v>
      </c>
      <c r="E3723" s="35" t="s">
        <v>14140</v>
      </c>
      <c r="F3723" s="35" t="s">
        <v>14036</v>
      </c>
      <c r="G3723" s="35">
        <v>370808</v>
      </c>
      <c r="H3723" s="35">
        <v>410060</v>
      </c>
      <c r="I3723" s="35">
        <v>350000</v>
      </c>
      <c r="J3723" s="34" t="s">
        <v>363</v>
      </c>
      <c r="K3723" s="34" t="str">
        <f t="shared" si="122"/>
        <v>不重复</v>
      </c>
      <c r="L3723" s="34" t="str">
        <f t="shared" si="121"/>
        <v>不重复</v>
      </c>
    </row>
    <row r="3724" spans="1:12" ht="15">
      <c r="A3724" s="35" t="s">
        <v>14149</v>
      </c>
      <c r="B3724" s="35" t="s">
        <v>9920</v>
      </c>
      <c r="C3724" s="36" t="s">
        <v>9921</v>
      </c>
      <c r="D3724" s="35" t="s">
        <v>9922</v>
      </c>
      <c r="E3724" s="35" t="s">
        <v>14140</v>
      </c>
      <c r="F3724" s="35" t="s">
        <v>14036</v>
      </c>
      <c r="G3724" s="35">
        <v>370809</v>
      </c>
      <c r="H3724" s="35">
        <v>410060</v>
      </c>
      <c r="I3724" s="35">
        <v>350000</v>
      </c>
      <c r="J3724" s="34" t="s">
        <v>363</v>
      </c>
      <c r="K3724" s="34" t="str">
        <f t="shared" si="122"/>
        <v>不重复</v>
      </c>
      <c r="L3724" s="34" t="str">
        <f t="shared" si="123" ref="L3724:L3787">IF(COUNTIF(D:D,D3724)&gt;=2,"重复","不重复")</f>
        <v>重复</v>
      </c>
    </row>
    <row r="3725" spans="1:12" ht="27">
      <c r="A3725" s="35" t="s">
        <v>14150</v>
      </c>
      <c r="B3725" s="35" t="s">
        <v>9923</v>
      </c>
      <c r="C3725" s="36" t="s">
        <v>1924</v>
      </c>
      <c r="D3725" s="35" t="s">
        <v>9922</v>
      </c>
      <c r="E3725" s="35" t="s">
        <v>14140</v>
      </c>
      <c r="F3725" s="35" t="s">
        <v>14036</v>
      </c>
      <c r="G3725" s="35">
        <v>370810</v>
      </c>
      <c r="H3725" s="35">
        <v>410060</v>
      </c>
      <c r="I3725" s="35">
        <v>350000</v>
      </c>
      <c r="J3725" s="34" t="s">
        <v>1379</v>
      </c>
      <c r="K3725" s="34" t="str">
        <f t="shared" si="122"/>
        <v>重复</v>
      </c>
      <c r="L3725" s="34" t="str">
        <f t="shared" si="123"/>
        <v>重复</v>
      </c>
    </row>
    <row r="3726" spans="1:12" ht="15">
      <c r="A3726" s="35" t="s">
        <v>14151</v>
      </c>
      <c r="B3726" s="35" t="s">
        <v>9924</v>
      </c>
      <c r="C3726" s="36" t="s">
        <v>513</v>
      </c>
      <c r="D3726" s="35" t="s">
        <v>9922</v>
      </c>
      <c r="E3726" s="35" t="s">
        <v>14140</v>
      </c>
      <c r="F3726" s="35" t="s">
        <v>14036</v>
      </c>
      <c r="G3726" s="35">
        <v>370811</v>
      </c>
      <c r="H3726" s="35">
        <v>410060</v>
      </c>
      <c r="I3726" s="35">
        <v>350000</v>
      </c>
      <c r="J3726" s="34" t="s">
        <v>3437</v>
      </c>
      <c r="K3726" s="34" t="str">
        <f t="shared" si="122"/>
        <v>重复</v>
      </c>
      <c r="L3726" s="34" t="str">
        <f t="shared" si="123"/>
        <v>重复</v>
      </c>
    </row>
    <row r="3727" spans="1:12" ht="30">
      <c r="A3727" s="35" t="s">
        <v>14152</v>
      </c>
      <c r="B3727" s="35" t="s">
        <v>9925</v>
      </c>
      <c r="C3727" s="36" t="s">
        <v>2759</v>
      </c>
      <c r="D3727" s="35" t="s">
        <v>9926</v>
      </c>
      <c r="E3727" s="35" t="s">
        <v>14140</v>
      </c>
      <c r="F3727" s="35" t="s">
        <v>14036</v>
      </c>
      <c r="G3727" s="35">
        <v>370812</v>
      </c>
      <c r="H3727" s="35">
        <v>410060</v>
      </c>
      <c r="I3727" s="35">
        <v>350000</v>
      </c>
      <c r="J3727" s="34" t="s">
        <v>363</v>
      </c>
      <c r="K3727" s="34" t="str">
        <f t="shared" si="122"/>
        <v>重复</v>
      </c>
      <c r="L3727" s="34" t="str">
        <f t="shared" si="123"/>
        <v>不重复</v>
      </c>
    </row>
    <row r="3728" spans="1:12" ht="30">
      <c r="A3728" s="35" t="s">
        <v>14153</v>
      </c>
      <c r="B3728" s="35" t="s">
        <v>9927</v>
      </c>
      <c r="C3728" s="36" t="s">
        <v>939</v>
      </c>
      <c r="D3728" s="35" t="s">
        <v>9928</v>
      </c>
      <c r="E3728" s="35" t="s">
        <v>14140</v>
      </c>
      <c r="F3728" s="35" t="s">
        <v>14036</v>
      </c>
      <c r="G3728" s="35">
        <v>370813</v>
      </c>
      <c r="H3728" s="35">
        <v>410060</v>
      </c>
      <c r="I3728" s="35">
        <v>350000</v>
      </c>
      <c r="J3728" s="34" t="s">
        <v>962</v>
      </c>
      <c r="K3728" s="34" t="str">
        <f t="shared" si="122"/>
        <v>重复</v>
      </c>
      <c r="L3728" s="34" t="str">
        <f t="shared" si="123"/>
        <v>不重复</v>
      </c>
    </row>
    <row r="3729" spans="1:12" ht="15">
      <c r="A3729" s="35" t="s">
        <v>14154</v>
      </c>
      <c r="B3729" s="35" t="s">
        <v>9929</v>
      </c>
      <c r="C3729" s="36" t="s">
        <v>5204</v>
      </c>
      <c r="D3729" s="35" t="s">
        <v>9930</v>
      </c>
      <c r="E3729" s="35" t="s">
        <v>14140</v>
      </c>
      <c r="F3729" s="35" t="s">
        <v>14036</v>
      </c>
      <c r="G3729" s="35">
        <v>370814</v>
      </c>
      <c r="H3729" s="35">
        <v>410060</v>
      </c>
      <c r="I3729" s="35">
        <v>350000</v>
      </c>
      <c r="J3729" s="34" t="s">
        <v>363</v>
      </c>
      <c r="K3729" s="34" t="str">
        <f t="shared" si="122"/>
        <v>重复</v>
      </c>
      <c r="L3729" s="34" t="str">
        <f t="shared" si="123"/>
        <v>不重复</v>
      </c>
    </row>
    <row r="3730" spans="1:12" ht="15">
      <c r="A3730" s="35" t="s">
        <v>14155</v>
      </c>
      <c r="B3730" s="35" t="s">
        <v>9931</v>
      </c>
      <c r="C3730" s="36" t="s">
        <v>9932</v>
      </c>
      <c r="D3730" s="35" t="s">
        <v>9933</v>
      </c>
      <c r="E3730" s="35" t="s">
        <v>14140</v>
      </c>
      <c r="F3730" s="35" t="s">
        <v>14036</v>
      </c>
      <c r="G3730" s="35">
        <v>370815</v>
      </c>
      <c r="H3730" s="35">
        <v>410060</v>
      </c>
      <c r="I3730" s="35">
        <v>350000</v>
      </c>
      <c r="J3730" s="34" t="s">
        <v>363</v>
      </c>
      <c r="K3730" s="34" t="str">
        <f t="shared" si="122"/>
        <v>不重复</v>
      </c>
      <c r="L3730" s="34" t="str">
        <f t="shared" si="123"/>
        <v>不重复</v>
      </c>
    </row>
    <row r="3731" spans="1:12" ht="30">
      <c r="A3731" s="35" t="s">
        <v>14156</v>
      </c>
      <c r="B3731" s="35" t="s">
        <v>9934</v>
      </c>
      <c r="C3731" s="36" t="s">
        <v>2784</v>
      </c>
      <c r="D3731" s="35" t="s">
        <v>9935</v>
      </c>
      <c r="E3731" s="35" t="s">
        <v>14140</v>
      </c>
      <c r="F3731" s="35" t="s">
        <v>14036</v>
      </c>
      <c r="G3731" s="35">
        <v>370816</v>
      </c>
      <c r="H3731" s="35">
        <v>410060</v>
      </c>
      <c r="I3731" s="35">
        <v>350000</v>
      </c>
      <c r="J3731" s="34" t="s">
        <v>8538</v>
      </c>
      <c r="K3731" s="34" t="str">
        <f t="shared" si="122"/>
        <v>重复</v>
      </c>
      <c r="L3731" s="34" t="str">
        <f t="shared" si="123"/>
        <v>不重复</v>
      </c>
    </row>
    <row r="3732" spans="1:12" ht="15">
      <c r="A3732" s="35" t="s">
        <v>14157</v>
      </c>
      <c r="B3732" s="35" t="s">
        <v>9936</v>
      </c>
      <c r="C3732" s="36" t="s">
        <v>921</v>
      </c>
      <c r="D3732" s="35" t="s">
        <v>9937</v>
      </c>
      <c r="E3732" s="35" t="s">
        <v>14140</v>
      </c>
      <c r="F3732" s="35" t="s">
        <v>14036</v>
      </c>
      <c r="G3732" s="35">
        <v>370817</v>
      </c>
      <c r="H3732" s="35">
        <v>410060</v>
      </c>
      <c r="I3732" s="35">
        <v>350000</v>
      </c>
      <c r="J3732" s="34" t="s">
        <v>363</v>
      </c>
      <c r="K3732" s="34" t="str">
        <f t="shared" si="122"/>
        <v>重复</v>
      </c>
      <c r="L3732" s="34" t="str">
        <f t="shared" si="123"/>
        <v>不重复</v>
      </c>
    </row>
    <row r="3733" spans="1:12" ht="15">
      <c r="A3733" s="35" t="s">
        <v>14158</v>
      </c>
      <c r="B3733" s="35" t="s">
        <v>9938</v>
      </c>
      <c r="C3733" s="36" t="s">
        <v>7988</v>
      </c>
      <c r="D3733" s="35" t="s">
        <v>9939</v>
      </c>
      <c r="E3733" s="35" t="s">
        <v>14140</v>
      </c>
      <c r="F3733" s="35" t="s">
        <v>14036</v>
      </c>
      <c r="G3733" s="35">
        <v>370818</v>
      </c>
      <c r="H3733" s="35">
        <v>410060</v>
      </c>
      <c r="I3733" s="35">
        <v>350000</v>
      </c>
      <c r="J3733" s="34" t="s">
        <v>962</v>
      </c>
      <c r="K3733" s="34" t="str">
        <f t="shared" si="122"/>
        <v>重复</v>
      </c>
      <c r="L3733" s="34" t="str">
        <f t="shared" si="123"/>
        <v>重复</v>
      </c>
    </row>
    <row r="3734" spans="1:12" ht="30">
      <c r="A3734" s="35" t="s">
        <v>14159</v>
      </c>
      <c r="B3734" s="35" t="s">
        <v>9940</v>
      </c>
      <c r="C3734" s="36" t="s">
        <v>2001</v>
      </c>
      <c r="D3734" s="35" t="s">
        <v>9939</v>
      </c>
      <c r="E3734" s="35" t="s">
        <v>14140</v>
      </c>
      <c r="F3734" s="35" t="s">
        <v>14036</v>
      </c>
      <c r="G3734" s="35">
        <v>370819</v>
      </c>
      <c r="H3734" s="35">
        <v>410060</v>
      </c>
      <c r="I3734" s="35">
        <v>350000</v>
      </c>
      <c r="J3734" s="34" t="s">
        <v>152</v>
      </c>
      <c r="K3734" s="34" t="str">
        <f t="shared" si="122"/>
        <v>重复</v>
      </c>
      <c r="L3734" s="34" t="str">
        <f t="shared" si="123"/>
        <v>重复</v>
      </c>
    </row>
    <row r="3735" spans="1:12" ht="15">
      <c r="A3735" s="35" t="s">
        <v>14160</v>
      </c>
      <c r="B3735" s="35" t="s">
        <v>9941</v>
      </c>
      <c r="C3735" s="36" t="s">
        <v>2777</v>
      </c>
      <c r="D3735" s="35" t="s">
        <v>9942</v>
      </c>
      <c r="E3735" s="35" t="s">
        <v>14140</v>
      </c>
      <c r="F3735" s="35" t="s">
        <v>14036</v>
      </c>
      <c r="G3735" s="35">
        <v>370820</v>
      </c>
      <c r="H3735" s="35">
        <v>410060</v>
      </c>
      <c r="I3735" s="35">
        <v>350000</v>
      </c>
      <c r="J3735" s="34" t="s">
        <v>458</v>
      </c>
      <c r="K3735" s="34" t="str">
        <f t="shared" si="122"/>
        <v>重复</v>
      </c>
      <c r="L3735" s="34" t="str">
        <f t="shared" si="123"/>
        <v>重复</v>
      </c>
    </row>
    <row r="3736" spans="1:12" ht="15">
      <c r="A3736" s="35" t="s">
        <v>14161</v>
      </c>
      <c r="B3736" s="35" t="s">
        <v>9943</v>
      </c>
      <c r="C3736" s="36" t="s">
        <v>233</v>
      </c>
      <c r="D3736" s="35" t="s">
        <v>9942</v>
      </c>
      <c r="E3736" s="35" t="s">
        <v>14140</v>
      </c>
      <c r="F3736" s="35" t="s">
        <v>14036</v>
      </c>
      <c r="G3736" s="35">
        <v>370821</v>
      </c>
      <c r="H3736" s="35">
        <v>410060</v>
      </c>
      <c r="I3736" s="35">
        <v>350000</v>
      </c>
      <c r="J3736" s="34" t="s">
        <v>2674</v>
      </c>
      <c r="K3736" s="34" t="str">
        <f t="shared" si="122"/>
        <v>重复</v>
      </c>
      <c r="L3736" s="34" t="str">
        <f t="shared" si="123"/>
        <v>重复</v>
      </c>
    </row>
    <row r="3737" spans="1:12" ht="15">
      <c r="A3737" s="35" t="s">
        <v>14162</v>
      </c>
      <c r="B3737" s="35" t="s">
        <v>9944</v>
      </c>
      <c r="C3737" s="36" t="s">
        <v>9945</v>
      </c>
      <c r="D3737" s="35" t="s">
        <v>9946</v>
      </c>
      <c r="E3737" s="35" t="s">
        <v>14140</v>
      </c>
      <c r="F3737" s="35" t="s">
        <v>14036</v>
      </c>
      <c r="G3737" s="35">
        <v>370822</v>
      </c>
      <c r="H3737" s="35">
        <v>410060</v>
      </c>
      <c r="I3737" s="35">
        <v>350000</v>
      </c>
      <c r="J3737" s="34" t="s">
        <v>458</v>
      </c>
      <c r="K3737" s="34" t="str">
        <f t="shared" si="122"/>
        <v>不重复</v>
      </c>
      <c r="L3737" s="34" t="str">
        <f t="shared" si="123"/>
        <v>不重复</v>
      </c>
    </row>
    <row r="3738" spans="1:12" ht="15">
      <c r="A3738" s="35" t="s">
        <v>14163</v>
      </c>
      <c r="B3738" s="35" t="s">
        <v>9947</v>
      </c>
      <c r="C3738" s="36" t="s">
        <v>9948</v>
      </c>
      <c r="D3738" s="35" t="s">
        <v>9949</v>
      </c>
      <c r="E3738" s="35" t="s">
        <v>14140</v>
      </c>
      <c r="F3738" s="35" t="s">
        <v>14036</v>
      </c>
      <c r="G3738" s="35">
        <v>370823</v>
      </c>
      <c r="H3738" s="35">
        <v>410060</v>
      </c>
      <c r="I3738" s="35">
        <v>350000</v>
      </c>
      <c r="J3738" s="34" t="s">
        <v>1700</v>
      </c>
      <c r="K3738" s="34" t="str">
        <f t="shared" si="122"/>
        <v>不重复</v>
      </c>
      <c r="L3738" s="34" t="str">
        <f t="shared" si="123"/>
        <v>重复</v>
      </c>
    </row>
    <row r="3739" spans="1:12" ht="15">
      <c r="A3739" s="35" t="s">
        <v>14164</v>
      </c>
      <c r="B3739" s="35" t="s">
        <v>9950</v>
      </c>
      <c r="C3739" s="36" t="s">
        <v>237</v>
      </c>
      <c r="D3739" s="35" t="s">
        <v>9949</v>
      </c>
      <c r="E3739" s="35" t="s">
        <v>14140</v>
      </c>
      <c r="F3739" s="35" t="s">
        <v>14036</v>
      </c>
      <c r="G3739" s="35">
        <v>370824</v>
      </c>
      <c r="H3739" s="35">
        <v>410060</v>
      </c>
      <c r="I3739" s="35">
        <v>350000</v>
      </c>
      <c r="J3739" s="34" t="s">
        <v>2674</v>
      </c>
      <c r="K3739" s="34" t="str">
        <f t="shared" si="122"/>
        <v>重复</v>
      </c>
      <c r="L3739" s="34" t="str">
        <f t="shared" si="123"/>
        <v>重复</v>
      </c>
    </row>
    <row r="3740" spans="1:12" ht="30">
      <c r="A3740" s="35" t="s">
        <v>14165</v>
      </c>
      <c r="B3740" s="35" t="s">
        <v>9951</v>
      </c>
      <c r="C3740" s="36" t="s">
        <v>758</v>
      </c>
      <c r="D3740" s="35" t="s">
        <v>9952</v>
      </c>
      <c r="E3740" s="35" t="s">
        <v>14140</v>
      </c>
      <c r="F3740" s="35" t="s">
        <v>14036</v>
      </c>
      <c r="G3740" s="35">
        <v>370825</v>
      </c>
      <c r="H3740" s="35">
        <v>410060</v>
      </c>
      <c r="I3740" s="35">
        <v>350000</v>
      </c>
      <c r="J3740" s="34" t="s">
        <v>458</v>
      </c>
      <c r="K3740" s="34" t="str">
        <f t="shared" si="122"/>
        <v>重复</v>
      </c>
      <c r="L3740" s="34" t="str">
        <f t="shared" si="123"/>
        <v>不重复</v>
      </c>
    </row>
    <row r="3741" spans="1:12" ht="15">
      <c r="A3741" s="35" t="s">
        <v>14166</v>
      </c>
      <c r="B3741" s="35" t="s">
        <v>9953</v>
      </c>
      <c r="C3741" s="36" t="s">
        <v>9048</v>
      </c>
      <c r="D3741" s="35" t="s">
        <v>4155</v>
      </c>
      <c r="E3741" s="35" t="s">
        <v>14140</v>
      </c>
      <c r="F3741" s="35" t="s">
        <v>14036</v>
      </c>
      <c r="G3741" s="35">
        <v>370826</v>
      </c>
      <c r="H3741" s="35">
        <v>410060</v>
      </c>
      <c r="I3741" s="35">
        <v>350000</v>
      </c>
      <c r="J3741" s="34" t="s">
        <v>985</v>
      </c>
      <c r="K3741" s="34" t="str">
        <f t="shared" si="122"/>
        <v>重复</v>
      </c>
      <c r="L3741" s="34" t="str">
        <f t="shared" si="123"/>
        <v>重复</v>
      </c>
    </row>
    <row r="3742" spans="1:12" ht="15">
      <c r="A3742" s="35" t="s">
        <v>14167</v>
      </c>
      <c r="B3742" s="35" t="s">
        <v>9954</v>
      </c>
      <c r="C3742" s="36" t="s">
        <v>9955</v>
      </c>
      <c r="D3742" s="35" t="s">
        <v>9956</v>
      </c>
      <c r="E3742" s="35" t="s">
        <v>14140</v>
      </c>
      <c r="F3742" s="35" t="s">
        <v>14036</v>
      </c>
      <c r="G3742" s="35">
        <v>370827</v>
      </c>
      <c r="H3742" s="35">
        <v>410060</v>
      </c>
      <c r="I3742" s="35">
        <v>350000</v>
      </c>
      <c r="J3742" s="34" t="s">
        <v>363</v>
      </c>
      <c r="K3742" s="34" t="str">
        <f t="shared" si="122"/>
        <v>不重复</v>
      </c>
      <c r="L3742" s="34" t="str">
        <f t="shared" si="123"/>
        <v>不重复</v>
      </c>
    </row>
    <row r="3743" spans="1:12" ht="15">
      <c r="A3743" s="35" t="s">
        <v>14168</v>
      </c>
      <c r="B3743" s="35" t="s">
        <v>9957</v>
      </c>
      <c r="C3743" s="36" t="s">
        <v>9958</v>
      </c>
      <c r="D3743" s="35" t="s">
        <v>3317</v>
      </c>
      <c r="E3743" s="35" t="s">
        <v>14140</v>
      </c>
      <c r="F3743" s="35" t="s">
        <v>14036</v>
      </c>
      <c r="G3743" s="35">
        <v>370828</v>
      </c>
      <c r="H3743" s="35">
        <v>410060</v>
      </c>
      <c r="I3743" s="35">
        <v>350000</v>
      </c>
      <c r="J3743" s="34" t="s">
        <v>541</v>
      </c>
      <c r="K3743" s="34" t="str">
        <f t="shared" si="122"/>
        <v>不重复</v>
      </c>
      <c r="L3743" s="34" t="str">
        <f t="shared" si="123"/>
        <v>重复</v>
      </c>
    </row>
    <row r="3744" spans="1:12" ht="15">
      <c r="A3744" s="35" t="s">
        <v>14169</v>
      </c>
      <c r="B3744" s="35" t="s">
        <v>9959</v>
      </c>
      <c r="C3744" s="36" t="s">
        <v>150</v>
      </c>
      <c r="D3744" s="35" t="s">
        <v>9960</v>
      </c>
      <c r="E3744" s="35" t="s">
        <v>14140</v>
      </c>
      <c r="F3744" s="35" t="s">
        <v>14036</v>
      </c>
      <c r="G3744" s="35">
        <v>370829</v>
      </c>
      <c r="H3744" s="35">
        <v>410060</v>
      </c>
      <c r="I3744" s="35">
        <v>350000</v>
      </c>
      <c r="J3744" s="34" t="s">
        <v>715</v>
      </c>
      <c r="K3744" s="34" t="str">
        <f t="shared" si="122"/>
        <v>重复</v>
      </c>
      <c r="L3744" s="34" t="str">
        <f t="shared" si="123"/>
        <v>不重复</v>
      </c>
    </row>
    <row r="3745" spans="1:12" ht="30">
      <c r="A3745" s="35" t="s">
        <v>14170</v>
      </c>
      <c r="B3745" s="35" t="s">
        <v>9961</v>
      </c>
      <c r="C3745" s="36" t="s">
        <v>9962</v>
      </c>
      <c r="D3745" s="35" t="s">
        <v>9963</v>
      </c>
      <c r="E3745" s="35" t="s">
        <v>14140</v>
      </c>
      <c r="F3745" s="35" t="s">
        <v>14036</v>
      </c>
      <c r="G3745" s="35">
        <v>370830</v>
      </c>
      <c r="H3745" s="35">
        <v>410060</v>
      </c>
      <c r="I3745" s="35">
        <v>350000</v>
      </c>
      <c r="J3745" s="34" t="s">
        <v>9964</v>
      </c>
      <c r="K3745" s="34" t="str">
        <f t="shared" si="122"/>
        <v>不重复</v>
      </c>
      <c r="L3745" s="34" t="str">
        <f t="shared" si="123"/>
        <v>不重复</v>
      </c>
    </row>
    <row r="3746" spans="1:12" ht="27">
      <c r="A3746" s="35" t="s">
        <v>14171</v>
      </c>
      <c r="B3746" s="35" t="s">
        <v>9965</v>
      </c>
      <c r="C3746" s="36" t="s">
        <v>9966</v>
      </c>
      <c r="D3746" s="35" t="s">
        <v>9967</v>
      </c>
      <c r="E3746" s="35" t="s">
        <v>14140</v>
      </c>
      <c r="F3746" s="35" t="s">
        <v>14036</v>
      </c>
      <c r="G3746" s="35">
        <v>370831</v>
      </c>
      <c r="H3746" s="35">
        <v>410060</v>
      </c>
      <c r="I3746" s="35">
        <v>350000</v>
      </c>
      <c r="J3746" s="34" t="s">
        <v>363</v>
      </c>
      <c r="K3746" s="34" t="str">
        <f t="shared" si="122"/>
        <v>不重复</v>
      </c>
      <c r="L3746" s="34" t="str">
        <f t="shared" si="123"/>
        <v>不重复</v>
      </c>
    </row>
    <row r="3747" spans="1:12" ht="27">
      <c r="A3747" s="35" t="s">
        <v>14172</v>
      </c>
      <c r="B3747" s="35" t="s">
        <v>9968</v>
      </c>
      <c r="C3747" s="36" t="s">
        <v>9969</v>
      </c>
      <c r="D3747" s="35" t="s">
        <v>9970</v>
      </c>
      <c r="E3747" s="35" t="s">
        <v>14140</v>
      </c>
      <c r="F3747" s="35" t="s">
        <v>14036</v>
      </c>
      <c r="G3747" s="35">
        <v>370832</v>
      </c>
      <c r="H3747" s="35">
        <v>410060</v>
      </c>
      <c r="I3747" s="35">
        <v>350000</v>
      </c>
      <c r="J3747" s="34" t="s">
        <v>1358</v>
      </c>
      <c r="K3747" s="34" t="str">
        <f t="shared" si="122"/>
        <v>不重复</v>
      </c>
      <c r="L3747" s="34" t="str">
        <f t="shared" si="123"/>
        <v>重复</v>
      </c>
    </row>
    <row r="3748" spans="1:12" ht="27">
      <c r="A3748" s="35" t="s">
        <v>14173</v>
      </c>
      <c r="B3748" s="35" t="s">
        <v>9968</v>
      </c>
      <c r="C3748" s="36" t="s">
        <v>9971</v>
      </c>
      <c r="D3748" s="35" t="s">
        <v>9970</v>
      </c>
      <c r="E3748" s="35" t="s">
        <v>14140</v>
      </c>
      <c r="F3748" s="35" t="s">
        <v>14036</v>
      </c>
      <c r="G3748" s="35">
        <v>370833</v>
      </c>
      <c r="H3748" s="35">
        <v>410060</v>
      </c>
      <c r="I3748" s="35">
        <v>350000</v>
      </c>
      <c r="J3748" s="34" t="s">
        <v>9650</v>
      </c>
      <c r="K3748" s="34" t="str">
        <f t="shared" si="122"/>
        <v>不重复</v>
      </c>
      <c r="L3748" s="34" t="str">
        <f t="shared" si="123"/>
        <v>重复</v>
      </c>
    </row>
    <row r="3749" spans="1:12" ht="15">
      <c r="A3749" s="35" t="s">
        <v>14174</v>
      </c>
      <c r="B3749" s="35" t="s">
        <v>9972</v>
      </c>
      <c r="C3749" s="36" t="s">
        <v>9973</v>
      </c>
      <c r="D3749" s="35" t="s">
        <v>9902</v>
      </c>
      <c r="E3749" s="35" t="s">
        <v>14140</v>
      </c>
      <c r="F3749" s="35" t="s">
        <v>14036</v>
      </c>
      <c r="G3749" s="35">
        <v>370834</v>
      </c>
      <c r="H3749" s="35">
        <v>410060</v>
      </c>
      <c r="I3749" s="35">
        <v>350000</v>
      </c>
      <c r="J3749" s="34" t="s">
        <v>16</v>
      </c>
      <c r="K3749" s="34" t="str">
        <f t="shared" si="122"/>
        <v>不重复</v>
      </c>
      <c r="L3749" s="34" t="str">
        <f t="shared" si="123"/>
        <v>重复</v>
      </c>
    </row>
    <row r="3750" spans="1:12" ht="27">
      <c r="A3750" s="35" t="s">
        <v>14175</v>
      </c>
      <c r="B3750" s="35" t="s">
        <v>9974</v>
      </c>
      <c r="C3750" s="36" t="s">
        <v>9975</v>
      </c>
      <c r="D3750" s="35" t="s">
        <v>266</v>
      </c>
      <c r="E3750" s="35" t="s">
        <v>14175</v>
      </c>
      <c r="F3750" s="35" t="s">
        <v>14176</v>
      </c>
      <c r="G3750" s="35">
        <v>380100</v>
      </c>
      <c r="H3750" s="35">
        <v>420000</v>
      </c>
      <c r="I3750" s="35">
        <v>400000</v>
      </c>
      <c r="J3750" s="34" t="s">
        <v>16</v>
      </c>
      <c r="K3750" s="34" t="str">
        <f t="shared" si="122"/>
        <v>不重复</v>
      </c>
      <c r="L3750" s="34" t="str">
        <f t="shared" si="123"/>
        <v>重复</v>
      </c>
    </row>
    <row r="3751" spans="1:12" ht="15">
      <c r="A3751" s="35" t="s">
        <v>14177</v>
      </c>
      <c r="B3751" s="35" t="s">
        <v>9976</v>
      </c>
      <c r="C3751" s="36" t="s">
        <v>9977</v>
      </c>
      <c r="D3751" s="35" t="s">
        <v>266</v>
      </c>
      <c r="E3751" s="35" t="s">
        <v>14177</v>
      </c>
      <c r="F3751" s="35" t="s">
        <v>14176</v>
      </c>
      <c r="G3751" s="35">
        <v>380200</v>
      </c>
      <c r="H3751" s="35">
        <v>420010</v>
      </c>
      <c r="I3751" s="35">
        <v>400000</v>
      </c>
      <c r="J3751" s="34" t="s">
        <v>16</v>
      </c>
      <c r="K3751" s="34" t="str">
        <f t="shared" si="122"/>
        <v>不重复</v>
      </c>
      <c r="L3751" s="34" t="str">
        <f t="shared" si="123"/>
        <v>重复</v>
      </c>
    </row>
    <row r="3752" spans="1:12" ht="27">
      <c r="A3752" s="35" t="s">
        <v>14178</v>
      </c>
      <c r="B3752" s="35" t="s">
        <v>9978</v>
      </c>
      <c r="C3752" s="36" t="s">
        <v>2201</v>
      </c>
      <c r="D3752" s="35" t="s">
        <v>2458</v>
      </c>
      <c r="E3752" s="35" t="s">
        <v>14177</v>
      </c>
      <c r="F3752" s="35" t="s">
        <v>14176</v>
      </c>
      <c r="G3752" s="35">
        <v>380201</v>
      </c>
      <c r="H3752" s="35">
        <v>420010</v>
      </c>
      <c r="I3752" s="35">
        <v>400000</v>
      </c>
      <c r="J3752" s="34" t="s">
        <v>1103</v>
      </c>
      <c r="K3752" s="34" t="str">
        <f t="shared" si="122"/>
        <v>重复</v>
      </c>
      <c r="L3752" s="34" t="str">
        <f t="shared" si="123"/>
        <v>重复</v>
      </c>
    </row>
    <row r="3753" spans="1:12" ht="15">
      <c r="A3753" s="35" t="s">
        <v>14179</v>
      </c>
      <c r="B3753" s="35" t="s">
        <v>9979</v>
      </c>
      <c r="C3753" s="36" t="s">
        <v>9980</v>
      </c>
      <c r="D3753" s="35" t="s">
        <v>9981</v>
      </c>
      <c r="E3753" s="35" t="s">
        <v>14179</v>
      </c>
      <c r="F3753" s="35" t="s">
        <v>14176</v>
      </c>
      <c r="G3753" s="35">
        <v>380300</v>
      </c>
      <c r="H3753" s="35">
        <v>420020</v>
      </c>
      <c r="I3753" s="35">
        <v>400000</v>
      </c>
      <c r="J3753" s="34" t="s">
        <v>16</v>
      </c>
      <c r="K3753" s="34" t="str">
        <f t="shared" si="122"/>
        <v>不重复</v>
      </c>
      <c r="L3753" s="34" t="str">
        <f t="shared" si="123"/>
        <v>不重复</v>
      </c>
    </row>
    <row r="3754" spans="1:12" ht="15">
      <c r="A3754" s="35" t="s">
        <v>14180</v>
      </c>
      <c r="B3754" s="35" t="s">
        <v>9982</v>
      </c>
      <c r="C3754" s="36" t="s">
        <v>9983</v>
      </c>
      <c r="D3754" s="35" t="s">
        <v>16</v>
      </c>
      <c r="E3754" s="35" t="s">
        <v>14179</v>
      </c>
      <c r="F3754" s="35" t="s">
        <v>14176</v>
      </c>
      <c r="G3754" s="35">
        <v>380301</v>
      </c>
      <c r="H3754" s="35">
        <v>420020</v>
      </c>
      <c r="I3754" s="35">
        <v>400000</v>
      </c>
      <c r="J3754" s="34" t="s">
        <v>1040</v>
      </c>
      <c r="K3754" s="34" t="str">
        <f t="shared" si="122"/>
        <v>不重复</v>
      </c>
      <c r="L3754" s="34" t="str">
        <f t="shared" si="123"/>
        <v>重复</v>
      </c>
    </row>
    <row r="3755" spans="1:12" ht="27">
      <c r="A3755" s="35" t="s">
        <v>14181</v>
      </c>
      <c r="B3755" s="35" t="s">
        <v>9984</v>
      </c>
      <c r="C3755" s="36" t="s">
        <v>9985</v>
      </c>
      <c r="D3755" s="35" t="s">
        <v>9986</v>
      </c>
      <c r="E3755" s="35" t="s">
        <v>14179</v>
      </c>
      <c r="F3755" s="35" t="s">
        <v>14176</v>
      </c>
      <c r="G3755" s="35">
        <v>380302</v>
      </c>
      <c r="H3755" s="35">
        <v>420020</v>
      </c>
      <c r="I3755" s="35">
        <v>400000</v>
      </c>
      <c r="J3755" s="34" t="s">
        <v>422</v>
      </c>
      <c r="K3755" s="34" t="str">
        <f t="shared" si="122"/>
        <v>不重复</v>
      </c>
      <c r="L3755" s="34" t="str">
        <f t="shared" si="123"/>
        <v>不重复</v>
      </c>
    </row>
    <row r="3756" spans="1:12" ht="27">
      <c r="A3756" s="35" t="s">
        <v>14182</v>
      </c>
      <c r="B3756" s="35" t="s">
        <v>9987</v>
      </c>
      <c r="C3756" s="36" t="s">
        <v>205</v>
      </c>
      <c r="D3756" s="35" t="s">
        <v>9988</v>
      </c>
      <c r="E3756" s="35" t="s">
        <v>14179</v>
      </c>
      <c r="F3756" s="35" t="s">
        <v>14176</v>
      </c>
      <c r="G3756" s="35">
        <v>380303</v>
      </c>
      <c r="H3756" s="35">
        <v>420020</v>
      </c>
      <c r="I3756" s="35">
        <v>400000</v>
      </c>
      <c r="J3756" s="34" t="s">
        <v>9989</v>
      </c>
      <c r="K3756" s="34" t="str">
        <f t="shared" si="122"/>
        <v>重复</v>
      </c>
      <c r="L3756" s="34" t="str">
        <f t="shared" si="123"/>
        <v>不重复</v>
      </c>
    </row>
    <row r="3757" spans="1:12" ht="15">
      <c r="A3757" s="35" t="s">
        <v>14183</v>
      </c>
      <c r="B3757" s="35" t="s">
        <v>9990</v>
      </c>
      <c r="C3757" s="36" t="s">
        <v>9991</v>
      </c>
      <c r="D3757" s="35" t="s">
        <v>9992</v>
      </c>
      <c r="E3757" s="35" t="s">
        <v>14179</v>
      </c>
      <c r="F3757" s="35" t="s">
        <v>14176</v>
      </c>
      <c r="G3757" s="35">
        <v>380304</v>
      </c>
      <c r="H3757" s="35">
        <v>420020</v>
      </c>
      <c r="I3757" s="35">
        <v>400000</v>
      </c>
      <c r="J3757" s="34" t="s">
        <v>531</v>
      </c>
      <c r="K3757" s="34" t="str">
        <f t="shared" si="122"/>
        <v>不重复</v>
      </c>
      <c r="L3757" s="34" t="str">
        <f t="shared" si="123"/>
        <v>不重复</v>
      </c>
    </row>
    <row r="3758" spans="1:12" ht="27">
      <c r="A3758" s="35" t="s">
        <v>14184</v>
      </c>
      <c r="B3758" s="35" t="s">
        <v>9993</v>
      </c>
      <c r="C3758" s="36" t="s">
        <v>4278</v>
      </c>
      <c r="D3758" s="35" t="s">
        <v>9994</v>
      </c>
      <c r="E3758" s="35" t="s">
        <v>14179</v>
      </c>
      <c r="F3758" s="35" t="s">
        <v>14176</v>
      </c>
      <c r="G3758" s="35">
        <v>380305</v>
      </c>
      <c r="H3758" s="35">
        <v>420020</v>
      </c>
      <c r="I3758" s="35">
        <v>400000</v>
      </c>
      <c r="J3758" s="34" t="s">
        <v>668</v>
      </c>
      <c r="K3758" s="34" t="str">
        <f t="shared" si="122"/>
        <v>重复</v>
      </c>
      <c r="L3758" s="34" t="str">
        <f t="shared" si="123"/>
        <v>不重复</v>
      </c>
    </row>
    <row r="3759" spans="1:12" ht="15">
      <c r="A3759" s="35" t="s">
        <v>14185</v>
      </c>
      <c r="B3759" s="35" t="s">
        <v>9995</v>
      </c>
      <c r="C3759" s="36" t="s">
        <v>9996</v>
      </c>
      <c r="D3759" s="35" t="s">
        <v>9997</v>
      </c>
      <c r="E3759" s="35" t="s">
        <v>14179</v>
      </c>
      <c r="F3759" s="35" t="s">
        <v>14176</v>
      </c>
      <c r="G3759" s="35">
        <v>380306</v>
      </c>
      <c r="H3759" s="35">
        <v>420020</v>
      </c>
      <c r="I3759" s="35">
        <v>400000</v>
      </c>
      <c r="J3759" s="34" t="s">
        <v>668</v>
      </c>
      <c r="K3759" s="34" t="str">
        <f t="shared" si="122"/>
        <v>不重复</v>
      </c>
      <c r="L3759" s="34" t="str">
        <f t="shared" si="123"/>
        <v>不重复</v>
      </c>
    </row>
    <row r="3760" spans="1:12" ht="27">
      <c r="A3760" s="35" t="s">
        <v>14186</v>
      </c>
      <c r="B3760" s="35" t="s">
        <v>9998</v>
      </c>
      <c r="C3760" s="36" t="s">
        <v>9999</v>
      </c>
      <c r="D3760" s="35" t="s">
        <v>10000</v>
      </c>
      <c r="E3760" s="35" t="s">
        <v>14179</v>
      </c>
      <c r="F3760" s="35" t="s">
        <v>14176</v>
      </c>
      <c r="G3760" s="35">
        <v>380307</v>
      </c>
      <c r="H3760" s="35">
        <v>420020</v>
      </c>
      <c r="I3760" s="35">
        <v>400000</v>
      </c>
      <c r="J3760" s="34" t="s">
        <v>985</v>
      </c>
      <c r="K3760" s="34" t="str">
        <f t="shared" si="122"/>
        <v>不重复</v>
      </c>
      <c r="L3760" s="34" t="str">
        <f t="shared" si="123"/>
        <v>不重复</v>
      </c>
    </row>
    <row r="3761" spans="1:12" ht="15">
      <c r="A3761" s="35" t="s">
        <v>14187</v>
      </c>
      <c r="B3761" s="35" t="s">
        <v>10001</v>
      </c>
      <c r="C3761" s="36" t="s">
        <v>10002</v>
      </c>
      <c r="D3761" s="35" t="s">
        <v>10003</v>
      </c>
      <c r="E3761" s="35" t="s">
        <v>14179</v>
      </c>
      <c r="F3761" s="35" t="s">
        <v>14176</v>
      </c>
      <c r="G3761" s="35">
        <v>380308</v>
      </c>
      <c r="H3761" s="35">
        <v>420020</v>
      </c>
      <c r="I3761" s="35">
        <v>400000</v>
      </c>
      <c r="J3761" s="34" t="s">
        <v>985</v>
      </c>
      <c r="K3761" s="34" t="str">
        <f t="shared" si="122"/>
        <v>不重复</v>
      </c>
      <c r="L3761" s="34" t="str">
        <f t="shared" si="123"/>
        <v>不重复</v>
      </c>
    </row>
    <row r="3762" spans="1:12" ht="27">
      <c r="A3762" s="35" t="s">
        <v>14188</v>
      </c>
      <c r="B3762" s="35" t="s">
        <v>10004</v>
      </c>
      <c r="C3762" s="36" t="s">
        <v>7021</v>
      </c>
      <c r="D3762" s="35" t="s">
        <v>10005</v>
      </c>
      <c r="E3762" s="35" t="s">
        <v>14179</v>
      </c>
      <c r="F3762" s="35" t="s">
        <v>14176</v>
      </c>
      <c r="G3762" s="35">
        <v>380309</v>
      </c>
      <c r="H3762" s="35">
        <v>420020</v>
      </c>
      <c r="I3762" s="35">
        <v>400000</v>
      </c>
      <c r="J3762" s="34" t="s">
        <v>10006</v>
      </c>
      <c r="K3762" s="34" t="str">
        <f t="shared" si="122"/>
        <v>重复</v>
      </c>
      <c r="L3762" s="34" t="str">
        <f t="shared" si="123"/>
        <v>不重复</v>
      </c>
    </row>
    <row r="3763" spans="1:12" ht="15">
      <c r="A3763" s="35" t="s">
        <v>14189</v>
      </c>
      <c r="B3763" s="35" t="s">
        <v>10007</v>
      </c>
      <c r="C3763" s="36" t="s">
        <v>523</v>
      </c>
      <c r="D3763" s="35" t="s">
        <v>10008</v>
      </c>
      <c r="E3763" s="35" t="s">
        <v>14179</v>
      </c>
      <c r="F3763" s="35" t="s">
        <v>14176</v>
      </c>
      <c r="G3763" s="35">
        <v>380310</v>
      </c>
      <c r="H3763" s="35">
        <v>420020</v>
      </c>
      <c r="I3763" s="35">
        <v>400000</v>
      </c>
      <c r="J3763" s="34" t="s">
        <v>302</v>
      </c>
      <c r="K3763" s="34" t="str">
        <f t="shared" si="122"/>
        <v>重复</v>
      </c>
      <c r="L3763" s="34" t="str">
        <f t="shared" si="123"/>
        <v>不重复</v>
      </c>
    </row>
    <row r="3764" spans="1:12" ht="30">
      <c r="A3764" s="35" t="s">
        <v>14190</v>
      </c>
      <c r="B3764" s="35" t="s">
        <v>10009</v>
      </c>
      <c r="C3764" s="36" t="s">
        <v>4157</v>
      </c>
      <c r="D3764" s="35" t="s">
        <v>10010</v>
      </c>
      <c r="E3764" s="35" t="s">
        <v>14179</v>
      </c>
      <c r="F3764" s="35" t="s">
        <v>14176</v>
      </c>
      <c r="G3764" s="35">
        <v>380311</v>
      </c>
      <c r="H3764" s="35">
        <v>420020</v>
      </c>
      <c r="I3764" s="35">
        <v>400000</v>
      </c>
      <c r="J3764" s="34" t="s">
        <v>302</v>
      </c>
      <c r="K3764" s="34" t="str">
        <f t="shared" si="122"/>
        <v>重复</v>
      </c>
      <c r="L3764" s="34" t="str">
        <f t="shared" si="123"/>
        <v>不重复</v>
      </c>
    </row>
    <row r="3765" spans="1:12" ht="15">
      <c r="A3765" s="35" t="s">
        <v>14191</v>
      </c>
      <c r="B3765" s="35" t="s">
        <v>10011</v>
      </c>
      <c r="C3765" s="36" t="s">
        <v>10012</v>
      </c>
      <c r="D3765" s="35" t="s">
        <v>6132</v>
      </c>
      <c r="E3765" s="35" t="s">
        <v>14179</v>
      </c>
      <c r="F3765" s="35" t="s">
        <v>14176</v>
      </c>
      <c r="G3765" s="35">
        <v>380312</v>
      </c>
      <c r="H3765" s="35">
        <v>420020</v>
      </c>
      <c r="I3765" s="35">
        <v>400000</v>
      </c>
      <c r="J3765" s="34" t="s">
        <v>668</v>
      </c>
      <c r="K3765" s="34" t="str">
        <f t="shared" si="122"/>
        <v>不重复</v>
      </c>
      <c r="L3765" s="34" t="str">
        <f t="shared" si="123"/>
        <v>重复</v>
      </c>
    </row>
    <row r="3766" spans="1:12" ht="27">
      <c r="A3766" s="35" t="s">
        <v>14192</v>
      </c>
      <c r="B3766" s="35" t="s">
        <v>10013</v>
      </c>
      <c r="C3766" s="36" t="s">
        <v>6031</v>
      </c>
      <c r="D3766" s="35" t="s">
        <v>10014</v>
      </c>
      <c r="E3766" s="35" t="s">
        <v>14179</v>
      </c>
      <c r="F3766" s="35" t="s">
        <v>14176</v>
      </c>
      <c r="G3766" s="35">
        <v>380313</v>
      </c>
      <c r="H3766" s="35">
        <v>420020</v>
      </c>
      <c r="I3766" s="35">
        <v>400000</v>
      </c>
      <c r="J3766" s="34" t="s">
        <v>89</v>
      </c>
      <c r="K3766" s="34" t="str">
        <f t="shared" si="122"/>
        <v>重复</v>
      </c>
      <c r="L3766" s="34" t="str">
        <f t="shared" si="123"/>
        <v>不重复</v>
      </c>
    </row>
    <row r="3767" spans="1:12" ht="27">
      <c r="A3767" s="35" t="s">
        <v>14193</v>
      </c>
      <c r="B3767" s="35" t="s">
        <v>10015</v>
      </c>
      <c r="C3767" s="36" t="s">
        <v>9167</v>
      </c>
      <c r="D3767" s="35" t="s">
        <v>10016</v>
      </c>
      <c r="E3767" s="35" t="s">
        <v>14179</v>
      </c>
      <c r="F3767" s="35" t="s">
        <v>14176</v>
      </c>
      <c r="G3767" s="35">
        <v>380314</v>
      </c>
      <c r="H3767" s="35">
        <v>420020</v>
      </c>
      <c r="I3767" s="35">
        <v>400000</v>
      </c>
      <c r="J3767" s="34" t="s">
        <v>1040</v>
      </c>
      <c r="K3767" s="34" t="str">
        <f t="shared" si="122"/>
        <v>重复</v>
      </c>
      <c r="L3767" s="34" t="str">
        <f t="shared" si="123"/>
        <v>不重复</v>
      </c>
    </row>
    <row r="3768" spans="1:12" ht="30">
      <c r="A3768" s="35" t="s">
        <v>14194</v>
      </c>
      <c r="B3768" s="35" t="s">
        <v>10017</v>
      </c>
      <c r="C3768" s="36" t="s">
        <v>10018</v>
      </c>
      <c r="D3768" s="35" t="s">
        <v>3363</v>
      </c>
      <c r="E3768" s="35" t="s">
        <v>14179</v>
      </c>
      <c r="F3768" s="35" t="s">
        <v>14176</v>
      </c>
      <c r="G3768" s="35">
        <v>380315</v>
      </c>
      <c r="H3768" s="35">
        <v>420020</v>
      </c>
      <c r="I3768" s="35">
        <v>400000</v>
      </c>
      <c r="J3768" s="34" t="s">
        <v>89</v>
      </c>
      <c r="K3768" s="34" t="str">
        <f t="shared" si="122"/>
        <v>不重复</v>
      </c>
      <c r="L3768" s="34" t="str">
        <f t="shared" si="123"/>
        <v>重复</v>
      </c>
    </row>
    <row r="3769" spans="1:12" ht="27">
      <c r="A3769" s="35" t="s">
        <v>14195</v>
      </c>
      <c r="B3769" s="35" t="s">
        <v>10019</v>
      </c>
      <c r="C3769" s="36" t="s">
        <v>10020</v>
      </c>
      <c r="D3769" s="35" t="s">
        <v>10021</v>
      </c>
      <c r="E3769" s="35" t="s">
        <v>14179</v>
      </c>
      <c r="F3769" s="35" t="s">
        <v>14176</v>
      </c>
      <c r="G3769" s="35">
        <v>380316</v>
      </c>
      <c r="H3769" s="35">
        <v>420020</v>
      </c>
      <c r="I3769" s="35">
        <v>400000</v>
      </c>
      <c r="J3769" s="34" t="s">
        <v>668</v>
      </c>
      <c r="K3769" s="34" t="str">
        <f t="shared" si="122"/>
        <v>不重复</v>
      </c>
      <c r="L3769" s="34" t="str">
        <f t="shared" si="123"/>
        <v>不重复</v>
      </c>
    </row>
    <row r="3770" spans="1:12" ht="27">
      <c r="A3770" s="35" t="s">
        <v>14196</v>
      </c>
      <c r="B3770" s="35" t="s">
        <v>10022</v>
      </c>
      <c r="C3770" s="36" t="s">
        <v>5459</v>
      </c>
      <c r="D3770" s="35" t="s">
        <v>10023</v>
      </c>
      <c r="E3770" s="35" t="s">
        <v>14179</v>
      </c>
      <c r="F3770" s="35" t="s">
        <v>14176</v>
      </c>
      <c r="G3770" s="35">
        <v>380317</v>
      </c>
      <c r="H3770" s="35">
        <v>420020</v>
      </c>
      <c r="I3770" s="35">
        <v>400000</v>
      </c>
      <c r="J3770" s="34" t="s">
        <v>668</v>
      </c>
      <c r="K3770" s="34" t="str">
        <f t="shared" si="122"/>
        <v>重复</v>
      </c>
      <c r="L3770" s="34" t="str">
        <f t="shared" si="123"/>
        <v>不重复</v>
      </c>
    </row>
    <row r="3771" spans="1:12" ht="27">
      <c r="A3771" s="35" t="s">
        <v>14197</v>
      </c>
      <c r="B3771" s="35" t="s">
        <v>10024</v>
      </c>
      <c r="C3771" s="36" t="s">
        <v>10025</v>
      </c>
      <c r="D3771" s="35" t="s">
        <v>10026</v>
      </c>
      <c r="E3771" s="35" t="s">
        <v>14179</v>
      </c>
      <c r="F3771" s="35" t="s">
        <v>14176</v>
      </c>
      <c r="G3771" s="35">
        <v>380318</v>
      </c>
      <c r="H3771" s="35">
        <v>420020</v>
      </c>
      <c r="I3771" s="35">
        <v>400000</v>
      </c>
      <c r="J3771" s="34" t="s">
        <v>10027</v>
      </c>
      <c r="K3771" s="34" t="str">
        <f t="shared" si="122"/>
        <v>不重复</v>
      </c>
      <c r="L3771" s="34" t="str">
        <f t="shared" si="123"/>
        <v>不重复</v>
      </c>
    </row>
    <row r="3772" spans="1:12" ht="30">
      <c r="A3772" s="35" t="s">
        <v>14198</v>
      </c>
      <c r="B3772" s="35" t="s">
        <v>10028</v>
      </c>
      <c r="C3772" s="36" t="s">
        <v>1083</v>
      </c>
      <c r="D3772" s="35" t="s">
        <v>10029</v>
      </c>
      <c r="E3772" s="35" t="s">
        <v>14179</v>
      </c>
      <c r="F3772" s="35" t="s">
        <v>14176</v>
      </c>
      <c r="G3772" s="35">
        <v>380319</v>
      </c>
      <c r="H3772" s="35">
        <v>420020</v>
      </c>
      <c r="I3772" s="35">
        <v>400000</v>
      </c>
      <c r="J3772" s="34" t="s">
        <v>137</v>
      </c>
      <c r="K3772" s="34" t="str">
        <f t="shared" si="122"/>
        <v>重复</v>
      </c>
      <c r="L3772" s="34" t="str">
        <f t="shared" si="123"/>
        <v>不重复</v>
      </c>
    </row>
    <row r="3773" spans="1:12" ht="30">
      <c r="A3773" s="35" t="s">
        <v>14199</v>
      </c>
      <c r="B3773" s="35" t="s">
        <v>10030</v>
      </c>
      <c r="C3773" s="36" t="s">
        <v>8595</v>
      </c>
      <c r="D3773" s="35" t="s">
        <v>10031</v>
      </c>
      <c r="E3773" s="35" t="s">
        <v>14179</v>
      </c>
      <c r="F3773" s="35" t="s">
        <v>14176</v>
      </c>
      <c r="G3773" s="35">
        <v>380320</v>
      </c>
      <c r="H3773" s="35">
        <v>420020</v>
      </c>
      <c r="I3773" s="35">
        <v>400000</v>
      </c>
      <c r="J3773" s="34" t="s">
        <v>10032</v>
      </c>
      <c r="K3773" s="34" t="str">
        <f t="shared" si="122"/>
        <v>重复</v>
      </c>
      <c r="L3773" s="34" t="str">
        <f t="shared" si="123"/>
        <v>不重复</v>
      </c>
    </row>
    <row r="3774" spans="1:12" ht="15">
      <c r="A3774" s="35" t="s">
        <v>14200</v>
      </c>
      <c r="B3774" s="35" t="s">
        <v>10033</v>
      </c>
      <c r="C3774" s="36" t="s">
        <v>10034</v>
      </c>
      <c r="D3774" s="35" t="s">
        <v>10035</v>
      </c>
      <c r="E3774" s="35" t="s">
        <v>14200</v>
      </c>
      <c r="F3774" s="35" t="s">
        <v>14176</v>
      </c>
      <c r="G3774" s="35">
        <v>380400</v>
      </c>
      <c r="H3774" s="35">
        <v>420030</v>
      </c>
      <c r="I3774" s="35">
        <v>400000</v>
      </c>
      <c r="J3774" s="34" t="s">
        <v>16</v>
      </c>
      <c r="K3774" s="34" t="str">
        <f t="shared" si="122"/>
        <v>不重复</v>
      </c>
      <c r="L3774" s="34" t="str">
        <f t="shared" si="123"/>
        <v>不重复</v>
      </c>
    </row>
    <row r="3775" spans="1:12" ht="15">
      <c r="A3775" s="35" t="s">
        <v>14201</v>
      </c>
      <c r="B3775" s="35" t="s">
        <v>10036</v>
      </c>
      <c r="C3775" s="36" t="s">
        <v>10037</v>
      </c>
      <c r="D3775" s="35" t="s">
        <v>10038</v>
      </c>
      <c r="E3775" s="35" t="s">
        <v>14200</v>
      </c>
      <c r="F3775" s="35" t="s">
        <v>14176</v>
      </c>
      <c r="G3775" s="35">
        <v>380401</v>
      </c>
      <c r="H3775" s="35">
        <v>420030</v>
      </c>
      <c r="I3775" s="35">
        <v>400000</v>
      </c>
      <c r="J3775" s="34" t="s">
        <v>10039</v>
      </c>
      <c r="K3775" s="34" t="str">
        <f t="shared" si="122"/>
        <v>不重复</v>
      </c>
      <c r="L3775" s="34" t="str">
        <f t="shared" si="123"/>
        <v>不重复</v>
      </c>
    </row>
    <row r="3776" spans="1:12" ht="15">
      <c r="A3776" s="35" t="s">
        <v>14202</v>
      </c>
      <c r="B3776" s="35" t="s">
        <v>10040</v>
      </c>
      <c r="C3776" s="36" t="s">
        <v>10041</v>
      </c>
      <c r="D3776" s="35" t="s">
        <v>10042</v>
      </c>
      <c r="E3776" s="35" t="s">
        <v>14200</v>
      </c>
      <c r="F3776" s="35" t="s">
        <v>14176</v>
      </c>
      <c r="G3776" s="35">
        <v>380402</v>
      </c>
      <c r="H3776" s="35">
        <v>420030</v>
      </c>
      <c r="I3776" s="35">
        <v>400000</v>
      </c>
      <c r="J3776" s="34" t="s">
        <v>1150</v>
      </c>
      <c r="K3776" s="34" t="str">
        <f t="shared" si="122"/>
        <v>不重复</v>
      </c>
      <c r="L3776" s="34" t="str">
        <f t="shared" si="123"/>
        <v>不重复</v>
      </c>
    </row>
    <row r="3777" spans="1:12" ht="27">
      <c r="A3777" s="35" t="s">
        <v>14203</v>
      </c>
      <c r="B3777" s="35" t="s">
        <v>10043</v>
      </c>
      <c r="C3777" s="36" t="s">
        <v>10044</v>
      </c>
      <c r="D3777" s="35" t="s">
        <v>10045</v>
      </c>
      <c r="E3777" s="35" t="s">
        <v>14200</v>
      </c>
      <c r="F3777" s="35" t="s">
        <v>14176</v>
      </c>
      <c r="G3777" s="35">
        <v>380403</v>
      </c>
      <c r="H3777" s="35">
        <v>420030</v>
      </c>
      <c r="I3777" s="35">
        <v>400000</v>
      </c>
      <c r="J3777" s="34" t="s">
        <v>10032</v>
      </c>
      <c r="K3777" s="34" t="str">
        <f t="shared" si="124" ref="K3777:K3840">IF(COUNTIF(C:C,C3777)&gt;=2,"重复","不重复")</f>
        <v>不重复</v>
      </c>
      <c r="L3777" s="34" t="str">
        <f t="shared" si="123"/>
        <v>不重复</v>
      </c>
    </row>
    <row r="3778" spans="1:12" ht="27">
      <c r="A3778" s="35" t="s">
        <v>14204</v>
      </c>
      <c r="B3778" s="35" t="s">
        <v>10046</v>
      </c>
      <c r="C3778" s="36" t="s">
        <v>47</v>
      </c>
      <c r="D3778" s="35" t="s">
        <v>10047</v>
      </c>
      <c r="E3778" s="35" t="s">
        <v>14200</v>
      </c>
      <c r="F3778" s="35" t="s">
        <v>14176</v>
      </c>
      <c r="G3778" s="35">
        <v>380404</v>
      </c>
      <c r="H3778" s="35">
        <v>420030</v>
      </c>
      <c r="I3778" s="35">
        <v>400000</v>
      </c>
      <c r="J3778" s="34" t="s">
        <v>10032</v>
      </c>
      <c r="K3778" s="34" t="str">
        <f t="shared" si="124"/>
        <v>重复</v>
      </c>
      <c r="L3778" s="34" t="str">
        <f t="shared" si="123"/>
        <v>不重复</v>
      </c>
    </row>
    <row r="3779" spans="1:12" ht="30">
      <c r="A3779" s="35" t="s">
        <v>14205</v>
      </c>
      <c r="B3779" s="35" t="s">
        <v>10048</v>
      </c>
      <c r="C3779" s="36" t="s">
        <v>10049</v>
      </c>
      <c r="D3779" s="35" t="s">
        <v>10050</v>
      </c>
      <c r="E3779" s="35" t="s">
        <v>14200</v>
      </c>
      <c r="F3779" s="35" t="s">
        <v>14176</v>
      </c>
      <c r="G3779" s="35">
        <v>380405</v>
      </c>
      <c r="H3779" s="35">
        <v>420030</v>
      </c>
      <c r="I3779" s="35">
        <v>400000</v>
      </c>
      <c r="J3779" s="34" t="s">
        <v>311</v>
      </c>
      <c r="K3779" s="34" t="str">
        <f t="shared" si="124"/>
        <v>不重复</v>
      </c>
      <c r="L3779" s="34" t="str">
        <f t="shared" si="123"/>
        <v>不重复</v>
      </c>
    </row>
    <row r="3780" spans="1:12" ht="27">
      <c r="A3780" s="35" t="s">
        <v>14206</v>
      </c>
      <c r="B3780" s="35" t="s">
        <v>10051</v>
      </c>
      <c r="C3780" s="36" t="s">
        <v>4399</v>
      </c>
      <c r="D3780" s="35" t="s">
        <v>10052</v>
      </c>
      <c r="E3780" s="35" t="s">
        <v>14200</v>
      </c>
      <c r="F3780" s="35" t="s">
        <v>14176</v>
      </c>
      <c r="G3780" s="35">
        <v>380406</v>
      </c>
      <c r="H3780" s="35">
        <v>420030</v>
      </c>
      <c r="I3780" s="35">
        <v>400000</v>
      </c>
      <c r="J3780" s="34" t="s">
        <v>302</v>
      </c>
      <c r="K3780" s="34" t="str">
        <f t="shared" si="124"/>
        <v>重复</v>
      </c>
      <c r="L3780" s="34" t="str">
        <f t="shared" si="123"/>
        <v>不重复</v>
      </c>
    </row>
    <row r="3781" spans="1:12" ht="30">
      <c r="A3781" s="35" t="s">
        <v>14207</v>
      </c>
      <c r="B3781" s="35" t="s">
        <v>10053</v>
      </c>
      <c r="C3781" s="36" t="s">
        <v>10054</v>
      </c>
      <c r="D3781" s="35" t="s">
        <v>7380</v>
      </c>
      <c r="E3781" s="35" t="s">
        <v>14200</v>
      </c>
      <c r="F3781" s="35" t="s">
        <v>14176</v>
      </c>
      <c r="G3781" s="35">
        <v>380407</v>
      </c>
      <c r="H3781" s="35">
        <v>420030</v>
      </c>
      <c r="I3781" s="35">
        <v>400000</v>
      </c>
      <c r="J3781" s="34" t="s">
        <v>347</v>
      </c>
      <c r="K3781" s="34" t="str">
        <f t="shared" si="124"/>
        <v>不重复</v>
      </c>
      <c r="L3781" s="34" t="str">
        <f t="shared" si="123"/>
        <v>重复</v>
      </c>
    </row>
    <row r="3782" spans="1:12" ht="27">
      <c r="A3782" s="35" t="s">
        <v>14208</v>
      </c>
      <c r="B3782" s="35" t="s">
        <v>10055</v>
      </c>
      <c r="C3782" s="36" t="s">
        <v>10056</v>
      </c>
      <c r="D3782" s="35" t="s">
        <v>10057</v>
      </c>
      <c r="E3782" s="35" t="s">
        <v>14200</v>
      </c>
      <c r="F3782" s="35" t="s">
        <v>14176</v>
      </c>
      <c r="G3782" s="35">
        <v>380408</v>
      </c>
      <c r="H3782" s="35">
        <v>420030</v>
      </c>
      <c r="I3782" s="35">
        <v>400000</v>
      </c>
      <c r="J3782" s="34" t="s">
        <v>681</v>
      </c>
      <c r="K3782" s="34" t="str">
        <f t="shared" si="124"/>
        <v>不重复</v>
      </c>
      <c r="L3782" s="34" t="str">
        <f t="shared" si="123"/>
        <v>不重复</v>
      </c>
    </row>
    <row r="3783" spans="1:12" ht="27">
      <c r="A3783" s="35" t="s">
        <v>14209</v>
      </c>
      <c r="B3783" s="35" t="s">
        <v>10058</v>
      </c>
      <c r="C3783" s="36" t="s">
        <v>2930</v>
      </c>
      <c r="D3783" s="35" t="s">
        <v>10059</v>
      </c>
      <c r="E3783" s="35" t="s">
        <v>14200</v>
      </c>
      <c r="F3783" s="35" t="s">
        <v>14176</v>
      </c>
      <c r="G3783" s="35">
        <v>380409</v>
      </c>
      <c r="H3783" s="35">
        <v>420030</v>
      </c>
      <c r="I3783" s="35">
        <v>400000</v>
      </c>
      <c r="J3783" s="34" t="s">
        <v>1150</v>
      </c>
      <c r="K3783" s="34" t="str">
        <f t="shared" si="124"/>
        <v>重复</v>
      </c>
      <c r="L3783" s="34" t="str">
        <f t="shared" si="123"/>
        <v>不重复</v>
      </c>
    </row>
    <row r="3784" spans="1:12" ht="27">
      <c r="A3784" s="35" t="s">
        <v>14210</v>
      </c>
      <c r="B3784" s="35" t="s">
        <v>10060</v>
      </c>
      <c r="C3784" s="36" t="s">
        <v>10061</v>
      </c>
      <c r="D3784" s="35" t="s">
        <v>10062</v>
      </c>
      <c r="E3784" s="35" t="s">
        <v>14200</v>
      </c>
      <c r="F3784" s="35" t="s">
        <v>14176</v>
      </c>
      <c r="G3784" s="35">
        <v>380410</v>
      </c>
      <c r="H3784" s="35">
        <v>420030</v>
      </c>
      <c r="I3784" s="35">
        <v>400000</v>
      </c>
      <c r="J3784" s="34" t="s">
        <v>311</v>
      </c>
      <c r="K3784" s="34" t="str">
        <f t="shared" si="124"/>
        <v>不重复</v>
      </c>
      <c r="L3784" s="34" t="str">
        <f t="shared" si="123"/>
        <v>不重复</v>
      </c>
    </row>
    <row r="3785" spans="1:12" ht="27">
      <c r="A3785" s="35" t="s">
        <v>14211</v>
      </c>
      <c r="B3785" s="35" t="s">
        <v>10063</v>
      </c>
      <c r="C3785" s="36" t="s">
        <v>10064</v>
      </c>
      <c r="D3785" s="35" t="s">
        <v>10065</v>
      </c>
      <c r="E3785" s="35" t="s">
        <v>14200</v>
      </c>
      <c r="F3785" s="35" t="s">
        <v>14176</v>
      </c>
      <c r="G3785" s="35">
        <v>380411</v>
      </c>
      <c r="H3785" s="35">
        <v>420030</v>
      </c>
      <c r="I3785" s="35">
        <v>400000</v>
      </c>
      <c r="J3785" s="34" t="s">
        <v>311</v>
      </c>
      <c r="K3785" s="34" t="str">
        <f t="shared" si="124"/>
        <v>不重复</v>
      </c>
      <c r="L3785" s="34" t="str">
        <f t="shared" si="123"/>
        <v>不重复</v>
      </c>
    </row>
    <row r="3786" spans="1:12" ht="27">
      <c r="A3786" s="35" t="s">
        <v>14212</v>
      </c>
      <c r="B3786" s="35" t="s">
        <v>10066</v>
      </c>
      <c r="C3786" s="36" t="s">
        <v>10067</v>
      </c>
      <c r="D3786" s="35" t="s">
        <v>10068</v>
      </c>
      <c r="E3786" s="35" t="s">
        <v>14200</v>
      </c>
      <c r="F3786" s="35" t="s">
        <v>14176</v>
      </c>
      <c r="G3786" s="35">
        <v>380412</v>
      </c>
      <c r="H3786" s="35">
        <v>420030</v>
      </c>
      <c r="I3786" s="35">
        <v>400000</v>
      </c>
      <c r="J3786" s="34" t="s">
        <v>10069</v>
      </c>
      <c r="K3786" s="34" t="str">
        <f t="shared" si="124"/>
        <v>不重复</v>
      </c>
      <c r="L3786" s="34" t="str">
        <f t="shared" si="123"/>
        <v>不重复</v>
      </c>
    </row>
    <row r="3787" spans="1:12" ht="30">
      <c r="A3787" s="35" t="s">
        <v>14213</v>
      </c>
      <c r="B3787" s="35" t="s">
        <v>10070</v>
      </c>
      <c r="C3787" s="36" t="s">
        <v>6186</v>
      </c>
      <c r="D3787" s="35" t="s">
        <v>10071</v>
      </c>
      <c r="E3787" s="35" t="s">
        <v>14200</v>
      </c>
      <c r="F3787" s="35" t="s">
        <v>14176</v>
      </c>
      <c r="G3787" s="35">
        <v>380413</v>
      </c>
      <c r="H3787" s="35">
        <v>420030</v>
      </c>
      <c r="I3787" s="35">
        <v>400000</v>
      </c>
      <c r="J3787" s="34" t="s">
        <v>668</v>
      </c>
      <c r="K3787" s="34" t="str">
        <f t="shared" si="124"/>
        <v>重复</v>
      </c>
      <c r="L3787" s="34" t="str">
        <f t="shared" si="123"/>
        <v>不重复</v>
      </c>
    </row>
    <row r="3788" spans="1:12" ht="30">
      <c r="A3788" s="35" t="s">
        <v>14214</v>
      </c>
      <c r="B3788" s="35" t="s">
        <v>10072</v>
      </c>
      <c r="C3788" s="36" t="s">
        <v>742</v>
      </c>
      <c r="D3788" s="35" t="s">
        <v>10073</v>
      </c>
      <c r="E3788" s="35" t="s">
        <v>14200</v>
      </c>
      <c r="F3788" s="35" t="s">
        <v>14176</v>
      </c>
      <c r="G3788" s="35">
        <v>380414</v>
      </c>
      <c r="H3788" s="35">
        <v>420030</v>
      </c>
      <c r="I3788" s="35">
        <v>400000</v>
      </c>
      <c r="J3788" s="34" t="s">
        <v>4993</v>
      </c>
      <c r="K3788" s="34" t="str">
        <f t="shared" si="124"/>
        <v>重复</v>
      </c>
      <c r="L3788" s="34" t="str">
        <f t="shared" si="125" ref="L3788:L3851">IF(COUNTIF(D:D,D3788)&gt;=2,"重复","不重复")</f>
        <v>不重复</v>
      </c>
    </row>
    <row r="3789" spans="1:12" ht="30">
      <c r="A3789" s="35" t="s">
        <v>14215</v>
      </c>
      <c r="B3789" s="35" t="s">
        <v>10074</v>
      </c>
      <c r="C3789" s="36" t="s">
        <v>10075</v>
      </c>
      <c r="D3789" s="35" t="s">
        <v>10076</v>
      </c>
      <c r="E3789" s="35" t="s">
        <v>14200</v>
      </c>
      <c r="F3789" s="35" t="s">
        <v>14176</v>
      </c>
      <c r="G3789" s="35">
        <v>380415</v>
      </c>
      <c r="H3789" s="35">
        <v>420030</v>
      </c>
      <c r="I3789" s="35">
        <v>400000</v>
      </c>
      <c r="J3789" s="34" t="s">
        <v>715</v>
      </c>
      <c r="K3789" s="34" t="str">
        <f t="shared" si="124"/>
        <v>不重复</v>
      </c>
      <c r="L3789" s="34" t="str">
        <f t="shared" si="125"/>
        <v>不重复</v>
      </c>
    </row>
    <row r="3790" spans="1:12" ht="27">
      <c r="A3790" s="35" t="s">
        <v>14216</v>
      </c>
      <c r="B3790" s="35" t="s">
        <v>10077</v>
      </c>
      <c r="C3790" s="36" t="s">
        <v>8129</v>
      </c>
      <c r="D3790" s="35" t="s">
        <v>10078</v>
      </c>
      <c r="E3790" s="35" t="s">
        <v>14200</v>
      </c>
      <c r="F3790" s="35" t="s">
        <v>14176</v>
      </c>
      <c r="G3790" s="35">
        <v>380416</v>
      </c>
      <c r="H3790" s="35">
        <v>420030</v>
      </c>
      <c r="I3790" s="35">
        <v>400000</v>
      </c>
      <c r="J3790" s="34" t="s">
        <v>10032</v>
      </c>
      <c r="K3790" s="34" t="str">
        <f t="shared" si="124"/>
        <v>重复</v>
      </c>
      <c r="L3790" s="34" t="str">
        <f t="shared" si="125"/>
        <v>不重复</v>
      </c>
    </row>
    <row r="3791" spans="1:12" ht="15">
      <c r="A3791" s="35" t="s">
        <v>14217</v>
      </c>
      <c r="B3791" s="35" t="s">
        <v>10079</v>
      </c>
      <c r="C3791" s="36" t="s">
        <v>10080</v>
      </c>
      <c r="D3791" s="35" t="s">
        <v>10081</v>
      </c>
      <c r="E3791" s="35" t="s">
        <v>14200</v>
      </c>
      <c r="F3791" s="35" t="s">
        <v>14176</v>
      </c>
      <c r="G3791" s="35">
        <v>380417</v>
      </c>
      <c r="H3791" s="35">
        <v>420030</v>
      </c>
      <c r="I3791" s="35">
        <v>400000</v>
      </c>
      <c r="J3791" s="34" t="s">
        <v>363</v>
      </c>
      <c r="K3791" s="34" t="str">
        <f t="shared" si="124"/>
        <v>重复</v>
      </c>
      <c r="L3791" s="34" t="str">
        <f t="shared" si="125"/>
        <v>不重复</v>
      </c>
    </row>
    <row r="3792" spans="1:12" ht="30">
      <c r="A3792" s="35" t="s">
        <v>14218</v>
      </c>
      <c r="B3792" s="35" t="s">
        <v>10082</v>
      </c>
      <c r="C3792" s="36" t="s">
        <v>378</v>
      </c>
      <c r="D3792" s="35" t="s">
        <v>10083</v>
      </c>
      <c r="E3792" s="35" t="s">
        <v>14200</v>
      </c>
      <c r="F3792" s="35" t="s">
        <v>14176</v>
      </c>
      <c r="G3792" s="35">
        <v>380418</v>
      </c>
      <c r="H3792" s="35">
        <v>420030</v>
      </c>
      <c r="I3792" s="35">
        <v>400000</v>
      </c>
      <c r="J3792" s="34" t="s">
        <v>363</v>
      </c>
      <c r="K3792" s="34" t="str">
        <f t="shared" si="124"/>
        <v>重复</v>
      </c>
      <c r="L3792" s="34" t="str">
        <f t="shared" si="125"/>
        <v>不重复</v>
      </c>
    </row>
    <row r="3793" spans="1:12" ht="27">
      <c r="A3793" s="35" t="s">
        <v>14219</v>
      </c>
      <c r="B3793" s="35" t="s">
        <v>10084</v>
      </c>
      <c r="C3793" s="36" t="s">
        <v>10085</v>
      </c>
      <c r="D3793" s="35" t="s">
        <v>9456</v>
      </c>
      <c r="E3793" s="35" t="s">
        <v>14200</v>
      </c>
      <c r="F3793" s="35" t="s">
        <v>14176</v>
      </c>
      <c r="G3793" s="35">
        <v>380419</v>
      </c>
      <c r="H3793" s="35">
        <v>420030</v>
      </c>
      <c r="I3793" s="35">
        <v>400000</v>
      </c>
      <c r="J3793" s="34" t="s">
        <v>10032</v>
      </c>
      <c r="K3793" s="34" t="str">
        <f t="shared" si="124"/>
        <v>不重复</v>
      </c>
      <c r="L3793" s="34" t="str">
        <f t="shared" si="125"/>
        <v>重复</v>
      </c>
    </row>
    <row r="3794" spans="1:12" ht="27">
      <c r="A3794" s="35" t="s">
        <v>14220</v>
      </c>
      <c r="B3794" s="35" t="s">
        <v>10086</v>
      </c>
      <c r="C3794" s="36" t="s">
        <v>10087</v>
      </c>
      <c r="D3794" s="35" t="s">
        <v>10088</v>
      </c>
      <c r="E3794" s="35" t="s">
        <v>14200</v>
      </c>
      <c r="F3794" s="35" t="s">
        <v>14176</v>
      </c>
      <c r="G3794" s="35">
        <v>380420</v>
      </c>
      <c r="H3794" s="35">
        <v>420030</v>
      </c>
      <c r="I3794" s="35">
        <v>400000</v>
      </c>
      <c r="J3794" s="34" t="s">
        <v>89</v>
      </c>
      <c r="K3794" s="34" t="str">
        <f t="shared" si="124"/>
        <v>不重复</v>
      </c>
      <c r="L3794" s="34" t="str">
        <f t="shared" si="125"/>
        <v>不重复</v>
      </c>
    </row>
    <row r="3795" spans="1:12" ht="30">
      <c r="A3795" s="35" t="s">
        <v>14221</v>
      </c>
      <c r="B3795" s="35" t="s">
        <v>10089</v>
      </c>
      <c r="C3795" s="36" t="s">
        <v>10080</v>
      </c>
      <c r="D3795" s="35" t="s">
        <v>10090</v>
      </c>
      <c r="E3795" s="35" t="s">
        <v>14200</v>
      </c>
      <c r="F3795" s="35" t="s">
        <v>14176</v>
      </c>
      <c r="G3795" s="35">
        <v>380421</v>
      </c>
      <c r="H3795" s="35">
        <v>420030</v>
      </c>
      <c r="I3795" s="35">
        <v>400000</v>
      </c>
      <c r="J3795" s="34" t="s">
        <v>10091</v>
      </c>
      <c r="K3795" s="34" t="str">
        <f t="shared" si="124"/>
        <v>重复</v>
      </c>
      <c r="L3795" s="34" t="str">
        <f t="shared" si="125"/>
        <v>不重复</v>
      </c>
    </row>
    <row r="3796" spans="1:12" ht="15">
      <c r="A3796" s="35" t="s">
        <v>14222</v>
      </c>
      <c r="B3796" s="35" t="s">
        <v>10092</v>
      </c>
      <c r="C3796" s="36" t="s">
        <v>10093</v>
      </c>
      <c r="D3796" s="35" t="s">
        <v>10094</v>
      </c>
      <c r="E3796" s="35" t="s">
        <v>14200</v>
      </c>
      <c r="F3796" s="35" t="s">
        <v>14176</v>
      </c>
      <c r="G3796" s="35">
        <v>380422</v>
      </c>
      <c r="H3796" s="35">
        <v>420030</v>
      </c>
      <c r="I3796" s="35">
        <v>400000</v>
      </c>
      <c r="J3796" s="34" t="s">
        <v>231</v>
      </c>
      <c r="K3796" s="34" t="str">
        <f t="shared" si="124"/>
        <v>不重复</v>
      </c>
      <c r="L3796" s="34" t="str">
        <f t="shared" si="125"/>
        <v>不重复</v>
      </c>
    </row>
    <row r="3797" spans="1:12" ht="27">
      <c r="A3797" s="35" t="s">
        <v>14223</v>
      </c>
      <c r="B3797" s="35" t="s">
        <v>10095</v>
      </c>
      <c r="C3797" s="36" t="s">
        <v>4846</v>
      </c>
      <c r="D3797" s="35" t="s">
        <v>10096</v>
      </c>
      <c r="E3797" s="35" t="s">
        <v>14200</v>
      </c>
      <c r="F3797" s="35" t="s">
        <v>14176</v>
      </c>
      <c r="G3797" s="35">
        <v>380423</v>
      </c>
      <c r="H3797" s="35">
        <v>420030</v>
      </c>
      <c r="I3797" s="35">
        <v>400000</v>
      </c>
      <c r="J3797" s="34" t="s">
        <v>715</v>
      </c>
      <c r="K3797" s="34" t="str">
        <f t="shared" si="124"/>
        <v>重复</v>
      </c>
      <c r="L3797" s="34" t="str">
        <f t="shared" si="125"/>
        <v>不重复</v>
      </c>
    </row>
    <row r="3798" spans="1:12" ht="27">
      <c r="A3798" s="35" t="s">
        <v>14224</v>
      </c>
      <c r="B3798" s="35" t="s">
        <v>10097</v>
      </c>
      <c r="C3798" s="36" t="s">
        <v>150</v>
      </c>
      <c r="D3798" s="35" t="s">
        <v>10098</v>
      </c>
      <c r="E3798" s="35" t="s">
        <v>14200</v>
      </c>
      <c r="F3798" s="35" t="s">
        <v>14176</v>
      </c>
      <c r="G3798" s="35">
        <v>380424</v>
      </c>
      <c r="H3798" s="35">
        <v>420030</v>
      </c>
      <c r="I3798" s="35">
        <v>400000</v>
      </c>
      <c r="J3798" s="34" t="s">
        <v>4963</v>
      </c>
      <c r="K3798" s="34" t="str">
        <f t="shared" si="124"/>
        <v>重复</v>
      </c>
      <c r="L3798" s="34" t="str">
        <f t="shared" si="125"/>
        <v>不重复</v>
      </c>
    </row>
    <row r="3799" spans="1:12" ht="15">
      <c r="A3799" s="35" t="s">
        <v>14225</v>
      </c>
      <c r="B3799" s="35" t="s">
        <v>10099</v>
      </c>
      <c r="C3799" s="36" t="s">
        <v>10100</v>
      </c>
      <c r="D3799" s="35" t="s">
        <v>10101</v>
      </c>
      <c r="E3799" s="35" t="s">
        <v>14225</v>
      </c>
      <c r="F3799" s="35" t="s">
        <v>14176</v>
      </c>
      <c r="G3799" s="35">
        <v>380500</v>
      </c>
      <c r="H3799" s="35">
        <v>420040</v>
      </c>
      <c r="I3799" s="35">
        <v>400000</v>
      </c>
      <c r="J3799" s="34" t="s">
        <v>16</v>
      </c>
      <c r="K3799" s="34" t="str">
        <f t="shared" si="124"/>
        <v>不重复</v>
      </c>
      <c r="L3799" s="34" t="str">
        <f t="shared" si="125"/>
        <v>不重复</v>
      </c>
    </row>
    <row r="3800" spans="1:12" ht="15">
      <c r="A3800" s="35" t="s">
        <v>14226</v>
      </c>
      <c r="B3800" s="35" t="s">
        <v>10102</v>
      </c>
      <c r="C3800" s="36" t="s">
        <v>6263</v>
      </c>
      <c r="D3800" s="35" t="s">
        <v>10103</v>
      </c>
      <c r="E3800" s="35" t="s">
        <v>14225</v>
      </c>
      <c r="F3800" s="35" t="s">
        <v>14176</v>
      </c>
      <c r="G3800" s="35">
        <v>380501</v>
      </c>
      <c r="H3800" s="35">
        <v>420040</v>
      </c>
      <c r="I3800" s="35">
        <v>400000</v>
      </c>
      <c r="J3800" s="34" t="s">
        <v>89</v>
      </c>
      <c r="K3800" s="34" t="str">
        <f t="shared" si="124"/>
        <v>重复</v>
      </c>
      <c r="L3800" s="34" t="str">
        <f t="shared" si="125"/>
        <v>不重复</v>
      </c>
    </row>
    <row r="3801" spans="1:12" ht="27">
      <c r="A3801" s="35" t="s">
        <v>14227</v>
      </c>
      <c r="B3801" s="35" t="s">
        <v>10104</v>
      </c>
      <c r="C3801" s="36" t="s">
        <v>10105</v>
      </c>
      <c r="D3801" s="35" t="s">
        <v>10106</v>
      </c>
      <c r="E3801" s="35" t="s">
        <v>14225</v>
      </c>
      <c r="F3801" s="35" t="s">
        <v>14176</v>
      </c>
      <c r="G3801" s="35">
        <v>380502</v>
      </c>
      <c r="H3801" s="35">
        <v>420040</v>
      </c>
      <c r="I3801" s="35">
        <v>400000</v>
      </c>
      <c r="J3801" s="34" t="s">
        <v>668</v>
      </c>
      <c r="K3801" s="34" t="str">
        <f t="shared" si="124"/>
        <v>不重复</v>
      </c>
      <c r="L3801" s="34" t="str">
        <f t="shared" si="125"/>
        <v>不重复</v>
      </c>
    </row>
    <row r="3802" spans="1:12" ht="27">
      <c r="A3802" s="35" t="s">
        <v>14228</v>
      </c>
      <c r="B3802" s="35" t="s">
        <v>10107</v>
      </c>
      <c r="C3802" s="36" t="s">
        <v>10108</v>
      </c>
      <c r="D3802" s="35" t="s">
        <v>10109</v>
      </c>
      <c r="E3802" s="35" t="s">
        <v>14225</v>
      </c>
      <c r="F3802" s="35" t="s">
        <v>14176</v>
      </c>
      <c r="G3802" s="35">
        <v>380503</v>
      </c>
      <c r="H3802" s="35">
        <v>420040</v>
      </c>
      <c r="I3802" s="35">
        <v>400000</v>
      </c>
      <c r="J3802" s="34" t="s">
        <v>10110</v>
      </c>
      <c r="K3802" s="34" t="str">
        <f t="shared" si="124"/>
        <v>不重复</v>
      </c>
      <c r="L3802" s="34" t="str">
        <f t="shared" si="125"/>
        <v>不重复</v>
      </c>
    </row>
    <row r="3803" spans="1:12" ht="15">
      <c r="A3803" s="35" t="s">
        <v>14229</v>
      </c>
      <c r="B3803" s="35" t="s">
        <v>10111</v>
      </c>
      <c r="C3803" s="36" t="s">
        <v>10112</v>
      </c>
      <c r="D3803" s="35" t="s">
        <v>10113</v>
      </c>
      <c r="E3803" s="35" t="s">
        <v>14225</v>
      </c>
      <c r="F3803" s="35" t="s">
        <v>14176</v>
      </c>
      <c r="G3803" s="35">
        <v>380504</v>
      </c>
      <c r="H3803" s="35">
        <v>420040</v>
      </c>
      <c r="I3803" s="35">
        <v>400000</v>
      </c>
      <c r="J3803" s="34" t="s">
        <v>531</v>
      </c>
      <c r="K3803" s="34" t="str">
        <f t="shared" si="124"/>
        <v>不重复</v>
      </c>
      <c r="L3803" s="34" t="str">
        <f t="shared" si="125"/>
        <v>不重复</v>
      </c>
    </row>
    <row r="3804" spans="1:12" ht="15">
      <c r="A3804" s="35" t="s">
        <v>14230</v>
      </c>
      <c r="B3804" s="35" t="s">
        <v>10114</v>
      </c>
      <c r="C3804" s="36" t="s">
        <v>3814</v>
      </c>
      <c r="D3804" s="35" t="s">
        <v>10115</v>
      </c>
      <c r="E3804" s="35" t="s">
        <v>14225</v>
      </c>
      <c r="F3804" s="35" t="s">
        <v>14176</v>
      </c>
      <c r="G3804" s="35">
        <v>380505</v>
      </c>
      <c r="H3804" s="35">
        <v>420040</v>
      </c>
      <c r="I3804" s="35">
        <v>400000</v>
      </c>
      <c r="J3804" s="34" t="s">
        <v>4514</v>
      </c>
      <c r="K3804" s="34" t="str">
        <f t="shared" si="124"/>
        <v>重复</v>
      </c>
      <c r="L3804" s="34" t="str">
        <f t="shared" si="125"/>
        <v>不重复</v>
      </c>
    </row>
    <row r="3805" spans="1:12" ht="15">
      <c r="A3805" s="35" t="s">
        <v>14231</v>
      </c>
      <c r="B3805" s="35" t="s">
        <v>10116</v>
      </c>
      <c r="C3805" s="36" t="s">
        <v>10117</v>
      </c>
      <c r="D3805" s="35" t="s">
        <v>10118</v>
      </c>
      <c r="E3805" s="35" t="s">
        <v>14225</v>
      </c>
      <c r="F3805" s="35" t="s">
        <v>14176</v>
      </c>
      <c r="G3805" s="35">
        <v>380506</v>
      </c>
      <c r="H3805" s="35">
        <v>420040</v>
      </c>
      <c r="I3805" s="35">
        <v>400000</v>
      </c>
      <c r="J3805" s="34" t="s">
        <v>288</v>
      </c>
      <c r="K3805" s="34" t="str">
        <f t="shared" si="124"/>
        <v>不重复</v>
      </c>
      <c r="L3805" s="34" t="str">
        <f t="shared" si="125"/>
        <v>不重复</v>
      </c>
    </row>
    <row r="3806" spans="1:12" ht="15">
      <c r="A3806" s="35" t="s">
        <v>14232</v>
      </c>
      <c r="B3806" s="35" t="s">
        <v>10119</v>
      </c>
      <c r="C3806" s="36" t="s">
        <v>10120</v>
      </c>
      <c r="D3806" s="35" t="s">
        <v>10121</v>
      </c>
      <c r="E3806" s="35" t="s">
        <v>14225</v>
      </c>
      <c r="F3806" s="35" t="s">
        <v>14176</v>
      </c>
      <c r="G3806" s="35">
        <v>380507</v>
      </c>
      <c r="H3806" s="35">
        <v>420040</v>
      </c>
      <c r="I3806" s="35">
        <v>400000</v>
      </c>
      <c r="J3806" s="34" t="s">
        <v>668</v>
      </c>
      <c r="K3806" s="34" t="str">
        <f t="shared" si="124"/>
        <v>不重复</v>
      </c>
      <c r="L3806" s="34" t="str">
        <f t="shared" si="125"/>
        <v>不重复</v>
      </c>
    </row>
    <row r="3807" spans="1:12" ht="30">
      <c r="A3807" s="35" t="s">
        <v>14233</v>
      </c>
      <c r="B3807" s="35" t="s">
        <v>10122</v>
      </c>
      <c r="C3807" s="36" t="s">
        <v>3366</v>
      </c>
      <c r="D3807" s="35" t="s">
        <v>10123</v>
      </c>
      <c r="E3807" s="35" t="s">
        <v>14225</v>
      </c>
      <c r="F3807" s="35" t="s">
        <v>14176</v>
      </c>
      <c r="G3807" s="35">
        <v>380508</v>
      </c>
      <c r="H3807" s="35">
        <v>420040</v>
      </c>
      <c r="I3807" s="35">
        <v>400000</v>
      </c>
      <c r="J3807" s="34" t="s">
        <v>363</v>
      </c>
      <c r="K3807" s="34" t="str">
        <f t="shared" si="124"/>
        <v>重复</v>
      </c>
      <c r="L3807" s="34" t="str">
        <f t="shared" si="125"/>
        <v>不重复</v>
      </c>
    </row>
    <row r="3808" spans="1:12" ht="30">
      <c r="A3808" s="35" t="s">
        <v>14234</v>
      </c>
      <c r="B3808" s="35" t="s">
        <v>10124</v>
      </c>
      <c r="C3808" s="36" t="s">
        <v>10125</v>
      </c>
      <c r="D3808" s="35" t="s">
        <v>10126</v>
      </c>
      <c r="E3808" s="35" t="s">
        <v>14225</v>
      </c>
      <c r="F3808" s="35" t="s">
        <v>14176</v>
      </c>
      <c r="G3808" s="35">
        <v>380509</v>
      </c>
      <c r="H3808" s="35">
        <v>420040</v>
      </c>
      <c r="I3808" s="35">
        <v>400000</v>
      </c>
      <c r="J3808" s="34" t="s">
        <v>668</v>
      </c>
      <c r="K3808" s="34" t="str">
        <f t="shared" si="124"/>
        <v>不重复</v>
      </c>
      <c r="L3808" s="34" t="str">
        <f t="shared" si="125"/>
        <v>不重复</v>
      </c>
    </row>
    <row r="3809" spans="1:12" ht="27">
      <c r="A3809" s="35" t="s">
        <v>14235</v>
      </c>
      <c r="B3809" s="35" t="s">
        <v>10127</v>
      </c>
      <c r="C3809" s="36" t="s">
        <v>10128</v>
      </c>
      <c r="D3809" s="35" t="s">
        <v>10129</v>
      </c>
      <c r="E3809" s="35" t="s">
        <v>14225</v>
      </c>
      <c r="F3809" s="35" t="s">
        <v>14176</v>
      </c>
      <c r="G3809" s="35">
        <v>380510</v>
      </c>
      <c r="H3809" s="35">
        <v>420040</v>
      </c>
      <c r="I3809" s="35">
        <v>400000</v>
      </c>
      <c r="J3809" s="34" t="s">
        <v>89</v>
      </c>
      <c r="K3809" s="34" t="str">
        <f t="shared" si="124"/>
        <v>不重复</v>
      </c>
      <c r="L3809" s="34" t="str">
        <f t="shared" si="125"/>
        <v>不重复</v>
      </c>
    </row>
    <row r="3810" spans="1:12" ht="15">
      <c r="A3810" s="35" t="s">
        <v>14236</v>
      </c>
      <c r="B3810" s="35" t="s">
        <v>10130</v>
      </c>
      <c r="C3810" s="36" t="s">
        <v>1003</v>
      </c>
      <c r="D3810" s="35" t="s">
        <v>10131</v>
      </c>
      <c r="E3810" s="35" t="s">
        <v>14236</v>
      </c>
      <c r="F3810" s="35" t="s">
        <v>14176</v>
      </c>
      <c r="G3810" s="35">
        <v>380600</v>
      </c>
      <c r="H3810" s="35">
        <v>420050</v>
      </c>
      <c r="I3810" s="35">
        <v>400000</v>
      </c>
      <c r="J3810" s="34" t="s">
        <v>16</v>
      </c>
      <c r="K3810" s="34" t="str">
        <f t="shared" si="124"/>
        <v>重复</v>
      </c>
      <c r="L3810" s="34" t="str">
        <f t="shared" si="125"/>
        <v>不重复</v>
      </c>
    </row>
    <row r="3811" spans="1:12" ht="30">
      <c r="A3811" s="35" t="s">
        <v>14237</v>
      </c>
      <c r="B3811" s="35" t="s">
        <v>10132</v>
      </c>
      <c r="C3811" s="36" t="s">
        <v>10133</v>
      </c>
      <c r="D3811" s="35" t="s">
        <v>10134</v>
      </c>
      <c r="E3811" s="35" t="s">
        <v>14236</v>
      </c>
      <c r="F3811" s="35" t="s">
        <v>14176</v>
      </c>
      <c r="G3811" s="35">
        <v>380601</v>
      </c>
      <c r="H3811" s="35">
        <v>420050</v>
      </c>
      <c r="I3811" s="35">
        <v>400000</v>
      </c>
      <c r="J3811" s="34" t="s">
        <v>985</v>
      </c>
      <c r="K3811" s="34" t="str">
        <f t="shared" si="124"/>
        <v>不重复</v>
      </c>
      <c r="L3811" s="34" t="str">
        <f t="shared" si="125"/>
        <v>不重复</v>
      </c>
    </row>
    <row r="3812" spans="1:12" ht="30">
      <c r="A3812" s="35" t="s">
        <v>14238</v>
      </c>
      <c r="B3812" s="35" t="s">
        <v>10135</v>
      </c>
      <c r="C3812" s="36" t="s">
        <v>7083</v>
      </c>
      <c r="D3812" s="35" t="s">
        <v>10136</v>
      </c>
      <c r="E3812" s="35" t="s">
        <v>14236</v>
      </c>
      <c r="F3812" s="35" t="s">
        <v>14176</v>
      </c>
      <c r="G3812" s="35">
        <v>380602</v>
      </c>
      <c r="H3812" s="35">
        <v>420050</v>
      </c>
      <c r="I3812" s="35">
        <v>400000</v>
      </c>
      <c r="J3812" s="34" t="s">
        <v>363</v>
      </c>
      <c r="K3812" s="34" t="str">
        <f t="shared" si="124"/>
        <v>重复</v>
      </c>
      <c r="L3812" s="34" t="str">
        <f t="shared" si="125"/>
        <v>不重复</v>
      </c>
    </row>
    <row r="3813" spans="1:12" ht="30">
      <c r="A3813" s="35" t="s">
        <v>14239</v>
      </c>
      <c r="B3813" s="35" t="s">
        <v>10137</v>
      </c>
      <c r="C3813" s="36" t="s">
        <v>7078</v>
      </c>
      <c r="D3813" s="35" t="s">
        <v>10138</v>
      </c>
      <c r="E3813" s="35" t="s">
        <v>14236</v>
      </c>
      <c r="F3813" s="35" t="s">
        <v>14176</v>
      </c>
      <c r="G3813" s="35">
        <v>380603</v>
      </c>
      <c r="H3813" s="35">
        <v>420050</v>
      </c>
      <c r="I3813" s="35">
        <v>400000</v>
      </c>
      <c r="J3813" s="34" t="s">
        <v>1057</v>
      </c>
      <c r="K3813" s="34" t="str">
        <f t="shared" si="124"/>
        <v>重复</v>
      </c>
      <c r="L3813" s="34" t="str">
        <f t="shared" si="125"/>
        <v>不重复</v>
      </c>
    </row>
    <row r="3814" spans="1:12" ht="30">
      <c r="A3814" s="35" t="s">
        <v>14240</v>
      </c>
      <c r="B3814" s="35" t="s">
        <v>10139</v>
      </c>
      <c r="C3814" s="36" t="s">
        <v>1663</v>
      </c>
      <c r="D3814" s="35" t="s">
        <v>10140</v>
      </c>
      <c r="E3814" s="35" t="s">
        <v>14236</v>
      </c>
      <c r="F3814" s="35" t="s">
        <v>14176</v>
      </c>
      <c r="G3814" s="35">
        <v>380604</v>
      </c>
      <c r="H3814" s="35">
        <v>420050</v>
      </c>
      <c r="I3814" s="35">
        <v>400000</v>
      </c>
      <c r="J3814" s="34" t="s">
        <v>2219</v>
      </c>
      <c r="K3814" s="34" t="str">
        <f t="shared" si="124"/>
        <v>重复</v>
      </c>
      <c r="L3814" s="34" t="str">
        <f t="shared" si="125"/>
        <v>不重复</v>
      </c>
    </row>
    <row r="3815" spans="1:12" ht="27">
      <c r="A3815" s="35" t="s">
        <v>14241</v>
      </c>
      <c r="B3815" s="35" t="s">
        <v>10141</v>
      </c>
      <c r="C3815" s="36" t="s">
        <v>10142</v>
      </c>
      <c r="D3815" s="35" t="s">
        <v>10143</v>
      </c>
      <c r="E3815" s="35" t="s">
        <v>14236</v>
      </c>
      <c r="F3815" s="35" t="s">
        <v>14176</v>
      </c>
      <c r="G3815" s="35">
        <v>380605</v>
      </c>
      <c r="H3815" s="35">
        <v>420050</v>
      </c>
      <c r="I3815" s="35">
        <v>400000</v>
      </c>
      <c r="J3815" s="34" t="s">
        <v>89</v>
      </c>
      <c r="K3815" s="34" t="str">
        <f t="shared" si="124"/>
        <v>不重复</v>
      </c>
      <c r="L3815" s="34" t="str">
        <f t="shared" si="125"/>
        <v>不重复</v>
      </c>
    </row>
    <row r="3816" spans="1:12" ht="27">
      <c r="A3816" s="35" t="s">
        <v>14242</v>
      </c>
      <c r="B3816" s="35" t="s">
        <v>10144</v>
      </c>
      <c r="C3816" s="36" t="s">
        <v>2837</v>
      </c>
      <c r="D3816" s="35" t="s">
        <v>10145</v>
      </c>
      <c r="E3816" s="35" t="s">
        <v>14236</v>
      </c>
      <c r="F3816" s="35" t="s">
        <v>14176</v>
      </c>
      <c r="G3816" s="35">
        <v>380606</v>
      </c>
      <c r="H3816" s="35">
        <v>420050</v>
      </c>
      <c r="I3816" s="35">
        <v>400000</v>
      </c>
      <c r="J3816" s="34" t="s">
        <v>668</v>
      </c>
      <c r="K3816" s="34" t="str">
        <f t="shared" si="124"/>
        <v>重复</v>
      </c>
      <c r="L3816" s="34" t="str">
        <f t="shared" si="125"/>
        <v>不重复</v>
      </c>
    </row>
    <row r="3817" spans="1:12" ht="27">
      <c r="A3817" s="35" t="s">
        <v>14243</v>
      </c>
      <c r="B3817" s="35" t="s">
        <v>10146</v>
      </c>
      <c r="C3817" s="36" t="s">
        <v>2968</v>
      </c>
      <c r="D3817" s="35" t="s">
        <v>10147</v>
      </c>
      <c r="E3817" s="35" t="s">
        <v>14236</v>
      </c>
      <c r="F3817" s="35" t="s">
        <v>14176</v>
      </c>
      <c r="G3817" s="35">
        <v>380607</v>
      </c>
      <c r="H3817" s="35">
        <v>420050</v>
      </c>
      <c r="I3817" s="35">
        <v>400000</v>
      </c>
      <c r="J3817" s="34" t="s">
        <v>144</v>
      </c>
      <c r="K3817" s="34" t="str">
        <f t="shared" si="124"/>
        <v>重复</v>
      </c>
      <c r="L3817" s="34" t="str">
        <f t="shared" si="125"/>
        <v>不重复</v>
      </c>
    </row>
    <row r="3818" spans="1:12" ht="27">
      <c r="A3818" s="35" t="s">
        <v>14244</v>
      </c>
      <c r="B3818" s="35" t="s">
        <v>10148</v>
      </c>
      <c r="C3818" s="36" t="s">
        <v>10149</v>
      </c>
      <c r="D3818" s="35" t="s">
        <v>10150</v>
      </c>
      <c r="E3818" s="35" t="s">
        <v>14236</v>
      </c>
      <c r="F3818" s="35" t="s">
        <v>14176</v>
      </c>
      <c r="G3818" s="35">
        <v>380608</v>
      </c>
      <c r="H3818" s="35">
        <v>420050</v>
      </c>
      <c r="I3818" s="35">
        <v>400000</v>
      </c>
      <c r="J3818" s="34" t="s">
        <v>1040</v>
      </c>
      <c r="K3818" s="34" t="str">
        <f t="shared" si="124"/>
        <v>不重复</v>
      </c>
      <c r="L3818" s="34" t="str">
        <f t="shared" si="125"/>
        <v>不重复</v>
      </c>
    </row>
    <row r="3819" spans="1:12" ht="27">
      <c r="A3819" s="35" t="s">
        <v>14245</v>
      </c>
      <c r="B3819" s="35" t="s">
        <v>10151</v>
      </c>
      <c r="C3819" s="36" t="s">
        <v>6321</v>
      </c>
      <c r="D3819" s="35" t="s">
        <v>10152</v>
      </c>
      <c r="E3819" s="35" t="s">
        <v>14236</v>
      </c>
      <c r="F3819" s="35" t="s">
        <v>14176</v>
      </c>
      <c r="G3819" s="35">
        <v>380609</v>
      </c>
      <c r="H3819" s="35">
        <v>420050</v>
      </c>
      <c r="I3819" s="35">
        <v>400000</v>
      </c>
      <c r="J3819" s="34" t="s">
        <v>668</v>
      </c>
      <c r="K3819" s="34" t="str">
        <f t="shared" si="124"/>
        <v>重复</v>
      </c>
      <c r="L3819" s="34" t="str">
        <f t="shared" si="125"/>
        <v>不重复</v>
      </c>
    </row>
    <row r="3820" spans="1:12" ht="27">
      <c r="A3820" s="35" t="s">
        <v>14246</v>
      </c>
      <c r="B3820" s="35" t="s">
        <v>10153</v>
      </c>
      <c r="C3820" s="36" t="s">
        <v>10154</v>
      </c>
      <c r="D3820" s="35" t="s">
        <v>10155</v>
      </c>
      <c r="E3820" s="35" t="s">
        <v>14236</v>
      </c>
      <c r="F3820" s="35" t="s">
        <v>14176</v>
      </c>
      <c r="G3820" s="35">
        <v>380610</v>
      </c>
      <c r="H3820" s="35">
        <v>420050</v>
      </c>
      <c r="I3820" s="35">
        <v>400000</v>
      </c>
      <c r="J3820" s="34" t="s">
        <v>668</v>
      </c>
      <c r="K3820" s="34" t="str">
        <f t="shared" si="124"/>
        <v>不重复</v>
      </c>
      <c r="L3820" s="34" t="str">
        <f t="shared" si="125"/>
        <v>不重复</v>
      </c>
    </row>
    <row r="3821" spans="1:12" ht="27">
      <c r="A3821" s="35" t="s">
        <v>14247</v>
      </c>
      <c r="B3821" s="35" t="s">
        <v>10156</v>
      </c>
      <c r="C3821" s="36" t="s">
        <v>6558</v>
      </c>
      <c r="D3821" s="35" t="s">
        <v>10157</v>
      </c>
      <c r="E3821" s="35" t="s">
        <v>14236</v>
      </c>
      <c r="F3821" s="35" t="s">
        <v>14176</v>
      </c>
      <c r="G3821" s="35">
        <v>380611</v>
      </c>
      <c r="H3821" s="35">
        <v>420050</v>
      </c>
      <c r="I3821" s="35">
        <v>400000</v>
      </c>
      <c r="J3821" s="34" t="s">
        <v>668</v>
      </c>
      <c r="K3821" s="34" t="str">
        <f t="shared" si="124"/>
        <v>重复</v>
      </c>
      <c r="L3821" s="34" t="str">
        <f t="shared" si="125"/>
        <v>不重复</v>
      </c>
    </row>
    <row r="3822" spans="1:12" ht="30">
      <c r="A3822" s="35" t="s">
        <v>14248</v>
      </c>
      <c r="B3822" s="35" t="s">
        <v>10158</v>
      </c>
      <c r="C3822" s="36" t="s">
        <v>6226</v>
      </c>
      <c r="D3822" s="35" t="s">
        <v>10159</v>
      </c>
      <c r="E3822" s="35" t="s">
        <v>14236</v>
      </c>
      <c r="F3822" s="35" t="s">
        <v>14176</v>
      </c>
      <c r="G3822" s="35">
        <v>380612</v>
      </c>
      <c r="H3822" s="35">
        <v>420050</v>
      </c>
      <c r="I3822" s="35">
        <v>400000</v>
      </c>
      <c r="J3822" s="34" t="s">
        <v>10160</v>
      </c>
      <c r="K3822" s="34" t="str">
        <f t="shared" si="124"/>
        <v>重复</v>
      </c>
      <c r="L3822" s="34" t="str">
        <f t="shared" si="125"/>
        <v>不重复</v>
      </c>
    </row>
    <row r="3823" spans="1:12" ht="30">
      <c r="A3823" s="35" t="s">
        <v>14249</v>
      </c>
      <c r="B3823" s="35" t="s">
        <v>10161</v>
      </c>
      <c r="C3823" s="36" t="s">
        <v>10162</v>
      </c>
      <c r="D3823" s="35" t="s">
        <v>10163</v>
      </c>
      <c r="E3823" s="35" t="s">
        <v>14236</v>
      </c>
      <c r="F3823" s="35" t="s">
        <v>14176</v>
      </c>
      <c r="G3823" s="35">
        <v>380613</v>
      </c>
      <c r="H3823" s="35">
        <v>420050</v>
      </c>
      <c r="I3823" s="35">
        <v>400000</v>
      </c>
      <c r="J3823" s="34" t="s">
        <v>363</v>
      </c>
      <c r="K3823" s="34" t="str">
        <f t="shared" si="124"/>
        <v>不重复</v>
      </c>
      <c r="L3823" s="34" t="str">
        <f t="shared" si="125"/>
        <v>不重复</v>
      </c>
    </row>
    <row r="3824" spans="1:12" ht="27">
      <c r="A3824" s="35" t="s">
        <v>14250</v>
      </c>
      <c r="B3824" s="35" t="s">
        <v>10164</v>
      </c>
      <c r="C3824" s="36" t="s">
        <v>2478</v>
      </c>
      <c r="D3824" s="35" t="s">
        <v>10165</v>
      </c>
      <c r="E3824" s="35" t="s">
        <v>14236</v>
      </c>
      <c r="F3824" s="35" t="s">
        <v>14176</v>
      </c>
      <c r="G3824" s="35">
        <v>380614</v>
      </c>
      <c r="H3824" s="35">
        <v>420050</v>
      </c>
      <c r="I3824" s="35">
        <v>400000</v>
      </c>
      <c r="J3824" s="34" t="s">
        <v>10166</v>
      </c>
      <c r="K3824" s="34" t="str">
        <f t="shared" si="124"/>
        <v>重复</v>
      </c>
      <c r="L3824" s="34" t="str">
        <f t="shared" si="125"/>
        <v>不重复</v>
      </c>
    </row>
    <row r="3825" spans="1:12" ht="30">
      <c r="A3825" s="35" t="s">
        <v>14251</v>
      </c>
      <c r="B3825" s="35" t="s">
        <v>10167</v>
      </c>
      <c r="C3825" s="36" t="s">
        <v>9864</v>
      </c>
      <c r="D3825" s="35" t="s">
        <v>10168</v>
      </c>
      <c r="E3825" s="35" t="s">
        <v>14236</v>
      </c>
      <c r="F3825" s="35" t="s">
        <v>14176</v>
      </c>
      <c r="G3825" s="35">
        <v>380615</v>
      </c>
      <c r="H3825" s="35">
        <v>420050</v>
      </c>
      <c r="I3825" s="35">
        <v>400000</v>
      </c>
      <c r="J3825" s="34" t="s">
        <v>363</v>
      </c>
      <c r="K3825" s="34" t="str">
        <f t="shared" si="124"/>
        <v>重复</v>
      </c>
      <c r="L3825" s="34" t="str">
        <f t="shared" si="125"/>
        <v>不重复</v>
      </c>
    </row>
    <row r="3826" spans="1:12" ht="27">
      <c r="A3826" s="35" t="s">
        <v>14252</v>
      </c>
      <c r="B3826" s="35" t="s">
        <v>10169</v>
      </c>
      <c r="C3826" s="36" t="s">
        <v>8692</v>
      </c>
      <c r="D3826" s="35" t="s">
        <v>10170</v>
      </c>
      <c r="E3826" s="35" t="s">
        <v>14236</v>
      </c>
      <c r="F3826" s="35" t="s">
        <v>14176</v>
      </c>
      <c r="G3826" s="35">
        <v>380616</v>
      </c>
      <c r="H3826" s="35">
        <v>420050</v>
      </c>
      <c r="I3826" s="35">
        <v>400000</v>
      </c>
      <c r="J3826" s="34" t="s">
        <v>715</v>
      </c>
      <c r="K3826" s="34" t="str">
        <f t="shared" si="124"/>
        <v>重复</v>
      </c>
      <c r="L3826" s="34" t="str">
        <f t="shared" si="125"/>
        <v>不重复</v>
      </c>
    </row>
    <row r="3827" spans="1:12" ht="27">
      <c r="A3827" s="35" t="s">
        <v>14253</v>
      </c>
      <c r="B3827" s="35" t="s">
        <v>10171</v>
      </c>
      <c r="C3827" s="36" t="s">
        <v>4805</v>
      </c>
      <c r="D3827" s="35" t="s">
        <v>10172</v>
      </c>
      <c r="E3827" s="35" t="s">
        <v>14236</v>
      </c>
      <c r="F3827" s="35" t="s">
        <v>14176</v>
      </c>
      <c r="G3827" s="35">
        <v>380617</v>
      </c>
      <c r="H3827" s="35">
        <v>420050</v>
      </c>
      <c r="I3827" s="35">
        <v>400000</v>
      </c>
      <c r="J3827" s="34" t="s">
        <v>363</v>
      </c>
      <c r="K3827" s="34" t="str">
        <f t="shared" si="124"/>
        <v>重复</v>
      </c>
      <c r="L3827" s="34" t="str">
        <f t="shared" si="125"/>
        <v>不重复</v>
      </c>
    </row>
    <row r="3828" spans="1:12" ht="15">
      <c r="A3828" s="35" t="s">
        <v>14254</v>
      </c>
      <c r="B3828" s="35" t="s">
        <v>10173</v>
      </c>
      <c r="C3828" s="36" t="s">
        <v>10174</v>
      </c>
      <c r="D3828" s="35" t="s">
        <v>10175</v>
      </c>
      <c r="E3828" s="35" t="s">
        <v>14236</v>
      </c>
      <c r="F3828" s="35" t="s">
        <v>14176</v>
      </c>
      <c r="G3828" s="35">
        <v>380618</v>
      </c>
      <c r="H3828" s="35">
        <v>420050</v>
      </c>
      <c r="I3828" s="35">
        <v>400000</v>
      </c>
      <c r="J3828" s="34" t="s">
        <v>2240</v>
      </c>
      <c r="K3828" s="34" t="str">
        <f t="shared" si="124"/>
        <v>不重复</v>
      </c>
      <c r="L3828" s="34" t="str">
        <f t="shared" si="125"/>
        <v>不重复</v>
      </c>
    </row>
    <row r="3829" spans="1:12" ht="27">
      <c r="A3829" s="35" t="s">
        <v>14255</v>
      </c>
      <c r="B3829" s="35" t="s">
        <v>10176</v>
      </c>
      <c r="C3829" s="36" t="s">
        <v>10177</v>
      </c>
      <c r="D3829" s="35" t="s">
        <v>10178</v>
      </c>
      <c r="E3829" s="35" t="s">
        <v>14236</v>
      </c>
      <c r="F3829" s="35" t="s">
        <v>14176</v>
      </c>
      <c r="G3829" s="35">
        <v>380619</v>
      </c>
      <c r="H3829" s="35">
        <v>420050</v>
      </c>
      <c r="I3829" s="35">
        <v>400000</v>
      </c>
      <c r="J3829" s="34" t="s">
        <v>10179</v>
      </c>
      <c r="K3829" s="34" t="str">
        <f t="shared" si="124"/>
        <v>不重复</v>
      </c>
      <c r="L3829" s="34" t="str">
        <f t="shared" si="125"/>
        <v>不重复</v>
      </c>
    </row>
    <row r="3830" spans="1:12" ht="15">
      <c r="A3830" s="35" t="s">
        <v>14256</v>
      </c>
      <c r="B3830" s="35" t="s">
        <v>10180</v>
      </c>
      <c r="C3830" s="36" t="s">
        <v>10181</v>
      </c>
      <c r="D3830" s="35" t="s">
        <v>10182</v>
      </c>
      <c r="E3830" s="35" t="s">
        <v>14236</v>
      </c>
      <c r="F3830" s="35" t="s">
        <v>14176</v>
      </c>
      <c r="G3830" s="35">
        <v>380620</v>
      </c>
      <c r="H3830" s="35">
        <v>420050</v>
      </c>
      <c r="I3830" s="35">
        <v>400000</v>
      </c>
      <c r="J3830" s="34" t="s">
        <v>668</v>
      </c>
      <c r="K3830" s="34" t="str">
        <f t="shared" si="124"/>
        <v>不重复</v>
      </c>
      <c r="L3830" s="34" t="str">
        <f t="shared" si="125"/>
        <v>不重复</v>
      </c>
    </row>
    <row r="3831" spans="1:12" ht="27">
      <c r="A3831" s="35" t="s">
        <v>14257</v>
      </c>
      <c r="B3831" s="35" t="s">
        <v>10183</v>
      </c>
      <c r="C3831" s="36" t="s">
        <v>10184</v>
      </c>
      <c r="D3831" s="35" t="s">
        <v>10185</v>
      </c>
      <c r="E3831" s="35" t="s">
        <v>14236</v>
      </c>
      <c r="F3831" s="35" t="s">
        <v>14176</v>
      </c>
      <c r="G3831" s="35">
        <v>380621</v>
      </c>
      <c r="H3831" s="35">
        <v>420050</v>
      </c>
      <c r="I3831" s="35">
        <v>400000</v>
      </c>
      <c r="J3831" s="34" t="s">
        <v>962</v>
      </c>
      <c r="K3831" s="34" t="str">
        <f t="shared" si="124"/>
        <v>不重复</v>
      </c>
      <c r="L3831" s="34" t="str">
        <f t="shared" si="125"/>
        <v>不重复</v>
      </c>
    </row>
    <row r="3832" spans="1:12" ht="27">
      <c r="A3832" s="35" t="s">
        <v>14258</v>
      </c>
      <c r="B3832" s="35" t="s">
        <v>10186</v>
      </c>
      <c r="C3832" s="36" t="s">
        <v>259</v>
      </c>
      <c r="D3832" s="35" t="s">
        <v>10187</v>
      </c>
      <c r="E3832" s="35" t="s">
        <v>14236</v>
      </c>
      <c r="F3832" s="35" t="s">
        <v>14176</v>
      </c>
      <c r="G3832" s="35">
        <v>380622</v>
      </c>
      <c r="H3832" s="35">
        <v>420050</v>
      </c>
      <c r="I3832" s="35">
        <v>400000</v>
      </c>
      <c r="J3832" s="34" t="s">
        <v>715</v>
      </c>
      <c r="K3832" s="34" t="str">
        <f t="shared" si="124"/>
        <v>重复</v>
      </c>
      <c r="L3832" s="34" t="str">
        <f t="shared" si="125"/>
        <v>不重复</v>
      </c>
    </row>
    <row r="3833" spans="1:12" ht="30">
      <c r="A3833" s="35" t="s">
        <v>14259</v>
      </c>
      <c r="B3833" s="35" t="s">
        <v>10188</v>
      </c>
      <c r="C3833" s="36" t="s">
        <v>10189</v>
      </c>
      <c r="D3833" s="35" t="s">
        <v>10190</v>
      </c>
      <c r="E3833" s="35" t="s">
        <v>14236</v>
      </c>
      <c r="F3833" s="35" t="s">
        <v>14176</v>
      </c>
      <c r="G3833" s="35">
        <v>380623</v>
      </c>
      <c r="H3833" s="35">
        <v>420050</v>
      </c>
      <c r="I3833" s="35">
        <v>400000</v>
      </c>
      <c r="J3833" s="34" t="s">
        <v>5376</v>
      </c>
      <c r="K3833" s="34" t="str">
        <f t="shared" si="124"/>
        <v>不重复</v>
      </c>
      <c r="L3833" s="34" t="str">
        <f t="shared" si="125"/>
        <v>不重复</v>
      </c>
    </row>
    <row r="3834" spans="1:12" ht="30">
      <c r="A3834" s="35" t="s">
        <v>14260</v>
      </c>
      <c r="B3834" s="35" t="s">
        <v>10191</v>
      </c>
      <c r="C3834" s="36" t="s">
        <v>10192</v>
      </c>
      <c r="D3834" s="35" t="s">
        <v>10193</v>
      </c>
      <c r="E3834" s="35" t="s">
        <v>14236</v>
      </c>
      <c r="F3834" s="35" t="s">
        <v>14176</v>
      </c>
      <c r="G3834" s="35">
        <v>380624</v>
      </c>
      <c r="H3834" s="35">
        <v>420050</v>
      </c>
      <c r="I3834" s="35">
        <v>400000</v>
      </c>
      <c r="J3834" s="34" t="s">
        <v>133</v>
      </c>
      <c r="K3834" s="34" t="str">
        <f t="shared" si="124"/>
        <v>不重复</v>
      </c>
      <c r="L3834" s="34" t="str">
        <f t="shared" si="125"/>
        <v>不重复</v>
      </c>
    </row>
    <row r="3835" spans="1:12" ht="27">
      <c r="A3835" s="35" t="s">
        <v>14261</v>
      </c>
      <c r="B3835" s="35" t="s">
        <v>10194</v>
      </c>
      <c r="C3835" s="36" t="s">
        <v>259</v>
      </c>
      <c r="D3835" s="35" t="s">
        <v>10195</v>
      </c>
      <c r="E3835" s="35" t="s">
        <v>14236</v>
      </c>
      <c r="F3835" s="35" t="s">
        <v>14176</v>
      </c>
      <c r="G3835" s="35">
        <v>380625</v>
      </c>
      <c r="H3835" s="35">
        <v>420050</v>
      </c>
      <c r="I3835" s="35">
        <v>400000</v>
      </c>
      <c r="J3835" s="34" t="s">
        <v>10196</v>
      </c>
      <c r="K3835" s="34" t="str">
        <f t="shared" si="124"/>
        <v>重复</v>
      </c>
      <c r="L3835" s="34" t="str">
        <f t="shared" si="125"/>
        <v>不重复</v>
      </c>
    </row>
    <row r="3836" spans="1:12" ht="15">
      <c r="A3836" s="35" t="s">
        <v>14262</v>
      </c>
      <c r="B3836" s="35" t="s">
        <v>10197</v>
      </c>
      <c r="C3836" s="36" t="s">
        <v>10198</v>
      </c>
      <c r="D3836" s="35" t="s">
        <v>10199</v>
      </c>
      <c r="E3836" s="35" t="s">
        <v>14236</v>
      </c>
      <c r="F3836" s="35" t="s">
        <v>14176</v>
      </c>
      <c r="G3836" s="35">
        <v>380626</v>
      </c>
      <c r="H3836" s="35">
        <v>420050</v>
      </c>
      <c r="I3836" s="35">
        <v>400000</v>
      </c>
      <c r="J3836" s="34" t="s">
        <v>311</v>
      </c>
      <c r="K3836" s="34" t="str">
        <f t="shared" si="124"/>
        <v>不重复</v>
      </c>
      <c r="L3836" s="34" t="str">
        <f t="shared" si="125"/>
        <v>不重复</v>
      </c>
    </row>
    <row r="3837" spans="1:12" ht="27">
      <c r="A3837" s="35" t="s">
        <v>14263</v>
      </c>
      <c r="B3837" s="35" t="s">
        <v>10200</v>
      </c>
      <c r="C3837" s="36" t="s">
        <v>8429</v>
      </c>
      <c r="D3837" s="35" t="s">
        <v>10201</v>
      </c>
      <c r="E3837" s="35" t="s">
        <v>14236</v>
      </c>
      <c r="F3837" s="35" t="s">
        <v>14176</v>
      </c>
      <c r="G3837" s="35">
        <v>380627</v>
      </c>
      <c r="H3837" s="35">
        <v>420050</v>
      </c>
      <c r="I3837" s="35">
        <v>400000</v>
      </c>
      <c r="J3837" s="34" t="s">
        <v>363</v>
      </c>
      <c r="K3837" s="34" t="str">
        <f t="shared" si="124"/>
        <v>重复</v>
      </c>
      <c r="L3837" s="34" t="str">
        <f t="shared" si="125"/>
        <v>不重复</v>
      </c>
    </row>
    <row r="3838" spans="1:12" ht="30">
      <c r="A3838" s="35" t="s">
        <v>14264</v>
      </c>
      <c r="B3838" s="35" t="s">
        <v>10202</v>
      </c>
      <c r="C3838" s="36" t="s">
        <v>10203</v>
      </c>
      <c r="D3838" s="35" t="s">
        <v>5247</v>
      </c>
      <c r="E3838" s="35" t="s">
        <v>14236</v>
      </c>
      <c r="F3838" s="35" t="s">
        <v>14176</v>
      </c>
      <c r="G3838" s="35">
        <v>380628</v>
      </c>
      <c r="H3838" s="35">
        <v>420050</v>
      </c>
      <c r="I3838" s="35">
        <v>400000</v>
      </c>
      <c r="J3838" s="34" t="s">
        <v>363</v>
      </c>
      <c r="K3838" s="34" t="str">
        <f t="shared" si="124"/>
        <v>重复</v>
      </c>
      <c r="L3838" s="34" t="str">
        <f t="shared" si="125"/>
        <v>重复</v>
      </c>
    </row>
    <row r="3839" spans="1:12" ht="30">
      <c r="A3839" s="35" t="s">
        <v>14265</v>
      </c>
      <c r="B3839" s="35" t="s">
        <v>10204</v>
      </c>
      <c r="C3839" s="36" t="s">
        <v>9864</v>
      </c>
      <c r="D3839" s="35" t="s">
        <v>7138</v>
      </c>
      <c r="E3839" s="35" t="s">
        <v>14236</v>
      </c>
      <c r="F3839" s="35" t="s">
        <v>14176</v>
      </c>
      <c r="G3839" s="35">
        <v>380629</v>
      </c>
      <c r="H3839" s="35">
        <v>420050</v>
      </c>
      <c r="I3839" s="35">
        <v>400000</v>
      </c>
      <c r="J3839" s="34" t="s">
        <v>6463</v>
      </c>
      <c r="K3839" s="34" t="str">
        <f t="shared" si="124"/>
        <v>重复</v>
      </c>
      <c r="L3839" s="34" t="str">
        <f t="shared" si="125"/>
        <v>重复</v>
      </c>
    </row>
    <row r="3840" spans="1:12" ht="30">
      <c r="A3840" s="35" t="s">
        <v>14266</v>
      </c>
      <c r="B3840" s="35" t="s">
        <v>10205</v>
      </c>
      <c r="C3840" s="36" t="s">
        <v>10206</v>
      </c>
      <c r="D3840" s="35" t="s">
        <v>10207</v>
      </c>
      <c r="E3840" s="35" t="s">
        <v>14236</v>
      </c>
      <c r="F3840" s="35" t="s">
        <v>14176</v>
      </c>
      <c r="G3840" s="35">
        <v>380630</v>
      </c>
      <c r="H3840" s="35">
        <v>420050</v>
      </c>
      <c r="I3840" s="35">
        <v>400000</v>
      </c>
      <c r="J3840" s="34" t="s">
        <v>10208</v>
      </c>
      <c r="K3840" s="34" t="str">
        <f t="shared" si="124"/>
        <v>不重复</v>
      </c>
      <c r="L3840" s="34" t="str">
        <f t="shared" si="125"/>
        <v>不重复</v>
      </c>
    </row>
    <row r="3841" spans="1:12" ht="30">
      <c r="A3841" s="35" t="s">
        <v>14267</v>
      </c>
      <c r="B3841" s="35" t="s">
        <v>10209</v>
      </c>
      <c r="C3841" s="36" t="s">
        <v>3481</v>
      </c>
      <c r="D3841" s="35" t="s">
        <v>10210</v>
      </c>
      <c r="E3841" s="35" t="s">
        <v>14236</v>
      </c>
      <c r="F3841" s="35" t="s">
        <v>14176</v>
      </c>
      <c r="G3841" s="35">
        <v>380631</v>
      </c>
      <c r="H3841" s="35">
        <v>420050</v>
      </c>
      <c r="I3841" s="35">
        <v>400000</v>
      </c>
      <c r="J3841" s="34" t="s">
        <v>6123</v>
      </c>
      <c r="K3841" s="34" t="str">
        <f t="shared" si="126" ref="K3841:K3882">IF(COUNTIF(C:C,C3841)&gt;=2,"重复","不重复")</f>
        <v>重复</v>
      </c>
      <c r="L3841" s="34" t="str">
        <f t="shared" si="125"/>
        <v>不重复</v>
      </c>
    </row>
    <row r="3842" spans="1:12" ht="27">
      <c r="A3842" s="35" t="s">
        <v>14268</v>
      </c>
      <c r="B3842" s="35" t="s">
        <v>10211</v>
      </c>
      <c r="C3842" s="36" t="s">
        <v>10212</v>
      </c>
      <c r="D3842" s="35" t="s">
        <v>10213</v>
      </c>
      <c r="E3842" s="35" t="s">
        <v>14236</v>
      </c>
      <c r="F3842" s="35" t="s">
        <v>14176</v>
      </c>
      <c r="G3842" s="35">
        <v>380632</v>
      </c>
      <c r="H3842" s="35">
        <v>420050</v>
      </c>
      <c r="I3842" s="35">
        <v>400000</v>
      </c>
      <c r="J3842" s="34" t="s">
        <v>962</v>
      </c>
      <c r="K3842" s="34" t="str">
        <f t="shared" si="126"/>
        <v>不重复</v>
      </c>
      <c r="L3842" s="34" t="str">
        <f t="shared" si="125"/>
        <v>不重复</v>
      </c>
    </row>
    <row r="3843" spans="1:12" ht="27">
      <c r="A3843" s="35" t="s">
        <v>14269</v>
      </c>
      <c r="B3843" s="35" t="s">
        <v>10214</v>
      </c>
      <c r="C3843" s="36" t="s">
        <v>9326</v>
      </c>
      <c r="D3843" s="35" t="s">
        <v>10215</v>
      </c>
      <c r="E3843" s="35" t="s">
        <v>14236</v>
      </c>
      <c r="F3843" s="35" t="s">
        <v>14176</v>
      </c>
      <c r="G3843" s="35">
        <v>380633</v>
      </c>
      <c r="H3843" s="35">
        <v>420050</v>
      </c>
      <c r="I3843" s="35">
        <v>400000</v>
      </c>
      <c r="J3843" s="34" t="s">
        <v>1137</v>
      </c>
      <c r="K3843" s="34" t="str">
        <f t="shared" si="126"/>
        <v>重复</v>
      </c>
      <c r="L3843" s="34" t="str">
        <f t="shared" si="125"/>
        <v>不重复</v>
      </c>
    </row>
    <row r="3844" spans="1:12" ht="27">
      <c r="A3844" s="35" t="s">
        <v>14270</v>
      </c>
      <c r="B3844" s="35" t="s">
        <v>10216</v>
      </c>
      <c r="C3844" s="36" t="s">
        <v>8190</v>
      </c>
      <c r="D3844" s="35" t="s">
        <v>10217</v>
      </c>
      <c r="E3844" s="35" t="s">
        <v>14236</v>
      </c>
      <c r="F3844" s="35" t="s">
        <v>14176</v>
      </c>
      <c r="G3844" s="35">
        <v>380634</v>
      </c>
      <c r="H3844" s="35">
        <v>420050</v>
      </c>
      <c r="I3844" s="35">
        <v>400000</v>
      </c>
      <c r="J3844" s="34" t="s">
        <v>962</v>
      </c>
      <c r="K3844" s="34" t="str">
        <f t="shared" si="126"/>
        <v>重复</v>
      </c>
      <c r="L3844" s="34" t="str">
        <f t="shared" si="125"/>
        <v>不重复</v>
      </c>
    </row>
    <row r="3845" spans="1:12" ht="27">
      <c r="A3845" s="35" t="s">
        <v>14271</v>
      </c>
      <c r="B3845" s="35" t="s">
        <v>10218</v>
      </c>
      <c r="C3845" s="36" t="s">
        <v>10219</v>
      </c>
      <c r="D3845" s="35" t="s">
        <v>10220</v>
      </c>
      <c r="E3845" s="35" t="s">
        <v>14236</v>
      </c>
      <c r="F3845" s="35" t="s">
        <v>14176</v>
      </c>
      <c r="G3845" s="35">
        <v>380635</v>
      </c>
      <c r="H3845" s="35">
        <v>420050</v>
      </c>
      <c r="I3845" s="35">
        <v>400000</v>
      </c>
      <c r="J3845" s="34" t="s">
        <v>10221</v>
      </c>
      <c r="K3845" s="34" t="str">
        <f t="shared" si="126"/>
        <v>不重复</v>
      </c>
      <c r="L3845" s="34" t="str">
        <f t="shared" si="125"/>
        <v>不重复</v>
      </c>
    </row>
    <row r="3846" spans="1:12" ht="27">
      <c r="A3846" s="35" t="s">
        <v>14272</v>
      </c>
      <c r="B3846" s="35" t="s">
        <v>10222</v>
      </c>
      <c r="C3846" s="36" t="s">
        <v>6853</v>
      </c>
      <c r="D3846" s="35" t="s">
        <v>10223</v>
      </c>
      <c r="E3846" s="35" t="s">
        <v>14236</v>
      </c>
      <c r="F3846" s="35" t="s">
        <v>14176</v>
      </c>
      <c r="G3846" s="35">
        <v>380636</v>
      </c>
      <c r="H3846" s="35">
        <v>420050</v>
      </c>
      <c r="I3846" s="35">
        <v>400000</v>
      </c>
      <c r="J3846" s="34" t="s">
        <v>10224</v>
      </c>
      <c r="K3846" s="34" t="str">
        <f t="shared" si="126"/>
        <v>重复</v>
      </c>
      <c r="L3846" s="34" t="str">
        <f t="shared" si="125"/>
        <v>不重复</v>
      </c>
    </row>
    <row r="3847" spans="1:12" ht="27">
      <c r="A3847" s="35" t="s">
        <v>14273</v>
      </c>
      <c r="B3847" s="35" t="s">
        <v>10225</v>
      </c>
      <c r="C3847" s="36" t="s">
        <v>7965</v>
      </c>
      <c r="D3847" s="35" t="s">
        <v>10226</v>
      </c>
      <c r="E3847" s="35" t="s">
        <v>14236</v>
      </c>
      <c r="F3847" s="35" t="s">
        <v>14274</v>
      </c>
      <c r="G3847" s="35">
        <v>380637</v>
      </c>
      <c r="H3847" s="35">
        <v>420050</v>
      </c>
      <c r="I3847" s="35">
        <v>400000</v>
      </c>
      <c r="J3847" s="34" t="s">
        <v>243</v>
      </c>
      <c r="K3847" s="34" t="str">
        <f t="shared" si="126"/>
        <v>重复</v>
      </c>
      <c r="L3847" s="34" t="str">
        <f t="shared" si="125"/>
        <v>不重复</v>
      </c>
    </row>
    <row r="3848" spans="1:12" ht="27">
      <c r="A3848" s="35" t="s">
        <v>14275</v>
      </c>
      <c r="B3848" s="35" t="s">
        <v>10227</v>
      </c>
      <c r="C3848" s="36" t="s">
        <v>2849</v>
      </c>
      <c r="D3848" s="35" t="s">
        <v>10228</v>
      </c>
      <c r="E3848" s="35" t="s">
        <v>14236</v>
      </c>
      <c r="F3848" s="35" t="s">
        <v>14276</v>
      </c>
      <c r="G3848" s="35">
        <v>380638</v>
      </c>
      <c r="H3848" s="35">
        <v>420050</v>
      </c>
      <c r="I3848" s="35">
        <v>400000</v>
      </c>
      <c r="J3848" s="34" t="s">
        <v>985</v>
      </c>
      <c r="K3848" s="34" t="str">
        <f t="shared" si="126"/>
        <v>重复</v>
      </c>
      <c r="L3848" s="34" t="str">
        <f t="shared" si="125"/>
        <v>重复</v>
      </c>
    </row>
    <row r="3849" spans="1:12" ht="27">
      <c r="A3849" s="35" t="s">
        <v>14277</v>
      </c>
      <c r="B3849" s="35" t="s">
        <v>10229</v>
      </c>
      <c r="C3849" s="36" t="s">
        <v>10230</v>
      </c>
      <c r="D3849" s="35" t="s">
        <v>10228</v>
      </c>
      <c r="E3849" s="35" t="s">
        <v>14236</v>
      </c>
      <c r="F3849" s="35" t="s">
        <v>14176</v>
      </c>
      <c r="G3849" s="35">
        <v>380639</v>
      </c>
      <c r="H3849" s="35">
        <v>420050</v>
      </c>
      <c r="I3849" s="35">
        <v>400000</v>
      </c>
      <c r="J3849" s="34" t="s">
        <v>10231</v>
      </c>
      <c r="K3849" s="34" t="str">
        <f t="shared" si="126"/>
        <v>不重复</v>
      </c>
      <c r="L3849" s="34" t="str">
        <f t="shared" si="125"/>
        <v>重复</v>
      </c>
    </row>
    <row r="3850" spans="1:12" ht="27">
      <c r="A3850" s="35" t="s">
        <v>14278</v>
      </c>
      <c r="B3850" s="35" t="s">
        <v>10232</v>
      </c>
      <c r="C3850" s="36" t="s">
        <v>10233</v>
      </c>
      <c r="D3850" s="35" t="s">
        <v>10234</v>
      </c>
      <c r="E3850" s="35" t="s">
        <v>14236</v>
      </c>
      <c r="F3850" s="35" t="s">
        <v>14176</v>
      </c>
      <c r="G3850" s="35">
        <v>380640</v>
      </c>
      <c r="H3850" s="35">
        <v>420050</v>
      </c>
      <c r="I3850" s="35">
        <v>400000</v>
      </c>
      <c r="J3850" s="34" t="s">
        <v>89</v>
      </c>
      <c r="K3850" s="34" t="str">
        <f t="shared" si="126"/>
        <v>不重复</v>
      </c>
      <c r="L3850" s="34" t="str">
        <f t="shared" si="125"/>
        <v>不重复</v>
      </c>
    </row>
    <row r="3851" spans="1:12" ht="27">
      <c r="A3851" s="35" t="s">
        <v>14279</v>
      </c>
      <c r="B3851" s="35" t="s">
        <v>10235</v>
      </c>
      <c r="C3851" s="36" t="s">
        <v>2306</v>
      </c>
      <c r="D3851" s="35" t="s">
        <v>10236</v>
      </c>
      <c r="E3851" s="35" t="s">
        <v>14236</v>
      </c>
      <c r="F3851" s="35" t="s">
        <v>14176</v>
      </c>
      <c r="G3851" s="35">
        <v>380641</v>
      </c>
      <c r="H3851" s="35">
        <v>420050</v>
      </c>
      <c r="I3851" s="35">
        <v>400000</v>
      </c>
      <c r="J3851" s="34" t="s">
        <v>715</v>
      </c>
      <c r="K3851" s="34" t="str">
        <f t="shared" si="126"/>
        <v>重复</v>
      </c>
      <c r="L3851" s="34" t="str">
        <f t="shared" si="125"/>
        <v>不重复</v>
      </c>
    </row>
    <row r="3852" spans="1:12" ht="27">
      <c r="A3852" s="35" t="s">
        <v>14280</v>
      </c>
      <c r="B3852" s="35" t="s">
        <v>10237</v>
      </c>
      <c r="C3852" s="36" t="s">
        <v>1810</v>
      </c>
      <c r="D3852" s="35" t="s">
        <v>10238</v>
      </c>
      <c r="E3852" s="35" t="s">
        <v>14236</v>
      </c>
      <c r="F3852" s="35" t="s">
        <v>14176</v>
      </c>
      <c r="G3852" s="35">
        <v>380642</v>
      </c>
      <c r="H3852" s="35">
        <v>420050</v>
      </c>
      <c r="I3852" s="35">
        <v>400000</v>
      </c>
      <c r="J3852" s="34" t="s">
        <v>715</v>
      </c>
      <c r="K3852" s="34" t="str">
        <f t="shared" si="126"/>
        <v>重复</v>
      </c>
      <c r="L3852" s="34" t="str">
        <f t="shared" si="127" ref="L3852:L3882">IF(COUNTIF(D:D,D3852)&gt;=2,"重复","不重复")</f>
        <v>不重复</v>
      </c>
    </row>
    <row r="3853" spans="1:12" ht="27">
      <c r="A3853" s="35" t="s">
        <v>14281</v>
      </c>
      <c r="B3853" s="35" t="s">
        <v>10239</v>
      </c>
      <c r="C3853" s="36" t="s">
        <v>6351</v>
      </c>
      <c r="D3853" s="35" t="s">
        <v>10240</v>
      </c>
      <c r="E3853" s="35" t="s">
        <v>14236</v>
      </c>
      <c r="F3853" s="35" t="s">
        <v>14176</v>
      </c>
      <c r="G3853" s="35">
        <v>380643</v>
      </c>
      <c r="H3853" s="35">
        <v>420050</v>
      </c>
      <c r="I3853" s="35">
        <v>400000</v>
      </c>
      <c r="J3853" s="34" t="s">
        <v>10241</v>
      </c>
      <c r="K3853" s="34" t="str">
        <f t="shared" si="126"/>
        <v>重复</v>
      </c>
      <c r="L3853" s="34" t="str">
        <f t="shared" si="127"/>
        <v>不重复</v>
      </c>
    </row>
    <row r="3854" spans="1:12" ht="27">
      <c r="A3854" s="35" t="s">
        <v>14282</v>
      </c>
      <c r="B3854" s="35" t="s">
        <v>10242</v>
      </c>
      <c r="C3854" s="36" t="s">
        <v>10203</v>
      </c>
      <c r="D3854" s="35" t="s">
        <v>10243</v>
      </c>
      <c r="E3854" s="35" t="s">
        <v>14236</v>
      </c>
      <c r="F3854" s="35" t="s">
        <v>14176</v>
      </c>
      <c r="G3854" s="35">
        <v>380644</v>
      </c>
      <c r="H3854" s="35">
        <v>420050</v>
      </c>
      <c r="I3854" s="35">
        <v>400000</v>
      </c>
      <c r="J3854" s="34" t="s">
        <v>10244</v>
      </c>
      <c r="K3854" s="34" t="str">
        <f t="shared" si="126"/>
        <v>重复</v>
      </c>
      <c r="L3854" s="34" t="str">
        <f t="shared" si="127"/>
        <v>不重复</v>
      </c>
    </row>
    <row r="3855" spans="1:12" ht="27">
      <c r="A3855" s="35" t="s">
        <v>14283</v>
      </c>
      <c r="B3855" s="35" t="s">
        <v>10245</v>
      </c>
      <c r="C3855" s="36" t="s">
        <v>5459</v>
      </c>
      <c r="D3855" s="35" t="s">
        <v>10246</v>
      </c>
      <c r="E3855" s="35" t="s">
        <v>14236</v>
      </c>
      <c r="F3855" s="35" t="s">
        <v>14176</v>
      </c>
      <c r="G3855" s="35">
        <v>380645</v>
      </c>
      <c r="H3855" s="35">
        <v>420050</v>
      </c>
      <c r="I3855" s="35">
        <v>400000</v>
      </c>
      <c r="J3855" s="34" t="s">
        <v>715</v>
      </c>
      <c r="K3855" s="34" t="str">
        <f t="shared" si="126"/>
        <v>重复</v>
      </c>
      <c r="L3855" s="34" t="str">
        <f t="shared" si="127"/>
        <v>不重复</v>
      </c>
    </row>
    <row r="3856" spans="1:12" ht="27">
      <c r="A3856" s="35" t="s">
        <v>14284</v>
      </c>
      <c r="B3856" s="35" t="s">
        <v>10247</v>
      </c>
      <c r="C3856" s="36" t="s">
        <v>10248</v>
      </c>
      <c r="D3856" s="35" t="s">
        <v>10249</v>
      </c>
      <c r="E3856" s="35" t="s">
        <v>14236</v>
      </c>
      <c r="F3856" s="35" t="s">
        <v>14176</v>
      </c>
      <c r="G3856" s="35">
        <v>380646</v>
      </c>
      <c r="H3856" s="35">
        <v>420050</v>
      </c>
      <c r="I3856" s="35">
        <v>400000</v>
      </c>
      <c r="J3856" s="34" t="s">
        <v>715</v>
      </c>
      <c r="K3856" s="34" t="str">
        <f t="shared" si="126"/>
        <v>不重复</v>
      </c>
      <c r="L3856" s="34" t="str">
        <f t="shared" si="127"/>
        <v>不重复</v>
      </c>
    </row>
    <row r="3857" spans="1:12" ht="27">
      <c r="A3857" s="35" t="s">
        <v>14285</v>
      </c>
      <c r="B3857" s="35" t="s">
        <v>10250</v>
      </c>
      <c r="C3857" s="36" t="s">
        <v>6156</v>
      </c>
      <c r="D3857" s="35" t="s">
        <v>10251</v>
      </c>
      <c r="E3857" s="35" t="s">
        <v>14236</v>
      </c>
      <c r="F3857" s="35" t="s">
        <v>14176</v>
      </c>
      <c r="G3857" s="35">
        <v>380647</v>
      </c>
      <c r="H3857" s="35">
        <v>420050</v>
      </c>
      <c r="I3857" s="35">
        <v>400000</v>
      </c>
      <c r="J3857" s="34" t="s">
        <v>715</v>
      </c>
      <c r="K3857" s="34" t="str">
        <f t="shared" si="126"/>
        <v>重复</v>
      </c>
      <c r="L3857" s="34" t="str">
        <f t="shared" si="127"/>
        <v>不重复</v>
      </c>
    </row>
    <row r="3858" spans="1:12" ht="27">
      <c r="A3858" s="35" t="s">
        <v>14286</v>
      </c>
      <c r="B3858" s="35" t="s">
        <v>10252</v>
      </c>
      <c r="C3858" s="36" t="s">
        <v>10253</v>
      </c>
      <c r="D3858" s="35" t="s">
        <v>10254</v>
      </c>
      <c r="E3858" s="35" t="s">
        <v>14236</v>
      </c>
      <c r="F3858" s="35" t="s">
        <v>14176</v>
      </c>
      <c r="G3858" s="35">
        <v>380648</v>
      </c>
      <c r="H3858" s="35">
        <v>420050</v>
      </c>
      <c r="I3858" s="35">
        <v>400000</v>
      </c>
      <c r="J3858" s="34" t="s">
        <v>715</v>
      </c>
      <c r="K3858" s="34" t="str">
        <f t="shared" si="126"/>
        <v>不重复</v>
      </c>
      <c r="L3858" s="34" t="str">
        <f t="shared" si="127"/>
        <v>不重复</v>
      </c>
    </row>
    <row r="3859" spans="1:12" ht="15">
      <c r="A3859" s="35" t="s">
        <v>14287</v>
      </c>
      <c r="B3859" s="35" t="s">
        <v>10255</v>
      </c>
      <c r="C3859" s="36" t="s">
        <v>10256</v>
      </c>
      <c r="D3859" s="35" t="s">
        <v>10257</v>
      </c>
      <c r="E3859" s="35" t="s">
        <v>14236</v>
      </c>
      <c r="F3859" s="35" t="s">
        <v>14176</v>
      </c>
      <c r="G3859" s="35">
        <v>380649</v>
      </c>
      <c r="H3859" s="35">
        <v>420050</v>
      </c>
      <c r="I3859" s="35">
        <v>400000</v>
      </c>
      <c r="J3859" s="34"/>
      <c r="K3859" s="34" t="str">
        <f t="shared" si="126"/>
        <v>不重复</v>
      </c>
      <c r="L3859" s="34" t="str">
        <f t="shared" si="127"/>
        <v>不重复</v>
      </c>
    </row>
    <row r="3860" spans="1:12" ht="15">
      <c r="A3860" s="35" t="s">
        <v>14288</v>
      </c>
      <c r="B3860" s="35" t="s">
        <v>10258</v>
      </c>
      <c r="C3860" s="36" t="s">
        <v>10259</v>
      </c>
      <c r="D3860" s="35" t="s">
        <v>10260</v>
      </c>
      <c r="E3860" s="35" t="s">
        <v>14288</v>
      </c>
      <c r="F3860" s="35" t="s">
        <v>14176</v>
      </c>
      <c r="G3860" s="35">
        <v>380700</v>
      </c>
      <c r="H3860" s="35">
        <v>420060</v>
      </c>
      <c r="I3860" s="35">
        <v>400000</v>
      </c>
      <c r="J3860" s="34" t="s">
        <v>16</v>
      </c>
      <c r="K3860" s="34" t="str">
        <f t="shared" si="126"/>
        <v>不重复</v>
      </c>
      <c r="L3860" s="34" t="str">
        <f t="shared" si="127"/>
        <v>不重复</v>
      </c>
    </row>
    <row r="3861" spans="1:12" ht="15">
      <c r="A3861" s="35" t="s">
        <v>14289</v>
      </c>
      <c r="B3861" s="35" t="s">
        <v>10261</v>
      </c>
      <c r="C3861" s="36" t="s">
        <v>10262</v>
      </c>
      <c r="D3861" s="35" t="s">
        <v>10263</v>
      </c>
      <c r="E3861" s="35" t="s">
        <v>14288</v>
      </c>
      <c r="F3861" s="35" t="s">
        <v>14176</v>
      </c>
      <c r="G3861" s="35">
        <v>380701</v>
      </c>
      <c r="H3861" s="35">
        <v>420060</v>
      </c>
      <c r="I3861" s="35">
        <v>400000</v>
      </c>
      <c r="J3861" s="34" t="s">
        <v>458</v>
      </c>
      <c r="K3861" s="34" t="str">
        <f t="shared" si="126"/>
        <v>不重复</v>
      </c>
      <c r="L3861" s="34" t="str">
        <f t="shared" si="127"/>
        <v>不重复</v>
      </c>
    </row>
    <row r="3862" spans="1:12" ht="30">
      <c r="A3862" s="35" t="s">
        <v>14290</v>
      </c>
      <c r="B3862" s="35" t="s">
        <v>10264</v>
      </c>
      <c r="C3862" s="36" t="s">
        <v>10265</v>
      </c>
      <c r="D3862" s="35" t="s">
        <v>10266</v>
      </c>
      <c r="E3862" s="35" t="s">
        <v>14288</v>
      </c>
      <c r="F3862" s="35" t="s">
        <v>14176</v>
      </c>
      <c r="G3862" s="35">
        <v>380702</v>
      </c>
      <c r="H3862" s="35">
        <v>420060</v>
      </c>
      <c r="I3862" s="35">
        <v>400000</v>
      </c>
      <c r="J3862" s="34" t="s">
        <v>10267</v>
      </c>
      <c r="K3862" s="34" t="str">
        <f t="shared" si="126"/>
        <v>不重复</v>
      </c>
      <c r="L3862" s="34" t="str">
        <f t="shared" si="127"/>
        <v>不重复</v>
      </c>
    </row>
    <row r="3863" spans="1:12" ht="30">
      <c r="A3863" s="35" t="s">
        <v>14291</v>
      </c>
      <c r="B3863" s="35" t="s">
        <v>10268</v>
      </c>
      <c r="C3863" s="36" t="s">
        <v>6021</v>
      </c>
      <c r="D3863" s="35" t="s">
        <v>10269</v>
      </c>
      <c r="E3863" s="35" t="s">
        <v>14288</v>
      </c>
      <c r="F3863" s="35" t="s">
        <v>14176</v>
      </c>
      <c r="G3863" s="35">
        <v>380703</v>
      </c>
      <c r="H3863" s="35">
        <v>420060</v>
      </c>
      <c r="I3863" s="35">
        <v>400000</v>
      </c>
      <c r="J3863" s="34" t="s">
        <v>985</v>
      </c>
      <c r="K3863" s="34" t="str">
        <f t="shared" si="126"/>
        <v>重复</v>
      </c>
      <c r="L3863" s="34" t="str">
        <f t="shared" si="127"/>
        <v>不重复</v>
      </c>
    </row>
    <row r="3864" spans="1:12" ht="15">
      <c r="A3864" s="35" t="s">
        <v>14292</v>
      </c>
      <c r="B3864" s="35" t="s">
        <v>10270</v>
      </c>
      <c r="C3864" s="36" t="s">
        <v>10271</v>
      </c>
      <c r="D3864" s="35" t="s">
        <v>10272</v>
      </c>
      <c r="E3864" s="35" t="s">
        <v>14288</v>
      </c>
      <c r="F3864" s="35" t="s">
        <v>14176</v>
      </c>
      <c r="G3864" s="35">
        <v>380704</v>
      </c>
      <c r="H3864" s="35">
        <v>420060</v>
      </c>
      <c r="I3864" s="35">
        <v>400000</v>
      </c>
      <c r="J3864" s="34" t="s">
        <v>458</v>
      </c>
      <c r="K3864" s="34" t="str">
        <f t="shared" si="126"/>
        <v>不重复</v>
      </c>
      <c r="L3864" s="34" t="str">
        <f t="shared" si="127"/>
        <v>不重复</v>
      </c>
    </row>
    <row r="3865" spans="1:12" ht="15">
      <c r="A3865" s="35" t="s">
        <v>14293</v>
      </c>
      <c r="B3865" s="35" t="s">
        <v>10273</v>
      </c>
      <c r="C3865" s="36" t="s">
        <v>10274</v>
      </c>
      <c r="D3865" s="35" t="s">
        <v>10275</v>
      </c>
      <c r="E3865" s="35" t="s">
        <v>14288</v>
      </c>
      <c r="F3865" s="35" t="s">
        <v>14176</v>
      </c>
      <c r="G3865" s="35">
        <v>380705</v>
      </c>
      <c r="H3865" s="35">
        <v>420060</v>
      </c>
      <c r="I3865" s="35">
        <v>400000</v>
      </c>
      <c r="J3865" s="34" t="s">
        <v>531</v>
      </c>
      <c r="K3865" s="34" t="str">
        <f t="shared" si="126"/>
        <v>不重复</v>
      </c>
      <c r="L3865" s="34" t="str">
        <f t="shared" si="127"/>
        <v>不重复</v>
      </c>
    </row>
    <row r="3866" spans="1:12" ht="15">
      <c r="A3866" s="35" t="s">
        <v>14294</v>
      </c>
      <c r="B3866" s="35" t="s">
        <v>10276</v>
      </c>
      <c r="C3866" s="36" t="s">
        <v>10277</v>
      </c>
      <c r="D3866" s="35" t="s">
        <v>10278</v>
      </c>
      <c r="E3866" s="35" t="s">
        <v>14288</v>
      </c>
      <c r="F3866" s="35" t="s">
        <v>14176</v>
      </c>
      <c r="G3866" s="35">
        <v>380706</v>
      </c>
      <c r="H3866" s="35">
        <v>420060</v>
      </c>
      <c r="I3866" s="35">
        <v>400000</v>
      </c>
      <c r="J3866" s="34" t="s">
        <v>531</v>
      </c>
      <c r="K3866" s="34" t="str">
        <f t="shared" si="126"/>
        <v>不重复</v>
      </c>
      <c r="L3866" s="34" t="str">
        <f t="shared" si="127"/>
        <v>不重复</v>
      </c>
    </row>
    <row r="3867" spans="1:12" ht="15">
      <c r="A3867" s="35" t="s">
        <v>14295</v>
      </c>
      <c r="B3867" s="35" t="s">
        <v>10279</v>
      </c>
      <c r="C3867" s="36" t="s">
        <v>10280</v>
      </c>
      <c r="D3867" s="35" t="s">
        <v>10281</v>
      </c>
      <c r="E3867" s="35" t="s">
        <v>14288</v>
      </c>
      <c r="F3867" s="35" t="s">
        <v>14176</v>
      </c>
      <c r="G3867" s="35">
        <v>380707</v>
      </c>
      <c r="H3867" s="35">
        <v>420060</v>
      </c>
      <c r="I3867" s="35">
        <v>400000</v>
      </c>
      <c r="J3867" s="34" t="s">
        <v>288</v>
      </c>
      <c r="K3867" s="34" t="str">
        <f t="shared" si="126"/>
        <v>不重复</v>
      </c>
      <c r="L3867" s="34" t="str">
        <f t="shared" si="127"/>
        <v>不重复</v>
      </c>
    </row>
    <row r="3868" spans="1:12" ht="15">
      <c r="A3868" s="35" t="s">
        <v>14296</v>
      </c>
      <c r="B3868" s="35" t="s">
        <v>10282</v>
      </c>
      <c r="C3868" s="36" t="s">
        <v>10283</v>
      </c>
      <c r="D3868" s="35" t="s">
        <v>10284</v>
      </c>
      <c r="E3868" s="35" t="s">
        <v>14296</v>
      </c>
      <c r="F3868" s="35" t="s">
        <v>14297</v>
      </c>
      <c r="G3868" s="35">
        <v>400100</v>
      </c>
      <c r="H3868" s="35">
        <v>430000</v>
      </c>
      <c r="I3868" s="35">
        <v>500000</v>
      </c>
      <c r="J3868" s="34" t="s">
        <v>16</v>
      </c>
      <c r="K3868" s="34" t="str">
        <f t="shared" si="126"/>
        <v>不重复</v>
      </c>
      <c r="L3868" s="34" t="str">
        <f t="shared" si="127"/>
        <v>不重复</v>
      </c>
    </row>
    <row r="3869" spans="1:12" ht="15">
      <c r="A3869" s="35" t="s">
        <v>14298</v>
      </c>
      <c r="B3869" s="35" t="s">
        <v>10285</v>
      </c>
      <c r="C3869" s="36" t="s">
        <v>10286</v>
      </c>
      <c r="D3869" s="35" t="s">
        <v>10287</v>
      </c>
      <c r="E3869" s="35" t="s">
        <v>14296</v>
      </c>
      <c r="F3869" s="35" t="s">
        <v>14297</v>
      </c>
      <c r="G3869" s="35">
        <v>400101</v>
      </c>
      <c r="H3869" s="35">
        <v>430000</v>
      </c>
      <c r="I3869" s="35">
        <v>500000</v>
      </c>
      <c r="J3869" s="34" t="s">
        <v>10288</v>
      </c>
      <c r="K3869" s="34" t="str">
        <f t="shared" si="126"/>
        <v>重复</v>
      </c>
      <c r="L3869" s="34" t="str">
        <f t="shared" si="127"/>
        <v>不重复</v>
      </c>
    </row>
    <row r="3870" spans="1:12" ht="15">
      <c r="A3870" s="35" t="s">
        <v>14299</v>
      </c>
      <c r="B3870" s="35" t="s">
        <v>10289</v>
      </c>
      <c r="C3870" s="36" t="s">
        <v>10286</v>
      </c>
      <c r="D3870" s="35" t="s">
        <v>10290</v>
      </c>
      <c r="E3870" s="35" t="s">
        <v>14296</v>
      </c>
      <c r="F3870" s="35" t="s">
        <v>14297</v>
      </c>
      <c r="G3870" s="35">
        <v>400102</v>
      </c>
      <c r="H3870" s="35">
        <v>430000</v>
      </c>
      <c r="I3870" s="35">
        <v>500000</v>
      </c>
      <c r="J3870" s="34" t="s">
        <v>10291</v>
      </c>
      <c r="K3870" s="34" t="str">
        <f t="shared" si="126"/>
        <v>重复</v>
      </c>
      <c r="L3870" s="34" t="str">
        <f t="shared" si="127"/>
        <v>不重复</v>
      </c>
    </row>
    <row r="3871" spans="1:12" ht="15">
      <c r="A3871" s="35" t="s">
        <v>14300</v>
      </c>
      <c r="B3871" s="35" t="s">
        <v>10292</v>
      </c>
      <c r="C3871" s="36" t="s">
        <v>10293</v>
      </c>
      <c r="D3871" s="35" t="s">
        <v>10294</v>
      </c>
      <c r="E3871" s="35" t="s">
        <v>14301</v>
      </c>
      <c r="F3871" s="35" t="s">
        <v>14297</v>
      </c>
      <c r="G3871" s="35">
        <v>402000</v>
      </c>
      <c r="H3871" s="35">
        <v>430000</v>
      </c>
      <c r="I3871" s="35">
        <v>500000</v>
      </c>
      <c r="J3871" s="34"/>
      <c r="K3871" s="34" t="str">
        <f t="shared" si="126"/>
        <v>不重复</v>
      </c>
      <c r="L3871" s="34" t="str">
        <f t="shared" si="127"/>
        <v>不重复</v>
      </c>
    </row>
    <row r="3872" spans="1:12" ht="27">
      <c r="A3872" s="35" t="s">
        <v>14302</v>
      </c>
      <c r="B3872" s="35" t="s">
        <v>10295</v>
      </c>
      <c r="C3872" s="36" t="s">
        <v>10296</v>
      </c>
      <c r="D3872" s="35" t="s">
        <v>10297</v>
      </c>
      <c r="E3872" s="35" t="s">
        <v>14302</v>
      </c>
      <c r="F3872" s="35" t="s">
        <v>14297</v>
      </c>
      <c r="G3872" s="35">
        <v>402000</v>
      </c>
      <c r="H3872" s="35">
        <v>430000</v>
      </c>
      <c r="I3872" s="35">
        <v>500000</v>
      </c>
      <c r="J3872" s="34"/>
      <c r="K3872" s="34" t="str">
        <f t="shared" si="126"/>
        <v>不重复</v>
      </c>
      <c r="L3872" s="34" t="str">
        <f t="shared" si="127"/>
        <v>不重复</v>
      </c>
    </row>
    <row r="3873" spans="1:12" ht="15">
      <c r="A3873" s="35" t="s">
        <v>14303</v>
      </c>
      <c r="B3873" s="35" t="s">
        <v>10298</v>
      </c>
      <c r="C3873" s="36" t="s">
        <v>10299</v>
      </c>
      <c r="D3873" s="35" t="s">
        <v>10300</v>
      </c>
      <c r="E3873" s="35" t="s">
        <v>14303</v>
      </c>
      <c r="F3873" s="35" t="s">
        <v>14297</v>
      </c>
      <c r="G3873" s="35">
        <v>401000</v>
      </c>
      <c r="H3873" s="35">
        <v>430010</v>
      </c>
      <c r="I3873" s="35">
        <v>500000</v>
      </c>
      <c r="J3873" s="34" t="s">
        <v>16</v>
      </c>
      <c r="K3873" s="34" t="str">
        <f t="shared" si="126"/>
        <v>重复</v>
      </c>
      <c r="L3873" s="34" t="str">
        <f t="shared" si="127"/>
        <v>不重复</v>
      </c>
    </row>
    <row r="3874" spans="1:12" ht="15">
      <c r="A3874" s="35" t="s">
        <v>14304</v>
      </c>
      <c r="B3874" s="35" t="s">
        <v>10301</v>
      </c>
      <c r="C3874" s="36" t="s">
        <v>10302</v>
      </c>
      <c r="D3874" s="35" t="s">
        <v>10303</v>
      </c>
      <c r="E3874" s="35" t="s">
        <v>14303</v>
      </c>
      <c r="F3874" s="35" t="s">
        <v>14297</v>
      </c>
      <c r="G3874" s="35">
        <v>401001</v>
      </c>
      <c r="H3874" s="35">
        <v>430010</v>
      </c>
      <c r="I3874" s="35">
        <v>500000</v>
      </c>
      <c r="J3874" s="34" t="s">
        <v>4985</v>
      </c>
      <c r="K3874" s="34" t="str">
        <f t="shared" si="126"/>
        <v>不重复</v>
      </c>
      <c r="L3874" s="34" t="str">
        <f t="shared" si="127"/>
        <v>不重复</v>
      </c>
    </row>
    <row r="3875" spans="1:12" ht="27">
      <c r="A3875" s="35" t="s">
        <v>14305</v>
      </c>
      <c r="B3875" s="35" t="s">
        <v>10304</v>
      </c>
      <c r="C3875" s="36" t="s">
        <v>7024</v>
      </c>
      <c r="D3875" s="35" t="s">
        <v>10305</v>
      </c>
      <c r="E3875" s="35" t="s">
        <v>14303</v>
      </c>
      <c r="F3875" s="35" t="s">
        <v>14297</v>
      </c>
      <c r="G3875" s="35">
        <v>401002</v>
      </c>
      <c r="H3875" s="35">
        <v>430010</v>
      </c>
      <c r="I3875" s="35">
        <v>500000</v>
      </c>
      <c r="J3875" s="34" t="s">
        <v>1085</v>
      </c>
      <c r="K3875" s="34" t="str">
        <f t="shared" si="126"/>
        <v>重复</v>
      </c>
      <c r="L3875" s="34" t="str">
        <f t="shared" si="127"/>
        <v>不重复</v>
      </c>
    </row>
    <row r="3876" spans="1:12" ht="27">
      <c r="A3876" s="35" t="s">
        <v>14306</v>
      </c>
      <c r="B3876" s="35" t="s">
        <v>10306</v>
      </c>
      <c r="C3876" s="36" t="s">
        <v>10307</v>
      </c>
      <c r="D3876" s="35" t="s">
        <v>10308</v>
      </c>
      <c r="E3876" s="35" t="s">
        <v>14303</v>
      </c>
      <c r="F3876" s="35" t="s">
        <v>14297</v>
      </c>
      <c r="G3876" s="35">
        <v>401003</v>
      </c>
      <c r="H3876" s="35">
        <v>430010</v>
      </c>
      <c r="I3876" s="35">
        <v>500000</v>
      </c>
      <c r="J3876" s="34" t="s">
        <v>752</v>
      </c>
      <c r="K3876" s="34" t="str">
        <f t="shared" si="126"/>
        <v>不重复</v>
      </c>
      <c r="L3876" s="34" t="str">
        <f t="shared" si="127"/>
        <v>不重复</v>
      </c>
    </row>
    <row r="3877" spans="1:12" ht="27">
      <c r="A3877" s="35" t="s">
        <v>14307</v>
      </c>
      <c r="B3877" s="35" t="s">
        <v>10309</v>
      </c>
      <c r="C3877" s="36" t="s">
        <v>10310</v>
      </c>
      <c r="D3877" s="35" t="s">
        <v>10311</v>
      </c>
      <c r="E3877" s="35" t="s">
        <v>14303</v>
      </c>
      <c r="F3877" s="35" t="s">
        <v>14297</v>
      </c>
      <c r="G3877" s="35">
        <v>401004</v>
      </c>
      <c r="H3877" s="35">
        <v>430010</v>
      </c>
      <c r="I3877" s="35">
        <v>500000</v>
      </c>
      <c r="J3877" s="34" t="s">
        <v>10312</v>
      </c>
      <c r="K3877" s="34" t="str">
        <f t="shared" si="126"/>
        <v>不重复</v>
      </c>
      <c r="L3877" s="34" t="str">
        <f t="shared" si="127"/>
        <v>不重复</v>
      </c>
    </row>
    <row r="3878" spans="1:12" ht="27">
      <c r="A3878" s="35" t="s">
        <v>14308</v>
      </c>
      <c r="B3878" s="35" t="s">
        <v>10313</v>
      </c>
      <c r="C3878" s="36" t="s">
        <v>4347</v>
      </c>
      <c r="D3878" s="35" t="s">
        <v>10314</v>
      </c>
      <c r="E3878" s="35" t="s">
        <v>14303</v>
      </c>
      <c r="F3878" s="35" t="s">
        <v>14297</v>
      </c>
      <c r="G3878" s="35">
        <v>401005</v>
      </c>
      <c r="H3878" s="35">
        <v>430010</v>
      </c>
      <c r="I3878" s="35">
        <v>500000</v>
      </c>
      <c r="J3878" s="34" t="s">
        <v>10315</v>
      </c>
      <c r="K3878" s="34" t="str">
        <f t="shared" si="126"/>
        <v>重复</v>
      </c>
      <c r="L3878" s="34" t="str">
        <f t="shared" si="127"/>
        <v>不重复</v>
      </c>
    </row>
    <row r="3879" spans="1:12" ht="15">
      <c r="A3879" s="35" t="s">
        <v>14309</v>
      </c>
      <c r="B3879" s="35" t="s">
        <v>10316</v>
      </c>
      <c r="C3879" s="36" t="s">
        <v>588</v>
      </c>
      <c r="D3879" s="35" t="s">
        <v>10317</v>
      </c>
      <c r="E3879" s="35" t="s">
        <v>14303</v>
      </c>
      <c r="F3879" s="35" t="s">
        <v>14297</v>
      </c>
      <c r="G3879" s="35">
        <v>401006</v>
      </c>
      <c r="H3879" s="35">
        <v>430010</v>
      </c>
      <c r="I3879" s="35">
        <v>500000</v>
      </c>
      <c r="J3879" s="34" t="s">
        <v>10288</v>
      </c>
      <c r="K3879" s="34" t="str">
        <f t="shared" si="126"/>
        <v>重复</v>
      </c>
      <c r="L3879" s="34" t="str">
        <f t="shared" si="127"/>
        <v>不重复</v>
      </c>
    </row>
    <row r="3880" spans="1:12" ht="15">
      <c r="A3880" s="35" t="s">
        <v>14310</v>
      </c>
      <c r="B3880" s="35" t="s">
        <v>10318</v>
      </c>
      <c r="C3880" s="36" t="s">
        <v>10299</v>
      </c>
      <c r="D3880" s="35" t="s">
        <v>5073</v>
      </c>
      <c r="E3880" s="35" t="s">
        <v>14303</v>
      </c>
      <c r="F3880" s="35" t="s">
        <v>14297</v>
      </c>
      <c r="G3880" s="35">
        <v>401007</v>
      </c>
      <c r="H3880" s="35">
        <v>430010</v>
      </c>
      <c r="I3880" s="35">
        <v>500000</v>
      </c>
      <c r="J3880" s="34" t="s">
        <v>752</v>
      </c>
      <c r="K3880" s="34" t="str">
        <f t="shared" si="126"/>
        <v>重复</v>
      </c>
      <c r="L3880" s="34" t="str">
        <f t="shared" si="127"/>
        <v>重复</v>
      </c>
    </row>
    <row r="3881" spans="1:12" ht="15">
      <c r="A3881" s="35" t="s">
        <v>10998</v>
      </c>
      <c r="B3881" s="35" t="s">
        <v>10319</v>
      </c>
      <c r="C3881" s="36" t="s">
        <v>10320</v>
      </c>
      <c r="D3881" s="35" t="s">
        <v>10321</v>
      </c>
      <c r="E3881" s="35" t="s">
        <v>10998</v>
      </c>
      <c r="F3881" s="35" t="s">
        <v>10998</v>
      </c>
      <c r="G3881" s="35">
        <v>401008</v>
      </c>
      <c r="H3881" s="35">
        <v>270000</v>
      </c>
      <c r="I3881" s="35">
        <v>200006</v>
      </c>
      <c r="J3881" s="34" t="s">
        <v>16</v>
      </c>
      <c r="K3881" s="34" t="str">
        <f t="shared" si="126"/>
        <v>不重复</v>
      </c>
      <c r="L3881" s="34" t="str">
        <f t="shared" si="127"/>
        <v>不重复</v>
      </c>
    </row>
    <row r="3882" spans="1:12" ht="15">
      <c r="A3882" s="35" t="s">
        <v>14311</v>
      </c>
      <c r="B3882" s="35" t="s">
        <v>10322</v>
      </c>
      <c r="C3882" s="36" t="s">
        <v>10323</v>
      </c>
      <c r="D3882" s="35" t="s">
        <v>10324</v>
      </c>
      <c r="E3882" s="35" t="s">
        <v>10324</v>
      </c>
      <c r="F3882" s="35" t="s">
        <v>10324</v>
      </c>
      <c r="G3882" s="35">
        <v>5000000</v>
      </c>
      <c r="H3882" s="35">
        <v>500001</v>
      </c>
      <c r="I3882" s="35">
        <v>500001</v>
      </c>
      <c r="J3882" s="34"/>
      <c r="K3882" s="34" t="str">
        <f t="shared" si="126"/>
        <v>不重复</v>
      </c>
      <c r="L3882" s="34" t="str">
        <f t="shared" si="127"/>
        <v>不重复</v>
      </c>
    </row>
  </sheetData>
  <mergeCells count="1">
    <mergeCell ref="A1:L1"/>
  </mergeCells>
  <conditionalFormatting sqref="A2:L761 A2060:L3103 A763:L2058 A3105:L3882">
    <cfRule type="expression" priority="4" dxfId="0" stopIfTrue="1">
      <formula>MOD(ROW(),5)=0</formula>
    </cfRule>
  </conditionalFormatting>
  <conditionalFormatting sqref="A2059:L2059">
    <cfRule type="expression" priority="3" dxfId="0" stopIfTrue="1">
      <formula>MOD(ROW(),5)=0</formula>
    </cfRule>
  </conditionalFormatting>
  <conditionalFormatting sqref="A762:L762">
    <cfRule type="expression" priority="2" dxfId="0" stopIfTrue="1">
      <formula>MOD(ROW(),5)=0</formula>
    </cfRule>
  </conditionalFormatting>
  <conditionalFormatting sqref="A3104:L3104">
    <cfRule type="expression" priority="1" dxfId="0" stopIfTrue="1">
      <formula>MOD(ROW(),5)=0</formula>
    </cfRule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Windows 用户</cp:lastModifiedBy>
  <dcterms:created xsi:type="dcterms:W3CDTF">2006-09-16T00:00:00Z</dcterms:created>
  <dcterms:modified xsi:type="dcterms:W3CDTF">2019-11-20T06:46:46Z</dcterms:modified>
  <cp:category/>
  <cp:contentType/>
  <cp:contentStatus/>
</cp:coreProperties>
</file>