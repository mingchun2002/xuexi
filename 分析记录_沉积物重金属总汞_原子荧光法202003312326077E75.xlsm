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bookViews>
    <workbookView xWindow="0" yWindow="0" windowWidth="20385" windowHeight="9780" activeTab="1"/>
  </bookViews>
  <sheets>
    <sheet name="基本信息" sheetId="9" r:id="rId1"/>
    <sheet name="数据" sheetId="10" r:id="rId2"/>
    <sheet name="限值标准" sheetId="11" r:id="rId3"/>
  </sheets>
  <functionGroups builtInGroupCount="18"/>
  <calcPr calcId="152511"/>
</workbook>
</file>

<file path=xl/calcChain.xml><?xml version="1.0" encoding="utf-8"?>
<calcChain xmlns="http://schemas.openxmlformats.org/spreadsheetml/2006/main">
  <c r="F26" i="9" l="1"/>
  <c r="E26" i="9"/>
  <c r="F25" i="9"/>
  <c r="E25" i="9"/>
  <c r="F24" i="9"/>
  <c r="E24" i="9"/>
  <c r="F23" i="9"/>
  <c r="E23" i="9"/>
  <c r="F22" i="9"/>
  <c r="E22" i="9"/>
  <c r="F21" i="9"/>
  <c r="E21" i="9"/>
  <c r="F20" i="9"/>
  <c r="E20" i="9"/>
  <c r="F19" i="9"/>
  <c r="E19" i="9"/>
  <c r="F18" i="9"/>
  <c r="E18" i="9"/>
  <c r="F17" i="9"/>
  <c r="E17" i="9"/>
  <c r="F16" i="9"/>
  <c r="E16" i="9"/>
  <c r="F15" i="9"/>
  <c r="E15" i="9"/>
  <c r="J1000" i="10"/>
  <c r="J995" i="10"/>
  <c r="J992" i="10"/>
  <c r="J987" i="10"/>
  <c r="J984" i="10"/>
  <c r="J979" i="10"/>
  <c r="J976" i="10"/>
  <c r="J971" i="10"/>
  <c r="J968" i="10"/>
  <c r="J963" i="10"/>
  <c r="J960" i="10"/>
  <c r="J955" i="10"/>
  <c r="J952" i="10"/>
  <c r="J947" i="10"/>
  <c r="J944" i="10"/>
  <c r="J939" i="10"/>
  <c r="J936" i="10"/>
  <c r="J931" i="10"/>
  <c r="J928" i="10"/>
  <c r="J923" i="10"/>
  <c r="J920" i="10"/>
  <c r="J915" i="10"/>
  <c r="J912" i="10"/>
  <c r="J907" i="10"/>
  <c r="J904" i="10"/>
  <c r="J899" i="10"/>
  <c r="J896" i="10"/>
  <c r="J891" i="10"/>
  <c r="J888" i="10"/>
  <c r="J883" i="10"/>
  <c r="J880" i="10"/>
  <c r="J875" i="10"/>
  <c r="J872" i="10"/>
  <c r="J867" i="10"/>
  <c r="J864" i="10"/>
  <c r="J859" i="10"/>
  <c r="J856" i="10"/>
  <c r="J851" i="10"/>
  <c r="J848" i="10"/>
  <c r="J843" i="10"/>
  <c r="J840" i="10"/>
  <c r="J835" i="10"/>
  <c r="J832" i="10"/>
  <c r="J830" i="10"/>
  <c r="J828" i="10"/>
  <c r="J826" i="10"/>
  <c r="J824" i="10"/>
  <c r="J822" i="10"/>
  <c r="J820" i="10"/>
  <c r="J818" i="10"/>
  <c r="J816" i="10"/>
  <c r="J814" i="10"/>
  <c r="J812" i="10"/>
  <c r="J810" i="10"/>
  <c r="J808" i="10"/>
  <c r="J806" i="10"/>
  <c r="J804" i="10"/>
  <c r="J802" i="10"/>
  <c r="J800" i="10"/>
  <c r="J798" i="10"/>
  <c r="J796" i="10"/>
  <c r="J794" i="10"/>
  <c r="J792" i="10"/>
  <c r="J790" i="10"/>
  <c r="J788" i="10"/>
  <c r="J786" i="10"/>
  <c r="J784" i="10"/>
  <c r="J782" i="10"/>
  <c r="J780" i="10"/>
  <c r="J778" i="10"/>
  <c r="J776" i="10"/>
  <c r="J774" i="10"/>
  <c r="J772" i="10"/>
  <c r="J770" i="10"/>
  <c r="J768" i="10"/>
  <c r="J766" i="10"/>
  <c r="J764" i="10"/>
  <c r="J762" i="10"/>
  <c r="J760" i="10"/>
  <c r="J758" i="10"/>
  <c r="J756" i="10"/>
  <c r="J754" i="10"/>
  <c r="J752" i="10"/>
  <c r="J750" i="10"/>
  <c r="J748" i="10"/>
  <c r="J746" i="10"/>
  <c r="J744" i="10"/>
  <c r="J742" i="10"/>
  <c r="J740" i="10"/>
  <c r="J738" i="10"/>
  <c r="J736" i="10"/>
  <c r="J734" i="10"/>
  <c r="J732" i="10"/>
  <c r="J730" i="10"/>
  <c r="J728" i="10"/>
  <c r="J726" i="10"/>
  <c r="J724" i="10"/>
  <c r="J722" i="10"/>
  <c r="J720" i="10"/>
  <c r="J718" i="10"/>
  <c r="J716" i="10"/>
  <c r="J714" i="10"/>
  <c r="J712" i="10"/>
  <c r="J710" i="10"/>
  <c r="J708" i="10"/>
  <c r="J706" i="10"/>
  <c r="J704" i="10"/>
  <c r="J702" i="10"/>
  <c r="J700" i="10"/>
  <c r="J698" i="10"/>
  <c r="J696" i="10"/>
  <c r="J694" i="10"/>
  <c r="J692" i="10"/>
  <c r="J690" i="10"/>
  <c r="J688" i="10"/>
  <c r="J686" i="10"/>
  <c r="J684" i="10"/>
  <c r="J682" i="10"/>
  <c r="J680" i="10"/>
  <c r="J678" i="10"/>
  <c r="J676" i="10"/>
  <c r="J674" i="10"/>
  <c r="J672" i="10"/>
  <c r="J670" i="10"/>
  <c r="J668" i="10"/>
  <c r="J666" i="10"/>
  <c r="J664" i="10"/>
  <c r="J662" i="10"/>
  <c r="J660" i="10"/>
  <c r="J658" i="10"/>
  <c r="J656" i="10"/>
  <c r="J654" i="10"/>
  <c r="J652" i="10"/>
  <c r="J650" i="10"/>
  <c r="J648" i="10"/>
  <c r="J646" i="10"/>
  <c r="J644" i="10"/>
  <c r="J642" i="10"/>
  <c r="J640" i="10"/>
  <c r="J638" i="10"/>
  <c r="J636" i="10"/>
  <c r="J634" i="10"/>
  <c r="J632" i="10"/>
  <c r="J630" i="10"/>
  <c r="J628" i="10"/>
  <c r="J626" i="10"/>
  <c r="J624" i="10"/>
  <c r="J622" i="10"/>
  <c r="J620" i="10"/>
  <c r="J618" i="10"/>
  <c r="J616" i="10"/>
  <c r="J614" i="10"/>
  <c r="J612" i="10"/>
  <c r="J610" i="10"/>
  <c r="J608" i="10"/>
  <c r="J606" i="10"/>
  <c r="J604" i="10"/>
  <c r="J602" i="10"/>
  <c r="J600" i="10"/>
  <c r="J598" i="10"/>
  <c r="J596" i="10"/>
  <c r="J594" i="10"/>
  <c r="J592" i="10"/>
  <c r="J590" i="10"/>
  <c r="J588" i="10"/>
  <c r="J586" i="10"/>
  <c r="J584" i="10"/>
  <c r="J582" i="10"/>
  <c r="J580" i="10"/>
  <c r="J578" i="10"/>
  <c r="J576" i="10"/>
  <c r="J574" i="10"/>
  <c r="J572" i="10"/>
  <c r="J570" i="10"/>
  <c r="J568" i="10"/>
  <c r="J566" i="10"/>
  <c r="J564" i="10"/>
  <c r="J562" i="10"/>
  <c r="J560" i="10"/>
  <c r="J558" i="10"/>
  <c r="J556" i="10"/>
  <c r="J554" i="10"/>
  <c r="J552" i="10"/>
  <c r="J550" i="10"/>
  <c r="J548" i="10"/>
  <c r="J546" i="10"/>
  <c r="J544" i="10"/>
  <c r="J542" i="10"/>
  <c r="J540" i="10"/>
  <c r="J538" i="10"/>
  <c r="J536" i="10"/>
  <c r="J534" i="10"/>
  <c r="J532" i="10"/>
  <c r="J530" i="10"/>
  <c r="J528" i="10"/>
  <c r="J526" i="10"/>
  <c r="J524" i="10"/>
  <c r="J522" i="10"/>
  <c r="J520" i="10"/>
  <c r="J518" i="10"/>
  <c r="J516" i="10"/>
  <c r="J514" i="10"/>
  <c r="J512" i="10"/>
  <c r="J510" i="10"/>
  <c r="J508" i="10"/>
  <c r="J506" i="10"/>
  <c r="J504" i="10"/>
  <c r="J502" i="10"/>
  <c r="J500" i="10"/>
  <c r="J498" i="10"/>
  <c r="J496" i="10"/>
  <c r="J494" i="10"/>
  <c r="J492" i="10"/>
  <c r="J490" i="10"/>
  <c r="J488" i="10"/>
  <c r="J486" i="10"/>
  <c r="J484" i="10"/>
  <c r="J482" i="10"/>
  <c r="J480" i="10"/>
  <c r="J478" i="10"/>
  <c r="J476" i="10"/>
  <c r="J474" i="10"/>
  <c r="J472" i="10"/>
  <c r="J470" i="10"/>
  <c r="J996" i="10"/>
  <c r="J993" i="10"/>
  <c r="J989" i="10"/>
  <c r="J982" i="10"/>
  <c r="J978" i="10"/>
  <c r="J975" i="10"/>
  <c r="J964" i="10"/>
  <c r="J961" i="10"/>
  <c r="J957" i="10"/>
  <c r="J950" i="10"/>
  <c r="J946" i="10"/>
  <c r="J943" i="10"/>
  <c r="J932" i="10"/>
  <c r="J929" i="10"/>
  <c r="J925" i="10"/>
  <c r="J918" i="10"/>
  <c r="J914" i="10"/>
  <c r="J911" i="10"/>
  <c r="J900" i="10"/>
  <c r="J897" i="10"/>
  <c r="J893" i="10"/>
  <c r="J886" i="10"/>
  <c r="J882" i="10"/>
  <c r="J879" i="10"/>
  <c r="J868" i="10"/>
  <c r="J865" i="10"/>
  <c r="J861" i="10"/>
  <c r="J854" i="10"/>
  <c r="J850" i="10"/>
  <c r="J847" i="10"/>
  <c r="J836" i="10"/>
  <c r="J833" i="10"/>
  <c r="J827" i="10"/>
  <c r="J819" i="10"/>
  <c r="J811" i="10"/>
  <c r="J803" i="10"/>
  <c r="J795" i="10"/>
  <c r="J787" i="10"/>
  <c r="J779" i="10"/>
  <c r="J771" i="10"/>
  <c r="J763" i="10"/>
  <c r="J755" i="10"/>
  <c r="J747" i="10"/>
  <c r="J739" i="10"/>
  <c r="J731" i="10"/>
  <c r="J723" i="10"/>
  <c r="J715" i="10"/>
  <c r="J707" i="10"/>
  <c r="J699" i="10"/>
  <c r="J691" i="10"/>
  <c r="J683" i="10"/>
  <c r="J675" i="10"/>
  <c r="J667" i="10"/>
  <c r="J659" i="10"/>
  <c r="J651" i="10"/>
  <c r="J643" i="10"/>
  <c r="J635" i="10"/>
  <c r="J627" i="10"/>
  <c r="J619" i="10"/>
  <c r="J611" i="10"/>
  <c r="J603" i="10"/>
  <c r="J595" i="10"/>
  <c r="J587" i="10"/>
  <c r="J579" i="10"/>
  <c r="J571" i="10"/>
  <c r="J563" i="10"/>
  <c r="J555" i="10"/>
  <c r="J547" i="10"/>
  <c r="J539" i="10"/>
  <c r="J531" i="10"/>
  <c r="J523" i="10"/>
  <c r="J515" i="10"/>
  <c r="J507" i="10"/>
  <c r="J499" i="10"/>
  <c r="J999" i="10"/>
  <c r="J988" i="10"/>
  <c r="J985" i="10"/>
  <c r="J981" i="10"/>
  <c r="J974" i="10"/>
  <c r="J970" i="10"/>
  <c r="J967" i="10"/>
  <c r="J956" i="10"/>
  <c r="J953" i="10"/>
  <c r="J949" i="10"/>
  <c r="J942" i="10"/>
  <c r="J938" i="10"/>
  <c r="J935" i="10"/>
  <c r="J924" i="10"/>
  <c r="J921" i="10"/>
  <c r="J917" i="10"/>
  <c r="J910" i="10"/>
  <c r="J906" i="10"/>
  <c r="J903" i="10"/>
  <c r="J892" i="10"/>
  <c r="J889" i="10"/>
  <c r="J885" i="10"/>
  <c r="J878" i="10"/>
  <c r="J874" i="10"/>
  <c r="J871" i="10"/>
  <c r="J860" i="10"/>
  <c r="J857" i="10"/>
  <c r="J853" i="10"/>
  <c r="J846" i="10"/>
  <c r="J842" i="10"/>
  <c r="J839" i="10"/>
  <c r="J829" i="10"/>
  <c r="J821" i="10"/>
  <c r="J813" i="10"/>
  <c r="J805" i="10"/>
  <c r="J797" i="10"/>
  <c r="J789" i="10"/>
  <c r="J781" i="10"/>
  <c r="J773" i="10"/>
  <c r="J765" i="10"/>
  <c r="J757" i="10"/>
  <c r="J749" i="10"/>
  <c r="J741" i="10"/>
  <c r="J733" i="10"/>
  <c r="J725" i="10"/>
  <c r="J717" i="10"/>
  <c r="J709" i="10"/>
  <c r="J701" i="10"/>
  <c r="J693" i="10"/>
  <c r="J998" i="10"/>
  <c r="J991" i="10"/>
  <c r="J977" i="10"/>
  <c r="J962" i="10"/>
  <c r="J948" i="10"/>
  <c r="J941" i="10"/>
  <c r="J934" i="10"/>
  <c r="J927" i="10"/>
  <c r="J913" i="10"/>
  <c r="J898" i="10"/>
  <c r="J884" i="10"/>
  <c r="J877" i="10"/>
  <c r="J870" i="10"/>
  <c r="J863" i="10"/>
  <c r="J849" i="10"/>
  <c r="J834" i="10"/>
  <c r="J823" i="10"/>
  <c r="J807" i="10"/>
  <c r="J791" i="10"/>
  <c r="J775" i="10"/>
  <c r="J759" i="10"/>
  <c r="J743" i="10"/>
  <c r="J727" i="10"/>
  <c r="J711" i="10"/>
  <c r="J695" i="10"/>
  <c r="J679" i="10"/>
  <c r="J665" i="10"/>
  <c r="J661" i="10"/>
  <c r="J647" i="10"/>
  <c r="J633" i="10"/>
  <c r="J629" i="10"/>
  <c r="J615" i="10"/>
  <c r="J601" i="10"/>
  <c r="J597" i="10"/>
  <c r="J583" i="10"/>
  <c r="J569" i="10"/>
  <c r="J565" i="10"/>
  <c r="J551" i="10"/>
  <c r="J537" i="10"/>
  <c r="J533" i="10"/>
  <c r="J519" i="10"/>
  <c r="J505" i="10"/>
  <c r="J501" i="10"/>
  <c r="J491" i="10"/>
  <c r="J483" i="10"/>
  <c r="J475" i="10"/>
  <c r="B28" i="9"/>
  <c r="J371" i="10"/>
  <c r="J369" i="10"/>
  <c r="J367" i="10"/>
  <c r="J365" i="10"/>
  <c r="J363" i="10"/>
  <c r="J359" i="10"/>
  <c r="J357" i="10"/>
  <c r="J355" i="10"/>
  <c r="J353" i="10"/>
  <c r="J349" i="10"/>
  <c r="J345" i="10"/>
  <c r="J341" i="10"/>
  <c r="J337" i="10"/>
  <c r="J997" i="10"/>
  <c r="J990" i="10"/>
  <c r="J983" i="10"/>
  <c r="J969" i="10"/>
  <c r="J954" i="10"/>
  <c r="J940" i="10"/>
  <c r="J933" i="10"/>
  <c r="J926" i="10"/>
  <c r="J919" i="10"/>
  <c r="J905" i="10"/>
  <c r="J890" i="10"/>
  <c r="J876" i="10"/>
  <c r="J869" i="10"/>
  <c r="J862" i="10"/>
  <c r="J855" i="10"/>
  <c r="J841" i="10"/>
  <c r="J817" i="10"/>
  <c r="J801" i="10"/>
  <c r="J785" i="10"/>
  <c r="J769" i="10"/>
  <c r="J753" i="10"/>
  <c r="J737" i="10"/>
  <c r="J721" i="10"/>
  <c r="J705" i="10"/>
  <c r="J689" i="10"/>
  <c r="J685" i="10"/>
  <c r="J671" i="10"/>
  <c r="J657" i="10"/>
  <c r="J653" i="10"/>
  <c r="J639" i="10"/>
  <c r="J625" i="10"/>
  <c r="J621" i="10"/>
  <c r="J607" i="10"/>
  <c r="J593" i="10"/>
  <c r="J589" i="10"/>
  <c r="J575" i="10"/>
  <c r="J561" i="10"/>
  <c r="J557" i="10"/>
  <c r="J543" i="10"/>
  <c r="J529" i="10"/>
  <c r="J525" i="10"/>
  <c r="J511" i="10"/>
  <c r="J497" i="10"/>
  <c r="J493" i="10"/>
  <c r="J485" i="10"/>
  <c r="J477" i="10"/>
  <c r="J469" i="10"/>
  <c r="J467" i="10"/>
  <c r="J465" i="10"/>
  <c r="J463" i="10"/>
  <c r="J461" i="10"/>
  <c r="J459" i="10"/>
  <c r="J457" i="10"/>
  <c r="J455" i="10"/>
  <c r="J453" i="10"/>
  <c r="J451" i="10"/>
  <c r="J449" i="10"/>
  <c r="J447" i="10"/>
  <c r="J445" i="10"/>
  <c r="J443" i="10"/>
  <c r="J441" i="10"/>
  <c r="J439" i="10"/>
  <c r="J437" i="10"/>
  <c r="J435" i="10"/>
  <c r="J433" i="10"/>
  <c r="J431" i="10"/>
  <c r="J429" i="10"/>
  <c r="J427" i="10"/>
  <c r="J425" i="10"/>
  <c r="J423" i="10"/>
  <c r="J421" i="10"/>
  <c r="J419" i="10"/>
  <c r="J417" i="10"/>
  <c r="J415" i="10"/>
  <c r="J413" i="10"/>
  <c r="J411" i="10"/>
  <c r="J409" i="10"/>
  <c r="J407" i="10"/>
  <c r="J405" i="10"/>
  <c r="J403" i="10"/>
  <c r="J401" i="10"/>
  <c r="J399" i="10"/>
  <c r="J397" i="10"/>
  <c r="J395" i="10"/>
  <c r="J393" i="10"/>
  <c r="J391" i="10"/>
  <c r="J389" i="10"/>
  <c r="J387" i="10"/>
  <c r="J385" i="10"/>
  <c r="J383" i="10"/>
  <c r="J381" i="10"/>
  <c r="J379" i="10"/>
  <c r="J377" i="10"/>
  <c r="J375" i="10"/>
  <c r="J373" i="10"/>
  <c r="J361" i="10"/>
  <c r="J351" i="10"/>
  <c r="J347" i="10"/>
  <c r="J343" i="10"/>
  <c r="J339" i="10"/>
  <c r="J335" i="10"/>
  <c r="J994" i="10"/>
  <c r="J980" i="10"/>
  <c r="J966" i="10"/>
  <c r="J909" i="10"/>
  <c r="J895" i="10"/>
  <c r="J881" i="10"/>
  <c r="J866" i="10"/>
  <c r="J852" i="10"/>
  <c r="J838" i="10"/>
  <c r="J815" i="10"/>
  <c r="J783" i="10"/>
  <c r="J751" i="10"/>
  <c r="J719" i="10"/>
  <c r="J681" i="10"/>
  <c r="J645" i="10"/>
  <c r="J631" i="10"/>
  <c r="J617" i="10"/>
  <c r="J581" i="10"/>
  <c r="J567" i="10"/>
  <c r="J553" i="10"/>
  <c r="J517" i="10"/>
  <c r="J503" i="10"/>
  <c r="J479" i="10"/>
  <c r="J333" i="10"/>
  <c r="J328" i="10"/>
  <c r="J325" i="10"/>
  <c r="J320" i="10"/>
  <c r="J317" i="10"/>
  <c r="J312" i="10"/>
  <c r="J309" i="10"/>
  <c r="J304" i="10"/>
  <c r="J301" i="10"/>
  <c r="J296" i="10"/>
  <c r="J293" i="10"/>
  <c r="J288" i="10"/>
  <c r="J285" i="10"/>
  <c r="J280" i="10"/>
  <c r="J277" i="10"/>
  <c r="J272" i="10"/>
  <c r="J269" i="10"/>
  <c r="J264" i="10"/>
  <c r="J261" i="10"/>
  <c r="J256" i="10"/>
  <c r="J253" i="10"/>
  <c r="J248" i="10"/>
  <c r="J245" i="10"/>
  <c r="J240" i="10"/>
  <c r="J237" i="10"/>
  <c r="J232" i="10"/>
  <c r="J229" i="10"/>
  <c r="J224" i="10"/>
  <c r="J221" i="10"/>
  <c r="J216" i="10"/>
  <c r="J213" i="10"/>
  <c r="J208" i="10"/>
  <c r="J205" i="10"/>
  <c r="J200" i="10"/>
  <c r="J197" i="10"/>
  <c r="J192" i="10"/>
  <c r="J189" i="10"/>
  <c r="J184" i="10"/>
  <c r="J181" i="10"/>
  <c r="J176" i="10"/>
  <c r="J173" i="10"/>
  <c r="J168" i="10"/>
  <c r="J165" i="10"/>
  <c r="J160" i="10"/>
  <c r="J157" i="10"/>
  <c r="J152" i="10"/>
  <c r="J149" i="10"/>
  <c r="J144" i="10"/>
  <c r="J141" i="10"/>
  <c r="J136" i="10"/>
  <c r="J133" i="10"/>
  <c r="J128" i="10"/>
  <c r="J125" i="10"/>
  <c r="J120" i="10"/>
  <c r="J117" i="10"/>
  <c r="J112" i="10"/>
  <c r="J109" i="10"/>
  <c r="J104" i="10"/>
  <c r="J101" i="10"/>
  <c r="J96" i="10"/>
  <c r="J93" i="10"/>
  <c r="J88" i="10"/>
  <c r="J85" i="10"/>
  <c r="J80" i="10"/>
  <c r="J77" i="10"/>
  <c r="J72" i="10"/>
  <c r="J69" i="10"/>
  <c r="J64" i="10"/>
  <c r="J61" i="10"/>
  <c r="J56" i="10"/>
  <c r="J53" i="10"/>
  <c r="J48" i="10"/>
  <c r="J45" i="10"/>
  <c r="J40" i="10"/>
  <c r="J37" i="10"/>
  <c r="J32" i="10"/>
  <c r="J29" i="10"/>
  <c r="J24" i="10"/>
  <c r="J21" i="10"/>
  <c r="J16" i="10"/>
  <c r="J13" i="10"/>
  <c r="J8" i="10"/>
  <c r="J5" i="10"/>
  <c r="J973" i="10"/>
  <c r="J945" i="10"/>
  <c r="J930" i="10"/>
  <c r="J902" i="10"/>
  <c r="J965" i="10"/>
  <c r="J951" i="10"/>
  <c r="J937" i="10"/>
  <c r="J922" i="10"/>
  <c r="J908" i="10"/>
  <c r="J894" i="10"/>
  <c r="J837" i="10"/>
  <c r="J825" i="10"/>
  <c r="J793" i="10"/>
  <c r="J761" i="10"/>
  <c r="J729" i="10"/>
  <c r="J697" i="10"/>
  <c r="J687" i="10"/>
  <c r="J673" i="10"/>
  <c r="J637" i="10"/>
  <c r="J623" i="10"/>
  <c r="J609" i="10"/>
  <c r="J573" i="10"/>
  <c r="J559" i="10"/>
  <c r="J545" i="10"/>
  <c r="J509" i="10"/>
  <c r="J495" i="10"/>
  <c r="J489" i="10"/>
  <c r="J473" i="10"/>
  <c r="J468" i="10"/>
  <c r="J464" i="10"/>
  <c r="J460" i="10"/>
  <c r="J456" i="10"/>
  <c r="J452" i="10"/>
  <c r="J448" i="10"/>
  <c r="J444" i="10"/>
  <c r="J440" i="10"/>
  <c r="J436" i="10"/>
  <c r="J432" i="10"/>
  <c r="J428" i="10"/>
  <c r="J424" i="10"/>
  <c r="J420" i="10"/>
  <c r="J416" i="10"/>
  <c r="J412" i="10"/>
  <c r="J408" i="10"/>
  <c r="J404" i="10"/>
  <c r="J400" i="10"/>
  <c r="J396" i="10"/>
  <c r="J392" i="10"/>
  <c r="J388" i="10"/>
  <c r="J384" i="10"/>
  <c r="J380" i="10"/>
  <c r="J376" i="10"/>
  <c r="J372" i="10"/>
  <c r="J368" i="10"/>
  <c r="J364" i="10"/>
  <c r="J360" i="10"/>
  <c r="J356" i="10"/>
  <c r="J352" i="10"/>
  <c r="J348" i="10"/>
  <c r="J344" i="10"/>
  <c r="J340" i="10"/>
  <c r="J336" i="10"/>
  <c r="J330" i="10"/>
  <c r="J327" i="10"/>
  <c r="J322" i="10"/>
  <c r="J319" i="10"/>
  <c r="J314" i="10"/>
  <c r="J311" i="10"/>
  <c r="J306" i="10"/>
  <c r="J303" i="10"/>
  <c r="J298" i="10"/>
  <c r="J295" i="10"/>
  <c r="J290" i="10"/>
  <c r="J287" i="10"/>
  <c r="J282" i="10"/>
  <c r="J279" i="10"/>
  <c r="J274" i="10"/>
  <c r="J271" i="10"/>
  <c r="J266" i="10"/>
  <c r="J263" i="10"/>
  <c r="J258" i="10"/>
  <c r="J255" i="10"/>
  <c r="J250" i="10"/>
  <c r="J247" i="10"/>
  <c r="J242" i="10"/>
  <c r="J239" i="10"/>
  <c r="J234" i="10"/>
  <c r="J231" i="10"/>
  <c r="J226" i="10"/>
  <c r="J223" i="10"/>
  <c r="J218" i="10"/>
  <c r="J215" i="10"/>
  <c r="J210" i="10"/>
  <c r="J207" i="10"/>
  <c r="J202" i="10"/>
  <c r="J199" i="10"/>
  <c r="J194" i="10"/>
  <c r="J191" i="10"/>
  <c r="J186" i="10"/>
  <c r="J183" i="10"/>
  <c r="J178" i="10"/>
  <c r="J175" i="10"/>
  <c r="J170" i="10"/>
  <c r="J167" i="10"/>
  <c r="J162" i="10"/>
  <c r="J159" i="10"/>
  <c r="J154" i="10"/>
  <c r="J151" i="10"/>
  <c r="J146" i="10"/>
  <c r="J143" i="10"/>
  <c r="J138" i="10"/>
  <c r="J135" i="10"/>
  <c r="J130" i="10"/>
  <c r="J127" i="10"/>
  <c r="J122" i="10"/>
  <c r="J119" i="10"/>
  <c r="J114" i="10"/>
  <c r="J111" i="10"/>
  <c r="J106" i="10"/>
  <c r="J103" i="10"/>
  <c r="J98" i="10"/>
  <c r="J95" i="10"/>
  <c r="J90" i="10"/>
  <c r="J87" i="10"/>
  <c r="J82" i="10"/>
  <c r="J79" i="10"/>
  <c r="J74" i="10"/>
  <c r="J71" i="10"/>
  <c r="J66" i="10"/>
  <c r="J63" i="10"/>
  <c r="J58" i="10"/>
  <c r="J55" i="10"/>
  <c r="J50" i="10"/>
  <c r="J47" i="10"/>
  <c r="J42" i="10"/>
  <c r="J39" i="10"/>
  <c r="J34" i="10"/>
  <c r="J31" i="10"/>
  <c r="J26" i="10"/>
  <c r="J23" i="10"/>
  <c r="J18" i="10"/>
  <c r="J15" i="10"/>
  <c r="J10" i="10"/>
  <c r="J7" i="10"/>
  <c r="B30" i="9"/>
  <c r="J959" i="10"/>
  <c r="J916" i="10"/>
  <c r="J986" i="10"/>
  <c r="J887" i="10"/>
  <c r="J858" i="10"/>
  <c r="J809" i="10"/>
  <c r="J745" i="10"/>
  <c r="J669" i="10"/>
  <c r="J655" i="10"/>
  <c r="J641" i="10"/>
  <c r="J541" i="10"/>
  <c r="J527" i="10"/>
  <c r="J513" i="10"/>
  <c r="J466" i="10"/>
  <c r="J458" i="10"/>
  <c r="J450" i="10"/>
  <c r="J442" i="10"/>
  <c r="J434" i="10"/>
  <c r="J426" i="10"/>
  <c r="J418" i="10"/>
  <c r="J410" i="10"/>
  <c r="J402" i="10"/>
  <c r="J394" i="10"/>
  <c r="J386" i="10"/>
  <c r="J378" i="10"/>
  <c r="J370" i="10"/>
  <c r="J362" i="10"/>
  <c r="J354" i="10"/>
  <c r="J346" i="10"/>
  <c r="J338" i="10"/>
  <c r="J331" i="10"/>
  <c r="J326" i="10"/>
  <c r="J315" i="10"/>
  <c r="J310" i="10"/>
  <c r="J299" i="10"/>
  <c r="J294" i="10"/>
  <c r="J283" i="10"/>
  <c r="J278" i="10"/>
  <c r="J267" i="10"/>
  <c r="J262" i="10"/>
  <c r="J251" i="10"/>
  <c r="J246" i="10"/>
  <c r="J235" i="10"/>
  <c r="J230" i="10"/>
  <c r="J219" i="10"/>
  <c r="J214" i="10"/>
  <c r="J203" i="10"/>
  <c r="J198" i="10"/>
  <c r="J187" i="10"/>
  <c r="J182" i="10"/>
  <c r="J171" i="10"/>
  <c r="J166" i="10"/>
  <c r="J155" i="10"/>
  <c r="J150" i="10"/>
  <c r="J139" i="10"/>
  <c r="J134" i="10"/>
  <c r="J123" i="10"/>
  <c r="J118" i="10"/>
  <c r="J107" i="10"/>
  <c r="J102" i="10"/>
  <c r="J91" i="10"/>
  <c r="J86" i="10"/>
  <c r="J75" i="10"/>
  <c r="J70" i="10"/>
  <c r="J59" i="10"/>
  <c r="J54" i="10"/>
  <c r="J43" i="10"/>
  <c r="J38" i="10"/>
  <c r="J27" i="10"/>
  <c r="J22" i="10"/>
  <c r="J11" i="10"/>
  <c r="J6" i="10"/>
  <c r="J958" i="10"/>
  <c r="J844" i="10"/>
  <c r="J713" i="10"/>
  <c r="J591" i="10"/>
  <c r="J462" i="10"/>
  <c r="J446" i="10"/>
  <c r="J430" i="10"/>
  <c r="J414" i="10"/>
  <c r="J398" i="10"/>
  <c r="J382" i="10"/>
  <c r="J366" i="10"/>
  <c r="J350" i="10"/>
  <c r="J334" i="10"/>
  <c r="J318" i="10"/>
  <c r="J302" i="10"/>
  <c r="J291" i="10"/>
  <c r="J270" i="10"/>
  <c r="J259" i="10"/>
  <c r="J238" i="10"/>
  <c r="J227" i="10"/>
  <c r="J206" i="10"/>
  <c r="J195" i="10"/>
  <c r="J174" i="10"/>
  <c r="J163" i="10"/>
  <c r="J142" i="10"/>
  <c r="J131" i="10"/>
  <c r="J110" i="10"/>
  <c r="J99" i="10"/>
  <c r="J78" i="10"/>
  <c r="J67" i="10"/>
  <c r="J46" i="10"/>
  <c r="J35" i="10"/>
  <c r="J14" i="10"/>
  <c r="J703" i="10"/>
  <c r="J599" i="10"/>
  <c r="J332" i="10"/>
  <c r="J321" i="10"/>
  <c r="J300" i="10"/>
  <c r="J289" i="10"/>
  <c r="J273" i="10"/>
  <c r="J252" i="10"/>
  <c r="J241" i="10"/>
  <c r="J220" i="10"/>
  <c r="J209" i="10"/>
  <c r="J188" i="10"/>
  <c r="J177" i="10"/>
  <c r="J156" i="10"/>
  <c r="J145" i="10"/>
  <c r="J124" i="10"/>
  <c r="J113" i="10"/>
  <c r="J92" i="10"/>
  <c r="J81" i="10"/>
  <c r="J60" i="10"/>
  <c r="J49" i="10"/>
  <c r="J28" i="10"/>
  <c r="J17" i="10"/>
  <c r="J972" i="10"/>
  <c r="J845" i="10"/>
  <c r="J799" i="10"/>
  <c r="J735" i="10"/>
  <c r="J677" i="10"/>
  <c r="J663" i="10"/>
  <c r="J649" i="10"/>
  <c r="J549" i="10"/>
  <c r="J535" i="10"/>
  <c r="J521" i="10"/>
  <c r="J471" i="10"/>
  <c r="J329" i="10"/>
  <c r="J324" i="10"/>
  <c r="J313" i="10"/>
  <c r="J308" i="10"/>
  <c r="J297" i="10"/>
  <c r="J292" i="10"/>
  <c r="J281" i="10"/>
  <c r="J276" i="10"/>
  <c r="J265" i="10"/>
  <c r="J260" i="10"/>
  <c r="J249" i="10"/>
  <c r="J244" i="10"/>
  <c r="J233" i="10"/>
  <c r="J228" i="10"/>
  <c r="J217" i="10"/>
  <c r="J212" i="10"/>
  <c r="J201" i="10"/>
  <c r="J196" i="10"/>
  <c r="J185" i="10"/>
  <c r="J180" i="10"/>
  <c r="J169" i="10"/>
  <c r="J164" i="10"/>
  <c r="J153" i="10"/>
  <c r="J148" i="10"/>
  <c r="J137" i="10"/>
  <c r="J132" i="10"/>
  <c r="J121" i="10"/>
  <c r="J116" i="10"/>
  <c r="J105" i="10"/>
  <c r="J100" i="10"/>
  <c r="J89" i="10"/>
  <c r="J84" i="10"/>
  <c r="J73" i="10"/>
  <c r="J68" i="10"/>
  <c r="J57" i="10"/>
  <c r="J52" i="10"/>
  <c r="J41" i="10"/>
  <c r="J36" i="10"/>
  <c r="J25" i="10"/>
  <c r="J20" i="10"/>
  <c r="J9" i="10"/>
  <c r="B29" i="9"/>
  <c r="J901" i="10"/>
  <c r="J873" i="10"/>
  <c r="J777" i="10"/>
  <c r="J605" i="10"/>
  <c r="J577" i="10"/>
  <c r="J481" i="10"/>
  <c r="J454" i="10"/>
  <c r="J438" i="10"/>
  <c r="J422" i="10"/>
  <c r="J406" i="10"/>
  <c r="J390" i="10"/>
  <c r="J374" i="10"/>
  <c r="J358" i="10"/>
  <c r="J342" i="10"/>
  <c r="J323" i="10"/>
  <c r="J307" i="10"/>
  <c r="J286" i="10"/>
  <c r="J275" i="10"/>
  <c r="J254" i="10"/>
  <c r="J243" i="10"/>
  <c r="J222" i="10"/>
  <c r="J211" i="10"/>
  <c r="J190" i="10"/>
  <c r="J179" i="10"/>
  <c r="J158" i="10"/>
  <c r="J147" i="10"/>
  <c r="J126" i="10"/>
  <c r="J115" i="10"/>
  <c r="J94" i="10"/>
  <c r="J83" i="10"/>
  <c r="J62" i="10"/>
  <c r="J51" i="10"/>
  <c r="J30" i="10"/>
  <c r="J19" i="10"/>
  <c r="J831" i="10"/>
  <c r="J767" i="10"/>
  <c r="J613" i="10"/>
  <c r="J585" i="10"/>
  <c r="J487" i="10"/>
  <c r="J316" i="10"/>
  <c r="J305" i="10"/>
  <c r="J284" i="10"/>
  <c r="J268" i="10"/>
  <c r="J257" i="10"/>
  <c r="J236" i="10"/>
  <c r="J225" i="10"/>
  <c r="J204" i="10"/>
  <c r="J193" i="10"/>
  <c r="J172" i="10"/>
  <c r="J161" i="10"/>
  <c r="J140" i="10"/>
  <c r="J129" i="10"/>
  <c r="J108" i="10"/>
  <c r="J97" i="10"/>
  <c r="J76" i="10"/>
  <c r="J65" i="10"/>
  <c r="J44" i="10"/>
  <c r="J33" i="10"/>
  <c r="J12" i="10"/>
  <c r="K12" i="10" l="1"/>
  <c r="K76" i="10"/>
  <c r="K140" i="10"/>
  <c r="K204" i="10"/>
  <c r="K268" i="10"/>
  <c r="K487" i="10"/>
  <c r="K831" i="10"/>
  <c r="K62" i="10"/>
  <c r="K126" i="10"/>
  <c r="K190" i="10"/>
  <c r="K254" i="10"/>
  <c r="K323" i="10"/>
  <c r="K390" i="10"/>
  <c r="K454" i="10"/>
  <c r="K777" i="10"/>
  <c r="K20" i="10"/>
  <c r="K52" i="10"/>
  <c r="K84" i="10"/>
  <c r="K116" i="10"/>
  <c r="K148" i="10"/>
  <c r="K180" i="10"/>
  <c r="K212" i="10"/>
  <c r="K244" i="10"/>
  <c r="K276" i="10"/>
  <c r="K308" i="10"/>
  <c r="K471" i="10"/>
  <c r="K649" i="10"/>
  <c r="K799" i="10"/>
  <c r="K28" i="10"/>
  <c r="K92" i="10"/>
  <c r="K156" i="10"/>
  <c r="K220" i="10"/>
  <c r="K289" i="10"/>
  <c r="K599" i="10"/>
  <c r="K46" i="10"/>
  <c r="K110" i="10"/>
  <c r="K174" i="10"/>
  <c r="K238" i="10"/>
  <c r="K302" i="10"/>
  <c r="K366" i="10"/>
  <c r="K430" i="10"/>
  <c r="K713" i="10"/>
  <c r="K11" i="10"/>
  <c r="K43" i="10"/>
  <c r="K75" i="10"/>
  <c r="K33" i="10"/>
  <c r="K97" i="10"/>
  <c r="K161" i="10"/>
  <c r="K225" i="10"/>
  <c r="K284" i="10"/>
  <c r="K585" i="10"/>
  <c r="K19" i="10"/>
  <c r="K83" i="10"/>
  <c r="K147" i="10"/>
  <c r="K211" i="10"/>
  <c r="K275" i="10"/>
  <c r="K342" i="10"/>
  <c r="K406" i="10"/>
  <c r="K481" i="10"/>
  <c r="K873" i="10"/>
  <c r="K25" i="10"/>
  <c r="K57" i="10"/>
  <c r="K89" i="10"/>
  <c r="K121" i="10"/>
  <c r="K153" i="10"/>
  <c r="K185" i="10"/>
  <c r="K217" i="10"/>
  <c r="K249" i="10"/>
  <c r="K281" i="10"/>
  <c r="K313" i="10"/>
  <c r="K521" i="10"/>
  <c r="K663" i="10"/>
  <c r="K845" i="10"/>
  <c r="K49" i="10"/>
  <c r="K113" i="10"/>
  <c r="K177" i="10"/>
  <c r="K241" i="10"/>
  <c r="K300" i="10"/>
  <c r="K703" i="10"/>
  <c r="K67" i="10"/>
  <c r="K131" i="10"/>
  <c r="K195" i="10"/>
  <c r="K259" i="10"/>
  <c r="K318" i="10"/>
  <c r="K382" i="10"/>
  <c r="K446" i="10"/>
  <c r="K844" i="10"/>
  <c r="K22" i="10"/>
  <c r="K54" i="10"/>
  <c r="K86" i="10"/>
  <c r="K118" i="10"/>
  <c r="K150" i="10"/>
  <c r="K182" i="10"/>
  <c r="K214" i="10"/>
  <c r="K246" i="10"/>
  <c r="K278" i="10"/>
  <c r="K310" i="10"/>
  <c r="K338" i="10"/>
  <c r="K370" i="10"/>
  <c r="K402" i="10"/>
  <c r="K434" i="10"/>
  <c r="K466" i="10"/>
  <c r="K641" i="10"/>
  <c r="K809" i="10"/>
  <c r="K916" i="10"/>
  <c r="K15" i="10"/>
  <c r="K31" i="10"/>
  <c r="K47" i="10"/>
  <c r="K63" i="10"/>
  <c r="K79" i="10"/>
  <c r="K95" i="10"/>
  <c r="K111" i="10"/>
  <c r="K127" i="10"/>
  <c r="K143" i="10"/>
  <c r="K159" i="10"/>
  <c r="K175" i="10"/>
  <c r="K191" i="10"/>
  <c r="K207" i="10"/>
  <c r="K223" i="10"/>
  <c r="K239" i="10"/>
  <c r="K255" i="10"/>
  <c r="K271" i="10"/>
  <c r="K287" i="10"/>
  <c r="K303" i="10"/>
  <c r="K319" i="10"/>
  <c r="K336" i="10"/>
  <c r="K352" i="10"/>
  <c r="K368" i="10"/>
  <c r="K384" i="10"/>
  <c r="K400" i="10"/>
  <c r="K416" i="10"/>
  <c r="K432" i="10"/>
  <c r="K448" i="10"/>
  <c r="K464" i="10"/>
  <c r="K495" i="10"/>
  <c r="K573" i="10"/>
  <c r="K673" i="10"/>
  <c r="K761" i="10"/>
  <c r="K894" i="10"/>
  <c r="K951" i="10"/>
  <c r="K945" i="10"/>
  <c r="K13" i="10"/>
  <c r="K29" i="10"/>
  <c r="K45" i="10"/>
  <c r="K61" i="10"/>
  <c r="K77" i="10"/>
  <c r="K93" i="10"/>
  <c r="K109" i="10"/>
  <c r="K125" i="10"/>
  <c r="K141" i="10"/>
  <c r="K157" i="10"/>
  <c r="K173" i="10"/>
  <c r="K189" i="10"/>
  <c r="K205" i="10"/>
  <c r="K221" i="10"/>
  <c r="K237" i="10"/>
  <c r="K253" i="10"/>
  <c r="K269" i="10"/>
  <c r="K285" i="10"/>
  <c r="K301" i="10"/>
  <c r="K317" i="10"/>
  <c r="K333" i="10"/>
  <c r="K553" i="10"/>
  <c r="K631" i="10"/>
  <c r="K751" i="10"/>
  <c r="K852" i="10"/>
  <c r="K909" i="10"/>
  <c r="K335" i="10"/>
  <c r="K351" i="10"/>
  <c r="K377" i="10"/>
  <c r="K385" i="10"/>
  <c r="K393" i="10"/>
  <c r="K401" i="10"/>
  <c r="K409" i="10"/>
  <c r="K417" i="10"/>
  <c r="K44" i="10"/>
  <c r="K108" i="10"/>
  <c r="K172" i="10"/>
  <c r="K236" i="10"/>
  <c r="K305" i="10"/>
  <c r="K613" i="10"/>
  <c r="K30" i="10"/>
  <c r="K94" i="10"/>
  <c r="K158" i="10"/>
  <c r="K222" i="10"/>
  <c r="K286" i="10"/>
  <c r="K358" i="10"/>
  <c r="K422" i="10"/>
  <c r="K577" i="10"/>
  <c r="K901" i="10"/>
  <c r="K36" i="10"/>
  <c r="K68" i="10"/>
  <c r="K100" i="10"/>
  <c r="K132" i="10"/>
  <c r="K164" i="10"/>
  <c r="K196" i="10"/>
  <c r="K228" i="10"/>
  <c r="K260" i="10"/>
  <c r="K292" i="10"/>
  <c r="K324" i="10"/>
  <c r="K535" i="10"/>
  <c r="K677" i="10"/>
  <c r="K972" i="10"/>
  <c r="K60" i="10"/>
  <c r="K124" i="10"/>
  <c r="K188" i="10"/>
  <c r="K252" i="10"/>
  <c r="K321" i="10"/>
  <c r="K14" i="10"/>
  <c r="K78" i="10"/>
  <c r="K142" i="10"/>
  <c r="K206" i="10"/>
  <c r="K270" i="10"/>
  <c r="K334" i="10"/>
  <c r="K398" i="10"/>
  <c r="K462" i="10"/>
  <c r="K958" i="10"/>
  <c r="K27" i="10"/>
  <c r="K59" i="10"/>
  <c r="K91" i="10"/>
  <c r="K123" i="10"/>
  <c r="K155" i="10"/>
  <c r="K187" i="10"/>
  <c r="K219" i="10"/>
  <c r="K251" i="10"/>
  <c r="K283" i="10"/>
  <c r="K315" i="10"/>
  <c r="K346" i="10"/>
  <c r="K378" i="10"/>
  <c r="K410" i="10"/>
  <c r="K442" i="10"/>
  <c r="K513" i="10"/>
  <c r="K655" i="10"/>
  <c r="K858" i="10"/>
  <c r="K959" i="10"/>
  <c r="K18" i="10"/>
  <c r="K34" i="10"/>
  <c r="K50" i="10"/>
  <c r="K66" i="10"/>
  <c r="K82" i="10"/>
  <c r="K98" i="10"/>
  <c r="K114" i="10"/>
  <c r="K130" i="10"/>
  <c r="K146" i="10"/>
  <c r="K162" i="10"/>
  <c r="K178" i="10"/>
  <c r="K194" i="10"/>
  <c r="K210" i="10"/>
  <c r="K226" i="10"/>
  <c r="K242" i="10"/>
  <c r="K258" i="10"/>
  <c r="K274" i="10"/>
  <c r="K290" i="10"/>
  <c r="K306" i="10"/>
  <c r="K322" i="10"/>
  <c r="K340" i="10"/>
  <c r="K356" i="10"/>
  <c r="K372" i="10"/>
  <c r="K388" i="10"/>
  <c r="K404" i="10"/>
  <c r="K420" i="10"/>
  <c r="K436" i="10"/>
  <c r="K452" i="10"/>
  <c r="K468" i="10"/>
  <c r="K509" i="10"/>
  <c r="K609" i="10"/>
  <c r="K687" i="10"/>
  <c r="K793" i="10"/>
  <c r="K908" i="10"/>
  <c r="K965" i="10"/>
  <c r="K973" i="10"/>
  <c r="K16" i="10"/>
  <c r="K32" i="10"/>
  <c r="K48" i="10"/>
  <c r="K64" i="10"/>
  <c r="K80" i="10"/>
  <c r="K96" i="10"/>
  <c r="K112" i="10"/>
  <c r="K128" i="10"/>
  <c r="K144" i="10"/>
  <c r="K160" i="10"/>
  <c r="K176" i="10"/>
  <c r="K192" i="10"/>
  <c r="K208" i="10"/>
  <c r="K224" i="10"/>
  <c r="K240" i="10"/>
  <c r="K256" i="10"/>
  <c r="K272" i="10"/>
  <c r="K288" i="10"/>
  <c r="K304" i="10"/>
  <c r="K320" i="10"/>
  <c r="K479" i="10"/>
  <c r="K567" i="10"/>
  <c r="K645" i="10"/>
  <c r="K783" i="10"/>
  <c r="K866" i="10"/>
  <c r="K966" i="10"/>
  <c r="K339" i="10"/>
  <c r="K361" i="10"/>
  <c r="K379" i="10"/>
  <c r="K387" i="10"/>
  <c r="K395" i="10"/>
  <c r="K65" i="10"/>
  <c r="K129" i="10"/>
  <c r="K193" i="10"/>
  <c r="K257" i="10"/>
  <c r="K316" i="10"/>
  <c r="K767" i="10"/>
  <c r="K51" i="10"/>
  <c r="K115" i="10"/>
  <c r="K179" i="10"/>
  <c r="K243" i="10"/>
  <c r="K307" i="10"/>
  <c r="K374" i="10"/>
  <c r="K438" i="10"/>
  <c r="K605" i="10"/>
  <c r="K9" i="10"/>
  <c r="K41" i="10"/>
  <c r="K73" i="10"/>
  <c r="K105" i="10"/>
  <c r="K137" i="10"/>
  <c r="K265" i="10"/>
  <c r="K735" i="10"/>
  <c r="K209" i="10"/>
  <c r="K99" i="10"/>
  <c r="K350" i="10"/>
  <c r="K38" i="10"/>
  <c r="K134" i="10"/>
  <c r="K198" i="10"/>
  <c r="K262" i="10"/>
  <c r="K326" i="10"/>
  <c r="K386" i="10"/>
  <c r="K450" i="10"/>
  <c r="K669" i="10"/>
  <c r="K7" i="10"/>
  <c r="K39" i="10"/>
  <c r="K71" i="10"/>
  <c r="K103" i="10"/>
  <c r="K135" i="10"/>
  <c r="K167" i="10"/>
  <c r="K199" i="10"/>
  <c r="K231" i="10"/>
  <c r="K263" i="10"/>
  <c r="K295" i="10"/>
  <c r="K327" i="10"/>
  <c r="K360" i="10"/>
  <c r="K392" i="10"/>
  <c r="K424" i="10"/>
  <c r="K456" i="10"/>
  <c r="K545" i="10"/>
  <c r="K697" i="10"/>
  <c r="K922" i="10"/>
  <c r="K5" i="10"/>
  <c r="K37" i="10"/>
  <c r="K69" i="10"/>
  <c r="K101" i="10"/>
  <c r="K133" i="10"/>
  <c r="K165" i="10"/>
  <c r="K197" i="10"/>
  <c r="K229" i="10"/>
  <c r="K261" i="10"/>
  <c r="K293" i="10"/>
  <c r="K325" i="10"/>
  <c r="K581" i="10"/>
  <c r="K815" i="10"/>
  <c r="K980" i="10"/>
  <c r="K373" i="10"/>
  <c r="K389" i="10"/>
  <c r="K403" i="10"/>
  <c r="K413" i="10"/>
  <c r="K423" i="10"/>
  <c r="K431" i="10"/>
  <c r="K439" i="10"/>
  <c r="K447" i="10"/>
  <c r="K455" i="10"/>
  <c r="K463" i="10"/>
  <c r="K477" i="10"/>
  <c r="K511" i="10"/>
  <c r="K557" i="10"/>
  <c r="K593" i="10"/>
  <c r="K639" i="10"/>
  <c r="K685" i="10"/>
  <c r="K737" i="10"/>
  <c r="K801" i="10"/>
  <c r="K862" i="10"/>
  <c r="K905" i="10"/>
  <c r="K940" i="10"/>
  <c r="K990" i="10"/>
  <c r="K345" i="10"/>
  <c r="K357" i="10"/>
  <c r="K367" i="10"/>
  <c r="K483" i="10"/>
  <c r="K519" i="10"/>
  <c r="K565" i="10"/>
  <c r="K601" i="10"/>
  <c r="K647" i="10"/>
  <c r="K695" i="10"/>
  <c r="K759" i="10"/>
  <c r="K823" i="10"/>
  <c r="K870" i="10"/>
  <c r="K913" i="10"/>
  <c r="K948" i="10"/>
  <c r="K998" i="10"/>
  <c r="K169" i="10"/>
  <c r="K297" i="10"/>
  <c r="K17" i="10"/>
  <c r="K273" i="10"/>
  <c r="K163" i="10"/>
  <c r="K414" i="10"/>
  <c r="K70" i="10"/>
  <c r="K139" i="10"/>
  <c r="K203" i="10"/>
  <c r="K267" i="10"/>
  <c r="K331" i="10"/>
  <c r="K394" i="10"/>
  <c r="K458" i="10"/>
  <c r="K745" i="10"/>
  <c r="K10" i="10"/>
  <c r="K42" i="10"/>
  <c r="K74" i="10"/>
  <c r="K106" i="10"/>
  <c r="K138" i="10"/>
  <c r="K170" i="10"/>
  <c r="K202" i="10"/>
  <c r="K234" i="10"/>
  <c r="K266" i="10"/>
  <c r="K298" i="10"/>
  <c r="K330" i="10"/>
  <c r="K364" i="10"/>
  <c r="K396" i="10"/>
  <c r="K428" i="10"/>
  <c r="K460" i="10"/>
  <c r="K559" i="10"/>
  <c r="K729" i="10"/>
  <c r="K937" i="10"/>
  <c r="K8" i="10"/>
  <c r="K40" i="10"/>
  <c r="K72" i="10"/>
  <c r="K104" i="10"/>
  <c r="K136" i="10"/>
  <c r="K168" i="10"/>
  <c r="K200" i="10"/>
  <c r="K232" i="10"/>
  <c r="K264" i="10"/>
  <c r="K296" i="10"/>
  <c r="K328" i="10"/>
  <c r="K617" i="10"/>
  <c r="K838" i="10"/>
  <c r="K994" i="10"/>
  <c r="K375" i="10"/>
  <c r="K391" i="10"/>
  <c r="K405" i="10"/>
  <c r="K415" i="10"/>
  <c r="K425" i="10"/>
  <c r="K433" i="10"/>
  <c r="K441" i="10"/>
  <c r="K449" i="10"/>
  <c r="K457" i="10"/>
  <c r="K465" i="10"/>
  <c r="K485" i="10"/>
  <c r="K525" i="10"/>
  <c r="K561" i="10"/>
  <c r="K607" i="10"/>
  <c r="K653" i="10"/>
  <c r="K689" i="10"/>
  <c r="K753" i="10"/>
  <c r="K817" i="10"/>
  <c r="K869" i="10"/>
  <c r="K919" i="10"/>
  <c r="K954" i="10"/>
  <c r="K997" i="10"/>
  <c r="K349" i="10"/>
  <c r="K359" i="10"/>
  <c r="K369" i="10"/>
  <c r="K491" i="10"/>
  <c r="K533" i="10"/>
  <c r="K569" i="10"/>
  <c r="K615" i="10"/>
  <c r="K661" i="10"/>
  <c r="K711" i="10"/>
  <c r="K775" i="10"/>
  <c r="K834" i="10"/>
  <c r="K877" i="10"/>
  <c r="K927" i="10"/>
  <c r="K962" i="10"/>
  <c r="K693" i="10"/>
  <c r="K725" i="10"/>
  <c r="K757" i="10"/>
  <c r="K789" i="10"/>
  <c r="K821" i="10"/>
  <c r="K846" i="10"/>
  <c r="K871" i="10"/>
  <c r="K889" i="10"/>
  <c r="K910" i="10"/>
  <c r="K935" i="10"/>
  <c r="K953" i="10"/>
  <c r="K974" i="10"/>
  <c r="K999" i="10"/>
  <c r="K523" i="10"/>
  <c r="K555" i="10"/>
  <c r="K587" i="10"/>
  <c r="K619" i="10"/>
  <c r="K651" i="10"/>
  <c r="K683" i="10"/>
  <c r="K715" i="10"/>
  <c r="K747" i="10"/>
  <c r="K779" i="10"/>
  <c r="K811" i="10"/>
  <c r="K836" i="10"/>
  <c r="K861" i="10"/>
  <c r="K882" i="10"/>
  <c r="K900" i="10"/>
  <c r="K925" i="10"/>
  <c r="K946" i="10"/>
  <c r="K964" i="10"/>
  <c r="K989" i="10"/>
  <c r="K472" i="10"/>
  <c r="K480" i="10"/>
  <c r="K488" i="10"/>
  <c r="K496" i="10"/>
  <c r="K504" i="10"/>
  <c r="K512" i="10"/>
  <c r="K520" i="10"/>
  <c r="K528" i="10"/>
  <c r="K536" i="10"/>
  <c r="K544" i="10"/>
  <c r="K552" i="10"/>
  <c r="K560" i="10"/>
  <c r="K568" i="10"/>
  <c r="K576" i="10"/>
  <c r="K584" i="10"/>
  <c r="K592" i="10"/>
  <c r="K600" i="10"/>
  <c r="K608" i="10"/>
  <c r="K616" i="10"/>
  <c r="K624" i="10"/>
  <c r="K632" i="10"/>
  <c r="K640" i="10"/>
  <c r="K648" i="10"/>
  <c r="K656" i="10"/>
  <c r="K664" i="10"/>
  <c r="K672" i="10"/>
  <c r="K680" i="10"/>
  <c r="K688" i="10"/>
  <c r="K696" i="10"/>
  <c r="K704" i="10"/>
  <c r="K712" i="10"/>
  <c r="K720" i="10"/>
  <c r="K728" i="10"/>
  <c r="K736" i="10"/>
  <c r="K744" i="10"/>
  <c r="K752" i="10"/>
  <c r="K760" i="10"/>
  <c r="K768" i="10"/>
  <c r="K776" i="10"/>
  <c r="K784" i="10"/>
  <c r="K792" i="10"/>
  <c r="K800" i="10"/>
  <c r="K808" i="10"/>
  <c r="K816" i="10"/>
  <c r="K824" i="10"/>
  <c r="K832" i="10"/>
  <c r="K848" i="10"/>
  <c r="K864" i="10"/>
  <c r="K880" i="10"/>
  <c r="K896" i="10"/>
  <c r="K912" i="10"/>
  <c r="K928" i="10"/>
  <c r="K944" i="10"/>
  <c r="K960" i="10"/>
  <c r="K976" i="10"/>
  <c r="K992" i="10"/>
  <c r="K763" i="10"/>
  <c r="K914" i="10"/>
  <c r="K978" i="10"/>
  <c r="K484" i="10"/>
  <c r="K508" i="10"/>
  <c r="K532" i="10"/>
  <c r="K556" i="10"/>
  <c r="K580" i="10"/>
  <c r="K604" i="10"/>
  <c r="K628" i="10"/>
  <c r="K660" i="10"/>
  <c r="K692" i="10"/>
  <c r="K201" i="10"/>
  <c r="K329" i="10"/>
  <c r="K81" i="10"/>
  <c r="K332" i="10"/>
  <c r="K227" i="10"/>
  <c r="K591" i="10"/>
  <c r="K102" i="10"/>
  <c r="K166" i="10"/>
  <c r="K230" i="10"/>
  <c r="K294" i="10"/>
  <c r="K354" i="10"/>
  <c r="K418" i="10"/>
  <c r="K527" i="10"/>
  <c r="K887" i="10"/>
  <c r="K23" i="10"/>
  <c r="K55" i="10"/>
  <c r="K87" i="10"/>
  <c r="K119" i="10"/>
  <c r="K151" i="10"/>
  <c r="K183" i="10"/>
  <c r="K215" i="10"/>
  <c r="K247" i="10"/>
  <c r="K279" i="10"/>
  <c r="K311" i="10"/>
  <c r="K344" i="10"/>
  <c r="K376" i="10"/>
  <c r="K408" i="10"/>
  <c r="K440" i="10"/>
  <c r="K473" i="10"/>
  <c r="K623" i="10"/>
  <c r="K825" i="10"/>
  <c r="K902" i="10"/>
  <c r="K21" i="10"/>
  <c r="K53" i="10"/>
  <c r="K85" i="10"/>
  <c r="K117" i="10"/>
  <c r="K149" i="10"/>
  <c r="K181" i="10"/>
  <c r="K213" i="10"/>
  <c r="K245" i="10"/>
  <c r="K277" i="10"/>
  <c r="K309" i="10"/>
  <c r="K503" i="10"/>
  <c r="K681" i="10"/>
  <c r="K881" i="10"/>
  <c r="K343" i="10"/>
  <c r="K381" i="10"/>
  <c r="K397" i="10"/>
  <c r="K407" i="10"/>
  <c r="K419" i="10"/>
  <c r="K427" i="10"/>
  <c r="K435" i="10"/>
  <c r="K443" i="10"/>
  <c r="K451" i="10"/>
  <c r="K459" i="10"/>
  <c r="K467" i="10"/>
  <c r="K493" i="10"/>
  <c r="K529" i="10"/>
  <c r="K575" i="10"/>
  <c r="K621" i="10"/>
  <c r="K657" i="10"/>
  <c r="K705" i="10"/>
  <c r="K769" i="10"/>
  <c r="K841" i="10"/>
  <c r="K876" i="10"/>
  <c r="K926" i="10"/>
  <c r="K969" i="10"/>
  <c r="K337" i="10"/>
  <c r="K353" i="10"/>
  <c r="K363" i="10"/>
  <c r="K371" i="10"/>
  <c r="K501" i="10"/>
  <c r="K537" i="10"/>
  <c r="K583" i="10"/>
  <c r="K629" i="10"/>
  <c r="K665" i="10"/>
  <c r="K727" i="10"/>
  <c r="K791" i="10"/>
  <c r="K849" i="10"/>
  <c r="K884" i="10"/>
  <c r="K934" i="10"/>
  <c r="K977" i="10"/>
  <c r="K701" i="10"/>
  <c r="K733" i="10"/>
  <c r="K765" i="10"/>
  <c r="K797" i="10"/>
  <c r="K829" i="10"/>
  <c r="K853" i="10"/>
  <c r="K874" i="10"/>
  <c r="K892" i="10"/>
  <c r="K917" i="10"/>
  <c r="K938" i="10"/>
  <c r="K956" i="10"/>
  <c r="K981" i="10"/>
  <c r="K499" i="10"/>
  <c r="K531" i="10"/>
  <c r="K563" i="10"/>
  <c r="K595" i="10"/>
  <c r="K627" i="10"/>
  <c r="K659" i="10"/>
  <c r="K691" i="10"/>
  <c r="K723" i="10"/>
  <c r="K755" i="10"/>
  <c r="K787" i="10"/>
  <c r="K819" i="10"/>
  <c r="K847" i="10"/>
  <c r="K865" i="10"/>
  <c r="K886" i="10"/>
  <c r="K911" i="10"/>
  <c r="K929" i="10"/>
  <c r="K950" i="10"/>
  <c r="K975" i="10"/>
  <c r="K993" i="10"/>
  <c r="K474" i="10"/>
  <c r="K482" i="10"/>
  <c r="K490" i="10"/>
  <c r="K498" i="10"/>
  <c r="K506" i="10"/>
  <c r="K514" i="10"/>
  <c r="K522" i="10"/>
  <c r="K530" i="10"/>
  <c r="K538" i="10"/>
  <c r="K546" i="10"/>
  <c r="K554" i="10"/>
  <c r="K562" i="10"/>
  <c r="K570" i="10"/>
  <c r="K578" i="10"/>
  <c r="K586" i="10"/>
  <c r="K594" i="10"/>
  <c r="K602" i="10"/>
  <c r="K610" i="10"/>
  <c r="K618" i="10"/>
  <c r="K626" i="10"/>
  <c r="K634" i="10"/>
  <c r="K642" i="10"/>
  <c r="K650" i="10"/>
  <c r="K658" i="10"/>
  <c r="K666" i="10"/>
  <c r="K674" i="10"/>
  <c r="K682" i="10"/>
  <c r="K690" i="10"/>
  <c r="K698" i="10"/>
  <c r="K706" i="10"/>
  <c r="K714" i="10"/>
  <c r="K722" i="10"/>
  <c r="K730" i="10"/>
  <c r="K738" i="10"/>
  <c r="K746" i="10"/>
  <c r="K754" i="10"/>
  <c r="K762" i="10"/>
  <c r="K770" i="10"/>
  <c r="K778" i="10"/>
  <c r="K786" i="10"/>
  <c r="K794" i="10"/>
  <c r="K802" i="10"/>
  <c r="K810" i="10"/>
  <c r="K818" i="10"/>
  <c r="K826" i="10"/>
  <c r="K835" i="10"/>
  <c r="K851" i="10"/>
  <c r="K867" i="10"/>
  <c r="K883" i="10"/>
  <c r="K899" i="10"/>
  <c r="K915" i="10"/>
  <c r="K931" i="10"/>
  <c r="K947" i="10"/>
  <c r="K963" i="10"/>
  <c r="K979" i="10"/>
  <c r="K995" i="10"/>
  <c r="K635" i="10"/>
  <c r="K731" i="10"/>
  <c r="K827" i="10"/>
  <c r="K868" i="10"/>
  <c r="K932" i="10"/>
  <c r="K996" i="10"/>
  <c r="K492" i="10"/>
  <c r="K516" i="10"/>
  <c r="K540" i="10"/>
  <c r="K564" i="10"/>
  <c r="K588" i="10"/>
  <c r="K612" i="10"/>
  <c r="K636" i="10"/>
  <c r="K652" i="10"/>
  <c r="K676" i="10"/>
  <c r="K700" i="10"/>
  <c r="K716" i="10"/>
  <c r="K732" i="10"/>
  <c r="K748" i="10"/>
  <c r="K764" i="10"/>
  <c r="K780" i="10"/>
  <c r="K796" i="10"/>
  <c r="K812" i="10"/>
  <c r="K828" i="10"/>
  <c r="K856" i="10"/>
  <c r="K888" i="10"/>
  <c r="K920" i="10"/>
  <c r="K952" i="10"/>
  <c r="K984" i="10"/>
  <c r="K233" i="10"/>
  <c r="K549" i="10"/>
  <c r="K145" i="10"/>
  <c r="K35" i="10"/>
  <c r="K291" i="10"/>
  <c r="K6" i="10"/>
  <c r="K107" i="10"/>
  <c r="K171" i="10"/>
  <c r="K235" i="10"/>
  <c r="K299" i="10"/>
  <c r="K362" i="10"/>
  <c r="K426" i="10"/>
  <c r="K541" i="10"/>
  <c r="K986" i="10"/>
  <c r="K26" i="10"/>
  <c r="K58" i="10"/>
  <c r="K90" i="10"/>
  <c r="K122" i="10"/>
  <c r="K154" i="10"/>
  <c r="K186" i="10"/>
  <c r="K218" i="10"/>
  <c r="K250" i="10"/>
  <c r="K282" i="10"/>
  <c r="K314" i="10"/>
  <c r="K348" i="10"/>
  <c r="K380" i="10"/>
  <c r="K412" i="10"/>
  <c r="K444" i="10"/>
  <c r="K489" i="10"/>
  <c r="K637" i="10"/>
  <c r="K837" i="10"/>
  <c r="K930" i="10"/>
  <c r="K24" i="10"/>
  <c r="K56" i="10"/>
  <c r="K88" i="10"/>
  <c r="K120" i="10"/>
  <c r="K152" i="10"/>
  <c r="K184" i="10"/>
  <c r="K216" i="10"/>
  <c r="K248" i="10"/>
  <c r="K280" i="10"/>
  <c r="K312" i="10"/>
  <c r="K517" i="10"/>
  <c r="K719" i="10"/>
  <c r="K895" i="10"/>
  <c r="K347" i="10"/>
  <c r="K383" i="10"/>
  <c r="K399" i="10"/>
  <c r="K411" i="10"/>
  <c r="K421" i="10"/>
  <c r="K429" i="10"/>
  <c r="K437" i="10"/>
  <c r="K445" i="10"/>
  <c r="K453" i="10"/>
  <c r="K461" i="10"/>
  <c r="K469" i="10"/>
  <c r="K497" i="10"/>
  <c r="K543" i="10"/>
  <c r="K589" i="10"/>
  <c r="K625" i="10"/>
  <c r="K671" i="10"/>
  <c r="K721" i="10"/>
  <c r="K785" i="10"/>
  <c r="K855" i="10"/>
  <c r="K890" i="10"/>
  <c r="K933" i="10"/>
  <c r="K983" i="10"/>
  <c r="K341" i="10"/>
  <c r="K355" i="10"/>
  <c r="K365" i="10"/>
  <c r="K475" i="10"/>
  <c r="K505" i="10"/>
  <c r="K551" i="10"/>
  <c r="K597" i="10"/>
  <c r="K633" i="10"/>
  <c r="K679" i="10"/>
  <c r="K743" i="10"/>
  <c r="K807" i="10"/>
  <c r="K863" i="10"/>
  <c r="K898" i="10"/>
  <c r="K941" i="10"/>
  <c r="K991" i="10"/>
  <c r="K709" i="10"/>
  <c r="K741" i="10"/>
  <c r="K773" i="10"/>
  <c r="K805" i="10"/>
  <c r="K839" i="10"/>
  <c r="K857" i="10"/>
  <c r="K878" i="10"/>
  <c r="K903" i="10"/>
  <c r="K921" i="10"/>
  <c r="K942" i="10"/>
  <c r="K967" i="10"/>
  <c r="K985" i="10"/>
  <c r="K507" i="10"/>
  <c r="K539" i="10"/>
  <c r="K571" i="10"/>
  <c r="K603" i="10"/>
  <c r="K667" i="10"/>
  <c r="K699" i="10"/>
  <c r="K795" i="10"/>
  <c r="K850" i="10"/>
  <c r="K893" i="10"/>
  <c r="K957" i="10"/>
  <c r="K476" i="10"/>
  <c r="K500" i="10"/>
  <c r="K524" i="10"/>
  <c r="K548" i="10"/>
  <c r="K572" i="10"/>
  <c r="K596" i="10"/>
  <c r="K620" i="10"/>
  <c r="K644" i="10"/>
  <c r="K668" i="10"/>
  <c r="K684" i="10"/>
  <c r="K708" i="10"/>
  <c r="K724" i="10"/>
  <c r="K740" i="10"/>
  <c r="K756" i="10"/>
  <c r="K772" i="10"/>
  <c r="K788" i="10"/>
  <c r="K804" i="10"/>
  <c r="K820" i="10"/>
  <c r="K840" i="10"/>
  <c r="K872" i="10"/>
  <c r="K904" i="10"/>
  <c r="K936" i="10"/>
  <c r="K968" i="10"/>
  <c r="K717" i="10"/>
  <c r="K842" i="10"/>
  <c r="K924" i="10"/>
  <c r="K515" i="10"/>
  <c r="K643" i="10"/>
  <c r="K771" i="10"/>
  <c r="K879" i="10"/>
  <c r="K961" i="10"/>
  <c r="K486" i="10"/>
  <c r="K518" i="10"/>
  <c r="K550" i="10"/>
  <c r="K582" i="10"/>
  <c r="K614" i="10"/>
  <c r="K646" i="10"/>
  <c r="K678" i="10"/>
  <c r="K710" i="10"/>
  <c r="K742" i="10"/>
  <c r="K774" i="10"/>
  <c r="K806" i="10"/>
  <c r="K843" i="10"/>
  <c r="K907" i="10"/>
  <c r="K971" i="10"/>
  <c r="K654" i="10"/>
  <c r="K782" i="10"/>
  <c r="K923" i="10"/>
  <c r="K726" i="10"/>
  <c r="K875" i="10"/>
  <c r="K749" i="10"/>
  <c r="K860" i="10"/>
  <c r="K949" i="10"/>
  <c r="K547" i="10"/>
  <c r="K675" i="10"/>
  <c r="K803" i="10"/>
  <c r="K897" i="10"/>
  <c r="K982" i="10"/>
  <c r="K494" i="10"/>
  <c r="K526" i="10"/>
  <c r="K558" i="10"/>
  <c r="K590" i="10"/>
  <c r="K622" i="10"/>
  <c r="K718" i="10"/>
  <c r="K814" i="10"/>
  <c r="K790" i="10"/>
  <c r="K1000" i="10"/>
  <c r="K781" i="10"/>
  <c r="K885" i="10"/>
  <c r="K970" i="10"/>
  <c r="K579" i="10"/>
  <c r="K707" i="10"/>
  <c r="K833" i="10"/>
  <c r="K918" i="10"/>
  <c r="K470" i="10"/>
  <c r="K502" i="10"/>
  <c r="K534" i="10"/>
  <c r="K566" i="10"/>
  <c r="K598" i="10"/>
  <c r="K630" i="10"/>
  <c r="K662" i="10"/>
  <c r="K694" i="10"/>
  <c r="K758" i="10"/>
  <c r="K939" i="10"/>
  <c r="K813" i="10"/>
  <c r="K906" i="10"/>
  <c r="K988" i="10"/>
  <c r="K611" i="10"/>
  <c r="K739" i="10"/>
  <c r="K854" i="10"/>
  <c r="K943" i="10"/>
  <c r="K478" i="10"/>
  <c r="K510" i="10"/>
  <c r="K542" i="10"/>
  <c r="K574" i="10"/>
  <c r="K606" i="10"/>
  <c r="K638" i="10"/>
  <c r="K670" i="10"/>
  <c r="K702" i="10"/>
  <c r="K734" i="10"/>
  <c r="K766" i="10"/>
  <c r="K798" i="10"/>
  <c r="K830" i="10"/>
  <c r="K891" i="10"/>
  <c r="K955" i="10"/>
  <c r="K686" i="10"/>
  <c r="K750" i="10"/>
  <c r="K859" i="10"/>
  <c r="K987" i="10"/>
  <c r="K822" i="10"/>
</calcChain>
</file>

<file path=xl/sharedStrings.xml><?xml version="1.0" encoding="utf-8"?>
<sst xmlns="http://schemas.openxmlformats.org/spreadsheetml/2006/main" count="281" uniqueCount="151">
  <si>
    <t>a=</t>
  </si>
  <si>
    <t>b=</t>
  </si>
  <si>
    <t>γ=</t>
  </si>
  <si>
    <t>mL</t>
  </si>
  <si>
    <t>mL</t>
  </si>
  <si>
    <t>1</t>
  </si>
  <si>
    <t>2</t>
  </si>
  <si>
    <t>μg/L</t>
  </si>
  <si>
    <r>
      <rPr>
        <sz val="11"/>
        <rFont val="宋体"/>
        <family val="2"/>
        <charset val="134"/>
      </rPr>
      <t>荧光值</t>
    </r>
    <r>
      <rPr>
        <i/>
        <sz val="11"/>
        <rFont val="Times New Roman"/>
        <family val="1"/>
      </rPr>
      <t>I</t>
    </r>
    <r>
      <rPr>
        <i/>
        <vertAlign val="subscript"/>
        <sz val="11"/>
        <rFont val="Times New Roman"/>
        <family val="1"/>
      </rPr>
      <t>s</t>
    </r>
  </si>
  <si>
    <r>
      <rPr>
        <sz val="11"/>
        <rFont val="宋体"/>
        <family val="2"/>
        <charset val="134"/>
      </rPr>
      <t>质控</t>
    </r>
  </si>
  <si>
    <r>
      <rPr>
        <sz val="11"/>
        <rFont val="宋体"/>
        <family val="2"/>
        <charset val="134"/>
      </rPr>
      <t>结果</t>
    </r>
  </si>
  <si>
    <r>
      <rPr>
        <sz val="11"/>
        <rFont val="宋体"/>
        <family val="2"/>
        <charset val="134"/>
      </rPr>
      <t>站位号</t>
    </r>
  </si>
  <si>
    <r>
      <rPr>
        <sz val="11"/>
        <rFont val="宋体"/>
        <family val="2"/>
        <charset val="134"/>
      </rPr>
      <t>层次
（</t>
    </r>
    <r>
      <rPr>
        <sz val="11"/>
        <rFont val="Times New Roman"/>
        <family val="1"/>
      </rPr>
      <t>cm</t>
    </r>
    <r>
      <rPr>
        <sz val="11"/>
        <rFont val="宋体"/>
        <family val="2"/>
        <charset val="134"/>
      </rPr>
      <t>）</t>
    </r>
  </si>
  <si>
    <r>
      <rPr>
        <sz val="11"/>
        <rFont val="宋体"/>
        <family val="2"/>
        <charset val="134"/>
      </rPr>
      <t>瓶号</t>
    </r>
  </si>
  <si>
    <r>
      <rPr>
        <sz val="11"/>
        <rFont val="宋体"/>
        <family val="2"/>
        <charset val="134"/>
      </rPr>
      <t>采样日期</t>
    </r>
  </si>
  <si>
    <r>
      <rPr>
        <sz val="11"/>
        <rFont val="宋体"/>
        <family val="2"/>
        <charset val="134"/>
      </rPr>
      <t>分析日期</t>
    </r>
  </si>
  <si>
    <t>A2N44ZQ068</t>
  </si>
  <si>
    <r>
      <t xml:space="preserve">
</t>
    </r>
    <r>
      <rPr>
        <sz val="11"/>
        <rFont val="宋体"/>
        <family val="2"/>
        <charset val="134"/>
      </rPr>
      <t>备注</t>
    </r>
  </si>
  <si>
    <r>
      <rPr>
        <sz val="11"/>
        <rFont val="宋体"/>
        <family val="2"/>
        <charset val="134"/>
      </rPr>
      <t>取样量
（</t>
    </r>
    <r>
      <rPr>
        <sz val="11"/>
        <rFont val="Times New Roman"/>
        <family val="1"/>
      </rPr>
      <t>g</t>
    </r>
    <r>
      <rPr>
        <sz val="11"/>
        <rFont val="宋体"/>
        <family val="2"/>
        <charset val="134"/>
      </rPr>
      <t>）</t>
    </r>
  </si>
  <si>
    <r>
      <rPr>
        <sz val="11"/>
        <rFont val="宋体"/>
        <family val="2"/>
        <charset val="134"/>
      </rPr>
      <t>稀释
倍数</t>
    </r>
  </si>
  <si>
    <r>
      <rPr>
        <sz val="11"/>
        <rFont val="宋体"/>
        <family val="2"/>
        <charset val="134"/>
      </rPr>
      <t xml:space="preserve">标样
推荐值
</t>
    </r>
    <r>
      <rPr>
        <sz val="11"/>
        <rFont val="Times New Roman"/>
        <family val="1"/>
      </rPr>
      <t>(×10</t>
    </r>
    <r>
      <rPr>
        <vertAlign val="superscript"/>
        <sz val="11"/>
        <rFont val="Times New Roman"/>
        <family val="1"/>
      </rPr>
      <t>-6</t>
    </r>
    <r>
      <rPr>
        <sz val="11"/>
        <rFont val="Times New Roman"/>
        <family val="1"/>
      </rPr>
      <t>)</t>
    </r>
  </si>
  <si>
    <r>
      <rPr>
        <sz val="11"/>
        <color theme="1"/>
        <rFont val="宋体"/>
        <family val="3"/>
        <charset val="134"/>
      </rPr>
      <t xml:space="preserve">加标浓度
</t>
    </r>
    <r>
      <rPr>
        <sz val="11"/>
        <color theme="1"/>
        <rFont val="Times New Roman"/>
        <family val="1"/>
      </rPr>
      <t>(µg/L)</t>
    </r>
  </si>
  <si>
    <r>
      <rPr>
        <sz val="11"/>
        <rFont val="宋体"/>
        <family val="2"/>
        <charset val="134"/>
      </rPr>
      <t>允许值</t>
    </r>
  </si>
  <si>
    <r>
      <rPr>
        <sz val="11"/>
        <rFont val="宋体"/>
        <family val="2"/>
        <charset val="134"/>
      </rPr>
      <t>相对偏差</t>
    </r>
    <r>
      <rPr>
        <sz val="11"/>
        <rFont val="Times New Roman"/>
        <family val="1"/>
      </rPr>
      <t xml:space="preserve">/
</t>
    </r>
    <r>
      <rPr>
        <sz val="11"/>
        <rFont val="宋体"/>
        <family val="2"/>
        <charset val="134"/>
      </rPr>
      <t>相对误差</t>
    </r>
    <r>
      <rPr>
        <sz val="11"/>
        <rFont val="Times New Roman"/>
        <family val="1"/>
      </rPr>
      <t xml:space="preserve">/
</t>
    </r>
    <r>
      <rPr>
        <sz val="11"/>
        <rFont val="宋体"/>
        <family val="2"/>
        <charset val="134"/>
      </rPr>
      <t>回收率</t>
    </r>
  </si>
  <si>
    <t>平均</t>
  </si>
  <si>
    <r>
      <rPr>
        <b/>
        <sz val="11"/>
        <color theme="0"/>
        <rFont val="宋体"/>
        <family val="3"/>
        <charset val="134"/>
      </rPr>
      <t>基本信息</t>
    </r>
  </si>
  <si>
    <r>
      <rPr>
        <sz val="11"/>
        <color theme="1"/>
        <rFont val="宋体"/>
        <family val="3"/>
        <charset val="134"/>
      </rPr>
      <t>检测项目</t>
    </r>
  </si>
  <si>
    <r>
      <rPr>
        <sz val="11"/>
        <color theme="1"/>
        <rFont val="宋体"/>
        <family val="3"/>
        <charset val="134"/>
      </rPr>
      <t>仪器编号</t>
    </r>
  </si>
  <si>
    <r>
      <rPr>
        <sz val="11"/>
        <color theme="1"/>
        <rFont val="宋体"/>
        <family val="3"/>
        <charset val="134"/>
      </rPr>
      <t>仪器型号</t>
    </r>
  </si>
  <si>
    <r>
      <rPr>
        <sz val="11"/>
        <color theme="1"/>
        <rFont val="宋体"/>
        <family val="3"/>
        <charset val="134"/>
      </rPr>
      <t>温度</t>
    </r>
    <r>
      <rPr>
        <sz val="11"/>
        <color theme="1"/>
        <rFont val="Times New Roman"/>
        <family val="1"/>
      </rPr>
      <t>(</t>
    </r>
    <r>
      <rPr>
        <sz val="11"/>
        <color theme="1"/>
        <rFont val="宋体"/>
        <family val="3"/>
        <charset val="134"/>
      </rPr>
      <t>℃</t>
    </r>
    <r>
      <rPr>
        <sz val="11"/>
        <color theme="1"/>
        <rFont val="Times New Roman"/>
        <family val="1"/>
      </rPr>
      <t>)</t>
    </r>
  </si>
  <si>
    <r>
      <rPr>
        <sz val="11"/>
        <color theme="1"/>
        <rFont val="宋体"/>
        <family val="3"/>
        <charset val="134"/>
      </rPr>
      <t>湿度</t>
    </r>
    <r>
      <rPr>
        <sz val="11"/>
        <color theme="1"/>
        <rFont val="Times New Roman"/>
        <family val="1"/>
      </rPr>
      <t>(%)</t>
    </r>
  </si>
  <si>
    <r>
      <rPr>
        <i/>
        <sz val="11"/>
        <color theme="1"/>
        <rFont val="Times New Roman"/>
        <family val="1"/>
      </rPr>
      <t>I</t>
    </r>
    <r>
      <rPr>
        <vertAlign val="subscript"/>
        <sz val="11"/>
        <color theme="1"/>
        <rFont val="Times New Roman"/>
        <family val="1"/>
      </rPr>
      <t>b</t>
    </r>
  </si>
  <si>
    <r>
      <rPr>
        <sz val="11"/>
        <color theme="1"/>
        <rFont val="宋体"/>
        <family val="3"/>
        <charset val="134"/>
      </rPr>
      <t>结果保留小数位数</t>
    </r>
  </si>
  <si>
    <r>
      <rPr>
        <b/>
        <sz val="11"/>
        <color theme="0"/>
        <rFont val="宋体"/>
        <family val="3"/>
        <charset val="134"/>
      </rPr>
      <t>标准曲线数据记录</t>
    </r>
  </si>
  <si>
    <r>
      <rPr>
        <sz val="11"/>
        <color theme="1"/>
        <rFont val="宋体"/>
        <family val="3"/>
        <charset val="134"/>
      </rPr>
      <t>浓度</t>
    </r>
    <r>
      <rPr>
        <sz val="11"/>
        <color theme="1"/>
        <rFont val="Times New Roman"/>
        <family val="1"/>
      </rPr>
      <t>C
(μg/L)</t>
    </r>
  </si>
  <si>
    <r>
      <rPr>
        <sz val="11"/>
        <color theme="1"/>
        <rFont val="宋体"/>
        <family val="3"/>
        <charset val="134"/>
      </rPr>
      <t>荧光强度</t>
    </r>
    <r>
      <rPr>
        <i/>
        <sz val="11"/>
        <color theme="1"/>
        <rFont val="Times New Roman"/>
        <family val="1"/>
      </rPr>
      <t>I</t>
    </r>
    <r>
      <rPr>
        <i/>
        <vertAlign val="subscript"/>
        <sz val="11"/>
        <color theme="1"/>
        <rFont val="Times New Roman"/>
        <family val="1"/>
      </rPr>
      <t>i</t>
    </r>
  </si>
  <si>
    <r>
      <t>I</t>
    </r>
    <r>
      <rPr>
        <i/>
        <vertAlign val="subscript"/>
        <sz val="11"/>
        <color theme="1"/>
        <rFont val="Times New Roman"/>
        <family val="1"/>
      </rPr>
      <t>i</t>
    </r>
    <r>
      <rPr>
        <i/>
        <sz val="11"/>
        <color theme="1"/>
        <rFont val="Times New Roman"/>
        <family val="1"/>
      </rPr>
      <t>-I</t>
    </r>
    <r>
      <rPr>
        <i/>
        <vertAlign val="subscript"/>
        <sz val="11"/>
        <color theme="1"/>
        <rFont val="Times New Roman"/>
        <family val="1"/>
      </rPr>
      <t>0</t>
    </r>
  </si>
  <si>
    <r>
      <rPr>
        <sz val="11"/>
        <color theme="1"/>
        <rFont val="宋体"/>
        <family val="3"/>
        <charset val="134"/>
      </rPr>
      <t>平均</t>
    </r>
  </si>
  <si>
    <r>
      <rPr>
        <sz val="11"/>
        <color theme="1"/>
        <rFont val="宋体"/>
        <family val="3"/>
        <charset val="134"/>
      </rPr>
      <t>拟合曲线</t>
    </r>
    <r>
      <rPr>
        <i/>
        <sz val="11"/>
        <color theme="1"/>
        <rFont val="Times New Roman"/>
        <family val="1"/>
      </rPr>
      <t>A=a+b</t>
    </r>
    <r>
      <rPr>
        <sz val="11"/>
        <color theme="1"/>
        <rFont val="Times New Roman"/>
        <family val="1"/>
      </rPr>
      <t>×</t>
    </r>
    <r>
      <rPr>
        <i/>
        <sz val="11"/>
        <color theme="1"/>
        <rFont val="Times New Roman"/>
        <family val="1"/>
      </rPr>
      <t>C</t>
    </r>
  </si>
  <si>
    <r>
      <rPr>
        <sz val="11"/>
        <color theme="1"/>
        <rFont val="宋体"/>
        <family val="3"/>
        <charset val="134"/>
      </rPr>
      <t>曲线测定日期</t>
    </r>
  </si>
  <si>
    <r>
      <rPr>
        <sz val="11"/>
        <color theme="1"/>
        <rFont val="宋体"/>
        <family val="3"/>
        <charset val="134"/>
      </rPr>
      <t>测定方法</t>
    </r>
  </si>
  <si>
    <r>
      <rPr>
        <sz val="11"/>
        <color theme="1"/>
        <rFont val="宋体"/>
        <family val="3"/>
        <charset val="134"/>
      </rPr>
      <t>检出限</t>
    </r>
  </si>
  <si>
    <r>
      <t>×10</t>
    </r>
    <r>
      <rPr>
        <vertAlign val="superscript"/>
        <sz val="11"/>
        <color theme="1"/>
        <rFont val="Times New Roman"/>
        <family val="1"/>
      </rPr>
      <t>-6</t>
    </r>
  </si>
  <si>
    <r>
      <rPr>
        <sz val="11"/>
        <color theme="1"/>
        <rFont val="宋体"/>
        <family val="3"/>
        <charset val="134"/>
      </rPr>
      <t>标准物质</t>
    </r>
  </si>
  <si>
    <r>
      <rPr>
        <sz val="11"/>
        <color theme="1"/>
        <rFont val="宋体"/>
        <family val="3"/>
        <charset val="134"/>
      </rPr>
      <t>标准溶液浓度</t>
    </r>
  </si>
  <si>
    <r>
      <rPr>
        <b/>
        <sz val="11"/>
        <color theme="0"/>
        <rFont val="宋体"/>
        <family val="3"/>
        <charset val="134"/>
      </rPr>
      <t>签名</t>
    </r>
  </si>
  <si>
    <r>
      <rPr>
        <sz val="11"/>
        <color theme="1"/>
        <rFont val="宋体"/>
        <family val="3"/>
        <charset val="134"/>
      </rPr>
      <t>分析者</t>
    </r>
  </si>
  <si>
    <r>
      <rPr>
        <sz val="11"/>
        <color theme="1"/>
        <rFont val="宋体"/>
        <family val="3"/>
        <charset val="134"/>
      </rPr>
      <t>计算者</t>
    </r>
  </si>
  <si>
    <r>
      <rPr>
        <sz val="11"/>
        <color theme="1"/>
        <rFont val="宋体"/>
        <family val="3"/>
        <charset val="134"/>
      </rPr>
      <t>校对者</t>
    </r>
  </si>
  <si>
    <t>标准曲线编号</t>
  </si>
  <si>
    <r>
      <rPr>
        <sz val="11"/>
        <color theme="1"/>
        <rFont val="宋体"/>
        <family val="3"/>
        <charset val="134"/>
      </rPr>
      <t>加标体积</t>
    </r>
    <r>
      <rPr>
        <sz val="11"/>
        <color theme="1"/>
        <rFont val="Times New Roman"/>
        <family val="1"/>
      </rPr>
      <t>(μL)</t>
    </r>
  </si>
  <si>
    <t>检测信息</t>
  </si>
  <si>
    <t>任务编号</t>
  </si>
  <si>
    <t>模板编号</t>
  </si>
  <si>
    <t>-</t>
  </si>
  <si>
    <t>-</t>
  </si>
  <si>
    <t>样品定容体积</t>
  </si>
  <si>
    <t>标准溶液定容</t>
  </si>
  <si>
    <t>科学</t>
  </si>
  <si>
    <t>严谨</t>
  </si>
  <si>
    <t>安全</t>
  </si>
  <si>
    <t>高效</t>
  </si>
  <si>
    <r>
      <rPr>
        <b/>
        <sz val="11"/>
        <color theme="1"/>
        <rFont val="宋体"/>
        <family val="3"/>
        <charset val="134"/>
      </rPr>
      <t>说明：</t>
    </r>
  </si>
  <si>
    <r>
      <rPr>
        <sz val="11"/>
        <color rgb="FFFF0000"/>
        <rFont val="宋体"/>
        <family val="3"/>
        <charset val="134"/>
      </rPr>
      <t>为需填写内容</t>
    </r>
  </si>
  <si>
    <r>
      <rPr>
        <sz val="11"/>
        <color rgb="FFFF0000"/>
        <rFont val="宋体"/>
        <family val="3"/>
        <charset val="134"/>
      </rPr>
      <t>为不需要填写</t>
    </r>
  </si>
  <si>
    <r>
      <rPr>
        <sz val="11"/>
        <color rgb="FFFF0000"/>
        <rFont val="宋体"/>
        <family val="3"/>
        <charset val="134"/>
      </rPr>
      <t>为质控模块</t>
    </r>
  </si>
  <si>
    <t>20.0</t>
  </si>
  <si>
    <t>原子荧光法</t>
  </si>
  <si>
    <r>
      <rPr>
        <sz val="11"/>
        <color theme="1"/>
        <rFont val="宋体"/>
        <family val="3"/>
        <charset val="134"/>
      </rPr>
      <t>取样体积体积</t>
    </r>
    <r>
      <rPr>
        <sz val="11"/>
        <color theme="1"/>
        <rFont val="Times New Roman"/>
        <family val="1"/>
      </rPr>
      <t xml:space="preserve">
(mL)</t>
    </r>
  </si>
  <si>
    <r>
      <rPr>
        <b/>
        <sz val="11"/>
        <color theme="0"/>
        <rFont val="宋体"/>
        <family val="3"/>
        <charset val="134"/>
      </rPr>
      <t xml:space="preserve">样品
含量
</t>
    </r>
    <r>
      <rPr>
        <b/>
        <sz val="11"/>
        <color theme="0"/>
        <rFont val="Times New Roman"/>
        <family val="1"/>
      </rPr>
      <t>(×10</t>
    </r>
    <r>
      <rPr>
        <b/>
        <vertAlign val="superscript"/>
        <sz val="11"/>
        <color theme="0"/>
        <rFont val="Times New Roman"/>
        <family val="1"/>
      </rPr>
      <t>-6</t>
    </r>
    <r>
      <rPr>
        <b/>
        <sz val="11"/>
        <color theme="0"/>
        <rFont val="Times New Roman"/>
        <family val="1"/>
      </rPr>
      <t>)</t>
    </r>
  </si>
  <si>
    <t>2016000025</t>
  </si>
  <si>
    <t>AFS9560</t>
  </si>
  <si>
    <r>
      <rPr>
        <sz val="11"/>
        <color theme="1"/>
        <rFont val="宋体"/>
        <family val="3"/>
        <charset val="134"/>
      </rPr>
      <t>黄海沉积物编号为</t>
    </r>
    <r>
      <rPr>
        <sz val="11"/>
        <color theme="1"/>
        <rFont val="Times New Roman"/>
        <family val="1"/>
      </rPr>
      <t>GBW07333</t>
    </r>
    <r>
      <rPr>
        <sz val="11"/>
        <color theme="1"/>
        <rFont val="宋体"/>
        <family val="3"/>
        <charset val="134"/>
      </rPr>
      <t>；其汞含量标准值为（</t>
    </r>
    <r>
      <rPr>
        <sz val="11"/>
        <color theme="1"/>
        <rFont val="Times New Roman"/>
        <family val="1"/>
      </rPr>
      <t>0.022±0.002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Times New Roman"/>
        <family val="1"/>
      </rPr>
      <t>×10-6"</t>
    </r>
  </si>
  <si>
    <t>x</t>
  </si>
  <si>
    <t>标准限值</t>
  </si>
  <si>
    <t>限量/评价标准</t>
  </si>
  <si>
    <t>标准名称</t>
  </si>
  <si>
    <t>项目</t>
  </si>
  <si>
    <t>小数位数</t>
  </si>
  <si>
    <t>一类</t>
  </si>
  <si>
    <t>二类</t>
  </si>
  <si>
    <t>三类</t>
  </si>
  <si>
    <t>四类</t>
  </si>
  <si>
    <t>3</t>
  </si>
  <si>
    <t>&lt;0.20</t>
  </si>
  <si>
    <t>&lt;0.50</t>
  </si>
  <si>
    <t>汞</t>
  </si>
  <si>
    <t>海洋沉积物质量标准</t>
  </si>
  <si>
    <t>&lt;1.00</t>
  </si>
  <si>
    <r>
      <t>海洋沉积物质量标准(×10</t>
    </r>
    <r>
      <rPr>
        <vertAlign val="superscript"/>
        <sz val="11"/>
        <color theme="1"/>
        <rFont val="宋体"/>
        <family val="3"/>
        <charset val="134"/>
        <scheme val="minor"/>
      </rPr>
      <t>-6</t>
    </r>
    <r>
      <rPr>
        <sz val="11"/>
        <color theme="1"/>
        <rFont val="宋体"/>
        <family val="2"/>
        <charset val="134"/>
        <scheme val="minor"/>
      </rPr>
      <t>)</t>
    </r>
  </si>
  <si>
    <t>11</t>
  </si>
  <si>
    <t>判断显示列</t>
  </si>
  <si>
    <t>海洋沉积物质量标准</t>
  </si>
  <si>
    <t>HJ-PR-119033</t>
  </si>
  <si>
    <t>检测记录单373</t>
  </si>
  <si>
    <t>总汞</t>
  </si>
  <si>
    <t/>
  </si>
  <si>
    <t>2020-03-31</t>
  </si>
  <si>
    <t>08-06 08:00</t>
  </si>
  <si>
    <t>0~5</t>
  </si>
  <si>
    <t>0~5平行</t>
  </si>
  <si>
    <t>A2N44ZQ069</t>
  </si>
  <si>
    <t>08-06 10:45</t>
  </si>
  <si>
    <t>A2N44ZQ091</t>
  </si>
  <si>
    <t>08-06 13:57</t>
  </si>
  <si>
    <t>A2N44ZQ070</t>
  </si>
  <si>
    <t>08-06 15:45</t>
  </si>
  <si>
    <t>A2N44ZQ071</t>
  </si>
  <si>
    <t>08-06 17:11</t>
  </si>
  <si>
    <t>A2N44ZQ072</t>
  </si>
  <si>
    <t>08-07 07:32</t>
  </si>
  <si>
    <t>A2N44ZQ073</t>
  </si>
  <si>
    <t>08-07 09:30</t>
  </si>
  <si>
    <t>A2N44ZQ076</t>
  </si>
  <si>
    <t>08-07 10:59</t>
  </si>
  <si>
    <t>A2N44ZQ074</t>
  </si>
  <si>
    <t>08-07 14:15</t>
  </si>
  <si>
    <t>A2N44ZQ085</t>
  </si>
  <si>
    <t>08-07 15:40</t>
  </si>
  <si>
    <t>A2N44ZQ082</t>
  </si>
  <si>
    <t>08-08 07:40</t>
  </si>
  <si>
    <t>A2N44ZQ081</t>
  </si>
  <si>
    <t>08-09 07:35</t>
  </si>
  <si>
    <t>A2N44ZQ083</t>
  </si>
  <si>
    <t>08-09 14:19</t>
  </si>
  <si>
    <t>A2N44ZQ084</t>
  </si>
  <si>
    <t>08-10 08:11</t>
  </si>
  <si>
    <t>A2N44ZQ080</t>
  </si>
  <si>
    <t>08-10 09:40</t>
  </si>
  <si>
    <t>A2N44ZQ077</t>
  </si>
  <si>
    <t>08-10 14:36</t>
  </si>
  <si>
    <t>A2N44ZQ075</t>
  </si>
  <si>
    <t>08-11 07:34</t>
  </si>
  <si>
    <t>A2N44ZQ087</t>
  </si>
  <si>
    <t>08-11 09:52</t>
  </si>
  <si>
    <t>A2N44ZQ088</t>
  </si>
  <si>
    <t>08-11 11:35</t>
  </si>
  <si>
    <t>A2N44ZQ089</t>
  </si>
  <si>
    <t>08-11 12:51</t>
  </si>
  <si>
    <t>A2N44ZQ090</t>
  </si>
  <si>
    <t>08-11 15:40</t>
  </si>
  <si>
    <t>A2N44ZQ078</t>
  </si>
  <si>
    <t>08-12 07:45</t>
  </si>
  <si>
    <t>A2N44ZQ079</t>
  </si>
  <si>
    <t>08-12 10:41</t>
  </si>
  <si>
    <t>A2N44ZQ086</t>
  </si>
  <si>
    <t>08-12 12:18</t>
  </si>
  <si>
    <t>30.0%</t>
  </si>
  <si>
    <t>不合格</t>
  </si>
  <si>
    <t>20.0%</t>
  </si>
  <si>
    <t>合格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</si>
</sst>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2" formatCode="_(&quot;¥&quot;* #,##0_);_(&quot;¥&quot;* \(#,##0\);_(&quot;¥&quot;* &quot;-&quot;_);_(@_)"/>
    <numFmt numFmtId="41" formatCode="_(* #,##0_);_(* \(#,##0\);_(* &quot;-&quot;_);_(@_)"/>
    <numFmt numFmtId="44" formatCode="_(&quot;¥&quot;* #,##0.00_);_(&quot;¥&quot;* \(#,##0.00\);_(&quot;¥&quot;* &quot;-&quot;??_);_(@_)"/>
    <numFmt numFmtId="43" formatCode="_(* #,##0.00_);_(* \(#,##0.00\);_(* &quot;-&quot;??_);_(@_)"/>
    <numFmt numFmtId="176" formatCode="yyyy\-mm\-dd;@"/>
    <numFmt numFmtId="177" formatCode="0.000000_ "/>
    <numFmt numFmtId="178" formatCode="0.0000_ ;[Red]\-0.0000\ "/>
    <numFmt numFmtId="179" formatCode="0.00_ ;[Red]\-0.00\ "/>
    <numFmt numFmtId="180" formatCode="0.0"/>
    <numFmt numFmtId="181" formatCode="0.00_ "/>
    <numFmt numFmtId="182" formatCode="0.0000_);[Red]\(0.0000\)"/>
    <numFmt numFmtId="183" formatCode="0.0_ ;[Red]\-0.0\ "/>
  </numFmts>
  <fonts count="27">
    <font>
      <sz val="11"/>
      <color theme="1"/>
      <name val="宋体"/>
      <family val="2"/>
      <charset val="134"/>
      <scheme val="minor"/>
    </font>
    <font>
      <sz val="10"/>
      <color theme="1"/>
      <name val="Arial"/>
      <family val="2"/>
    </font>
    <font>
      <sz val="11"/>
      <color theme="1"/>
      <name val="Times New Roman"/>
      <family val="1"/>
    </font>
    <font>
      <sz val="11"/>
      <color theme="1"/>
      <name val="宋体"/>
      <family val="3"/>
      <charset val="134"/>
    </font>
    <font>
      <i/>
      <sz val="11"/>
      <color theme="1"/>
      <name val="Times New Roman"/>
      <family val="1"/>
    </font>
    <font>
      <sz val="10"/>
      <name val="Arial"/>
      <family val="2"/>
    </font>
    <font>
      <sz val="11"/>
      <name val="Times New Roman"/>
      <family val="1"/>
    </font>
    <font>
      <sz val="11"/>
      <name val="宋体"/>
      <family val="2"/>
      <charset val="134"/>
    </font>
    <font>
      <i/>
      <sz val="11"/>
      <name val="Times New Roman"/>
      <family val="1"/>
    </font>
    <font>
      <i/>
      <vertAlign val="subscript"/>
      <sz val="11"/>
      <name val="Times New Roman"/>
      <family val="1"/>
    </font>
    <font>
      <b/>
      <sz val="11"/>
      <color theme="0"/>
      <name val="Times New Roman"/>
      <family val="1"/>
    </font>
    <font>
      <b/>
      <sz val="11"/>
      <color theme="0"/>
      <name val="宋体"/>
      <family val="3"/>
      <charset val="134"/>
    </font>
    <font>
      <i/>
      <vertAlign val="subscript"/>
      <sz val="11"/>
      <color theme="1"/>
      <name val="Times New Roman"/>
      <family val="1"/>
    </font>
    <font>
      <vertAlign val="superscript"/>
      <sz val="11"/>
      <name val="Times New Roman"/>
      <family val="1"/>
    </font>
    <font>
      <vertAlign val="superscript"/>
      <sz val="11"/>
      <color theme="1"/>
      <name val="Times New Roman"/>
      <family val="1"/>
    </font>
    <font>
      <vertAlign val="subscript"/>
      <sz val="11"/>
      <color theme="1"/>
      <name val="Times New Roman"/>
      <family val="1"/>
    </font>
    <font>
      <sz val="48"/>
      <color theme="0"/>
      <name val="华文行楷"/>
      <family val="3"/>
      <charset val="134"/>
    </font>
    <font>
      <sz val="11"/>
      <color theme="1"/>
      <name val="华文行楷"/>
      <family val="3"/>
      <charset val="134"/>
    </font>
    <font>
      <b/>
      <sz val="11"/>
      <color theme="1"/>
      <name val="Times New Roman"/>
      <family val="1"/>
    </font>
    <font>
      <b/>
      <sz val="11"/>
      <color theme="1"/>
      <name val="宋体"/>
      <family val="3"/>
      <charset val="134"/>
    </font>
    <font>
      <sz val="11"/>
      <color rgb="FFFF0000"/>
      <name val="Times New Roman"/>
      <family val="1"/>
    </font>
    <font>
      <sz val="11"/>
      <color rgb="FFFF0000"/>
      <name val="宋体"/>
      <family val="3"/>
      <charset val="134"/>
    </font>
    <font>
      <b/>
      <vertAlign val="superscript"/>
      <sz val="11"/>
      <color theme="0"/>
      <name val="Times New Roman"/>
      <family val="1"/>
    </font>
    <font>
      <vertAlign val="superscript"/>
      <sz val="11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Times New Roman"/>
      <family val="1"/>
    </font>
    <font>
      <sz val="11"/>
      <color theme="1"/>
      <name val="宋体"/>
      <family val="2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rgb="FFF5F6F9"/>
        <bgColor indexed="64"/>
      </patternFill>
    </fill>
    <fill>
      <patternFill patternType="solid">
        <fgColor rgb="FF689CDA"/>
        <bgColor indexed="64"/>
      </patternFill>
    </fill>
    <fill>
      <patternFill patternType="solid">
        <fgColor theme="6" tint="0.59993285927915285"/>
        <bgColor indexed="64"/>
      </patternFill>
    </fill>
    <fill>
      <patternFill patternType="solid">
        <fgColor theme="9" tint="0.7999206518753624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4.992828150273141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2F3F8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6" fillId="0" borderId="0"/>
  </cellStyleXfs>
  <cellXfs count="133">
    <xf numFmtId="0" fontId="0" fillId="0" borderId="0" xfId="0"/>
    <xf numFmtId="0" fontId="2" fillId="3" borderId="2" xfId="13" applyNumberFormat="1" applyFont="1" applyFill="1" applyBorder="1" applyAlignment="1" applyProtection="1">
      <alignment horizontal="center" vertical="center" wrapText="1"/>
      <protection locked="0"/>
    </xf>
    <xf numFmtId="0" fontId="2" fillId="3" borderId="3" xfId="13" applyNumberFormat="1" applyFont="1" applyFill="1" applyBorder="1" applyAlignment="1" applyProtection="1">
      <alignment horizontal="center" vertical="center" wrapText="1"/>
      <protection locked="0"/>
    </xf>
    <xf numFmtId="49" fontId="2" fillId="4" borderId="2" xfId="13" applyNumberFormat="1" applyFont="1" applyFill="1" applyBorder="1" applyAlignment="1" applyProtection="1">
      <alignment horizontal="center" vertical="center"/>
      <protection locked="0"/>
    </xf>
    <xf numFmtId="49" fontId="2" fillId="4" borderId="1" xfId="13" applyNumberFormat="1" applyFont="1" applyFill="1" applyBorder="1" applyAlignment="1" applyProtection="1">
      <alignment horizontal="center" vertical="center"/>
      <protection locked="0"/>
    </xf>
    <xf numFmtId="49" fontId="2" fillId="2" borderId="2" xfId="13" applyNumberFormat="1" applyFont="1" applyFill="1" applyBorder="1" applyAlignment="1" applyProtection="1">
      <alignment horizontal="center" vertical="center"/>
      <protection locked="0"/>
    </xf>
    <xf numFmtId="49" fontId="2" fillId="2" borderId="1" xfId="13" applyNumberFormat="1" applyFont="1" applyFill="1" applyBorder="1" applyAlignment="1" applyProtection="1">
      <alignment horizontal="center" vertical="center"/>
      <protection locked="0"/>
    </xf>
    <xf numFmtId="49" fontId="4" fillId="4" borderId="4" xfId="13" applyNumberFormat="1" applyFont="1" applyFill="1" applyBorder="1" applyAlignment="1" applyProtection="1">
      <alignment horizontal="left" vertical="center"/>
      <protection locked="0"/>
    </xf>
    <xf numFmtId="49" fontId="2" fillId="3" borderId="4" xfId="13" applyNumberFormat="1" applyFont="1" applyFill="1" applyBorder="1" applyAlignment="1" applyProtection="1">
      <alignment horizontal="center" vertical="center"/>
      <protection locked="0"/>
    </xf>
    <xf numFmtId="49" fontId="3" fillId="6" borderId="4" xfId="13" applyNumberFormat="1" applyFont="1" applyFill="1" applyBorder="1" applyAlignment="1" applyProtection="1">
      <alignment horizontal="center" vertical="center" wrapText="1"/>
      <protection locked="0"/>
    </xf>
    <xf numFmtId="49" fontId="2" fillId="6" borderId="4" xfId="13" applyNumberFormat="1" applyFont="1" applyFill="1" applyBorder="1" applyAlignment="1" applyProtection="1">
      <alignment horizontal="center" vertical="center"/>
      <protection locked="0"/>
    </xf>
    <xf numFmtId="49" fontId="2" fillId="6" borderId="4" xfId="13" applyNumberFormat="1" applyFont="1" applyFill="1" applyBorder="1" applyAlignment="1" applyProtection="1">
      <alignment horizontal="center" vertical="center" wrapText="1"/>
      <protection locked="0"/>
    </xf>
    <xf numFmtId="49" fontId="16" fillId="8" borderId="0" xfId="13" applyNumberFormat="1" applyFont="1" applyFill="1" applyBorder="1" applyAlignment="1" applyProtection="1">
      <alignment horizontal="center"/>
    </xf>
    <xf numFmtId="49" fontId="2" fillId="4" borderId="4" xfId="13" applyNumberFormat="1" applyFont="1" applyFill="1" applyBorder="1" applyAlignment="1" applyProtection="1">
      <alignment horizontal="center" vertical="center"/>
      <protection locked="0"/>
    </xf>
    <xf numFmtId="49" fontId="3" fillId="4" borderId="4" xfId="13" applyNumberFormat="1" applyFont="1" applyFill="1" applyBorder="1" applyAlignment="1" applyProtection="1">
      <alignment horizontal="center" vertical="center"/>
      <protection locked="0"/>
    </xf>
    <xf numFmtId="49" fontId="2" fillId="4" borderId="0" xfId="13" applyNumberFormat="1" applyFont="1" applyFill="1" applyBorder="1" applyAlignment="1" applyProtection="1">
      <alignment horizontal="center"/>
    </xf>
    <xf numFmtId="49" fontId="2" fillId="4" borderId="0" xfId="13" applyNumberFormat="1" applyFont="1" applyFill="1" applyBorder="1" applyProtection="1"/>
    <xf numFmtId="49" fontId="2" fillId="4" borderId="0" xfId="13" applyNumberFormat="1" applyFont="1" applyFill="1" applyBorder="1" applyAlignment="1" applyProtection="1">
      <alignment vertical="center"/>
    </xf>
    <xf numFmtId="177" fontId="2" fillId="4" borderId="0" xfId="13" applyNumberFormat="1" applyFont="1" applyFill="1" applyBorder="1" applyProtection="1"/>
    <xf numFmtId="179" fontId="2" fillId="3" borderId="4" xfId="13" applyNumberFormat="1" applyFont="1" applyFill="1" applyBorder="1" applyAlignment="1" applyProtection="1">
      <alignment horizontal="center" vertical="center"/>
      <protection locked="0"/>
    </xf>
    <xf numFmtId="182" fontId="2" fillId="3" borderId="4" xfId="13" applyNumberFormat="1" applyFont="1" applyFill="1" applyBorder="1" applyAlignment="1" applyProtection="1">
      <alignment horizontal="center" vertical="center"/>
      <protection locked="0"/>
    </xf>
    <xf numFmtId="2" fontId="2" fillId="3" borderId="4" xfId="13" applyNumberFormat="1" applyFont="1" applyFill="1" applyBorder="1" applyAlignment="1" applyProtection="1">
      <alignment horizontal="center" vertical="center"/>
      <protection locked="0"/>
    </xf>
    <xf numFmtId="49" fontId="2" fillId="3" borderId="4" xfId="13" applyNumberFormat="1" applyFont="1" applyFill="1" applyBorder="1" applyProtection="1">
      <protection locked="0"/>
    </xf>
    <xf numFmtId="0" fontId="2" fillId="3" borderId="4" xfId="13" applyNumberFormat="1" applyFont="1" applyFill="1" applyBorder="1" applyAlignment="1" applyProtection="1">
      <alignment horizontal="center" vertical="center"/>
      <protection locked="0"/>
    </xf>
    <xf numFmtId="49" fontId="2" fillId="4" borderId="4" xfId="13" applyNumberFormat="1" applyFont="1" applyFill="1" applyBorder="1" applyAlignment="1" applyProtection="1">
      <alignment horizontal="center" vertical="center"/>
      <protection locked="0"/>
    </xf>
    <xf numFmtId="49" fontId="2" fillId="4" borderId="4" xfId="13" applyNumberFormat="1" applyFont="1" applyFill="1" applyBorder="1" applyAlignment="1" applyProtection="1">
      <alignment horizontal="center" vertical="center" wrapText="1"/>
      <protection locked="0"/>
    </xf>
    <xf numFmtId="49" fontId="3" fillId="4" borderId="4" xfId="13" applyNumberFormat="1" applyFont="1" applyFill="1" applyBorder="1" applyAlignment="1" applyProtection="1">
      <alignment horizontal="center" vertical="center"/>
      <protection locked="0"/>
    </xf>
    <xf numFmtId="0" fontId="2" fillId="7" borderId="4" xfId="13" applyNumberFormat="1" applyFont="1" applyFill="1" applyBorder="1" applyAlignment="1" applyProtection="1">
      <alignment vertical="center"/>
      <protection locked="0"/>
    </xf>
    <xf numFmtId="0" fontId="10" fillId="8" borderId="0" xfId="13" applyNumberFormat="1" applyFont="1" applyFill="1" applyBorder="1" applyAlignment="1" applyProtection="1">
      <alignment horizontal="left" vertical="center"/>
      <protection locked="0"/>
    </xf>
    <xf numFmtId="49" fontId="2" fillId="8" borderId="0" xfId="13" applyNumberFormat="1" applyFont="1" applyFill="1" applyBorder="1" applyProtection="1"/>
    <xf numFmtId="0" fontId="2" fillId="8" borderId="0" xfId="13" applyFont="1" applyFill="1" applyBorder="1" applyAlignment="1" applyProtection="1">
      <alignment horizontal="center" vertical="center"/>
      <protection locked="0"/>
    </xf>
    <xf numFmtId="0" fontId="2" fillId="8" borderId="0" xfId="13" applyNumberFormat="1" applyFont="1" applyFill="1" applyBorder="1" applyAlignment="1" applyProtection="1">
      <alignment horizontal="center" vertical="center"/>
      <protection locked="0"/>
    </xf>
    <xf numFmtId="49" fontId="16" fillId="8" borderId="0" xfId="13" applyNumberFormat="1" applyFont="1" applyFill="1" applyBorder="1" applyProtection="1"/>
    <xf numFmtId="0" fontId="2" fillId="8" borderId="0" xfId="13" quotePrefix="1" applyNumberFormat="1" applyFont="1" applyFill="1" applyBorder="1" applyAlignment="1" applyProtection="1">
      <alignment horizontal="center" vertical="center"/>
      <protection locked="0"/>
    </xf>
    <xf numFmtId="49" fontId="17" fillId="8" borderId="0" xfId="13" applyNumberFormat="1" applyFont="1" applyFill="1" applyBorder="1" applyProtection="1"/>
    <xf numFmtId="183" fontId="2" fillId="8" borderId="0" xfId="13" applyNumberFormat="1" applyFont="1" applyFill="1" applyBorder="1" applyAlignment="1" applyProtection="1">
      <alignment horizontal="center" vertical="center"/>
      <protection locked="0"/>
    </xf>
    <xf numFmtId="0" fontId="2" fillId="4" borderId="0" xfId="13" applyFont="1" applyFill="1" applyBorder="1" applyAlignment="1" applyProtection="1">
      <alignment horizontal="center" vertical="center"/>
      <protection locked="0"/>
    </xf>
    <xf numFmtId="49" fontId="18" fillId="4" borderId="5" xfId="13" applyNumberFormat="1" applyFont="1" applyFill="1" applyBorder="1" applyAlignment="1" applyProtection="1"/>
    <xf numFmtId="49" fontId="2" fillId="4" borderId="5" xfId="13" applyNumberFormat="1" applyFont="1" applyFill="1" applyBorder="1" applyProtection="1"/>
    <xf numFmtId="49" fontId="2" fillId="3" borderId="0" xfId="13" applyNumberFormat="1" applyFont="1" applyFill="1" applyBorder="1" applyProtection="1"/>
    <xf numFmtId="49" fontId="20" fillId="4" borderId="0" xfId="13" applyNumberFormat="1" applyFont="1" applyFill="1" applyBorder="1" applyAlignment="1" applyProtection="1">
      <alignment vertical="center"/>
    </xf>
    <xf numFmtId="49" fontId="2" fillId="6" borderId="0" xfId="13" applyNumberFormat="1" applyFont="1" applyFill="1" applyBorder="1" applyProtection="1"/>
    <xf numFmtId="49" fontId="2" fillId="7" borderId="0" xfId="13" applyNumberFormat="1" applyFont="1" applyFill="1" applyBorder="1" applyProtection="1"/>
    <xf numFmtId="179" fontId="2" fillId="6" borderId="4" xfId="13" applyNumberFormat="1" applyFont="1" applyFill="1" applyBorder="1" applyAlignment="1" applyProtection="1">
      <alignment horizontal="center" vertical="center"/>
      <protection locked="0"/>
    </xf>
    <xf numFmtId="2" fontId="2" fillId="6" borderId="4" xfId="13" applyNumberFormat="1" applyFont="1" applyFill="1" applyBorder="1" applyAlignment="1" applyProtection="1">
      <alignment horizontal="center" vertical="center"/>
      <protection locked="0"/>
    </xf>
    <xf numFmtId="2" fontId="2" fillId="6" borderId="4" xfId="13" applyNumberFormat="1" applyFont="1" applyFill="1" applyBorder="1" applyAlignment="1" applyProtection="1">
      <alignment vertical="center"/>
      <protection locked="0"/>
    </xf>
    <xf numFmtId="49" fontId="2" fillId="6" borderId="4" xfId="13" applyNumberFormat="1" applyFont="1" applyFill="1" applyBorder="1" applyAlignment="1" applyProtection="1">
      <alignment horizontal="center" vertical="center"/>
      <protection locked="0"/>
    </xf>
    <xf numFmtId="49" fontId="2" fillId="6" borderId="4" xfId="13" applyNumberFormat="1" applyFont="1" applyFill="1" applyBorder="1" applyAlignment="1" applyProtection="1">
      <alignment horizontal="center" vertical="center" wrapText="1"/>
      <protection locked="0"/>
    </xf>
    <xf numFmtId="49" fontId="2" fillId="6" borderId="4" xfId="13" applyNumberFormat="1" applyFont="1" applyFill="1" applyBorder="1" applyAlignment="1" applyProtection="1">
      <alignment horizontal="center"/>
      <protection locked="0"/>
    </xf>
    <xf numFmtId="0" fontId="6" fillId="9" borderId="4" xfId="13" applyNumberFormat="1" applyFont="1" applyFill="1" applyBorder="1" applyAlignment="1" applyProtection="1">
      <alignment horizontal="center" vertical="center"/>
      <protection locked="0"/>
    </xf>
    <xf numFmtId="0" fontId="10" fillId="10" borderId="4" xfId="13" applyNumberFormat="1" applyFont="1" applyFill="1" applyBorder="1" applyAlignment="1" applyProtection="1">
      <alignment horizontal="center" vertical="center"/>
      <protection locked="0"/>
    </xf>
    <xf numFmtId="0" fontId="10" fillId="10" borderId="4" xfId="13" applyNumberFormat="1" applyFont="1" applyFill="1" applyBorder="1" applyAlignment="1" applyProtection="1">
      <alignment vertical="center"/>
      <protection locked="0"/>
    </xf>
    <xf numFmtId="49" fontId="11" fillId="5" borderId="1" xfId="13" applyNumberFormat="1" applyFont="1" applyFill="1" applyBorder="1" applyAlignment="1" applyProtection="1">
      <alignment vertical="center"/>
      <protection locked="0"/>
    </xf>
    <xf numFmtId="49" fontId="11" fillId="5" borderId="3" xfId="13" applyNumberFormat="1" applyFont="1" applyFill="1" applyBorder="1" applyAlignment="1" applyProtection="1">
      <alignment vertical="center"/>
      <protection locked="0"/>
    </xf>
    <xf numFmtId="49" fontId="11" fillId="5" borderId="2" xfId="13" applyNumberFormat="1" applyFont="1" applyFill="1" applyBorder="1" applyAlignment="1" applyProtection="1">
      <alignment vertical="center"/>
      <protection locked="0"/>
    </xf>
    <xf numFmtId="0" fontId="0" fillId="11" borderId="4" xfId="13" applyFont="1" applyFill="1" applyBorder="1" applyAlignment="1">
      <alignment horizontal="right" vertical="center"/>
    </xf>
    <xf numFmtId="49" fontId="3" fillId="4" borderId="4" xfId="13" applyNumberFormat="1" applyFont="1" applyFill="1" applyBorder="1" applyAlignment="1" applyProtection="1">
      <alignment horizontal="center" vertical="center"/>
    </xf>
    <xf numFmtId="49" fontId="3" fillId="4" borderId="6" xfId="13" applyNumberFormat="1" applyFont="1" applyFill="1" applyBorder="1" applyAlignment="1" applyProtection="1">
      <alignment horizontal="center" vertical="center"/>
    </xf>
    <xf numFmtId="49" fontId="3" fillId="4" borderId="7" xfId="13" applyNumberFormat="1" applyFont="1" applyFill="1" applyBorder="1" applyAlignment="1" applyProtection="1">
      <alignment horizontal="center" vertical="center"/>
    </xf>
    <xf numFmtId="49" fontId="3" fillId="0" borderId="4" xfId="13" applyNumberFormat="1" applyFont="1" applyFill="1" applyBorder="1" applyAlignment="1" applyProtection="1">
      <alignment horizontal="center" vertical="center"/>
    </xf>
    <xf numFmtId="49" fontId="3" fillId="0" borderId="2" xfId="13" applyNumberFormat="1" applyFont="1" applyFill="1" applyBorder="1" applyAlignment="1" applyProtection="1">
      <alignment horizontal="center" vertical="center"/>
    </xf>
    <xf numFmtId="49" fontId="3" fillId="0" borderId="1" xfId="13" applyNumberFormat="1" applyFont="1" applyFill="1" applyBorder="1" applyAlignment="1" applyProtection="1">
      <alignment horizontal="center" vertical="center"/>
    </xf>
    <xf numFmtId="49" fontId="2" fillId="3" borderId="4" xfId="13" applyNumberFormat="1" applyFont="1" applyFill="1" applyBorder="1" applyAlignment="1" applyProtection="1">
      <alignment wrapText="1"/>
      <protection locked="0"/>
    </xf>
    <xf numFmtId="0" fontId="10" fillId="10" borderId="4" xfId="13" applyNumberFormat="1" applyFont="1" applyFill="1" applyBorder="1" applyAlignment="1" applyProtection="1">
      <alignment horizontal="center" vertical="center"/>
      <protection locked="0"/>
    </xf>
    <xf numFmtId="179" fontId="2" fillId="3" borderId="4" xfId="13" applyNumberFormat="1" applyFont="1" applyFill="1" applyBorder="1" applyAlignment="1" applyProtection="1">
      <alignment horizontal="center" vertical="center"/>
      <protection locked="0"/>
    </xf>
    <xf numFmtId="0" fontId="2" fillId="3" borderId="4" xfId="13" applyNumberFormat="1" applyFont="1" applyFill="1" applyBorder="1" applyAlignment="1" applyProtection="1">
      <alignment horizontal="center" vertical="center"/>
      <protection locked="0"/>
    </xf>
    <xf numFmtId="0" fontId="2" fillId="3" borderId="4" xfId="13" applyFont="1" applyFill="1" applyBorder="1" applyAlignment="1" applyProtection="1">
      <alignment horizontal="center" vertical="center"/>
      <protection locked="0"/>
    </xf>
    <xf numFmtId="181" fontId="2" fillId="3" borderId="4" xfId="13" applyNumberFormat="1" applyFont="1" applyFill="1" applyBorder="1" applyAlignment="1" applyProtection="1">
      <alignment horizontal="center" vertical="center"/>
      <protection locked="0"/>
    </xf>
    <xf numFmtId="2" fontId="2" fillId="3" borderId="4" xfId="13" applyNumberFormat="1" applyFont="1" applyFill="1" applyBorder="1" applyAlignment="1" applyProtection="1">
      <alignment horizontal="center" vertical="center"/>
      <protection locked="0"/>
    </xf>
    <xf numFmtId="0" fontId="2" fillId="3" borderId="4" xfId="13" applyNumberFormat="1" applyFont="1" applyFill="1" applyBorder="1" applyAlignment="1" applyProtection="1">
      <alignment horizontal="center" vertical="center"/>
      <protection locked="0"/>
    </xf>
    <xf numFmtId="0" fontId="2" fillId="3" borderId="4" xfId="13" applyFont="1" applyFill="1" applyBorder="1" applyAlignment="1" applyProtection="1">
      <alignment horizontal="center" vertical="center"/>
      <protection locked="0"/>
    </xf>
    <xf numFmtId="0" fontId="2" fillId="7" borderId="4" xfId="13" applyNumberFormat="1" applyFont="1" applyFill="1" applyBorder="1" applyAlignment="1" applyProtection="1">
      <alignment vertical="center" wrapText="1"/>
      <protection locked="0"/>
    </xf>
    <xf numFmtId="180" fontId="2" fillId="7" borderId="4" xfId="13" applyNumberFormat="1" applyFont="1" applyFill="1" applyBorder="1" applyAlignment="1" applyProtection="1">
      <alignment vertical="center" wrapText="1"/>
      <protection locked="0"/>
    </xf>
    <xf numFmtId="0" fontId="20" fillId="7" borderId="4" xfId="13" applyNumberFormat="1" applyFont="1" applyFill="1" applyBorder="1" applyAlignment="1" applyProtection="1">
      <alignment vertical="center" wrapText="1"/>
      <protection locked="0"/>
    </xf>
    <xf numFmtId="0" fontId="25" fillId="7" borderId="4" xfId="13" applyNumberFormat="1" applyFont="1" applyFill="1" applyBorder="1" applyAlignment="1" applyProtection="1">
      <alignment vertical="center" wrapText="1"/>
      <protection locked="0"/>
    </xf>
    <xf numFmtId="49" fontId="2" fillId="3" borderId="1" xfId="13" applyNumberFormat="1" applyFont="1" applyFill="1" applyBorder="1" applyAlignment="1" applyProtection="1">
      <alignment horizontal="center" vertical="center"/>
      <protection locked="0"/>
    </xf>
    <xf numFmtId="49" fontId="2" fillId="3" borderId="3" xfId="13" applyNumberFormat="1" applyFont="1" applyFill="1" applyBorder="1" applyAlignment="1" applyProtection="1">
      <alignment horizontal="center" vertical="center"/>
      <protection locked="0"/>
    </xf>
    <xf numFmtId="49" fontId="2" fillId="3" borderId="2" xfId="13" applyNumberFormat="1" applyFont="1" applyFill="1" applyBorder="1" applyAlignment="1" applyProtection="1">
      <alignment horizontal="center" vertical="center"/>
      <protection locked="0"/>
    </xf>
    <xf numFmtId="0" fontId="2" fillId="6" borderId="4" xfId="13" applyNumberFormat="1" applyFont="1" applyFill="1" applyBorder="1" applyAlignment="1" applyProtection="1">
      <alignment horizontal="center" vertical="center"/>
      <protection locked="0"/>
    </xf>
    <xf numFmtId="178" fontId="2" fillId="6" borderId="4" xfId="13" applyNumberFormat="1" applyFont="1" applyFill="1" applyBorder="1" applyAlignment="1" applyProtection="1">
      <alignment horizontal="center" vertical="center"/>
      <protection locked="0"/>
    </xf>
    <xf numFmtId="180" fontId="2" fillId="3" borderId="1" xfId="13" applyNumberFormat="1" applyFont="1" applyFill="1" applyBorder="1" applyAlignment="1" applyProtection="1">
      <alignment horizontal="center" vertical="center"/>
      <protection locked="0"/>
    </xf>
    <xf numFmtId="180" fontId="2" fillId="3" borderId="3" xfId="13" applyNumberFormat="1" applyFont="1" applyFill="1" applyBorder="1" applyAlignment="1" applyProtection="1">
      <alignment horizontal="center" vertical="center"/>
      <protection locked="0"/>
    </xf>
    <xf numFmtId="180" fontId="2" fillId="3" borderId="2" xfId="13" applyNumberFormat="1" applyFont="1" applyFill="1" applyBorder="1" applyAlignment="1" applyProtection="1">
      <alignment horizontal="center" vertical="center"/>
      <protection locked="0"/>
    </xf>
    <xf numFmtId="0" fontId="2" fillId="3" borderId="1" xfId="13" applyNumberFormat="1" applyFont="1" applyFill="1" applyBorder="1" applyAlignment="1" applyProtection="1">
      <alignment horizontal="center" vertical="center"/>
      <protection locked="0"/>
    </xf>
    <xf numFmtId="0" fontId="2" fillId="3" borderId="3" xfId="13" applyNumberFormat="1" applyFont="1" applyFill="1" applyBorder="1" applyAlignment="1" applyProtection="1">
      <alignment horizontal="center" vertical="center"/>
      <protection locked="0"/>
    </xf>
    <xf numFmtId="0" fontId="2" fillId="3" borderId="2" xfId="13" applyNumberFormat="1" applyFont="1" applyFill="1" applyBorder="1" applyAlignment="1" applyProtection="1">
      <alignment horizontal="center" vertical="center"/>
      <protection locked="0"/>
    </xf>
    <xf numFmtId="49" fontId="10" fillId="5" borderId="4" xfId="13" applyNumberFormat="1" applyFont="1" applyFill="1" applyBorder="1" applyAlignment="1" applyProtection="1">
      <alignment horizontal="left" vertical="center"/>
      <protection locked="0"/>
    </xf>
    <xf numFmtId="176" fontId="2" fillId="3" borderId="1" xfId="13" applyNumberFormat="1" applyFont="1" applyFill="1" applyBorder="1" applyAlignment="1" applyProtection="1">
      <alignment horizontal="center" vertical="center"/>
      <protection locked="0"/>
    </xf>
    <xf numFmtId="176" fontId="2" fillId="3" borderId="3" xfId="13" applyNumberFormat="1" applyFont="1" applyFill="1" applyBorder="1" applyAlignment="1" applyProtection="1">
      <alignment horizontal="center" vertical="center"/>
      <protection locked="0"/>
    </xf>
    <xf numFmtId="176" fontId="2" fillId="3" borderId="2" xfId="13" applyNumberFormat="1" applyFont="1" applyFill="1" applyBorder="1" applyAlignment="1" applyProtection="1">
      <alignment horizontal="center" vertical="center"/>
      <protection locked="0"/>
    </xf>
    <xf numFmtId="49" fontId="3" fillId="4" borderId="1" xfId="13" applyNumberFormat="1" applyFont="1" applyFill="1" applyBorder="1" applyAlignment="1" applyProtection="1">
      <alignment horizontal="center" vertical="center"/>
      <protection locked="0"/>
    </xf>
    <xf numFmtId="49" fontId="3" fillId="6" borderId="1" xfId="13" applyNumberFormat="1" applyFont="1" applyFill="1" applyBorder="1" applyAlignment="1" applyProtection="1">
      <alignment horizontal="center" vertical="center"/>
      <protection locked="0"/>
    </xf>
    <xf numFmtId="49" fontId="2" fillId="6" borderId="3" xfId="13" applyNumberFormat="1" applyFont="1" applyFill="1" applyBorder="1" applyAlignment="1" applyProtection="1">
      <alignment horizontal="center" vertical="center"/>
      <protection locked="0"/>
    </xf>
    <xf numFmtId="49" fontId="2" fillId="6" borderId="2" xfId="13" applyNumberFormat="1" applyFont="1" applyFill="1" applyBorder="1" applyAlignment="1" applyProtection="1">
      <alignment horizontal="center" vertical="center"/>
      <protection locked="0"/>
    </xf>
    <xf numFmtId="49" fontId="2" fillId="4" borderId="4" xfId="13" applyNumberFormat="1" applyFont="1" applyFill="1" applyBorder="1" applyAlignment="1" applyProtection="1">
      <alignment horizontal="center" vertical="center" wrapText="1"/>
      <protection locked="0"/>
    </xf>
    <xf numFmtId="0" fontId="2" fillId="2" borderId="1" xfId="13" applyNumberFormat="1" applyFont="1" applyFill="1" applyBorder="1" applyAlignment="1" applyProtection="1">
      <alignment horizontal="center" vertical="center"/>
      <protection locked="0"/>
    </xf>
    <xf numFmtId="0" fontId="2" fillId="2" borderId="3" xfId="13" applyNumberFormat="1" applyFont="1" applyFill="1" applyBorder="1" applyAlignment="1" applyProtection="1">
      <alignment horizontal="center" vertical="center"/>
      <protection locked="0"/>
    </xf>
    <xf numFmtId="0" fontId="2" fillId="2" borderId="2" xfId="13" applyNumberFormat="1" applyFont="1" applyFill="1" applyBorder="1" applyAlignment="1" applyProtection="1">
      <alignment horizontal="center" vertical="center"/>
      <protection locked="0"/>
    </xf>
    <xf numFmtId="181" fontId="2" fillId="3" borderId="1" xfId="13" applyNumberFormat="1" applyFont="1" applyFill="1" applyBorder="1" applyAlignment="1" applyProtection="1">
      <alignment horizontal="center" vertical="center"/>
      <protection locked="0"/>
    </xf>
    <xf numFmtId="181" fontId="2" fillId="3" borderId="3" xfId="13" applyNumberFormat="1" applyFont="1" applyFill="1" applyBorder="1" applyAlignment="1" applyProtection="1">
      <alignment horizontal="center" vertical="center"/>
      <protection locked="0"/>
    </xf>
    <xf numFmtId="181" fontId="2" fillId="3" borderId="2" xfId="13" applyNumberFormat="1" applyFont="1" applyFill="1" applyBorder="1" applyAlignment="1" applyProtection="1">
      <alignment horizontal="center" vertical="center"/>
      <protection locked="0"/>
    </xf>
    <xf numFmtId="49" fontId="4" fillId="4" borderId="4" xfId="13" applyNumberFormat="1" applyFont="1" applyFill="1" applyBorder="1" applyAlignment="1" applyProtection="1">
      <alignment horizontal="center" vertical="center"/>
      <protection locked="0"/>
    </xf>
    <xf numFmtId="0" fontId="6" fillId="7" borderId="8" xfId="13" applyNumberFormat="1" applyFont="1" applyFill="1" applyBorder="1" applyAlignment="1" applyProtection="1">
      <alignment horizontal="center" vertical="center" wrapText="1"/>
      <protection locked="0"/>
    </xf>
    <xf numFmtId="0" fontId="6" fillId="7" borderId="7" xfId="13" applyNumberFormat="1" applyFont="1" applyFill="1" applyBorder="1" applyAlignment="1" applyProtection="1">
      <alignment horizontal="center" vertical="center" wrapText="1"/>
      <protection locked="0"/>
    </xf>
    <xf numFmtId="0" fontId="2" fillId="7" borderId="8" xfId="13" applyFont="1" applyFill="1" applyBorder="1" applyAlignment="1" applyProtection="1">
      <alignment horizontal="center" vertical="center" wrapText="1"/>
      <protection locked="0"/>
    </xf>
    <xf numFmtId="0" fontId="2" fillId="7" borderId="7" xfId="13" applyFont="1" applyFill="1" applyBorder="1" applyAlignment="1" applyProtection="1">
      <alignment horizontal="center" vertical="center" wrapText="1"/>
      <protection locked="0"/>
    </xf>
    <xf numFmtId="0" fontId="6" fillId="7" borderId="1" xfId="13" applyNumberFormat="1" applyFont="1" applyFill="1" applyBorder="1" applyAlignment="1" applyProtection="1">
      <alignment horizontal="center" vertical="center" wrapText="1"/>
      <protection locked="0"/>
    </xf>
    <xf numFmtId="0" fontId="6" fillId="7" borderId="3" xfId="13" applyNumberFormat="1" applyFont="1" applyFill="1" applyBorder="1" applyAlignment="1" applyProtection="1">
      <alignment horizontal="center" vertical="center" wrapText="1"/>
      <protection locked="0"/>
    </xf>
    <xf numFmtId="0" fontId="6" fillId="7" borderId="2" xfId="13" applyNumberFormat="1" applyFont="1" applyFill="1" applyBorder="1" applyAlignment="1" applyProtection="1">
      <alignment horizontal="center" vertical="center" wrapText="1"/>
      <protection locked="0"/>
    </xf>
    <xf numFmtId="49" fontId="6" fillId="9" borderId="8" xfId="13" applyNumberFormat="1" applyFont="1" applyFill="1" applyBorder="1" applyAlignment="1" applyProtection="1">
      <alignment horizontal="center" vertical="center" wrapText="1"/>
      <protection locked="0"/>
    </xf>
    <xf numFmtId="49" fontId="6" fillId="9" borderId="9" xfId="13" applyNumberFormat="1" applyFont="1" applyFill="1" applyBorder="1" applyAlignment="1" applyProtection="1">
      <alignment horizontal="center" vertical="center" wrapText="1"/>
      <protection locked="0"/>
    </xf>
    <xf numFmtId="49" fontId="6" fillId="9" borderId="7" xfId="13" applyNumberFormat="1" applyFont="1" applyFill="1" applyBorder="1" applyAlignment="1" applyProtection="1">
      <alignment horizontal="center" vertical="center" wrapText="1"/>
      <protection locked="0"/>
    </xf>
    <xf numFmtId="0" fontId="6" fillId="7" borderId="8" xfId="13" applyNumberFormat="1" applyFont="1" applyFill="1" applyBorder="1" applyAlignment="1" applyProtection="1">
      <alignment horizontal="center" vertical="center"/>
      <protection locked="0"/>
    </xf>
    <xf numFmtId="0" fontId="6" fillId="7" borderId="7" xfId="13" applyNumberFormat="1" applyFont="1" applyFill="1" applyBorder="1" applyAlignment="1" applyProtection="1">
      <alignment horizontal="center" vertical="center"/>
      <protection locked="0"/>
    </xf>
    <xf numFmtId="49" fontId="11" fillId="5" borderId="4" xfId="6" applyNumberFormat="1" applyFont="1" applyFill="1" applyBorder="1" applyAlignment="1" applyProtection="1">
      <alignment horizontal="left" vertical="center"/>
      <protection locked="0"/>
    </xf>
    <xf numFmtId="49" fontId="10" fillId="5" borderId="4" xfId="6" applyNumberFormat="1" applyFont="1" applyFill="1" applyBorder="1" applyAlignment="1" applyProtection="1">
      <alignment horizontal="left" vertical="center"/>
      <protection locked="0"/>
    </xf>
    <xf numFmtId="49" fontId="6" fillId="9" borderId="8" xfId="13" applyNumberFormat="1" applyFont="1" applyFill="1" applyBorder="1" applyAlignment="1" applyProtection="1">
      <alignment horizontal="center" vertical="center"/>
      <protection locked="0"/>
    </xf>
    <xf numFmtId="49" fontId="6" fillId="9" borderId="9" xfId="13" applyNumberFormat="1" applyFont="1" applyFill="1" applyBorder="1" applyAlignment="1" applyProtection="1">
      <alignment horizontal="center" vertical="center"/>
      <protection locked="0"/>
    </xf>
    <xf numFmtId="49" fontId="6" fillId="9" borderId="7" xfId="13" applyNumberFormat="1" applyFont="1" applyFill="1" applyBorder="1" applyAlignment="1" applyProtection="1">
      <alignment horizontal="center" vertical="center"/>
      <protection locked="0"/>
    </xf>
    <xf numFmtId="0" fontId="6" fillId="9" borderId="4" xfId="13" applyNumberFormat="1" applyFont="1" applyFill="1" applyBorder="1" applyAlignment="1" applyProtection="1">
      <alignment horizontal="center" vertical="center" wrapText="1"/>
      <protection locked="0"/>
    </xf>
    <xf numFmtId="0" fontId="6" fillId="9" borderId="4" xfId="13" applyNumberFormat="1" applyFont="1" applyFill="1" applyBorder="1" applyAlignment="1" applyProtection="1">
      <alignment horizontal="center" vertical="center"/>
      <protection locked="0"/>
    </xf>
    <xf numFmtId="0" fontId="6" fillId="9" borderId="8" xfId="13" applyNumberFormat="1" applyFont="1" applyFill="1" applyBorder="1" applyAlignment="1" applyProtection="1">
      <alignment horizontal="center" vertical="center" wrapText="1"/>
      <protection locked="0"/>
    </xf>
    <xf numFmtId="0" fontId="6" fillId="9" borderId="7" xfId="13" applyNumberFormat="1" applyFont="1" applyFill="1" applyBorder="1" applyAlignment="1" applyProtection="1">
      <alignment horizontal="center" vertical="center" wrapText="1"/>
      <protection locked="0"/>
    </xf>
    <xf numFmtId="0" fontId="10" fillId="10" borderId="4" xfId="13" applyNumberFormat="1" applyFont="1" applyFill="1" applyBorder="1" applyAlignment="1" applyProtection="1">
      <alignment horizontal="center" vertical="center" wrapText="1"/>
      <protection locked="0"/>
    </xf>
    <xf numFmtId="0" fontId="10" fillId="10" borderId="4" xfId="13" applyNumberFormat="1" applyFont="1" applyFill="1" applyBorder="1" applyAlignment="1" applyProtection="1">
      <alignment horizontal="center" vertical="center"/>
      <protection locked="0"/>
    </xf>
    <xf numFmtId="0" fontId="6" fillId="9" borderId="1" xfId="13" applyNumberFormat="1" applyFont="1" applyFill="1" applyBorder="1" applyAlignment="1" applyProtection="1">
      <alignment horizontal="center" vertical="center" wrapText="1"/>
      <protection locked="0"/>
    </xf>
    <xf numFmtId="0" fontId="6" fillId="9" borderId="3" xfId="13" applyNumberFormat="1" applyFont="1" applyFill="1" applyBorder="1" applyAlignment="1" applyProtection="1">
      <alignment horizontal="center" vertical="center" wrapText="1"/>
      <protection locked="0"/>
    </xf>
    <xf numFmtId="0" fontId="6" fillId="9" borderId="2" xfId="13" applyNumberFormat="1" applyFont="1" applyFill="1" applyBorder="1" applyAlignment="1" applyProtection="1">
      <alignment horizontal="center" vertical="center" wrapText="1"/>
      <protection locked="0"/>
    </xf>
    <xf numFmtId="49" fontId="11" fillId="5" borderId="3" xfId="13" applyNumberFormat="1" applyFont="1" applyFill="1" applyBorder="1" applyAlignment="1" applyProtection="1">
      <alignment horizontal="center" vertical="center"/>
      <protection locked="0"/>
    </xf>
    <xf numFmtId="0" fontId="0" fillId="0" borderId="4" xfId="13" applyFont="1" applyBorder="1" applyAlignment="1">
      <alignment horizontal="center" vertical="center"/>
    </xf>
    <xf numFmtId="0" fontId="0" fillId="11" borderId="1" xfId="13" applyFont="1" applyFill="1" applyBorder="1" applyAlignment="1">
      <alignment horizontal="left" vertical="center"/>
    </xf>
    <xf numFmtId="0" fontId="0" fillId="11" borderId="3" xfId="13" applyFont="1" applyFill="1" applyBorder="1" applyAlignment="1">
      <alignment horizontal="left" vertical="center"/>
    </xf>
    <xf numFmtId="0" fontId="0" fillId="11" borderId="2" xfId="13" applyFont="1" applyFill="1" applyBorder="1" applyAlignment="1">
      <alignment horizontal="left" vertical="center"/>
    </xf>
  </cellXfs>
  <cellStyles count="14">
    <cellStyle name="Comma" xfId="4"/>
    <cellStyle name="Comma [0]" xfId="5"/>
    <cellStyle name="Comma [0] 2" xfId="11"/>
    <cellStyle name="Comma 2" xfId="10"/>
    <cellStyle name="Comma 3" xfId="12"/>
    <cellStyle name="Currency" xfId="2"/>
    <cellStyle name="Currency [0]" xfId="3"/>
    <cellStyle name="Currency [0] 2" xfId="9"/>
    <cellStyle name="Currency 2" xfId="8"/>
    <cellStyle name="Currency 3" xfId="7"/>
    <cellStyle name="Normal" xfId="13"/>
    <cellStyle name="Percent" xfId="1"/>
    <cellStyle name="常规" xfId="0" builtinId="0"/>
    <cellStyle name="常规 2" xfId="6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 cap="flat" cmpd="sng">
                <a:solidFill>
                  <a:schemeClr val="accent1"/>
                </a:solidFill>
              </a:ln>
            </c:spPr>
          </c:marker>
          <c:trendline>
            <c:spPr>
              <a:ln w="19050" cap="rnd" cmpd="sng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 w="9525">
                  <a:noFill/>
                </a:ln>
                <a:effectLst/>
              </c:spPr>
              <c:txPr>
                <a:bodyPr rot="0" vert="horz"/>
                <a:lstStyle/>
                <a:p>
                  <a:pPr algn="ctr">
                    <a:defRPr lang="en-US" sz="900" b="0" i="0" u="none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宋体"/>
                      <a:ea typeface="宋体"/>
                      <a:cs typeface="宋体"/>
                    </a:defRPr>
                  </a:pPr>
                  <a:endParaRPr lang="zh-CN"/>
                </a:p>
              </c:txPr>
            </c:trendlineLbl>
          </c:trendline>
          <c:xVal>
            <c:numRef>
              <c:f>基本信息!$B$16:$B$26</c:f>
              <c:numCache>
                <c:formatCode>General</c:formatCode>
                <c:ptCount val="11"/>
                <c:pt idx="0">
                  <c:v>0.4</c:v>
                </c:pt>
                <c:pt idx="1">
                  <c:v>0.8</c:v>
                </c:pt>
                <c:pt idx="2">
                  <c:v>1.2</c:v>
                </c:pt>
                <c:pt idx="3">
                  <c:v>1.6</c:v>
                </c:pt>
                <c:pt idx="4">
                  <c:v>2</c:v>
                </c:pt>
              </c:numCache>
            </c:numRef>
          </c:xVal>
          <c:yVal>
            <c:numRef>
              <c:f>基本信息!$F$16:$F$26</c:f>
              <c:numCache>
                <c:formatCode>General</c:formatCode>
                <c:ptCount val="11"/>
                <c:pt idx="0">
                  <c:v>315.06</c:v>
                </c:pt>
                <c:pt idx="1">
                  <c:v>618.26</c:v>
                </c:pt>
                <c:pt idx="2">
                  <c:v>948.32000000000016</c:v>
                </c:pt>
                <c:pt idx="3">
                  <c:v>1231.2</c:v>
                </c:pt>
                <c:pt idx="4">
                  <c:v>1540.37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3150944"/>
        <c:axId val="-2043145504"/>
      </c:scatterChart>
      <c:valAx>
        <c:axId val="-2043150944"/>
        <c:scaling>
          <c:orientation val="minMax"/>
        </c:scaling>
        <c:delete val="0"/>
        <c:axPos val="b"/>
        <c:majorGridlines>
          <c:spPr>
            <a:ln w="9525" cap="flat" cmpd="sng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/>
          <a:lstStyle/>
          <a:p>
            <a:pPr>
              <a:defRPr lang="en-US" sz="900" b="0" i="0" u="none" baseline="0">
                <a:solidFill>
                  <a:schemeClr val="tx1">
                    <a:lumMod val="65000"/>
                    <a:lumOff val="35000"/>
                  </a:schemeClr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-2043145504"/>
        <c:crosses val="autoZero"/>
        <c:crossBetween val="midCat"/>
      </c:valAx>
      <c:valAx>
        <c:axId val="-2043145504"/>
        <c:scaling>
          <c:orientation val="minMax"/>
        </c:scaling>
        <c:delete val="0"/>
        <c:axPos val="l"/>
        <c:majorGridlines>
          <c:spPr>
            <a:ln w="9525" cap="flat" cmpd="sng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/>
          <a:lstStyle/>
          <a:p>
            <a:pPr>
              <a:defRPr lang="en-US" sz="900" b="0" i="0" u="none" baseline="0">
                <a:solidFill>
                  <a:schemeClr val="tx1">
                    <a:lumMod val="65000"/>
                    <a:lumOff val="35000"/>
                  </a:schemeClr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-2043150944"/>
        <c:crosses val="autoZero"/>
        <c:crossBetween val="midCat"/>
      </c:valAx>
      <c:spPr>
        <a:noFill/>
        <a:ln w="9525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>
      <a:solidFill>
        <a:schemeClr val="tx1">
          <a:lumMod val="15000"/>
          <a:lumOff val="85000"/>
        </a:schemeClr>
      </a:solidFill>
      <a:round/>
    </a:ln>
    <a:effectLst/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180975</xdr:colOff>
      <xdr:row>14</xdr:row>
      <xdr:rowOff>19050</xdr:rowOff>
    </xdr:from>
    <xdr:to>
      <xdr:col>18</xdr:col>
      <xdr:colOff>447675</xdr:colOff>
      <xdr:row>29</xdr:row>
      <xdr:rowOff>180975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130175</xdr:colOff>
      <xdr:row>12</xdr:row>
      <xdr:rowOff>161925</xdr:rowOff>
    </xdr:from>
    <xdr:to>
      <xdr:col>5</xdr:col>
      <xdr:colOff>263525</xdr:colOff>
      <xdr:row>12</xdr:row>
      <xdr:rowOff>161925</xdr:rowOff>
    </xdr:to>
    <xdr:cxnSp macro="">
      <xdr:nvCxnSpPr>
        <xdr:cNvPr id="4" name="直接连接符 3"/>
        <xdr:cNvCxnSpPr/>
      </xdr:nvCxnSpPr>
      <xdr:spPr>
        <a:xfrm>
          <a:off x="3562350" y="3286125"/>
          <a:ext cx="133350" cy="0"/>
        </a:xfrm>
        <a:prstGeom prst="line">
          <a:avLst/>
        </a:prstGeom>
      </xdr:spPr>
      <xdr:style>
        <a:lnRef idx="1">
          <a:schemeClr val="tx1"/>
        </a:lnRef>
        <a:fillRef idx="0">
          <a:schemeClr val="tx1"/>
        </a:fillRef>
        <a:effectRef idx="0">
          <a:schemeClr val="tx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304800</xdr:colOff>
      <xdr:row>12</xdr:row>
      <xdr:rowOff>161925</xdr:rowOff>
    </xdr:from>
    <xdr:to>
      <xdr:col>5</xdr:col>
      <xdr:colOff>438150</xdr:colOff>
      <xdr:row>12</xdr:row>
      <xdr:rowOff>161925</xdr:rowOff>
    </xdr:to>
    <xdr:cxnSp macro="">
      <xdr:nvCxnSpPr>
        <xdr:cNvPr id="6" name="直接连接符 5"/>
        <xdr:cNvCxnSpPr/>
      </xdr:nvCxnSpPr>
      <xdr:spPr>
        <a:xfrm>
          <a:off x="3733800" y="3286125"/>
          <a:ext cx="133350" cy="0"/>
        </a:xfrm>
        <a:prstGeom prst="line">
          <a:avLst/>
        </a:prstGeom>
      </xdr:spPr>
      <xdr:style>
        <a:lnRef idx="1">
          <a:schemeClr val="tx1"/>
        </a:lnRef>
        <a:fillRef idx="0">
          <a:schemeClr val="tx1"/>
        </a:fillRef>
        <a:effectRef idx="0">
          <a:schemeClr val="tx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41"/>
  <sheetViews>
    <sheetView showGridLines="0" topLeftCell="A16" workbookViewId="0">
      <selection activeCell="C10" sqref="C10:F10"/>
    </sheetView>
  </sheetViews>
  <sheetFormatPr defaultColWidth="9" defaultRowHeight="20.100000000000001" customHeight="1"/>
  <cols>
    <col min="1" max="6" width="9" style="16"/>
    <col min="7" max="17" width="5.125" style="16" customWidth="1"/>
    <col min="18" max="19" width="9" style="16"/>
    <col min="20" max="20" width="9.5" style="15" customWidth="1"/>
    <col min="21" max="23" width="8.125" style="15" customWidth="1"/>
    <col min="24" max="24" width="11.125" style="15" customWidth="1"/>
    <col min="25" max="25" width="8.125" style="15" customWidth="1"/>
    <col min="26" max="28" width="9" style="16"/>
    <col min="29" max="29" width="0" style="16" hidden="1" customWidth="1"/>
    <col min="30" max="16384" width="9" style="16"/>
  </cols>
  <sheetData>
    <row r="1" spans="1:19" ht="20.100000000000001" customHeight="1">
      <c r="A1" s="86" t="s">
        <v>25</v>
      </c>
      <c r="B1" s="86"/>
      <c r="C1" s="86"/>
      <c r="D1" s="86"/>
      <c r="E1" s="86"/>
      <c r="F1" s="86"/>
      <c r="G1" s="28"/>
      <c r="H1" s="29"/>
      <c r="I1" s="29"/>
      <c r="J1" s="29"/>
      <c r="K1" s="29"/>
      <c r="L1" s="29"/>
      <c r="M1" s="29"/>
      <c r="N1" s="29"/>
      <c r="O1" s="29"/>
      <c r="P1" s="29"/>
      <c r="Q1" s="30"/>
    </row>
    <row r="2" spans="1:19" ht="20.100000000000001" customHeight="1">
      <c r="A2" s="26" t="s">
        <v>53</v>
      </c>
      <c r="B2" s="11" t="s">
        <v>94</v>
      </c>
      <c r="C2" s="10"/>
      <c r="D2" s="10"/>
      <c r="E2" s="10"/>
      <c r="F2" s="10"/>
      <c r="G2" s="31"/>
      <c r="H2" s="29"/>
      <c r="I2" s="12" t="s">
        <v>58</v>
      </c>
      <c r="J2" s="12"/>
      <c r="K2" s="12"/>
      <c r="L2" s="32"/>
      <c r="M2" s="12" t="s">
        <v>59</v>
      </c>
      <c r="N2" s="12"/>
      <c r="O2" s="12"/>
      <c r="P2" s="29"/>
      <c r="Q2" s="30"/>
    </row>
    <row r="3" spans="1:19" ht="20.100000000000001" customHeight="1">
      <c r="A3" s="26" t="s">
        <v>52</v>
      </c>
      <c r="B3" s="9" t="s">
        <v>93</v>
      </c>
      <c r="C3" s="10"/>
      <c r="D3" s="10"/>
      <c r="E3" s="10"/>
      <c r="F3" s="10"/>
      <c r="G3" s="31"/>
      <c r="H3" s="29"/>
      <c r="I3" s="12"/>
      <c r="J3" s="12"/>
      <c r="K3" s="12"/>
      <c r="L3" s="32"/>
      <c r="M3" s="12"/>
      <c r="N3" s="12"/>
      <c r="O3" s="12"/>
      <c r="P3" s="29"/>
      <c r="Q3" s="30"/>
    </row>
    <row r="4" spans="1:19" s="17" customFormat="1" ht="20.100000000000001" customHeight="1">
      <c r="A4" s="24" t="s">
        <v>26</v>
      </c>
      <c r="B4" s="9" t="s">
        <v>95</v>
      </c>
      <c r="C4" s="10"/>
      <c r="D4" s="10"/>
      <c r="E4" s="10"/>
      <c r="F4" s="10"/>
      <c r="G4" s="31"/>
      <c r="H4" s="29"/>
      <c r="I4" s="12"/>
      <c r="J4" s="12"/>
      <c r="K4" s="12"/>
      <c r="L4" s="32"/>
      <c r="M4" s="12"/>
      <c r="N4" s="12"/>
      <c r="O4" s="12"/>
      <c r="P4" s="29"/>
      <c r="Q4" s="30"/>
      <c r="R4" s="16"/>
      <c r="S4" s="16"/>
    </row>
    <row r="5" spans="1:19" s="17" customFormat="1" ht="22.5" customHeight="1">
      <c r="A5" s="24" t="s">
        <v>27</v>
      </c>
      <c r="B5" s="8" t="s">
        <v>70</v>
      </c>
      <c r="C5" s="8"/>
      <c r="D5" s="8"/>
      <c r="E5" s="8"/>
      <c r="F5" s="8"/>
      <c r="G5" s="33"/>
      <c r="H5" s="29"/>
      <c r="I5" s="32"/>
      <c r="J5" s="32"/>
      <c r="K5" s="32"/>
      <c r="L5" s="32"/>
      <c r="M5" s="32"/>
      <c r="N5" s="34"/>
      <c r="O5" s="34"/>
      <c r="P5" s="29"/>
      <c r="Q5" s="30"/>
      <c r="R5" s="16"/>
      <c r="S5" s="16"/>
    </row>
    <row r="6" spans="1:19" s="17" customFormat="1" ht="22.5" customHeight="1">
      <c r="A6" s="24" t="s">
        <v>28</v>
      </c>
      <c r="B6" s="8" t="s">
        <v>71</v>
      </c>
      <c r="C6" s="8"/>
      <c r="D6" s="8"/>
      <c r="E6" s="8"/>
      <c r="F6" s="8"/>
      <c r="G6" s="31"/>
      <c r="H6" s="29"/>
      <c r="I6" s="12" t="s">
        <v>60</v>
      </c>
      <c r="J6" s="12"/>
      <c r="K6" s="12"/>
      <c r="L6" s="32"/>
      <c r="M6" s="12" t="s">
        <v>61</v>
      </c>
      <c r="N6" s="12"/>
      <c r="O6" s="12"/>
      <c r="P6" s="29"/>
      <c r="Q6" s="30"/>
      <c r="R6" s="16"/>
      <c r="S6" s="16"/>
    </row>
    <row r="7" spans="1:19" s="17" customFormat="1" ht="22.5" customHeight="1">
      <c r="A7" s="24" t="s">
        <v>29</v>
      </c>
      <c r="B7" s="8" t="s">
        <v>54</v>
      </c>
      <c r="C7" s="8"/>
      <c r="D7" s="8"/>
      <c r="E7" s="8"/>
      <c r="F7" s="8"/>
      <c r="G7" s="35"/>
      <c r="H7" s="29"/>
      <c r="I7" s="12"/>
      <c r="J7" s="12"/>
      <c r="K7" s="12"/>
      <c r="L7" s="32"/>
      <c r="M7" s="12"/>
      <c r="N7" s="12"/>
      <c r="O7" s="12"/>
      <c r="P7" s="29"/>
      <c r="Q7" s="30"/>
      <c r="R7" s="16"/>
      <c r="S7" s="16"/>
    </row>
    <row r="8" spans="1:19" s="17" customFormat="1" ht="22.5" customHeight="1">
      <c r="A8" s="24" t="s">
        <v>30</v>
      </c>
      <c r="B8" s="8" t="s">
        <v>55</v>
      </c>
      <c r="C8" s="8"/>
      <c r="D8" s="8"/>
      <c r="E8" s="8"/>
      <c r="F8" s="8"/>
      <c r="G8" s="35"/>
      <c r="H8" s="29"/>
      <c r="I8" s="12"/>
      <c r="J8" s="12"/>
      <c r="K8" s="12"/>
      <c r="L8" s="32"/>
      <c r="M8" s="12"/>
      <c r="N8" s="12"/>
      <c r="O8" s="12"/>
      <c r="P8" s="29"/>
      <c r="Q8" s="30"/>
      <c r="R8" s="16"/>
      <c r="S8" s="16"/>
    </row>
    <row r="9" spans="1:19" ht="20.100000000000001" customHeight="1">
      <c r="A9" s="14" t="s">
        <v>56</v>
      </c>
      <c r="B9" s="13"/>
      <c r="C9" s="80">
        <v>50</v>
      </c>
      <c r="D9" s="81"/>
      <c r="E9" s="82"/>
      <c r="F9" s="24" t="s">
        <v>4</v>
      </c>
      <c r="G9" s="30"/>
      <c r="H9" s="29"/>
      <c r="I9" s="29"/>
      <c r="J9" s="29"/>
      <c r="K9" s="29"/>
      <c r="L9" s="29"/>
      <c r="M9" s="29"/>
      <c r="N9" s="29"/>
      <c r="O9" s="29"/>
      <c r="P9" s="29"/>
      <c r="Q9" s="30"/>
    </row>
    <row r="10" spans="1:19" ht="20.100000000000001" customHeight="1">
      <c r="A10" s="13" t="s">
        <v>31</v>
      </c>
      <c r="B10" s="13"/>
      <c r="C10" s="98"/>
      <c r="D10" s="99"/>
      <c r="E10" s="99"/>
      <c r="F10" s="100"/>
      <c r="G10" s="30"/>
      <c r="H10" s="29"/>
      <c r="I10" s="29"/>
      <c r="J10" s="29"/>
      <c r="K10" s="29"/>
      <c r="L10" s="29"/>
      <c r="M10" s="29"/>
      <c r="N10" s="29"/>
      <c r="O10" s="29"/>
      <c r="P10" s="29"/>
      <c r="Q10" s="30"/>
    </row>
    <row r="11" spans="1:19" ht="20.100000000000001" customHeight="1" thickBot="1">
      <c r="A11" s="6" t="s">
        <v>32</v>
      </c>
      <c r="B11" s="5"/>
      <c r="C11" s="95">
        <v>3</v>
      </c>
      <c r="D11" s="96"/>
      <c r="E11" s="96"/>
      <c r="F11" s="97"/>
      <c r="G11" s="36"/>
      <c r="H11" s="36"/>
      <c r="I11" s="37" t="s">
        <v>62</v>
      </c>
      <c r="J11" s="38"/>
      <c r="K11" s="36"/>
      <c r="L11" s="36"/>
      <c r="M11" s="36"/>
      <c r="N11" s="36"/>
      <c r="O11" s="36"/>
      <c r="P11" s="36"/>
      <c r="Q11" s="36"/>
    </row>
    <row r="12" spans="1:19" ht="20.100000000000001" customHeight="1">
      <c r="A12" s="86" t="s">
        <v>33</v>
      </c>
      <c r="B12" s="86"/>
      <c r="C12" s="86"/>
      <c r="D12" s="86"/>
      <c r="E12" s="86"/>
      <c r="F12" s="86"/>
      <c r="G12" s="36"/>
      <c r="H12" s="36"/>
      <c r="I12" s="39"/>
      <c r="J12" s="40" t="s">
        <v>63</v>
      </c>
      <c r="K12" s="36"/>
      <c r="L12" s="36"/>
      <c r="M12" s="36"/>
      <c r="N12" s="36"/>
      <c r="O12" s="36"/>
      <c r="P12" s="36"/>
      <c r="Q12" s="36"/>
    </row>
    <row r="13" spans="1:19" ht="20.100000000000001" customHeight="1">
      <c r="A13" s="94" t="s">
        <v>68</v>
      </c>
      <c r="B13" s="94" t="s">
        <v>34</v>
      </c>
      <c r="C13" s="94" t="s">
        <v>35</v>
      </c>
      <c r="D13" s="94"/>
      <c r="E13" s="94"/>
      <c r="F13" s="101" t="s">
        <v>36</v>
      </c>
      <c r="G13" s="36"/>
      <c r="H13" s="36"/>
      <c r="I13" s="41"/>
      <c r="J13" s="40" t="s">
        <v>64</v>
      </c>
      <c r="Q13" s="36"/>
    </row>
    <row r="14" spans="1:19" ht="22.5" customHeight="1">
      <c r="A14" s="94"/>
      <c r="B14" s="94"/>
      <c r="C14" s="25" t="s">
        <v>5</v>
      </c>
      <c r="D14" s="25" t="s">
        <v>6</v>
      </c>
      <c r="E14" s="24" t="s">
        <v>37</v>
      </c>
      <c r="F14" s="101"/>
      <c r="G14" s="36"/>
      <c r="H14" s="36"/>
      <c r="I14" s="42"/>
      <c r="J14" s="40" t="s">
        <v>65</v>
      </c>
      <c r="Q14" s="36"/>
    </row>
    <row r="15" spans="1:19" ht="20.100000000000001" customHeight="1">
      <c r="A15" s="65">
        <v>0</v>
      </c>
      <c r="B15" s="65">
        <v>0</v>
      </c>
      <c r="C15" s="66">
        <v>181.56</v>
      </c>
      <c r="D15" s="66">
        <v>181.56</v>
      </c>
      <c r="E15" s="43">
        <f>IF(AND(C15="",D15=""),"",IFERROR(AVERAGE(C15:D15),""))</f>
        <v>181.56</v>
      </c>
      <c r="F15" s="43">
        <f t="shared" ref="F15:F26" si="0">IFERROR(IF(E15="","",E15-IF($E$15="",0,$E$15)),"")</f>
        <v>0</v>
      </c>
    </row>
    <row r="16" spans="1:19" ht="20.100000000000001" customHeight="1">
      <c r="A16" s="64">
        <v>1</v>
      </c>
      <c r="B16" s="64">
        <v>0.4</v>
      </c>
      <c r="C16" s="67">
        <v>496.62</v>
      </c>
      <c r="D16" s="67">
        <v>496.62</v>
      </c>
      <c r="E16" s="43">
        <f t="shared" ref="E16:E26" si="1">IF(AND(C16="",D16=""),"",IFERROR(AVERAGE(C16:D16),""))</f>
        <v>496.62</v>
      </c>
      <c r="F16" s="43">
        <f t="shared" si="0"/>
        <v>315.06</v>
      </c>
    </row>
    <row r="17" spans="1:26" ht="20.100000000000001" customHeight="1">
      <c r="A17" s="64">
        <v>2</v>
      </c>
      <c r="B17" s="64">
        <v>0.8</v>
      </c>
      <c r="C17" s="67">
        <v>799.82</v>
      </c>
      <c r="D17" s="67">
        <v>799.82</v>
      </c>
      <c r="E17" s="43">
        <f t="shared" si="1"/>
        <v>799.82</v>
      </c>
      <c r="F17" s="43">
        <f t="shared" si="0"/>
        <v>618.26</v>
      </c>
    </row>
    <row r="18" spans="1:26" ht="20.100000000000001" customHeight="1">
      <c r="A18" s="64">
        <v>3</v>
      </c>
      <c r="B18" s="64">
        <v>1.2</v>
      </c>
      <c r="C18" s="67">
        <v>1129.8800000000001</v>
      </c>
      <c r="D18" s="67">
        <v>1129.8800000000001</v>
      </c>
      <c r="E18" s="43">
        <f t="shared" si="1"/>
        <v>1129.8800000000001</v>
      </c>
      <c r="F18" s="43">
        <f t="shared" si="0"/>
        <v>948.32000000000016</v>
      </c>
    </row>
    <row r="19" spans="1:26" ht="20.100000000000001" customHeight="1">
      <c r="A19" s="64">
        <v>4</v>
      </c>
      <c r="B19" s="64">
        <v>1.6</v>
      </c>
      <c r="C19" s="67">
        <v>1412.76</v>
      </c>
      <c r="D19" s="67">
        <v>1412.76</v>
      </c>
      <c r="E19" s="43">
        <f t="shared" si="1"/>
        <v>1412.76</v>
      </c>
      <c r="F19" s="43">
        <f t="shared" si="0"/>
        <v>1231.2</v>
      </c>
    </row>
    <row r="20" spans="1:26" ht="20.100000000000001" customHeight="1">
      <c r="A20" s="64">
        <v>5</v>
      </c>
      <c r="B20" s="64">
        <v>2</v>
      </c>
      <c r="C20" s="67">
        <v>1721.9299999999998</v>
      </c>
      <c r="D20" s="67">
        <v>1721.9299999999998</v>
      </c>
      <c r="E20" s="43">
        <f t="shared" si="1"/>
        <v>1721.9299999999998</v>
      </c>
      <c r="F20" s="43">
        <f t="shared" si="0"/>
        <v>1540.37</v>
      </c>
    </row>
    <row r="21" spans="1:26" ht="20.100000000000001" customHeight="1">
      <c r="A21" s="19"/>
      <c r="B21" s="19"/>
      <c r="C21" s="19"/>
      <c r="D21" s="19"/>
      <c r="E21" s="43" t="str">
        <f t="shared" si="1"/>
        <v/>
      </c>
      <c r="F21" s="43" t="str">
        <f t="shared" si="0"/>
        <v/>
      </c>
    </row>
    <row r="22" spans="1:26" ht="20.100000000000001" customHeight="1">
      <c r="A22" s="19"/>
      <c r="B22" s="19"/>
      <c r="C22" s="19"/>
      <c r="D22" s="19"/>
      <c r="E22" s="43" t="str">
        <f t="shared" si="1"/>
        <v/>
      </c>
      <c r="F22" s="43" t="str">
        <f t="shared" si="0"/>
        <v/>
      </c>
    </row>
    <row r="23" spans="1:26" ht="20.100000000000001" customHeight="1">
      <c r="A23" s="19"/>
      <c r="B23" s="19"/>
      <c r="C23" s="19"/>
      <c r="D23" s="19"/>
      <c r="E23" s="43" t="str">
        <f t="shared" si="1"/>
        <v/>
      </c>
      <c r="F23" s="43" t="str">
        <f t="shared" si="0"/>
        <v/>
      </c>
    </row>
    <row r="24" spans="1:26" ht="20.100000000000001" customHeight="1">
      <c r="A24" s="19"/>
      <c r="B24" s="19"/>
      <c r="C24" s="19"/>
      <c r="D24" s="19"/>
      <c r="E24" s="43" t="str">
        <f t="shared" si="1"/>
        <v/>
      </c>
      <c r="F24" s="43" t="str">
        <f t="shared" si="0"/>
        <v/>
      </c>
    </row>
    <row r="25" spans="1:26" ht="20.100000000000001" customHeight="1">
      <c r="A25" s="19"/>
      <c r="B25" s="19"/>
      <c r="C25" s="19"/>
      <c r="D25" s="19"/>
      <c r="E25" s="43" t="str">
        <f t="shared" si="1"/>
        <v/>
      </c>
      <c r="F25" s="43" t="str">
        <f t="shared" si="0"/>
        <v/>
      </c>
    </row>
    <row r="26" spans="1:26" ht="20.100000000000001" customHeight="1">
      <c r="A26" s="19"/>
      <c r="B26" s="19"/>
      <c r="C26" s="19"/>
      <c r="D26" s="19"/>
      <c r="E26" s="43" t="str">
        <f t="shared" si="1"/>
        <v/>
      </c>
      <c r="F26" s="43" t="str">
        <f t="shared" si="0"/>
        <v/>
      </c>
    </row>
    <row r="27" spans="1:26" ht="20.100000000000001" customHeight="1">
      <c r="A27" s="7" t="s">
        <v>38</v>
      </c>
      <c r="B27" s="7"/>
      <c r="C27" s="7"/>
      <c r="D27" s="7"/>
      <c r="E27" s="7"/>
      <c r="F27" s="7"/>
    </row>
    <row r="28" spans="1:26" s="17" customFormat="1" ht="20.100000000000001" customHeight="1">
      <c r="A28" s="24" t="s">
        <v>0</v>
      </c>
      <c r="B28" s="78" t="str">
        <f>IFERROR(XiuYue(GetQuXianA(B16:B26,F16:F26),3,-1,999),"")</f>
        <v>11.6</v>
      </c>
      <c r="C28" s="78"/>
      <c r="D28" s="78"/>
      <c r="E28" s="78"/>
      <c r="F28" s="78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26" s="17" customFormat="1" ht="20.100000000000001" customHeight="1">
      <c r="A29" s="24" t="s">
        <v>1</v>
      </c>
      <c r="B29" s="78" t="str">
        <f>IFERROR(BaoLiuXiaoShuWei(GetQuXianb(B16:B26,F16:F26),3),"")</f>
        <v>765.890</v>
      </c>
      <c r="C29" s="78"/>
      <c r="D29" s="78"/>
      <c r="E29" s="78"/>
      <c r="F29" s="78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26" ht="20.100000000000001" customHeight="1">
      <c r="A30" s="24" t="s">
        <v>2</v>
      </c>
      <c r="B30" s="79" t="str">
        <f>IFERROR(BaoLiuXiaoShuWei(VALUE(GetQuXianr(B16:B26,F16:F26)),4),"")</f>
        <v>0.9998</v>
      </c>
      <c r="C30" s="79"/>
      <c r="D30" s="79"/>
      <c r="E30" s="79"/>
      <c r="F30" s="79"/>
      <c r="Z30" s="18"/>
    </row>
    <row r="31" spans="1:26" ht="20.100000000000001" customHeight="1">
      <c r="A31" s="90" t="s">
        <v>49</v>
      </c>
      <c r="B31" s="3"/>
      <c r="C31" s="83"/>
      <c r="D31" s="84"/>
      <c r="E31" s="84"/>
      <c r="F31" s="85"/>
      <c r="Z31" s="18"/>
    </row>
    <row r="32" spans="1:26" ht="20.100000000000001" customHeight="1">
      <c r="A32" s="4" t="s">
        <v>39</v>
      </c>
      <c r="B32" s="3"/>
      <c r="C32" s="87"/>
      <c r="D32" s="88"/>
      <c r="E32" s="88"/>
      <c r="F32" s="89"/>
      <c r="Z32" s="18"/>
    </row>
    <row r="33" spans="1:26" ht="20.100000000000001" customHeight="1">
      <c r="A33" s="4" t="s">
        <v>40</v>
      </c>
      <c r="B33" s="3"/>
      <c r="C33" s="91" t="s">
        <v>67</v>
      </c>
      <c r="D33" s="92"/>
      <c r="E33" s="92"/>
      <c r="F33" s="93"/>
      <c r="Z33" s="18"/>
    </row>
    <row r="34" spans="1:26" ht="20.100000000000001" customHeight="1">
      <c r="A34" s="13" t="s">
        <v>41</v>
      </c>
      <c r="B34" s="13"/>
      <c r="C34" s="83">
        <v>2E-3</v>
      </c>
      <c r="D34" s="84"/>
      <c r="E34" s="85"/>
      <c r="F34" s="24" t="s">
        <v>42</v>
      </c>
    </row>
    <row r="35" spans="1:26" ht="40.5" customHeight="1">
      <c r="A35" s="4" t="s">
        <v>43</v>
      </c>
      <c r="B35" s="3"/>
      <c r="C35" s="2" t="s">
        <v>72</v>
      </c>
      <c r="D35" s="2"/>
      <c r="E35" s="2"/>
      <c r="F35" s="1"/>
    </row>
    <row r="36" spans="1:26" ht="20.100000000000001" customHeight="1">
      <c r="A36" s="13" t="s">
        <v>44</v>
      </c>
      <c r="B36" s="13"/>
      <c r="C36" s="75" t="s">
        <v>66</v>
      </c>
      <c r="D36" s="76"/>
      <c r="E36" s="77"/>
      <c r="F36" s="24" t="s">
        <v>7</v>
      </c>
    </row>
    <row r="37" spans="1:26" ht="20.100000000000001" customHeight="1">
      <c r="A37" s="14" t="s">
        <v>57</v>
      </c>
      <c r="B37" s="13"/>
      <c r="C37" s="80">
        <v>50</v>
      </c>
      <c r="D37" s="81"/>
      <c r="E37" s="82"/>
      <c r="F37" s="24" t="s">
        <v>3</v>
      </c>
    </row>
    <row r="38" spans="1:26" ht="20.100000000000001" customHeight="1">
      <c r="A38" s="86" t="s">
        <v>45</v>
      </c>
      <c r="B38" s="86"/>
      <c r="C38" s="86"/>
      <c r="D38" s="86"/>
      <c r="E38" s="86"/>
      <c r="F38" s="86"/>
    </row>
    <row r="39" spans="1:26" ht="20.100000000000001" customHeight="1">
      <c r="A39" s="24" t="s">
        <v>46</v>
      </c>
      <c r="B39" s="10"/>
      <c r="C39" s="10"/>
      <c r="D39" s="10"/>
      <c r="E39" s="10"/>
      <c r="F39" s="10"/>
    </row>
    <row r="40" spans="1:26" ht="20.100000000000001" customHeight="1">
      <c r="A40" s="24" t="s">
        <v>47</v>
      </c>
      <c r="B40" s="10"/>
      <c r="C40" s="10"/>
      <c r="D40" s="10"/>
      <c r="E40" s="10"/>
      <c r="F40" s="10"/>
    </row>
    <row r="41" spans="1:26" ht="20.100000000000001" customHeight="1">
      <c r="A41" s="24" t="s">
        <v>48</v>
      </c>
      <c r="B41" s="10"/>
      <c r="C41" s="10"/>
      <c r="D41" s="10"/>
      <c r="E41" s="10"/>
      <c r="F41" s="10"/>
    </row>
  </sheetData>
  <sheetProtection formatCells="0" formatColumns="0" formatRows="0" sort="0" autoFilter="0" pivotTables="0"/>
  <mergeCells count="45">
    <mergeCell ref="C31:F31"/>
    <mergeCell ref="C33:F33"/>
    <mergeCell ref="A1:F1"/>
    <mergeCell ref="A9:B9"/>
    <mergeCell ref="C13:E13"/>
    <mergeCell ref="C9:E9"/>
    <mergeCell ref="C11:F11"/>
    <mergeCell ref="A10:B10"/>
    <mergeCell ref="C10:F10"/>
    <mergeCell ref="A12:F12"/>
    <mergeCell ref="A13:A14"/>
    <mergeCell ref="B13:B14"/>
    <mergeCell ref="F13:F14"/>
    <mergeCell ref="B41:F41"/>
    <mergeCell ref="C35:F35"/>
    <mergeCell ref="C36:E36"/>
    <mergeCell ref="B28:F28"/>
    <mergeCell ref="B29:F29"/>
    <mergeCell ref="B30:F30"/>
    <mergeCell ref="A34:B34"/>
    <mergeCell ref="C37:E37"/>
    <mergeCell ref="C34:E34"/>
    <mergeCell ref="A35:B35"/>
    <mergeCell ref="A38:F38"/>
    <mergeCell ref="B39:F39"/>
    <mergeCell ref="B40:F40"/>
    <mergeCell ref="A32:B32"/>
    <mergeCell ref="C32:F32"/>
    <mergeCell ref="A31:B31"/>
    <mergeCell ref="A37:B37"/>
    <mergeCell ref="I2:K4"/>
    <mergeCell ref="M2:O4"/>
    <mergeCell ref="I6:K8"/>
    <mergeCell ref="M6:O8"/>
    <mergeCell ref="B2:F2"/>
    <mergeCell ref="B3:F3"/>
    <mergeCell ref="B7:F7"/>
    <mergeCell ref="B8:F8"/>
    <mergeCell ref="B4:F4"/>
    <mergeCell ref="B5:F5"/>
    <mergeCell ref="B6:F6"/>
    <mergeCell ref="A36:B36"/>
    <mergeCell ref="A27:F27"/>
    <mergeCell ref="A11:B11"/>
    <mergeCell ref="A33:B33"/>
  </mergeCells>
  <phoneticPr fontId="24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000"/>
  <sheetViews>
    <sheetView tabSelected="1" workbookViewId="0">
      <pane ySplit="4" topLeftCell="A20" activePane="bottomLeft" state="frozen"/>
      <selection pane="bottomLeft" activeCell="E12" sqref="E12"/>
    </sheetView>
  </sheetViews>
  <sheetFormatPr defaultColWidth="9" defaultRowHeight="19.5" customHeight="1"/>
  <cols>
    <col min="1" max="1" width="12.5" style="48" customWidth="1"/>
    <col min="2" max="2" width="8" style="48" bestFit="1" customWidth="1"/>
    <col min="3" max="3" width="12.25" style="48" bestFit="1" customWidth="1"/>
    <col min="4" max="5" width="10.625" style="48" customWidth="1"/>
    <col min="6" max="6" width="7.75" style="20" customWidth="1"/>
    <col min="7" max="7" width="6.5" style="23" customWidth="1"/>
    <col min="8" max="9" width="8.5" style="21" customWidth="1"/>
    <col min="10" max="10" width="8.5" style="45" customWidth="1"/>
    <col min="11" max="11" width="8.75" style="51" customWidth="1"/>
    <col min="12" max="12" width="10" style="27" customWidth="1"/>
    <col min="13" max="14" width="9.625" style="27" customWidth="1"/>
    <col min="15" max="15" width="10.625" style="27" customWidth="1"/>
    <col min="16" max="16" width="10.5" style="27" customWidth="1"/>
    <col min="17" max="17" width="6.75" style="27" customWidth="1"/>
    <col min="18" max="18" width="6.625" style="22" customWidth="1"/>
    <col min="19" max="16384" width="9" style="16"/>
  </cols>
  <sheetData>
    <row r="1" spans="1:18" ht="19.5" customHeight="1">
      <c r="A1" s="114" t="s">
        <v>51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</row>
    <row r="2" spans="1:18" ht="19.5" customHeight="1">
      <c r="A2" s="116" t="s">
        <v>11</v>
      </c>
      <c r="B2" s="109" t="s">
        <v>12</v>
      </c>
      <c r="C2" s="116" t="s">
        <v>13</v>
      </c>
      <c r="D2" s="116" t="s">
        <v>14</v>
      </c>
      <c r="E2" s="116" t="s">
        <v>15</v>
      </c>
      <c r="F2" s="125" t="s">
        <v>95</v>
      </c>
      <c r="G2" s="126"/>
      <c r="H2" s="126"/>
      <c r="I2" s="126"/>
      <c r="J2" s="126"/>
      <c r="K2" s="127"/>
      <c r="L2" s="106" t="s">
        <v>9</v>
      </c>
      <c r="M2" s="107"/>
      <c r="N2" s="107"/>
      <c r="O2" s="107"/>
      <c r="P2" s="107"/>
      <c r="Q2" s="108"/>
      <c r="R2" s="109" t="s">
        <v>17</v>
      </c>
    </row>
    <row r="3" spans="1:18" ht="19.5" customHeight="1">
      <c r="A3" s="117"/>
      <c r="B3" s="110"/>
      <c r="C3" s="117"/>
      <c r="D3" s="117"/>
      <c r="E3" s="117"/>
      <c r="F3" s="119" t="s">
        <v>18</v>
      </c>
      <c r="G3" s="121" t="s">
        <v>19</v>
      </c>
      <c r="H3" s="120" t="s">
        <v>8</v>
      </c>
      <c r="I3" s="120"/>
      <c r="J3" s="120"/>
      <c r="K3" s="123" t="s">
        <v>69</v>
      </c>
      <c r="L3" s="102" t="s">
        <v>20</v>
      </c>
      <c r="M3" s="104" t="s">
        <v>21</v>
      </c>
      <c r="N3" s="104" t="s">
        <v>50</v>
      </c>
      <c r="O3" s="102" t="s">
        <v>22</v>
      </c>
      <c r="P3" s="102" t="s">
        <v>23</v>
      </c>
      <c r="Q3" s="112" t="s">
        <v>10</v>
      </c>
      <c r="R3" s="110"/>
    </row>
    <row r="4" spans="1:18" ht="26.25" customHeight="1">
      <c r="A4" s="118"/>
      <c r="B4" s="111"/>
      <c r="C4" s="118"/>
      <c r="D4" s="118"/>
      <c r="E4" s="118"/>
      <c r="F4" s="120"/>
      <c r="G4" s="122"/>
      <c r="H4" s="49">
        <v>1</v>
      </c>
      <c r="I4" s="49">
        <v>2</v>
      </c>
      <c r="J4" s="49" t="s">
        <v>24</v>
      </c>
      <c r="K4" s="124"/>
      <c r="L4" s="103"/>
      <c r="M4" s="105"/>
      <c r="N4" s="105"/>
      <c r="O4" s="103"/>
      <c r="P4" s="103"/>
      <c r="Q4" s="113"/>
      <c r="R4" s="111"/>
    </row>
    <row r="5" spans="1:18" ht="19.5" customHeight="1">
      <c r="A5" s="47" t="s">
        <v>16</v>
      </c>
      <c r="B5" s="47" t="s">
        <v>99</v>
      </c>
      <c r="C5" s="47" t="s">
        <v>16</v>
      </c>
      <c r="D5" s="47" t="s">
        <v>98</v>
      </c>
      <c r="E5" s="47" t="s">
        <v>97</v>
      </c>
      <c r="F5" s="70">
        <v>0.2369</v>
      </c>
      <c r="G5" s="69">
        <v>1</v>
      </c>
      <c r="H5" s="68">
        <v>145.91</v>
      </c>
      <c r="I5" s="68">
        <v>145.91</v>
      </c>
      <c r="J5" s="44" t="str">
        <f>IFERROR(BaoLiuXiaoShuWei(AVERAGE(H5:I5),2),"")</f>
        <v>145.91</v>
      </c>
      <c r="K5" s="63" t="str">
        <f>IFERROR(XiuYueXiaoShu(IF(J5="","",(J5-基本信息!$B$28)/基本信息!$B$29)*(基本信息!$C$9)/F5/1000*IF(G5="",1,G5),基本信息!$C$11,基本信息!$C$34,1),"")</f>
        <v>0.037</v>
      </c>
      <c r="R5" s="62" t="s">
        <v>96</v>
      </c>
    </row>
    <row r="6" spans="1:18" ht="19.5" customHeight="1">
      <c r="A6" s="47" t="s">
        <v>16</v>
      </c>
      <c r="B6" s="47" t="s">
        <v>100</v>
      </c>
      <c r="C6" s="47" t="s">
        <v>16</v>
      </c>
      <c r="D6" s="47" t="s">
        <v>98</v>
      </c>
      <c r="E6" s="47" t="s">
        <v>97</v>
      </c>
      <c r="F6" s="70">
        <v>0.27029999999999998</v>
      </c>
      <c r="G6" s="69">
        <v>1</v>
      </c>
      <c r="H6" s="68">
        <v>335.68</v>
      </c>
      <c r="I6" s="68">
        <v>335.68</v>
      </c>
      <c r="J6" s="44" t="str">
        <f>IFERROR(BaoLiuXiaoShuWei(AVERAGE(H6:I6),2),"")</f>
        <v>335.68</v>
      </c>
      <c r="K6" s="63" t="str">
        <f>IFERROR(XiuYueXiaoShu(IF(J6="","",(J6-基本信息!$B$28)/基本信息!$B$29)*(基本信息!$C$9)/F6/1000*IF(G6="",1,G6),基本信息!$C$11,基本信息!$C$34,1),"")</f>
        <v>0.078</v>
      </c>
      <c r="O6" s="71" t="s">
        <v>147</v>
      </c>
      <c r="P6" s="72">
        <v>35.700000000000003</v>
      </c>
      <c r="Q6" s="73" t="s">
        <v>148</v>
      </c>
      <c r="R6" s="62" t="s">
        <v>96</v>
      </c>
    </row>
    <row r="7" spans="1:18" ht="19.5" customHeight="1">
      <c r="A7" s="47" t="s">
        <v>101</v>
      </c>
      <c r="B7" s="47" t="s">
        <v>99</v>
      </c>
      <c r="C7" s="47" t="s">
        <v>101</v>
      </c>
      <c r="D7" s="47" t="s">
        <v>102</v>
      </c>
      <c r="E7" s="47" t="s">
        <v>97</v>
      </c>
      <c r="F7" s="70">
        <v>0.25140000000000001</v>
      </c>
      <c r="G7" s="69">
        <v>1</v>
      </c>
      <c r="H7" s="68">
        <v>438.32</v>
      </c>
      <c r="I7" s="68">
        <v>438.32</v>
      </c>
      <c r="J7" s="44" t="str">
        <f>IFERROR(BaoLiuXiaoShuWei(AVERAGE(H7:I7),2),"")</f>
        <v>438.32</v>
      </c>
      <c r="K7" s="63" t="str">
        <f>IFERROR(XiuYueXiaoShu(IF(J7="","",(J7-基本信息!$B$28)/基本信息!$B$29)*(基本信息!$C$9)/F7/1000*IF(G7="",1,G7),基本信息!$C$11,基本信息!$C$34,1),"")</f>
        <v>0.111</v>
      </c>
      <c r="R7" s="62" t="s">
        <v>96</v>
      </c>
    </row>
    <row r="8" spans="1:18" ht="19.5" customHeight="1">
      <c r="A8" s="47" t="s">
        <v>103</v>
      </c>
      <c r="B8" s="47" t="s">
        <v>99</v>
      </c>
      <c r="C8" s="47" t="s">
        <v>103</v>
      </c>
      <c r="D8" s="47" t="s">
        <v>104</v>
      </c>
      <c r="E8" s="47" t="s">
        <v>97</v>
      </c>
      <c r="F8" s="70">
        <v>0.27150000000000002</v>
      </c>
      <c r="G8" s="69">
        <v>1</v>
      </c>
      <c r="H8" s="68">
        <v>453.26</v>
      </c>
      <c r="I8" s="68">
        <v>453.26</v>
      </c>
      <c r="J8" s="44" t="str">
        <f>IFERROR(BaoLiuXiaoShuWei(AVERAGE(H8:I8),2),"")</f>
        <v>453.26</v>
      </c>
      <c r="K8" s="63" t="str">
        <f>IFERROR(XiuYueXiaoShu(IF(J8="","",(J8-基本信息!$B$28)/基本信息!$B$29)*(基本信息!$C$9)/F8/1000*IF(G8="",1,G8),基本信息!$C$11,基本信息!$C$34,1),"")</f>
        <v>0.106</v>
      </c>
      <c r="R8" s="62" t="s">
        <v>96</v>
      </c>
    </row>
    <row r="9" spans="1:18" ht="19.5" customHeight="1">
      <c r="A9" s="47" t="s">
        <v>105</v>
      </c>
      <c r="B9" s="47" t="s">
        <v>99</v>
      </c>
      <c r="C9" s="47" t="s">
        <v>105</v>
      </c>
      <c r="D9" s="47" t="s">
        <v>106</v>
      </c>
      <c r="E9" s="47" t="s">
        <v>97</v>
      </c>
      <c r="F9" s="70">
        <v>0.2258</v>
      </c>
      <c r="G9" s="69">
        <v>1</v>
      </c>
      <c r="H9" s="68">
        <v>298.61</v>
      </c>
      <c r="I9" s="68">
        <v>298.61</v>
      </c>
      <c r="J9" s="44" t="str">
        <f>IFERROR(BaoLiuXiaoShuWei(AVERAGE(H9:I9),2),"")</f>
        <v>298.61</v>
      </c>
      <c r="K9" s="63" t="str">
        <f>IFERROR(XiuYueXiaoShu(IF(J9="","",(J9-基本信息!$B$28)/基本信息!$B$29)*(基本信息!$C$9)/F9/1000*IF(G9="",1,G9),基本信息!$C$11,基本信息!$C$34,1),"")</f>
        <v>0.083</v>
      </c>
      <c r="R9" s="62" t="s">
        <v>96</v>
      </c>
    </row>
    <row r="10" spans="1:18" ht="19.5" customHeight="1">
      <c r="A10" s="47" t="s">
        <v>107</v>
      </c>
      <c r="B10" s="47" t="s">
        <v>99</v>
      </c>
      <c r="C10" s="47" t="s">
        <v>107</v>
      </c>
      <c r="D10" s="47" t="s">
        <v>108</v>
      </c>
      <c r="E10" s="47" t="s">
        <v>97</v>
      </c>
      <c r="F10" s="70">
        <v>0.2369</v>
      </c>
      <c r="G10" s="69">
        <v>1</v>
      </c>
      <c r="H10" s="68">
        <v>81.05</v>
      </c>
      <c r="I10" s="68">
        <v>81.05</v>
      </c>
      <c r="J10" s="44" t="str">
        <f>IFERROR(BaoLiuXiaoShuWei(AVERAGE(H10:I10),2),"")</f>
        <v>81.05</v>
      </c>
      <c r="K10" s="63" t="str">
        <f>IFERROR(XiuYueXiaoShu(IF(J10="","",(J10-基本信息!$B$28)/基本信息!$B$29)*(基本信息!$C$9)/F10/1000*IF(G10="",1,G10),基本信息!$C$11,基本信息!$C$34,1),"")</f>
        <v>0.019</v>
      </c>
      <c r="R10" s="62" t="s">
        <v>96</v>
      </c>
    </row>
    <row r="11" spans="1:18" ht="19.5" customHeight="1">
      <c r="A11" s="47" t="s">
        <v>109</v>
      </c>
      <c r="B11" s="47" t="s">
        <v>99</v>
      </c>
      <c r="C11" s="47" t="s">
        <v>109</v>
      </c>
      <c r="D11" s="47" t="s">
        <v>110</v>
      </c>
      <c r="E11" s="47" t="s">
        <v>97</v>
      </c>
      <c r="F11" s="70">
        <v>0.25869999999999999</v>
      </c>
      <c r="G11" s="69">
        <v>1</v>
      </c>
      <c r="H11" s="68">
        <v>113.73</v>
      </c>
      <c r="I11" s="68">
        <v>113.73</v>
      </c>
      <c r="J11" s="44" t="str">
        <f>IFERROR(BaoLiuXiaoShuWei(AVERAGE(H11:I11),2),"")</f>
        <v>113.73</v>
      </c>
      <c r="K11" s="63" t="str">
        <f>IFERROR(XiuYueXiaoShu(IF(J11="","",(J11-基本信息!$B$28)/基本信息!$B$29)*(基本信息!$C$9)/F11/1000*IF(G11="",1,G11),基本信息!$C$11,基本信息!$C$34,1),"")</f>
        <v>0.026</v>
      </c>
      <c r="R11" s="62" t="s">
        <v>96</v>
      </c>
    </row>
    <row r="12" spans="1:18" ht="19.5" customHeight="1">
      <c r="A12" s="47" t="s">
        <v>111</v>
      </c>
      <c r="B12" s="47" t="s">
        <v>99</v>
      </c>
      <c r="C12" s="47" t="s">
        <v>111</v>
      </c>
      <c r="D12" s="47" t="s">
        <v>112</v>
      </c>
      <c r="E12" s="47" t="s">
        <v>97</v>
      </c>
      <c r="F12" s="70">
        <v>0.2364</v>
      </c>
      <c r="G12" s="69">
        <v>1</v>
      </c>
      <c r="H12" s="68">
        <v>96.62</v>
      </c>
      <c r="I12" s="68">
        <v>96.62</v>
      </c>
      <c r="J12" s="44" t="str">
        <f>IFERROR(BaoLiuXiaoShuWei(AVERAGE(H12:I12),2),"")</f>
        <v>96.62</v>
      </c>
      <c r="K12" s="63" t="str">
        <f>IFERROR(XiuYueXiaoShu(IF(J12="","",(J12-基本信息!$B$28)/基本信息!$B$29)*(基本信息!$C$9)/F12/1000*IF(G12="",1,G12),基本信息!$C$11,基本信息!$C$34,1),"")</f>
        <v>0.023</v>
      </c>
      <c r="R12" s="62" t="s">
        <v>96</v>
      </c>
    </row>
    <row r="13" spans="1:18" ht="19.5" customHeight="1">
      <c r="A13" s="47" t="s">
        <v>113</v>
      </c>
      <c r="B13" s="47" t="s">
        <v>99</v>
      </c>
      <c r="C13" s="47" t="s">
        <v>113</v>
      </c>
      <c r="D13" s="47" t="s">
        <v>114</v>
      </c>
      <c r="E13" s="47" t="s">
        <v>97</v>
      </c>
      <c r="F13" s="70">
        <v>0.25769999999999998</v>
      </c>
      <c r="G13" s="69">
        <v>1</v>
      </c>
      <c r="H13" s="68">
        <v>708.48</v>
      </c>
      <c r="I13" s="68">
        <v>708.48</v>
      </c>
      <c r="J13" s="44" t="str">
        <f>IFERROR(BaoLiuXiaoShuWei(AVERAGE(H13:I13),2),"")</f>
        <v>708.48</v>
      </c>
      <c r="K13" s="63" t="str">
        <f>IFERROR(XiuYueXiaoShu(IF(J13="","",(J13-基本信息!$B$28)/基本信息!$B$29)*(基本信息!$C$9)/F13/1000*IF(G13="",1,G13),基本信息!$C$11,基本信息!$C$34,1),"")</f>
        <v>0.177</v>
      </c>
      <c r="R13" s="62" t="s">
        <v>96</v>
      </c>
    </row>
    <row r="14" spans="1:18" ht="19.5" customHeight="1">
      <c r="A14" s="47" t="s">
        <v>115</v>
      </c>
      <c r="B14" s="47" t="s">
        <v>99</v>
      </c>
      <c r="C14" s="47" t="s">
        <v>115</v>
      </c>
      <c r="D14" s="47" t="s">
        <v>116</v>
      </c>
      <c r="E14" s="47" t="s">
        <v>97</v>
      </c>
      <c r="F14" s="70">
        <v>0.2354</v>
      </c>
      <c r="G14" s="69">
        <v>1</v>
      </c>
      <c r="H14" s="68">
        <v>553.62</v>
      </c>
      <c r="I14" s="68">
        <v>553.62</v>
      </c>
      <c r="J14" s="44" t="str">
        <f>IFERROR(BaoLiuXiaoShuWei(AVERAGE(H14:I14),2),"")</f>
        <v>553.62</v>
      </c>
      <c r="K14" s="63" t="str">
        <f>IFERROR(XiuYueXiaoShu(IF(J14="","",(J14-基本信息!$B$28)/基本信息!$B$29)*(基本信息!$C$9)/F14/1000*IF(G14="",1,G14),基本信息!$C$11,基本信息!$C$34,1),"")</f>
        <v>0.150</v>
      </c>
      <c r="R14" s="62" t="s">
        <v>96</v>
      </c>
    </row>
    <row r="15" spans="1:18" ht="19.5" customHeight="1">
      <c r="A15" s="47" t="s">
        <v>115</v>
      </c>
      <c r="B15" s="47" t="s">
        <v>100</v>
      </c>
      <c r="C15" s="47" t="s">
        <v>115</v>
      </c>
      <c r="D15" s="47" t="s">
        <v>116</v>
      </c>
      <c r="E15" s="47" t="s">
        <v>97</v>
      </c>
      <c r="F15" s="70">
        <v>0.23930000000000001</v>
      </c>
      <c r="G15" s="69">
        <v>1</v>
      </c>
      <c r="H15" s="68">
        <v>470.17</v>
      </c>
      <c r="I15" s="68">
        <v>470.17</v>
      </c>
      <c r="J15" s="44" t="str">
        <f>IFERROR(BaoLiuXiaoShuWei(AVERAGE(H15:I15),2),"")</f>
        <v>470.17</v>
      </c>
      <c r="K15" s="63" t="str">
        <f>IFERROR(XiuYueXiaoShu(IF(J15="","",(J15-基本信息!$B$28)/基本信息!$B$29)*(基本信息!$C$9)/F15/1000*IF(G15="",1,G15),基本信息!$C$11,基本信息!$C$34,1),"")</f>
        <v>0.125</v>
      </c>
      <c r="O15" s="71" t="s">
        <v>149</v>
      </c>
      <c r="P15" s="72">
        <v>9.1</v>
      </c>
      <c r="Q15" s="74" t="s">
        <v>150</v>
      </c>
      <c r="R15" s="62" t="s">
        <v>96</v>
      </c>
    </row>
    <row r="16" spans="1:18" ht="19.5" customHeight="1">
      <c r="A16" s="47" t="s">
        <v>117</v>
      </c>
      <c r="B16" s="47" t="s">
        <v>99</v>
      </c>
      <c r="C16" s="47" t="s">
        <v>117</v>
      </c>
      <c r="D16" s="47" t="s">
        <v>118</v>
      </c>
      <c r="E16" s="47" t="s">
        <v>97</v>
      </c>
      <c r="F16" s="70">
        <v>0.22439999999999999</v>
      </c>
      <c r="G16" s="69">
        <v>1</v>
      </c>
      <c r="H16" s="68">
        <v>264.2</v>
      </c>
      <c r="I16" s="68">
        <v>264.2</v>
      </c>
      <c r="J16" s="44" t="str">
        <f>IFERROR(BaoLiuXiaoShuWei(AVERAGE(H16:I16),2),"")</f>
        <v>264.20</v>
      </c>
      <c r="K16" s="63" t="str">
        <f>IFERROR(XiuYueXiaoShu(IF(J16="","",(J16-基本信息!$B$28)/基本信息!$B$29)*(基本信息!$C$9)/F16/1000*IF(G16="",1,G16),基本信息!$C$11,基本信息!$C$34,1),"")</f>
        <v>0.073</v>
      </c>
      <c r="R16" s="62" t="s">
        <v>96</v>
      </c>
    </row>
    <row r="17" spans="1:18" ht="19.5" customHeight="1">
      <c r="A17" s="47" t="s">
        <v>119</v>
      </c>
      <c r="B17" s="47" t="s">
        <v>99</v>
      </c>
      <c r="C17" s="47" t="s">
        <v>119</v>
      </c>
      <c r="D17" s="47" t="s">
        <v>120</v>
      </c>
      <c r="E17" s="47" t="s">
        <v>97</v>
      </c>
      <c r="F17" s="70">
        <v>0.24129999999999999</v>
      </c>
      <c r="G17" s="69">
        <v>1</v>
      </c>
      <c r="H17" s="68">
        <v>462.16</v>
      </c>
      <c r="I17" s="68">
        <v>462.16</v>
      </c>
      <c r="J17" s="44" t="str">
        <f>IFERROR(BaoLiuXiaoShuWei(AVERAGE(H17:I17),2),"")</f>
        <v>462.16</v>
      </c>
      <c r="K17" s="63" t="str">
        <f>IFERROR(XiuYueXiaoShu(IF(J17="","",(J17-基本信息!$B$28)/基本信息!$B$29)*(基本信息!$C$9)/F17/1000*IF(G17="",1,G17),基本信息!$C$11,基本信息!$C$34,1),"")</f>
        <v>0.122</v>
      </c>
      <c r="R17" s="62" t="s">
        <v>96</v>
      </c>
    </row>
    <row r="18" spans="1:18" ht="19.5" customHeight="1">
      <c r="A18" s="47" t="s">
        <v>121</v>
      </c>
      <c r="B18" s="47" t="s">
        <v>99</v>
      </c>
      <c r="C18" s="47" t="s">
        <v>121</v>
      </c>
      <c r="D18" s="47" t="s">
        <v>122</v>
      </c>
      <c r="E18" s="47" t="s">
        <v>97</v>
      </c>
      <c r="F18" s="70">
        <v>0.23649999999999999</v>
      </c>
      <c r="G18" s="69">
        <v>1</v>
      </c>
      <c r="H18" s="68">
        <v>389.93</v>
      </c>
      <c r="I18" s="68">
        <v>389.93</v>
      </c>
      <c r="J18" s="44" t="str">
        <f>IFERROR(BaoLiuXiaoShuWei(AVERAGE(H18:I18),2),"")</f>
        <v>389.93</v>
      </c>
      <c r="K18" s="63" t="str">
        <f>IFERROR(XiuYueXiaoShu(IF(J18="","",(J18-基本信息!$B$28)/基本信息!$B$29)*(基本信息!$C$9)/F18/1000*IF(G18="",1,G18),基本信息!$C$11,基本信息!$C$34,1),"")</f>
        <v>0.104</v>
      </c>
      <c r="R18" s="62" t="s">
        <v>96</v>
      </c>
    </row>
    <row r="19" spans="1:18" ht="19.5" customHeight="1">
      <c r="A19" s="47" t="s">
        <v>123</v>
      </c>
      <c r="B19" s="47" t="s">
        <v>99</v>
      </c>
      <c r="C19" s="47" t="s">
        <v>123</v>
      </c>
      <c r="D19" s="47" t="s">
        <v>124</v>
      </c>
      <c r="E19" s="47" t="s">
        <v>97</v>
      </c>
      <c r="F19" s="70">
        <v>0.22509999999999999</v>
      </c>
      <c r="G19" s="69">
        <v>1</v>
      </c>
      <c r="H19" s="68">
        <v>274.70999999999998</v>
      </c>
      <c r="I19" s="68">
        <v>274.70999999999998</v>
      </c>
      <c r="J19" s="44" t="str">
        <f>IFERROR(BaoLiuXiaoShuWei(AVERAGE(H19:I19),2),"")</f>
        <v>274.71</v>
      </c>
      <c r="K19" s="63" t="str">
        <f>IFERROR(XiuYueXiaoShu(IF(J19="","",(J19-基本信息!$B$28)/基本信息!$B$29)*(基本信息!$C$9)/F19/1000*IF(G19="",1,G19),基本信息!$C$11,基本信息!$C$34,1),"")</f>
        <v>0.076</v>
      </c>
      <c r="R19" s="62" t="s">
        <v>96</v>
      </c>
    </row>
    <row r="20" spans="1:18" ht="19.5" customHeight="1">
      <c r="A20" s="47" t="s">
        <v>123</v>
      </c>
      <c r="B20" s="47" t="s">
        <v>100</v>
      </c>
      <c r="C20" s="47" t="s">
        <v>123</v>
      </c>
      <c r="D20" s="47" t="s">
        <v>124</v>
      </c>
      <c r="E20" s="47" t="s">
        <v>97</v>
      </c>
      <c r="F20" s="70">
        <v>0.21229999999999999</v>
      </c>
      <c r="G20" s="69">
        <v>1</v>
      </c>
      <c r="H20" s="68">
        <v>240.36</v>
      </c>
      <c r="I20" s="68">
        <v>240.36</v>
      </c>
      <c r="J20" s="44" t="str">
        <f>IFERROR(BaoLiuXiaoShuWei(AVERAGE(H20:I20),2),"")</f>
        <v>240.36</v>
      </c>
      <c r="K20" s="63" t="str">
        <f>IFERROR(XiuYueXiaoShu(IF(J20="","",(J20-基本信息!$B$28)/基本信息!$B$29)*(基本信息!$C$9)/F20/1000*IF(G20="",1,G20),基本信息!$C$11,基本信息!$C$34,1),"")</f>
        <v>0.070</v>
      </c>
      <c r="O20" s="71" t="s">
        <v>147</v>
      </c>
      <c r="P20" s="72">
        <v>4.0999999999999996</v>
      </c>
      <c r="Q20" s="74" t="s">
        <v>150</v>
      </c>
      <c r="R20" s="62" t="s">
        <v>96</v>
      </c>
    </row>
    <row r="21" spans="1:18" ht="19.5" customHeight="1">
      <c r="A21" s="47" t="s">
        <v>125</v>
      </c>
      <c r="B21" s="47" t="s">
        <v>99</v>
      </c>
      <c r="C21" s="47" t="s">
        <v>125</v>
      </c>
      <c r="D21" s="47" t="s">
        <v>126</v>
      </c>
      <c r="E21" s="47" t="s">
        <v>97</v>
      </c>
      <c r="F21" s="70">
        <v>0.23680000000000001</v>
      </c>
      <c r="G21" s="69">
        <v>1</v>
      </c>
      <c r="H21" s="68">
        <v>251.18</v>
      </c>
      <c r="I21" s="68">
        <v>251.18</v>
      </c>
      <c r="J21" s="44" t="str">
        <f>IFERROR(BaoLiuXiaoShuWei(AVERAGE(H21:I21),2),"")</f>
        <v>251.18</v>
      </c>
      <c r="K21" s="63" t="str">
        <f>IFERROR(XiuYueXiaoShu(IF(J21="","",(J21-基本信息!$B$28)/基本信息!$B$29)*(基本信息!$C$9)/F21/1000*IF(G21="",1,G21),基本信息!$C$11,基本信息!$C$34,1),"")</f>
        <v>0.066</v>
      </c>
      <c r="R21" s="62" t="s">
        <v>96</v>
      </c>
    </row>
    <row r="22" spans="1:18" ht="19.5" customHeight="1">
      <c r="A22" s="47" t="s">
        <v>127</v>
      </c>
      <c r="B22" s="47" t="s">
        <v>99</v>
      </c>
      <c r="C22" s="47" t="s">
        <v>127</v>
      </c>
      <c r="D22" s="47" t="s">
        <v>128</v>
      </c>
      <c r="E22" s="47" t="s">
        <v>97</v>
      </c>
      <c r="F22" s="70">
        <v>0.25869999999999999</v>
      </c>
      <c r="G22" s="69">
        <v>1</v>
      </c>
      <c r="H22" s="68">
        <v>255.48</v>
      </c>
      <c r="I22" s="68">
        <v>255.48</v>
      </c>
      <c r="J22" s="44" t="str">
        <f>IFERROR(BaoLiuXiaoShuWei(AVERAGE(H22:I22),2),"")</f>
        <v>255.48</v>
      </c>
      <c r="K22" s="63" t="str">
        <f>IFERROR(XiuYueXiaoShu(IF(J22="","",(J22-基本信息!$B$28)/基本信息!$B$29)*(基本信息!$C$9)/F22/1000*IF(G22="",1,G22),基本信息!$C$11,基本信息!$C$34,1),"")</f>
        <v>0.062</v>
      </c>
      <c r="R22" s="62" t="s">
        <v>96</v>
      </c>
    </row>
    <row r="23" spans="1:18" ht="19.5" customHeight="1">
      <c r="A23" s="47" t="s">
        <v>129</v>
      </c>
      <c r="B23" s="47" t="s">
        <v>99</v>
      </c>
      <c r="C23" s="47" t="s">
        <v>129</v>
      </c>
      <c r="D23" s="47" t="s">
        <v>130</v>
      </c>
      <c r="E23" s="47" t="s">
        <v>97</v>
      </c>
      <c r="F23" s="70">
        <v>0.2576</v>
      </c>
      <c r="G23" s="69">
        <v>1</v>
      </c>
      <c r="H23" s="68">
        <v>607.98</v>
      </c>
      <c r="I23" s="68">
        <v>607.98</v>
      </c>
      <c r="J23" s="44" t="str">
        <f>IFERROR(BaoLiuXiaoShuWei(AVERAGE(H23:I23),2),"")</f>
        <v>607.98</v>
      </c>
      <c r="K23" s="63" t="str">
        <f>IFERROR(XiuYueXiaoShu(IF(J23="","",(J23-基本信息!$B$28)/基本信息!$B$29)*(基本信息!$C$9)/F23/1000*IF(G23="",1,G23),基本信息!$C$11,基本信息!$C$34,1),"")</f>
        <v>0.151</v>
      </c>
      <c r="R23" s="62" t="s">
        <v>96</v>
      </c>
    </row>
    <row r="24" spans="1:18" ht="19.5" customHeight="1">
      <c r="A24" s="47" t="s">
        <v>131</v>
      </c>
      <c r="B24" s="47" t="s">
        <v>99</v>
      </c>
      <c r="C24" s="47" t="s">
        <v>131</v>
      </c>
      <c r="D24" s="47" t="s">
        <v>132</v>
      </c>
      <c r="E24" s="47" t="s">
        <v>97</v>
      </c>
      <c r="F24" s="70">
        <v>0.22539999999999999</v>
      </c>
      <c r="G24" s="69">
        <v>1</v>
      </c>
      <c r="H24" s="68">
        <v>484.08</v>
      </c>
      <c r="I24" s="68">
        <v>484.08</v>
      </c>
      <c r="J24" s="44" t="str">
        <f>IFERROR(BaoLiuXiaoShuWei(AVERAGE(H24:I24),2),"")</f>
        <v>484.08</v>
      </c>
      <c r="K24" s="63" t="str">
        <f>IFERROR(XiuYueXiaoShu(IF(J24="","",(J24-基本信息!$B$28)/基本信息!$B$29)*(基本信息!$C$9)/F24/1000*IF(G24="",1,G24),基本信息!$C$11,基本信息!$C$34,1),"")</f>
        <v>0.137</v>
      </c>
      <c r="R24" s="62" t="s">
        <v>96</v>
      </c>
    </row>
    <row r="25" spans="1:18" ht="19.5" customHeight="1">
      <c r="A25" s="47" t="s">
        <v>133</v>
      </c>
      <c r="B25" s="47" t="s">
        <v>99</v>
      </c>
      <c r="C25" s="47" t="s">
        <v>133</v>
      </c>
      <c r="D25" s="47" t="s">
        <v>134</v>
      </c>
      <c r="E25" s="47" t="s">
        <v>97</v>
      </c>
      <c r="F25" s="70">
        <v>0.28129999999999999</v>
      </c>
      <c r="G25" s="69">
        <v>1</v>
      </c>
      <c r="H25" s="68">
        <v>466.82</v>
      </c>
      <c r="I25" s="68">
        <v>466.82</v>
      </c>
      <c r="J25" s="44" t="str">
        <f>IFERROR(BaoLiuXiaoShuWei(AVERAGE(H25:I25),2),"")</f>
        <v>466.82</v>
      </c>
      <c r="K25" s="63" t="str">
        <f>IFERROR(XiuYueXiaoShu(IF(J25="","",(J25-基本信息!$B$28)/基本信息!$B$29)*(基本信息!$C$9)/F25/1000*IF(G25="",1,G25),基本信息!$C$11,基本信息!$C$34,1),"")</f>
        <v>0.106</v>
      </c>
      <c r="R25" s="62" t="s">
        <v>96</v>
      </c>
    </row>
    <row r="26" spans="1:18" ht="19.5" customHeight="1">
      <c r="A26" s="47" t="s">
        <v>135</v>
      </c>
      <c r="B26" s="47" t="s">
        <v>99</v>
      </c>
      <c r="C26" s="47" t="s">
        <v>135</v>
      </c>
      <c r="D26" s="47" t="s">
        <v>136</v>
      </c>
      <c r="E26" s="47" t="s">
        <v>97</v>
      </c>
      <c r="F26" s="70">
        <v>0.23680000000000001</v>
      </c>
      <c r="G26" s="69">
        <v>1</v>
      </c>
      <c r="H26" s="68">
        <v>331.27</v>
      </c>
      <c r="I26" s="68">
        <v>331.27</v>
      </c>
      <c r="J26" s="44" t="str">
        <f>IFERROR(BaoLiuXiaoShuWei(AVERAGE(H26:I26),2),"")</f>
        <v>331.27</v>
      </c>
      <c r="K26" s="63" t="str">
        <f>IFERROR(XiuYueXiaoShu(IF(J26="","",(J26-基本信息!$B$28)/基本信息!$B$29)*(基本信息!$C$9)/F26/1000*IF(G26="",1,G26),基本信息!$C$11,基本信息!$C$34,1),"")</f>
        <v>0.088</v>
      </c>
      <c r="R26" s="62" t="s">
        <v>96</v>
      </c>
    </row>
    <row r="27" spans="1:18" ht="19.5" customHeight="1">
      <c r="A27" s="47" t="s">
        <v>137</v>
      </c>
      <c r="B27" s="47" t="s">
        <v>99</v>
      </c>
      <c r="C27" s="47" t="s">
        <v>137</v>
      </c>
      <c r="D27" s="47" t="s">
        <v>138</v>
      </c>
      <c r="E27" s="47" t="s">
        <v>97</v>
      </c>
      <c r="F27" s="70">
        <v>0.29820000000000002</v>
      </c>
      <c r="G27" s="69">
        <v>1</v>
      </c>
      <c r="H27" s="68">
        <v>112.06</v>
      </c>
      <c r="I27" s="68">
        <v>112.06</v>
      </c>
      <c r="J27" s="44" t="str">
        <f>IFERROR(BaoLiuXiaoShuWei(AVERAGE(H27:I27),2),"")</f>
        <v>112.06</v>
      </c>
      <c r="K27" s="63" t="str">
        <f>IFERROR(XiuYueXiaoShu(IF(J27="","",(J27-基本信息!$B$28)/基本信息!$B$29)*(基本信息!$C$9)/F27/1000*IF(G27="",1,G27),基本信息!$C$11,基本信息!$C$34,1),"")</f>
        <v>0.022</v>
      </c>
      <c r="R27" s="62" t="s">
        <v>96</v>
      </c>
    </row>
    <row r="28" spans="1:18" ht="19.5" customHeight="1">
      <c r="A28" s="47" t="s">
        <v>137</v>
      </c>
      <c r="B28" s="47" t="s">
        <v>100</v>
      </c>
      <c r="C28" s="47" t="s">
        <v>137</v>
      </c>
      <c r="D28" s="47" t="s">
        <v>138</v>
      </c>
      <c r="E28" s="47" t="s">
        <v>97</v>
      </c>
      <c r="F28" s="70">
        <v>0.2576</v>
      </c>
      <c r="G28" s="69">
        <v>1</v>
      </c>
      <c r="H28" s="68">
        <v>607.98</v>
      </c>
      <c r="I28" s="68">
        <v>607.98</v>
      </c>
      <c r="J28" s="44" t="str">
        <f>IFERROR(BaoLiuXiaoShuWei(AVERAGE(H28:I28),2),"")</f>
        <v>607.98</v>
      </c>
      <c r="K28" s="63" t="str">
        <f>IFERROR(XiuYueXiaoShu(IF(J28="","",(J28-基本信息!$B$28)/基本信息!$B$29)*(基本信息!$C$9)/F28/1000*IF(G28="",1,G28),基本信息!$C$11,基本信息!$C$34,1),"")</f>
        <v>0.151</v>
      </c>
      <c r="O28" s="71" t="s">
        <v>147</v>
      </c>
      <c r="P28" s="72">
        <v>74.599999999999994</v>
      </c>
      <c r="Q28" s="73" t="s">
        <v>148</v>
      </c>
      <c r="R28" s="62" t="s">
        <v>96</v>
      </c>
    </row>
    <row r="29" spans="1:18" ht="19.5" customHeight="1">
      <c r="A29" s="47" t="s">
        <v>139</v>
      </c>
      <c r="B29" s="47" t="s">
        <v>99</v>
      </c>
      <c r="C29" s="47" t="s">
        <v>139</v>
      </c>
      <c r="D29" s="47" t="s">
        <v>140</v>
      </c>
      <c r="E29" s="47" t="s">
        <v>97</v>
      </c>
      <c r="F29" s="70">
        <v>0.22539999999999999</v>
      </c>
      <c r="G29" s="69">
        <v>1</v>
      </c>
      <c r="H29" s="68">
        <v>484.08</v>
      </c>
      <c r="I29" s="68">
        <v>484.08</v>
      </c>
      <c r="J29" s="44" t="str">
        <f>IFERROR(BaoLiuXiaoShuWei(AVERAGE(H29:I29),2),"")</f>
        <v>484.08</v>
      </c>
      <c r="K29" s="63" t="str">
        <f>IFERROR(XiuYueXiaoShu(IF(J29="","",(J29-基本信息!$B$28)/基本信息!$B$29)*(基本信息!$C$9)/F29/1000*IF(G29="",1,G29),基本信息!$C$11,基本信息!$C$34,1),"")</f>
        <v>0.137</v>
      </c>
      <c r="R29" s="62" t="s">
        <v>96</v>
      </c>
    </row>
    <row r="30" spans="1:18" ht="19.5" customHeight="1">
      <c r="A30" s="47" t="s">
        <v>141</v>
      </c>
      <c r="B30" s="47" t="s">
        <v>99</v>
      </c>
      <c r="C30" s="47" t="s">
        <v>141</v>
      </c>
      <c r="D30" s="47" t="s">
        <v>142</v>
      </c>
      <c r="E30" s="47" t="s">
        <v>97</v>
      </c>
      <c r="F30" s="70">
        <v>0.28129999999999999</v>
      </c>
      <c r="G30" s="69">
        <v>1</v>
      </c>
      <c r="H30" s="68">
        <v>466.82</v>
      </c>
      <c r="I30" s="68">
        <v>466.82</v>
      </c>
      <c r="J30" s="44" t="str">
        <f>IFERROR(BaoLiuXiaoShuWei(AVERAGE(H30:I30),2),"")</f>
        <v>466.82</v>
      </c>
      <c r="K30" s="63" t="str">
        <f>IFERROR(XiuYueXiaoShu(IF(J30="","",(J30-基本信息!$B$28)/基本信息!$B$29)*(基本信息!$C$9)/F30/1000*IF(G30="",1,G30),基本信息!$C$11,基本信息!$C$34,1),"")</f>
        <v>0.106</v>
      </c>
      <c r="R30" s="62" t="s">
        <v>96</v>
      </c>
    </row>
    <row r="31" spans="1:18" ht="19.5" customHeight="1">
      <c r="A31" s="47" t="s">
        <v>141</v>
      </c>
      <c r="B31" s="47" t="s">
        <v>100</v>
      </c>
      <c r="C31" s="47" t="s">
        <v>141</v>
      </c>
      <c r="D31" s="47" t="s">
        <v>142</v>
      </c>
      <c r="E31" s="47" t="s">
        <v>97</v>
      </c>
      <c r="F31" s="70">
        <v>0.23680000000000001</v>
      </c>
      <c r="G31" s="69">
        <v>1</v>
      </c>
      <c r="H31" s="68">
        <v>331.27</v>
      </c>
      <c r="I31" s="68">
        <v>331.27</v>
      </c>
      <c r="J31" s="44" t="str">
        <f>IFERROR(BaoLiuXiaoShuWei(AVERAGE(H31:I31),2),"")</f>
        <v>331.27</v>
      </c>
      <c r="K31" s="63" t="str">
        <f>IFERROR(XiuYueXiaoShu(IF(J31="","",(J31-基本信息!$B$28)/基本信息!$B$29)*(基本信息!$C$9)/F31/1000*IF(G31="",1,G31),基本信息!$C$11,基本信息!$C$34,1),"")</f>
        <v>0.088</v>
      </c>
      <c r="O31" s="71" t="s">
        <v>147</v>
      </c>
      <c r="P31" s="72">
        <v>9.3000000000000007</v>
      </c>
      <c r="Q31" s="74" t="s">
        <v>150</v>
      </c>
      <c r="R31" s="62" t="s">
        <v>96</v>
      </c>
    </row>
    <row r="32" spans="1:18" ht="19.5" customHeight="1">
      <c r="A32" s="47" t="s">
        <v>143</v>
      </c>
      <c r="B32" s="47" t="s">
        <v>99</v>
      </c>
      <c r="C32" s="47" t="s">
        <v>143</v>
      </c>
      <c r="D32" s="47" t="s">
        <v>144</v>
      </c>
      <c r="E32" s="47" t="s">
        <v>97</v>
      </c>
      <c r="F32" s="70">
        <v>0.29820000000000002</v>
      </c>
      <c r="G32" s="69">
        <v>1</v>
      </c>
      <c r="H32" s="68">
        <v>112.06</v>
      </c>
      <c r="I32" s="68">
        <v>112.06</v>
      </c>
      <c r="J32" s="44" t="str">
        <f>IFERROR(BaoLiuXiaoShuWei(AVERAGE(H32:I32),2),"")</f>
        <v>112.06</v>
      </c>
      <c r="K32" s="63" t="str">
        <f>IFERROR(XiuYueXiaoShu(IF(J32="","",(J32-基本信息!$B$28)/基本信息!$B$29)*(基本信息!$C$9)/F32/1000*IF(G32="",1,G32),基本信息!$C$11,基本信息!$C$34,1),"")</f>
        <v>0.022</v>
      </c>
      <c r="R32" s="62" t="s">
        <v>96</v>
      </c>
    </row>
    <row r="33" spans="1:18" ht="19.5" customHeight="1">
      <c r="A33" s="47" t="s">
        <v>145</v>
      </c>
      <c r="B33" s="47" t="s">
        <v>99</v>
      </c>
      <c r="C33" s="47" t="s">
        <v>145</v>
      </c>
      <c r="D33" s="47" t="s">
        <v>146</v>
      </c>
      <c r="E33" s="47" t="s">
        <v>97</v>
      </c>
      <c r="F33" s="70">
        <v>0.23680000000000001</v>
      </c>
      <c r="G33" s="69">
        <v>1</v>
      </c>
      <c r="H33" s="68">
        <v>331.27</v>
      </c>
      <c r="I33" s="68">
        <v>331.27</v>
      </c>
      <c r="J33" s="44" t="str">
        <f>IFERROR(BaoLiuXiaoShuWei(AVERAGE(H33:I33),2),"")</f>
        <v>331.27</v>
      </c>
      <c r="K33" s="63" t="str">
        <f>IFERROR(XiuYueXiaoShu(IF(J33="","",(J33-基本信息!$B$28)/基本信息!$B$29)*(基本信息!$C$9)/F33/1000*IF(G33="",1,G33),基本信息!$C$11,基本信息!$C$34,1),"")</f>
        <v>0.088</v>
      </c>
      <c r="R33" s="62" t="s">
        <v>96</v>
      </c>
    </row>
    <row r="34" spans="1:18" ht="19.5" customHeight="1">
      <c r="A34" s="46"/>
      <c r="B34" s="47"/>
      <c r="C34" s="46"/>
      <c r="D34" s="46"/>
      <c r="E34" s="46"/>
      <c r="J34" s="44" t="str">
        <f>IFERROR(BaoLiuXiaoShuWei(AVERAGE(H34:I34),2),"")</f>
        <v/>
      </c>
      <c r="K34" s="50" t="str">
        <f>IFERROR(XiuYueXiaoShu(IF(J34="","",(J34-基本信息!$B$28)/基本信息!$B$29)*(基本信息!$C$9)/F34/1000*IF(G34="",1,G34),基本信息!$C$11,基本信息!$C$34,1),"")</f>
        <v/>
      </c>
    </row>
    <row r="35" spans="1:18" ht="19.5" customHeight="1">
      <c r="A35" s="46"/>
      <c r="B35" s="47"/>
      <c r="C35" s="46"/>
      <c r="D35" s="46"/>
      <c r="E35" s="46"/>
      <c r="J35" s="44" t="str">
        <f>IFERROR(BaoLiuXiaoShuWei(AVERAGE(H35:I35),2),"")</f>
        <v/>
      </c>
      <c r="K35" s="50" t="str">
        <f>IFERROR(XiuYueXiaoShu(IF(J35="","",(J35-基本信息!$B$28)/基本信息!$B$29)*(基本信息!$C$9)/F35/1000*IF(G35="",1,G35),基本信息!$C$11,基本信息!$C$34,1),"")</f>
        <v/>
      </c>
    </row>
    <row r="36" spans="1:18" ht="19.5" customHeight="1">
      <c r="A36" s="46"/>
      <c r="B36" s="47"/>
      <c r="C36" s="46"/>
      <c r="D36" s="46"/>
      <c r="E36" s="46"/>
      <c r="J36" s="44" t="str">
        <f>IFERROR(BaoLiuXiaoShuWei(AVERAGE(H36:I36),2),"")</f>
        <v/>
      </c>
      <c r="K36" s="50" t="str">
        <f>IFERROR(XiuYueXiaoShu(IF(J36="","",(J36-基本信息!$B$28)/基本信息!$B$29)*(基本信息!$C$9)/F36/1000*IF(G36="",1,G36),基本信息!$C$11,基本信息!$C$34,1),"")</f>
        <v/>
      </c>
    </row>
    <row r="37" spans="1:18" ht="19.5" customHeight="1">
      <c r="A37" s="46"/>
      <c r="B37" s="47"/>
      <c r="C37" s="46"/>
      <c r="D37" s="46"/>
      <c r="E37" s="46"/>
      <c r="J37" s="44" t="str">
        <f>IFERROR(BaoLiuXiaoShuWei(AVERAGE(H37:I37),2),"")</f>
        <v/>
      </c>
      <c r="K37" s="50" t="str">
        <f>IFERROR(XiuYueXiaoShu(IF(J37="","",(J37-基本信息!$B$28)/基本信息!$B$29)*(基本信息!$C$9)/F37/1000*IF(G37="",1,G37),基本信息!$C$11,基本信息!$C$34,1),"")</f>
        <v/>
      </c>
    </row>
    <row r="38" spans="1:18" ht="19.5" customHeight="1">
      <c r="A38" s="46"/>
      <c r="B38" s="47"/>
      <c r="C38" s="46"/>
      <c r="D38" s="46"/>
      <c r="E38" s="46"/>
      <c r="J38" s="44" t="str">
        <f>IFERROR(BaoLiuXiaoShuWei(AVERAGE(H38:I38),2),"")</f>
        <v/>
      </c>
      <c r="K38" s="50" t="str">
        <f>IFERROR(XiuYueXiaoShu(IF(J38="","",(J38-基本信息!$B$28)/基本信息!$B$29)*(基本信息!$C$9)/F38/1000*IF(G38="",1,G38),基本信息!$C$11,基本信息!$C$34,1),"")</f>
        <v/>
      </c>
    </row>
    <row r="39" spans="1:18" ht="19.5" customHeight="1">
      <c r="A39" s="46"/>
      <c r="B39" s="47"/>
      <c r="C39" s="46"/>
      <c r="D39" s="46"/>
      <c r="E39" s="46"/>
      <c r="J39" s="44" t="str">
        <f>IFERROR(BaoLiuXiaoShuWei(AVERAGE(H39:I39),2),"")</f>
        <v/>
      </c>
      <c r="K39" s="50" t="str">
        <f>IFERROR(XiuYueXiaoShu(IF(J39="","",(J39-基本信息!$B$28)/基本信息!$B$29)*(基本信息!$C$9)/F39/1000*IF(G39="",1,G39),基本信息!$C$11,基本信息!$C$34,1),"")</f>
        <v/>
      </c>
    </row>
    <row r="40" spans="1:18" ht="19.5" customHeight="1">
      <c r="A40" s="46"/>
      <c r="B40" s="47"/>
      <c r="C40" s="46"/>
      <c r="D40" s="46"/>
      <c r="E40" s="46"/>
      <c r="J40" s="44" t="str">
        <f>IFERROR(BaoLiuXiaoShuWei(AVERAGE(H40:I40),2),"")</f>
        <v/>
      </c>
      <c r="K40" s="50" t="str">
        <f>IFERROR(XiuYueXiaoShu(IF(J40="","",(J40-基本信息!$B$28)/基本信息!$B$29)*(基本信息!$C$9)/F40/1000*IF(G40="",1,G40),基本信息!$C$11,基本信息!$C$34,1),"")</f>
        <v/>
      </c>
    </row>
    <row r="41" spans="1:18" ht="19.5" customHeight="1">
      <c r="A41" s="46"/>
      <c r="B41" s="47"/>
      <c r="C41" s="46"/>
      <c r="D41" s="46"/>
      <c r="E41" s="46"/>
      <c r="J41" s="44" t="str">
        <f>IFERROR(BaoLiuXiaoShuWei(AVERAGE(H41:I41),2),"")</f>
        <v/>
      </c>
      <c r="K41" s="50" t="str">
        <f>IFERROR(XiuYueXiaoShu(IF(J41="","",(J41-基本信息!$B$28)/基本信息!$B$29)*(基本信息!$C$9)/F41/1000*IF(G41="",1,G41),基本信息!$C$11,基本信息!$C$34,1),"")</f>
        <v/>
      </c>
    </row>
    <row r="42" spans="1:18" ht="19.5" customHeight="1">
      <c r="A42" s="46"/>
      <c r="B42" s="47"/>
      <c r="C42" s="46"/>
      <c r="D42" s="46"/>
      <c r="E42" s="46"/>
      <c r="J42" s="44" t="str">
        <f>IFERROR(BaoLiuXiaoShuWei(AVERAGE(H42:I42),2),"")</f>
        <v/>
      </c>
      <c r="K42" s="50" t="str">
        <f>IFERROR(XiuYueXiaoShu(IF(J42="","",(J42-基本信息!$B$28)/基本信息!$B$29)*(基本信息!$C$9)/F42/1000*IF(G42="",1,G42),基本信息!$C$11,基本信息!$C$34,1),"")</f>
        <v/>
      </c>
    </row>
    <row r="43" spans="1:18" ht="19.5" customHeight="1">
      <c r="A43" s="46"/>
      <c r="B43" s="47"/>
      <c r="C43" s="46"/>
      <c r="D43" s="46"/>
      <c r="E43" s="46"/>
      <c r="J43" s="44" t="str">
        <f>IFERROR(BaoLiuXiaoShuWei(AVERAGE(H43:I43),2),"")</f>
        <v/>
      </c>
      <c r="K43" s="50" t="str">
        <f>IFERROR(XiuYueXiaoShu(IF(J43="","",(J43-基本信息!$B$28)/基本信息!$B$29)*(基本信息!$C$9)/F43/1000*IF(G43="",1,G43),基本信息!$C$11,基本信息!$C$34,1),"")</f>
        <v/>
      </c>
    </row>
    <row r="44" spans="1:18" ht="19.5" customHeight="1">
      <c r="A44" s="46"/>
      <c r="B44" s="47"/>
      <c r="C44" s="46"/>
      <c r="D44" s="46"/>
      <c r="E44" s="46"/>
      <c r="J44" s="44" t="str">
        <f>IFERROR(BaoLiuXiaoShuWei(AVERAGE(H44:I44),2),"")</f>
        <v/>
      </c>
      <c r="K44" s="50" t="str">
        <f>IFERROR(XiuYueXiaoShu(IF(J44="","",(J44-基本信息!$B$28)/基本信息!$B$29)*(基本信息!$C$9)/F44/1000*IF(G44="",1,G44),基本信息!$C$11,基本信息!$C$34,1),"")</f>
        <v/>
      </c>
    </row>
    <row r="45" spans="1:18" ht="19.5" customHeight="1">
      <c r="A45" s="46"/>
      <c r="B45" s="47"/>
      <c r="C45" s="46"/>
      <c r="D45" s="46"/>
      <c r="E45" s="46"/>
      <c r="J45" s="44" t="str">
        <f>IFERROR(BaoLiuXiaoShuWei(AVERAGE(H45:I45),2),"")</f>
        <v/>
      </c>
      <c r="K45" s="50" t="str">
        <f>IFERROR(XiuYueXiaoShu(IF(J45="","",(J45-基本信息!$B$28)/基本信息!$B$29)*(基本信息!$C$9)/F45/1000*IF(G45="",1,G45),基本信息!$C$11,基本信息!$C$34,1),"")</f>
        <v/>
      </c>
    </row>
    <row r="46" spans="1:18" ht="19.5" customHeight="1">
      <c r="A46" s="46"/>
      <c r="B46" s="47"/>
      <c r="C46" s="46"/>
      <c r="D46" s="46"/>
      <c r="E46" s="46"/>
      <c r="J46" s="44" t="str">
        <f>IFERROR(BaoLiuXiaoShuWei(AVERAGE(H46:I46),2),"")</f>
        <v/>
      </c>
      <c r="K46" s="50" t="str">
        <f>IFERROR(XiuYueXiaoShu(IF(J46="","",(J46-基本信息!$B$28)/基本信息!$B$29)*(基本信息!$C$9)/F46/1000*IF(G46="",1,G46),基本信息!$C$11,基本信息!$C$34,1),"")</f>
        <v/>
      </c>
    </row>
    <row r="47" spans="1:18" ht="19.5" customHeight="1">
      <c r="A47" s="46"/>
      <c r="B47" s="47"/>
      <c r="C47" s="46"/>
      <c r="D47" s="46"/>
      <c r="E47" s="46"/>
      <c r="J47" s="44" t="str">
        <f>IFERROR(BaoLiuXiaoShuWei(AVERAGE(H47:I47),2),"")</f>
        <v/>
      </c>
      <c r="K47" s="50" t="str">
        <f>IFERROR(XiuYueXiaoShu(IF(J47="","",(J47-基本信息!$B$28)/基本信息!$B$29)*(基本信息!$C$9)/F47/1000*IF(G47="",1,G47),基本信息!$C$11,基本信息!$C$34,1),"")</f>
        <v/>
      </c>
    </row>
    <row r="48" spans="1:18" ht="19.5" customHeight="1">
      <c r="A48" s="46"/>
      <c r="B48" s="47"/>
      <c r="C48" s="46"/>
      <c r="D48" s="46"/>
      <c r="E48" s="46"/>
      <c r="J48" s="44" t="str">
        <f>IFERROR(BaoLiuXiaoShuWei(AVERAGE(H48:I48),2),"")</f>
        <v/>
      </c>
      <c r="K48" s="50" t="str">
        <f>IFERROR(XiuYueXiaoShu(IF(J48="","",(J48-基本信息!$B$28)/基本信息!$B$29)*(基本信息!$C$9)/F48/1000*IF(G48="",1,G48),基本信息!$C$11,基本信息!$C$34,1),"")</f>
        <v/>
      </c>
    </row>
    <row r="49" spans="1:11" ht="19.5" customHeight="1">
      <c r="A49" s="46"/>
      <c r="B49" s="47"/>
      <c r="C49" s="46"/>
      <c r="D49" s="46"/>
      <c r="E49" s="46"/>
      <c r="J49" s="44" t="str">
        <f>IFERROR(BaoLiuXiaoShuWei(AVERAGE(H49:I49),2),"")</f>
        <v/>
      </c>
      <c r="K49" s="50" t="str">
        <f>IFERROR(XiuYueXiaoShu(IF(J49="","",(J49-基本信息!$B$28)/基本信息!$B$29)*(基本信息!$C$9)/F49/1000*IF(G49="",1,G49),基本信息!$C$11,基本信息!$C$34,1),"")</f>
        <v/>
      </c>
    </row>
    <row r="50" spans="1:11" ht="19.5" customHeight="1">
      <c r="A50" s="46"/>
      <c r="B50" s="47"/>
      <c r="C50" s="46"/>
      <c r="D50" s="46"/>
      <c r="E50" s="46"/>
      <c r="J50" s="44" t="str">
        <f>IFERROR(BaoLiuXiaoShuWei(AVERAGE(H50:I50),2),"")</f>
        <v/>
      </c>
      <c r="K50" s="50" t="str">
        <f>IFERROR(XiuYueXiaoShu(IF(J50="","",(J50-基本信息!$B$28)/基本信息!$B$29)*(基本信息!$C$9)/F50/1000*IF(G50="",1,G50),基本信息!$C$11,基本信息!$C$34,1),"")</f>
        <v/>
      </c>
    </row>
    <row r="51" spans="1:11" ht="19.5" customHeight="1">
      <c r="A51" s="46"/>
      <c r="B51" s="47"/>
      <c r="C51" s="46"/>
      <c r="D51" s="46"/>
      <c r="E51" s="46"/>
      <c r="J51" s="44" t="str">
        <f>IFERROR(BaoLiuXiaoShuWei(AVERAGE(H51:I51),2),"")</f>
        <v/>
      </c>
      <c r="K51" s="50" t="str">
        <f>IFERROR(XiuYueXiaoShu(IF(J51="","",(J51-基本信息!$B$28)/基本信息!$B$29)*(基本信息!$C$9)/F51/1000*IF(G51="",1,G51),基本信息!$C$11,基本信息!$C$34,1),"")</f>
        <v/>
      </c>
    </row>
    <row r="52" spans="1:11" ht="19.5" customHeight="1">
      <c r="A52" s="46"/>
      <c r="B52" s="47"/>
      <c r="C52" s="46"/>
      <c r="D52" s="46"/>
      <c r="E52" s="46"/>
      <c r="J52" s="44" t="str">
        <f>IFERROR(BaoLiuXiaoShuWei(AVERAGE(H52:I52),2),"")</f>
        <v/>
      </c>
      <c r="K52" s="50" t="str">
        <f>IFERROR(XiuYueXiaoShu(IF(J52="","",(J52-基本信息!$B$28)/基本信息!$B$29)*(基本信息!$C$9)/F52/1000*IF(G52="",1,G52),基本信息!$C$11,基本信息!$C$34,1),"")</f>
        <v/>
      </c>
    </row>
    <row r="53" spans="1:11" ht="19.5" customHeight="1">
      <c r="A53" s="46"/>
      <c r="B53" s="47"/>
      <c r="C53" s="46"/>
      <c r="D53" s="46"/>
      <c r="E53" s="46"/>
      <c r="J53" s="44" t="str">
        <f>IFERROR(BaoLiuXiaoShuWei(AVERAGE(H53:I53),2),"")</f>
        <v/>
      </c>
      <c r="K53" s="50" t="str">
        <f>IFERROR(XiuYueXiaoShu(IF(J53="","",(J53-基本信息!$B$28)/基本信息!$B$29)*(基本信息!$C$9)/F53/1000*IF(G53="",1,G53),基本信息!$C$11,基本信息!$C$34,1),"")</f>
        <v/>
      </c>
    </row>
    <row r="54" spans="1:11" ht="19.5" customHeight="1">
      <c r="A54" s="46"/>
      <c r="B54" s="47"/>
      <c r="C54" s="46"/>
      <c r="D54" s="46"/>
      <c r="E54" s="46"/>
      <c r="J54" s="44" t="str">
        <f>IFERROR(BaoLiuXiaoShuWei(AVERAGE(H54:I54),2),"")</f>
        <v/>
      </c>
      <c r="K54" s="50" t="str">
        <f>IFERROR(XiuYueXiaoShu(IF(J54="","",(J54-基本信息!$B$28)/基本信息!$B$29)*(基本信息!$C$9)/F54/1000*IF(G54="",1,G54),基本信息!$C$11,基本信息!$C$34,1),"")</f>
        <v/>
      </c>
    </row>
    <row r="55" spans="1:11" ht="19.5" customHeight="1">
      <c r="A55" s="46"/>
      <c r="B55" s="47"/>
      <c r="C55" s="46"/>
      <c r="D55" s="46"/>
      <c r="E55" s="46"/>
      <c r="J55" s="44" t="str">
        <f>IFERROR(BaoLiuXiaoShuWei(AVERAGE(H55:I55),2),"")</f>
        <v/>
      </c>
      <c r="K55" s="50" t="str">
        <f>IFERROR(XiuYueXiaoShu(IF(J55="","",(J55-基本信息!$B$28)/基本信息!$B$29)*(基本信息!$C$9)/F55/1000*IF(G55="",1,G55),基本信息!$C$11,基本信息!$C$34,1),"")</f>
        <v/>
      </c>
    </row>
    <row r="56" spans="1:11" ht="19.5" customHeight="1">
      <c r="A56" s="46"/>
      <c r="B56" s="47"/>
      <c r="C56" s="46"/>
      <c r="D56" s="46"/>
      <c r="E56" s="46"/>
      <c r="J56" s="44" t="str">
        <f>IFERROR(BaoLiuXiaoShuWei(AVERAGE(H56:I56),2),"")</f>
        <v/>
      </c>
      <c r="K56" s="50" t="str">
        <f>IFERROR(XiuYueXiaoShu(IF(J56="","",(J56-基本信息!$B$28)/基本信息!$B$29)*(基本信息!$C$9)/F56/1000*IF(G56="",1,G56),基本信息!$C$11,基本信息!$C$34,1),"")</f>
        <v/>
      </c>
    </row>
    <row r="57" spans="1:11" ht="19.5" customHeight="1">
      <c r="A57" s="46"/>
      <c r="B57" s="47"/>
      <c r="C57" s="46"/>
      <c r="D57" s="46"/>
      <c r="E57" s="46"/>
      <c r="J57" s="44" t="str">
        <f>IFERROR(BaoLiuXiaoShuWei(AVERAGE(H57:I57),2),"")</f>
        <v/>
      </c>
      <c r="K57" s="50" t="str">
        <f>IFERROR(XiuYueXiaoShu(IF(J57="","",(J57-基本信息!$B$28)/基本信息!$B$29)*(基本信息!$C$9)/F57/1000*IF(G57="",1,G57),基本信息!$C$11,基本信息!$C$34,1),"")</f>
        <v/>
      </c>
    </row>
    <row r="58" spans="1:11" ht="19.5" customHeight="1">
      <c r="A58" s="46"/>
      <c r="B58" s="47"/>
      <c r="C58" s="46"/>
      <c r="D58" s="46"/>
      <c r="E58" s="46"/>
      <c r="J58" s="44" t="str">
        <f>IFERROR(BaoLiuXiaoShuWei(AVERAGE(H58:I58),2),"")</f>
        <v/>
      </c>
      <c r="K58" s="50" t="str">
        <f>IFERROR(XiuYueXiaoShu(IF(J58="","",(J58-基本信息!$B$28)/基本信息!$B$29)*(基本信息!$C$9)/F58/1000*IF(G58="",1,G58),基本信息!$C$11,基本信息!$C$34,1),"")</f>
        <v/>
      </c>
    </row>
    <row r="59" spans="1:11" ht="19.5" customHeight="1">
      <c r="A59" s="46"/>
      <c r="B59" s="47"/>
      <c r="C59" s="46"/>
      <c r="D59" s="46"/>
      <c r="E59" s="46"/>
      <c r="J59" s="44" t="str">
        <f>IFERROR(BaoLiuXiaoShuWei(AVERAGE(H59:I59),2),"")</f>
        <v/>
      </c>
      <c r="K59" s="50" t="str">
        <f>IFERROR(XiuYueXiaoShu(IF(J59="","",(J59-基本信息!$B$28)/基本信息!$B$29)*(基本信息!$C$9)/F59/1000*IF(G59="",1,G59),基本信息!$C$11,基本信息!$C$34,1),"")</f>
        <v/>
      </c>
    </row>
    <row r="60" spans="1:11" ht="19.5" customHeight="1">
      <c r="A60" s="46"/>
      <c r="B60" s="47"/>
      <c r="C60" s="46"/>
      <c r="D60" s="46"/>
      <c r="E60" s="46"/>
      <c r="J60" s="44" t="str">
        <f>IFERROR(BaoLiuXiaoShuWei(AVERAGE(H60:I60),2),"")</f>
        <v/>
      </c>
      <c r="K60" s="50" t="str">
        <f>IFERROR(XiuYueXiaoShu(IF(J60="","",(J60-基本信息!$B$28)/基本信息!$B$29)*(基本信息!$C$9)/F60/1000*IF(G60="",1,G60),基本信息!$C$11,基本信息!$C$34,1),"")</f>
        <v/>
      </c>
    </row>
    <row r="61" spans="1:11" ht="19.5" customHeight="1">
      <c r="A61" s="46"/>
      <c r="B61" s="47"/>
      <c r="C61" s="46"/>
      <c r="D61" s="46"/>
      <c r="E61" s="46"/>
      <c r="J61" s="44" t="str">
        <f>IFERROR(BaoLiuXiaoShuWei(AVERAGE(H61:I61),2),"")</f>
        <v/>
      </c>
      <c r="K61" s="50" t="str">
        <f>IFERROR(XiuYueXiaoShu(IF(J61="","",(J61-基本信息!$B$28)/基本信息!$B$29)*(基本信息!$C$9)/F61/1000*IF(G61="",1,G61),基本信息!$C$11,基本信息!$C$34,1),"")</f>
        <v/>
      </c>
    </row>
    <row r="62" spans="1:11" ht="19.5" customHeight="1">
      <c r="A62" s="46"/>
      <c r="B62" s="47"/>
      <c r="C62" s="46"/>
      <c r="D62" s="46"/>
      <c r="E62" s="46"/>
      <c r="J62" s="44" t="str">
        <f>IFERROR(BaoLiuXiaoShuWei(AVERAGE(H62:I62),2),"")</f>
        <v/>
      </c>
      <c r="K62" s="50" t="str">
        <f>IFERROR(XiuYueXiaoShu(IF(J62="","",(J62-基本信息!$B$28)/基本信息!$B$29)*(基本信息!$C$9)/F62/1000*IF(G62="",1,G62),基本信息!$C$11,基本信息!$C$34,1),"")</f>
        <v/>
      </c>
    </row>
    <row r="63" spans="1:11" ht="19.5" customHeight="1">
      <c r="A63" s="46"/>
      <c r="B63" s="47"/>
      <c r="C63" s="46"/>
      <c r="D63" s="46"/>
      <c r="E63" s="46"/>
      <c r="J63" s="44" t="str">
        <f>IFERROR(BaoLiuXiaoShuWei(AVERAGE(H63:I63),2),"")</f>
        <v/>
      </c>
      <c r="K63" s="50" t="str">
        <f>IFERROR(XiuYueXiaoShu(IF(J63="","",(J63-基本信息!$B$28)/基本信息!$B$29)*(基本信息!$C$9)/F63/1000*IF(G63="",1,G63),基本信息!$C$11,基本信息!$C$34,1),"")</f>
        <v/>
      </c>
    </row>
    <row r="64" spans="1:11" ht="19.5" customHeight="1">
      <c r="A64" s="46"/>
      <c r="B64" s="47"/>
      <c r="C64" s="46"/>
      <c r="D64" s="46"/>
      <c r="E64" s="46"/>
      <c r="J64" s="44" t="str">
        <f>IFERROR(BaoLiuXiaoShuWei(AVERAGE(H64:I64),2),"")</f>
        <v/>
      </c>
      <c r="K64" s="50" t="str">
        <f>IFERROR(XiuYueXiaoShu(IF(J64="","",(J64-基本信息!$B$28)/基本信息!$B$29)*(基本信息!$C$9)/F64/1000*IF(G64="",1,G64),基本信息!$C$11,基本信息!$C$34,1),"")</f>
        <v/>
      </c>
    </row>
    <row r="65" spans="1:11" ht="19.5" customHeight="1">
      <c r="A65" s="46"/>
      <c r="B65" s="47"/>
      <c r="C65" s="46"/>
      <c r="D65" s="46"/>
      <c r="E65" s="46"/>
      <c r="J65" s="44" t="str">
        <f>IFERROR(BaoLiuXiaoShuWei(AVERAGE(H65:I65),2),"")</f>
        <v/>
      </c>
      <c r="K65" s="50" t="str">
        <f>IFERROR(XiuYueXiaoShu(IF(J65="","",(J65-基本信息!$B$28)/基本信息!$B$29)*(基本信息!$C$9)/F65/1000*IF(G65="",1,G65),基本信息!$C$11,基本信息!$C$34,1),"")</f>
        <v/>
      </c>
    </row>
    <row r="66" spans="1:11" ht="19.5" customHeight="1">
      <c r="A66" s="46"/>
      <c r="B66" s="47"/>
      <c r="C66" s="46"/>
      <c r="D66" s="46"/>
      <c r="E66" s="46"/>
      <c r="J66" s="44" t="str">
        <f>IFERROR(BaoLiuXiaoShuWei(AVERAGE(H66:I66),2),"")</f>
        <v/>
      </c>
      <c r="K66" s="50" t="str">
        <f>IFERROR(XiuYueXiaoShu(IF(J66="","",(J66-基本信息!$B$28)/基本信息!$B$29)*(基本信息!$C$9)/F66/1000*IF(G66="",1,G66),基本信息!$C$11,基本信息!$C$34,1),"")</f>
        <v/>
      </c>
    </row>
    <row r="67" spans="1:11" ht="19.5" customHeight="1">
      <c r="A67" s="46"/>
      <c r="B67" s="47"/>
      <c r="C67" s="46"/>
      <c r="D67" s="46"/>
      <c r="E67" s="46"/>
      <c r="J67" s="44" t="str">
        <f>IFERROR(BaoLiuXiaoShuWei(AVERAGE(H67:I67),2),"")</f>
        <v/>
      </c>
      <c r="K67" s="50" t="str">
        <f>IFERROR(XiuYueXiaoShu(IF(J67="","",(J67-基本信息!$B$28)/基本信息!$B$29)*(基本信息!$C$9)/F67/1000*IF(G67="",1,G67),基本信息!$C$11,基本信息!$C$34,1),"")</f>
        <v/>
      </c>
    </row>
    <row r="68" spans="1:11" ht="19.5" customHeight="1">
      <c r="A68" s="46"/>
      <c r="B68" s="47"/>
      <c r="C68" s="46"/>
      <c r="D68" s="46"/>
      <c r="E68" s="46"/>
      <c r="J68" s="44" t="str">
        <f>IFERROR(BaoLiuXiaoShuWei(AVERAGE(H68:I68),2),"")</f>
        <v/>
      </c>
      <c r="K68" s="50" t="str">
        <f>IFERROR(XiuYueXiaoShu(IF(J68="","",(J68-基本信息!$B$28)/基本信息!$B$29)*(基本信息!$C$9)/F68/1000*IF(G68="",1,G68),基本信息!$C$11,基本信息!$C$34,1),"")</f>
        <v/>
      </c>
    </row>
    <row r="69" spans="1:11" ht="19.5" customHeight="1">
      <c r="A69" s="46"/>
      <c r="B69" s="47"/>
      <c r="C69" s="46"/>
      <c r="D69" s="46"/>
      <c r="E69" s="46"/>
      <c r="J69" s="44" t="str">
        <f>IFERROR(BaoLiuXiaoShuWei(AVERAGE(H69:I69),2),"")</f>
        <v/>
      </c>
      <c r="K69" s="50" t="str">
        <f>IFERROR(XiuYueXiaoShu(IF(J69="","",(J69-基本信息!$B$28)/基本信息!$B$29)*(基本信息!$C$9)/F69/1000*IF(G69="",1,G69),基本信息!$C$11,基本信息!$C$34,1),"")</f>
        <v/>
      </c>
    </row>
    <row r="70" spans="1:11" ht="19.5" customHeight="1">
      <c r="A70" s="46"/>
      <c r="B70" s="47"/>
      <c r="C70" s="46"/>
      <c r="D70" s="46"/>
      <c r="E70" s="46"/>
      <c r="J70" s="44" t="str">
        <f>IFERROR(BaoLiuXiaoShuWei(AVERAGE(H70:I70),2),"")</f>
        <v/>
      </c>
      <c r="K70" s="50" t="str">
        <f>IFERROR(XiuYueXiaoShu(IF(J70="","",(J70-基本信息!$B$28)/基本信息!$B$29)*(基本信息!$C$9)/F70/1000*IF(G70="",1,G70),基本信息!$C$11,基本信息!$C$34,1),"")</f>
        <v/>
      </c>
    </row>
    <row r="71" spans="1:11" ht="19.5" customHeight="1">
      <c r="A71" s="46"/>
      <c r="B71" s="47"/>
      <c r="C71" s="46"/>
      <c r="D71" s="46"/>
      <c r="E71" s="46"/>
      <c r="J71" s="44" t="str">
        <f>IFERROR(BaoLiuXiaoShuWei(AVERAGE(H71:I71),2),"")</f>
        <v/>
      </c>
      <c r="K71" s="50" t="str">
        <f>IFERROR(XiuYueXiaoShu(IF(J71="","",(J71-基本信息!$B$28)/基本信息!$B$29)*(基本信息!$C$9)/F71/1000*IF(G71="",1,G71),基本信息!$C$11,基本信息!$C$34,1),"")</f>
        <v/>
      </c>
    </row>
    <row r="72" spans="1:11" ht="19.5" customHeight="1">
      <c r="A72" s="46"/>
      <c r="B72" s="47"/>
      <c r="C72" s="46"/>
      <c r="D72" s="46"/>
      <c r="E72" s="46"/>
      <c r="J72" s="44" t="str">
        <f>IFERROR(BaoLiuXiaoShuWei(AVERAGE(H72:I72),2),"")</f>
        <v/>
      </c>
      <c r="K72" s="50" t="str">
        <f>IFERROR(XiuYueXiaoShu(IF(J72="","",(J72-基本信息!$B$28)/基本信息!$B$29)*(基本信息!$C$9)/F72/1000*IF(G72="",1,G72),基本信息!$C$11,基本信息!$C$34,1),"")</f>
        <v/>
      </c>
    </row>
    <row r="73" spans="1:11" ht="19.5" customHeight="1">
      <c r="A73" s="46"/>
      <c r="B73" s="47"/>
      <c r="C73" s="46"/>
      <c r="D73" s="46"/>
      <c r="E73" s="46"/>
      <c r="J73" s="44" t="str">
        <f>IFERROR(BaoLiuXiaoShuWei(AVERAGE(H73:I73),2),"")</f>
        <v/>
      </c>
      <c r="K73" s="50" t="str">
        <f>IFERROR(XiuYueXiaoShu(IF(J73="","",(J73-基本信息!$B$28)/基本信息!$B$29)*(基本信息!$C$9)/F73/1000*IF(G73="",1,G73),基本信息!$C$11,基本信息!$C$34,1),"")</f>
        <v/>
      </c>
    </row>
    <row r="74" spans="1:11" ht="19.5" customHeight="1">
      <c r="A74" s="46"/>
      <c r="B74" s="47"/>
      <c r="C74" s="46"/>
      <c r="D74" s="46"/>
      <c r="E74" s="46"/>
      <c r="J74" s="44" t="str">
        <f>IFERROR(BaoLiuXiaoShuWei(AVERAGE(H74:I74),2),"")</f>
        <v/>
      </c>
      <c r="K74" s="50" t="str">
        <f>IFERROR(XiuYueXiaoShu(IF(J74="","",(J74-基本信息!$B$28)/基本信息!$B$29)*(基本信息!$C$9)/F74/1000*IF(G74="",1,G74),基本信息!$C$11,基本信息!$C$34,1),"")</f>
        <v/>
      </c>
    </row>
    <row r="75" spans="1:11" ht="19.5" customHeight="1">
      <c r="A75" s="46"/>
      <c r="B75" s="47"/>
      <c r="C75" s="46"/>
      <c r="D75" s="46"/>
      <c r="E75" s="46"/>
      <c r="J75" s="44" t="str">
        <f>IFERROR(BaoLiuXiaoShuWei(AVERAGE(H75:I75),2),"")</f>
        <v/>
      </c>
      <c r="K75" s="50" t="str">
        <f>IFERROR(XiuYueXiaoShu(IF(J75="","",(J75-基本信息!$B$28)/基本信息!$B$29)*(基本信息!$C$9)/F75/1000*IF(G75="",1,G75),基本信息!$C$11,基本信息!$C$34,1),"")</f>
        <v/>
      </c>
    </row>
    <row r="76" spans="1:11" ht="19.5" customHeight="1">
      <c r="A76" s="46"/>
      <c r="B76" s="47"/>
      <c r="C76" s="46"/>
      <c r="D76" s="46"/>
      <c r="E76" s="46"/>
      <c r="J76" s="44" t="str">
        <f>IFERROR(BaoLiuXiaoShuWei(AVERAGE(H76:I76),2),"")</f>
        <v/>
      </c>
      <c r="K76" s="50" t="str">
        <f>IFERROR(XiuYueXiaoShu(IF(J76="","",(J76-基本信息!$B$28)/基本信息!$B$29)*(基本信息!$C$9)/F76/1000*IF(G76="",1,G76),基本信息!$C$11,基本信息!$C$34,1),"")</f>
        <v/>
      </c>
    </row>
    <row r="77" spans="1:11" ht="19.5" customHeight="1">
      <c r="A77" s="46"/>
      <c r="B77" s="47"/>
      <c r="C77" s="46"/>
      <c r="D77" s="46"/>
      <c r="E77" s="46"/>
      <c r="J77" s="44" t="str">
        <f>IFERROR(BaoLiuXiaoShuWei(AVERAGE(H77:I77),2),"")</f>
        <v/>
      </c>
      <c r="K77" s="50" t="str">
        <f>IFERROR(XiuYueXiaoShu(IF(J77="","",(J77-基本信息!$B$28)/基本信息!$B$29)*(基本信息!$C$9)/F77/1000*IF(G77="",1,G77),基本信息!$C$11,基本信息!$C$34,1),"")</f>
        <v/>
      </c>
    </row>
    <row r="78" spans="1:11" ht="19.5" customHeight="1">
      <c r="A78" s="46"/>
      <c r="B78" s="47"/>
      <c r="C78" s="46"/>
      <c r="D78" s="46"/>
      <c r="E78" s="46"/>
      <c r="J78" s="44" t="str">
        <f>IFERROR(BaoLiuXiaoShuWei(AVERAGE(H78:I78),2),"")</f>
        <v/>
      </c>
      <c r="K78" s="50" t="str">
        <f>IFERROR(XiuYueXiaoShu(IF(J78="","",(J78-基本信息!$B$28)/基本信息!$B$29)*(基本信息!$C$9)/F78/1000*IF(G78="",1,G78),基本信息!$C$11,基本信息!$C$34,1),"")</f>
        <v/>
      </c>
    </row>
    <row r="79" spans="1:11" ht="19.5" customHeight="1">
      <c r="A79" s="46"/>
      <c r="B79" s="47"/>
      <c r="C79" s="46"/>
      <c r="D79" s="46"/>
      <c r="E79" s="46"/>
      <c r="J79" s="44" t="str">
        <f>IFERROR(BaoLiuXiaoShuWei(AVERAGE(H79:I79),2),"")</f>
        <v/>
      </c>
      <c r="K79" s="50" t="str">
        <f>IFERROR(XiuYueXiaoShu(IF(J79="","",(J79-基本信息!$B$28)/基本信息!$B$29)*(基本信息!$C$9)/F79/1000*IF(G79="",1,G79),基本信息!$C$11,基本信息!$C$34,1),"")</f>
        <v/>
      </c>
    </row>
    <row r="80" spans="1:11" ht="19.5" customHeight="1">
      <c r="A80" s="46"/>
      <c r="B80" s="47"/>
      <c r="C80" s="46"/>
      <c r="D80" s="46"/>
      <c r="E80" s="46"/>
      <c r="J80" s="44" t="str">
        <f>IFERROR(BaoLiuXiaoShuWei(AVERAGE(H80:I80),2),"")</f>
        <v/>
      </c>
      <c r="K80" s="50" t="str">
        <f>IFERROR(XiuYueXiaoShu(IF(J80="","",(J80-基本信息!$B$28)/基本信息!$B$29)*(基本信息!$C$9)/F80/1000*IF(G80="",1,G80),基本信息!$C$11,基本信息!$C$34,1),"")</f>
        <v/>
      </c>
    </row>
    <row r="81" spans="1:11" ht="19.5" customHeight="1">
      <c r="A81" s="46"/>
      <c r="B81" s="47"/>
      <c r="C81" s="46"/>
      <c r="D81" s="46"/>
      <c r="E81" s="46"/>
      <c r="J81" s="44" t="str">
        <f>IFERROR(BaoLiuXiaoShuWei(AVERAGE(H81:I81),2),"")</f>
        <v/>
      </c>
      <c r="K81" s="50" t="str">
        <f>IFERROR(XiuYueXiaoShu(IF(J81="","",(J81-基本信息!$B$28)/基本信息!$B$29)*(基本信息!$C$9)/F81/1000*IF(G81="",1,G81),基本信息!$C$11,基本信息!$C$34,1),"")</f>
        <v/>
      </c>
    </row>
    <row r="82" spans="1:11" ht="19.5" customHeight="1">
      <c r="A82" s="46"/>
      <c r="B82" s="47"/>
      <c r="C82" s="46"/>
      <c r="D82" s="46"/>
      <c r="E82" s="46"/>
      <c r="J82" s="44" t="str">
        <f>IFERROR(BaoLiuXiaoShuWei(AVERAGE(H82:I82),2),"")</f>
        <v/>
      </c>
      <c r="K82" s="50" t="str">
        <f>IFERROR(XiuYueXiaoShu(IF(J82="","",(J82-基本信息!$B$28)/基本信息!$B$29)*(基本信息!$C$9)/F82/1000*IF(G82="",1,G82),基本信息!$C$11,基本信息!$C$34,1),"")</f>
        <v/>
      </c>
    </row>
    <row r="83" spans="1:11" ht="19.5" customHeight="1">
      <c r="A83" s="46"/>
      <c r="B83" s="47"/>
      <c r="C83" s="46"/>
      <c r="D83" s="46"/>
      <c r="E83" s="46"/>
      <c r="J83" s="44" t="str">
        <f>IFERROR(BaoLiuXiaoShuWei(AVERAGE(H83:I83),2),"")</f>
        <v/>
      </c>
      <c r="K83" s="50" t="str">
        <f>IFERROR(XiuYueXiaoShu(IF(J83="","",(J83-基本信息!$B$28)/基本信息!$B$29)*(基本信息!$C$9)/F83/1000*IF(G83="",1,G83),基本信息!$C$11,基本信息!$C$34,1),"")</f>
        <v/>
      </c>
    </row>
    <row r="84" spans="1:11" ht="19.5" customHeight="1">
      <c r="A84" s="46"/>
      <c r="B84" s="47"/>
      <c r="C84" s="46"/>
      <c r="D84" s="46"/>
      <c r="E84" s="46"/>
      <c r="J84" s="44" t="str">
        <f>IFERROR(BaoLiuXiaoShuWei(AVERAGE(H84:I84),2),"")</f>
        <v/>
      </c>
      <c r="K84" s="50" t="str">
        <f>IFERROR(XiuYueXiaoShu(IF(J84="","",(J84-基本信息!$B$28)/基本信息!$B$29)*(基本信息!$C$9)/F84/1000*IF(G84="",1,G84),基本信息!$C$11,基本信息!$C$34,1),"")</f>
        <v/>
      </c>
    </row>
    <row r="85" spans="1:11" ht="19.5" customHeight="1">
      <c r="A85" s="46"/>
      <c r="B85" s="47"/>
      <c r="C85" s="46"/>
      <c r="D85" s="46"/>
      <c r="E85" s="46"/>
      <c r="J85" s="44" t="str">
        <f>IFERROR(BaoLiuXiaoShuWei(AVERAGE(H85:I85),2),"")</f>
        <v/>
      </c>
      <c r="K85" s="50" t="str">
        <f>IFERROR(XiuYueXiaoShu(IF(J85="","",(J85-基本信息!$B$28)/基本信息!$B$29)*(基本信息!$C$9)/F85/1000*IF(G85="",1,G85),基本信息!$C$11,基本信息!$C$34,1),"")</f>
        <v/>
      </c>
    </row>
    <row r="86" spans="1:11" ht="19.5" customHeight="1">
      <c r="A86" s="46"/>
      <c r="B86" s="47"/>
      <c r="C86" s="46"/>
      <c r="D86" s="46"/>
      <c r="E86" s="46"/>
      <c r="J86" s="44" t="str">
        <f>IFERROR(BaoLiuXiaoShuWei(AVERAGE(H86:I86),2),"")</f>
        <v/>
      </c>
      <c r="K86" s="50" t="str">
        <f>IFERROR(XiuYueXiaoShu(IF(J86="","",(J86-基本信息!$B$28)/基本信息!$B$29)*(基本信息!$C$9)/F86/1000*IF(G86="",1,G86),基本信息!$C$11,基本信息!$C$34,1),"")</f>
        <v/>
      </c>
    </row>
    <row r="87" spans="1:11" ht="19.5" customHeight="1">
      <c r="A87" s="46"/>
      <c r="B87" s="47"/>
      <c r="C87" s="46"/>
      <c r="D87" s="46"/>
      <c r="E87" s="46"/>
      <c r="J87" s="44" t="str">
        <f>IFERROR(BaoLiuXiaoShuWei(AVERAGE(H87:I87),2),"")</f>
        <v/>
      </c>
      <c r="K87" s="50" t="str">
        <f>IFERROR(XiuYueXiaoShu(IF(J87="","",(J87-基本信息!$B$28)/基本信息!$B$29)*(基本信息!$C$9)/F87/1000*IF(G87="",1,G87),基本信息!$C$11,基本信息!$C$34,1),"")</f>
        <v/>
      </c>
    </row>
    <row r="88" spans="1:11" ht="19.5" customHeight="1">
      <c r="A88" s="46"/>
      <c r="B88" s="47"/>
      <c r="C88" s="46"/>
      <c r="D88" s="46"/>
      <c r="E88" s="46"/>
      <c r="J88" s="44" t="str">
        <f>IFERROR(BaoLiuXiaoShuWei(AVERAGE(H88:I88),2),"")</f>
        <v/>
      </c>
      <c r="K88" s="50" t="str">
        <f>IFERROR(XiuYueXiaoShu(IF(J88="","",(J88-基本信息!$B$28)/基本信息!$B$29)*(基本信息!$C$9)/F88/1000*IF(G88="",1,G88),基本信息!$C$11,基本信息!$C$34,1),"")</f>
        <v/>
      </c>
    </row>
    <row r="89" spans="1:11" ht="19.5" customHeight="1">
      <c r="A89" s="46"/>
      <c r="B89" s="47"/>
      <c r="C89" s="46"/>
      <c r="D89" s="46"/>
      <c r="E89" s="46"/>
      <c r="J89" s="44" t="str">
        <f>IFERROR(BaoLiuXiaoShuWei(AVERAGE(H89:I89),2),"")</f>
        <v/>
      </c>
      <c r="K89" s="50" t="str">
        <f>IFERROR(XiuYueXiaoShu(IF(J89="","",(J89-基本信息!$B$28)/基本信息!$B$29)*(基本信息!$C$9)/F89/1000*IF(G89="",1,G89),基本信息!$C$11,基本信息!$C$34,1),"")</f>
        <v/>
      </c>
    </row>
    <row r="90" spans="1:11" ht="19.5" customHeight="1">
      <c r="A90" s="46"/>
      <c r="B90" s="47"/>
      <c r="C90" s="46"/>
      <c r="D90" s="46"/>
      <c r="E90" s="46"/>
      <c r="J90" s="44" t="str">
        <f>IFERROR(BaoLiuXiaoShuWei(AVERAGE(H90:I90),2),"")</f>
        <v/>
      </c>
      <c r="K90" s="50" t="str">
        <f>IFERROR(XiuYueXiaoShu(IF(J90="","",(J90-基本信息!$B$28)/基本信息!$B$29)*(基本信息!$C$9)/F90/1000*IF(G90="",1,G90),基本信息!$C$11,基本信息!$C$34,1),"")</f>
        <v/>
      </c>
    </row>
    <row r="91" spans="1:11" ht="19.5" customHeight="1">
      <c r="A91" s="46"/>
      <c r="B91" s="47"/>
      <c r="C91" s="46"/>
      <c r="D91" s="46"/>
      <c r="E91" s="46"/>
      <c r="J91" s="44" t="str">
        <f>IFERROR(BaoLiuXiaoShuWei(AVERAGE(H91:I91),2),"")</f>
        <v/>
      </c>
      <c r="K91" s="50" t="str">
        <f>IFERROR(XiuYueXiaoShu(IF(J91="","",(J91-基本信息!$B$28)/基本信息!$B$29)*(基本信息!$C$9)/F91/1000*IF(G91="",1,G91),基本信息!$C$11,基本信息!$C$34,1),"")</f>
        <v/>
      </c>
    </row>
    <row r="92" spans="1:11" ht="19.5" customHeight="1">
      <c r="A92" s="46"/>
      <c r="B92" s="47"/>
      <c r="C92" s="46"/>
      <c r="D92" s="46"/>
      <c r="E92" s="46"/>
      <c r="J92" s="44" t="str">
        <f>IFERROR(BaoLiuXiaoShuWei(AVERAGE(H92:I92),2),"")</f>
        <v/>
      </c>
      <c r="K92" s="50" t="str">
        <f>IFERROR(XiuYueXiaoShu(IF(J92="","",(J92-基本信息!$B$28)/基本信息!$B$29)*(基本信息!$C$9)/F92/1000*IF(G92="",1,G92),基本信息!$C$11,基本信息!$C$34,1),"")</f>
        <v/>
      </c>
    </row>
    <row r="93" spans="1:11" ht="19.5" customHeight="1">
      <c r="A93" s="46"/>
      <c r="B93" s="47"/>
      <c r="C93" s="46"/>
      <c r="D93" s="46"/>
      <c r="E93" s="46"/>
      <c r="J93" s="44" t="str">
        <f>IFERROR(BaoLiuXiaoShuWei(AVERAGE(H93:I93),2),"")</f>
        <v/>
      </c>
      <c r="K93" s="50" t="str">
        <f>IFERROR(XiuYueXiaoShu(IF(J93="","",(J93-基本信息!$B$28)/基本信息!$B$29)*(基本信息!$C$9)/F93/1000*IF(G93="",1,G93),基本信息!$C$11,基本信息!$C$34,1),"")</f>
        <v/>
      </c>
    </row>
    <row r="94" spans="1:11" ht="19.5" customHeight="1">
      <c r="A94" s="46"/>
      <c r="B94" s="47"/>
      <c r="C94" s="46"/>
      <c r="D94" s="46"/>
      <c r="E94" s="46"/>
      <c r="J94" s="44" t="str">
        <f>IFERROR(BaoLiuXiaoShuWei(AVERAGE(H94:I94),2),"")</f>
        <v/>
      </c>
      <c r="K94" s="50" t="str">
        <f>IFERROR(XiuYueXiaoShu(IF(J94="","",(J94-基本信息!$B$28)/基本信息!$B$29)*(基本信息!$C$9)/F94/1000*IF(G94="",1,G94),基本信息!$C$11,基本信息!$C$34,1),"")</f>
        <v/>
      </c>
    </row>
    <row r="95" spans="1:11" ht="19.5" customHeight="1">
      <c r="A95" s="46"/>
      <c r="B95" s="47"/>
      <c r="C95" s="46"/>
      <c r="D95" s="46"/>
      <c r="E95" s="46"/>
      <c r="J95" s="44" t="str">
        <f>IFERROR(BaoLiuXiaoShuWei(AVERAGE(H95:I95),2),"")</f>
        <v/>
      </c>
      <c r="K95" s="50" t="str">
        <f>IFERROR(XiuYueXiaoShu(IF(J95="","",(J95-基本信息!$B$28)/基本信息!$B$29)*(基本信息!$C$9)/F95/1000*IF(G95="",1,G95),基本信息!$C$11,基本信息!$C$34,1),"")</f>
        <v/>
      </c>
    </row>
    <row r="96" spans="1:11" ht="19.5" customHeight="1">
      <c r="A96" s="46"/>
      <c r="B96" s="47"/>
      <c r="C96" s="46"/>
      <c r="D96" s="46"/>
      <c r="E96" s="46"/>
      <c r="J96" s="44" t="str">
        <f>IFERROR(BaoLiuXiaoShuWei(AVERAGE(H96:I96),2),"")</f>
        <v/>
      </c>
      <c r="K96" s="50" t="str">
        <f>IFERROR(XiuYueXiaoShu(IF(J96="","",(J96-基本信息!$B$28)/基本信息!$B$29)*(基本信息!$C$9)/F96/1000*IF(G96="",1,G96),基本信息!$C$11,基本信息!$C$34,1),"")</f>
        <v/>
      </c>
    </row>
    <row r="97" spans="1:11" ht="19.5" customHeight="1">
      <c r="A97" s="46"/>
      <c r="B97" s="47"/>
      <c r="C97" s="46"/>
      <c r="D97" s="46"/>
      <c r="E97" s="46"/>
      <c r="J97" s="44" t="str">
        <f>IFERROR(BaoLiuXiaoShuWei(AVERAGE(H97:I97),2),"")</f>
        <v/>
      </c>
      <c r="K97" s="50" t="str">
        <f>IFERROR(XiuYueXiaoShu(IF(J97="","",(J97-基本信息!$B$28)/基本信息!$B$29)*(基本信息!$C$9)/F97/1000*IF(G97="",1,G97),基本信息!$C$11,基本信息!$C$34,1),"")</f>
        <v/>
      </c>
    </row>
    <row r="98" spans="1:11" ht="19.5" customHeight="1">
      <c r="A98" s="46"/>
      <c r="B98" s="47"/>
      <c r="C98" s="46"/>
      <c r="D98" s="46"/>
      <c r="E98" s="46"/>
      <c r="J98" s="44" t="str">
        <f>IFERROR(BaoLiuXiaoShuWei(AVERAGE(H98:I98),2),"")</f>
        <v/>
      </c>
      <c r="K98" s="50" t="str">
        <f>IFERROR(XiuYueXiaoShu(IF(J98="","",(J98-基本信息!$B$28)/基本信息!$B$29)*(基本信息!$C$9)/F98/1000*IF(G98="",1,G98),基本信息!$C$11,基本信息!$C$34,1),"")</f>
        <v/>
      </c>
    </row>
    <row r="99" spans="1:11" ht="19.5" customHeight="1">
      <c r="A99" s="46"/>
      <c r="B99" s="47"/>
      <c r="C99" s="46"/>
      <c r="D99" s="46"/>
      <c r="E99" s="46"/>
      <c r="J99" s="44" t="str">
        <f>IFERROR(BaoLiuXiaoShuWei(AVERAGE(H99:I99),2),"")</f>
        <v/>
      </c>
      <c r="K99" s="50" t="str">
        <f>IFERROR(XiuYueXiaoShu(IF(J99="","",(J99-基本信息!$B$28)/基本信息!$B$29)*(基本信息!$C$9)/F99/1000*IF(G99="",1,G99),基本信息!$C$11,基本信息!$C$34,1),"")</f>
        <v/>
      </c>
    </row>
    <row r="100" spans="1:11" ht="19.5" customHeight="1">
      <c r="A100" s="46"/>
      <c r="B100" s="47"/>
      <c r="C100" s="46"/>
      <c r="D100" s="46"/>
      <c r="E100" s="46"/>
      <c r="J100" s="44" t="str">
        <f>IFERROR(BaoLiuXiaoShuWei(AVERAGE(H100:I100),2),"")</f>
        <v/>
      </c>
      <c r="K100" s="50" t="str">
        <f>IFERROR(XiuYueXiaoShu(IF(J100="","",(J100-基本信息!$B$28)/基本信息!$B$29)*(基本信息!$C$9)/F100/1000*IF(G100="",1,G100),基本信息!$C$11,基本信息!$C$34,1),"")</f>
        <v/>
      </c>
    </row>
    <row r="101" spans="1:11" ht="19.5" customHeight="1">
      <c r="A101" s="46"/>
      <c r="B101" s="47"/>
      <c r="C101" s="46"/>
      <c r="D101" s="46"/>
      <c r="E101" s="46"/>
      <c r="J101" s="44" t="str">
        <f>IFERROR(BaoLiuXiaoShuWei(AVERAGE(H101:I101),2),"")</f>
        <v/>
      </c>
      <c r="K101" s="50" t="str">
        <f>IFERROR(XiuYueXiaoShu(IF(J101="","",(J101-基本信息!$B$28)/基本信息!$B$29)*(基本信息!$C$9)/F101/1000*IF(G101="",1,G101),基本信息!$C$11,基本信息!$C$34,1),"")</f>
        <v/>
      </c>
    </row>
    <row r="102" spans="1:11" ht="19.5" customHeight="1">
      <c r="A102" s="46"/>
      <c r="B102" s="47"/>
      <c r="C102" s="46"/>
      <c r="D102" s="46"/>
      <c r="E102" s="46"/>
      <c r="J102" s="44" t="str">
        <f>IFERROR(BaoLiuXiaoShuWei(AVERAGE(H102:I102),2),"")</f>
        <v/>
      </c>
      <c r="K102" s="50" t="str">
        <f>IFERROR(XiuYueXiaoShu(IF(J102="","",(J102-基本信息!$B$28)/基本信息!$B$29)*(基本信息!$C$9)/F102/1000*IF(G102="",1,G102),基本信息!$C$11,基本信息!$C$34,1),"")</f>
        <v/>
      </c>
    </row>
    <row r="103" spans="1:11" ht="19.5" customHeight="1">
      <c r="A103" s="46"/>
      <c r="B103" s="47"/>
      <c r="C103" s="46"/>
      <c r="D103" s="46"/>
      <c r="E103" s="46"/>
      <c r="J103" s="44" t="str">
        <f>IFERROR(BaoLiuXiaoShuWei(AVERAGE(H103:I103),2),"")</f>
        <v/>
      </c>
      <c r="K103" s="50" t="str">
        <f>IFERROR(XiuYueXiaoShu(IF(J103="","",(J103-基本信息!$B$28)/基本信息!$B$29)*(基本信息!$C$9)/F103/1000*IF(G103="",1,G103),基本信息!$C$11,基本信息!$C$34,1),"")</f>
        <v/>
      </c>
    </row>
    <row r="104" spans="1:11" ht="19.5" customHeight="1">
      <c r="A104" s="46"/>
      <c r="B104" s="47"/>
      <c r="C104" s="46"/>
      <c r="D104" s="46"/>
      <c r="E104" s="46"/>
      <c r="J104" s="44" t="str">
        <f>IFERROR(BaoLiuXiaoShuWei(AVERAGE(H104:I104),2),"")</f>
        <v/>
      </c>
      <c r="K104" s="50" t="str">
        <f>IFERROR(XiuYueXiaoShu(IF(J104="","",(J104-基本信息!$B$28)/基本信息!$B$29)*(基本信息!$C$9)/F104/1000*IF(G104="",1,G104),基本信息!$C$11,基本信息!$C$34,1),"")</f>
        <v/>
      </c>
    </row>
    <row r="105" spans="1:11" ht="19.5" customHeight="1">
      <c r="A105" s="46"/>
      <c r="B105" s="47"/>
      <c r="C105" s="46"/>
      <c r="D105" s="46"/>
      <c r="E105" s="46"/>
      <c r="J105" s="44" t="str">
        <f>IFERROR(BaoLiuXiaoShuWei(AVERAGE(H105:I105),2),"")</f>
        <v/>
      </c>
      <c r="K105" s="50" t="str">
        <f>IFERROR(XiuYueXiaoShu(IF(J105="","",(J105-基本信息!$B$28)/基本信息!$B$29)*(基本信息!$C$9)/F105/1000*IF(G105="",1,G105),基本信息!$C$11,基本信息!$C$34,1),"")</f>
        <v/>
      </c>
    </row>
    <row r="106" spans="1:11" ht="19.5" customHeight="1">
      <c r="A106" s="46"/>
      <c r="B106" s="47"/>
      <c r="C106" s="46"/>
      <c r="D106" s="46"/>
      <c r="E106" s="46"/>
      <c r="J106" s="44" t="str">
        <f>IFERROR(BaoLiuXiaoShuWei(AVERAGE(H106:I106),2),"")</f>
        <v/>
      </c>
      <c r="K106" s="50" t="str">
        <f>IFERROR(XiuYueXiaoShu(IF(J106="","",(J106-基本信息!$B$28)/基本信息!$B$29)*(基本信息!$C$9)/F106/1000*IF(G106="",1,G106),基本信息!$C$11,基本信息!$C$34,1),"")</f>
        <v/>
      </c>
    </row>
    <row r="107" spans="1:11" ht="19.5" customHeight="1">
      <c r="A107" s="46"/>
      <c r="B107" s="47"/>
      <c r="C107" s="46"/>
      <c r="D107" s="46"/>
      <c r="E107" s="46"/>
      <c r="J107" s="44" t="str">
        <f>IFERROR(BaoLiuXiaoShuWei(AVERAGE(H107:I107),2),"")</f>
        <v/>
      </c>
      <c r="K107" s="50" t="str">
        <f>IFERROR(XiuYueXiaoShu(IF(J107="","",(J107-基本信息!$B$28)/基本信息!$B$29)*(基本信息!$C$9)/F107/1000*IF(G107="",1,G107),基本信息!$C$11,基本信息!$C$34,1),"")</f>
        <v/>
      </c>
    </row>
    <row r="108" spans="1:11" ht="19.5" customHeight="1">
      <c r="A108" s="46"/>
      <c r="B108" s="47"/>
      <c r="C108" s="46"/>
      <c r="D108" s="46"/>
      <c r="E108" s="46"/>
      <c r="J108" s="44" t="str">
        <f>IFERROR(BaoLiuXiaoShuWei(AVERAGE(H108:I108),2),"")</f>
        <v/>
      </c>
      <c r="K108" s="50" t="str">
        <f>IFERROR(XiuYueXiaoShu(IF(J108="","",(J108-基本信息!$B$28)/基本信息!$B$29)*(基本信息!$C$9)/F108/1000*IF(G108="",1,G108),基本信息!$C$11,基本信息!$C$34,1),"")</f>
        <v/>
      </c>
    </row>
    <row r="109" spans="1:11" ht="19.5" customHeight="1">
      <c r="A109" s="46"/>
      <c r="B109" s="47"/>
      <c r="C109" s="46"/>
      <c r="D109" s="46"/>
      <c r="E109" s="46"/>
      <c r="J109" s="44" t="str">
        <f>IFERROR(BaoLiuXiaoShuWei(AVERAGE(H109:I109),2),"")</f>
        <v/>
      </c>
      <c r="K109" s="50" t="str">
        <f>IFERROR(XiuYueXiaoShu(IF(J109="","",(J109-基本信息!$B$28)/基本信息!$B$29)*(基本信息!$C$9)/F109/1000*IF(G109="",1,G109),基本信息!$C$11,基本信息!$C$34,1),"")</f>
        <v/>
      </c>
    </row>
    <row r="110" spans="1:11" ht="19.5" customHeight="1">
      <c r="A110" s="46"/>
      <c r="B110" s="47"/>
      <c r="C110" s="46"/>
      <c r="D110" s="46"/>
      <c r="E110" s="46"/>
      <c r="J110" s="44" t="str">
        <f>IFERROR(BaoLiuXiaoShuWei(AVERAGE(H110:I110),2),"")</f>
        <v/>
      </c>
      <c r="K110" s="50" t="str">
        <f>IFERROR(XiuYueXiaoShu(IF(J110="","",(J110-基本信息!$B$28)/基本信息!$B$29)*(基本信息!$C$9)/F110/1000*IF(G110="",1,G110),基本信息!$C$11,基本信息!$C$34,1),"")</f>
        <v/>
      </c>
    </row>
    <row r="111" spans="1:11" ht="19.5" customHeight="1">
      <c r="A111" s="46"/>
      <c r="B111" s="47"/>
      <c r="C111" s="46"/>
      <c r="D111" s="46"/>
      <c r="E111" s="46"/>
      <c r="J111" s="44" t="str">
        <f>IFERROR(BaoLiuXiaoShuWei(AVERAGE(H111:I111),2),"")</f>
        <v/>
      </c>
      <c r="K111" s="50" t="str">
        <f>IFERROR(XiuYueXiaoShu(IF(J111="","",(J111-基本信息!$B$28)/基本信息!$B$29)*(基本信息!$C$9)/F111/1000*IF(G111="",1,G111),基本信息!$C$11,基本信息!$C$34,1),"")</f>
        <v/>
      </c>
    </row>
    <row r="112" spans="1:11" ht="19.5" customHeight="1">
      <c r="A112" s="46"/>
      <c r="B112" s="47"/>
      <c r="C112" s="46"/>
      <c r="D112" s="46"/>
      <c r="E112" s="46"/>
      <c r="J112" s="44" t="str">
        <f>IFERROR(BaoLiuXiaoShuWei(AVERAGE(H112:I112),2),"")</f>
        <v/>
      </c>
      <c r="K112" s="50" t="str">
        <f>IFERROR(XiuYueXiaoShu(IF(J112="","",(J112-基本信息!$B$28)/基本信息!$B$29)*(基本信息!$C$9)/F112/1000*IF(G112="",1,G112),基本信息!$C$11,基本信息!$C$34,1),"")</f>
        <v/>
      </c>
    </row>
    <row r="113" spans="1:11" ht="19.5" customHeight="1">
      <c r="A113" s="46"/>
      <c r="B113" s="47"/>
      <c r="C113" s="46"/>
      <c r="D113" s="46"/>
      <c r="E113" s="46"/>
      <c r="J113" s="44" t="str">
        <f>IFERROR(BaoLiuXiaoShuWei(AVERAGE(H113:I113),2),"")</f>
        <v/>
      </c>
      <c r="K113" s="50" t="str">
        <f>IFERROR(XiuYueXiaoShu(IF(J113="","",(J113-基本信息!$B$28)/基本信息!$B$29)*(基本信息!$C$9)/F113/1000*IF(G113="",1,G113),基本信息!$C$11,基本信息!$C$34,1),"")</f>
        <v/>
      </c>
    </row>
    <row r="114" spans="1:11" ht="19.5" customHeight="1">
      <c r="A114" s="46"/>
      <c r="B114" s="47"/>
      <c r="C114" s="46"/>
      <c r="D114" s="46"/>
      <c r="E114" s="46"/>
      <c r="J114" s="44" t="str">
        <f>IFERROR(BaoLiuXiaoShuWei(AVERAGE(H114:I114),2),"")</f>
        <v/>
      </c>
      <c r="K114" s="50" t="str">
        <f>IFERROR(XiuYueXiaoShu(IF(J114="","",(J114-基本信息!$B$28)/基本信息!$B$29)*(基本信息!$C$9)/F114/1000*IF(G114="",1,G114),基本信息!$C$11,基本信息!$C$34,1),"")</f>
        <v/>
      </c>
    </row>
    <row r="115" spans="1:11" ht="19.5" customHeight="1">
      <c r="A115" s="46"/>
      <c r="B115" s="47"/>
      <c r="C115" s="46"/>
      <c r="D115" s="46"/>
      <c r="E115" s="46"/>
      <c r="J115" s="44" t="str">
        <f>IFERROR(BaoLiuXiaoShuWei(AVERAGE(H115:I115),2),"")</f>
        <v/>
      </c>
      <c r="K115" s="50" t="str">
        <f>IFERROR(XiuYueXiaoShu(IF(J115="","",(J115-基本信息!$B$28)/基本信息!$B$29)*(基本信息!$C$9)/F115/1000*IF(G115="",1,G115),基本信息!$C$11,基本信息!$C$34,1),"")</f>
        <v/>
      </c>
    </row>
    <row r="116" spans="1:11" ht="19.5" customHeight="1">
      <c r="A116" s="46"/>
      <c r="B116" s="47"/>
      <c r="C116" s="46"/>
      <c r="D116" s="46"/>
      <c r="E116" s="46"/>
      <c r="J116" s="44" t="str">
        <f>IFERROR(BaoLiuXiaoShuWei(AVERAGE(H116:I116),2),"")</f>
        <v/>
      </c>
      <c r="K116" s="50" t="str">
        <f>IFERROR(XiuYueXiaoShu(IF(J116="","",(J116-基本信息!$B$28)/基本信息!$B$29)*(基本信息!$C$9)/F116/1000*IF(G116="",1,G116),基本信息!$C$11,基本信息!$C$34,1),"")</f>
        <v/>
      </c>
    </row>
    <row r="117" spans="1:11" ht="19.5" customHeight="1">
      <c r="A117" s="46"/>
      <c r="B117" s="47"/>
      <c r="C117" s="46"/>
      <c r="D117" s="46"/>
      <c r="E117" s="46"/>
      <c r="J117" s="44" t="str">
        <f>IFERROR(BaoLiuXiaoShuWei(AVERAGE(H117:I117),2),"")</f>
        <v/>
      </c>
      <c r="K117" s="50" t="str">
        <f>IFERROR(XiuYueXiaoShu(IF(J117="","",(J117-基本信息!$B$28)/基本信息!$B$29)*(基本信息!$C$9)/F117/1000*IF(G117="",1,G117),基本信息!$C$11,基本信息!$C$34,1),"")</f>
        <v/>
      </c>
    </row>
    <row r="118" spans="1:11" ht="19.5" customHeight="1">
      <c r="A118" s="46"/>
      <c r="B118" s="47"/>
      <c r="C118" s="46"/>
      <c r="D118" s="46"/>
      <c r="E118" s="46"/>
      <c r="J118" s="44" t="str">
        <f>IFERROR(BaoLiuXiaoShuWei(AVERAGE(H118:I118),2),"")</f>
        <v/>
      </c>
      <c r="K118" s="50" t="str">
        <f>IFERROR(XiuYueXiaoShu(IF(J118="","",(J118-基本信息!$B$28)/基本信息!$B$29)*(基本信息!$C$9)/F118/1000*IF(G118="",1,G118),基本信息!$C$11,基本信息!$C$34,1),"")</f>
        <v/>
      </c>
    </row>
    <row r="119" spans="1:11" ht="19.5" customHeight="1">
      <c r="A119" s="46"/>
      <c r="B119" s="47"/>
      <c r="C119" s="46"/>
      <c r="D119" s="46"/>
      <c r="E119" s="46"/>
      <c r="J119" s="44" t="str">
        <f>IFERROR(BaoLiuXiaoShuWei(AVERAGE(H119:I119),2),"")</f>
        <v/>
      </c>
      <c r="K119" s="50" t="str">
        <f>IFERROR(XiuYueXiaoShu(IF(J119="","",(J119-基本信息!$B$28)/基本信息!$B$29)*(基本信息!$C$9)/F119/1000*IF(G119="",1,G119),基本信息!$C$11,基本信息!$C$34,1),"")</f>
        <v/>
      </c>
    </row>
    <row r="120" spans="1:11" ht="19.5" customHeight="1">
      <c r="A120" s="46"/>
      <c r="B120" s="47"/>
      <c r="C120" s="46"/>
      <c r="D120" s="46"/>
      <c r="E120" s="46"/>
      <c r="J120" s="44" t="str">
        <f>IFERROR(BaoLiuXiaoShuWei(AVERAGE(H120:I120),2),"")</f>
        <v/>
      </c>
      <c r="K120" s="50" t="str">
        <f>IFERROR(XiuYueXiaoShu(IF(J120="","",(J120-基本信息!$B$28)/基本信息!$B$29)*(基本信息!$C$9)/F120/1000*IF(G120="",1,G120),基本信息!$C$11,基本信息!$C$34,1),"")</f>
        <v/>
      </c>
    </row>
    <row r="121" spans="1:11" ht="19.5" customHeight="1">
      <c r="A121" s="46"/>
      <c r="B121" s="47"/>
      <c r="C121" s="46"/>
      <c r="D121" s="46"/>
      <c r="E121" s="46"/>
      <c r="J121" s="44" t="str">
        <f>IFERROR(BaoLiuXiaoShuWei(AVERAGE(H121:I121),2),"")</f>
        <v/>
      </c>
      <c r="K121" s="50" t="str">
        <f>IFERROR(XiuYueXiaoShu(IF(J121="","",(J121-基本信息!$B$28)/基本信息!$B$29)*(基本信息!$C$9)/F121/1000*IF(G121="",1,G121),基本信息!$C$11,基本信息!$C$34,1),"")</f>
        <v/>
      </c>
    </row>
    <row r="122" spans="1:11" ht="19.5" customHeight="1">
      <c r="A122" s="46"/>
      <c r="B122" s="47"/>
      <c r="C122" s="46"/>
      <c r="D122" s="46"/>
      <c r="E122" s="46"/>
      <c r="J122" s="44" t="str">
        <f>IFERROR(BaoLiuXiaoShuWei(AVERAGE(H122:I122),2),"")</f>
        <v/>
      </c>
      <c r="K122" s="50" t="str">
        <f>IFERROR(XiuYueXiaoShu(IF(J122="","",(J122-基本信息!$B$28)/基本信息!$B$29)*(基本信息!$C$9)/F122/1000*IF(G122="",1,G122),基本信息!$C$11,基本信息!$C$34,1),"")</f>
        <v/>
      </c>
    </row>
    <row r="123" spans="1:11" ht="19.5" customHeight="1">
      <c r="A123" s="46"/>
      <c r="B123" s="47"/>
      <c r="C123" s="46"/>
      <c r="D123" s="46"/>
      <c r="E123" s="46"/>
      <c r="J123" s="44" t="str">
        <f>IFERROR(BaoLiuXiaoShuWei(AVERAGE(H123:I123),2),"")</f>
        <v/>
      </c>
      <c r="K123" s="50" t="str">
        <f>IFERROR(XiuYueXiaoShu(IF(J123="","",(J123-基本信息!$B$28)/基本信息!$B$29)*(基本信息!$C$9)/F123/1000*IF(G123="",1,G123),基本信息!$C$11,基本信息!$C$34,1),"")</f>
        <v/>
      </c>
    </row>
    <row r="124" spans="1:11" ht="19.5" customHeight="1">
      <c r="A124" s="46"/>
      <c r="B124" s="47"/>
      <c r="C124" s="46"/>
      <c r="D124" s="46"/>
      <c r="E124" s="46"/>
      <c r="J124" s="44" t="str">
        <f>IFERROR(BaoLiuXiaoShuWei(AVERAGE(H124:I124),2),"")</f>
        <v/>
      </c>
      <c r="K124" s="50" t="str">
        <f>IFERROR(XiuYueXiaoShu(IF(J124="","",(J124-基本信息!$B$28)/基本信息!$B$29)*(基本信息!$C$9)/F124/1000*IF(G124="",1,G124),基本信息!$C$11,基本信息!$C$34,1),"")</f>
        <v/>
      </c>
    </row>
    <row r="125" spans="1:11" ht="19.5" customHeight="1">
      <c r="A125" s="46"/>
      <c r="B125" s="47"/>
      <c r="C125" s="46"/>
      <c r="D125" s="46"/>
      <c r="E125" s="46"/>
      <c r="J125" s="44" t="str">
        <f>IFERROR(BaoLiuXiaoShuWei(AVERAGE(H125:I125),2),"")</f>
        <v/>
      </c>
      <c r="K125" s="50" t="str">
        <f>IFERROR(XiuYueXiaoShu(IF(J125="","",(J125-基本信息!$B$28)/基本信息!$B$29)*(基本信息!$C$9)/F125/1000*IF(G125="",1,G125),基本信息!$C$11,基本信息!$C$34,1),"")</f>
        <v/>
      </c>
    </row>
    <row r="126" spans="1:11" ht="19.5" customHeight="1">
      <c r="A126" s="46"/>
      <c r="B126" s="47"/>
      <c r="C126" s="46"/>
      <c r="D126" s="46"/>
      <c r="E126" s="46"/>
      <c r="J126" s="44" t="str">
        <f>IFERROR(BaoLiuXiaoShuWei(AVERAGE(H126:I126),2),"")</f>
        <v/>
      </c>
      <c r="K126" s="50" t="str">
        <f>IFERROR(XiuYueXiaoShu(IF(J126="","",(J126-基本信息!$B$28)/基本信息!$B$29)*(基本信息!$C$9)/F126/1000*IF(G126="",1,G126),基本信息!$C$11,基本信息!$C$34,1),"")</f>
        <v/>
      </c>
    </row>
    <row r="127" spans="1:11" ht="19.5" customHeight="1">
      <c r="A127" s="46"/>
      <c r="B127" s="47"/>
      <c r="C127" s="46"/>
      <c r="D127" s="46"/>
      <c r="E127" s="46"/>
      <c r="J127" s="44" t="str">
        <f>IFERROR(BaoLiuXiaoShuWei(AVERAGE(H127:I127),2),"")</f>
        <v/>
      </c>
      <c r="K127" s="50" t="str">
        <f>IFERROR(XiuYueXiaoShu(IF(J127="","",(J127-基本信息!$B$28)/基本信息!$B$29)*(基本信息!$C$9)/F127/1000*IF(G127="",1,G127),基本信息!$C$11,基本信息!$C$34,1),"")</f>
        <v/>
      </c>
    </row>
    <row r="128" spans="1:11" ht="19.5" customHeight="1">
      <c r="A128" s="46"/>
      <c r="B128" s="47"/>
      <c r="C128" s="46"/>
      <c r="D128" s="46"/>
      <c r="E128" s="46"/>
      <c r="J128" s="44" t="str">
        <f>IFERROR(BaoLiuXiaoShuWei(AVERAGE(H128:I128),2),"")</f>
        <v/>
      </c>
      <c r="K128" s="50" t="str">
        <f>IFERROR(XiuYueXiaoShu(IF(J128="","",(J128-基本信息!$B$28)/基本信息!$B$29)*(基本信息!$C$9)/F128/1000*IF(G128="",1,G128),基本信息!$C$11,基本信息!$C$34,1),"")</f>
        <v/>
      </c>
    </row>
    <row r="129" spans="1:11" ht="19.5" customHeight="1">
      <c r="A129" s="46"/>
      <c r="B129" s="47"/>
      <c r="C129" s="46"/>
      <c r="D129" s="46"/>
      <c r="E129" s="46"/>
      <c r="J129" s="44" t="str">
        <f>IFERROR(BaoLiuXiaoShuWei(AVERAGE(H129:I129),2),"")</f>
        <v/>
      </c>
      <c r="K129" s="50" t="str">
        <f>IFERROR(XiuYueXiaoShu(IF(J129="","",(J129-基本信息!$B$28)/基本信息!$B$29)*(基本信息!$C$9)/F129/1000*IF(G129="",1,G129),基本信息!$C$11,基本信息!$C$34,1),"")</f>
        <v/>
      </c>
    </row>
    <row r="130" spans="1:11" ht="19.5" customHeight="1">
      <c r="A130" s="46"/>
      <c r="B130" s="47"/>
      <c r="C130" s="46"/>
      <c r="D130" s="46"/>
      <c r="E130" s="46"/>
      <c r="J130" s="44" t="str">
        <f>IFERROR(BaoLiuXiaoShuWei(AVERAGE(H130:I130),2),"")</f>
        <v/>
      </c>
      <c r="K130" s="50" t="str">
        <f>IFERROR(XiuYueXiaoShu(IF(J130="","",(J130-基本信息!$B$28)/基本信息!$B$29)*(基本信息!$C$9)/F130/1000*IF(G130="",1,G130),基本信息!$C$11,基本信息!$C$34,1),"")</f>
        <v/>
      </c>
    </row>
    <row r="131" spans="1:11" ht="19.5" customHeight="1">
      <c r="A131" s="46"/>
      <c r="B131" s="47"/>
      <c r="C131" s="46"/>
      <c r="D131" s="46"/>
      <c r="E131" s="46"/>
      <c r="J131" s="44" t="str">
        <f>IFERROR(BaoLiuXiaoShuWei(AVERAGE(H131:I131),2),"")</f>
        <v/>
      </c>
      <c r="K131" s="50" t="str">
        <f>IFERROR(XiuYueXiaoShu(IF(J131="","",(J131-基本信息!$B$28)/基本信息!$B$29)*(基本信息!$C$9)/F131/1000*IF(G131="",1,G131),基本信息!$C$11,基本信息!$C$34,1),"")</f>
        <v/>
      </c>
    </row>
    <row r="132" spans="1:11" ht="19.5" customHeight="1">
      <c r="A132" s="46"/>
      <c r="B132" s="47"/>
      <c r="C132" s="46"/>
      <c r="D132" s="46"/>
      <c r="E132" s="46"/>
      <c r="J132" s="44" t="str">
        <f>IFERROR(BaoLiuXiaoShuWei(AVERAGE(H132:I132),2),"")</f>
        <v/>
      </c>
      <c r="K132" s="50" t="str">
        <f>IFERROR(XiuYueXiaoShu(IF(J132="","",(J132-基本信息!$B$28)/基本信息!$B$29)*(基本信息!$C$9)/F132/1000*IF(G132="",1,G132),基本信息!$C$11,基本信息!$C$34,1),"")</f>
        <v/>
      </c>
    </row>
    <row r="133" spans="1:11" ht="19.5" customHeight="1">
      <c r="A133" s="46"/>
      <c r="B133" s="47"/>
      <c r="C133" s="46"/>
      <c r="D133" s="46"/>
      <c r="E133" s="46"/>
      <c r="J133" s="44" t="str">
        <f>IFERROR(BaoLiuXiaoShuWei(AVERAGE(H133:I133),2),"")</f>
        <v/>
      </c>
      <c r="K133" s="50" t="str">
        <f>IFERROR(XiuYueXiaoShu(IF(J133="","",(J133-基本信息!$B$28)/基本信息!$B$29)*(基本信息!$C$9)/F133/1000*IF(G133="",1,G133),基本信息!$C$11,基本信息!$C$34,1),"")</f>
        <v/>
      </c>
    </row>
    <row r="134" spans="1:11" ht="19.5" customHeight="1">
      <c r="A134" s="46"/>
      <c r="B134" s="47"/>
      <c r="C134" s="46"/>
      <c r="D134" s="46"/>
      <c r="E134" s="46"/>
      <c r="J134" s="44" t="str">
        <f>IFERROR(BaoLiuXiaoShuWei(AVERAGE(H134:I134),2),"")</f>
        <v/>
      </c>
      <c r="K134" s="50" t="str">
        <f>IFERROR(XiuYueXiaoShu(IF(J134="","",(J134-基本信息!$B$28)/基本信息!$B$29)*(基本信息!$C$9)/F134/1000*IF(G134="",1,G134),基本信息!$C$11,基本信息!$C$34,1),"")</f>
        <v/>
      </c>
    </row>
    <row r="135" spans="1:11" ht="19.5" customHeight="1">
      <c r="A135" s="46"/>
      <c r="B135" s="47"/>
      <c r="C135" s="46"/>
      <c r="D135" s="46"/>
      <c r="E135" s="46"/>
      <c r="J135" s="44" t="str">
        <f>IFERROR(BaoLiuXiaoShuWei(AVERAGE(H135:I135),2),"")</f>
        <v/>
      </c>
      <c r="K135" s="50" t="str">
        <f>IFERROR(XiuYueXiaoShu(IF(J135="","",(J135-基本信息!$B$28)/基本信息!$B$29)*(基本信息!$C$9)/F135/1000*IF(G135="",1,G135),基本信息!$C$11,基本信息!$C$34,1),"")</f>
        <v/>
      </c>
    </row>
    <row r="136" spans="1:11" ht="19.5" customHeight="1">
      <c r="A136" s="46"/>
      <c r="B136" s="47"/>
      <c r="C136" s="46"/>
      <c r="D136" s="46"/>
      <c r="E136" s="46"/>
      <c r="J136" s="44" t="str">
        <f>IFERROR(BaoLiuXiaoShuWei(AVERAGE(H136:I136),2),"")</f>
        <v/>
      </c>
      <c r="K136" s="50" t="str">
        <f>IFERROR(XiuYueXiaoShu(IF(J136="","",(J136-基本信息!$B$28)/基本信息!$B$29)*(基本信息!$C$9)/F136/1000*IF(G136="",1,G136),基本信息!$C$11,基本信息!$C$34,1),"")</f>
        <v/>
      </c>
    </row>
    <row r="137" spans="1:11" ht="19.5" customHeight="1">
      <c r="A137" s="46"/>
      <c r="B137" s="47"/>
      <c r="C137" s="46"/>
      <c r="D137" s="46"/>
      <c r="E137" s="46"/>
      <c r="J137" s="44" t="str">
        <f>IFERROR(BaoLiuXiaoShuWei(AVERAGE(H137:I137),2),"")</f>
        <v/>
      </c>
      <c r="K137" s="50" t="str">
        <f>IFERROR(XiuYueXiaoShu(IF(J137="","",(J137-基本信息!$B$28)/基本信息!$B$29)*(基本信息!$C$9)/F137/1000*IF(G137="",1,G137),基本信息!$C$11,基本信息!$C$34,1),"")</f>
        <v/>
      </c>
    </row>
    <row r="138" spans="1:11" ht="19.5" customHeight="1">
      <c r="A138" s="46"/>
      <c r="B138" s="47"/>
      <c r="C138" s="46"/>
      <c r="D138" s="46"/>
      <c r="E138" s="46"/>
      <c r="J138" s="44" t="str">
        <f>IFERROR(BaoLiuXiaoShuWei(AVERAGE(H138:I138),2),"")</f>
        <v/>
      </c>
      <c r="K138" s="50" t="str">
        <f>IFERROR(XiuYueXiaoShu(IF(J138="","",(J138-基本信息!$B$28)/基本信息!$B$29)*(基本信息!$C$9)/F138/1000*IF(G138="",1,G138),基本信息!$C$11,基本信息!$C$34,1),"")</f>
        <v/>
      </c>
    </row>
    <row r="139" spans="1:11" ht="19.5" customHeight="1">
      <c r="A139" s="46"/>
      <c r="B139" s="47"/>
      <c r="C139" s="46"/>
      <c r="D139" s="46"/>
      <c r="E139" s="46"/>
      <c r="J139" s="44" t="str">
        <f>IFERROR(BaoLiuXiaoShuWei(AVERAGE(H139:I139),2),"")</f>
        <v/>
      </c>
      <c r="K139" s="50" t="str">
        <f>IFERROR(XiuYueXiaoShu(IF(J139="","",(J139-基本信息!$B$28)/基本信息!$B$29)*(基本信息!$C$9)/F139/1000*IF(G139="",1,G139),基本信息!$C$11,基本信息!$C$34,1),"")</f>
        <v/>
      </c>
    </row>
    <row r="140" spans="1:11" ht="19.5" customHeight="1">
      <c r="A140" s="46"/>
      <c r="B140" s="47"/>
      <c r="C140" s="46"/>
      <c r="D140" s="46"/>
      <c r="E140" s="46"/>
      <c r="J140" s="44" t="str">
        <f>IFERROR(BaoLiuXiaoShuWei(AVERAGE(H140:I140),2),"")</f>
        <v/>
      </c>
      <c r="K140" s="50" t="str">
        <f>IFERROR(XiuYueXiaoShu(IF(J140="","",(J140-基本信息!$B$28)/基本信息!$B$29)*(基本信息!$C$9)/F140/1000*IF(G140="",1,G140),基本信息!$C$11,基本信息!$C$34,1),"")</f>
        <v/>
      </c>
    </row>
    <row r="141" spans="1:11" ht="19.5" customHeight="1">
      <c r="A141" s="46"/>
      <c r="B141" s="47"/>
      <c r="C141" s="46"/>
      <c r="D141" s="46"/>
      <c r="E141" s="46"/>
      <c r="J141" s="44" t="str">
        <f>IFERROR(BaoLiuXiaoShuWei(AVERAGE(H141:I141),2),"")</f>
        <v/>
      </c>
      <c r="K141" s="50" t="str">
        <f>IFERROR(XiuYueXiaoShu(IF(J141="","",(J141-基本信息!$B$28)/基本信息!$B$29)*(基本信息!$C$9)/F141/1000*IF(G141="",1,G141),基本信息!$C$11,基本信息!$C$34,1),"")</f>
        <v/>
      </c>
    </row>
    <row r="142" spans="1:11" ht="19.5" customHeight="1">
      <c r="A142" s="46"/>
      <c r="B142" s="47"/>
      <c r="C142" s="46"/>
      <c r="D142" s="46"/>
      <c r="E142" s="46"/>
      <c r="J142" s="44" t="str">
        <f>IFERROR(BaoLiuXiaoShuWei(AVERAGE(H142:I142),2),"")</f>
        <v/>
      </c>
      <c r="K142" s="50" t="str">
        <f>IFERROR(XiuYueXiaoShu(IF(J142="","",(J142-基本信息!$B$28)/基本信息!$B$29)*(基本信息!$C$9)/F142/1000*IF(G142="",1,G142),基本信息!$C$11,基本信息!$C$34,1),"")</f>
        <v/>
      </c>
    </row>
    <row r="143" spans="1:11" ht="19.5" customHeight="1">
      <c r="A143" s="46"/>
      <c r="B143" s="47"/>
      <c r="C143" s="46"/>
      <c r="D143" s="46"/>
      <c r="E143" s="46"/>
      <c r="J143" s="44" t="str">
        <f>IFERROR(BaoLiuXiaoShuWei(AVERAGE(H143:I143),2),"")</f>
        <v/>
      </c>
      <c r="K143" s="50" t="str">
        <f>IFERROR(XiuYueXiaoShu(IF(J143="","",(J143-基本信息!$B$28)/基本信息!$B$29)*(基本信息!$C$9)/F143/1000*IF(G143="",1,G143),基本信息!$C$11,基本信息!$C$34,1),"")</f>
        <v/>
      </c>
    </row>
    <row r="144" spans="1:11" ht="19.5" customHeight="1">
      <c r="A144" s="46"/>
      <c r="B144" s="47"/>
      <c r="C144" s="46"/>
      <c r="D144" s="46"/>
      <c r="E144" s="46"/>
      <c r="J144" s="44" t="str">
        <f>IFERROR(BaoLiuXiaoShuWei(AVERAGE(H144:I144),2),"")</f>
        <v/>
      </c>
      <c r="K144" s="50" t="str">
        <f>IFERROR(XiuYueXiaoShu(IF(J144="","",(J144-基本信息!$B$28)/基本信息!$B$29)*(基本信息!$C$9)/F144/1000*IF(G144="",1,G144),基本信息!$C$11,基本信息!$C$34,1),"")</f>
        <v/>
      </c>
    </row>
    <row r="145" spans="1:11" ht="19.5" customHeight="1">
      <c r="A145" s="46"/>
      <c r="B145" s="47"/>
      <c r="C145" s="46"/>
      <c r="D145" s="46"/>
      <c r="E145" s="46"/>
      <c r="J145" s="44" t="str">
        <f>IFERROR(BaoLiuXiaoShuWei(AVERAGE(H145:I145),2),"")</f>
        <v/>
      </c>
      <c r="K145" s="50" t="str">
        <f>IFERROR(XiuYueXiaoShu(IF(J145="","",(J145-基本信息!$B$28)/基本信息!$B$29)*(基本信息!$C$9)/F145/1000*IF(G145="",1,G145),基本信息!$C$11,基本信息!$C$34,1),"")</f>
        <v/>
      </c>
    </row>
    <row r="146" spans="1:11" ht="19.5" customHeight="1">
      <c r="A146" s="46"/>
      <c r="B146" s="47"/>
      <c r="C146" s="46"/>
      <c r="D146" s="46"/>
      <c r="E146" s="46"/>
      <c r="J146" s="44" t="str">
        <f>IFERROR(BaoLiuXiaoShuWei(AVERAGE(H146:I146),2),"")</f>
        <v/>
      </c>
      <c r="K146" s="50" t="str">
        <f>IFERROR(XiuYueXiaoShu(IF(J146="","",(J146-基本信息!$B$28)/基本信息!$B$29)*(基本信息!$C$9)/F146/1000*IF(G146="",1,G146),基本信息!$C$11,基本信息!$C$34,1),"")</f>
        <v/>
      </c>
    </row>
    <row r="147" spans="1:11" ht="19.5" customHeight="1">
      <c r="A147" s="46"/>
      <c r="B147" s="47"/>
      <c r="C147" s="46"/>
      <c r="D147" s="46"/>
      <c r="E147" s="46"/>
      <c r="J147" s="44" t="str">
        <f>IFERROR(BaoLiuXiaoShuWei(AVERAGE(H147:I147),2),"")</f>
        <v/>
      </c>
      <c r="K147" s="50" t="str">
        <f>IFERROR(XiuYueXiaoShu(IF(J147="","",(J147-基本信息!$B$28)/基本信息!$B$29)*(基本信息!$C$9)/F147/1000*IF(G147="",1,G147),基本信息!$C$11,基本信息!$C$34,1),"")</f>
        <v/>
      </c>
    </row>
    <row r="148" spans="1:11" ht="19.5" customHeight="1">
      <c r="A148" s="46"/>
      <c r="B148" s="47"/>
      <c r="C148" s="46"/>
      <c r="D148" s="46"/>
      <c r="E148" s="46"/>
      <c r="J148" s="44" t="str">
        <f>IFERROR(BaoLiuXiaoShuWei(AVERAGE(H148:I148),2),"")</f>
        <v/>
      </c>
      <c r="K148" s="50" t="str">
        <f>IFERROR(XiuYueXiaoShu(IF(J148="","",(J148-基本信息!$B$28)/基本信息!$B$29)*(基本信息!$C$9)/F148/1000*IF(G148="",1,G148),基本信息!$C$11,基本信息!$C$34,1),"")</f>
        <v/>
      </c>
    </row>
    <row r="149" spans="1:11" ht="19.5" customHeight="1">
      <c r="A149" s="46"/>
      <c r="B149" s="47"/>
      <c r="C149" s="46"/>
      <c r="D149" s="46"/>
      <c r="E149" s="46"/>
      <c r="J149" s="44" t="str">
        <f>IFERROR(BaoLiuXiaoShuWei(AVERAGE(H149:I149),2),"")</f>
        <v/>
      </c>
      <c r="K149" s="50" t="str">
        <f>IFERROR(XiuYueXiaoShu(IF(J149="","",(J149-基本信息!$B$28)/基本信息!$B$29)*(基本信息!$C$9)/F149/1000*IF(G149="",1,G149),基本信息!$C$11,基本信息!$C$34,1),"")</f>
        <v/>
      </c>
    </row>
    <row r="150" spans="1:11" ht="19.5" customHeight="1">
      <c r="A150" s="46"/>
      <c r="B150" s="47"/>
      <c r="C150" s="46"/>
      <c r="D150" s="46"/>
      <c r="E150" s="46"/>
      <c r="J150" s="44" t="str">
        <f>IFERROR(BaoLiuXiaoShuWei(AVERAGE(H150:I150),2),"")</f>
        <v/>
      </c>
      <c r="K150" s="50" t="str">
        <f>IFERROR(XiuYueXiaoShu(IF(J150="","",(J150-基本信息!$B$28)/基本信息!$B$29)*(基本信息!$C$9)/F150/1000*IF(G150="",1,G150),基本信息!$C$11,基本信息!$C$34,1),"")</f>
        <v/>
      </c>
    </row>
    <row r="151" spans="1:11" ht="19.5" customHeight="1">
      <c r="A151" s="46"/>
      <c r="B151" s="47"/>
      <c r="C151" s="46"/>
      <c r="D151" s="46"/>
      <c r="E151" s="46"/>
      <c r="J151" s="44" t="str">
        <f>IFERROR(BaoLiuXiaoShuWei(AVERAGE(H151:I151),2),"")</f>
        <v/>
      </c>
      <c r="K151" s="50" t="str">
        <f>IFERROR(XiuYueXiaoShu(IF(J151="","",(J151-基本信息!$B$28)/基本信息!$B$29)*(基本信息!$C$9)/F151/1000*IF(G151="",1,G151),基本信息!$C$11,基本信息!$C$34,1),"")</f>
        <v/>
      </c>
    </row>
    <row r="152" spans="1:11" ht="19.5" customHeight="1">
      <c r="A152" s="46"/>
      <c r="B152" s="47"/>
      <c r="C152" s="46"/>
      <c r="D152" s="46"/>
      <c r="E152" s="46"/>
      <c r="J152" s="44" t="str">
        <f>IFERROR(BaoLiuXiaoShuWei(AVERAGE(H152:I152),2),"")</f>
        <v/>
      </c>
      <c r="K152" s="50" t="str">
        <f>IFERROR(XiuYueXiaoShu(IF(J152="","",(J152-基本信息!$B$28)/基本信息!$B$29)*(基本信息!$C$9)/F152/1000*IF(G152="",1,G152),基本信息!$C$11,基本信息!$C$34,1),"")</f>
        <v/>
      </c>
    </row>
    <row r="153" spans="1:11" ht="19.5" customHeight="1">
      <c r="A153" s="46"/>
      <c r="B153" s="47"/>
      <c r="C153" s="46"/>
      <c r="D153" s="46"/>
      <c r="E153" s="46"/>
      <c r="J153" s="44" t="str">
        <f>IFERROR(BaoLiuXiaoShuWei(AVERAGE(H153:I153),2),"")</f>
        <v/>
      </c>
      <c r="K153" s="50" t="str">
        <f>IFERROR(XiuYueXiaoShu(IF(J153="","",(J153-基本信息!$B$28)/基本信息!$B$29)*(基本信息!$C$9)/F153/1000*IF(G153="",1,G153),基本信息!$C$11,基本信息!$C$34,1),"")</f>
        <v/>
      </c>
    </row>
    <row r="154" spans="1:11" ht="19.5" customHeight="1">
      <c r="A154" s="46"/>
      <c r="B154" s="47"/>
      <c r="C154" s="46"/>
      <c r="D154" s="46"/>
      <c r="E154" s="46"/>
      <c r="J154" s="44" t="str">
        <f>IFERROR(BaoLiuXiaoShuWei(AVERAGE(H154:I154),2),"")</f>
        <v/>
      </c>
      <c r="K154" s="50" t="str">
        <f>IFERROR(XiuYueXiaoShu(IF(J154="","",(J154-基本信息!$B$28)/基本信息!$B$29)*(基本信息!$C$9)/F154/1000*IF(G154="",1,G154),基本信息!$C$11,基本信息!$C$34,1),"")</f>
        <v/>
      </c>
    </row>
    <row r="155" spans="1:11" ht="19.5" customHeight="1">
      <c r="A155" s="46"/>
      <c r="B155" s="47"/>
      <c r="C155" s="46"/>
      <c r="D155" s="46"/>
      <c r="E155" s="46"/>
      <c r="J155" s="44" t="str">
        <f>IFERROR(BaoLiuXiaoShuWei(AVERAGE(H155:I155),2),"")</f>
        <v/>
      </c>
      <c r="K155" s="50" t="str">
        <f>IFERROR(XiuYueXiaoShu(IF(J155="","",(J155-基本信息!$B$28)/基本信息!$B$29)*(基本信息!$C$9)/F155/1000*IF(G155="",1,G155),基本信息!$C$11,基本信息!$C$34,1),"")</f>
        <v/>
      </c>
    </row>
    <row r="156" spans="1:11" ht="19.5" customHeight="1">
      <c r="A156" s="46"/>
      <c r="B156" s="47"/>
      <c r="C156" s="46"/>
      <c r="D156" s="46"/>
      <c r="E156" s="46"/>
      <c r="J156" s="44" t="str">
        <f>IFERROR(BaoLiuXiaoShuWei(AVERAGE(H156:I156),2),"")</f>
        <v/>
      </c>
      <c r="K156" s="50" t="str">
        <f>IFERROR(XiuYueXiaoShu(IF(J156="","",(J156-基本信息!$B$28)/基本信息!$B$29)*(基本信息!$C$9)/F156/1000*IF(G156="",1,G156),基本信息!$C$11,基本信息!$C$34,1),"")</f>
        <v/>
      </c>
    </row>
    <row r="157" spans="1:11" ht="19.5" customHeight="1">
      <c r="A157" s="46"/>
      <c r="B157" s="47"/>
      <c r="C157" s="46"/>
      <c r="D157" s="46"/>
      <c r="E157" s="46"/>
      <c r="J157" s="44" t="str">
        <f>IFERROR(BaoLiuXiaoShuWei(AVERAGE(H157:I157),2),"")</f>
        <v/>
      </c>
      <c r="K157" s="50" t="str">
        <f>IFERROR(XiuYueXiaoShu(IF(J157="","",(J157-基本信息!$B$28)/基本信息!$B$29)*(基本信息!$C$9)/F157/1000*IF(G157="",1,G157),基本信息!$C$11,基本信息!$C$34,1),"")</f>
        <v/>
      </c>
    </row>
    <row r="158" spans="1:11" ht="19.5" customHeight="1">
      <c r="A158" s="46"/>
      <c r="B158" s="47"/>
      <c r="C158" s="46"/>
      <c r="D158" s="46"/>
      <c r="E158" s="46"/>
      <c r="J158" s="44" t="str">
        <f>IFERROR(BaoLiuXiaoShuWei(AVERAGE(H158:I158),2),"")</f>
        <v/>
      </c>
      <c r="K158" s="50" t="str">
        <f>IFERROR(XiuYueXiaoShu(IF(J158="","",(J158-基本信息!$B$28)/基本信息!$B$29)*(基本信息!$C$9)/F158/1000*IF(G158="",1,G158),基本信息!$C$11,基本信息!$C$34,1),"")</f>
        <v/>
      </c>
    </row>
    <row r="159" spans="1:11" ht="19.5" customHeight="1">
      <c r="A159" s="46"/>
      <c r="B159" s="47"/>
      <c r="C159" s="46"/>
      <c r="D159" s="46"/>
      <c r="E159" s="46"/>
      <c r="J159" s="44" t="str">
        <f>IFERROR(BaoLiuXiaoShuWei(AVERAGE(H159:I159),2),"")</f>
        <v/>
      </c>
      <c r="K159" s="50" t="str">
        <f>IFERROR(XiuYueXiaoShu(IF(J159="","",(J159-基本信息!$B$28)/基本信息!$B$29)*(基本信息!$C$9)/F159/1000*IF(G159="",1,G159),基本信息!$C$11,基本信息!$C$34,1),"")</f>
        <v/>
      </c>
    </row>
    <row r="160" spans="1:11" ht="19.5" customHeight="1">
      <c r="A160" s="46"/>
      <c r="B160" s="47"/>
      <c r="C160" s="46"/>
      <c r="D160" s="46"/>
      <c r="E160" s="46"/>
      <c r="J160" s="44" t="str">
        <f>IFERROR(BaoLiuXiaoShuWei(AVERAGE(H160:I160),2),"")</f>
        <v/>
      </c>
      <c r="K160" s="50" t="str">
        <f>IFERROR(XiuYueXiaoShu(IF(J160="","",(J160-基本信息!$B$28)/基本信息!$B$29)*(基本信息!$C$9)/F160/1000*IF(G160="",1,G160),基本信息!$C$11,基本信息!$C$34,1),"")</f>
        <v/>
      </c>
    </row>
    <row r="161" spans="1:11" ht="19.5" customHeight="1">
      <c r="A161" s="46"/>
      <c r="B161" s="47"/>
      <c r="C161" s="46"/>
      <c r="D161" s="46"/>
      <c r="E161" s="46"/>
      <c r="J161" s="44" t="str">
        <f>IFERROR(BaoLiuXiaoShuWei(AVERAGE(H161:I161),2),"")</f>
        <v/>
      </c>
      <c r="K161" s="50" t="str">
        <f>IFERROR(XiuYueXiaoShu(IF(J161="","",(J161-基本信息!$B$28)/基本信息!$B$29)*(基本信息!$C$9)/F161/1000*IF(G161="",1,G161),基本信息!$C$11,基本信息!$C$34,1),"")</f>
        <v/>
      </c>
    </row>
    <row r="162" spans="1:11" ht="19.5" customHeight="1">
      <c r="A162" s="46"/>
      <c r="B162" s="47"/>
      <c r="C162" s="46"/>
      <c r="D162" s="46"/>
      <c r="E162" s="46"/>
      <c r="J162" s="44" t="str">
        <f>IFERROR(BaoLiuXiaoShuWei(AVERAGE(H162:I162),2),"")</f>
        <v/>
      </c>
      <c r="K162" s="50" t="str">
        <f>IFERROR(XiuYueXiaoShu(IF(J162="","",(J162-基本信息!$B$28)/基本信息!$B$29)*(基本信息!$C$9)/F162/1000*IF(G162="",1,G162),基本信息!$C$11,基本信息!$C$34,1),"")</f>
        <v/>
      </c>
    </row>
    <row r="163" spans="1:11" ht="19.5" customHeight="1">
      <c r="A163" s="46"/>
      <c r="B163" s="47"/>
      <c r="C163" s="46"/>
      <c r="D163" s="46"/>
      <c r="E163" s="46"/>
      <c r="J163" s="44" t="str">
        <f>IFERROR(BaoLiuXiaoShuWei(AVERAGE(H163:I163),2),"")</f>
        <v/>
      </c>
      <c r="K163" s="50" t="str">
        <f>IFERROR(XiuYueXiaoShu(IF(J163="","",(J163-基本信息!$B$28)/基本信息!$B$29)*(基本信息!$C$9)/F163/1000*IF(G163="",1,G163),基本信息!$C$11,基本信息!$C$34,1),"")</f>
        <v/>
      </c>
    </row>
    <row r="164" spans="1:11" ht="19.5" customHeight="1">
      <c r="A164" s="46"/>
      <c r="B164" s="47"/>
      <c r="C164" s="46"/>
      <c r="D164" s="46"/>
      <c r="E164" s="46"/>
      <c r="J164" s="44" t="str">
        <f>IFERROR(BaoLiuXiaoShuWei(AVERAGE(H164:I164),2),"")</f>
        <v/>
      </c>
      <c r="K164" s="50" t="str">
        <f>IFERROR(XiuYueXiaoShu(IF(J164="","",(J164-基本信息!$B$28)/基本信息!$B$29)*(基本信息!$C$9)/F164/1000*IF(G164="",1,G164),基本信息!$C$11,基本信息!$C$34,1),"")</f>
        <v/>
      </c>
    </row>
    <row r="165" spans="1:11" ht="19.5" customHeight="1">
      <c r="A165" s="46"/>
      <c r="B165" s="47"/>
      <c r="C165" s="46"/>
      <c r="D165" s="46"/>
      <c r="E165" s="46"/>
      <c r="J165" s="44" t="str">
        <f>IFERROR(BaoLiuXiaoShuWei(AVERAGE(H165:I165),2),"")</f>
        <v/>
      </c>
      <c r="K165" s="50" t="str">
        <f>IFERROR(XiuYueXiaoShu(IF(J165="","",(J165-基本信息!$B$28)/基本信息!$B$29)*(基本信息!$C$9)/F165/1000*IF(G165="",1,G165),基本信息!$C$11,基本信息!$C$34,1),"")</f>
        <v/>
      </c>
    </row>
    <row r="166" spans="1:11" ht="19.5" customHeight="1">
      <c r="A166" s="46"/>
      <c r="B166" s="47"/>
      <c r="C166" s="46"/>
      <c r="D166" s="46"/>
      <c r="E166" s="46"/>
      <c r="J166" s="44" t="str">
        <f>IFERROR(BaoLiuXiaoShuWei(AVERAGE(H166:I166),2),"")</f>
        <v/>
      </c>
      <c r="K166" s="50" t="str">
        <f>IFERROR(XiuYueXiaoShu(IF(J166="","",(J166-基本信息!$B$28)/基本信息!$B$29)*(基本信息!$C$9)/F166/1000*IF(G166="",1,G166),基本信息!$C$11,基本信息!$C$34,1),"")</f>
        <v/>
      </c>
    </row>
    <row r="167" spans="1:11" ht="19.5" customHeight="1">
      <c r="A167" s="46"/>
      <c r="B167" s="47"/>
      <c r="C167" s="46"/>
      <c r="D167" s="46"/>
      <c r="E167" s="46"/>
      <c r="J167" s="44" t="str">
        <f>IFERROR(BaoLiuXiaoShuWei(AVERAGE(H167:I167),2),"")</f>
        <v/>
      </c>
      <c r="K167" s="50" t="str">
        <f>IFERROR(XiuYueXiaoShu(IF(J167="","",(J167-基本信息!$B$28)/基本信息!$B$29)*(基本信息!$C$9)/F167/1000*IF(G167="",1,G167),基本信息!$C$11,基本信息!$C$34,1),"")</f>
        <v/>
      </c>
    </row>
    <row r="168" spans="1:11" ht="19.5" customHeight="1">
      <c r="A168" s="46"/>
      <c r="B168" s="47"/>
      <c r="C168" s="46"/>
      <c r="D168" s="46"/>
      <c r="E168" s="46"/>
      <c r="J168" s="44" t="str">
        <f>IFERROR(BaoLiuXiaoShuWei(AVERAGE(H168:I168),2),"")</f>
        <v/>
      </c>
      <c r="K168" s="50" t="str">
        <f>IFERROR(XiuYueXiaoShu(IF(J168="","",(J168-基本信息!$B$28)/基本信息!$B$29)*(基本信息!$C$9)/F168/1000*IF(G168="",1,G168),基本信息!$C$11,基本信息!$C$34,1),"")</f>
        <v/>
      </c>
    </row>
    <row r="169" spans="1:11" ht="19.5" customHeight="1">
      <c r="A169" s="46"/>
      <c r="B169" s="47"/>
      <c r="C169" s="46"/>
      <c r="D169" s="46"/>
      <c r="E169" s="46"/>
      <c r="J169" s="44" t="str">
        <f>IFERROR(BaoLiuXiaoShuWei(AVERAGE(H169:I169),2),"")</f>
        <v/>
      </c>
      <c r="K169" s="50" t="str">
        <f>IFERROR(XiuYueXiaoShu(IF(J169="","",(J169-基本信息!$B$28)/基本信息!$B$29)*(基本信息!$C$9)/F169/1000*IF(G169="",1,G169),基本信息!$C$11,基本信息!$C$34,1),"")</f>
        <v/>
      </c>
    </row>
    <row r="170" spans="1:11" ht="19.5" customHeight="1">
      <c r="A170" s="46"/>
      <c r="B170" s="47"/>
      <c r="C170" s="46"/>
      <c r="D170" s="46"/>
      <c r="E170" s="46"/>
      <c r="J170" s="44" t="str">
        <f>IFERROR(BaoLiuXiaoShuWei(AVERAGE(H170:I170),2),"")</f>
        <v/>
      </c>
      <c r="K170" s="50" t="str">
        <f>IFERROR(XiuYueXiaoShu(IF(J170="","",(J170-基本信息!$B$28)/基本信息!$B$29)*(基本信息!$C$9)/F170/1000*IF(G170="",1,G170),基本信息!$C$11,基本信息!$C$34,1),"")</f>
        <v/>
      </c>
    </row>
    <row r="171" spans="1:11" ht="19.5" customHeight="1">
      <c r="A171" s="46"/>
      <c r="B171" s="47"/>
      <c r="C171" s="46"/>
      <c r="D171" s="46"/>
      <c r="E171" s="46"/>
      <c r="J171" s="44" t="str">
        <f>IFERROR(BaoLiuXiaoShuWei(AVERAGE(H171:I171),2),"")</f>
        <v/>
      </c>
      <c r="K171" s="50" t="str">
        <f>IFERROR(XiuYueXiaoShu(IF(J171="","",(J171-基本信息!$B$28)/基本信息!$B$29)*(基本信息!$C$9)/F171/1000*IF(G171="",1,G171),基本信息!$C$11,基本信息!$C$34,1),"")</f>
        <v/>
      </c>
    </row>
    <row r="172" spans="1:11" ht="19.5" customHeight="1">
      <c r="A172" s="46"/>
      <c r="B172" s="47"/>
      <c r="C172" s="46"/>
      <c r="D172" s="46"/>
      <c r="E172" s="46"/>
      <c r="J172" s="44" t="str">
        <f>IFERROR(BaoLiuXiaoShuWei(AVERAGE(H172:I172),2),"")</f>
        <v/>
      </c>
      <c r="K172" s="50" t="str">
        <f>IFERROR(XiuYueXiaoShu(IF(J172="","",(J172-基本信息!$B$28)/基本信息!$B$29)*(基本信息!$C$9)/F172/1000*IF(G172="",1,G172),基本信息!$C$11,基本信息!$C$34,1),"")</f>
        <v/>
      </c>
    </row>
    <row r="173" spans="1:11" ht="19.5" customHeight="1">
      <c r="A173" s="46"/>
      <c r="B173" s="47"/>
      <c r="C173" s="46"/>
      <c r="D173" s="46"/>
      <c r="E173" s="46"/>
      <c r="J173" s="44" t="str">
        <f>IFERROR(BaoLiuXiaoShuWei(AVERAGE(H173:I173),2),"")</f>
        <v/>
      </c>
      <c r="K173" s="50" t="str">
        <f>IFERROR(XiuYueXiaoShu(IF(J173="","",(J173-基本信息!$B$28)/基本信息!$B$29)*(基本信息!$C$9)/F173/1000*IF(G173="",1,G173),基本信息!$C$11,基本信息!$C$34,1),"")</f>
        <v/>
      </c>
    </row>
    <row r="174" spans="1:11" ht="19.5" customHeight="1">
      <c r="A174" s="46"/>
      <c r="B174" s="47"/>
      <c r="C174" s="46"/>
      <c r="D174" s="46"/>
      <c r="E174" s="46"/>
      <c r="J174" s="44" t="str">
        <f>IFERROR(BaoLiuXiaoShuWei(AVERAGE(H174:I174),2),"")</f>
        <v/>
      </c>
      <c r="K174" s="50" t="str">
        <f>IFERROR(XiuYueXiaoShu(IF(J174="","",(J174-基本信息!$B$28)/基本信息!$B$29)*(基本信息!$C$9)/F174/1000*IF(G174="",1,G174),基本信息!$C$11,基本信息!$C$34,1),"")</f>
        <v/>
      </c>
    </row>
    <row r="175" spans="1:11" ht="19.5" customHeight="1">
      <c r="A175" s="46"/>
      <c r="B175" s="47"/>
      <c r="C175" s="46"/>
      <c r="D175" s="46"/>
      <c r="E175" s="46"/>
      <c r="J175" s="44" t="str">
        <f>IFERROR(BaoLiuXiaoShuWei(AVERAGE(H175:I175),2),"")</f>
        <v/>
      </c>
      <c r="K175" s="50" t="str">
        <f>IFERROR(XiuYueXiaoShu(IF(J175="","",(J175-基本信息!$B$28)/基本信息!$B$29)*(基本信息!$C$9)/F175/1000*IF(G175="",1,G175),基本信息!$C$11,基本信息!$C$34,1),"")</f>
        <v/>
      </c>
    </row>
    <row r="176" spans="1:11" ht="19.5" customHeight="1">
      <c r="A176" s="46"/>
      <c r="B176" s="47"/>
      <c r="C176" s="46"/>
      <c r="D176" s="46"/>
      <c r="E176" s="46"/>
      <c r="J176" s="44" t="str">
        <f>IFERROR(BaoLiuXiaoShuWei(AVERAGE(H176:I176),2),"")</f>
        <v/>
      </c>
      <c r="K176" s="50" t="str">
        <f>IFERROR(XiuYueXiaoShu(IF(J176="","",(J176-基本信息!$B$28)/基本信息!$B$29)*(基本信息!$C$9)/F176/1000*IF(G176="",1,G176),基本信息!$C$11,基本信息!$C$34,1),"")</f>
        <v/>
      </c>
    </row>
    <row r="177" spans="1:11" ht="19.5" customHeight="1">
      <c r="A177" s="46"/>
      <c r="B177" s="47"/>
      <c r="C177" s="46"/>
      <c r="D177" s="46"/>
      <c r="E177" s="46"/>
      <c r="J177" s="44" t="str">
        <f>IFERROR(BaoLiuXiaoShuWei(AVERAGE(H177:I177),2),"")</f>
        <v/>
      </c>
      <c r="K177" s="50" t="str">
        <f>IFERROR(XiuYueXiaoShu(IF(J177="","",(J177-基本信息!$B$28)/基本信息!$B$29)*(基本信息!$C$9)/F177/1000*IF(G177="",1,G177),基本信息!$C$11,基本信息!$C$34,1),"")</f>
        <v/>
      </c>
    </row>
    <row r="178" spans="1:11" ht="19.5" customHeight="1">
      <c r="A178" s="46"/>
      <c r="B178" s="47"/>
      <c r="C178" s="46"/>
      <c r="D178" s="46"/>
      <c r="E178" s="46"/>
      <c r="J178" s="44" t="str">
        <f>IFERROR(BaoLiuXiaoShuWei(AVERAGE(H178:I178),2),"")</f>
        <v/>
      </c>
      <c r="K178" s="50" t="str">
        <f>IFERROR(XiuYueXiaoShu(IF(J178="","",(J178-基本信息!$B$28)/基本信息!$B$29)*(基本信息!$C$9)/F178/1000*IF(G178="",1,G178),基本信息!$C$11,基本信息!$C$34,1),"")</f>
        <v/>
      </c>
    </row>
    <row r="179" spans="1:11" ht="19.5" customHeight="1">
      <c r="A179" s="46"/>
      <c r="B179" s="47"/>
      <c r="C179" s="46"/>
      <c r="D179" s="46"/>
      <c r="E179" s="46"/>
      <c r="J179" s="44" t="str">
        <f>IFERROR(BaoLiuXiaoShuWei(AVERAGE(H179:I179),2),"")</f>
        <v/>
      </c>
      <c r="K179" s="50" t="str">
        <f>IFERROR(XiuYueXiaoShu(IF(J179="","",(J179-基本信息!$B$28)/基本信息!$B$29)*(基本信息!$C$9)/F179/1000*IF(G179="",1,G179),基本信息!$C$11,基本信息!$C$34,1),"")</f>
        <v/>
      </c>
    </row>
    <row r="180" spans="1:11" ht="19.5" customHeight="1">
      <c r="A180" s="46"/>
      <c r="B180" s="47"/>
      <c r="C180" s="46"/>
      <c r="D180" s="46"/>
      <c r="E180" s="46"/>
      <c r="J180" s="44" t="str">
        <f>IFERROR(BaoLiuXiaoShuWei(AVERAGE(H180:I180),2),"")</f>
        <v/>
      </c>
      <c r="K180" s="50" t="str">
        <f>IFERROR(XiuYueXiaoShu(IF(J180="","",(J180-基本信息!$B$28)/基本信息!$B$29)*(基本信息!$C$9)/F180/1000*IF(G180="",1,G180),基本信息!$C$11,基本信息!$C$34,1),"")</f>
        <v/>
      </c>
    </row>
    <row r="181" spans="1:11" ht="19.5" customHeight="1">
      <c r="A181" s="46"/>
      <c r="B181" s="47"/>
      <c r="C181" s="46"/>
      <c r="D181" s="46"/>
      <c r="E181" s="46"/>
      <c r="J181" s="44" t="str">
        <f>IFERROR(BaoLiuXiaoShuWei(AVERAGE(H181:I181),2),"")</f>
        <v/>
      </c>
      <c r="K181" s="50" t="str">
        <f>IFERROR(XiuYueXiaoShu(IF(J181="","",(J181-基本信息!$B$28)/基本信息!$B$29)*(基本信息!$C$9)/F181/1000*IF(G181="",1,G181),基本信息!$C$11,基本信息!$C$34,1),"")</f>
        <v/>
      </c>
    </row>
    <row r="182" spans="1:11" ht="19.5" customHeight="1">
      <c r="A182" s="46"/>
      <c r="B182" s="47"/>
      <c r="C182" s="46"/>
      <c r="D182" s="46"/>
      <c r="E182" s="46"/>
      <c r="J182" s="44" t="str">
        <f>IFERROR(BaoLiuXiaoShuWei(AVERAGE(H182:I182),2),"")</f>
        <v/>
      </c>
      <c r="K182" s="50" t="str">
        <f>IFERROR(XiuYueXiaoShu(IF(J182="","",(J182-基本信息!$B$28)/基本信息!$B$29)*(基本信息!$C$9)/F182/1000*IF(G182="",1,G182),基本信息!$C$11,基本信息!$C$34,1),"")</f>
        <v/>
      </c>
    </row>
    <row r="183" spans="1:11" ht="19.5" customHeight="1">
      <c r="A183" s="46"/>
      <c r="B183" s="47"/>
      <c r="C183" s="46"/>
      <c r="D183" s="46"/>
      <c r="E183" s="46"/>
      <c r="J183" s="44" t="str">
        <f>IFERROR(BaoLiuXiaoShuWei(AVERAGE(H183:I183),2),"")</f>
        <v/>
      </c>
      <c r="K183" s="50" t="str">
        <f>IFERROR(XiuYueXiaoShu(IF(J183="","",(J183-基本信息!$B$28)/基本信息!$B$29)*(基本信息!$C$9)/F183/1000*IF(G183="",1,G183),基本信息!$C$11,基本信息!$C$34,1),"")</f>
        <v/>
      </c>
    </row>
    <row r="184" spans="1:11" ht="19.5" customHeight="1">
      <c r="A184" s="46"/>
      <c r="B184" s="47"/>
      <c r="C184" s="46"/>
      <c r="D184" s="46"/>
      <c r="E184" s="46"/>
      <c r="J184" s="44" t="str">
        <f>IFERROR(BaoLiuXiaoShuWei(AVERAGE(H184:I184),2),"")</f>
        <v/>
      </c>
      <c r="K184" s="50" t="str">
        <f>IFERROR(XiuYueXiaoShu(IF(J184="","",(J184-基本信息!$B$28)/基本信息!$B$29)*(基本信息!$C$9)/F184/1000*IF(G184="",1,G184),基本信息!$C$11,基本信息!$C$34,1),"")</f>
        <v/>
      </c>
    </row>
    <row r="185" spans="1:11" ht="19.5" customHeight="1">
      <c r="A185" s="46"/>
      <c r="B185" s="47"/>
      <c r="C185" s="46"/>
      <c r="D185" s="46"/>
      <c r="E185" s="46"/>
      <c r="J185" s="44" t="str">
        <f>IFERROR(BaoLiuXiaoShuWei(AVERAGE(H185:I185),2),"")</f>
        <v/>
      </c>
      <c r="K185" s="50" t="str">
        <f>IFERROR(XiuYueXiaoShu(IF(J185="","",(J185-基本信息!$B$28)/基本信息!$B$29)*(基本信息!$C$9)/F185/1000*IF(G185="",1,G185),基本信息!$C$11,基本信息!$C$34,1),"")</f>
        <v/>
      </c>
    </row>
    <row r="186" spans="1:11" ht="19.5" customHeight="1">
      <c r="A186" s="46"/>
      <c r="B186" s="47"/>
      <c r="C186" s="46"/>
      <c r="D186" s="46"/>
      <c r="E186" s="46"/>
      <c r="J186" s="44" t="str">
        <f>IFERROR(BaoLiuXiaoShuWei(AVERAGE(H186:I186),2),"")</f>
        <v/>
      </c>
      <c r="K186" s="50" t="str">
        <f>IFERROR(XiuYueXiaoShu(IF(J186="","",(J186-基本信息!$B$28)/基本信息!$B$29)*(基本信息!$C$9)/F186/1000*IF(G186="",1,G186),基本信息!$C$11,基本信息!$C$34,1),"")</f>
        <v/>
      </c>
    </row>
    <row r="187" spans="1:11" ht="19.5" customHeight="1">
      <c r="A187" s="46"/>
      <c r="B187" s="47"/>
      <c r="C187" s="46"/>
      <c r="D187" s="46"/>
      <c r="E187" s="46"/>
      <c r="J187" s="44" t="str">
        <f>IFERROR(BaoLiuXiaoShuWei(AVERAGE(H187:I187),2),"")</f>
        <v/>
      </c>
      <c r="K187" s="50" t="str">
        <f>IFERROR(XiuYueXiaoShu(IF(J187="","",(J187-基本信息!$B$28)/基本信息!$B$29)*(基本信息!$C$9)/F187/1000*IF(G187="",1,G187),基本信息!$C$11,基本信息!$C$34,1),"")</f>
        <v/>
      </c>
    </row>
    <row r="188" spans="1:11" ht="19.5" customHeight="1">
      <c r="A188" s="46"/>
      <c r="B188" s="47"/>
      <c r="C188" s="46"/>
      <c r="D188" s="46"/>
      <c r="E188" s="46"/>
      <c r="J188" s="44" t="str">
        <f>IFERROR(BaoLiuXiaoShuWei(AVERAGE(H188:I188),2),"")</f>
        <v/>
      </c>
      <c r="K188" s="50" t="str">
        <f>IFERROR(XiuYueXiaoShu(IF(J188="","",(J188-基本信息!$B$28)/基本信息!$B$29)*(基本信息!$C$9)/F188/1000*IF(G188="",1,G188),基本信息!$C$11,基本信息!$C$34,1),"")</f>
        <v/>
      </c>
    </row>
    <row r="189" spans="1:11" ht="19.5" customHeight="1">
      <c r="A189" s="46"/>
      <c r="B189" s="47"/>
      <c r="C189" s="46"/>
      <c r="D189" s="46"/>
      <c r="E189" s="46"/>
      <c r="J189" s="44" t="str">
        <f>IFERROR(BaoLiuXiaoShuWei(AVERAGE(H189:I189),2),"")</f>
        <v/>
      </c>
      <c r="K189" s="50" t="str">
        <f>IFERROR(XiuYueXiaoShu(IF(J189="","",(J189-基本信息!$B$28)/基本信息!$B$29)*(基本信息!$C$9)/F189/1000*IF(G189="",1,G189),基本信息!$C$11,基本信息!$C$34,1),"")</f>
        <v/>
      </c>
    </row>
    <row r="190" spans="1:11" ht="19.5" customHeight="1">
      <c r="A190" s="46"/>
      <c r="B190" s="47"/>
      <c r="C190" s="46"/>
      <c r="D190" s="46"/>
      <c r="E190" s="46"/>
      <c r="J190" s="44" t="str">
        <f>IFERROR(BaoLiuXiaoShuWei(AVERAGE(H190:I190),2),"")</f>
        <v/>
      </c>
      <c r="K190" s="50" t="str">
        <f>IFERROR(XiuYueXiaoShu(IF(J190="","",(J190-基本信息!$B$28)/基本信息!$B$29)*(基本信息!$C$9)/F190/1000*IF(G190="",1,G190),基本信息!$C$11,基本信息!$C$34,1),"")</f>
        <v/>
      </c>
    </row>
    <row r="191" spans="1:11" ht="19.5" customHeight="1">
      <c r="A191" s="46"/>
      <c r="B191" s="47"/>
      <c r="C191" s="46"/>
      <c r="D191" s="46"/>
      <c r="E191" s="46"/>
      <c r="J191" s="44" t="str">
        <f>IFERROR(BaoLiuXiaoShuWei(AVERAGE(H191:I191),2),"")</f>
        <v/>
      </c>
      <c r="K191" s="50" t="str">
        <f>IFERROR(XiuYueXiaoShu(IF(J191="","",(J191-基本信息!$B$28)/基本信息!$B$29)*(基本信息!$C$9)/F191/1000*IF(G191="",1,G191),基本信息!$C$11,基本信息!$C$34,1),"")</f>
        <v/>
      </c>
    </row>
    <row r="192" spans="1:11" ht="19.5" customHeight="1">
      <c r="A192" s="46"/>
      <c r="B192" s="47"/>
      <c r="C192" s="46"/>
      <c r="D192" s="46"/>
      <c r="E192" s="46"/>
      <c r="J192" s="44" t="str">
        <f>IFERROR(BaoLiuXiaoShuWei(AVERAGE(H192:I192),2),"")</f>
        <v/>
      </c>
      <c r="K192" s="50" t="str">
        <f>IFERROR(XiuYueXiaoShu(IF(J192="","",(J192-基本信息!$B$28)/基本信息!$B$29)*(基本信息!$C$9)/F192/1000*IF(G192="",1,G192),基本信息!$C$11,基本信息!$C$34,1),"")</f>
        <v/>
      </c>
    </row>
    <row r="193" spans="1:11" ht="19.5" customHeight="1">
      <c r="A193" s="46"/>
      <c r="B193" s="47"/>
      <c r="C193" s="46"/>
      <c r="D193" s="46"/>
      <c r="E193" s="46"/>
      <c r="J193" s="44" t="str">
        <f>IFERROR(BaoLiuXiaoShuWei(AVERAGE(H193:I193),2),"")</f>
        <v/>
      </c>
      <c r="K193" s="50" t="str">
        <f>IFERROR(XiuYueXiaoShu(IF(J193="","",(J193-基本信息!$B$28)/基本信息!$B$29)*(基本信息!$C$9)/F193/1000*IF(G193="",1,G193),基本信息!$C$11,基本信息!$C$34,1),"")</f>
        <v/>
      </c>
    </row>
    <row r="194" spans="1:11" ht="19.5" customHeight="1">
      <c r="A194" s="46"/>
      <c r="B194" s="47"/>
      <c r="C194" s="46"/>
      <c r="D194" s="46"/>
      <c r="E194" s="46"/>
      <c r="J194" s="44" t="str">
        <f>IFERROR(BaoLiuXiaoShuWei(AVERAGE(H194:I194),2),"")</f>
        <v/>
      </c>
      <c r="K194" s="50" t="str">
        <f>IFERROR(XiuYueXiaoShu(IF(J194="","",(J194-基本信息!$B$28)/基本信息!$B$29)*(基本信息!$C$9)/F194/1000*IF(G194="",1,G194),基本信息!$C$11,基本信息!$C$34,1),"")</f>
        <v/>
      </c>
    </row>
    <row r="195" spans="1:11" ht="19.5" customHeight="1">
      <c r="A195" s="46"/>
      <c r="B195" s="47"/>
      <c r="C195" s="46"/>
      <c r="D195" s="46"/>
      <c r="E195" s="46"/>
      <c r="J195" s="44" t="str">
        <f>IFERROR(BaoLiuXiaoShuWei(AVERAGE(H195:I195),2),"")</f>
        <v/>
      </c>
      <c r="K195" s="50" t="str">
        <f>IFERROR(XiuYueXiaoShu(IF(J195="","",(J195-基本信息!$B$28)/基本信息!$B$29)*(基本信息!$C$9)/F195/1000*IF(G195="",1,G195),基本信息!$C$11,基本信息!$C$34,1),"")</f>
        <v/>
      </c>
    </row>
    <row r="196" spans="1:11" ht="19.5" customHeight="1">
      <c r="A196" s="46"/>
      <c r="B196" s="47"/>
      <c r="C196" s="46"/>
      <c r="D196" s="46"/>
      <c r="E196" s="46"/>
      <c r="J196" s="44" t="str">
        <f>IFERROR(BaoLiuXiaoShuWei(AVERAGE(H196:I196),2),"")</f>
        <v/>
      </c>
      <c r="K196" s="50" t="str">
        <f>IFERROR(XiuYueXiaoShu(IF(J196="","",(J196-基本信息!$B$28)/基本信息!$B$29)*(基本信息!$C$9)/F196/1000*IF(G196="",1,G196),基本信息!$C$11,基本信息!$C$34,1),"")</f>
        <v/>
      </c>
    </row>
    <row r="197" spans="1:11" ht="19.5" customHeight="1">
      <c r="A197" s="46"/>
      <c r="B197" s="47"/>
      <c r="C197" s="46"/>
      <c r="D197" s="46"/>
      <c r="E197" s="46"/>
      <c r="J197" s="44" t="str">
        <f>IFERROR(BaoLiuXiaoShuWei(AVERAGE(H197:I197),2),"")</f>
        <v/>
      </c>
      <c r="K197" s="50" t="str">
        <f>IFERROR(XiuYueXiaoShu(IF(J197="","",(J197-基本信息!$B$28)/基本信息!$B$29)*(基本信息!$C$9)/F197/1000*IF(G197="",1,G197),基本信息!$C$11,基本信息!$C$34,1),"")</f>
        <v/>
      </c>
    </row>
    <row r="198" spans="1:11" ht="19.5" customHeight="1">
      <c r="A198" s="46"/>
      <c r="B198" s="47"/>
      <c r="C198" s="46"/>
      <c r="D198" s="46"/>
      <c r="E198" s="46"/>
      <c r="J198" s="44" t="str">
        <f>IFERROR(BaoLiuXiaoShuWei(AVERAGE(H198:I198),2),"")</f>
        <v/>
      </c>
      <c r="K198" s="50" t="str">
        <f>IFERROR(XiuYueXiaoShu(IF(J198="","",(J198-基本信息!$B$28)/基本信息!$B$29)*(基本信息!$C$9)/F198/1000*IF(G198="",1,G198),基本信息!$C$11,基本信息!$C$34,1),"")</f>
        <v/>
      </c>
    </row>
    <row r="199" spans="1:11" ht="19.5" customHeight="1">
      <c r="A199" s="46"/>
      <c r="B199" s="47"/>
      <c r="C199" s="46"/>
      <c r="D199" s="46"/>
      <c r="E199" s="46"/>
      <c r="J199" s="44" t="str">
        <f>IFERROR(BaoLiuXiaoShuWei(AVERAGE(H199:I199),2),"")</f>
        <v/>
      </c>
      <c r="K199" s="50" t="str">
        <f>IFERROR(XiuYueXiaoShu(IF(J199="","",(J199-基本信息!$B$28)/基本信息!$B$29)*(基本信息!$C$9)/F199/1000*IF(G199="",1,G199),基本信息!$C$11,基本信息!$C$34,1),"")</f>
        <v/>
      </c>
    </row>
    <row r="200" spans="1:11" ht="19.5" customHeight="1">
      <c r="A200" s="46"/>
      <c r="B200" s="47"/>
      <c r="C200" s="46"/>
      <c r="D200" s="46"/>
      <c r="E200" s="46"/>
      <c r="J200" s="44" t="str">
        <f>IFERROR(BaoLiuXiaoShuWei(AVERAGE(H200:I200),2),"")</f>
        <v/>
      </c>
      <c r="K200" s="50" t="str">
        <f>IFERROR(XiuYueXiaoShu(IF(J200="","",(J200-基本信息!$B$28)/基本信息!$B$29)*(基本信息!$C$9)/F200/1000*IF(G200="",1,G200),基本信息!$C$11,基本信息!$C$34,1),"")</f>
        <v/>
      </c>
    </row>
    <row r="201" spans="1:11" ht="19.5" customHeight="1">
      <c r="A201" s="46"/>
      <c r="B201" s="47"/>
      <c r="C201" s="46"/>
      <c r="D201" s="46"/>
      <c r="E201" s="46"/>
      <c r="J201" s="44" t="str">
        <f>IFERROR(BaoLiuXiaoShuWei(AVERAGE(H201:I201),2),"")</f>
        <v/>
      </c>
      <c r="K201" s="50" t="str">
        <f>IFERROR(XiuYueXiaoShu(IF(J201="","",(J201-基本信息!$B$28)/基本信息!$B$29)*(基本信息!$C$9)/F201/1000*IF(G201="",1,G201),基本信息!$C$11,基本信息!$C$34,1),"")</f>
        <v/>
      </c>
    </row>
    <row r="202" spans="1:11" ht="19.5" customHeight="1">
      <c r="A202" s="46"/>
      <c r="B202" s="47"/>
      <c r="C202" s="46"/>
      <c r="D202" s="46"/>
      <c r="E202" s="46"/>
      <c r="J202" s="44" t="str">
        <f>IFERROR(BaoLiuXiaoShuWei(AVERAGE(H202:I202),2),"")</f>
        <v/>
      </c>
      <c r="K202" s="50" t="str">
        <f>IFERROR(XiuYueXiaoShu(IF(J202="","",(J202-基本信息!$B$28)/基本信息!$B$29)*(基本信息!$C$9)/F202/1000*IF(G202="",1,G202),基本信息!$C$11,基本信息!$C$34,1),"")</f>
        <v/>
      </c>
    </row>
    <row r="203" spans="1:11" ht="19.5" customHeight="1">
      <c r="A203" s="46"/>
      <c r="B203" s="47"/>
      <c r="C203" s="46"/>
      <c r="D203" s="46"/>
      <c r="E203" s="46"/>
      <c r="J203" s="44" t="str">
        <f>IFERROR(BaoLiuXiaoShuWei(AVERAGE(H203:I203),2),"")</f>
        <v/>
      </c>
      <c r="K203" s="50" t="str">
        <f>IFERROR(XiuYueXiaoShu(IF(J203="","",(J203-基本信息!$B$28)/基本信息!$B$29)*(基本信息!$C$9)/F203/1000*IF(G203="",1,G203),基本信息!$C$11,基本信息!$C$34,1),"")</f>
        <v/>
      </c>
    </row>
    <row r="204" spans="1:11" ht="19.5" customHeight="1">
      <c r="A204" s="46"/>
      <c r="B204" s="47"/>
      <c r="C204" s="46"/>
      <c r="D204" s="46"/>
      <c r="E204" s="46"/>
      <c r="J204" s="44" t="str">
        <f>IFERROR(BaoLiuXiaoShuWei(AVERAGE(H204:I204),2),"")</f>
        <v/>
      </c>
      <c r="K204" s="50" t="str">
        <f>IFERROR(XiuYueXiaoShu(IF(J204="","",(J204-基本信息!$B$28)/基本信息!$B$29)*(基本信息!$C$9)/F204/1000*IF(G204="",1,G204),基本信息!$C$11,基本信息!$C$34,1),"")</f>
        <v/>
      </c>
    </row>
    <row r="205" spans="1:11" ht="19.5" customHeight="1">
      <c r="A205" s="46"/>
      <c r="B205" s="47"/>
      <c r="C205" s="46"/>
      <c r="D205" s="46"/>
      <c r="E205" s="46"/>
      <c r="J205" s="44" t="str">
        <f>IFERROR(BaoLiuXiaoShuWei(AVERAGE(H205:I205),2),"")</f>
        <v/>
      </c>
      <c r="K205" s="50" t="str">
        <f>IFERROR(XiuYueXiaoShu(IF(J205="","",(J205-基本信息!$B$28)/基本信息!$B$29)*(基本信息!$C$9)/F205/1000*IF(G205="",1,G205),基本信息!$C$11,基本信息!$C$34,1),"")</f>
        <v/>
      </c>
    </row>
    <row r="206" spans="1:11" ht="19.5" customHeight="1">
      <c r="A206" s="46"/>
      <c r="B206" s="47"/>
      <c r="C206" s="46"/>
      <c r="D206" s="46"/>
      <c r="E206" s="46"/>
      <c r="J206" s="44" t="str">
        <f>IFERROR(BaoLiuXiaoShuWei(AVERAGE(H206:I206),2),"")</f>
        <v/>
      </c>
      <c r="K206" s="50" t="str">
        <f>IFERROR(XiuYueXiaoShu(IF(J206="","",(J206-基本信息!$B$28)/基本信息!$B$29)*(基本信息!$C$9)/F206/1000*IF(G206="",1,G206),基本信息!$C$11,基本信息!$C$34,1),"")</f>
        <v/>
      </c>
    </row>
    <row r="207" spans="1:11" ht="19.5" customHeight="1">
      <c r="A207" s="46"/>
      <c r="B207" s="47"/>
      <c r="C207" s="46"/>
      <c r="D207" s="46"/>
      <c r="E207" s="46"/>
      <c r="J207" s="44" t="str">
        <f>IFERROR(BaoLiuXiaoShuWei(AVERAGE(H207:I207),2),"")</f>
        <v/>
      </c>
      <c r="K207" s="50" t="str">
        <f>IFERROR(XiuYueXiaoShu(IF(J207="","",(J207-基本信息!$B$28)/基本信息!$B$29)*(基本信息!$C$9)/F207/1000*IF(G207="",1,G207),基本信息!$C$11,基本信息!$C$34,1),"")</f>
        <v/>
      </c>
    </row>
    <row r="208" spans="1:11" ht="19.5" customHeight="1">
      <c r="A208" s="46"/>
      <c r="B208" s="47"/>
      <c r="C208" s="46"/>
      <c r="D208" s="46"/>
      <c r="E208" s="46"/>
      <c r="J208" s="44" t="str">
        <f>IFERROR(BaoLiuXiaoShuWei(AVERAGE(H208:I208),2),"")</f>
        <v/>
      </c>
      <c r="K208" s="50" t="str">
        <f>IFERROR(XiuYueXiaoShu(IF(J208="","",(J208-基本信息!$B$28)/基本信息!$B$29)*(基本信息!$C$9)/F208/1000*IF(G208="",1,G208),基本信息!$C$11,基本信息!$C$34,1),"")</f>
        <v/>
      </c>
    </row>
    <row r="209" spans="1:11" ht="19.5" customHeight="1">
      <c r="A209" s="46"/>
      <c r="B209" s="47"/>
      <c r="C209" s="46"/>
      <c r="D209" s="46"/>
      <c r="E209" s="46"/>
      <c r="J209" s="44" t="str">
        <f>IFERROR(BaoLiuXiaoShuWei(AVERAGE(H209:I209),2),"")</f>
        <v/>
      </c>
      <c r="K209" s="50" t="str">
        <f>IFERROR(XiuYueXiaoShu(IF(J209="","",(J209-基本信息!$B$28)/基本信息!$B$29)*(基本信息!$C$9)/F209/1000*IF(G209="",1,G209),基本信息!$C$11,基本信息!$C$34,1),"")</f>
        <v/>
      </c>
    </row>
    <row r="210" spans="1:11" ht="19.5" customHeight="1">
      <c r="A210" s="46"/>
      <c r="B210" s="47"/>
      <c r="C210" s="46"/>
      <c r="D210" s="46"/>
      <c r="E210" s="46"/>
      <c r="J210" s="44" t="str">
        <f>IFERROR(BaoLiuXiaoShuWei(AVERAGE(H210:I210),2),"")</f>
        <v/>
      </c>
      <c r="K210" s="50" t="str">
        <f>IFERROR(XiuYueXiaoShu(IF(J210="","",(J210-基本信息!$B$28)/基本信息!$B$29)*(基本信息!$C$9)/F210/1000*IF(G210="",1,G210),基本信息!$C$11,基本信息!$C$34,1),"")</f>
        <v/>
      </c>
    </row>
    <row r="211" spans="1:11" ht="19.5" customHeight="1">
      <c r="A211" s="46"/>
      <c r="B211" s="47"/>
      <c r="C211" s="46"/>
      <c r="D211" s="46"/>
      <c r="E211" s="46"/>
      <c r="J211" s="44" t="str">
        <f>IFERROR(BaoLiuXiaoShuWei(AVERAGE(H211:I211),2),"")</f>
        <v/>
      </c>
      <c r="K211" s="50" t="str">
        <f>IFERROR(XiuYueXiaoShu(IF(J211="","",(J211-基本信息!$B$28)/基本信息!$B$29)*(基本信息!$C$9)/F211/1000*IF(G211="",1,G211),基本信息!$C$11,基本信息!$C$34,1),"")</f>
        <v/>
      </c>
    </row>
    <row r="212" spans="1:11" ht="19.5" customHeight="1">
      <c r="A212" s="46"/>
      <c r="B212" s="47"/>
      <c r="C212" s="46"/>
      <c r="D212" s="46"/>
      <c r="E212" s="46"/>
      <c r="J212" s="44" t="str">
        <f>IFERROR(BaoLiuXiaoShuWei(AVERAGE(H212:I212),2),"")</f>
        <v/>
      </c>
      <c r="K212" s="50" t="str">
        <f>IFERROR(XiuYueXiaoShu(IF(J212="","",(J212-基本信息!$B$28)/基本信息!$B$29)*(基本信息!$C$9)/F212/1000*IF(G212="",1,G212),基本信息!$C$11,基本信息!$C$34,1),"")</f>
        <v/>
      </c>
    </row>
    <row r="213" spans="1:11" ht="19.5" customHeight="1">
      <c r="A213" s="46"/>
      <c r="B213" s="47"/>
      <c r="C213" s="46"/>
      <c r="D213" s="46"/>
      <c r="E213" s="46"/>
      <c r="J213" s="44" t="str">
        <f>IFERROR(BaoLiuXiaoShuWei(AVERAGE(H213:I213),2),"")</f>
        <v/>
      </c>
      <c r="K213" s="50" t="str">
        <f>IFERROR(XiuYueXiaoShu(IF(J213="","",(J213-基本信息!$B$28)/基本信息!$B$29)*(基本信息!$C$9)/F213/1000*IF(G213="",1,G213),基本信息!$C$11,基本信息!$C$34,1),"")</f>
        <v/>
      </c>
    </row>
    <row r="214" spans="1:11" ht="19.5" customHeight="1">
      <c r="A214" s="46"/>
      <c r="B214" s="47"/>
      <c r="C214" s="46"/>
      <c r="D214" s="46"/>
      <c r="E214" s="46"/>
      <c r="J214" s="44" t="str">
        <f>IFERROR(BaoLiuXiaoShuWei(AVERAGE(H214:I214),2),"")</f>
        <v/>
      </c>
      <c r="K214" s="50" t="str">
        <f>IFERROR(XiuYueXiaoShu(IF(J214="","",(J214-基本信息!$B$28)/基本信息!$B$29)*(基本信息!$C$9)/F214/1000*IF(G214="",1,G214),基本信息!$C$11,基本信息!$C$34,1),"")</f>
        <v/>
      </c>
    </row>
    <row r="215" spans="1:11" ht="19.5" customHeight="1">
      <c r="A215" s="46"/>
      <c r="B215" s="47"/>
      <c r="C215" s="46"/>
      <c r="D215" s="46"/>
      <c r="E215" s="46"/>
      <c r="J215" s="44" t="str">
        <f>IFERROR(BaoLiuXiaoShuWei(AVERAGE(H215:I215),2),"")</f>
        <v/>
      </c>
      <c r="K215" s="50" t="str">
        <f>IFERROR(XiuYueXiaoShu(IF(J215="","",(J215-基本信息!$B$28)/基本信息!$B$29)*(基本信息!$C$9)/F215/1000*IF(G215="",1,G215),基本信息!$C$11,基本信息!$C$34,1),"")</f>
        <v/>
      </c>
    </row>
    <row r="216" spans="1:11" ht="19.5" customHeight="1">
      <c r="A216" s="46"/>
      <c r="B216" s="47"/>
      <c r="C216" s="46"/>
      <c r="D216" s="46"/>
      <c r="E216" s="46"/>
      <c r="J216" s="44" t="str">
        <f>IFERROR(BaoLiuXiaoShuWei(AVERAGE(H216:I216),2),"")</f>
        <v/>
      </c>
      <c r="K216" s="50" t="str">
        <f>IFERROR(XiuYueXiaoShu(IF(J216="","",(J216-基本信息!$B$28)/基本信息!$B$29)*(基本信息!$C$9)/F216/1000*IF(G216="",1,G216),基本信息!$C$11,基本信息!$C$34,1),"")</f>
        <v/>
      </c>
    </row>
    <row r="217" spans="1:11" ht="19.5" customHeight="1">
      <c r="A217" s="46"/>
      <c r="B217" s="47"/>
      <c r="C217" s="46"/>
      <c r="D217" s="46"/>
      <c r="E217" s="46"/>
      <c r="J217" s="44" t="str">
        <f>IFERROR(BaoLiuXiaoShuWei(AVERAGE(H217:I217),2),"")</f>
        <v/>
      </c>
      <c r="K217" s="50" t="str">
        <f>IFERROR(XiuYueXiaoShu(IF(J217="","",(J217-基本信息!$B$28)/基本信息!$B$29)*(基本信息!$C$9)/F217/1000*IF(G217="",1,G217),基本信息!$C$11,基本信息!$C$34,1),"")</f>
        <v/>
      </c>
    </row>
    <row r="218" spans="1:11" ht="19.5" customHeight="1">
      <c r="A218" s="46"/>
      <c r="B218" s="47"/>
      <c r="C218" s="46"/>
      <c r="D218" s="46"/>
      <c r="E218" s="46"/>
      <c r="J218" s="44" t="str">
        <f>IFERROR(BaoLiuXiaoShuWei(AVERAGE(H218:I218),2),"")</f>
        <v/>
      </c>
      <c r="K218" s="50" t="str">
        <f>IFERROR(XiuYueXiaoShu(IF(J218="","",(J218-基本信息!$B$28)/基本信息!$B$29)*(基本信息!$C$9)/F218/1000*IF(G218="",1,G218),基本信息!$C$11,基本信息!$C$34,1),"")</f>
        <v/>
      </c>
    </row>
    <row r="219" spans="1:11" ht="19.5" customHeight="1">
      <c r="A219" s="46"/>
      <c r="B219" s="47"/>
      <c r="C219" s="46"/>
      <c r="D219" s="46"/>
      <c r="E219" s="46"/>
      <c r="J219" s="44" t="str">
        <f>IFERROR(BaoLiuXiaoShuWei(AVERAGE(H219:I219),2),"")</f>
        <v/>
      </c>
      <c r="K219" s="50" t="str">
        <f>IFERROR(XiuYueXiaoShu(IF(J219="","",(J219-基本信息!$B$28)/基本信息!$B$29)*(基本信息!$C$9)/F219/1000*IF(G219="",1,G219),基本信息!$C$11,基本信息!$C$34,1),"")</f>
        <v/>
      </c>
    </row>
    <row r="220" spans="1:11" ht="19.5" customHeight="1">
      <c r="A220" s="46"/>
      <c r="B220" s="47"/>
      <c r="C220" s="46"/>
      <c r="D220" s="46"/>
      <c r="E220" s="46"/>
      <c r="J220" s="44" t="str">
        <f>IFERROR(BaoLiuXiaoShuWei(AVERAGE(H220:I220),2),"")</f>
        <v/>
      </c>
      <c r="K220" s="50" t="str">
        <f>IFERROR(XiuYueXiaoShu(IF(J220="","",(J220-基本信息!$B$28)/基本信息!$B$29)*(基本信息!$C$9)/F220/1000*IF(G220="",1,G220),基本信息!$C$11,基本信息!$C$34,1),"")</f>
        <v/>
      </c>
    </row>
    <row r="221" spans="1:11" ht="19.5" customHeight="1">
      <c r="A221" s="46"/>
      <c r="B221" s="47"/>
      <c r="C221" s="46"/>
      <c r="D221" s="46"/>
      <c r="E221" s="46"/>
      <c r="J221" s="44" t="str">
        <f>IFERROR(BaoLiuXiaoShuWei(AVERAGE(H221:I221),2),"")</f>
        <v/>
      </c>
      <c r="K221" s="50" t="str">
        <f>IFERROR(XiuYueXiaoShu(IF(J221="","",(J221-基本信息!$B$28)/基本信息!$B$29)*(基本信息!$C$9)/F221/1000*IF(G221="",1,G221),基本信息!$C$11,基本信息!$C$34,1),"")</f>
        <v/>
      </c>
    </row>
    <row r="222" spans="1:11" ht="19.5" customHeight="1">
      <c r="A222" s="46"/>
      <c r="B222" s="47"/>
      <c r="C222" s="46"/>
      <c r="D222" s="46"/>
      <c r="E222" s="46"/>
      <c r="J222" s="44" t="str">
        <f>IFERROR(BaoLiuXiaoShuWei(AVERAGE(H222:I222),2),"")</f>
        <v/>
      </c>
      <c r="K222" s="50" t="str">
        <f>IFERROR(XiuYueXiaoShu(IF(J222="","",(J222-基本信息!$B$28)/基本信息!$B$29)*(基本信息!$C$9)/F222/1000*IF(G222="",1,G222),基本信息!$C$11,基本信息!$C$34,1),"")</f>
        <v/>
      </c>
    </row>
    <row r="223" spans="1:11" ht="19.5" customHeight="1">
      <c r="A223" s="46"/>
      <c r="B223" s="47"/>
      <c r="C223" s="46"/>
      <c r="D223" s="46"/>
      <c r="E223" s="46"/>
      <c r="J223" s="44" t="str">
        <f>IFERROR(BaoLiuXiaoShuWei(AVERAGE(H223:I223),2),"")</f>
        <v/>
      </c>
      <c r="K223" s="50" t="str">
        <f>IFERROR(XiuYueXiaoShu(IF(J223="","",(J223-基本信息!$B$28)/基本信息!$B$29)*(基本信息!$C$9)/F223/1000*IF(G223="",1,G223),基本信息!$C$11,基本信息!$C$34,1),"")</f>
        <v/>
      </c>
    </row>
    <row r="224" spans="1:11" ht="19.5" customHeight="1">
      <c r="A224" s="46"/>
      <c r="B224" s="47"/>
      <c r="C224" s="46"/>
      <c r="D224" s="46"/>
      <c r="E224" s="46"/>
      <c r="J224" s="44" t="str">
        <f>IFERROR(BaoLiuXiaoShuWei(AVERAGE(H224:I224),2),"")</f>
        <v/>
      </c>
      <c r="K224" s="50" t="str">
        <f>IFERROR(XiuYueXiaoShu(IF(J224="","",(J224-基本信息!$B$28)/基本信息!$B$29)*(基本信息!$C$9)/F224/1000*IF(G224="",1,G224),基本信息!$C$11,基本信息!$C$34,1),"")</f>
        <v/>
      </c>
    </row>
    <row r="225" spans="1:11" ht="19.5" customHeight="1">
      <c r="A225" s="46"/>
      <c r="B225" s="47"/>
      <c r="C225" s="46"/>
      <c r="D225" s="46"/>
      <c r="E225" s="46"/>
      <c r="J225" s="44" t="str">
        <f>IFERROR(BaoLiuXiaoShuWei(AVERAGE(H225:I225),2),"")</f>
        <v/>
      </c>
      <c r="K225" s="50" t="str">
        <f>IFERROR(XiuYueXiaoShu(IF(J225="","",(J225-基本信息!$B$28)/基本信息!$B$29)*(基本信息!$C$9)/F225/1000*IF(G225="",1,G225),基本信息!$C$11,基本信息!$C$34,1),"")</f>
        <v/>
      </c>
    </row>
    <row r="226" spans="1:11" ht="19.5" customHeight="1">
      <c r="A226" s="46"/>
      <c r="B226" s="47"/>
      <c r="C226" s="46"/>
      <c r="D226" s="46"/>
      <c r="E226" s="46"/>
      <c r="J226" s="44" t="str">
        <f>IFERROR(BaoLiuXiaoShuWei(AVERAGE(H226:I226),2),"")</f>
        <v/>
      </c>
      <c r="K226" s="50" t="str">
        <f>IFERROR(XiuYueXiaoShu(IF(J226="","",(J226-基本信息!$B$28)/基本信息!$B$29)*(基本信息!$C$9)/F226/1000*IF(G226="",1,G226),基本信息!$C$11,基本信息!$C$34,1),"")</f>
        <v/>
      </c>
    </row>
    <row r="227" spans="1:11" ht="19.5" customHeight="1">
      <c r="A227" s="46"/>
      <c r="B227" s="47"/>
      <c r="C227" s="46"/>
      <c r="D227" s="46"/>
      <c r="E227" s="46"/>
      <c r="J227" s="44" t="str">
        <f>IFERROR(BaoLiuXiaoShuWei(AVERAGE(H227:I227),2),"")</f>
        <v/>
      </c>
      <c r="K227" s="50" t="str">
        <f>IFERROR(XiuYueXiaoShu(IF(J227="","",(J227-基本信息!$B$28)/基本信息!$B$29)*(基本信息!$C$9)/F227/1000*IF(G227="",1,G227),基本信息!$C$11,基本信息!$C$34,1),"")</f>
        <v/>
      </c>
    </row>
    <row r="228" spans="1:11" ht="19.5" customHeight="1">
      <c r="A228" s="46"/>
      <c r="B228" s="47"/>
      <c r="C228" s="46"/>
      <c r="D228" s="46"/>
      <c r="E228" s="46"/>
      <c r="J228" s="44" t="str">
        <f>IFERROR(BaoLiuXiaoShuWei(AVERAGE(H228:I228),2),"")</f>
        <v/>
      </c>
      <c r="K228" s="50" t="str">
        <f>IFERROR(XiuYueXiaoShu(IF(J228="","",(J228-基本信息!$B$28)/基本信息!$B$29)*(基本信息!$C$9)/F228/1000*IF(G228="",1,G228),基本信息!$C$11,基本信息!$C$34,1),"")</f>
        <v/>
      </c>
    </row>
    <row r="229" spans="1:11" ht="19.5" customHeight="1">
      <c r="A229" s="46"/>
      <c r="B229" s="47"/>
      <c r="C229" s="46"/>
      <c r="D229" s="46"/>
      <c r="E229" s="46"/>
      <c r="J229" s="44" t="str">
        <f>IFERROR(BaoLiuXiaoShuWei(AVERAGE(H229:I229),2),"")</f>
        <v/>
      </c>
      <c r="K229" s="50" t="str">
        <f>IFERROR(XiuYueXiaoShu(IF(J229="","",(J229-基本信息!$B$28)/基本信息!$B$29)*(基本信息!$C$9)/F229/1000*IF(G229="",1,G229),基本信息!$C$11,基本信息!$C$34,1),"")</f>
        <v/>
      </c>
    </row>
    <row r="230" spans="1:11" ht="19.5" customHeight="1">
      <c r="A230" s="46"/>
      <c r="B230" s="47"/>
      <c r="C230" s="46"/>
      <c r="D230" s="46"/>
      <c r="E230" s="46"/>
      <c r="J230" s="44" t="str">
        <f>IFERROR(BaoLiuXiaoShuWei(AVERAGE(H230:I230),2),"")</f>
        <v/>
      </c>
      <c r="K230" s="50" t="str">
        <f>IFERROR(XiuYueXiaoShu(IF(J230="","",(J230-基本信息!$B$28)/基本信息!$B$29)*(基本信息!$C$9)/F230/1000*IF(G230="",1,G230),基本信息!$C$11,基本信息!$C$34,1),"")</f>
        <v/>
      </c>
    </row>
    <row r="231" spans="1:11" ht="19.5" customHeight="1">
      <c r="A231" s="46"/>
      <c r="B231" s="47"/>
      <c r="C231" s="46"/>
      <c r="D231" s="46"/>
      <c r="E231" s="46"/>
      <c r="J231" s="44" t="str">
        <f>IFERROR(BaoLiuXiaoShuWei(AVERAGE(H231:I231),2),"")</f>
        <v/>
      </c>
      <c r="K231" s="50" t="str">
        <f>IFERROR(XiuYueXiaoShu(IF(J231="","",(J231-基本信息!$B$28)/基本信息!$B$29)*(基本信息!$C$9)/F231/1000*IF(G231="",1,G231),基本信息!$C$11,基本信息!$C$34,1),"")</f>
        <v/>
      </c>
    </row>
    <row r="232" spans="1:11" ht="19.5" customHeight="1">
      <c r="A232" s="46"/>
      <c r="B232" s="47"/>
      <c r="C232" s="46"/>
      <c r="D232" s="46"/>
      <c r="E232" s="46"/>
      <c r="J232" s="44" t="str">
        <f>IFERROR(BaoLiuXiaoShuWei(AVERAGE(H232:I232),2),"")</f>
        <v/>
      </c>
      <c r="K232" s="50" t="str">
        <f>IFERROR(XiuYueXiaoShu(IF(J232="","",(J232-基本信息!$B$28)/基本信息!$B$29)*(基本信息!$C$9)/F232/1000*IF(G232="",1,G232),基本信息!$C$11,基本信息!$C$34,1),"")</f>
        <v/>
      </c>
    </row>
    <row r="233" spans="1:11" ht="19.5" customHeight="1">
      <c r="A233" s="46"/>
      <c r="B233" s="47"/>
      <c r="C233" s="46"/>
      <c r="D233" s="46"/>
      <c r="E233" s="46"/>
      <c r="J233" s="44" t="str">
        <f>IFERROR(BaoLiuXiaoShuWei(AVERAGE(H233:I233),2),"")</f>
        <v/>
      </c>
      <c r="K233" s="50" t="str">
        <f>IFERROR(XiuYueXiaoShu(IF(J233="","",(J233-基本信息!$B$28)/基本信息!$B$29)*(基本信息!$C$9)/F233/1000*IF(G233="",1,G233),基本信息!$C$11,基本信息!$C$34,1),"")</f>
        <v/>
      </c>
    </row>
    <row r="234" spans="1:11" ht="19.5" customHeight="1">
      <c r="A234" s="46"/>
      <c r="B234" s="47"/>
      <c r="C234" s="46"/>
      <c r="D234" s="46"/>
      <c r="E234" s="46"/>
      <c r="J234" s="44" t="str">
        <f>IFERROR(BaoLiuXiaoShuWei(AVERAGE(H234:I234),2),"")</f>
        <v/>
      </c>
      <c r="K234" s="50" t="str">
        <f>IFERROR(XiuYueXiaoShu(IF(J234="","",(J234-基本信息!$B$28)/基本信息!$B$29)*(基本信息!$C$9)/F234/1000*IF(G234="",1,G234),基本信息!$C$11,基本信息!$C$34,1),"")</f>
        <v/>
      </c>
    </row>
    <row r="235" spans="1:11" ht="19.5" customHeight="1">
      <c r="A235" s="46"/>
      <c r="B235" s="47"/>
      <c r="C235" s="46"/>
      <c r="D235" s="46"/>
      <c r="E235" s="46"/>
      <c r="J235" s="44" t="str">
        <f>IFERROR(BaoLiuXiaoShuWei(AVERAGE(H235:I235),2),"")</f>
        <v/>
      </c>
      <c r="K235" s="50" t="str">
        <f>IFERROR(XiuYueXiaoShu(IF(J235="","",(J235-基本信息!$B$28)/基本信息!$B$29)*(基本信息!$C$9)/F235/1000*IF(G235="",1,G235),基本信息!$C$11,基本信息!$C$34,1),"")</f>
        <v/>
      </c>
    </row>
    <row r="236" spans="1:11" ht="19.5" customHeight="1">
      <c r="A236" s="46"/>
      <c r="B236" s="47"/>
      <c r="C236" s="46"/>
      <c r="D236" s="46"/>
      <c r="E236" s="46"/>
      <c r="J236" s="44" t="str">
        <f>IFERROR(BaoLiuXiaoShuWei(AVERAGE(H236:I236),2),"")</f>
        <v/>
      </c>
      <c r="K236" s="50" t="str">
        <f>IFERROR(XiuYueXiaoShu(IF(J236="","",(J236-基本信息!$B$28)/基本信息!$B$29)*(基本信息!$C$9)/F236/1000*IF(G236="",1,G236),基本信息!$C$11,基本信息!$C$34,1),"")</f>
        <v/>
      </c>
    </row>
    <row r="237" spans="1:11" ht="19.5" customHeight="1">
      <c r="A237" s="46"/>
      <c r="B237" s="47"/>
      <c r="C237" s="46"/>
      <c r="D237" s="46"/>
      <c r="E237" s="46"/>
      <c r="J237" s="44" t="str">
        <f>IFERROR(BaoLiuXiaoShuWei(AVERAGE(H237:I237),2),"")</f>
        <v/>
      </c>
      <c r="K237" s="50" t="str">
        <f>IFERROR(XiuYueXiaoShu(IF(J237="","",(J237-基本信息!$B$28)/基本信息!$B$29)*(基本信息!$C$9)/F237/1000*IF(G237="",1,G237),基本信息!$C$11,基本信息!$C$34,1),"")</f>
        <v/>
      </c>
    </row>
    <row r="238" spans="1:11" ht="19.5" customHeight="1">
      <c r="A238" s="46"/>
      <c r="B238" s="47"/>
      <c r="C238" s="46"/>
      <c r="D238" s="46"/>
      <c r="E238" s="46"/>
      <c r="J238" s="44" t="str">
        <f>IFERROR(BaoLiuXiaoShuWei(AVERAGE(H238:I238),2),"")</f>
        <v/>
      </c>
      <c r="K238" s="50" t="str">
        <f>IFERROR(XiuYueXiaoShu(IF(J238="","",(J238-基本信息!$B$28)/基本信息!$B$29)*(基本信息!$C$9)/F238/1000*IF(G238="",1,G238),基本信息!$C$11,基本信息!$C$34,1),"")</f>
        <v/>
      </c>
    </row>
    <row r="239" spans="1:11" ht="19.5" customHeight="1">
      <c r="A239" s="46"/>
      <c r="B239" s="47"/>
      <c r="C239" s="46"/>
      <c r="D239" s="46"/>
      <c r="E239" s="46"/>
      <c r="J239" s="44" t="str">
        <f>IFERROR(BaoLiuXiaoShuWei(AVERAGE(H239:I239),2),"")</f>
        <v/>
      </c>
      <c r="K239" s="50" t="str">
        <f>IFERROR(XiuYueXiaoShu(IF(J239="","",(J239-基本信息!$B$28)/基本信息!$B$29)*(基本信息!$C$9)/F239/1000*IF(G239="",1,G239),基本信息!$C$11,基本信息!$C$34,1),"")</f>
        <v/>
      </c>
    </row>
    <row r="240" spans="1:11" ht="19.5" customHeight="1">
      <c r="A240" s="46"/>
      <c r="B240" s="47"/>
      <c r="C240" s="46"/>
      <c r="D240" s="46"/>
      <c r="E240" s="46"/>
      <c r="J240" s="44" t="str">
        <f>IFERROR(BaoLiuXiaoShuWei(AVERAGE(H240:I240),2),"")</f>
        <v/>
      </c>
      <c r="K240" s="50" t="str">
        <f>IFERROR(XiuYueXiaoShu(IF(J240="","",(J240-基本信息!$B$28)/基本信息!$B$29)*(基本信息!$C$9)/F240/1000*IF(G240="",1,G240),基本信息!$C$11,基本信息!$C$34,1),"")</f>
        <v/>
      </c>
    </row>
    <row r="241" spans="1:11" ht="19.5" customHeight="1">
      <c r="A241" s="46"/>
      <c r="B241" s="47"/>
      <c r="C241" s="46"/>
      <c r="D241" s="46"/>
      <c r="E241" s="46"/>
      <c r="J241" s="44" t="str">
        <f>IFERROR(BaoLiuXiaoShuWei(AVERAGE(H241:I241),2),"")</f>
        <v/>
      </c>
      <c r="K241" s="50" t="str">
        <f>IFERROR(XiuYueXiaoShu(IF(J241="","",(J241-基本信息!$B$28)/基本信息!$B$29)*(基本信息!$C$9)/F241/1000*IF(G241="",1,G241),基本信息!$C$11,基本信息!$C$34,1),"")</f>
        <v/>
      </c>
    </row>
    <row r="242" spans="1:11" ht="19.5" customHeight="1">
      <c r="A242" s="46"/>
      <c r="B242" s="47"/>
      <c r="C242" s="46"/>
      <c r="D242" s="46"/>
      <c r="E242" s="46"/>
      <c r="J242" s="44" t="str">
        <f>IFERROR(BaoLiuXiaoShuWei(AVERAGE(H242:I242),2),"")</f>
        <v/>
      </c>
      <c r="K242" s="50" t="str">
        <f>IFERROR(XiuYueXiaoShu(IF(J242="","",(J242-基本信息!$B$28)/基本信息!$B$29)*(基本信息!$C$9)/F242/1000*IF(G242="",1,G242),基本信息!$C$11,基本信息!$C$34,1),"")</f>
        <v/>
      </c>
    </row>
    <row r="243" spans="1:11" ht="19.5" customHeight="1">
      <c r="A243" s="46"/>
      <c r="B243" s="47"/>
      <c r="C243" s="46"/>
      <c r="D243" s="46"/>
      <c r="E243" s="46"/>
      <c r="J243" s="44" t="str">
        <f>IFERROR(BaoLiuXiaoShuWei(AVERAGE(H243:I243),2),"")</f>
        <v/>
      </c>
      <c r="K243" s="50" t="str">
        <f>IFERROR(XiuYueXiaoShu(IF(J243="","",(J243-基本信息!$B$28)/基本信息!$B$29)*(基本信息!$C$9)/F243/1000*IF(G243="",1,G243),基本信息!$C$11,基本信息!$C$34,1),"")</f>
        <v/>
      </c>
    </row>
    <row r="244" spans="1:11" ht="19.5" customHeight="1">
      <c r="A244" s="46"/>
      <c r="B244" s="47"/>
      <c r="C244" s="46"/>
      <c r="D244" s="46"/>
      <c r="E244" s="46"/>
      <c r="J244" s="44" t="str">
        <f>IFERROR(BaoLiuXiaoShuWei(AVERAGE(H244:I244),2),"")</f>
        <v/>
      </c>
      <c r="K244" s="50" t="str">
        <f>IFERROR(XiuYueXiaoShu(IF(J244="","",(J244-基本信息!$B$28)/基本信息!$B$29)*(基本信息!$C$9)/F244/1000*IF(G244="",1,G244),基本信息!$C$11,基本信息!$C$34,1),"")</f>
        <v/>
      </c>
    </row>
    <row r="245" spans="1:11" ht="19.5" customHeight="1">
      <c r="A245" s="46"/>
      <c r="B245" s="47"/>
      <c r="C245" s="46"/>
      <c r="D245" s="46"/>
      <c r="E245" s="46"/>
      <c r="J245" s="44" t="str">
        <f>IFERROR(BaoLiuXiaoShuWei(AVERAGE(H245:I245),2),"")</f>
        <v/>
      </c>
      <c r="K245" s="50" t="str">
        <f>IFERROR(XiuYueXiaoShu(IF(J245="","",(J245-基本信息!$B$28)/基本信息!$B$29)*(基本信息!$C$9)/F245/1000*IF(G245="",1,G245),基本信息!$C$11,基本信息!$C$34,1),"")</f>
        <v/>
      </c>
    </row>
    <row r="246" spans="1:11" ht="19.5" customHeight="1">
      <c r="A246" s="46"/>
      <c r="B246" s="47"/>
      <c r="C246" s="46"/>
      <c r="D246" s="46"/>
      <c r="E246" s="46"/>
      <c r="J246" s="44" t="str">
        <f>IFERROR(BaoLiuXiaoShuWei(AVERAGE(H246:I246),2),"")</f>
        <v/>
      </c>
      <c r="K246" s="50" t="str">
        <f>IFERROR(XiuYueXiaoShu(IF(J246="","",(J246-基本信息!$B$28)/基本信息!$B$29)*(基本信息!$C$9)/F246/1000*IF(G246="",1,G246),基本信息!$C$11,基本信息!$C$34,1),"")</f>
        <v/>
      </c>
    </row>
    <row r="247" spans="1:11" ht="19.5" customHeight="1">
      <c r="A247" s="46"/>
      <c r="B247" s="47"/>
      <c r="C247" s="46"/>
      <c r="D247" s="46"/>
      <c r="E247" s="46"/>
      <c r="J247" s="44" t="str">
        <f>IFERROR(BaoLiuXiaoShuWei(AVERAGE(H247:I247),2),"")</f>
        <v/>
      </c>
      <c r="K247" s="50" t="str">
        <f>IFERROR(XiuYueXiaoShu(IF(J247="","",(J247-基本信息!$B$28)/基本信息!$B$29)*(基本信息!$C$9)/F247/1000*IF(G247="",1,G247),基本信息!$C$11,基本信息!$C$34,1),"")</f>
        <v/>
      </c>
    </row>
    <row r="248" spans="1:11" ht="19.5" customHeight="1">
      <c r="A248" s="46"/>
      <c r="B248" s="47"/>
      <c r="C248" s="46"/>
      <c r="D248" s="46"/>
      <c r="E248" s="46"/>
      <c r="J248" s="44" t="str">
        <f>IFERROR(BaoLiuXiaoShuWei(AVERAGE(H248:I248),2),"")</f>
        <v/>
      </c>
      <c r="K248" s="50" t="str">
        <f>IFERROR(XiuYueXiaoShu(IF(J248="","",(J248-基本信息!$B$28)/基本信息!$B$29)*(基本信息!$C$9)/F248/1000*IF(G248="",1,G248),基本信息!$C$11,基本信息!$C$34,1),"")</f>
        <v/>
      </c>
    </row>
    <row r="249" spans="1:11" ht="19.5" customHeight="1">
      <c r="A249" s="46"/>
      <c r="B249" s="47"/>
      <c r="C249" s="46"/>
      <c r="D249" s="46"/>
      <c r="E249" s="46"/>
      <c r="J249" s="44" t="str">
        <f>IFERROR(BaoLiuXiaoShuWei(AVERAGE(H249:I249),2),"")</f>
        <v/>
      </c>
      <c r="K249" s="50" t="str">
        <f>IFERROR(XiuYueXiaoShu(IF(J249="","",(J249-基本信息!$B$28)/基本信息!$B$29)*(基本信息!$C$9)/F249/1000*IF(G249="",1,G249),基本信息!$C$11,基本信息!$C$34,1),"")</f>
        <v/>
      </c>
    </row>
    <row r="250" spans="1:11" ht="19.5" customHeight="1">
      <c r="A250" s="46"/>
      <c r="B250" s="47"/>
      <c r="C250" s="46"/>
      <c r="D250" s="46"/>
      <c r="E250" s="46"/>
      <c r="J250" s="44" t="str">
        <f>IFERROR(BaoLiuXiaoShuWei(AVERAGE(H250:I250),2),"")</f>
        <v/>
      </c>
      <c r="K250" s="50" t="str">
        <f>IFERROR(XiuYueXiaoShu(IF(J250="","",(J250-基本信息!$B$28)/基本信息!$B$29)*(基本信息!$C$9)/F250/1000*IF(G250="",1,G250),基本信息!$C$11,基本信息!$C$34,1),"")</f>
        <v/>
      </c>
    </row>
    <row r="251" spans="1:11" ht="19.5" customHeight="1">
      <c r="A251" s="46"/>
      <c r="B251" s="47"/>
      <c r="C251" s="46"/>
      <c r="D251" s="46"/>
      <c r="E251" s="46"/>
      <c r="J251" s="44" t="str">
        <f>IFERROR(BaoLiuXiaoShuWei(AVERAGE(H251:I251),2),"")</f>
        <v/>
      </c>
      <c r="K251" s="50" t="str">
        <f>IFERROR(XiuYueXiaoShu(IF(J251="","",(J251-基本信息!$B$28)/基本信息!$B$29)*(基本信息!$C$9)/F251/1000*IF(G251="",1,G251),基本信息!$C$11,基本信息!$C$34,1),"")</f>
        <v/>
      </c>
    </row>
    <row r="252" spans="1:11" ht="19.5" customHeight="1">
      <c r="A252" s="46"/>
      <c r="B252" s="47"/>
      <c r="C252" s="46"/>
      <c r="D252" s="46"/>
      <c r="E252" s="46"/>
      <c r="J252" s="44" t="str">
        <f>IFERROR(BaoLiuXiaoShuWei(AVERAGE(H252:I252),2),"")</f>
        <v/>
      </c>
      <c r="K252" s="50" t="str">
        <f>IFERROR(XiuYueXiaoShu(IF(J252="","",(J252-基本信息!$B$28)/基本信息!$B$29)*(基本信息!$C$9)/F252/1000*IF(G252="",1,G252),基本信息!$C$11,基本信息!$C$34,1),"")</f>
        <v/>
      </c>
    </row>
    <row r="253" spans="1:11" ht="19.5" customHeight="1">
      <c r="A253" s="46"/>
      <c r="B253" s="47"/>
      <c r="C253" s="46"/>
      <c r="D253" s="46"/>
      <c r="E253" s="46"/>
      <c r="J253" s="44" t="str">
        <f>IFERROR(BaoLiuXiaoShuWei(AVERAGE(H253:I253),2),"")</f>
        <v/>
      </c>
      <c r="K253" s="50" t="str">
        <f>IFERROR(XiuYueXiaoShu(IF(J253="","",(J253-基本信息!$B$28)/基本信息!$B$29)*(基本信息!$C$9)/F253/1000*IF(G253="",1,G253),基本信息!$C$11,基本信息!$C$34,1),"")</f>
        <v/>
      </c>
    </row>
    <row r="254" spans="1:11" ht="19.5" customHeight="1">
      <c r="A254" s="46"/>
      <c r="B254" s="47"/>
      <c r="C254" s="46"/>
      <c r="D254" s="46"/>
      <c r="E254" s="46"/>
      <c r="J254" s="44" t="str">
        <f>IFERROR(BaoLiuXiaoShuWei(AVERAGE(H254:I254),2),"")</f>
        <v/>
      </c>
      <c r="K254" s="50" t="str">
        <f>IFERROR(XiuYueXiaoShu(IF(J254="","",(J254-基本信息!$B$28)/基本信息!$B$29)*(基本信息!$C$9)/F254/1000*IF(G254="",1,G254),基本信息!$C$11,基本信息!$C$34,1),"")</f>
        <v/>
      </c>
    </row>
    <row r="255" spans="1:11" ht="19.5" customHeight="1">
      <c r="A255" s="46"/>
      <c r="B255" s="47"/>
      <c r="C255" s="46"/>
      <c r="D255" s="46"/>
      <c r="E255" s="46"/>
      <c r="J255" s="44" t="str">
        <f>IFERROR(BaoLiuXiaoShuWei(AVERAGE(H255:I255),2),"")</f>
        <v/>
      </c>
      <c r="K255" s="50" t="str">
        <f>IFERROR(XiuYueXiaoShu(IF(J255="","",(J255-基本信息!$B$28)/基本信息!$B$29)*(基本信息!$C$9)/F255/1000*IF(G255="",1,G255),基本信息!$C$11,基本信息!$C$34,1),"")</f>
        <v/>
      </c>
    </row>
    <row r="256" spans="1:11" ht="19.5" customHeight="1">
      <c r="A256" s="46"/>
      <c r="B256" s="47"/>
      <c r="C256" s="46"/>
      <c r="D256" s="46"/>
      <c r="E256" s="46"/>
      <c r="J256" s="44" t="str">
        <f>IFERROR(BaoLiuXiaoShuWei(AVERAGE(H256:I256),2),"")</f>
        <v/>
      </c>
      <c r="K256" s="50" t="str">
        <f>IFERROR(XiuYueXiaoShu(IF(J256="","",(J256-基本信息!$B$28)/基本信息!$B$29)*(基本信息!$C$9)/F256/1000*IF(G256="",1,G256),基本信息!$C$11,基本信息!$C$34,1),"")</f>
        <v/>
      </c>
    </row>
    <row r="257" spans="1:11" ht="19.5" customHeight="1">
      <c r="A257" s="46"/>
      <c r="B257" s="47"/>
      <c r="C257" s="46"/>
      <c r="D257" s="46"/>
      <c r="E257" s="46"/>
      <c r="J257" s="44" t="str">
        <f>IFERROR(BaoLiuXiaoShuWei(AVERAGE(H257:I257),2),"")</f>
        <v/>
      </c>
      <c r="K257" s="50" t="str">
        <f>IFERROR(XiuYueXiaoShu(IF(J257="","",(J257-基本信息!$B$28)/基本信息!$B$29)*(基本信息!$C$9)/F257/1000*IF(G257="",1,G257),基本信息!$C$11,基本信息!$C$34,1),"")</f>
        <v/>
      </c>
    </row>
    <row r="258" spans="1:11" ht="19.5" customHeight="1">
      <c r="A258" s="46"/>
      <c r="B258" s="47"/>
      <c r="C258" s="46"/>
      <c r="D258" s="46"/>
      <c r="E258" s="46"/>
      <c r="J258" s="44" t="str">
        <f>IFERROR(BaoLiuXiaoShuWei(AVERAGE(H258:I258),2),"")</f>
        <v/>
      </c>
      <c r="K258" s="50" t="str">
        <f>IFERROR(XiuYueXiaoShu(IF(J258="","",(J258-基本信息!$B$28)/基本信息!$B$29)*(基本信息!$C$9)/F258/1000*IF(G258="",1,G258),基本信息!$C$11,基本信息!$C$34,1),"")</f>
        <v/>
      </c>
    </row>
    <row r="259" spans="1:11" ht="19.5" customHeight="1">
      <c r="A259" s="46"/>
      <c r="B259" s="47"/>
      <c r="C259" s="46"/>
      <c r="D259" s="46"/>
      <c r="E259" s="46"/>
      <c r="J259" s="44" t="str">
        <f>IFERROR(BaoLiuXiaoShuWei(AVERAGE(H259:I259),2),"")</f>
        <v/>
      </c>
      <c r="K259" s="50" t="str">
        <f>IFERROR(XiuYueXiaoShu(IF(J259="","",(J259-基本信息!$B$28)/基本信息!$B$29)*(基本信息!$C$9)/F259/1000*IF(G259="",1,G259),基本信息!$C$11,基本信息!$C$34,1),"")</f>
        <v/>
      </c>
    </row>
    <row r="260" spans="1:11" ht="19.5" customHeight="1">
      <c r="A260" s="46"/>
      <c r="B260" s="47"/>
      <c r="C260" s="46"/>
      <c r="D260" s="46"/>
      <c r="E260" s="46"/>
      <c r="J260" s="44" t="str">
        <f>IFERROR(BaoLiuXiaoShuWei(AVERAGE(H260:I260),2),"")</f>
        <v/>
      </c>
      <c r="K260" s="50" t="str">
        <f>IFERROR(XiuYueXiaoShu(IF(J260="","",(J260-基本信息!$B$28)/基本信息!$B$29)*(基本信息!$C$9)/F260/1000*IF(G260="",1,G260),基本信息!$C$11,基本信息!$C$34,1),"")</f>
        <v/>
      </c>
    </row>
    <row r="261" spans="1:11" ht="19.5" customHeight="1">
      <c r="A261" s="46"/>
      <c r="B261" s="47"/>
      <c r="C261" s="46"/>
      <c r="D261" s="46"/>
      <c r="E261" s="46"/>
      <c r="J261" s="44" t="str">
        <f>IFERROR(BaoLiuXiaoShuWei(AVERAGE(H261:I261),2),"")</f>
        <v/>
      </c>
      <c r="K261" s="50" t="str">
        <f>IFERROR(XiuYueXiaoShu(IF(J261="","",(J261-基本信息!$B$28)/基本信息!$B$29)*(基本信息!$C$9)/F261/1000*IF(G261="",1,G261),基本信息!$C$11,基本信息!$C$34,1),"")</f>
        <v/>
      </c>
    </row>
    <row r="262" spans="1:11" ht="19.5" customHeight="1">
      <c r="A262" s="46"/>
      <c r="B262" s="47"/>
      <c r="C262" s="46"/>
      <c r="D262" s="46"/>
      <c r="E262" s="46"/>
      <c r="J262" s="44" t="str">
        <f>IFERROR(BaoLiuXiaoShuWei(AVERAGE(H262:I262),2),"")</f>
        <v/>
      </c>
      <c r="K262" s="50" t="str">
        <f>IFERROR(XiuYueXiaoShu(IF(J262="","",(J262-基本信息!$B$28)/基本信息!$B$29)*(基本信息!$C$9)/F262/1000*IF(G262="",1,G262),基本信息!$C$11,基本信息!$C$34,1),"")</f>
        <v/>
      </c>
    </row>
    <row r="263" spans="1:11" ht="19.5" customHeight="1">
      <c r="A263" s="46"/>
      <c r="B263" s="47"/>
      <c r="C263" s="46"/>
      <c r="D263" s="46"/>
      <c r="E263" s="46"/>
      <c r="J263" s="44" t="str">
        <f>IFERROR(BaoLiuXiaoShuWei(AVERAGE(H263:I263),2),"")</f>
        <v/>
      </c>
      <c r="K263" s="50" t="str">
        <f>IFERROR(XiuYueXiaoShu(IF(J263="","",(J263-基本信息!$B$28)/基本信息!$B$29)*(基本信息!$C$9)/F263/1000*IF(G263="",1,G263),基本信息!$C$11,基本信息!$C$34,1),"")</f>
        <v/>
      </c>
    </row>
    <row r="264" spans="1:11" ht="19.5" customHeight="1">
      <c r="A264" s="46"/>
      <c r="B264" s="47"/>
      <c r="C264" s="46"/>
      <c r="D264" s="46"/>
      <c r="E264" s="46"/>
      <c r="J264" s="44" t="str">
        <f>IFERROR(BaoLiuXiaoShuWei(AVERAGE(H264:I264),2),"")</f>
        <v/>
      </c>
      <c r="K264" s="50" t="str">
        <f>IFERROR(XiuYueXiaoShu(IF(J264="","",(J264-基本信息!$B$28)/基本信息!$B$29)*(基本信息!$C$9)/F264/1000*IF(G264="",1,G264),基本信息!$C$11,基本信息!$C$34,1),"")</f>
        <v/>
      </c>
    </row>
    <row r="265" spans="1:11" ht="19.5" customHeight="1">
      <c r="A265" s="46"/>
      <c r="B265" s="47"/>
      <c r="C265" s="46"/>
      <c r="D265" s="46"/>
      <c r="E265" s="46"/>
      <c r="J265" s="44" t="str">
        <f>IFERROR(BaoLiuXiaoShuWei(AVERAGE(H265:I265),2),"")</f>
        <v/>
      </c>
      <c r="K265" s="50" t="str">
        <f>IFERROR(XiuYueXiaoShu(IF(J265="","",(J265-基本信息!$B$28)/基本信息!$B$29)*(基本信息!$C$9)/F265/1000*IF(G265="",1,G265),基本信息!$C$11,基本信息!$C$34,1),"")</f>
        <v/>
      </c>
    </row>
    <row r="266" spans="1:11" ht="19.5" customHeight="1">
      <c r="A266" s="46"/>
      <c r="B266" s="47"/>
      <c r="C266" s="46"/>
      <c r="D266" s="46"/>
      <c r="E266" s="46"/>
      <c r="J266" s="44" t="str">
        <f>IFERROR(BaoLiuXiaoShuWei(AVERAGE(H266:I266),2),"")</f>
        <v/>
      </c>
      <c r="K266" s="50" t="str">
        <f>IFERROR(XiuYueXiaoShu(IF(J266="","",(J266-基本信息!$B$28)/基本信息!$B$29)*(基本信息!$C$9)/F266/1000*IF(G266="",1,G266),基本信息!$C$11,基本信息!$C$34,1),"")</f>
        <v/>
      </c>
    </row>
    <row r="267" spans="1:11" ht="19.5" customHeight="1">
      <c r="A267" s="46"/>
      <c r="B267" s="47"/>
      <c r="C267" s="46"/>
      <c r="D267" s="46"/>
      <c r="E267" s="46"/>
      <c r="J267" s="44" t="str">
        <f>IFERROR(BaoLiuXiaoShuWei(AVERAGE(H267:I267),2),"")</f>
        <v/>
      </c>
      <c r="K267" s="50" t="str">
        <f>IFERROR(XiuYueXiaoShu(IF(J267="","",(J267-基本信息!$B$28)/基本信息!$B$29)*(基本信息!$C$9)/F267/1000*IF(G267="",1,G267),基本信息!$C$11,基本信息!$C$34,1),"")</f>
        <v/>
      </c>
    </row>
    <row r="268" spans="1:11" ht="19.5" customHeight="1">
      <c r="A268" s="46"/>
      <c r="B268" s="47"/>
      <c r="C268" s="46"/>
      <c r="D268" s="46"/>
      <c r="E268" s="46"/>
      <c r="J268" s="44" t="str">
        <f>IFERROR(BaoLiuXiaoShuWei(AVERAGE(H268:I268),2),"")</f>
        <v/>
      </c>
      <c r="K268" s="50" t="str">
        <f>IFERROR(XiuYueXiaoShu(IF(J268="","",(J268-基本信息!$B$28)/基本信息!$B$29)*(基本信息!$C$9)/F268/1000*IF(G268="",1,G268),基本信息!$C$11,基本信息!$C$34,1),"")</f>
        <v/>
      </c>
    </row>
    <row r="269" spans="1:11" ht="19.5" customHeight="1">
      <c r="A269" s="46"/>
      <c r="B269" s="47"/>
      <c r="C269" s="46"/>
      <c r="D269" s="46"/>
      <c r="E269" s="46"/>
      <c r="J269" s="44" t="str">
        <f>IFERROR(BaoLiuXiaoShuWei(AVERAGE(H269:I269),2),"")</f>
        <v/>
      </c>
      <c r="K269" s="50" t="str">
        <f>IFERROR(XiuYueXiaoShu(IF(J269="","",(J269-基本信息!$B$28)/基本信息!$B$29)*(基本信息!$C$9)/F269/1000*IF(G269="",1,G269),基本信息!$C$11,基本信息!$C$34,1),"")</f>
        <v/>
      </c>
    </row>
    <row r="270" spans="1:11" ht="19.5" customHeight="1">
      <c r="A270" s="46"/>
      <c r="B270" s="47"/>
      <c r="C270" s="46"/>
      <c r="D270" s="46"/>
      <c r="E270" s="46"/>
      <c r="J270" s="44" t="str">
        <f>IFERROR(BaoLiuXiaoShuWei(AVERAGE(H270:I270),2),"")</f>
        <v/>
      </c>
      <c r="K270" s="50" t="str">
        <f>IFERROR(XiuYueXiaoShu(IF(J270="","",(J270-基本信息!$B$28)/基本信息!$B$29)*(基本信息!$C$9)/F270/1000*IF(G270="",1,G270),基本信息!$C$11,基本信息!$C$34,1),"")</f>
        <v/>
      </c>
    </row>
    <row r="271" spans="1:11" ht="19.5" customHeight="1">
      <c r="A271" s="46"/>
      <c r="B271" s="47"/>
      <c r="C271" s="46"/>
      <c r="D271" s="46"/>
      <c r="E271" s="46"/>
      <c r="J271" s="44" t="str">
        <f>IFERROR(BaoLiuXiaoShuWei(AVERAGE(H271:I271),2),"")</f>
        <v/>
      </c>
      <c r="K271" s="50" t="str">
        <f>IFERROR(XiuYueXiaoShu(IF(J271="","",(J271-基本信息!$B$28)/基本信息!$B$29)*(基本信息!$C$9)/F271/1000*IF(G271="",1,G271),基本信息!$C$11,基本信息!$C$34,1),"")</f>
        <v/>
      </c>
    </row>
    <row r="272" spans="1:11" ht="19.5" customHeight="1">
      <c r="A272" s="46"/>
      <c r="B272" s="47"/>
      <c r="C272" s="46"/>
      <c r="D272" s="46"/>
      <c r="E272" s="46"/>
      <c r="J272" s="44" t="str">
        <f>IFERROR(BaoLiuXiaoShuWei(AVERAGE(H272:I272),2),"")</f>
        <v/>
      </c>
      <c r="K272" s="50" t="str">
        <f>IFERROR(XiuYueXiaoShu(IF(J272="","",(J272-基本信息!$B$28)/基本信息!$B$29)*(基本信息!$C$9)/F272/1000*IF(G272="",1,G272),基本信息!$C$11,基本信息!$C$34,1),"")</f>
        <v/>
      </c>
    </row>
    <row r="273" spans="1:11" ht="19.5" customHeight="1">
      <c r="A273" s="46"/>
      <c r="B273" s="47"/>
      <c r="C273" s="46"/>
      <c r="D273" s="46"/>
      <c r="E273" s="46"/>
      <c r="J273" s="44" t="str">
        <f>IFERROR(BaoLiuXiaoShuWei(AVERAGE(H273:I273),2),"")</f>
        <v/>
      </c>
      <c r="K273" s="50" t="str">
        <f>IFERROR(XiuYueXiaoShu(IF(J273="","",(J273-基本信息!$B$28)/基本信息!$B$29)*(基本信息!$C$9)/F273/1000*IF(G273="",1,G273),基本信息!$C$11,基本信息!$C$34,1),"")</f>
        <v/>
      </c>
    </row>
    <row r="274" spans="1:11" ht="19.5" customHeight="1">
      <c r="A274" s="46"/>
      <c r="B274" s="47"/>
      <c r="C274" s="46"/>
      <c r="D274" s="46"/>
      <c r="E274" s="46"/>
      <c r="J274" s="44" t="str">
        <f>IFERROR(BaoLiuXiaoShuWei(AVERAGE(H274:I274),2),"")</f>
        <v/>
      </c>
      <c r="K274" s="50" t="str">
        <f>IFERROR(XiuYueXiaoShu(IF(J274="","",(J274-基本信息!$B$28)/基本信息!$B$29)*(基本信息!$C$9)/F274/1000*IF(G274="",1,G274),基本信息!$C$11,基本信息!$C$34,1),"")</f>
        <v/>
      </c>
    </row>
    <row r="275" spans="1:11" ht="19.5" customHeight="1">
      <c r="A275" s="46"/>
      <c r="B275" s="47"/>
      <c r="C275" s="46"/>
      <c r="D275" s="46"/>
      <c r="E275" s="46"/>
      <c r="J275" s="44" t="str">
        <f>IFERROR(BaoLiuXiaoShuWei(AVERAGE(H275:I275),2),"")</f>
        <v/>
      </c>
      <c r="K275" s="50" t="str">
        <f>IFERROR(XiuYueXiaoShu(IF(J275="","",(J275-基本信息!$B$28)/基本信息!$B$29)*(基本信息!$C$9)/F275/1000*IF(G275="",1,G275),基本信息!$C$11,基本信息!$C$34,1),"")</f>
        <v/>
      </c>
    </row>
    <row r="276" spans="1:11" ht="19.5" customHeight="1">
      <c r="A276" s="46"/>
      <c r="B276" s="47"/>
      <c r="C276" s="46"/>
      <c r="D276" s="46"/>
      <c r="E276" s="46"/>
      <c r="J276" s="44" t="str">
        <f>IFERROR(BaoLiuXiaoShuWei(AVERAGE(H276:I276),2),"")</f>
        <v/>
      </c>
      <c r="K276" s="50" t="str">
        <f>IFERROR(XiuYueXiaoShu(IF(J276="","",(J276-基本信息!$B$28)/基本信息!$B$29)*(基本信息!$C$9)/F276/1000*IF(G276="",1,G276),基本信息!$C$11,基本信息!$C$34,1),"")</f>
        <v/>
      </c>
    </row>
    <row r="277" spans="1:11" ht="19.5" customHeight="1">
      <c r="A277" s="46"/>
      <c r="B277" s="47"/>
      <c r="C277" s="46"/>
      <c r="D277" s="46"/>
      <c r="E277" s="46"/>
      <c r="J277" s="44" t="str">
        <f>IFERROR(BaoLiuXiaoShuWei(AVERAGE(H277:I277),2),"")</f>
        <v/>
      </c>
      <c r="K277" s="50" t="str">
        <f>IFERROR(XiuYueXiaoShu(IF(J277="","",(J277-基本信息!$B$28)/基本信息!$B$29)*(基本信息!$C$9)/F277/1000*IF(G277="",1,G277),基本信息!$C$11,基本信息!$C$34,1),"")</f>
        <v/>
      </c>
    </row>
    <row r="278" spans="1:11" ht="19.5" customHeight="1">
      <c r="A278" s="46"/>
      <c r="B278" s="47"/>
      <c r="C278" s="46"/>
      <c r="D278" s="46"/>
      <c r="E278" s="46"/>
      <c r="J278" s="44" t="str">
        <f>IFERROR(BaoLiuXiaoShuWei(AVERAGE(H278:I278),2),"")</f>
        <v/>
      </c>
      <c r="K278" s="50" t="str">
        <f>IFERROR(XiuYueXiaoShu(IF(J278="","",(J278-基本信息!$B$28)/基本信息!$B$29)*(基本信息!$C$9)/F278/1000*IF(G278="",1,G278),基本信息!$C$11,基本信息!$C$34,1),"")</f>
        <v/>
      </c>
    </row>
    <row r="279" spans="1:11" ht="19.5" customHeight="1">
      <c r="A279" s="46"/>
      <c r="B279" s="47"/>
      <c r="C279" s="46"/>
      <c r="D279" s="46"/>
      <c r="E279" s="46"/>
      <c r="J279" s="44" t="str">
        <f>IFERROR(BaoLiuXiaoShuWei(AVERAGE(H279:I279),2),"")</f>
        <v/>
      </c>
      <c r="K279" s="50" t="str">
        <f>IFERROR(XiuYueXiaoShu(IF(J279="","",(J279-基本信息!$B$28)/基本信息!$B$29)*(基本信息!$C$9)/F279/1000*IF(G279="",1,G279),基本信息!$C$11,基本信息!$C$34,1),"")</f>
        <v/>
      </c>
    </row>
    <row r="280" spans="1:11" ht="19.5" customHeight="1">
      <c r="A280" s="46"/>
      <c r="B280" s="47"/>
      <c r="C280" s="46"/>
      <c r="D280" s="46"/>
      <c r="E280" s="46"/>
      <c r="J280" s="44" t="str">
        <f>IFERROR(BaoLiuXiaoShuWei(AVERAGE(H280:I280),2),"")</f>
        <v/>
      </c>
      <c r="K280" s="50" t="str">
        <f>IFERROR(XiuYueXiaoShu(IF(J280="","",(J280-基本信息!$B$28)/基本信息!$B$29)*(基本信息!$C$9)/F280/1000*IF(G280="",1,G280),基本信息!$C$11,基本信息!$C$34,1),"")</f>
        <v/>
      </c>
    </row>
    <row r="281" spans="1:11" ht="19.5" customHeight="1">
      <c r="A281" s="46"/>
      <c r="B281" s="47"/>
      <c r="C281" s="46"/>
      <c r="D281" s="46"/>
      <c r="E281" s="46"/>
      <c r="J281" s="44" t="str">
        <f>IFERROR(BaoLiuXiaoShuWei(AVERAGE(H281:I281),2),"")</f>
        <v/>
      </c>
      <c r="K281" s="50" t="str">
        <f>IFERROR(XiuYueXiaoShu(IF(J281="","",(J281-基本信息!$B$28)/基本信息!$B$29)*(基本信息!$C$9)/F281/1000*IF(G281="",1,G281),基本信息!$C$11,基本信息!$C$34,1),"")</f>
        <v/>
      </c>
    </row>
    <row r="282" spans="1:11" ht="19.5" customHeight="1">
      <c r="A282" s="46"/>
      <c r="B282" s="47"/>
      <c r="C282" s="46"/>
      <c r="D282" s="46"/>
      <c r="E282" s="46"/>
      <c r="J282" s="44" t="str">
        <f>IFERROR(BaoLiuXiaoShuWei(AVERAGE(H282:I282),2),"")</f>
        <v/>
      </c>
      <c r="K282" s="50" t="str">
        <f>IFERROR(XiuYueXiaoShu(IF(J282="","",(J282-基本信息!$B$28)/基本信息!$B$29)*(基本信息!$C$9)/F282/1000*IF(G282="",1,G282),基本信息!$C$11,基本信息!$C$34,1),"")</f>
        <v/>
      </c>
    </row>
    <row r="283" spans="1:11" ht="19.5" customHeight="1">
      <c r="A283" s="46"/>
      <c r="B283" s="47"/>
      <c r="C283" s="46"/>
      <c r="D283" s="46"/>
      <c r="E283" s="46"/>
      <c r="J283" s="44" t="str">
        <f>IFERROR(BaoLiuXiaoShuWei(AVERAGE(H283:I283),2),"")</f>
        <v/>
      </c>
      <c r="K283" s="50" t="str">
        <f>IFERROR(XiuYueXiaoShu(IF(J283="","",(J283-基本信息!$B$28)/基本信息!$B$29)*(基本信息!$C$9)/F283/1000*IF(G283="",1,G283),基本信息!$C$11,基本信息!$C$34,1),"")</f>
        <v/>
      </c>
    </row>
    <row r="284" spans="1:11" ht="19.5" customHeight="1">
      <c r="A284" s="46"/>
      <c r="B284" s="47"/>
      <c r="C284" s="46"/>
      <c r="D284" s="46"/>
      <c r="E284" s="46"/>
      <c r="J284" s="44" t="str">
        <f>IFERROR(BaoLiuXiaoShuWei(AVERAGE(H284:I284),2),"")</f>
        <v/>
      </c>
      <c r="K284" s="50" t="str">
        <f>IFERROR(XiuYueXiaoShu(IF(J284="","",(J284-基本信息!$B$28)/基本信息!$B$29)*(基本信息!$C$9)/F284/1000*IF(G284="",1,G284),基本信息!$C$11,基本信息!$C$34,1),"")</f>
        <v/>
      </c>
    </row>
    <row r="285" spans="1:11" ht="19.5" customHeight="1">
      <c r="A285" s="46"/>
      <c r="B285" s="47"/>
      <c r="C285" s="46"/>
      <c r="D285" s="46"/>
      <c r="E285" s="46"/>
      <c r="J285" s="44" t="str">
        <f>IFERROR(BaoLiuXiaoShuWei(AVERAGE(H285:I285),2),"")</f>
        <v/>
      </c>
      <c r="K285" s="50" t="str">
        <f>IFERROR(XiuYueXiaoShu(IF(J285="","",(J285-基本信息!$B$28)/基本信息!$B$29)*(基本信息!$C$9)/F285/1000*IF(G285="",1,G285),基本信息!$C$11,基本信息!$C$34,1),"")</f>
        <v/>
      </c>
    </row>
    <row r="286" spans="1:11" ht="19.5" customHeight="1">
      <c r="A286" s="46"/>
      <c r="B286" s="47"/>
      <c r="C286" s="46"/>
      <c r="D286" s="46"/>
      <c r="E286" s="46"/>
      <c r="J286" s="44" t="str">
        <f>IFERROR(BaoLiuXiaoShuWei(AVERAGE(H286:I286),2),"")</f>
        <v/>
      </c>
      <c r="K286" s="50" t="str">
        <f>IFERROR(XiuYueXiaoShu(IF(J286="","",(J286-基本信息!$B$28)/基本信息!$B$29)*(基本信息!$C$9)/F286/1000*IF(G286="",1,G286),基本信息!$C$11,基本信息!$C$34,1),"")</f>
        <v/>
      </c>
    </row>
    <row r="287" spans="1:11" ht="19.5" customHeight="1">
      <c r="A287" s="46"/>
      <c r="B287" s="47"/>
      <c r="C287" s="46"/>
      <c r="D287" s="46"/>
      <c r="E287" s="46"/>
      <c r="J287" s="44" t="str">
        <f>IFERROR(BaoLiuXiaoShuWei(AVERAGE(H287:I287),2),"")</f>
        <v/>
      </c>
      <c r="K287" s="50" t="str">
        <f>IFERROR(XiuYueXiaoShu(IF(J287="","",(J287-基本信息!$B$28)/基本信息!$B$29)*(基本信息!$C$9)/F287/1000*IF(G287="",1,G287),基本信息!$C$11,基本信息!$C$34,1),"")</f>
        <v/>
      </c>
    </row>
    <row r="288" spans="1:11" ht="19.5" customHeight="1">
      <c r="A288" s="46"/>
      <c r="B288" s="47"/>
      <c r="C288" s="46"/>
      <c r="D288" s="46"/>
      <c r="E288" s="46"/>
      <c r="J288" s="44" t="str">
        <f>IFERROR(BaoLiuXiaoShuWei(AVERAGE(H288:I288),2),"")</f>
        <v/>
      </c>
      <c r="K288" s="50" t="str">
        <f>IFERROR(XiuYueXiaoShu(IF(J288="","",(J288-基本信息!$B$28)/基本信息!$B$29)*(基本信息!$C$9)/F288/1000*IF(G288="",1,G288),基本信息!$C$11,基本信息!$C$34,1),"")</f>
        <v/>
      </c>
    </row>
    <row r="289" spans="1:11" ht="19.5" customHeight="1">
      <c r="A289" s="46"/>
      <c r="B289" s="47"/>
      <c r="C289" s="46"/>
      <c r="D289" s="46"/>
      <c r="E289" s="46"/>
      <c r="J289" s="44" t="str">
        <f>IFERROR(BaoLiuXiaoShuWei(AVERAGE(H289:I289),2),"")</f>
        <v/>
      </c>
      <c r="K289" s="50" t="str">
        <f>IFERROR(XiuYueXiaoShu(IF(J289="","",(J289-基本信息!$B$28)/基本信息!$B$29)*(基本信息!$C$9)/F289/1000*IF(G289="",1,G289),基本信息!$C$11,基本信息!$C$34,1),"")</f>
        <v/>
      </c>
    </row>
    <row r="290" spans="1:11" ht="19.5" customHeight="1">
      <c r="A290" s="46"/>
      <c r="B290" s="47"/>
      <c r="C290" s="46"/>
      <c r="D290" s="46"/>
      <c r="E290" s="46"/>
      <c r="J290" s="44" t="str">
        <f>IFERROR(BaoLiuXiaoShuWei(AVERAGE(H290:I290),2),"")</f>
        <v/>
      </c>
      <c r="K290" s="50" t="str">
        <f>IFERROR(XiuYueXiaoShu(IF(J290="","",(J290-基本信息!$B$28)/基本信息!$B$29)*(基本信息!$C$9)/F290/1000*IF(G290="",1,G290),基本信息!$C$11,基本信息!$C$34,1),"")</f>
        <v/>
      </c>
    </row>
    <row r="291" spans="1:11" ht="19.5" customHeight="1">
      <c r="A291" s="46"/>
      <c r="B291" s="47"/>
      <c r="C291" s="46"/>
      <c r="D291" s="46"/>
      <c r="E291" s="46"/>
      <c r="J291" s="44" t="str">
        <f>IFERROR(BaoLiuXiaoShuWei(AVERAGE(H291:I291),2),"")</f>
        <v/>
      </c>
      <c r="K291" s="50" t="str">
        <f>IFERROR(XiuYueXiaoShu(IF(J291="","",(J291-基本信息!$B$28)/基本信息!$B$29)*(基本信息!$C$9)/F291/1000*IF(G291="",1,G291),基本信息!$C$11,基本信息!$C$34,1),"")</f>
        <v/>
      </c>
    </row>
    <row r="292" spans="1:11" ht="19.5" customHeight="1">
      <c r="A292" s="46"/>
      <c r="B292" s="47"/>
      <c r="C292" s="46"/>
      <c r="D292" s="46"/>
      <c r="E292" s="46"/>
      <c r="J292" s="44" t="str">
        <f>IFERROR(BaoLiuXiaoShuWei(AVERAGE(H292:I292),2),"")</f>
        <v/>
      </c>
      <c r="K292" s="50" t="str">
        <f>IFERROR(XiuYueXiaoShu(IF(J292="","",(J292-基本信息!$B$28)/基本信息!$B$29)*(基本信息!$C$9)/F292/1000*IF(G292="",1,G292),基本信息!$C$11,基本信息!$C$34,1),"")</f>
        <v/>
      </c>
    </row>
    <row r="293" spans="1:11" ht="19.5" customHeight="1">
      <c r="A293" s="46"/>
      <c r="B293" s="47"/>
      <c r="C293" s="46"/>
      <c r="D293" s="46"/>
      <c r="E293" s="46"/>
      <c r="J293" s="44" t="str">
        <f>IFERROR(BaoLiuXiaoShuWei(AVERAGE(H293:I293),2),"")</f>
        <v/>
      </c>
      <c r="K293" s="50" t="str">
        <f>IFERROR(XiuYueXiaoShu(IF(J293="","",(J293-基本信息!$B$28)/基本信息!$B$29)*(基本信息!$C$9)/F293/1000*IF(G293="",1,G293),基本信息!$C$11,基本信息!$C$34,1),"")</f>
        <v/>
      </c>
    </row>
    <row r="294" spans="1:11" ht="19.5" customHeight="1">
      <c r="A294" s="46"/>
      <c r="B294" s="47"/>
      <c r="C294" s="46"/>
      <c r="D294" s="46"/>
      <c r="E294" s="46"/>
      <c r="J294" s="44" t="str">
        <f>IFERROR(BaoLiuXiaoShuWei(AVERAGE(H294:I294),2),"")</f>
        <v/>
      </c>
      <c r="K294" s="50" t="str">
        <f>IFERROR(XiuYueXiaoShu(IF(J294="","",(J294-基本信息!$B$28)/基本信息!$B$29)*(基本信息!$C$9)/F294/1000*IF(G294="",1,G294),基本信息!$C$11,基本信息!$C$34,1),"")</f>
        <v/>
      </c>
    </row>
    <row r="295" spans="1:11" ht="19.5" customHeight="1">
      <c r="A295" s="46"/>
      <c r="B295" s="47"/>
      <c r="C295" s="46"/>
      <c r="D295" s="46"/>
      <c r="E295" s="46"/>
      <c r="J295" s="44" t="str">
        <f>IFERROR(BaoLiuXiaoShuWei(AVERAGE(H295:I295),2),"")</f>
        <v/>
      </c>
      <c r="K295" s="50" t="str">
        <f>IFERROR(XiuYueXiaoShu(IF(J295="","",(J295-基本信息!$B$28)/基本信息!$B$29)*(基本信息!$C$9)/F295/1000*IF(G295="",1,G295),基本信息!$C$11,基本信息!$C$34,1),"")</f>
        <v/>
      </c>
    </row>
    <row r="296" spans="1:11" ht="19.5" customHeight="1">
      <c r="A296" s="46"/>
      <c r="B296" s="47"/>
      <c r="C296" s="46"/>
      <c r="D296" s="46"/>
      <c r="E296" s="46"/>
      <c r="J296" s="44" t="str">
        <f>IFERROR(BaoLiuXiaoShuWei(AVERAGE(H296:I296),2),"")</f>
        <v/>
      </c>
      <c r="K296" s="50" t="str">
        <f>IFERROR(XiuYueXiaoShu(IF(J296="","",(J296-基本信息!$B$28)/基本信息!$B$29)*(基本信息!$C$9)/F296/1000*IF(G296="",1,G296),基本信息!$C$11,基本信息!$C$34,1),"")</f>
        <v/>
      </c>
    </row>
    <row r="297" spans="1:11" ht="19.5" customHeight="1">
      <c r="A297" s="46"/>
      <c r="B297" s="47"/>
      <c r="C297" s="46"/>
      <c r="D297" s="46"/>
      <c r="E297" s="46"/>
      <c r="J297" s="44" t="str">
        <f>IFERROR(BaoLiuXiaoShuWei(AVERAGE(H297:I297),2),"")</f>
        <v/>
      </c>
      <c r="K297" s="50" t="str">
        <f>IFERROR(XiuYueXiaoShu(IF(J297="","",(J297-基本信息!$B$28)/基本信息!$B$29)*(基本信息!$C$9)/F297/1000*IF(G297="",1,G297),基本信息!$C$11,基本信息!$C$34,1),"")</f>
        <v/>
      </c>
    </row>
    <row r="298" spans="1:11" ht="19.5" customHeight="1">
      <c r="A298" s="46"/>
      <c r="B298" s="47"/>
      <c r="C298" s="46"/>
      <c r="D298" s="46"/>
      <c r="E298" s="46"/>
      <c r="J298" s="44" t="str">
        <f>IFERROR(BaoLiuXiaoShuWei(AVERAGE(H298:I298),2),"")</f>
        <v/>
      </c>
      <c r="K298" s="50" t="str">
        <f>IFERROR(XiuYueXiaoShu(IF(J298="","",(J298-基本信息!$B$28)/基本信息!$B$29)*(基本信息!$C$9)/F298/1000*IF(G298="",1,G298),基本信息!$C$11,基本信息!$C$34,1),"")</f>
        <v/>
      </c>
    </row>
    <row r="299" spans="1:11" ht="19.5" customHeight="1">
      <c r="A299" s="46"/>
      <c r="B299" s="47"/>
      <c r="C299" s="46"/>
      <c r="D299" s="46"/>
      <c r="E299" s="46"/>
      <c r="J299" s="44" t="str">
        <f>IFERROR(BaoLiuXiaoShuWei(AVERAGE(H299:I299),2),"")</f>
        <v/>
      </c>
      <c r="K299" s="50" t="str">
        <f>IFERROR(XiuYueXiaoShu(IF(J299="","",(J299-基本信息!$B$28)/基本信息!$B$29)*(基本信息!$C$9)/F299/1000*IF(G299="",1,G299),基本信息!$C$11,基本信息!$C$34,1),"")</f>
        <v/>
      </c>
    </row>
    <row r="300" spans="1:11" ht="19.5" customHeight="1">
      <c r="A300" s="46"/>
      <c r="B300" s="47"/>
      <c r="C300" s="46"/>
      <c r="D300" s="46"/>
      <c r="E300" s="46"/>
      <c r="J300" s="44" t="str">
        <f>IFERROR(BaoLiuXiaoShuWei(AVERAGE(H300:I300),2),"")</f>
        <v/>
      </c>
      <c r="K300" s="50" t="str">
        <f>IFERROR(XiuYueXiaoShu(IF(J300="","",(J300-基本信息!$B$28)/基本信息!$B$29)*(基本信息!$C$9)/F300/1000*IF(G300="",1,G300),基本信息!$C$11,基本信息!$C$34,1),"")</f>
        <v/>
      </c>
    </row>
    <row r="301" spans="1:11" ht="19.5" customHeight="1">
      <c r="A301" s="46"/>
      <c r="B301" s="47"/>
      <c r="C301" s="46"/>
      <c r="D301" s="46"/>
      <c r="E301" s="46"/>
      <c r="J301" s="44" t="str">
        <f>IFERROR(BaoLiuXiaoShuWei(AVERAGE(H301:I301),2),"")</f>
        <v/>
      </c>
      <c r="K301" s="50" t="str">
        <f>IFERROR(XiuYueXiaoShu(IF(J301="","",(J301-基本信息!$B$28)/基本信息!$B$29)*(基本信息!$C$9)/F301/1000*IF(G301="",1,G301),基本信息!$C$11,基本信息!$C$34,1),"")</f>
        <v/>
      </c>
    </row>
    <row r="302" spans="1:11" ht="19.5" customHeight="1">
      <c r="A302" s="46"/>
      <c r="B302" s="47"/>
      <c r="C302" s="46"/>
      <c r="D302" s="46"/>
      <c r="E302" s="46"/>
      <c r="J302" s="44" t="str">
        <f>IFERROR(BaoLiuXiaoShuWei(AVERAGE(H302:I302),2),"")</f>
        <v/>
      </c>
      <c r="K302" s="50" t="str">
        <f>IFERROR(XiuYueXiaoShu(IF(J302="","",(J302-基本信息!$B$28)/基本信息!$B$29)*(基本信息!$C$9)/F302/1000*IF(G302="",1,G302),基本信息!$C$11,基本信息!$C$34,1),"")</f>
        <v/>
      </c>
    </row>
    <row r="303" spans="1:11" ht="19.5" customHeight="1">
      <c r="A303" s="46"/>
      <c r="B303" s="47"/>
      <c r="C303" s="46"/>
      <c r="D303" s="46"/>
      <c r="E303" s="46"/>
      <c r="J303" s="44" t="str">
        <f>IFERROR(BaoLiuXiaoShuWei(AVERAGE(H303:I303),2),"")</f>
        <v/>
      </c>
      <c r="K303" s="50" t="str">
        <f>IFERROR(XiuYueXiaoShu(IF(J303="","",(J303-基本信息!$B$28)/基本信息!$B$29)*(基本信息!$C$9)/F303/1000*IF(G303="",1,G303),基本信息!$C$11,基本信息!$C$34,1),"")</f>
        <v/>
      </c>
    </row>
    <row r="304" spans="1:11" ht="19.5" customHeight="1">
      <c r="A304" s="46"/>
      <c r="B304" s="47"/>
      <c r="C304" s="46"/>
      <c r="D304" s="46"/>
      <c r="E304" s="46"/>
      <c r="J304" s="44" t="str">
        <f>IFERROR(BaoLiuXiaoShuWei(AVERAGE(H304:I304),2),"")</f>
        <v/>
      </c>
      <c r="K304" s="50" t="str">
        <f>IFERROR(XiuYueXiaoShu(IF(J304="","",(J304-基本信息!$B$28)/基本信息!$B$29)*(基本信息!$C$9)/F304/1000*IF(G304="",1,G304),基本信息!$C$11,基本信息!$C$34,1),"")</f>
        <v/>
      </c>
    </row>
    <row r="305" spans="1:11" ht="19.5" customHeight="1">
      <c r="A305" s="46"/>
      <c r="B305" s="47"/>
      <c r="C305" s="46"/>
      <c r="D305" s="46"/>
      <c r="E305" s="46"/>
      <c r="J305" s="44" t="str">
        <f>IFERROR(BaoLiuXiaoShuWei(AVERAGE(H305:I305),2),"")</f>
        <v/>
      </c>
      <c r="K305" s="50" t="str">
        <f>IFERROR(XiuYueXiaoShu(IF(J305="","",(J305-基本信息!$B$28)/基本信息!$B$29)*(基本信息!$C$9)/F305/1000*IF(G305="",1,G305),基本信息!$C$11,基本信息!$C$34,1),"")</f>
        <v/>
      </c>
    </row>
    <row r="306" spans="1:11" ht="19.5" customHeight="1">
      <c r="A306" s="46"/>
      <c r="B306" s="47"/>
      <c r="C306" s="46"/>
      <c r="D306" s="46"/>
      <c r="E306" s="46"/>
      <c r="J306" s="44" t="str">
        <f>IFERROR(BaoLiuXiaoShuWei(AVERAGE(H306:I306),2),"")</f>
        <v/>
      </c>
      <c r="K306" s="50" t="str">
        <f>IFERROR(XiuYueXiaoShu(IF(J306="","",(J306-基本信息!$B$28)/基本信息!$B$29)*(基本信息!$C$9)/F306/1000*IF(G306="",1,G306),基本信息!$C$11,基本信息!$C$34,1),"")</f>
        <v/>
      </c>
    </row>
    <row r="307" spans="1:11" ht="19.5" customHeight="1">
      <c r="A307" s="46"/>
      <c r="B307" s="47"/>
      <c r="C307" s="46"/>
      <c r="D307" s="46"/>
      <c r="E307" s="46"/>
      <c r="J307" s="44" t="str">
        <f>IFERROR(BaoLiuXiaoShuWei(AVERAGE(H307:I307),2),"")</f>
        <v/>
      </c>
      <c r="K307" s="50" t="str">
        <f>IFERROR(XiuYueXiaoShu(IF(J307="","",(J307-基本信息!$B$28)/基本信息!$B$29)*(基本信息!$C$9)/F307/1000*IF(G307="",1,G307),基本信息!$C$11,基本信息!$C$34,1),"")</f>
        <v/>
      </c>
    </row>
    <row r="308" spans="1:11" ht="19.5" customHeight="1">
      <c r="A308" s="46"/>
      <c r="B308" s="47"/>
      <c r="C308" s="46"/>
      <c r="D308" s="46"/>
      <c r="E308" s="46"/>
      <c r="J308" s="44" t="str">
        <f>IFERROR(BaoLiuXiaoShuWei(AVERAGE(H308:I308),2),"")</f>
        <v/>
      </c>
      <c r="K308" s="50" t="str">
        <f>IFERROR(XiuYueXiaoShu(IF(J308="","",(J308-基本信息!$B$28)/基本信息!$B$29)*(基本信息!$C$9)/F308/1000*IF(G308="",1,G308),基本信息!$C$11,基本信息!$C$34,1),"")</f>
        <v/>
      </c>
    </row>
    <row r="309" spans="1:11" ht="19.5" customHeight="1">
      <c r="A309" s="46"/>
      <c r="B309" s="47"/>
      <c r="C309" s="46"/>
      <c r="D309" s="46"/>
      <c r="E309" s="46"/>
      <c r="J309" s="44" t="str">
        <f>IFERROR(BaoLiuXiaoShuWei(AVERAGE(H309:I309),2),"")</f>
        <v/>
      </c>
      <c r="K309" s="50" t="str">
        <f>IFERROR(XiuYueXiaoShu(IF(J309="","",(J309-基本信息!$B$28)/基本信息!$B$29)*(基本信息!$C$9)/F309/1000*IF(G309="",1,G309),基本信息!$C$11,基本信息!$C$34,1),"")</f>
        <v/>
      </c>
    </row>
    <row r="310" spans="1:11" ht="19.5" customHeight="1">
      <c r="A310" s="46"/>
      <c r="B310" s="47"/>
      <c r="C310" s="46"/>
      <c r="D310" s="46"/>
      <c r="E310" s="46"/>
      <c r="J310" s="44" t="str">
        <f>IFERROR(BaoLiuXiaoShuWei(AVERAGE(H310:I310),2),"")</f>
        <v/>
      </c>
      <c r="K310" s="50" t="str">
        <f>IFERROR(XiuYueXiaoShu(IF(J310="","",(J310-基本信息!$B$28)/基本信息!$B$29)*(基本信息!$C$9)/F310/1000*IF(G310="",1,G310),基本信息!$C$11,基本信息!$C$34,1),"")</f>
        <v/>
      </c>
    </row>
    <row r="311" spans="1:11" ht="19.5" customHeight="1">
      <c r="A311" s="46"/>
      <c r="B311" s="47"/>
      <c r="C311" s="46"/>
      <c r="D311" s="46"/>
      <c r="E311" s="46"/>
      <c r="J311" s="44" t="str">
        <f>IFERROR(BaoLiuXiaoShuWei(AVERAGE(H311:I311),2),"")</f>
        <v/>
      </c>
      <c r="K311" s="50" t="str">
        <f>IFERROR(XiuYueXiaoShu(IF(J311="","",(J311-基本信息!$B$28)/基本信息!$B$29)*(基本信息!$C$9)/F311/1000*IF(G311="",1,G311),基本信息!$C$11,基本信息!$C$34,1),"")</f>
        <v/>
      </c>
    </row>
    <row r="312" spans="1:11" ht="19.5" customHeight="1">
      <c r="A312" s="46"/>
      <c r="B312" s="47"/>
      <c r="C312" s="46"/>
      <c r="D312" s="46"/>
      <c r="E312" s="46"/>
      <c r="J312" s="44" t="str">
        <f>IFERROR(BaoLiuXiaoShuWei(AVERAGE(H312:I312),2),"")</f>
        <v/>
      </c>
      <c r="K312" s="50" t="str">
        <f>IFERROR(XiuYueXiaoShu(IF(J312="","",(J312-基本信息!$B$28)/基本信息!$B$29)*(基本信息!$C$9)/F312/1000*IF(G312="",1,G312),基本信息!$C$11,基本信息!$C$34,1),"")</f>
        <v/>
      </c>
    </row>
    <row r="313" spans="1:11" ht="19.5" customHeight="1">
      <c r="A313" s="46"/>
      <c r="B313" s="47"/>
      <c r="C313" s="46"/>
      <c r="D313" s="46"/>
      <c r="E313" s="46"/>
      <c r="J313" s="44" t="str">
        <f>IFERROR(BaoLiuXiaoShuWei(AVERAGE(H313:I313),2),"")</f>
        <v/>
      </c>
      <c r="K313" s="50" t="str">
        <f>IFERROR(XiuYueXiaoShu(IF(J313="","",(J313-基本信息!$B$28)/基本信息!$B$29)*(基本信息!$C$9)/F313/1000*IF(G313="",1,G313),基本信息!$C$11,基本信息!$C$34,1),"")</f>
        <v/>
      </c>
    </row>
    <row r="314" spans="1:11" ht="19.5" customHeight="1">
      <c r="A314" s="46"/>
      <c r="B314" s="47"/>
      <c r="C314" s="46"/>
      <c r="D314" s="46"/>
      <c r="E314" s="46"/>
      <c r="J314" s="44" t="str">
        <f>IFERROR(BaoLiuXiaoShuWei(AVERAGE(H314:I314),2),"")</f>
        <v/>
      </c>
      <c r="K314" s="50" t="str">
        <f>IFERROR(XiuYueXiaoShu(IF(J314="","",(J314-基本信息!$B$28)/基本信息!$B$29)*(基本信息!$C$9)/F314/1000*IF(G314="",1,G314),基本信息!$C$11,基本信息!$C$34,1),"")</f>
        <v/>
      </c>
    </row>
    <row r="315" spans="1:11" ht="19.5" customHeight="1">
      <c r="A315" s="46"/>
      <c r="B315" s="47"/>
      <c r="C315" s="46"/>
      <c r="D315" s="46"/>
      <c r="E315" s="46"/>
      <c r="J315" s="44" t="str">
        <f>IFERROR(BaoLiuXiaoShuWei(AVERAGE(H315:I315),2),"")</f>
        <v/>
      </c>
      <c r="K315" s="50" t="str">
        <f>IFERROR(XiuYueXiaoShu(IF(J315="","",(J315-基本信息!$B$28)/基本信息!$B$29)*(基本信息!$C$9)/F315/1000*IF(G315="",1,G315),基本信息!$C$11,基本信息!$C$34,1),"")</f>
        <v/>
      </c>
    </row>
    <row r="316" spans="1:11" ht="19.5" customHeight="1">
      <c r="A316" s="46"/>
      <c r="B316" s="47"/>
      <c r="C316" s="46"/>
      <c r="D316" s="46"/>
      <c r="E316" s="46"/>
      <c r="J316" s="44" t="str">
        <f>IFERROR(BaoLiuXiaoShuWei(AVERAGE(H316:I316),2),"")</f>
        <v/>
      </c>
      <c r="K316" s="50" t="str">
        <f>IFERROR(XiuYueXiaoShu(IF(J316="","",(J316-基本信息!$B$28)/基本信息!$B$29)*(基本信息!$C$9)/F316/1000*IF(G316="",1,G316),基本信息!$C$11,基本信息!$C$34,1),"")</f>
        <v/>
      </c>
    </row>
    <row r="317" spans="1:11" ht="19.5" customHeight="1">
      <c r="A317" s="46"/>
      <c r="B317" s="47"/>
      <c r="C317" s="46"/>
      <c r="D317" s="46"/>
      <c r="E317" s="46"/>
      <c r="J317" s="44" t="str">
        <f>IFERROR(BaoLiuXiaoShuWei(AVERAGE(H317:I317),2),"")</f>
        <v/>
      </c>
      <c r="K317" s="50" t="str">
        <f>IFERROR(XiuYueXiaoShu(IF(J317="","",(J317-基本信息!$B$28)/基本信息!$B$29)*(基本信息!$C$9)/F317/1000*IF(G317="",1,G317),基本信息!$C$11,基本信息!$C$34,1),"")</f>
        <v/>
      </c>
    </row>
    <row r="318" spans="1:11" ht="19.5" customHeight="1">
      <c r="A318" s="46"/>
      <c r="B318" s="47"/>
      <c r="C318" s="46"/>
      <c r="D318" s="46"/>
      <c r="E318" s="46"/>
      <c r="J318" s="44" t="str">
        <f>IFERROR(BaoLiuXiaoShuWei(AVERAGE(H318:I318),2),"")</f>
        <v/>
      </c>
      <c r="K318" s="50" t="str">
        <f>IFERROR(XiuYueXiaoShu(IF(J318="","",(J318-基本信息!$B$28)/基本信息!$B$29)*(基本信息!$C$9)/F318/1000*IF(G318="",1,G318),基本信息!$C$11,基本信息!$C$34,1),"")</f>
        <v/>
      </c>
    </row>
    <row r="319" spans="1:11" ht="19.5" customHeight="1">
      <c r="A319" s="46"/>
      <c r="B319" s="47"/>
      <c r="C319" s="46"/>
      <c r="D319" s="46"/>
      <c r="E319" s="46"/>
      <c r="J319" s="44" t="str">
        <f>IFERROR(BaoLiuXiaoShuWei(AVERAGE(H319:I319),2),"")</f>
        <v/>
      </c>
      <c r="K319" s="50" t="str">
        <f>IFERROR(XiuYueXiaoShu(IF(J319="","",(J319-基本信息!$B$28)/基本信息!$B$29)*(基本信息!$C$9)/F319/1000*IF(G319="",1,G319),基本信息!$C$11,基本信息!$C$34,1),"")</f>
        <v/>
      </c>
    </row>
    <row r="320" spans="1:11" ht="19.5" customHeight="1">
      <c r="A320" s="46"/>
      <c r="B320" s="47"/>
      <c r="C320" s="46"/>
      <c r="D320" s="46"/>
      <c r="E320" s="46"/>
      <c r="J320" s="44" t="str">
        <f>IFERROR(BaoLiuXiaoShuWei(AVERAGE(H320:I320),2),"")</f>
        <v/>
      </c>
      <c r="K320" s="50" t="str">
        <f>IFERROR(XiuYueXiaoShu(IF(J320="","",(J320-基本信息!$B$28)/基本信息!$B$29)*(基本信息!$C$9)/F320/1000*IF(G320="",1,G320),基本信息!$C$11,基本信息!$C$34,1),"")</f>
        <v/>
      </c>
    </row>
    <row r="321" spans="1:11" ht="19.5" customHeight="1">
      <c r="A321" s="46"/>
      <c r="B321" s="47"/>
      <c r="C321" s="46"/>
      <c r="D321" s="46"/>
      <c r="E321" s="46"/>
      <c r="J321" s="44" t="str">
        <f>IFERROR(BaoLiuXiaoShuWei(AVERAGE(H321:I321),2),"")</f>
        <v/>
      </c>
      <c r="K321" s="50" t="str">
        <f>IFERROR(XiuYueXiaoShu(IF(J321="","",(J321-基本信息!$B$28)/基本信息!$B$29)*(基本信息!$C$9)/F321/1000*IF(G321="",1,G321),基本信息!$C$11,基本信息!$C$34,1),"")</f>
        <v/>
      </c>
    </row>
    <row r="322" spans="1:11" ht="19.5" customHeight="1">
      <c r="A322" s="46"/>
      <c r="B322" s="47"/>
      <c r="C322" s="46"/>
      <c r="D322" s="46"/>
      <c r="E322" s="46"/>
      <c r="J322" s="44" t="str">
        <f>IFERROR(BaoLiuXiaoShuWei(AVERAGE(H322:I322),2),"")</f>
        <v/>
      </c>
      <c r="K322" s="50" t="str">
        <f>IFERROR(XiuYueXiaoShu(IF(J322="","",(J322-基本信息!$B$28)/基本信息!$B$29)*(基本信息!$C$9)/F322/1000*IF(G322="",1,G322),基本信息!$C$11,基本信息!$C$34,1),"")</f>
        <v/>
      </c>
    </row>
    <row r="323" spans="1:11" ht="19.5" customHeight="1">
      <c r="A323" s="46"/>
      <c r="B323" s="47"/>
      <c r="C323" s="46"/>
      <c r="D323" s="46"/>
      <c r="E323" s="46"/>
      <c r="J323" s="44" t="str">
        <f>IFERROR(BaoLiuXiaoShuWei(AVERAGE(H323:I323),2),"")</f>
        <v/>
      </c>
      <c r="K323" s="50" t="str">
        <f>IFERROR(XiuYueXiaoShu(IF(J323="","",(J323-基本信息!$B$28)/基本信息!$B$29)*(基本信息!$C$9)/F323/1000*IF(G323="",1,G323),基本信息!$C$11,基本信息!$C$34,1),"")</f>
        <v/>
      </c>
    </row>
    <row r="324" spans="1:11" ht="19.5" customHeight="1">
      <c r="A324" s="46"/>
      <c r="B324" s="47"/>
      <c r="C324" s="46"/>
      <c r="D324" s="46"/>
      <c r="E324" s="46"/>
      <c r="J324" s="44" t="str">
        <f>IFERROR(BaoLiuXiaoShuWei(AVERAGE(H324:I324),2),"")</f>
        <v/>
      </c>
      <c r="K324" s="50" t="str">
        <f>IFERROR(XiuYueXiaoShu(IF(J324="","",(J324-基本信息!$B$28)/基本信息!$B$29)*(基本信息!$C$9)/F324/1000*IF(G324="",1,G324),基本信息!$C$11,基本信息!$C$34,1),"")</f>
        <v/>
      </c>
    </row>
    <row r="325" spans="1:11" ht="19.5" customHeight="1">
      <c r="A325" s="46"/>
      <c r="B325" s="47"/>
      <c r="C325" s="46"/>
      <c r="D325" s="46"/>
      <c r="E325" s="46"/>
      <c r="J325" s="44" t="str">
        <f>IFERROR(BaoLiuXiaoShuWei(AVERAGE(H325:I325),2),"")</f>
        <v/>
      </c>
      <c r="K325" s="50" t="str">
        <f>IFERROR(XiuYueXiaoShu(IF(J325="","",(J325-基本信息!$B$28)/基本信息!$B$29)*(基本信息!$C$9)/F325/1000*IF(G325="",1,G325),基本信息!$C$11,基本信息!$C$34,1),"")</f>
        <v/>
      </c>
    </row>
    <row r="326" spans="1:11" ht="19.5" customHeight="1">
      <c r="A326" s="46"/>
      <c r="B326" s="47"/>
      <c r="C326" s="46"/>
      <c r="D326" s="46"/>
      <c r="E326" s="46"/>
      <c r="J326" s="44" t="str">
        <f>IFERROR(BaoLiuXiaoShuWei(AVERAGE(H326:I326),2),"")</f>
        <v/>
      </c>
      <c r="K326" s="50" t="str">
        <f>IFERROR(XiuYueXiaoShu(IF(J326="","",(J326-基本信息!$B$28)/基本信息!$B$29)*(基本信息!$C$9)/F326/1000*IF(G326="",1,G326),基本信息!$C$11,基本信息!$C$34,1),"")</f>
        <v/>
      </c>
    </row>
    <row r="327" spans="1:11" ht="19.5" customHeight="1">
      <c r="A327" s="46"/>
      <c r="B327" s="47"/>
      <c r="C327" s="46"/>
      <c r="D327" s="46"/>
      <c r="E327" s="46"/>
      <c r="J327" s="44" t="str">
        <f>IFERROR(BaoLiuXiaoShuWei(AVERAGE(H327:I327),2),"")</f>
        <v/>
      </c>
      <c r="K327" s="50" t="str">
        <f>IFERROR(XiuYueXiaoShu(IF(J327="","",(J327-基本信息!$B$28)/基本信息!$B$29)*(基本信息!$C$9)/F327/1000*IF(G327="",1,G327),基本信息!$C$11,基本信息!$C$34,1),"")</f>
        <v/>
      </c>
    </row>
    <row r="328" spans="1:11" ht="19.5" customHeight="1">
      <c r="A328" s="46"/>
      <c r="B328" s="47"/>
      <c r="C328" s="46"/>
      <c r="D328" s="46"/>
      <c r="E328" s="46"/>
      <c r="J328" s="44" t="str">
        <f>IFERROR(BaoLiuXiaoShuWei(AVERAGE(H328:I328),2),"")</f>
        <v/>
      </c>
      <c r="K328" s="50" t="str">
        <f>IFERROR(XiuYueXiaoShu(IF(J328="","",(J328-基本信息!$B$28)/基本信息!$B$29)*(基本信息!$C$9)/F328/1000*IF(G328="",1,G328),基本信息!$C$11,基本信息!$C$34,1),"")</f>
        <v/>
      </c>
    </row>
    <row r="329" spans="1:11" ht="19.5" customHeight="1">
      <c r="A329" s="46"/>
      <c r="B329" s="47"/>
      <c r="C329" s="46"/>
      <c r="D329" s="46"/>
      <c r="E329" s="46"/>
      <c r="J329" s="44" t="str">
        <f>IFERROR(BaoLiuXiaoShuWei(AVERAGE(H329:I329),2),"")</f>
        <v/>
      </c>
      <c r="K329" s="50" t="str">
        <f>IFERROR(XiuYueXiaoShu(IF(J329="","",(J329-基本信息!$B$28)/基本信息!$B$29)*(基本信息!$C$9)/F329/1000*IF(G329="",1,G329),基本信息!$C$11,基本信息!$C$34,1),"")</f>
        <v/>
      </c>
    </row>
    <row r="330" spans="1:11" ht="19.5" customHeight="1">
      <c r="A330" s="46"/>
      <c r="B330" s="47"/>
      <c r="C330" s="46"/>
      <c r="D330" s="46"/>
      <c r="E330" s="46"/>
      <c r="J330" s="44" t="str">
        <f>IFERROR(BaoLiuXiaoShuWei(AVERAGE(H330:I330),2),"")</f>
        <v/>
      </c>
      <c r="K330" s="50" t="str">
        <f>IFERROR(XiuYueXiaoShu(IF(J330="","",(J330-基本信息!$B$28)/基本信息!$B$29)*(基本信息!$C$9)/F330/1000*IF(G330="",1,G330),基本信息!$C$11,基本信息!$C$34,1),"")</f>
        <v/>
      </c>
    </row>
    <row r="331" spans="1:11" ht="19.5" customHeight="1">
      <c r="A331" s="46"/>
      <c r="B331" s="47"/>
      <c r="C331" s="46"/>
      <c r="D331" s="46"/>
      <c r="E331" s="46"/>
      <c r="J331" s="44" t="str">
        <f>IFERROR(BaoLiuXiaoShuWei(AVERAGE(H331:I331),2),"")</f>
        <v/>
      </c>
      <c r="K331" s="50" t="str">
        <f>IFERROR(XiuYueXiaoShu(IF(J331="","",(J331-基本信息!$B$28)/基本信息!$B$29)*(基本信息!$C$9)/F331/1000*IF(G331="",1,G331),基本信息!$C$11,基本信息!$C$34,1),"")</f>
        <v/>
      </c>
    </row>
    <row r="332" spans="1:11" ht="19.5" customHeight="1">
      <c r="A332" s="46"/>
      <c r="B332" s="47"/>
      <c r="C332" s="46"/>
      <c r="D332" s="46"/>
      <c r="E332" s="46"/>
      <c r="J332" s="44" t="str">
        <f>IFERROR(BaoLiuXiaoShuWei(AVERAGE(H332:I332),2),"")</f>
        <v/>
      </c>
      <c r="K332" s="50" t="str">
        <f>IFERROR(XiuYueXiaoShu(IF(J332="","",(J332-基本信息!$B$28)/基本信息!$B$29)*(基本信息!$C$9)/F332/1000*IF(G332="",1,G332),基本信息!$C$11,基本信息!$C$34,1),"")</f>
        <v/>
      </c>
    </row>
    <row r="333" spans="1:11" ht="19.5" customHeight="1">
      <c r="A333" s="46"/>
      <c r="B333" s="47"/>
      <c r="C333" s="46"/>
      <c r="D333" s="46"/>
      <c r="E333" s="46"/>
      <c r="J333" s="44" t="str">
        <f>IFERROR(BaoLiuXiaoShuWei(AVERAGE(H333:I333),2),"")</f>
        <v/>
      </c>
      <c r="K333" s="50" t="str">
        <f>IFERROR(XiuYueXiaoShu(IF(J333="","",(J333-基本信息!$B$28)/基本信息!$B$29)*(基本信息!$C$9)/F333/1000*IF(G333="",1,G333),基本信息!$C$11,基本信息!$C$34,1),"")</f>
        <v/>
      </c>
    </row>
    <row r="334" spans="1:11" ht="19.5" customHeight="1">
      <c r="A334" s="46"/>
      <c r="B334" s="47"/>
      <c r="C334" s="46"/>
      <c r="D334" s="46"/>
      <c r="E334" s="46"/>
      <c r="J334" s="44" t="str">
        <f>IFERROR(BaoLiuXiaoShuWei(AVERAGE(H334:I334),2),"")</f>
        <v/>
      </c>
      <c r="K334" s="50" t="str">
        <f>IFERROR(XiuYueXiaoShu(IF(J334="","",(J334-基本信息!$B$28)/基本信息!$B$29)*(基本信息!$C$9)/F334/1000*IF(G334="",1,G334),基本信息!$C$11,基本信息!$C$34,1),"")</f>
        <v/>
      </c>
    </row>
    <row r="335" spans="1:11" ht="19.5" customHeight="1">
      <c r="A335" s="46"/>
      <c r="B335" s="47"/>
      <c r="C335" s="46"/>
      <c r="D335" s="46"/>
      <c r="E335" s="46"/>
      <c r="J335" s="44" t="str">
        <f>IFERROR(BaoLiuXiaoShuWei(AVERAGE(H335:I335),2),"")</f>
        <v/>
      </c>
      <c r="K335" s="50" t="str">
        <f>IFERROR(XiuYueXiaoShu(IF(J335="","",(J335-基本信息!$B$28)/基本信息!$B$29)*(基本信息!$C$9)/F335/1000*IF(G335="",1,G335),基本信息!$C$11,基本信息!$C$34,1),"")</f>
        <v/>
      </c>
    </row>
    <row r="336" spans="1:11" ht="19.5" customHeight="1">
      <c r="A336" s="46"/>
      <c r="B336" s="47"/>
      <c r="C336" s="46"/>
      <c r="D336" s="46"/>
      <c r="E336" s="46"/>
      <c r="J336" s="44" t="str">
        <f>IFERROR(BaoLiuXiaoShuWei(AVERAGE(H336:I336),2),"")</f>
        <v/>
      </c>
      <c r="K336" s="50" t="str">
        <f>IFERROR(XiuYueXiaoShu(IF(J336="","",(J336-基本信息!$B$28)/基本信息!$B$29)*(基本信息!$C$9)/F336/1000*IF(G336="",1,G336),基本信息!$C$11,基本信息!$C$34,1),"")</f>
        <v/>
      </c>
    </row>
    <row r="337" spans="1:11" ht="19.5" customHeight="1">
      <c r="A337" s="46"/>
      <c r="B337" s="47"/>
      <c r="C337" s="46"/>
      <c r="D337" s="46"/>
      <c r="E337" s="46"/>
      <c r="J337" s="44" t="str">
        <f>IFERROR(BaoLiuXiaoShuWei(AVERAGE(H337:I337),2),"")</f>
        <v/>
      </c>
      <c r="K337" s="50" t="str">
        <f>IFERROR(XiuYueXiaoShu(IF(J337="","",(J337-基本信息!$B$28)/基本信息!$B$29)*(基本信息!$C$9)/F337/1000*IF(G337="",1,G337),基本信息!$C$11,基本信息!$C$34,1),"")</f>
        <v/>
      </c>
    </row>
    <row r="338" spans="1:11" ht="19.5" customHeight="1">
      <c r="A338" s="46"/>
      <c r="B338" s="47"/>
      <c r="C338" s="46"/>
      <c r="D338" s="46"/>
      <c r="E338" s="46"/>
      <c r="J338" s="44" t="str">
        <f>IFERROR(BaoLiuXiaoShuWei(AVERAGE(H338:I338),2),"")</f>
        <v/>
      </c>
      <c r="K338" s="50" t="str">
        <f>IFERROR(XiuYueXiaoShu(IF(J338="","",(J338-基本信息!$B$28)/基本信息!$B$29)*(基本信息!$C$9)/F338/1000*IF(G338="",1,G338),基本信息!$C$11,基本信息!$C$34,1),"")</f>
        <v/>
      </c>
    </row>
    <row r="339" spans="1:11" ht="19.5" customHeight="1">
      <c r="A339" s="46"/>
      <c r="B339" s="47"/>
      <c r="C339" s="46"/>
      <c r="D339" s="46"/>
      <c r="E339" s="46"/>
      <c r="J339" s="44" t="str">
        <f>IFERROR(BaoLiuXiaoShuWei(AVERAGE(H339:I339),2),"")</f>
        <v/>
      </c>
      <c r="K339" s="50" t="str">
        <f>IFERROR(XiuYueXiaoShu(IF(J339="","",(J339-基本信息!$B$28)/基本信息!$B$29)*(基本信息!$C$9)/F339/1000*IF(G339="",1,G339),基本信息!$C$11,基本信息!$C$34,1),"")</f>
        <v/>
      </c>
    </row>
    <row r="340" spans="1:11" ht="19.5" customHeight="1">
      <c r="A340" s="46"/>
      <c r="B340" s="47"/>
      <c r="C340" s="46"/>
      <c r="D340" s="46"/>
      <c r="E340" s="46"/>
      <c r="J340" s="44" t="str">
        <f>IFERROR(BaoLiuXiaoShuWei(AVERAGE(H340:I340),2),"")</f>
        <v/>
      </c>
      <c r="K340" s="50" t="str">
        <f>IFERROR(XiuYueXiaoShu(IF(J340="","",(J340-基本信息!$B$28)/基本信息!$B$29)*(基本信息!$C$9)/F340/1000*IF(G340="",1,G340),基本信息!$C$11,基本信息!$C$34,1),"")</f>
        <v/>
      </c>
    </row>
    <row r="341" spans="1:11" ht="19.5" customHeight="1">
      <c r="A341" s="46"/>
      <c r="B341" s="47"/>
      <c r="C341" s="46"/>
      <c r="D341" s="46"/>
      <c r="E341" s="46"/>
      <c r="J341" s="44" t="str">
        <f>IFERROR(BaoLiuXiaoShuWei(AVERAGE(H341:I341),2),"")</f>
        <v/>
      </c>
      <c r="K341" s="50" t="str">
        <f>IFERROR(XiuYueXiaoShu(IF(J341="","",(J341-基本信息!$B$28)/基本信息!$B$29)*(基本信息!$C$9)/F341/1000*IF(G341="",1,G341),基本信息!$C$11,基本信息!$C$34,1),"")</f>
        <v/>
      </c>
    </row>
    <row r="342" spans="1:11" ht="19.5" customHeight="1">
      <c r="A342" s="46"/>
      <c r="B342" s="47"/>
      <c r="C342" s="46"/>
      <c r="D342" s="46"/>
      <c r="E342" s="46"/>
      <c r="J342" s="44" t="str">
        <f>IFERROR(BaoLiuXiaoShuWei(AVERAGE(H342:I342),2),"")</f>
        <v/>
      </c>
      <c r="K342" s="50" t="str">
        <f>IFERROR(XiuYueXiaoShu(IF(J342="","",(J342-基本信息!$B$28)/基本信息!$B$29)*(基本信息!$C$9)/F342/1000*IF(G342="",1,G342),基本信息!$C$11,基本信息!$C$34,1),"")</f>
        <v/>
      </c>
    </row>
    <row r="343" spans="1:11" ht="19.5" customHeight="1">
      <c r="A343" s="46"/>
      <c r="B343" s="47"/>
      <c r="C343" s="46"/>
      <c r="D343" s="46"/>
      <c r="E343" s="46"/>
      <c r="J343" s="44" t="str">
        <f>IFERROR(BaoLiuXiaoShuWei(AVERAGE(H343:I343),2),"")</f>
        <v/>
      </c>
      <c r="K343" s="50" t="str">
        <f>IFERROR(XiuYueXiaoShu(IF(J343="","",(J343-基本信息!$B$28)/基本信息!$B$29)*(基本信息!$C$9)/F343/1000*IF(G343="",1,G343),基本信息!$C$11,基本信息!$C$34,1),"")</f>
        <v/>
      </c>
    </row>
    <row r="344" spans="1:11" ht="19.5" customHeight="1">
      <c r="A344" s="46"/>
      <c r="B344" s="47"/>
      <c r="C344" s="46"/>
      <c r="D344" s="46"/>
      <c r="E344" s="46"/>
      <c r="J344" s="44" t="str">
        <f>IFERROR(BaoLiuXiaoShuWei(AVERAGE(H344:I344),2),"")</f>
        <v/>
      </c>
      <c r="K344" s="50" t="str">
        <f>IFERROR(XiuYueXiaoShu(IF(J344="","",(J344-基本信息!$B$28)/基本信息!$B$29)*(基本信息!$C$9)/F344/1000*IF(G344="",1,G344),基本信息!$C$11,基本信息!$C$34,1),"")</f>
        <v/>
      </c>
    </row>
    <row r="345" spans="1:11" ht="19.5" customHeight="1">
      <c r="A345" s="46"/>
      <c r="B345" s="47"/>
      <c r="C345" s="46"/>
      <c r="D345" s="46"/>
      <c r="E345" s="46"/>
      <c r="J345" s="44" t="str">
        <f>IFERROR(BaoLiuXiaoShuWei(AVERAGE(H345:I345),2),"")</f>
        <v/>
      </c>
      <c r="K345" s="50" t="str">
        <f>IFERROR(XiuYueXiaoShu(IF(J345="","",(J345-基本信息!$B$28)/基本信息!$B$29)*(基本信息!$C$9)/F345/1000*IF(G345="",1,G345),基本信息!$C$11,基本信息!$C$34,1),"")</f>
        <v/>
      </c>
    </row>
    <row r="346" spans="1:11" ht="19.5" customHeight="1">
      <c r="A346" s="46"/>
      <c r="B346" s="47"/>
      <c r="C346" s="46"/>
      <c r="D346" s="46"/>
      <c r="E346" s="46"/>
      <c r="J346" s="44" t="str">
        <f>IFERROR(BaoLiuXiaoShuWei(AVERAGE(H346:I346),2),"")</f>
        <v/>
      </c>
      <c r="K346" s="50" t="str">
        <f>IFERROR(XiuYueXiaoShu(IF(J346="","",(J346-基本信息!$B$28)/基本信息!$B$29)*(基本信息!$C$9)/F346/1000*IF(G346="",1,G346),基本信息!$C$11,基本信息!$C$34,1),"")</f>
        <v/>
      </c>
    </row>
    <row r="347" spans="1:11" ht="19.5" customHeight="1">
      <c r="A347" s="46"/>
      <c r="B347" s="47"/>
      <c r="C347" s="46"/>
      <c r="D347" s="46"/>
      <c r="E347" s="46"/>
      <c r="J347" s="44" t="str">
        <f>IFERROR(BaoLiuXiaoShuWei(AVERAGE(H347:I347),2),"")</f>
        <v/>
      </c>
      <c r="K347" s="50" t="str">
        <f>IFERROR(XiuYueXiaoShu(IF(J347="","",(J347-基本信息!$B$28)/基本信息!$B$29)*(基本信息!$C$9)/F347/1000*IF(G347="",1,G347),基本信息!$C$11,基本信息!$C$34,1),"")</f>
        <v/>
      </c>
    </row>
    <row r="348" spans="1:11" ht="19.5" customHeight="1">
      <c r="A348" s="46"/>
      <c r="B348" s="47"/>
      <c r="C348" s="46"/>
      <c r="D348" s="46"/>
      <c r="E348" s="46"/>
      <c r="J348" s="44" t="str">
        <f>IFERROR(BaoLiuXiaoShuWei(AVERAGE(H348:I348),2),"")</f>
        <v/>
      </c>
      <c r="K348" s="50" t="str">
        <f>IFERROR(XiuYueXiaoShu(IF(J348="","",(J348-基本信息!$B$28)/基本信息!$B$29)*(基本信息!$C$9)/F348/1000*IF(G348="",1,G348),基本信息!$C$11,基本信息!$C$34,1),"")</f>
        <v/>
      </c>
    </row>
    <row r="349" spans="1:11" ht="19.5" customHeight="1">
      <c r="A349" s="46"/>
      <c r="B349" s="47"/>
      <c r="C349" s="46"/>
      <c r="D349" s="46"/>
      <c r="E349" s="46"/>
      <c r="J349" s="44" t="str">
        <f>IFERROR(BaoLiuXiaoShuWei(AVERAGE(H349:I349),2),"")</f>
        <v/>
      </c>
      <c r="K349" s="50" t="str">
        <f>IFERROR(XiuYueXiaoShu(IF(J349="","",(J349-基本信息!$B$28)/基本信息!$B$29)*(基本信息!$C$9)/F349/1000*IF(G349="",1,G349),基本信息!$C$11,基本信息!$C$34,1),"")</f>
        <v/>
      </c>
    </row>
    <row r="350" spans="1:11" ht="19.5" customHeight="1">
      <c r="A350" s="46"/>
      <c r="B350" s="47"/>
      <c r="C350" s="46"/>
      <c r="D350" s="46"/>
      <c r="E350" s="46"/>
      <c r="J350" s="44" t="str">
        <f>IFERROR(BaoLiuXiaoShuWei(AVERAGE(H350:I350),2),"")</f>
        <v/>
      </c>
      <c r="K350" s="50" t="str">
        <f>IFERROR(XiuYueXiaoShu(IF(J350="","",(J350-基本信息!$B$28)/基本信息!$B$29)*(基本信息!$C$9)/F350/1000*IF(G350="",1,G350),基本信息!$C$11,基本信息!$C$34,1),"")</f>
        <v/>
      </c>
    </row>
    <row r="351" spans="1:11" ht="19.5" customHeight="1">
      <c r="A351" s="46"/>
      <c r="B351" s="47"/>
      <c r="C351" s="46"/>
      <c r="D351" s="46"/>
      <c r="E351" s="46"/>
      <c r="J351" s="44" t="str">
        <f>IFERROR(BaoLiuXiaoShuWei(AVERAGE(H351:I351),2),"")</f>
        <v/>
      </c>
      <c r="K351" s="50" t="str">
        <f>IFERROR(XiuYueXiaoShu(IF(J351="","",(J351-基本信息!$B$28)/基本信息!$B$29)*(基本信息!$C$9)/F351/1000*IF(G351="",1,G351),基本信息!$C$11,基本信息!$C$34,1),"")</f>
        <v/>
      </c>
    </row>
    <row r="352" spans="1:11" ht="19.5" customHeight="1">
      <c r="A352" s="46"/>
      <c r="B352" s="47"/>
      <c r="C352" s="46"/>
      <c r="D352" s="46"/>
      <c r="E352" s="46"/>
      <c r="J352" s="44" t="str">
        <f>IFERROR(BaoLiuXiaoShuWei(AVERAGE(H352:I352),2),"")</f>
        <v/>
      </c>
      <c r="K352" s="50" t="str">
        <f>IFERROR(XiuYueXiaoShu(IF(J352="","",(J352-基本信息!$B$28)/基本信息!$B$29)*(基本信息!$C$9)/F352/1000*IF(G352="",1,G352),基本信息!$C$11,基本信息!$C$34,1),"")</f>
        <v/>
      </c>
    </row>
    <row r="353" spans="1:11" ht="19.5" customHeight="1">
      <c r="A353" s="46"/>
      <c r="B353" s="47"/>
      <c r="C353" s="46"/>
      <c r="D353" s="46"/>
      <c r="E353" s="46"/>
      <c r="J353" s="44" t="str">
        <f>IFERROR(BaoLiuXiaoShuWei(AVERAGE(H353:I353),2),"")</f>
        <v/>
      </c>
      <c r="K353" s="50" t="str">
        <f>IFERROR(XiuYueXiaoShu(IF(J353="","",(J353-基本信息!$B$28)/基本信息!$B$29)*(基本信息!$C$9)/F353/1000*IF(G353="",1,G353),基本信息!$C$11,基本信息!$C$34,1),"")</f>
        <v/>
      </c>
    </row>
    <row r="354" spans="1:11" ht="19.5" customHeight="1">
      <c r="A354" s="46"/>
      <c r="B354" s="47"/>
      <c r="C354" s="46"/>
      <c r="D354" s="46"/>
      <c r="E354" s="46"/>
      <c r="J354" s="44" t="str">
        <f>IFERROR(BaoLiuXiaoShuWei(AVERAGE(H354:I354),2),"")</f>
        <v/>
      </c>
      <c r="K354" s="50" t="str">
        <f>IFERROR(XiuYueXiaoShu(IF(J354="","",(J354-基本信息!$B$28)/基本信息!$B$29)*(基本信息!$C$9)/F354/1000*IF(G354="",1,G354),基本信息!$C$11,基本信息!$C$34,1),"")</f>
        <v/>
      </c>
    </row>
    <row r="355" spans="1:11" ht="19.5" customHeight="1">
      <c r="A355" s="46"/>
      <c r="B355" s="47"/>
      <c r="C355" s="46"/>
      <c r="D355" s="46"/>
      <c r="E355" s="46"/>
      <c r="J355" s="44" t="str">
        <f>IFERROR(BaoLiuXiaoShuWei(AVERAGE(H355:I355),2),"")</f>
        <v/>
      </c>
      <c r="K355" s="50" t="str">
        <f>IFERROR(XiuYueXiaoShu(IF(J355="","",(J355-基本信息!$B$28)/基本信息!$B$29)*(基本信息!$C$9)/F355/1000*IF(G355="",1,G355),基本信息!$C$11,基本信息!$C$34,1),"")</f>
        <v/>
      </c>
    </row>
    <row r="356" spans="1:11" ht="19.5" customHeight="1">
      <c r="A356" s="46"/>
      <c r="B356" s="47"/>
      <c r="C356" s="46"/>
      <c r="D356" s="46"/>
      <c r="E356" s="46"/>
      <c r="J356" s="44" t="str">
        <f>IFERROR(BaoLiuXiaoShuWei(AVERAGE(H356:I356),2),"")</f>
        <v/>
      </c>
      <c r="K356" s="50" t="str">
        <f>IFERROR(XiuYueXiaoShu(IF(J356="","",(J356-基本信息!$B$28)/基本信息!$B$29)*(基本信息!$C$9)/F356/1000*IF(G356="",1,G356),基本信息!$C$11,基本信息!$C$34,1),"")</f>
        <v/>
      </c>
    </row>
    <row r="357" spans="1:11" ht="19.5" customHeight="1">
      <c r="A357" s="46"/>
      <c r="B357" s="47"/>
      <c r="C357" s="46"/>
      <c r="D357" s="46"/>
      <c r="E357" s="46"/>
      <c r="J357" s="44" t="str">
        <f>IFERROR(BaoLiuXiaoShuWei(AVERAGE(H357:I357),2),"")</f>
        <v/>
      </c>
      <c r="K357" s="50" t="str">
        <f>IFERROR(XiuYueXiaoShu(IF(J357="","",(J357-基本信息!$B$28)/基本信息!$B$29)*(基本信息!$C$9)/F357/1000*IF(G357="",1,G357),基本信息!$C$11,基本信息!$C$34,1),"")</f>
        <v/>
      </c>
    </row>
    <row r="358" spans="1:11" ht="19.5" customHeight="1">
      <c r="A358" s="46"/>
      <c r="B358" s="47"/>
      <c r="C358" s="46"/>
      <c r="D358" s="46"/>
      <c r="E358" s="46"/>
      <c r="J358" s="44" t="str">
        <f>IFERROR(BaoLiuXiaoShuWei(AVERAGE(H358:I358),2),"")</f>
        <v/>
      </c>
      <c r="K358" s="50" t="str">
        <f>IFERROR(XiuYueXiaoShu(IF(J358="","",(J358-基本信息!$B$28)/基本信息!$B$29)*(基本信息!$C$9)/F358/1000*IF(G358="",1,G358),基本信息!$C$11,基本信息!$C$34,1),"")</f>
        <v/>
      </c>
    </row>
    <row r="359" spans="1:11" ht="19.5" customHeight="1">
      <c r="A359" s="46"/>
      <c r="B359" s="47"/>
      <c r="C359" s="46"/>
      <c r="D359" s="46"/>
      <c r="E359" s="46"/>
      <c r="J359" s="44" t="str">
        <f>IFERROR(BaoLiuXiaoShuWei(AVERAGE(H359:I359),2),"")</f>
        <v/>
      </c>
      <c r="K359" s="50" t="str">
        <f>IFERROR(XiuYueXiaoShu(IF(J359="","",(J359-基本信息!$B$28)/基本信息!$B$29)*(基本信息!$C$9)/F359/1000*IF(G359="",1,G359),基本信息!$C$11,基本信息!$C$34,1),"")</f>
        <v/>
      </c>
    </row>
    <row r="360" spans="1:11" ht="19.5" customHeight="1">
      <c r="A360" s="46"/>
      <c r="B360" s="47"/>
      <c r="C360" s="46"/>
      <c r="D360" s="46"/>
      <c r="E360" s="46"/>
      <c r="J360" s="44" t="str">
        <f>IFERROR(BaoLiuXiaoShuWei(AVERAGE(H360:I360),2),"")</f>
        <v/>
      </c>
      <c r="K360" s="50" t="str">
        <f>IFERROR(XiuYueXiaoShu(IF(J360="","",(J360-基本信息!$B$28)/基本信息!$B$29)*(基本信息!$C$9)/F360/1000*IF(G360="",1,G360),基本信息!$C$11,基本信息!$C$34,1),"")</f>
        <v/>
      </c>
    </row>
    <row r="361" spans="1:11" ht="19.5" customHeight="1">
      <c r="A361" s="46"/>
      <c r="B361" s="47"/>
      <c r="C361" s="46"/>
      <c r="D361" s="46"/>
      <c r="E361" s="46"/>
      <c r="J361" s="44" t="str">
        <f>IFERROR(BaoLiuXiaoShuWei(AVERAGE(H361:I361),2),"")</f>
        <v/>
      </c>
      <c r="K361" s="50" t="str">
        <f>IFERROR(XiuYueXiaoShu(IF(J361="","",(J361-基本信息!$B$28)/基本信息!$B$29)*(基本信息!$C$9)/F361/1000*IF(G361="",1,G361),基本信息!$C$11,基本信息!$C$34,1),"")</f>
        <v/>
      </c>
    </row>
    <row r="362" spans="1:11" ht="19.5" customHeight="1">
      <c r="A362" s="46"/>
      <c r="B362" s="47"/>
      <c r="C362" s="46"/>
      <c r="D362" s="46"/>
      <c r="E362" s="46"/>
      <c r="J362" s="44" t="str">
        <f>IFERROR(BaoLiuXiaoShuWei(AVERAGE(H362:I362),2),"")</f>
        <v/>
      </c>
      <c r="K362" s="50" t="str">
        <f>IFERROR(XiuYueXiaoShu(IF(J362="","",(J362-基本信息!$B$28)/基本信息!$B$29)*(基本信息!$C$9)/F362/1000*IF(G362="",1,G362),基本信息!$C$11,基本信息!$C$34,1),"")</f>
        <v/>
      </c>
    </row>
    <row r="363" spans="1:11" ht="19.5" customHeight="1">
      <c r="A363" s="46"/>
      <c r="B363" s="47"/>
      <c r="C363" s="46"/>
      <c r="D363" s="46"/>
      <c r="E363" s="46"/>
      <c r="J363" s="44" t="str">
        <f>IFERROR(BaoLiuXiaoShuWei(AVERAGE(H363:I363),2),"")</f>
        <v/>
      </c>
      <c r="K363" s="50" t="str">
        <f>IFERROR(XiuYueXiaoShu(IF(J363="","",(J363-基本信息!$B$28)/基本信息!$B$29)*(基本信息!$C$9)/F363/1000*IF(G363="",1,G363),基本信息!$C$11,基本信息!$C$34,1),"")</f>
        <v/>
      </c>
    </row>
    <row r="364" spans="1:11" ht="19.5" customHeight="1">
      <c r="A364" s="46"/>
      <c r="B364" s="47"/>
      <c r="C364" s="46"/>
      <c r="D364" s="46"/>
      <c r="E364" s="46"/>
      <c r="J364" s="44" t="str">
        <f>IFERROR(BaoLiuXiaoShuWei(AVERAGE(H364:I364),2),"")</f>
        <v/>
      </c>
      <c r="K364" s="50" t="str">
        <f>IFERROR(XiuYueXiaoShu(IF(J364="","",(J364-基本信息!$B$28)/基本信息!$B$29)*(基本信息!$C$9)/F364/1000*IF(G364="",1,G364),基本信息!$C$11,基本信息!$C$34,1),"")</f>
        <v/>
      </c>
    </row>
    <row r="365" spans="1:11" ht="19.5" customHeight="1">
      <c r="A365" s="46"/>
      <c r="B365" s="47"/>
      <c r="C365" s="46"/>
      <c r="D365" s="46"/>
      <c r="E365" s="46"/>
      <c r="J365" s="44" t="str">
        <f>IFERROR(BaoLiuXiaoShuWei(AVERAGE(H365:I365),2),"")</f>
        <v/>
      </c>
      <c r="K365" s="50" t="str">
        <f>IFERROR(XiuYueXiaoShu(IF(J365="","",(J365-基本信息!$B$28)/基本信息!$B$29)*(基本信息!$C$9)/F365/1000*IF(G365="",1,G365),基本信息!$C$11,基本信息!$C$34,1),"")</f>
        <v/>
      </c>
    </row>
    <row r="366" spans="1:11" ht="19.5" customHeight="1">
      <c r="A366" s="46"/>
      <c r="B366" s="47"/>
      <c r="C366" s="46"/>
      <c r="D366" s="46"/>
      <c r="E366" s="46"/>
      <c r="J366" s="44" t="str">
        <f>IFERROR(BaoLiuXiaoShuWei(AVERAGE(H366:I366),2),"")</f>
        <v/>
      </c>
      <c r="K366" s="50" t="str">
        <f>IFERROR(XiuYueXiaoShu(IF(J366="","",(J366-基本信息!$B$28)/基本信息!$B$29)*(基本信息!$C$9)/F366/1000*IF(G366="",1,G366),基本信息!$C$11,基本信息!$C$34,1),"")</f>
        <v/>
      </c>
    </row>
    <row r="367" spans="1:11" ht="19.5" customHeight="1">
      <c r="A367" s="46"/>
      <c r="B367" s="47"/>
      <c r="C367" s="46"/>
      <c r="D367" s="46"/>
      <c r="E367" s="46"/>
      <c r="J367" s="44" t="str">
        <f>IFERROR(BaoLiuXiaoShuWei(AVERAGE(H367:I367),2),"")</f>
        <v/>
      </c>
      <c r="K367" s="50" t="str">
        <f>IFERROR(XiuYueXiaoShu(IF(J367="","",(J367-基本信息!$B$28)/基本信息!$B$29)*(基本信息!$C$9)/F367/1000*IF(G367="",1,G367),基本信息!$C$11,基本信息!$C$34,1),"")</f>
        <v/>
      </c>
    </row>
    <row r="368" spans="1:11" ht="19.5" customHeight="1">
      <c r="A368" s="46"/>
      <c r="B368" s="47"/>
      <c r="C368" s="46"/>
      <c r="D368" s="46"/>
      <c r="E368" s="46"/>
      <c r="J368" s="44" t="str">
        <f>IFERROR(BaoLiuXiaoShuWei(AVERAGE(H368:I368),2),"")</f>
        <v/>
      </c>
      <c r="K368" s="50" t="str">
        <f>IFERROR(XiuYueXiaoShu(IF(J368="","",(J368-基本信息!$B$28)/基本信息!$B$29)*(基本信息!$C$9)/F368/1000*IF(G368="",1,G368),基本信息!$C$11,基本信息!$C$34,1),"")</f>
        <v/>
      </c>
    </row>
    <row r="369" spans="1:11" ht="19.5" customHeight="1">
      <c r="A369" s="46"/>
      <c r="B369" s="47"/>
      <c r="C369" s="46"/>
      <c r="D369" s="46"/>
      <c r="E369" s="46"/>
      <c r="J369" s="44" t="str">
        <f>IFERROR(BaoLiuXiaoShuWei(AVERAGE(H369:I369),2),"")</f>
        <v/>
      </c>
      <c r="K369" s="50" t="str">
        <f>IFERROR(XiuYueXiaoShu(IF(J369="","",(J369-基本信息!$B$28)/基本信息!$B$29)*(基本信息!$C$9)/F369/1000*IF(G369="",1,G369),基本信息!$C$11,基本信息!$C$34,1),"")</f>
        <v/>
      </c>
    </row>
    <row r="370" spans="1:11" ht="19.5" customHeight="1">
      <c r="A370" s="46"/>
      <c r="B370" s="47"/>
      <c r="C370" s="46"/>
      <c r="D370" s="46"/>
      <c r="E370" s="46"/>
      <c r="J370" s="44" t="str">
        <f>IFERROR(BaoLiuXiaoShuWei(AVERAGE(H370:I370),2),"")</f>
        <v/>
      </c>
      <c r="K370" s="50" t="str">
        <f>IFERROR(XiuYueXiaoShu(IF(J370="","",(J370-基本信息!$B$28)/基本信息!$B$29)*(基本信息!$C$9)/F370/1000*IF(G370="",1,G370),基本信息!$C$11,基本信息!$C$34,1),"")</f>
        <v/>
      </c>
    </row>
    <row r="371" spans="1:11" ht="19.5" customHeight="1">
      <c r="A371" s="46"/>
      <c r="B371" s="47"/>
      <c r="C371" s="46"/>
      <c r="D371" s="46"/>
      <c r="E371" s="46"/>
      <c r="J371" s="44" t="str">
        <f>IFERROR(BaoLiuXiaoShuWei(AVERAGE(H371:I371),2),"")</f>
        <v/>
      </c>
      <c r="K371" s="50" t="str">
        <f>IFERROR(XiuYueXiaoShu(IF(J371="","",(J371-基本信息!$B$28)/基本信息!$B$29)*(基本信息!$C$9)/F371/1000*IF(G371="",1,G371),基本信息!$C$11,基本信息!$C$34,1),"")</f>
        <v/>
      </c>
    </row>
    <row r="372" spans="1:11" ht="19.5" customHeight="1">
      <c r="A372" s="46"/>
      <c r="B372" s="47"/>
      <c r="C372" s="46"/>
      <c r="D372" s="46"/>
      <c r="E372" s="46"/>
      <c r="J372" s="44" t="str">
        <f>IFERROR(BaoLiuXiaoShuWei(AVERAGE(H372:I372),2),"")</f>
        <v/>
      </c>
      <c r="K372" s="50" t="str">
        <f>IFERROR(XiuYueXiaoShu(IF(J372="","",(J372-基本信息!$B$28)/基本信息!$B$29)*(基本信息!$C$9)/F372/1000*IF(G372="",1,G372),基本信息!$C$11,基本信息!$C$34,1),"")</f>
        <v/>
      </c>
    </row>
    <row r="373" spans="1:11" ht="19.5" customHeight="1">
      <c r="A373" s="46"/>
      <c r="B373" s="47"/>
      <c r="C373" s="46"/>
      <c r="D373" s="46"/>
      <c r="E373" s="46"/>
      <c r="J373" s="44" t="str">
        <f>IFERROR(BaoLiuXiaoShuWei(AVERAGE(H373:I373),2),"")</f>
        <v/>
      </c>
      <c r="K373" s="50" t="str">
        <f>IFERROR(XiuYueXiaoShu(IF(J373="","",(J373-基本信息!$B$28)/基本信息!$B$29)*(基本信息!$C$9)/F373/1000*IF(G373="",1,G373),基本信息!$C$11,基本信息!$C$34,1),"")</f>
        <v/>
      </c>
    </row>
    <row r="374" spans="1:11" ht="19.5" customHeight="1">
      <c r="A374" s="46"/>
      <c r="B374" s="47"/>
      <c r="C374" s="46"/>
      <c r="D374" s="46"/>
      <c r="E374" s="46"/>
      <c r="J374" s="44" t="str">
        <f>IFERROR(BaoLiuXiaoShuWei(AVERAGE(H374:I374),2),"")</f>
        <v/>
      </c>
      <c r="K374" s="50" t="str">
        <f>IFERROR(XiuYueXiaoShu(IF(J374="","",(J374-基本信息!$B$28)/基本信息!$B$29)*(基本信息!$C$9)/F374/1000*IF(G374="",1,G374),基本信息!$C$11,基本信息!$C$34,1),"")</f>
        <v/>
      </c>
    </row>
    <row r="375" spans="1:11" ht="19.5" customHeight="1">
      <c r="A375" s="46"/>
      <c r="B375" s="47"/>
      <c r="C375" s="46"/>
      <c r="D375" s="46"/>
      <c r="E375" s="46"/>
      <c r="J375" s="44" t="str">
        <f>IFERROR(BaoLiuXiaoShuWei(AVERAGE(H375:I375),2),"")</f>
        <v/>
      </c>
      <c r="K375" s="50" t="str">
        <f>IFERROR(XiuYueXiaoShu(IF(J375="","",(J375-基本信息!$B$28)/基本信息!$B$29)*(基本信息!$C$9)/F375/1000*IF(G375="",1,G375),基本信息!$C$11,基本信息!$C$34,1),"")</f>
        <v/>
      </c>
    </row>
    <row r="376" spans="1:11" ht="19.5" customHeight="1">
      <c r="A376" s="46"/>
      <c r="B376" s="47"/>
      <c r="C376" s="46"/>
      <c r="D376" s="46"/>
      <c r="E376" s="46"/>
      <c r="J376" s="44" t="str">
        <f>IFERROR(BaoLiuXiaoShuWei(AVERAGE(H376:I376),2),"")</f>
        <v/>
      </c>
      <c r="K376" s="50" t="str">
        <f>IFERROR(XiuYueXiaoShu(IF(J376="","",(J376-基本信息!$B$28)/基本信息!$B$29)*(基本信息!$C$9)/F376/1000*IF(G376="",1,G376),基本信息!$C$11,基本信息!$C$34,1),"")</f>
        <v/>
      </c>
    </row>
    <row r="377" spans="1:11" ht="19.5" customHeight="1">
      <c r="A377" s="46"/>
      <c r="B377" s="47"/>
      <c r="C377" s="46"/>
      <c r="D377" s="46"/>
      <c r="E377" s="46"/>
      <c r="J377" s="44" t="str">
        <f>IFERROR(BaoLiuXiaoShuWei(AVERAGE(H377:I377),2),"")</f>
        <v/>
      </c>
      <c r="K377" s="50" t="str">
        <f>IFERROR(XiuYueXiaoShu(IF(J377="","",(J377-基本信息!$B$28)/基本信息!$B$29)*(基本信息!$C$9)/F377/1000*IF(G377="",1,G377),基本信息!$C$11,基本信息!$C$34,1),"")</f>
        <v/>
      </c>
    </row>
    <row r="378" spans="1:11" ht="19.5" customHeight="1">
      <c r="A378" s="46"/>
      <c r="B378" s="47"/>
      <c r="C378" s="46"/>
      <c r="D378" s="46"/>
      <c r="E378" s="46"/>
      <c r="J378" s="44" t="str">
        <f>IFERROR(BaoLiuXiaoShuWei(AVERAGE(H378:I378),2),"")</f>
        <v/>
      </c>
      <c r="K378" s="50" t="str">
        <f>IFERROR(XiuYueXiaoShu(IF(J378="","",(J378-基本信息!$B$28)/基本信息!$B$29)*(基本信息!$C$9)/F378/1000*IF(G378="",1,G378),基本信息!$C$11,基本信息!$C$34,1),"")</f>
        <v/>
      </c>
    </row>
    <row r="379" spans="1:11" ht="19.5" customHeight="1">
      <c r="A379" s="46"/>
      <c r="B379" s="47"/>
      <c r="C379" s="46"/>
      <c r="D379" s="46"/>
      <c r="E379" s="46"/>
      <c r="J379" s="44" t="str">
        <f>IFERROR(BaoLiuXiaoShuWei(AVERAGE(H379:I379),2),"")</f>
        <v/>
      </c>
      <c r="K379" s="50" t="str">
        <f>IFERROR(XiuYueXiaoShu(IF(J379="","",(J379-基本信息!$B$28)/基本信息!$B$29)*(基本信息!$C$9)/F379/1000*IF(G379="",1,G379),基本信息!$C$11,基本信息!$C$34,1),"")</f>
        <v/>
      </c>
    </row>
    <row r="380" spans="1:11" ht="19.5" customHeight="1">
      <c r="A380" s="46"/>
      <c r="B380" s="47"/>
      <c r="C380" s="46"/>
      <c r="D380" s="46"/>
      <c r="E380" s="46"/>
      <c r="J380" s="44" t="str">
        <f>IFERROR(BaoLiuXiaoShuWei(AVERAGE(H380:I380),2),"")</f>
        <v/>
      </c>
      <c r="K380" s="50" t="str">
        <f>IFERROR(XiuYueXiaoShu(IF(J380="","",(J380-基本信息!$B$28)/基本信息!$B$29)*(基本信息!$C$9)/F380/1000*IF(G380="",1,G380),基本信息!$C$11,基本信息!$C$34,1),"")</f>
        <v/>
      </c>
    </row>
    <row r="381" spans="1:11" ht="19.5" customHeight="1">
      <c r="A381" s="46"/>
      <c r="B381" s="47"/>
      <c r="C381" s="46"/>
      <c r="D381" s="46"/>
      <c r="E381" s="46"/>
      <c r="J381" s="44" t="str">
        <f>IFERROR(BaoLiuXiaoShuWei(AVERAGE(H381:I381),2),"")</f>
        <v/>
      </c>
      <c r="K381" s="50" t="str">
        <f>IFERROR(XiuYueXiaoShu(IF(J381="","",(J381-基本信息!$B$28)/基本信息!$B$29)*(基本信息!$C$9)/F381/1000*IF(G381="",1,G381),基本信息!$C$11,基本信息!$C$34,1),"")</f>
        <v/>
      </c>
    </row>
    <row r="382" spans="1:11" ht="19.5" customHeight="1">
      <c r="A382" s="46"/>
      <c r="B382" s="47"/>
      <c r="C382" s="46"/>
      <c r="D382" s="46"/>
      <c r="E382" s="46"/>
      <c r="J382" s="44" t="str">
        <f>IFERROR(BaoLiuXiaoShuWei(AVERAGE(H382:I382),2),"")</f>
        <v/>
      </c>
      <c r="K382" s="50" t="str">
        <f>IFERROR(XiuYueXiaoShu(IF(J382="","",(J382-基本信息!$B$28)/基本信息!$B$29)*(基本信息!$C$9)/F382/1000*IF(G382="",1,G382),基本信息!$C$11,基本信息!$C$34,1),"")</f>
        <v/>
      </c>
    </row>
    <row r="383" spans="1:11" ht="19.5" customHeight="1">
      <c r="A383" s="46"/>
      <c r="B383" s="47"/>
      <c r="C383" s="46"/>
      <c r="D383" s="46"/>
      <c r="E383" s="46"/>
      <c r="J383" s="44" t="str">
        <f>IFERROR(BaoLiuXiaoShuWei(AVERAGE(H383:I383),2),"")</f>
        <v/>
      </c>
      <c r="K383" s="50" t="str">
        <f>IFERROR(XiuYueXiaoShu(IF(J383="","",(J383-基本信息!$B$28)/基本信息!$B$29)*(基本信息!$C$9)/F383/1000*IF(G383="",1,G383),基本信息!$C$11,基本信息!$C$34,1),"")</f>
        <v/>
      </c>
    </row>
    <row r="384" spans="1:11" ht="19.5" customHeight="1">
      <c r="A384" s="46"/>
      <c r="B384" s="47"/>
      <c r="C384" s="46"/>
      <c r="D384" s="46"/>
      <c r="E384" s="46"/>
      <c r="J384" s="44" t="str">
        <f>IFERROR(BaoLiuXiaoShuWei(AVERAGE(H384:I384),2),"")</f>
        <v/>
      </c>
      <c r="K384" s="50" t="str">
        <f>IFERROR(XiuYueXiaoShu(IF(J384="","",(J384-基本信息!$B$28)/基本信息!$B$29)*(基本信息!$C$9)/F384/1000*IF(G384="",1,G384),基本信息!$C$11,基本信息!$C$34,1),"")</f>
        <v/>
      </c>
    </row>
    <row r="385" spans="1:11" ht="19.5" customHeight="1">
      <c r="A385" s="46"/>
      <c r="B385" s="47"/>
      <c r="C385" s="46"/>
      <c r="D385" s="46"/>
      <c r="E385" s="46"/>
      <c r="J385" s="44" t="str">
        <f>IFERROR(BaoLiuXiaoShuWei(AVERAGE(H385:I385),2),"")</f>
        <v/>
      </c>
      <c r="K385" s="50" t="str">
        <f>IFERROR(XiuYueXiaoShu(IF(J385="","",(J385-基本信息!$B$28)/基本信息!$B$29)*(基本信息!$C$9)/F385/1000*IF(G385="",1,G385),基本信息!$C$11,基本信息!$C$34,1),"")</f>
        <v/>
      </c>
    </row>
    <row r="386" spans="1:11" ht="19.5" customHeight="1">
      <c r="A386" s="46"/>
      <c r="B386" s="47"/>
      <c r="C386" s="46"/>
      <c r="D386" s="46"/>
      <c r="E386" s="46"/>
      <c r="J386" s="44" t="str">
        <f>IFERROR(BaoLiuXiaoShuWei(AVERAGE(H386:I386),2),"")</f>
        <v/>
      </c>
      <c r="K386" s="50" t="str">
        <f>IFERROR(XiuYueXiaoShu(IF(J386="","",(J386-基本信息!$B$28)/基本信息!$B$29)*(基本信息!$C$9)/F386/1000*IF(G386="",1,G386),基本信息!$C$11,基本信息!$C$34,1),"")</f>
        <v/>
      </c>
    </row>
    <row r="387" spans="1:11" ht="19.5" customHeight="1">
      <c r="A387" s="46"/>
      <c r="B387" s="47"/>
      <c r="C387" s="46"/>
      <c r="D387" s="46"/>
      <c r="E387" s="46"/>
      <c r="J387" s="44" t="str">
        <f>IFERROR(BaoLiuXiaoShuWei(AVERAGE(H387:I387),2),"")</f>
        <v/>
      </c>
      <c r="K387" s="50" t="str">
        <f>IFERROR(XiuYueXiaoShu(IF(J387="","",(J387-基本信息!$B$28)/基本信息!$B$29)*(基本信息!$C$9)/F387/1000*IF(G387="",1,G387),基本信息!$C$11,基本信息!$C$34,1),"")</f>
        <v/>
      </c>
    </row>
    <row r="388" spans="1:11" ht="19.5" customHeight="1">
      <c r="A388" s="46"/>
      <c r="B388" s="47"/>
      <c r="C388" s="46"/>
      <c r="D388" s="46"/>
      <c r="E388" s="46"/>
      <c r="J388" s="44" t="str">
        <f>IFERROR(BaoLiuXiaoShuWei(AVERAGE(H388:I388),2),"")</f>
        <v/>
      </c>
      <c r="K388" s="50" t="str">
        <f>IFERROR(XiuYueXiaoShu(IF(J388="","",(J388-基本信息!$B$28)/基本信息!$B$29)*(基本信息!$C$9)/F388/1000*IF(G388="",1,G388),基本信息!$C$11,基本信息!$C$34,1),"")</f>
        <v/>
      </c>
    </row>
    <row r="389" spans="1:11" ht="19.5" customHeight="1">
      <c r="A389" s="46"/>
      <c r="B389" s="47"/>
      <c r="C389" s="46"/>
      <c r="D389" s="46"/>
      <c r="E389" s="46"/>
      <c r="J389" s="44" t="str">
        <f>IFERROR(BaoLiuXiaoShuWei(AVERAGE(H389:I389),2),"")</f>
        <v/>
      </c>
      <c r="K389" s="50" t="str">
        <f>IFERROR(XiuYueXiaoShu(IF(J389="","",(J389-基本信息!$B$28)/基本信息!$B$29)*(基本信息!$C$9)/F389/1000*IF(G389="",1,G389),基本信息!$C$11,基本信息!$C$34,1),"")</f>
        <v/>
      </c>
    </row>
    <row r="390" spans="1:11" ht="19.5" customHeight="1">
      <c r="A390" s="46"/>
      <c r="B390" s="47"/>
      <c r="C390" s="46"/>
      <c r="D390" s="46"/>
      <c r="E390" s="46"/>
      <c r="J390" s="44" t="str">
        <f>IFERROR(BaoLiuXiaoShuWei(AVERAGE(H390:I390),2),"")</f>
        <v/>
      </c>
      <c r="K390" s="50" t="str">
        <f>IFERROR(XiuYueXiaoShu(IF(J390="","",(J390-基本信息!$B$28)/基本信息!$B$29)*(基本信息!$C$9)/F390/1000*IF(G390="",1,G390),基本信息!$C$11,基本信息!$C$34,1),"")</f>
        <v/>
      </c>
    </row>
    <row r="391" spans="1:11" ht="19.5" customHeight="1">
      <c r="A391" s="46"/>
      <c r="B391" s="47"/>
      <c r="C391" s="46"/>
      <c r="D391" s="46"/>
      <c r="E391" s="46"/>
      <c r="J391" s="44" t="str">
        <f>IFERROR(BaoLiuXiaoShuWei(AVERAGE(H391:I391),2),"")</f>
        <v/>
      </c>
      <c r="K391" s="50" t="str">
        <f>IFERROR(XiuYueXiaoShu(IF(J391="","",(J391-基本信息!$B$28)/基本信息!$B$29)*(基本信息!$C$9)/F391/1000*IF(G391="",1,G391),基本信息!$C$11,基本信息!$C$34,1),"")</f>
        <v/>
      </c>
    </row>
    <row r="392" spans="1:11" ht="19.5" customHeight="1">
      <c r="A392" s="46"/>
      <c r="B392" s="47"/>
      <c r="C392" s="46"/>
      <c r="D392" s="46"/>
      <c r="E392" s="46"/>
      <c r="J392" s="44" t="str">
        <f>IFERROR(BaoLiuXiaoShuWei(AVERAGE(H392:I392),2),"")</f>
        <v/>
      </c>
      <c r="K392" s="50" t="str">
        <f>IFERROR(XiuYueXiaoShu(IF(J392="","",(J392-基本信息!$B$28)/基本信息!$B$29)*(基本信息!$C$9)/F392/1000*IF(G392="",1,G392),基本信息!$C$11,基本信息!$C$34,1),"")</f>
        <v/>
      </c>
    </row>
    <row r="393" spans="1:11" ht="19.5" customHeight="1">
      <c r="A393" s="46"/>
      <c r="B393" s="47"/>
      <c r="C393" s="46"/>
      <c r="D393" s="46"/>
      <c r="E393" s="46"/>
      <c r="J393" s="44" t="str">
        <f>IFERROR(BaoLiuXiaoShuWei(AVERAGE(H393:I393),2),"")</f>
        <v/>
      </c>
      <c r="K393" s="50" t="str">
        <f>IFERROR(XiuYueXiaoShu(IF(J393="","",(J393-基本信息!$B$28)/基本信息!$B$29)*(基本信息!$C$9)/F393/1000*IF(G393="",1,G393),基本信息!$C$11,基本信息!$C$34,1),"")</f>
        <v/>
      </c>
    </row>
    <row r="394" spans="1:11" ht="19.5" customHeight="1">
      <c r="A394" s="46"/>
      <c r="B394" s="47"/>
      <c r="C394" s="46"/>
      <c r="D394" s="46"/>
      <c r="E394" s="46"/>
      <c r="J394" s="44" t="str">
        <f>IFERROR(BaoLiuXiaoShuWei(AVERAGE(H394:I394),2),"")</f>
        <v/>
      </c>
      <c r="K394" s="50" t="str">
        <f>IFERROR(XiuYueXiaoShu(IF(J394="","",(J394-基本信息!$B$28)/基本信息!$B$29)*(基本信息!$C$9)/F394/1000*IF(G394="",1,G394),基本信息!$C$11,基本信息!$C$34,1),"")</f>
        <v/>
      </c>
    </row>
    <row r="395" spans="1:11" ht="19.5" customHeight="1">
      <c r="A395" s="46"/>
      <c r="B395" s="47"/>
      <c r="C395" s="46"/>
      <c r="D395" s="46"/>
      <c r="E395" s="46"/>
      <c r="J395" s="44" t="str">
        <f>IFERROR(BaoLiuXiaoShuWei(AVERAGE(H395:I395),2),"")</f>
        <v/>
      </c>
      <c r="K395" s="50" t="str">
        <f>IFERROR(XiuYueXiaoShu(IF(J395="","",(J395-基本信息!$B$28)/基本信息!$B$29)*(基本信息!$C$9)/F395/1000*IF(G395="",1,G395),基本信息!$C$11,基本信息!$C$34,1),"")</f>
        <v/>
      </c>
    </row>
    <row r="396" spans="1:11" ht="19.5" customHeight="1">
      <c r="A396" s="46"/>
      <c r="B396" s="47"/>
      <c r="C396" s="46"/>
      <c r="D396" s="46"/>
      <c r="E396" s="46"/>
      <c r="J396" s="44" t="str">
        <f>IFERROR(BaoLiuXiaoShuWei(AVERAGE(H396:I396),2),"")</f>
        <v/>
      </c>
      <c r="K396" s="50" t="str">
        <f>IFERROR(XiuYueXiaoShu(IF(J396="","",(J396-基本信息!$B$28)/基本信息!$B$29)*(基本信息!$C$9)/F396/1000*IF(G396="",1,G396),基本信息!$C$11,基本信息!$C$34,1),"")</f>
        <v/>
      </c>
    </row>
    <row r="397" spans="1:11" ht="19.5" customHeight="1">
      <c r="A397" s="46"/>
      <c r="B397" s="47"/>
      <c r="C397" s="46"/>
      <c r="D397" s="46"/>
      <c r="E397" s="46"/>
      <c r="J397" s="44" t="str">
        <f>IFERROR(BaoLiuXiaoShuWei(AVERAGE(H397:I397),2),"")</f>
        <v/>
      </c>
      <c r="K397" s="50" t="str">
        <f>IFERROR(XiuYueXiaoShu(IF(J397="","",(J397-基本信息!$B$28)/基本信息!$B$29)*(基本信息!$C$9)/F397/1000*IF(G397="",1,G397),基本信息!$C$11,基本信息!$C$34,1),"")</f>
        <v/>
      </c>
    </row>
    <row r="398" spans="1:11" ht="19.5" customHeight="1">
      <c r="A398" s="46"/>
      <c r="B398" s="47"/>
      <c r="C398" s="46"/>
      <c r="D398" s="46"/>
      <c r="E398" s="46"/>
      <c r="J398" s="44" t="str">
        <f>IFERROR(BaoLiuXiaoShuWei(AVERAGE(H398:I398),2),"")</f>
        <v/>
      </c>
      <c r="K398" s="50" t="str">
        <f>IFERROR(XiuYueXiaoShu(IF(J398="","",(J398-基本信息!$B$28)/基本信息!$B$29)*(基本信息!$C$9)/F398/1000*IF(G398="",1,G398),基本信息!$C$11,基本信息!$C$34,1),"")</f>
        <v/>
      </c>
    </row>
    <row r="399" spans="1:11" ht="19.5" customHeight="1">
      <c r="A399" s="46"/>
      <c r="B399" s="47"/>
      <c r="C399" s="46"/>
      <c r="D399" s="46"/>
      <c r="E399" s="46"/>
      <c r="J399" s="44" t="str">
        <f>IFERROR(BaoLiuXiaoShuWei(AVERAGE(H399:I399),2),"")</f>
        <v/>
      </c>
      <c r="K399" s="50" t="str">
        <f>IFERROR(XiuYueXiaoShu(IF(J399="","",(J399-基本信息!$B$28)/基本信息!$B$29)*(基本信息!$C$9)/F399/1000*IF(G399="",1,G399),基本信息!$C$11,基本信息!$C$34,1),"")</f>
        <v/>
      </c>
    </row>
    <row r="400" spans="1:11" ht="19.5" customHeight="1">
      <c r="A400" s="46"/>
      <c r="B400" s="47"/>
      <c r="C400" s="46"/>
      <c r="D400" s="46"/>
      <c r="E400" s="46"/>
      <c r="J400" s="44" t="str">
        <f>IFERROR(BaoLiuXiaoShuWei(AVERAGE(H400:I400),2),"")</f>
        <v/>
      </c>
      <c r="K400" s="50" t="str">
        <f>IFERROR(XiuYueXiaoShu(IF(J400="","",(J400-基本信息!$B$28)/基本信息!$B$29)*(基本信息!$C$9)/F400/1000*IF(G400="",1,G400),基本信息!$C$11,基本信息!$C$34,1),"")</f>
        <v/>
      </c>
    </row>
    <row r="401" spans="1:11" ht="19.5" customHeight="1">
      <c r="A401" s="46"/>
      <c r="B401" s="47"/>
      <c r="C401" s="46"/>
      <c r="D401" s="46"/>
      <c r="E401" s="46"/>
      <c r="J401" s="44" t="str">
        <f>IFERROR(BaoLiuXiaoShuWei(AVERAGE(H401:I401),2),"")</f>
        <v/>
      </c>
      <c r="K401" s="50" t="str">
        <f>IFERROR(XiuYueXiaoShu(IF(J401="","",(J401-基本信息!$B$28)/基本信息!$B$29)*(基本信息!$C$9)/F401/1000*IF(G401="",1,G401),基本信息!$C$11,基本信息!$C$34,1),"")</f>
        <v/>
      </c>
    </row>
    <row r="402" spans="1:11" ht="19.5" customHeight="1">
      <c r="A402" s="46"/>
      <c r="B402" s="47"/>
      <c r="C402" s="46"/>
      <c r="D402" s="46"/>
      <c r="E402" s="46"/>
      <c r="J402" s="44" t="str">
        <f>IFERROR(BaoLiuXiaoShuWei(AVERAGE(H402:I402),2),"")</f>
        <v/>
      </c>
      <c r="K402" s="50" t="str">
        <f>IFERROR(XiuYueXiaoShu(IF(J402="","",(J402-基本信息!$B$28)/基本信息!$B$29)*(基本信息!$C$9)/F402/1000*IF(G402="",1,G402),基本信息!$C$11,基本信息!$C$34,1),"")</f>
        <v/>
      </c>
    </row>
    <row r="403" spans="1:11" ht="19.5" customHeight="1">
      <c r="A403" s="46"/>
      <c r="B403" s="47"/>
      <c r="C403" s="46"/>
      <c r="D403" s="46"/>
      <c r="E403" s="46"/>
      <c r="J403" s="44" t="str">
        <f>IFERROR(BaoLiuXiaoShuWei(AVERAGE(H403:I403),2),"")</f>
        <v/>
      </c>
      <c r="K403" s="50" t="str">
        <f>IFERROR(XiuYueXiaoShu(IF(J403="","",(J403-基本信息!$B$28)/基本信息!$B$29)*(基本信息!$C$9)/F403/1000*IF(G403="",1,G403),基本信息!$C$11,基本信息!$C$34,1),"")</f>
        <v/>
      </c>
    </row>
    <row r="404" spans="1:11" ht="19.5" customHeight="1">
      <c r="A404" s="46"/>
      <c r="B404" s="47"/>
      <c r="C404" s="46"/>
      <c r="D404" s="46"/>
      <c r="E404" s="46"/>
      <c r="J404" s="44" t="str">
        <f>IFERROR(BaoLiuXiaoShuWei(AVERAGE(H404:I404),2),"")</f>
        <v/>
      </c>
      <c r="K404" s="50" t="str">
        <f>IFERROR(XiuYueXiaoShu(IF(J404="","",(J404-基本信息!$B$28)/基本信息!$B$29)*(基本信息!$C$9)/F404/1000*IF(G404="",1,G404),基本信息!$C$11,基本信息!$C$34,1),"")</f>
        <v/>
      </c>
    </row>
    <row r="405" spans="1:11" ht="19.5" customHeight="1">
      <c r="A405" s="46"/>
      <c r="B405" s="47"/>
      <c r="C405" s="46"/>
      <c r="D405" s="46"/>
      <c r="E405" s="46"/>
      <c r="J405" s="44" t="str">
        <f>IFERROR(BaoLiuXiaoShuWei(AVERAGE(H405:I405),2),"")</f>
        <v/>
      </c>
      <c r="K405" s="50" t="str">
        <f>IFERROR(XiuYueXiaoShu(IF(J405="","",(J405-基本信息!$B$28)/基本信息!$B$29)*(基本信息!$C$9)/F405/1000*IF(G405="",1,G405),基本信息!$C$11,基本信息!$C$34,1),"")</f>
        <v/>
      </c>
    </row>
    <row r="406" spans="1:11" ht="19.5" customHeight="1">
      <c r="A406" s="46"/>
      <c r="B406" s="47"/>
      <c r="C406" s="46"/>
      <c r="D406" s="46"/>
      <c r="E406" s="46"/>
      <c r="J406" s="44" t="str">
        <f>IFERROR(BaoLiuXiaoShuWei(AVERAGE(H406:I406),2),"")</f>
        <v/>
      </c>
      <c r="K406" s="50" t="str">
        <f>IFERROR(XiuYueXiaoShu(IF(J406="","",(J406-基本信息!$B$28)/基本信息!$B$29)*(基本信息!$C$9)/F406/1000*IF(G406="",1,G406),基本信息!$C$11,基本信息!$C$34,1),"")</f>
        <v/>
      </c>
    </row>
    <row r="407" spans="1:11" ht="19.5" customHeight="1">
      <c r="A407" s="46"/>
      <c r="B407" s="47"/>
      <c r="C407" s="46"/>
      <c r="D407" s="46"/>
      <c r="E407" s="46"/>
      <c r="J407" s="44" t="str">
        <f>IFERROR(BaoLiuXiaoShuWei(AVERAGE(H407:I407),2),"")</f>
        <v/>
      </c>
      <c r="K407" s="50" t="str">
        <f>IFERROR(XiuYueXiaoShu(IF(J407="","",(J407-基本信息!$B$28)/基本信息!$B$29)*(基本信息!$C$9)/F407/1000*IF(G407="",1,G407),基本信息!$C$11,基本信息!$C$34,1),"")</f>
        <v/>
      </c>
    </row>
    <row r="408" spans="1:11" ht="19.5" customHeight="1">
      <c r="A408" s="46"/>
      <c r="B408" s="47"/>
      <c r="C408" s="46"/>
      <c r="D408" s="46"/>
      <c r="E408" s="46"/>
      <c r="J408" s="44" t="str">
        <f>IFERROR(BaoLiuXiaoShuWei(AVERAGE(H408:I408),2),"")</f>
        <v/>
      </c>
      <c r="K408" s="50" t="str">
        <f>IFERROR(XiuYueXiaoShu(IF(J408="","",(J408-基本信息!$B$28)/基本信息!$B$29)*(基本信息!$C$9)/F408/1000*IF(G408="",1,G408),基本信息!$C$11,基本信息!$C$34,1),"")</f>
        <v/>
      </c>
    </row>
    <row r="409" spans="1:11" ht="19.5" customHeight="1">
      <c r="A409" s="46"/>
      <c r="B409" s="47"/>
      <c r="C409" s="46"/>
      <c r="D409" s="46"/>
      <c r="E409" s="46"/>
      <c r="J409" s="44" t="str">
        <f>IFERROR(BaoLiuXiaoShuWei(AVERAGE(H409:I409),2),"")</f>
        <v/>
      </c>
      <c r="K409" s="50" t="str">
        <f>IFERROR(XiuYueXiaoShu(IF(J409="","",(J409-基本信息!$B$28)/基本信息!$B$29)*(基本信息!$C$9)/F409/1000*IF(G409="",1,G409),基本信息!$C$11,基本信息!$C$34,1),"")</f>
        <v/>
      </c>
    </row>
    <row r="410" spans="1:11" ht="19.5" customHeight="1">
      <c r="A410" s="46"/>
      <c r="B410" s="47"/>
      <c r="C410" s="46"/>
      <c r="D410" s="46"/>
      <c r="E410" s="46"/>
      <c r="J410" s="44" t="str">
        <f>IFERROR(BaoLiuXiaoShuWei(AVERAGE(H410:I410),2),"")</f>
        <v/>
      </c>
      <c r="K410" s="50" t="str">
        <f>IFERROR(XiuYueXiaoShu(IF(J410="","",(J410-基本信息!$B$28)/基本信息!$B$29)*(基本信息!$C$9)/F410/1000*IF(G410="",1,G410),基本信息!$C$11,基本信息!$C$34,1),"")</f>
        <v/>
      </c>
    </row>
    <row r="411" spans="1:11" ht="19.5" customHeight="1">
      <c r="A411" s="46"/>
      <c r="B411" s="47"/>
      <c r="C411" s="46"/>
      <c r="D411" s="46"/>
      <c r="E411" s="46"/>
      <c r="J411" s="44" t="str">
        <f>IFERROR(BaoLiuXiaoShuWei(AVERAGE(H411:I411),2),"")</f>
        <v/>
      </c>
      <c r="K411" s="50" t="str">
        <f>IFERROR(XiuYueXiaoShu(IF(J411="","",(J411-基本信息!$B$28)/基本信息!$B$29)*(基本信息!$C$9)/F411/1000*IF(G411="",1,G411),基本信息!$C$11,基本信息!$C$34,1),"")</f>
        <v/>
      </c>
    </row>
    <row r="412" spans="1:11" ht="19.5" customHeight="1">
      <c r="A412" s="46"/>
      <c r="B412" s="47"/>
      <c r="C412" s="46"/>
      <c r="D412" s="46"/>
      <c r="E412" s="46"/>
      <c r="J412" s="44" t="str">
        <f>IFERROR(BaoLiuXiaoShuWei(AVERAGE(H412:I412),2),"")</f>
        <v/>
      </c>
      <c r="K412" s="50" t="str">
        <f>IFERROR(XiuYueXiaoShu(IF(J412="","",(J412-基本信息!$B$28)/基本信息!$B$29)*(基本信息!$C$9)/F412/1000*IF(G412="",1,G412),基本信息!$C$11,基本信息!$C$34,1),"")</f>
        <v/>
      </c>
    </row>
    <row r="413" spans="1:11" ht="19.5" customHeight="1">
      <c r="A413" s="46"/>
      <c r="B413" s="47"/>
      <c r="C413" s="46"/>
      <c r="D413" s="46"/>
      <c r="E413" s="46"/>
      <c r="J413" s="44" t="str">
        <f>IFERROR(BaoLiuXiaoShuWei(AVERAGE(H413:I413),2),"")</f>
        <v/>
      </c>
      <c r="K413" s="50" t="str">
        <f>IFERROR(XiuYueXiaoShu(IF(J413="","",(J413-基本信息!$B$28)/基本信息!$B$29)*(基本信息!$C$9)/F413/1000*IF(G413="",1,G413),基本信息!$C$11,基本信息!$C$34,1),"")</f>
        <v/>
      </c>
    </row>
    <row r="414" spans="1:11" ht="19.5" customHeight="1">
      <c r="A414" s="46"/>
      <c r="B414" s="47"/>
      <c r="C414" s="46"/>
      <c r="D414" s="46"/>
      <c r="E414" s="46"/>
      <c r="J414" s="44" t="str">
        <f>IFERROR(BaoLiuXiaoShuWei(AVERAGE(H414:I414),2),"")</f>
        <v/>
      </c>
      <c r="K414" s="50" t="str">
        <f>IFERROR(XiuYueXiaoShu(IF(J414="","",(J414-基本信息!$B$28)/基本信息!$B$29)*(基本信息!$C$9)/F414/1000*IF(G414="",1,G414),基本信息!$C$11,基本信息!$C$34,1),"")</f>
        <v/>
      </c>
    </row>
    <row r="415" spans="1:11" ht="19.5" customHeight="1">
      <c r="A415" s="46"/>
      <c r="B415" s="47"/>
      <c r="C415" s="46"/>
      <c r="D415" s="46"/>
      <c r="E415" s="46"/>
      <c r="J415" s="44" t="str">
        <f>IFERROR(BaoLiuXiaoShuWei(AVERAGE(H415:I415),2),"")</f>
        <v/>
      </c>
      <c r="K415" s="50" t="str">
        <f>IFERROR(XiuYueXiaoShu(IF(J415="","",(J415-基本信息!$B$28)/基本信息!$B$29)*(基本信息!$C$9)/F415/1000*IF(G415="",1,G415),基本信息!$C$11,基本信息!$C$34,1),"")</f>
        <v/>
      </c>
    </row>
    <row r="416" spans="1:11" ht="19.5" customHeight="1">
      <c r="A416" s="46"/>
      <c r="B416" s="47"/>
      <c r="C416" s="46"/>
      <c r="D416" s="46"/>
      <c r="E416" s="46"/>
      <c r="J416" s="44" t="str">
        <f>IFERROR(BaoLiuXiaoShuWei(AVERAGE(H416:I416),2),"")</f>
        <v/>
      </c>
      <c r="K416" s="50" t="str">
        <f>IFERROR(XiuYueXiaoShu(IF(J416="","",(J416-基本信息!$B$28)/基本信息!$B$29)*(基本信息!$C$9)/F416/1000*IF(G416="",1,G416),基本信息!$C$11,基本信息!$C$34,1),"")</f>
        <v/>
      </c>
    </row>
    <row r="417" spans="1:11" ht="19.5" customHeight="1">
      <c r="A417" s="46"/>
      <c r="B417" s="47"/>
      <c r="C417" s="46"/>
      <c r="D417" s="46"/>
      <c r="E417" s="46"/>
      <c r="J417" s="44" t="str">
        <f>IFERROR(BaoLiuXiaoShuWei(AVERAGE(H417:I417),2),"")</f>
        <v/>
      </c>
      <c r="K417" s="50" t="str">
        <f>IFERROR(XiuYueXiaoShu(IF(J417="","",(J417-基本信息!$B$28)/基本信息!$B$29)*(基本信息!$C$9)/F417/1000*IF(G417="",1,G417),基本信息!$C$11,基本信息!$C$34,1),"")</f>
        <v/>
      </c>
    </row>
    <row r="418" spans="1:11" ht="19.5" customHeight="1">
      <c r="A418" s="46"/>
      <c r="B418" s="47"/>
      <c r="C418" s="46"/>
      <c r="D418" s="46"/>
      <c r="E418" s="46"/>
      <c r="J418" s="44" t="str">
        <f>IFERROR(BaoLiuXiaoShuWei(AVERAGE(H418:I418),2),"")</f>
        <v/>
      </c>
      <c r="K418" s="50" t="str">
        <f>IFERROR(XiuYueXiaoShu(IF(J418="","",(J418-基本信息!$B$28)/基本信息!$B$29)*(基本信息!$C$9)/F418/1000*IF(G418="",1,G418),基本信息!$C$11,基本信息!$C$34,1),"")</f>
        <v/>
      </c>
    </row>
    <row r="419" spans="1:11" ht="19.5" customHeight="1">
      <c r="A419" s="46"/>
      <c r="B419" s="47"/>
      <c r="C419" s="46"/>
      <c r="D419" s="46"/>
      <c r="E419" s="46"/>
      <c r="J419" s="44" t="str">
        <f>IFERROR(BaoLiuXiaoShuWei(AVERAGE(H419:I419),2),"")</f>
        <v/>
      </c>
      <c r="K419" s="50" t="str">
        <f>IFERROR(XiuYueXiaoShu(IF(J419="","",(J419-基本信息!$B$28)/基本信息!$B$29)*(基本信息!$C$9)/F419/1000*IF(G419="",1,G419),基本信息!$C$11,基本信息!$C$34,1),"")</f>
        <v/>
      </c>
    </row>
    <row r="420" spans="1:11" ht="19.5" customHeight="1">
      <c r="A420" s="46"/>
      <c r="B420" s="47"/>
      <c r="C420" s="46"/>
      <c r="D420" s="46"/>
      <c r="E420" s="46"/>
      <c r="J420" s="44" t="str">
        <f>IFERROR(BaoLiuXiaoShuWei(AVERAGE(H420:I420),2),"")</f>
        <v/>
      </c>
      <c r="K420" s="50" t="str">
        <f>IFERROR(XiuYueXiaoShu(IF(J420="","",(J420-基本信息!$B$28)/基本信息!$B$29)*(基本信息!$C$9)/F420/1000*IF(G420="",1,G420),基本信息!$C$11,基本信息!$C$34,1),"")</f>
        <v/>
      </c>
    </row>
    <row r="421" spans="1:11" ht="19.5" customHeight="1">
      <c r="A421" s="46"/>
      <c r="B421" s="47"/>
      <c r="C421" s="46"/>
      <c r="D421" s="46"/>
      <c r="E421" s="46"/>
      <c r="J421" s="44" t="str">
        <f>IFERROR(BaoLiuXiaoShuWei(AVERAGE(H421:I421),2),"")</f>
        <v/>
      </c>
      <c r="K421" s="50" t="str">
        <f>IFERROR(XiuYueXiaoShu(IF(J421="","",(J421-基本信息!$B$28)/基本信息!$B$29)*(基本信息!$C$9)/F421/1000*IF(G421="",1,G421),基本信息!$C$11,基本信息!$C$34,1),"")</f>
        <v/>
      </c>
    </row>
    <row r="422" spans="1:11" ht="19.5" customHeight="1">
      <c r="A422" s="46"/>
      <c r="B422" s="47"/>
      <c r="C422" s="46"/>
      <c r="D422" s="46"/>
      <c r="E422" s="46"/>
      <c r="J422" s="44" t="str">
        <f>IFERROR(BaoLiuXiaoShuWei(AVERAGE(H422:I422),2),"")</f>
        <v/>
      </c>
      <c r="K422" s="50" t="str">
        <f>IFERROR(XiuYueXiaoShu(IF(J422="","",(J422-基本信息!$B$28)/基本信息!$B$29)*(基本信息!$C$9)/F422/1000*IF(G422="",1,G422),基本信息!$C$11,基本信息!$C$34,1),"")</f>
        <v/>
      </c>
    </row>
    <row r="423" spans="1:11" ht="19.5" customHeight="1">
      <c r="A423" s="46"/>
      <c r="B423" s="47"/>
      <c r="C423" s="46"/>
      <c r="D423" s="46"/>
      <c r="E423" s="46"/>
      <c r="J423" s="44" t="str">
        <f>IFERROR(BaoLiuXiaoShuWei(AVERAGE(H423:I423),2),"")</f>
        <v/>
      </c>
      <c r="K423" s="50" t="str">
        <f>IFERROR(XiuYueXiaoShu(IF(J423="","",(J423-基本信息!$B$28)/基本信息!$B$29)*(基本信息!$C$9)/F423/1000*IF(G423="",1,G423),基本信息!$C$11,基本信息!$C$34,1),"")</f>
        <v/>
      </c>
    </row>
    <row r="424" spans="1:11" ht="19.5" customHeight="1">
      <c r="A424" s="46"/>
      <c r="B424" s="47"/>
      <c r="C424" s="46"/>
      <c r="D424" s="46"/>
      <c r="E424" s="46"/>
      <c r="J424" s="44" t="str">
        <f>IFERROR(BaoLiuXiaoShuWei(AVERAGE(H424:I424),2),"")</f>
        <v/>
      </c>
      <c r="K424" s="50" t="str">
        <f>IFERROR(XiuYueXiaoShu(IF(J424="","",(J424-基本信息!$B$28)/基本信息!$B$29)*(基本信息!$C$9)/F424/1000*IF(G424="",1,G424),基本信息!$C$11,基本信息!$C$34,1),"")</f>
        <v/>
      </c>
    </row>
    <row r="425" spans="1:11" ht="19.5" customHeight="1">
      <c r="A425" s="46"/>
      <c r="B425" s="47"/>
      <c r="C425" s="46"/>
      <c r="D425" s="46"/>
      <c r="E425" s="46"/>
      <c r="J425" s="44" t="str">
        <f>IFERROR(BaoLiuXiaoShuWei(AVERAGE(H425:I425),2),"")</f>
        <v/>
      </c>
      <c r="K425" s="50" t="str">
        <f>IFERROR(XiuYueXiaoShu(IF(J425="","",(J425-基本信息!$B$28)/基本信息!$B$29)*(基本信息!$C$9)/F425/1000*IF(G425="",1,G425),基本信息!$C$11,基本信息!$C$34,1),"")</f>
        <v/>
      </c>
    </row>
    <row r="426" spans="1:11" ht="19.5" customHeight="1">
      <c r="A426" s="46"/>
      <c r="B426" s="47"/>
      <c r="C426" s="46"/>
      <c r="D426" s="46"/>
      <c r="E426" s="46"/>
      <c r="J426" s="44" t="str">
        <f>IFERROR(BaoLiuXiaoShuWei(AVERAGE(H426:I426),2),"")</f>
        <v/>
      </c>
      <c r="K426" s="50" t="str">
        <f>IFERROR(XiuYueXiaoShu(IF(J426="","",(J426-基本信息!$B$28)/基本信息!$B$29)*(基本信息!$C$9)/F426/1000*IF(G426="",1,G426),基本信息!$C$11,基本信息!$C$34,1),"")</f>
        <v/>
      </c>
    </row>
    <row r="427" spans="1:11" ht="19.5" customHeight="1">
      <c r="A427" s="46"/>
      <c r="B427" s="47"/>
      <c r="C427" s="46"/>
      <c r="D427" s="46"/>
      <c r="E427" s="46"/>
      <c r="J427" s="44" t="str">
        <f>IFERROR(BaoLiuXiaoShuWei(AVERAGE(H427:I427),2),"")</f>
        <v/>
      </c>
      <c r="K427" s="50" t="str">
        <f>IFERROR(XiuYueXiaoShu(IF(J427="","",(J427-基本信息!$B$28)/基本信息!$B$29)*(基本信息!$C$9)/F427/1000*IF(G427="",1,G427),基本信息!$C$11,基本信息!$C$34,1),"")</f>
        <v/>
      </c>
    </row>
    <row r="428" spans="1:11" ht="19.5" customHeight="1">
      <c r="A428" s="46"/>
      <c r="B428" s="47"/>
      <c r="C428" s="46"/>
      <c r="D428" s="46"/>
      <c r="E428" s="46"/>
      <c r="J428" s="44" t="str">
        <f>IFERROR(BaoLiuXiaoShuWei(AVERAGE(H428:I428),2),"")</f>
        <v/>
      </c>
      <c r="K428" s="50" t="str">
        <f>IFERROR(XiuYueXiaoShu(IF(J428="","",(J428-基本信息!$B$28)/基本信息!$B$29)*(基本信息!$C$9)/F428/1000*IF(G428="",1,G428),基本信息!$C$11,基本信息!$C$34,1),"")</f>
        <v/>
      </c>
    </row>
    <row r="429" spans="1:11" ht="19.5" customHeight="1">
      <c r="A429" s="46"/>
      <c r="B429" s="47"/>
      <c r="C429" s="46"/>
      <c r="D429" s="46"/>
      <c r="E429" s="46"/>
      <c r="J429" s="44" t="str">
        <f>IFERROR(BaoLiuXiaoShuWei(AVERAGE(H429:I429),2),"")</f>
        <v/>
      </c>
      <c r="K429" s="50" t="str">
        <f>IFERROR(XiuYueXiaoShu(IF(J429="","",(J429-基本信息!$B$28)/基本信息!$B$29)*(基本信息!$C$9)/F429/1000*IF(G429="",1,G429),基本信息!$C$11,基本信息!$C$34,1),"")</f>
        <v/>
      </c>
    </row>
    <row r="430" spans="1:11" ht="19.5" customHeight="1">
      <c r="A430" s="46"/>
      <c r="B430" s="47"/>
      <c r="C430" s="46"/>
      <c r="D430" s="46"/>
      <c r="E430" s="46"/>
      <c r="J430" s="44" t="str">
        <f>IFERROR(BaoLiuXiaoShuWei(AVERAGE(H430:I430),2),"")</f>
        <v/>
      </c>
      <c r="K430" s="50" t="str">
        <f>IFERROR(XiuYueXiaoShu(IF(J430="","",(J430-基本信息!$B$28)/基本信息!$B$29)*(基本信息!$C$9)/F430/1000*IF(G430="",1,G430),基本信息!$C$11,基本信息!$C$34,1),"")</f>
        <v/>
      </c>
    </row>
    <row r="431" spans="1:11" ht="19.5" customHeight="1">
      <c r="A431" s="46"/>
      <c r="B431" s="47"/>
      <c r="C431" s="46"/>
      <c r="D431" s="46"/>
      <c r="E431" s="46"/>
      <c r="J431" s="44" t="str">
        <f>IFERROR(BaoLiuXiaoShuWei(AVERAGE(H431:I431),2),"")</f>
        <v/>
      </c>
      <c r="K431" s="50" t="str">
        <f>IFERROR(XiuYueXiaoShu(IF(J431="","",(J431-基本信息!$B$28)/基本信息!$B$29)*(基本信息!$C$9)/F431/1000*IF(G431="",1,G431),基本信息!$C$11,基本信息!$C$34,1),"")</f>
        <v/>
      </c>
    </row>
    <row r="432" spans="1:11" ht="19.5" customHeight="1">
      <c r="A432" s="46"/>
      <c r="B432" s="47"/>
      <c r="C432" s="46"/>
      <c r="D432" s="46"/>
      <c r="E432" s="46"/>
      <c r="J432" s="44" t="str">
        <f>IFERROR(BaoLiuXiaoShuWei(AVERAGE(H432:I432),2),"")</f>
        <v/>
      </c>
      <c r="K432" s="50" t="str">
        <f>IFERROR(XiuYueXiaoShu(IF(J432="","",(J432-基本信息!$B$28)/基本信息!$B$29)*(基本信息!$C$9)/F432/1000*IF(G432="",1,G432),基本信息!$C$11,基本信息!$C$34,1),"")</f>
        <v/>
      </c>
    </row>
    <row r="433" spans="1:11" ht="19.5" customHeight="1">
      <c r="A433" s="46"/>
      <c r="B433" s="47"/>
      <c r="C433" s="46"/>
      <c r="D433" s="46"/>
      <c r="E433" s="46"/>
      <c r="J433" s="44" t="str">
        <f>IFERROR(BaoLiuXiaoShuWei(AVERAGE(H433:I433),2),"")</f>
        <v/>
      </c>
      <c r="K433" s="50" t="str">
        <f>IFERROR(XiuYueXiaoShu(IF(J433="","",(J433-基本信息!$B$28)/基本信息!$B$29)*(基本信息!$C$9)/F433/1000*IF(G433="",1,G433),基本信息!$C$11,基本信息!$C$34,1),"")</f>
        <v/>
      </c>
    </row>
    <row r="434" spans="1:11" ht="19.5" customHeight="1">
      <c r="A434" s="46"/>
      <c r="B434" s="47"/>
      <c r="C434" s="46"/>
      <c r="D434" s="46"/>
      <c r="E434" s="46"/>
      <c r="J434" s="44" t="str">
        <f>IFERROR(BaoLiuXiaoShuWei(AVERAGE(H434:I434),2),"")</f>
        <v/>
      </c>
      <c r="K434" s="50" t="str">
        <f>IFERROR(XiuYueXiaoShu(IF(J434="","",(J434-基本信息!$B$28)/基本信息!$B$29)*(基本信息!$C$9)/F434/1000*IF(G434="",1,G434),基本信息!$C$11,基本信息!$C$34,1),"")</f>
        <v/>
      </c>
    </row>
    <row r="435" spans="1:11" ht="19.5" customHeight="1">
      <c r="A435" s="46"/>
      <c r="B435" s="47"/>
      <c r="C435" s="46"/>
      <c r="D435" s="46"/>
      <c r="E435" s="46"/>
      <c r="J435" s="44" t="str">
        <f>IFERROR(BaoLiuXiaoShuWei(AVERAGE(H435:I435),2),"")</f>
        <v/>
      </c>
      <c r="K435" s="50" t="str">
        <f>IFERROR(XiuYueXiaoShu(IF(J435="","",(J435-基本信息!$B$28)/基本信息!$B$29)*(基本信息!$C$9)/F435/1000*IF(G435="",1,G435),基本信息!$C$11,基本信息!$C$34,1),"")</f>
        <v/>
      </c>
    </row>
    <row r="436" spans="1:11" ht="19.5" customHeight="1">
      <c r="A436" s="46"/>
      <c r="B436" s="47"/>
      <c r="C436" s="46"/>
      <c r="D436" s="46"/>
      <c r="E436" s="46"/>
      <c r="J436" s="44" t="str">
        <f>IFERROR(BaoLiuXiaoShuWei(AVERAGE(H436:I436),2),"")</f>
        <v/>
      </c>
      <c r="K436" s="50" t="str">
        <f>IFERROR(XiuYueXiaoShu(IF(J436="","",(J436-基本信息!$B$28)/基本信息!$B$29)*(基本信息!$C$9)/F436/1000*IF(G436="",1,G436),基本信息!$C$11,基本信息!$C$34,1),"")</f>
        <v/>
      </c>
    </row>
    <row r="437" spans="1:11" ht="19.5" customHeight="1">
      <c r="A437" s="46"/>
      <c r="B437" s="47"/>
      <c r="C437" s="46"/>
      <c r="D437" s="46"/>
      <c r="E437" s="46"/>
      <c r="J437" s="44" t="str">
        <f>IFERROR(BaoLiuXiaoShuWei(AVERAGE(H437:I437),2),"")</f>
        <v/>
      </c>
      <c r="K437" s="50" t="str">
        <f>IFERROR(XiuYueXiaoShu(IF(J437="","",(J437-基本信息!$B$28)/基本信息!$B$29)*(基本信息!$C$9)/F437/1000*IF(G437="",1,G437),基本信息!$C$11,基本信息!$C$34,1),"")</f>
        <v/>
      </c>
    </row>
    <row r="438" spans="1:11" ht="19.5" customHeight="1">
      <c r="A438" s="46"/>
      <c r="B438" s="47"/>
      <c r="C438" s="46"/>
      <c r="D438" s="46"/>
      <c r="E438" s="46"/>
      <c r="J438" s="44" t="str">
        <f>IFERROR(BaoLiuXiaoShuWei(AVERAGE(H438:I438),2),"")</f>
        <v/>
      </c>
      <c r="K438" s="50" t="str">
        <f>IFERROR(XiuYueXiaoShu(IF(J438="","",(J438-基本信息!$B$28)/基本信息!$B$29)*(基本信息!$C$9)/F438/1000*IF(G438="",1,G438),基本信息!$C$11,基本信息!$C$34,1),"")</f>
        <v/>
      </c>
    </row>
    <row r="439" spans="1:11" ht="19.5" customHeight="1">
      <c r="A439" s="46"/>
      <c r="B439" s="47"/>
      <c r="C439" s="46"/>
      <c r="D439" s="46"/>
      <c r="E439" s="46"/>
      <c r="J439" s="44" t="str">
        <f>IFERROR(BaoLiuXiaoShuWei(AVERAGE(H439:I439),2),"")</f>
        <v/>
      </c>
      <c r="K439" s="50" t="str">
        <f>IFERROR(XiuYueXiaoShu(IF(J439="","",(J439-基本信息!$B$28)/基本信息!$B$29)*(基本信息!$C$9)/F439/1000*IF(G439="",1,G439),基本信息!$C$11,基本信息!$C$34,1),"")</f>
        <v/>
      </c>
    </row>
    <row r="440" spans="1:11" ht="19.5" customHeight="1">
      <c r="A440" s="46"/>
      <c r="B440" s="47"/>
      <c r="C440" s="46"/>
      <c r="D440" s="46"/>
      <c r="E440" s="46"/>
      <c r="J440" s="44" t="str">
        <f>IFERROR(BaoLiuXiaoShuWei(AVERAGE(H440:I440),2),"")</f>
        <v/>
      </c>
      <c r="K440" s="50" t="str">
        <f>IFERROR(XiuYueXiaoShu(IF(J440="","",(J440-基本信息!$B$28)/基本信息!$B$29)*(基本信息!$C$9)/F440/1000*IF(G440="",1,G440),基本信息!$C$11,基本信息!$C$34,1),"")</f>
        <v/>
      </c>
    </row>
    <row r="441" spans="1:11" ht="19.5" customHeight="1">
      <c r="A441" s="46"/>
      <c r="B441" s="47"/>
      <c r="C441" s="46"/>
      <c r="D441" s="46"/>
      <c r="E441" s="46"/>
      <c r="J441" s="44" t="str">
        <f>IFERROR(BaoLiuXiaoShuWei(AVERAGE(H441:I441),2),"")</f>
        <v/>
      </c>
      <c r="K441" s="50" t="str">
        <f>IFERROR(XiuYueXiaoShu(IF(J441="","",(J441-基本信息!$B$28)/基本信息!$B$29)*(基本信息!$C$9)/F441/1000*IF(G441="",1,G441),基本信息!$C$11,基本信息!$C$34,1),"")</f>
        <v/>
      </c>
    </row>
    <row r="442" spans="1:11" ht="19.5" customHeight="1">
      <c r="A442" s="46"/>
      <c r="B442" s="47"/>
      <c r="C442" s="46"/>
      <c r="D442" s="46"/>
      <c r="E442" s="46"/>
      <c r="J442" s="44" t="str">
        <f>IFERROR(BaoLiuXiaoShuWei(AVERAGE(H442:I442),2),"")</f>
        <v/>
      </c>
      <c r="K442" s="50" t="str">
        <f>IFERROR(XiuYueXiaoShu(IF(J442="","",(J442-基本信息!$B$28)/基本信息!$B$29)*(基本信息!$C$9)/F442/1000*IF(G442="",1,G442),基本信息!$C$11,基本信息!$C$34,1),"")</f>
        <v/>
      </c>
    </row>
    <row r="443" spans="1:11" ht="19.5" customHeight="1">
      <c r="A443" s="46"/>
      <c r="B443" s="47"/>
      <c r="C443" s="46"/>
      <c r="D443" s="46"/>
      <c r="E443" s="46"/>
      <c r="J443" s="44" t="str">
        <f>IFERROR(BaoLiuXiaoShuWei(AVERAGE(H443:I443),2),"")</f>
        <v/>
      </c>
      <c r="K443" s="50" t="str">
        <f>IFERROR(XiuYueXiaoShu(IF(J443="","",(J443-基本信息!$B$28)/基本信息!$B$29)*(基本信息!$C$9)/F443/1000*IF(G443="",1,G443),基本信息!$C$11,基本信息!$C$34,1),"")</f>
        <v/>
      </c>
    </row>
    <row r="444" spans="1:11" ht="19.5" customHeight="1">
      <c r="A444" s="46"/>
      <c r="B444" s="47"/>
      <c r="C444" s="46"/>
      <c r="D444" s="46"/>
      <c r="E444" s="46"/>
      <c r="J444" s="44" t="str">
        <f>IFERROR(BaoLiuXiaoShuWei(AVERAGE(H444:I444),2),"")</f>
        <v/>
      </c>
      <c r="K444" s="50" t="str">
        <f>IFERROR(XiuYueXiaoShu(IF(J444="","",(J444-基本信息!$B$28)/基本信息!$B$29)*(基本信息!$C$9)/F444/1000*IF(G444="",1,G444),基本信息!$C$11,基本信息!$C$34,1),"")</f>
        <v/>
      </c>
    </row>
    <row r="445" spans="1:11" ht="19.5" customHeight="1">
      <c r="A445" s="46"/>
      <c r="B445" s="47"/>
      <c r="C445" s="46"/>
      <c r="D445" s="46"/>
      <c r="E445" s="46"/>
      <c r="J445" s="44" t="str">
        <f>IFERROR(BaoLiuXiaoShuWei(AVERAGE(H445:I445),2),"")</f>
        <v/>
      </c>
      <c r="K445" s="50" t="str">
        <f>IFERROR(XiuYueXiaoShu(IF(J445="","",(J445-基本信息!$B$28)/基本信息!$B$29)*(基本信息!$C$9)/F445/1000*IF(G445="",1,G445),基本信息!$C$11,基本信息!$C$34,1),"")</f>
        <v/>
      </c>
    </row>
    <row r="446" spans="1:11" ht="19.5" customHeight="1">
      <c r="A446" s="46"/>
      <c r="B446" s="47"/>
      <c r="C446" s="46"/>
      <c r="D446" s="46"/>
      <c r="E446" s="46"/>
      <c r="J446" s="44" t="str">
        <f>IFERROR(BaoLiuXiaoShuWei(AVERAGE(H446:I446),2),"")</f>
        <v/>
      </c>
      <c r="K446" s="50" t="str">
        <f>IFERROR(XiuYueXiaoShu(IF(J446="","",(J446-基本信息!$B$28)/基本信息!$B$29)*(基本信息!$C$9)/F446/1000*IF(G446="",1,G446),基本信息!$C$11,基本信息!$C$34,1),"")</f>
        <v/>
      </c>
    </row>
    <row r="447" spans="1:11" ht="19.5" customHeight="1">
      <c r="A447" s="46"/>
      <c r="B447" s="47"/>
      <c r="C447" s="46"/>
      <c r="D447" s="46"/>
      <c r="E447" s="46"/>
      <c r="J447" s="44" t="str">
        <f>IFERROR(BaoLiuXiaoShuWei(AVERAGE(H447:I447),2),"")</f>
        <v/>
      </c>
      <c r="K447" s="50" t="str">
        <f>IFERROR(XiuYueXiaoShu(IF(J447="","",(J447-基本信息!$B$28)/基本信息!$B$29)*(基本信息!$C$9)/F447/1000*IF(G447="",1,G447),基本信息!$C$11,基本信息!$C$34,1),"")</f>
        <v/>
      </c>
    </row>
    <row r="448" spans="1:11" ht="19.5" customHeight="1">
      <c r="A448" s="46"/>
      <c r="B448" s="47"/>
      <c r="C448" s="46"/>
      <c r="D448" s="46"/>
      <c r="E448" s="46"/>
      <c r="J448" s="44" t="str">
        <f>IFERROR(BaoLiuXiaoShuWei(AVERAGE(H448:I448),2),"")</f>
        <v/>
      </c>
      <c r="K448" s="50" t="str">
        <f>IFERROR(XiuYueXiaoShu(IF(J448="","",(J448-基本信息!$B$28)/基本信息!$B$29)*(基本信息!$C$9)/F448/1000*IF(G448="",1,G448),基本信息!$C$11,基本信息!$C$34,1),"")</f>
        <v/>
      </c>
    </row>
    <row r="449" spans="1:11" ht="19.5" customHeight="1">
      <c r="A449" s="46"/>
      <c r="B449" s="47"/>
      <c r="C449" s="46"/>
      <c r="D449" s="46"/>
      <c r="E449" s="46"/>
      <c r="J449" s="44" t="str">
        <f>IFERROR(BaoLiuXiaoShuWei(AVERAGE(H449:I449),2),"")</f>
        <v/>
      </c>
      <c r="K449" s="50" t="str">
        <f>IFERROR(XiuYueXiaoShu(IF(J449="","",(J449-基本信息!$B$28)/基本信息!$B$29)*(基本信息!$C$9)/F449/1000*IF(G449="",1,G449),基本信息!$C$11,基本信息!$C$34,1),"")</f>
        <v/>
      </c>
    </row>
    <row r="450" spans="1:11" ht="19.5" customHeight="1">
      <c r="A450" s="46"/>
      <c r="B450" s="47"/>
      <c r="C450" s="46"/>
      <c r="D450" s="46"/>
      <c r="E450" s="46"/>
      <c r="J450" s="44" t="str">
        <f>IFERROR(BaoLiuXiaoShuWei(AVERAGE(H450:I450),2),"")</f>
        <v/>
      </c>
      <c r="K450" s="50" t="str">
        <f>IFERROR(XiuYueXiaoShu(IF(J450="","",(J450-基本信息!$B$28)/基本信息!$B$29)*(基本信息!$C$9)/F450/1000*IF(G450="",1,G450),基本信息!$C$11,基本信息!$C$34,1),"")</f>
        <v/>
      </c>
    </row>
    <row r="451" spans="1:11" ht="19.5" customHeight="1">
      <c r="A451" s="46"/>
      <c r="B451" s="47"/>
      <c r="C451" s="46"/>
      <c r="D451" s="46"/>
      <c r="E451" s="46"/>
      <c r="J451" s="44" t="str">
        <f>IFERROR(BaoLiuXiaoShuWei(AVERAGE(H451:I451),2),"")</f>
        <v/>
      </c>
      <c r="K451" s="50" t="str">
        <f>IFERROR(XiuYueXiaoShu(IF(J451="","",(J451-基本信息!$B$28)/基本信息!$B$29)*(基本信息!$C$9)/F451/1000*IF(G451="",1,G451),基本信息!$C$11,基本信息!$C$34,1),"")</f>
        <v/>
      </c>
    </row>
    <row r="452" spans="1:11" ht="19.5" customHeight="1">
      <c r="A452" s="46"/>
      <c r="B452" s="47"/>
      <c r="C452" s="46"/>
      <c r="D452" s="46"/>
      <c r="E452" s="46"/>
      <c r="J452" s="44" t="str">
        <f>IFERROR(BaoLiuXiaoShuWei(AVERAGE(H452:I452),2),"")</f>
        <v/>
      </c>
      <c r="K452" s="50" t="str">
        <f>IFERROR(XiuYueXiaoShu(IF(J452="","",(J452-基本信息!$B$28)/基本信息!$B$29)*(基本信息!$C$9)/F452/1000*IF(G452="",1,G452),基本信息!$C$11,基本信息!$C$34,1),"")</f>
        <v/>
      </c>
    </row>
    <row r="453" spans="1:11" ht="19.5" customHeight="1">
      <c r="A453" s="46"/>
      <c r="B453" s="47"/>
      <c r="C453" s="46"/>
      <c r="D453" s="46"/>
      <c r="E453" s="46"/>
      <c r="J453" s="44" t="str">
        <f>IFERROR(BaoLiuXiaoShuWei(AVERAGE(H453:I453),2),"")</f>
        <v/>
      </c>
      <c r="K453" s="50" t="str">
        <f>IFERROR(XiuYueXiaoShu(IF(J453="","",(J453-基本信息!$B$28)/基本信息!$B$29)*(基本信息!$C$9)/F453/1000*IF(G453="",1,G453),基本信息!$C$11,基本信息!$C$34,1),"")</f>
        <v/>
      </c>
    </row>
    <row r="454" spans="1:11" ht="19.5" customHeight="1">
      <c r="A454" s="46"/>
      <c r="B454" s="47"/>
      <c r="C454" s="46"/>
      <c r="D454" s="46"/>
      <c r="E454" s="46"/>
      <c r="J454" s="44" t="str">
        <f>IFERROR(BaoLiuXiaoShuWei(AVERAGE(H454:I454),2),"")</f>
        <v/>
      </c>
      <c r="K454" s="50" t="str">
        <f>IFERROR(XiuYueXiaoShu(IF(J454="","",(J454-基本信息!$B$28)/基本信息!$B$29)*(基本信息!$C$9)/F454/1000*IF(G454="",1,G454),基本信息!$C$11,基本信息!$C$34,1),"")</f>
        <v/>
      </c>
    </row>
    <row r="455" spans="1:11" ht="19.5" customHeight="1">
      <c r="A455" s="46"/>
      <c r="B455" s="47"/>
      <c r="C455" s="46"/>
      <c r="D455" s="46"/>
      <c r="E455" s="46"/>
      <c r="J455" s="44" t="str">
        <f>IFERROR(BaoLiuXiaoShuWei(AVERAGE(H455:I455),2),"")</f>
        <v/>
      </c>
      <c r="K455" s="50" t="str">
        <f>IFERROR(XiuYueXiaoShu(IF(J455="","",(J455-基本信息!$B$28)/基本信息!$B$29)*(基本信息!$C$9)/F455/1000*IF(G455="",1,G455),基本信息!$C$11,基本信息!$C$34,1),"")</f>
        <v/>
      </c>
    </row>
    <row r="456" spans="1:11" ht="19.5" customHeight="1">
      <c r="A456" s="46"/>
      <c r="B456" s="47"/>
      <c r="C456" s="46"/>
      <c r="D456" s="46"/>
      <c r="E456" s="46"/>
      <c r="J456" s="44" t="str">
        <f>IFERROR(BaoLiuXiaoShuWei(AVERAGE(H456:I456),2),"")</f>
        <v/>
      </c>
      <c r="K456" s="50" t="str">
        <f>IFERROR(XiuYueXiaoShu(IF(J456="","",(J456-基本信息!$B$28)/基本信息!$B$29)*(基本信息!$C$9)/F456/1000*IF(G456="",1,G456),基本信息!$C$11,基本信息!$C$34,1),"")</f>
        <v/>
      </c>
    </row>
    <row r="457" spans="1:11" ht="19.5" customHeight="1">
      <c r="A457" s="46"/>
      <c r="B457" s="47"/>
      <c r="C457" s="46"/>
      <c r="D457" s="46"/>
      <c r="E457" s="46"/>
      <c r="J457" s="44" t="str">
        <f>IFERROR(BaoLiuXiaoShuWei(AVERAGE(H457:I457),2),"")</f>
        <v/>
      </c>
      <c r="K457" s="50" t="str">
        <f>IFERROR(XiuYueXiaoShu(IF(J457="","",(J457-基本信息!$B$28)/基本信息!$B$29)*(基本信息!$C$9)/F457/1000*IF(G457="",1,G457),基本信息!$C$11,基本信息!$C$34,1),"")</f>
        <v/>
      </c>
    </row>
    <row r="458" spans="1:11" ht="19.5" customHeight="1">
      <c r="A458" s="46"/>
      <c r="B458" s="47"/>
      <c r="C458" s="46"/>
      <c r="D458" s="46"/>
      <c r="E458" s="46"/>
      <c r="J458" s="44" t="str">
        <f>IFERROR(BaoLiuXiaoShuWei(AVERAGE(H458:I458),2),"")</f>
        <v/>
      </c>
      <c r="K458" s="50" t="str">
        <f>IFERROR(XiuYueXiaoShu(IF(J458="","",(J458-基本信息!$B$28)/基本信息!$B$29)*(基本信息!$C$9)/F458/1000*IF(G458="",1,G458),基本信息!$C$11,基本信息!$C$34,1),"")</f>
        <v/>
      </c>
    </row>
    <row r="459" spans="1:11" ht="19.5" customHeight="1">
      <c r="A459" s="46"/>
      <c r="B459" s="47"/>
      <c r="C459" s="46"/>
      <c r="D459" s="46"/>
      <c r="E459" s="46"/>
      <c r="J459" s="44" t="str">
        <f>IFERROR(BaoLiuXiaoShuWei(AVERAGE(H459:I459),2),"")</f>
        <v/>
      </c>
      <c r="K459" s="50" t="str">
        <f>IFERROR(XiuYueXiaoShu(IF(J459="","",(J459-基本信息!$B$28)/基本信息!$B$29)*(基本信息!$C$9)/F459/1000*IF(G459="",1,G459),基本信息!$C$11,基本信息!$C$34,1),"")</f>
        <v/>
      </c>
    </row>
    <row r="460" spans="1:11" ht="19.5" customHeight="1">
      <c r="A460" s="46"/>
      <c r="B460" s="47"/>
      <c r="C460" s="46"/>
      <c r="D460" s="46"/>
      <c r="E460" s="46"/>
      <c r="J460" s="44" t="str">
        <f>IFERROR(BaoLiuXiaoShuWei(AVERAGE(H460:I460),2),"")</f>
        <v/>
      </c>
      <c r="K460" s="50" t="str">
        <f>IFERROR(XiuYueXiaoShu(IF(J460="","",(J460-基本信息!$B$28)/基本信息!$B$29)*(基本信息!$C$9)/F460/1000*IF(G460="",1,G460),基本信息!$C$11,基本信息!$C$34,1),"")</f>
        <v/>
      </c>
    </row>
    <row r="461" spans="1:11" ht="19.5" customHeight="1">
      <c r="A461" s="46"/>
      <c r="B461" s="47"/>
      <c r="C461" s="46"/>
      <c r="D461" s="46"/>
      <c r="E461" s="46"/>
      <c r="J461" s="44" t="str">
        <f>IFERROR(BaoLiuXiaoShuWei(AVERAGE(H461:I461),2),"")</f>
        <v/>
      </c>
      <c r="K461" s="50" t="str">
        <f>IFERROR(XiuYueXiaoShu(IF(J461="","",(J461-基本信息!$B$28)/基本信息!$B$29)*(基本信息!$C$9)/F461/1000*IF(G461="",1,G461),基本信息!$C$11,基本信息!$C$34,1),"")</f>
        <v/>
      </c>
    </row>
    <row r="462" spans="1:11" ht="19.5" customHeight="1">
      <c r="A462" s="46"/>
      <c r="B462" s="47"/>
      <c r="C462" s="46"/>
      <c r="D462" s="46"/>
      <c r="E462" s="46"/>
      <c r="J462" s="44" t="str">
        <f>IFERROR(BaoLiuXiaoShuWei(AVERAGE(H462:I462),2),"")</f>
        <v/>
      </c>
      <c r="K462" s="50" t="str">
        <f>IFERROR(XiuYueXiaoShu(IF(J462="","",(J462-基本信息!$B$28)/基本信息!$B$29)*(基本信息!$C$9)/F462/1000*IF(G462="",1,G462),基本信息!$C$11,基本信息!$C$34,1),"")</f>
        <v/>
      </c>
    </row>
    <row r="463" spans="1:11" ht="19.5" customHeight="1">
      <c r="A463" s="46"/>
      <c r="B463" s="47"/>
      <c r="C463" s="46"/>
      <c r="D463" s="46"/>
      <c r="E463" s="46"/>
      <c r="J463" s="44" t="str">
        <f>IFERROR(BaoLiuXiaoShuWei(AVERAGE(H463:I463),2),"")</f>
        <v/>
      </c>
      <c r="K463" s="50" t="str">
        <f>IFERROR(XiuYueXiaoShu(IF(J463="","",(J463-基本信息!$B$28)/基本信息!$B$29)*(基本信息!$C$9)/F463/1000*IF(G463="",1,G463),基本信息!$C$11,基本信息!$C$34,1),"")</f>
        <v/>
      </c>
    </row>
    <row r="464" spans="1:11" ht="19.5" customHeight="1">
      <c r="A464" s="46"/>
      <c r="B464" s="47"/>
      <c r="C464" s="46"/>
      <c r="D464" s="46"/>
      <c r="E464" s="46"/>
      <c r="J464" s="44" t="str">
        <f>IFERROR(BaoLiuXiaoShuWei(AVERAGE(H464:I464),2),"")</f>
        <v/>
      </c>
      <c r="K464" s="50" t="str">
        <f>IFERROR(XiuYueXiaoShu(IF(J464="","",(J464-基本信息!$B$28)/基本信息!$B$29)*(基本信息!$C$9)/F464/1000*IF(G464="",1,G464),基本信息!$C$11,基本信息!$C$34,1),"")</f>
        <v/>
      </c>
    </row>
    <row r="465" spans="1:11" ht="19.5" customHeight="1">
      <c r="A465" s="46"/>
      <c r="B465" s="47"/>
      <c r="C465" s="46"/>
      <c r="D465" s="46"/>
      <c r="E465" s="46"/>
      <c r="J465" s="44" t="str">
        <f>IFERROR(BaoLiuXiaoShuWei(AVERAGE(H465:I465),2),"")</f>
        <v/>
      </c>
      <c r="K465" s="50" t="str">
        <f>IFERROR(XiuYueXiaoShu(IF(J465="","",(J465-基本信息!$B$28)/基本信息!$B$29)*(基本信息!$C$9)/F465/1000*IF(G465="",1,G465),基本信息!$C$11,基本信息!$C$34,1),"")</f>
        <v/>
      </c>
    </row>
    <row r="466" spans="1:11" ht="19.5" customHeight="1">
      <c r="A466" s="46"/>
      <c r="B466" s="47"/>
      <c r="C466" s="46"/>
      <c r="D466" s="46"/>
      <c r="E466" s="46"/>
      <c r="J466" s="44" t="str">
        <f>IFERROR(BaoLiuXiaoShuWei(AVERAGE(H466:I466),2),"")</f>
        <v/>
      </c>
      <c r="K466" s="50" t="str">
        <f>IFERROR(XiuYueXiaoShu(IF(J466="","",(J466-基本信息!$B$28)/基本信息!$B$29)*(基本信息!$C$9)/F466/1000*IF(G466="",1,G466),基本信息!$C$11,基本信息!$C$34,1),"")</f>
        <v/>
      </c>
    </row>
    <row r="467" spans="1:11" ht="19.5" customHeight="1">
      <c r="A467" s="46"/>
      <c r="B467" s="47"/>
      <c r="C467" s="46"/>
      <c r="D467" s="46"/>
      <c r="E467" s="46"/>
      <c r="J467" s="44" t="str">
        <f>IFERROR(BaoLiuXiaoShuWei(AVERAGE(H467:I467),2),"")</f>
        <v/>
      </c>
      <c r="K467" s="50" t="str">
        <f>IFERROR(XiuYueXiaoShu(IF(J467="","",(J467-基本信息!$B$28)/基本信息!$B$29)*(基本信息!$C$9)/F467/1000*IF(G467="",1,G467),基本信息!$C$11,基本信息!$C$34,1),"")</f>
        <v/>
      </c>
    </row>
    <row r="468" spans="1:11" ht="19.5" customHeight="1">
      <c r="A468" s="46"/>
      <c r="B468" s="47"/>
      <c r="C468" s="46"/>
      <c r="D468" s="46"/>
      <c r="E468" s="46"/>
      <c r="J468" s="44" t="str">
        <f>IFERROR(BaoLiuXiaoShuWei(AVERAGE(H468:I468),2),"")</f>
        <v/>
      </c>
      <c r="K468" s="50" t="str">
        <f>IFERROR(XiuYueXiaoShu(IF(J468="","",(J468-基本信息!$B$28)/基本信息!$B$29)*(基本信息!$C$9)/F468/1000*IF(G468="",1,G468),基本信息!$C$11,基本信息!$C$34,1),"")</f>
        <v/>
      </c>
    </row>
    <row r="469" spans="1:11" ht="19.5" customHeight="1">
      <c r="A469" s="46"/>
      <c r="B469" s="47"/>
      <c r="C469" s="46"/>
      <c r="D469" s="46"/>
      <c r="E469" s="46"/>
      <c r="J469" s="44" t="str">
        <f>IFERROR(BaoLiuXiaoShuWei(AVERAGE(H469:I469),2),"")</f>
        <v/>
      </c>
      <c r="K469" s="50" t="str">
        <f>IFERROR(XiuYueXiaoShu(IF(J469="","",(J469-基本信息!$B$28)/基本信息!$B$29)*(基本信息!$C$9)/F469/1000*IF(G469="",1,G469),基本信息!$C$11,基本信息!$C$34,1),"")</f>
        <v/>
      </c>
    </row>
    <row r="470" spans="1:11" ht="19.5" customHeight="1">
      <c r="A470" s="46"/>
      <c r="B470" s="47"/>
      <c r="C470" s="46"/>
      <c r="D470" s="46"/>
      <c r="E470" s="46"/>
      <c r="J470" s="44" t="str">
        <f>IFERROR(BaoLiuXiaoShuWei(AVERAGE(H470:I470),2),"")</f>
        <v/>
      </c>
      <c r="K470" s="50" t="str">
        <f>IFERROR(XiuYueXiaoShu(IF(J470="","",(J470-基本信息!$B$28)/基本信息!$B$29)*(基本信息!$C$9)/F470/1000*IF(G470="",1,G470),基本信息!$C$11,基本信息!$C$34,1),"")</f>
        <v/>
      </c>
    </row>
    <row r="471" spans="1:11" ht="19.5" customHeight="1">
      <c r="A471" s="46"/>
      <c r="B471" s="47"/>
      <c r="C471" s="46"/>
      <c r="D471" s="46"/>
      <c r="E471" s="46"/>
      <c r="J471" s="44" t="str">
        <f>IFERROR(BaoLiuXiaoShuWei(AVERAGE(H471:I471),2),"")</f>
        <v/>
      </c>
      <c r="K471" s="50" t="str">
        <f>IFERROR(XiuYueXiaoShu(IF(J471="","",(J471-基本信息!$B$28)/基本信息!$B$29)*(基本信息!$C$9)/F471/1000*IF(G471="",1,G471),基本信息!$C$11,基本信息!$C$34,1),"")</f>
        <v/>
      </c>
    </row>
    <row r="472" spans="1:11" ht="19.5" customHeight="1">
      <c r="A472" s="46"/>
      <c r="B472" s="47"/>
      <c r="C472" s="46"/>
      <c r="D472" s="46"/>
      <c r="E472" s="46"/>
      <c r="J472" s="44" t="str">
        <f>IFERROR(BaoLiuXiaoShuWei(AVERAGE(H472:I472),2),"")</f>
        <v/>
      </c>
      <c r="K472" s="50" t="str">
        <f>IFERROR(XiuYueXiaoShu(IF(J472="","",(J472-基本信息!$B$28)/基本信息!$B$29)*(基本信息!$C$9)/F472/1000*IF(G472="",1,G472),基本信息!$C$11,基本信息!$C$34,1),"")</f>
        <v/>
      </c>
    </row>
    <row r="473" spans="1:11" ht="19.5" customHeight="1">
      <c r="A473" s="46"/>
      <c r="B473" s="47"/>
      <c r="C473" s="46"/>
      <c r="D473" s="46"/>
      <c r="E473" s="46"/>
      <c r="J473" s="44" t="str">
        <f>IFERROR(BaoLiuXiaoShuWei(AVERAGE(H473:I473),2),"")</f>
        <v/>
      </c>
      <c r="K473" s="50" t="str">
        <f>IFERROR(XiuYueXiaoShu(IF(J473="","",(J473-基本信息!$B$28)/基本信息!$B$29)*(基本信息!$C$9)/F473/1000*IF(G473="",1,G473),基本信息!$C$11,基本信息!$C$34,1),"")</f>
        <v/>
      </c>
    </row>
    <row r="474" spans="1:11" ht="19.5" customHeight="1">
      <c r="A474" s="46"/>
      <c r="B474" s="47"/>
      <c r="C474" s="46"/>
      <c r="D474" s="46"/>
      <c r="E474" s="46"/>
      <c r="J474" s="44" t="str">
        <f>IFERROR(BaoLiuXiaoShuWei(AVERAGE(H474:I474),2),"")</f>
        <v/>
      </c>
      <c r="K474" s="50" t="str">
        <f>IFERROR(XiuYueXiaoShu(IF(J474="","",(J474-基本信息!$B$28)/基本信息!$B$29)*(基本信息!$C$9)/F474/1000*IF(G474="",1,G474),基本信息!$C$11,基本信息!$C$34,1),"")</f>
        <v/>
      </c>
    </row>
    <row r="475" spans="1:11" ht="19.5" customHeight="1">
      <c r="A475" s="46"/>
      <c r="B475" s="47"/>
      <c r="C475" s="46"/>
      <c r="D475" s="46"/>
      <c r="E475" s="46"/>
      <c r="J475" s="44" t="str">
        <f>IFERROR(BaoLiuXiaoShuWei(AVERAGE(H475:I475),2),"")</f>
        <v/>
      </c>
      <c r="K475" s="50" t="str">
        <f>IFERROR(XiuYueXiaoShu(IF(J475="","",(J475-基本信息!$B$28)/基本信息!$B$29)*(基本信息!$C$9)/F475/1000*IF(G475="",1,G475),基本信息!$C$11,基本信息!$C$34,1),"")</f>
        <v/>
      </c>
    </row>
    <row r="476" spans="1:11" ht="19.5" customHeight="1">
      <c r="A476" s="46"/>
      <c r="B476" s="47"/>
      <c r="C476" s="46"/>
      <c r="D476" s="46"/>
      <c r="E476" s="46"/>
      <c r="J476" s="44" t="str">
        <f>IFERROR(BaoLiuXiaoShuWei(AVERAGE(H476:I476),2),"")</f>
        <v/>
      </c>
      <c r="K476" s="50" t="str">
        <f>IFERROR(XiuYueXiaoShu(IF(J476="","",(J476-基本信息!$B$28)/基本信息!$B$29)*(基本信息!$C$9)/F476/1000*IF(G476="",1,G476),基本信息!$C$11,基本信息!$C$34,1),"")</f>
        <v/>
      </c>
    </row>
    <row r="477" spans="1:11" ht="19.5" customHeight="1">
      <c r="A477" s="46"/>
      <c r="B477" s="47"/>
      <c r="C477" s="46"/>
      <c r="D477" s="46"/>
      <c r="E477" s="46"/>
      <c r="J477" s="44" t="str">
        <f>IFERROR(BaoLiuXiaoShuWei(AVERAGE(H477:I477),2),"")</f>
        <v/>
      </c>
      <c r="K477" s="50" t="str">
        <f>IFERROR(XiuYueXiaoShu(IF(J477="","",(J477-基本信息!$B$28)/基本信息!$B$29)*(基本信息!$C$9)/F477/1000*IF(G477="",1,G477),基本信息!$C$11,基本信息!$C$34,1),"")</f>
        <v/>
      </c>
    </row>
    <row r="478" spans="1:11" ht="19.5" customHeight="1">
      <c r="A478" s="46"/>
      <c r="B478" s="47"/>
      <c r="C478" s="46"/>
      <c r="D478" s="46"/>
      <c r="E478" s="46"/>
      <c r="J478" s="44" t="str">
        <f>IFERROR(BaoLiuXiaoShuWei(AVERAGE(H478:I478),2),"")</f>
        <v/>
      </c>
      <c r="K478" s="50" t="str">
        <f>IFERROR(XiuYueXiaoShu(IF(J478="","",(J478-基本信息!$B$28)/基本信息!$B$29)*(基本信息!$C$9)/F478/1000*IF(G478="",1,G478),基本信息!$C$11,基本信息!$C$34,1),"")</f>
        <v/>
      </c>
    </row>
    <row r="479" spans="1:11" ht="19.5" customHeight="1">
      <c r="A479" s="46"/>
      <c r="B479" s="47"/>
      <c r="C479" s="46"/>
      <c r="D479" s="46"/>
      <c r="E479" s="46"/>
      <c r="J479" s="44" t="str">
        <f>IFERROR(BaoLiuXiaoShuWei(AVERAGE(H479:I479),2),"")</f>
        <v/>
      </c>
      <c r="K479" s="50" t="str">
        <f>IFERROR(XiuYueXiaoShu(IF(J479="","",(J479-基本信息!$B$28)/基本信息!$B$29)*(基本信息!$C$9)/F479/1000*IF(G479="",1,G479),基本信息!$C$11,基本信息!$C$34,1),"")</f>
        <v/>
      </c>
    </row>
    <row r="480" spans="1:11" ht="19.5" customHeight="1">
      <c r="A480" s="46"/>
      <c r="B480" s="47"/>
      <c r="C480" s="46"/>
      <c r="D480" s="46"/>
      <c r="E480" s="46"/>
      <c r="J480" s="44" t="str">
        <f>IFERROR(BaoLiuXiaoShuWei(AVERAGE(H480:I480),2),"")</f>
        <v/>
      </c>
      <c r="K480" s="50" t="str">
        <f>IFERROR(XiuYueXiaoShu(IF(J480="","",(J480-基本信息!$B$28)/基本信息!$B$29)*(基本信息!$C$9)/F480/1000*IF(G480="",1,G480),基本信息!$C$11,基本信息!$C$34,1),"")</f>
        <v/>
      </c>
    </row>
    <row r="481" spans="1:11" ht="19.5" customHeight="1">
      <c r="A481" s="46"/>
      <c r="B481" s="47"/>
      <c r="C481" s="46"/>
      <c r="D481" s="46"/>
      <c r="E481" s="46"/>
      <c r="J481" s="44" t="str">
        <f>IFERROR(BaoLiuXiaoShuWei(AVERAGE(H481:I481),2),"")</f>
        <v/>
      </c>
      <c r="K481" s="50" t="str">
        <f>IFERROR(XiuYueXiaoShu(IF(J481="","",(J481-基本信息!$B$28)/基本信息!$B$29)*(基本信息!$C$9)/F481/1000*IF(G481="",1,G481),基本信息!$C$11,基本信息!$C$34,1),"")</f>
        <v/>
      </c>
    </row>
    <row r="482" spans="1:11" ht="19.5" customHeight="1">
      <c r="A482" s="46"/>
      <c r="B482" s="47"/>
      <c r="C482" s="46"/>
      <c r="D482" s="46"/>
      <c r="E482" s="46"/>
      <c r="J482" s="44" t="str">
        <f>IFERROR(BaoLiuXiaoShuWei(AVERAGE(H482:I482),2),"")</f>
        <v/>
      </c>
      <c r="K482" s="50" t="str">
        <f>IFERROR(XiuYueXiaoShu(IF(J482="","",(J482-基本信息!$B$28)/基本信息!$B$29)*(基本信息!$C$9)/F482/1000*IF(G482="",1,G482),基本信息!$C$11,基本信息!$C$34,1),"")</f>
        <v/>
      </c>
    </row>
    <row r="483" spans="1:11" ht="19.5" customHeight="1">
      <c r="A483" s="46"/>
      <c r="B483" s="47"/>
      <c r="C483" s="46"/>
      <c r="D483" s="46"/>
      <c r="E483" s="46"/>
      <c r="J483" s="44" t="str">
        <f>IFERROR(BaoLiuXiaoShuWei(AVERAGE(H483:I483),2),"")</f>
        <v/>
      </c>
      <c r="K483" s="50" t="str">
        <f>IFERROR(XiuYueXiaoShu(IF(J483="","",(J483-基本信息!$B$28)/基本信息!$B$29)*(基本信息!$C$9)/F483/1000*IF(G483="",1,G483),基本信息!$C$11,基本信息!$C$34,1),"")</f>
        <v/>
      </c>
    </row>
    <row r="484" spans="1:11" ht="19.5" customHeight="1">
      <c r="A484" s="46"/>
      <c r="B484" s="47"/>
      <c r="C484" s="46"/>
      <c r="D484" s="46"/>
      <c r="E484" s="46"/>
      <c r="J484" s="44" t="str">
        <f>IFERROR(BaoLiuXiaoShuWei(AVERAGE(H484:I484),2),"")</f>
        <v/>
      </c>
      <c r="K484" s="50" t="str">
        <f>IFERROR(XiuYueXiaoShu(IF(J484="","",(J484-基本信息!$B$28)/基本信息!$B$29)*(基本信息!$C$9)/F484/1000*IF(G484="",1,G484),基本信息!$C$11,基本信息!$C$34,1),"")</f>
        <v/>
      </c>
    </row>
    <row r="485" spans="1:11" ht="19.5" customHeight="1">
      <c r="A485" s="46"/>
      <c r="B485" s="47"/>
      <c r="C485" s="46"/>
      <c r="D485" s="46"/>
      <c r="E485" s="46"/>
      <c r="J485" s="44" t="str">
        <f>IFERROR(BaoLiuXiaoShuWei(AVERAGE(H485:I485),2),"")</f>
        <v/>
      </c>
      <c r="K485" s="50" t="str">
        <f>IFERROR(XiuYueXiaoShu(IF(J485="","",(J485-基本信息!$B$28)/基本信息!$B$29)*(基本信息!$C$9)/F485/1000*IF(G485="",1,G485),基本信息!$C$11,基本信息!$C$34,1),"")</f>
        <v/>
      </c>
    </row>
    <row r="486" spans="1:11" ht="19.5" customHeight="1">
      <c r="A486" s="46"/>
      <c r="B486" s="47"/>
      <c r="C486" s="46"/>
      <c r="D486" s="46"/>
      <c r="E486" s="46"/>
      <c r="J486" s="44" t="str">
        <f>IFERROR(BaoLiuXiaoShuWei(AVERAGE(H486:I486),2),"")</f>
        <v/>
      </c>
      <c r="K486" s="50" t="str">
        <f>IFERROR(XiuYueXiaoShu(IF(J486="","",(J486-基本信息!$B$28)/基本信息!$B$29)*(基本信息!$C$9)/F486/1000*IF(G486="",1,G486),基本信息!$C$11,基本信息!$C$34,1),"")</f>
        <v/>
      </c>
    </row>
    <row r="487" spans="1:11" ht="19.5" customHeight="1">
      <c r="A487" s="46"/>
      <c r="B487" s="47"/>
      <c r="C487" s="46"/>
      <c r="D487" s="46"/>
      <c r="E487" s="46"/>
      <c r="J487" s="44" t="str">
        <f>IFERROR(BaoLiuXiaoShuWei(AVERAGE(H487:I487),2),"")</f>
        <v/>
      </c>
      <c r="K487" s="50" t="str">
        <f>IFERROR(XiuYueXiaoShu(IF(J487="","",(J487-基本信息!$B$28)/基本信息!$B$29)*(基本信息!$C$9)/F487/1000*IF(G487="",1,G487),基本信息!$C$11,基本信息!$C$34,1),"")</f>
        <v/>
      </c>
    </row>
    <row r="488" spans="1:11" ht="19.5" customHeight="1">
      <c r="A488" s="46"/>
      <c r="B488" s="47"/>
      <c r="C488" s="46"/>
      <c r="D488" s="46"/>
      <c r="E488" s="46"/>
      <c r="J488" s="44" t="str">
        <f>IFERROR(BaoLiuXiaoShuWei(AVERAGE(H488:I488),2),"")</f>
        <v/>
      </c>
      <c r="K488" s="50" t="str">
        <f>IFERROR(XiuYueXiaoShu(IF(J488="","",(J488-基本信息!$B$28)/基本信息!$B$29)*(基本信息!$C$9)/F488/1000*IF(G488="",1,G488),基本信息!$C$11,基本信息!$C$34,1),"")</f>
        <v/>
      </c>
    </row>
    <row r="489" spans="1:11" ht="19.5" customHeight="1">
      <c r="A489" s="46"/>
      <c r="B489" s="47"/>
      <c r="C489" s="46"/>
      <c r="D489" s="46"/>
      <c r="E489" s="46"/>
      <c r="J489" s="44" t="str">
        <f>IFERROR(BaoLiuXiaoShuWei(AVERAGE(H489:I489),2),"")</f>
        <v/>
      </c>
      <c r="K489" s="50" t="str">
        <f>IFERROR(XiuYueXiaoShu(IF(J489="","",(J489-基本信息!$B$28)/基本信息!$B$29)*(基本信息!$C$9)/F489/1000*IF(G489="",1,G489),基本信息!$C$11,基本信息!$C$34,1),"")</f>
        <v/>
      </c>
    </row>
    <row r="490" spans="1:11" ht="19.5" customHeight="1">
      <c r="A490" s="46"/>
      <c r="B490" s="47"/>
      <c r="C490" s="46"/>
      <c r="D490" s="46"/>
      <c r="E490" s="46"/>
      <c r="J490" s="44" t="str">
        <f>IFERROR(BaoLiuXiaoShuWei(AVERAGE(H490:I490),2),"")</f>
        <v/>
      </c>
      <c r="K490" s="50" t="str">
        <f>IFERROR(XiuYueXiaoShu(IF(J490="","",(J490-基本信息!$B$28)/基本信息!$B$29)*(基本信息!$C$9)/F490/1000*IF(G490="",1,G490),基本信息!$C$11,基本信息!$C$34,1),"")</f>
        <v/>
      </c>
    </row>
    <row r="491" spans="1:11" ht="19.5" customHeight="1">
      <c r="A491" s="46"/>
      <c r="B491" s="47"/>
      <c r="C491" s="46"/>
      <c r="D491" s="46"/>
      <c r="E491" s="46"/>
      <c r="J491" s="44" t="str">
        <f>IFERROR(BaoLiuXiaoShuWei(AVERAGE(H491:I491),2),"")</f>
        <v/>
      </c>
      <c r="K491" s="50" t="str">
        <f>IFERROR(XiuYueXiaoShu(IF(J491="","",(J491-基本信息!$B$28)/基本信息!$B$29)*(基本信息!$C$9)/F491/1000*IF(G491="",1,G491),基本信息!$C$11,基本信息!$C$34,1),"")</f>
        <v/>
      </c>
    </row>
    <row r="492" spans="1:11" ht="19.5" customHeight="1">
      <c r="A492" s="46"/>
      <c r="B492" s="47"/>
      <c r="C492" s="46"/>
      <c r="D492" s="46"/>
      <c r="E492" s="46"/>
      <c r="J492" s="44" t="str">
        <f>IFERROR(BaoLiuXiaoShuWei(AVERAGE(H492:I492),2),"")</f>
        <v/>
      </c>
      <c r="K492" s="50" t="str">
        <f>IFERROR(XiuYueXiaoShu(IF(J492="","",(J492-基本信息!$B$28)/基本信息!$B$29)*(基本信息!$C$9)/F492/1000*IF(G492="",1,G492),基本信息!$C$11,基本信息!$C$34,1),"")</f>
        <v/>
      </c>
    </row>
    <row r="493" spans="1:11" ht="19.5" customHeight="1">
      <c r="A493" s="46"/>
      <c r="B493" s="47"/>
      <c r="C493" s="46"/>
      <c r="D493" s="46"/>
      <c r="E493" s="46"/>
      <c r="J493" s="44" t="str">
        <f>IFERROR(BaoLiuXiaoShuWei(AVERAGE(H493:I493),2),"")</f>
        <v/>
      </c>
      <c r="K493" s="50" t="str">
        <f>IFERROR(XiuYueXiaoShu(IF(J493="","",(J493-基本信息!$B$28)/基本信息!$B$29)*(基本信息!$C$9)/F493/1000*IF(G493="",1,G493),基本信息!$C$11,基本信息!$C$34,1),"")</f>
        <v/>
      </c>
    </row>
    <row r="494" spans="1:11" ht="19.5" customHeight="1">
      <c r="A494" s="46"/>
      <c r="B494" s="47"/>
      <c r="C494" s="46"/>
      <c r="D494" s="46"/>
      <c r="E494" s="46"/>
      <c r="J494" s="44" t="str">
        <f>IFERROR(BaoLiuXiaoShuWei(AVERAGE(H494:I494),2),"")</f>
        <v/>
      </c>
      <c r="K494" s="50" t="str">
        <f>IFERROR(XiuYueXiaoShu(IF(J494="","",(J494-基本信息!$B$28)/基本信息!$B$29)*(基本信息!$C$9)/F494/1000*IF(G494="",1,G494),基本信息!$C$11,基本信息!$C$34,1),"")</f>
        <v/>
      </c>
    </row>
    <row r="495" spans="1:11" ht="19.5" customHeight="1">
      <c r="A495" s="46"/>
      <c r="B495" s="47"/>
      <c r="C495" s="46"/>
      <c r="D495" s="46"/>
      <c r="E495" s="46"/>
      <c r="J495" s="44" t="str">
        <f>IFERROR(BaoLiuXiaoShuWei(AVERAGE(H495:I495),2),"")</f>
        <v/>
      </c>
      <c r="K495" s="50" t="str">
        <f>IFERROR(XiuYueXiaoShu(IF(J495="","",(J495-基本信息!$B$28)/基本信息!$B$29)*(基本信息!$C$9)/F495/1000*IF(G495="",1,G495),基本信息!$C$11,基本信息!$C$34,1),"")</f>
        <v/>
      </c>
    </row>
    <row r="496" spans="1:11" ht="19.5" customHeight="1">
      <c r="A496" s="46"/>
      <c r="B496" s="47"/>
      <c r="C496" s="46"/>
      <c r="D496" s="46"/>
      <c r="E496" s="46"/>
      <c r="J496" s="44" t="str">
        <f>IFERROR(BaoLiuXiaoShuWei(AVERAGE(H496:I496),2),"")</f>
        <v/>
      </c>
      <c r="K496" s="50" t="str">
        <f>IFERROR(XiuYueXiaoShu(IF(J496="","",(J496-基本信息!$B$28)/基本信息!$B$29)*(基本信息!$C$9)/F496/1000*IF(G496="",1,G496),基本信息!$C$11,基本信息!$C$34,1),"")</f>
        <v/>
      </c>
    </row>
    <row r="497" spans="1:11" ht="19.5" customHeight="1">
      <c r="A497" s="46"/>
      <c r="B497" s="47"/>
      <c r="C497" s="46"/>
      <c r="D497" s="46"/>
      <c r="E497" s="46"/>
      <c r="J497" s="44" t="str">
        <f>IFERROR(BaoLiuXiaoShuWei(AVERAGE(H497:I497),2),"")</f>
        <v/>
      </c>
      <c r="K497" s="50" t="str">
        <f>IFERROR(XiuYueXiaoShu(IF(J497="","",(J497-基本信息!$B$28)/基本信息!$B$29)*(基本信息!$C$9)/F497/1000*IF(G497="",1,G497),基本信息!$C$11,基本信息!$C$34,1),"")</f>
        <v/>
      </c>
    </row>
    <row r="498" spans="1:11" ht="19.5" customHeight="1">
      <c r="A498" s="46"/>
      <c r="B498" s="47"/>
      <c r="C498" s="46"/>
      <c r="D498" s="46"/>
      <c r="E498" s="46"/>
      <c r="J498" s="44" t="str">
        <f>IFERROR(BaoLiuXiaoShuWei(AVERAGE(H498:I498),2),"")</f>
        <v/>
      </c>
      <c r="K498" s="50" t="str">
        <f>IFERROR(XiuYueXiaoShu(IF(J498="","",(J498-基本信息!$B$28)/基本信息!$B$29)*(基本信息!$C$9)/F498/1000*IF(G498="",1,G498),基本信息!$C$11,基本信息!$C$34,1),"")</f>
        <v/>
      </c>
    </row>
    <row r="499" spans="1:11" ht="19.5" customHeight="1">
      <c r="A499" s="46"/>
      <c r="B499" s="47"/>
      <c r="C499" s="46"/>
      <c r="D499" s="46"/>
      <c r="E499" s="46"/>
      <c r="J499" s="44" t="str">
        <f>IFERROR(BaoLiuXiaoShuWei(AVERAGE(H499:I499),2),"")</f>
        <v/>
      </c>
      <c r="K499" s="50" t="str">
        <f>IFERROR(XiuYueXiaoShu(IF(J499="","",(J499-基本信息!$B$28)/基本信息!$B$29)*(基本信息!$C$9)/F499/1000*IF(G499="",1,G499),基本信息!$C$11,基本信息!$C$34,1),"")</f>
        <v/>
      </c>
    </row>
    <row r="500" spans="1:11" ht="19.5" customHeight="1">
      <c r="A500" s="46"/>
      <c r="B500" s="47"/>
      <c r="C500" s="46"/>
      <c r="D500" s="46"/>
      <c r="E500" s="46"/>
      <c r="J500" s="44" t="str">
        <f>IFERROR(BaoLiuXiaoShuWei(AVERAGE(H500:I500),2),"")</f>
        <v/>
      </c>
      <c r="K500" s="50" t="str">
        <f>IFERROR(XiuYueXiaoShu(IF(J500="","",(J500-基本信息!$B$28)/基本信息!$B$29)*(基本信息!$C$9)/F500/1000*IF(G500="",1,G500),基本信息!$C$11,基本信息!$C$34,1),"")</f>
        <v/>
      </c>
    </row>
    <row r="501" spans="1:11" ht="19.5" customHeight="1">
      <c r="A501" s="46"/>
      <c r="B501" s="47"/>
      <c r="C501" s="46"/>
      <c r="D501" s="46"/>
      <c r="E501" s="46"/>
      <c r="J501" s="44" t="str">
        <f>IFERROR(BaoLiuXiaoShuWei(AVERAGE(H501:I501),2),"")</f>
        <v/>
      </c>
      <c r="K501" s="50" t="str">
        <f>IFERROR(XiuYueXiaoShu(IF(J501="","",(J501-基本信息!$B$28)/基本信息!$B$29)*(基本信息!$C$9)/F501/1000*IF(G501="",1,G501),基本信息!$C$11,基本信息!$C$34,1),"")</f>
        <v/>
      </c>
    </row>
    <row r="502" spans="1:11" ht="19.5" customHeight="1">
      <c r="A502" s="46"/>
      <c r="B502" s="47"/>
      <c r="C502" s="46"/>
      <c r="D502" s="46"/>
      <c r="E502" s="46"/>
      <c r="J502" s="44" t="str">
        <f>IFERROR(BaoLiuXiaoShuWei(AVERAGE(H502:I502),2),"")</f>
        <v/>
      </c>
      <c r="K502" s="50" t="str">
        <f>IFERROR(XiuYueXiaoShu(IF(J502="","",(J502-基本信息!$B$28)/基本信息!$B$29)*(基本信息!$C$9)/F502/1000*IF(G502="",1,G502),基本信息!$C$11,基本信息!$C$34,1),"")</f>
        <v/>
      </c>
    </row>
    <row r="503" spans="1:11" ht="19.5" customHeight="1">
      <c r="A503" s="46"/>
      <c r="B503" s="47"/>
      <c r="C503" s="46"/>
      <c r="D503" s="46"/>
      <c r="E503" s="46"/>
      <c r="J503" s="44" t="str">
        <f>IFERROR(BaoLiuXiaoShuWei(AVERAGE(H503:I503),2),"")</f>
        <v/>
      </c>
      <c r="K503" s="50" t="str">
        <f>IFERROR(XiuYueXiaoShu(IF(J503="","",(J503-基本信息!$B$28)/基本信息!$B$29)*(基本信息!$C$9)/F503/1000*IF(G503="",1,G503),基本信息!$C$11,基本信息!$C$34,1),"")</f>
        <v/>
      </c>
    </row>
    <row r="504" spans="1:11" ht="19.5" customHeight="1">
      <c r="A504" s="46"/>
      <c r="B504" s="47"/>
      <c r="C504" s="46"/>
      <c r="D504" s="46"/>
      <c r="E504" s="46"/>
      <c r="J504" s="44" t="str">
        <f>IFERROR(BaoLiuXiaoShuWei(AVERAGE(H504:I504),2),"")</f>
        <v/>
      </c>
      <c r="K504" s="50" t="str">
        <f>IFERROR(XiuYueXiaoShu(IF(J504="","",(J504-基本信息!$B$28)/基本信息!$B$29)*(基本信息!$C$9)/F504/1000*IF(G504="",1,G504),基本信息!$C$11,基本信息!$C$34,1),"")</f>
        <v/>
      </c>
    </row>
    <row r="505" spans="1:11" ht="19.5" customHeight="1">
      <c r="A505" s="46"/>
      <c r="B505" s="47"/>
      <c r="C505" s="46"/>
      <c r="D505" s="46"/>
      <c r="E505" s="46"/>
      <c r="J505" s="44" t="str">
        <f>IFERROR(BaoLiuXiaoShuWei(AVERAGE(H505:I505),2),"")</f>
        <v/>
      </c>
      <c r="K505" s="50" t="str">
        <f>IFERROR(XiuYueXiaoShu(IF(J505="","",(J505-基本信息!$B$28)/基本信息!$B$29)*(基本信息!$C$9)/F505/1000*IF(G505="",1,G505),基本信息!$C$11,基本信息!$C$34,1),"")</f>
        <v/>
      </c>
    </row>
    <row r="506" spans="1:11" ht="19.5" customHeight="1">
      <c r="A506" s="46"/>
      <c r="B506" s="47"/>
      <c r="C506" s="46"/>
      <c r="D506" s="46"/>
      <c r="E506" s="46"/>
      <c r="J506" s="44" t="str">
        <f>IFERROR(BaoLiuXiaoShuWei(AVERAGE(H506:I506),2),"")</f>
        <v/>
      </c>
      <c r="K506" s="50" t="str">
        <f>IFERROR(XiuYueXiaoShu(IF(J506="","",(J506-基本信息!$B$28)/基本信息!$B$29)*(基本信息!$C$9)/F506/1000*IF(G506="",1,G506),基本信息!$C$11,基本信息!$C$34,1),"")</f>
        <v/>
      </c>
    </row>
    <row r="507" spans="1:11" ht="19.5" customHeight="1">
      <c r="A507" s="46"/>
      <c r="B507" s="47"/>
      <c r="C507" s="46"/>
      <c r="D507" s="46"/>
      <c r="E507" s="46"/>
      <c r="J507" s="44" t="str">
        <f>IFERROR(BaoLiuXiaoShuWei(AVERAGE(H507:I507),2),"")</f>
        <v/>
      </c>
      <c r="K507" s="50" t="str">
        <f>IFERROR(XiuYueXiaoShu(IF(J507="","",(J507-基本信息!$B$28)/基本信息!$B$29)*(基本信息!$C$9)/F507/1000*IF(G507="",1,G507),基本信息!$C$11,基本信息!$C$34,1),"")</f>
        <v/>
      </c>
    </row>
    <row r="508" spans="1:11" ht="19.5" customHeight="1">
      <c r="A508" s="46"/>
      <c r="B508" s="47"/>
      <c r="C508" s="46"/>
      <c r="D508" s="46"/>
      <c r="E508" s="46"/>
      <c r="J508" s="44" t="str">
        <f>IFERROR(BaoLiuXiaoShuWei(AVERAGE(H508:I508),2),"")</f>
        <v/>
      </c>
      <c r="K508" s="50" t="str">
        <f>IFERROR(XiuYueXiaoShu(IF(J508="","",(J508-基本信息!$B$28)/基本信息!$B$29)*(基本信息!$C$9)/F508/1000*IF(G508="",1,G508),基本信息!$C$11,基本信息!$C$34,1),"")</f>
        <v/>
      </c>
    </row>
    <row r="509" spans="1:11" ht="19.5" customHeight="1">
      <c r="A509" s="46"/>
      <c r="B509" s="47"/>
      <c r="C509" s="46"/>
      <c r="D509" s="46"/>
      <c r="E509" s="46"/>
      <c r="J509" s="44" t="str">
        <f>IFERROR(BaoLiuXiaoShuWei(AVERAGE(H509:I509),2),"")</f>
        <v/>
      </c>
      <c r="K509" s="50" t="str">
        <f>IFERROR(XiuYueXiaoShu(IF(J509="","",(J509-基本信息!$B$28)/基本信息!$B$29)*(基本信息!$C$9)/F509/1000*IF(G509="",1,G509),基本信息!$C$11,基本信息!$C$34,1),"")</f>
        <v/>
      </c>
    </row>
    <row r="510" spans="1:11" ht="19.5" customHeight="1">
      <c r="A510" s="46"/>
      <c r="B510" s="47"/>
      <c r="C510" s="46"/>
      <c r="D510" s="46"/>
      <c r="E510" s="46"/>
      <c r="J510" s="44" t="str">
        <f>IFERROR(BaoLiuXiaoShuWei(AVERAGE(H510:I510),2),"")</f>
        <v/>
      </c>
      <c r="K510" s="50" t="str">
        <f>IFERROR(XiuYueXiaoShu(IF(J510="","",(J510-基本信息!$B$28)/基本信息!$B$29)*(基本信息!$C$9)/F510/1000*IF(G510="",1,G510),基本信息!$C$11,基本信息!$C$34,1),"")</f>
        <v/>
      </c>
    </row>
    <row r="511" spans="1:11" ht="19.5" customHeight="1">
      <c r="A511" s="46"/>
      <c r="B511" s="47"/>
      <c r="C511" s="46"/>
      <c r="D511" s="46"/>
      <c r="E511" s="46"/>
      <c r="J511" s="44" t="str">
        <f>IFERROR(BaoLiuXiaoShuWei(AVERAGE(H511:I511),2),"")</f>
        <v/>
      </c>
      <c r="K511" s="50" t="str">
        <f>IFERROR(XiuYueXiaoShu(IF(J511="","",(J511-基本信息!$B$28)/基本信息!$B$29)*(基本信息!$C$9)/F511/1000*IF(G511="",1,G511),基本信息!$C$11,基本信息!$C$34,1),"")</f>
        <v/>
      </c>
    </row>
    <row r="512" spans="1:11" ht="19.5" customHeight="1">
      <c r="A512" s="46"/>
      <c r="B512" s="47"/>
      <c r="C512" s="46"/>
      <c r="D512" s="46"/>
      <c r="E512" s="46"/>
      <c r="J512" s="44" t="str">
        <f>IFERROR(BaoLiuXiaoShuWei(AVERAGE(H512:I512),2),"")</f>
        <v/>
      </c>
      <c r="K512" s="50" t="str">
        <f>IFERROR(XiuYueXiaoShu(IF(J512="","",(J512-基本信息!$B$28)/基本信息!$B$29)*(基本信息!$C$9)/F512/1000*IF(G512="",1,G512),基本信息!$C$11,基本信息!$C$34,1),"")</f>
        <v/>
      </c>
    </row>
    <row r="513" spans="1:11" ht="19.5" customHeight="1">
      <c r="A513" s="46"/>
      <c r="B513" s="47"/>
      <c r="C513" s="46"/>
      <c r="D513" s="46"/>
      <c r="E513" s="46"/>
      <c r="J513" s="44" t="str">
        <f>IFERROR(BaoLiuXiaoShuWei(AVERAGE(H513:I513),2),"")</f>
        <v/>
      </c>
      <c r="K513" s="50" t="str">
        <f>IFERROR(XiuYueXiaoShu(IF(J513="","",(J513-基本信息!$B$28)/基本信息!$B$29)*(基本信息!$C$9)/F513/1000*IF(G513="",1,G513),基本信息!$C$11,基本信息!$C$34,1),"")</f>
        <v/>
      </c>
    </row>
    <row r="514" spans="1:11" ht="19.5" customHeight="1">
      <c r="A514" s="46"/>
      <c r="B514" s="47"/>
      <c r="C514" s="46"/>
      <c r="D514" s="46"/>
      <c r="E514" s="46"/>
      <c r="J514" s="44" t="str">
        <f>IFERROR(BaoLiuXiaoShuWei(AVERAGE(H514:I514),2),"")</f>
        <v/>
      </c>
      <c r="K514" s="50" t="str">
        <f>IFERROR(XiuYueXiaoShu(IF(J514="","",(J514-基本信息!$B$28)/基本信息!$B$29)*(基本信息!$C$9)/F514/1000*IF(G514="",1,G514),基本信息!$C$11,基本信息!$C$34,1),"")</f>
        <v/>
      </c>
    </row>
    <row r="515" spans="1:11" ht="19.5" customHeight="1">
      <c r="A515" s="46"/>
      <c r="B515" s="47"/>
      <c r="C515" s="46"/>
      <c r="D515" s="46"/>
      <c r="E515" s="46"/>
      <c r="J515" s="44" t="str">
        <f>IFERROR(BaoLiuXiaoShuWei(AVERAGE(H515:I515),2),"")</f>
        <v/>
      </c>
      <c r="K515" s="50" t="str">
        <f>IFERROR(XiuYueXiaoShu(IF(J515="","",(J515-基本信息!$B$28)/基本信息!$B$29)*(基本信息!$C$9)/F515/1000*IF(G515="",1,G515),基本信息!$C$11,基本信息!$C$34,1),"")</f>
        <v/>
      </c>
    </row>
    <row r="516" spans="1:11" ht="19.5" customHeight="1">
      <c r="A516" s="46"/>
      <c r="B516" s="47"/>
      <c r="C516" s="46"/>
      <c r="D516" s="46"/>
      <c r="E516" s="46"/>
      <c r="J516" s="44" t="str">
        <f>IFERROR(BaoLiuXiaoShuWei(AVERAGE(H516:I516),2),"")</f>
        <v/>
      </c>
      <c r="K516" s="50" t="str">
        <f>IFERROR(XiuYueXiaoShu(IF(J516="","",(J516-基本信息!$B$28)/基本信息!$B$29)*(基本信息!$C$9)/F516/1000*IF(G516="",1,G516),基本信息!$C$11,基本信息!$C$34,1),"")</f>
        <v/>
      </c>
    </row>
    <row r="517" spans="1:11" ht="19.5" customHeight="1">
      <c r="A517" s="46"/>
      <c r="B517" s="47"/>
      <c r="C517" s="46"/>
      <c r="D517" s="46"/>
      <c r="E517" s="46"/>
      <c r="J517" s="44" t="str">
        <f>IFERROR(BaoLiuXiaoShuWei(AVERAGE(H517:I517),2),"")</f>
        <v/>
      </c>
      <c r="K517" s="50" t="str">
        <f>IFERROR(XiuYueXiaoShu(IF(J517="","",(J517-基本信息!$B$28)/基本信息!$B$29)*(基本信息!$C$9)/F517/1000*IF(G517="",1,G517),基本信息!$C$11,基本信息!$C$34,1),"")</f>
        <v/>
      </c>
    </row>
    <row r="518" spans="1:11" ht="19.5" customHeight="1">
      <c r="A518" s="46"/>
      <c r="B518" s="47"/>
      <c r="C518" s="46"/>
      <c r="D518" s="46"/>
      <c r="E518" s="46"/>
      <c r="J518" s="44" t="str">
        <f>IFERROR(BaoLiuXiaoShuWei(AVERAGE(H518:I518),2),"")</f>
        <v/>
      </c>
      <c r="K518" s="50" t="str">
        <f>IFERROR(XiuYueXiaoShu(IF(J518="","",(J518-基本信息!$B$28)/基本信息!$B$29)*(基本信息!$C$9)/F518/1000*IF(G518="",1,G518),基本信息!$C$11,基本信息!$C$34,1),"")</f>
        <v/>
      </c>
    </row>
    <row r="519" spans="1:11" ht="19.5" customHeight="1">
      <c r="A519" s="46"/>
      <c r="B519" s="47"/>
      <c r="C519" s="46"/>
      <c r="D519" s="46"/>
      <c r="E519" s="46"/>
      <c r="J519" s="44" t="str">
        <f>IFERROR(BaoLiuXiaoShuWei(AVERAGE(H519:I519),2),"")</f>
        <v/>
      </c>
      <c r="K519" s="50" t="str">
        <f>IFERROR(XiuYueXiaoShu(IF(J519="","",(J519-基本信息!$B$28)/基本信息!$B$29)*(基本信息!$C$9)/F519/1000*IF(G519="",1,G519),基本信息!$C$11,基本信息!$C$34,1),"")</f>
        <v/>
      </c>
    </row>
    <row r="520" spans="1:11" ht="19.5" customHeight="1">
      <c r="A520" s="46"/>
      <c r="B520" s="47"/>
      <c r="C520" s="46"/>
      <c r="D520" s="46"/>
      <c r="E520" s="46"/>
      <c r="J520" s="44" t="str">
        <f>IFERROR(BaoLiuXiaoShuWei(AVERAGE(H520:I520),2),"")</f>
        <v/>
      </c>
      <c r="K520" s="50" t="str">
        <f>IFERROR(XiuYueXiaoShu(IF(J520="","",(J520-基本信息!$B$28)/基本信息!$B$29)*(基本信息!$C$9)/F520/1000*IF(G520="",1,G520),基本信息!$C$11,基本信息!$C$34,1),"")</f>
        <v/>
      </c>
    </row>
    <row r="521" spans="1:11" ht="19.5" customHeight="1">
      <c r="A521" s="46"/>
      <c r="B521" s="47"/>
      <c r="C521" s="46"/>
      <c r="D521" s="46"/>
      <c r="E521" s="46"/>
      <c r="J521" s="44" t="str">
        <f>IFERROR(BaoLiuXiaoShuWei(AVERAGE(H521:I521),2),"")</f>
        <v/>
      </c>
      <c r="K521" s="50" t="str">
        <f>IFERROR(XiuYueXiaoShu(IF(J521="","",(J521-基本信息!$B$28)/基本信息!$B$29)*(基本信息!$C$9)/F521/1000*IF(G521="",1,G521),基本信息!$C$11,基本信息!$C$34,1),"")</f>
        <v/>
      </c>
    </row>
    <row r="522" spans="1:11" ht="19.5" customHeight="1">
      <c r="A522" s="46"/>
      <c r="B522" s="47"/>
      <c r="C522" s="46"/>
      <c r="D522" s="46"/>
      <c r="E522" s="46"/>
      <c r="J522" s="44" t="str">
        <f>IFERROR(BaoLiuXiaoShuWei(AVERAGE(H522:I522),2),"")</f>
        <v/>
      </c>
      <c r="K522" s="50" t="str">
        <f>IFERROR(XiuYueXiaoShu(IF(J522="","",(J522-基本信息!$B$28)/基本信息!$B$29)*(基本信息!$C$9)/F522/1000*IF(G522="",1,G522),基本信息!$C$11,基本信息!$C$34,1),"")</f>
        <v/>
      </c>
    </row>
    <row r="523" spans="1:11" ht="19.5" customHeight="1">
      <c r="A523" s="46"/>
      <c r="B523" s="47"/>
      <c r="C523" s="46"/>
      <c r="D523" s="46"/>
      <c r="E523" s="46"/>
      <c r="J523" s="44" t="str">
        <f>IFERROR(BaoLiuXiaoShuWei(AVERAGE(H523:I523),2),"")</f>
        <v/>
      </c>
      <c r="K523" s="50" t="str">
        <f>IFERROR(XiuYueXiaoShu(IF(J523="","",(J523-基本信息!$B$28)/基本信息!$B$29)*(基本信息!$C$9)/F523/1000*IF(G523="",1,G523),基本信息!$C$11,基本信息!$C$34,1),"")</f>
        <v/>
      </c>
    </row>
    <row r="524" spans="1:11" ht="19.5" customHeight="1">
      <c r="A524" s="46"/>
      <c r="B524" s="47"/>
      <c r="C524" s="46"/>
      <c r="D524" s="46"/>
      <c r="E524" s="46"/>
      <c r="J524" s="44" t="str">
        <f>IFERROR(BaoLiuXiaoShuWei(AVERAGE(H524:I524),2),"")</f>
        <v/>
      </c>
      <c r="K524" s="50" t="str">
        <f>IFERROR(XiuYueXiaoShu(IF(J524="","",(J524-基本信息!$B$28)/基本信息!$B$29)*(基本信息!$C$9)/F524/1000*IF(G524="",1,G524),基本信息!$C$11,基本信息!$C$34,1),"")</f>
        <v/>
      </c>
    </row>
    <row r="525" spans="1:11" ht="19.5" customHeight="1">
      <c r="A525" s="46"/>
      <c r="B525" s="47"/>
      <c r="C525" s="46"/>
      <c r="D525" s="46"/>
      <c r="E525" s="46"/>
      <c r="J525" s="44" t="str">
        <f>IFERROR(BaoLiuXiaoShuWei(AVERAGE(H525:I525),2),"")</f>
        <v/>
      </c>
      <c r="K525" s="50" t="str">
        <f>IFERROR(XiuYueXiaoShu(IF(J525="","",(J525-基本信息!$B$28)/基本信息!$B$29)*(基本信息!$C$9)/F525/1000*IF(G525="",1,G525),基本信息!$C$11,基本信息!$C$34,1),"")</f>
        <v/>
      </c>
    </row>
    <row r="526" spans="1:11" ht="19.5" customHeight="1">
      <c r="A526" s="46"/>
      <c r="B526" s="47"/>
      <c r="C526" s="46"/>
      <c r="D526" s="46"/>
      <c r="E526" s="46"/>
      <c r="J526" s="44" t="str">
        <f>IFERROR(BaoLiuXiaoShuWei(AVERAGE(H526:I526),2),"")</f>
        <v/>
      </c>
      <c r="K526" s="50" t="str">
        <f>IFERROR(XiuYueXiaoShu(IF(J526="","",(J526-基本信息!$B$28)/基本信息!$B$29)*(基本信息!$C$9)/F526/1000*IF(G526="",1,G526),基本信息!$C$11,基本信息!$C$34,1),"")</f>
        <v/>
      </c>
    </row>
    <row r="527" spans="1:11" ht="19.5" customHeight="1">
      <c r="A527" s="46"/>
      <c r="B527" s="47"/>
      <c r="C527" s="46"/>
      <c r="D527" s="46"/>
      <c r="E527" s="46"/>
      <c r="J527" s="44" t="str">
        <f>IFERROR(BaoLiuXiaoShuWei(AVERAGE(H527:I527),2),"")</f>
        <v/>
      </c>
      <c r="K527" s="50" t="str">
        <f>IFERROR(XiuYueXiaoShu(IF(J527="","",(J527-基本信息!$B$28)/基本信息!$B$29)*(基本信息!$C$9)/F527/1000*IF(G527="",1,G527),基本信息!$C$11,基本信息!$C$34,1),"")</f>
        <v/>
      </c>
    </row>
    <row r="528" spans="1:11" ht="19.5" customHeight="1">
      <c r="A528" s="46"/>
      <c r="B528" s="47"/>
      <c r="C528" s="46"/>
      <c r="D528" s="46"/>
      <c r="E528" s="46"/>
      <c r="J528" s="44" t="str">
        <f>IFERROR(BaoLiuXiaoShuWei(AVERAGE(H528:I528),2),"")</f>
        <v/>
      </c>
      <c r="K528" s="50" t="str">
        <f>IFERROR(XiuYueXiaoShu(IF(J528="","",(J528-基本信息!$B$28)/基本信息!$B$29)*(基本信息!$C$9)/F528/1000*IF(G528="",1,G528),基本信息!$C$11,基本信息!$C$34,1),"")</f>
        <v/>
      </c>
    </row>
    <row r="529" spans="1:11" ht="19.5" customHeight="1">
      <c r="A529" s="46"/>
      <c r="B529" s="47"/>
      <c r="C529" s="46"/>
      <c r="D529" s="46"/>
      <c r="E529" s="46"/>
      <c r="J529" s="44" t="str">
        <f>IFERROR(BaoLiuXiaoShuWei(AVERAGE(H529:I529),2),"")</f>
        <v/>
      </c>
      <c r="K529" s="50" t="str">
        <f>IFERROR(XiuYueXiaoShu(IF(J529="","",(J529-基本信息!$B$28)/基本信息!$B$29)*(基本信息!$C$9)/F529/1000*IF(G529="",1,G529),基本信息!$C$11,基本信息!$C$34,1),"")</f>
        <v/>
      </c>
    </row>
    <row r="530" spans="1:11" ht="19.5" customHeight="1">
      <c r="A530" s="46"/>
      <c r="B530" s="47"/>
      <c r="C530" s="46"/>
      <c r="D530" s="46"/>
      <c r="E530" s="46"/>
      <c r="J530" s="44" t="str">
        <f>IFERROR(BaoLiuXiaoShuWei(AVERAGE(H530:I530),2),"")</f>
        <v/>
      </c>
      <c r="K530" s="50" t="str">
        <f>IFERROR(XiuYueXiaoShu(IF(J530="","",(J530-基本信息!$B$28)/基本信息!$B$29)*(基本信息!$C$9)/F530/1000*IF(G530="",1,G530),基本信息!$C$11,基本信息!$C$34,1),"")</f>
        <v/>
      </c>
    </row>
    <row r="531" spans="1:11" ht="19.5" customHeight="1">
      <c r="A531" s="46"/>
      <c r="B531" s="47"/>
      <c r="C531" s="46"/>
      <c r="D531" s="46"/>
      <c r="E531" s="46"/>
      <c r="J531" s="44" t="str">
        <f>IFERROR(BaoLiuXiaoShuWei(AVERAGE(H531:I531),2),"")</f>
        <v/>
      </c>
      <c r="K531" s="50" t="str">
        <f>IFERROR(XiuYueXiaoShu(IF(J531="","",(J531-基本信息!$B$28)/基本信息!$B$29)*(基本信息!$C$9)/F531/1000*IF(G531="",1,G531),基本信息!$C$11,基本信息!$C$34,1),"")</f>
        <v/>
      </c>
    </row>
    <row r="532" spans="1:11" ht="19.5" customHeight="1">
      <c r="A532" s="46"/>
      <c r="B532" s="47"/>
      <c r="C532" s="46"/>
      <c r="D532" s="46"/>
      <c r="E532" s="46"/>
      <c r="J532" s="44" t="str">
        <f>IFERROR(BaoLiuXiaoShuWei(AVERAGE(H532:I532),2),"")</f>
        <v/>
      </c>
      <c r="K532" s="50" t="str">
        <f>IFERROR(XiuYueXiaoShu(IF(J532="","",(J532-基本信息!$B$28)/基本信息!$B$29)*(基本信息!$C$9)/F532/1000*IF(G532="",1,G532),基本信息!$C$11,基本信息!$C$34,1),"")</f>
        <v/>
      </c>
    </row>
    <row r="533" spans="1:11" ht="19.5" customHeight="1">
      <c r="A533" s="46"/>
      <c r="B533" s="47"/>
      <c r="C533" s="46"/>
      <c r="D533" s="46"/>
      <c r="E533" s="46"/>
      <c r="J533" s="44" t="str">
        <f>IFERROR(BaoLiuXiaoShuWei(AVERAGE(H533:I533),2),"")</f>
        <v/>
      </c>
      <c r="K533" s="50" t="str">
        <f>IFERROR(XiuYueXiaoShu(IF(J533="","",(J533-基本信息!$B$28)/基本信息!$B$29)*(基本信息!$C$9)/F533/1000*IF(G533="",1,G533),基本信息!$C$11,基本信息!$C$34,1),"")</f>
        <v/>
      </c>
    </row>
    <row r="534" spans="1:11" ht="19.5" customHeight="1">
      <c r="A534" s="46"/>
      <c r="B534" s="47"/>
      <c r="C534" s="46"/>
      <c r="D534" s="46"/>
      <c r="E534" s="46"/>
      <c r="J534" s="44" t="str">
        <f>IFERROR(BaoLiuXiaoShuWei(AVERAGE(H534:I534),2),"")</f>
        <v/>
      </c>
      <c r="K534" s="50" t="str">
        <f>IFERROR(XiuYueXiaoShu(IF(J534="","",(J534-基本信息!$B$28)/基本信息!$B$29)*(基本信息!$C$9)/F534/1000*IF(G534="",1,G534),基本信息!$C$11,基本信息!$C$34,1),"")</f>
        <v/>
      </c>
    </row>
    <row r="535" spans="1:11" ht="19.5" customHeight="1">
      <c r="A535" s="46"/>
      <c r="B535" s="47"/>
      <c r="C535" s="46"/>
      <c r="D535" s="46"/>
      <c r="E535" s="46"/>
      <c r="J535" s="44" t="str">
        <f>IFERROR(BaoLiuXiaoShuWei(AVERAGE(H535:I535),2),"")</f>
        <v/>
      </c>
      <c r="K535" s="50" t="str">
        <f>IFERROR(XiuYueXiaoShu(IF(J535="","",(J535-基本信息!$B$28)/基本信息!$B$29)*(基本信息!$C$9)/F535/1000*IF(G535="",1,G535),基本信息!$C$11,基本信息!$C$34,1),"")</f>
        <v/>
      </c>
    </row>
    <row r="536" spans="1:11" ht="19.5" customHeight="1">
      <c r="A536" s="46"/>
      <c r="B536" s="47"/>
      <c r="C536" s="46"/>
      <c r="D536" s="46"/>
      <c r="E536" s="46"/>
      <c r="J536" s="44" t="str">
        <f>IFERROR(BaoLiuXiaoShuWei(AVERAGE(H536:I536),2),"")</f>
        <v/>
      </c>
      <c r="K536" s="50" t="str">
        <f>IFERROR(XiuYueXiaoShu(IF(J536="","",(J536-基本信息!$B$28)/基本信息!$B$29)*(基本信息!$C$9)/F536/1000*IF(G536="",1,G536),基本信息!$C$11,基本信息!$C$34,1),"")</f>
        <v/>
      </c>
    </row>
    <row r="537" spans="1:11" ht="19.5" customHeight="1">
      <c r="A537" s="46"/>
      <c r="B537" s="47"/>
      <c r="C537" s="46"/>
      <c r="D537" s="46"/>
      <c r="E537" s="46"/>
      <c r="J537" s="44" t="str">
        <f>IFERROR(BaoLiuXiaoShuWei(AVERAGE(H537:I537),2),"")</f>
        <v/>
      </c>
      <c r="K537" s="50" t="str">
        <f>IFERROR(XiuYueXiaoShu(IF(J537="","",(J537-基本信息!$B$28)/基本信息!$B$29)*(基本信息!$C$9)/F537/1000*IF(G537="",1,G537),基本信息!$C$11,基本信息!$C$34,1),"")</f>
        <v/>
      </c>
    </row>
    <row r="538" spans="1:11" ht="19.5" customHeight="1">
      <c r="A538" s="46"/>
      <c r="B538" s="47"/>
      <c r="C538" s="46"/>
      <c r="D538" s="46"/>
      <c r="E538" s="46"/>
      <c r="J538" s="44" t="str">
        <f>IFERROR(BaoLiuXiaoShuWei(AVERAGE(H538:I538),2),"")</f>
        <v/>
      </c>
      <c r="K538" s="50" t="str">
        <f>IFERROR(XiuYueXiaoShu(IF(J538="","",(J538-基本信息!$B$28)/基本信息!$B$29)*(基本信息!$C$9)/F538/1000*IF(G538="",1,G538),基本信息!$C$11,基本信息!$C$34,1),"")</f>
        <v/>
      </c>
    </row>
    <row r="539" spans="1:11" ht="19.5" customHeight="1">
      <c r="A539" s="46"/>
      <c r="B539" s="47"/>
      <c r="C539" s="46"/>
      <c r="D539" s="46"/>
      <c r="E539" s="46"/>
      <c r="J539" s="44" t="str">
        <f>IFERROR(BaoLiuXiaoShuWei(AVERAGE(H539:I539),2),"")</f>
        <v/>
      </c>
      <c r="K539" s="50" t="str">
        <f>IFERROR(XiuYueXiaoShu(IF(J539="","",(J539-基本信息!$B$28)/基本信息!$B$29)*(基本信息!$C$9)/F539/1000*IF(G539="",1,G539),基本信息!$C$11,基本信息!$C$34,1),"")</f>
        <v/>
      </c>
    </row>
    <row r="540" spans="1:11" ht="19.5" customHeight="1">
      <c r="A540" s="46"/>
      <c r="B540" s="47"/>
      <c r="C540" s="46"/>
      <c r="D540" s="46"/>
      <c r="E540" s="46"/>
      <c r="J540" s="44" t="str">
        <f>IFERROR(BaoLiuXiaoShuWei(AVERAGE(H540:I540),2),"")</f>
        <v/>
      </c>
      <c r="K540" s="50" t="str">
        <f>IFERROR(XiuYueXiaoShu(IF(J540="","",(J540-基本信息!$B$28)/基本信息!$B$29)*(基本信息!$C$9)/F540/1000*IF(G540="",1,G540),基本信息!$C$11,基本信息!$C$34,1),"")</f>
        <v/>
      </c>
    </row>
    <row r="541" spans="1:11" ht="19.5" customHeight="1">
      <c r="A541" s="46"/>
      <c r="B541" s="47"/>
      <c r="C541" s="46"/>
      <c r="D541" s="46"/>
      <c r="E541" s="46"/>
      <c r="J541" s="44" t="str">
        <f>IFERROR(BaoLiuXiaoShuWei(AVERAGE(H541:I541),2),"")</f>
        <v/>
      </c>
      <c r="K541" s="50" t="str">
        <f>IFERROR(XiuYueXiaoShu(IF(J541="","",(J541-基本信息!$B$28)/基本信息!$B$29)*(基本信息!$C$9)/F541/1000*IF(G541="",1,G541),基本信息!$C$11,基本信息!$C$34,1),"")</f>
        <v/>
      </c>
    </row>
    <row r="542" spans="1:11" ht="19.5" customHeight="1">
      <c r="A542" s="46"/>
      <c r="B542" s="47"/>
      <c r="C542" s="46"/>
      <c r="D542" s="46"/>
      <c r="E542" s="46"/>
      <c r="J542" s="44" t="str">
        <f>IFERROR(BaoLiuXiaoShuWei(AVERAGE(H542:I542),2),"")</f>
        <v/>
      </c>
      <c r="K542" s="50" t="str">
        <f>IFERROR(XiuYueXiaoShu(IF(J542="","",(J542-基本信息!$B$28)/基本信息!$B$29)*(基本信息!$C$9)/F542/1000*IF(G542="",1,G542),基本信息!$C$11,基本信息!$C$34,1),"")</f>
        <v/>
      </c>
    </row>
    <row r="543" spans="1:11" ht="19.5" customHeight="1">
      <c r="A543" s="46"/>
      <c r="B543" s="47"/>
      <c r="C543" s="46"/>
      <c r="D543" s="46"/>
      <c r="E543" s="46"/>
      <c r="J543" s="44" t="str">
        <f>IFERROR(BaoLiuXiaoShuWei(AVERAGE(H543:I543),2),"")</f>
        <v/>
      </c>
      <c r="K543" s="50" t="str">
        <f>IFERROR(XiuYueXiaoShu(IF(J543="","",(J543-基本信息!$B$28)/基本信息!$B$29)*(基本信息!$C$9)/F543/1000*IF(G543="",1,G543),基本信息!$C$11,基本信息!$C$34,1),"")</f>
        <v/>
      </c>
    </row>
    <row r="544" spans="1:11" ht="19.5" customHeight="1">
      <c r="A544" s="46"/>
      <c r="B544" s="47"/>
      <c r="C544" s="46"/>
      <c r="D544" s="46"/>
      <c r="E544" s="46"/>
      <c r="J544" s="44" t="str">
        <f>IFERROR(BaoLiuXiaoShuWei(AVERAGE(H544:I544),2),"")</f>
        <v/>
      </c>
      <c r="K544" s="50" t="str">
        <f>IFERROR(XiuYueXiaoShu(IF(J544="","",(J544-基本信息!$B$28)/基本信息!$B$29)*(基本信息!$C$9)/F544/1000*IF(G544="",1,G544),基本信息!$C$11,基本信息!$C$34,1),"")</f>
        <v/>
      </c>
    </row>
    <row r="545" spans="1:11" ht="19.5" customHeight="1">
      <c r="A545" s="46"/>
      <c r="B545" s="47"/>
      <c r="C545" s="46"/>
      <c r="D545" s="46"/>
      <c r="E545" s="46"/>
      <c r="J545" s="44" t="str">
        <f>IFERROR(BaoLiuXiaoShuWei(AVERAGE(H545:I545),2),"")</f>
        <v/>
      </c>
      <c r="K545" s="50" t="str">
        <f>IFERROR(XiuYueXiaoShu(IF(J545="","",(J545-基本信息!$B$28)/基本信息!$B$29)*(基本信息!$C$9)/F545/1000*IF(G545="",1,G545),基本信息!$C$11,基本信息!$C$34,1),"")</f>
        <v/>
      </c>
    </row>
    <row r="546" spans="1:11" ht="19.5" customHeight="1">
      <c r="A546" s="46"/>
      <c r="B546" s="47"/>
      <c r="C546" s="46"/>
      <c r="D546" s="46"/>
      <c r="E546" s="46"/>
      <c r="J546" s="44" t="str">
        <f>IFERROR(BaoLiuXiaoShuWei(AVERAGE(H546:I546),2),"")</f>
        <v/>
      </c>
      <c r="K546" s="50" t="str">
        <f>IFERROR(XiuYueXiaoShu(IF(J546="","",(J546-基本信息!$B$28)/基本信息!$B$29)*(基本信息!$C$9)/F546/1000*IF(G546="",1,G546),基本信息!$C$11,基本信息!$C$34,1),"")</f>
        <v/>
      </c>
    </row>
    <row r="547" spans="1:11" ht="19.5" customHeight="1">
      <c r="A547" s="46"/>
      <c r="B547" s="47"/>
      <c r="C547" s="46"/>
      <c r="D547" s="46"/>
      <c r="E547" s="46"/>
      <c r="J547" s="44" t="str">
        <f>IFERROR(BaoLiuXiaoShuWei(AVERAGE(H547:I547),2),"")</f>
        <v/>
      </c>
      <c r="K547" s="50" t="str">
        <f>IFERROR(XiuYueXiaoShu(IF(J547="","",(J547-基本信息!$B$28)/基本信息!$B$29)*(基本信息!$C$9)/F547/1000*IF(G547="",1,G547),基本信息!$C$11,基本信息!$C$34,1),"")</f>
        <v/>
      </c>
    </row>
    <row r="548" spans="1:11" ht="19.5" customHeight="1">
      <c r="A548" s="46"/>
      <c r="B548" s="47"/>
      <c r="C548" s="46"/>
      <c r="D548" s="46"/>
      <c r="E548" s="46"/>
      <c r="J548" s="44" t="str">
        <f>IFERROR(BaoLiuXiaoShuWei(AVERAGE(H548:I548),2),"")</f>
        <v/>
      </c>
      <c r="K548" s="50" t="str">
        <f>IFERROR(XiuYueXiaoShu(IF(J548="","",(J548-基本信息!$B$28)/基本信息!$B$29)*(基本信息!$C$9)/F548/1000*IF(G548="",1,G548),基本信息!$C$11,基本信息!$C$34,1),"")</f>
        <v/>
      </c>
    </row>
    <row r="549" spans="1:11" ht="19.5" customHeight="1">
      <c r="A549" s="46"/>
      <c r="B549" s="47"/>
      <c r="C549" s="46"/>
      <c r="D549" s="46"/>
      <c r="E549" s="46"/>
      <c r="J549" s="44" t="str">
        <f>IFERROR(BaoLiuXiaoShuWei(AVERAGE(H549:I549),2),"")</f>
        <v/>
      </c>
      <c r="K549" s="50" t="str">
        <f>IFERROR(XiuYueXiaoShu(IF(J549="","",(J549-基本信息!$B$28)/基本信息!$B$29)*(基本信息!$C$9)/F549/1000*IF(G549="",1,G549),基本信息!$C$11,基本信息!$C$34,1),"")</f>
        <v/>
      </c>
    </row>
    <row r="550" spans="1:11" ht="19.5" customHeight="1">
      <c r="A550" s="46"/>
      <c r="B550" s="47"/>
      <c r="C550" s="46"/>
      <c r="D550" s="46"/>
      <c r="E550" s="46"/>
      <c r="J550" s="44" t="str">
        <f>IFERROR(BaoLiuXiaoShuWei(AVERAGE(H550:I550),2),"")</f>
        <v/>
      </c>
      <c r="K550" s="50" t="str">
        <f>IFERROR(XiuYueXiaoShu(IF(J550="","",(J550-基本信息!$B$28)/基本信息!$B$29)*(基本信息!$C$9)/F550/1000*IF(G550="",1,G550),基本信息!$C$11,基本信息!$C$34,1),"")</f>
        <v/>
      </c>
    </row>
    <row r="551" spans="1:11" ht="19.5" customHeight="1">
      <c r="A551" s="46"/>
      <c r="B551" s="47"/>
      <c r="C551" s="46"/>
      <c r="D551" s="46"/>
      <c r="E551" s="46"/>
      <c r="J551" s="44" t="str">
        <f>IFERROR(BaoLiuXiaoShuWei(AVERAGE(H551:I551),2),"")</f>
        <v/>
      </c>
      <c r="K551" s="50" t="str">
        <f>IFERROR(XiuYueXiaoShu(IF(J551="","",(J551-基本信息!$B$28)/基本信息!$B$29)*(基本信息!$C$9)/F551/1000*IF(G551="",1,G551),基本信息!$C$11,基本信息!$C$34,1),"")</f>
        <v/>
      </c>
    </row>
    <row r="552" spans="1:11" ht="19.5" customHeight="1">
      <c r="A552" s="46"/>
      <c r="B552" s="47"/>
      <c r="C552" s="46"/>
      <c r="D552" s="46"/>
      <c r="E552" s="46"/>
      <c r="J552" s="44" t="str">
        <f>IFERROR(BaoLiuXiaoShuWei(AVERAGE(H552:I552),2),"")</f>
        <v/>
      </c>
      <c r="K552" s="50" t="str">
        <f>IFERROR(XiuYueXiaoShu(IF(J552="","",(J552-基本信息!$B$28)/基本信息!$B$29)*(基本信息!$C$9)/F552/1000*IF(G552="",1,G552),基本信息!$C$11,基本信息!$C$34,1),"")</f>
        <v/>
      </c>
    </row>
    <row r="553" spans="1:11" ht="19.5" customHeight="1">
      <c r="A553" s="46"/>
      <c r="B553" s="47"/>
      <c r="C553" s="46"/>
      <c r="D553" s="46"/>
      <c r="E553" s="46"/>
      <c r="J553" s="44" t="str">
        <f>IFERROR(BaoLiuXiaoShuWei(AVERAGE(H553:I553),2),"")</f>
        <v/>
      </c>
      <c r="K553" s="50" t="str">
        <f>IFERROR(XiuYueXiaoShu(IF(J553="","",(J553-基本信息!$B$28)/基本信息!$B$29)*(基本信息!$C$9)/F553/1000*IF(G553="",1,G553),基本信息!$C$11,基本信息!$C$34,1),"")</f>
        <v/>
      </c>
    </row>
    <row r="554" spans="1:11" ht="19.5" customHeight="1">
      <c r="A554" s="46"/>
      <c r="B554" s="47"/>
      <c r="C554" s="46"/>
      <c r="D554" s="46"/>
      <c r="E554" s="46"/>
      <c r="J554" s="44" t="str">
        <f>IFERROR(BaoLiuXiaoShuWei(AVERAGE(H554:I554),2),"")</f>
        <v/>
      </c>
      <c r="K554" s="50" t="str">
        <f>IFERROR(XiuYueXiaoShu(IF(J554="","",(J554-基本信息!$B$28)/基本信息!$B$29)*(基本信息!$C$9)/F554/1000*IF(G554="",1,G554),基本信息!$C$11,基本信息!$C$34,1),"")</f>
        <v/>
      </c>
    </row>
    <row r="555" spans="1:11" ht="19.5" customHeight="1">
      <c r="A555" s="46"/>
      <c r="B555" s="47"/>
      <c r="C555" s="46"/>
      <c r="D555" s="46"/>
      <c r="E555" s="46"/>
      <c r="J555" s="44" t="str">
        <f>IFERROR(BaoLiuXiaoShuWei(AVERAGE(H555:I555),2),"")</f>
        <v/>
      </c>
      <c r="K555" s="50" t="str">
        <f>IFERROR(XiuYueXiaoShu(IF(J555="","",(J555-基本信息!$B$28)/基本信息!$B$29)*(基本信息!$C$9)/F555/1000*IF(G555="",1,G555),基本信息!$C$11,基本信息!$C$34,1),"")</f>
        <v/>
      </c>
    </row>
    <row r="556" spans="1:11" ht="19.5" customHeight="1">
      <c r="A556" s="46"/>
      <c r="B556" s="47"/>
      <c r="C556" s="46"/>
      <c r="D556" s="46"/>
      <c r="E556" s="46"/>
      <c r="J556" s="44" t="str">
        <f>IFERROR(BaoLiuXiaoShuWei(AVERAGE(H556:I556),2),"")</f>
        <v/>
      </c>
      <c r="K556" s="50" t="str">
        <f>IFERROR(XiuYueXiaoShu(IF(J556="","",(J556-基本信息!$B$28)/基本信息!$B$29)*(基本信息!$C$9)/F556/1000*IF(G556="",1,G556),基本信息!$C$11,基本信息!$C$34,1),"")</f>
        <v/>
      </c>
    </row>
    <row r="557" spans="1:11" ht="19.5" customHeight="1">
      <c r="A557" s="46"/>
      <c r="B557" s="47"/>
      <c r="C557" s="46"/>
      <c r="D557" s="46"/>
      <c r="E557" s="46"/>
      <c r="J557" s="44" t="str">
        <f>IFERROR(BaoLiuXiaoShuWei(AVERAGE(H557:I557),2),"")</f>
        <v/>
      </c>
      <c r="K557" s="50" t="str">
        <f>IFERROR(XiuYueXiaoShu(IF(J557="","",(J557-基本信息!$B$28)/基本信息!$B$29)*(基本信息!$C$9)/F557/1000*IF(G557="",1,G557),基本信息!$C$11,基本信息!$C$34,1),"")</f>
        <v/>
      </c>
    </row>
    <row r="558" spans="1:11" ht="19.5" customHeight="1">
      <c r="A558" s="46"/>
      <c r="B558" s="47"/>
      <c r="C558" s="46"/>
      <c r="D558" s="46"/>
      <c r="E558" s="46"/>
      <c r="J558" s="44" t="str">
        <f>IFERROR(BaoLiuXiaoShuWei(AVERAGE(H558:I558),2),"")</f>
        <v/>
      </c>
      <c r="K558" s="50" t="str">
        <f>IFERROR(XiuYueXiaoShu(IF(J558="","",(J558-基本信息!$B$28)/基本信息!$B$29)*(基本信息!$C$9)/F558/1000*IF(G558="",1,G558),基本信息!$C$11,基本信息!$C$34,1),"")</f>
        <v/>
      </c>
    </row>
    <row r="559" spans="1:11" ht="19.5" customHeight="1">
      <c r="A559" s="46"/>
      <c r="B559" s="47"/>
      <c r="C559" s="46"/>
      <c r="D559" s="46"/>
      <c r="E559" s="46"/>
      <c r="J559" s="44" t="str">
        <f>IFERROR(BaoLiuXiaoShuWei(AVERAGE(H559:I559),2),"")</f>
        <v/>
      </c>
      <c r="K559" s="50" t="str">
        <f>IFERROR(XiuYueXiaoShu(IF(J559="","",(J559-基本信息!$B$28)/基本信息!$B$29)*(基本信息!$C$9)/F559/1000*IF(G559="",1,G559),基本信息!$C$11,基本信息!$C$34,1),"")</f>
        <v/>
      </c>
    </row>
    <row r="560" spans="1:11" ht="19.5" customHeight="1">
      <c r="A560" s="46"/>
      <c r="B560" s="47"/>
      <c r="C560" s="46"/>
      <c r="D560" s="46"/>
      <c r="E560" s="46"/>
      <c r="J560" s="44" t="str">
        <f>IFERROR(BaoLiuXiaoShuWei(AVERAGE(H560:I560),2),"")</f>
        <v/>
      </c>
      <c r="K560" s="50" t="str">
        <f>IFERROR(XiuYueXiaoShu(IF(J560="","",(J560-基本信息!$B$28)/基本信息!$B$29)*(基本信息!$C$9)/F560/1000*IF(G560="",1,G560),基本信息!$C$11,基本信息!$C$34,1),"")</f>
        <v/>
      </c>
    </row>
    <row r="561" spans="1:11" ht="19.5" customHeight="1">
      <c r="A561" s="46"/>
      <c r="B561" s="47"/>
      <c r="C561" s="46"/>
      <c r="D561" s="46"/>
      <c r="E561" s="46"/>
      <c r="J561" s="44" t="str">
        <f>IFERROR(BaoLiuXiaoShuWei(AVERAGE(H561:I561),2),"")</f>
        <v/>
      </c>
      <c r="K561" s="50" t="str">
        <f>IFERROR(XiuYueXiaoShu(IF(J561="","",(J561-基本信息!$B$28)/基本信息!$B$29)*(基本信息!$C$9)/F561/1000*IF(G561="",1,G561),基本信息!$C$11,基本信息!$C$34,1),"")</f>
        <v/>
      </c>
    </row>
    <row r="562" spans="1:11" ht="19.5" customHeight="1">
      <c r="A562" s="46"/>
      <c r="B562" s="47"/>
      <c r="C562" s="46"/>
      <c r="D562" s="46"/>
      <c r="E562" s="46"/>
      <c r="J562" s="44" t="str">
        <f>IFERROR(BaoLiuXiaoShuWei(AVERAGE(H562:I562),2),"")</f>
        <v/>
      </c>
      <c r="K562" s="50" t="str">
        <f>IFERROR(XiuYueXiaoShu(IF(J562="","",(J562-基本信息!$B$28)/基本信息!$B$29)*(基本信息!$C$9)/F562/1000*IF(G562="",1,G562),基本信息!$C$11,基本信息!$C$34,1),"")</f>
        <v/>
      </c>
    </row>
    <row r="563" spans="1:11" ht="19.5" customHeight="1">
      <c r="A563" s="46"/>
      <c r="B563" s="47"/>
      <c r="C563" s="46"/>
      <c r="D563" s="46"/>
      <c r="E563" s="46"/>
      <c r="J563" s="44" t="str">
        <f>IFERROR(BaoLiuXiaoShuWei(AVERAGE(H563:I563),2),"")</f>
        <v/>
      </c>
      <c r="K563" s="50" t="str">
        <f>IFERROR(XiuYueXiaoShu(IF(J563="","",(J563-基本信息!$B$28)/基本信息!$B$29)*(基本信息!$C$9)/F563/1000*IF(G563="",1,G563),基本信息!$C$11,基本信息!$C$34,1),"")</f>
        <v/>
      </c>
    </row>
    <row r="564" spans="1:11" ht="19.5" customHeight="1">
      <c r="A564" s="46"/>
      <c r="B564" s="47"/>
      <c r="C564" s="46"/>
      <c r="D564" s="46"/>
      <c r="E564" s="46"/>
      <c r="J564" s="44" t="str">
        <f>IFERROR(BaoLiuXiaoShuWei(AVERAGE(H564:I564),2),"")</f>
        <v/>
      </c>
      <c r="K564" s="50" t="str">
        <f>IFERROR(XiuYueXiaoShu(IF(J564="","",(J564-基本信息!$B$28)/基本信息!$B$29)*(基本信息!$C$9)/F564/1000*IF(G564="",1,G564),基本信息!$C$11,基本信息!$C$34,1),"")</f>
        <v/>
      </c>
    </row>
    <row r="565" spans="1:11" ht="19.5" customHeight="1">
      <c r="A565" s="46"/>
      <c r="B565" s="47"/>
      <c r="C565" s="46"/>
      <c r="D565" s="46"/>
      <c r="E565" s="46"/>
      <c r="J565" s="44" t="str">
        <f>IFERROR(BaoLiuXiaoShuWei(AVERAGE(H565:I565),2),"")</f>
        <v/>
      </c>
      <c r="K565" s="50" t="str">
        <f>IFERROR(XiuYueXiaoShu(IF(J565="","",(J565-基本信息!$B$28)/基本信息!$B$29)*(基本信息!$C$9)/F565/1000*IF(G565="",1,G565),基本信息!$C$11,基本信息!$C$34,1),"")</f>
        <v/>
      </c>
    </row>
    <row r="566" spans="1:11" ht="19.5" customHeight="1">
      <c r="A566" s="46"/>
      <c r="B566" s="47"/>
      <c r="C566" s="46"/>
      <c r="D566" s="46"/>
      <c r="E566" s="46"/>
      <c r="J566" s="44" t="str">
        <f>IFERROR(BaoLiuXiaoShuWei(AVERAGE(H566:I566),2),"")</f>
        <v/>
      </c>
      <c r="K566" s="50" t="str">
        <f>IFERROR(XiuYueXiaoShu(IF(J566="","",(J566-基本信息!$B$28)/基本信息!$B$29)*(基本信息!$C$9)/F566/1000*IF(G566="",1,G566),基本信息!$C$11,基本信息!$C$34,1),"")</f>
        <v/>
      </c>
    </row>
    <row r="567" spans="1:11" ht="19.5" customHeight="1">
      <c r="A567" s="46"/>
      <c r="B567" s="47"/>
      <c r="C567" s="46"/>
      <c r="D567" s="46"/>
      <c r="E567" s="46"/>
      <c r="J567" s="44" t="str">
        <f>IFERROR(BaoLiuXiaoShuWei(AVERAGE(H567:I567),2),"")</f>
        <v/>
      </c>
      <c r="K567" s="50" t="str">
        <f>IFERROR(XiuYueXiaoShu(IF(J567="","",(J567-基本信息!$B$28)/基本信息!$B$29)*(基本信息!$C$9)/F567/1000*IF(G567="",1,G567),基本信息!$C$11,基本信息!$C$34,1),"")</f>
        <v/>
      </c>
    </row>
    <row r="568" spans="1:11" ht="19.5" customHeight="1">
      <c r="A568" s="46"/>
      <c r="B568" s="47"/>
      <c r="C568" s="46"/>
      <c r="D568" s="46"/>
      <c r="E568" s="46"/>
      <c r="J568" s="44" t="str">
        <f>IFERROR(BaoLiuXiaoShuWei(AVERAGE(H568:I568),2),"")</f>
        <v/>
      </c>
      <c r="K568" s="50" t="str">
        <f>IFERROR(XiuYueXiaoShu(IF(J568="","",(J568-基本信息!$B$28)/基本信息!$B$29)*(基本信息!$C$9)/F568/1000*IF(G568="",1,G568),基本信息!$C$11,基本信息!$C$34,1),"")</f>
        <v/>
      </c>
    </row>
    <row r="569" spans="1:11" ht="19.5" customHeight="1">
      <c r="A569" s="46"/>
      <c r="B569" s="47"/>
      <c r="C569" s="46"/>
      <c r="D569" s="46"/>
      <c r="E569" s="46"/>
      <c r="J569" s="44" t="str">
        <f>IFERROR(BaoLiuXiaoShuWei(AVERAGE(H569:I569),2),"")</f>
        <v/>
      </c>
      <c r="K569" s="50" t="str">
        <f>IFERROR(XiuYueXiaoShu(IF(J569="","",(J569-基本信息!$B$28)/基本信息!$B$29)*(基本信息!$C$9)/F569/1000*IF(G569="",1,G569),基本信息!$C$11,基本信息!$C$34,1),"")</f>
        <v/>
      </c>
    </row>
    <row r="570" spans="1:11" ht="19.5" customHeight="1">
      <c r="A570" s="46"/>
      <c r="B570" s="47"/>
      <c r="C570" s="46"/>
      <c r="D570" s="46"/>
      <c r="E570" s="46"/>
      <c r="J570" s="44" t="str">
        <f>IFERROR(BaoLiuXiaoShuWei(AVERAGE(H570:I570),2),"")</f>
        <v/>
      </c>
      <c r="K570" s="50" t="str">
        <f>IFERROR(XiuYueXiaoShu(IF(J570="","",(J570-基本信息!$B$28)/基本信息!$B$29)*(基本信息!$C$9)/F570/1000*IF(G570="",1,G570),基本信息!$C$11,基本信息!$C$34,1),"")</f>
        <v/>
      </c>
    </row>
    <row r="571" spans="1:11" ht="19.5" customHeight="1">
      <c r="A571" s="46"/>
      <c r="B571" s="47"/>
      <c r="C571" s="46"/>
      <c r="D571" s="46"/>
      <c r="E571" s="46"/>
      <c r="J571" s="44" t="str">
        <f>IFERROR(BaoLiuXiaoShuWei(AVERAGE(H571:I571),2),"")</f>
        <v/>
      </c>
      <c r="K571" s="50" t="str">
        <f>IFERROR(XiuYueXiaoShu(IF(J571="","",(J571-基本信息!$B$28)/基本信息!$B$29)*(基本信息!$C$9)/F571/1000*IF(G571="",1,G571),基本信息!$C$11,基本信息!$C$34,1),"")</f>
        <v/>
      </c>
    </row>
    <row r="572" spans="1:11" ht="19.5" customHeight="1">
      <c r="A572" s="46"/>
      <c r="B572" s="47"/>
      <c r="C572" s="46"/>
      <c r="D572" s="46"/>
      <c r="E572" s="46"/>
      <c r="J572" s="44" t="str">
        <f>IFERROR(BaoLiuXiaoShuWei(AVERAGE(H572:I572),2),"")</f>
        <v/>
      </c>
      <c r="K572" s="50" t="str">
        <f>IFERROR(XiuYueXiaoShu(IF(J572="","",(J572-基本信息!$B$28)/基本信息!$B$29)*(基本信息!$C$9)/F572/1000*IF(G572="",1,G572),基本信息!$C$11,基本信息!$C$34,1),"")</f>
        <v/>
      </c>
    </row>
    <row r="573" spans="1:11" ht="19.5" customHeight="1">
      <c r="A573" s="46"/>
      <c r="B573" s="47"/>
      <c r="C573" s="46"/>
      <c r="D573" s="46"/>
      <c r="E573" s="46"/>
      <c r="J573" s="44" t="str">
        <f>IFERROR(BaoLiuXiaoShuWei(AVERAGE(H573:I573),2),"")</f>
        <v/>
      </c>
      <c r="K573" s="50" t="str">
        <f>IFERROR(XiuYueXiaoShu(IF(J573="","",(J573-基本信息!$B$28)/基本信息!$B$29)*(基本信息!$C$9)/F573/1000*IF(G573="",1,G573),基本信息!$C$11,基本信息!$C$34,1),"")</f>
        <v/>
      </c>
    </row>
    <row r="574" spans="1:11" ht="19.5" customHeight="1">
      <c r="A574" s="46"/>
      <c r="B574" s="47"/>
      <c r="C574" s="46"/>
      <c r="D574" s="46"/>
      <c r="E574" s="46"/>
      <c r="J574" s="44" t="str">
        <f>IFERROR(BaoLiuXiaoShuWei(AVERAGE(H574:I574),2),"")</f>
        <v/>
      </c>
      <c r="K574" s="50" t="str">
        <f>IFERROR(XiuYueXiaoShu(IF(J574="","",(J574-基本信息!$B$28)/基本信息!$B$29)*(基本信息!$C$9)/F574/1000*IF(G574="",1,G574),基本信息!$C$11,基本信息!$C$34,1),"")</f>
        <v/>
      </c>
    </row>
    <row r="575" spans="1:11" ht="19.5" customHeight="1">
      <c r="A575" s="46"/>
      <c r="B575" s="47"/>
      <c r="C575" s="46"/>
      <c r="D575" s="46"/>
      <c r="E575" s="46"/>
      <c r="J575" s="44" t="str">
        <f>IFERROR(BaoLiuXiaoShuWei(AVERAGE(H575:I575),2),"")</f>
        <v/>
      </c>
      <c r="K575" s="50" t="str">
        <f>IFERROR(XiuYueXiaoShu(IF(J575="","",(J575-基本信息!$B$28)/基本信息!$B$29)*(基本信息!$C$9)/F575/1000*IF(G575="",1,G575),基本信息!$C$11,基本信息!$C$34,1),"")</f>
        <v/>
      </c>
    </row>
    <row r="576" spans="1:11" ht="19.5" customHeight="1">
      <c r="A576" s="46"/>
      <c r="B576" s="47"/>
      <c r="C576" s="46"/>
      <c r="D576" s="46"/>
      <c r="E576" s="46"/>
      <c r="J576" s="44" t="str">
        <f>IFERROR(BaoLiuXiaoShuWei(AVERAGE(H576:I576),2),"")</f>
        <v/>
      </c>
      <c r="K576" s="50" t="str">
        <f>IFERROR(XiuYueXiaoShu(IF(J576="","",(J576-基本信息!$B$28)/基本信息!$B$29)*(基本信息!$C$9)/F576/1000*IF(G576="",1,G576),基本信息!$C$11,基本信息!$C$34,1),"")</f>
        <v/>
      </c>
    </row>
    <row r="577" spans="1:11" ht="19.5" customHeight="1">
      <c r="A577" s="46"/>
      <c r="B577" s="47"/>
      <c r="C577" s="46"/>
      <c r="D577" s="46"/>
      <c r="E577" s="46"/>
      <c r="J577" s="44" t="str">
        <f>IFERROR(BaoLiuXiaoShuWei(AVERAGE(H577:I577),2),"")</f>
        <v/>
      </c>
      <c r="K577" s="50" t="str">
        <f>IFERROR(XiuYueXiaoShu(IF(J577="","",(J577-基本信息!$B$28)/基本信息!$B$29)*(基本信息!$C$9)/F577/1000*IF(G577="",1,G577),基本信息!$C$11,基本信息!$C$34,1),"")</f>
        <v/>
      </c>
    </row>
    <row r="578" spans="1:11" ht="19.5" customHeight="1">
      <c r="A578" s="46"/>
      <c r="B578" s="47"/>
      <c r="C578" s="46"/>
      <c r="D578" s="46"/>
      <c r="E578" s="46"/>
      <c r="J578" s="44" t="str">
        <f>IFERROR(BaoLiuXiaoShuWei(AVERAGE(H578:I578),2),"")</f>
        <v/>
      </c>
      <c r="K578" s="50" t="str">
        <f>IFERROR(XiuYueXiaoShu(IF(J578="","",(J578-基本信息!$B$28)/基本信息!$B$29)*(基本信息!$C$9)/F578/1000*IF(G578="",1,G578),基本信息!$C$11,基本信息!$C$34,1),"")</f>
        <v/>
      </c>
    </row>
    <row r="579" spans="1:11" ht="19.5" customHeight="1">
      <c r="A579" s="46"/>
      <c r="B579" s="47"/>
      <c r="C579" s="46"/>
      <c r="D579" s="46"/>
      <c r="E579" s="46"/>
      <c r="J579" s="44" t="str">
        <f>IFERROR(BaoLiuXiaoShuWei(AVERAGE(H579:I579),2),"")</f>
        <v/>
      </c>
      <c r="K579" s="50" t="str">
        <f>IFERROR(XiuYueXiaoShu(IF(J579="","",(J579-基本信息!$B$28)/基本信息!$B$29)*(基本信息!$C$9)/F579/1000*IF(G579="",1,G579),基本信息!$C$11,基本信息!$C$34,1),"")</f>
        <v/>
      </c>
    </row>
    <row r="580" spans="1:11" ht="19.5" customHeight="1">
      <c r="A580" s="46"/>
      <c r="B580" s="47"/>
      <c r="C580" s="46"/>
      <c r="D580" s="46"/>
      <c r="E580" s="46"/>
      <c r="J580" s="44" t="str">
        <f>IFERROR(BaoLiuXiaoShuWei(AVERAGE(H580:I580),2),"")</f>
        <v/>
      </c>
      <c r="K580" s="50" t="str">
        <f>IFERROR(XiuYueXiaoShu(IF(J580="","",(J580-基本信息!$B$28)/基本信息!$B$29)*(基本信息!$C$9)/F580/1000*IF(G580="",1,G580),基本信息!$C$11,基本信息!$C$34,1),"")</f>
        <v/>
      </c>
    </row>
    <row r="581" spans="1:11" ht="19.5" customHeight="1">
      <c r="A581" s="46"/>
      <c r="B581" s="47"/>
      <c r="C581" s="46"/>
      <c r="D581" s="46"/>
      <c r="E581" s="46"/>
      <c r="J581" s="44" t="str">
        <f>IFERROR(BaoLiuXiaoShuWei(AVERAGE(H581:I581),2),"")</f>
        <v/>
      </c>
      <c r="K581" s="50" t="str">
        <f>IFERROR(XiuYueXiaoShu(IF(J581="","",(J581-基本信息!$B$28)/基本信息!$B$29)*(基本信息!$C$9)/F581/1000*IF(G581="",1,G581),基本信息!$C$11,基本信息!$C$34,1),"")</f>
        <v/>
      </c>
    </row>
    <row r="582" spans="1:11" ht="19.5" customHeight="1">
      <c r="A582" s="46"/>
      <c r="B582" s="47"/>
      <c r="C582" s="46"/>
      <c r="D582" s="46"/>
      <c r="E582" s="46"/>
      <c r="J582" s="44" t="str">
        <f>IFERROR(BaoLiuXiaoShuWei(AVERAGE(H582:I582),2),"")</f>
        <v/>
      </c>
      <c r="K582" s="50" t="str">
        <f>IFERROR(XiuYueXiaoShu(IF(J582="","",(J582-基本信息!$B$28)/基本信息!$B$29)*(基本信息!$C$9)/F582/1000*IF(G582="",1,G582),基本信息!$C$11,基本信息!$C$34,1),"")</f>
        <v/>
      </c>
    </row>
    <row r="583" spans="1:11" ht="19.5" customHeight="1">
      <c r="A583" s="46"/>
      <c r="B583" s="47"/>
      <c r="C583" s="46"/>
      <c r="D583" s="46"/>
      <c r="E583" s="46"/>
      <c r="J583" s="44" t="str">
        <f>IFERROR(BaoLiuXiaoShuWei(AVERAGE(H583:I583),2),"")</f>
        <v/>
      </c>
      <c r="K583" s="50" t="str">
        <f>IFERROR(XiuYueXiaoShu(IF(J583="","",(J583-基本信息!$B$28)/基本信息!$B$29)*(基本信息!$C$9)/F583/1000*IF(G583="",1,G583),基本信息!$C$11,基本信息!$C$34,1),"")</f>
        <v/>
      </c>
    </row>
    <row r="584" spans="1:11" ht="19.5" customHeight="1">
      <c r="A584" s="46"/>
      <c r="B584" s="47"/>
      <c r="C584" s="46"/>
      <c r="D584" s="46"/>
      <c r="E584" s="46"/>
      <c r="J584" s="44" t="str">
        <f>IFERROR(BaoLiuXiaoShuWei(AVERAGE(H584:I584),2),"")</f>
        <v/>
      </c>
      <c r="K584" s="50" t="str">
        <f>IFERROR(XiuYueXiaoShu(IF(J584="","",(J584-基本信息!$B$28)/基本信息!$B$29)*(基本信息!$C$9)/F584/1000*IF(G584="",1,G584),基本信息!$C$11,基本信息!$C$34,1),"")</f>
        <v/>
      </c>
    </row>
    <row r="585" spans="1:11" ht="19.5" customHeight="1">
      <c r="A585" s="46"/>
      <c r="B585" s="47"/>
      <c r="C585" s="46"/>
      <c r="D585" s="46"/>
      <c r="E585" s="46"/>
      <c r="J585" s="44" t="str">
        <f>IFERROR(BaoLiuXiaoShuWei(AVERAGE(H585:I585),2),"")</f>
        <v/>
      </c>
      <c r="K585" s="50" t="str">
        <f>IFERROR(XiuYueXiaoShu(IF(J585="","",(J585-基本信息!$B$28)/基本信息!$B$29)*(基本信息!$C$9)/F585/1000*IF(G585="",1,G585),基本信息!$C$11,基本信息!$C$34,1),"")</f>
        <v/>
      </c>
    </row>
    <row r="586" spans="1:11" ht="19.5" customHeight="1">
      <c r="A586" s="46"/>
      <c r="B586" s="47"/>
      <c r="C586" s="46"/>
      <c r="D586" s="46"/>
      <c r="E586" s="46"/>
      <c r="J586" s="44" t="str">
        <f>IFERROR(BaoLiuXiaoShuWei(AVERAGE(H586:I586),2),"")</f>
        <v/>
      </c>
      <c r="K586" s="50" t="str">
        <f>IFERROR(XiuYueXiaoShu(IF(J586="","",(J586-基本信息!$B$28)/基本信息!$B$29)*(基本信息!$C$9)/F586/1000*IF(G586="",1,G586),基本信息!$C$11,基本信息!$C$34,1),"")</f>
        <v/>
      </c>
    </row>
    <row r="587" spans="1:11" ht="19.5" customHeight="1">
      <c r="A587" s="46"/>
      <c r="B587" s="47"/>
      <c r="C587" s="46"/>
      <c r="D587" s="46"/>
      <c r="E587" s="46"/>
      <c r="J587" s="44" t="str">
        <f>IFERROR(BaoLiuXiaoShuWei(AVERAGE(H587:I587),2),"")</f>
        <v/>
      </c>
      <c r="K587" s="50" t="str">
        <f>IFERROR(XiuYueXiaoShu(IF(J587="","",(J587-基本信息!$B$28)/基本信息!$B$29)*(基本信息!$C$9)/F587/1000*IF(G587="",1,G587),基本信息!$C$11,基本信息!$C$34,1),"")</f>
        <v/>
      </c>
    </row>
    <row r="588" spans="1:11" ht="19.5" customHeight="1">
      <c r="A588" s="46"/>
      <c r="B588" s="47"/>
      <c r="C588" s="46"/>
      <c r="D588" s="46"/>
      <c r="E588" s="46"/>
      <c r="J588" s="44" t="str">
        <f>IFERROR(BaoLiuXiaoShuWei(AVERAGE(H588:I588),2),"")</f>
        <v/>
      </c>
      <c r="K588" s="50" t="str">
        <f>IFERROR(XiuYueXiaoShu(IF(J588="","",(J588-基本信息!$B$28)/基本信息!$B$29)*(基本信息!$C$9)/F588/1000*IF(G588="",1,G588),基本信息!$C$11,基本信息!$C$34,1),"")</f>
        <v/>
      </c>
    </row>
    <row r="589" spans="1:11" ht="19.5" customHeight="1">
      <c r="A589" s="46"/>
      <c r="B589" s="47"/>
      <c r="C589" s="46"/>
      <c r="D589" s="46"/>
      <c r="E589" s="46"/>
      <c r="J589" s="44" t="str">
        <f>IFERROR(BaoLiuXiaoShuWei(AVERAGE(H589:I589),2),"")</f>
        <v/>
      </c>
      <c r="K589" s="50" t="str">
        <f>IFERROR(XiuYueXiaoShu(IF(J589="","",(J589-基本信息!$B$28)/基本信息!$B$29)*(基本信息!$C$9)/F589/1000*IF(G589="",1,G589),基本信息!$C$11,基本信息!$C$34,1),"")</f>
        <v/>
      </c>
    </row>
    <row r="590" spans="1:11" ht="19.5" customHeight="1">
      <c r="A590" s="46"/>
      <c r="B590" s="47"/>
      <c r="C590" s="46"/>
      <c r="D590" s="46"/>
      <c r="E590" s="46"/>
      <c r="J590" s="44" t="str">
        <f>IFERROR(BaoLiuXiaoShuWei(AVERAGE(H590:I590),2),"")</f>
        <v/>
      </c>
      <c r="K590" s="50" t="str">
        <f>IFERROR(XiuYueXiaoShu(IF(J590="","",(J590-基本信息!$B$28)/基本信息!$B$29)*(基本信息!$C$9)/F590/1000*IF(G590="",1,G590),基本信息!$C$11,基本信息!$C$34,1),"")</f>
        <v/>
      </c>
    </row>
    <row r="591" spans="1:11" ht="19.5" customHeight="1">
      <c r="A591" s="46"/>
      <c r="B591" s="47"/>
      <c r="C591" s="46"/>
      <c r="D591" s="46"/>
      <c r="E591" s="46"/>
      <c r="J591" s="44" t="str">
        <f>IFERROR(BaoLiuXiaoShuWei(AVERAGE(H591:I591),2),"")</f>
        <v/>
      </c>
      <c r="K591" s="50" t="str">
        <f>IFERROR(XiuYueXiaoShu(IF(J591="","",(J591-基本信息!$B$28)/基本信息!$B$29)*(基本信息!$C$9)/F591/1000*IF(G591="",1,G591),基本信息!$C$11,基本信息!$C$34,1),"")</f>
        <v/>
      </c>
    </row>
    <row r="592" spans="1:11" ht="19.5" customHeight="1">
      <c r="A592" s="46"/>
      <c r="B592" s="47"/>
      <c r="C592" s="46"/>
      <c r="D592" s="46"/>
      <c r="E592" s="46"/>
      <c r="J592" s="44" t="str">
        <f>IFERROR(BaoLiuXiaoShuWei(AVERAGE(H592:I592),2),"")</f>
        <v/>
      </c>
      <c r="K592" s="50" t="str">
        <f>IFERROR(XiuYueXiaoShu(IF(J592="","",(J592-基本信息!$B$28)/基本信息!$B$29)*(基本信息!$C$9)/F592/1000*IF(G592="",1,G592),基本信息!$C$11,基本信息!$C$34,1),"")</f>
        <v/>
      </c>
    </row>
    <row r="593" spans="1:11" ht="19.5" customHeight="1">
      <c r="A593" s="46"/>
      <c r="B593" s="47"/>
      <c r="C593" s="46"/>
      <c r="D593" s="46"/>
      <c r="E593" s="46"/>
      <c r="J593" s="44" t="str">
        <f>IFERROR(BaoLiuXiaoShuWei(AVERAGE(H593:I593),2),"")</f>
        <v/>
      </c>
      <c r="K593" s="50" t="str">
        <f>IFERROR(XiuYueXiaoShu(IF(J593="","",(J593-基本信息!$B$28)/基本信息!$B$29)*(基本信息!$C$9)/F593/1000*IF(G593="",1,G593),基本信息!$C$11,基本信息!$C$34,1),"")</f>
        <v/>
      </c>
    </row>
    <row r="594" spans="1:11" ht="19.5" customHeight="1">
      <c r="A594" s="46"/>
      <c r="B594" s="47"/>
      <c r="C594" s="46"/>
      <c r="D594" s="46"/>
      <c r="E594" s="46"/>
      <c r="J594" s="44" t="str">
        <f>IFERROR(BaoLiuXiaoShuWei(AVERAGE(H594:I594),2),"")</f>
        <v/>
      </c>
      <c r="K594" s="50" t="str">
        <f>IFERROR(XiuYueXiaoShu(IF(J594="","",(J594-基本信息!$B$28)/基本信息!$B$29)*(基本信息!$C$9)/F594/1000*IF(G594="",1,G594),基本信息!$C$11,基本信息!$C$34,1),"")</f>
        <v/>
      </c>
    </row>
    <row r="595" spans="1:11" ht="19.5" customHeight="1">
      <c r="A595" s="46"/>
      <c r="B595" s="47"/>
      <c r="C595" s="46"/>
      <c r="D595" s="46"/>
      <c r="E595" s="46"/>
      <c r="J595" s="44" t="str">
        <f>IFERROR(BaoLiuXiaoShuWei(AVERAGE(H595:I595),2),"")</f>
        <v/>
      </c>
      <c r="K595" s="50" t="str">
        <f>IFERROR(XiuYueXiaoShu(IF(J595="","",(J595-基本信息!$B$28)/基本信息!$B$29)*(基本信息!$C$9)/F595/1000*IF(G595="",1,G595),基本信息!$C$11,基本信息!$C$34,1),"")</f>
        <v/>
      </c>
    </row>
    <row r="596" spans="1:11" ht="19.5" customHeight="1">
      <c r="A596" s="46"/>
      <c r="B596" s="47"/>
      <c r="C596" s="46"/>
      <c r="D596" s="46"/>
      <c r="E596" s="46"/>
      <c r="J596" s="44" t="str">
        <f>IFERROR(BaoLiuXiaoShuWei(AVERAGE(H596:I596),2),"")</f>
        <v/>
      </c>
      <c r="K596" s="50" t="str">
        <f>IFERROR(XiuYueXiaoShu(IF(J596="","",(J596-基本信息!$B$28)/基本信息!$B$29)*(基本信息!$C$9)/F596/1000*IF(G596="",1,G596),基本信息!$C$11,基本信息!$C$34,1),"")</f>
        <v/>
      </c>
    </row>
    <row r="597" spans="1:11" ht="19.5" customHeight="1">
      <c r="A597" s="46"/>
      <c r="B597" s="47"/>
      <c r="C597" s="46"/>
      <c r="D597" s="46"/>
      <c r="E597" s="46"/>
      <c r="J597" s="44" t="str">
        <f>IFERROR(BaoLiuXiaoShuWei(AVERAGE(H597:I597),2),"")</f>
        <v/>
      </c>
      <c r="K597" s="50" t="str">
        <f>IFERROR(XiuYueXiaoShu(IF(J597="","",(J597-基本信息!$B$28)/基本信息!$B$29)*(基本信息!$C$9)/F597/1000*IF(G597="",1,G597),基本信息!$C$11,基本信息!$C$34,1),"")</f>
        <v/>
      </c>
    </row>
    <row r="598" spans="1:11" ht="19.5" customHeight="1">
      <c r="A598" s="46"/>
      <c r="B598" s="47"/>
      <c r="C598" s="46"/>
      <c r="D598" s="46"/>
      <c r="E598" s="46"/>
      <c r="J598" s="44" t="str">
        <f>IFERROR(BaoLiuXiaoShuWei(AVERAGE(H598:I598),2),"")</f>
        <v/>
      </c>
      <c r="K598" s="50" t="str">
        <f>IFERROR(XiuYueXiaoShu(IF(J598="","",(J598-基本信息!$B$28)/基本信息!$B$29)*(基本信息!$C$9)/F598/1000*IF(G598="",1,G598),基本信息!$C$11,基本信息!$C$34,1),"")</f>
        <v/>
      </c>
    </row>
    <row r="599" spans="1:11" ht="19.5" customHeight="1">
      <c r="A599" s="46"/>
      <c r="B599" s="47"/>
      <c r="C599" s="46"/>
      <c r="D599" s="46"/>
      <c r="E599" s="46"/>
      <c r="J599" s="44" t="str">
        <f>IFERROR(BaoLiuXiaoShuWei(AVERAGE(H599:I599),2),"")</f>
        <v/>
      </c>
      <c r="K599" s="50" t="str">
        <f>IFERROR(XiuYueXiaoShu(IF(J599="","",(J599-基本信息!$B$28)/基本信息!$B$29)*(基本信息!$C$9)/F599/1000*IF(G599="",1,G599),基本信息!$C$11,基本信息!$C$34,1),"")</f>
        <v/>
      </c>
    </row>
    <row r="600" spans="1:11" ht="19.5" customHeight="1">
      <c r="A600" s="46"/>
      <c r="B600" s="47"/>
      <c r="C600" s="46"/>
      <c r="D600" s="46"/>
      <c r="E600" s="46"/>
      <c r="J600" s="44" t="str">
        <f>IFERROR(BaoLiuXiaoShuWei(AVERAGE(H600:I600),2),"")</f>
        <v/>
      </c>
      <c r="K600" s="50" t="str">
        <f>IFERROR(XiuYueXiaoShu(IF(J600="","",(J600-基本信息!$B$28)/基本信息!$B$29)*(基本信息!$C$9)/F600/1000*IF(G600="",1,G600),基本信息!$C$11,基本信息!$C$34,1),"")</f>
        <v/>
      </c>
    </row>
    <row r="601" spans="1:11" ht="19.5" customHeight="1">
      <c r="A601" s="46"/>
      <c r="B601" s="47"/>
      <c r="C601" s="46"/>
      <c r="D601" s="46"/>
      <c r="E601" s="46"/>
      <c r="J601" s="44" t="str">
        <f>IFERROR(BaoLiuXiaoShuWei(AVERAGE(H601:I601),2),"")</f>
        <v/>
      </c>
      <c r="K601" s="50" t="str">
        <f>IFERROR(XiuYueXiaoShu(IF(J601="","",(J601-基本信息!$B$28)/基本信息!$B$29)*(基本信息!$C$9)/F601/1000*IF(G601="",1,G601),基本信息!$C$11,基本信息!$C$34,1),"")</f>
        <v/>
      </c>
    </row>
    <row r="602" spans="1:11" ht="19.5" customHeight="1">
      <c r="A602" s="46"/>
      <c r="B602" s="47"/>
      <c r="C602" s="46"/>
      <c r="D602" s="46"/>
      <c r="E602" s="46"/>
      <c r="J602" s="44" t="str">
        <f>IFERROR(BaoLiuXiaoShuWei(AVERAGE(H602:I602),2),"")</f>
        <v/>
      </c>
      <c r="K602" s="50" t="str">
        <f>IFERROR(XiuYueXiaoShu(IF(J602="","",(J602-基本信息!$B$28)/基本信息!$B$29)*(基本信息!$C$9)/F602/1000*IF(G602="",1,G602),基本信息!$C$11,基本信息!$C$34,1),"")</f>
        <v/>
      </c>
    </row>
    <row r="603" spans="1:11" ht="19.5" customHeight="1">
      <c r="A603" s="46"/>
      <c r="B603" s="47"/>
      <c r="C603" s="46"/>
      <c r="D603" s="46"/>
      <c r="E603" s="46"/>
      <c r="J603" s="44" t="str">
        <f>IFERROR(BaoLiuXiaoShuWei(AVERAGE(H603:I603),2),"")</f>
        <v/>
      </c>
      <c r="K603" s="50" t="str">
        <f>IFERROR(XiuYueXiaoShu(IF(J603="","",(J603-基本信息!$B$28)/基本信息!$B$29)*(基本信息!$C$9)/F603/1000*IF(G603="",1,G603),基本信息!$C$11,基本信息!$C$34,1),"")</f>
        <v/>
      </c>
    </row>
    <row r="604" spans="1:11" ht="19.5" customHeight="1">
      <c r="A604" s="46"/>
      <c r="B604" s="47"/>
      <c r="C604" s="46"/>
      <c r="D604" s="46"/>
      <c r="E604" s="46"/>
      <c r="J604" s="44" t="str">
        <f>IFERROR(BaoLiuXiaoShuWei(AVERAGE(H604:I604),2),"")</f>
        <v/>
      </c>
      <c r="K604" s="50" t="str">
        <f>IFERROR(XiuYueXiaoShu(IF(J604="","",(J604-基本信息!$B$28)/基本信息!$B$29)*(基本信息!$C$9)/F604/1000*IF(G604="",1,G604),基本信息!$C$11,基本信息!$C$34,1),"")</f>
        <v/>
      </c>
    </row>
    <row r="605" spans="1:11" ht="19.5" customHeight="1">
      <c r="A605" s="46"/>
      <c r="B605" s="47"/>
      <c r="C605" s="46"/>
      <c r="D605" s="46"/>
      <c r="E605" s="46"/>
      <c r="J605" s="44" t="str">
        <f>IFERROR(BaoLiuXiaoShuWei(AVERAGE(H605:I605),2),"")</f>
        <v/>
      </c>
      <c r="K605" s="50" t="str">
        <f>IFERROR(XiuYueXiaoShu(IF(J605="","",(J605-基本信息!$B$28)/基本信息!$B$29)*(基本信息!$C$9)/F605/1000*IF(G605="",1,G605),基本信息!$C$11,基本信息!$C$34,1),"")</f>
        <v/>
      </c>
    </row>
    <row r="606" spans="1:11" ht="19.5" customHeight="1">
      <c r="A606" s="46"/>
      <c r="B606" s="47"/>
      <c r="C606" s="46"/>
      <c r="D606" s="46"/>
      <c r="E606" s="46"/>
      <c r="J606" s="44" t="str">
        <f>IFERROR(BaoLiuXiaoShuWei(AVERAGE(H606:I606),2),"")</f>
        <v/>
      </c>
      <c r="K606" s="50" t="str">
        <f>IFERROR(XiuYueXiaoShu(IF(J606="","",(J606-基本信息!$B$28)/基本信息!$B$29)*(基本信息!$C$9)/F606/1000*IF(G606="",1,G606),基本信息!$C$11,基本信息!$C$34,1),"")</f>
        <v/>
      </c>
    </row>
    <row r="607" spans="1:11" ht="19.5" customHeight="1">
      <c r="A607" s="46"/>
      <c r="B607" s="47"/>
      <c r="C607" s="46"/>
      <c r="D607" s="46"/>
      <c r="E607" s="46"/>
      <c r="J607" s="44" t="str">
        <f>IFERROR(BaoLiuXiaoShuWei(AVERAGE(H607:I607),2),"")</f>
        <v/>
      </c>
      <c r="K607" s="50" t="str">
        <f>IFERROR(XiuYueXiaoShu(IF(J607="","",(J607-基本信息!$B$28)/基本信息!$B$29)*(基本信息!$C$9)/F607/1000*IF(G607="",1,G607),基本信息!$C$11,基本信息!$C$34,1),"")</f>
        <v/>
      </c>
    </row>
    <row r="608" spans="1:11" ht="19.5" customHeight="1">
      <c r="A608" s="46"/>
      <c r="B608" s="47"/>
      <c r="C608" s="46"/>
      <c r="D608" s="46"/>
      <c r="E608" s="46"/>
      <c r="J608" s="44" t="str">
        <f>IFERROR(BaoLiuXiaoShuWei(AVERAGE(H608:I608),2),"")</f>
        <v/>
      </c>
      <c r="K608" s="50" t="str">
        <f>IFERROR(XiuYueXiaoShu(IF(J608="","",(J608-基本信息!$B$28)/基本信息!$B$29)*(基本信息!$C$9)/F608/1000*IF(G608="",1,G608),基本信息!$C$11,基本信息!$C$34,1),"")</f>
        <v/>
      </c>
    </row>
    <row r="609" spans="1:11" ht="19.5" customHeight="1">
      <c r="A609" s="46"/>
      <c r="B609" s="47"/>
      <c r="C609" s="46"/>
      <c r="D609" s="46"/>
      <c r="E609" s="46"/>
      <c r="J609" s="44" t="str">
        <f>IFERROR(BaoLiuXiaoShuWei(AVERAGE(H609:I609),2),"")</f>
        <v/>
      </c>
      <c r="K609" s="50" t="str">
        <f>IFERROR(XiuYueXiaoShu(IF(J609="","",(J609-基本信息!$B$28)/基本信息!$B$29)*(基本信息!$C$9)/F609/1000*IF(G609="",1,G609),基本信息!$C$11,基本信息!$C$34,1),"")</f>
        <v/>
      </c>
    </row>
    <row r="610" spans="1:11" ht="19.5" customHeight="1">
      <c r="A610" s="46"/>
      <c r="B610" s="47"/>
      <c r="C610" s="46"/>
      <c r="D610" s="46"/>
      <c r="E610" s="46"/>
      <c r="J610" s="44" t="str">
        <f>IFERROR(BaoLiuXiaoShuWei(AVERAGE(H610:I610),2),"")</f>
        <v/>
      </c>
      <c r="K610" s="50" t="str">
        <f>IFERROR(XiuYueXiaoShu(IF(J610="","",(J610-基本信息!$B$28)/基本信息!$B$29)*(基本信息!$C$9)/F610/1000*IF(G610="",1,G610),基本信息!$C$11,基本信息!$C$34,1),"")</f>
        <v/>
      </c>
    </row>
    <row r="611" spans="1:11" ht="19.5" customHeight="1">
      <c r="A611" s="46"/>
      <c r="B611" s="47"/>
      <c r="C611" s="46"/>
      <c r="D611" s="46"/>
      <c r="E611" s="46"/>
      <c r="J611" s="44" t="str">
        <f>IFERROR(BaoLiuXiaoShuWei(AVERAGE(H611:I611),2),"")</f>
        <v/>
      </c>
      <c r="K611" s="50" t="str">
        <f>IFERROR(XiuYueXiaoShu(IF(J611="","",(J611-基本信息!$B$28)/基本信息!$B$29)*(基本信息!$C$9)/F611/1000*IF(G611="",1,G611),基本信息!$C$11,基本信息!$C$34,1),"")</f>
        <v/>
      </c>
    </row>
    <row r="612" spans="1:11" ht="19.5" customHeight="1">
      <c r="A612" s="46"/>
      <c r="B612" s="47"/>
      <c r="C612" s="46"/>
      <c r="D612" s="46"/>
      <c r="E612" s="46"/>
      <c r="J612" s="44" t="str">
        <f>IFERROR(BaoLiuXiaoShuWei(AVERAGE(H612:I612),2),"")</f>
        <v/>
      </c>
      <c r="K612" s="50" t="str">
        <f>IFERROR(XiuYueXiaoShu(IF(J612="","",(J612-基本信息!$B$28)/基本信息!$B$29)*(基本信息!$C$9)/F612/1000*IF(G612="",1,G612),基本信息!$C$11,基本信息!$C$34,1),"")</f>
        <v/>
      </c>
    </row>
    <row r="613" spans="1:11" ht="19.5" customHeight="1">
      <c r="A613" s="46"/>
      <c r="B613" s="47"/>
      <c r="C613" s="46"/>
      <c r="D613" s="46"/>
      <c r="E613" s="46"/>
      <c r="J613" s="44" t="str">
        <f>IFERROR(BaoLiuXiaoShuWei(AVERAGE(H613:I613),2),"")</f>
        <v/>
      </c>
      <c r="K613" s="50" t="str">
        <f>IFERROR(XiuYueXiaoShu(IF(J613="","",(J613-基本信息!$B$28)/基本信息!$B$29)*(基本信息!$C$9)/F613/1000*IF(G613="",1,G613),基本信息!$C$11,基本信息!$C$34,1),"")</f>
        <v/>
      </c>
    </row>
    <row r="614" spans="1:11" ht="19.5" customHeight="1">
      <c r="A614" s="46"/>
      <c r="B614" s="47"/>
      <c r="C614" s="46"/>
      <c r="D614" s="46"/>
      <c r="E614" s="46"/>
      <c r="J614" s="44" t="str">
        <f>IFERROR(BaoLiuXiaoShuWei(AVERAGE(H614:I614),2),"")</f>
        <v/>
      </c>
      <c r="K614" s="50" t="str">
        <f>IFERROR(XiuYueXiaoShu(IF(J614="","",(J614-基本信息!$B$28)/基本信息!$B$29)*(基本信息!$C$9)/F614/1000*IF(G614="",1,G614),基本信息!$C$11,基本信息!$C$34,1),"")</f>
        <v/>
      </c>
    </row>
    <row r="615" spans="1:11" ht="19.5" customHeight="1">
      <c r="A615" s="46"/>
      <c r="B615" s="47"/>
      <c r="C615" s="46"/>
      <c r="D615" s="46"/>
      <c r="E615" s="46"/>
      <c r="J615" s="44" t="str">
        <f>IFERROR(BaoLiuXiaoShuWei(AVERAGE(H615:I615),2),"")</f>
        <v/>
      </c>
      <c r="K615" s="50" t="str">
        <f>IFERROR(XiuYueXiaoShu(IF(J615="","",(J615-基本信息!$B$28)/基本信息!$B$29)*(基本信息!$C$9)/F615/1000*IF(G615="",1,G615),基本信息!$C$11,基本信息!$C$34,1),"")</f>
        <v/>
      </c>
    </row>
    <row r="616" spans="1:11" ht="19.5" customHeight="1">
      <c r="A616" s="46"/>
      <c r="B616" s="47"/>
      <c r="C616" s="46"/>
      <c r="D616" s="46"/>
      <c r="E616" s="46"/>
      <c r="J616" s="44" t="str">
        <f>IFERROR(BaoLiuXiaoShuWei(AVERAGE(H616:I616),2),"")</f>
        <v/>
      </c>
      <c r="K616" s="50" t="str">
        <f>IFERROR(XiuYueXiaoShu(IF(J616="","",(J616-基本信息!$B$28)/基本信息!$B$29)*(基本信息!$C$9)/F616/1000*IF(G616="",1,G616),基本信息!$C$11,基本信息!$C$34,1),"")</f>
        <v/>
      </c>
    </row>
    <row r="617" spans="1:11" ht="19.5" customHeight="1">
      <c r="A617" s="46"/>
      <c r="B617" s="47"/>
      <c r="C617" s="46"/>
      <c r="D617" s="46"/>
      <c r="E617" s="46"/>
      <c r="J617" s="44" t="str">
        <f>IFERROR(BaoLiuXiaoShuWei(AVERAGE(H617:I617),2),"")</f>
        <v/>
      </c>
      <c r="K617" s="50" t="str">
        <f>IFERROR(XiuYueXiaoShu(IF(J617="","",(J617-基本信息!$B$28)/基本信息!$B$29)*(基本信息!$C$9)/F617/1000*IF(G617="",1,G617),基本信息!$C$11,基本信息!$C$34,1),"")</f>
        <v/>
      </c>
    </row>
    <row r="618" spans="1:11" ht="19.5" customHeight="1">
      <c r="A618" s="46"/>
      <c r="B618" s="47"/>
      <c r="C618" s="46"/>
      <c r="D618" s="46"/>
      <c r="E618" s="46"/>
      <c r="J618" s="44" t="str">
        <f>IFERROR(BaoLiuXiaoShuWei(AVERAGE(H618:I618),2),"")</f>
        <v/>
      </c>
      <c r="K618" s="50" t="str">
        <f>IFERROR(XiuYueXiaoShu(IF(J618="","",(J618-基本信息!$B$28)/基本信息!$B$29)*(基本信息!$C$9)/F618/1000*IF(G618="",1,G618),基本信息!$C$11,基本信息!$C$34,1),"")</f>
        <v/>
      </c>
    </row>
    <row r="619" spans="1:11" ht="19.5" customHeight="1">
      <c r="A619" s="46"/>
      <c r="B619" s="47"/>
      <c r="C619" s="46"/>
      <c r="D619" s="46"/>
      <c r="E619" s="46"/>
      <c r="J619" s="44" t="str">
        <f>IFERROR(BaoLiuXiaoShuWei(AVERAGE(H619:I619),2),"")</f>
        <v/>
      </c>
      <c r="K619" s="50" t="str">
        <f>IFERROR(XiuYueXiaoShu(IF(J619="","",(J619-基本信息!$B$28)/基本信息!$B$29)*(基本信息!$C$9)/F619/1000*IF(G619="",1,G619),基本信息!$C$11,基本信息!$C$34,1),"")</f>
        <v/>
      </c>
    </row>
    <row r="620" spans="1:11" ht="19.5" customHeight="1">
      <c r="A620" s="46"/>
      <c r="B620" s="47"/>
      <c r="C620" s="46"/>
      <c r="D620" s="46"/>
      <c r="E620" s="46"/>
      <c r="J620" s="44" t="str">
        <f>IFERROR(BaoLiuXiaoShuWei(AVERAGE(H620:I620),2),"")</f>
        <v/>
      </c>
      <c r="K620" s="50" t="str">
        <f>IFERROR(XiuYueXiaoShu(IF(J620="","",(J620-基本信息!$B$28)/基本信息!$B$29)*(基本信息!$C$9)/F620/1000*IF(G620="",1,G620),基本信息!$C$11,基本信息!$C$34,1),"")</f>
        <v/>
      </c>
    </row>
    <row r="621" spans="1:11" ht="19.5" customHeight="1">
      <c r="A621" s="46"/>
      <c r="B621" s="47"/>
      <c r="C621" s="46"/>
      <c r="D621" s="46"/>
      <c r="E621" s="46"/>
      <c r="J621" s="44" t="str">
        <f>IFERROR(BaoLiuXiaoShuWei(AVERAGE(H621:I621),2),"")</f>
        <v/>
      </c>
      <c r="K621" s="50" t="str">
        <f>IFERROR(XiuYueXiaoShu(IF(J621="","",(J621-基本信息!$B$28)/基本信息!$B$29)*(基本信息!$C$9)/F621/1000*IF(G621="",1,G621),基本信息!$C$11,基本信息!$C$34,1),"")</f>
        <v/>
      </c>
    </row>
    <row r="622" spans="1:11" ht="19.5" customHeight="1">
      <c r="A622" s="46"/>
      <c r="B622" s="47"/>
      <c r="C622" s="46"/>
      <c r="D622" s="46"/>
      <c r="E622" s="46"/>
      <c r="J622" s="44" t="str">
        <f>IFERROR(BaoLiuXiaoShuWei(AVERAGE(H622:I622),2),"")</f>
        <v/>
      </c>
      <c r="K622" s="50" t="str">
        <f>IFERROR(XiuYueXiaoShu(IF(J622="","",(J622-基本信息!$B$28)/基本信息!$B$29)*(基本信息!$C$9)/F622/1000*IF(G622="",1,G622),基本信息!$C$11,基本信息!$C$34,1),"")</f>
        <v/>
      </c>
    </row>
    <row r="623" spans="1:11" ht="19.5" customHeight="1">
      <c r="A623" s="46"/>
      <c r="B623" s="47"/>
      <c r="C623" s="46"/>
      <c r="D623" s="46"/>
      <c r="E623" s="46"/>
      <c r="J623" s="44" t="str">
        <f>IFERROR(BaoLiuXiaoShuWei(AVERAGE(H623:I623),2),"")</f>
        <v/>
      </c>
      <c r="K623" s="50" t="str">
        <f>IFERROR(XiuYueXiaoShu(IF(J623="","",(J623-基本信息!$B$28)/基本信息!$B$29)*(基本信息!$C$9)/F623/1000*IF(G623="",1,G623),基本信息!$C$11,基本信息!$C$34,1),"")</f>
        <v/>
      </c>
    </row>
    <row r="624" spans="1:11" ht="19.5" customHeight="1">
      <c r="A624" s="46"/>
      <c r="B624" s="47"/>
      <c r="C624" s="46"/>
      <c r="D624" s="46"/>
      <c r="E624" s="46"/>
      <c r="J624" s="44" t="str">
        <f>IFERROR(BaoLiuXiaoShuWei(AVERAGE(H624:I624),2),"")</f>
        <v/>
      </c>
      <c r="K624" s="50" t="str">
        <f>IFERROR(XiuYueXiaoShu(IF(J624="","",(J624-基本信息!$B$28)/基本信息!$B$29)*(基本信息!$C$9)/F624/1000*IF(G624="",1,G624),基本信息!$C$11,基本信息!$C$34,1),"")</f>
        <v/>
      </c>
    </row>
    <row r="625" spans="1:11" ht="19.5" customHeight="1">
      <c r="A625" s="46"/>
      <c r="B625" s="47"/>
      <c r="C625" s="46"/>
      <c r="D625" s="46"/>
      <c r="E625" s="46"/>
      <c r="J625" s="44" t="str">
        <f>IFERROR(BaoLiuXiaoShuWei(AVERAGE(H625:I625),2),"")</f>
        <v/>
      </c>
      <c r="K625" s="50" t="str">
        <f>IFERROR(XiuYueXiaoShu(IF(J625="","",(J625-基本信息!$B$28)/基本信息!$B$29)*(基本信息!$C$9)/F625/1000*IF(G625="",1,G625),基本信息!$C$11,基本信息!$C$34,1),"")</f>
        <v/>
      </c>
    </row>
    <row r="626" spans="1:11" ht="19.5" customHeight="1">
      <c r="A626" s="46"/>
      <c r="B626" s="47"/>
      <c r="C626" s="46"/>
      <c r="D626" s="46"/>
      <c r="E626" s="46"/>
      <c r="J626" s="44" t="str">
        <f>IFERROR(BaoLiuXiaoShuWei(AVERAGE(H626:I626),2),"")</f>
        <v/>
      </c>
      <c r="K626" s="50" t="str">
        <f>IFERROR(XiuYueXiaoShu(IF(J626="","",(J626-基本信息!$B$28)/基本信息!$B$29)*(基本信息!$C$9)/F626/1000*IF(G626="",1,G626),基本信息!$C$11,基本信息!$C$34,1),"")</f>
        <v/>
      </c>
    </row>
    <row r="627" spans="1:11" ht="19.5" customHeight="1">
      <c r="A627" s="46"/>
      <c r="B627" s="47"/>
      <c r="C627" s="46"/>
      <c r="D627" s="46"/>
      <c r="E627" s="46"/>
      <c r="J627" s="44" t="str">
        <f>IFERROR(BaoLiuXiaoShuWei(AVERAGE(H627:I627),2),"")</f>
        <v/>
      </c>
      <c r="K627" s="50" t="str">
        <f>IFERROR(XiuYueXiaoShu(IF(J627="","",(J627-基本信息!$B$28)/基本信息!$B$29)*(基本信息!$C$9)/F627/1000*IF(G627="",1,G627),基本信息!$C$11,基本信息!$C$34,1),"")</f>
        <v/>
      </c>
    </row>
    <row r="628" spans="1:11" ht="19.5" customHeight="1">
      <c r="A628" s="46"/>
      <c r="B628" s="47"/>
      <c r="C628" s="46"/>
      <c r="D628" s="46"/>
      <c r="E628" s="46"/>
      <c r="J628" s="44" t="str">
        <f>IFERROR(BaoLiuXiaoShuWei(AVERAGE(H628:I628),2),"")</f>
        <v/>
      </c>
      <c r="K628" s="50" t="str">
        <f>IFERROR(XiuYueXiaoShu(IF(J628="","",(J628-基本信息!$B$28)/基本信息!$B$29)*(基本信息!$C$9)/F628/1000*IF(G628="",1,G628),基本信息!$C$11,基本信息!$C$34,1),"")</f>
        <v/>
      </c>
    </row>
    <row r="629" spans="1:11" ht="19.5" customHeight="1">
      <c r="A629" s="46"/>
      <c r="B629" s="47"/>
      <c r="C629" s="46"/>
      <c r="D629" s="46"/>
      <c r="E629" s="46"/>
      <c r="J629" s="44" t="str">
        <f>IFERROR(BaoLiuXiaoShuWei(AVERAGE(H629:I629),2),"")</f>
        <v/>
      </c>
      <c r="K629" s="50" t="str">
        <f>IFERROR(XiuYueXiaoShu(IF(J629="","",(J629-基本信息!$B$28)/基本信息!$B$29)*(基本信息!$C$9)/F629/1000*IF(G629="",1,G629),基本信息!$C$11,基本信息!$C$34,1),"")</f>
        <v/>
      </c>
    </row>
    <row r="630" spans="1:11" ht="19.5" customHeight="1">
      <c r="A630" s="46"/>
      <c r="B630" s="47"/>
      <c r="C630" s="46"/>
      <c r="D630" s="46"/>
      <c r="E630" s="46"/>
      <c r="J630" s="44" t="str">
        <f>IFERROR(BaoLiuXiaoShuWei(AVERAGE(H630:I630),2),"")</f>
        <v/>
      </c>
      <c r="K630" s="50" t="str">
        <f>IFERROR(XiuYueXiaoShu(IF(J630="","",(J630-基本信息!$B$28)/基本信息!$B$29)*(基本信息!$C$9)/F630/1000*IF(G630="",1,G630),基本信息!$C$11,基本信息!$C$34,1),"")</f>
        <v/>
      </c>
    </row>
    <row r="631" spans="1:11" ht="19.5" customHeight="1">
      <c r="A631" s="46"/>
      <c r="B631" s="47"/>
      <c r="C631" s="46"/>
      <c r="D631" s="46"/>
      <c r="E631" s="46"/>
      <c r="J631" s="44" t="str">
        <f>IFERROR(BaoLiuXiaoShuWei(AVERAGE(H631:I631),2),"")</f>
        <v/>
      </c>
      <c r="K631" s="50" t="str">
        <f>IFERROR(XiuYueXiaoShu(IF(J631="","",(J631-基本信息!$B$28)/基本信息!$B$29)*(基本信息!$C$9)/F631/1000*IF(G631="",1,G631),基本信息!$C$11,基本信息!$C$34,1),"")</f>
        <v/>
      </c>
    </row>
    <row r="632" spans="1:11" ht="19.5" customHeight="1">
      <c r="A632" s="46"/>
      <c r="B632" s="47"/>
      <c r="C632" s="46"/>
      <c r="D632" s="46"/>
      <c r="E632" s="46"/>
      <c r="J632" s="44" t="str">
        <f>IFERROR(BaoLiuXiaoShuWei(AVERAGE(H632:I632),2),"")</f>
        <v/>
      </c>
      <c r="K632" s="50" t="str">
        <f>IFERROR(XiuYueXiaoShu(IF(J632="","",(J632-基本信息!$B$28)/基本信息!$B$29)*(基本信息!$C$9)/F632/1000*IF(G632="",1,G632),基本信息!$C$11,基本信息!$C$34,1),"")</f>
        <v/>
      </c>
    </row>
    <row r="633" spans="1:11" ht="19.5" customHeight="1">
      <c r="A633" s="46"/>
      <c r="B633" s="47"/>
      <c r="C633" s="46"/>
      <c r="D633" s="46"/>
      <c r="E633" s="46"/>
      <c r="J633" s="44" t="str">
        <f>IFERROR(BaoLiuXiaoShuWei(AVERAGE(H633:I633),2),"")</f>
        <v/>
      </c>
      <c r="K633" s="50" t="str">
        <f>IFERROR(XiuYueXiaoShu(IF(J633="","",(J633-基本信息!$B$28)/基本信息!$B$29)*(基本信息!$C$9)/F633/1000*IF(G633="",1,G633),基本信息!$C$11,基本信息!$C$34,1),"")</f>
        <v/>
      </c>
    </row>
    <row r="634" spans="1:11" ht="19.5" customHeight="1">
      <c r="A634" s="46"/>
      <c r="B634" s="47"/>
      <c r="C634" s="46"/>
      <c r="D634" s="46"/>
      <c r="E634" s="46"/>
      <c r="J634" s="44" t="str">
        <f>IFERROR(BaoLiuXiaoShuWei(AVERAGE(H634:I634),2),"")</f>
        <v/>
      </c>
      <c r="K634" s="50" t="str">
        <f>IFERROR(XiuYueXiaoShu(IF(J634="","",(J634-基本信息!$B$28)/基本信息!$B$29)*(基本信息!$C$9)/F634/1000*IF(G634="",1,G634),基本信息!$C$11,基本信息!$C$34,1),"")</f>
        <v/>
      </c>
    </row>
    <row r="635" spans="1:11" ht="19.5" customHeight="1">
      <c r="A635" s="46"/>
      <c r="B635" s="47"/>
      <c r="C635" s="46"/>
      <c r="D635" s="46"/>
      <c r="E635" s="46"/>
      <c r="J635" s="44" t="str">
        <f>IFERROR(BaoLiuXiaoShuWei(AVERAGE(H635:I635),2),"")</f>
        <v/>
      </c>
      <c r="K635" s="50" t="str">
        <f>IFERROR(XiuYueXiaoShu(IF(J635="","",(J635-基本信息!$B$28)/基本信息!$B$29)*(基本信息!$C$9)/F635/1000*IF(G635="",1,G635),基本信息!$C$11,基本信息!$C$34,1),"")</f>
        <v/>
      </c>
    </row>
    <row r="636" spans="1:11" ht="19.5" customHeight="1">
      <c r="A636" s="46"/>
      <c r="B636" s="47"/>
      <c r="C636" s="46"/>
      <c r="D636" s="46"/>
      <c r="E636" s="46"/>
      <c r="J636" s="44" t="str">
        <f>IFERROR(BaoLiuXiaoShuWei(AVERAGE(H636:I636),2),"")</f>
        <v/>
      </c>
      <c r="K636" s="50" t="str">
        <f>IFERROR(XiuYueXiaoShu(IF(J636="","",(J636-基本信息!$B$28)/基本信息!$B$29)*(基本信息!$C$9)/F636/1000*IF(G636="",1,G636),基本信息!$C$11,基本信息!$C$34,1),"")</f>
        <v/>
      </c>
    </row>
    <row r="637" spans="1:11" ht="19.5" customHeight="1">
      <c r="A637" s="46"/>
      <c r="B637" s="47"/>
      <c r="C637" s="46"/>
      <c r="D637" s="46"/>
      <c r="E637" s="46"/>
      <c r="J637" s="44" t="str">
        <f>IFERROR(BaoLiuXiaoShuWei(AVERAGE(H637:I637),2),"")</f>
        <v/>
      </c>
      <c r="K637" s="50" t="str">
        <f>IFERROR(XiuYueXiaoShu(IF(J637="","",(J637-基本信息!$B$28)/基本信息!$B$29)*(基本信息!$C$9)/F637/1000*IF(G637="",1,G637),基本信息!$C$11,基本信息!$C$34,1),"")</f>
        <v/>
      </c>
    </row>
    <row r="638" spans="1:11" ht="19.5" customHeight="1">
      <c r="A638" s="46"/>
      <c r="B638" s="47"/>
      <c r="C638" s="46"/>
      <c r="D638" s="46"/>
      <c r="E638" s="46"/>
      <c r="J638" s="44" t="str">
        <f>IFERROR(BaoLiuXiaoShuWei(AVERAGE(H638:I638),2),"")</f>
        <v/>
      </c>
      <c r="K638" s="50" t="str">
        <f>IFERROR(XiuYueXiaoShu(IF(J638="","",(J638-基本信息!$B$28)/基本信息!$B$29)*(基本信息!$C$9)/F638/1000*IF(G638="",1,G638),基本信息!$C$11,基本信息!$C$34,1),"")</f>
        <v/>
      </c>
    </row>
    <row r="639" spans="1:11" ht="19.5" customHeight="1">
      <c r="A639" s="46"/>
      <c r="B639" s="47"/>
      <c r="C639" s="46"/>
      <c r="D639" s="46"/>
      <c r="E639" s="46"/>
      <c r="J639" s="44" t="str">
        <f>IFERROR(BaoLiuXiaoShuWei(AVERAGE(H639:I639),2),"")</f>
        <v/>
      </c>
      <c r="K639" s="50" t="str">
        <f>IFERROR(XiuYueXiaoShu(IF(J639="","",(J639-基本信息!$B$28)/基本信息!$B$29)*(基本信息!$C$9)/F639/1000*IF(G639="",1,G639),基本信息!$C$11,基本信息!$C$34,1),"")</f>
        <v/>
      </c>
    </row>
    <row r="640" spans="1:11" ht="19.5" customHeight="1">
      <c r="A640" s="46"/>
      <c r="B640" s="47"/>
      <c r="C640" s="46"/>
      <c r="D640" s="46"/>
      <c r="E640" s="46"/>
      <c r="J640" s="44" t="str">
        <f>IFERROR(BaoLiuXiaoShuWei(AVERAGE(H640:I640),2),"")</f>
        <v/>
      </c>
      <c r="K640" s="50" t="str">
        <f>IFERROR(XiuYueXiaoShu(IF(J640="","",(J640-基本信息!$B$28)/基本信息!$B$29)*(基本信息!$C$9)/F640/1000*IF(G640="",1,G640),基本信息!$C$11,基本信息!$C$34,1),"")</f>
        <v/>
      </c>
    </row>
    <row r="641" spans="1:11" ht="19.5" customHeight="1">
      <c r="A641" s="46"/>
      <c r="B641" s="47"/>
      <c r="C641" s="46"/>
      <c r="D641" s="46"/>
      <c r="E641" s="46"/>
      <c r="J641" s="44" t="str">
        <f>IFERROR(BaoLiuXiaoShuWei(AVERAGE(H641:I641),2),"")</f>
        <v/>
      </c>
      <c r="K641" s="50" t="str">
        <f>IFERROR(XiuYueXiaoShu(IF(J641="","",(J641-基本信息!$B$28)/基本信息!$B$29)*(基本信息!$C$9)/F641/1000*IF(G641="",1,G641),基本信息!$C$11,基本信息!$C$34,1),"")</f>
        <v/>
      </c>
    </row>
    <row r="642" spans="1:11" ht="19.5" customHeight="1">
      <c r="A642" s="46"/>
      <c r="B642" s="47"/>
      <c r="C642" s="46"/>
      <c r="D642" s="46"/>
      <c r="E642" s="46"/>
      <c r="J642" s="44" t="str">
        <f>IFERROR(BaoLiuXiaoShuWei(AVERAGE(H642:I642),2),"")</f>
        <v/>
      </c>
      <c r="K642" s="50" t="str">
        <f>IFERROR(XiuYueXiaoShu(IF(J642="","",(J642-基本信息!$B$28)/基本信息!$B$29)*(基本信息!$C$9)/F642/1000*IF(G642="",1,G642),基本信息!$C$11,基本信息!$C$34,1),"")</f>
        <v/>
      </c>
    </row>
    <row r="643" spans="1:11" ht="19.5" customHeight="1">
      <c r="A643" s="46"/>
      <c r="B643" s="47"/>
      <c r="C643" s="46"/>
      <c r="D643" s="46"/>
      <c r="E643" s="46"/>
      <c r="J643" s="44" t="str">
        <f>IFERROR(BaoLiuXiaoShuWei(AVERAGE(H643:I643),2),"")</f>
        <v/>
      </c>
      <c r="K643" s="50" t="str">
        <f>IFERROR(XiuYueXiaoShu(IF(J643="","",(J643-基本信息!$B$28)/基本信息!$B$29)*(基本信息!$C$9)/F643/1000*IF(G643="",1,G643),基本信息!$C$11,基本信息!$C$34,1),"")</f>
        <v/>
      </c>
    </row>
    <row r="644" spans="1:11" ht="19.5" customHeight="1">
      <c r="A644" s="46"/>
      <c r="B644" s="47"/>
      <c r="C644" s="46"/>
      <c r="D644" s="46"/>
      <c r="E644" s="46"/>
      <c r="J644" s="44" t="str">
        <f>IFERROR(BaoLiuXiaoShuWei(AVERAGE(H644:I644),2),"")</f>
        <v/>
      </c>
      <c r="K644" s="50" t="str">
        <f>IFERROR(XiuYueXiaoShu(IF(J644="","",(J644-基本信息!$B$28)/基本信息!$B$29)*(基本信息!$C$9)/F644/1000*IF(G644="",1,G644),基本信息!$C$11,基本信息!$C$34,1),"")</f>
        <v/>
      </c>
    </row>
    <row r="645" spans="1:11" ht="19.5" customHeight="1">
      <c r="A645" s="46"/>
      <c r="B645" s="47"/>
      <c r="C645" s="46"/>
      <c r="D645" s="46"/>
      <c r="E645" s="46"/>
      <c r="J645" s="44" t="str">
        <f>IFERROR(BaoLiuXiaoShuWei(AVERAGE(H645:I645),2),"")</f>
        <v/>
      </c>
      <c r="K645" s="50" t="str">
        <f>IFERROR(XiuYueXiaoShu(IF(J645="","",(J645-基本信息!$B$28)/基本信息!$B$29)*(基本信息!$C$9)/F645/1000*IF(G645="",1,G645),基本信息!$C$11,基本信息!$C$34,1),"")</f>
        <v/>
      </c>
    </row>
    <row r="646" spans="1:11" ht="19.5" customHeight="1">
      <c r="A646" s="46"/>
      <c r="B646" s="47"/>
      <c r="C646" s="46"/>
      <c r="D646" s="46"/>
      <c r="E646" s="46"/>
      <c r="J646" s="44" t="str">
        <f>IFERROR(BaoLiuXiaoShuWei(AVERAGE(H646:I646),2),"")</f>
        <v/>
      </c>
      <c r="K646" s="50" t="str">
        <f>IFERROR(XiuYueXiaoShu(IF(J646="","",(J646-基本信息!$B$28)/基本信息!$B$29)*(基本信息!$C$9)/F646/1000*IF(G646="",1,G646),基本信息!$C$11,基本信息!$C$34,1),"")</f>
        <v/>
      </c>
    </row>
    <row r="647" spans="1:11" ht="19.5" customHeight="1">
      <c r="A647" s="46"/>
      <c r="B647" s="47"/>
      <c r="C647" s="46"/>
      <c r="D647" s="46"/>
      <c r="E647" s="46"/>
      <c r="J647" s="44" t="str">
        <f>IFERROR(BaoLiuXiaoShuWei(AVERAGE(H647:I647),2),"")</f>
        <v/>
      </c>
      <c r="K647" s="50" t="str">
        <f>IFERROR(XiuYueXiaoShu(IF(J647="","",(J647-基本信息!$B$28)/基本信息!$B$29)*(基本信息!$C$9)/F647/1000*IF(G647="",1,G647),基本信息!$C$11,基本信息!$C$34,1),"")</f>
        <v/>
      </c>
    </row>
    <row r="648" spans="1:11" ht="19.5" customHeight="1">
      <c r="A648" s="46"/>
      <c r="B648" s="47"/>
      <c r="C648" s="46"/>
      <c r="D648" s="46"/>
      <c r="E648" s="46"/>
      <c r="J648" s="44" t="str">
        <f>IFERROR(BaoLiuXiaoShuWei(AVERAGE(H648:I648),2),"")</f>
        <v/>
      </c>
      <c r="K648" s="50" t="str">
        <f>IFERROR(XiuYueXiaoShu(IF(J648="","",(J648-基本信息!$B$28)/基本信息!$B$29)*(基本信息!$C$9)/F648/1000*IF(G648="",1,G648),基本信息!$C$11,基本信息!$C$34,1),"")</f>
        <v/>
      </c>
    </row>
    <row r="649" spans="1:11" ht="19.5" customHeight="1">
      <c r="A649" s="46"/>
      <c r="B649" s="47"/>
      <c r="C649" s="46"/>
      <c r="D649" s="46"/>
      <c r="E649" s="46"/>
      <c r="J649" s="44" t="str">
        <f>IFERROR(BaoLiuXiaoShuWei(AVERAGE(H649:I649),2),"")</f>
        <v/>
      </c>
      <c r="K649" s="50" t="str">
        <f>IFERROR(XiuYueXiaoShu(IF(J649="","",(J649-基本信息!$B$28)/基本信息!$B$29)*(基本信息!$C$9)/F649/1000*IF(G649="",1,G649),基本信息!$C$11,基本信息!$C$34,1),"")</f>
        <v/>
      </c>
    </row>
    <row r="650" spans="1:11" ht="19.5" customHeight="1">
      <c r="A650" s="46"/>
      <c r="B650" s="47"/>
      <c r="C650" s="46"/>
      <c r="D650" s="46"/>
      <c r="E650" s="46"/>
      <c r="J650" s="44" t="str">
        <f>IFERROR(BaoLiuXiaoShuWei(AVERAGE(H650:I650),2),"")</f>
        <v/>
      </c>
      <c r="K650" s="50" t="str">
        <f>IFERROR(XiuYueXiaoShu(IF(J650="","",(J650-基本信息!$B$28)/基本信息!$B$29)*(基本信息!$C$9)/F650/1000*IF(G650="",1,G650),基本信息!$C$11,基本信息!$C$34,1),"")</f>
        <v/>
      </c>
    </row>
    <row r="651" spans="1:11" ht="19.5" customHeight="1">
      <c r="A651" s="46"/>
      <c r="B651" s="47"/>
      <c r="C651" s="46"/>
      <c r="D651" s="46"/>
      <c r="E651" s="46"/>
      <c r="J651" s="44" t="str">
        <f>IFERROR(BaoLiuXiaoShuWei(AVERAGE(H651:I651),2),"")</f>
        <v/>
      </c>
      <c r="K651" s="50" t="str">
        <f>IFERROR(XiuYueXiaoShu(IF(J651="","",(J651-基本信息!$B$28)/基本信息!$B$29)*(基本信息!$C$9)/F651/1000*IF(G651="",1,G651),基本信息!$C$11,基本信息!$C$34,1),"")</f>
        <v/>
      </c>
    </row>
    <row r="652" spans="1:11" ht="19.5" customHeight="1">
      <c r="A652" s="46"/>
      <c r="B652" s="47"/>
      <c r="C652" s="46"/>
      <c r="D652" s="46"/>
      <c r="E652" s="46"/>
      <c r="J652" s="44" t="str">
        <f>IFERROR(BaoLiuXiaoShuWei(AVERAGE(H652:I652),2),"")</f>
        <v/>
      </c>
      <c r="K652" s="50" t="str">
        <f>IFERROR(XiuYueXiaoShu(IF(J652="","",(J652-基本信息!$B$28)/基本信息!$B$29)*(基本信息!$C$9)/F652/1000*IF(G652="",1,G652),基本信息!$C$11,基本信息!$C$34,1),"")</f>
        <v/>
      </c>
    </row>
    <row r="653" spans="1:11" ht="19.5" customHeight="1">
      <c r="A653" s="46"/>
      <c r="B653" s="47"/>
      <c r="C653" s="46"/>
      <c r="D653" s="46"/>
      <c r="E653" s="46"/>
      <c r="J653" s="44" t="str">
        <f>IFERROR(BaoLiuXiaoShuWei(AVERAGE(H653:I653),2),"")</f>
        <v/>
      </c>
      <c r="K653" s="50" t="str">
        <f>IFERROR(XiuYueXiaoShu(IF(J653="","",(J653-基本信息!$B$28)/基本信息!$B$29)*(基本信息!$C$9)/F653/1000*IF(G653="",1,G653),基本信息!$C$11,基本信息!$C$34,1),"")</f>
        <v/>
      </c>
    </row>
    <row r="654" spans="1:11" ht="19.5" customHeight="1">
      <c r="A654" s="46"/>
      <c r="B654" s="47"/>
      <c r="C654" s="46"/>
      <c r="D654" s="46"/>
      <c r="E654" s="46"/>
      <c r="J654" s="44" t="str">
        <f>IFERROR(BaoLiuXiaoShuWei(AVERAGE(H654:I654),2),"")</f>
        <v/>
      </c>
      <c r="K654" s="50" t="str">
        <f>IFERROR(XiuYueXiaoShu(IF(J654="","",(J654-基本信息!$B$28)/基本信息!$B$29)*(基本信息!$C$9)/F654/1000*IF(G654="",1,G654),基本信息!$C$11,基本信息!$C$34,1),"")</f>
        <v/>
      </c>
    </row>
    <row r="655" spans="1:11" ht="19.5" customHeight="1">
      <c r="A655" s="46"/>
      <c r="B655" s="47"/>
      <c r="C655" s="46"/>
      <c r="D655" s="46"/>
      <c r="E655" s="46"/>
      <c r="J655" s="44" t="str">
        <f>IFERROR(BaoLiuXiaoShuWei(AVERAGE(H655:I655),2),"")</f>
        <v/>
      </c>
      <c r="K655" s="50" t="str">
        <f>IFERROR(XiuYueXiaoShu(IF(J655="","",(J655-基本信息!$B$28)/基本信息!$B$29)*(基本信息!$C$9)/F655/1000*IF(G655="",1,G655),基本信息!$C$11,基本信息!$C$34,1),"")</f>
        <v/>
      </c>
    </row>
    <row r="656" spans="1:11" ht="19.5" customHeight="1">
      <c r="A656" s="46"/>
      <c r="B656" s="47"/>
      <c r="C656" s="46"/>
      <c r="D656" s="46"/>
      <c r="E656" s="46"/>
      <c r="J656" s="44" t="str">
        <f>IFERROR(BaoLiuXiaoShuWei(AVERAGE(H656:I656),2),"")</f>
        <v/>
      </c>
      <c r="K656" s="50" t="str">
        <f>IFERROR(XiuYueXiaoShu(IF(J656="","",(J656-基本信息!$B$28)/基本信息!$B$29)*(基本信息!$C$9)/F656/1000*IF(G656="",1,G656),基本信息!$C$11,基本信息!$C$34,1),"")</f>
        <v/>
      </c>
    </row>
    <row r="657" spans="1:11" ht="19.5" customHeight="1">
      <c r="A657" s="46"/>
      <c r="B657" s="47"/>
      <c r="C657" s="46"/>
      <c r="D657" s="46"/>
      <c r="E657" s="46"/>
      <c r="J657" s="44" t="str">
        <f>IFERROR(BaoLiuXiaoShuWei(AVERAGE(H657:I657),2),"")</f>
        <v/>
      </c>
      <c r="K657" s="50" t="str">
        <f>IFERROR(XiuYueXiaoShu(IF(J657="","",(J657-基本信息!$B$28)/基本信息!$B$29)*(基本信息!$C$9)/F657/1000*IF(G657="",1,G657),基本信息!$C$11,基本信息!$C$34,1),"")</f>
        <v/>
      </c>
    </row>
    <row r="658" spans="1:11" ht="19.5" customHeight="1">
      <c r="A658" s="46"/>
      <c r="B658" s="47"/>
      <c r="C658" s="46"/>
      <c r="D658" s="46"/>
      <c r="E658" s="46"/>
      <c r="J658" s="44" t="str">
        <f>IFERROR(BaoLiuXiaoShuWei(AVERAGE(H658:I658),2),"")</f>
        <v/>
      </c>
      <c r="K658" s="50" t="str">
        <f>IFERROR(XiuYueXiaoShu(IF(J658="","",(J658-基本信息!$B$28)/基本信息!$B$29)*(基本信息!$C$9)/F658/1000*IF(G658="",1,G658),基本信息!$C$11,基本信息!$C$34,1),"")</f>
        <v/>
      </c>
    </row>
    <row r="659" spans="1:11" ht="19.5" customHeight="1">
      <c r="A659" s="46"/>
      <c r="B659" s="47"/>
      <c r="C659" s="46"/>
      <c r="D659" s="46"/>
      <c r="E659" s="46"/>
      <c r="J659" s="44" t="str">
        <f>IFERROR(BaoLiuXiaoShuWei(AVERAGE(H659:I659),2),"")</f>
        <v/>
      </c>
      <c r="K659" s="50" t="str">
        <f>IFERROR(XiuYueXiaoShu(IF(J659="","",(J659-基本信息!$B$28)/基本信息!$B$29)*(基本信息!$C$9)/F659/1000*IF(G659="",1,G659),基本信息!$C$11,基本信息!$C$34,1),"")</f>
        <v/>
      </c>
    </row>
    <row r="660" spans="1:11" ht="19.5" customHeight="1">
      <c r="A660" s="46"/>
      <c r="B660" s="47"/>
      <c r="C660" s="46"/>
      <c r="D660" s="46"/>
      <c r="E660" s="46"/>
      <c r="J660" s="44" t="str">
        <f>IFERROR(BaoLiuXiaoShuWei(AVERAGE(H660:I660),2),"")</f>
        <v/>
      </c>
      <c r="K660" s="50" t="str">
        <f>IFERROR(XiuYueXiaoShu(IF(J660="","",(J660-基本信息!$B$28)/基本信息!$B$29)*(基本信息!$C$9)/F660/1000*IF(G660="",1,G660),基本信息!$C$11,基本信息!$C$34,1),"")</f>
        <v/>
      </c>
    </row>
    <row r="661" spans="1:11" ht="19.5" customHeight="1">
      <c r="A661" s="46"/>
      <c r="B661" s="47"/>
      <c r="C661" s="46"/>
      <c r="D661" s="46"/>
      <c r="E661" s="46"/>
      <c r="J661" s="44" t="str">
        <f>IFERROR(BaoLiuXiaoShuWei(AVERAGE(H661:I661),2),"")</f>
        <v/>
      </c>
      <c r="K661" s="50" t="str">
        <f>IFERROR(XiuYueXiaoShu(IF(J661="","",(J661-基本信息!$B$28)/基本信息!$B$29)*(基本信息!$C$9)/F661/1000*IF(G661="",1,G661),基本信息!$C$11,基本信息!$C$34,1),"")</f>
        <v/>
      </c>
    </row>
    <row r="662" spans="1:11" ht="19.5" customHeight="1">
      <c r="A662" s="46"/>
      <c r="B662" s="47"/>
      <c r="C662" s="46"/>
      <c r="D662" s="46"/>
      <c r="E662" s="46"/>
      <c r="J662" s="44" t="str">
        <f>IFERROR(BaoLiuXiaoShuWei(AVERAGE(H662:I662),2),"")</f>
        <v/>
      </c>
      <c r="K662" s="50" t="str">
        <f>IFERROR(XiuYueXiaoShu(IF(J662="","",(J662-基本信息!$B$28)/基本信息!$B$29)*(基本信息!$C$9)/F662/1000*IF(G662="",1,G662),基本信息!$C$11,基本信息!$C$34,1),"")</f>
        <v/>
      </c>
    </row>
    <row r="663" spans="1:11" ht="19.5" customHeight="1">
      <c r="A663" s="46"/>
      <c r="B663" s="47"/>
      <c r="C663" s="46"/>
      <c r="D663" s="46"/>
      <c r="E663" s="46"/>
      <c r="J663" s="44" t="str">
        <f>IFERROR(BaoLiuXiaoShuWei(AVERAGE(H663:I663),2),"")</f>
        <v/>
      </c>
      <c r="K663" s="50" t="str">
        <f>IFERROR(XiuYueXiaoShu(IF(J663="","",(J663-基本信息!$B$28)/基本信息!$B$29)*(基本信息!$C$9)/F663/1000*IF(G663="",1,G663),基本信息!$C$11,基本信息!$C$34,1),"")</f>
        <v/>
      </c>
    </row>
    <row r="664" spans="1:11" ht="19.5" customHeight="1">
      <c r="A664" s="46"/>
      <c r="B664" s="47"/>
      <c r="C664" s="46"/>
      <c r="D664" s="46"/>
      <c r="E664" s="46"/>
      <c r="J664" s="44" t="str">
        <f>IFERROR(BaoLiuXiaoShuWei(AVERAGE(H664:I664),2),"")</f>
        <v/>
      </c>
      <c r="K664" s="50" t="str">
        <f>IFERROR(XiuYueXiaoShu(IF(J664="","",(J664-基本信息!$B$28)/基本信息!$B$29)*(基本信息!$C$9)/F664/1000*IF(G664="",1,G664),基本信息!$C$11,基本信息!$C$34,1),"")</f>
        <v/>
      </c>
    </row>
    <row r="665" spans="1:11" ht="19.5" customHeight="1">
      <c r="A665" s="46"/>
      <c r="B665" s="47"/>
      <c r="C665" s="46"/>
      <c r="D665" s="46"/>
      <c r="E665" s="46"/>
      <c r="J665" s="44" t="str">
        <f>IFERROR(BaoLiuXiaoShuWei(AVERAGE(H665:I665),2),"")</f>
        <v/>
      </c>
      <c r="K665" s="50" t="str">
        <f>IFERROR(XiuYueXiaoShu(IF(J665="","",(J665-基本信息!$B$28)/基本信息!$B$29)*(基本信息!$C$9)/F665/1000*IF(G665="",1,G665),基本信息!$C$11,基本信息!$C$34,1),"")</f>
        <v/>
      </c>
    </row>
    <row r="666" spans="1:11" ht="19.5" customHeight="1">
      <c r="A666" s="46"/>
      <c r="B666" s="47"/>
      <c r="C666" s="46"/>
      <c r="D666" s="46"/>
      <c r="E666" s="46"/>
      <c r="J666" s="44" t="str">
        <f>IFERROR(BaoLiuXiaoShuWei(AVERAGE(H666:I666),2),"")</f>
        <v/>
      </c>
      <c r="K666" s="50" t="str">
        <f>IFERROR(XiuYueXiaoShu(IF(J666="","",(J666-基本信息!$B$28)/基本信息!$B$29)*(基本信息!$C$9)/F666/1000*IF(G666="",1,G666),基本信息!$C$11,基本信息!$C$34,1),"")</f>
        <v/>
      </c>
    </row>
    <row r="667" spans="1:11" ht="19.5" customHeight="1">
      <c r="A667" s="46"/>
      <c r="B667" s="47"/>
      <c r="C667" s="46"/>
      <c r="D667" s="46"/>
      <c r="E667" s="46"/>
      <c r="J667" s="44" t="str">
        <f>IFERROR(BaoLiuXiaoShuWei(AVERAGE(H667:I667),2),"")</f>
        <v/>
      </c>
      <c r="K667" s="50" t="str">
        <f>IFERROR(XiuYueXiaoShu(IF(J667="","",(J667-基本信息!$B$28)/基本信息!$B$29)*(基本信息!$C$9)/F667/1000*IF(G667="",1,G667),基本信息!$C$11,基本信息!$C$34,1),"")</f>
        <v/>
      </c>
    </row>
    <row r="668" spans="1:11" ht="19.5" customHeight="1">
      <c r="A668" s="46"/>
      <c r="B668" s="47"/>
      <c r="C668" s="46"/>
      <c r="D668" s="46"/>
      <c r="E668" s="46"/>
      <c r="J668" s="44" t="str">
        <f>IFERROR(BaoLiuXiaoShuWei(AVERAGE(H668:I668),2),"")</f>
        <v/>
      </c>
      <c r="K668" s="50" t="str">
        <f>IFERROR(XiuYueXiaoShu(IF(J668="","",(J668-基本信息!$B$28)/基本信息!$B$29)*(基本信息!$C$9)/F668/1000*IF(G668="",1,G668),基本信息!$C$11,基本信息!$C$34,1),"")</f>
        <v/>
      </c>
    </row>
    <row r="669" spans="1:11" ht="19.5" customHeight="1">
      <c r="A669" s="46"/>
      <c r="B669" s="47"/>
      <c r="C669" s="46"/>
      <c r="D669" s="46"/>
      <c r="E669" s="46"/>
      <c r="J669" s="44" t="str">
        <f>IFERROR(BaoLiuXiaoShuWei(AVERAGE(H669:I669),2),"")</f>
        <v/>
      </c>
      <c r="K669" s="50" t="str">
        <f>IFERROR(XiuYueXiaoShu(IF(J669="","",(J669-基本信息!$B$28)/基本信息!$B$29)*(基本信息!$C$9)/F669/1000*IF(G669="",1,G669),基本信息!$C$11,基本信息!$C$34,1),"")</f>
        <v/>
      </c>
    </row>
    <row r="670" spans="1:11" ht="19.5" customHeight="1">
      <c r="A670" s="46"/>
      <c r="B670" s="47"/>
      <c r="C670" s="46"/>
      <c r="D670" s="46"/>
      <c r="E670" s="46"/>
      <c r="J670" s="44" t="str">
        <f>IFERROR(BaoLiuXiaoShuWei(AVERAGE(H670:I670),2),"")</f>
        <v/>
      </c>
      <c r="K670" s="50" t="str">
        <f>IFERROR(XiuYueXiaoShu(IF(J670="","",(J670-基本信息!$B$28)/基本信息!$B$29)*(基本信息!$C$9)/F670/1000*IF(G670="",1,G670),基本信息!$C$11,基本信息!$C$34,1),"")</f>
        <v/>
      </c>
    </row>
    <row r="671" spans="1:11" ht="19.5" customHeight="1">
      <c r="A671" s="46"/>
      <c r="B671" s="47"/>
      <c r="C671" s="46"/>
      <c r="D671" s="46"/>
      <c r="E671" s="46"/>
      <c r="J671" s="44" t="str">
        <f>IFERROR(BaoLiuXiaoShuWei(AVERAGE(H671:I671),2),"")</f>
        <v/>
      </c>
      <c r="K671" s="50" t="str">
        <f>IFERROR(XiuYueXiaoShu(IF(J671="","",(J671-基本信息!$B$28)/基本信息!$B$29)*(基本信息!$C$9)/F671/1000*IF(G671="",1,G671),基本信息!$C$11,基本信息!$C$34,1),"")</f>
        <v/>
      </c>
    </row>
    <row r="672" spans="1:11" ht="19.5" customHeight="1">
      <c r="A672" s="46"/>
      <c r="B672" s="47"/>
      <c r="C672" s="46"/>
      <c r="D672" s="46"/>
      <c r="E672" s="46"/>
      <c r="J672" s="44" t="str">
        <f>IFERROR(BaoLiuXiaoShuWei(AVERAGE(H672:I672),2),"")</f>
        <v/>
      </c>
      <c r="K672" s="50" t="str">
        <f>IFERROR(XiuYueXiaoShu(IF(J672="","",(J672-基本信息!$B$28)/基本信息!$B$29)*(基本信息!$C$9)/F672/1000*IF(G672="",1,G672),基本信息!$C$11,基本信息!$C$34,1),"")</f>
        <v/>
      </c>
    </row>
    <row r="673" spans="1:11" ht="19.5" customHeight="1">
      <c r="A673" s="46"/>
      <c r="B673" s="47"/>
      <c r="C673" s="46"/>
      <c r="D673" s="46"/>
      <c r="E673" s="46"/>
      <c r="J673" s="44" t="str">
        <f>IFERROR(BaoLiuXiaoShuWei(AVERAGE(H673:I673),2),"")</f>
        <v/>
      </c>
      <c r="K673" s="50" t="str">
        <f>IFERROR(XiuYueXiaoShu(IF(J673="","",(J673-基本信息!$B$28)/基本信息!$B$29)*(基本信息!$C$9)/F673/1000*IF(G673="",1,G673),基本信息!$C$11,基本信息!$C$34,1),"")</f>
        <v/>
      </c>
    </row>
    <row r="674" spans="1:11" ht="19.5" customHeight="1">
      <c r="A674" s="46"/>
      <c r="B674" s="47"/>
      <c r="C674" s="46"/>
      <c r="D674" s="46"/>
      <c r="E674" s="46"/>
      <c r="J674" s="44" t="str">
        <f>IFERROR(BaoLiuXiaoShuWei(AVERAGE(H674:I674),2),"")</f>
        <v/>
      </c>
      <c r="K674" s="50" t="str">
        <f>IFERROR(XiuYueXiaoShu(IF(J674="","",(J674-基本信息!$B$28)/基本信息!$B$29)*(基本信息!$C$9)/F674/1000*IF(G674="",1,G674),基本信息!$C$11,基本信息!$C$34,1),"")</f>
        <v/>
      </c>
    </row>
    <row r="675" spans="1:11" ht="19.5" customHeight="1">
      <c r="A675" s="46"/>
      <c r="B675" s="47"/>
      <c r="C675" s="46"/>
      <c r="D675" s="46"/>
      <c r="E675" s="46"/>
      <c r="J675" s="44" t="str">
        <f>IFERROR(BaoLiuXiaoShuWei(AVERAGE(H675:I675),2),"")</f>
        <v/>
      </c>
      <c r="K675" s="50" t="str">
        <f>IFERROR(XiuYueXiaoShu(IF(J675="","",(J675-基本信息!$B$28)/基本信息!$B$29)*(基本信息!$C$9)/F675/1000*IF(G675="",1,G675),基本信息!$C$11,基本信息!$C$34,1),"")</f>
        <v/>
      </c>
    </row>
    <row r="676" spans="1:11" ht="19.5" customHeight="1">
      <c r="A676" s="46"/>
      <c r="B676" s="47"/>
      <c r="C676" s="46"/>
      <c r="D676" s="46"/>
      <c r="E676" s="46"/>
      <c r="J676" s="44" t="str">
        <f>IFERROR(BaoLiuXiaoShuWei(AVERAGE(H676:I676),2),"")</f>
        <v/>
      </c>
      <c r="K676" s="50" t="str">
        <f>IFERROR(XiuYueXiaoShu(IF(J676="","",(J676-基本信息!$B$28)/基本信息!$B$29)*(基本信息!$C$9)/F676/1000*IF(G676="",1,G676),基本信息!$C$11,基本信息!$C$34,1),"")</f>
        <v/>
      </c>
    </row>
    <row r="677" spans="1:11" ht="19.5" customHeight="1">
      <c r="A677" s="46"/>
      <c r="B677" s="47"/>
      <c r="C677" s="46"/>
      <c r="D677" s="46"/>
      <c r="E677" s="46"/>
      <c r="J677" s="44" t="str">
        <f>IFERROR(BaoLiuXiaoShuWei(AVERAGE(H677:I677),2),"")</f>
        <v/>
      </c>
      <c r="K677" s="50" t="str">
        <f>IFERROR(XiuYueXiaoShu(IF(J677="","",(J677-基本信息!$B$28)/基本信息!$B$29)*(基本信息!$C$9)/F677/1000*IF(G677="",1,G677),基本信息!$C$11,基本信息!$C$34,1),"")</f>
        <v/>
      </c>
    </row>
    <row r="678" spans="1:11" ht="19.5" customHeight="1">
      <c r="A678" s="46"/>
      <c r="B678" s="47"/>
      <c r="C678" s="46"/>
      <c r="D678" s="46"/>
      <c r="E678" s="46"/>
      <c r="J678" s="44" t="str">
        <f>IFERROR(BaoLiuXiaoShuWei(AVERAGE(H678:I678),2),"")</f>
        <v/>
      </c>
      <c r="K678" s="50" t="str">
        <f>IFERROR(XiuYueXiaoShu(IF(J678="","",(J678-基本信息!$B$28)/基本信息!$B$29)*(基本信息!$C$9)/F678/1000*IF(G678="",1,G678),基本信息!$C$11,基本信息!$C$34,1),"")</f>
        <v/>
      </c>
    </row>
    <row r="679" spans="1:11" ht="19.5" customHeight="1">
      <c r="A679" s="46"/>
      <c r="B679" s="47"/>
      <c r="C679" s="46"/>
      <c r="D679" s="46"/>
      <c r="E679" s="46"/>
      <c r="J679" s="44" t="str">
        <f>IFERROR(BaoLiuXiaoShuWei(AVERAGE(H679:I679),2),"")</f>
        <v/>
      </c>
      <c r="K679" s="50" t="str">
        <f>IFERROR(XiuYueXiaoShu(IF(J679="","",(J679-基本信息!$B$28)/基本信息!$B$29)*(基本信息!$C$9)/F679/1000*IF(G679="",1,G679),基本信息!$C$11,基本信息!$C$34,1),"")</f>
        <v/>
      </c>
    </row>
    <row r="680" spans="1:11" ht="19.5" customHeight="1">
      <c r="A680" s="46"/>
      <c r="B680" s="47"/>
      <c r="C680" s="46"/>
      <c r="D680" s="46"/>
      <c r="E680" s="46"/>
      <c r="J680" s="44" t="str">
        <f>IFERROR(BaoLiuXiaoShuWei(AVERAGE(H680:I680),2),"")</f>
        <v/>
      </c>
      <c r="K680" s="50" t="str">
        <f>IFERROR(XiuYueXiaoShu(IF(J680="","",(J680-基本信息!$B$28)/基本信息!$B$29)*(基本信息!$C$9)/F680/1000*IF(G680="",1,G680),基本信息!$C$11,基本信息!$C$34,1),"")</f>
        <v/>
      </c>
    </row>
    <row r="681" spans="1:11" ht="19.5" customHeight="1">
      <c r="A681" s="46"/>
      <c r="B681" s="47"/>
      <c r="C681" s="46"/>
      <c r="D681" s="46"/>
      <c r="E681" s="46"/>
      <c r="J681" s="44" t="str">
        <f>IFERROR(BaoLiuXiaoShuWei(AVERAGE(H681:I681),2),"")</f>
        <v/>
      </c>
      <c r="K681" s="50" t="str">
        <f>IFERROR(XiuYueXiaoShu(IF(J681="","",(J681-基本信息!$B$28)/基本信息!$B$29)*(基本信息!$C$9)/F681/1000*IF(G681="",1,G681),基本信息!$C$11,基本信息!$C$34,1),"")</f>
        <v/>
      </c>
    </row>
    <row r="682" spans="1:11" ht="19.5" customHeight="1">
      <c r="A682" s="46"/>
      <c r="B682" s="47"/>
      <c r="C682" s="46"/>
      <c r="D682" s="46"/>
      <c r="E682" s="46"/>
      <c r="J682" s="44" t="str">
        <f>IFERROR(BaoLiuXiaoShuWei(AVERAGE(H682:I682),2),"")</f>
        <v/>
      </c>
      <c r="K682" s="50" t="str">
        <f>IFERROR(XiuYueXiaoShu(IF(J682="","",(J682-基本信息!$B$28)/基本信息!$B$29)*(基本信息!$C$9)/F682/1000*IF(G682="",1,G682),基本信息!$C$11,基本信息!$C$34,1),"")</f>
        <v/>
      </c>
    </row>
    <row r="683" spans="1:11" ht="19.5" customHeight="1">
      <c r="A683" s="46"/>
      <c r="B683" s="47"/>
      <c r="C683" s="46"/>
      <c r="D683" s="46"/>
      <c r="E683" s="46"/>
      <c r="J683" s="44" t="str">
        <f>IFERROR(BaoLiuXiaoShuWei(AVERAGE(H683:I683),2),"")</f>
        <v/>
      </c>
      <c r="K683" s="50" t="str">
        <f>IFERROR(XiuYueXiaoShu(IF(J683="","",(J683-基本信息!$B$28)/基本信息!$B$29)*(基本信息!$C$9)/F683/1000*IF(G683="",1,G683),基本信息!$C$11,基本信息!$C$34,1),"")</f>
        <v/>
      </c>
    </row>
    <row r="684" spans="1:11" ht="19.5" customHeight="1">
      <c r="A684" s="46"/>
      <c r="B684" s="47"/>
      <c r="C684" s="46"/>
      <c r="D684" s="46"/>
      <c r="E684" s="46"/>
      <c r="J684" s="44" t="str">
        <f>IFERROR(BaoLiuXiaoShuWei(AVERAGE(H684:I684),2),"")</f>
        <v/>
      </c>
      <c r="K684" s="50" t="str">
        <f>IFERROR(XiuYueXiaoShu(IF(J684="","",(J684-基本信息!$B$28)/基本信息!$B$29)*(基本信息!$C$9)/F684/1000*IF(G684="",1,G684),基本信息!$C$11,基本信息!$C$34,1),"")</f>
        <v/>
      </c>
    </row>
    <row r="685" spans="1:11" ht="19.5" customHeight="1">
      <c r="A685" s="46"/>
      <c r="B685" s="47"/>
      <c r="C685" s="46"/>
      <c r="D685" s="46"/>
      <c r="E685" s="46"/>
      <c r="J685" s="44" t="str">
        <f>IFERROR(BaoLiuXiaoShuWei(AVERAGE(H685:I685),2),"")</f>
        <v/>
      </c>
      <c r="K685" s="50" t="str">
        <f>IFERROR(XiuYueXiaoShu(IF(J685="","",(J685-基本信息!$B$28)/基本信息!$B$29)*(基本信息!$C$9)/F685/1000*IF(G685="",1,G685),基本信息!$C$11,基本信息!$C$34,1),"")</f>
        <v/>
      </c>
    </row>
    <row r="686" spans="1:11" ht="19.5" customHeight="1">
      <c r="A686" s="46"/>
      <c r="B686" s="47"/>
      <c r="C686" s="46"/>
      <c r="D686" s="46"/>
      <c r="E686" s="46"/>
      <c r="J686" s="44" t="str">
        <f>IFERROR(BaoLiuXiaoShuWei(AVERAGE(H686:I686),2),"")</f>
        <v/>
      </c>
      <c r="K686" s="50" t="str">
        <f>IFERROR(XiuYueXiaoShu(IF(J686="","",(J686-基本信息!$B$28)/基本信息!$B$29)*(基本信息!$C$9)/F686/1000*IF(G686="",1,G686),基本信息!$C$11,基本信息!$C$34,1),"")</f>
        <v/>
      </c>
    </row>
    <row r="687" spans="1:11" ht="19.5" customHeight="1">
      <c r="A687" s="46"/>
      <c r="B687" s="47"/>
      <c r="C687" s="46"/>
      <c r="D687" s="46"/>
      <c r="E687" s="46"/>
      <c r="J687" s="44" t="str">
        <f>IFERROR(BaoLiuXiaoShuWei(AVERAGE(H687:I687),2),"")</f>
        <v/>
      </c>
      <c r="K687" s="50" t="str">
        <f>IFERROR(XiuYueXiaoShu(IF(J687="","",(J687-基本信息!$B$28)/基本信息!$B$29)*(基本信息!$C$9)/F687/1000*IF(G687="",1,G687),基本信息!$C$11,基本信息!$C$34,1),"")</f>
        <v/>
      </c>
    </row>
    <row r="688" spans="1:11" ht="19.5" customHeight="1">
      <c r="A688" s="46"/>
      <c r="B688" s="47"/>
      <c r="C688" s="46"/>
      <c r="D688" s="46"/>
      <c r="E688" s="46"/>
      <c r="J688" s="44" t="str">
        <f>IFERROR(BaoLiuXiaoShuWei(AVERAGE(H688:I688),2),"")</f>
        <v/>
      </c>
      <c r="K688" s="50" t="str">
        <f>IFERROR(XiuYueXiaoShu(IF(J688="","",(J688-基本信息!$B$28)/基本信息!$B$29)*(基本信息!$C$9)/F688/1000*IF(G688="",1,G688),基本信息!$C$11,基本信息!$C$34,1),"")</f>
        <v/>
      </c>
    </row>
    <row r="689" spans="1:11" ht="19.5" customHeight="1">
      <c r="A689" s="46"/>
      <c r="B689" s="47"/>
      <c r="C689" s="46"/>
      <c r="D689" s="46"/>
      <c r="E689" s="46"/>
      <c r="J689" s="44" t="str">
        <f>IFERROR(BaoLiuXiaoShuWei(AVERAGE(H689:I689),2),"")</f>
        <v/>
      </c>
      <c r="K689" s="50" t="str">
        <f>IFERROR(XiuYueXiaoShu(IF(J689="","",(J689-基本信息!$B$28)/基本信息!$B$29)*(基本信息!$C$9)/F689/1000*IF(G689="",1,G689),基本信息!$C$11,基本信息!$C$34,1),"")</f>
        <v/>
      </c>
    </row>
    <row r="690" spans="1:11" ht="19.5" customHeight="1">
      <c r="A690" s="46"/>
      <c r="B690" s="47"/>
      <c r="C690" s="46"/>
      <c r="D690" s="46"/>
      <c r="E690" s="46"/>
      <c r="J690" s="44" t="str">
        <f>IFERROR(BaoLiuXiaoShuWei(AVERAGE(H690:I690),2),"")</f>
        <v/>
      </c>
      <c r="K690" s="50" t="str">
        <f>IFERROR(XiuYueXiaoShu(IF(J690="","",(J690-基本信息!$B$28)/基本信息!$B$29)*(基本信息!$C$9)/F690/1000*IF(G690="",1,G690),基本信息!$C$11,基本信息!$C$34,1),"")</f>
        <v/>
      </c>
    </row>
    <row r="691" spans="1:11" ht="19.5" customHeight="1">
      <c r="A691" s="46"/>
      <c r="B691" s="47"/>
      <c r="C691" s="46"/>
      <c r="D691" s="46"/>
      <c r="E691" s="46"/>
      <c r="J691" s="44" t="str">
        <f>IFERROR(BaoLiuXiaoShuWei(AVERAGE(H691:I691),2),"")</f>
        <v/>
      </c>
      <c r="K691" s="50" t="str">
        <f>IFERROR(XiuYueXiaoShu(IF(J691="","",(J691-基本信息!$B$28)/基本信息!$B$29)*(基本信息!$C$9)/F691/1000*IF(G691="",1,G691),基本信息!$C$11,基本信息!$C$34,1),"")</f>
        <v/>
      </c>
    </row>
    <row r="692" spans="1:11" ht="19.5" customHeight="1">
      <c r="A692" s="46"/>
      <c r="B692" s="47"/>
      <c r="C692" s="46"/>
      <c r="D692" s="46"/>
      <c r="E692" s="46"/>
      <c r="J692" s="44" t="str">
        <f>IFERROR(BaoLiuXiaoShuWei(AVERAGE(H692:I692),2),"")</f>
        <v/>
      </c>
      <c r="K692" s="50" t="str">
        <f>IFERROR(XiuYueXiaoShu(IF(J692="","",(J692-基本信息!$B$28)/基本信息!$B$29)*(基本信息!$C$9)/F692/1000*IF(G692="",1,G692),基本信息!$C$11,基本信息!$C$34,1),"")</f>
        <v/>
      </c>
    </row>
    <row r="693" spans="1:11" ht="19.5" customHeight="1">
      <c r="A693" s="46"/>
      <c r="B693" s="47"/>
      <c r="C693" s="46"/>
      <c r="D693" s="46"/>
      <c r="E693" s="46"/>
      <c r="J693" s="44" t="str">
        <f>IFERROR(BaoLiuXiaoShuWei(AVERAGE(H693:I693),2),"")</f>
        <v/>
      </c>
      <c r="K693" s="50" t="str">
        <f>IFERROR(XiuYueXiaoShu(IF(J693="","",(J693-基本信息!$B$28)/基本信息!$B$29)*(基本信息!$C$9)/F693/1000*IF(G693="",1,G693),基本信息!$C$11,基本信息!$C$34,1),"")</f>
        <v/>
      </c>
    </row>
    <row r="694" spans="1:11" ht="19.5" customHeight="1">
      <c r="A694" s="46"/>
      <c r="B694" s="47"/>
      <c r="C694" s="46"/>
      <c r="D694" s="46"/>
      <c r="E694" s="46"/>
      <c r="J694" s="44" t="str">
        <f>IFERROR(BaoLiuXiaoShuWei(AVERAGE(H694:I694),2),"")</f>
        <v/>
      </c>
      <c r="K694" s="50" t="str">
        <f>IFERROR(XiuYueXiaoShu(IF(J694="","",(J694-基本信息!$B$28)/基本信息!$B$29)*(基本信息!$C$9)/F694/1000*IF(G694="",1,G694),基本信息!$C$11,基本信息!$C$34,1),"")</f>
        <v/>
      </c>
    </row>
    <row r="695" spans="1:11" ht="19.5" customHeight="1">
      <c r="A695" s="46"/>
      <c r="B695" s="47"/>
      <c r="C695" s="46"/>
      <c r="D695" s="46"/>
      <c r="E695" s="46"/>
      <c r="J695" s="44" t="str">
        <f>IFERROR(BaoLiuXiaoShuWei(AVERAGE(H695:I695),2),"")</f>
        <v/>
      </c>
      <c r="K695" s="50" t="str">
        <f>IFERROR(XiuYueXiaoShu(IF(J695="","",(J695-基本信息!$B$28)/基本信息!$B$29)*(基本信息!$C$9)/F695/1000*IF(G695="",1,G695),基本信息!$C$11,基本信息!$C$34,1),"")</f>
        <v/>
      </c>
    </row>
    <row r="696" spans="1:11" ht="19.5" customHeight="1">
      <c r="A696" s="46"/>
      <c r="B696" s="47"/>
      <c r="C696" s="46"/>
      <c r="D696" s="46"/>
      <c r="E696" s="46"/>
      <c r="J696" s="44" t="str">
        <f>IFERROR(BaoLiuXiaoShuWei(AVERAGE(H696:I696),2),"")</f>
        <v/>
      </c>
      <c r="K696" s="50" t="str">
        <f>IFERROR(XiuYueXiaoShu(IF(J696="","",(J696-基本信息!$B$28)/基本信息!$B$29)*(基本信息!$C$9)/F696/1000*IF(G696="",1,G696),基本信息!$C$11,基本信息!$C$34,1),"")</f>
        <v/>
      </c>
    </row>
    <row r="697" spans="1:11" ht="19.5" customHeight="1">
      <c r="A697" s="46"/>
      <c r="B697" s="47"/>
      <c r="C697" s="46"/>
      <c r="D697" s="46"/>
      <c r="E697" s="46"/>
      <c r="J697" s="44" t="str">
        <f>IFERROR(BaoLiuXiaoShuWei(AVERAGE(H697:I697),2),"")</f>
        <v/>
      </c>
      <c r="K697" s="50" t="str">
        <f>IFERROR(XiuYueXiaoShu(IF(J697="","",(J697-基本信息!$B$28)/基本信息!$B$29)*(基本信息!$C$9)/F697/1000*IF(G697="",1,G697),基本信息!$C$11,基本信息!$C$34,1),"")</f>
        <v/>
      </c>
    </row>
    <row r="698" spans="1:11" ht="19.5" customHeight="1">
      <c r="A698" s="46"/>
      <c r="B698" s="47"/>
      <c r="C698" s="46"/>
      <c r="D698" s="46"/>
      <c r="E698" s="46"/>
      <c r="J698" s="44" t="str">
        <f>IFERROR(BaoLiuXiaoShuWei(AVERAGE(H698:I698),2),"")</f>
        <v/>
      </c>
      <c r="K698" s="50" t="str">
        <f>IFERROR(XiuYueXiaoShu(IF(J698="","",(J698-基本信息!$B$28)/基本信息!$B$29)*(基本信息!$C$9)/F698/1000*IF(G698="",1,G698),基本信息!$C$11,基本信息!$C$34,1),"")</f>
        <v/>
      </c>
    </row>
    <row r="699" spans="1:11" ht="19.5" customHeight="1">
      <c r="A699" s="46"/>
      <c r="B699" s="47"/>
      <c r="C699" s="46"/>
      <c r="D699" s="46"/>
      <c r="E699" s="46"/>
      <c r="J699" s="44" t="str">
        <f>IFERROR(BaoLiuXiaoShuWei(AVERAGE(H699:I699),2),"")</f>
        <v/>
      </c>
      <c r="K699" s="50" t="str">
        <f>IFERROR(XiuYueXiaoShu(IF(J699="","",(J699-基本信息!$B$28)/基本信息!$B$29)*(基本信息!$C$9)/F699/1000*IF(G699="",1,G699),基本信息!$C$11,基本信息!$C$34,1),"")</f>
        <v/>
      </c>
    </row>
    <row r="700" spans="1:11" ht="19.5" customHeight="1">
      <c r="A700" s="46"/>
      <c r="B700" s="47"/>
      <c r="C700" s="46"/>
      <c r="D700" s="46"/>
      <c r="E700" s="46"/>
      <c r="J700" s="44" t="str">
        <f>IFERROR(BaoLiuXiaoShuWei(AVERAGE(H700:I700),2),"")</f>
        <v/>
      </c>
      <c r="K700" s="50" t="str">
        <f>IFERROR(XiuYueXiaoShu(IF(J700="","",(J700-基本信息!$B$28)/基本信息!$B$29)*(基本信息!$C$9)/F700/1000*IF(G700="",1,G700),基本信息!$C$11,基本信息!$C$34,1),"")</f>
        <v/>
      </c>
    </row>
    <row r="701" spans="1:11" ht="19.5" customHeight="1">
      <c r="A701" s="46"/>
      <c r="B701" s="47"/>
      <c r="C701" s="46"/>
      <c r="D701" s="46"/>
      <c r="E701" s="46"/>
      <c r="J701" s="44" t="str">
        <f>IFERROR(BaoLiuXiaoShuWei(AVERAGE(H701:I701),2),"")</f>
        <v/>
      </c>
      <c r="K701" s="50" t="str">
        <f>IFERROR(XiuYueXiaoShu(IF(J701="","",(J701-基本信息!$B$28)/基本信息!$B$29)*(基本信息!$C$9)/F701/1000*IF(G701="",1,G701),基本信息!$C$11,基本信息!$C$34,1),"")</f>
        <v/>
      </c>
    </row>
    <row r="702" spans="1:11" ht="19.5" customHeight="1">
      <c r="A702" s="46"/>
      <c r="B702" s="47"/>
      <c r="C702" s="46"/>
      <c r="D702" s="46"/>
      <c r="E702" s="46"/>
      <c r="J702" s="44" t="str">
        <f>IFERROR(BaoLiuXiaoShuWei(AVERAGE(H702:I702),2),"")</f>
        <v/>
      </c>
      <c r="K702" s="50" t="str">
        <f>IFERROR(XiuYueXiaoShu(IF(J702="","",(J702-基本信息!$B$28)/基本信息!$B$29)*(基本信息!$C$9)/F702/1000*IF(G702="",1,G702),基本信息!$C$11,基本信息!$C$34,1),"")</f>
        <v/>
      </c>
    </row>
    <row r="703" spans="1:11" ht="19.5" customHeight="1">
      <c r="A703" s="46"/>
      <c r="B703" s="47"/>
      <c r="C703" s="46"/>
      <c r="D703" s="46"/>
      <c r="E703" s="46"/>
      <c r="J703" s="44" t="str">
        <f>IFERROR(BaoLiuXiaoShuWei(AVERAGE(H703:I703),2),"")</f>
        <v/>
      </c>
      <c r="K703" s="50" t="str">
        <f>IFERROR(XiuYueXiaoShu(IF(J703="","",(J703-基本信息!$B$28)/基本信息!$B$29)*(基本信息!$C$9)/F703/1000*IF(G703="",1,G703),基本信息!$C$11,基本信息!$C$34,1),"")</f>
        <v/>
      </c>
    </row>
    <row r="704" spans="1:11" ht="19.5" customHeight="1">
      <c r="A704" s="46"/>
      <c r="B704" s="47"/>
      <c r="C704" s="46"/>
      <c r="D704" s="46"/>
      <c r="E704" s="46"/>
      <c r="J704" s="44" t="str">
        <f>IFERROR(BaoLiuXiaoShuWei(AVERAGE(H704:I704),2),"")</f>
        <v/>
      </c>
      <c r="K704" s="50" t="str">
        <f>IFERROR(XiuYueXiaoShu(IF(J704="","",(J704-基本信息!$B$28)/基本信息!$B$29)*(基本信息!$C$9)/F704/1000*IF(G704="",1,G704),基本信息!$C$11,基本信息!$C$34,1),"")</f>
        <v/>
      </c>
    </row>
    <row r="705" spans="1:11" ht="19.5" customHeight="1">
      <c r="A705" s="46"/>
      <c r="B705" s="47"/>
      <c r="C705" s="46"/>
      <c r="D705" s="46"/>
      <c r="E705" s="46"/>
      <c r="J705" s="44" t="str">
        <f>IFERROR(BaoLiuXiaoShuWei(AVERAGE(H705:I705),2),"")</f>
        <v/>
      </c>
      <c r="K705" s="50" t="str">
        <f>IFERROR(XiuYueXiaoShu(IF(J705="","",(J705-基本信息!$B$28)/基本信息!$B$29)*(基本信息!$C$9)/F705/1000*IF(G705="",1,G705),基本信息!$C$11,基本信息!$C$34,1),"")</f>
        <v/>
      </c>
    </row>
    <row r="706" spans="1:11" ht="19.5" customHeight="1">
      <c r="A706" s="46"/>
      <c r="B706" s="47"/>
      <c r="C706" s="46"/>
      <c r="D706" s="46"/>
      <c r="E706" s="46"/>
      <c r="J706" s="44" t="str">
        <f>IFERROR(BaoLiuXiaoShuWei(AVERAGE(H706:I706),2),"")</f>
        <v/>
      </c>
      <c r="K706" s="50" t="str">
        <f>IFERROR(XiuYueXiaoShu(IF(J706="","",(J706-基本信息!$B$28)/基本信息!$B$29)*(基本信息!$C$9)/F706/1000*IF(G706="",1,G706),基本信息!$C$11,基本信息!$C$34,1),"")</f>
        <v/>
      </c>
    </row>
    <row r="707" spans="1:11" ht="19.5" customHeight="1">
      <c r="A707" s="46"/>
      <c r="B707" s="47"/>
      <c r="C707" s="46"/>
      <c r="D707" s="46"/>
      <c r="E707" s="46"/>
      <c r="J707" s="44" t="str">
        <f>IFERROR(BaoLiuXiaoShuWei(AVERAGE(H707:I707),2),"")</f>
        <v/>
      </c>
      <c r="K707" s="50" t="str">
        <f>IFERROR(XiuYueXiaoShu(IF(J707="","",(J707-基本信息!$B$28)/基本信息!$B$29)*(基本信息!$C$9)/F707/1000*IF(G707="",1,G707),基本信息!$C$11,基本信息!$C$34,1),"")</f>
        <v/>
      </c>
    </row>
    <row r="708" spans="1:11" ht="19.5" customHeight="1">
      <c r="A708" s="46"/>
      <c r="B708" s="47"/>
      <c r="C708" s="46"/>
      <c r="D708" s="46"/>
      <c r="E708" s="46"/>
      <c r="J708" s="44" t="str">
        <f>IFERROR(BaoLiuXiaoShuWei(AVERAGE(H708:I708),2),"")</f>
        <v/>
      </c>
      <c r="K708" s="50" t="str">
        <f>IFERROR(XiuYueXiaoShu(IF(J708="","",(J708-基本信息!$B$28)/基本信息!$B$29)*(基本信息!$C$9)/F708/1000*IF(G708="",1,G708),基本信息!$C$11,基本信息!$C$34,1),"")</f>
        <v/>
      </c>
    </row>
    <row r="709" spans="1:11" ht="19.5" customHeight="1">
      <c r="A709" s="46"/>
      <c r="B709" s="47"/>
      <c r="C709" s="46"/>
      <c r="D709" s="46"/>
      <c r="E709" s="46"/>
      <c r="J709" s="44" t="str">
        <f>IFERROR(BaoLiuXiaoShuWei(AVERAGE(H709:I709),2),"")</f>
        <v/>
      </c>
      <c r="K709" s="50" t="str">
        <f>IFERROR(XiuYueXiaoShu(IF(J709="","",(J709-基本信息!$B$28)/基本信息!$B$29)*(基本信息!$C$9)/F709/1000*IF(G709="",1,G709),基本信息!$C$11,基本信息!$C$34,1),"")</f>
        <v/>
      </c>
    </row>
    <row r="710" spans="1:11" ht="19.5" customHeight="1">
      <c r="A710" s="46"/>
      <c r="B710" s="47"/>
      <c r="C710" s="46"/>
      <c r="D710" s="46"/>
      <c r="E710" s="46"/>
      <c r="J710" s="44" t="str">
        <f>IFERROR(BaoLiuXiaoShuWei(AVERAGE(H710:I710),2),"")</f>
        <v/>
      </c>
      <c r="K710" s="50" t="str">
        <f>IFERROR(XiuYueXiaoShu(IF(J710="","",(J710-基本信息!$B$28)/基本信息!$B$29)*(基本信息!$C$9)/F710/1000*IF(G710="",1,G710),基本信息!$C$11,基本信息!$C$34,1),"")</f>
        <v/>
      </c>
    </row>
    <row r="711" spans="1:11" ht="19.5" customHeight="1">
      <c r="A711" s="46"/>
      <c r="B711" s="47"/>
      <c r="C711" s="46"/>
      <c r="D711" s="46"/>
      <c r="E711" s="46"/>
      <c r="J711" s="44" t="str">
        <f>IFERROR(BaoLiuXiaoShuWei(AVERAGE(H711:I711),2),"")</f>
        <v/>
      </c>
      <c r="K711" s="50" t="str">
        <f>IFERROR(XiuYueXiaoShu(IF(J711="","",(J711-基本信息!$B$28)/基本信息!$B$29)*(基本信息!$C$9)/F711/1000*IF(G711="",1,G711),基本信息!$C$11,基本信息!$C$34,1),"")</f>
        <v/>
      </c>
    </row>
    <row r="712" spans="1:11" ht="19.5" customHeight="1">
      <c r="A712" s="46"/>
      <c r="B712" s="47"/>
      <c r="C712" s="46"/>
      <c r="D712" s="46"/>
      <c r="E712" s="46"/>
      <c r="J712" s="44" t="str">
        <f>IFERROR(BaoLiuXiaoShuWei(AVERAGE(H712:I712),2),"")</f>
        <v/>
      </c>
      <c r="K712" s="50" t="str">
        <f>IFERROR(XiuYueXiaoShu(IF(J712="","",(J712-基本信息!$B$28)/基本信息!$B$29)*(基本信息!$C$9)/F712/1000*IF(G712="",1,G712),基本信息!$C$11,基本信息!$C$34,1),"")</f>
        <v/>
      </c>
    </row>
    <row r="713" spans="1:11" ht="19.5" customHeight="1">
      <c r="A713" s="46"/>
      <c r="B713" s="47"/>
      <c r="C713" s="46"/>
      <c r="D713" s="46"/>
      <c r="E713" s="46"/>
      <c r="J713" s="44" t="str">
        <f>IFERROR(BaoLiuXiaoShuWei(AVERAGE(H713:I713),2),"")</f>
        <v/>
      </c>
      <c r="K713" s="50" t="str">
        <f>IFERROR(XiuYueXiaoShu(IF(J713="","",(J713-基本信息!$B$28)/基本信息!$B$29)*(基本信息!$C$9)/F713/1000*IF(G713="",1,G713),基本信息!$C$11,基本信息!$C$34,1),"")</f>
        <v/>
      </c>
    </row>
    <row r="714" spans="1:11" ht="19.5" customHeight="1">
      <c r="A714" s="46"/>
      <c r="B714" s="47"/>
      <c r="C714" s="46"/>
      <c r="D714" s="46"/>
      <c r="E714" s="46"/>
      <c r="J714" s="44" t="str">
        <f>IFERROR(BaoLiuXiaoShuWei(AVERAGE(H714:I714),2),"")</f>
        <v/>
      </c>
      <c r="K714" s="50" t="str">
        <f>IFERROR(XiuYueXiaoShu(IF(J714="","",(J714-基本信息!$B$28)/基本信息!$B$29)*(基本信息!$C$9)/F714/1000*IF(G714="",1,G714),基本信息!$C$11,基本信息!$C$34,1),"")</f>
        <v/>
      </c>
    </row>
    <row r="715" spans="1:11" ht="19.5" customHeight="1">
      <c r="A715" s="46"/>
      <c r="B715" s="47"/>
      <c r="C715" s="46"/>
      <c r="D715" s="46"/>
      <c r="E715" s="46"/>
      <c r="J715" s="44" t="str">
        <f>IFERROR(BaoLiuXiaoShuWei(AVERAGE(H715:I715),2),"")</f>
        <v/>
      </c>
      <c r="K715" s="50" t="str">
        <f>IFERROR(XiuYueXiaoShu(IF(J715="","",(J715-基本信息!$B$28)/基本信息!$B$29)*(基本信息!$C$9)/F715/1000*IF(G715="",1,G715),基本信息!$C$11,基本信息!$C$34,1),"")</f>
        <v/>
      </c>
    </row>
    <row r="716" spans="1:11" ht="19.5" customHeight="1">
      <c r="A716" s="46"/>
      <c r="B716" s="47"/>
      <c r="C716" s="46"/>
      <c r="D716" s="46"/>
      <c r="E716" s="46"/>
      <c r="J716" s="44" t="str">
        <f>IFERROR(BaoLiuXiaoShuWei(AVERAGE(H716:I716),2),"")</f>
        <v/>
      </c>
      <c r="K716" s="50" t="str">
        <f>IFERROR(XiuYueXiaoShu(IF(J716="","",(J716-基本信息!$B$28)/基本信息!$B$29)*(基本信息!$C$9)/F716/1000*IF(G716="",1,G716),基本信息!$C$11,基本信息!$C$34,1),"")</f>
        <v/>
      </c>
    </row>
    <row r="717" spans="1:11" ht="19.5" customHeight="1">
      <c r="A717" s="46"/>
      <c r="B717" s="47"/>
      <c r="C717" s="46"/>
      <c r="D717" s="46"/>
      <c r="E717" s="46"/>
      <c r="J717" s="44" t="str">
        <f>IFERROR(BaoLiuXiaoShuWei(AVERAGE(H717:I717),2),"")</f>
        <v/>
      </c>
      <c r="K717" s="50" t="str">
        <f>IFERROR(XiuYueXiaoShu(IF(J717="","",(J717-基本信息!$B$28)/基本信息!$B$29)*(基本信息!$C$9)/F717/1000*IF(G717="",1,G717),基本信息!$C$11,基本信息!$C$34,1),"")</f>
        <v/>
      </c>
    </row>
    <row r="718" spans="1:11" ht="19.5" customHeight="1">
      <c r="A718" s="46"/>
      <c r="B718" s="47"/>
      <c r="C718" s="46"/>
      <c r="D718" s="46"/>
      <c r="E718" s="46"/>
      <c r="J718" s="44" t="str">
        <f>IFERROR(BaoLiuXiaoShuWei(AVERAGE(H718:I718),2),"")</f>
        <v/>
      </c>
      <c r="K718" s="50" t="str">
        <f>IFERROR(XiuYueXiaoShu(IF(J718="","",(J718-基本信息!$B$28)/基本信息!$B$29)*(基本信息!$C$9)/F718/1000*IF(G718="",1,G718),基本信息!$C$11,基本信息!$C$34,1),"")</f>
        <v/>
      </c>
    </row>
    <row r="719" spans="1:11" ht="19.5" customHeight="1">
      <c r="A719" s="46"/>
      <c r="B719" s="47"/>
      <c r="C719" s="46"/>
      <c r="D719" s="46"/>
      <c r="E719" s="46"/>
      <c r="J719" s="44" t="str">
        <f>IFERROR(BaoLiuXiaoShuWei(AVERAGE(H719:I719),2),"")</f>
        <v/>
      </c>
      <c r="K719" s="50" t="str">
        <f>IFERROR(XiuYueXiaoShu(IF(J719="","",(J719-基本信息!$B$28)/基本信息!$B$29)*(基本信息!$C$9)/F719/1000*IF(G719="",1,G719),基本信息!$C$11,基本信息!$C$34,1),"")</f>
        <v/>
      </c>
    </row>
    <row r="720" spans="1:11" ht="19.5" customHeight="1">
      <c r="A720" s="46"/>
      <c r="B720" s="47"/>
      <c r="C720" s="46"/>
      <c r="D720" s="46"/>
      <c r="E720" s="46"/>
      <c r="J720" s="44" t="str">
        <f>IFERROR(BaoLiuXiaoShuWei(AVERAGE(H720:I720),2),"")</f>
        <v/>
      </c>
      <c r="K720" s="50" t="str">
        <f>IFERROR(XiuYueXiaoShu(IF(J720="","",(J720-基本信息!$B$28)/基本信息!$B$29)*(基本信息!$C$9)/F720/1000*IF(G720="",1,G720),基本信息!$C$11,基本信息!$C$34,1),"")</f>
        <v/>
      </c>
    </row>
    <row r="721" spans="1:11" ht="19.5" customHeight="1">
      <c r="A721" s="46"/>
      <c r="B721" s="47"/>
      <c r="C721" s="46"/>
      <c r="D721" s="46"/>
      <c r="E721" s="46"/>
      <c r="J721" s="44" t="str">
        <f>IFERROR(BaoLiuXiaoShuWei(AVERAGE(H721:I721),2),"")</f>
        <v/>
      </c>
      <c r="K721" s="50" t="str">
        <f>IFERROR(XiuYueXiaoShu(IF(J721="","",(J721-基本信息!$B$28)/基本信息!$B$29)*(基本信息!$C$9)/F721/1000*IF(G721="",1,G721),基本信息!$C$11,基本信息!$C$34,1),"")</f>
        <v/>
      </c>
    </row>
    <row r="722" spans="1:11" ht="19.5" customHeight="1">
      <c r="A722" s="46"/>
      <c r="B722" s="47"/>
      <c r="C722" s="46"/>
      <c r="D722" s="46"/>
      <c r="E722" s="46"/>
      <c r="J722" s="44" t="str">
        <f>IFERROR(BaoLiuXiaoShuWei(AVERAGE(H722:I722),2),"")</f>
        <v/>
      </c>
      <c r="K722" s="50" t="str">
        <f>IFERROR(XiuYueXiaoShu(IF(J722="","",(J722-基本信息!$B$28)/基本信息!$B$29)*(基本信息!$C$9)/F722/1000*IF(G722="",1,G722),基本信息!$C$11,基本信息!$C$34,1),"")</f>
        <v/>
      </c>
    </row>
    <row r="723" spans="1:11" ht="19.5" customHeight="1">
      <c r="A723" s="46"/>
      <c r="B723" s="47"/>
      <c r="C723" s="46"/>
      <c r="D723" s="46"/>
      <c r="E723" s="46"/>
      <c r="J723" s="44" t="str">
        <f>IFERROR(BaoLiuXiaoShuWei(AVERAGE(H723:I723),2),"")</f>
        <v/>
      </c>
      <c r="K723" s="50" t="str">
        <f>IFERROR(XiuYueXiaoShu(IF(J723="","",(J723-基本信息!$B$28)/基本信息!$B$29)*(基本信息!$C$9)/F723/1000*IF(G723="",1,G723),基本信息!$C$11,基本信息!$C$34,1),"")</f>
        <v/>
      </c>
    </row>
    <row r="724" spans="1:11" ht="19.5" customHeight="1">
      <c r="A724" s="46"/>
      <c r="B724" s="47"/>
      <c r="C724" s="46"/>
      <c r="D724" s="46"/>
      <c r="E724" s="46"/>
      <c r="J724" s="44" t="str">
        <f>IFERROR(BaoLiuXiaoShuWei(AVERAGE(H724:I724),2),"")</f>
        <v/>
      </c>
      <c r="K724" s="50" t="str">
        <f>IFERROR(XiuYueXiaoShu(IF(J724="","",(J724-基本信息!$B$28)/基本信息!$B$29)*(基本信息!$C$9)/F724/1000*IF(G724="",1,G724),基本信息!$C$11,基本信息!$C$34,1),"")</f>
        <v/>
      </c>
    </row>
    <row r="725" spans="1:11" ht="19.5" customHeight="1">
      <c r="A725" s="46"/>
      <c r="B725" s="47"/>
      <c r="C725" s="46"/>
      <c r="D725" s="46"/>
      <c r="E725" s="46"/>
      <c r="J725" s="44" t="str">
        <f>IFERROR(BaoLiuXiaoShuWei(AVERAGE(H725:I725),2),"")</f>
        <v/>
      </c>
      <c r="K725" s="50" t="str">
        <f>IFERROR(XiuYueXiaoShu(IF(J725="","",(J725-基本信息!$B$28)/基本信息!$B$29)*(基本信息!$C$9)/F725/1000*IF(G725="",1,G725),基本信息!$C$11,基本信息!$C$34,1),"")</f>
        <v/>
      </c>
    </row>
    <row r="726" spans="1:11" ht="19.5" customHeight="1">
      <c r="A726" s="46"/>
      <c r="B726" s="47"/>
      <c r="C726" s="46"/>
      <c r="D726" s="46"/>
      <c r="E726" s="46"/>
      <c r="J726" s="44" t="str">
        <f>IFERROR(BaoLiuXiaoShuWei(AVERAGE(H726:I726),2),"")</f>
        <v/>
      </c>
      <c r="K726" s="50" t="str">
        <f>IFERROR(XiuYueXiaoShu(IF(J726="","",(J726-基本信息!$B$28)/基本信息!$B$29)*(基本信息!$C$9)/F726/1000*IF(G726="",1,G726),基本信息!$C$11,基本信息!$C$34,1),"")</f>
        <v/>
      </c>
    </row>
    <row r="727" spans="1:11" ht="19.5" customHeight="1">
      <c r="A727" s="46"/>
      <c r="B727" s="47"/>
      <c r="C727" s="46"/>
      <c r="D727" s="46"/>
      <c r="E727" s="46"/>
      <c r="J727" s="44" t="str">
        <f>IFERROR(BaoLiuXiaoShuWei(AVERAGE(H727:I727),2),"")</f>
        <v/>
      </c>
      <c r="K727" s="50" t="str">
        <f>IFERROR(XiuYueXiaoShu(IF(J727="","",(J727-基本信息!$B$28)/基本信息!$B$29)*(基本信息!$C$9)/F727/1000*IF(G727="",1,G727),基本信息!$C$11,基本信息!$C$34,1),"")</f>
        <v/>
      </c>
    </row>
    <row r="728" spans="1:11" ht="19.5" customHeight="1">
      <c r="A728" s="46"/>
      <c r="B728" s="47"/>
      <c r="C728" s="46"/>
      <c r="D728" s="46"/>
      <c r="E728" s="46"/>
      <c r="J728" s="44" t="str">
        <f>IFERROR(BaoLiuXiaoShuWei(AVERAGE(H728:I728),2),"")</f>
        <v/>
      </c>
      <c r="K728" s="50" t="str">
        <f>IFERROR(XiuYueXiaoShu(IF(J728="","",(J728-基本信息!$B$28)/基本信息!$B$29)*(基本信息!$C$9)/F728/1000*IF(G728="",1,G728),基本信息!$C$11,基本信息!$C$34,1),"")</f>
        <v/>
      </c>
    </row>
    <row r="729" spans="1:11" ht="19.5" customHeight="1">
      <c r="A729" s="46"/>
      <c r="B729" s="47"/>
      <c r="C729" s="46"/>
      <c r="D729" s="46"/>
      <c r="E729" s="46"/>
      <c r="J729" s="44" t="str">
        <f>IFERROR(BaoLiuXiaoShuWei(AVERAGE(H729:I729),2),"")</f>
        <v/>
      </c>
      <c r="K729" s="50" t="str">
        <f>IFERROR(XiuYueXiaoShu(IF(J729="","",(J729-基本信息!$B$28)/基本信息!$B$29)*(基本信息!$C$9)/F729/1000*IF(G729="",1,G729),基本信息!$C$11,基本信息!$C$34,1),"")</f>
        <v/>
      </c>
    </row>
    <row r="730" spans="1:11" ht="19.5" customHeight="1">
      <c r="A730" s="46"/>
      <c r="B730" s="47"/>
      <c r="C730" s="46"/>
      <c r="D730" s="46"/>
      <c r="E730" s="46"/>
      <c r="J730" s="44" t="str">
        <f>IFERROR(BaoLiuXiaoShuWei(AVERAGE(H730:I730),2),"")</f>
        <v/>
      </c>
      <c r="K730" s="50" t="str">
        <f>IFERROR(XiuYueXiaoShu(IF(J730="","",(J730-基本信息!$B$28)/基本信息!$B$29)*(基本信息!$C$9)/F730/1000*IF(G730="",1,G730),基本信息!$C$11,基本信息!$C$34,1),"")</f>
        <v/>
      </c>
    </row>
    <row r="731" spans="1:11" ht="19.5" customHeight="1">
      <c r="A731" s="46"/>
      <c r="B731" s="47"/>
      <c r="C731" s="46"/>
      <c r="D731" s="46"/>
      <c r="E731" s="46"/>
      <c r="J731" s="44" t="str">
        <f>IFERROR(BaoLiuXiaoShuWei(AVERAGE(H731:I731),2),"")</f>
        <v/>
      </c>
      <c r="K731" s="50" t="str">
        <f>IFERROR(XiuYueXiaoShu(IF(J731="","",(J731-基本信息!$B$28)/基本信息!$B$29)*(基本信息!$C$9)/F731/1000*IF(G731="",1,G731),基本信息!$C$11,基本信息!$C$34,1),"")</f>
        <v/>
      </c>
    </row>
    <row r="732" spans="1:11" ht="19.5" customHeight="1">
      <c r="A732" s="46"/>
      <c r="B732" s="47"/>
      <c r="C732" s="46"/>
      <c r="D732" s="46"/>
      <c r="E732" s="46"/>
      <c r="J732" s="44" t="str">
        <f>IFERROR(BaoLiuXiaoShuWei(AVERAGE(H732:I732),2),"")</f>
        <v/>
      </c>
      <c r="K732" s="50" t="str">
        <f>IFERROR(XiuYueXiaoShu(IF(J732="","",(J732-基本信息!$B$28)/基本信息!$B$29)*(基本信息!$C$9)/F732/1000*IF(G732="",1,G732),基本信息!$C$11,基本信息!$C$34,1),"")</f>
        <v/>
      </c>
    </row>
    <row r="733" spans="1:11" ht="19.5" customHeight="1">
      <c r="A733" s="46"/>
      <c r="B733" s="47"/>
      <c r="C733" s="46"/>
      <c r="D733" s="46"/>
      <c r="E733" s="46"/>
      <c r="J733" s="44" t="str">
        <f>IFERROR(BaoLiuXiaoShuWei(AVERAGE(H733:I733),2),"")</f>
        <v/>
      </c>
      <c r="K733" s="50" t="str">
        <f>IFERROR(XiuYueXiaoShu(IF(J733="","",(J733-基本信息!$B$28)/基本信息!$B$29)*(基本信息!$C$9)/F733/1000*IF(G733="",1,G733),基本信息!$C$11,基本信息!$C$34,1),"")</f>
        <v/>
      </c>
    </row>
    <row r="734" spans="1:11" ht="19.5" customHeight="1">
      <c r="A734" s="46"/>
      <c r="B734" s="47"/>
      <c r="C734" s="46"/>
      <c r="D734" s="46"/>
      <c r="E734" s="46"/>
      <c r="J734" s="44" t="str">
        <f>IFERROR(BaoLiuXiaoShuWei(AVERAGE(H734:I734),2),"")</f>
        <v/>
      </c>
      <c r="K734" s="50" t="str">
        <f>IFERROR(XiuYueXiaoShu(IF(J734="","",(J734-基本信息!$B$28)/基本信息!$B$29)*(基本信息!$C$9)/F734/1000*IF(G734="",1,G734),基本信息!$C$11,基本信息!$C$34,1),"")</f>
        <v/>
      </c>
    </row>
    <row r="735" spans="1:11" ht="19.5" customHeight="1">
      <c r="A735" s="46"/>
      <c r="B735" s="47"/>
      <c r="C735" s="46"/>
      <c r="D735" s="46"/>
      <c r="E735" s="46"/>
      <c r="J735" s="44" t="str">
        <f>IFERROR(BaoLiuXiaoShuWei(AVERAGE(H735:I735),2),"")</f>
        <v/>
      </c>
      <c r="K735" s="50" t="str">
        <f>IFERROR(XiuYueXiaoShu(IF(J735="","",(J735-基本信息!$B$28)/基本信息!$B$29)*(基本信息!$C$9)/F735/1000*IF(G735="",1,G735),基本信息!$C$11,基本信息!$C$34,1),"")</f>
        <v/>
      </c>
    </row>
    <row r="736" spans="1:11" ht="19.5" customHeight="1">
      <c r="A736" s="46"/>
      <c r="B736" s="47"/>
      <c r="C736" s="46"/>
      <c r="D736" s="46"/>
      <c r="E736" s="46"/>
      <c r="J736" s="44" t="str">
        <f>IFERROR(BaoLiuXiaoShuWei(AVERAGE(H736:I736),2),"")</f>
        <v/>
      </c>
      <c r="K736" s="50" t="str">
        <f>IFERROR(XiuYueXiaoShu(IF(J736="","",(J736-基本信息!$B$28)/基本信息!$B$29)*(基本信息!$C$9)/F736/1000*IF(G736="",1,G736),基本信息!$C$11,基本信息!$C$34,1),"")</f>
        <v/>
      </c>
    </row>
    <row r="737" spans="1:11" ht="19.5" customHeight="1">
      <c r="A737" s="46"/>
      <c r="B737" s="47"/>
      <c r="C737" s="46"/>
      <c r="D737" s="46"/>
      <c r="E737" s="46"/>
      <c r="J737" s="44" t="str">
        <f>IFERROR(BaoLiuXiaoShuWei(AVERAGE(H737:I737),2),"")</f>
        <v/>
      </c>
      <c r="K737" s="50" t="str">
        <f>IFERROR(XiuYueXiaoShu(IF(J737="","",(J737-基本信息!$B$28)/基本信息!$B$29)*(基本信息!$C$9)/F737/1000*IF(G737="",1,G737),基本信息!$C$11,基本信息!$C$34,1),"")</f>
        <v/>
      </c>
    </row>
    <row r="738" spans="1:11" ht="19.5" customHeight="1">
      <c r="A738" s="46"/>
      <c r="B738" s="47"/>
      <c r="C738" s="46"/>
      <c r="D738" s="46"/>
      <c r="E738" s="46"/>
      <c r="J738" s="44" t="str">
        <f>IFERROR(BaoLiuXiaoShuWei(AVERAGE(H738:I738),2),"")</f>
        <v/>
      </c>
      <c r="K738" s="50" t="str">
        <f>IFERROR(XiuYueXiaoShu(IF(J738="","",(J738-基本信息!$B$28)/基本信息!$B$29)*(基本信息!$C$9)/F738/1000*IF(G738="",1,G738),基本信息!$C$11,基本信息!$C$34,1),"")</f>
        <v/>
      </c>
    </row>
    <row r="739" spans="1:11" ht="19.5" customHeight="1">
      <c r="A739" s="46"/>
      <c r="B739" s="47"/>
      <c r="C739" s="46"/>
      <c r="D739" s="46"/>
      <c r="E739" s="46"/>
      <c r="J739" s="44" t="str">
        <f>IFERROR(BaoLiuXiaoShuWei(AVERAGE(H739:I739),2),"")</f>
        <v/>
      </c>
      <c r="K739" s="50" t="str">
        <f>IFERROR(XiuYueXiaoShu(IF(J739="","",(J739-基本信息!$B$28)/基本信息!$B$29)*(基本信息!$C$9)/F739/1000*IF(G739="",1,G739),基本信息!$C$11,基本信息!$C$34,1),"")</f>
        <v/>
      </c>
    </row>
    <row r="740" spans="1:11" ht="19.5" customHeight="1">
      <c r="A740" s="46"/>
      <c r="B740" s="47"/>
      <c r="C740" s="46"/>
      <c r="D740" s="46"/>
      <c r="E740" s="46"/>
      <c r="J740" s="44" t="str">
        <f>IFERROR(BaoLiuXiaoShuWei(AVERAGE(H740:I740),2),"")</f>
        <v/>
      </c>
      <c r="K740" s="50" t="str">
        <f>IFERROR(XiuYueXiaoShu(IF(J740="","",(J740-基本信息!$B$28)/基本信息!$B$29)*(基本信息!$C$9)/F740/1000*IF(G740="",1,G740),基本信息!$C$11,基本信息!$C$34,1),"")</f>
        <v/>
      </c>
    </row>
    <row r="741" spans="1:11" ht="19.5" customHeight="1">
      <c r="A741" s="46"/>
      <c r="B741" s="47"/>
      <c r="C741" s="46"/>
      <c r="D741" s="46"/>
      <c r="E741" s="46"/>
      <c r="J741" s="44" t="str">
        <f>IFERROR(BaoLiuXiaoShuWei(AVERAGE(H741:I741),2),"")</f>
        <v/>
      </c>
      <c r="K741" s="50" t="str">
        <f>IFERROR(XiuYueXiaoShu(IF(J741="","",(J741-基本信息!$B$28)/基本信息!$B$29)*(基本信息!$C$9)/F741/1000*IF(G741="",1,G741),基本信息!$C$11,基本信息!$C$34,1),"")</f>
        <v/>
      </c>
    </row>
    <row r="742" spans="1:11" ht="19.5" customHeight="1">
      <c r="A742" s="46"/>
      <c r="B742" s="47"/>
      <c r="C742" s="46"/>
      <c r="D742" s="46"/>
      <c r="E742" s="46"/>
      <c r="J742" s="44" t="str">
        <f>IFERROR(BaoLiuXiaoShuWei(AVERAGE(H742:I742),2),"")</f>
        <v/>
      </c>
      <c r="K742" s="50" t="str">
        <f>IFERROR(XiuYueXiaoShu(IF(J742="","",(J742-基本信息!$B$28)/基本信息!$B$29)*(基本信息!$C$9)/F742/1000*IF(G742="",1,G742),基本信息!$C$11,基本信息!$C$34,1),"")</f>
        <v/>
      </c>
    </row>
    <row r="743" spans="1:11" ht="19.5" customHeight="1">
      <c r="A743" s="46"/>
      <c r="B743" s="47"/>
      <c r="C743" s="46"/>
      <c r="D743" s="46"/>
      <c r="E743" s="46"/>
      <c r="J743" s="44" t="str">
        <f>IFERROR(BaoLiuXiaoShuWei(AVERAGE(H743:I743),2),"")</f>
        <v/>
      </c>
      <c r="K743" s="50" t="str">
        <f>IFERROR(XiuYueXiaoShu(IF(J743="","",(J743-基本信息!$B$28)/基本信息!$B$29)*(基本信息!$C$9)/F743/1000*IF(G743="",1,G743),基本信息!$C$11,基本信息!$C$34,1),"")</f>
        <v/>
      </c>
    </row>
    <row r="744" spans="1:11" ht="19.5" customHeight="1">
      <c r="A744" s="46"/>
      <c r="B744" s="47"/>
      <c r="C744" s="46"/>
      <c r="D744" s="46"/>
      <c r="E744" s="46"/>
      <c r="J744" s="44" t="str">
        <f>IFERROR(BaoLiuXiaoShuWei(AVERAGE(H744:I744),2),"")</f>
        <v/>
      </c>
      <c r="K744" s="50" t="str">
        <f>IFERROR(XiuYueXiaoShu(IF(J744="","",(J744-基本信息!$B$28)/基本信息!$B$29)*(基本信息!$C$9)/F744/1000*IF(G744="",1,G744),基本信息!$C$11,基本信息!$C$34,1),"")</f>
        <v/>
      </c>
    </row>
    <row r="745" spans="1:11" ht="19.5" customHeight="1">
      <c r="A745" s="46"/>
      <c r="B745" s="47"/>
      <c r="C745" s="46"/>
      <c r="D745" s="46"/>
      <c r="E745" s="46"/>
      <c r="J745" s="44" t="str">
        <f>IFERROR(BaoLiuXiaoShuWei(AVERAGE(H745:I745),2),"")</f>
        <v/>
      </c>
      <c r="K745" s="50" t="str">
        <f>IFERROR(XiuYueXiaoShu(IF(J745="","",(J745-基本信息!$B$28)/基本信息!$B$29)*(基本信息!$C$9)/F745/1000*IF(G745="",1,G745),基本信息!$C$11,基本信息!$C$34,1),"")</f>
        <v/>
      </c>
    </row>
    <row r="746" spans="1:11" ht="19.5" customHeight="1">
      <c r="A746" s="46"/>
      <c r="B746" s="47"/>
      <c r="C746" s="46"/>
      <c r="D746" s="46"/>
      <c r="E746" s="46"/>
      <c r="J746" s="44" t="str">
        <f>IFERROR(BaoLiuXiaoShuWei(AVERAGE(H746:I746),2),"")</f>
        <v/>
      </c>
      <c r="K746" s="50" t="str">
        <f>IFERROR(XiuYueXiaoShu(IF(J746="","",(J746-基本信息!$B$28)/基本信息!$B$29)*(基本信息!$C$9)/F746/1000*IF(G746="",1,G746),基本信息!$C$11,基本信息!$C$34,1),"")</f>
        <v/>
      </c>
    </row>
    <row r="747" spans="1:11" ht="19.5" customHeight="1">
      <c r="A747" s="46"/>
      <c r="B747" s="47"/>
      <c r="C747" s="46"/>
      <c r="D747" s="46"/>
      <c r="E747" s="46"/>
      <c r="J747" s="44" t="str">
        <f>IFERROR(BaoLiuXiaoShuWei(AVERAGE(H747:I747),2),"")</f>
        <v/>
      </c>
      <c r="K747" s="50" t="str">
        <f>IFERROR(XiuYueXiaoShu(IF(J747="","",(J747-基本信息!$B$28)/基本信息!$B$29)*(基本信息!$C$9)/F747/1000*IF(G747="",1,G747),基本信息!$C$11,基本信息!$C$34,1),"")</f>
        <v/>
      </c>
    </row>
    <row r="748" spans="1:11" ht="19.5" customHeight="1">
      <c r="A748" s="46"/>
      <c r="B748" s="47"/>
      <c r="C748" s="46"/>
      <c r="D748" s="46"/>
      <c r="E748" s="46"/>
      <c r="J748" s="44" t="str">
        <f>IFERROR(BaoLiuXiaoShuWei(AVERAGE(H748:I748),2),"")</f>
        <v/>
      </c>
      <c r="K748" s="50" t="str">
        <f>IFERROR(XiuYueXiaoShu(IF(J748="","",(J748-基本信息!$B$28)/基本信息!$B$29)*(基本信息!$C$9)/F748/1000*IF(G748="",1,G748),基本信息!$C$11,基本信息!$C$34,1),"")</f>
        <v/>
      </c>
    </row>
    <row r="749" spans="1:11" ht="19.5" customHeight="1">
      <c r="A749" s="46"/>
      <c r="B749" s="47"/>
      <c r="C749" s="46"/>
      <c r="D749" s="46"/>
      <c r="E749" s="46"/>
      <c r="J749" s="44" t="str">
        <f>IFERROR(BaoLiuXiaoShuWei(AVERAGE(H749:I749),2),"")</f>
        <v/>
      </c>
      <c r="K749" s="50" t="str">
        <f>IFERROR(XiuYueXiaoShu(IF(J749="","",(J749-基本信息!$B$28)/基本信息!$B$29)*(基本信息!$C$9)/F749/1000*IF(G749="",1,G749),基本信息!$C$11,基本信息!$C$34,1),"")</f>
        <v/>
      </c>
    </row>
    <row r="750" spans="1:11" ht="19.5" customHeight="1">
      <c r="A750" s="46"/>
      <c r="B750" s="47"/>
      <c r="C750" s="46"/>
      <c r="D750" s="46"/>
      <c r="E750" s="46"/>
      <c r="J750" s="44" t="str">
        <f>IFERROR(BaoLiuXiaoShuWei(AVERAGE(H750:I750),2),"")</f>
        <v/>
      </c>
      <c r="K750" s="50" t="str">
        <f>IFERROR(XiuYueXiaoShu(IF(J750="","",(J750-基本信息!$B$28)/基本信息!$B$29)*(基本信息!$C$9)/F750/1000*IF(G750="",1,G750),基本信息!$C$11,基本信息!$C$34,1),"")</f>
        <v/>
      </c>
    </row>
    <row r="751" spans="1:11" ht="19.5" customHeight="1">
      <c r="A751" s="46"/>
      <c r="B751" s="47"/>
      <c r="C751" s="46"/>
      <c r="D751" s="46"/>
      <c r="E751" s="46"/>
      <c r="J751" s="44" t="str">
        <f>IFERROR(BaoLiuXiaoShuWei(AVERAGE(H751:I751),2),"")</f>
        <v/>
      </c>
      <c r="K751" s="50" t="str">
        <f>IFERROR(XiuYueXiaoShu(IF(J751="","",(J751-基本信息!$B$28)/基本信息!$B$29)*(基本信息!$C$9)/F751/1000*IF(G751="",1,G751),基本信息!$C$11,基本信息!$C$34,1),"")</f>
        <v/>
      </c>
    </row>
    <row r="752" spans="1:11" ht="19.5" customHeight="1">
      <c r="A752" s="46"/>
      <c r="B752" s="47"/>
      <c r="C752" s="46"/>
      <c r="D752" s="46"/>
      <c r="E752" s="46"/>
      <c r="J752" s="44" t="str">
        <f>IFERROR(BaoLiuXiaoShuWei(AVERAGE(H752:I752),2),"")</f>
        <v/>
      </c>
      <c r="K752" s="50" t="str">
        <f>IFERROR(XiuYueXiaoShu(IF(J752="","",(J752-基本信息!$B$28)/基本信息!$B$29)*(基本信息!$C$9)/F752/1000*IF(G752="",1,G752),基本信息!$C$11,基本信息!$C$34,1),"")</f>
        <v/>
      </c>
    </row>
    <row r="753" spans="1:11" ht="19.5" customHeight="1">
      <c r="A753" s="46"/>
      <c r="B753" s="47"/>
      <c r="C753" s="46"/>
      <c r="D753" s="46"/>
      <c r="E753" s="46"/>
      <c r="J753" s="44" t="str">
        <f>IFERROR(BaoLiuXiaoShuWei(AVERAGE(H753:I753),2),"")</f>
        <v/>
      </c>
      <c r="K753" s="50" t="str">
        <f>IFERROR(XiuYueXiaoShu(IF(J753="","",(J753-基本信息!$B$28)/基本信息!$B$29)*(基本信息!$C$9)/F753/1000*IF(G753="",1,G753),基本信息!$C$11,基本信息!$C$34,1),"")</f>
        <v/>
      </c>
    </row>
    <row r="754" spans="1:11" ht="19.5" customHeight="1">
      <c r="A754" s="46"/>
      <c r="B754" s="47"/>
      <c r="C754" s="46"/>
      <c r="D754" s="46"/>
      <c r="E754" s="46"/>
      <c r="J754" s="44" t="str">
        <f>IFERROR(BaoLiuXiaoShuWei(AVERAGE(H754:I754),2),"")</f>
        <v/>
      </c>
      <c r="K754" s="50" t="str">
        <f>IFERROR(XiuYueXiaoShu(IF(J754="","",(J754-基本信息!$B$28)/基本信息!$B$29)*(基本信息!$C$9)/F754/1000*IF(G754="",1,G754),基本信息!$C$11,基本信息!$C$34,1),"")</f>
        <v/>
      </c>
    </row>
    <row r="755" spans="1:11" ht="19.5" customHeight="1">
      <c r="A755" s="46"/>
      <c r="B755" s="47"/>
      <c r="C755" s="46"/>
      <c r="D755" s="46"/>
      <c r="E755" s="46"/>
      <c r="J755" s="44" t="str">
        <f>IFERROR(BaoLiuXiaoShuWei(AVERAGE(H755:I755),2),"")</f>
        <v/>
      </c>
      <c r="K755" s="50" t="str">
        <f>IFERROR(XiuYueXiaoShu(IF(J755="","",(J755-基本信息!$B$28)/基本信息!$B$29)*(基本信息!$C$9)/F755/1000*IF(G755="",1,G755),基本信息!$C$11,基本信息!$C$34,1),"")</f>
        <v/>
      </c>
    </row>
    <row r="756" spans="1:11" ht="19.5" customHeight="1">
      <c r="A756" s="46"/>
      <c r="B756" s="47"/>
      <c r="C756" s="46"/>
      <c r="D756" s="46"/>
      <c r="E756" s="46"/>
      <c r="J756" s="44" t="str">
        <f>IFERROR(BaoLiuXiaoShuWei(AVERAGE(H756:I756),2),"")</f>
        <v/>
      </c>
      <c r="K756" s="50" t="str">
        <f>IFERROR(XiuYueXiaoShu(IF(J756="","",(J756-基本信息!$B$28)/基本信息!$B$29)*(基本信息!$C$9)/F756/1000*IF(G756="",1,G756),基本信息!$C$11,基本信息!$C$34,1),"")</f>
        <v/>
      </c>
    </row>
    <row r="757" spans="1:11" ht="19.5" customHeight="1">
      <c r="A757" s="46"/>
      <c r="B757" s="47"/>
      <c r="C757" s="46"/>
      <c r="D757" s="46"/>
      <c r="E757" s="46"/>
      <c r="J757" s="44" t="str">
        <f>IFERROR(BaoLiuXiaoShuWei(AVERAGE(H757:I757),2),"")</f>
        <v/>
      </c>
      <c r="K757" s="50" t="str">
        <f>IFERROR(XiuYueXiaoShu(IF(J757="","",(J757-基本信息!$B$28)/基本信息!$B$29)*(基本信息!$C$9)/F757/1000*IF(G757="",1,G757),基本信息!$C$11,基本信息!$C$34,1),"")</f>
        <v/>
      </c>
    </row>
    <row r="758" spans="1:11" ht="19.5" customHeight="1">
      <c r="A758" s="46"/>
      <c r="B758" s="47"/>
      <c r="C758" s="46"/>
      <c r="D758" s="46"/>
      <c r="E758" s="46"/>
      <c r="J758" s="44" t="str">
        <f>IFERROR(BaoLiuXiaoShuWei(AVERAGE(H758:I758),2),"")</f>
        <v/>
      </c>
      <c r="K758" s="50" t="str">
        <f>IFERROR(XiuYueXiaoShu(IF(J758="","",(J758-基本信息!$B$28)/基本信息!$B$29)*(基本信息!$C$9)/F758/1000*IF(G758="",1,G758),基本信息!$C$11,基本信息!$C$34,1),"")</f>
        <v/>
      </c>
    </row>
    <row r="759" spans="1:11" ht="19.5" customHeight="1">
      <c r="A759" s="46"/>
      <c r="B759" s="47"/>
      <c r="C759" s="46"/>
      <c r="D759" s="46"/>
      <c r="E759" s="46"/>
      <c r="J759" s="44" t="str">
        <f>IFERROR(BaoLiuXiaoShuWei(AVERAGE(H759:I759),2),"")</f>
        <v/>
      </c>
      <c r="K759" s="50" t="str">
        <f>IFERROR(XiuYueXiaoShu(IF(J759="","",(J759-基本信息!$B$28)/基本信息!$B$29)*(基本信息!$C$9)/F759/1000*IF(G759="",1,G759),基本信息!$C$11,基本信息!$C$34,1),"")</f>
        <v/>
      </c>
    </row>
    <row r="760" spans="1:11" ht="19.5" customHeight="1">
      <c r="A760" s="46"/>
      <c r="B760" s="47"/>
      <c r="C760" s="46"/>
      <c r="D760" s="46"/>
      <c r="E760" s="46"/>
      <c r="J760" s="44" t="str">
        <f>IFERROR(BaoLiuXiaoShuWei(AVERAGE(H760:I760),2),"")</f>
        <v/>
      </c>
      <c r="K760" s="50" t="str">
        <f>IFERROR(XiuYueXiaoShu(IF(J760="","",(J760-基本信息!$B$28)/基本信息!$B$29)*(基本信息!$C$9)/F760/1000*IF(G760="",1,G760),基本信息!$C$11,基本信息!$C$34,1),"")</f>
        <v/>
      </c>
    </row>
    <row r="761" spans="1:11" ht="19.5" customHeight="1">
      <c r="A761" s="46"/>
      <c r="B761" s="47"/>
      <c r="C761" s="46"/>
      <c r="D761" s="46"/>
      <c r="E761" s="46"/>
      <c r="J761" s="44" t="str">
        <f>IFERROR(BaoLiuXiaoShuWei(AVERAGE(H761:I761),2),"")</f>
        <v/>
      </c>
      <c r="K761" s="50" t="str">
        <f>IFERROR(XiuYueXiaoShu(IF(J761="","",(J761-基本信息!$B$28)/基本信息!$B$29)*(基本信息!$C$9)/F761/1000*IF(G761="",1,G761),基本信息!$C$11,基本信息!$C$34,1),"")</f>
        <v/>
      </c>
    </row>
    <row r="762" spans="1:11" ht="19.5" customHeight="1">
      <c r="A762" s="46"/>
      <c r="B762" s="47"/>
      <c r="C762" s="46"/>
      <c r="D762" s="46"/>
      <c r="E762" s="46"/>
      <c r="J762" s="44" t="str">
        <f>IFERROR(BaoLiuXiaoShuWei(AVERAGE(H762:I762),2),"")</f>
        <v/>
      </c>
      <c r="K762" s="50" t="str">
        <f>IFERROR(XiuYueXiaoShu(IF(J762="","",(J762-基本信息!$B$28)/基本信息!$B$29)*(基本信息!$C$9)/F762/1000*IF(G762="",1,G762),基本信息!$C$11,基本信息!$C$34,1),"")</f>
        <v/>
      </c>
    </row>
    <row r="763" spans="1:11" ht="19.5" customHeight="1">
      <c r="A763" s="46"/>
      <c r="B763" s="47"/>
      <c r="C763" s="46"/>
      <c r="D763" s="46"/>
      <c r="E763" s="46"/>
      <c r="J763" s="44" t="str">
        <f>IFERROR(BaoLiuXiaoShuWei(AVERAGE(H763:I763),2),"")</f>
        <v/>
      </c>
      <c r="K763" s="50" t="str">
        <f>IFERROR(XiuYueXiaoShu(IF(J763="","",(J763-基本信息!$B$28)/基本信息!$B$29)*(基本信息!$C$9)/F763/1000*IF(G763="",1,G763),基本信息!$C$11,基本信息!$C$34,1),"")</f>
        <v/>
      </c>
    </row>
    <row r="764" spans="1:11" ht="19.5" customHeight="1">
      <c r="A764" s="46"/>
      <c r="B764" s="47"/>
      <c r="C764" s="46"/>
      <c r="D764" s="46"/>
      <c r="E764" s="46"/>
      <c r="J764" s="44" t="str">
        <f>IFERROR(BaoLiuXiaoShuWei(AVERAGE(H764:I764),2),"")</f>
        <v/>
      </c>
      <c r="K764" s="50" t="str">
        <f>IFERROR(XiuYueXiaoShu(IF(J764="","",(J764-基本信息!$B$28)/基本信息!$B$29)*(基本信息!$C$9)/F764/1000*IF(G764="",1,G764),基本信息!$C$11,基本信息!$C$34,1),"")</f>
        <v/>
      </c>
    </row>
    <row r="765" spans="1:11" ht="19.5" customHeight="1">
      <c r="A765" s="46"/>
      <c r="B765" s="47"/>
      <c r="C765" s="46"/>
      <c r="D765" s="46"/>
      <c r="E765" s="46"/>
      <c r="J765" s="44" t="str">
        <f>IFERROR(BaoLiuXiaoShuWei(AVERAGE(H765:I765),2),"")</f>
        <v/>
      </c>
      <c r="K765" s="50" t="str">
        <f>IFERROR(XiuYueXiaoShu(IF(J765="","",(J765-基本信息!$B$28)/基本信息!$B$29)*(基本信息!$C$9)/F765/1000*IF(G765="",1,G765),基本信息!$C$11,基本信息!$C$34,1),"")</f>
        <v/>
      </c>
    </row>
    <row r="766" spans="1:11" ht="19.5" customHeight="1">
      <c r="A766" s="46"/>
      <c r="B766" s="47"/>
      <c r="C766" s="46"/>
      <c r="D766" s="46"/>
      <c r="E766" s="46"/>
      <c r="J766" s="44" t="str">
        <f>IFERROR(BaoLiuXiaoShuWei(AVERAGE(H766:I766),2),"")</f>
        <v/>
      </c>
      <c r="K766" s="50" t="str">
        <f>IFERROR(XiuYueXiaoShu(IF(J766="","",(J766-基本信息!$B$28)/基本信息!$B$29)*(基本信息!$C$9)/F766/1000*IF(G766="",1,G766),基本信息!$C$11,基本信息!$C$34,1),"")</f>
        <v/>
      </c>
    </row>
    <row r="767" spans="1:11" ht="19.5" customHeight="1">
      <c r="A767" s="46"/>
      <c r="B767" s="47"/>
      <c r="C767" s="46"/>
      <c r="D767" s="46"/>
      <c r="E767" s="46"/>
      <c r="J767" s="44" t="str">
        <f>IFERROR(BaoLiuXiaoShuWei(AVERAGE(H767:I767),2),"")</f>
        <v/>
      </c>
      <c r="K767" s="50" t="str">
        <f>IFERROR(XiuYueXiaoShu(IF(J767="","",(J767-基本信息!$B$28)/基本信息!$B$29)*(基本信息!$C$9)/F767/1000*IF(G767="",1,G767),基本信息!$C$11,基本信息!$C$34,1),"")</f>
        <v/>
      </c>
    </row>
    <row r="768" spans="1:11" ht="19.5" customHeight="1">
      <c r="A768" s="46"/>
      <c r="B768" s="47"/>
      <c r="C768" s="46"/>
      <c r="D768" s="46"/>
      <c r="E768" s="46"/>
      <c r="J768" s="44" t="str">
        <f>IFERROR(BaoLiuXiaoShuWei(AVERAGE(H768:I768),2),"")</f>
        <v/>
      </c>
      <c r="K768" s="50" t="str">
        <f>IFERROR(XiuYueXiaoShu(IF(J768="","",(J768-基本信息!$B$28)/基本信息!$B$29)*(基本信息!$C$9)/F768/1000*IF(G768="",1,G768),基本信息!$C$11,基本信息!$C$34,1),"")</f>
        <v/>
      </c>
    </row>
    <row r="769" spans="1:11" ht="19.5" customHeight="1">
      <c r="A769" s="46"/>
      <c r="B769" s="47"/>
      <c r="C769" s="46"/>
      <c r="D769" s="46"/>
      <c r="E769" s="46"/>
      <c r="J769" s="44" t="str">
        <f>IFERROR(BaoLiuXiaoShuWei(AVERAGE(H769:I769),2),"")</f>
        <v/>
      </c>
      <c r="K769" s="50" t="str">
        <f>IFERROR(XiuYueXiaoShu(IF(J769="","",(J769-基本信息!$B$28)/基本信息!$B$29)*(基本信息!$C$9)/F769/1000*IF(G769="",1,G769),基本信息!$C$11,基本信息!$C$34,1),"")</f>
        <v/>
      </c>
    </row>
    <row r="770" spans="1:11" ht="19.5" customHeight="1">
      <c r="A770" s="46"/>
      <c r="B770" s="47"/>
      <c r="C770" s="46"/>
      <c r="D770" s="46"/>
      <c r="E770" s="46"/>
      <c r="J770" s="44" t="str">
        <f>IFERROR(BaoLiuXiaoShuWei(AVERAGE(H770:I770),2),"")</f>
        <v/>
      </c>
      <c r="K770" s="50" t="str">
        <f>IFERROR(XiuYueXiaoShu(IF(J770="","",(J770-基本信息!$B$28)/基本信息!$B$29)*(基本信息!$C$9)/F770/1000*IF(G770="",1,G770),基本信息!$C$11,基本信息!$C$34,1),"")</f>
        <v/>
      </c>
    </row>
    <row r="771" spans="1:11" ht="19.5" customHeight="1">
      <c r="A771" s="46"/>
      <c r="B771" s="47"/>
      <c r="C771" s="46"/>
      <c r="D771" s="46"/>
      <c r="E771" s="46"/>
      <c r="J771" s="44" t="str">
        <f>IFERROR(BaoLiuXiaoShuWei(AVERAGE(H771:I771),2),"")</f>
        <v/>
      </c>
      <c r="K771" s="50" t="str">
        <f>IFERROR(XiuYueXiaoShu(IF(J771="","",(J771-基本信息!$B$28)/基本信息!$B$29)*(基本信息!$C$9)/F771/1000*IF(G771="",1,G771),基本信息!$C$11,基本信息!$C$34,1),"")</f>
        <v/>
      </c>
    </row>
    <row r="772" spans="1:11" ht="19.5" customHeight="1">
      <c r="A772" s="46"/>
      <c r="B772" s="47"/>
      <c r="C772" s="46"/>
      <c r="D772" s="46"/>
      <c r="E772" s="46"/>
      <c r="J772" s="44" t="str">
        <f>IFERROR(BaoLiuXiaoShuWei(AVERAGE(H772:I772),2),"")</f>
        <v/>
      </c>
      <c r="K772" s="50" t="str">
        <f>IFERROR(XiuYueXiaoShu(IF(J772="","",(J772-基本信息!$B$28)/基本信息!$B$29)*(基本信息!$C$9)/F772/1000*IF(G772="",1,G772),基本信息!$C$11,基本信息!$C$34,1),"")</f>
        <v/>
      </c>
    </row>
    <row r="773" spans="1:11" ht="19.5" customHeight="1">
      <c r="A773" s="46"/>
      <c r="B773" s="47"/>
      <c r="C773" s="46"/>
      <c r="D773" s="46"/>
      <c r="E773" s="46"/>
      <c r="J773" s="44" t="str">
        <f>IFERROR(BaoLiuXiaoShuWei(AVERAGE(H773:I773),2),"")</f>
        <v/>
      </c>
      <c r="K773" s="50" t="str">
        <f>IFERROR(XiuYueXiaoShu(IF(J773="","",(J773-基本信息!$B$28)/基本信息!$B$29)*(基本信息!$C$9)/F773/1000*IF(G773="",1,G773),基本信息!$C$11,基本信息!$C$34,1),"")</f>
        <v/>
      </c>
    </row>
    <row r="774" spans="1:11" ht="19.5" customHeight="1">
      <c r="A774" s="46"/>
      <c r="B774" s="47"/>
      <c r="C774" s="46"/>
      <c r="D774" s="46"/>
      <c r="E774" s="46"/>
      <c r="J774" s="44" t="str">
        <f>IFERROR(BaoLiuXiaoShuWei(AVERAGE(H774:I774),2),"")</f>
        <v/>
      </c>
      <c r="K774" s="50" t="str">
        <f>IFERROR(XiuYueXiaoShu(IF(J774="","",(J774-基本信息!$B$28)/基本信息!$B$29)*(基本信息!$C$9)/F774/1000*IF(G774="",1,G774),基本信息!$C$11,基本信息!$C$34,1),"")</f>
        <v/>
      </c>
    </row>
    <row r="775" spans="1:11" ht="19.5" customHeight="1">
      <c r="A775" s="46"/>
      <c r="B775" s="47"/>
      <c r="C775" s="46"/>
      <c r="D775" s="46"/>
      <c r="E775" s="46"/>
      <c r="J775" s="44" t="str">
        <f>IFERROR(BaoLiuXiaoShuWei(AVERAGE(H775:I775),2),"")</f>
        <v/>
      </c>
      <c r="K775" s="50" t="str">
        <f>IFERROR(XiuYueXiaoShu(IF(J775="","",(J775-基本信息!$B$28)/基本信息!$B$29)*(基本信息!$C$9)/F775/1000*IF(G775="",1,G775),基本信息!$C$11,基本信息!$C$34,1),"")</f>
        <v/>
      </c>
    </row>
    <row r="776" spans="1:11" ht="19.5" customHeight="1">
      <c r="A776" s="46"/>
      <c r="B776" s="47"/>
      <c r="C776" s="46"/>
      <c r="D776" s="46"/>
      <c r="E776" s="46"/>
      <c r="J776" s="44" t="str">
        <f>IFERROR(BaoLiuXiaoShuWei(AVERAGE(H776:I776),2),"")</f>
        <v/>
      </c>
      <c r="K776" s="50" t="str">
        <f>IFERROR(XiuYueXiaoShu(IF(J776="","",(J776-基本信息!$B$28)/基本信息!$B$29)*(基本信息!$C$9)/F776/1000*IF(G776="",1,G776),基本信息!$C$11,基本信息!$C$34,1),"")</f>
        <v/>
      </c>
    </row>
    <row r="777" spans="1:11" ht="19.5" customHeight="1">
      <c r="A777" s="46"/>
      <c r="B777" s="47"/>
      <c r="C777" s="46"/>
      <c r="D777" s="46"/>
      <c r="E777" s="46"/>
      <c r="J777" s="44" t="str">
        <f>IFERROR(BaoLiuXiaoShuWei(AVERAGE(H777:I777),2),"")</f>
        <v/>
      </c>
      <c r="K777" s="50" t="str">
        <f>IFERROR(XiuYueXiaoShu(IF(J777="","",(J777-基本信息!$B$28)/基本信息!$B$29)*(基本信息!$C$9)/F777/1000*IF(G777="",1,G777),基本信息!$C$11,基本信息!$C$34,1),"")</f>
        <v/>
      </c>
    </row>
    <row r="778" spans="1:11" ht="19.5" customHeight="1">
      <c r="A778" s="46"/>
      <c r="B778" s="47"/>
      <c r="C778" s="46"/>
      <c r="D778" s="46"/>
      <c r="E778" s="46"/>
      <c r="J778" s="44" t="str">
        <f>IFERROR(BaoLiuXiaoShuWei(AVERAGE(H778:I778),2),"")</f>
        <v/>
      </c>
      <c r="K778" s="50" t="str">
        <f>IFERROR(XiuYueXiaoShu(IF(J778="","",(J778-基本信息!$B$28)/基本信息!$B$29)*(基本信息!$C$9)/F778/1000*IF(G778="",1,G778),基本信息!$C$11,基本信息!$C$34,1),"")</f>
        <v/>
      </c>
    </row>
    <row r="779" spans="1:11" ht="19.5" customHeight="1">
      <c r="A779" s="46"/>
      <c r="B779" s="47"/>
      <c r="C779" s="46"/>
      <c r="D779" s="46"/>
      <c r="E779" s="46"/>
      <c r="J779" s="44" t="str">
        <f>IFERROR(BaoLiuXiaoShuWei(AVERAGE(H779:I779),2),"")</f>
        <v/>
      </c>
      <c r="K779" s="50" t="str">
        <f>IFERROR(XiuYueXiaoShu(IF(J779="","",(J779-基本信息!$B$28)/基本信息!$B$29)*(基本信息!$C$9)/F779/1000*IF(G779="",1,G779),基本信息!$C$11,基本信息!$C$34,1),"")</f>
        <v/>
      </c>
    </row>
    <row r="780" spans="1:11" ht="19.5" customHeight="1">
      <c r="A780" s="46"/>
      <c r="B780" s="47"/>
      <c r="C780" s="46"/>
      <c r="D780" s="46"/>
      <c r="E780" s="46"/>
      <c r="J780" s="44" t="str">
        <f>IFERROR(BaoLiuXiaoShuWei(AVERAGE(H780:I780),2),"")</f>
        <v/>
      </c>
      <c r="K780" s="50" t="str">
        <f>IFERROR(XiuYueXiaoShu(IF(J780="","",(J780-基本信息!$B$28)/基本信息!$B$29)*(基本信息!$C$9)/F780/1000*IF(G780="",1,G780),基本信息!$C$11,基本信息!$C$34,1),"")</f>
        <v/>
      </c>
    </row>
    <row r="781" spans="1:11" ht="19.5" customHeight="1">
      <c r="A781" s="46"/>
      <c r="B781" s="47"/>
      <c r="C781" s="46"/>
      <c r="D781" s="46"/>
      <c r="E781" s="46"/>
      <c r="J781" s="44" t="str">
        <f>IFERROR(BaoLiuXiaoShuWei(AVERAGE(H781:I781),2),"")</f>
        <v/>
      </c>
      <c r="K781" s="50" t="str">
        <f>IFERROR(XiuYueXiaoShu(IF(J781="","",(J781-基本信息!$B$28)/基本信息!$B$29)*(基本信息!$C$9)/F781/1000*IF(G781="",1,G781),基本信息!$C$11,基本信息!$C$34,1),"")</f>
        <v/>
      </c>
    </row>
    <row r="782" spans="1:11" ht="19.5" customHeight="1">
      <c r="A782" s="46"/>
      <c r="B782" s="47"/>
      <c r="C782" s="46"/>
      <c r="D782" s="46"/>
      <c r="E782" s="46"/>
      <c r="J782" s="44" t="str">
        <f>IFERROR(BaoLiuXiaoShuWei(AVERAGE(H782:I782),2),"")</f>
        <v/>
      </c>
      <c r="K782" s="50" t="str">
        <f>IFERROR(XiuYueXiaoShu(IF(J782="","",(J782-基本信息!$B$28)/基本信息!$B$29)*(基本信息!$C$9)/F782/1000*IF(G782="",1,G782),基本信息!$C$11,基本信息!$C$34,1),"")</f>
        <v/>
      </c>
    </row>
    <row r="783" spans="1:11" ht="19.5" customHeight="1">
      <c r="A783" s="46"/>
      <c r="B783" s="47"/>
      <c r="C783" s="46"/>
      <c r="D783" s="46"/>
      <c r="E783" s="46"/>
      <c r="J783" s="44" t="str">
        <f>IFERROR(BaoLiuXiaoShuWei(AVERAGE(H783:I783),2),"")</f>
        <v/>
      </c>
      <c r="K783" s="50" t="str">
        <f>IFERROR(XiuYueXiaoShu(IF(J783="","",(J783-基本信息!$B$28)/基本信息!$B$29)*(基本信息!$C$9)/F783/1000*IF(G783="",1,G783),基本信息!$C$11,基本信息!$C$34,1),"")</f>
        <v/>
      </c>
    </row>
    <row r="784" spans="1:11" ht="19.5" customHeight="1">
      <c r="A784" s="46"/>
      <c r="B784" s="47"/>
      <c r="C784" s="46"/>
      <c r="D784" s="46"/>
      <c r="E784" s="46"/>
      <c r="J784" s="44" t="str">
        <f>IFERROR(BaoLiuXiaoShuWei(AVERAGE(H784:I784),2),"")</f>
        <v/>
      </c>
      <c r="K784" s="50" t="str">
        <f>IFERROR(XiuYueXiaoShu(IF(J784="","",(J784-基本信息!$B$28)/基本信息!$B$29)*(基本信息!$C$9)/F784/1000*IF(G784="",1,G784),基本信息!$C$11,基本信息!$C$34,1),"")</f>
        <v/>
      </c>
    </row>
    <row r="785" spans="1:11" ht="19.5" customHeight="1">
      <c r="A785" s="46"/>
      <c r="B785" s="47"/>
      <c r="C785" s="46"/>
      <c r="D785" s="46"/>
      <c r="E785" s="46"/>
      <c r="J785" s="44" t="str">
        <f>IFERROR(BaoLiuXiaoShuWei(AVERAGE(H785:I785),2),"")</f>
        <v/>
      </c>
      <c r="K785" s="50" t="str">
        <f>IFERROR(XiuYueXiaoShu(IF(J785="","",(J785-基本信息!$B$28)/基本信息!$B$29)*(基本信息!$C$9)/F785/1000*IF(G785="",1,G785),基本信息!$C$11,基本信息!$C$34,1),"")</f>
        <v/>
      </c>
    </row>
    <row r="786" spans="1:11" ht="19.5" customHeight="1">
      <c r="A786" s="46"/>
      <c r="B786" s="47"/>
      <c r="C786" s="46"/>
      <c r="D786" s="46"/>
      <c r="E786" s="46"/>
      <c r="J786" s="44" t="str">
        <f>IFERROR(BaoLiuXiaoShuWei(AVERAGE(H786:I786),2),"")</f>
        <v/>
      </c>
      <c r="K786" s="50" t="str">
        <f>IFERROR(XiuYueXiaoShu(IF(J786="","",(J786-基本信息!$B$28)/基本信息!$B$29)*(基本信息!$C$9)/F786/1000*IF(G786="",1,G786),基本信息!$C$11,基本信息!$C$34,1),"")</f>
        <v/>
      </c>
    </row>
    <row r="787" spans="1:11" ht="19.5" customHeight="1">
      <c r="A787" s="46"/>
      <c r="B787" s="47"/>
      <c r="C787" s="46"/>
      <c r="D787" s="46"/>
      <c r="E787" s="46"/>
      <c r="J787" s="44" t="str">
        <f>IFERROR(BaoLiuXiaoShuWei(AVERAGE(H787:I787),2),"")</f>
        <v/>
      </c>
      <c r="K787" s="50" t="str">
        <f>IFERROR(XiuYueXiaoShu(IF(J787="","",(J787-基本信息!$B$28)/基本信息!$B$29)*(基本信息!$C$9)/F787/1000*IF(G787="",1,G787),基本信息!$C$11,基本信息!$C$34,1),"")</f>
        <v/>
      </c>
    </row>
    <row r="788" spans="1:11" ht="19.5" customHeight="1">
      <c r="A788" s="46"/>
      <c r="B788" s="47"/>
      <c r="C788" s="46"/>
      <c r="D788" s="46"/>
      <c r="E788" s="46"/>
      <c r="J788" s="44" t="str">
        <f>IFERROR(BaoLiuXiaoShuWei(AVERAGE(H788:I788),2),"")</f>
        <v/>
      </c>
      <c r="K788" s="50" t="str">
        <f>IFERROR(XiuYueXiaoShu(IF(J788="","",(J788-基本信息!$B$28)/基本信息!$B$29)*(基本信息!$C$9)/F788/1000*IF(G788="",1,G788),基本信息!$C$11,基本信息!$C$34,1),"")</f>
        <v/>
      </c>
    </row>
    <row r="789" spans="1:11" ht="19.5" customHeight="1">
      <c r="A789" s="46"/>
      <c r="B789" s="47"/>
      <c r="C789" s="46"/>
      <c r="D789" s="46"/>
      <c r="E789" s="46"/>
      <c r="J789" s="44" t="str">
        <f>IFERROR(BaoLiuXiaoShuWei(AVERAGE(H789:I789),2),"")</f>
        <v/>
      </c>
      <c r="K789" s="50" t="str">
        <f>IFERROR(XiuYueXiaoShu(IF(J789="","",(J789-基本信息!$B$28)/基本信息!$B$29)*(基本信息!$C$9)/F789/1000*IF(G789="",1,G789),基本信息!$C$11,基本信息!$C$34,1),"")</f>
        <v/>
      </c>
    </row>
    <row r="790" spans="1:11" ht="19.5" customHeight="1">
      <c r="A790" s="46"/>
      <c r="B790" s="47"/>
      <c r="C790" s="46"/>
      <c r="D790" s="46"/>
      <c r="E790" s="46"/>
      <c r="J790" s="44" t="str">
        <f>IFERROR(BaoLiuXiaoShuWei(AVERAGE(H790:I790),2),"")</f>
        <v/>
      </c>
      <c r="K790" s="50" t="str">
        <f>IFERROR(XiuYueXiaoShu(IF(J790="","",(J790-基本信息!$B$28)/基本信息!$B$29)*(基本信息!$C$9)/F790/1000*IF(G790="",1,G790),基本信息!$C$11,基本信息!$C$34,1),"")</f>
        <v/>
      </c>
    </row>
    <row r="791" spans="1:11" ht="19.5" customHeight="1">
      <c r="A791" s="46"/>
      <c r="B791" s="47"/>
      <c r="C791" s="46"/>
      <c r="D791" s="46"/>
      <c r="E791" s="46"/>
      <c r="J791" s="44" t="str">
        <f>IFERROR(BaoLiuXiaoShuWei(AVERAGE(H791:I791),2),"")</f>
        <v/>
      </c>
      <c r="K791" s="50" t="str">
        <f>IFERROR(XiuYueXiaoShu(IF(J791="","",(J791-基本信息!$B$28)/基本信息!$B$29)*(基本信息!$C$9)/F791/1000*IF(G791="",1,G791),基本信息!$C$11,基本信息!$C$34,1),"")</f>
        <v/>
      </c>
    </row>
    <row r="792" spans="1:11" ht="19.5" customHeight="1">
      <c r="A792" s="46"/>
      <c r="B792" s="47"/>
      <c r="C792" s="46"/>
      <c r="D792" s="46"/>
      <c r="E792" s="46"/>
      <c r="J792" s="44" t="str">
        <f>IFERROR(BaoLiuXiaoShuWei(AVERAGE(H792:I792),2),"")</f>
        <v/>
      </c>
      <c r="K792" s="50" t="str">
        <f>IFERROR(XiuYueXiaoShu(IF(J792="","",(J792-基本信息!$B$28)/基本信息!$B$29)*(基本信息!$C$9)/F792/1000*IF(G792="",1,G792),基本信息!$C$11,基本信息!$C$34,1),"")</f>
        <v/>
      </c>
    </row>
    <row r="793" spans="1:11" ht="19.5" customHeight="1">
      <c r="A793" s="46"/>
      <c r="B793" s="47"/>
      <c r="C793" s="46"/>
      <c r="D793" s="46"/>
      <c r="E793" s="46"/>
      <c r="J793" s="44" t="str">
        <f>IFERROR(BaoLiuXiaoShuWei(AVERAGE(H793:I793),2),"")</f>
        <v/>
      </c>
      <c r="K793" s="50" t="str">
        <f>IFERROR(XiuYueXiaoShu(IF(J793="","",(J793-基本信息!$B$28)/基本信息!$B$29)*(基本信息!$C$9)/F793/1000*IF(G793="",1,G793),基本信息!$C$11,基本信息!$C$34,1),"")</f>
        <v/>
      </c>
    </row>
    <row r="794" spans="1:11" ht="19.5" customHeight="1">
      <c r="A794" s="46"/>
      <c r="B794" s="47"/>
      <c r="C794" s="46"/>
      <c r="D794" s="46"/>
      <c r="E794" s="46"/>
      <c r="J794" s="44" t="str">
        <f>IFERROR(BaoLiuXiaoShuWei(AVERAGE(H794:I794),2),"")</f>
        <v/>
      </c>
      <c r="K794" s="50" t="str">
        <f>IFERROR(XiuYueXiaoShu(IF(J794="","",(J794-基本信息!$B$28)/基本信息!$B$29)*(基本信息!$C$9)/F794/1000*IF(G794="",1,G794),基本信息!$C$11,基本信息!$C$34,1),"")</f>
        <v/>
      </c>
    </row>
    <row r="795" spans="1:11" ht="19.5" customHeight="1">
      <c r="A795" s="46"/>
      <c r="B795" s="47"/>
      <c r="C795" s="46"/>
      <c r="D795" s="46"/>
      <c r="E795" s="46"/>
      <c r="J795" s="44" t="str">
        <f>IFERROR(BaoLiuXiaoShuWei(AVERAGE(H795:I795),2),"")</f>
        <v/>
      </c>
      <c r="K795" s="50" t="str">
        <f>IFERROR(XiuYueXiaoShu(IF(J795="","",(J795-基本信息!$B$28)/基本信息!$B$29)*(基本信息!$C$9)/F795/1000*IF(G795="",1,G795),基本信息!$C$11,基本信息!$C$34,1),"")</f>
        <v/>
      </c>
    </row>
    <row r="796" spans="1:11" ht="19.5" customHeight="1">
      <c r="A796" s="46"/>
      <c r="B796" s="47"/>
      <c r="C796" s="46"/>
      <c r="D796" s="46"/>
      <c r="E796" s="46"/>
      <c r="J796" s="44" t="str">
        <f>IFERROR(BaoLiuXiaoShuWei(AVERAGE(H796:I796),2),"")</f>
        <v/>
      </c>
      <c r="K796" s="50" t="str">
        <f>IFERROR(XiuYueXiaoShu(IF(J796="","",(J796-基本信息!$B$28)/基本信息!$B$29)*(基本信息!$C$9)/F796/1000*IF(G796="",1,G796),基本信息!$C$11,基本信息!$C$34,1),"")</f>
        <v/>
      </c>
    </row>
    <row r="797" spans="1:11" ht="19.5" customHeight="1">
      <c r="A797" s="46"/>
      <c r="B797" s="47"/>
      <c r="C797" s="46"/>
      <c r="D797" s="46"/>
      <c r="E797" s="46"/>
      <c r="J797" s="44" t="str">
        <f>IFERROR(BaoLiuXiaoShuWei(AVERAGE(H797:I797),2),"")</f>
        <v/>
      </c>
      <c r="K797" s="50" t="str">
        <f>IFERROR(XiuYueXiaoShu(IF(J797="","",(J797-基本信息!$B$28)/基本信息!$B$29)*(基本信息!$C$9)/F797/1000*IF(G797="",1,G797),基本信息!$C$11,基本信息!$C$34,1),"")</f>
        <v/>
      </c>
    </row>
    <row r="798" spans="1:11" ht="19.5" customHeight="1">
      <c r="A798" s="46"/>
      <c r="B798" s="47"/>
      <c r="C798" s="46"/>
      <c r="D798" s="46"/>
      <c r="E798" s="46"/>
      <c r="J798" s="44" t="str">
        <f>IFERROR(BaoLiuXiaoShuWei(AVERAGE(H798:I798),2),"")</f>
        <v/>
      </c>
      <c r="K798" s="50" t="str">
        <f>IFERROR(XiuYueXiaoShu(IF(J798="","",(J798-基本信息!$B$28)/基本信息!$B$29)*(基本信息!$C$9)/F798/1000*IF(G798="",1,G798),基本信息!$C$11,基本信息!$C$34,1),"")</f>
        <v/>
      </c>
    </row>
    <row r="799" spans="1:11" ht="19.5" customHeight="1">
      <c r="A799" s="46"/>
      <c r="B799" s="47"/>
      <c r="C799" s="46"/>
      <c r="D799" s="46"/>
      <c r="E799" s="46"/>
      <c r="J799" s="44" t="str">
        <f>IFERROR(BaoLiuXiaoShuWei(AVERAGE(H799:I799),2),"")</f>
        <v/>
      </c>
      <c r="K799" s="50" t="str">
        <f>IFERROR(XiuYueXiaoShu(IF(J799="","",(J799-基本信息!$B$28)/基本信息!$B$29)*(基本信息!$C$9)/F799/1000*IF(G799="",1,G799),基本信息!$C$11,基本信息!$C$34,1),"")</f>
        <v/>
      </c>
    </row>
    <row r="800" spans="1:11" ht="19.5" customHeight="1">
      <c r="A800" s="46"/>
      <c r="B800" s="47"/>
      <c r="C800" s="46"/>
      <c r="D800" s="46"/>
      <c r="E800" s="46"/>
      <c r="J800" s="44" t="str">
        <f>IFERROR(BaoLiuXiaoShuWei(AVERAGE(H800:I800),2),"")</f>
        <v/>
      </c>
      <c r="K800" s="50" t="str">
        <f>IFERROR(XiuYueXiaoShu(IF(J800="","",(J800-基本信息!$B$28)/基本信息!$B$29)*(基本信息!$C$9)/F800/1000*IF(G800="",1,G800),基本信息!$C$11,基本信息!$C$34,1),"")</f>
        <v/>
      </c>
    </row>
    <row r="801" spans="1:11" ht="19.5" customHeight="1">
      <c r="A801" s="46"/>
      <c r="B801" s="47"/>
      <c r="C801" s="46"/>
      <c r="D801" s="46"/>
      <c r="E801" s="46"/>
      <c r="J801" s="44" t="str">
        <f>IFERROR(BaoLiuXiaoShuWei(AVERAGE(H801:I801),2),"")</f>
        <v/>
      </c>
      <c r="K801" s="50" t="str">
        <f>IFERROR(XiuYueXiaoShu(IF(J801="","",(J801-基本信息!$B$28)/基本信息!$B$29)*(基本信息!$C$9)/F801/1000*IF(G801="",1,G801),基本信息!$C$11,基本信息!$C$34,1),"")</f>
        <v/>
      </c>
    </row>
    <row r="802" spans="1:11" ht="19.5" customHeight="1">
      <c r="A802" s="46"/>
      <c r="B802" s="47"/>
      <c r="C802" s="46"/>
      <c r="D802" s="46"/>
      <c r="E802" s="46"/>
      <c r="J802" s="44" t="str">
        <f>IFERROR(BaoLiuXiaoShuWei(AVERAGE(H802:I802),2),"")</f>
        <v/>
      </c>
      <c r="K802" s="50" t="str">
        <f>IFERROR(XiuYueXiaoShu(IF(J802="","",(J802-基本信息!$B$28)/基本信息!$B$29)*(基本信息!$C$9)/F802/1000*IF(G802="",1,G802),基本信息!$C$11,基本信息!$C$34,1),"")</f>
        <v/>
      </c>
    </row>
    <row r="803" spans="1:11" ht="19.5" customHeight="1">
      <c r="A803" s="46"/>
      <c r="B803" s="47"/>
      <c r="C803" s="46"/>
      <c r="D803" s="46"/>
      <c r="E803" s="46"/>
      <c r="J803" s="44" t="str">
        <f>IFERROR(BaoLiuXiaoShuWei(AVERAGE(H803:I803),2),"")</f>
        <v/>
      </c>
      <c r="K803" s="50" t="str">
        <f>IFERROR(XiuYueXiaoShu(IF(J803="","",(J803-基本信息!$B$28)/基本信息!$B$29)*(基本信息!$C$9)/F803/1000*IF(G803="",1,G803),基本信息!$C$11,基本信息!$C$34,1),"")</f>
        <v/>
      </c>
    </row>
    <row r="804" spans="1:11" ht="19.5" customHeight="1">
      <c r="A804" s="46"/>
      <c r="B804" s="47"/>
      <c r="C804" s="46"/>
      <c r="D804" s="46"/>
      <c r="E804" s="46"/>
      <c r="J804" s="44" t="str">
        <f>IFERROR(BaoLiuXiaoShuWei(AVERAGE(H804:I804),2),"")</f>
        <v/>
      </c>
      <c r="K804" s="50" t="str">
        <f>IFERROR(XiuYueXiaoShu(IF(J804="","",(J804-基本信息!$B$28)/基本信息!$B$29)*(基本信息!$C$9)/F804/1000*IF(G804="",1,G804),基本信息!$C$11,基本信息!$C$34,1),"")</f>
        <v/>
      </c>
    </row>
    <row r="805" spans="1:11" ht="19.5" customHeight="1">
      <c r="A805" s="46"/>
      <c r="B805" s="47"/>
      <c r="C805" s="46"/>
      <c r="D805" s="46"/>
      <c r="E805" s="46"/>
      <c r="J805" s="44" t="str">
        <f>IFERROR(BaoLiuXiaoShuWei(AVERAGE(H805:I805),2),"")</f>
        <v/>
      </c>
      <c r="K805" s="50" t="str">
        <f>IFERROR(XiuYueXiaoShu(IF(J805="","",(J805-基本信息!$B$28)/基本信息!$B$29)*(基本信息!$C$9)/F805/1000*IF(G805="",1,G805),基本信息!$C$11,基本信息!$C$34,1),"")</f>
        <v/>
      </c>
    </row>
    <row r="806" spans="1:11" ht="19.5" customHeight="1">
      <c r="A806" s="46"/>
      <c r="B806" s="47"/>
      <c r="C806" s="46"/>
      <c r="D806" s="46"/>
      <c r="E806" s="46"/>
      <c r="J806" s="44" t="str">
        <f>IFERROR(BaoLiuXiaoShuWei(AVERAGE(H806:I806),2),"")</f>
        <v/>
      </c>
      <c r="K806" s="50" t="str">
        <f>IFERROR(XiuYueXiaoShu(IF(J806="","",(J806-基本信息!$B$28)/基本信息!$B$29)*(基本信息!$C$9)/F806/1000*IF(G806="",1,G806),基本信息!$C$11,基本信息!$C$34,1),"")</f>
        <v/>
      </c>
    </row>
    <row r="807" spans="1:11" ht="19.5" customHeight="1">
      <c r="A807" s="46"/>
      <c r="B807" s="47"/>
      <c r="C807" s="46"/>
      <c r="D807" s="46"/>
      <c r="E807" s="46"/>
      <c r="J807" s="44" t="str">
        <f>IFERROR(BaoLiuXiaoShuWei(AVERAGE(H807:I807),2),"")</f>
        <v/>
      </c>
      <c r="K807" s="50" t="str">
        <f>IFERROR(XiuYueXiaoShu(IF(J807="","",(J807-基本信息!$B$28)/基本信息!$B$29)*(基本信息!$C$9)/F807/1000*IF(G807="",1,G807),基本信息!$C$11,基本信息!$C$34,1),"")</f>
        <v/>
      </c>
    </row>
    <row r="808" spans="1:11" ht="19.5" customHeight="1">
      <c r="A808" s="46"/>
      <c r="B808" s="47"/>
      <c r="C808" s="46"/>
      <c r="D808" s="46"/>
      <c r="E808" s="46"/>
      <c r="J808" s="44" t="str">
        <f>IFERROR(BaoLiuXiaoShuWei(AVERAGE(H808:I808),2),"")</f>
        <v/>
      </c>
      <c r="K808" s="50" t="str">
        <f>IFERROR(XiuYueXiaoShu(IF(J808="","",(J808-基本信息!$B$28)/基本信息!$B$29)*(基本信息!$C$9)/F808/1000*IF(G808="",1,G808),基本信息!$C$11,基本信息!$C$34,1),"")</f>
        <v/>
      </c>
    </row>
    <row r="809" spans="1:11" ht="19.5" customHeight="1">
      <c r="A809" s="46"/>
      <c r="B809" s="47"/>
      <c r="C809" s="46"/>
      <c r="D809" s="46"/>
      <c r="E809" s="46"/>
      <c r="J809" s="44" t="str">
        <f>IFERROR(BaoLiuXiaoShuWei(AVERAGE(H809:I809),2),"")</f>
        <v/>
      </c>
      <c r="K809" s="50" t="str">
        <f>IFERROR(XiuYueXiaoShu(IF(J809="","",(J809-基本信息!$B$28)/基本信息!$B$29)*(基本信息!$C$9)/F809/1000*IF(G809="",1,G809),基本信息!$C$11,基本信息!$C$34,1),"")</f>
        <v/>
      </c>
    </row>
    <row r="810" spans="1:11" ht="19.5" customHeight="1">
      <c r="A810" s="46"/>
      <c r="B810" s="47"/>
      <c r="C810" s="46"/>
      <c r="D810" s="46"/>
      <c r="E810" s="46"/>
      <c r="J810" s="44" t="str">
        <f>IFERROR(BaoLiuXiaoShuWei(AVERAGE(H810:I810),2),"")</f>
        <v/>
      </c>
      <c r="K810" s="50" t="str">
        <f>IFERROR(XiuYueXiaoShu(IF(J810="","",(J810-基本信息!$B$28)/基本信息!$B$29)*(基本信息!$C$9)/F810/1000*IF(G810="",1,G810),基本信息!$C$11,基本信息!$C$34,1),"")</f>
        <v/>
      </c>
    </row>
    <row r="811" spans="1:11" ht="19.5" customHeight="1">
      <c r="A811" s="46"/>
      <c r="B811" s="47"/>
      <c r="C811" s="46"/>
      <c r="D811" s="46"/>
      <c r="E811" s="46"/>
      <c r="J811" s="44" t="str">
        <f>IFERROR(BaoLiuXiaoShuWei(AVERAGE(H811:I811),2),"")</f>
        <v/>
      </c>
      <c r="K811" s="50" t="str">
        <f>IFERROR(XiuYueXiaoShu(IF(J811="","",(J811-基本信息!$B$28)/基本信息!$B$29)*(基本信息!$C$9)/F811/1000*IF(G811="",1,G811),基本信息!$C$11,基本信息!$C$34,1),"")</f>
        <v/>
      </c>
    </row>
    <row r="812" spans="1:11" ht="19.5" customHeight="1">
      <c r="A812" s="46"/>
      <c r="B812" s="47"/>
      <c r="C812" s="46"/>
      <c r="D812" s="46"/>
      <c r="E812" s="46"/>
      <c r="J812" s="44" t="str">
        <f>IFERROR(BaoLiuXiaoShuWei(AVERAGE(H812:I812),2),"")</f>
        <v/>
      </c>
      <c r="K812" s="50" t="str">
        <f>IFERROR(XiuYueXiaoShu(IF(J812="","",(J812-基本信息!$B$28)/基本信息!$B$29)*(基本信息!$C$9)/F812/1000*IF(G812="",1,G812),基本信息!$C$11,基本信息!$C$34,1),"")</f>
        <v/>
      </c>
    </row>
    <row r="813" spans="1:11" ht="19.5" customHeight="1">
      <c r="A813" s="46"/>
      <c r="B813" s="47"/>
      <c r="C813" s="46"/>
      <c r="D813" s="46"/>
      <c r="E813" s="46"/>
      <c r="J813" s="44" t="str">
        <f>IFERROR(BaoLiuXiaoShuWei(AVERAGE(H813:I813),2),"")</f>
        <v/>
      </c>
      <c r="K813" s="50" t="str">
        <f>IFERROR(XiuYueXiaoShu(IF(J813="","",(J813-基本信息!$B$28)/基本信息!$B$29)*(基本信息!$C$9)/F813/1000*IF(G813="",1,G813),基本信息!$C$11,基本信息!$C$34,1),"")</f>
        <v/>
      </c>
    </row>
    <row r="814" spans="1:11" ht="19.5" customHeight="1">
      <c r="A814" s="46"/>
      <c r="B814" s="47"/>
      <c r="C814" s="46"/>
      <c r="D814" s="46"/>
      <c r="E814" s="46"/>
      <c r="J814" s="44" t="str">
        <f>IFERROR(BaoLiuXiaoShuWei(AVERAGE(H814:I814),2),"")</f>
        <v/>
      </c>
      <c r="K814" s="50" t="str">
        <f>IFERROR(XiuYueXiaoShu(IF(J814="","",(J814-基本信息!$B$28)/基本信息!$B$29)*(基本信息!$C$9)/F814/1000*IF(G814="",1,G814),基本信息!$C$11,基本信息!$C$34,1),"")</f>
        <v/>
      </c>
    </row>
    <row r="815" spans="1:11" ht="19.5" customHeight="1">
      <c r="A815" s="46"/>
      <c r="B815" s="47"/>
      <c r="C815" s="46"/>
      <c r="D815" s="46"/>
      <c r="E815" s="46"/>
      <c r="J815" s="44" t="str">
        <f>IFERROR(BaoLiuXiaoShuWei(AVERAGE(H815:I815),2),"")</f>
        <v/>
      </c>
      <c r="K815" s="50" t="str">
        <f>IFERROR(XiuYueXiaoShu(IF(J815="","",(J815-基本信息!$B$28)/基本信息!$B$29)*(基本信息!$C$9)/F815/1000*IF(G815="",1,G815),基本信息!$C$11,基本信息!$C$34,1),"")</f>
        <v/>
      </c>
    </row>
    <row r="816" spans="1:11" ht="19.5" customHeight="1">
      <c r="A816" s="46"/>
      <c r="B816" s="47"/>
      <c r="C816" s="46"/>
      <c r="D816" s="46"/>
      <c r="E816" s="46"/>
      <c r="J816" s="44" t="str">
        <f>IFERROR(BaoLiuXiaoShuWei(AVERAGE(H816:I816),2),"")</f>
        <v/>
      </c>
      <c r="K816" s="50" t="str">
        <f>IFERROR(XiuYueXiaoShu(IF(J816="","",(J816-基本信息!$B$28)/基本信息!$B$29)*(基本信息!$C$9)/F816/1000*IF(G816="",1,G816),基本信息!$C$11,基本信息!$C$34,1),"")</f>
        <v/>
      </c>
    </row>
    <row r="817" spans="1:11" ht="19.5" customHeight="1">
      <c r="A817" s="46"/>
      <c r="B817" s="47"/>
      <c r="C817" s="46"/>
      <c r="D817" s="46"/>
      <c r="E817" s="46"/>
      <c r="J817" s="44" t="str">
        <f>IFERROR(BaoLiuXiaoShuWei(AVERAGE(H817:I817),2),"")</f>
        <v/>
      </c>
      <c r="K817" s="50" t="str">
        <f>IFERROR(XiuYueXiaoShu(IF(J817="","",(J817-基本信息!$B$28)/基本信息!$B$29)*(基本信息!$C$9)/F817/1000*IF(G817="",1,G817),基本信息!$C$11,基本信息!$C$34,1),"")</f>
        <v/>
      </c>
    </row>
    <row r="818" spans="1:11" ht="19.5" customHeight="1">
      <c r="A818" s="46"/>
      <c r="B818" s="47"/>
      <c r="C818" s="46"/>
      <c r="D818" s="46"/>
      <c r="E818" s="46"/>
      <c r="J818" s="44" t="str">
        <f>IFERROR(BaoLiuXiaoShuWei(AVERAGE(H818:I818),2),"")</f>
        <v/>
      </c>
      <c r="K818" s="50" t="str">
        <f>IFERROR(XiuYueXiaoShu(IF(J818="","",(J818-基本信息!$B$28)/基本信息!$B$29)*(基本信息!$C$9)/F818/1000*IF(G818="",1,G818),基本信息!$C$11,基本信息!$C$34,1),"")</f>
        <v/>
      </c>
    </row>
    <row r="819" spans="1:11" ht="19.5" customHeight="1">
      <c r="A819" s="46"/>
      <c r="B819" s="47"/>
      <c r="C819" s="46"/>
      <c r="D819" s="46"/>
      <c r="E819" s="46"/>
      <c r="J819" s="44" t="str">
        <f>IFERROR(BaoLiuXiaoShuWei(AVERAGE(H819:I819),2),"")</f>
        <v/>
      </c>
      <c r="K819" s="50" t="str">
        <f>IFERROR(XiuYueXiaoShu(IF(J819="","",(J819-基本信息!$B$28)/基本信息!$B$29)*(基本信息!$C$9)/F819/1000*IF(G819="",1,G819),基本信息!$C$11,基本信息!$C$34,1),"")</f>
        <v/>
      </c>
    </row>
    <row r="820" spans="1:11" ht="19.5" customHeight="1">
      <c r="A820" s="46"/>
      <c r="B820" s="47"/>
      <c r="C820" s="46"/>
      <c r="D820" s="46"/>
      <c r="E820" s="46"/>
      <c r="J820" s="44" t="str">
        <f>IFERROR(BaoLiuXiaoShuWei(AVERAGE(H820:I820),2),"")</f>
        <v/>
      </c>
      <c r="K820" s="50" t="str">
        <f>IFERROR(XiuYueXiaoShu(IF(J820="","",(J820-基本信息!$B$28)/基本信息!$B$29)*(基本信息!$C$9)/F820/1000*IF(G820="",1,G820),基本信息!$C$11,基本信息!$C$34,1),"")</f>
        <v/>
      </c>
    </row>
    <row r="821" spans="1:11" ht="19.5" customHeight="1">
      <c r="A821" s="46"/>
      <c r="B821" s="47"/>
      <c r="C821" s="46"/>
      <c r="D821" s="46"/>
      <c r="E821" s="46"/>
      <c r="J821" s="44" t="str">
        <f>IFERROR(BaoLiuXiaoShuWei(AVERAGE(H821:I821),2),"")</f>
        <v/>
      </c>
      <c r="K821" s="50" t="str">
        <f>IFERROR(XiuYueXiaoShu(IF(J821="","",(J821-基本信息!$B$28)/基本信息!$B$29)*(基本信息!$C$9)/F821/1000*IF(G821="",1,G821),基本信息!$C$11,基本信息!$C$34,1),"")</f>
        <v/>
      </c>
    </row>
    <row r="822" spans="1:11" ht="19.5" customHeight="1">
      <c r="A822" s="46"/>
      <c r="B822" s="47"/>
      <c r="C822" s="46"/>
      <c r="D822" s="46"/>
      <c r="E822" s="46"/>
      <c r="J822" s="44" t="str">
        <f>IFERROR(BaoLiuXiaoShuWei(AVERAGE(H822:I822),2),"")</f>
        <v/>
      </c>
      <c r="K822" s="50" t="str">
        <f>IFERROR(XiuYueXiaoShu(IF(J822="","",(J822-基本信息!$B$28)/基本信息!$B$29)*(基本信息!$C$9)/F822/1000*IF(G822="",1,G822),基本信息!$C$11,基本信息!$C$34,1),"")</f>
        <v/>
      </c>
    </row>
    <row r="823" spans="1:11" ht="19.5" customHeight="1">
      <c r="A823" s="46"/>
      <c r="B823" s="47"/>
      <c r="C823" s="46"/>
      <c r="D823" s="46"/>
      <c r="E823" s="46"/>
      <c r="J823" s="44" t="str">
        <f>IFERROR(BaoLiuXiaoShuWei(AVERAGE(H823:I823),2),"")</f>
        <v/>
      </c>
      <c r="K823" s="50" t="str">
        <f>IFERROR(XiuYueXiaoShu(IF(J823="","",(J823-基本信息!$B$28)/基本信息!$B$29)*(基本信息!$C$9)/F823/1000*IF(G823="",1,G823),基本信息!$C$11,基本信息!$C$34,1),"")</f>
        <v/>
      </c>
    </row>
    <row r="824" spans="1:11" ht="19.5" customHeight="1">
      <c r="A824" s="46"/>
      <c r="B824" s="47"/>
      <c r="C824" s="46"/>
      <c r="D824" s="46"/>
      <c r="E824" s="46"/>
      <c r="J824" s="44" t="str">
        <f>IFERROR(BaoLiuXiaoShuWei(AVERAGE(H824:I824),2),"")</f>
        <v/>
      </c>
      <c r="K824" s="50" t="str">
        <f>IFERROR(XiuYueXiaoShu(IF(J824="","",(J824-基本信息!$B$28)/基本信息!$B$29)*(基本信息!$C$9)/F824/1000*IF(G824="",1,G824),基本信息!$C$11,基本信息!$C$34,1),"")</f>
        <v/>
      </c>
    </row>
    <row r="825" spans="1:11" ht="19.5" customHeight="1">
      <c r="A825" s="46"/>
      <c r="B825" s="47"/>
      <c r="C825" s="46"/>
      <c r="D825" s="46"/>
      <c r="E825" s="46"/>
      <c r="J825" s="44" t="str">
        <f>IFERROR(BaoLiuXiaoShuWei(AVERAGE(H825:I825),2),"")</f>
        <v/>
      </c>
      <c r="K825" s="50" t="str">
        <f>IFERROR(XiuYueXiaoShu(IF(J825="","",(J825-基本信息!$B$28)/基本信息!$B$29)*(基本信息!$C$9)/F825/1000*IF(G825="",1,G825),基本信息!$C$11,基本信息!$C$34,1),"")</f>
        <v/>
      </c>
    </row>
    <row r="826" spans="1:11" ht="19.5" customHeight="1">
      <c r="A826" s="46"/>
      <c r="B826" s="47"/>
      <c r="C826" s="46"/>
      <c r="D826" s="46"/>
      <c r="E826" s="46"/>
      <c r="J826" s="44" t="str">
        <f>IFERROR(BaoLiuXiaoShuWei(AVERAGE(H826:I826),2),"")</f>
        <v/>
      </c>
      <c r="K826" s="50" t="str">
        <f>IFERROR(XiuYueXiaoShu(IF(J826="","",(J826-基本信息!$B$28)/基本信息!$B$29)*(基本信息!$C$9)/F826/1000*IF(G826="",1,G826),基本信息!$C$11,基本信息!$C$34,1),"")</f>
        <v/>
      </c>
    </row>
    <row r="827" spans="1:11" ht="19.5" customHeight="1">
      <c r="A827" s="46"/>
      <c r="B827" s="47"/>
      <c r="C827" s="46"/>
      <c r="D827" s="46"/>
      <c r="E827" s="46"/>
      <c r="J827" s="44" t="str">
        <f>IFERROR(BaoLiuXiaoShuWei(AVERAGE(H827:I827),2),"")</f>
        <v/>
      </c>
      <c r="K827" s="50" t="str">
        <f>IFERROR(XiuYueXiaoShu(IF(J827="","",(J827-基本信息!$B$28)/基本信息!$B$29)*(基本信息!$C$9)/F827/1000*IF(G827="",1,G827),基本信息!$C$11,基本信息!$C$34,1),"")</f>
        <v/>
      </c>
    </row>
    <row r="828" spans="1:11" ht="19.5" customHeight="1">
      <c r="A828" s="46"/>
      <c r="B828" s="47"/>
      <c r="C828" s="46"/>
      <c r="D828" s="46"/>
      <c r="E828" s="46"/>
      <c r="J828" s="44" t="str">
        <f>IFERROR(BaoLiuXiaoShuWei(AVERAGE(H828:I828),2),"")</f>
        <v/>
      </c>
      <c r="K828" s="50" t="str">
        <f>IFERROR(XiuYueXiaoShu(IF(J828="","",(J828-基本信息!$B$28)/基本信息!$B$29)*(基本信息!$C$9)/F828/1000*IF(G828="",1,G828),基本信息!$C$11,基本信息!$C$34,1),"")</f>
        <v/>
      </c>
    </row>
    <row r="829" spans="1:11" ht="19.5" customHeight="1">
      <c r="A829" s="46"/>
      <c r="B829" s="47"/>
      <c r="C829" s="46"/>
      <c r="D829" s="46"/>
      <c r="E829" s="46"/>
      <c r="J829" s="44" t="str">
        <f>IFERROR(BaoLiuXiaoShuWei(AVERAGE(H829:I829),2),"")</f>
        <v/>
      </c>
      <c r="K829" s="50" t="str">
        <f>IFERROR(XiuYueXiaoShu(IF(J829="","",(J829-基本信息!$B$28)/基本信息!$B$29)*(基本信息!$C$9)/F829/1000*IF(G829="",1,G829),基本信息!$C$11,基本信息!$C$34,1),"")</f>
        <v/>
      </c>
    </row>
    <row r="830" spans="1:11" ht="19.5" customHeight="1">
      <c r="A830" s="46"/>
      <c r="B830" s="47"/>
      <c r="C830" s="46"/>
      <c r="D830" s="46"/>
      <c r="E830" s="46"/>
      <c r="J830" s="44" t="str">
        <f>IFERROR(BaoLiuXiaoShuWei(AVERAGE(H830:I830),2),"")</f>
        <v/>
      </c>
      <c r="K830" s="50" t="str">
        <f>IFERROR(XiuYueXiaoShu(IF(J830="","",(J830-基本信息!$B$28)/基本信息!$B$29)*(基本信息!$C$9)/F830/1000*IF(G830="",1,G830),基本信息!$C$11,基本信息!$C$34,1),"")</f>
        <v/>
      </c>
    </row>
    <row r="831" spans="1:11" ht="19.5" customHeight="1">
      <c r="A831" s="46"/>
      <c r="B831" s="47"/>
      <c r="C831" s="46"/>
      <c r="D831" s="46"/>
      <c r="E831" s="46"/>
      <c r="J831" s="44" t="str">
        <f>IFERROR(BaoLiuXiaoShuWei(AVERAGE(H831:I831),2),"")</f>
        <v/>
      </c>
      <c r="K831" s="50" t="str">
        <f>IFERROR(XiuYueXiaoShu(IF(J831="","",(J831-基本信息!$B$28)/基本信息!$B$29)*(基本信息!$C$9)/F831/1000*IF(G831="",1,G831),基本信息!$C$11,基本信息!$C$34,1),"")</f>
        <v/>
      </c>
    </row>
    <row r="832" spans="1:11" ht="19.5" customHeight="1">
      <c r="A832" s="46"/>
      <c r="B832" s="47"/>
      <c r="C832" s="46"/>
      <c r="D832" s="46"/>
      <c r="E832" s="46"/>
      <c r="J832" s="44" t="str">
        <f>IFERROR(BaoLiuXiaoShuWei(AVERAGE(H832:I832),2),"")</f>
        <v/>
      </c>
      <c r="K832" s="50" t="str">
        <f>IFERROR(XiuYueXiaoShu(IF(J832="","",(J832-基本信息!$B$28)/基本信息!$B$29)*(基本信息!$C$9)/F832/1000*IF(G832="",1,G832),基本信息!$C$11,基本信息!$C$34,1),"")</f>
        <v/>
      </c>
    </row>
    <row r="833" spans="1:11" ht="19.5" customHeight="1">
      <c r="A833" s="46"/>
      <c r="B833" s="47"/>
      <c r="C833" s="46"/>
      <c r="D833" s="46"/>
      <c r="E833" s="46"/>
      <c r="J833" s="44" t="str">
        <f>IFERROR(BaoLiuXiaoShuWei(AVERAGE(H833:I833),2),"")</f>
        <v/>
      </c>
      <c r="K833" s="50" t="str">
        <f>IFERROR(XiuYueXiaoShu(IF(J833="","",(J833-基本信息!$B$28)/基本信息!$B$29)*(基本信息!$C$9)/F833/1000*IF(G833="",1,G833),基本信息!$C$11,基本信息!$C$34,1),"")</f>
        <v/>
      </c>
    </row>
    <row r="834" spans="1:11" ht="19.5" customHeight="1">
      <c r="A834" s="46"/>
      <c r="B834" s="47"/>
      <c r="C834" s="46"/>
      <c r="D834" s="46"/>
      <c r="E834" s="46"/>
      <c r="J834" s="44" t="str">
        <f>IFERROR(BaoLiuXiaoShuWei(AVERAGE(H834:I834),2),"")</f>
        <v/>
      </c>
      <c r="K834" s="50" t="str">
        <f>IFERROR(XiuYueXiaoShu(IF(J834="","",(J834-基本信息!$B$28)/基本信息!$B$29)*(基本信息!$C$9)/F834/1000*IF(G834="",1,G834),基本信息!$C$11,基本信息!$C$34,1),"")</f>
        <v/>
      </c>
    </row>
    <row r="835" spans="1:11" ht="19.5" customHeight="1">
      <c r="A835" s="46"/>
      <c r="B835" s="47"/>
      <c r="C835" s="46"/>
      <c r="D835" s="46"/>
      <c r="E835" s="46"/>
      <c r="J835" s="44" t="str">
        <f>IFERROR(BaoLiuXiaoShuWei(AVERAGE(H835:I835),2),"")</f>
        <v/>
      </c>
      <c r="K835" s="50" t="str">
        <f>IFERROR(XiuYueXiaoShu(IF(J835="","",(J835-基本信息!$B$28)/基本信息!$B$29)*(基本信息!$C$9)/F835/1000*IF(G835="",1,G835),基本信息!$C$11,基本信息!$C$34,1),"")</f>
        <v/>
      </c>
    </row>
    <row r="836" spans="1:11" ht="19.5" customHeight="1">
      <c r="A836" s="46"/>
      <c r="B836" s="47"/>
      <c r="C836" s="46"/>
      <c r="D836" s="46"/>
      <c r="E836" s="46"/>
      <c r="J836" s="44" t="str">
        <f>IFERROR(BaoLiuXiaoShuWei(AVERAGE(H836:I836),2),"")</f>
        <v/>
      </c>
      <c r="K836" s="50" t="str">
        <f>IFERROR(XiuYueXiaoShu(IF(J836="","",(J836-基本信息!$B$28)/基本信息!$B$29)*(基本信息!$C$9)/F836/1000*IF(G836="",1,G836),基本信息!$C$11,基本信息!$C$34,1),"")</f>
        <v/>
      </c>
    </row>
    <row r="837" spans="1:11" ht="19.5" customHeight="1">
      <c r="A837" s="46"/>
      <c r="B837" s="47"/>
      <c r="C837" s="46"/>
      <c r="D837" s="46"/>
      <c r="E837" s="46"/>
      <c r="J837" s="44" t="str">
        <f>IFERROR(BaoLiuXiaoShuWei(AVERAGE(H837:I837),2),"")</f>
        <v/>
      </c>
      <c r="K837" s="50" t="str">
        <f>IFERROR(XiuYueXiaoShu(IF(J837="","",(J837-基本信息!$B$28)/基本信息!$B$29)*(基本信息!$C$9)/F837/1000*IF(G837="",1,G837),基本信息!$C$11,基本信息!$C$34,1),"")</f>
        <v/>
      </c>
    </row>
    <row r="838" spans="1:11" ht="19.5" customHeight="1">
      <c r="A838" s="46"/>
      <c r="B838" s="47"/>
      <c r="C838" s="46"/>
      <c r="D838" s="46"/>
      <c r="E838" s="46"/>
      <c r="J838" s="44" t="str">
        <f>IFERROR(BaoLiuXiaoShuWei(AVERAGE(H838:I838),2),"")</f>
        <v/>
      </c>
      <c r="K838" s="50" t="str">
        <f>IFERROR(XiuYueXiaoShu(IF(J838="","",(J838-基本信息!$B$28)/基本信息!$B$29)*(基本信息!$C$9)/F838/1000*IF(G838="",1,G838),基本信息!$C$11,基本信息!$C$34,1),"")</f>
        <v/>
      </c>
    </row>
    <row r="839" spans="1:11" ht="19.5" customHeight="1">
      <c r="A839" s="46"/>
      <c r="B839" s="47"/>
      <c r="C839" s="46"/>
      <c r="D839" s="46"/>
      <c r="E839" s="46"/>
      <c r="J839" s="44" t="str">
        <f>IFERROR(BaoLiuXiaoShuWei(AVERAGE(H839:I839),2),"")</f>
        <v/>
      </c>
      <c r="K839" s="50" t="str">
        <f>IFERROR(XiuYueXiaoShu(IF(J839="","",(J839-基本信息!$B$28)/基本信息!$B$29)*(基本信息!$C$9)/F839/1000*IF(G839="",1,G839),基本信息!$C$11,基本信息!$C$34,1),"")</f>
        <v/>
      </c>
    </row>
    <row r="840" spans="1:11" ht="19.5" customHeight="1">
      <c r="A840" s="46"/>
      <c r="B840" s="47"/>
      <c r="C840" s="46"/>
      <c r="D840" s="46"/>
      <c r="E840" s="46"/>
      <c r="J840" s="44" t="str">
        <f>IFERROR(BaoLiuXiaoShuWei(AVERAGE(H840:I840),2),"")</f>
        <v/>
      </c>
      <c r="K840" s="50" t="str">
        <f>IFERROR(XiuYueXiaoShu(IF(J840="","",(J840-基本信息!$B$28)/基本信息!$B$29)*(基本信息!$C$9)/F840/1000*IF(G840="",1,G840),基本信息!$C$11,基本信息!$C$34,1),"")</f>
        <v/>
      </c>
    </row>
    <row r="841" spans="1:11" ht="19.5" customHeight="1">
      <c r="A841" s="46"/>
      <c r="B841" s="47"/>
      <c r="C841" s="46"/>
      <c r="D841" s="46"/>
      <c r="E841" s="46"/>
      <c r="J841" s="44" t="str">
        <f>IFERROR(BaoLiuXiaoShuWei(AVERAGE(H841:I841),2),"")</f>
        <v/>
      </c>
      <c r="K841" s="50" t="str">
        <f>IFERROR(XiuYueXiaoShu(IF(J841="","",(J841-基本信息!$B$28)/基本信息!$B$29)*(基本信息!$C$9)/F841/1000*IF(G841="",1,G841),基本信息!$C$11,基本信息!$C$34,1),"")</f>
        <v/>
      </c>
    </row>
    <row r="842" spans="1:11" ht="19.5" customHeight="1">
      <c r="A842" s="46"/>
      <c r="B842" s="47"/>
      <c r="C842" s="46"/>
      <c r="D842" s="46"/>
      <c r="E842" s="46"/>
      <c r="J842" s="44" t="str">
        <f>IFERROR(BaoLiuXiaoShuWei(AVERAGE(H842:I842),2),"")</f>
        <v/>
      </c>
      <c r="K842" s="50" t="str">
        <f>IFERROR(XiuYueXiaoShu(IF(J842="","",(J842-基本信息!$B$28)/基本信息!$B$29)*(基本信息!$C$9)/F842/1000*IF(G842="",1,G842),基本信息!$C$11,基本信息!$C$34,1),"")</f>
        <v/>
      </c>
    </row>
    <row r="843" spans="1:11" ht="19.5" customHeight="1">
      <c r="A843" s="46"/>
      <c r="B843" s="47"/>
      <c r="C843" s="46"/>
      <c r="D843" s="46"/>
      <c r="E843" s="46"/>
      <c r="J843" s="44" t="str">
        <f>IFERROR(BaoLiuXiaoShuWei(AVERAGE(H843:I843),2),"")</f>
        <v/>
      </c>
      <c r="K843" s="50" t="str">
        <f>IFERROR(XiuYueXiaoShu(IF(J843="","",(J843-基本信息!$B$28)/基本信息!$B$29)*(基本信息!$C$9)/F843/1000*IF(G843="",1,G843),基本信息!$C$11,基本信息!$C$34,1),"")</f>
        <v/>
      </c>
    </row>
    <row r="844" spans="1:11" ht="19.5" customHeight="1">
      <c r="A844" s="46"/>
      <c r="B844" s="47"/>
      <c r="C844" s="46"/>
      <c r="D844" s="46"/>
      <c r="E844" s="46"/>
      <c r="J844" s="44" t="str">
        <f>IFERROR(BaoLiuXiaoShuWei(AVERAGE(H844:I844),2),"")</f>
        <v/>
      </c>
      <c r="K844" s="50" t="str">
        <f>IFERROR(XiuYueXiaoShu(IF(J844="","",(J844-基本信息!$B$28)/基本信息!$B$29)*(基本信息!$C$9)/F844/1000*IF(G844="",1,G844),基本信息!$C$11,基本信息!$C$34,1),"")</f>
        <v/>
      </c>
    </row>
    <row r="845" spans="1:11" ht="19.5" customHeight="1">
      <c r="A845" s="46"/>
      <c r="B845" s="47"/>
      <c r="C845" s="46"/>
      <c r="D845" s="46"/>
      <c r="E845" s="46"/>
      <c r="J845" s="44" t="str">
        <f>IFERROR(BaoLiuXiaoShuWei(AVERAGE(H845:I845),2),"")</f>
        <v/>
      </c>
      <c r="K845" s="50" t="str">
        <f>IFERROR(XiuYueXiaoShu(IF(J845="","",(J845-基本信息!$B$28)/基本信息!$B$29)*(基本信息!$C$9)/F845/1000*IF(G845="",1,G845),基本信息!$C$11,基本信息!$C$34,1),"")</f>
        <v/>
      </c>
    </row>
    <row r="846" spans="1:11" ht="19.5" customHeight="1">
      <c r="A846" s="46"/>
      <c r="B846" s="47"/>
      <c r="C846" s="46"/>
      <c r="D846" s="46"/>
      <c r="E846" s="46"/>
      <c r="J846" s="44" t="str">
        <f>IFERROR(BaoLiuXiaoShuWei(AVERAGE(H846:I846),2),"")</f>
        <v/>
      </c>
      <c r="K846" s="50" t="str">
        <f>IFERROR(XiuYueXiaoShu(IF(J846="","",(J846-基本信息!$B$28)/基本信息!$B$29)*(基本信息!$C$9)/F846/1000*IF(G846="",1,G846),基本信息!$C$11,基本信息!$C$34,1),"")</f>
        <v/>
      </c>
    </row>
    <row r="847" spans="1:11" ht="19.5" customHeight="1">
      <c r="A847" s="46"/>
      <c r="B847" s="47"/>
      <c r="C847" s="46"/>
      <c r="D847" s="46"/>
      <c r="E847" s="46"/>
      <c r="J847" s="44" t="str">
        <f>IFERROR(BaoLiuXiaoShuWei(AVERAGE(H847:I847),2),"")</f>
        <v/>
      </c>
      <c r="K847" s="50" t="str">
        <f>IFERROR(XiuYueXiaoShu(IF(J847="","",(J847-基本信息!$B$28)/基本信息!$B$29)*(基本信息!$C$9)/F847/1000*IF(G847="",1,G847),基本信息!$C$11,基本信息!$C$34,1),"")</f>
        <v/>
      </c>
    </row>
    <row r="848" spans="1:11" ht="19.5" customHeight="1">
      <c r="A848" s="46"/>
      <c r="B848" s="47"/>
      <c r="C848" s="46"/>
      <c r="D848" s="46"/>
      <c r="E848" s="46"/>
      <c r="J848" s="44" t="str">
        <f>IFERROR(BaoLiuXiaoShuWei(AVERAGE(H848:I848),2),"")</f>
        <v/>
      </c>
      <c r="K848" s="50" t="str">
        <f>IFERROR(XiuYueXiaoShu(IF(J848="","",(J848-基本信息!$B$28)/基本信息!$B$29)*(基本信息!$C$9)/F848/1000*IF(G848="",1,G848),基本信息!$C$11,基本信息!$C$34,1),"")</f>
        <v/>
      </c>
    </row>
    <row r="849" spans="1:11" ht="19.5" customHeight="1">
      <c r="A849" s="46"/>
      <c r="B849" s="47"/>
      <c r="C849" s="46"/>
      <c r="D849" s="46"/>
      <c r="E849" s="46"/>
      <c r="J849" s="44" t="str">
        <f>IFERROR(BaoLiuXiaoShuWei(AVERAGE(H849:I849),2),"")</f>
        <v/>
      </c>
      <c r="K849" s="50" t="str">
        <f>IFERROR(XiuYueXiaoShu(IF(J849="","",(J849-基本信息!$B$28)/基本信息!$B$29)*(基本信息!$C$9)/F849/1000*IF(G849="",1,G849),基本信息!$C$11,基本信息!$C$34,1),"")</f>
        <v/>
      </c>
    </row>
    <row r="850" spans="1:11" ht="19.5" customHeight="1">
      <c r="A850" s="46"/>
      <c r="B850" s="47"/>
      <c r="C850" s="46"/>
      <c r="D850" s="46"/>
      <c r="E850" s="46"/>
      <c r="J850" s="44" t="str">
        <f>IFERROR(BaoLiuXiaoShuWei(AVERAGE(H850:I850),2),"")</f>
        <v/>
      </c>
      <c r="K850" s="50" t="str">
        <f>IFERROR(XiuYueXiaoShu(IF(J850="","",(J850-基本信息!$B$28)/基本信息!$B$29)*(基本信息!$C$9)/F850/1000*IF(G850="",1,G850),基本信息!$C$11,基本信息!$C$34,1),"")</f>
        <v/>
      </c>
    </row>
    <row r="851" spans="1:11" ht="19.5" customHeight="1">
      <c r="A851" s="46"/>
      <c r="B851" s="47"/>
      <c r="C851" s="46"/>
      <c r="D851" s="46"/>
      <c r="E851" s="46"/>
      <c r="J851" s="44" t="str">
        <f>IFERROR(BaoLiuXiaoShuWei(AVERAGE(H851:I851),2),"")</f>
        <v/>
      </c>
      <c r="K851" s="50" t="str">
        <f>IFERROR(XiuYueXiaoShu(IF(J851="","",(J851-基本信息!$B$28)/基本信息!$B$29)*(基本信息!$C$9)/F851/1000*IF(G851="",1,G851),基本信息!$C$11,基本信息!$C$34,1),"")</f>
        <v/>
      </c>
    </row>
    <row r="852" spans="1:11" ht="19.5" customHeight="1">
      <c r="A852" s="46"/>
      <c r="B852" s="47"/>
      <c r="C852" s="46"/>
      <c r="D852" s="46"/>
      <c r="E852" s="46"/>
      <c r="J852" s="44" t="str">
        <f>IFERROR(BaoLiuXiaoShuWei(AVERAGE(H852:I852),2),"")</f>
        <v/>
      </c>
      <c r="K852" s="50" t="str">
        <f>IFERROR(XiuYueXiaoShu(IF(J852="","",(J852-基本信息!$B$28)/基本信息!$B$29)*(基本信息!$C$9)/F852/1000*IF(G852="",1,G852),基本信息!$C$11,基本信息!$C$34,1),"")</f>
        <v/>
      </c>
    </row>
    <row r="853" spans="1:11" ht="19.5" customHeight="1">
      <c r="A853" s="46"/>
      <c r="B853" s="47"/>
      <c r="C853" s="46"/>
      <c r="D853" s="46"/>
      <c r="E853" s="46"/>
      <c r="J853" s="44" t="str">
        <f>IFERROR(BaoLiuXiaoShuWei(AVERAGE(H853:I853),2),"")</f>
        <v/>
      </c>
      <c r="K853" s="50" t="str">
        <f>IFERROR(XiuYueXiaoShu(IF(J853="","",(J853-基本信息!$B$28)/基本信息!$B$29)*(基本信息!$C$9)/F853/1000*IF(G853="",1,G853),基本信息!$C$11,基本信息!$C$34,1),"")</f>
        <v/>
      </c>
    </row>
    <row r="854" spans="1:11" ht="19.5" customHeight="1">
      <c r="A854" s="46"/>
      <c r="B854" s="47"/>
      <c r="C854" s="46"/>
      <c r="D854" s="46"/>
      <c r="E854" s="46"/>
      <c r="J854" s="44" t="str">
        <f>IFERROR(BaoLiuXiaoShuWei(AVERAGE(H854:I854),2),"")</f>
        <v/>
      </c>
      <c r="K854" s="50" t="str">
        <f>IFERROR(XiuYueXiaoShu(IF(J854="","",(J854-基本信息!$B$28)/基本信息!$B$29)*(基本信息!$C$9)/F854/1000*IF(G854="",1,G854),基本信息!$C$11,基本信息!$C$34,1),"")</f>
        <v/>
      </c>
    </row>
    <row r="855" spans="1:11" ht="19.5" customHeight="1">
      <c r="A855" s="46"/>
      <c r="B855" s="47"/>
      <c r="C855" s="46"/>
      <c r="D855" s="46"/>
      <c r="E855" s="46"/>
      <c r="J855" s="44" t="str">
        <f>IFERROR(BaoLiuXiaoShuWei(AVERAGE(H855:I855),2),"")</f>
        <v/>
      </c>
      <c r="K855" s="50" t="str">
        <f>IFERROR(XiuYueXiaoShu(IF(J855="","",(J855-基本信息!$B$28)/基本信息!$B$29)*(基本信息!$C$9)/F855/1000*IF(G855="",1,G855),基本信息!$C$11,基本信息!$C$34,1),"")</f>
        <v/>
      </c>
    </row>
    <row r="856" spans="1:11" ht="19.5" customHeight="1">
      <c r="A856" s="46"/>
      <c r="B856" s="47"/>
      <c r="C856" s="46"/>
      <c r="D856" s="46"/>
      <c r="E856" s="46"/>
      <c r="J856" s="44" t="str">
        <f>IFERROR(BaoLiuXiaoShuWei(AVERAGE(H856:I856),2),"")</f>
        <v/>
      </c>
      <c r="K856" s="50" t="str">
        <f>IFERROR(XiuYueXiaoShu(IF(J856="","",(J856-基本信息!$B$28)/基本信息!$B$29)*(基本信息!$C$9)/F856/1000*IF(G856="",1,G856),基本信息!$C$11,基本信息!$C$34,1),"")</f>
        <v/>
      </c>
    </row>
    <row r="857" spans="1:11" ht="19.5" customHeight="1">
      <c r="A857" s="46"/>
      <c r="B857" s="47"/>
      <c r="C857" s="46"/>
      <c r="D857" s="46"/>
      <c r="E857" s="46"/>
      <c r="J857" s="44" t="str">
        <f>IFERROR(BaoLiuXiaoShuWei(AVERAGE(H857:I857),2),"")</f>
        <v/>
      </c>
      <c r="K857" s="50" t="str">
        <f>IFERROR(XiuYueXiaoShu(IF(J857="","",(J857-基本信息!$B$28)/基本信息!$B$29)*(基本信息!$C$9)/F857/1000*IF(G857="",1,G857),基本信息!$C$11,基本信息!$C$34,1),"")</f>
        <v/>
      </c>
    </row>
    <row r="858" spans="1:11" ht="19.5" customHeight="1">
      <c r="A858" s="46"/>
      <c r="B858" s="47"/>
      <c r="C858" s="46"/>
      <c r="D858" s="46"/>
      <c r="E858" s="46"/>
      <c r="J858" s="44" t="str">
        <f>IFERROR(BaoLiuXiaoShuWei(AVERAGE(H858:I858),2),"")</f>
        <v/>
      </c>
      <c r="K858" s="50" t="str">
        <f>IFERROR(XiuYueXiaoShu(IF(J858="","",(J858-基本信息!$B$28)/基本信息!$B$29)*(基本信息!$C$9)/F858/1000*IF(G858="",1,G858),基本信息!$C$11,基本信息!$C$34,1),"")</f>
        <v/>
      </c>
    </row>
    <row r="859" spans="1:11" ht="19.5" customHeight="1">
      <c r="A859" s="46"/>
      <c r="B859" s="47"/>
      <c r="C859" s="46"/>
      <c r="D859" s="46"/>
      <c r="E859" s="46"/>
      <c r="J859" s="44" t="str">
        <f>IFERROR(BaoLiuXiaoShuWei(AVERAGE(H859:I859),2),"")</f>
        <v/>
      </c>
      <c r="K859" s="50" t="str">
        <f>IFERROR(XiuYueXiaoShu(IF(J859="","",(J859-基本信息!$B$28)/基本信息!$B$29)*(基本信息!$C$9)/F859/1000*IF(G859="",1,G859),基本信息!$C$11,基本信息!$C$34,1),"")</f>
        <v/>
      </c>
    </row>
    <row r="860" spans="1:11" ht="19.5" customHeight="1">
      <c r="A860" s="46"/>
      <c r="B860" s="47"/>
      <c r="C860" s="46"/>
      <c r="D860" s="46"/>
      <c r="E860" s="46"/>
      <c r="J860" s="44" t="str">
        <f>IFERROR(BaoLiuXiaoShuWei(AVERAGE(H860:I860),2),"")</f>
        <v/>
      </c>
      <c r="K860" s="50" t="str">
        <f>IFERROR(XiuYueXiaoShu(IF(J860="","",(J860-基本信息!$B$28)/基本信息!$B$29)*(基本信息!$C$9)/F860/1000*IF(G860="",1,G860),基本信息!$C$11,基本信息!$C$34,1),"")</f>
        <v/>
      </c>
    </row>
    <row r="861" spans="1:11" ht="19.5" customHeight="1">
      <c r="A861" s="46"/>
      <c r="B861" s="47"/>
      <c r="C861" s="46"/>
      <c r="D861" s="46"/>
      <c r="E861" s="46"/>
      <c r="J861" s="44" t="str">
        <f>IFERROR(BaoLiuXiaoShuWei(AVERAGE(H861:I861),2),"")</f>
        <v/>
      </c>
      <c r="K861" s="50" t="str">
        <f>IFERROR(XiuYueXiaoShu(IF(J861="","",(J861-基本信息!$B$28)/基本信息!$B$29)*(基本信息!$C$9)/F861/1000*IF(G861="",1,G861),基本信息!$C$11,基本信息!$C$34,1),"")</f>
        <v/>
      </c>
    </row>
    <row r="862" spans="1:11" ht="19.5" customHeight="1">
      <c r="A862" s="46"/>
      <c r="B862" s="47"/>
      <c r="C862" s="46"/>
      <c r="D862" s="46"/>
      <c r="E862" s="46"/>
      <c r="J862" s="44" t="str">
        <f>IFERROR(BaoLiuXiaoShuWei(AVERAGE(H862:I862),2),"")</f>
        <v/>
      </c>
      <c r="K862" s="50" t="str">
        <f>IFERROR(XiuYueXiaoShu(IF(J862="","",(J862-基本信息!$B$28)/基本信息!$B$29)*(基本信息!$C$9)/F862/1000*IF(G862="",1,G862),基本信息!$C$11,基本信息!$C$34,1),"")</f>
        <v/>
      </c>
    </row>
    <row r="863" spans="1:11" ht="19.5" customHeight="1">
      <c r="A863" s="46"/>
      <c r="B863" s="47"/>
      <c r="C863" s="46"/>
      <c r="D863" s="46"/>
      <c r="E863" s="46"/>
      <c r="J863" s="44" t="str">
        <f>IFERROR(BaoLiuXiaoShuWei(AVERAGE(H863:I863),2),"")</f>
        <v/>
      </c>
      <c r="K863" s="50" t="str">
        <f>IFERROR(XiuYueXiaoShu(IF(J863="","",(J863-基本信息!$B$28)/基本信息!$B$29)*(基本信息!$C$9)/F863/1000*IF(G863="",1,G863),基本信息!$C$11,基本信息!$C$34,1),"")</f>
        <v/>
      </c>
    </row>
    <row r="864" spans="1:11" ht="19.5" customHeight="1">
      <c r="A864" s="46"/>
      <c r="B864" s="47"/>
      <c r="C864" s="46"/>
      <c r="D864" s="46"/>
      <c r="E864" s="46"/>
      <c r="J864" s="44" t="str">
        <f>IFERROR(BaoLiuXiaoShuWei(AVERAGE(H864:I864),2),"")</f>
        <v/>
      </c>
      <c r="K864" s="50" t="str">
        <f>IFERROR(XiuYueXiaoShu(IF(J864="","",(J864-基本信息!$B$28)/基本信息!$B$29)*(基本信息!$C$9)/F864/1000*IF(G864="",1,G864),基本信息!$C$11,基本信息!$C$34,1),"")</f>
        <v/>
      </c>
    </row>
    <row r="865" spans="1:11" ht="19.5" customHeight="1">
      <c r="A865" s="46"/>
      <c r="B865" s="47"/>
      <c r="C865" s="46"/>
      <c r="D865" s="46"/>
      <c r="E865" s="46"/>
      <c r="J865" s="44" t="str">
        <f>IFERROR(BaoLiuXiaoShuWei(AVERAGE(H865:I865),2),"")</f>
        <v/>
      </c>
      <c r="K865" s="50" t="str">
        <f>IFERROR(XiuYueXiaoShu(IF(J865="","",(J865-基本信息!$B$28)/基本信息!$B$29)*(基本信息!$C$9)/F865/1000*IF(G865="",1,G865),基本信息!$C$11,基本信息!$C$34,1),"")</f>
        <v/>
      </c>
    </row>
    <row r="866" spans="1:11" ht="19.5" customHeight="1">
      <c r="A866" s="46"/>
      <c r="B866" s="47"/>
      <c r="C866" s="46"/>
      <c r="D866" s="46"/>
      <c r="E866" s="46"/>
      <c r="J866" s="44" t="str">
        <f>IFERROR(BaoLiuXiaoShuWei(AVERAGE(H866:I866),2),"")</f>
        <v/>
      </c>
      <c r="K866" s="50" t="str">
        <f>IFERROR(XiuYueXiaoShu(IF(J866="","",(J866-基本信息!$B$28)/基本信息!$B$29)*(基本信息!$C$9)/F866/1000*IF(G866="",1,G866),基本信息!$C$11,基本信息!$C$34,1),"")</f>
        <v/>
      </c>
    </row>
    <row r="867" spans="1:11" ht="19.5" customHeight="1">
      <c r="A867" s="46"/>
      <c r="B867" s="47"/>
      <c r="C867" s="46"/>
      <c r="D867" s="46"/>
      <c r="E867" s="46"/>
      <c r="J867" s="44" t="str">
        <f>IFERROR(BaoLiuXiaoShuWei(AVERAGE(H867:I867),2),"")</f>
        <v/>
      </c>
      <c r="K867" s="50" t="str">
        <f>IFERROR(XiuYueXiaoShu(IF(J867="","",(J867-基本信息!$B$28)/基本信息!$B$29)*(基本信息!$C$9)/F867/1000*IF(G867="",1,G867),基本信息!$C$11,基本信息!$C$34,1),"")</f>
        <v/>
      </c>
    </row>
    <row r="868" spans="1:11" ht="19.5" customHeight="1">
      <c r="A868" s="46"/>
      <c r="B868" s="47"/>
      <c r="C868" s="46"/>
      <c r="D868" s="46"/>
      <c r="E868" s="46"/>
      <c r="J868" s="44" t="str">
        <f>IFERROR(BaoLiuXiaoShuWei(AVERAGE(H868:I868),2),"")</f>
        <v/>
      </c>
      <c r="K868" s="50" t="str">
        <f>IFERROR(XiuYueXiaoShu(IF(J868="","",(J868-基本信息!$B$28)/基本信息!$B$29)*(基本信息!$C$9)/F868/1000*IF(G868="",1,G868),基本信息!$C$11,基本信息!$C$34,1),"")</f>
        <v/>
      </c>
    </row>
    <row r="869" spans="1:11" ht="19.5" customHeight="1">
      <c r="A869" s="46"/>
      <c r="B869" s="47"/>
      <c r="C869" s="46"/>
      <c r="D869" s="46"/>
      <c r="E869" s="46"/>
      <c r="J869" s="44" t="str">
        <f>IFERROR(BaoLiuXiaoShuWei(AVERAGE(H869:I869),2),"")</f>
        <v/>
      </c>
      <c r="K869" s="50" t="str">
        <f>IFERROR(XiuYueXiaoShu(IF(J869="","",(J869-基本信息!$B$28)/基本信息!$B$29)*(基本信息!$C$9)/F869/1000*IF(G869="",1,G869),基本信息!$C$11,基本信息!$C$34,1),"")</f>
        <v/>
      </c>
    </row>
    <row r="870" spans="1:11" ht="19.5" customHeight="1">
      <c r="A870" s="46"/>
      <c r="B870" s="47"/>
      <c r="C870" s="46"/>
      <c r="D870" s="46"/>
      <c r="E870" s="46"/>
      <c r="J870" s="44" t="str">
        <f>IFERROR(BaoLiuXiaoShuWei(AVERAGE(H870:I870),2),"")</f>
        <v/>
      </c>
      <c r="K870" s="50" t="str">
        <f>IFERROR(XiuYueXiaoShu(IF(J870="","",(J870-基本信息!$B$28)/基本信息!$B$29)*(基本信息!$C$9)/F870/1000*IF(G870="",1,G870),基本信息!$C$11,基本信息!$C$34,1),"")</f>
        <v/>
      </c>
    </row>
    <row r="871" spans="1:11" ht="19.5" customHeight="1">
      <c r="A871" s="46"/>
      <c r="B871" s="47"/>
      <c r="C871" s="46"/>
      <c r="D871" s="46"/>
      <c r="E871" s="46"/>
      <c r="J871" s="44" t="str">
        <f>IFERROR(BaoLiuXiaoShuWei(AVERAGE(H871:I871),2),"")</f>
        <v/>
      </c>
      <c r="K871" s="50" t="str">
        <f>IFERROR(XiuYueXiaoShu(IF(J871="","",(J871-基本信息!$B$28)/基本信息!$B$29)*(基本信息!$C$9)/F871/1000*IF(G871="",1,G871),基本信息!$C$11,基本信息!$C$34,1),"")</f>
        <v/>
      </c>
    </row>
    <row r="872" spans="1:11" ht="19.5" customHeight="1">
      <c r="A872" s="46"/>
      <c r="B872" s="47"/>
      <c r="C872" s="46"/>
      <c r="D872" s="46"/>
      <c r="E872" s="46"/>
      <c r="J872" s="44" t="str">
        <f>IFERROR(BaoLiuXiaoShuWei(AVERAGE(H872:I872),2),"")</f>
        <v/>
      </c>
      <c r="K872" s="50" t="str">
        <f>IFERROR(XiuYueXiaoShu(IF(J872="","",(J872-基本信息!$B$28)/基本信息!$B$29)*(基本信息!$C$9)/F872/1000*IF(G872="",1,G872),基本信息!$C$11,基本信息!$C$34,1),"")</f>
        <v/>
      </c>
    </row>
    <row r="873" spans="1:11" ht="19.5" customHeight="1">
      <c r="A873" s="46"/>
      <c r="B873" s="47"/>
      <c r="C873" s="46"/>
      <c r="D873" s="46"/>
      <c r="E873" s="46"/>
      <c r="J873" s="44" t="str">
        <f>IFERROR(BaoLiuXiaoShuWei(AVERAGE(H873:I873),2),"")</f>
        <v/>
      </c>
      <c r="K873" s="50" t="str">
        <f>IFERROR(XiuYueXiaoShu(IF(J873="","",(J873-基本信息!$B$28)/基本信息!$B$29)*(基本信息!$C$9)/F873/1000*IF(G873="",1,G873),基本信息!$C$11,基本信息!$C$34,1),"")</f>
        <v/>
      </c>
    </row>
    <row r="874" spans="1:11" ht="19.5" customHeight="1">
      <c r="A874" s="46"/>
      <c r="B874" s="47"/>
      <c r="C874" s="46"/>
      <c r="D874" s="46"/>
      <c r="E874" s="46"/>
      <c r="J874" s="44" t="str">
        <f>IFERROR(BaoLiuXiaoShuWei(AVERAGE(H874:I874),2),"")</f>
        <v/>
      </c>
      <c r="K874" s="50" t="str">
        <f>IFERROR(XiuYueXiaoShu(IF(J874="","",(J874-基本信息!$B$28)/基本信息!$B$29)*(基本信息!$C$9)/F874/1000*IF(G874="",1,G874),基本信息!$C$11,基本信息!$C$34,1),"")</f>
        <v/>
      </c>
    </row>
    <row r="875" spans="1:11" ht="19.5" customHeight="1">
      <c r="A875" s="46"/>
      <c r="B875" s="47"/>
      <c r="C875" s="46"/>
      <c r="D875" s="46"/>
      <c r="E875" s="46"/>
      <c r="J875" s="44" t="str">
        <f>IFERROR(BaoLiuXiaoShuWei(AVERAGE(H875:I875),2),"")</f>
        <v/>
      </c>
      <c r="K875" s="50" t="str">
        <f>IFERROR(XiuYueXiaoShu(IF(J875="","",(J875-基本信息!$B$28)/基本信息!$B$29)*(基本信息!$C$9)/F875/1000*IF(G875="",1,G875),基本信息!$C$11,基本信息!$C$34,1),"")</f>
        <v/>
      </c>
    </row>
    <row r="876" spans="1:11" ht="19.5" customHeight="1">
      <c r="A876" s="46"/>
      <c r="B876" s="47"/>
      <c r="C876" s="46"/>
      <c r="D876" s="46"/>
      <c r="E876" s="46"/>
      <c r="J876" s="44" t="str">
        <f>IFERROR(BaoLiuXiaoShuWei(AVERAGE(H876:I876),2),"")</f>
        <v/>
      </c>
      <c r="K876" s="50" t="str">
        <f>IFERROR(XiuYueXiaoShu(IF(J876="","",(J876-基本信息!$B$28)/基本信息!$B$29)*(基本信息!$C$9)/F876/1000*IF(G876="",1,G876),基本信息!$C$11,基本信息!$C$34,1),"")</f>
        <v/>
      </c>
    </row>
    <row r="877" spans="1:11" ht="19.5" customHeight="1">
      <c r="A877" s="46"/>
      <c r="B877" s="47"/>
      <c r="C877" s="46"/>
      <c r="D877" s="46"/>
      <c r="E877" s="46"/>
      <c r="J877" s="44" t="str">
        <f>IFERROR(BaoLiuXiaoShuWei(AVERAGE(H877:I877),2),"")</f>
        <v/>
      </c>
      <c r="K877" s="50" t="str">
        <f>IFERROR(XiuYueXiaoShu(IF(J877="","",(J877-基本信息!$B$28)/基本信息!$B$29)*(基本信息!$C$9)/F877/1000*IF(G877="",1,G877),基本信息!$C$11,基本信息!$C$34,1),"")</f>
        <v/>
      </c>
    </row>
    <row r="878" spans="1:11" ht="19.5" customHeight="1">
      <c r="A878" s="46"/>
      <c r="B878" s="47"/>
      <c r="C878" s="46"/>
      <c r="D878" s="46"/>
      <c r="E878" s="46"/>
      <c r="J878" s="44" t="str">
        <f>IFERROR(BaoLiuXiaoShuWei(AVERAGE(H878:I878),2),"")</f>
        <v/>
      </c>
      <c r="K878" s="50" t="str">
        <f>IFERROR(XiuYueXiaoShu(IF(J878="","",(J878-基本信息!$B$28)/基本信息!$B$29)*(基本信息!$C$9)/F878/1000*IF(G878="",1,G878),基本信息!$C$11,基本信息!$C$34,1),"")</f>
        <v/>
      </c>
    </row>
    <row r="879" spans="1:11" ht="19.5" customHeight="1">
      <c r="A879" s="46"/>
      <c r="B879" s="47"/>
      <c r="C879" s="46"/>
      <c r="D879" s="46"/>
      <c r="E879" s="46"/>
      <c r="J879" s="44" t="str">
        <f>IFERROR(BaoLiuXiaoShuWei(AVERAGE(H879:I879),2),"")</f>
        <v/>
      </c>
      <c r="K879" s="50" t="str">
        <f>IFERROR(XiuYueXiaoShu(IF(J879="","",(J879-基本信息!$B$28)/基本信息!$B$29)*(基本信息!$C$9)/F879/1000*IF(G879="",1,G879),基本信息!$C$11,基本信息!$C$34,1),"")</f>
        <v/>
      </c>
    </row>
    <row r="880" spans="1:11" ht="19.5" customHeight="1">
      <c r="A880" s="46"/>
      <c r="B880" s="47"/>
      <c r="C880" s="46"/>
      <c r="D880" s="46"/>
      <c r="E880" s="46"/>
      <c r="J880" s="44" t="str">
        <f>IFERROR(BaoLiuXiaoShuWei(AVERAGE(H880:I880),2),"")</f>
        <v/>
      </c>
      <c r="K880" s="50" t="str">
        <f>IFERROR(XiuYueXiaoShu(IF(J880="","",(J880-基本信息!$B$28)/基本信息!$B$29)*(基本信息!$C$9)/F880/1000*IF(G880="",1,G880),基本信息!$C$11,基本信息!$C$34,1),"")</f>
        <v/>
      </c>
    </row>
    <row r="881" spans="1:11" ht="19.5" customHeight="1">
      <c r="A881" s="46"/>
      <c r="B881" s="47"/>
      <c r="C881" s="46"/>
      <c r="D881" s="46"/>
      <c r="E881" s="46"/>
      <c r="J881" s="44" t="str">
        <f>IFERROR(BaoLiuXiaoShuWei(AVERAGE(H881:I881),2),"")</f>
        <v/>
      </c>
      <c r="K881" s="50" t="str">
        <f>IFERROR(XiuYueXiaoShu(IF(J881="","",(J881-基本信息!$B$28)/基本信息!$B$29)*(基本信息!$C$9)/F881/1000*IF(G881="",1,G881),基本信息!$C$11,基本信息!$C$34,1),"")</f>
        <v/>
      </c>
    </row>
    <row r="882" spans="1:11" ht="19.5" customHeight="1">
      <c r="A882" s="46"/>
      <c r="B882" s="47"/>
      <c r="C882" s="46"/>
      <c r="D882" s="46"/>
      <c r="E882" s="46"/>
      <c r="J882" s="44" t="str">
        <f>IFERROR(BaoLiuXiaoShuWei(AVERAGE(H882:I882),2),"")</f>
        <v/>
      </c>
      <c r="K882" s="50" t="str">
        <f>IFERROR(XiuYueXiaoShu(IF(J882="","",(J882-基本信息!$B$28)/基本信息!$B$29)*(基本信息!$C$9)/F882/1000*IF(G882="",1,G882),基本信息!$C$11,基本信息!$C$34,1),"")</f>
        <v/>
      </c>
    </row>
    <row r="883" spans="1:11" ht="19.5" customHeight="1">
      <c r="A883" s="46"/>
      <c r="B883" s="47"/>
      <c r="C883" s="46"/>
      <c r="D883" s="46"/>
      <c r="E883" s="46"/>
      <c r="J883" s="44" t="str">
        <f>IFERROR(BaoLiuXiaoShuWei(AVERAGE(H883:I883),2),"")</f>
        <v/>
      </c>
      <c r="K883" s="50" t="str">
        <f>IFERROR(XiuYueXiaoShu(IF(J883="","",(J883-基本信息!$B$28)/基本信息!$B$29)*(基本信息!$C$9)/F883/1000*IF(G883="",1,G883),基本信息!$C$11,基本信息!$C$34,1),"")</f>
        <v/>
      </c>
    </row>
    <row r="884" spans="1:11" ht="19.5" customHeight="1">
      <c r="A884" s="46"/>
      <c r="B884" s="47"/>
      <c r="C884" s="46"/>
      <c r="D884" s="46"/>
      <c r="E884" s="46"/>
      <c r="J884" s="44" t="str">
        <f>IFERROR(BaoLiuXiaoShuWei(AVERAGE(H884:I884),2),"")</f>
        <v/>
      </c>
      <c r="K884" s="50" t="str">
        <f>IFERROR(XiuYueXiaoShu(IF(J884="","",(J884-基本信息!$B$28)/基本信息!$B$29)*(基本信息!$C$9)/F884/1000*IF(G884="",1,G884),基本信息!$C$11,基本信息!$C$34,1),"")</f>
        <v/>
      </c>
    </row>
    <row r="885" spans="1:11" ht="19.5" customHeight="1">
      <c r="A885" s="46"/>
      <c r="B885" s="47"/>
      <c r="C885" s="46"/>
      <c r="D885" s="46"/>
      <c r="E885" s="46"/>
      <c r="J885" s="44" t="str">
        <f>IFERROR(BaoLiuXiaoShuWei(AVERAGE(H885:I885),2),"")</f>
        <v/>
      </c>
      <c r="K885" s="50" t="str">
        <f>IFERROR(XiuYueXiaoShu(IF(J885="","",(J885-基本信息!$B$28)/基本信息!$B$29)*(基本信息!$C$9)/F885/1000*IF(G885="",1,G885),基本信息!$C$11,基本信息!$C$34,1),"")</f>
        <v/>
      </c>
    </row>
    <row r="886" spans="1:11" ht="19.5" customHeight="1">
      <c r="A886" s="46"/>
      <c r="B886" s="47"/>
      <c r="C886" s="46"/>
      <c r="D886" s="46"/>
      <c r="E886" s="46"/>
      <c r="J886" s="44" t="str">
        <f>IFERROR(BaoLiuXiaoShuWei(AVERAGE(H886:I886),2),"")</f>
        <v/>
      </c>
      <c r="K886" s="50" t="str">
        <f>IFERROR(XiuYueXiaoShu(IF(J886="","",(J886-基本信息!$B$28)/基本信息!$B$29)*(基本信息!$C$9)/F886/1000*IF(G886="",1,G886),基本信息!$C$11,基本信息!$C$34,1),"")</f>
        <v/>
      </c>
    </row>
    <row r="887" spans="1:11" ht="19.5" customHeight="1">
      <c r="A887" s="46"/>
      <c r="B887" s="47"/>
      <c r="C887" s="46"/>
      <c r="D887" s="46"/>
      <c r="E887" s="46"/>
      <c r="J887" s="44" t="str">
        <f>IFERROR(BaoLiuXiaoShuWei(AVERAGE(H887:I887),2),"")</f>
        <v/>
      </c>
      <c r="K887" s="50" t="str">
        <f>IFERROR(XiuYueXiaoShu(IF(J887="","",(J887-基本信息!$B$28)/基本信息!$B$29)*(基本信息!$C$9)/F887/1000*IF(G887="",1,G887),基本信息!$C$11,基本信息!$C$34,1),"")</f>
        <v/>
      </c>
    </row>
    <row r="888" spans="1:11" ht="19.5" customHeight="1">
      <c r="A888" s="46"/>
      <c r="B888" s="47"/>
      <c r="C888" s="46"/>
      <c r="D888" s="46"/>
      <c r="E888" s="46"/>
      <c r="J888" s="44" t="str">
        <f>IFERROR(BaoLiuXiaoShuWei(AVERAGE(H888:I888),2),"")</f>
        <v/>
      </c>
      <c r="K888" s="50" t="str">
        <f>IFERROR(XiuYueXiaoShu(IF(J888="","",(J888-基本信息!$B$28)/基本信息!$B$29)*(基本信息!$C$9)/F888/1000*IF(G888="",1,G888),基本信息!$C$11,基本信息!$C$34,1),"")</f>
        <v/>
      </c>
    </row>
    <row r="889" spans="1:11" ht="19.5" customHeight="1">
      <c r="A889" s="46"/>
      <c r="B889" s="47"/>
      <c r="C889" s="46"/>
      <c r="D889" s="46"/>
      <c r="E889" s="46"/>
      <c r="J889" s="44" t="str">
        <f>IFERROR(BaoLiuXiaoShuWei(AVERAGE(H889:I889),2),"")</f>
        <v/>
      </c>
      <c r="K889" s="50" t="str">
        <f>IFERROR(XiuYueXiaoShu(IF(J889="","",(J889-基本信息!$B$28)/基本信息!$B$29)*(基本信息!$C$9)/F889/1000*IF(G889="",1,G889),基本信息!$C$11,基本信息!$C$34,1),"")</f>
        <v/>
      </c>
    </row>
    <row r="890" spans="1:11" ht="19.5" customHeight="1">
      <c r="A890" s="46"/>
      <c r="B890" s="47"/>
      <c r="C890" s="46"/>
      <c r="D890" s="46"/>
      <c r="E890" s="46"/>
      <c r="J890" s="44" t="str">
        <f>IFERROR(BaoLiuXiaoShuWei(AVERAGE(H890:I890),2),"")</f>
        <v/>
      </c>
      <c r="K890" s="50" t="str">
        <f>IFERROR(XiuYueXiaoShu(IF(J890="","",(J890-基本信息!$B$28)/基本信息!$B$29)*(基本信息!$C$9)/F890/1000*IF(G890="",1,G890),基本信息!$C$11,基本信息!$C$34,1),"")</f>
        <v/>
      </c>
    </row>
    <row r="891" spans="1:11" ht="19.5" customHeight="1">
      <c r="A891" s="46"/>
      <c r="B891" s="47"/>
      <c r="C891" s="46"/>
      <c r="D891" s="46"/>
      <c r="E891" s="46"/>
      <c r="J891" s="44" t="str">
        <f>IFERROR(BaoLiuXiaoShuWei(AVERAGE(H891:I891),2),"")</f>
        <v/>
      </c>
      <c r="K891" s="50" t="str">
        <f>IFERROR(XiuYueXiaoShu(IF(J891="","",(J891-基本信息!$B$28)/基本信息!$B$29)*(基本信息!$C$9)/F891/1000*IF(G891="",1,G891),基本信息!$C$11,基本信息!$C$34,1),"")</f>
        <v/>
      </c>
    </row>
    <row r="892" spans="1:11" ht="19.5" customHeight="1">
      <c r="A892" s="46"/>
      <c r="B892" s="47"/>
      <c r="C892" s="46"/>
      <c r="D892" s="46"/>
      <c r="E892" s="46"/>
      <c r="J892" s="44" t="str">
        <f>IFERROR(BaoLiuXiaoShuWei(AVERAGE(H892:I892),2),"")</f>
        <v/>
      </c>
      <c r="K892" s="50" t="str">
        <f>IFERROR(XiuYueXiaoShu(IF(J892="","",(J892-基本信息!$B$28)/基本信息!$B$29)*(基本信息!$C$9)/F892/1000*IF(G892="",1,G892),基本信息!$C$11,基本信息!$C$34,1),"")</f>
        <v/>
      </c>
    </row>
    <row r="893" spans="1:11" ht="19.5" customHeight="1">
      <c r="A893" s="46"/>
      <c r="B893" s="47"/>
      <c r="C893" s="46"/>
      <c r="D893" s="46"/>
      <c r="E893" s="46"/>
      <c r="J893" s="44" t="str">
        <f>IFERROR(BaoLiuXiaoShuWei(AVERAGE(H893:I893),2),"")</f>
        <v/>
      </c>
      <c r="K893" s="50" t="str">
        <f>IFERROR(XiuYueXiaoShu(IF(J893="","",(J893-基本信息!$B$28)/基本信息!$B$29)*(基本信息!$C$9)/F893/1000*IF(G893="",1,G893),基本信息!$C$11,基本信息!$C$34,1),"")</f>
        <v/>
      </c>
    </row>
    <row r="894" spans="1:11" ht="19.5" customHeight="1">
      <c r="A894" s="46"/>
      <c r="B894" s="47"/>
      <c r="C894" s="46"/>
      <c r="D894" s="46"/>
      <c r="E894" s="46"/>
      <c r="J894" s="44" t="str">
        <f>IFERROR(BaoLiuXiaoShuWei(AVERAGE(H894:I894),2),"")</f>
        <v/>
      </c>
      <c r="K894" s="50" t="str">
        <f>IFERROR(XiuYueXiaoShu(IF(J894="","",(J894-基本信息!$B$28)/基本信息!$B$29)*(基本信息!$C$9)/F894/1000*IF(G894="",1,G894),基本信息!$C$11,基本信息!$C$34,1),"")</f>
        <v/>
      </c>
    </row>
    <row r="895" spans="1:11" ht="19.5" customHeight="1">
      <c r="A895" s="46"/>
      <c r="B895" s="47"/>
      <c r="C895" s="46"/>
      <c r="D895" s="46"/>
      <c r="E895" s="46"/>
      <c r="J895" s="44" t="str">
        <f>IFERROR(BaoLiuXiaoShuWei(AVERAGE(H895:I895),2),"")</f>
        <v/>
      </c>
      <c r="K895" s="50" t="str">
        <f>IFERROR(XiuYueXiaoShu(IF(J895="","",(J895-基本信息!$B$28)/基本信息!$B$29)*(基本信息!$C$9)/F895/1000*IF(G895="",1,G895),基本信息!$C$11,基本信息!$C$34,1),"")</f>
        <v/>
      </c>
    </row>
    <row r="896" spans="1:11" ht="19.5" customHeight="1">
      <c r="A896" s="46"/>
      <c r="B896" s="47"/>
      <c r="C896" s="46"/>
      <c r="D896" s="46"/>
      <c r="E896" s="46"/>
      <c r="J896" s="44" t="str">
        <f>IFERROR(BaoLiuXiaoShuWei(AVERAGE(H896:I896),2),"")</f>
        <v/>
      </c>
      <c r="K896" s="50" t="str">
        <f>IFERROR(XiuYueXiaoShu(IF(J896="","",(J896-基本信息!$B$28)/基本信息!$B$29)*(基本信息!$C$9)/F896/1000*IF(G896="",1,G896),基本信息!$C$11,基本信息!$C$34,1),"")</f>
        <v/>
      </c>
    </row>
    <row r="897" spans="1:11" ht="19.5" customHeight="1">
      <c r="A897" s="46"/>
      <c r="B897" s="47"/>
      <c r="C897" s="46"/>
      <c r="D897" s="46"/>
      <c r="E897" s="46"/>
      <c r="J897" s="44" t="str">
        <f>IFERROR(BaoLiuXiaoShuWei(AVERAGE(H897:I897),2),"")</f>
        <v/>
      </c>
      <c r="K897" s="50" t="str">
        <f>IFERROR(XiuYueXiaoShu(IF(J897="","",(J897-基本信息!$B$28)/基本信息!$B$29)*(基本信息!$C$9)/F897/1000*IF(G897="",1,G897),基本信息!$C$11,基本信息!$C$34,1),"")</f>
        <v/>
      </c>
    </row>
    <row r="898" spans="1:11" ht="19.5" customHeight="1">
      <c r="A898" s="46"/>
      <c r="B898" s="47"/>
      <c r="C898" s="46"/>
      <c r="D898" s="46"/>
      <c r="E898" s="46"/>
      <c r="J898" s="44" t="str">
        <f>IFERROR(BaoLiuXiaoShuWei(AVERAGE(H898:I898),2),"")</f>
        <v/>
      </c>
      <c r="K898" s="50" t="str">
        <f>IFERROR(XiuYueXiaoShu(IF(J898="","",(J898-基本信息!$B$28)/基本信息!$B$29)*(基本信息!$C$9)/F898/1000*IF(G898="",1,G898),基本信息!$C$11,基本信息!$C$34,1),"")</f>
        <v/>
      </c>
    </row>
    <row r="899" spans="1:11" ht="19.5" customHeight="1">
      <c r="A899" s="46"/>
      <c r="B899" s="47"/>
      <c r="C899" s="46"/>
      <c r="D899" s="46"/>
      <c r="E899" s="46"/>
      <c r="J899" s="44" t="str">
        <f>IFERROR(BaoLiuXiaoShuWei(AVERAGE(H899:I899),2),"")</f>
        <v/>
      </c>
      <c r="K899" s="50" t="str">
        <f>IFERROR(XiuYueXiaoShu(IF(J899="","",(J899-基本信息!$B$28)/基本信息!$B$29)*(基本信息!$C$9)/F899/1000*IF(G899="",1,G899),基本信息!$C$11,基本信息!$C$34,1),"")</f>
        <v/>
      </c>
    </row>
    <row r="900" spans="1:11" ht="19.5" customHeight="1">
      <c r="A900" s="46"/>
      <c r="B900" s="47"/>
      <c r="C900" s="46"/>
      <c r="D900" s="46"/>
      <c r="E900" s="46"/>
      <c r="J900" s="44" t="str">
        <f>IFERROR(BaoLiuXiaoShuWei(AVERAGE(H900:I900),2),"")</f>
        <v/>
      </c>
      <c r="K900" s="50" t="str">
        <f>IFERROR(XiuYueXiaoShu(IF(J900="","",(J900-基本信息!$B$28)/基本信息!$B$29)*(基本信息!$C$9)/F900/1000*IF(G900="",1,G900),基本信息!$C$11,基本信息!$C$34,1),"")</f>
        <v/>
      </c>
    </row>
    <row r="901" spans="1:11" ht="19.5" customHeight="1">
      <c r="A901" s="46"/>
      <c r="B901" s="47"/>
      <c r="C901" s="46"/>
      <c r="D901" s="46"/>
      <c r="E901" s="46"/>
      <c r="J901" s="44" t="str">
        <f>IFERROR(BaoLiuXiaoShuWei(AVERAGE(H901:I901),2),"")</f>
        <v/>
      </c>
      <c r="K901" s="50" t="str">
        <f>IFERROR(XiuYueXiaoShu(IF(J901="","",(J901-基本信息!$B$28)/基本信息!$B$29)*(基本信息!$C$9)/F901/1000*IF(G901="",1,G901),基本信息!$C$11,基本信息!$C$34,1),"")</f>
        <v/>
      </c>
    </row>
    <row r="902" spans="1:11" ht="19.5" customHeight="1">
      <c r="A902" s="46"/>
      <c r="B902" s="47"/>
      <c r="C902" s="46"/>
      <c r="D902" s="46"/>
      <c r="E902" s="46"/>
      <c r="J902" s="44" t="str">
        <f>IFERROR(BaoLiuXiaoShuWei(AVERAGE(H902:I902),2),"")</f>
        <v/>
      </c>
      <c r="K902" s="50" t="str">
        <f>IFERROR(XiuYueXiaoShu(IF(J902="","",(J902-基本信息!$B$28)/基本信息!$B$29)*(基本信息!$C$9)/F902/1000*IF(G902="",1,G902),基本信息!$C$11,基本信息!$C$34,1),"")</f>
        <v/>
      </c>
    </row>
    <row r="903" spans="1:11" ht="19.5" customHeight="1">
      <c r="A903" s="46"/>
      <c r="B903" s="47"/>
      <c r="C903" s="46"/>
      <c r="D903" s="46"/>
      <c r="E903" s="46"/>
      <c r="J903" s="44" t="str">
        <f>IFERROR(BaoLiuXiaoShuWei(AVERAGE(H903:I903),2),"")</f>
        <v/>
      </c>
      <c r="K903" s="50" t="str">
        <f>IFERROR(XiuYueXiaoShu(IF(J903="","",(J903-基本信息!$B$28)/基本信息!$B$29)*(基本信息!$C$9)/F903/1000*IF(G903="",1,G903),基本信息!$C$11,基本信息!$C$34,1),"")</f>
        <v/>
      </c>
    </row>
    <row r="904" spans="1:11" ht="19.5" customHeight="1">
      <c r="A904" s="46"/>
      <c r="B904" s="47"/>
      <c r="C904" s="46"/>
      <c r="D904" s="46"/>
      <c r="E904" s="46"/>
      <c r="J904" s="44" t="str">
        <f>IFERROR(BaoLiuXiaoShuWei(AVERAGE(H904:I904),2),"")</f>
        <v/>
      </c>
      <c r="K904" s="50" t="str">
        <f>IFERROR(XiuYueXiaoShu(IF(J904="","",(J904-基本信息!$B$28)/基本信息!$B$29)*(基本信息!$C$9)/F904/1000*IF(G904="",1,G904),基本信息!$C$11,基本信息!$C$34,1),"")</f>
        <v/>
      </c>
    </row>
    <row r="905" spans="1:11" ht="19.5" customHeight="1">
      <c r="A905" s="46"/>
      <c r="B905" s="47"/>
      <c r="C905" s="46"/>
      <c r="D905" s="46"/>
      <c r="E905" s="46"/>
      <c r="J905" s="44" t="str">
        <f>IFERROR(BaoLiuXiaoShuWei(AVERAGE(H905:I905),2),"")</f>
        <v/>
      </c>
      <c r="K905" s="50" t="str">
        <f>IFERROR(XiuYueXiaoShu(IF(J905="","",(J905-基本信息!$B$28)/基本信息!$B$29)*(基本信息!$C$9)/F905/1000*IF(G905="",1,G905),基本信息!$C$11,基本信息!$C$34,1),"")</f>
        <v/>
      </c>
    </row>
    <row r="906" spans="1:11" ht="19.5" customHeight="1">
      <c r="A906" s="46"/>
      <c r="B906" s="47"/>
      <c r="C906" s="46"/>
      <c r="D906" s="46"/>
      <c r="E906" s="46"/>
      <c r="J906" s="44" t="str">
        <f>IFERROR(BaoLiuXiaoShuWei(AVERAGE(H906:I906),2),"")</f>
        <v/>
      </c>
      <c r="K906" s="50" t="str">
        <f>IFERROR(XiuYueXiaoShu(IF(J906="","",(J906-基本信息!$B$28)/基本信息!$B$29)*(基本信息!$C$9)/F906/1000*IF(G906="",1,G906),基本信息!$C$11,基本信息!$C$34,1),"")</f>
        <v/>
      </c>
    </row>
    <row r="907" spans="1:11" ht="19.5" customHeight="1">
      <c r="A907" s="46"/>
      <c r="B907" s="47"/>
      <c r="C907" s="46"/>
      <c r="D907" s="46"/>
      <c r="E907" s="46"/>
      <c r="J907" s="44" t="str">
        <f>IFERROR(BaoLiuXiaoShuWei(AVERAGE(H907:I907),2),"")</f>
        <v/>
      </c>
      <c r="K907" s="50" t="str">
        <f>IFERROR(XiuYueXiaoShu(IF(J907="","",(J907-基本信息!$B$28)/基本信息!$B$29)*(基本信息!$C$9)/F907/1000*IF(G907="",1,G907),基本信息!$C$11,基本信息!$C$34,1),"")</f>
        <v/>
      </c>
    </row>
    <row r="908" spans="1:11" ht="19.5" customHeight="1">
      <c r="A908" s="46"/>
      <c r="B908" s="47"/>
      <c r="C908" s="46"/>
      <c r="D908" s="46"/>
      <c r="E908" s="46"/>
      <c r="J908" s="44" t="str">
        <f>IFERROR(BaoLiuXiaoShuWei(AVERAGE(H908:I908),2),"")</f>
        <v/>
      </c>
      <c r="K908" s="50" t="str">
        <f>IFERROR(XiuYueXiaoShu(IF(J908="","",(J908-基本信息!$B$28)/基本信息!$B$29)*(基本信息!$C$9)/F908/1000*IF(G908="",1,G908),基本信息!$C$11,基本信息!$C$34,1),"")</f>
        <v/>
      </c>
    </row>
    <row r="909" spans="1:11" ht="19.5" customHeight="1">
      <c r="A909" s="46"/>
      <c r="B909" s="47"/>
      <c r="C909" s="46"/>
      <c r="D909" s="46"/>
      <c r="E909" s="46"/>
      <c r="J909" s="44" t="str">
        <f>IFERROR(BaoLiuXiaoShuWei(AVERAGE(H909:I909),2),"")</f>
        <v/>
      </c>
      <c r="K909" s="50" t="str">
        <f>IFERROR(XiuYueXiaoShu(IF(J909="","",(J909-基本信息!$B$28)/基本信息!$B$29)*(基本信息!$C$9)/F909/1000*IF(G909="",1,G909),基本信息!$C$11,基本信息!$C$34,1),"")</f>
        <v/>
      </c>
    </row>
    <row r="910" spans="1:11" ht="19.5" customHeight="1">
      <c r="A910" s="46"/>
      <c r="B910" s="47"/>
      <c r="C910" s="46"/>
      <c r="D910" s="46"/>
      <c r="E910" s="46"/>
      <c r="J910" s="44" t="str">
        <f>IFERROR(BaoLiuXiaoShuWei(AVERAGE(H910:I910),2),"")</f>
        <v/>
      </c>
      <c r="K910" s="50" t="str">
        <f>IFERROR(XiuYueXiaoShu(IF(J910="","",(J910-基本信息!$B$28)/基本信息!$B$29)*(基本信息!$C$9)/F910/1000*IF(G910="",1,G910),基本信息!$C$11,基本信息!$C$34,1),"")</f>
        <v/>
      </c>
    </row>
    <row r="911" spans="1:11" ht="19.5" customHeight="1">
      <c r="A911" s="46"/>
      <c r="B911" s="47"/>
      <c r="C911" s="46"/>
      <c r="D911" s="46"/>
      <c r="E911" s="46"/>
      <c r="J911" s="44" t="str">
        <f>IFERROR(BaoLiuXiaoShuWei(AVERAGE(H911:I911),2),"")</f>
        <v/>
      </c>
      <c r="K911" s="50" t="str">
        <f>IFERROR(XiuYueXiaoShu(IF(J911="","",(J911-基本信息!$B$28)/基本信息!$B$29)*(基本信息!$C$9)/F911/1000*IF(G911="",1,G911),基本信息!$C$11,基本信息!$C$34,1),"")</f>
        <v/>
      </c>
    </row>
    <row r="912" spans="1:11" ht="19.5" customHeight="1">
      <c r="A912" s="46"/>
      <c r="B912" s="47"/>
      <c r="C912" s="46"/>
      <c r="D912" s="46"/>
      <c r="E912" s="46"/>
      <c r="J912" s="44" t="str">
        <f>IFERROR(BaoLiuXiaoShuWei(AVERAGE(H912:I912),2),"")</f>
        <v/>
      </c>
      <c r="K912" s="50" t="str">
        <f>IFERROR(XiuYueXiaoShu(IF(J912="","",(J912-基本信息!$B$28)/基本信息!$B$29)*(基本信息!$C$9)/F912/1000*IF(G912="",1,G912),基本信息!$C$11,基本信息!$C$34,1),"")</f>
        <v/>
      </c>
    </row>
    <row r="913" spans="1:11" ht="19.5" customHeight="1">
      <c r="A913" s="46"/>
      <c r="B913" s="47"/>
      <c r="C913" s="46"/>
      <c r="D913" s="46"/>
      <c r="E913" s="46"/>
      <c r="J913" s="44" t="str">
        <f>IFERROR(BaoLiuXiaoShuWei(AVERAGE(H913:I913),2),"")</f>
        <v/>
      </c>
      <c r="K913" s="50" t="str">
        <f>IFERROR(XiuYueXiaoShu(IF(J913="","",(J913-基本信息!$B$28)/基本信息!$B$29)*(基本信息!$C$9)/F913/1000*IF(G913="",1,G913),基本信息!$C$11,基本信息!$C$34,1),"")</f>
        <v/>
      </c>
    </row>
    <row r="914" spans="1:11" ht="19.5" customHeight="1">
      <c r="A914" s="46"/>
      <c r="B914" s="47"/>
      <c r="C914" s="46"/>
      <c r="D914" s="46"/>
      <c r="E914" s="46"/>
      <c r="J914" s="44" t="str">
        <f>IFERROR(BaoLiuXiaoShuWei(AVERAGE(H914:I914),2),"")</f>
        <v/>
      </c>
      <c r="K914" s="50" t="str">
        <f>IFERROR(XiuYueXiaoShu(IF(J914="","",(J914-基本信息!$B$28)/基本信息!$B$29)*(基本信息!$C$9)/F914/1000*IF(G914="",1,G914),基本信息!$C$11,基本信息!$C$34,1),"")</f>
        <v/>
      </c>
    </row>
    <row r="915" spans="1:11" ht="19.5" customHeight="1">
      <c r="A915" s="46"/>
      <c r="B915" s="47"/>
      <c r="C915" s="46"/>
      <c r="D915" s="46"/>
      <c r="E915" s="46"/>
      <c r="J915" s="44" t="str">
        <f>IFERROR(BaoLiuXiaoShuWei(AVERAGE(H915:I915),2),"")</f>
        <v/>
      </c>
      <c r="K915" s="50" t="str">
        <f>IFERROR(XiuYueXiaoShu(IF(J915="","",(J915-基本信息!$B$28)/基本信息!$B$29)*(基本信息!$C$9)/F915/1000*IF(G915="",1,G915),基本信息!$C$11,基本信息!$C$34,1),"")</f>
        <v/>
      </c>
    </row>
    <row r="916" spans="1:11" ht="19.5" customHeight="1">
      <c r="A916" s="46"/>
      <c r="B916" s="47"/>
      <c r="C916" s="46"/>
      <c r="D916" s="46"/>
      <c r="E916" s="46"/>
      <c r="J916" s="44" t="str">
        <f>IFERROR(BaoLiuXiaoShuWei(AVERAGE(H916:I916),2),"")</f>
        <v/>
      </c>
      <c r="K916" s="50" t="str">
        <f>IFERROR(XiuYueXiaoShu(IF(J916="","",(J916-基本信息!$B$28)/基本信息!$B$29)*(基本信息!$C$9)/F916/1000*IF(G916="",1,G916),基本信息!$C$11,基本信息!$C$34,1),"")</f>
        <v/>
      </c>
    </row>
    <row r="917" spans="1:11" ht="19.5" customHeight="1">
      <c r="A917" s="46"/>
      <c r="B917" s="47"/>
      <c r="C917" s="46"/>
      <c r="D917" s="46"/>
      <c r="E917" s="46"/>
      <c r="J917" s="44" t="str">
        <f>IFERROR(BaoLiuXiaoShuWei(AVERAGE(H917:I917),2),"")</f>
        <v/>
      </c>
      <c r="K917" s="50" t="str">
        <f>IFERROR(XiuYueXiaoShu(IF(J917="","",(J917-基本信息!$B$28)/基本信息!$B$29)*(基本信息!$C$9)/F917/1000*IF(G917="",1,G917),基本信息!$C$11,基本信息!$C$34,1),"")</f>
        <v/>
      </c>
    </row>
    <row r="918" spans="1:11" ht="19.5" customHeight="1">
      <c r="A918" s="46"/>
      <c r="B918" s="47"/>
      <c r="C918" s="46"/>
      <c r="D918" s="46"/>
      <c r="E918" s="46"/>
      <c r="J918" s="44" t="str">
        <f>IFERROR(BaoLiuXiaoShuWei(AVERAGE(H918:I918),2),"")</f>
        <v/>
      </c>
      <c r="K918" s="50" t="str">
        <f>IFERROR(XiuYueXiaoShu(IF(J918="","",(J918-基本信息!$B$28)/基本信息!$B$29)*(基本信息!$C$9)/F918/1000*IF(G918="",1,G918),基本信息!$C$11,基本信息!$C$34,1),"")</f>
        <v/>
      </c>
    </row>
    <row r="919" spans="1:11" ht="19.5" customHeight="1">
      <c r="A919" s="46"/>
      <c r="B919" s="47"/>
      <c r="C919" s="46"/>
      <c r="D919" s="46"/>
      <c r="E919" s="46"/>
      <c r="J919" s="44" t="str">
        <f>IFERROR(BaoLiuXiaoShuWei(AVERAGE(H919:I919),2),"")</f>
        <v/>
      </c>
      <c r="K919" s="50" t="str">
        <f>IFERROR(XiuYueXiaoShu(IF(J919="","",(J919-基本信息!$B$28)/基本信息!$B$29)*(基本信息!$C$9)/F919/1000*IF(G919="",1,G919),基本信息!$C$11,基本信息!$C$34,1),"")</f>
        <v/>
      </c>
    </row>
    <row r="920" spans="1:11" ht="19.5" customHeight="1">
      <c r="A920" s="46"/>
      <c r="B920" s="47"/>
      <c r="C920" s="46"/>
      <c r="D920" s="46"/>
      <c r="E920" s="46"/>
      <c r="J920" s="44" t="str">
        <f>IFERROR(BaoLiuXiaoShuWei(AVERAGE(H920:I920),2),"")</f>
        <v/>
      </c>
      <c r="K920" s="50" t="str">
        <f>IFERROR(XiuYueXiaoShu(IF(J920="","",(J920-基本信息!$B$28)/基本信息!$B$29)*(基本信息!$C$9)/F920/1000*IF(G920="",1,G920),基本信息!$C$11,基本信息!$C$34,1),"")</f>
        <v/>
      </c>
    </row>
    <row r="921" spans="1:11" ht="19.5" customHeight="1">
      <c r="A921" s="46"/>
      <c r="B921" s="47"/>
      <c r="C921" s="46"/>
      <c r="D921" s="46"/>
      <c r="E921" s="46"/>
      <c r="J921" s="44" t="str">
        <f>IFERROR(BaoLiuXiaoShuWei(AVERAGE(H921:I921),2),"")</f>
        <v/>
      </c>
      <c r="K921" s="50" t="str">
        <f>IFERROR(XiuYueXiaoShu(IF(J921="","",(J921-基本信息!$B$28)/基本信息!$B$29)*(基本信息!$C$9)/F921/1000*IF(G921="",1,G921),基本信息!$C$11,基本信息!$C$34,1),"")</f>
        <v/>
      </c>
    </row>
    <row r="922" spans="1:11" ht="19.5" customHeight="1">
      <c r="A922" s="46"/>
      <c r="B922" s="47"/>
      <c r="C922" s="46"/>
      <c r="D922" s="46"/>
      <c r="E922" s="46"/>
      <c r="J922" s="44" t="str">
        <f>IFERROR(BaoLiuXiaoShuWei(AVERAGE(H922:I922),2),"")</f>
        <v/>
      </c>
      <c r="K922" s="50" t="str">
        <f>IFERROR(XiuYueXiaoShu(IF(J922="","",(J922-基本信息!$B$28)/基本信息!$B$29)*(基本信息!$C$9)/F922/1000*IF(G922="",1,G922),基本信息!$C$11,基本信息!$C$34,1),"")</f>
        <v/>
      </c>
    </row>
    <row r="923" spans="1:11" ht="19.5" customHeight="1">
      <c r="A923" s="46"/>
      <c r="B923" s="47"/>
      <c r="C923" s="46"/>
      <c r="D923" s="46"/>
      <c r="E923" s="46"/>
      <c r="J923" s="44" t="str">
        <f>IFERROR(BaoLiuXiaoShuWei(AVERAGE(H923:I923),2),"")</f>
        <v/>
      </c>
      <c r="K923" s="50" t="str">
        <f>IFERROR(XiuYueXiaoShu(IF(J923="","",(J923-基本信息!$B$28)/基本信息!$B$29)*(基本信息!$C$9)/F923/1000*IF(G923="",1,G923),基本信息!$C$11,基本信息!$C$34,1),"")</f>
        <v/>
      </c>
    </row>
    <row r="924" spans="1:11" ht="19.5" customHeight="1">
      <c r="A924" s="46"/>
      <c r="B924" s="47"/>
      <c r="C924" s="46"/>
      <c r="D924" s="46"/>
      <c r="E924" s="46"/>
      <c r="J924" s="44" t="str">
        <f>IFERROR(BaoLiuXiaoShuWei(AVERAGE(H924:I924),2),"")</f>
        <v/>
      </c>
      <c r="K924" s="50" t="str">
        <f>IFERROR(XiuYueXiaoShu(IF(J924="","",(J924-基本信息!$B$28)/基本信息!$B$29)*(基本信息!$C$9)/F924/1000*IF(G924="",1,G924),基本信息!$C$11,基本信息!$C$34,1),"")</f>
        <v/>
      </c>
    </row>
    <row r="925" spans="1:11" ht="19.5" customHeight="1">
      <c r="A925" s="46"/>
      <c r="B925" s="47"/>
      <c r="C925" s="46"/>
      <c r="D925" s="46"/>
      <c r="E925" s="46"/>
      <c r="J925" s="44" t="str">
        <f>IFERROR(BaoLiuXiaoShuWei(AVERAGE(H925:I925),2),"")</f>
        <v/>
      </c>
      <c r="K925" s="50" t="str">
        <f>IFERROR(XiuYueXiaoShu(IF(J925="","",(J925-基本信息!$B$28)/基本信息!$B$29)*(基本信息!$C$9)/F925/1000*IF(G925="",1,G925),基本信息!$C$11,基本信息!$C$34,1),"")</f>
        <v/>
      </c>
    </row>
    <row r="926" spans="1:11" ht="19.5" customHeight="1">
      <c r="A926" s="46"/>
      <c r="B926" s="47"/>
      <c r="C926" s="46"/>
      <c r="D926" s="46"/>
      <c r="E926" s="46"/>
      <c r="J926" s="44" t="str">
        <f>IFERROR(BaoLiuXiaoShuWei(AVERAGE(H926:I926),2),"")</f>
        <v/>
      </c>
      <c r="K926" s="50" t="str">
        <f>IFERROR(XiuYueXiaoShu(IF(J926="","",(J926-基本信息!$B$28)/基本信息!$B$29)*(基本信息!$C$9)/F926/1000*IF(G926="",1,G926),基本信息!$C$11,基本信息!$C$34,1),"")</f>
        <v/>
      </c>
    </row>
    <row r="927" spans="1:11" ht="19.5" customHeight="1">
      <c r="A927" s="46"/>
      <c r="B927" s="47"/>
      <c r="C927" s="46"/>
      <c r="D927" s="46"/>
      <c r="E927" s="46"/>
      <c r="J927" s="44" t="str">
        <f>IFERROR(BaoLiuXiaoShuWei(AVERAGE(H927:I927),2),"")</f>
        <v/>
      </c>
      <c r="K927" s="50" t="str">
        <f>IFERROR(XiuYueXiaoShu(IF(J927="","",(J927-基本信息!$B$28)/基本信息!$B$29)*(基本信息!$C$9)/F927/1000*IF(G927="",1,G927),基本信息!$C$11,基本信息!$C$34,1),"")</f>
        <v/>
      </c>
    </row>
    <row r="928" spans="1:11" ht="19.5" customHeight="1">
      <c r="A928" s="46"/>
      <c r="B928" s="47"/>
      <c r="C928" s="46"/>
      <c r="D928" s="46"/>
      <c r="E928" s="46"/>
      <c r="J928" s="44" t="str">
        <f>IFERROR(BaoLiuXiaoShuWei(AVERAGE(H928:I928),2),"")</f>
        <v/>
      </c>
      <c r="K928" s="50" t="str">
        <f>IFERROR(XiuYueXiaoShu(IF(J928="","",(J928-基本信息!$B$28)/基本信息!$B$29)*(基本信息!$C$9)/F928/1000*IF(G928="",1,G928),基本信息!$C$11,基本信息!$C$34,1),"")</f>
        <v/>
      </c>
    </row>
    <row r="929" spans="1:11" ht="19.5" customHeight="1">
      <c r="A929" s="46"/>
      <c r="B929" s="47"/>
      <c r="C929" s="46"/>
      <c r="D929" s="46"/>
      <c r="E929" s="46"/>
      <c r="J929" s="44" t="str">
        <f>IFERROR(BaoLiuXiaoShuWei(AVERAGE(H929:I929),2),"")</f>
        <v/>
      </c>
      <c r="K929" s="50" t="str">
        <f>IFERROR(XiuYueXiaoShu(IF(J929="","",(J929-基本信息!$B$28)/基本信息!$B$29)*(基本信息!$C$9)/F929/1000*IF(G929="",1,G929),基本信息!$C$11,基本信息!$C$34,1),"")</f>
        <v/>
      </c>
    </row>
    <row r="930" spans="1:11" ht="19.5" customHeight="1">
      <c r="A930" s="46"/>
      <c r="B930" s="47"/>
      <c r="C930" s="46"/>
      <c r="D930" s="46"/>
      <c r="E930" s="46"/>
      <c r="J930" s="44" t="str">
        <f>IFERROR(BaoLiuXiaoShuWei(AVERAGE(H930:I930),2),"")</f>
        <v/>
      </c>
      <c r="K930" s="50" t="str">
        <f>IFERROR(XiuYueXiaoShu(IF(J930="","",(J930-基本信息!$B$28)/基本信息!$B$29)*(基本信息!$C$9)/F930/1000*IF(G930="",1,G930),基本信息!$C$11,基本信息!$C$34,1),"")</f>
        <v/>
      </c>
    </row>
    <row r="931" spans="1:11" ht="19.5" customHeight="1">
      <c r="A931" s="46"/>
      <c r="B931" s="47"/>
      <c r="C931" s="46"/>
      <c r="D931" s="46"/>
      <c r="E931" s="46"/>
      <c r="J931" s="44" t="str">
        <f>IFERROR(BaoLiuXiaoShuWei(AVERAGE(H931:I931),2),"")</f>
        <v/>
      </c>
      <c r="K931" s="50" t="str">
        <f>IFERROR(XiuYueXiaoShu(IF(J931="","",(J931-基本信息!$B$28)/基本信息!$B$29)*(基本信息!$C$9)/F931/1000*IF(G931="",1,G931),基本信息!$C$11,基本信息!$C$34,1),"")</f>
        <v/>
      </c>
    </row>
    <row r="932" spans="1:11" ht="19.5" customHeight="1">
      <c r="A932" s="46"/>
      <c r="B932" s="47"/>
      <c r="C932" s="46"/>
      <c r="D932" s="46"/>
      <c r="E932" s="46"/>
      <c r="J932" s="44" t="str">
        <f>IFERROR(BaoLiuXiaoShuWei(AVERAGE(H932:I932),2),"")</f>
        <v/>
      </c>
      <c r="K932" s="50" t="str">
        <f>IFERROR(XiuYueXiaoShu(IF(J932="","",(J932-基本信息!$B$28)/基本信息!$B$29)*(基本信息!$C$9)/F932/1000*IF(G932="",1,G932),基本信息!$C$11,基本信息!$C$34,1),"")</f>
        <v/>
      </c>
    </row>
    <row r="933" spans="1:11" ht="19.5" customHeight="1">
      <c r="A933" s="46"/>
      <c r="B933" s="47"/>
      <c r="C933" s="46"/>
      <c r="D933" s="46"/>
      <c r="E933" s="46"/>
      <c r="J933" s="44" t="str">
        <f>IFERROR(BaoLiuXiaoShuWei(AVERAGE(H933:I933),2),"")</f>
        <v/>
      </c>
      <c r="K933" s="50" t="str">
        <f>IFERROR(XiuYueXiaoShu(IF(J933="","",(J933-基本信息!$B$28)/基本信息!$B$29)*(基本信息!$C$9)/F933/1000*IF(G933="",1,G933),基本信息!$C$11,基本信息!$C$34,1),"")</f>
        <v/>
      </c>
    </row>
    <row r="934" spans="1:11" ht="19.5" customHeight="1">
      <c r="A934" s="46"/>
      <c r="B934" s="47"/>
      <c r="C934" s="46"/>
      <c r="D934" s="46"/>
      <c r="E934" s="46"/>
      <c r="J934" s="44" t="str">
        <f>IFERROR(BaoLiuXiaoShuWei(AVERAGE(H934:I934),2),"")</f>
        <v/>
      </c>
      <c r="K934" s="50" t="str">
        <f>IFERROR(XiuYueXiaoShu(IF(J934="","",(J934-基本信息!$B$28)/基本信息!$B$29)*(基本信息!$C$9)/F934/1000*IF(G934="",1,G934),基本信息!$C$11,基本信息!$C$34,1),"")</f>
        <v/>
      </c>
    </row>
    <row r="935" spans="1:11" ht="19.5" customHeight="1">
      <c r="A935" s="46"/>
      <c r="B935" s="47"/>
      <c r="C935" s="46"/>
      <c r="D935" s="46"/>
      <c r="E935" s="46"/>
      <c r="J935" s="44" t="str">
        <f>IFERROR(BaoLiuXiaoShuWei(AVERAGE(H935:I935),2),"")</f>
        <v/>
      </c>
      <c r="K935" s="50" t="str">
        <f>IFERROR(XiuYueXiaoShu(IF(J935="","",(J935-基本信息!$B$28)/基本信息!$B$29)*(基本信息!$C$9)/F935/1000*IF(G935="",1,G935),基本信息!$C$11,基本信息!$C$34,1),"")</f>
        <v/>
      </c>
    </row>
    <row r="936" spans="1:11" ht="19.5" customHeight="1">
      <c r="A936" s="46"/>
      <c r="B936" s="47"/>
      <c r="C936" s="46"/>
      <c r="D936" s="46"/>
      <c r="E936" s="46"/>
      <c r="J936" s="44" t="str">
        <f>IFERROR(BaoLiuXiaoShuWei(AVERAGE(H936:I936),2),"")</f>
        <v/>
      </c>
      <c r="K936" s="50" t="str">
        <f>IFERROR(XiuYueXiaoShu(IF(J936="","",(J936-基本信息!$B$28)/基本信息!$B$29)*(基本信息!$C$9)/F936/1000*IF(G936="",1,G936),基本信息!$C$11,基本信息!$C$34,1),"")</f>
        <v/>
      </c>
    </row>
    <row r="937" spans="1:11" ht="19.5" customHeight="1">
      <c r="A937" s="46"/>
      <c r="B937" s="47"/>
      <c r="C937" s="46"/>
      <c r="D937" s="46"/>
      <c r="E937" s="46"/>
      <c r="J937" s="44" t="str">
        <f>IFERROR(BaoLiuXiaoShuWei(AVERAGE(H937:I937),2),"")</f>
        <v/>
      </c>
      <c r="K937" s="50" t="str">
        <f>IFERROR(XiuYueXiaoShu(IF(J937="","",(J937-基本信息!$B$28)/基本信息!$B$29)*(基本信息!$C$9)/F937/1000*IF(G937="",1,G937),基本信息!$C$11,基本信息!$C$34,1),"")</f>
        <v/>
      </c>
    </row>
    <row r="938" spans="1:11" ht="19.5" customHeight="1">
      <c r="A938" s="46"/>
      <c r="B938" s="47"/>
      <c r="C938" s="46"/>
      <c r="D938" s="46"/>
      <c r="E938" s="46"/>
      <c r="J938" s="44" t="str">
        <f>IFERROR(BaoLiuXiaoShuWei(AVERAGE(H938:I938),2),"")</f>
        <v/>
      </c>
      <c r="K938" s="50" t="str">
        <f>IFERROR(XiuYueXiaoShu(IF(J938="","",(J938-基本信息!$B$28)/基本信息!$B$29)*(基本信息!$C$9)/F938/1000*IF(G938="",1,G938),基本信息!$C$11,基本信息!$C$34,1),"")</f>
        <v/>
      </c>
    </row>
    <row r="939" spans="1:11" ht="19.5" customHeight="1">
      <c r="A939" s="46"/>
      <c r="B939" s="47"/>
      <c r="C939" s="46"/>
      <c r="D939" s="46"/>
      <c r="E939" s="46"/>
      <c r="J939" s="44" t="str">
        <f>IFERROR(BaoLiuXiaoShuWei(AVERAGE(H939:I939),2),"")</f>
        <v/>
      </c>
      <c r="K939" s="50" t="str">
        <f>IFERROR(XiuYueXiaoShu(IF(J939="","",(J939-基本信息!$B$28)/基本信息!$B$29)*(基本信息!$C$9)/F939/1000*IF(G939="",1,G939),基本信息!$C$11,基本信息!$C$34,1),"")</f>
        <v/>
      </c>
    </row>
    <row r="940" spans="1:11" ht="19.5" customHeight="1">
      <c r="A940" s="46"/>
      <c r="B940" s="47"/>
      <c r="C940" s="46"/>
      <c r="D940" s="46"/>
      <c r="E940" s="46"/>
      <c r="J940" s="44" t="str">
        <f>IFERROR(BaoLiuXiaoShuWei(AVERAGE(H940:I940),2),"")</f>
        <v/>
      </c>
      <c r="K940" s="50" t="str">
        <f>IFERROR(XiuYueXiaoShu(IF(J940="","",(J940-基本信息!$B$28)/基本信息!$B$29)*(基本信息!$C$9)/F940/1000*IF(G940="",1,G940),基本信息!$C$11,基本信息!$C$34,1),"")</f>
        <v/>
      </c>
    </row>
    <row r="941" spans="1:11" ht="19.5" customHeight="1">
      <c r="A941" s="46"/>
      <c r="B941" s="47"/>
      <c r="C941" s="46"/>
      <c r="D941" s="46"/>
      <c r="E941" s="46"/>
      <c r="J941" s="44" t="str">
        <f>IFERROR(BaoLiuXiaoShuWei(AVERAGE(H941:I941),2),"")</f>
        <v/>
      </c>
      <c r="K941" s="50" t="str">
        <f>IFERROR(XiuYueXiaoShu(IF(J941="","",(J941-基本信息!$B$28)/基本信息!$B$29)*(基本信息!$C$9)/F941/1000*IF(G941="",1,G941),基本信息!$C$11,基本信息!$C$34,1),"")</f>
        <v/>
      </c>
    </row>
    <row r="942" spans="1:11" ht="19.5" customHeight="1">
      <c r="A942" s="46"/>
      <c r="B942" s="47"/>
      <c r="C942" s="46"/>
      <c r="D942" s="46"/>
      <c r="E942" s="46"/>
      <c r="J942" s="44" t="str">
        <f>IFERROR(BaoLiuXiaoShuWei(AVERAGE(H942:I942),2),"")</f>
        <v/>
      </c>
      <c r="K942" s="50" t="str">
        <f>IFERROR(XiuYueXiaoShu(IF(J942="","",(J942-基本信息!$B$28)/基本信息!$B$29)*(基本信息!$C$9)/F942/1000*IF(G942="",1,G942),基本信息!$C$11,基本信息!$C$34,1),"")</f>
        <v/>
      </c>
    </row>
    <row r="943" spans="1:11" ht="19.5" customHeight="1">
      <c r="A943" s="46"/>
      <c r="B943" s="47"/>
      <c r="C943" s="46"/>
      <c r="D943" s="46"/>
      <c r="E943" s="46"/>
      <c r="J943" s="44" t="str">
        <f>IFERROR(BaoLiuXiaoShuWei(AVERAGE(H943:I943),2),"")</f>
        <v/>
      </c>
      <c r="K943" s="50" t="str">
        <f>IFERROR(XiuYueXiaoShu(IF(J943="","",(J943-基本信息!$B$28)/基本信息!$B$29)*(基本信息!$C$9)/F943/1000*IF(G943="",1,G943),基本信息!$C$11,基本信息!$C$34,1),"")</f>
        <v/>
      </c>
    </row>
    <row r="944" spans="1:11" ht="19.5" customHeight="1">
      <c r="A944" s="46"/>
      <c r="B944" s="47"/>
      <c r="C944" s="46"/>
      <c r="D944" s="46"/>
      <c r="E944" s="46"/>
      <c r="J944" s="44" t="str">
        <f>IFERROR(BaoLiuXiaoShuWei(AVERAGE(H944:I944),2),"")</f>
        <v/>
      </c>
      <c r="K944" s="50" t="str">
        <f>IFERROR(XiuYueXiaoShu(IF(J944="","",(J944-基本信息!$B$28)/基本信息!$B$29)*(基本信息!$C$9)/F944/1000*IF(G944="",1,G944),基本信息!$C$11,基本信息!$C$34,1),"")</f>
        <v/>
      </c>
    </row>
    <row r="945" spans="1:11" ht="19.5" customHeight="1">
      <c r="A945" s="46"/>
      <c r="B945" s="47"/>
      <c r="C945" s="46"/>
      <c r="D945" s="46"/>
      <c r="E945" s="46"/>
      <c r="J945" s="44" t="str">
        <f>IFERROR(BaoLiuXiaoShuWei(AVERAGE(H945:I945),2),"")</f>
        <v/>
      </c>
      <c r="K945" s="50" t="str">
        <f>IFERROR(XiuYueXiaoShu(IF(J945="","",(J945-基本信息!$B$28)/基本信息!$B$29)*(基本信息!$C$9)/F945/1000*IF(G945="",1,G945),基本信息!$C$11,基本信息!$C$34,1),"")</f>
        <v/>
      </c>
    </row>
    <row r="946" spans="1:11" ht="19.5" customHeight="1">
      <c r="A946" s="46"/>
      <c r="B946" s="47"/>
      <c r="C946" s="46"/>
      <c r="D946" s="46"/>
      <c r="E946" s="46"/>
      <c r="J946" s="44" t="str">
        <f>IFERROR(BaoLiuXiaoShuWei(AVERAGE(H946:I946),2),"")</f>
        <v/>
      </c>
      <c r="K946" s="50" t="str">
        <f>IFERROR(XiuYueXiaoShu(IF(J946="","",(J946-基本信息!$B$28)/基本信息!$B$29)*(基本信息!$C$9)/F946/1000*IF(G946="",1,G946),基本信息!$C$11,基本信息!$C$34,1),"")</f>
        <v/>
      </c>
    </row>
    <row r="947" spans="1:11" ht="19.5" customHeight="1">
      <c r="A947" s="46"/>
      <c r="B947" s="47"/>
      <c r="C947" s="46"/>
      <c r="D947" s="46"/>
      <c r="E947" s="46"/>
      <c r="J947" s="44" t="str">
        <f>IFERROR(BaoLiuXiaoShuWei(AVERAGE(H947:I947),2),"")</f>
        <v/>
      </c>
      <c r="K947" s="50" t="str">
        <f>IFERROR(XiuYueXiaoShu(IF(J947="","",(J947-基本信息!$B$28)/基本信息!$B$29)*(基本信息!$C$9)/F947/1000*IF(G947="",1,G947),基本信息!$C$11,基本信息!$C$34,1),"")</f>
        <v/>
      </c>
    </row>
    <row r="948" spans="1:11" ht="19.5" customHeight="1">
      <c r="A948" s="46"/>
      <c r="B948" s="47"/>
      <c r="C948" s="46"/>
      <c r="D948" s="46"/>
      <c r="E948" s="46"/>
      <c r="J948" s="44" t="str">
        <f>IFERROR(BaoLiuXiaoShuWei(AVERAGE(H948:I948),2),"")</f>
        <v/>
      </c>
      <c r="K948" s="50" t="str">
        <f>IFERROR(XiuYueXiaoShu(IF(J948="","",(J948-基本信息!$B$28)/基本信息!$B$29)*(基本信息!$C$9)/F948/1000*IF(G948="",1,G948),基本信息!$C$11,基本信息!$C$34,1),"")</f>
        <v/>
      </c>
    </row>
    <row r="949" spans="1:11" ht="19.5" customHeight="1">
      <c r="A949" s="46"/>
      <c r="B949" s="47"/>
      <c r="C949" s="46"/>
      <c r="D949" s="46"/>
      <c r="E949" s="46"/>
      <c r="J949" s="44" t="str">
        <f>IFERROR(BaoLiuXiaoShuWei(AVERAGE(H949:I949),2),"")</f>
        <v/>
      </c>
      <c r="K949" s="50" t="str">
        <f>IFERROR(XiuYueXiaoShu(IF(J949="","",(J949-基本信息!$B$28)/基本信息!$B$29)*(基本信息!$C$9)/F949/1000*IF(G949="",1,G949),基本信息!$C$11,基本信息!$C$34,1),"")</f>
        <v/>
      </c>
    </row>
    <row r="950" spans="1:11" ht="19.5" customHeight="1">
      <c r="A950" s="46"/>
      <c r="B950" s="47"/>
      <c r="C950" s="46"/>
      <c r="D950" s="46"/>
      <c r="E950" s="46"/>
      <c r="J950" s="44" t="str">
        <f>IFERROR(BaoLiuXiaoShuWei(AVERAGE(H950:I950),2),"")</f>
        <v/>
      </c>
      <c r="K950" s="50" t="str">
        <f>IFERROR(XiuYueXiaoShu(IF(J950="","",(J950-基本信息!$B$28)/基本信息!$B$29)*(基本信息!$C$9)/F950/1000*IF(G950="",1,G950),基本信息!$C$11,基本信息!$C$34,1),"")</f>
        <v/>
      </c>
    </row>
    <row r="951" spans="1:11" ht="19.5" customHeight="1">
      <c r="A951" s="46"/>
      <c r="B951" s="47"/>
      <c r="C951" s="46"/>
      <c r="D951" s="46"/>
      <c r="E951" s="46"/>
      <c r="J951" s="44" t="str">
        <f>IFERROR(BaoLiuXiaoShuWei(AVERAGE(H951:I951),2),"")</f>
        <v/>
      </c>
      <c r="K951" s="50" t="str">
        <f>IFERROR(XiuYueXiaoShu(IF(J951="","",(J951-基本信息!$B$28)/基本信息!$B$29)*(基本信息!$C$9)/F951/1000*IF(G951="",1,G951),基本信息!$C$11,基本信息!$C$34,1),"")</f>
        <v/>
      </c>
    </row>
    <row r="952" spans="1:11" ht="19.5" customHeight="1">
      <c r="A952" s="46"/>
      <c r="B952" s="47"/>
      <c r="C952" s="46"/>
      <c r="D952" s="46"/>
      <c r="E952" s="46"/>
      <c r="J952" s="44" t="str">
        <f>IFERROR(BaoLiuXiaoShuWei(AVERAGE(H952:I952),2),"")</f>
        <v/>
      </c>
      <c r="K952" s="50" t="str">
        <f>IFERROR(XiuYueXiaoShu(IF(J952="","",(J952-基本信息!$B$28)/基本信息!$B$29)*(基本信息!$C$9)/F952/1000*IF(G952="",1,G952),基本信息!$C$11,基本信息!$C$34,1),"")</f>
        <v/>
      </c>
    </row>
    <row r="953" spans="1:11" ht="19.5" customHeight="1">
      <c r="A953" s="46"/>
      <c r="B953" s="47"/>
      <c r="C953" s="46"/>
      <c r="D953" s="46"/>
      <c r="E953" s="46"/>
      <c r="J953" s="44" t="str">
        <f>IFERROR(BaoLiuXiaoShuWei(AVERAGE(H953:I953),2),"")</f>
        <v/>
      </c>
      <c r="K953" s="50" t="str">
        <f>IFERROR(XiuYueXiaoShu(IF(J953="","",(J953-基本信息!$B$28)/基本信息!$B$29)*(基本信息!$C$9)/F953/1000*IF(G953="",1,G953),基本信息!$C$11,基本信息!$C$34,1),"")</f>
        <v/>
      </c>
    </row>
    <row r="954" spans="1:11" ht="19.5" customHeight="1">
      <c r="A954" s="46"/>
      <c r="B954" s="47"/>
      <c r="C954" s="46"/>
      <c r="D954" s="46"/>
      <c r="E954" s="46"/>
      <c r="J954" s="44" t="str">
        <f>IFERROR(BaoLiuXiaoShuWei(AVERAGE(H954:I954),2),"")</f>
        <v/>
      </c>
      <c r="K954" s="50" t="str">
        <f>IFERROR(XiuYueXiaoShu(IF(J954="","",(J954-基本信息!$B$28)/基本信息!$B$29)*(基本信息!$C$9)/F954/1000*IF(G954="",1,G954),基本信息!$C$11,基本信息!$C$34,1),"")</f>
        <v/>
      </c>
    </row>
    <row r="955" spans="1:11" ht="19.5" customHeight="1">
      <c r="A955" s="46"/>
      <c r="B955" s="47"/>
      <c r="C955" s="46"/>
      <c r="D955" s="46"/>
      <c r="E955" s="46"/>
      <c r="J955" s="44" t="str">
        <f>IFERROR(BaoLiuXiaoShuWei(AVERAGE(H955:I955),2),"")</f>
        <v/>
      </c>
      <c r="K955" s="50" t="str">
        <f>IFERROR(XiuYueXiaoShu(IF(J955="","",(J955-基本信息!$B$28)/基本信息!$B$29)*(基本信息!$C$9)/F955/1000*IF(G955="",1,G955),基本信息!$C$11,基本信息!$C$34,1),"")</f>
        <v/>
      </c>
    </row>
    <row r="956" spans="1:11" ht="19.5" customHeight="1">
      <c r="A956" s="46"/>
      <c r="B956" s="47"/>
      <c r="C956" s="46"/>
      <c r="D956" s="46"/>
      <c r="E956" s="46"/>
      <c r="J956" s="44" t="str">
        <f>IFERROR(BaoLiuXiaoShuWei(AVERAGE(H956:I956),2),"")</f>
        <v/>
      </c>
      <c r="K956" s="50" t="str">
        <f>IFERROR(XiuYueXiaoShu(IF(J956="","",(J956-基本信息!$B$28)/基本信息!$B$29)*(基本信息!$C$9)/F956/1000*IF(G956="",1,G956),基本信息!$C$11,基本信息!$C$34,1),"")</f>
        <v/>
      </c>
    </row>
    <row r="957" spans="1:11" ht="19.5" customHeight="1">
      <c r="A957" s="46"/>
      <c r="B957" s="47"/>
      <c r="C957" s="46"/>
      <c r="D957" s="46"/>
      <c r="E957" s="46"/>
      <c r="J957" s="44" t="str">
        <f>IFERROR(BaoLiuXiaoShuWei(AVERAGE(H957:I957),2),"")</f>
        <v/>
      </c>
      <c r="K957" s="50" t="str">
        <f>IFERROR(XiuYueXiaoShu(IF(J957="","",(J957-基本信息!$B$28)/基本信息!$B$29)*(基本信息!$C$9)/F957/1000*IF(G957="",1,G957),基本信息!$C$11,基本信息!$C$34,1),"")</f>
        <v/>
      </c>
    </row>
    <row r="958" spans="1:11" ht="19.5" customHeight="1">
      <c r="A958" s="46"/>
      <c r="B958" s="47"/>
      <c r="C958" s="46"/>
      <c r="D958" s="46"/>
      <c r="E958" s="46"/>
      <c r="J958" s="44" t="str">
        <f>IFERROR(BaoLiuXiaoShuWei(AVERAGE(H958:I958),2),"")</f>
        <v/>
      </c>
      <c r="K958" s="50" t="str">
        <f>IFERROR(XiuYueXiaoShu(IF(J958="","",(J958-基本信息!$B$28)/基本信息!$B$29)*(基本信息!$C$9)/F958/1000*IF(G958="",1,G958),基本信息!$C$11,基本信息!$C$34,1),"")</f>
        <v/>
      </c>
    </row>
    <row r="959" spans="1:11" ht="19.5" customHeight="1">
      <c r="A959" s="46"/>
      <c r="B959" s="47"/>
      <c r="C959" s="46"/>
      <c r="D959" s="46"/>
      <c r="E959" s="46"/>
      <c r="J959" s="44" t="str">
        <f>IFERROR(BaoLiuXiaoShuWei(AVERAGE(H959:I959),2),"")</f>
        <v/>
      </c>
      <c r="K959" s="50" t="str">
        <f>IFERROR(XiuYueXiaoShu(IF(J959="","",(J959-基本信息!$B$28)/基本信息!$B$29)*(基本信息!$C$9)/F959/1000*IF(G959="",1,G959),基本信息!$C$11,基本信息!$C$34,1),"")</f>
        <v/>
      </c>
    </row>
    <row r="960" spans="1:11" ht="19.5" customHeight="1">
      <c r="A960" s="46"/>
      <c r="B960" s="47"/>
      <c r="C960" s="46"/>
      <c r="D960" s="46"/>
      <c r="E960" s="46"/>
      <c r="J960" s="44" t="str">
        <f>IFERROR(BaoLiuXiaoShuWei(AVERAGE(H960:I960),2),"")</f>
        <v/>
      </c>
      <c r="K960" s="50" t="str">
        <f>IFERROR(XiuYueXiaoShu(IF(J960="","",(J960-基本信息!$B$28)/基本信息!$B$29)*(基本信息!$C$9)/F960/1000*IF(G960="",1,G960),基本信息!$C$11,基本信息!$C$34,1),"")</f>
        <v/>
      </c>
    </row>
    <row r="961" spans="1:11" ht="19.5" customHeight="1">
      <c r="A961" s="46"/>
      <c r="B961" s="47"/>
      <c r="C961" s="46"/>
      <c r="D961" s="46"/>
      <c r="E961" s="46"/>
      <c r="J961" s="44" t="str">
        <f>IFERROR(BaoLiuXiaoShuWei(AVERAGE(H961:I961),2),"")</f>
        <v/>
      </c>
      <c r="K961" s="50" t="str">
        <f>IFERROR(XiuYueXiaoShu(IF(J961="","",(J961-基本信息!$B$28)/基本信息!$B$29)*(基本信息!$C$9)/F961/1000*IF(G961="",1,G961),基本信息!$C$11,基本信息!$C$34,1),"")</f>
        <v/>
      </c>
    </row>
    <row r="962" spans="1:11" ht="19.5" customHeight="1">
      <c r="A962" s="46"/>
      <c r="B962" s="47"/>
      <c r="C962" s="46"/>
      <c r="D962" s="46"/>
      <c r="E962" s="46"/>
      <c r="J962" s="44" t="str">
        <f>IFERROR(BaoLiuXiaoShuWei(AVERAGE(H962:I962),2),"")</f>
        <v/>
      </c>
      <c r="K962" s="50" t="str">
        <f>IFERROR(XiuYueXiaoShu(IF(J962="","",(J962-基本信息!$B$28)/基本信息!$B$29)*(基本信息!$C$9)/F962/1000*IF(G962="",1,G962),基本信息!$C$11,基本信息!$C$34,1),"")</f>
        <v/>
      </c>
    </row>
    <row r="963" spans="1:11" ht="19.5" customHeight="1">
      <c r="A963" s="46"/>
      <c r="B963" s="47"/>
      <c r="C963" s="46"/>
      <c r="D963" s="46"/>
      <c r="E963" s="46"/>
      <c r="J963" s="44" t="str">
        <f>IFERROR(BaoLiuXiaoShuWei(AVERAGE(H963:I963),2),"")</f>
        <v/>
      </c>
      <c r="K963" s="50" t="str">
        <f>IFERROR(XiuYueXiaoShu(IF(J963="","",(J963-基本信息!$B$28)/基本信息!$B$29)*(基本信息!$C$9)/F963/1000*IF(G963="",1,G963),基本信息!$C$11,基本信息!$C$34,1),"")</f>
        <v/>
      </c>
    </row>
    <row r="964" spans="1:11" ht="19.5" customHeight="1">
      <c r="A964" s="46"/>
      <c r="B964" s="47"/>
      <c r="C964" s="46"/>
      <c r="D964" s="46"/>
      <c r="E964" s="46"/>
      <c r="J964" s="44" t="str">
        <f>IFERROR(BaoLiuXiaoShuWei(AVERAGE(H964:I964),2),"")</f>
        <v/>
      </c>
      <c r="K964" s="50" t="str">
        <f>IFERROR(XiuYueXiaoShu(IF(J964="","",(J964-基本信息!$B$28)/基本信息!$B$29)*(基本信息!$C$9)/F964/1000*IF(G964="",1,G964),基本信息!$C$11,基本信息!$C$34,1),"")</f>
        <v/>
      </c>
    </row>
    <row r="965" spans="1:11" ht="19.5" customHeight="1">
      <c r="A965" s="46"/>
      <c r="B965" s="47"/>
      <c r="C965" s="46"/>
      <c r="D965" s="46"/>
      <c r="E965" s="46"/>
      <c r="J965" s="44" t="str">
        <f>IFERROR(BaoLiuXiaoShuWei(AVERAGE(H965:I965),2),"")</f>
        <v/>
      </c>
      <c r="K965" s="50" t="str">
        <f>IFERROR(XiuYueXiaoShu(IF(J965="","",(J965-基本信息!$B$28)/基本信息!$B$29)*(基本信息!$C$9)/F965/1000*IF(G965="",1,G965),基本信息!$C$11,基本信息!$C$34,1),"")</f>
        <v/>
      </c>
    </row>
    <row r="966" spans="1:11" ht="19.5" customHeight="1">
      <c r="A966" s="46"/>
      <c r="B966" s="47"/>
      <c r="C966" s="46"/>
      <c r="D966" s="46"/>
      <c r="E966" s="46"/>
      <c r="J966" s="44" t="str">
        <f>IFERROR(BaoLiuXiaoShuWei(AVERAGE(H966:I966),2),"")</f>
        <v/>
      </c>
      <c r="K966" s="50" t="str">
        <f>IFERROR(XiuYueXiaoShu(IF(J966="","",(J966-基本信息!$B$28)/基本信息!$B$29)*(基本信息!$C$9)/F966/1000*IF(G966="",1,G966),基本信息!$C$11,基本信息!$C$34,1),"")</f>
        <v/>
      </c>
    </row>
    <row r="967" spans="1:11" ht="19.5" customHeight="1">
      <c r="A967" s="46"/>
      <c r="B967" s="47"/>
      <c r="C967" s="46"/>
      <c r="D967" s="46"/>
      <c r="E967" s="46"/>
      <c r="J967" s="44" t="str">
        <f>IFERROR(BaoLiuXiaoShuWei(AVERAGE(H967:I967),2),"")</f>
        <v/>
      </c>
      <c r="K967" s="50" t="str">
        <f>IFERROR(XiuYueXiaoShu(IF(J967="","",(J967-基本信息!$B$28)/基本信息!$B$29)*(基本信息!$C$9)/F967/1000*IF(G967="",1,G967),基本信息!$C$11,基本信息!$C$34,1),"")</f>
        <v/>
      </c>
    </row>
    <row r="968" spans="1:11" ht="19.5" customHeight="1">
      <c r="A968" s="46"/>
      <c r="B968" s="47"/>
      <c r="C968" s="46"/>
      <c r="D968" s="46"/>
      <c r="E968" s="46"/>
      <c r="J968" s="44" t="str">
        <f>IFERROR(BaoLiuXiaoShuWei(AVERAGE(H968:I968),2),"")</f>
        <v/>
      </c>
      <c r="K968" s="50" t="str">
        <f>IFERROR(XiuYueXiaoShu(IF(J968="","",(J968-基本信息!$B$28)/基本信息!$B$29)*(基本信息!$C$9)/F968/1000*IF(G968="",1,G968),基本信息!$C$11,基本信息!$C$34,1),"")</f>
        <v/>
      </c>
    </row>
    <row r="969" spans="1:11" ht="19.5" customHeight="1">
      <c r="A969" s="46"/>
      <c r="B969" s="47"/>
      <c r="C969" s="46"/>
      <c r="D969" s="46"/>
      <c r="E969" s="46"/>
      <c r="J969" s="44" t="str">
        <f>IFERROR(BaoLiuXiaoShuWei(AVERAGE(H969:I969),2),"")</f>
        <v/>
      </c>
      <c r="K969" s="50" t="str">
        <f>IFERROR(XiuYueXiaoShu(IF(J969="","",(J969-基本信息!$B$28)/基本信息!$B$29)*(基本信息!$C$9)/F969/1000*IF(G969="",1,G969),基本信息!$C$11,基本信息!$C$34,1),"")</f>
        <v/>
      </c>
    </row>
    <row r="970" spans="1:11" ht="19.5" customHeight="1">
      <c r="A970" s="46"/>
      <c r="B970" s="47"/>
      <c r="C970" s="46"/>
      <c r="D970" s="46"/>
      <c r="E970" s="46"/>
      <c r="J970" s="44" t="str">
        <f>IFERROR(BaoLiuXiaoShuWei(AVERAGE(H970:I970),2),"")</f>
        <v/>
      </c>
      <c r="K970" s="50" t="str">
        <f>IFERROR(XiuYueXiaoShu(IF(J970="","",(J970-基本信息!$B$28)/基本信息!$B$29)*(基本信息!$C$9)/F970/1000*IF(G970="",1,G970),基本信息!$C$11,基本信息!$C$34,1),"")</f>
        <v/>
      </c>
    </row>
    <row r="971" spans="1:11" ht="19.5" customHeight="1">
      <c r="A971" s="46"/>
      <c r="B971" s="47"/>
      <c r="C971" s="46"/>
      <c r="D971" s="46"/>
      <c r="E971" s="46"/>
      <c r="J971" s="44" t="str">
        <f>IFERROR(BaoLiuXiaoShuWei(AVERAGE(H971:I971),2),"")</f>
        <v/>
      </c>
      <c r="K971" s="50" t="str">
        <f>IFERROR(XiuYueXiaoShu(IF(J971="","",(J971-基本信息!$B$28)/基本信息!$B$29)*(基本信息!$C$9)/F971/1000*IF(G971="",1,G971),基本信息!$C$11,基本信息!$C$34,1),"")</f>
        <v/>
      </c>
    </row>
    <row r="972" spans="1:11" ht="19.5" customHeight="1">
      <c r="A972" s="46"/>
      <c r="B972" s="47"/>
      <c r="C972" s="46"/>
      <c r="D972" s="46"/>
      <c r="E972" s="46"/>
      <c r="J972" s="44" t="str">
        <f>IFERROR(BaoLiuXiaoShuWei(AVERAGE(H972:I972),2),"")</f>
        <v/>
      </c>
      <c r="K972" s="50" t="str">
        <f>IFERROR(XiuYueXiaoShu(IF(J972="","",(J972-基本信息!$B$28)/基本信息!$B$29)*(基本信息!$C$9)/F972/1000*IF(G972="",1,G972),基本信息!$C$11,基本信息!$C$34,1),"")</f>
        <v/>
      </c>
    </row>
    <row r="973" spans="1:11" ht="19.5" customHeight="1">
      <c r="A973" s="46"/>
      <c r="B973" s="47"/>
      <c r="C973" s="46"/>
      <c r="D973" s="46"/>
      <c r="E973" s="46"/>
      <c r="J973" s="44" t="str">
        <f>IFERROR(BaoLiuXiaoShuWei(AVERAGE(H973:I973),2),"")</f>
        <v/>
      </c>
      <c r="K973" s="50" t="str">
        <f>IFERROR(XiuYueXiaoShu(IF(J973="","",(J973-基本信息!$B$28)/基本信息!$B$29)*(基本信息!$C$9)/F973/1000*IF(G973="",1,G973),基本信息!$C$11,基本信息!$C$34,1),"")</f>
        <v/>
      </c>
    </row>
    <row r="974" spans="1:11" ht="19.5" customHeight="1">
      <c r="A974" s="46"/>
      <c r="B974" s="47"/>
      <c r="C974" s="46"/>
      <c r="D974" s="46"/>
      <c r="E974" s="46"/>
      <c r="J974" s="44" t="str">
        <f>IFERROR(BaoLiuXiaoShuWei(AVERAGE(H974:I974),2),"")</f>
        <v/>
      </c>
      <c r="K974" s="50" t="str">
        <f>IFERROR(XiuYueXiaoShu(IF(J974="","",(J974-基本信息!$B$28)/基本信息!$B$29)*(基本信息!$C$9)/F974/1000*IF(G974="",1,G974),基本信息!$C$11,基本信息!$C$34,1),"")</f>
        <v/>
      </c>
    </row>
    <row r="975" spans="1:11" ht="19.5" customHeight="1">
      <c r="A975" s="46"/>
      <c r="B975" s="47"/>
      <c r="C975" s="46"/>
      <c r="D975" s="46"/>
      <c r="E975" s="46"/>
      <c r="J975" s="44" t="str">
        <f>IFERROR(BaoLiuXiaoShuWei(AVERAGE(H975:I975),2),"")</f>
        <v/>
      </c>
      <c r="K975" s="50" t="str">
        <f>IFERROR(XiuYueXiaoShu(IF(J975="","",(J975-基本信息!$B$28)/基本信息!$B$29)*(基本信息!$C$9)/F975/1000*IF(G975="",1,G975),基本信息!$C$11,基本信息!$C$34,1),"")</f>
        <v/>
      </c>
    </row>
    <row r="976" spans="1:11" ht="19.5" customHeight="1">
      <c r="A976" s="46"/>
      <c r="B976" s="47"/>
      <c r="C976" s="46"/>
      <c r="D976" s="46"/>
      <c r="E976" s="46"/>
      <c r="J976" s="44" t="str">
        <f>IFERROR(BaoLiuXiaoShuWei(AVERAGE(H976:I976),2),"")</f>
        <v/>
      </c>
      <c r="K976" s="50" t="str">
        <f>IFERROR(XiuYueXiaoShu(IF(J976="","",(J976-基本信息!$B$28)/基本信息!$B$29)*(基本信息!$C$9)/F976/1000*IF(G976="",1,G976),基本信息!$C$11,基本信息!$C$34,1),"")</f>
        <v/>
      </c>
    </row>
    <row r="977" spans="1:11" ht="19.5" customHeight="1">
      <c r="A977" s="46"/>
      <c r="B977" s="47"/>
      <c r="C977" s="46"/>
      <c r="D977" s="46"/>
      <c r="E977" s="46"/>
      <c r="J977" s="44" t="str">
        <f>IFERROR(BaoLiuXiaoShuWei(AVERAGE(H977:I977),2),"")</f>
        <v/>
      </c>
      <c r="K977" s="50" t="str">
        <f>IFERROR(XiuYueXiaoShu(IF(J977="","",(J977-基本信息!$B$28)/基本信息!$B$29)*(基本信息!$C$9)/F977/1000*IF(G977="",1,G977),基本信息!$C$11,基本信息!$C$34,1),"")</f>
        <v/>
      </c>
    </row>
    <row r="978" spans="1:11" ht="19.5" customHeight="1">
      <c r="A978" s="46"/>
      <c r="B978" s="47"/>
      <c r="C978" s="46"/>
      <c r="D978" s="46"/>
      <c r="E978" s="46"/>
      <c r="J978" s="44" t="str">
        <f>IFERROR(BaoLiuXiaoShuWei(AVERAGE(H978:I978),2),"")</f>
        <v/>
      </c>
      <c r="K978" s="50" t="str">
        <f>IFERROR(XiuYueXiaoShu(IF(J978="","",(J978-基本信息!$B$28)/基本信息!$B$29)*(基本信息!$C$9)/F978/1000*IF(G978="",1,G978),基本信息!$C$11,基本信息!$C$34,1),"")</f>
        <v/>
      </c>
    </row>
    <row r="979" spans="1:11" ht="19.5" customHeight="1">
      <c r="A979" s="46"/>
      <c r="B979" s="47"/>
      <c r="C979" s="46"/>
      <c r="D979" s="46"/>
      <c r="E979" s="46"/>
      <c r="J979" s="44" t="str">
        <f>IFERROR(BaoLiuXiaoShuWei(AVERAGE(H979:I979),2),"")</f>
        <v/>
      </c>
      <c r="K979" s="50" t="str">
        <f>IFERROR(XiuYueXiaoShu(IF(J979="","",(J979-基本信息!$B$28)/基本信息!$B$29)*(基本信息!$C$9)/F979/1000*IF(G979="",1,G979),基本信息!$C$11,基本信息!$C$34,1),"")</f>
        <v/>
      </c>
    </row>
    <row r="980" spans="1:11" ht="19.5" customHeight="1">
      <c r="A980" s="46"/>
      <c r="B980" s="47"/>
      <c r="C980" s="46"/>
      <c r="D980" s="46"/>
      <c r="E980" s="46"/>
      <c r="J980" s="44" t="str">
        <f>IFERROR(BaoLiuXiaoShuWei(AVERAGE(H980:I980),2),"")</f>
        <v/>
      </c>
      <c r="K980" s="50" t="str">
        <f>IFERROR(XiuYueXiaoShu(IF(J980="","",(J980-基本信息!$B$28)/基本信息!$B$29)*(基本信息!$C$9)/F980/1000*IF(G980="",1,G980),基本信息!$C$11,基本信息!$C$34,1),"")</f>
        <v/>
      </c>
    </row>
    <row r="981" spans="1:11" ht="19.5" customHeight="1">
      <c r="A981" s="46"/>
      <c r="B981" s="47"/>
      <c r="C981" s="46"/>
      <c r="D981" s="46"/>
      <c r="E981" s="46"/>
      <c r="J981" s="44" t="str">
        <f>IFERROR(BaoLiuXiaoShuWei(AVERAGE(H981:I981),2),"")</f>
        <v/>
      </c>
      <c r="K981" s="50" t="str">
        <f>IFERROR(XiuYueXiaoShu(IF(J981="","",(J981-基本信息!$B$28)/基本信息!$B$29)*(基本信息!$C$9)/F981/1000*IF(G981="",1,G981),基本信息!$C$11,基本信息!$C$34,1),"")</f>
        <v/>
      </c>
    </row>
    <row r="982" spans="1:11" ht="19.5" customHeight="1">
      <c r="A982" s="46"/>
      <c r="B982" s="47"/>
      <c r="C982" s="46"/>
      <c r="D982" s="46"/>
      <c r="E982" s="46"/>
      <c r="J982" s="44" t="str">
        <f>IFERROR(BaoLiuXiaoShuWei(AVERAGE(H982:I982),2),"")</f>
        <v/>
      </c>
      <c r="K982" s="50" t="str">
        <f>IFERROR(XiuYueXiaoShu(IF(J982="","",(J982-基本信息!$B$28)/基本信息!$B$29)*(基本信息!$C$9)/F982/1000*IF(G982="",1,G982),基本信息!$C$11,基本信息!$C$34,1),"")</f>
        <v/>
      </c>
    </row>
    <row r="983" spans="1:11" ht="19.5" customHeight="1">
      <c r="A983" s="46"/>
      <c r="B983" s="47"/>
      <c r="C983" s="46"/>
      <c r="D983" s="46"/>
      <c r="E983" s="46"/>
      <c r="J983" s="44" t="str">
        <f>IFERROR(BaoLiuXiaoShuWei(AVERAGE(H983:I983),2),"")</f>
        <v/>
      </c>
      <c r="K983" s="50" t="str">
        <f>IFERROR(XiuYueXiaoShu(IF(J983="","",(J983-基本信息!$B$28)/基本信息!$B$29)*(基本信息!$C$9)/F983/1000*IF(G983="",1,G983),基本信息!$C$11,基本信息!$C$34,1),"")</f>
        <v/>
      </c>
    </row>
    <row r="984" spans="1:11" ht="19.5" customHeight="1">
      <c r="A984" s="46"/>
      <c r="B984" s="47"/>
      <c r="C984" s="46"/>
      <c r="D984" s="46"/>
      <c r="E984" s="46"/>
      <c r="J984" s="44" t="str">
        <f>IFERROR(BaoLiuXiaoShuWei(AVERAGE(H984:I984),2),"")</f>
        <v/>
      </c>
      <c r="K984" s="50" t="str">
        <f>IFERROR(XiuYueXiaoShu(IF(J984="","",(J984-基本信息!$B$28)/基本信息!$B$29)*(基本信息!$C$9)/F984/1000*IF(G984="",1,G984),基本信息!$C$11,基本信息!$C$34,1),"")</f>
        <v/>
      </c>
    </row>
    <row r="985" spans="1:11" ht="19.5" customHeight="1">
      <c r="A985" s="46"/>
      <c r="B985" s="47"/>
      <c r="C985" s="46"/>
      <c r="D985" s="46"/>
      <c r="E985" s="46"/>
      <c r="J985" s="44" t="str">
        <f>IFERROR(BaoLiuXiaoShuWei(AVERAGE(H985:I985),2),"")</f>
        <v/>
      </c>
      <c r="K985" s="50" t="str">
        <f>IFERROR(XiuYueXiaoShu(IF(J985="","",(J985-基本信息!$B$28)/基本信息!$B$29)*(基本信息!$C$9)/F985/1000*IF(G985="",1,G985),基本信息!$C$11,基本信息!$C$34,1),"")</f>
        <v/>
      </c>
    </row>
    <row r="986" spans="1:11" ht="19.5" customHeight="1">
      <c r="A986" s="46"/>
      <c r="B986" s="47"/>
      <c r="C986" s="46"/>
      <c r="D986" s="46"/>
      <c r="E986" s="46"/>
      <c r="J986" s="44" t="str">
        <f>IFERROR(BaoLiuXiaoShuWei(AVERAGE(H986:I986),2),"")</f>
        <v/>
      </c>
      <c r="K986" s="50" t="str">
        <f>IFERROR(XiuYueXiaoShu(IF(J986="","",(J986-基本信息!$B$28)/基本信息!$B$29)*(基本信息!$C$9)/F986/1000*IF(G986="",1,G986),基本信息!$C$11,基本信息!$C$34,1),"")</f>
        <v/>
      </c>
    </row>
    <row r="987" spans="1:11" ht="19.5" customHeight="1">
      <c r="A987" s="46"/>
      <c r="B987" s="47"/>
      <c r="C987" s="46"/>
      <c r="D987" s="46"/>
      <c r="E987" s="46"/>
      <c r="J987" s="44" t="str">
        <f>IFERROR(BaoLiuXiaoShuWei(AVERAGE(H987:I987),2),"")</f>
        <v/>
      </c>
      <c r="K987" s="50" t="str">
        <f>IFERROR(XiuYueXiaoShu(IF(J987="","",(J987-基本信息!$B$28)/基本信息!$B$29)*(基本信息!$C$9)/F987/1000*IF(G987="",1,G987),基本信息!$C$11,基本信息!$C$34,1),"")</f>
        <v/>
      </c>
    </row>
    <row r="988" spans="1:11" ht="19.5" customHeight="1">
      <c r="A988" s="46"/>
      <c r="B988" s="47"/>
      <c r="C988" s="46"/>
      <c r="D988" s="46"/>
      <c r="E988" s="46"/>
      <c r="J988" s="44" t="str">
        <f>IFERROR(BaoLiuXiaoShuWei(AVERAGE(H988:I988),2),"")</f>
        <v/>
      </c>
      <c r="K988" s="50" t="str">
        <f>IFERROR(XiuYueXiaoShu(IF(J988="","",(J988-基本信息!$B$28)/基本信息!$B$29)*(基本信息!$C$9)/F988/1000*IF(G988="",1,G988),基本信息!$C$11,基本信息!$C$34,1),"")</f>
        <v/>
      </c>
    </row>
    <row r="989" spans="1:11" ht="19.5" customHeight="1">
      <c r="A989" s="46"/>
      <c r="B989" s="47"/>
      <c r="C989" s="46"/>
      <c r="D989" s="46"/>
      <c r="E989" s="46"/>
      <c r="J989" s="44" t="str">
        <f>IFERROR(BaoLiuXiaoShuWei(AVERAGE(H989:I989),2),"")</f>
        <v/>
      </c>
      <c r="K989" s="50" t="str">
        <f>IFERROR(XiuYueXiaoShu(IF(J989="","",(J989-基本信息!$B$28)/基本信息!$B$29)*(基本信息!$C$9)/F989/1000*IF(G989="",1,G989),基本信息!$C$11,基本信息!$C$34,1),"")</f>
        <v/>
      </c>
    </row>
    <row r="990" spans="1:11" ht="19.5" customHeight="1">
      <c r="A990" s="46"/>
      <c r="B990" s="47"/>
      <c r="C990" s="46"/>
      <c r="D990" s="46"/>
      <c r="E990" s="46"/>
      <c r="J990" s="44" t="str">
        <f>IFERROR(BaoLiuXiaoShuWei(AVERAGE(H990:I990),2),"")</f>
        <v/>
      </c>
      <c r="K990" s="50" t="str">
        <f>IFERROR(XiuYueXiaoShu(IF(J990="","",(J990-基本信息!$B$28)/基本信息!$B$29)*(基本信息!$C$9)/F990/1000*IF(G990="",1,G990),基本信息!$C$11,基本信息!$C$34,1),"")</f>
        <v/>
      </c>
    </row>
    <row r="991" spans="1:11" ht="19.5" customHeight="1">
      <c r="A991" s="46"/>
      <c r="B991" s="47"/>
      <c r="C991" s="46"/>
      <c r="D991" s="46"/>
      <c r="E991" s="46"/>
      <c r="J991" s="44" t="str">
        <f>IFERROR(BaoLiuXiaoShuWei(AVERAGE(H991:I991),2),"")</f>
        <v/>
      </c>
      <c r="K991" s="50" t="str">
        <f>IFERROR(XiuYueXiaoShu(IF(J991="","",(J991-基本信息!$B$28)/基本信息!$B$29)*(基本信息!$C$9)/F991/1000*IF(G991="",1,G991),基本信息!$C$11,基本信息!$C$34,1),"")</f>
        <v/>
      </c>
    </row>
    <row r="992" spans="1:11" ht="19.5" customHeight="1">
      <c r="A992" s="46"/>
      <c r="B992" s="47"/>
      <c r="C992" s="46"/>
      <c r="D992" s="46"/>
      <c r="E992" s="46"/>
      <c r="J992" s="44" t="str">
        <f>IFERROR(BaoLiuXiaoShuWei(AVERAGE(H992:I992),2),"")</f>
        <v/>
      </c>
      <c r="K992" s="50" t="str">
        <f>IFERROR(XiuYueXiaoShu(IF(J992="","",(J992-基本信息!$B$28)/基本信息!$B$29)*(基本信息!$C$9)/F992/1000*IF(G992="",1,G992),基本信息!$C$11,基本信息!$C$34,1),"")</f>
        <v/>
      </c>
    </row>
    <row r="993" spans="1:11" ht="19.5" customHeight="1">
      <c r="A993" s="46"/>
      <c r="B993" s="47"/>
      <c r="C993" s="46"/>
      <c r="D993" s="46"/>
      <c r="E993" s="46"/>
      <c r="J993" s="44" t="str">
        <f>IFERROR(BaoLiuXiaoShuWei(AVERAGE(H993:I993),2),"")</f>
        <v/>
      </c>
      <c r="K993" s="50" t="str">
        <f>IFERROR(XiuYueXiaoShu(IF(J993="","",(J993-基本信息!$B$28)/基本信息!$B$29)*(基本信息!$C$9)/F993/1000*IF(G993="",1,G993),基本信息!$C$11,基本信息!$C$34,1),"")</f>
        <v/>
      </c>
    </row>
    <row r="994" spans="1:11" ht="19.5" customHeight="1">
      <c r="A994" s="46"/>
      <c r="B994" s="47"/>
      <c r="C994" s="46"/>
      <c r="D994" s="46"/>
      <c r="E994" s="46"/>
      <c r="J994" s="44" t="str">
        <f>IFERROR(BaoLiuXiaoShuWei(AVERAGE(H994:I994),2),"")</f>
        <v/>
      </c>
      <c r="K994" s="50" t="str">
        <f>IFERROR(XiuYueXiaoShu(IF(J994="","",(J994-基本信息!$B$28)/基本信息!$B$29)*(基本信息!$C$9)/F994/1000*IF(G994="",1,G994),基本信息!$C$11,基本信息!$C$34,1),"")</f>
        <v/>
      </c>
    </row>
    <row r="995" spans="1:11" ht="19.5" customHeight="1">
      <c r="A995" s="46"/>
      <c r="B995" s="47"/>
      <c r="C995" s="46"/>
      <c r="D995" s="46"/>
      <c r="E995" s="46"/>
      <c r="J995" s="44" t="str">
        <f>IFERROR(BaoLiuXiaoShuWei(AVERAGE(H995:I995),2),"")</f>
        <v/>
      </c>
      <c r="K995" s="50" t="str">
        <f>IFERROR(XiuYueXiaoShu(IF(J995="","",(J995-基本信息!$B$28)/基本信息!$B$29)*(基本信息!$C$9)/F995/1000*IF(G995="",1,G995),基本信息!$C$11,基本信息!$C$34,1),"")</f>
        <v/>
      </c>
    </row>
    <row r="996" spans="1:11" ht="19.5" customHeight="1">
      <c r="A996" s="46"/>
      <c r="B996" s="47"/>
      <c r="C996" s="46"/>
      <c r="D996" s="46"/>
      <c r="E996" s="46"/>
      <c r="J996" s="44" t="str">
        <f>IFERROR(BaoLiuXiaoShuWei(AVERAGE(H996:I996),2),"")</f>
        <v/>
      </c>
      <c r="K996" s="50" t="str">
        <f>IFERROR(XiuYueXiaoShu(IF(J996="","",(J996-基本信息!$B$28)/基本信息!$B$29)*(基本信息!$C$9)/F996/1000*IF(G996="",1,G996),基本信息!$C$11,基本信息!$C$34,1),"")</f>
        <v/>
      </c>
    </row>
    <row r="997" spans="1:11" ht="19.5" customHeight="1">
      <c r="A997" s="46"/>
      <c r="B997" s="47"/>
      <c r="C997" s="46"/>
      <c r="D997" s="46"/>
      <c r="E997" s="46"/>
      <c r="J997" s="44" t="str">
        <f>IFERROR(BaoLiuXiaoShuWei(AVERAGE(H997:I997),2),"")</f>
        <v/>
      </c>
      <c r="K997" s="50" t="str">
        <f>IFERROR(XiuYueXiaoShu(IF(J997="","",(J997-基本信息!$B$28)/基本信息!$B$29)*(基本信息!$C$9)/F997/1000*IF(G997="",1,G997),基本信息!$C$11,基本信息!$C$34,1),"")</f>
        <v/>
      </c>
    </row>
    <row r="998" spans="1:11" ht="19.5" customHeight="1">
      <c r="A998" s="46"/>
      <c r="B998" s="47"/>
      <c r="C998" s="46"/>
      <c r="D998" s="46"/>
      <c r="E998" s="46"/>
      <c r="J998" s="44" t="str">
        <f>IFERROR(BaoLiuXiaoShuWei(AVERAGE(H998:I998),2),"")</f>
        <v/>
      </c>
      <c r="K998" s="50" t="str">
        <f>IFERROR(XiuYueXiaoShu(IF(J998="","",(J998-基本信息!$B$28)/基本信息!$B$29)*(基本信息!$C$9)/F998/1000*IF(G998="",1,G998),基本信息!$C$11,基本信息!$C$34,1),"")</f>
        <v/>
      </c>
    </row>
    <row r="999" spans="1:11" ht="19.5" customHeight="1">
      <c r="A999" s="46"/>
      <c r="B999" s="47"/>
      <c r="C999" s="46"/>
      <c r="D999" s="46"/>
      <c r="E999" s="46"/>
      <c r="J999" s="44" t="str">
        <f>IFERROR(BaoLiuXiaoShuWei(AVERAGE(H999:I999),2),"")</f>
        <v/>
      </c>
      <c r="K999" s="50" t="str">
        <f>IFERROR(XiuYueXiaoShu(IF(J999="","",(J999-基本信息!$B$28)/基本信息!$B$29)*(基本信息!$C$9)/F999/1000*IF(G999="",1,G999),基本信息!$C$11,基本信息!$C$34,1),"")</f>
        <v/>
      </c>
    </row>
    <row r="1000" spans="1:11" ht="19.5" customHeight="1">
      <c r="A1000" s="46"/>
      <c r="B1000" s="47"/>
      <c r="C1000" s="46"/>
      <c r="D1000" s="46"/>
      <c r="E1000" s="46"/>
      <c r="J1000" s="44" t="str">
        <f>IFERROR(BaoLiuXiaoShuWei(AVERAGE(H1000:I1000),2),"")</f>
        <v/>
      </c>
      <c r="K1000" s="50" t="str">
        <f>IFERROR(XiuYueXiaoShu(IF(J1000="","",(J1000-基本信息!$B$28)/基本信息!$B$29)*(基本信息!$C$9)/F1000/1000*IF(G1000="",1,G1000),基本信息!$C$11,基本信息!$C$34,1),"")</f>
        <v/>
      </c>
    </row>
  </sheetData>
  <sheetProtection formatCells="0" formatColumns="0" formatRows="0"/>
  <mergeCells count="19">
    <mergeCell ref="A1:R1"/>
    <mergeCell ref="O3:O4"/>
    <mergeCell ref="A2:A4"/>
    <mergeCell ref="B2:B4"/>
    <mergeCell ref="C2:C4"/>
    <mergeCell ref="D2:D4"/>
    <mergeCell ref="E2:E4"/>
    <mergeCell ref="F3:F4"/>
    <mergeCell ref="G3:G4"/>
    <mergeCell ref="P3:P4"/>
    <mergeCell ref="H3:J3"/>
    <mergeCell ref="K3:K4"/>
    <mergeCell ref="F2:K2"/>
    <mergeCell ref="L3:L4"/>
    <mergeCell ref="M3:M4"/>
    <mergeCell ref="N3:N4"/>
    <mergeCell ref="L2:Q2"/>
    <mergeCell ref="R2:R4"/>
    <mergeCell ref="Q3:Q4"/>
  </mergeCells>
  <phoneticPr fontId="24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2"/>
  <sheetViews>
    <sheetView workbookViewId="0">
      <selection activeCell="A5" sqref="A5"/>
    </sheetView>
  </sheetViews>
  <sheetFormatPr defaultRowHeight="13.5"/>
  <cols>
    <col min="1" max="1" width="18.625" customWidth="1"/>
    <col min="2" max="2" width="9" customWidth="1"/>
    <col min="3" max="3" width="8.5" customWidth="1"/>
    <col min="4" max="4" width="10.875" customWidth="1"/>
    <col min="5" max="5" width="8" customWidth="1"/>
    <col min="6" max="6" width="8.25" customWidth="1"/>
    <col min="7" max="7" width="7.875" customWidth="1"/>
    <col min="8" max="8" width="8.125" customWidth="1"/>
  </cols>
  <sheetData>
    <row r="1" spans="1:8" ht="32.25" customHeight="1">
      <c r="A1" s="52" t="s">
        <v>74</v>
      </c>
      <c r="B1" s="53"/>
      <c r="C1" s="53"/>
      <c r="D1" s="53"/>
      <c r="E1" s="128"/>
      <c r="F1" s="128"/>
      <c r="G1" s="53"/>
      <c r="H1" s="54"/>
    </row>
    <row r="2" spans="1:8" ht="32.25" customHeight="1">
      <c r="A2" s="55" t="s">
        <v>75</v>
      </c>
      <c r="B2" s="129" t="s">
        <v>92</v>
      </c>
      <c r="C2" s="129"/>
      <c r="D2" s="129"/>
      <c r="E2" s="129"/>
      <c r="F2" s="129"/>
      <c r="G2" s="129"/>
      <c r="H2" s="129"/>
    </row>
    <row r="3" spans="1:8" ht="32.25" customHeight="1">
      <c r="A3" s="130" t="s">
        <v>89</v>
      </c>
      <c r="B3" s="131"/>
      <c r="C3" s="131"/>
      <c r="D3" s="131"/>
      <c r="E3" s="131"/>
      <c r="F3" s="131"/>
      <c r="G3" s="131"/>
      <c r="H3" s="132"/>
    </row>
    <row r="4" spans="1:8" ht="32.25" customHeight="1">
      <c r="A4" s="56" t="s">
        <v>76</v>
      </c>
      <c r="B4" s="56" t="s">
        <v>77</v>
      </c>
      <c r="C4" s="57" t="s">
        <v>78</v>
      </c>
      <c r="D4" s="57" t="s">
        <v>91</v>
      </c>
      <c r="E4" s="58" t="s">
        <v>79</v>
      </c>
      <c r="F4" s="58" t="s">
        <v>80</v>
      </c>
      <c r="G4" s="58" t="s">
        <v>81</v>
      </c>
      <c r="H4" s="58" t="s">
        <v>82</v>
      </c>
    </row>
    <row r="5" spans="1:8" ht="32.25" customHeight="1">
      <c r="A5" s="59" t="s">
        <v>87</v>
      </c>
      <c r="B5" s="59" t="s">
        <v>86</v>
      </c>
      <c r="C5" s="59" t="s">
        <v>83</v>
      </c>
      <c r="D5" s="59" t="s">
        <v>90</v>
      </c>
      <c r="E5" s="59" t="s">
        <v>84</v>
      </c>
      <c r="F5" s="59" t="s">
        <v>85</v>
      </c>
      <c r="G5" s="59" t="s">
        <v>88</v>
      </c>
      <c r="H5" s="59" t="s">
        <v>88</v>
      </c>
    </row>
    <row r="6" spans="1:8" ht="32.25" customHeight="1">
      <c r="A6" s="59"/>
      <c r="B6" s="60"/>
      <c r="C6" s="59"/>
      <c r="D6" s="59"/>
      <c r="E6" s="59"/>
      <c r="F6" s="59"/>
      <c r="G6" s="59"/>
      <c r="H6" s="59"/>
    </row>
    <row r="7" spans="1:8" ht="32.25" customHeight="1">
      <c r="A7" s="61"/>
      <c r="B7" s="59"/>
      <c r="C7" s="59"/>
      <c r="D7" s="59"/>
      <c r="E7" s="59"/>
      <c r="F7" s="59"/>
      <c r="G7" s="59"/>
      <c r="H7" s="59"/>
    </row>
    <row r="8" spans="1:8" ht="32.25" customHeight="1">
      <c r="A8" s="59"/>
      <c r="B8" s="60"/>
      <c r="C8" s="59"/>
      <c r="D8" s="59"/>
      <c r="E8" s="59"/>
      <c r="F8" s="59"/>
      <c r="G8" s="59"/>
      <c r="H8" s="59"/>
    </row>
    <row r="32" spans="14:14">
      <c r="N32" t="s">
        <v>73</v>
      </c>
    </row>
  </sheetData>
  <mergeCells count="3">
    <mergeCell ref="E1:F1"/>
    <mergeCell ref="B2:H2"/>
    <mergeCell ref="A3:H3"/>
  </mergeCells>
  <phoneticPr fontId="24" type="noConversion"/>
  <dataValidations count="1">
    <dataValidation type="list" allowBlank="1" showInputMessage="1" showErrorMessage="1" sqref="B2:H2">
      <formula1>"海水水质标准,渔业水质标准,海洋沉积物质量标准"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基本信息</vt:lpstr>
      <vt:lpstr>数据</vt:lpstr>
      <vt:lpstr>限值标准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微软用户</cp:lastModifiedBy>
  <dcterms:created xsi:type="dcterms:W3CDTF">2006-09-16T00:00:00Z</dcterms:created>
  <dcterms:modified xsi:type="dcterms:W3CDTF">2020-03-31T15:28:16Z</dcterms:modified>
  <cp:category/>
  <cp:contentStatus/>
</cp:coreProperties>
</file>